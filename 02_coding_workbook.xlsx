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" sheetId="1" state="visible" r:id="rId3"/>
    <sheet name="Fit_Matrix" sheetId="2" state="visible" r:id="rId4"/>
    <sheet name="Canonical_Claims" sheetId="3" state="visible" r:id="rId5"/>
    <sheet name="Articles" sheetId="4" state="visible" r:id="rId6"/>
    <sheet name="Claims" sheetId="5" state="visible" r:id="rId7"/>
    <sheet name="Change_Log" sheetId="6" state="visible" r:id="rId8"/>
    <sheet name="Summar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<sst xmlns="http://schemas.openxmlformats.org/spreadsheetml/2006/main" count="1042" uniqueCount="516">
  <si>
    <t xml:space="preserve">Evidentiary Audit Coding Workbook</t>
  </si>
  <si>
    <t xml:space="preserve">Sheets</t>
  </si>
  <si>
    <t xml:space="preserve">Articles</t>
  </si>
  <si>
    <t xml:space="preserve">One row per included article. Screening decision, positioning (P1–P4), citation data.</t>
  </si>
  <si>
    <t xml:space="preserve">Claims</t>
  </si>
  <si>
    <t xml:space="preserve">One row per extracted claim. Yellow cells are coder inputs; Fit is computed from the matrix and reviewed.</t>
  </si>
  <si>
    <t xml:space="preserve">Canonical_Claims</t>
  </si>
  <si>
    <t xml:space="preserve">Frozen list of canonical claims built in the pilot. Claims sheet references these IDs.</t>
  </si>
  <si>
    <t xml:space="preserve">Fit_Matrix</t>
  </si>
  <si>
    <t xml:space="preserve">Lookup table: claim type × primary warrant × positioning → fit. Edit only via the change log.</t>
  </si>
  <si>
    <t xml:space="preserve">Change_Log</t>
  </si>
  <si>
    <t xml:space="preserve">Every protocol change with date, reason, stage.</t>
  </si>
  <si>
    <t xml:space="preserve">Summary</t>
  </si>
  <si>
    <t xml:space="preserve">Live counts by claim type, warrant, fit, indicators. Formulas only.</t>
  </si>
  <si>
    <t xml:space="preserve">Conventions</t>
  </si>
  <si>
    <t xml:space="preserve">Yellow fill</t>
  </si>
  <si>
    <t xml:space="preserve">Coder enters a value (dropdowns where available).</t>
  </si>
  <si>
    <t xml:space="preserve">Grey header</t>
  </si>
  <si>
    <t xml:space="preserve">Do not edit.</t>
  </si>
  <si>
    <t xml:space="preserve">Row 2 in Claims/Articles</t>
  </si>
  <si>
    <t xml:space="preserve">Example row with realistic values; delete before real coding.</t>
  </si>
  <si>
    <t xml:space="preserve">Codes</t>
  </si>
  <si>
    <t xml:space="preserve">Claim type</t>
  </si>
  <si>
    <t xml:space="preserve">descriptive | conceptual | causal | predictive | normative | other</t>
  </si>
  <si>
    <t xml:space="preserve">Warrant</t>
  </si>
  <si>
    <t xml:space="preserve">W1 orig quant | W2 orig qual | W3 secondary | W4 analogy | W5 deduction | W6 authority | W7 declared conjecture | W8 none</t>
  </si>
  <si>
    <t xml:space="preserve">W3 sub-code</t>
  </si>
  <si>
    <t xml:space="preserve">to_W1W2 | to_W3 | to_W4W8 | unknown</t>
  </si>
  <si>
    <t xml:space="preserve">Positioning</t>
  </si>
  <si>
    <t xml:space="preserve">P1 neo-positivist | P2 interpretivist | P3 critical | P4 theory-building/policy</t>
  </si>
  <si>
    <t xml:space="preserve">Fit</t>
  </si>
  <si>
    <t xml:space="preserve">adequate | partial | inadequate. fit_final: copy fit_computed unless you override; an override requires override_reason.</t>
  </si>
  <si>
    <t xml:space="preserve">Indicators</t>
  </si>
  <si>
    <t xml:space="preserve">1 = present, 0 = absent, NA = not a predictive/causal-future claim</t>
  </si>
  <si>
    <t xml:space="preserve">Valence</t>
  </si>
  <si>
    <t xml:space="preserve">supporting | neutral | critical (only for W3 claims)</t>
  </si>
  <si>
    <t xml:space="preserve">key</t>
  </si>
  <si>
    <t xml:space="preserve">fit</t>
  </si>
  <si>
    <t xml:space="preserve">note</t>
  </si>
  <si>
    <t xml:space="preserve">P1|descriptive|W1</t>
  </si>
  <si>
    <t xml:space="preserve">adequate</t>
  </si>
  <si>
    <t xml:space="preserve">P1|descriptive|W2</t>
  </si>
  <si>
    <t xml:space="preserve">P1|descriptive|W3_to_W1W2</t>
  </si>
  <si>
    <t xml:space="preserve">P1|descriptive|W3_to_W3</t>
  </si>
  <si>
    <t xml:space="preserve">partial</t>
  </si>
  <si>
    <t xml:space="preserve">P1|descriptive|W3_to_W4W8</t>
  </si>
  <si>
    <t xml:space="preserve">P1|descriptive|W3_unknown</t>
  </si>
  <si>
    <t xml:space="preserve">P1|descriptive|W4</t>
  </si>
  <si>
    <t xml:space="preserve">P1|descriptive|W5</t>
  </si>
  <si>
    <t xml:space="preserve">inadequate</t>
  </si>
  <si>
    <t xml:space="preserve">P1|descriptive|W6</t>
  </si>
  <si>
    <t xml:space="preserve">P1|descriptive|W7</t>
  </si>
  <si>
    <t xml:space="preserve">P1|descriptive|W8</t>
  </si>
  <si>
    <t xml:space="preserve">P1|conceptual|W1</t>
  </si>
  <si>
    <t xml:space="preserve">P1|conceptual|W2</t>
  </si>
  <si>
    <t xml:space="preserve">P1|conceptual|W3_to_W1W2</t>
  </si>
  <si>
    <t xml:space="preserve">P1|conceptual|W3_to_W3</t>
  </si>
  <si>
    <t xml:space="preserve">P1|conceptual|W3_to_W4W8</t>
  </si>
  <si>
    <t xml:space="preserve">P1|conceptual|W3_unknown</t>
  </si>
  <si>
    <t xml:space="preserve">P1|conceptual|W4</t>
  </si>
  <si>
    <t xml:space="preserve">P1|conceptual|W5</t>
  </si>
  <si>
    <t xml:space="preserve">P1|conceptual|W6</t>
  </si>
  <si>
    <t xml:space="preserve">P1|conceptual|W7</t>
  </si>
  <si>
    <t xml:space="preserve">P1|conceptual|W8</t>
  </si>
  <si>
    <t xml:space="preserve">P1|causal|W1</t>
  </si>
  <si>
    <t xml:space="preserve">P1|causal|W2</t>
  </si>
  <si>
    <t xml:space="preserve">P1|causal|W3_to_W1W2</t>
  </si>
  <si>
    <t xml:space="preserve">P1|causal|W3_to_W3</t>
  </si>
  <si>
    <t xml:space="preserve">P1|causal|W3_to_W4W8</t>
  </si>
  <si>
    <t xml:space="preserve">P1|causal|W3_unknown</t>
  </si>
  <si>
    <t xml:space="preserve">P1|causal|W4</t>
  </si>
  <si>
    <t xml:space="preserve">P1|causal|W5</t>
  </si>
  <si>
    <t xml:space="preserve">P1|causal|W6</t>
  </si>
  <si>
    <t xml:space="preserve">P1|causal|W7</t>
  </si>
  <si>
    <t xml:space="preserve">adequate only if all three indicators = 1; else partial (see Claims formula)</t>
  </si>
  <si>
    <t xml:space="preserve">P1|causal|W8</t>
  </si>
  <si>
    <t xml:space="preserve">P1|predictive|W1</t>
  </si>
  <si>
    <t xml:space="preserve">P1|predictive|W2</t>
  </si>
  <si>
    <t xml:space="preserve">P1|predictive|W3_to_W1W2</t>
  </si>
  <si>
    <t xml:space="preserve">P1|predictive|W3_to_W3</t>
  </si>
  <si>
    <t xml:space="preserve">P1|predictive|W3_to_W4W8</t>
  </si>
  <si>
    <t xml:space="preserve">P1|predictive|W3_unknown</t>
  </si>
  <si>
    <t xml:space="preserve">P1|predictive|W4</t>
  </si>
  <si>
    <t xml:space="preserve">P1|predictive|W5</t>
  </si>
  <si>
    <t xml:space="preserve">P1|predictive|W6</t>
  </si>
  <si>
    <t xml:space="preserve">P1|predictive|W7</t>
  </si>
  <si>
    <t xml:space="preserve">P1|predictive|W8</t>
  </si>
  <si>
    <t xml:space="preserve">P1|normative|W1</t>
  </si>
  <si>
    <t xml:space="preserve">P1|normative|W2</t>
  </si>
  <si>
    <t xml:space="preserve">P1|normative|W3_to_W1W2</t>
  </si>
  <si>
    <t xml:space="preserve">P1|normative|W3_to_W3</t>
  </si>
  <si>
    <t xml:space="preserve">P1|normative|W3_to_W4W8</t>
  </si>
  <si>
    <t xml:space="preserve">P1|normative|W3_unknown</t>
  </si>
  <si>
    <t xml:space="preserve">P1|normative|W4</t>
  </si>
  <si>
    <t xml:space="preserve">P1|normative|W5</t>
  </si>
  <si>
    <t xml:space="preserve">P1|normative|W6</t>
  </si>
  <si>
    <t xml:space="preserve">P1|normative|W7</t>
  </si>
  <si>
    <t xml:space="preserve">P1|normative|W8</t>
  </si>
  <si>
    <t xml:space="preserve">P1|other|W1</t>
  </si>
  <si>
    <t xml:space="preserve">P1|other|W2</t>
  </si>
  <si>
    <t xml:space="preserve">P1|other|W3_to_W1W2</t>
  </si>
  <si>
    <t xml:space="preserve">P1|other|W3_to_W3</t>
  </si>
  <si>
    <t xml:space="preserve">P1|other|W3_to_W4W8</t>
  </si>
  <si>
    <t xml:space="preserve">P1|other|W3_unknown</t>
  </si>
  <si>
    <t xml:space="preserve">P1|other|W4</t>
  </si>
  <si>
    <t xml:space="preserve">P1|other|W5</t>
  </si>
  <si>
    <t xml:space="preserve">P1|other|W6</t>
  </si>
  <si>
    <t xml:space="preserve">P1|other|W7</t>
  </si>
  <si>
    <t xml:space="preserve">P1|other|W8</t>
  </si>
  <si>
    <t xml:space="preserve">P2|descriptive|W1</t>
  </si>
  <si>
    <t xml:space="preserve">P2|descriptive|W2</t>
  </si>
  <si>
    <t xml:space="preserve">P2|descriptive|W3_to_W1W2</t>
  </si>
  <si>
    <t xml:space="preserve">P2|descriptive|W3_to_W3</t>
  </si>
  <si>
    <t xml:space="preserve">P2|descriptive|W3_to_W4W8</t>
  </si>
  <si>
    <t xml:space="preserve">P2|descriptive|W3_unknown</t>
  </si>
  <si>
    <t xml:space="preserve">P2|descriptive|W4</t>
  </si>
  <si>
    <t xml:space="preserve">P2|descriptive|W5</t>
  </si>
  <si>
    <t xml:space="preserve">P2|descriptive|W6</t>
  </si>
  <si>
    <t xml:space="preserve">P2|descriptive|W7</t>
  </si>
  <si>
    <t xml:space="preserve">P2|descriptive|W8</t>
  </si>
  <si>
    <t xml:space="preserve">P2|conceptual|W1</t>
  </si>
  <si>
    <t xml:space="preserve">P2|conceptual|W2</t>
  </si>
  <si>
    <t xml:space="preserve">P2|conceptual|W3_to_W1W2</t>
  </si>
  <si>
    <t xml:space="preserve">P2|conceptual|W3_to_W3</t>
  </si>
  <si>
    <t xml:space="preserve">P2|conceptual|W3_to_W4W8</t>
  </si>
  <si>
    <t xml:space="preserve">P2|conceptual|W3_unknown</t>
  </si>
  <si>
    <t xml:space="preserve">P2|conceptual|W4</t>
  </si>
  <si>
    <t xml:space="preserve">P2|conceptual|W5</t>
  </si>
  <si>
    <t xml:space="preserve">P2|conceptual|W6</t>
  </si>
  <si>
    <t xml:space="preserve">P2|conceptual|W7</t>
  </si>
  <si>
    <t xml:space="preserve">P2|conceptual|W8</t>
  </si>
  <si>
    <t xml:space="preserve">P2|causal|W1</t>
  </si>
  <si>
    <t xml:space="preserve">P2|causal|W2</t>
  </si>
  <si>
    <t xml:space="preserve">P2/P3: constitutive causal claim, documented practice suffices</t>
  </si>
  <si>
    <t xml:space="preserve">P2|causal|W3_to_W1W2</t>
  </si>
  <si>
    <t xml:space="preserve">P2|causal|W3_to_W3</t>
  </si>
  <si>
    <t xml:space="preserve">P2|causal|W3_to_W4W8</t>
  </si>
  <si>
    <t xml:space="preserve">P2|causal|W3_unknown</t>
  </si>
  <si>
    <t xml:space="preserve">P2|causal|W4</t>
  </si>
  <si>
    <t xml:space="preserve">P2|causal|W5</t>
  </si>
  <si>
    <t xml:space="preserve">P2|causal|W6</t>
  </si>
  <si>
    <t xml:space="preserve">P2|causal|W7</t>
  </si>
  <si>
    <t xml:space="preserve">P2|causal|W8</t>
  </si>
  <si>
    <t xml:space="preserve">P2|predictive|W1</t>
  </si>
  <si>
    <t xml:space="preserve">P2|predictive|W2</t>
  </si>
  <si>
    <t xml:space="preserve">P2|predictive|W3_to_W1W2</t>
  </si>
  <si>
    <t xml:space="preserve">P2|predictive|W3_to_W3</t>
  </si>
  <si>
    <t xml:space="preserve">P2|predictive|W3_to_W4W8</t>
  </si>
  <si>
    <t xml:space="preserve">P2|predictive|W3_unknown</t>
  </si>
  <si>
    <t xml:space="preserve">P2|predictive|W4</t>
  </si>
  <si>
    <t xml:space="preserve">P2–P4: developed analogy counts as adequate (coder confirms ≥1 full section)</t>
  </si>
  <si>
    <t xml:space="preserve">P2|predictive|W5</t>
  </si>
  <si>
    <t xml:space="preserve">P2|predictive|W6</t>
  </si>
  <si>
    <t xml:space="preserve">P2|predictive|W7</t>
  </si>
  <si>
    <t xml:space="preserve">P2|predictive|W8</t>
  </si>
  <si>
    <t xml:space="preserve">P2|normative|W1</t>
  </si>
  <si>
    <t xml:space="preserve">P2|normative|W2</t>
  </si>
  <si>
    <t xml:space="preserve">P2|normative|W3_to_W1W2</t>
  </si>
  <si>
    <t xml:space="preserve">P2|normative|W3_to_W3</t>
  </si>
  <si>
    <t xml:space="preserve">P2|normative|W3_to_W4W8</t>
  </si>
  <si>
    <t xml:space="preserve">P2|normative|W3_unknown</t>
  </si>
  <si>
    <t xml:space="preserve">P2|normative|W4</t>
  </si>
  <si>
    <t xml:space="preserve">P2|normative|W5</t>
  </si>
  <si>
    <t xml:space="preserve">P2|normative|W6</t>
  </si>
  <si>
    <t xml:space="preserve">P2|normative|W7</t>
  </si>
  <si>
    <t xml:space="preserve">P2|normative|W8</t>
  </si>
  <si>
    <t xml:space="preserve">P2|other|W1</t>
  </si>
  <si>
    <t xml:space="preserve">P2|other|W2</t>
  </si>
  <si>
    <t xml:space="preserve">P2|other|W3_to_W1W2</t>
  </si>
  <si>
    <t xml:space="preserve">P2|other|W3_to_W3</t>
  </si>
  <si>
    <t xml:space="preserve">P2|other|W3_to_W4W8</t>
  </si>
  <si>
    <t xml:space="preserve">P2|other|W3_unknown</t>
  </si>
  <si>
    <t xml:space="preserve">P2|other|W4</t>
  </si>
  <si>
    <t xml:space="preserve">P2|other|W5</t>
  </si>
  <si>
    <t xml:space="preserve">P2|other|W6</t>
  </si>
  <si>
    <t xml:space="preserve">P2|other|W7</t>
  </si>
  <si>
    <t xml:space="preserve">P2|other|W8</t>
  </si>
  <si>
    <t xml:space="preserve">P3|descriptive|W1</t>
  </si>
  <si>
    <t xml:space="preserve">P3|descriptive|W2</t>
  </si>
  <si>
    <t xml:space="preserve">P3|descriptive|W3_to_W1W2</t>
  </si>
  <si>
    <t xml:space="preserve">P3|descriptive|W3_to_W3</t>
  </si>
  <si>
    <t xml:space="preserve">P3|descriptive|W3_to_W4W8</t>
  </si>
  <si>
    <t xml:space="preserve">P3|descriptive|W3_unknown</t>
  </si>
  <si>
    <t xml:space="preserve">P3|descriptive|W4</t>
  </si>
  <si>
    <t xml:space="preserve">P3|descriptive|W5</t>
  </si>
  <si>
    <t xml:space="preserve">P3|descriptive|W6</t>
  </si>
  <si>
    <t xml:space="preserve">P3|descriptive|W7</t>
  </si>
  <si>
    <t xml:space="preserve">P3|descriptive|W8</t>
  </si>
  <si>
    <t xml:space="preserve">P3|conceptual|W1</t>
  </si>
  <si>
    <t xml:space="preserve">P3|conceptual|W2</t>
  </si>
  <si>
    <t xml:space="preserve">P3|conceptual|W3_to_W1W2</t>
  </si>
  <si>
    <t xml:space="preserve">P3|conceptual|W3_to_W3</t>
  </si>
  <si>
    <t xml:space="preserve">P3|conceptual|W3_to_W4W8</t>
  </si>
  <si>
    <t xml:space="preserve">P3|conceptual|W3_unknown</t>
  </si>
  <si>
    <t xml:space="preserve">P3|conceptual|W4</t>
  </si>
  <si>
    <t xml:space="preserve">P3|conceptual|W5</t>
  </si>
  <si>
    <t xml:space="preserve">P3|conceptual|W6</t>
  </si>
  <si>
    <t xml:space="preserve">P3|conceptual|W7</t>
  </si>
  <si>
    <t xml:space="preserve">P3|conceptual|W8</t>
  </si>
  <si>
    <t xml:space="preserve">P3|causal|W1</t>
  </si>
  <si>
    <t xml:space="preserve">P3|causal|W2</t>
  </si>
  <si>
    <t xml:space="preserve">P3|causal|W3_to_W1W2</t>
  </si>
  <si>
    <t xml:space="preserve">P3|causal|W3_to_W3</t>
  </si>
  <si>
    <t xml:space="preserve">P3|causal|W3_to_W4W8</t>
  </si>
  <si>
    <t xml:space="preserve">P3|causal|W3_unknown</t>
  </si>
  <si>
    <t xml:space="preserve">P3|causal|W4</t>
  </si>
  <si>
    <t xml:space="preserve">P3|causal|W5</t>
  </si>
  <si>
    <t xml:space="preserve">P3|causal|W6</t>
  </si>
  <si>
    <t xml:space="preserve">P3|causal|W7</t>
  </si>
  <si>
    <t xml:space="preserve">P3|causal|W8</t>
  </si>
  <si>
    <t xml:space="preserve">P3|predictive|W1</t>
  </si>
  <si>
    <t xml:space="preserve">P3|predictive|W2</t>
  </si>
  <si>
    <t xml:space="preserve">P3|predictive|W3_to_W1W2</t>
  </si>
  <si>
    <t xml:space="preserve">P3|predictive|W3_to_W3</t>
  </si>
  <si>
    <t xml:space="preserve">P3|predictive|W3_to_W4W8</t>
  </si>
  <si>
    <t xml:space="preserve">P3|predictive|W3_unknown</t>
  </si>
  <si>
    <t xml:space="preserve">P3|predictive|W4</t>
  </si>
  <si>
    <t xml:space="preserve">P3|predictive|W5</t>
  </si>
  <si>
    <t xml:space="preserve">P3|predictive|W6</t>
  </si>
  <si>
    <t xml:space="preserve">P3|predictive|W7</t>
  </si>
  <si>
    <t xml:space="preserve">P3|predictive|W8</t>
  </si>
  <si>
    <t xml:space="preserve">P3|normative|W1</t>
  </si>
  <si>
    <t xml:space="preserve">P3|normative|W2</t>
  </si>
  <si>
    <t xml:space="preserve">P3|normative|W3_to_W1W2</t>
  </si>
  <si>
    <t xml:space="preserve">P3|normative|W3_to_W3</t>
  </si>
  <si>
    <t xml:space="preserve">P3|normative|W3_to_W4W8</t>
  </si>
  <si>
    <t xml:space="preserve">P3|normative|W3_unknown</t>
  </si>
  <si>
    <t xml:space="preserve">P3|normative|W4</t>
  </si>
  <si>
    <t xml:space="preserve">P3|normative|W5</t>
  </si>
  <si>
    <t xml:space="preserve">P3|normative|W6</t>
  </si>
  <si>
    <t xml:space="preserve">P3|normative|W7</t>
  </si>
  <si>
    <t xml:space="preserve">P3|normative|W8</t>
  </si>
  <si>
    <t xml:space="preserve">P3|other|W1</t>
  </si>
  <si>
    <t xml:space="preserve">P3|other|W2</t>
  </si>
  <si>
    <t xml:space="preserve">P3|other|W3_to_W1W2</t>
  </si>
  <si>
    <t xml:space="preserve">P3|other|W3_to_W3</t>
  </si>
  <si>
    <t xml:space="preserve">P3|other|W3_to_W4W8</t>
  </si>
  <si>
    <t xml:space="preserve">P3|other|W3_unknown</t>
  </si>
  <si>
    <t xml:space="preserve">P3|other|W4</t>
  </si>
  <si>
    <t xml:space="preserve">P3|other|W5</t>
  </si>
  <si>
    <t xml:space="preserve">P3|other|W6</t>
  </si>
  <si>
    <t xml:space="preserve">P3|other|W7</t>
  </si>
  <si>
    <t xml:space="preserve">P3|other|W8</t>
  </si>
  <si>
    <t xml:space="preserve">P4|descriptive|W1</t>
  </si>
  <si>
    <t xml:space="preserve">P4|descriptive|W2</t>
  </si>
  <si>
    <t xml:space="preserve">P4|descriptive|W3_to_W1W2</t>
  </si>
  <si>
    <t xml:space="preserve">P4|descriptive|W3_to_W3</t>
  </si>
  <si>
    <t xml:space="preserve">P4|descriptive|W3_to_W4W8</t>
  </si>
  <si>
    <t xml:space="preserve">P4|descriptive|W3_unknown</t>
  </si>
  <si>
    <t xml:space="preserve">P4|descriptive|W4</t>
  </si>
  <si>
    <t xml:space="preserve">P4|descriptive|W5</t>
  </si>
  <si>
    <t xml:space="preserve">P4|descriptive|W6</t>
  </si>
  <si>
    <t xml:space="preserve">P4|descriptive|W7</t>
  </si>
  <si>
    <t xml:space="preserve">P4|descriptive|W8</t>
  </si>
  <si>
    <t xml:space="preserve">P4|conceptual|W1</t>
  </si>
  <si>
    <t xml:space="preserve">P4|conceptual|W2</t>
  </si>
  <si>
    <t xml:space="preserve">P4|conceptual|W3_to_W1W2</t>
  </si>
  <si>
    <t xml:space="preserve">P4|conceptual|W3_to_W3</t>
  </si>
  <si>
    <t xml:space="preserve">P4|conceptual|W3_to_W4W8</t>
  </si>
  <si>
    <t xml:space="preserve">P4|conceptual|W3_unknown</t>
  </si>
  <si>
    <t xml:space="preserve">P4|conceptual|W4</t>
  </si>
  <si>
    <t xml:space="preserve">P4|conceptual|W5</t>
  </si>
  <si>
    <t xml:space="preserve">P4|conceptual|W6</t>
  </si>
  <si>
    <t xml:space="preserve">P4|conceptual|W7</t>
  </si>
  <si>
    <t xml:space="preserve">P4|conceptual|W8</t>
  </si>
  <si>
    <t xml:space="preserve">P4|causal|W1</t>
  </si>
  <si>
    <t xml:space="preserve">P4 causal: coded but flagged</t>
  </si>
  <si>
    <t xml:space="preserve">P4|causal|W2</t>
  </si>
  <si>
    <t xml:space="preserve">P4|causal|W3_to_W1W2</t>
  </si>
  <si>
    <t xml:space="preserve">P4|causal|W3_to_W3</t>
  </si>
  <si>
    <t xml:space="preserve">P4|causal|W3_to_W4W8</t>
  </si>
  <si>
    <t xml:space="preserve">P4|causal|W3_unknown</t>
  </si>
  <si>
    <t xml:space="preserve">P4|causal|W4</t>
  </si>
  <si>
    <t xml:space="preserve">P4|causal|W5</t>
  </si>
  <si>
    <t xml:space="preserve">P4|causal|W6</t>
  </si>
  <si>
    <t xml:space="preserve">P4|causal|W7</t>
  </si>
  <si>
    <t xml:space="preserve">adequate only if all three indicators = 1; else partial (see Claims formula) P4 causal: coded but flagged</t>
  </si>
  <si>
    <t xml:space="preserve">P4|causal|W8</t>
  </si>
  <si>
    <t xml:space="preserve">P4|predictive|W1</t>
  </si>
  <si>
    <t xml:space="preserve">P4|predictive|W2</t>
  </si>
  <si>
    <t xml:space="preserve">P4|predictive|W3_to_W1W2</t>
  </si>
  <si>
    <t xml:space="preserve">P4|predictive|W3_to_W3</t>
  </si>
  <si>
    <t xml:space="preserve">P4|predictive|W3_to_W4W8</t>
  </si>
  <si>
    <t xml:space="preserve">P4|predictive|W3_unknown</t>
  </si>
  <si>
    <t xml:space="preserve">P4|predictive|W4</t>
  </si>
  <si>
    <t xml:space="preserve">P4|predictive|W5</t>
  </si>
  <si>
    <t xml:space="preserve">P4|predictive|W6</t>
  </si>
  <si>
    <t xml:space="preserve">P4|predictive|W7</t>
  </si>
  <si>
    <t xml:space="preserve">P4|predictive|W8</t>
  </si>
  <si>
    <t xml:space="preserve">P4|normative|W1</t>
  </si>
  <si>
    <t xml:space="preserve">P4|normative|W2</t>
  </si>
  <si>
    <t xml:space="preserve">P4|normative|W3_to_W1W2</t>
  </si>
  <si>
    <t xml:space="preserve">P4|normative|W3_to_W3</t>
  </si>
  <si>
    <t xml:space="preserve">P4|normative|W3_to_W4W8</t>
  </si>
  <si>
    <t xml:space="preserve">P4|normative|W3_unknown</t>
  </si>
  <si>
    <t xml:space="preserve">P4|normative|W4</t>
  </si>
  <si>
    <t xml:space="preserve">P4|normative|W5</t>
  </si>
  <si>
    <t xml:space="preserve">P4|normative|W6</t>
  </si>
  <si>
    <t xml:space="preserve">P4|normative|W7</t>
  </si>
  <si>
    <t xml:space="preserve">P4|normative|W8</t>
  </si>
  <si>
    <t xml:space="preserve">P4|other|W1</t>
  </si>
  <si>
    <t xml:space="preserve">P4|other|W2</t>
  </si>
  <si>
    <t xml:space="preserve">P4|other|W3_to_W1W2</t>
  </si>
  <si>
    <t xml:space="preserve">P4|other|W3_to_W3</t>
  </si>
  <si>
    <t xml:space="preserve">P4|other|W3_to_W4W8</t>
  </si>
  <si>
    <t xml:space="preserve">P4|other|W3_unknown</t>
  </si>
  <si>
    <t xml:space="preserve">P4|other|W4</t>
  </si>
  <si>
    <t xml:space="preserve">P4|other|W5</t>
  </si>
  <si>
    <t xml:space="preserve">P4|other|W6</t>
  </si>
  <si>
    <t xml:space="preserve">P4|other|W7</t>
  </si>
  <si>
    <t xml:space="preserve">P4|other|W8</t>
  </si>
  <si>
    <t xml:space="preserve">claim_id</t>
  </si>
  <si>
    <t xml:space="preserve">canonical_statement</t>
  </si>
  <si>
    <t xml:space="preserve">claim_family</t>
  </si>
  <si>
    <t xml:space="preserve">added_in_pilot_date</t>
  </si>
  <si>
    <t xml:space="preserve">notes</t>
  </si>
  <si>
    <t xml:space="preserve">C001</t>
  </si>
  <si>
    <t xml:space="preserve">Organisational adoption capacity, not access to algorithms, determines which states field military AI first</t>
  </si>
  <si>
    <t xml:space="preserve">diffusion and adoption</t>
  </si>
  <si>
    <t xml:space="preserve">C002</t>
  </si>
  <si>
    <t xml:space="preserve">AI-generated assessments compress crisis decision time and raise escalation risk</t>
  </si>
  <si>
    <t xml:space="preserve">crisis decision-making</t>
  </si>
  <si>
    <t xml:space="preserve">C003</t>
  </si>
  <si>
    <t xml:space="preserve">AI-enabled sensing degrades the survivability of second-strike nuclear forces</t>
  </si>
  <si>
    <t xml:space="preserve">strategic stability</t>
  </si>
  <si>
    <t xml:space="preserve">C004</t>
  </si>
  <si>
    <t xml:space="preserve">Autonomous weapons systems reshape norms of use through practice rather than deliberate regulation</t>
  </si>
  <si>
    <t xml:space="preserve">norms, agency, critique</t>
  </si>
  <si>
    <t xml:space="preserve">C005</t>
  </si>
  <si>
    <t xml:space="preserve">AI is a strategic asset over which great powers will compete</t>
  </si>
  <si>
    <t xml:space="preserve">balance of power / geoeconomics</t>
  </si>
  <si>
    <t xml:space="preserve">C006</t>
  </si>
  <si>
    <t xml:space="preserve">Uneven AI adoption capacity creates 'haves' and 'have-nots' inside alliances, straining burden-sharing and interoperability</t>
  </si>
  <si>
    <t xml:space="preserve">alliances</t>
  </si>
  <si>
    <t xml:space="preserve">pilot 2026-09-07</t>
  </si>
  <si>
    <t xml:space="preserve">from Lin-Greenberg 2020</t>
  </si>
  <si>
    <t xml:space="preserve">C007</t>
  </si>
  <si>
    <t xml:space="preserve">Commercially driven, dual-use AI diffuses rapidly and erodes first-mover advantage; militarily exclusive AI does the reverse</t>
  </si>
  <si>
    <t xml:space="preserve">from Horowitz 2018; two-scenario form</t>
  </si>
  <si>
    <t xml:space="preserve">C008</t>
  </si>
  <si>
    <t xml:space="preserve">Adversaries can use AI-enabled deception and data poisoning to disrupt command and control and trust</t>
  </si>
  <si>
    <t xml:space="preserve">strategic stability / alliances</t>
  </si>
  <si>
    <t xml:space="preserve">article_id</t>
  </si>
  <si>
    <t xml:space="preserve">author_year</t>
  </si>
  <si>
    <t xml:space="preserve">title</t>
  </si>
  <si>
    <t xml:space="preserve">journal</t>
  </si>
  <si>
    <t xml:space="preserve">year</t>
  </si>
  <si>
    <t xml:space="preserve">db_source</t>
  </si>
  <si>
    <t xml:space="preserve">screen_title_abstract</t>
  </si>
  <si>
    <t xml:space="preserve">screen_fulltext</t>
  </si>
  <si>
    <t xml:space="preserve">exclusion_reason</t>
  </si>
  <si>
    <t xml:space="preserve">positioning</t>
  </si>
  <si>
    <t xml:space="preserve">positioning_inferred</t>
  </si>
  <si>
    <t xml:space="preserve">citations_raw</t>
  </si>
  <si>
    <t xml:space="preserve">citation_date</t>
  </si>
  <si>
    <t xml:space="preserve">citations_per_year</t>
  </si>
  <si>
    <t xml:space="preserve">double_coded</t>
  </si>
  <si>
    <t xml:space="preserve">coder_A</t>
  </si>
  <si>
    <t xml:space="preserve">coder_B</t>
  </si>
  <si>
    <t xml:space="preserve">A002</t>
  </si>
  <si>
    <t xml:space="preserve">Horowitz 2018</t>
  </si>
  <si>
    <t xml:space="preserve">Artificial Intelligence, International Competition, and the Balance of Power</t>
  </si>
  <si>
    <t xml:space="preserve">Texas National Security Review</t>
  </si>
  <si>
    <t xml:space="preserve">pilot/open access</t>
  </si>
  <si>
    <t xml:space="preserve">include</t>
  </si>
  <si>
    <t xml:space="preserve">P4</t>
  </si>
  <si>
    <t xml:space="preserve">yes</t>
  </si>
  <si>
    <t xml:space="preserve">no</t>
  </si>
  <si>
    <t xml:space="preserve">CL</t>
  </si>
  <si>
    <t xml:space="preserve">PILOT: open-access full text; author states 'initial framework'; positioning inferred. Check TNSR indexing in WoS/Scopus before corpus inclusion.</t>
  </si>
  <si>
    <t xml:space="preserve">A003</t>
  </si>
  <si>
    <t xml:space="preserve">Lin-Greenberg 2020</t>
  </si>
  <si>
    <t xml:space="preserve">Allies and Artificial Intelligence: Obstacles to Operations and Decision-Making</t>
  </si>
  <si>
    <t xml:space="preserve">PILOT: author states article 'offers a framework for future hypothesis testing' (explicit P4). Check TNSR indexing.</t>
  </si>
  <si>
    <t xml:space="preserve">coder</t>
  </si>
  <si>
    <t xml:space="preserve">location</t>
  </si>
  <si>
    <t xml:space="preserve">claim_text</t>
  </si>
  <si>
    <t xml:space="preserve">claim_type</t>
  </si>
  <si>
    <t xml:space="preserve">warrants_present</t>
  </si>
  <si>
    <t xml:space="preserve">primary_warrant</t>
  </si>
  <si>
    <t xml:space="preserve">w3_subcode</t>
  </si>
  <si>
    <t xml:space="preserve">scope_conditions</t>
  </si>
  <si>
    <t xml:space="preserve">conjectural_status</t>
  </si>
  <si>
    <t xml:space="preserve">falsifier</t>
  </si>
  <si>
    <t xml:space="preserve">canonical_claim_id</t>
  </si>
  <si>
    <t xml:space="preserve">citation_valence</t>
  </si>
  <si>
    <t xml:space="preserve">fit_key</t>
  </si>
  <si>
    <t xml:space="preserve">fit_computed</t>
  </si>
  <si>
    <t xml:space="preserve">fit_final</t>
  </si>
  <si>
    <t xml:space="preserve">override_reason</t>
  </si>
  <si>
    <t xml:space="preserve">K0001</t>
  </si>
  <si>
    <t xml:space="preserve">abstract</t>
  </si>
  <si>
    <t xml:space="preserve">AI more closely resembles enabling technologies such as the combustion engine or electricity than a specific weapon</t>
  </si>
  <si>
    <t xml:space="preserve">conceptual</t>
  </si>
  <si>
    <t xml:space="preserve">W4;W5</t>
  </si>
  <si>
    <t xml:space="preserve">W4</t>
  </si>
  <si>
    <t xml:space="preserve">NA</t>
  </si>
  <si>
    <t xml:space="preserve">developed analogy (full subsection 'AI Is an Enabler')</t>
  </si>
  <si>
    <t xml:space="preserve">K0002</t>
  </si>
  <si>
    <t xml:space="preserve">introduction</t>
  </si>
  <si>
    <t xml:space="preserve">If commercially driven AI fuels innovation and military algorithms are close to civilian ones, AI will diffuse rapidly to militaries, limiting first-mover advantages</t>
  </si>
  <si>
    <t xml:space="preserve">predictive</t>
  </si>
  <si>
    <t xml:space="preserve">W5;W4;W7</t>
  </si>
  <si>
    <t xml:space="preserve">W7</t>
  </si>
  <si>
    <t xml:space="preserve">1</t>
  </si>
  <si>
    <t xml:space="preserve">0</t>
  </si>
  <si>
    <t xml:space="preserve">explicit scenario framing ('explores the possibility'); scope stated; no falsifier named. Codebook note: scenario-conditional claims land at partial under current rule</t>
  </si>
  <si>
    <t xml:space="preserve">K0003</t>
  </si>
  <si>
    <t xml:space="preserve">Military AI based more exclusively in defence research will generate larger first-mover advantages for early adopters</t>
  </si>
  <si>
    <t xml:space="preserve">second scenario; 'it is plausible that'</t>
  </si>
  <si>
    <t xml:space="preserve">K0004</t>
  </si>
  <si>
    <t xml:space="preserve">body (Technology and BoP)</t>
  </si>
  <si>
    <t xml:space="preserve">The impact of technological change on global politics depends more on how organisations adopt and use capabilities than on the technology itself</t>
  </si>
  <si>
    <t xml:space="preserve">causal</t>
  </si>
  <si>
    <t xml:space="preserve">W3;W4</t>
  </si>
  <si>
    <t xml:space="preserve">W3</t>
  </si>
  <si>
    <t xml:space="preserve">to_W1W2</t>
  </si>
  <si>
    <t xml:space="preserve">supporting</t>
  </si>
  <si>
    <t xml:space="preserve">cites Posen, Rosen, Horowitz 2010 (case-based W2); P4 causal flagged</t>
  </si>
  <si>
    <t xml:space="preserve">K0005</t>
  </si>
  <si>
    <t xml:space="preserve">body</t>
  </si>
  <si>
    <t xml:space="preserve">No applications of AI have yet been used in ways that would count as a military innovation</t>
  </si>
  <si>
    <t xml:space="preserve">descriptive</t>
  </si>
  <si>
    <t xml:space="preserve">W6</t>
  </si>
  <si>
    <t xml:space="preserve">warrant is Cummings (Chatham House report), expert judgment</t>
  </si>
  <si>
    <t xml:space="preserve">K0006</t>
  </si>
  <si>
    <t xml:space="preserve">Leading militaries often struggle to adopt organisationally disruptive innovations</t>
  </si>
  <si>
    <t xml:space="preserve">Royal Navy carrier case via Horowitz 2010</t>
  </si>
  <si>
    <t xml:space="preserve">K0007</t>
  </si>
  <si>
    <t xml:space="preserve">body (character of war)</t>
  </si>
  <si>
    <t xml:space="preserve">Narrow AI systems have the potential to increase the speed with which countries can fight</t>
  </si>
  <si>
    <t xml:space="preserve">W6;W4</t>
  </si>
  <si>
    <t xml:space="preserve">warrant: Work speech, Allen &amp; Husain; 'potential'</t>
  </si>
  <si>
    <t xml:space="preserve">K0008</t>
  </si>
  <si>
    <t xml:space="preserve">conclusion</t>
  </si>
  <si>
    <t xml:space="preserve">Major military powers will likely face security dilemmas over AI development regardless of diffusion speed</t>
  </si>
  <si>
    <t xml:space="preserve">W5</t>
  </si>
  <si>
    <t xml:space="preserve">deduction from Jervis; both scenarios covered</t>
  </si>
  <si>
    <t xml:space="preserve">K0009</t>
  </si>
  <si>
    <t xml:space="preserve">US military rhetoric on AI has not caught up to reality in spending</t>
  </si>
  <si>
    <t xml:space="preserve">W3;W2</t>
  </si>
  <si>
    <t xml:space="preserve">to_W4W8</t>
  </si>
  <si>
    <t xml:space="preserve">single programme decision (MQ-25) via news source</t>
  </si>
  <si>
    <t xml:space="preserve">K0010</t>
  </si>
  <si>
    <t xml:space="preserve">China is spending much more than the US on AI research and producing more deep-learning papers</t>
  </si>
  <si>
    <t xml:space="preserve">news source (NYT), no underlying dataset cited</t>
  </si>
  <si>
    <t xml:space="preserve">K0011</t>
  </si>
  <si>
    <t xml:space="preserve">AI's still-emerging development makes it harder to assess than many technological changes because adoption decisions are in their infancy</t>
  </si>
  <si>
    <t xml:space="preserve">K0012</t>
  </si>
  <si>
    <t xml:space="preserve">The data- and resource-intensive nature of AI creates barriers to burden-sharing and interoperability that can hamper multinational operations</t>
  </si>
  <si>
    <t xml:space="preserve">W5;W4;W6</t>
  </si>
  <si>
    <t xml:space="preserve">causal-future; scope: 'more vexing for coalitions lacking formalization'; Kosovo PGM analogy; Shanahan quote. P4 causal flagged</t>
  </si>
  <si>
    <t xml:space="preserve">K0013</t>
  </si>
  <si>
    <t xml:space="preserve">By accelerating the speed of combat, AI can strain the processes allies use to make decisions</t>
  </si>
  <si>
    <t xml:space="preserve">W4;W6</t>
  </si>
  <si>
    <t xml:space="preserve">developed analogy: NATO 1978 warning time, BMD pre-delegation (full subsection)</t>
  </si>
  <si>
    <t xml:space="preserve">K0014</t>
  </si>
  <si>
    <t xml:space="preserve">Adversaries can use AI-enabled deception (deepfakes, data poisoning) to interfere with alliance command and control and heighten mistrust</t>
  </si>
  <si>
    <t xml:space="preserve">W4;W3</t>
  </si>
  <si>
    <t xml:space="preserve">analogy to WWII deception; 2019 voice-clone fraud as illustration; full subsection</t>
  </si>
  <si>
    <t xml:space="preserve">K0015</t>
  </si>
  <si>
    <t xml:space="preserve">Not all states will develop military AI at the same rate; uneven distribution creates AI haves and have-nots within alliances</t>
  </si>
  <si>
    <t xml:space="preserve">W3;W5</t>
  </si>
  <si>
    <t xml:space="preserve">Oxford Insights readiness index (grey but data-based); asserted without hedge ('will')</t>
  </si>
  <si>
    <t xml:space="preserve">K0016</t>
  </si>
  <si>
    <t xml:space="preserve">Public opposition among allied populations may lead governments to restrict use of AI-enabled military systems</t>
  </si>
  <si>
    <t xml:space="preserve">Ipsos 2019 survey; scope: South Korea, Germany</t>
  </si>
  <si>
    <t xml:space="preserve">K0017</t>
  </si>
  <si>
    <t xml:space="preserve">Cross-national variation in trust in AI will make decision-makers from some states more reluctant to rely on AI-enabled systems</t>
  </si>
  <si>
    <t xml:space="preserve">Ipsos 2018 survey</t>
  </si>
  <si>
    <t xml:space="preserve">K0018</t>
  </si>
  <si>
    <t xml:space="preserve">body (way forward)</t>
  </si>
  <si>
    <t xml:space="preserve">Pre-delegation of authority to lower-level commanders can help alliances respond to machine-speed operations</t>
  </si>
  <si>
    <t xml:space="preserve">normative</t>
  </si>
  <si>
    <t xml:space="preserve">empirical premise warranted by NATO 1978 and BMD analogies; normative inference not coded</t>
  </si>
  <si>
    <t xml:space="preserve">K0019</t>
  </si>
  <si>
    <t xml:space="preserve">States that master AI integration may gain influence within alliances even if conventionally weaker</t>
  </si>
  <si>
    <t xml:space="preserve">W4 analogy developed in one paragraph only, not a full section; P4 rule requires a full section for adequate</t>
  </si>
  <si>
    <t xml:space="preserve">single-paragraph analogy (Estonia, cyber); under P4 rule W4 adequate only if developed over a full section</t>
  </si>
  <si>
    <t xml:space="preserve">K0020</t>
  </si>
  <si>
    <t xml:space="preserve">Most scholarly work on alliances has overlooked the effects of specific technologies, with the exception of nuclear weapons</t>
  </si>
  <si>
    <t xml:space="preserve">W2</t>
  </si>
  <si>
    <t xml:space="preserve">author's own literature review (footnotes 12-15)</t>
  </si>
  <si>
    <t xml:space="preserve">K0021</t>
  </si>
  <si>
    <t xml:space="preserve">This article offers a framework for future hypothesis testing</t>
  </si>
  <si>
    <t xml:space="preserve">W5;W7</t>
  </si>
  <si>
    <t xml:space="preserve">explicit self-declaration of status; positive example for Section 4.6</t>
  </si>
  <si>
    <t xml:space="preserve">date</t>
  </si>
  <si>
    <t xml:space="preserve">change</t>
  </si>
  <si>
    <t xml:space="preserve">reason</t>
  </si>
  <si>
    <t xml:space="preserve">stage</t>
  </si>
  <si>
    <t xml:space="preserve">approved_by</t>
  </si>
  <si>
    <t xml:space="preserve">2026-09-07</t>
  </si>
  <si>
    <t xml:space="preserve">Pilot rows K0001-K0021 entered by coder CL (Claude) on two open-access TNSR articles</t>
  </si>
  <si>
    <t xml:space="preserve">Pilot only; not protocol data; TNSR indexing status unverified</t>
  </si>
  <si>
    <t xml:space="preserve">pre-freeze pilot</t>
  </si>
  <si>
    <t xml:space="preserve">user</t>
  </si>
  <si>
    <t xml:space="preserve">Live summary (formulas only)</t>
  </si>
  <si>
    <t xml:space="preserve">Total claims</t>
  </si>
  <si>
    <t xml:space="preserve">Total articles</t>
  </si>
  <si>
    <t xml:space="preserve">By claim type</t>
  </si>
  <si>
    <t xml:space="preserve">n</t>
  </si>
  <si>
    <t xml:space="preserve">share</t>
  </si>
  <si>
    <t xml:space="preserve">other</t>
  </si>
  <si>
    <t xml:space="preserve">By primary warrant</t>
  </si>
  <si>
    <t xml:space="preserve">W1</t>
  </si>
  <si>
    <t xml:space="preserve">W8</t>
  </si>
  <si>
    <t xml:space="preserve">By fit (final)</t>
  </si>
  <si>
    <t xml:space="preserve">Declared-forecast indicators (predictive+causal-future)</t>
  </si>
  <si>
    <t xml:space="preserve">claims eligible (not NA)</t>
  </si>
  <si>
    <t xml:space="preserve">scope conditions =1</t>
  </si>
  <si>
    <t xml:space="preserve">conjectural status =1</t>
  </si>
  <si>
    <t xml:space="preserve">falsifier =1</t>
  </si>
  <si>
    <t xml:space="preserve">all three =1 (declared forecasts)</t>
  </si>
  <si>
    <t xml:space="preserve">none =1 (circulated findings)</t>
  </si>
  <si>
    <t xml:space="preserve">Fit key errors (CHECK KEY)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</si>
</sst>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3"/>
      <c r="B2" s="3"/>
    </row>
    <row r="3" customFormat="false" ht="15" hidden="false" customHeight="true" outlineLevel="0" collapsed="false">
      <c r="A3" s="4" t="s">
        <v>1</v>
      </c>
      <c r="B3" s="3"/>
    </row>
    <row r="4" customFormat="false" ht="15" hidden="false" customHeight="true" outlineLevel="0" collapsed="false">
      <c r="A4" s="3" t="s">
        <v>2</v>
      </c>
      <c r="B4" s="3" t="s">
        <v>3</v>
      </c>
    </row>
    <row r="5" customFormat="false" ht="15" hidden="false" customHeight="true" outlineLevel="0" collapsed="false">
      <c r="A5" s="3" t="s">
        <v>4</v>
      </c>
      <c r="B5" s="3" t="s">
        <v>5</v>
      </c>
    </row>
    <row r="6" customFormat="false" ht="15" hidden="false" customHeight="true" outlineLevel="0" collapsed="false">
      <c r="A6" s="3" t="s">
        <v>6</v>
      </c>
      <c r="B6" s="3" t="s">
        <v>7</v>
      </c>
    </row>
    <row r="7" customFormat="false" ht="15" hidden="false" customHeight="true" outlineLevel="0" collapsed="false">
      <c r="A7" s="3" t="s">
        <v>8</v>
      </c>
      <c r="B7" s="3" t="s">
        <v>9</v>
      </c>
    </row>
    <row r="8" customFormat="false" ht="15" hidden="false" customHeight="true" outlineLevel="0" collapsed="false">
      <c r="A8" s="3" t="s">
        <v>10</v>
      </c>
      <c r="B8" s="3" t="s">
        <v>11</v>
      </c>
    </row>
    <row r="9" customFormat="false" ht="15" hidden="false" customHeight="true" outlineLevel="0" collapsed="false">
      <c r="A9" s="3" t="s">
        <v>12</v>
      </c>
      <c r="B9" s="3" t="s">
        <v>13</v>
      </c>
    </row>
    <row r="10" customFormat="false" ht="15" hidden="false" customHeight="true" outlineLevel="0" collapsed="false">
      <c r="A10" s="3"/>
      <c r="B10" s="3"/>
    </row>
    <row r="11" customFormat="false" ht="15" hidden="false" customHeight="true" outlineLevel="0" collapsed="false">
      <c r="A11" s="4" t="s">
        <v>14</v>
      </c>
      <c r="B11" s="3"/>
    </row>
    <row r="12" customFormat="false" ht="15" hidden="false" customHeight="true" outlineLevel="0" collapsed="false">
      <c r="A12" s="3" t="s">
        <v>15</v>
      </c>
      <c r="B12" s="3" t="s">
        <v>16</v>
      </c>
    </row>
    <row r="13" customFormat="false" ht="15" hidden="false" customHeight="true" outlineLevel="0" collapsed="false">
      <c r="A13" s="3" t="s">
        <v>17</v>
      </c>
      <c r="B13" s="3" t="s">
        <v>18</v>
      </c>
    </row>
    <row r="14" customFormat="false" ht="15" hidden="false" customHeight="true" outlineLevel="0" collapsed="false">
      <c r="A14" s="3" t="s">
        <v>19</v>
      </c>
      <c r="B14" s="3" t="s">
        <v>20</v>
      </c>
    </row>
    <row r="15" customFormat="false" ht="15" hidden="false" customHeight="true" outlineLevel="0" collapsed="false">
      <c r="A15" s="3"/>
      <c r="B15" s="3"/>
    </row>
    <row r="16" customFormat="false" ht="15" hidden="false" customHeight="true" outlineLevel="0" collapsed="false">
      <c r="A16" s="4" t="s">
        <v>21</v>
      </c>
      <c r="B16" s="3"/>
    </row>
    <row r="17" customFormat="false" ht="15" hidden="false" customHeight="true" outlineLevel="0" collapsed="false">
      <c r="A17" s="3" t="s">
        <v>22</v>
      </c>
      <c r="B17" s="3" t="s">
        <v>23</v>
      </c>
    </row>
    <row r="18" customFormat="false" ht="15" hidden="false" customHeight="true" outlineLevel="0" collapsed="false">
      <c r="A18" s="3" t="s">
        <v>24</v>
      </c>
      <c r="B18" s="3" t="s">
        <v>25</v>
      </c>
    </row>
    <row r="19" customFormat="false" ht="15" hidden="false" customHeight="true" outlineLevel="0" collapsed="false">
      <c r="A19" s="3" t="s">
        <v>26</v>
      </c>
      <c r="B19" s="3" t="s">
        <v>27</v>
      </c>
    </row>
    <row r="20" customFormat="false" ht="15" hidden="false" customHeight="true" outlineLevel="0" collapsed="false">
      <c r="A20" s="3" t="s">
        <v>28</v>
      </c>
      <c r="B20" s="3" t="s">
        <v>29</v>
      </c>
    </row>
    <row r="21" customFormat="false" ht="15" hidden="false" customHeight="true" outlineLevel="0" collapsed="false">
      <c r="A21" s="3" t="s">
        <v>30</v>
      </c>
      <c r="B21" s="3" t="s">
        <v>31</v>
      </c>
    </row>
    <row r="22" customFormat="false" ht="15" hidden="false" customHeight="true" outlineLevel="0" collapsed="false">
      <c r="A22" s="3" t="s">
        <v>32</v>
      </c>
      <c r="B22" s="3" t="s">
        <v>33</v>
      </c>
    </row>
    <row r="23" customFormat="false" ht="15" hidden="false" customHeight="true" outlineLevel="0" collapsed="false">
      <c r="A23" s="3" t="s">
        <v>34</v>
      </c>
      <c r="B23" s="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2"/>
    <col collapsed="false" customWidth="true" hidden="false" outlineLevel="0" max="3" min="3" style="1" width="60"/>
  </cols>
  <sheetData>
    <row r="1" customFormat="false" ht="15" hidden="false" customHeight="true" outlineLevel="0" collapsed="false">
      <c r="A1" s="5" t="s">
        <v>36</v>
      </c>
      <c r="B1" s="5" t="s">
        <v>37</v>
      </c>
      <c r="C1" s="5" t="s">
        <v>38</v>
      </c>
    </row>
    <row r="2" customFormat="false" ht="15" hidden="false" customHeight="true" outlineLevel="0" collapsed="false">
      <c r="A2" s="3" t="s">
        <v>39</v>
      </c>
      <c r="B2" s="3" t="s">
        <v>40</v>
      </c>
      <c r="C2" s="3"/>
    </row>
    <row r="3" customFormat="false" ht="15" hidden="false" customHeight="true" outlineLevel="0" collapsed="false">
      <c r="A3" s="3" t="s">
        <v>41</v>
      </c>
      <c r="B3" s="3" t="s">
        <v>40</v>
      </c>
      <c r="C3" s="3"/>
    </row>
    <row r="4" customFormat="false" ht="15" hidden="false" customHeight="true" outlineLevel="0" collapsed="false">
      <c r="A4" s="3" t="s">
        <v>42</v>
      </c>
      <c r="B4" s="3" t="s">
        <v>40</v>
      </c>
      <c r="C4" s="3"/>
    </row>
    <row r="5" customFormat="false" ht="15" hidden="false" customHeight="true" outlineLevel="0" collapsed="false">
      <c r="A5" s="3" t="s">
        <v>43</v>
      </c>
      <c r="B5" s="3" t="s">
        <v>44</v>
      </c>
      <c r="C5" s="3"/>
    </row>
    <row r="6" customFormat="false" ht="15" hidden="false" customHeight="true" outlineLevel="0" collapsed="false">
      <c r="A6" s="3" t="s">
        <v>45</v>
      </c>
      <c r="B6" s="3" t="s">
        <v>44</v>
      </c>
      <c r="C6" s="3"/>
    </row>
    <row r="7" customFormat="false" ht="15" hidden="false" customHeight="true" outlineLevel="0" collapsed="false">
      <c r="A7" s="3" t="s">
        <v>46</v>
      </c>
      <c r="B7" s="3" t="s">
        <v>44</v>
      </c>
      <c r="C7" s="3"/>
    </row>
    <row r="8" customFormat="false" ht="15" hidden="false" customHeight="true" outlineLevel="0" collapsed="false">
      <c r="A8" s="3" t="s">
        <v>47</v>
      </c>
      <c r="B8" s="3" t="s">
        <v>44</v>
      </c>
      <c r="C8" s="3"/>
    </row>
    <row r="9" customFormat="false" ht="15" hidden="false" customHeight="true" outlineLevel="0" collapsed="false">
      <c r="A9" s="3" t="s">
        <v>48</v>
      </c>
      <c r="B9" s="3" t="s">
        <v>49</v>
      </c>
      <c r="C9" s="3"/>
    </row>
    <row r="10" customFormat="false" ht="15" hidden="false" customHeight="true" outlineLevel="0" collapsed="false">
      <c r="A10" s="3" t="s">
        <v>50</v>
      </c>
      <c r="B10" s="3" t="s">
        <v>44</v>
      </c>
      <c r="C10" s="3"/>
    </row>
    <row r="11" customFormat="false" ht="15" hidden="false" customHeight="true" outlineLevel="0" collapsed="false">
      <c r="A11" s="3" t="s">
        <v>51</v>
      </c>
      <c r="B11" s="3" t="s">
        <v>44</v>
      </c>
      <c r="C11" s="3"/>
    </row>
    <row r="12" customFormat="false" ht="15" hidden="false" customHeight="true" outlineLevel="0" collapsed="false">
      <c r="A12" s="3" t="s">
        <v>52</v>
      </c>
      <c r="B12" s="3" t="s">
        <v>49</v>
      </c>
      <c r="C12" s="3"/>
    </row>
    <row r="13" customFormat="false" ht="15" hidden="false" customHeight="true" outlineLevel="0" collapsed="false">
      <c r="A13" s="3" t="s">
        <v>53</v>
      </c>
      <c r="B13" s="3" t="s">
        <v>40</v>
      </c>
      <c r="C13" s="3"/>
    </row>
    <row r="14" customFormat="false" ht="15" hidden="false" customHeight="true" outlineLevel="0" collapsed="false">
      <c r="A14" s="3" t="s">
        <v>54</v>
      </c>
      <c r="B14" s="3" t="s">
        <v>40</v>
      </c>
      <c r="C14" s="3"/>
    </row>
    <row r="15" customFormat="false" ht="15" hidden="false" customHeight="true" outlineLevel="0" collapsed="false">
      <c r="A15" s="3" t="s">
        <v>55</v>
      </c>
      <c r="B15" s="3" t="s">
        <v>40</v>
      </c>
      <c r="C15" s="3"/>
    </row>
    <row r="16" customFormat="false" ht="15" hidden="false" customHeight="true" outlineLevel="0" collapsed="false">
      <c r="A16" s="3" t="s">
        <v>56</v>
      </c>
      <c r="B16" s="3" t="s">
        <v>40</v>
      </c>
      <c r="C16" s="3"/>
    </row>
    <row r="17" customFormat="false" ht="15" hidden="false" customHeight="true" outlineLevel="0" collapsed="false">
      <c r="A17" s="3" t="s">
        <v>57</v>
      </c>
      <c r="B17" s="3" t="s">
        <v>40</v>
      </c>
      <c r="C17" s="3"/>
    </row>
    <row r="18" customFormat="false" ht="15" hidden="false" customHeight="true" outlineLevel="0" collapsed="false">
      <c r="A18" s="3" t="s">
        <v>58</v>
      </c>
      <c r="B18" s="3" t="s">
        <v>40</v>
      </c>
      <c r="C18" s="3"/>
    </row>
    <row r="19" customFormat="false" ht="15" hidden="false" customHeight="true" outlineLevel="0" collapsed="false">
      <c r="A19" s="3" t="s">
        <v>59</v>
      </c>
      <c r="B19" s="3" t="s">
        <v>40</v>
      </c>
      <c r="C19" s="3"/>
    </row>
    <row r="20" customFormat="false" ht="15" hidden="false" customHeight="true" outlineLevel="0" collapsed="false">
      <c r="A20" s="3" t="s">
        <v>60</v>
      </c>
      <c r="B20" s="3" t="s">
        <v>40</v>
      </c>
      <c r="C20" s="3"/>
    </row>
    <row r="21" customFormat="false" ht="15" hidden="false" customHeight="true" outlineLevel="0" collapsed="false">
      <c r="A21" s="3" t="s">
        <v>61</v>
      </c>
      <c r="B21" s="3" t="s">
        <v>44</v>
      </c>
      <c r="C21" s="3"/>
    </row>
    <row r="22" customFormat="false" ht="15" hidden="false" customHeight="true" outlineLevel="0" collapsed="false">
      <c r="A22" s="3" t="s">
        <v>62</v>
      </c>
      <c r="B22" s="3" t="s">
        <v>40</v>
      </c>
      <c r="C22" s="3"/>
    </row>
    <row r="23" customFormat="false" ht="15" hidden="false" customHeight="true" outlineLevel="0" collapsed="false">
      <c r="A23" s="3" t="s">
        <v>63</v>
      </c>
      <c r="B23" s="3" t="s">
        <v>44</v>
      </c>
      <c r="C23" s="3"/>
    </row>
    <row r="24" customFormat="false" ht="15" hidden="false" customHeight="true" outlineLevel="0" collapsed="false">
      <c r="A24" s="3" t="s">
        <v>64</v>
      </c>
      <c r="B24" s="3" t="s">
        <v>40</v>
      </c>
      <c r="C24" s="3"/>
    </row>
    <row r="25" customFormat="false" ht="15" hidden="false" customHeight="true" outlineLevel="0" collapsed="false">
      <c r="A25" s="3" t="s">
        <v>65</v>
      </c>
      <c r="B25" s="3" t="s">
        <v>40</v>
      </c>
      <c r="C25" s="3"/>
    </row>
    <row r="26" customFormat="false" ht="15" hidden="false" customHeight="true" outlineLevel="0" collapsed="false">
      <c r="A26" s="3" t="s">
        <v>66</v>
      </c>
      <c r="B26" s="3" t="s">
        <v>40</v>
      </c>
      <c r="C26" s="3"/>
    </row>
    <row r="27" customFormat="false" ht="15" hidden="false" customHeight="true" outlineLevel="0" collapsed="false">
      <c r="A27" s="3" t="s">
        <v>67</v>
      </c>
      <c r="B27" s="3" t="s">
        <v>44</v>
      </c>
      <c r="C27" s="3"/>
    </row>
    <row r="28" customFormat="false" ht="15" hidden="false" customHeight="true" outlineLevel="0" collapsed="false">
      <c r="A28" s="3" t="s">
        <v>68</v>
      </c>
      <c r="B28" s="3" t="s">
        <v>44</v>
      </c>
      <c r="C28" s="3"/>
    </row>
    <row r="29" customFormat="false" ht="15" hidden="false" customHeight="true" outlineLevel="0" collapsed="false">
      <c r="A29" s="3" t="s">
        <v>69</v>
      </c>
      <c r="B29" s="3" t="s">
        <v>44</v>
      </c>
      <c r="C29" s="3"/>
    </row>
    <row r="30" customFormat="false" ht="15" hidden="false" customHeight="true" outlineLevel="0" collapsed="false">
      <c r="A30" s="3" t="s">
        <v>70</v>
      </c>
      <c r="B30" s="3" t="s">
        <v>44</v>
      </c>
      <c r="C30" s="3"/>
    </row>
    <row r="31" customFormat="false" ht="15" hidden="false" customHeight="true" outlineLevel="0" collapsed="false">
      <c r="A31" s="3" t="s">
        <v>71</v>
      </c>
      <c r="B31" s="3" t="s">
        <v>44</v>
      </c>
      <c r="C31" s="3"/>
    </row>
    <row r="32" customFormat="false" ht="15" hidden="false" customHeight="true" outlineLevel="0" collapsed="false">
      <c r="A32" s="3" t="s">
        <v>72</v>
      </c>
      <c r="B32" s="3" t="s">
        <v>49</v>
      </c>
      <c r="C32" s="3"/>
    </row>
    <row r="33" customFormat="false" ht="15" hidden="false" customHeight="true" outlineLevel="0" collapsed="false">
      <c r="A33" s="3" t="s">
        <v>73</v>
      </c>
      <c r="B33" s="3" t="s">
        <v>44</v>
      </c>
      <c r="C33" s="3" t="s">
        <v>74</v>
      </c>
    </row>
    <row r="34" customFormat="false" ht="15" hidden="false" customHeight="true" outlineLevel="0" collapsed="false">
      <c r="A34" s="3" t="s">
        <v>75</v>
      </c>
      <c r="B34" s="3" t="s">
        <v>49</v>
      </c>
      <c r="C34" s="3"/>
    </row>
    <row r="35" customFormat="false" ht="15" hidden="false" customHeight="true" outlineLevel="0" collapsed="false">
      <c r="A35" s="3" t="s">
        <v>76</v>
      </c>
      <c r="B35" s="3" t="s">
        <v>40</v>
      </c>
      <c r="C35" s="3"/>
    </row>
    <row r="36" customFormat="false" ht="15" hidden="false" customHeight="true" outlineLevel="0" collapsed="false">
      <c r="A36" s="3" t="s">
        <v>77</v>
      </c>
      <c r="B36" s="3" t="s">
        <v>40</v>
      </c>
      <c r="C36" s="3"/>
    </row>
    <row r="37" customFormat="false" ht="15" hidden="false" customHeight="true" outlineLevel="0" collapsed="false">
      <c r="A37" s="3" t="s">
        <v>78</v>
      </c>
      <c r="B37" s="3" t="s">
        <v>40</v>
      </c>
      <c r="C37" s="3"/>
    </row>
    <row r="38" customFormat="false" ht="15" hidden="false" customHeight="true" outlineLevel="0" collapsed="false">
      <c r="A38" s="3" t="s">
        <v>79</v>
      </c>
      <c r="B38" s="3" t="s">
        <v>44</v>
      </c>
      <c r="C38" s="3"/>
    </row>
    <row r="39" customFormat="false" ht="15" hidden="false" customHeight="true" outlineLevel="0" collapsed="false">
      <c r="A39" s="3" t="s">
        <v>80</v>
      </c>
      <c r="B39" s="3" t="s">
        <v>44</v>
      </c>
      <c r="C39" s="3"/>
    </row>
    <row r="40" customFormat="false" ht="15" hidden="false" customHeight="true" outlineLevel="0" collapsed="false">
      <c r="A40" s="3" t="s">
        <v>81</v>
      </c>
      <c r="B40" s="3" t="s">
        <v>44</v>
      </c>
      <c r="C40" s="3"/>
    </row>
    <row r="41" customFormat="false" ht="15" hidden="false" customHeight="true" outlineLevel="0" collapsed="false">
      <c r="A41" s="3" t="s">
        <v>82</v>
      </c>
      <c r="B41" s="3" t="s">
        <v>44</v>
      </c>
      <c r="C41" s="3"/>
    </row>
    <row r="42" customFormat="false" ht="15" hidden="false" customHeight="true" outlineLevel="0" collapsed="false">
      <c r="A42" s="3" t="s">
        <v>83</v>
      </c>
      <c r="B42" s="3" t="s">
        <v>44</v>
      </c>
      <c r="C42" s="3"/>
    </row>
    <row r="43" customFormat="false" ht="15" hidden="false" customHeight="true" outlineLevel="0" collapsed="false">
      <c r="A43" s="3" t="s">
        <v>84</v>
      </c>
      <c r="B43" s="3" t="s">
        <v>44</v>
      </c>
      <c r="C43" s="3"/>
    </row>
    <row r="44" customFormat="false" ht="15" hidden="false" customHeight="true" outlineLevel="0" collapsed="false">
      <c r="A44" s="3" t="s">
        <v>85</v>
      </c>
      <c r="B44" s="3" t="s">
        <v>40</v>
      </c>
      <c r="C44" s="3" t="s">
        <v>74</v>
      </c>
    </row>
    <row r="45" customFormat="false" ht="15" hidden="false" customHeight="true" outlineLevel="0" collapsed="false">
      <c r="A45" s="3" t="s">
        <v>86</v>
      </c>
      <c r="B45" s="3" t="s">
        <v>49</v>
      </c>
      <c r="C45" s="3"/>
    </row>
    <row r="46" customFormat="false" ht="15" hidden="false" customHeight="true" outlineLevel="0" collapsed="false">
      <c r="A46" s="3" t="s">
        <v>87</v>
      </c>
      <c r="B46" s="3" t="s">
        <v>40</v>
      </c>
      <c r="C46" s="3"/>
    </row>
    <row r="47" customFormat="false" ht="15" hidden="false" customHeight="true" outlineLevel="0" collapsed="false">
      <c r="A47" s="3" t="s">
        <v>88</v>
      </c>
      <c r="B47" s="3" t="s">
        <v>40</v>
      </c>
      <c r="C47" s="3"/>
    </row>
    <row r="48" customFormat="false" ht="15" hidden="false" customHeight="true" outlineLevel="0" collapsed="false">
      <c r="A48" s="3" t="s">
        <v>89</v>
      </c>
      <c r="B48" s="3" t="s">
        <v>40</v>
      </c>
      <c r="C48" s="3"/>
    </row>
    <row r="49" customFormat="false" ht="15" hidden="false" customHeight="true" outlineLevel="0" collapsed="false">
      <c r="A49" s="3" t="s">
        <v>90</v>
      </c>
      <c r="B49" s="3" t="s">
        <v>44</v>
      </c>
      <c r="C49" s="3"/>
    </row>
    <row r="50" customFormat="false" ht="15" hidden="false" customHeight="true" outlineLevel="0" collapsed="false">
      <c r="A50" s="3" t="s">
        <v>91</v>
      </c>
      <c r="B50" s="3" t="s">
        <v>44</v>
      </c>
      <c r="C50" s="3"/>
    </row>
    <row r="51" customFormat="false" ht="15" hidden="false" customHeight="true" outlineLevel="0" collapsed="false">
      <c r="A51" s="3" t="s">
        <v>92</v>
      </c>
      <c r="B51" s="3" t="s">
        <v>44</v>
      </c>
      <c r="C51" s="3"/>
    </row>
    <row r="52" customFormat="false" ht="15" hidden="false" customHeight="true" outlineLevel="0" collapsed="false">
      <c r="A52" s="3" t="s">
        <v>93</v>
      </c>
      <c r="B52" s="3" t="s">
        <v>44</v>
      </c>
      <c r="C52" s="3"/>
    </row>
    <row r="53" customFormat="false" ht="15" hidden="false" customHeight="true" outlineLevel="0" collapsed="false">
      <c r="A53" s="3" t="s">
        <v>94</v>
      </c>
      <c r="B53" s="3" t="s">
        <v>44</v>
      </c>
      <c r="C53" s="3"/>
    </row>
    <row r="54" customFormat="false" ht="15" hidden="false" customHeight="true" outlineLevel="0" collapsed="false">
      <c r="A54" s="3" t="s">
        <v>95</v>
      </c>
      <c r="B54" s="3" t="s">
        <v>44</v>
      </c>
      <c r="C54" s="3"/>
    </row>
    <row r="55" customFormat="false" ht="15" hidden="false" customHeight="true" outlineLevel="0" collapsed="false">
      <c r="A55" s="3" t="s">
        <v>96</v>
      </c>
      <c r="B55" s="3" t="s">
        <v>44</v>
      </c>
      <c r="C55" s="3"/>
    </row>
    <row r="56" customFormat="false" ht="15" hidden="false" customHeight="true" outlineLevel="0" collapsed="false">
      <c r="A56" s="3" t="s">
        <v>97</v>
      </c>
      <c r="B56" s="3" t="s">
        <v>49</v>
      </c>
      <c r="C56" s="3"/>
    </row>
    <row r="57" customFormat="false" ht="15" hidden="false" customHeight="true" outlineLevel="0" collapsed="false">
      <c r="A57" s="3" t="s">
        <v>98</v>
      </c>
      <c r="B57" s="3" t="s">
        <v>44</v>
      </c>
      <c r="C57" s="3"/>
    </row>
    <row r="58" customFormat="false" ht="15" hidden="false" customHeight="true" outlineLevel="0" collapsed="false">
      <c r="A58" s="3" t="s">
        <v>99</v>
      </c>
      <c r="B58" s="3" t="s">
        <v>44</v>
      </c>
      <c r="C58" s="3"/>
    </row>
    <row r="59" customFormat="false" ht="15" hidden="false" customHeight="true" outlineLevel="0" collapsed="false">
      <c r="A59" s="3" t="s">
        <v>100</v>
      </c>
      <c r="B59" s="3" t="s">
        <v>44</v>
      </c>
      <c r="C59" s="3"/>
    </row>
    <row r="60" customFormat="false" ht="15" hidden="false" customHeight="true" outlineLevel="0" collapsed="false">
      <c r="A60" s="3" t="s">
        <v>101</v>
      </c>
      <c r="B60" s="3" t="s">
        <v>44</v>
      </c>
      <c r="C60" s="3"/>
    </row>
    <row r="61" customFormat="false" ht="15" hidden="false" customHeight="true" outlineLevel="0" collapsed="false">
      <c r="A61" s="3" t="s">
        <v>102</v>
      </c>
      <c r="B61" s="3" t="s">
        <v>44</v>
      </c>
      <c r="C61" s="3"/>
    </row>
    <row r="62" customFormat="false" ht="15" hidden="false" customHeight="true" outlineLevel="0" collapsed="false">
      <c r="A62" s="3" t="s">
        <v>103</v>
      </c>
      <c r="B62" s="3" t="s">
        <v>44</v>
      </c>
      <c r="C62" s="3"/>
    </row>
    <row r="63" customFormat="false" ht="15" hidden="false" customHeight="true" outlineLevel="0" collapsed="false">
      <c r="A63" s="3" t="s">
        <v>104</v>
      </c>
      <c r="B63" s="3" t="s">
        <v>44</v>
      </c>
      <c r="C63" s="3"/>
    </row>
    <row r="64" customFormat="false" ht="15" hidden="false" customHeight="true" outlineLevel="0" collapsed="false">
      <c r="A64" s="3" t="s">
        <v>105</v>
      </c>
      <c r="B64" s="3" t="s">
        <v>44</v>
      </c>
      <c r="C64" s="3"/>
    </row>
    <row r="65" customFormat="false" ht="15" hidden="false" customHeight="true" outlineLevel="0" collapsed="false">
      <c r="A65" s="3" t="s">
        <v>106</v>
      </c>
      <c r="B65" s="3" t="s">
        <v>44</v>
      </c>
      <c r="C65" s="3"/>
    </row>
    <row r="66" customFormat="false" ht="15" hidden="false" customHeight="true" outlineLevel="0" collapsed="false">
      <c r="A66" s="3" t="s">
        <v>107</v>
      </c>
      <c r="B66" s="3" t="s">
        <v>44</v>
      </c>
      <c r="C66" s="3"/>
    </row>
    <row r="67" customFormat="false" ht="15" hidden="false" customHeight="true" outlineLevel="0" collapsed="false">
      <c r="A67" s="3" t="s">
        <v>108</v>
      </c>
      <c r="B67" s="3" t="s">
        <v>44</v>
      </c>
      <c r="C67" s="3"/>
    </row>
    <row r="68" customFormat="false" ht="15" hidden="false" customHeight="true" outlineLevel="0" collapsed="false">
      <c r="A68" s="3" t="s">
        <v>109</v>
      </c>
      <c r="B68" s="3" t="s">
        <v>40</v>
      </c>
      <c r="C68" s="3"/>
    </row>
    <row r="69" customFormat="false" ht="15" hidden="false" customHeight="true" outlineLevel="0" collapsed="false">
      <c r="A69" s="3" t="s">
        <v>110</v>
      </c>
      <c r="B69" s="3" t="s">
        <v>40</v>
      </c>
      <c r="C69" s="3"/>
    </row>
    <row r="70" customFormat="false" ht="15" hidden="false" customHeight="true" outlineLevel="0" collapsed="false">
      <c r="A70" s="3" t="s">
        <v>111</v>
      </c>
      <c r="B70" s="3" t="s">
        <v>40</v>
      </c>
      <c r="C70" s="3"/>
    </row>
    <row r="71" customFormat="false" ht="15" hidden="false" customHeight="true" outlineLevel="0" collapsed="false">
      <c r="A71" s="3" t="s">
        <v>112</v>
      </c>
      <c r="B71" s="3" t="s">
        <v>44</v>
      </c>
      <c r="C71" s="3"/>
    </row>
    <row r="72" customFormat="false" ht="15" hidden="false" customHeight="true" outlineLevel="0" collapsed="false">
      <c r="A72" s="3" t="s">
        <v>113</v>
      </c>
      <c r="B72" s="3" t="s">
        <v>44</v>
      </c>
      <c r="C72" s="3"/>
    </row>
    <row r="73" customFormat="false" ht="15" hidden="false" customHeight="true" outlineLevel="0" collapsed="false">
      <c r="A73" s="3" t="s">
        <v>114</v>
      </c>
      <c r="B73" s="3" t="s">
        <v>44</v>
      </c>
      <c r="C73" s="3"/>
    </row>
    <row r="74" customFormat="false" ht="15" hidden="false" customHeight="true" outlineLevel="0" collapsed="false">
      <c r="A74" s="3" t="s">
        <v>115</v>
      </c>
      <c r="B74" s="3" t="s">
        <v>44</v>
      </c>
      <c r="C74" s="3"/>
    </row>
    <row r="75" customFormat="false" ht="15" hidden="false" customHeight="true" outlineLevel="0" collapsed="false">
      <c r="A75" s="3" t="s">
        <v>116</v>
      </c>
      <c r="B75" s="3" t="s">
        <v>49</v>
      </c>
      <c r="C75" s="3"/>
    </row>
    <row r="76" customFormat="false" ht="15" hidden="false" customHeight="true" outlineLevel="0" collapsed="false">
      <c r="A76" s="3" t="s">
        <v>117</v>
      </c>
      <c r="B76" s="3" t="s">
        <v>44</v>
      </c>
      <c r="C76" s="3"/>
    </row>
    <row r="77" customFormat="false" ht="15" hidden="false" customHeight="true" outlineLevel="0" collapsed="false">
      <c r="A77" s="3" t="s">
        <v>118</v>
      </c>
      <c r="B77" s="3" t="s">
        <v>44</v>
      </c>
      <c r="C77" s="3"/>
    </row>
    <row r="78" customFormat="false" ht="15" hidden="false" customHeight="true" outlineLevel="0" collapsed="false">
      <c r="A78" s="3" t="s">
        <v>119</v>
      </c>
      <c r="B78" s="3" t="s">
        <v>49</v>
      </c>
      <c r="C78" s="3"/>
    </row>
    <row r="79" customFormat="false" ht="15" hidden="false" customHeight="true" outlineLevel="0" collapsed="false">
      <c r="A79" s="3" t="s">
        <v>120</v>
      </c>
      <c r="B79" s="3" t="s">
        <v>40</v>
      </c>
      <c r="C79" s="3"/>
    </row>
    <row r="80" customFormat="false" ht="15" hidden="false" customHeight="true" outlineLevel="0" collapsed="false">
      <c r="A80" s="3" t="s">
        <v>121</v>
      </c>
      <c r="B80" s="3" t="s">
        <v>40</v>
      </c>
      <c r="C80" s="3"/>
    </row>
    <row r="81" customFormat="false" ht="15" hidden="false" customHeight="true" outlineLevel="0" collapsed="false">
      <c r="A81" s="3" t="s">
        <v>122</v>
      </c>
      <c r="B81" s="3" t="s">
        <v>40</v>
      </c>
      <c r="C81" s="3"/>
    </row>
    <row r="82" customFormat="false" ht="15" hidden="false" customHeight="true" outlineLevel="0" collapsed="false">
      <c r="A82" s="3" t="s">
        <v>123</v>
      </c>
      <c r="B82" s="3" t="s">
        <v>40</v>
      </c>
      <c r="C82" s="3"/>
    </row>
    <row r="83" customFormat="false" ht="15" hidden="false" customHeight="true" outlineLevel="0" collapsed="false">
      <c r="A83" s="3" t="s">
        <v>124</v>
      </c>
      <c r="B83" s="3" t="s">
        <v>40</v>
      </c>
      <c r="C83" s="3"/>
    </row>
    <row r="84" customFormat="false" ht="15" hidden="false" customHeight="true" outlineLevel="0" collapsed="false">
      <c r="A84" s="3" t="s">
        <v>125</v>
      </c>
      <c r="B84" s="3" t="s">
        <v>40</v>
      </c>
      <c r="C84" s="3"/>
    </row>
    <row r="85" customFormat="false" ht="15" hidden="false" customHeight="true" outlineLevel="0" collapsed="false">
      <c r="A85" s="3" t="s">
        <v>126</v>
      </c>
      <c r="B85" s="3" t="s">
        <v>40</v>
      </c>
      <c r="C85" s="3"/>
    </row>
    <row r="86" customFormat="false" ht="15" hidden="false" customHeight="true" outlineLevel="0" collapsed="false">
      <c r="A86" s="3" t="s">
        <v>127</v>
      </c>
      <c r="B86" s="3" t="s">
        <v>40</v>
      </c>
      <c r="C86" s="3"/>
    </row>
    <row r="87" customFormat="false" ht="15" hidden="false" customHeight="true" outlineLevel="0" collapsed="false">
      <c r="A87" s="3" t="s">
        <v>128</v>
      </c>
      <c r="B87" s="3" t="s">
        <v>44</v>
      </c>
      <c r="C87" s="3"/>
    </row>
    <row r="88" customFormat="false" ht="15" hidden="false" customHeight="true" outlineLevel="0" collapsed="false">
      <c r="A88" s="3" t="s">
        <v>129</v>
      </c>
      <c r="B88" s="3" t="s">
        <v>40</v>
      </c>
      <c r="C88" s="3"/>
    </row>
    <row r="89" customFormat="false" ht="15" hidden="false" customHeight="true" outlineLevel="0" collapsed="false">
      <c r="A89" s="3" t="s">
        <v>130</v>
      </c>
      <c r="B89" s="3" t="s">
        <v>44</v>
      </c>
      <c r="C89" s="3"/>
    </row>
    <row r="90" customFormat="false" ht="15" hidden="false" customHeight="true" outlineLevel="0" collapsed="false">
      <c r="A90" s="3" t="s">
        <v>131</v>
      </c>
      <c r="B90" s="3" t="s">
        <v>40</v>
      </c>
      <c r="C90" s="3"/>
    </row>
    <row r="91" customFormat="false" ht="15" hidden="false" customHeight="true" outlineLevel="0" collapsed="false">
      <c r="A91" s="3" t="s">
        <v>132</v>
      </c>
      <c r="B91" s="3" t="s">
        <v>40</v>
      </c>
      <c r="C91" s="3" t="s">
        <v>133</v>
      </c>
    </row>
    <row r="92" customFormat="false" ht="15" hidden="false" customHeight="true" outlineLevel="0" collapsed="false">
      <c r="A92" s="3" t="s">
        <v>134</v>
      </c>
      <c r="B92" s="3" t="s">
        <v>40</v>
      </c>
      <c r="C92" s="3"/>
    </row>
    <row r="93" customFormat="false" ht="15" hidden="false" customHeight="true" outlineLevel="0" collapsed="false">
      <c r="A93" s="3" t="s">
        <v>135</v>
      </c>
      <c r="B93" s="3" t="s">
        <v>44</v>
      </c>
      <c r="C93" s="3"/>
    </row>
    <row r="94" customFormat="false" ht="15" hidden="false" customHeight="true" outlineLevel="0" collapsed="false">
      <c r="A94" s="3" t="s">
        <v>136</v>
      </c>
      <c r="B94" s="3" t="s">
        <v>44</v>
      </c>
      <c r="C94" s="3"/>
    </row>
    <row r="95" customFormat="false" ht="15" hidden="false" customHeight="true" outlineLevel="0" collapsed="false">
      <c r="A95" s="3" t="s">
        <v>137</v>
      </c>
      <c r="B95" s="3" t="s">
        <v>44</v>
      </c>
      <c r="C95" s="3"/>
    </row>
    <row r="96" customFormat="false" ht="15" hidden="false" customHeight="true" outlineLevel="0" collapsed="false">
      <c r="A96" s="3" t="s">
        <v>138</v>
      </c>
      <c r="B96" s="3" t="s">
        <v>44</v>
      </c>
      <c r="C96" s="3"/>
    </row>
    <row r="97" customFormat="false" ht="15" hidden="false" customHeight="true" outlineLevel="0" collapsed="false">
      <c r="A97" s="3" t="s">
        <v>139</v>
      </c>
      <c r="B97" s="3" t="s">
        <v>44</v>
      </c>
      <c r="C97" s="3"/>
    </row>
    <row r="98" customFormat="false" ht="15" hidden="false" customHeight="true" outlineLevel="0" collapsed="false">
      <c r="A98" s="3" t="s">
        <v>140</v>
      </c>
      <c r="B98" s="3" t="s">
        <v>49</v>
      </c>
      <c r="C98" s="3"/>
    </row>
    <row r="99" customFormat="false" ht="15" hidden="false" customHeight="true" outlineLevel="0" collapsed="false">
      <c r="A99" s="3" t="s">
        <v>141</v>
      </c>
      <c r="B99" s="3" t="s">
        <v>44</v>
      </c>
      <c r="C99" s="3" t="s">
        <v>74</v>
      </c>
    </row>
    <row r="100" customFormat="false" ht="15" hidden="false" customHeight="true" outlineLevel="0" collapsed="false">
      <c r="A100" s="3" t="s">
        <v>142</v>
      </c>
      <c r="B100" s="3" t="s">
        <v>49</v>
      </c>
      <c r="C100" s="3"/>
    </row>
    <row r="101" customFormat="false" ht="15" hidden="false" customHeight="true" outlineLevel="0" collapsed="false">
      <c r="A101" s="3" t="s">
        <v>143</v>
      </c>
      <c r="B101" s="3" t="s">
        <v>40</v>
      </c>
      <c r="C101" s="3"/>
    </row>
    <row r="102" customFormat="false" ht="15" hidden="false" customHeight="true" outlineLevel="0" collapsed="false">
      <c r="A102" s="3" t="s">
        <v>144</v>
      </c>
      <c r="B102" s="3" t="s">
        <v>40</v>
      </c>
      <c r="C102" s="3"/>
    </row>
    <row r="103" customFormat="false" ht="15" hidden="false" customHeight="true" outlineLevel="0" collapsed="false">
      <c r="A103" s="3" t="s">
        <v>145</v>
      </c>
      <c r="B103" s="3" t="s">
        <v>40</v>
      </c>
      <c r="C103" s="3"/>
    </row>
    <row r="104" customFormat="false" ht="15" hidden="false" customHeight="true" outlineLevel="0" collapsed="false">
      <c r="A104" s="3" t="s">
        <v>146</v>
      </c>
      <c r="B104" s="3" t="s">
        <v>44</v>
      </c>
      <c r="C104" s="3"/>
    </row>
    <row r="105" customFormat="false" ht="15" hidden="false" customHeight="true" outlineLevel="0" collapsed="false">
      <c r="A105" s="3" t="s">
        <v>147</v>
      </c>
      <c r="B105" s="3" t="s">
        <v>44</v>
      </c>
      <c r="C105" s="3"/>
    </row>
    <row r="106" customFormat="false" ht="15" hidden="false" customHeight="true" outlineLevel="0" collapsed="false">
      <c r="A106" s="3" t="s">
        <v>148</v>
      </c>
      <c r="B106" s="3" t="s">
        <v>44</v>
      </c>
      <c r="C106" s="3"/>
    </row>
    <row r="107" customFormat="false" ht="15" hidden="false" customHeight="true" outlineLevel="0" collapsed="false">
      <c r="A107" s="3" t="s">
        <v>149</v>
      </c>
      <c r="B107" s="3" t="s">
        <v>40</v>
      </c>
      <c r="C107" s="3" t="s">
        <v>150</v>
      </c>
    </row>
    <row r="108" customFormat="false" ht="15" hidden="false" customHeight="true" outlineLevel="0" collapsed="false">
      <c r="A108" s="3" t="s">
        <v>151</v>
      </c>
      <c r="B108" s="3" t="s">
        <v>44</v>
      </c>
      <c r="C108" s="3"/>
    </row>
    <row r="109" customFormat="false" ht="15" hidden="false" customHeight="true" outlineLevel="0" collapsed="false">
      <c r="A109" s="3" t="s">
        <v>152</v>
      </c>
      <c r="B109" s="3" t="s">
        <v>44</v>
      </c>
      <c r="C109" s="3"/>
    </row>
    <row r="110" customFormat="false" ht="15" hidden="false" customHeight="true" outlineLevel="0" collapsed="false">
      <c r="A110" s="3" t="s">
        <v>153</v>
      </c>
      <c r="B110" s="3" t="s">
        <v>40</v>
      </c>
      <c r="C110" s="3" t="s">
        <v>74</v>
      </c>
    </row>
    <row r="111" customFormat="false" ht="15" hidden="false" customHeight="true" outlineLevel="0" collapsed="false">
      <c r="A111" s="3" t="s">
        <v>154</v>
      </c>
      <c r="B111" s="3" t="s">
        <v>49</v>
      </c>
      <c r="C111" s="3"/>
    </row>
    <row r="112" customFormat="false" ht="15" hidden="false" customHeight="true" outlineLevel="0" collapsed="false">
      <c r="A112" s="3" t="s">
        <v>155</v>
      </c>
      <c r="B112" s="3" t="s">
        <v>40</v>
      </c>
      <c r="C112" s="3"/>
    </row>
    <row r="113" customFormat="false" ht="15" hidden="false" customHeight="true" outlineLevel="0" collapsed="false">
      <c r="A113" s="3" t="s">
        <v>156</v>
      </c>
      <c r="B113" s="3" t="s">
        <v>40</v>
      </c>
      <c r="C113" s="3"/>
    </row>
    <row r="114" customFormat="false" ht="15" hidden="false" customHeight="true" outlineLevel="0" collapsed="false">
      <c r="A114" s="3" t="s">
        <v>157</v>
      </c>
      <c r="B114" s="3" t="s">
        <v>40</v>
      </c>
      <c r="C114" s="3"/>
    </row>
    <row r="115" customFormat="false" ht="15" hidden="false" customHeight="true" outlineLevel="0" collapsed="false">
      <c r="A115" s="3" t="s">
        <v>158</v>
      </c>
      <c r="B115" s="3" t="s">
        <v>44</v>
      </c>
      <c r="C115" s="3"/>
    </row>
    <row r="116" customFormat="false" ht="15" hidden="false" customHeight="true" outlineLevel="0" collapsed="false">
      <c r="A116" s="3" t="s">
        <v>159</v>
      </c>
      <c r="B116" s="3" t="s">
        <v>44</v>
      </c>
      <c r="C116" s="3"/>
    </row>
    <row r="117" customFormat="false" ht="15" hidden="false" customHeight="true" outlineLevel="0" collapsed="false">
      <c r="A117" s="3" t="s">
        <v>160</v>
      </c>
      <c r="B117" s="3" t="s">
        <v>44</v>
      </c>
      <c r="C117" s="3"/>
    </row>
    <row r="118" customFormat="false" ht="15" hidden="false" customHeight="true" outlineLevel="0" collapsed="false">
      <c r="A118" s="3" t="s">
        <v>161</v>
      </c>
      <c r="B118" s="3" t="s">
        <v>44</v>
      </c>
      <c r="C118" s="3"/>
    </row>
    <row r="119" customFormat="false" ht="15" hidden="false" customHeight="true" outlineLevel="0" collapsed="false">
      <c r="A119" s="3" t="s">
        <v>162</v>
      </c>
      <c r="B119" s="3" t="s">
        <v>44</v>
      </c>
      <c r="C119" s="3"/>
    </row>
    <row r="120" customFormat="false" ht="15" hidden="false" customHeight="true" outlineLevel="0" collapsed="false">
      <c r="A120" s="3" t="s">
        <v>163</v>
      </c>
      <c r="B120" s="3" t="s">
        <v>44</v>
      </c>
      <c r="C120" s="3"/>
    </row>
    <row r="121" customFormat="false" ht="15" hidden="false" customHeight="true" outlineLevel="0" collapsed="false">
      <c r="A121" s="3" t="s">
        <v>164</v>
      </c>
      <c r="B121" s="3" t="s">
        <v>44</v>
      </c>
      <c r="C121" s="3"/>
    </row>
    <row r="122" customFormat="false" ht="15" hidden="false" customHeight="true" outlineLevel="0" collapsed="false">
      <c r="A122" s="3" t="s">
        <v>165</v>
      </c>
      <c r="B122" s="3" t="s">
        <v>49</v>
      </c>
      <c r="C122" s="3"/>
    </row>
    <row r="123" customFormat="false" ht="15" hidden="false" customHeight="true" outlineLevel="0" collapsed="false">
      <c r="A123" s="3" t="s">
        <v>166</v>
      </c>
      <c r="B123" s="3" t="s">
        <v>44</v>
      </c>
      <c r="C123" s="3"/>
    </row>
    <row r="124" customFormat="false" ht="15" hidden="false" customHeight="true" outlineLevel="0" collapsed="false">
      <c r="A124" s="3" t="s">
        <v>167</v>
      </c>
      <c r="B124" s="3" t="s">
        <v>44</v>
      </c>
      <c r="C124" s="3"/>
    </row>
    <row r="125" customFormat="false" ht="15" hidden="false" customHeight="true" outlineLevel="0" collapsed="false">
      <c r="A125" s="3" t="s">
        <v>168</v>
      </c>
      <c r="B125" s="3" t="s">
        <v>44</v>
      </c>
      <c r="C125" s="3"/>
    </row>
    <row r="126" customFormat="false" ht="15" hidden="false" customHeight="true" outlineLevel="0" collapsed="false">
      <c r="A126" s="3" t="s">
        <v>169</v>
      </c>
      <c r="B126" s="3" t="s">
        <v>44</v>
      </c>
      <c r="C126" s="3"/>
    </row>
    <row r="127" customFormat="false" ht="15" hidden="false" customHeight="true" outlineLevel="0" collapsed="false">
      <c r="A127" s="3" t="s">
        <v>170</v>
      </c>
      <c r="B127" s="3" t="s">
        <v>44</v>
      </c>
      <c r="C127" s="3"/>
    </row>
    <row r="128" customFormat="false" ht="15" hidden="false" customHeight="true" outlineLevel="0" collapsed="false">
      <c r="A128" s="3" t="s">
        <v>171</v>
      </c>
      <c r="B128" s="3" t="s">
        <v>44</v>
      </c>
      <c r="C128" s="3"/>
    </row>
    <row r="129" customFormat="false" ht="15" hidden="false" customHeight="true" outlineLevel="0" collapsed="false">
      <c r="A129" s="3" t="s">
        <v>172</v>
      </c>
      <c r="B129" s="3" t="s">
        <v>44</v>
      </c>
      <c r="C129" s="3"/>
    </row>
    <row r="130" customFormat="false" ht="15" hidden="false" customHeight="true" outlineLevel="0" collapsed="false">
      <c r="A130" s="3" t="s">
        <v>173</v>
      </c>
      <c r="B130" s="3" t="s">
        <v>44</v>
      </c>
      <c r="C130" s="3"/>
    </row>
    <row r="131" customFormat="false" ht="15" hidden="false" customHeight="true" outlineLevel="0" collapsed="false">
      <c r="A131" s="3" t="s">
        <v>174</v>
      </c>
      <c r="B131" s="3" t="s">
        <v>44</v>
      </c>
      <c r="C131" s="3"/>
    </row>
    <row r="132" customFormat="false" ht="15" hidden="false" customHeight="true" outlineLevel="0" collapsed="false">
      <c r="A132" s="3" t="s">
        <v>175</v>
      </c>
      <c r="B132" s="3" t="s">
        <v>44</v>
      </c>
      <c r="C132" s="3"/>
    </row>
    <row r="133" customFormat="false" ht="15" hidden="false" customHeight="true" outlineLevel="0" collapsed="false">
      <c r="A133" s="3" t="s">
        <v>176</v>
      </c>
      <c r="B133" s="3" t="s">
        <v>44</v>
      </c>
      <c r="C133" s="3"/>
    </row>
    <row r="134" customFormat="false" ht="15" hidden="false" customHeight="true" outlineLevel="0" collapsed="false">
      <c r="A134" s="3" t="s">
        <v>177</v>
      </c>
      <c r="B134" s="3" t="s">
        <v>40</v>
      </c>
      <c r="C134" s="3"/>
    </row>
    <row r="135" customFormat="false" ht="15" hidden="false" customHeight="true" outlineLevel="0" collapsed="false">
      <c r="A135" s="3" t="s">
        <v>178</v>
      </c>
      <c r="B135" s="3" t="s">
        <v>40</v>
      </c>
      <c r="C135" s="3"/>
    </row>
    <row r="136" customFormat="false" ht="15" hidden="false" customHeight="true" outlineLevel="0" collapsed="false">
      <c r="A136" s="3" t="s">
        <v>179</v>
      </c>
      <c r="B136" s="3" t="s">
        <v>40</v>
      </c>
      <c r="C136" s="3"/>
    </row>
    <row r="137" customFormat="false" ht="15" hidden="false" customHeight="true" outlineLevel="0" collapsed="false">
      <c r="A137" s="3" t="s">
        <v>180</v>
      </c>
      <c r="B137" s="3" t="s">
        <v>44</v>
      </c>
      <c r="C137" s="3"/>
    </row>
    <row r="138" customFormat="false" ht="15" hidden="false" customHeight="true" outlineLevel="0" collapsed="false">
      <c r="A138" s="3" t="s">
        <v>181</v>
      </c>
      <c r="B138" s="3" t="s">
        <v>44</v>
      </c>
      <c r="C138" s="3"/>
    </row>
    <row r="139" customFormat="false" ht="15" hidden="false" customHeight="true" outlineLevel="0" collapsed="false">
      <c r="A139" s="3" t="s">
        <v>182</v>
      </c>
      <c r="B139" s="3" t="s">
        <v>44</v>
      </c>
      <c r="C139" s="3"/>
    </row>
    <row r="140" customFormat="false" ht="15" hidden="false" customHeight="true" outlineLevel="0" collapsed="false">
      <c r="A140" s="3" t="s">
        <v>183</v>
      </c>
      <c r="B140" s="3" t="s">
        <v>44</v>
      </c>
      <c r="C140" s="3"/>
    </row>
    <row r="141" customFormat="false" ht="15" hidden="false" customHeight="true" outlineLevel="0" collapsed="false">
      <c r="A141" s="3" t="s">
        <v>184</v>
      </c>
      <c r="B141" s="3" t="s">
        <v>49</v>
      </c>
      <c r="C141" s="3"/>
    </row>
    <row r="142" customFormat="false" ht="15" hidden="false" customHeight="true" outlineLevel="0" collapsed="false">
      <c r="A142" s="3" t="s">
        <v>185</v>
      </c>
      <c r="B142" s="3" t="s">
        <v>44</v>
      </c>
      <c r="C142" s="3"/>
    </row>
    <row r="143" customFormat="false" ht="15" hidden="false" customHeight="true" outlineLevel="0" collapsed="false">
      <c r="A143" s="3" t="s">
        <v>186</v>
      </c>
      <c r="B143" s="3" t="s">
        <v>44</v>
      </c>
      <c r="C143" s="3"/>
    </row>
    <row r="144" customFormat="false" ht="15" hidden="false" customHeight="true" outlineLevel="0" collapsed="false">
      <c r="A144" s="3" t="s">
        <v>187</v>
      </c>
      <c r="B144" s="3" t="s">
        <v>49</v>
      </c>
      <c r="C144" s="3"/>
    </row>
    <row r="145" customFormat="false" ht="15" hidden="false" customHeight="true" outlineLevel="0" collapsed="false">
      <c r="A145" s="3" t="s">
        <v>188</v>
      </c>
      <c r="B145" s="3" t="s">
        <v>40</v>
      </c>
      <c r="C145" s="3"/>
    </row>
    <row r="146" customFormat="false" ht="15" hidden="false" customHeight="true" outlineLevel="0" collapsed="false">
      <c r="A146" s="3" t="s">
        <v>189</v>
      </c>
      <c r="B146" s="3" t="s">
        <v>40</v>
      </c>
      <c r="C146" s="3"/>
    </row>
    <row r="147" customFormat="false" ht="15" hidden="false" customHeight="true" outlineLevel="0" collapsed="false">
      <c r="A147" s="3" t="s">
        <v>190</v>
      </c>
      <c r="B147" s="3" t="s">
        <v>40</v>
      </c>
      <c r="C147" s="3"/>
    </row>
    <row r="148" customFormat="false" ht="15" hidden="false" customHeight="true" outlineLevel="0" collapsed="false">
      <c r="A148" s="3" t="s">
        <v>191</v>
      </c>
      <c r="B148" s="3" t="s">
        <v>40</v>
      </c>
      <c r="C148" s="3"/>
    </row>
    <row r="149" customFormat="false" ht="15" hidden="false" customHeight="true" outlineLevel="0" collapsed="false">
      <c r="A149" s="3" t="s">
        <v>192</v>
      </c>
      <c r="B149" s="3" t="s">
        <v>40</v>
      </c>
      <c r="C149" s="3"/>
    </row>
    <row r="150" customFormat="false" ht="15" hidden="false" customHeight="true" outlineLevel="0" collapsed="false">
      <c r="A150" s="3" t="s">
        <v>193</v>
      </c>
      <c r="B150" s="3" t="s">
        <v>40</v>
      </c>
      <c r="C150" s="3"/>
    </row>
    <row r="151" customFormat="false" ht="15" hidden="false" customHeight="true" outlineLevel="0" collapsed="false">
      <c r="A151" s="3" t="s">
        <v>194</v>
      </c>
      <c r="B151" s="3" t="s">
        <v>40</v>
      </c>
      <c r="C151" s="3"/>
    </row>
    <row r="152" customFormat="false" ht="15" hidden="false" customHeight="true" outlineLevel="0" collapsed="false">
      <c r="A152" s="3" t="s">
        <v>195</v>
      </c>
      <c r="B152" s="3" t="s">
        <v>40</v>
      </c>
      <c r="C152" s="3"/>
    </row>
    <row r="153" customFormat="false" ht="15" hidden="false" customHeight="true" outlineLevel="0" collapsed="false">
      <c r="A153" s="3" t="s">
        <v>196</v>
      </c>
      <c r="B153" s="3" t="s">
        <v>44</v>
      </c>
      <c r="C153" s="3"/>
    </row>
    <row r="154" customFormat="false" ht="15" hidden="false" customHeight="true" outlineLevel="0" collapsed="false">
      <c r="A154" s="3" t="s">
        <v>197</v>
      </c>
      <c r="B154" s="3" t="s">
        <v>40</v>
      </c>
      <c r="C154" s="3"/>
    </row>
    <row r="155" customFormat="false" ht="15" hidden="false" customHeight="true" outlineLevel="0" collapsed="false">
      <c r="A155" s="3" t="s">
        <v>198</v>
      </c>
      <c r="B155" s="3" t="s">
        <v>44</v>
      </c>
      <c r="C155" s="3"/>
    </row>
    <row r="156" customFormat="false" ht="15" hidden="false" customHeight="true" outlineLevel="0" collapsed="false">
      <c r="A156" s="3" t="s">
        <v>199</v>
      </c>
      <c r="B156" s="3" t="s">
        <v>40</v>
      </c>
      <c r="C156" s="3"/>
    </row>
    <row r="157" customFormat="false" ht="15" hidden="false" customHeight="true" outlineLevel="0" collapsed="false">
      <c r="A157" s="3" t="s">
        <v>200</v>
      </c>
      <c r="B157" s="3" t="s">
        <v>40</v>
      </c>
      <c r="C157" s="3" t="s">
        <v>133</v>
      </c>
    </row>
    <row r="158" customFormat="false" ht="15" hidden="false" customHeight="true" outlineLevel="0" collapsed="false">
      <c r="A158" s="3" t="s">
        <v>201</v>
      </c>
      <c r="B158" s="3" t="s">
        <v>40</v>
      </c>
      <c r="C158" s="3"/>
    </row>
    <row r="159" customFormat="false" ht="15" hidden="false" customHeight="true" outlineLevel="0" collapsed="false">
      <c r="A159" s="3" t="s">
        <v>202</v>
      </c>
      <c r="B159" s="3" t="s">
        <v>44</v>
      </c>
      <c r="C159" s="3"/>
    </row>
    <row r="160" customFormat="false" ht="15" hidden="false" customHeight="true" outlineLevel="0" collapsed="false">
      <c r="A160" s="3" t="s">
        <v>203</v>
      </c>
      <c r="B160" s="3" t="s">
        <v>44</v>
      </c>
      <c r="C160" s="3"/>
    </row>
    <row r="161" customFormat="false" ht="15" hidden="false" customHeight="true" outlineLevel="0" collapsed="false">
      <c r="A161" s="3" t="s">
        <v>204</v>
      </c>
      <c r="B161" s="3" t="s">
        <v>44</v>
      </c>
      <c r="C161" s="3"/>
    </row>
    <row r="162" customFormat="false" ht="15" hidden="false" customHeight="true" outlineLevel="0" collapsed="false">
      <c r="A162" s="3" t="s">
        <v>205</v>
      </c>
      <c r="B162" s="3" t="s">
        <v>44</v>
      </c>
      <c r="C162" s="3"/>
    </row>
    <row r="163" customFormat="false" ht="15" hidden="false" customHeight="true" outlineLevel="0" collapsed="false">
      <c r="A163" s="3" t="s">
        <v>206</v>
      </c>
      <c r="B163" s="3" t="s">
        <v>44</v>
      </c>
      <c r="C163" s="3"/>
    </row>
    <row r="164" customFormat="false" ht="15" hidden="false" customHeight="true" outlineLevel="0" collapsed="false">
      <c r="A164" s="3" t="s">
        <v>207</v>
      </c>
      <c r="B164" s="3" t="s">
        <v>49</v>
      </c>
      <c r="C164" s="3"/>
    </row>
    <row r="165" customFormat="false" ht="15" hidden="false" customHeight="true" outlineLevel="0" collapsed="false">
      <c r="A165" s="3" t="s">
        <v>208</v>
      </c>
      <c r="B165" s="3" t="s">
        <v>44</v>
      </c>
      <c r="C165" s="3" t="s">
        <v>74</v>
      </c>
    </row>
    <row r="166" customFormat="false" ht="15" hidden="false" customHeight="true" outlineLevel="0" collapsed="false">
      <c r="A166" s="3" t="s">
        <v>209</v>
      </c>
      <c r="B166" s="3" t="s">
        <v>49</v>
      </c>
      <c r="C166" s="3"/>
    </row>
    <row r="167" customFormat="false" ht="15" hidden="false" customHeight="true" outlineLevel="0" collapsed="false">
      <c r="A167" s="3" t="s">
        <v>210</v>
      </c>
      <c r="B167" s="3" t="s">
        <v>40</v>
      </c>
      <c r="C167" s="3"/>
    </row>
    <row r="168" customFormat="false" ht="15" hidden="false" customHeight="true" outlineLevel="0" collapsed="false">
      <c r="A168" s="3" t="s">
        <v>211</v>
      </c>
      <c r="B168" s="3" t="s">
        <v>40</v>
      </c>
      <c r="C168" s="3"/>
    </row>
    <row r="169" customFormat="false" ht="15" hidden="false" customHeight="true" outlineLevel="0" collapsed="false">
      <c r="A169" s="3" t="s">
        <v>212</v>
      </c>
      <c r="B169" s="3" t="s">
        <v>40</v>
      </c>
      <c r="C169" s="3"/>
    </row>
    <row r="170" customFormat="false" ht="15" hidden="false" customHeight="true" outlineLevel="0" collapsed="false">
      <c r="A170" s="3" t="s">
        <v>213</v>
      </c>
      <c r="B170" s="3" t="s">
        <v>44</v>
      </c>
      <c r="C170" s="3"/>
    </row>
    <row r="171" customFormat="false" ht="15" hidden="false" customHeight="true" outlineLevel="0" collapsed="false">
      <c r="A171" s="3" t="s">
        <v>214</v>
      </c>
      <c r="B171" s="3" t="s">
        <v>44</v>
      </c>
      <c r="C171" s="3"/>
    </row>
    <row r="172" customFormat="false" ht="15" hidden="false" customHeight="true" outlineLevel="0" collapsed="false">
      <c r="A172" s="3" t="s">
        <v>215</v>
      </c>
      <c r="B172" s="3" t="s">
        <v>44</v>
      </c>
      <c r="C172" s="3"/>
    </row>
    <row r="173" customFormat="false" ht="15" hidden="false" customHeight="true" outlineLevel="0" collapsed="false">
      <c r="A173" s="3" t="s">
        <v>216</v>
      </c>
      <c r="B173" s="3" t="s">
        <v>40</v>
      </c>
      <c r="C173" s="3" t="s">
        <v>150</v>
      </c>
    </row>
    <row r="174" customFormat="false" ht="15" hidden="false" customHeight="true" outlineLevel="0" collapsed="false">
      <c r="A174" s="3" t="s">
        <v>217</v>
      </c>
      <c r="B174" s="3" t="s">
        <v>44</v>
      </c>
      <c r="C174" s="3"/>
    </row>
    <row r="175" customFormat="false" ht="15" hidden="false" customHeight="true" outlineLevel="0" collapsed="false">
      <c r="A175" s="3" t="s">
        <v>218</v>
      </c>
      <c r="B175" s="3" t="s">
        <v>44</v>
      </c>
      <c r="C175" s="3"/>
    </row>
    <row r="176" customFormat="false" ht="15" hidden="false" customHeight="true" outlineLevel="0" collapsed="false">
      <c r="A176" s="3" t="s">
        <v>219</v>
      </c>
      <c r="B176" s="3" t="s">
        <v>40</v>
      </c>
      <c r="C176" s="3" t="s">
        <v>74</v>
      </c>
    </row>
    <row r="177" customFormat="false" ht="15" hidden="false" customHeight="true" outlineLevel="0" collapsed="false">
      <c r="A177" s="3" t="s">
        <v>220</v>
      </c>
      <c r="B177" s="3" t="s">
        <v>49</v>
      </c>
      <c r="C177" s="3"/>
    </row>
    <row r="178" customFormat="false" ht="15" hidden="false" customHeight="true" outlineLevel="0" collapsed="false">
      <c r="A178" s="3" t="s">
        <v>221</v>
      </c>
      <c r="B178" s="3" t="s">
        <v>40</v>
      </c>
      <c r="C178" s="3"/>
    </row>
    <row r="179" customFormat="false" ht="15" hidden="false" customHeight="true" outlineLevel="0" collapsed="false">
      <c r="A179" s="3" t="s">
        <v>222</v>
      </c>
      <c r="B179" s="3" t="s">
        <v>40</v>
      </c>
      <c r="C179" s="3"/>
    </row>
    <row r="180" customFormat="false" ht="15" hidden="false" customHeight="true" outlineLevel="0" collapsed="false">
      <c r="A180" s="3" t="s">
        <v>223</v>
      </c>
      <c r="B180" s="3" t="s">
        <v>40</v>
      </c>
      <c r="C180" s="3"/>
    </row>
    <row r="181" customFormat="false" ht="15" hidden="false" customHeight="true" outlineLevel="0" collapsed="false">
      <c r="A181" s="3" t="s">
        <v>224</v>
      </c>
      <c r="B181" s="3" t="s">
        <v>44</v>
      </c>
      <c r="C181" s="3"/>
    </row>
    <row r="182" customFormat="false" ht="15" hidden="false" customHeight="true" outlineLevel="0" collapsed="false">
      <c r="A182" s="3" t="s">
        <v>225</v>
      </c>
      <c r="B182" s="3" t="s">
        <v>44</v>
      </c>
      <c r="C182" s="3"/>
    </row>
    <row r="183" customFormat="false" ht="15" hidden="false" customHeight="true" outlineLevel="0" collapsed="false">
      <c r="A183" s="3" t="s">
        <v>226</v>
      </c>
      <c r="B183" s="3" t="s">
        <v>44</v>
      </c>
      <c r="C183" s="3"/>
    </row>
    <row r="184" customFormat="false" ht="15" hidden="false" customHeight="true" outlineLevel="0" collapsed="false">
      <c r="A184" s="3" t="s">
        <v>227</v>
      </c>
      <c r="B184" s="3" t="s">
        <v>44</v>
      </c>
      <c r="C184" s="3"/>
    </row>
    <row r="185" customFormat="false" ht="15" hidden="false" customHeight="true" outlineLevel="0" collapsed="false">
      <c r="A185" s="3" t="s">
        <v>228</v>
      </c>
      <c r="B185" s="3" t="s">
        <v>44</v>
      </c>
      <c r="C185" s="3"/>
    </row>
    <row r="186" customFormat="false" ht="15" hidden="false" customHeight="true" outlineLevel="0" collapsed="false">
      <c r="A186" s="3" t="s">
        <v>229</v>
      </c>
      <c r="B186" s="3" t="s">
        <v>44</v>
      </c>
      <c r="C186" s="3"/>
    </row>
    <row r="187" customFormat="false" ht="15" hidden="false" customHeight="true" outlineLevel="0" collapsed="false">
      <c r="A187" s="3" t="s">
        <v>230</v>
      </c>
      <c r="B187" s="3" t="s">
        <v>44</v>
      </c>
      <c r="C187" s="3"/>
    </row>
    <row r="188" customFormat="false" ht="15" hidden="false" customHeight="true" outlineLevel="0" collapsed="false">
      <c r="A188" s="3" t="s">
        <v>231</v>
      </c>
      <c r="B188" s="3" t="s">
        <v>49</v>
      </c>
      <c r="C188" s="3"/>
    </row>
    <row r="189" customFormat="false" ht="15" hidden="false" customHeight="true" outlineLevel="0" collapsed="false">
      <c r="A189" s="3" t="s">
        <v>232</v>
      </c>
      <c r="B189" s="3" t="s">
        <v>44</v>
      </c>
      <c r="C189" s="3"/>
    </row>
    <row r="190" customFormat="false" ht="15" hidden="false" customHeight="true" outlineLevel="0" collapsed="false">
      <c r="A190" s="3" t="s">
        <v>233</v>
      </c>
      <c r="B190" s="3" t="s">
        <v>44</v>
      </c>
      <c r="C190" s="3"/>
    </row>
    <row r="191" customFormat="false" ht="15" hidden="false" customHeight="true" outlineLevel="0" collapsed="false">
      <c r="A191" s="3" t="s">
        <v>234</v>
      </c>
      <c r="B191" s="3" t="s">
        <v>44</v>
      </c>
      <c r="C191" s="3"/>
    </row>
    <row r="192" customFormat="false" ht="15" hidden="false" customHeight="true" outlineLevel="0" collapsed="false">
      <c r="A192" s="3" t="s">
        <v>235</v>
      </c>
      <c r="B192" s="3" t="s">
        <v>44</v>
      </c>
      <c r="C192" s="3"/>
    </row>
    <row r="193" customFormat="false" ht="15" hidden="false" customHeight="true" outlineLevel="0" collapsed="false">
      <c r="A193" s="3" t="s">
        <v>236</v>
      </c>
      <c r="B193" s="3" t="s">
        <v>44</v>
      </c>
      <c r="C193" s="3"/>
    </row>
    <row r="194" customFormat="false" ht="15" hidden="false" customHeight="true" outlineLevel="0" collapsed="false">
      <c r="A194" s="3" t="s">
        <v>237</v>
      </c>
      <c r="B194" s="3" t="s">
        <v>44</v>
      </c>
      <c r="C194" s="3"/>
    </row>
    <row r="195" customFormat="false" ht="15" hidden="false" customHeight="true" outlineLevel="0" collapsed="false">
      <c r="A195" s="3" t="s">
        <v>238</v>
      </c>
      <c r="B195" s="3" t="s">
        <v>44</v>
      </c>
      <c r="C195" s="3"/>
    </row>
    <row r="196" customFormat="false" ht="15" hidden="false" customHeight="true" outlineLevel="0" collapsed="false">
      <c r="A196" s="3" t="s">
        <v>239</v>
      </c>
      <c r="B196" s="3" t="s">
        <v>44</v>
      </c>
      <c r="C196" s="3"/>
    </row>
    <row r="197" customFormat="false" ht="15" hidden="false" customHeight="true" outlineLevel="0" collapsed="false">
      <c r="A197" s="3" t="s">
        <v>240</v>
      </c>
      <c r="B197" s="3" t="s">
        <v>44</v>
      </c>
      <c r="C197" s="3"/>
    </row>
    <row r="198" customFormat="false" ht="15" hidden="false" customHeight="true" outlineLevel="0" collapsed="false">
      <c r="A198" s="3" t="s">
        <v>241</v>
      </c>
      <c r="B198" s="3" t="s">
        <v>44</v>
      </c>
      <c r="C198" s="3"/>
    </row>
    <row r="199" customFormat="false" ht="15" hidden="false" customHeight="true" outlineLevel="0" collapsed="false">
      <c r="A199" s="3" t="s">
        <v>242</v>
      </c>
      <c r="B199" s="3" t="s">
        <v>44</v>
      </c>
      <c r="C199" s="3"/>
    </row>
    <row r="200" customFormat="false" ht="15" hidden="false" customHeight="true" outlineLevel="0" collapsed="false">
      <c r="A200" s="3" t="s">
        <v>243</v>
      </c>
      <c r="B200" s="3" t="s">
        <v>40</v>
      </c>
      <c r="C200" s="3"/>
    </row>
    <row r="201" customFormat="false" ht="15" hidden="false" customHeight="true" outlineLevel="0" collapsed="false">
      <c r="A201" s="3" t="s">
        <v>244</v>
      </c>
      <c r="B201" s="3" t="s">
        <v>40</v>
      </c>
      <c r="C201" s="3"/>
    </row>
    <row r="202" customFormat="false" ht="15" hidden="false" customHeight="true" outlineLevel="0" collapsed="false">
      <c r="A202" s="3" t="s">
        <v>245</v>
      </c>
      <c r="B202" s="3" t="s">
        <v>40</v>
      </c>
      <c r="C202" s="3"/>
    </row>
    <row r="203" customFormat="false" ht="15" hidden="false" customHeight="true" outlineLevel="0" collapsed="false">
      <c r="A203" s="3" t="s">
        <v>246</v>
      </c>
      <c r="B203" s="3" t="s">
        <v>44</v>
      </c>
      <c r="C203" s="3"/>
    </row>
    <row r="204" customFormat="false" ht="15" hidden="false" customHeight="true" outlineLevel="0" collapsed="false">
      <c r="A204" s="3" t="s">
        <v>247</v>
      </c>
      <c r="B204" s="3" t="s">
        <v>44</v>
      </c>
      <c r="C204" s="3"/>
    </row>
    <row r="205" customFormat="false" ht="15" hidden="false" customHeight="true" outlineLevel="0" collapsed="false">
      <c r="A205" s="3" t="s">
        <v>248</v>
      </c>
      <c r="B205" s="3" t="s">
        <v>44</v>
      </c>
      <c r="C205" s="3"/>
    </row>
    <row r="206" customFormat="false" ht="15" hidden="false" customHeight="true" outlineLevel="0" collapsed="false">
      <c r="A206" s="3" t="s">
        <v>249</v>
      </c>
      <c r="B206" s="3" t="s">
        <v>44</v>
      </c>
      <c r="C206" s="3"/>
    </row>
    <row r="207" customFormat="false" ht="15" hidden="false" customHeight="true" outlineLevel="0" collapsed="false">
      <c r="A207" s="3" t="s">
        <v>250</v>
      </c>
      <c r="B207" s="3" t="s">
        <v>49</v>
      </c>
      <c r="C207" s="3"/>
    </row>
    <row r="208" customFormat="false" ht="15" hidden="false" customHeight="true" outlineLevel="0" collapsed="false">
      <c r="A208" s="3" t="s">
        <v>251</v>
      </c>
      <c r="B208" s="3" t="s">
        <v>44</v>
      </c>
      <c r="C208" s="3"/>
    </row>
    <row r="209" customFormat="false" ht="15" hidden="false" customHeight="true" outlineLevel="0" collapsed="false">
      <c r="A209" s="3" t="s">
        <v>252</v>
      </c>
      <c r="B209" s="3" t="s">
        <v>44</v>
      </c>
      <c r="C209" s="3"/>
    </row>
    <row r="210" customFormat="false" ht="15" hidden="false" customHeight="true" outlineLevel="0" collapsed="false">
      <c r="A210" s="3" t="s">
        <v>253</v>
      </c>
      <c r="B210" s="3" t="s">
        <v>49</v>
      </c>
      <c r="C210" s="3"/>
    </row>
    <row r="211" customFormat="false" ht="15" hidden="false" customHeight="true" outlineLevel="0" collapsed="false">
      <c r="A211" s="3" t="s">
        <v>254</v>
      </c>
      <c r="B211" s="3" t="s">
        <v>40</v>
      </c>
      <c r="C211" s="3"/>
    </row>
    <row r="212" customFormat="false" ht="15" hidden="false" customHeight="true" outlineLevel="0" collapsed="false">
      <c r="A212" s="3" t="s">
        <v>255</v>
      </c>
      <c r="B212" s="3" t="s">
        <v>40</v>
      </c>
      <c r="C212" s="3"/>
    </row>
    <row r="213" customFormat="false" ht="15" hidden="false" customHeight="true" outlineLevel="0" collapsed="false">
      <c r="A213" s="3" t="s">
        <v>256</v>
      </c>
      <c r="B213" s="3" t="s">
        <v>40</v>
      </c>
      <c r="C213" s="3"/>
    </row>
    <row r="214" customFormat="false" ht="15" hidden="false" customHeight="true" outlineLevel="0" collapsed="false">
      <c r="A214" s="3" t="s">
        <v>257</v>
      </c>
      <c r="B214" s="3" t="s">
        <v>40</v>
      </c>
      <c r="C214" s="3"/>
    </row>
    <row r="215" customFormat="false" ht="15" hidden="false" customHeight="true" outlineLevel="0" collapsed="false">
      <c r="A215" s="3" t="s">
        <v>258</v>
      </c>
      <c r="B215" s="3" t="s">
        <v>40</v>
      </c>
      <c r="C215" s="3"/>
    </row>
    <row r="216" customFormat="false" ht="15" hidden="false" customHeight="true" outlineLevel="0" collapsed="false">
      <c r="A216" s="3" t="s">
        <v>259</v>
      </c>
      <c r="B216" s="3" t="s">
        <v>40</v>
      </c>
      <c r="C216" s="3"/>
    </row>
    <row r="217" customFormat="false" ht="15" hidden="false" customHeight="true" outlineLevel="0" collapsed="false">
      <c r="A217" s="3" t="s">
        <v>260</v>
      </c>
      <c r="B217" s="3" t="s">
        <v>40</v>
      </c>
      <c r="C217" s="3"/>
    </row>
    <row r="218" customFormat="false" ht="15" hidden="false" customHeight="true" outlineLevel="0" collapsed="false">
      <c r="A218" s="3" t="s">
        <v>261</v>
      </c>
      <c r="B218" s="3" t="s">
        <v>40</v>
      </c>
      <c r="C218" s="3"/>
    </row>
    <row r="219" customFormat="false" ht="15" hidden="false" customHeight="true" outlineLevel="0" collapsed="false">
      <c r="A219" s="3" t="s">
        <v>262</v>
      </c>
      <c r="B219" s="3" t="s">
        <v>44</v>
      </c>
      <c r="C219" s="3"/>
    </row>
    <row r="220" customFormat="false" ht="15" hidden="false" customHeight="true" outlineLevel="0" collapsed="false">
      <c r="A220" s="3" t="s">
        <v>263</v>
      </c>
      <c r="B220" s="3" t="s">
        <v>40</v>
      </c>
      <c r="C220" s="3"/>
    </row>
    <row r="221" customFormat="false" ht="15" hidden="false" customHeight="true" outlineLevel="0" collapsed="false">
      <c r="A221" s="3" t="s">
        <v>264</v>
      </c>
      <c r="B221" s="3" t="s">
        <v>44</v>
      </c>
      <c r="C221" s="3"/>
    </row>
    <row r="222" customFormat="false" ht="15" hidden="false" customHeight="true" outlineLevel="0" collapsed="false">
      <c r="A222" s="3" t="s">
        <v>265</v>
      </c>
      <c r="B222" s="3" t="s">
        <v>40</v>
      </c>
      <c r="C222" s="3" t="s">
        <v>266</v>
      </c>
    </row>
    <row r="223" customFormat="false" ht="15" hidden="false" customHeight="true" outlineLevel="0" collapsed="false">
      <c r="A223" s="3" t="s">
        <v>267</v>
      </c>
      <c r="B223" s="3" t="s">
        <v>40</v>
      </c>
      <c r="C223" s="3" t="s">
        <v>266</v>
      </c>
    </row>
    <row r="224" customFormat="false" ht="15" hidden="false" customHeight="true" outlineLevel="0" collapsed="false">
      <c r="A224" s="3" t="s">
        <v>268</v>
      </c>
      <c r="B224" s="3" t="s">
        <v>40</v>
      </c>
      <c r="C224" s="3" t="s">
        <v>266</v>
      </c>
    </row>
    <row r="225" customFormat="false" ht="15" hidden="false" customHeight="true" outlineLevel="0" collapsed="false">
      <c r="A225" s="3" t="s">
        <v>269</v>
      </c>
      <c r="B225" s="3" t="s">
        <v>44</v>
      </c>
      <c r="C225" s="3" t="s">
        <v>266</v>
      </c>
    </row>
    <row r="226" customFormat="false" ht="15" hidden="false" customHeight="true" outlineLevel="0" collapsed="false">
      <c r="A226" s="3" t="s">
        <v>270</v>
      </c>
      <c r="B226" s="3" t="s">
        <v>44</v>
      </c>
      <c r="C226" s="3" t="s">
        <v>266</v>
      </c>
    </row>
    <row r="227" customFormat="false" ht="15" hidden="false" customHeight="true" outlineLevel="0" collapsed="false">
      <c r="A227" s="3" t="s">
        <v>271</v>
      </c>
      <c r="B227" s="3" t="s">
        <v>44</v>
      </c>
      <c r="C227" s="3" t="s">
        <v>266</v>
      </c>
    </row>
    <row r="228" customFormat="false" ht="15" hidden="false" customHeight="true" outlineLevel="0" collapsed="false">
      <c r="A228" s="3" t="s">
        <v>272</v>
      </c>
      <c r="B228" s="3" t="s">
        <v>44</v>
      </c>
      <c r="C228" s="3" t="s">
        <v>266</v>
      </c>
    </row>
    <row r="229" customFormat="false" ht="15" hidden="false" customHeight="true" outlineLevel="0" collapsed="false">
      <c r="A229" s="3" t="s">
        <v>273</v>
      </c>
      <c r="B229" s="3" t="s">
        <v>44</v>
      </c>
      <c r="C229" s="3" t="s">
        <v>266</v>
      </c>
    </row>
    <row r="230" customFormat="false" ht="15" hidden="false" customHeight="true" outlineLevel="0" collapsed="false">
      <c r="A230" s="3" t="s">
        <v>274</v>
      </c>
      <c r="B230" s="3" t="s">
        <v>49</v>
      </c>
      <c r="C230" s="3" t="s">
        <v>266</v>
      </c>
    </row>
    <row r="231" customFormat="false" ht="15" hidden="false" customHeight="true" outlineLevel="0" collapsed="false">
      <c r="A231" s="3" t="s">
        <v>275</v>
      </c>
      <c r="B231" s="3" t="s">
        <v>44</v>
      </c>
      <c r="C231" s="3" t="s">
        <v>276</v>
      </c>
    </row>
    <row r="232" customFormat="false" ht="15" hidden="false" customHeight="true" outlineLevel="0" collapsed="false">
      <c r="A232" s="3" t="s">
        <v>277</v>
      </c>
      <c r="B232" s="3" t="s">
        <v>49</v>
      </c>
      <c r="C232" s="3" t="s">
        <v>266</v>
      </c>
    </row>
    <row r="233" customFormat="false" ht="15" hidden="false" customHeight="true" outlineLevel="0" collapsed="false">
      <c r="A233" s="3" t="s">
        <v>278</v>
      </c>
      <c r="B233" s="3" t="s">
        <v>40</v>
      </c>
      <c r="C233" s="3"/>
    </row>
    <row r="234" customFormat="false" ht="15" hidden="false" customHeight="true" outlineLevel="0" collapsed="false">
      <c r="A234" s="3" t="s">
        <v>279</v>
      </c>
      <c r="B234" s="3" t="s">
        <v>40</v>
      </c>
      <c r="C234" s="3"/>
    </row>
    <row r="235" customFormat="false" ht="15" hidden="false" customHeight="true" outlineLevel="0" collapsed="false">
      <c r="A235" s="3" t="s">
        <v>280</v>
      </c>
      <c r="B235" s="3" t="s">
        <v>40</v>
      </c>
      <c r="C235" s="3"/>
    </row>
    <row r="236" customFormat="false" ht="15" hidden="false" customHeight="true" outlineLevel="0" collapsed="false">
      <c r="A236" s="3" t="s">
        <v>281</v>
      </c>
      <c r="B236" s="3" t="s">
        <v>44</v>
      </c>
      <c r="C236" s="3"/>
    </row>
    <row r="237" customFormat="false" ht="15" hidden="false" customHeight="true" outlineLevel="0" collapsed="false">
      <c r="A237" s="3" t="s">
        <v>282</v>
      </c>
      <c r="B237" s="3" t="s">
        <v>44</v>
      </c>
      <c r="C237" s="3"/>
    </row>
    <row r="238" customFormat="false" ht="15" hidden="false" customHeight="true" outlineLevel="0" collapsed="false">
      <c r="A238" s="3" t="s">
        <v>283</v>
      </c>
      <c r="B238" s="3" t="s">
        <v>44</v>
      </c>
      <c r="C238" s="3"/>
    </row>
    <row r="239" customFormat="false" ht="15" hidden="false" customHeight="true" outlineLevel="0" collapsed="false">
      <c r="A239" s="3" t="s">
        <v>284</v>
      </c>
      <c r="B239" s="3" t="s">
        <v>40</v>
      </c>
      <c r="C239" s="3" t="s">
        <v>150</v>
      </c>
    </row>
    <row r="240" customFormat="false" ht="15" hidden="false" customHeight="true" outlineLevel="0" collapsed="false">
      <c r="A240" s="3" t="s">
        <v>285</v>
      </c>
      <c r="B240" s="3" t="s">
        <v>44</v>
      </c>
      <c r="C240" s="3"/>
    </row>
    <row r="241" customFormat="false" ht="15" hidden="false" customHeight="true" outlineLevel="0" collapsed="false">
      <c r="A241" s="3" t="s">
        <v>286</v>
      </c>
      <c r="B241" s="3" t="s">
        <v>44</v>
      </c>
      <c r="C241" s="3"/>
    </row>
    <row r="242" customFormat="false" ht="15" hidden="false" customHeight="true" outlineLevel="0" collapsed="false">
      <c r="A242" s="3" t="s">
        <v>287</v>
      </c>
      <c r="B242" s="3" t="s">
        <v>40</v>
      </c>
      <c r="C242" s="3" t="s">
        <v>74</v>
      </c>
    </row>
    <row r="243" customFormat="false" ht="15" hidden="false" customHeight="true" outlineLevel="0" collapsed="false">
      <c r="A243" s="3" t="s">
        <v>288</v>
      </c>
      <c r="B243" s="3" t="s">
        <v>49</v>
      </c>
      <c r="C243" s="3"/>
    </row>
    <row r="244" customFormat="false" ht="15" hidden="false" customHeight="true" outlineLevel="0" collapsed="false">
      <c r="A244" s="3" t="s">
        <v>289</v>
      </c>
      <c r="B244" s="3" t="s">
        <v>40</v>
      </c>
      <c r="C244" s="3"/>
    </row>
    <row r="245" customFormat="false" ht="15" hidden="false" customHeight="true" outlineLevel="0" collapsed="false">
      <c r="A245" s="3" t="s">
        <v>290</v>
      </c>
      <c r="B245" s="3" t="s">
        <v>40</v>
      </c>
      <c r="C245" s="3"/>
    </row>
    <row r="246" customFormat="false" ht="15" hidden="false" customHeight="true" outlineLevel="0" collapsed="false">
      <c r="A246" s="3" t="s">
        <v>291</v>
      </c>
      <c r="B246" s="3" t="s">
        <v>40</v>
      </c>
      <c r="C246" s="3"/>
    </row>
    <row r="247" customFormat="false" ht="15" hidden="false" customHeight="true" outlineLevel="0" collapsed="false">
      <c r="A247" s="3" t="s">
        <v>292</v>
      </c>
      <c r="B247" s="3" t="s">
        <v>44</v>
      </c>
      <c r="C247" s="3"/>
    </row>
    <row r="248" customFormat="false" ht="15" hidden="false" customHeight="true" outlineLevel="0" collapsed="false">
      <c r="A248" s="3" t="s">
        <v>293</v>
      </c>
      <c r="B248" s="3" t="s">
        <v>44</v>
      </c>
      <c r="C248" s="3"/>
    </row>
    <row r="249" customFormat="false" ht="15" hidden="false" customHeight="true" outlineLevel="0" collapsed="false">
      <c r="A249" s="3" t="s">
        <v>294</v>
      </c>
      <c r="B249" s="3" t="s">
        <v>44</v>
      </c>
      <c r="C249" s="3"/>
    </row>
    <row r="250" customFormat="false" ht="15" hidden="false" customHeight="true" outlineLevel="0" collapsed="false">
      <c r="A250" s="3" t="s">
        <v>295</v>
      </c>
      <c r="B250" s="3" t="s">
        <v>44</v>
      </c>
      <c r="C250" s="3"/>
    </row>
    <row r="251" customFormat="false" ht="15" hidden="false" customHeight="true" outlineLevel="0" collapsed="false">
      <c r="A251" s="3" t="s">
        <v>296</v>
      </c>
      <c r="B251" s="3" t="s">
        <v>44</v>
      </c>
      <c r="C251" s="3"/>
    </row>
    <row r="252" customFormat="false" ht="15" hidden="false" customHeight="true" outlineLevel="0" collapsed="false">
      <c r="A252" s="3" t="s">
        <v>297</v>
      </c>
      <c r="B252" s="3" t="s">
        <v>44</v>
      </c>
      <c r="C252" s="3"/>
    </row>
    <row r="253" customFormat="false" ht="15" hidden="false" customHeight="true" outlineLevel="0" collapsed="false">
      <c r="A253" s="3" t="s">
        <v>298</v>
      </c>
      <c r="B253" s="3" t="s">
        <v>44</v>
      </c>
      <c r="C253" s="3"/>
    </row>
    <row r="254" customFormat="false" ht="15" hidden="false" customHeight="true" outlineLevel="0" collapsed="false">
      <c r="A254" s="3" t="s">
        <v>299</v>
      </c>
      <c r="B254" s="3" t="s">
        <v>49</v>
      </c>
      <c r="C254" s="3"/>
    </row>
    <row r="255" customFormat="false" ht="15" hidden="false" customHeight="true" outlineLevel="0" collapsed="false">
      <c r="A255" s="3" t="s">
        <v>300</v>
      </c>
      <c r="B255" s="3" t="s">
        <v>44</v>
      </c>
      <c r="C255" s="3"/>
    </row>
    <row r="256" customFormat="false" ht="15" hidden="false" customHeight="true" outlineLevel="0" collapsed="false">
      <c r="A256" s="3" t="s">
        <v>301</v>
      </c>
      <c r="B256" s="3" t="s">
        <v>44</v>
      </c>
      <c r="C256" s="3"/>
    </row>
    <row r="257" customFormat="false" ht="15" hidden="false" customHeight="true" outlineLevel="0" collapsed="false">
      <c r="A257" s="3" t="s">
        <v>302</v>
      </c>
      <c r="B257" s="3" t="s">
        <v>44</v>
      </c>
      <c r="C257" s="3"/>
    </row>
    <row r="258" customFormat="false" ht="15" hidden="false" customHeight="true" outlineLevel="0" collapsed="false">
      <c r="A258" s="3" t="s">
        <v>303</v>
      </c>
      <c r="B258" s="3" t="s">
        <v>44</v>
      </c>
      <c r="C258" s="3"/>
    </row>
    <row r="259" customFormat="false" ht="15" hidden="false" customHeight="true" outlineLevel="0" collapsed="false">
      <c r="A259" s="3" t="s">
        <v>304</v>
      </c>
      <c r="B259" s="3" t="s">
        <v>44</v>
      </c>
      <c r="C259" s="3"/>
    </row>
    <row r="260" customFormat="false" ht="15" hidden="false" customHeight="true" outlineLevel="0" collapsed="false">
      <c r="A260" s="3" t="s">
        <v>305</v>
      </c>
      <c r="B260" s="3" t="s">
        <v>44</v>
      </c>
      <c r="C260" s="3"/>
    </row>
    <row r="261" customFormat="false" ht="15" hidden="false" customHeight="true" outlineLevel="0" collapsed="false">
      <c r="A261" s="3" t="s">
        <v>306</v>
      </c>
      <c r="B261" s="3" t="s">
        <v>44</v>
      </c>
      <c r="C261" s="3"/>
    </row>
    <row r="262" customFormat="false" ht="15" hidden="false" customHeight="true" outlineLevel="0" collapsed="false">
      <c r="A262" s="3" t="s">
        <v>307</v>
      </c>
      <c r="B262" s="3" t="s">
        <v>44</v>
      </c>
      <c r="C262" s="3"/>
    </row>
    <row r="263" customFormat="false" ht="15" hidden="false" customHeight="true" outlineLevel="0" collapsed="false">
      <c r="A263" s="3" t="s">
        <v>308</v>
      </c>
      <c r="B263" s="3" t="s">
        <v>44</v>
      </c>
      <c r="C263" s="3"/>
    </row>
    <row r="264" customFormat="false" ht="15" hidden="false" customHeight="true" outlineLevel="0" collapsed="false">
      <c r="A264" s="3" t="s">
        <v>309</v>
      </c>
      <c r="B264" s="3" t="s">
        <v>44</v>
      </c>
      <c r="C264" s="3"/>
    </row>
    <row r="265" customFormat="false" ht="15" hidden="false" customHeight="true" outlineLevel="0" collapsed="false">
      <c r="A265" s="3" t="s">
        <v>310</v>
      </c>
      <c r="B265" s="3" t="s">
        <v>44</v>
      </c>
      <c r="C26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0"/>
    <col collapsed="false" customWidth="true" hidden="false" outlineLevel="0" max="3" min="3" style="1" width="28"/>
    <col collapsed="false" customWidth="true" hidden="false" outlineLevel="0" max="4" min="4" style="1" width="16"/>
    <col collapsed="false" customWidth="true" hidden="false" outlineLevel="0" max="5" min="5" style="1" width="40"/>
  </cols>
  <sheetData>
    <row r="1" customFormat="false" ht="15" hidden="false" customHeight="true" outlineLevel="0" collapsed="false">
      <c r="A1" s="5" t="s">
        <v>311</v>
      </c>
      <c r="B1" s="5" t="s">
        <v>312</v>
      </c>
      <c r="C1" s="5" t="s">
        <v>313</v>
      </c>
      <c r="D1" s="5" t="s">
        <v>314</v>
      </c>
      <c r="E1" s="5" t="s">
        <v>315</v>
      </c>
    </row>
    <row r="2" customFormat="false" ht="15" hidden="false" customHeight="true" outlineLevel="0" collapsed="false">
      <c r="A2" s="6" t="s">
        <v>316</v>
      </c>
      <c r="B2" s="6" t="s">
        <v>317</v>
      </c>
      <c r="C2" s="6" t="s">
        <v>318</v>
      </c>
      <c r="D2" s="6"/>
      <c r="E2" s="6"/>
    </row>
    <row r="3" customFormat="false" ht="15" hidden="false" customHeight="true" outlineLevel="0" collapsed="false">
      <c r="A3" s="6" t="s">
        <v>319</v>
      </c>
      <c r="B3" s="6" t="s">
        <v>320</v>
      </c>
      <c r="C3" s="6" t="s">
        <v>321</v>
      </c>
      <c r="D3" s="6"/>
      <c r="E3" s="6"/>
    </row>
    <row r="4" customFormat="false" ht="15" hidden="false" customHeight="true" outlineLevel="0" collapsed="false">
      <c r="A4" s="6" t="s">
        <v>322</v>
      </c>
      <c r="B4" s="6" t="s">
        <v>323</v>
      </c>
      <c r="C4" s="6" t="s">
        <v>324</v>
      </c>
      <c r="D4" s="6"/>
      <c r="E4" s="6"/>
    </row>
    <row r="5" customFormat="false" ht="15" hidden="false" customHeight="true" outlineLevel="0" collapsed="false">
      <c r="A5" s="6" t="s">
        <v>325</v>
      </c>
      <c r="B5" s="6" t="s">
        <v>326</v>
      </c>
      <c r="C5" s="6" t="s">
        <v>327</v>
      </c>
      <c r="D5" s="6"/>
      <c r="E5" s="6"/>
    </row>
    <row r="6" customFormat="false" ht="15" hidden="false" customHeight="true" outlineLevel="0" collapsed="false">
      <c r="A6" s="6" t="s">
        <v>328</v>
      </c>
      <c r="B6" s="6" t="s">
        <v>329</v>
      </c>
      <c r="C6" s="6" t="s">
        <v>330</v>
      </c>
      <c r="D6" s="6"/>
      <c r="E6" s="6"/>
    </row>
    <row r="7" customFormat="false" ht="15" hidden="false" customHeight="true" outlineLevel="0" collapsed="false">
      <c r="A7" s="6" t="s">
        <v>331</v>
      </c>
      <c r="B7" s="6" t="s">
        <v>332</v>
      </c>
      <c r="C7" s="6" t="s">
        <v>333</v>
      </c>
      <c r="D7" s="6" t="s">
        <v>334</v>
      </c>
      <c r="E7" s="6" t="s">
        <v>335</v>
      </c>
    </row>
    <row r="8" customFormat="false" ht="15" hidden="false" customHeight="true" outlineLevel="0" collapsed="false">
      <c r="A8" s="6" t="s">
        <v>336</v>
      </c>
      <c r="B8" s="6" t="s">
        <v>337</v>
      </c>
      <c r="C8" s="6" t="s">
        <v>318</v>
      </c>
      <c r="D8" s="6" t="s">
        <v>334</v>
      </c>
      <c r="E8" s="6" t="s">
        <v>338</v>
      </c>
    </row>
    <row r="9" customFormat="false" ht="15" hidden="false" customHeight="true" outlineLevel="0" collapsed="false">
      <c r="A9" s="6" t="s">
        <v>339</v>
      </c>
      <c r="B9" s="6" t="s">
        <v>340</v>
      </c>
      <c r="C9" s="6" t="s">
        <v>341</v>
      </c>
      <c r="D9" s="6" t="s">
        <v>334</v>
      </c>
      <c r="E9" s="6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3" min="3" style="1" width="50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0"/>
    <col collapsed="false" customWidth="true" hidden="false" outlineLevel="0" max="8" min="7" style="1" width="14"/>
    <col collapsed="false" customWidth="true" hidden="false" outlineLevel="0" max="9" min="9" style="1" width="24"/>
    <col collapsed="false" customWidth="true" hidden="false" outlineLevel="0" max="10" min="10" style="1" width="11"/>
    <col collapsed="false" customWidth="true" hidden="false" outlineLevel="0" max="13" min="11" style="1" width="12"/>
    <col collapsed="false" customWidth="true" hidden="false" outlineLevel="0" max="14" min="14" style="1" width="14"/>
    <col collapsed="false" customWidth="true" hidden="false" outlineLevel="0" max="15" min="15" style="1" width="12"/>
    <col collapsed="false" customWidth="true" hidden="false" outlineLevel="0" max="17" min="16" style="1" width="10"/>
    <col collapsed="false" customWidth="true" hidden="false" outlineLevel="0" max="18" min="18" style="1" width="30"/>
  </cols>
  <sheetData>
    <row r="1" customFormat="false" ht="15" hidden="false" customHeight="true" outlineLevel="0" collapsed="false">
      <c r="A1" s="5" t="s">
        <v>342</v>
      </c>
      <c r="B1" s="5" t="s">
        <v>343</v>
      </c>
      <c r="C1" s="5" t="s">
        <v>344</v>
      </c>
      <c r="D1" s="5" t="s">
        <v>345</v>
      </c>
      <c r="E1" s="5" t="s">
        <v>346</v>
      </c>
      <c r="F1" s="5" t="s">
        <v>347</v>
      </c>
      <c r="G1" s="5" t="s">
        <v>348</v>
      </c>
      <c r="H1" s="5" t="s">
        <v>349</v>
      </c>
      <c r="I1" s="5" t="s">
        <v>350</v>
      </c>
      <c r="J1" s="5" t="s">
        <v>351</v>
      </c>
      <c r="K1" s="5" t="s">
        <v>352</v>
      </c>
      <c r="L1" s="5" t="s">
        <v>353</v>
      </c>
      <c r="M1" s="5" t="s">
        <v>354</v>
      </c>
      <c r="N1" s="5" t="s">
        <v>355</v>
      </c>
      <c r="O1" s="5" t="s">
        <v>356</v>
      </c>
      <c r="P1" s="5" t="s">
        <v>357</v>
      </c>
      <c r="Q1" s="5" t="s">
        <v>358</v>
      </c>
      <c r="R1" s="5" t="s">
        <v>315</v>
      </c>
    </row>
    <row r="2" customFormat="false" ht="15" hidden="false" customHeight="true" outlineLevel="0" collapsed="false">
      <c r="A2" s="6" t="s">
        <v>359</v>
      </c>
      <c r="B2" s="6" t="s">
        <v>360</v>
      </c>
      <c r="C2" s="6" t="s">
        <v>361</v>
      </c>
      <c r="D2" s="6" t="s">
        <v>362</v>
      </c>
      <c r="E2" s="6" t="n">
        <v>2018</v>
      </c>
      <c r="F2" s="6" t="s">
        <v>363</v>
      </c>
      <c r="G2" s="6" t="s">
        <v>364</v>
      </c>
      <c r="H2" s="6" t="s">
        <v>364</v>
      </c>
      <c r="I2" s="6"/>
      <c r="J2" s="6" t="s">
        <v>365</v>
      </c>
      <c r="K2" s="6" t="s">
        <v>366</v>
      </c>
      <c r="L2" s="6"/>
      <c r="M2" s="6"/>
      <c r="N2" s="3" t="str">
        <f aca="false">IF(L2="","",IF(2026-E2&gt;0,L2/(2026-E2),L2))</f>
        <v/>
      </c>
      <c r="O2" s="6" t="s">
        <v>367</v>
      </c>
      <c r="P2" s="6" t="s">
        <v>368</v>
      </c>
      <c r="Q2" s="6"/>
      <c r="R2" s="6" t="s">
        <v>369</v>
      </c>
    </row>
    <row r="3" customFormat="false" ht="15" hidden="false" customHeight="true" outlineLevel="0" collapsed="false">
      <c r="A3" s="6" t="s">
        <v>370</v>
      </c>
      <c r="B3" s="6" t="s">
        <v>371</v>
      </c>
      <c r="C3" s="6" t="s">
        <v>372</v>
      </c>
      <c r="D3" s="6" t="s">
        <v>362</v>
      </c>
      <c r="E3" s="6" t="n">
        <v>2020</v>
      </c>
      <c r="F3" s="6" t="s">
        <v>363</v>
      </c>
      <c r="G3" s="6" t="s">
        <v>364</v>
      </c>
      <c r="H3" s="6" t="s">
        <v>364</v>
      </c>
      <c r="I3" s="6"/>
      <c r="J3" s="6" t="s">
        <v>365</v>
      </c>
      <c r="K3" s="6" t="s">
        <v>367</v>
      </c>
      <c r="L3" s="6"/>
      <c r="M3" s="6"/>
      <c r="N3" s="3" t="str">
        <f aca="false">IF(L3="","",IF(2026-E3&gt;0,L3/(2026-E3),L3))</f>
        <v/>
      </c>
      <c r="O3" s="6" t="s">
        <v>367</v>
      </c>
      <c r="P3" s="6" t="s">
        <v>368</v>
      </c>
      <c r="Q3" s="6"/>
      <c r="R3" s="6" t="s">
        <v>373</v>
      </c>
    </row>
    <row r="4" customFormat="false" ht="15" hidden="false" customHeight="true" outlineLevel="0" collapsed="false">
      <c r="N4" s="1" t="str">
        <f aca="false">IF(L4="","",IF(2026-E4&gt;0,L4/(2026-E4),L4))</f>
        <v/>
      </c>
    </row>
    <row r="5" customFormat="false" ht="15" hidden="false" customHeight="true" outlineLevel="0" collapsed="false">
      <c r="N5" s="1" t="str">
        <f aca="false">IF(L5="","",IF(2026-E5&gt;0,L5/(2026-E5),L5))</f>
        <v/>
      </c>
    </row>
    <row r="6" customFormat="false" ht="15" hidden="false" customHeight="true" outlineLevel="0" collapsed="false">
      <c r="N6" s="1" t="str">
        <f aca="false">IF(L6="","",IF(2026-E6&gt;0,L6/(2026-E6),L6))</f>
        <v/>
      </c>
    </row>
    <row r="7" customFormat="false" ht="15" hidden="false" customHeight="true" outlineLevel="0" collapsed="false">
      <c r="N7" s="1" t="str">
        <f aca="false">IF(L7="","",IF(2026-E7&gt;0,L7/(2026-E7),L7))</f>
        <v/>
      </c>
    </row>
    <row r="8" customFormat="false" ht="15" hidden="false" customHeight="true" outlineLevel="0" collapsed="false">
      <c r="N8" s="1" t="str">
        <f aca="false">IF(L8="","",IF(2026-E8&gt;0,L8/(2026-E8),L8))</f>
        <v/>
      </c>
    </row>
    <row r="9" customFormat="false" ht="15" hidden="false" customHeight="true" outlineLevel="0" collapsed="false">
      <c r="N9" s="1" t="str">
        <f aca="false">IF(L9="","",IF(2026-E9&gt;0,L9/(2026-E9),L9))</f>
        <v/>
      </c>
    </row>
    <row r="10" customFormat="false" ht="15" hidden="false" customHeight="true" outlineLevel="0" collapsed="false">
      <c r="N10" s="1" t="str">
        <f aca="false">IF(L10="","",IF(2026-E10&gt;0,L10/(2026-E10),L10))</f>
        <v/>
      </c>
    </row>
    <row r="11" customFormat="false" ht="15" hidden="false" customHeight="true" outlineLevel="0" collapsed="false">
      <c r="N11" s="1" t="str">
        <f aca="false">IF(L11="","",IF(2026-E11&gt;0,L11/(2026-E11),L11))</f>
        <v/>
      </c>
    </row>
    <row r="12" customFormat="false" ht="15" hidden="false" customHeight="true" outlineLevel="0" collapsed="false">
      <c r="N12" s="1" t="str">
        <f aca="false">IF(L12="","",IF(2026-E12&gt;0,L12/(2026-E12),L12))</f>
        <v/>
      </c>
    </row>
    <row r="13" customFormat="false" ht="15" hidden="false" customHeight="true" outlineLevel="0" collapsed="false">
      <c r="N13" s="1" t="str">
        <f aca="false">IF(L13="","",IF(2026-E13&gt;0,L13/(2026-E13),L13))</f>
        <v/>
      </c>
    </row>
    <row r="14" customFormat="false" ht="15" hidden="false" customHeight="true" outlineLevel="0" collapsed="false">
      <c r="N14" s="1" t="str">
        <f aca="false">IF(L14="","",IF(2026-E14&gt;0,L14/(2026-E14),L14))</f>
        <v/>
      </c>
    </row>
    <row r="15" customFormat="false" ht="15" hidden="false" customHeight="true" outlineLevel="0" collapsed="false">
      <c r="N15" s="1" t="str">
        <f aca="false">IF(L15="","",IF(2026-E15&gt;0,L15/(2026-E15),L15))</f>
        <v/>
      </c>
    </row>
    <row r="16" customFormat="false" ht="15" hidden="false" customHeight="true" outlineLevel="0" collapsed="false">
      <c r="N16" s="1" t="str">
        <f aca="false">IF(L16="","",IF(2026-E16&gt;0,L16/(2026-E16),L16))</f>
        <v/>
      </c>
    </row>
    <row r="17" customFormat="false" ht="15" hidden="false" customHeight="true" outlineLevel="0" collapsed="false">
      <c r="N17" s="1" t="str">
        <f aca="false">IF(L17="","",IF(2026-E17&gt;0,L17/(2026-E17),L17))</f>
        <v/>
      </c>
    </row>
    <row r="18" customFormat="false" ht="15" hidden="false" customHeight="true" outlineLevel="0" collapsed="false">
      <c r="N18" s="1" t="str">
        <f aca="false">IF(L18="","",IF(2026-E18&gt;0,L18/(2026-E18),L18))</f>
        <v/>
      </c>
    </row>
    <row r="19" customFormat="false" ht="15" hidden="false" customHeight="true" outlineLevel="0" collapsed="false">
      <c r="N19" s="1" t="str">
        <f aca="false">IF(L19="","",IF(2026-E19&gt;0,L19/(2026-E19),L19))</f>
        <v/>
      </c>
    </row>
    <row r="20" customFormat="false" ht="15" hidden="false" customHeight="true" outlineLevel="0" collapsed="false">
      <c r="N20" s="1" t="str">
        <f aca="false">IF(L20="","",IF(2026-E20&gt;0,L20/(2026-E20),L20))</f>
        <v/>
      </c>
    </row>
    <row r="21" customFormat="false" ht="15" hidden="false" customHeight="true" outlineLevel="0" collapsed="false">
      <c r="N21" s="1" t="str">
        <f aca="false">IF(L21="","",IF(2026-E21&gt;0,L21/(2026-E21),L21))</f>
        <v/>
      </c>
    </row>
    <row r="22" customFormat="false" ht="15" hidden="false" customHeight="true" outlineLevel="0" collapsed="false">
      <c r="N22" s="1" t="str">
        <f aca="false">IF(L22="","",IF(2026-E22&gt;0,L22/(2026-E22),L22))</f>
        <v/>
      </c>
    </row>
    <row r="23" customFormat="false" ht="15" hidden="false" customHeight="true" outlineLevel="0" collapsed="false">
      <c r="N23" s="1" t="str">
        <f aca="false">IF(L23="","",IF(2026-E23&gt;0,L23/(2026-E23),L23))</f>
        <v/>
      </c>
    </row>
    <row r="24" customFormat="false" ht="15" hidden="false" customHeight="true" outlineLevel="0" collapsed="false">
      <c r="N24" s="1" t="str">
        <f aca="false">IF(L24="","",IF(2026-E24&gt;0,L24/(2026-E24),L24))</f>
        <v/>
      </c>
    </row>
    <row r="25" customFormat="false" ht="15" hidden="false" customHeight="true" outlineLevel="0" collapsed="false">
      <c r="N25" s="1" t="str">
        <f aca="false">IF(L25="","",IF(2026-E25&gt;0,L25/(2026-E25),L25))</f>
        <v/>
      </c>
    </row>
    <row r="26" customFormat="false" ht="15" hidden="false" customHeight="true" outlineLevel="0" collapsed="false">
      <c r="N26" s="1" t="str">
        <f aca="false">IF(L26="","",IF(2026-E26&gt;0,L26/(2026-E26),L26))</f>
        <v/>
      </c>
    </row>
    <row r="27" customFormat="false" ht="15" hidden="false" customHeight="true" outlineLevel="0" collapsed="false">
      <c r="N27" s="1" t="str">
        <f aca="false">IF(L27="","",IF(2026-E27&gt;0,L27/(2026-E27),L27))</f>
        <v/>
      </c>
    </row>
    <row r="28" customFormat="false" ht="15" hidden="false" customHeight="true" outlineLevel="0" collapsed="false">
      <c r="N28" s="1" t="str">
        <f aca="false">IF(L28="","",IF(2026-E28&gt;0,L28/(2026-E28),L28))</f>
        <v/>
      </c>
    </row>
    <row r="29" customFormat="false" ht="15" hidden="false" customHeight="true" outlineLevel="0" collapsed="false">
      <c r="N29" s="1" t="str">
        <f aca="false">IF(L29="","",IF(2026-E29&gt;0,L29/(2026-E29),L29))</f>
        <v/>
      </c>
    </row>
    <row r="30" customFormat="false" ht="15" hidden="false" customHeight="true" outlineLevel="0" collapsed="false">
      <c r="N30" s="1" t="str">
        <f aca="false">IF(L30="","",IF(2026-E30&gt;0,L30/(2026-E30),L30))</f>
        <v/>
      </c>
    </row>
    <row r="31" customFormat="false" ht="15" hidden="false" customHeight="true" outlineLevel="0" collapsed="false">
      <c r="N31" s="1" t="str">
        <f aca="false">IF(L31="","",IF(2026-E31&gt;0,L31/(2026-E31),L31))</f>
        <v/>
      </c>
    </row>
    <row r="32" customFormat="false" ht="15" hidden="false" customHeight="true" outlineLevel="0" collapsed="false">
      <c r="N32" s="1" t="str">
        <f aca="false">IF(L32="","",IF(2026-E32&gt;0,L32/(2026-E32),L32))</f>
        <v/>
      </c>
    </row>
    <row r="33" customFormat="false" ht="15" hidden="false" customHeight="true" outlineLevel="0" collapsed="false">
      <c r="N33" s="1" t="str">
        <f aca="false">IF(L33="","",IF(2026-E33&gt;0,L33/(2026-E33),L33))</f>
        <v/>
      </c>
    </row>
    <row r="34" customFormat="false" ht="15" hidden="false" customHeight="true" outlineLevel="0" collapsed="false">
      <c r="N34" s="1" t="str">
        <f aca="false">IF(L34="","",IF(2026-E34&gt;0,L34/(2026-E34),L34))</f>
        <v/>
      </c>
    </row>
    <row r="35" customFormat="false" ht="15" hidden="false" customHeight="true" outlineLevel="0" collapsed="false">
      <c r="N35" s="1" t="str">
        <f aca="false">IF(L35="","",IF(2026-E35&gt;0,L35/(2026-E35),L35))</f>
        <v/>
      </c>
    </row>
    <row r="36" customFormat="false" ht="15" hidden="false" customHeight="true" outlineLevel="0" collapsed="false">
      <c r="N36" s="1" t="str">
        <f aca="false">IF(L36="","",IF(2026-E36&gt;0,L36/(2026-E36),L36))</f>
        <v/>
      </c>
    </row>
    <row r="37" customFormat="false" ht="15" hidden="false" customHeight="true" outlineLevel="0" collapsed="false">
      <c r="N37" s="1" t="str">
        <f aca="false">IF(L37="","",IF(2026-E37&gt;0,L37/(2026-E37),L37))</f>
        <v/>
      </c>
    </row>
    <row r="38" customFormat="false" ht="15" hidden="false" customHeight="true" outlineLevel="0" collapsed="false">
      <c r="N38" s="1" t="str">
        <f aca="false">IF(L38="","",IF(2026-E38&gt;0,L38/(2026-E38),L38))</f>
        <v/>
      </c>
    </row>
    <row r="39" customFormat="false" ht="15" hidden="false" customHeight="true" outlineLevel="0" collapsed="false">
      <c r="N39" s="1" t="str">
        <f aca="false">IF(L39="","",IF(2026-E39&gt;0,L39/(2026-E39),L39))</f>
        <v/>
      </c>
    </row>
    <row r="40" customFormat="false" ht="15" hidden="false" customHeight="true" outlineLevel="0" collapsed="false">
      <c r="N40" s="1" t="str">
        <f aca="false">IF(L40="","",IF(2026-E40&gt;0,L40/(2026-E40),L40))</f>
        <v/>
      </c>
    </row>
    <row r="41" customFormat="false" ht="15" hidden="false" customHeight="true" outlineLevel="0" collapsed="false">
      <c r="N41" s="1" t="str">
        <f aca="false">IF(L41="","",IF(2026-E41&gt;0,L41/(2026-E41),L41))</f>
        <v/>
      </c>
    </row>
    <row r="42" customFormat="false" ht="15" hidden="false" customHeight="true" outlineLevel="0" collapsed="false">
      <c r="N42" s="1" t="str">
        <f aca="false">IF(L42="","",IF(2026-E42&gt;0,L42/(2026-E42),L42))</f>
        <v/>
      </c>
    </row>
    <row r="43" customFormat="false" ht="15" hidden="false" customHeight="true" outlineLevel="0" collapsed="false">
      <c r="N43" s="1" t="str">
        <f aca="false">IF(L43="","",IF(2026-E43&gt;0,L43/(2026-E43),L43))</f>
        <v/>
      </c>
    </row>
    <row r="44" customFormat="false" ht="15" hidden="false" customHeight="true" outlineLevel="0" collapsed="false">
      <c r="N44" s="1" t="str">
        <f aca="false">IF(L44="","",IF(2026-E44&gt;0,L44/(2026-E44),L44))</f>
        <v/>
      </c>
    </row>
    <row r="45" customFormat="false" ht="15" hidden="false" customHeight="true" outlineLevel="0" collapsed="false">
      <c r="N45" s="1" t="str">
        <f aca="false">IF(L45="","",IF(2026-E45&gt;0,L45/(2026-E45),L45))</f>
        <v/>
      </c>
    </row>
    <row r="46" customFormat="false" ht="15" hidden="false" customHeight="true" outlineLevel="0" collapsed="false">
      <c r="N46" s="1" t="str">
        <f aca="false">IF(L46="","",IF(2026-E46&gt;0,L46/(2026-E46),L46))</f>
        <v/>
      </c>
    </row>
    <row r="47" customFormat="false" ht="15" hidden="false" customHeight="true" outlineLevel="0" collapsed="false">
      <c r="N47" s="1" t="str">
        <f aca="false">IF(L47="","",IF(2026-E47&gt;0,L47/(2026-E47),L47))</f>
        <v/>
      </c>
    </row>
    <row r="48" customFormat="false" ht="15" hidden="false" customHeight="true" outlineLevel="0" collapsed="false">
      <c r="N48" s="1" t="str">
        <f aca="false">IF(L48="","",IF(2026-E48&gt;0,L48/(2026-E48),L48))</f>
        <v/>
      </c>
    </row>
    <row r="49" customFormat="false" ht="15" hidden="false" customHeight="true" outlineLevel="0" collapsed="false">
      <c r="N49" s="1" t="str">
        <f aca="false">IF(L49="","",IF(2026-E49&gt;0,L49/(2026-E49),L49))</f>
        <v/>
      </c>
    </row>
    <row r="50" customFormat="false" ht="15" hidden="false" customHeight="true" outlineLevel="0" collapsed="false">
      <c r="N50" s="1" t="str">
        <f aca="false">IF(L50="","",IF(2026-E50&gt;0,L50/(2026-E50),L50))</f>
        <v/>
      </c>
    </row>
    <row r="51" customFormat="false" ht="15" hidden="false" customHeight="true" outlineLevel="0" collapsed="false">
      <c r="N51" s="1" t="str">
        <f aca="false">IF(L51="","",IF(2026-E51&gt;0,L51/(2026-E51),L51))</f>
        <v/>
      </c>
    </row>
    <row r="52" customFormat="false" ht="15" hidden="false" customHeight="true" outlineLevel="0" collapsed="false">
      <c r="N52" s="1" t="str">
        <f aca="false">IF(L52="","",IF(2026-E52&gt;0,L52/(2026-E52),L52))</f>
        <v/>
      </c>
    </row>
    <row r="53" customFormat="false" ht="15" hidden="false" customHeight="true" outlineLevel="0" collapsed="false">
      <c r="N53" s="1" t="str">
        <f aca="false">IF(L53="","",IF(2026-E53&gt;0,L53/(2026-E53),L53))</f>
        <v/>
      </c>
    </row>
    <row r="54" customFormat="false" ht="15" hidden="false" customHeight="true" outlineLevel="0" collapsed="false">
      <c r="N54" s="1" t="str">
        <f aca="false">IF(L54="","",IF(2026-E54&gt;0,L54/(2026-E54),L54))</f>
        <v/>
      </c>
    </row>
    <row r="55" customFormat="false" ht="15" hidden="false" customHeight="true" outlineLevel="0" collapsed="false">
      <c r="N55" s="1" t="str">
        <f aca="false">IF(L55="","",IF(2026-E55&gt;0,L55/(2026-E55),L55))</f>
        <v/>
      </c>
    </row>
    <row r="56" customFormat="false" ht="15" hidden="false" customHeight="true" outlineLevel="0" collapsed="false">
      <c r="N56" s="1" t="str">
        <f aca="false">IF(L56="","",IF(2026-E56&gt;0,L56/(2026-E56),L56))</f>
        <v/>
      </c>
    </row>
    <row r="57" customFormat="false" ht="15" hidden="false" customHeight="true" outlineLevel="0" collapsed="false">
      <c r="N57" s="1" t="str">
        <f aca="false">IF(L57="","",IF(2026-E57&gt;0,L57/(2026-E57),L57))</f>
        <v/>
      </c>
    </row>
    <row r="58" customFormat="false" ht="15" hidden="false" customHeight="true" outlineLevel="0" collapsed="false">
      <c r="N58" s="1" t="str">
        <f aca="false">IF(L58="","",IF(2026-E58&gt;0,L58/(2026-E58),L58))</f>
        <v/>
      </c>
    </row>
    <row r="59" customFormat="false" ht="15" hidden="false" customHeight="true" outlineLevel="0" collapsed="false">
      <c r="N59" s="1" t="str">
        <f aca="false">IF(L59="","",IF(2026-E59&gt;0,L59/(2026-E59),L59))</f>
        <v/>
      </c>
    </row>
    <row r="60" customFormat="false" ht="15" hidden="false" customHeight="true" outlineLevel="0" collapsed="false">
      <c r="N60" s="1" t="str">
        <f aca="false">IF(L60="","",IF(2026-E60&gt;0,L60/(2026-E60),L60))</f>
        <v/>
      </c>
    </row>
    <row r="61" customFormat="false" ht="15" hidden="false" customHeight="true" outlineLevel="0" collapsed="false">
      <c r="N61" s="1" t="str">
        <f aca="false">IF(L61="","",IF(2026-E61&gt;0,L61/(2026-E61),L61))</f>
        <v/>
      </c>
    </row>
    <row r="62" customFormat="false" ht="15" hidden="false" customHeight="true" outlineLevel="0" collapsed="false">
      <c r="N62" s="1" t="str">
        <f aca="false">IF(L62="","",IF(2026-E62&gt;0,L62/(2026-E62),L62))</f>
        <v/>
      </c>
    </row>
    <row r="63" customFormat="false" ht="15" hidden="false" customHeight="true" outlineLevel="0" collapsed="false">
      <c r="N63" s="1" t="str">
        <f aca="false">IF(L63="","",IF(2026-E63&gt;0,L63/(2026-E63),L63))</f>
        <v/>
      </c>
    </row>
    <row r="64" customFormat="false" ht="15" hidden="false" customHeight="true" outlineLevel="0" collapsed="false">
      <c r="N64" s="1" t="str">
        <f aca="false">IF(L64="","",IF(2026-E64&gt;0,L64/(2026-E64),L64))</f>
        <v/>
      </c>
    </row>
    <row r="65" customFormat="false" ht="15" hidden="false" customHeight="true" outlineLevel="0" collapsed="false">
      <c r="N65" s="1" t="str">
        <f aca="false">IF(L65="","",IF(2026-E65&gt;0,L65/(2026-E65),L65))</f>
        <v/>
      </c>
    </row>
    <row r="66" customFormat="false" ht="15" hidden="false" customHeight="true" outlineLevel="0" collapsed="false">
      <c r="N66" s="1" t="str">
        <f aca="false">IF(L66="","",IF(2026-E66&gt;0,L66/(2026-E66),L66))</f>
        <v/>
      </c>
    </row>
    <row r="67" customFormat="false" ht="15" hidden="false" customHeight="true" outlineLevel="0" collapsed="false">
      <c r="N67" s="1" t="str">
        <f aca="false">IF(L67="","",IF(2026-E67&gt;0,L67/(2026-E67),L67))</f>
        <v/>
      </c>
    </row>
    <row r="68" customFormat="false" ht="15" hidden="false" customHeight="true" outlineLevel="0" collapsed="false">
      <c r="N68" s="1" t="str">
        <f aca="false">IF(L68="","",IF(2026-E68&gt;0,L68/(2026-E68),L68))</f>
        <v/>
      </c>
    </row>
    <row r="69" customFormat="false" ht="15" hidden="false" customHeight="true" outlineLevel="0" collapsed="false">
      <c r="N69" s="1" t="str">
        <f aca="false">IF(L69="","",IF(2026-E69&gt;0,L69/(2026-E69),L69))</f>
        <v/>
      </c>
    </row>
    <row r="70" customFormat="false" ht="15" hidden="false" customHeight="true" outlineLevel="0" collapsed="false">
      <c r="N70" s="1" t="str">
        <f aca="false">IF(L70="","",IF(2026-E70&gt;0,L70/(2026-E70),L70))</f>
        <v/>
      </c>
    </row>
    <row r="71" customFormat="false" ht="15" hidden="false" customHeight="true" outlineLevel="0" collapsed="false">
      <c r="N71" s="1" t="str">
        <f aca="false">IF(L71="","",IF(2026-E71&gt;0,L71/(2026-E71),L71))</f>
        <v/>
      </c>
    </row>
    <row r="72" customFormat="false" ht="15" hidden="false" customHeight="true" outlineLevel="0" collapsed="false">
      <c r="N72" s="1" t="str">
        <f aca="false">IF(L72="","",IF(2026-E72&gt;0,L72/(2026-E72),L72))</f>
        <v/>
      </c>
    </row>
    <row r="73" customFormat="false" ht="15" hidden="false" customHeight="true" outlineLevel="0" collapsed="false">
      <c r="N73" s="1" t="str">
        <f aca="false">IF(L73="","",IF(2026-E73&gt;0,L73/(2026-E73),L73))</f>
        <v/>
      </c>
    </row>
    <row r="74" customFormat="false" ht="15" hidden="false" customHeight="true" outlineLevel="0" collapsed="false">
      <c r="N74" s="1" t="str">
        <f aca="false">IF(L74="","",IF(2026-E74&gt;0,L74/(2026-E74),L74))</f>
        <v/>
      </c>
    </row>
    <row r="75" customFormat="false" ht="15" hidden="false" customHeight="true" outlineLevel="0" collapsed="false">
      <c r="N75" s="1" t="str">
        <f aca="false">IF(L75="","",IF(2026-E75&gt;0,L75/(2026-E75),L75))</f>
        <v/>
      </c>
    </row>
    <row r="76" customFormat="false" ht="15" hidden="false" customHeight="true" outlineLevel="0" collapsed="false">
      <c r="N76" s="1" t="str">
        <f aca="false">IF(L76="","",IF(2026-E76&gt;0,L76/(2026-E76),L76))</f>
        <v/>
      </c>
    </row>
    <row r="77" customFormat="false" ht="15" hidden="false" customHeight="true" outlineLevel="0" collapsed="false">
      <c r="N77" s="1" t="str">
        <f aca="false">IF(L77="","",IF(2026-E77&gt;0,L77/(2026-E77),L77))</f>
        <v/>
      </c>
    </row>
    <row r="78" customFormat="false" ht="15" hidden="false" customHeight="true" outlineLevel="0" collapsed="false">
      <c r="N78" s="1" t="str">
        <f aca="false">IF(L78="","",IF(2026-E78&gt;0,L78/(2026-E78),L78))</f>
        <v/>
      </c>
    </row>
    <row r="79" customFormat="false" ht="15" hidden="false" customHeight="true" outlineLevel="0" collapsed="false">
      <c r="N79" s="1" t="str">
        <f aca="false">IF(L79="","",IF(2026-E79&gt;0,L79/(2026-E79),L79))</f>
        <v/>
      </c>
    </row>
    <row r="80" customFormat="false" ht="15" hidden="false" customHeight="true" outlineLevel="0" collapsed="false">
      <c r="N80" s="1" t="str">
        <f aca="false">IF(L80="","",IF(2026-E80&gt;0,L80/(2026-E80),L80))</f>
        <v/>
      </c>
    </row>
    <row r="81" customFormat="false" ht="15" hidden="false" customHeight="true" outlineLevel="0" collapsed="false">
      <c r="N81" s="1" t="str">
        <f aca="false">IF(L81="","",IF(2026-E81&gt;0,L81/(2026-E81),L81))</f>
        <v/>
      </c>
    </row>
    <row r="82" customFormat="false" ht="15" hidden="false" customHeight="true" outlineLevel="0" collapsed="false">
      <c r="N82" s="1" t="str">
        <f aca="false">IF(L82="","",IF(2026-E82&gt;0,L82/(2026-E82),L82))</f>
        <v/>
      </c>
    </row>
    <row r="83" customFormat="false" ht="15" hidden="false" customHeight="true" outlineLevel="0" collapsed="false">
      <c r="N83" s="1" t="str">
        <f aca="false">IF(L83="","",IF(2026-E83&gt;0,L83/(2026-E83),L83))</f>
        <v/>
      </c>
    </row>
    <row r="84" customFormat="false" ht="15" hidden="false" customHeight="true" outlineLevel="0" collapsed="false">
      <c r="N84" s="1" t="str">
        <f aca="false">IF(L84="","",IF(2026-E84&gt;0,L84/(2026-E84),L84))</f>
        <v/>
      </c>
    </row>
    <row r="85" customFormat="false" ht="15" hidden="false" customHeight="true" outlineLevel="0" collapsed="false">
      <c r="N85" s="1" t="str">
        <f aca="false">IF(L85="","",IF(2026-E85&gt;0,L85/(2026-E85),L85))</f>
        <v/>
      </c>
    </row>
    <row r="86" customFormat="false" ht="15" hidden="false" customHeight="true" outlineLevel="0" collapsed="false">
      <c r="N86" s="1" t="str">
        <f aca="false">IF(L86="","",IF(2026-E86&gt;0,L86/(2026-E86),L86))</f>
        <v/>
      </c>
    </row>
    <row r="87" customFormat="false" ht="15" hidden="false" customHeight="true" outlineLevel="0" collapsed="false">
      <c r="N87" s="1" t="str">
        <f aca="false">IF(L87="","",IF(2026-E87&gt;0,L87/(2026-E87),L87))</f>
        <v/>
      </c>
    </row>
    <row r="88" customFormat="false" ht="15" hidden="false" customHeight="true" outlineLevel="0" collapsed="false">
      <c r="N88" s="1" t="str">
        <f aca="false">IF(L88="","",IF(2026-E88&gt;0,L88/(2026-E88),L88))</f>
        <v/>
      </c>
    </row>
    <row r="89" customFormat="false" ht="15" hidden="false" customHeight="true" outlineLevel="0" collapsed="false">
      <c r="N89" s="1" t="str">
        <f aca="false">IF(L89="","",IF(2026-E89&gt;0,L89/(2026-E89),L89))</f>
        <v/>
      </c>
    </row>
    <row r="90" customFormat="false" ht="15" hidden="false" customHeight="true" outlineLevel="0" collapsed="false">
      <c r="N90" s="1" t="str">
        <f aca="false">IF(L90="","",IF(2026-E90&gt;0,L90/(2026-E90),L90))</f>
        <v/>
      </c>
    </row>
    <row r="91" customFormat="false" ht="15" hidden="false" customHeight="true" outlineLevel="0" collapsed="false">
      <c r="N91" s="1" t="str">
        <f aca="false">IF(L91="","",IF(2026-E91&gt;0,L91/(2026-E91),L91))</f>
        <v/>
      </c>
    </row>
    <row r="92" customFormat="false" ht="15" hidden="false" customHeight="true" outlineLevel="0" collapsed="false">
      <c r="N92" s="1" t="str">
        <f aca="false">IF(L92="","",IF(2026-E92&gt;0,L92/(2026-E92),L92))</f>
        <v/>
      </c>
    </row>
    <row r="93" customFormat="false" ht="15" hidden="false" customHeight="true" outlineLevel="0" collapsed="false">
      <c r="N93" s="1" t="str">
        <f aca="false">IF(L93="","",IF(2026-E93&gt;0,L93/(2026-E93),L93))</f>
        <v/>
      </c>
    </row>
    <row r="94" customFormat="false" ht="15" hidden="false" customHeight="true" outlineLevel="0" collapsed="false">
      <c r="N94" s="1" t="str">
        <f aca="false">IF(L94="","",IF(2026-E94&gt;0,L94/(2026-E94),L94))</f>
        <v/>
      </c>
    </row>
    <row r="95" customFormat="false" ht="15" hidden="false" customHeight="true" outlineLevel="0" collapsed="false">
      <c r="N95" s="1" t="str">
        <f aca="false">IF(L95="","",IF(2026-E95&gt;0,L95/(2026-E95),L95))</f>
        <v/>
      </c>
    </row>
    <row r="96" customFormat="false" ht="15" hidden="false" customHeight="true" outlineLevel="0" collapsed="false">
      <c r="N96" s="1" t="str">
        <f aca="false">IF(L96="","",IF(2026-E96&gt;0,L96/(2026-E96),L96))</f>
        <v/>
      </c>
    </row>
    <row r="97" customFormat="false" ht="15" hidden="false" customHeight="true" outlineLevel="0" collapsed="false">
      <c r="N97" s="1" t="str">
        <f aca="false">IF(L97="","",IF(2026-E97&gt;0,L97/(2026-E97),L97))</f>
        <v/>
      </c>
    </row>
    <row r="98" customFormat="false" ht="15" hidden="false" customHeight="true" outlineLevel="0" collapsed="false">
      <c r="N98" s="1" t="str">
        <f aca="false">IF(L98="","",IF(2026-E98&gt;0,L98/(2026-E98),L98))</f>
        <v/>
      </c>
    </row>
    <row r="99" customFormat="false" ht="15" hidden="false" customHeight="true" outlineLevel="0" collapsed="false">
      <c r="N99" s="1" t="str">
        <f aca="false">IF(L99="","",IF(2026-E99&gt;0,L99/(2026-E99),L99))</f>
        <v/>
      </c>
    </row>
    <row r="100" customFormat="false" ht="15" hidden="false" customHeight="true" outlineLevel="0" collapsed="false">
      <c r="N100" s="1" t="str">
        <f aca="false">IF(L100="","",IF(2026-E100&gt;0,L100/(2026-E100),L100))</f>
        <v/>
      </c>
    </row>
    <row r="101" customFormat="false" ht="15" hidden="false" customHeight="true" outlineLevel="0" collapsed="false">
      <c r="N101" s="1" t="str">
        <f aca="false">IF(L101="","",IF(2026-E101&gt;0,L101/(2026-E101),L101))</f>
        <v/>
      </c>
    </row>
    <row r="102" customFormat="false" ht="15" hidden="false" customHeight="true" outlineLevel="0" collapsed="false">
      <c r="N102" s="1" t="str">
        <f aca="false">IF(L102="","",IF(2026-E102&gt;0,L102/(2026-E102),L102))</f>
        <v/>
      </c>
    </row>
    <row r="103" customFormat="false" ht="15" hidden="false" customHeight="true" outlineLevel="0" collapsed="false">
      <c r="N103" s="1" t="str">
        <f aca="false">IF(L103="","",IF(2026-E103&gt;0,L103/(2026-E103),L103))</f>
        <v/>
      </c>
    </row>
    <row r="104" customFormat="false" ht="15" hidden="false" customHeight="true" outlineLevel="0" collapsed="false">
      <c r="N104" s="1" t="str">
        <f aca="false">IF(L104="","",IF(2026-E104&gt;0,L104/(2026-E104),L104))</f>
        <v/>
      </c>
    </row>
    <row r="105" customFormat="false" ht="15" hidden="false" customHeight="true" outlineLevel="0" collapsed="false">
      <c r="N105" s="1" t="str">
        <f aca="false">IF(L105="","",IF(2026-E105&gt;0,L105/(2026-E105),L105))</f>
        <v/>
      </c>
    </row>
    <row r="106" customFormat="false" ht="15" hidden="false" customHeight="true" outlineLevel="0" collapsed="false">
      <c r="N106" s="1" t="str">
        <f aca="false">IF(L106="","",IF(2026-E106&gt;0,L106/(2026-E106),L106))</f>
        <v/>
      </c>
    </row>
    <row r="107" customFormat="false" ht="15" hidden="false" customHeight="true" outlineLevel="0" collapsed="false">
      <c r="N107" s="1" t="str">
        <f aca="false">IF(L107="","",IF(2026-E107&gt;0,L107/(2026-E107),L107))</f>
        <v/>
      </c>
    </row>
    <row r="108" customFormat="false" ht="15" hidden="false" customHeight="true" outlineLevel="0" collapsed="false">
      <c r="N108" s="1" t="str">
        <f aca="false">IF(L108="","",IF(2026-E108&gt;0,L108/(2026-E108),L108))</f>
        <v/>
      </c>
    </row>
    <row r="109" customFormat="false" ht="15" hidden="false" customHeight="true" outlineLevel="0" collapsed="false">
      <c r="N109" s="1" t="str">
        <f aca="false">IF(L109="","",IF(2026-E109&gt;0,L109/(2026-E109),L109))</f>
        <v/>
      </c>
    </row>
    <row r="110" customFormat="false" ht="15" hidden="false" customHeight="true" outlineLevel="0" collapsed="false">
      <c r="N110" s="1" t="str">
        <f aca="false">IF(L110="","",IF(2026-E110&gt;0,L110/(2026-E110),L110))</f>
        <v/>
      </c>
    </row>
    <row r="111" customFormat="false" ht="15" hidden="false" customHeight="true" outlineLevel="0" collapsed="false">
      <c r="N111" s="1" t="str">
        <f aca="false">IF(L111="","",IF(2026-E111&gt;0,L111/(2026-E111),L111))</f>
        <v/>
      </c>
    </row>
    <row r="112" customFormat="false" ht="15" hidden="false" customHeight="true" outlineLevel="0" collapsed="false">
      <c r="N112" s="1" t="str">
        <f aca="false">IF(L112="","",IF(2026-E112&gt;0,L112/(2026-E112),L112))</f>
        <v/>
      </c>
    </row>
    <row r="113" customFormat="false" ht="15" hidden="false" customHeight="true" outlineLevel="0" collapsed="false">
      <c r="N113" s="1" t="str">
        <f aca="false">IF(L113="","",IF(2026-E113&gt;0,L113/(2026-E113),L113))</f>
        <v/>
      </c>
    </row>
    <row r="114" customFormat="false" ht="15" hidden="false" customHeight="true" outlineLevel="0" collapsed="false">
      <c r="N114" s="1" t="str">
        <f aca="false">IF(L114="","",IF(2026-E114&gt;0,L114/(2026-E114),L114))</f>
        <v/>
      </c>
    </row>
    <row r="115" customFormat="false" ht="15" hidden="false" customHeight="true" outlineLevel="0" collapsed="false">
      <c r="N115" s="1" t="str">
        <f aca="false">IF(L115="","",IF(2026-E115&gt;0,L115/(2026-E115),L115))</f>
        <v/>
      </c>
    </row>
    <row r="116" customFormat="false" ht="15" hidden="false" customHeight="true" outlineLevel="0" collapsed="false">
      <c r="N116" s="1" t="str">
        <f aca="false">IF(L116="","",IF(2026-E116&gt;0,L116/(2026-E116),L116))</f>
        <v/>
      </c>
    </row>
    <row r="117" customFormat="false" ht="15" hidden="false" customHeight="true" outlineLevel="0" collapsed="false">
      <c r="N117" s="1" t="str">
        <f aca="false">IF(L117="","",IF(2026-E117&gt;0,L117/(2026-E117),L117))</f>
        <v/>
      </c>
    </row>
    <row r="118" customFormat="false" ht="15" hidden="false" customHeight="true" outlineLevel="0" collapsed="false">
      <c r="N118" s="1" t="str">
        <f aca="false">IF(L118="","",IF(2026-E118&gt;0,L118/(2026-E118),L118))</f>
        <v/>
      </c>
    </row>
    <row r="119" customFormat="false" ht="15" hidden="false" customHeight="true" outlineLevel="0" collapsed="false">
      <c r="N119" s="1" t="str">
        <f aca="false">IF(L119="","",IF(2026-E119&gt;0,L119/(2026-E119),L119))</f>
        <v/>
      </c>
    </row>
    <row r="120" customFormat="false" ht="15" hidden="false" customHeight="true" outlineLevel="0" collapsed="false">
      <c r="N120" s="1" t="str">
        <f aca="false">IF(L120="","",IF(2026-E120&gt;0,L120/(2026-E120),L120))</f>
        <v/>
      </c>
    </row>
    <row r="121" customFormat="false" ht="15" hidden="false" customHeight="true" outlineLevel="0" collapsed="false">
      <c r="N121" s="1" t="str">
        <f aca="false">IF(L121="","",IF(2026-E121&gt;0,L121/(2026-E121),L121))</f>
        <v/>
      </c>
    </row>
    <row r="122" customFormat="false" ht="15" hidden="false" customHeight="true" outlineLevel="0" collapsed="false">
      <c r="N122" s="1" t="str">
        <f aca="false">IF(L122="","",IF(2026-E122&gt;0,L122/(2026-E122),L122))</f>
        <v/>
      </c>
    </row>
    <row r="123" customFormat="false" ht="15" hidden="false" customHeight="true" outlineLevel="0" collapsed="false">
      <c r="N123" s="1" t="str">
        <f aca="false">IF(L123="","",IF(2026-E123&gt;0,L123/(2026-E123),L123))</f>
        <v/>
      </c>
    </row>
    <row r="124" customFormat="false" ht="15" hidden="false" customHeight="true" outlineLevel="0" collapsed="false">
      <c r="N124" s="1" t="str">
        <f aca="false">IF(L124="","",IF(2026-E124&gt;0,L124/(2026-E124),L124))</f>
        <v/>
      </c>
    </row>
    <row r="125" customFormat="false" ht="15" hidden="false" customHeight="true" outlineLevel="0" collapsed="false">
      <c r="N125" s="1" t="str">
        <f aca="false">IF(L125="","",IF(2026-E125&gt;0,L125/(2026-E125),L125))</f>
        <v/>
      </c>
    </row>
    <row r="126" customFormat="false" ht="15" hidden="false" customHeight="true" outlineLevel="0" collapsed="false">
      <c r="N126" s="1" t="str">
        <f aca="false">IF(L126="","",IF(2026-E126&gt;0,L126/(2026-E126),L126))</f>
        <v/>
      </c>
    </row>
    <row r="127" customFormat="false" ht="15" hidden="false" customHeight="true" outlineLevel="0" collapsed="false">
      <c r="N127" s="1" t="str">
        <f aca="false">IF(L127="","",IF(2026-E127&gt;0,L127/(2026-E127),L127))</f>
        <v/>
      </c>
    </row>
    <row r="128" customFormat="false" ht="15" hidden="false" customHeight="true" outlineLevel="0" collapsed="false">
      <c r="N128" s="1" t="str">
        <f aca="false">IF(L128="","",IF(2026-E128&gt;0,L128/(2026-E128),L128))</f>
        <v/>
      </c>
    </row>
    <row r="129" customFormat="false" ht="15" hidden="false" customHeight="true" outlineLevel="0" collapsed="false">
      <c r="N129" s="1" t="str">
        <f aca="false">IF(L129="","",IF(2026-E129&gt;0,L129/(2026-E129),L129))</f>
        <v/>
      </c>
    </row>
    <row r="130" customFormat="false" ht="15" hidden="false" customHeight="true" outlineLevel="0" collapsed="false">
      <c r="N130" s="1" t="str">
        <f aca="false">IF(L130="","",IF(2026-E130&gt;0,L130/(2026-E130),L130))</f>
        <v/>
      </c>
    </row>
    <row r="131" customFormat="false" ht="15" hidden="false" customHeight="true" outlineLevel="0" collapsed="false">
      <c r="N131" s="1" t="str">
        <f aca="false">IF(L131="","",IF(2026-E131&gt;0,L131/(2026-E131),L131))</f>
        <v/>
      </c>
    </row>
    <row r="132" customFormat="false" ht="15" hidden="false" customHeight="true" outlineLevel="0" collapsed="false">
      <c r="N132" s="1" t="str">
        <f aca="false">IF(L132="","",IF(2026-E132&gt;0,L132/(2026-E132),L132))</f>
        <v/>
      </c>
    </row>
    <row r="133" customFormat="false" ht="15" hidden="false" customHeight="true" outlineLevel="0" collapsed="false">
      <c r="N133" s="1" t="str">
        <f aca="false">IF(L133="","",IF(2026-E133&gt;0,L133/(2026-E133),L133))</f>
        <v/>
      </c>
    </row>
    <row r="134" customFormat="false" ht="15" hidden="false" customHeight="true" outlineLevel="0" collapsed="false">
      <c r="N134" s="1" t="str">
        <f aca="false">IF(L134="","",IF(2026-E134&gt;0,L134/(2026-E134),L134))</f>
        <v/>
      </c>
    </row>
    <row r="135" customFormat="false" ht="15" hidden="false" customHeight="true" outlineLevel="0" collapsed="false">
      <c r="N135" s="1" t="str">
        <f aca="false">IF(L135="","",IF(2026-E135&gt;0,L135/(2026-E135),L135))</f>
        <v/>
      </c>
    </row>
    <row r="136" customFormat="false" ht="15" hidden="false" customHeight="true" outlineLevel="0" collapsed="false">
      <c r="N136" s="1" t="str">
        <f aca="false">IF(L136="","",IF(2026-E136&gt;0,L136/(2026-E136),L136))</f>
        <v/>
      </c>
    </row>
    <row r="137" customFormat="false" ht="15" hidden="false" customHeight="true" outlineLevel="0" collapsed="false">
      <c r="N137" s="1" t="str">
        <f aca="false">IF(L137="","",IF(2026-E137&gt;0,L137/(2026-E137),L137))</f>
        <v/>
      </c>
    </row>
    <row r="138" customFormat="false" ht="15" hidden="false" customHeight="true" outlineLevel="0" collapsed="false">
      <c r="N138" s="1" t="str">
        <f aca="false">IF(L138="","",IF(2026-E138&gt;0,L138/(2026-E138),L138))</f>
        <v/>
      </c>
    </row>
    <row r="139" customFormat="false" ht="15" hidden="false" customHeight="true" outlineLevel="0" collapsed="false">
      <c r="N139" s="1" t="str">
        <f aca="false">IF(L139="","",IF(2026-E139&gt;0,L139/(2026-E139),L139))</f>
        <v/>
      </c>
    </row>
    <row r="140" customFormat="false" ht="15" hidden="false" customHeight="true" outlineLevel="0" collapsed="false">
      <c r="N140" s="1" t="str">
        <f aca="false">IF(L140="","",IF(2026-E140&gt;0,L140/(2026-E140),L140))</f>
        <v/>
      </c>
    </row>
    <row r="141" customFormat="false" ht="15" hidden="false" customHeight="true" outlineLevel="0" collapsed="false">
      <c r="N141" s="1" t="str">
        <f aca="false">IF(L141="","",IF(2026-E141&gt;0,L141/(2026-E141),L141))</f>
        <v/>
      </c>
    </row>
    <row r="142" customFormat="false" ht="15" hidden="false" customHeight="true" outlineLevel="0" collapsed="false">
      <c r="N142" s="1" t="str">
        <f aca="false">IF(L142="","",IF(2026-E142&gt;0,L142/(2026-E142),L142))</f>
        <v/>
      </c>
    </row>
    <row r="143" customFormat="false" ht="15" hidden="false" customHeight="true" outlineLevel="0" collapsed="false">
      <c r="N143" s="1" t="str">
        <f aca="false">IF(L143="","",IF(2026-E143&gt;0,L143/(2026-E143),L143))</f>
        <v/>
      </c>
    </row>
    <row r="144" customFormat="false" ht="15" hidden="false" customHeight="true" outlineLevel="0" collapsed="false">
      <c r="N144" s="1" t="str">
        <f aca="false">IF(L144="","",IF(2026-E144&gt;0,L144/(2026-E144),L144))</f>
        <v/>
      </c>
    </row>
    <row r="145" customFormat="false" ht="15" hidden="false" customHeight="true" outlineLevel="0" collapsed="false">
      <c r="N145" s="1" t="str">
        <f aca="false">IF(L145="","",IF(2026-E145&gt;0,L145/(2026-E145),L145))</f>
        <v/>
      </c>
    </row>
    <row r="146" customFormat="false" ht="15" hidden="false" customHeight="true" outlineLevel="0" collapsed="false">
      <c r="N146" s="1" t="str">
        <f aca="false">IF(L146="","",IF(2026-E146&gt;0,L146/(2026-E146),L146))</f>
        <v/>
      </c>
    </row>
    <row r="147" customFormat="false" ht="15" hidden="false" customHeight="true" outlineLevel="0" collapsed="false">
      <c r="N147" s="1" t="str">
        <f aca="false">IF(L147="","",IF(2026-E147&gt;0,L147/(2026-E147),L147))</f>
        <v/>
      </c>
    </row>
    <row r="148" customFormat="false" ht="15" hidden="false" customHeight="true" outlineLevel="0" collapsed="false">
      <c r="N148" s="1" t="str">
        <f aca="false">IF(L148="","",IF(2026-E148&gt;0,L148/(2026-E148),L148))</f>
        <v/>
      </c>
    </row>
    <row r="149" customFormat="false" ht="15" hidden="false" customHeight="true" outlineLevel="0" collapsed="false">
      <c r="N149" s="1" t="str">
        <f aca="false">IF(L149="","",IF(2026-E149&gt;0,L149/(2026-E149),L149))</f>
        <v/>
      </c>
    </row>
    <row r="150" customFormat="false" ht="15" hidden="false" customHeight="true" outlineLevel="0" collapsed="false">
      <c r="N150" s="1" t="str">
        <f aca="false">IF(L150="","",IF(2026-E150&gt;0,L150/(2026-E150),L150))</f>
        <v/>
      </c>
    </row>
    <row r="151" customFormat="false" ht="15" hidden="false" customHeight="true" outlineLevel="0" collapsed="false">
      <c r="N151" s="1" t="str">
        <f aca="false">IF(L151="","",IF(2026-E151&gt;0,L151/(2026-E151),L151))</f>
        <v/>
      </c>
    </row>
    <row r="152" customFormat="false" ht="15" hidden="false" customHeight="true" outlineLevel="0" collapsed="false">
      <c r="N152" s="1" t="str">
        <f aca="false">IF(L152="","",IF(2026-E152&gt;0,L152/(2026-E152),L152))</f>
        <v/>
      </c>
    </row>
    <row r="153" customFormat="false" ht="15" hidden="false" customHeight="true" outlineLevel="0" collapsed="false">
      <c r="N153" s="1" t="str">
        <f aca="false">IF(L153="","",IF(2026-E153&gt;0,L153/(2026-E153),L153))</f>
        <v/>
      </c>
    </row>
    <row r="154" customFormat="false" ht="15" hidden="false" customHeight="true" outlineLevel="0" collapsed="false">
      <c r="N154" s="1" t="str">
        <f aca="false">IF(L154="","",IF(2026-E154&gt;0,L154/(2026-E154),L154))</f>
        <v/>
      </c>
    </row>
    <row r="155" customFormat="false" ht="15" hidden="false" customHeight="true" outlineLevel="0" collapsed="false">
      <c r="N155" s="1" t="str">
        <f aca="false">IF(L155="","",IF(2026-E155&gt;0,L155/(2026-E155),L155))</f>
        <v/>
      </c>
    </row>
    <row r="156" customFormat="false" ht="15" hidden="false" customHeight="true" outlineLevel="0" collapsed="false">
      <c r="N156" s="1" t="str">
        <f aca="false">IF(L156="","",IF(2026-E156&gt;0,L156/(2026-E156),L156))</f>
        <v/>
      </c>
    </row>
    <row r="157" customFormat="false" ht="15" hidden="false" customHeight="true" outlineLevel="0" collapsed="false">
      <c r="N157" s="1" t="str">
        <f aca="false">IF(L157="","",IF(2026-E157&gt;0,L157/(2026-E157),L157))</f>
        <v/>
      </c>
    </row>
    <row r="158" customFormat="false" ht="15" hidden="false" customHeight="true" outlineLevel="0" collapsed="false">
      <c r="N158" s="1" t="str">
        <f aca="false">IF(L158="","",IF(2026-E158&gt;0,L158/(2026-E158),L158))</f>
        <v/>
      </c>
    </row>
    <row r="159" customFormat="false" ht="15" hidden="false" customHeight="true" outlineLevel="0" collapsed="false">
      <c r="N159" s="1" t="str">
        <f aca="false">IF(L159="","",IF(2026-E159&gt;0,L159/(2026-E159),L159))</f>
        <v/>
      </c>
    </row>
    <row r="160" customFormat="false" ht="15" hidden="false" customHeight="true" outlineLevel="0" collapsed="false">
      <c r="N160" s="1" t="str">
        <f aca="false">IF(L160="","",IF(2026-E160&gt;0,L160/(2026-E160),L160))</f>
        <v/>
      </c>
    </row>
    <row r="161" customFormat="false" ht="15" hidden="false" customHeight="true" outlineLevel="0" collapsed="false">
      <c r="N161" s="1" t="str">
        <f aca="false">IF(L161="","",IF(2026-E161&gt;0,L161/(2026-E161),L161))</f>
        <v/>
      </c>
    </row>
    <row r="162" customFormat="false" ht="15" hidden="false" customHeight="true" outlineLevel="0" collapsed="false">
      <c r="N162" s="1" t="str">
        <f aca="false">IF(L162="","",IF(2026-E162&gt;0,L162/(2026-E162),L162))</f>
        <v/>
      </c>
    </row>
    <row r="163" customFormat="false" ht="15" hidden="false" customHeight="true" outlineLevel="0" collapsed="false">
      <c r="N163" s="1" t="str">
        <f aca="false">IF(L163="","",IF(2026-E163&gt;0,L163/(2026-E163),L163))</f>
        <v/>
      </c>
    </row>
    <row r="164" customFormat="false" ht="15" hidden="false" customHeight="true" outlineLevel="0" collapsed="false">
      <c r="N164" s="1" t="str">
        <f aca="false">IF(L164="","",IF(2026-E164&gt;0,L164/(2026-E164),L164))</f>
        <v/>
      </c>
    </row>
    <row r="165" customFormat="false" ht="15" hidden="false" customHeight="true" outlineLevel="0" collapsed="false">
      <c r="N165" s="1" t="str">
        <f aca="false">IF(L165="","",IF(2026-E165&gt;0,L165/(2026-E165),L165))</f>
        <v/>
      </c>
    </row>
    <row r="166" customFormat="false" ht="15" hidden="false" customHeight="true" outlineLevel="0" collapsed="false">
      <c r="N166" s="1" t="str">
        <f aca="false">IF(L166="","",IF(2026-E166&gt;0,L166/(2026-E166),L166))</f>
        <v/>
      </c>
    </row>
    <row r="167" customFormat="false" ht="15" hidden="false" customHeight="true" outlineLevel="0" collapsed="false">
      <c r="N167" s="1" t="str">
        <f aca="false">IF(L167="","",IF(2026-E167&gt;0,L167/(2026-E167),L167))</f>
        <v/>
      </c>
    </row>
    <row r="168" customFormat="false" ht="15" hidden="false" customHeight="true" outlineLevel="0" collapsed="false">
      <c r="N168" s="1" t="str">
        <f aca="false">IF(L168="","",IF(2026-E168&gt;0,L168/(2026-E168),L168))</f>
        <v/>
      </c>
    </row>
    <row r="169" customFormat="false" ht="15" hidden="false" customHeight="true" outlineLevel="0" collapsed="false">
      <c r="N169" s="1" t="str">
        <f aca="false">IF(L169="","",IF(2026-E169&gt;0,L169/(2026-E169),L169))</f>
        <v/>
      </c>
    </row>
    <row r="170" customFormat="false" ht="15" hidden="false" customHeight="true" outlineLevel="0" collapsed="false">
      <c r="N170" s="1" t="str">
        <f aca="false">IF(L170="","",IF(2026-E170&gt;0,L170/(2026-E170),L170))</f>
        <v/>
      </c>
    </row>
    <row r="171" customFormat="false" ht="15" hidden="false" customHeight="true" outlineLevel="0" collapsed="false">
      <c r="N171" s="1" t="str">
        <f aca="false">IF(L171="","",IF(2026-E171&gt;0,L171/(2026-E171),L171))</f>
        <v/>
      </c>
    </row>
    <row r="172" customFormat="false" ht="15" hidden="false" customHeight="true" outlineLevel="0" collapsed="false">
      <c r="N172" s="1" t="str">
        <f aca="false">IF(L172="","",IF(2026-E172&gt;0,L172/(2026-E172),L172))</f>
        <v/>
      </c>
    </row>
    <row r="173" customFormat="false" ht="15" hidden="false" customHeight="true" outlineLevel="0" collapsed="false">
      <c r="N173" s="1" t="str">
        <f aca="false">IF(L173="","",IF(2026-E173&gt;0,L173/(2026-E173),L173))</f>
        <v/>
      </c>
    </row>
    <row r="174" customFormat="false" ht="15" hidden="false" customHeight="true" outlineLevel="0" collapsed="false">
      <c r="N174" s="1" t="str">
        <f aca="false">IF(L174="","",IF(2026-E174&gt;0,L174/(2026-E174),L174))</f>
        <v/>
      </c>
    </row>
    <row r="175" customFormat="false" ht="15" hidden="false" customHeight="true" outlineLevel="0" collapsed="false">
      <c r="N175" s="1" t="str">
        <f aca="false">IF(L175="","",IF(2026-E175&gt;0,L175/(2026-E175),L175))</f>
        <v/>
      </c>
    </row>
    <row r="176" customFormat="false" ht="15" hidden="false" customHeight="true" outlineLevel="0" collapsed="false">
      <c r="N176" s="1" t="str">
        <f aca="false">IF(L176="","",IF(2026-E176&gt;0,L176/(2026-E176),L176))</f>
        <v/>
      </c>
    </row>
    <row r="177" customFormat="false" ht="15" hidden="false" customHeight="true" outlineLevel="0" collapsed="false">
      <c r="N177" s="1" t="str">
        <f aca="false">IF(L177="","",IF(2026-E177&gt;0,L177/(2026-E177),L177))</f>
        <v/>
      </c>
    </row>
    <row r="178" customFormat="false" ht="15" hidden="false" customHeight="true" outlineLevel="0" collapsed="false">
      <c r="N178" s="1" t="str">
        <f aca="false">IF(L178="","",IF(2026-E178&gt;0,L178/(2026-E178),L178))</f>
        <v/>
      </c>
    </row>
    <row r="179" customFormat="false" ht="15" hidden="false" customHeight="true" outlineLevel="0" collapsed="false">
      <c r="N179" s="1" t="str">
        <f aca="false">IF(L179="","",IF(2026-E179&gt;0,L179/(2026-E179),L179))</f>
        <v/>
      </c>
    </row>
    <row r="180" customFormat="false" ht="15" hidden="false" customHeight="true" outlineLevel="0" collapsed="false">
      <c r="N180" s="1" t="str">
        <f aca="false">IF(L180="","",IF(2026-E180&gt;0,L180/(2026-E180),L180))</f>
        <v/>
      </c>
    </row>
    <row r="181" customFormat="false" ht="15" hidden="false" customHeight="true" outlineLevel="0" collapsed="false">
      <c r="N181" s="1" t="str">
        <f aca="false">IF(L181="","",IF(2026-E181&gt;0,L181/(2026-E181),L181))</f>
        <v/>
      </c>
    </row>
    <row r="182" customFormat="false" ht="15" hidden="false" customHeight="true" outlineLevel="0" collapsed="false">
      <c r="N182" s="1" t="str">
        <f aca="false">IF(L182="","",IF(2026-E182&gt;0,L182/(2026-E182),L182))</f>
        <v/>
      </c>
    </row>
    <row r="183" customFormat="false" ht="15" hidden="false" customHeight="true" outlineLevel="0" collapsed="false">
      <c r="N183" s="1" t="str">
        <f aca="false">IF(L183="","",IF(2026-E183&gt;0,L183/(2026-E183),L183))</f>
        <v/>
      </c>
    </row>
    <row r="184" customFormat="false" ht="15" hidden="false" customHeight="true" outlineLevel="0" collapsed="false">
      <c r="N184" s="1" t="str">
        <f aca="false">IF(L184="","",IF(2026-E184&gt;0,L184/(2026-E184),L184))</f>
        <v/>
      </c>
    </row>
    <row r="185" customFormat="false" ht="15" hidden="false" customHeight="true" outlineLevel="0" collapsed="false">
      <c r="N185" s="1" t="str">
        <f aca="false">IF(L185="","",IF(2026-E185&gt;0,L185/(2026-E185),L185))</f>
        <v/>
      </c>
    </row>
    <row r="186" customFormat="false" ht="15" hidden="false" customHeight="true" outlineLevel="0" collapsed="false">
      <c r="N186" s="1" t="str">
        <f aca="false">IF(L186="","",IF(2026-E186&gt;0,L186/(2026-E186),L186))</f>
        <v/>
      </c>
    </row>
    <row r="187" customFormat="false" ht="15" hidden="false" customHeight="true" outlineLevel="0" collapsed="false">
      <c r="N187" s="1" t="str">
        <f aca="false">IF(L187="","",IF(2026-E187&gt;0,L187/(2026-E187),L187))</f>
        <v/>
      </c>
    </row>
    <row r="188" customFormat="false" ht="15" hidden="false" customHeight="true" outlineLevel="0" collapsed="false">
      <c r="N188" s="1" t="str">
        <f aca="false">IF(L188="","",IF(2026-E188&gt;0,L188/(2026-E188),L188))</f>
        <v/>
      </c>
    </row>
    <row r="189" customFormat="false" ht="15" hidden="false" customHeight="true" outlineLevel="0" collapsed="false">
      <c r="N189" s="1" t="str">
        <f aca="false">IF(L189="","",IF(2026-E189&gt;0,L189/(2026-E189),L189))</f>
        <v/>
      </c>
    </row>
    <row r="190" customFormat="false" ht="15" hidden="false" customHeight="true" outlineLevel="0" collapsed="false">
      <c r="N190" s="1" t="str">
        <f aca="false">IF(L190="","",IF(2026-E190&gt;0,L190/(2026-E190),L190))</f>
        <v/>
      </c>
    </row>
    <row r="191" customFormat="false" ht="15" hidden="false" customHeight="true" outlineLevel="0" collapsed="false">
      <c r="N191" s="1" t="str">
        <f aca="false">IF(L191="","",IF(2026-E191&gt;0,L191/(2026-E191),L191))</f>
        <v/>
      </c>
    </row>
    <row r="192" customFormat="false" ht="15" hidden="false" customHeight="true" outlineLevel="0" collapsed="false">
      <c r="N192" s="1" t="str">
        <f aca="false">IF(L192="","",IF(2026-E192&gt;0,L192/(2026-E192),L192))</f>
        <v/>
      </c>
    </row>
    <row r="193" customFormat="false" ht="15" hidden="false" customHeight="true" outlineLevel="0" collapsed="false">
      <c r="N193" s="1" t="str">
        <f aca="false">IF(L193="","",IF(2026-E193&gt;0,L193/(2026-E193),L193))</f>
        <v/>
      </c>
    </row>
    <row r="194" customFormat="false" ht="15" hidden="false" customHeight="true" outlineLevel="0" collapsed="false">
      <c r="N194" s="1" t="str">
        <f aca="false">IF(L194="","",IF(2026-E194&gt;0,L194/(2026-E194),L194))</f>
        <v/>
      </c>
    </row>
    <row r="195" customFormat="false" ht="15" hidden="false" customHeight="true" outlineLevel="0" collapsed="false">
      <c r="N195" s="1" t="str">
        <f aca="false">IF(L195="","",IF(2026-E195&gt;0,L195/(2026-E195),L195))</f>
        <v/>
      </c>
    </row>
    <row r="196" customFormat="false" ht="15" hidden="false" customHeight="true" outlineLevel="0" collapsed="false">
      <c r="N196" s="1" t="str">
        <f aca="false">IF(L196="","",IF(2026-E196&gt;0,L196/(2026-E196),L196))</f>
        <v/>
      </c>
    </row>
    <row r="197" customFormat="false" ht="15" hidden="false" customHeight="true" outlineLevel="0" collapsed="false">
      <c r="N197" s="1" t="str">
        <f aca="false">IF(L197="","",IF(2026-E197&gt;0,L197/(2026-E197),L197))</f>
        <v/>
      </c>
    </row>
    <row r="198" customFormat="false" ht="15" hidden="false" customHeight="true" outlineLevel="0" collapsed="false">
      <c r="N198" s="1" t="str">
        <f aca="false">IF(L198="","",IF(2026-E198&gt;0,L198/(2026-E198),L198))</f>
        <v/>
      </c>
    </row>
    <row r="199" customFormat="false" ht="15" hidden="false" customHeight="true" outlineLevel="0" collapsed="false">
      <c r="N199" s="1" t="str">
        <f aca="false">IF(L199="","",IF(2026-E199&gt;0,L199/(2026-E199),L199))</f>
        <v/>
      </c>
    </row>
    <row r="200" customFormat="false" ht="15" hidden="false" customHeight="true" outlineLevel="0" collapsed="false">
      <c r="N200" s="1" t="str">
        <f aca="false">IF(L200="","",IF(2026-E200&gt;0,L200/(2026-E200),L200))</f>
        <v/>
      </c>
    </row>
    <row r="201" customFormat="false" ht="15" hidden="false" customHeight="true" outlineLevel="0" collapsed="false">
      <c r="N201" s="1" t="str">
        <f aca="false">IF(L201="","",IF(2026-E201&gt;0,L201/(2026-E201),L201))</f>
        <v/>
      </c>
    </row>
    <row r="202" customFormat="false" ht="15" hidden="false" customHeight="true" outlineLevel="0" collapsed="false">
      <c r="N202" s="1" t="str">
        <f aca="false">IF(L202="","",IF(2026-E202&gt;0,L202/(2026-E202),L202))</f>
        <v/>
      </c>
    </row>
    <row r="203" customFormat="false" ht="15" hidden="false" customHeight="true" outlineLevel="0" collapsed="false">
      <c r="N203" s="1" t="str">
        <f aca="false">IF(L203="","",IF(2026-E203&gt;0,L203/(2026-E203),L203))</f>
        <v/>
      </c>
    </row>
    <row r="204" customFormat="false" ht="15" hidden="false" customHeight="true" outlineLevel="0" collapsed="false">
      <c r="N204" s="1" t="str">
        <f aca="false">IF(L204="","",IF(2026-E204&gt;0,L204/(2026-E204),L204))</f>
        <v/>
      </c>
    </row>
    <row r="205" customFormat="false" ht="15" hidden="false" customHeight="true" outlineLevel="0" collapsed="false">
      <c r="N205" s="1" t="str">
        <f aca="false">IF(L205="","",IF(2026-E205&gt;0,L205/(2026-E205),L205))</f>
        <v/>
      </c>
    </row>
    <row r="206" customFormat="false" ht="15" hidden="false" customHeight="true" outlineLevel="0" collapsed="false">
      <c r="N206" s="1" t="str">
        <f aca="false">IF(L206="","",IF(2026-E206&gt;0,L206/(2026-E206),L206))</f>
        <v/>
      </c>
    </row>
    <row r="207" customFormat="false" ht="15" hidden="false" customHeight="true" outlineLevel="0" collapsed="false">
      <c r="N207" s="1" t="str">
        <f aca="false">IF(L207="","",IF(2026-E207&gt;0,L207/(2026-E207),L207))</f>
        <v/>
      </c>
    </row>
    <row r="208" customFormat="false" ht="15" hidden="false" customHeight="true" outlineLevel="0" collapsed="false">
      <c r="N208" s="1" t="str">
        <f aca="false">IF(L208="","",IF(2026-E208&gt;0,L208/(2026-E208),L208))</f>
        <v/>
      </c>
    </row>
    <row r="209" customFormat="false" ht="15" hidden="false" customHeight="true" outlineLevel="0" collapsed="false">
      <c r="N209" s="1" t="str">
        <f aca="false">IF(L209="","",IF(2026-E209&gt;0,L209/(2026-E209),L209))</f>
        <v/>
      </c>
    </row>
    <row r="210" customFormat="false" ht="15" hidden="false" customHeight="true" outlineLevel="0" collapsed="false">
      <c r="N210" s="1" t="str">
        <f aca="false">IF(L210="","",IF(2026-E210&gt;0,L210/(2026-E210),L210))</f>
        <v/>
      </c>
    </row>
    <row r="211" customFormat="false" ht="15" hidden="false" customHeight="true" outlineLevel="0" collapsed="false">
      <c r="N211" s="1" t="str">
        <f aca="false">IF(L211="","",IF(2026-E211&gt;0,L211/(2026-E211),L211))</f>
        <v/>
      </c>
    </row>
    <row r="212" customFormat="false" ht="15" hidden="false" customHeight="true" outlineLevel="0" collapsed="false">
      <c r="N212" s="1" t="str">
        <f aca="false">IF(L212="","",IF(2026-E212&gt;0,L212/(2026-E212),L212))</f>
        <v/>
      </c>
    </row>
    <row r="213" customFormat="false" ht="15" hidden="false" customHeight="true" outlineLevel="0" collapsed="false">
      <c r="N213" s="1" t="str">
        <f aca="false">IF(L213="","",IF(2026-E213&gt;0,L213/(2026-E213),L213))</f>
        <v/>
      </c>
    </row>
    <row r="214" customFormat="false" ht="15" hidden="false" customHeight="true" outlineLevel="0" collapsed="false">
      <c r="N214" s="1" t="str">
        <f aca="false">IF(L214="","",IF(2026-E214&gt;0,L214/(2026-E214),L214))</f>
        <v/>
      </c>
    </row>
    <row r="215" customFormat="false" ht="15" hidden="false" customHeight="true" outlineLevel="0" collapsed="false">
      <c r="N215" s="1" t="str">
        <f aca="false">IF(L215="","",IF(2026-E215&gt;0,L215/(2026-E215),L215))</f>
        <v/>
      </c>
    </row>
    <row r="216" customFormat="false" ht="15" hidden="false" customHeight="true" outlineLevel="0" collapsed="false">
      <c r="N216" s="1" t="str">
        <f aca="false">IF(L216="","",IF(2026-E216&gt;0,L216/(2026-E216),L216))</f>
        <v/>
      </c>
    </row>
    <row r="217" customFormat="false" ht="15" hidden="false" customHeight="true" outlineLevel="0" collapsed="false">
      <c r="N217" s="1" t="str">
        <f aca="false">IF(L217="","",IF(2026-E217&gt;0,L217/(2026-E217),L217))</f>
        <v/>
      </c>
    </row>
    <row r="218" customFormat="false" ht="15" hidden="false" customHeight="true" outlineLevel="0" collapsed="false">
      <c r="N218" s="1" t="str">
        <f aca="false">IF(L218="","",IF(2026-E218&gt;0,L218/(2026-E218),L218))</f>
        <v/>
      </c>
    </row>
    <row r="219" customFormat="false" ht="15" hidden="false" customHeight="true" outlineLevel="0" collapsed="false">
      <c r="N219" s="1" t="str">
        <f aca="false">IF(L219="","",IF(2026-E219&gt;0,L219/(2026-E219),L219))</f>
        <v/>
      </c>
    </row>
    <row r="220" customFormat="false" ht="15" hidden="false" customHeight="true" outlineLevel="0" collapsed="false">
      <c r="N220" s="1" t="str">
        <f aca="false">IF(L220="","",IF(2026-E220&gt;0,L220/(2026-E220),L220))</f>
        <v/>
      </c>
    </row>
    <row r="221" customFormat="false" ht="15" hidden="false" customHeight="true" outlineLevel="0" collapsed="false">
      <c r="N221" s="1" t="str">
        <f aca="false">IF(L221="","",IF(2026-E221&gt;0,L221/(2026-E221),L221))</f>
        <v/>
      </c>
    </row>
    <row r="222" customFormat="false" ht="15" hidden="false" customHeight="true" outlineLevel="0" collapsed="false">
      <c r="N222" s="1" t="str">
        <f aca="false">IF(L222="","",IF(2026-E222&gt;0,L222/(2026-E222),L222))</f>
        <v/>
      </c>
    </row>
    <row r="223" customFormat="false" ht="15" hidden="false" customHeight="true" outlineLevel="0" collapsed="false">
      <c r="N223" s="1" t="str">
        <f aca="false">IF(L223="","",IF(2026-E223&gt;0,L223/(2026-E223),L223))</f>
        <v/>
      </c>
    </row>
    <row r="224" customFormat="false" ht="15" hidden="false" customHeight="true" outlineLevel="0" collapsed="false">
      <c r="N224" s="1" t="str">
        <f aca="false">IF(L224="","",IF(2026-E224&gt;0,L224/(2026-E224),L224))</f>
        <v/>
      </c>
    </row>
    <row r="225" customFormat="false" ht="15" hidden="false" customHeight="true" outlineLevel="0" collapsed="false">
      <c r="N225" s="1" t="str">
        <f aca="false">IF(L225="","",IF(2026-E225&gt;0,L225/(2026-E225),L225))</f>
        <v/>
      </c>
    </row>
    <row r="226" customFormat="false" ht="15" hidden="false" customHeight="true" outlineLevel="0" collapsed="false">
      <c r="N226" s="1" t="str">
        <f aca="false">IF(L226="","",IF(2026-E226&gt;0,L226/(2026-E226),L226))</f>
        <v/>
      </c>
    </row>
    <row r="227" customFormat="false" ht="15" hidden="false" customHeight="true" outlineLevel="0" collapsed="false">
      <c r="N227" s="1" t="str">
        <f aca="false">IF(L227="","",IF(2026-E227&gt;0,L227/(2026-E227),L227))</f>
        <v/>
      </c>
    </row>
    <row r="228" customFormat="false" ht="15" hidden="false" customHeight="true" outlineLevel="0" collapsed="false">
      <c r="N228" s="1" t="str">
        <f aca="false">IF(L228="","",IF(2026-E228&gt;0,L228/(2026-E228),L228))</f>
        <v/>
      </c>
    </row>
    <row r="229" customFormat="false" ht="15" hidden="false" customHeight="true" outlineLevel="0" collapsed="false">
      <c r="N229" s="1" t="str">
        <f aca="false">IF(L229="","",IF(2026-E229&gt;0,L229/(2026-E229),L229))</f>
        <v/>
      </c>
    </row>
    <row r="230" customFormat="false" ht="15" hidden="false" customHeight="true" outlineLevel="0" collapsed="false">
      <c r="N230" s="1" t="str">
        <f aca="false">IF(L230="","",IF(2026-E230&gt;0,L230/(2026-E230),L230))</f>
        <v/>
      </c>
    </row>
    <row r="231" customFormat="false" ht="15" hidden="false" customHeight="true" outlineLevel="0" collapsed="false">
      <c r="N231" s="1" t="str">
        <f aca="false">IF(L231="","",IF(2026-E231&gt;0,L231/(2026-E231),L231))</f>
        <v/>
      </c>
    </row>
    <row r="232" customFormat="false" ht="15" hidden="false" customHeight="true" outlineLevel="0" collapsed="false">
      <c r="N232" s="1" t="str">
        <f aca="false">IF(L232="","",IF(2026-E232&gt;0,L232/(2026-E232),L232))</f>
        <v/>
      </c>
    </row>
    <row r="233" customFormat="false" ht="15" hidden="false" customHeight="true" outlineLevel="0" collapsed="false">
      <c r="N233" s="1" t="str">
        <f aca="false">IF(L233="","",IF(2026-E233&gt;0,L233/(2026-E233),L233))</f>
        <v/>
      </c>
    </row>
    <row r="234" customFormat="false" ht="15" hidden="false" customHeight="true" outlineLevel="0" collapsed="false">
      <c r="N234" s="1" t="str">
        <f aca="false">IF(L234="","",IF(2026-E234&gt;0,L234/(2026-E234),L234))</f>
        <v/>
      </c>
    </row>
    <row r="235" customFormat="false" ht="15" hidden="false" customHeight="true" outlineLevel="0" collapsed="false">
      <c r="N235" s="1" t="str">
        <f aca="false">IF(L235="","",IF(2026-E235&gt;0,L235/(2026-E235),L235))</f>
        <v/>
      </c>
    </row>
    <row r="236" customFormat="false" ht="15" hidden="false" customHeight="true" outlineLevel="0" collapsed="false">
      <c r="N236" s="1" t="str">
        <f aca="false">IF(L236="","",IF(2026-E236&gt;0,L236/(2026-E236),L236))</f>
        <v/>
      </c>
    </row>
    <row r="237" customFormat="false" ht="15" hidden="false" customHeight="true" outlineLevel="0" collapsed="false">
      <c r="N237" s="1" t="str">
        <f aca="false">IF(L237="","",IF(2026-E237&gt;0,L237/(2026-E237),L237))</f>
        <v/>
      </c>
    </row>
    <row r="238" customFormat="false" ht="15" hidden="false" customHeight="true" outlineLevel="0" collapsed="false">
      <c r="N238" s="1" t="str">
        <f aca="false">IF(L238="","",IF(2026-E238&gt;0,L238/(2026-E238),L238))</f>
        <v/>
      </c>
    </row>
    <row r="239" customFormat="false" ht="15" hidden="false" customHeight="true" outlineLevel="0" collapsed="false">
      <c r="N239" s="1" t="str">
        <f aca="false">IF(L239="","",IF(2026-E239&gt;0,L239/(2026-E239),L239))</f>
        <v/>
      </c>
    </row>
    <row r="240" customFormat="false" ht="15" hidden="false" customHeight="true" outlineLevel="0" collapsed="false">
      <c r="N240" s="1" t="str">
        <f aca="false">IF(L240="","",IF(2026-E240&gt;0,L240/(2026-E240),L240))</f>
        <v/>
      </c>
    </row>
    <row r="241" customFormat="false" ht="15" hidden="false" customHeight="true" outlineLevel="0" collapsed="false">
      <c r="N241" s="1" t="str">
        <f aca="false">IF(L241="","",IF(2026-E241&gt;0,L241/(2026-E241),L241))</f>
        <v/>
      </c>
    </row>
    <row r="242" customFormat="false" ht="15" hidden="false" customHeight="true" outlineLevel="0" collapsed="false">
      <c r="N242" s="1" t="str">
        <f aca="false">IF(L242="","",IF(2026-E242&gt;0,L242/(2026-E242),L242))</f>
        <v/>
      </c>
    </row>
    <row r="243" customFormat="false" ht="15" hidden="false" customHeight="true" outlineLevel="0" collapsed="false">
      <c r="N243" s="1" t="str">
        <f aca="false">IF(L243="","",IF(2026-E243&gt;0,L243/(2026-E243),L243))</f>
        <v/>
      </c>
    </row>
    <row r="244" customFormat="false" ht="15" hidden="false" customHeight="true" outlineLevel="0" collapsed="false">
      <c r="N244" s="1" t="str">
        <f aca="false">IF(L244="","",IF(2026-E244&gt;0,L244/(2026-E244),L244))</f>
        <v/>
      </c>
    </row>
    <row r="245" customFormat="false" ht="15" hidden="false" customHeight="true" outlineLevel="0" collapsed="false">
      <c r="N245" s="1" t="str">
        <f aca="false">IF(L245="","",IF(2026-E245&gt;0,L245/(2026-E245),L245))</f>
        <v/>
      </c>
    </row>
    <row r="246" customFormat="false" ht="15" hidden="false" customHeight="true" outlineLevel="0" collapsed="false">
      <c r="N246" s="1" t="str">
        <f aca="false">IF(L246="","",IF(2026-E246&gt;0,L246/(2026-E246),L246))</f>
        <v/>
      </c>
    </row>
    <row r="247" customFormat="false" ht="15" hidden="false" customHeight="true" outlineLevel="0" collapsed="false">
      <c r="N247" s="1" t="str">
        <f aca="false">IF(L247="","",IF(2026-E247&gt;0,L247/(2026-E247),L247))</f>
        <v/>
      </c>
    </row>
    <row r="248" customFormat="false" ht="15" hidden="false" customHeight="true" outlineLevel="0" collapsed="false">
      <c r="N248" s="1" t="str">
        <f aca="false">IF(L248="","",IF(2026-E248&gt;0,L248/(2026-E248),L248))</f>
        <v/>
      </c>
    </row>
    <row r="249" customFormat="false" ht="15" hidden="false" customHeight="true" outlineLevel="0" collapsed="false">
      <c r="N249" s="1" t="str">
        <f aca="false">IF(L249="","",IF(2026-E249&gt;0,L249/(2026-E249),L249))</f>
        <v/>
      </c>
    </row>
    <row r="250" customFormat="false" ht="15" hidden="false" customHeight="true" outlineLevel="0" collapsed="false">
      <c r="N250" s="1" t="str">
        <f aca="false">IF(L250="","",IF(2026-E250&gt;0,L250/(2026-E250),L250))</f>
        <v/>
      </c>
    </row>
    <row r="251" customFormat="false" ht="15" hidden="false" customHeight="true" outlineLevel="0" collapsed="false">
      <c r="N251" s="1" t="str">
        <f aca="false">IF(L251="","",IF(2026-E251&gt;0,L251/(2026-E251),L251))</f>
        <v/>
      </c>
    </row>
    <row r="252" customFormat="false" ht="15" hidden="false" customHeight="true" outlineLevel="0" collapsed="false">
      <c r="N252" s="1" t="str">
        <f aca="false">IF(L252="","",IF(2026-E252&gt;0,L252/(2026-E252),L252))</f>
        <v/>
      </c>
    </row>
    <row r="253" customFormat="false" ht="15" hidden="false" customHeight="true" outlineLevel="0" collapsed="false">
      <c r="N253" s="1" t="str">
        <f aca="false">IF(L253="","",IF(2026-E253&gt;0,L253/(2026-E253),L253))</f>
        <v/>
      </c>
    </row>
    <row r="254" customFormat="false" ht="15" hidden="false" customHeight="true" outlineLevel="0" collapsed="false">
      <c r="N254" s="1" t="str">
        <f aca="false">IF(L254="","",IF(2026-E254&gt;0,L254/(2026-E254),L254))</f>
        <v/>
      </c>
    </row>
    <row r="255" customFormat="false" ht="15" hidden="false" customHeight="true" outlineLevel="0" collapsed="false">
      <c r="N255" s="1" t="str">
        <f aca="false">IF(L255="","",IF(2026-E255&gt;0,L255/(2026-E255),L255))</f>
        <v/>
      </c>
    </row>
    <row r="256" customFormat="false" ht="15" hidden="false" customHeight="true" outlineLevel="0" collapsed="false">
      <c r="N256" s="1" t="str">
        <f aca="false">IF(L256="","",IF(2026-E256&gt;0,L256/(2026-E256),L256))</f>
        <v/>
      </c>
    </row>
    <row r="257" customFormat="false" ht="15" hidden="false" customHeight="true" outlineLevel="0" collapsed="false">
      <c r="N257" s="1" t="str">
        <f aca="false">IF(L257="","",IF(2026-E257&gt;0,L257/(2026-E257),L257))</f>
        <v/>
      </c>
    </row>
    <row r="258" customFormat="false" ht="15" hidden="false" customHeight="true" outlineLevel="0" collapsed="false">
      <c r="N258" s="1" t="str">
        <f aca="false">IF(L258="","",IF(2026-E258&gt;0,L258/(2026-E258),L258))</f>
        <v/>
      </c>
    </row>
    <row r="259" customFormat="false" ht="15" hidden="false" customHeight="true" outlineLevel="0" collapsed="false">
      <c r="N259" s="1" t="str">
        <f aca="false">IF(L259="","",IF(2026-E259&gt;0,L259/(2026-E259),L259))</f>
        <v/>
      </c>
    </row>
    <row r="260" customFormat="false" ht="15" hidden="false" customHeight="true" outlineLevel="0" collapsed="false">
      <c r="N260" s="1" t="str">
        <f aca="false">IF(L260="","",IF(2026-E260&gt;0,L260/(2026-E260),L260))</f>
        <v/>
      </c>
    </row>
    <row r="261" customFormat="false" ht="15" hidden="false" customHeight="true" outlineLevel="0" collapsed="false">
      <c r="N261" s="1" t="str">
        <f aca="false">IF(L261="","",IF(2026-E261&gt;0,L261/(2026-E261),L261))</f>
        <v/>
      </c>
    </row>
    <row r="262" customFormat="false" ht="15" hidden="false" customHeight="true" outlineLevel="0" collapsed="false">
      <c r="N262" s="1" t="str">
        <f aca="false">IF(L262="","",IF(2026-E262&gt;0,L262/(2026-E262),L262))</f>
        <v/>
      </c>
    </row>
    <row r="263" customFormat="false" ht="15" hidden="false" customHeight="true" outlineLevel="0" collapsed="false">
      <c r="N263" s="1" t="str">
        <f aca="false">IF(L263="","",IF(2026-E263&gt;0,L263/(2026-E263),L263))</f>
        <v/>
      </c>
    </row>
    <row r="264" customFormat="false" ht="15" hidden="false" customHeight="true" outlineLevel="0" collapsed="false">
      <c r="N264" s="1" t="str">
        <f aca="false">IF(L264="","",IF(2026-E264&gt;0,L264/(2026-E264),L264))</f>
        <v/>
      </c>
    </row>
    <row r="265" customFormat="false" ht="15" hidden="false" customHeight="true" outlineLevel="0" collapsed="false">
      <c r="N265" s="1" t="str">
        <f aca="false">IF(L265="","",IF(2026-E265&gt;0,L265/(2026-E265),L265))</f>
        <v/>
      </c>
    </row>
    <row r="266" customFormat="false" ht="15" hidden="false" customHeight="true" outlineLevel="0" collapsed="false">
      <c r="N266" s="1" t="str">
        <f aca="false">IF(L266="","",IF(2026-E266&gt;0,L266/(2026-E266),L266))</f>
        <v/>
      </c>
    </row>
    <row r="267" customFormat="false" ht="15" hidden="false" customHeight="true" outlineLevel="0" collapsed="false">
      <c r="N267" s="1" t="str">
        <f aca="false">IF(L267="","",IF(2026-E267&gt;0,L267/(2026-E267),L267))</f>
        <v/>
      </c>
    </row>
    <row r="268" customFormat="false" ht="15" hidden="false" customHeight="true" outlineLevel="0" collapsed="false">
      <c r="N268" s="1" t="str">
        <f aca="false">IF(L268="","",IF(2026-E268&gt;0,L268/(2026-E268),L268))</f>
        <v/>
      </c>
    </row>
    <row r="269" customFormat="false" ht="15" hidden="false" customHeight="true" outlineLevel="0" collapsed="false">
      <c r="N269" s="1" t="str">
        <f aca="false">IF(L269="","",IF(2026-E269&gt;0,L269/(2026-E269),L269))</f>
        <v/>
      </c>
    </row>
    <row r="270" customFormat="false" ht="15" hidden="false" customHeight="true" outlineLevel="0" collapsed="false">
      <c r="N270" s="1" t="str">
        <f aca="false">IF(L270="","",IF(2026-E270&gt;0,L270/(2026-E270),L270))</f>
        <v/>
      </c>
    </row>
    <row r="271" customFormat="false" ht="15" hidden="false" customHeight="true" outlineLevel="0" collapsed="false">
      <c r="N271" s="1" t="str">
        <f aca="false">IF(L271="","",IF(2026-E271&gt;0,L271/(2026-E271),L271))</f>
        <v/>
      </c>
    </row>
    <row r="272" customFormat="false" ht="15" hidden="false" customHeight="true" outlineLevel="0" collapsed="false">
      <c r="N272" s="1" t="str">
        <f aca="false">IF(L272="","",IF(2026-E272&gt;0,L272/(2026-E272),L272))</f>
        <v/>
      </c>
    </row>
    <row r="273" customFormat="false" ht="15" hidden="false" customHeight="true" outlineLevel="0" collapsed="false">
      <c r="N273" s="1" t="str">
        <f aca="false">IF(L273="","",IF(2026-E273&gt;0,L273/(2026-E273),L273))</f>
        <v/>
      </c>
    </row>
    <row r="274" customFormat="false" ht="15" hidden="false" customHeight="true" outlineLevel="0" collapsed="false">
      <c r="N274" s="1" t="str">
        <f aca="false">IF(L274="","",IF(2026-E274&gt;0,L274/(2026-E274),L274))</f>
        <v/>
      </c>
    </row>
    <row r="275" customFormat="false" ht="15" hidden="false" customHeight="true" outlineLevel="0" collapsed="false">
      <c r="N275" s="1" t="str">
        <f aca="false">IF(L275="","",IF(2026-E275&gt;0,L275/(2026-E275),L275))</f>
        <v/>
      </c>
    </row>
    <row r="276" customFormat="false" ht="15" hidden="false" customHeight="true" outlineLevel="0" collapsed="false">
      <c r="N276" s="1" t="str">
        <f aca="false">IF(L276="","",IF(2026-E276&gt;0,L276/(2026-E276),L276))</f>
        <v/>
      </c>
    </row>
    <row r="277" customFormat="false" ht="15" hidden="false" customHeight="true" outlineLevel="0" collapsed="false">
      <c r="N277" s="1" t="str">
        <f aca="false">IF(L277="","",IF(2026-E277&gt;0,L277/(2026-E277),L277))</f>
        <v/>
      </c>
    </row>
    <row r="278" customFormat="false" ht="15" hidden="false" customHeight="true" outlineLevel="0" collapsed="false">
      <c r="N278" s="1" t="str">
        <f aca="false">IF(L278="","",IF(2026-E278&gt;0,L278/(2026-E278),L278))</f>
        <v/>
      </c>
    </row>
    <row r="279" customFormat="false" ht="15" hidden="false" customHeight="true" outlineLevel="0" collapsed="false">
      <c r="N279" s="1" t="str">
        <f aca="false">IF(L279="","",IF(2026-E279&gt;0,L279/(2026-E279),L279))</f>
        <v/>
      </c>
    </row>
    <row r="280" customFormat="false" ht="15" hidden="false" customHeight="true" outlineLevel="0" collapsed="false">
      <c r="N280" s="1" t="str">
        <f aca="false">IF(L280="","",IF(2026-E280&gt;0,L280/(2026-E280),L280))</f>
        <v/>
      </c>
    </row>
    <row r="281" customFormat="false" ht="15" hidden="false" customHeight="true" outlineLevel="0" collapsed="false">
      <c r="N281" s="1" t="str">
        <f aca="false">IF(L281="","",IF(2026-E281&gt;0,L281/(2026-E281),L281))</f>
        <v/>
      </c>
    </row>
    <row r="282" customFormat="false" ht="15" hidden="false" customHeight="true" outlineLevel="0" collapsed="false">
      <c r="N282" s="1" t="str">
        <f aca="false">IF(L282="","",IF(2026-E282&gt;0,L282/(2026-E282),L282))</f>
        <v/>
      </c>
    </row>
    <row r="283" customFormat="false" ht="15" hidden="false" customHeight="true" outlineLevel="0" collapsed="false">
      <c r="N283" s="1" t="str">
        <f aca="false">IF(L283="","",IF(2026-E283&gt;0,L283/(2026-E283),L283))</f>
        <v/>
      </c>
    </row>
    <row r="284" customFormat="false" ht="15" hidden="false" customHeight="true" outlineLevel="0" collapsed="false">
      <c r="N284" s="1" t="str">
        <f aca="false">IF(L284="","",IF(2026-E284&gt;0,L284/(2026-E284),L284))</f>
        <v/>
      </c>
    </row>
    <row r="285" customFormat="false" ht="15" hidden="false" customHeight="true" outlineLevel="0" collapsed="false">
      <c r="N285" s="1" t="str">
        <f aca="false">IF(L285="","",IF(2026-E285&gt;0,L285/(2026-E285),L285))</f>
        <v/>
      </c>
    </row>
    <row r="286" customFormat="false" ht="15" hidden="false" customHeight="true" outlineLevel="0" collapsed="false">
      <c r="N286" s="1" t="str">
        <f aca="false">IF(L286="","",IF(2026-E286&gt;0,L286/(2026-E286),L286))</f>
        <v/>
      </c>
    </row>
    <row r="287" customFormat="false" ht="15" hidden="false" customHeight="true" outlineLevel="0" collapsed="false">
      <c r="N287" s="1" t="str">
        <f aca="false">IF(L287="","",IF(2026-E287&gt;0,L287/(2026-E287),L287))</f>
        <v/>
      </c>
    </row>
    <row r="288" customFormat="false" ht="15" hidden="false" customHeight="true" outlineLevel="0" collapsed="false">
      <c r="N288" s="1" t="str">
        <f aca="false">IF(L288="","",IF(2026-E288&gt;0,L288/(2026-E288),L288))</f>
        <v/>
      </c>
    </row>
    <row r="289" customFormat="false" ht="15" hidden="false" customHeight="true" outlineLevel="0" collapsed="false">
      <c r="N289" s="1" t="str">
        <f aca="false">IF(L289="","",IF(2026-E289&gt;0,L289/(2026-E289),L289))</f>
        <v/>
      </c>
    </row>
    <row r="290" customFormat="false" ht="15" hidden="false" customHeight="true" outlineLevel="0" collapsed="false">
      <c r="N290" s="1" t="str">
        <f aca="false">IF(L290="","",IF(2026-E290&gt;0,L290/(2026-E290),L290))</f>
        <v/>
      </c>
    </row>
    <row r="291" customFormat="false" ht="15" hidden="false" customHeight="true" outlineLevel="0" collapsed="false">
      <c r="N291" s="1" t="str">
        <f aca="false">IF(L291="","",IF(2026-E291&gt;0,L291/(2026-E291),L291))</f>
        <v/>
      </c>
    </row>
    <row r="292" customFormat="false" ht="15" hidden="false" customHeight="true" outlineLevel="0" collapsed="false">
      <c r="N292" s="1" t="str">
        <f aca="false">IF(L292="","",IF(2026-E292&gt;0,L292/(2026-E292),L292))</f>
        <v/>
      </c>
    </row>
    <row r="293" customFormat="false" ht="15" hidden="false" customHeight="true" outlineLevel="0" collapsed="false">
      <c r="N293" s="1" t="str">
        <f aca="false">IF(L293="","",IF(2026-E293&gt;0,L293/(2026-E293),L293))</f>
        <v/>
      </c>
    </row>
    <row r="294" customFormat="false" ht="15" hidden="false" customHeight="true" outlineLevel="0" collapsed="false">
      <c r="N294" s="1" t="str">
        <f aca="false">IF(L294="","",IF(2026-E294&gt;0,L294/(2026-E294),L294))</f>
        <v/>
      </c>
    </row>
    <row r="295" customFormat="false" ht="15" hidden="false" customHeight="true" outlineLevel="0" collapsed="false">
      <c r="N295" s="1" t="str">
        <f aca="false">IF(L295="","",IF(2026-E295&gt;0,L295/(2026-E295),L295))</f>
        <v/>
      </c>
    </row>
    <row r="296" customFormat="false" ht="15" hidden="false" customHeight="true" outlineLevel="0" collapsed="false">
      <c r="N296" s="1" t="str">
        <f aca="false">IF(L296="","",IF(2026-E296&gt;0,L296/(2026-E296),L296))</f>
        <v/>
      </c>
    </row>
    <row r="297" customFormat="false" ht="15" hidden="false" customHeight="true" outlineLevel="0" collapsed="false">
      <c r="N297" s="1" t="str">
        <f aca="false">IF(L297="","",IF(2026-E297&gt;0,L297/(2026-E297),L297))</f>
        <v/>
      </c>
    </row>
    <row r="298" customFormat="false" ht="15" hidden="false" customHeight="true" outlineLevel="0" collapsed="false">
      <c r="N298" s="1" t="str">
        <f aca="false">IF(L298="","",IF(2026-E298&gt;0,L298/(2026-E298),L298))</f>
        <v/>
      </c>
    </row>
    <row r="299" customFormat="false" ht="15" hidden="false" customHeight="true" outlineLevel="0" collapsed="false">
      <c r="N299" s="1" t="str">
        <f aca="false">IF(L299="","",IF(2026-E299&gt;0,L299/(2026-E299),L299))</f>
        <v/>
      </c>
    </row>
    <row r="300" customFormat="false" ht="15" hidden="false" customHeight="true" outlineLevel="0" collapsed="false">
      <c r="N300" s="1" t="str">
        <f aca="false">IF(L300="","",IF(2026-E300&gt;0,L300/(2026-E300),L300))</f>
        <v/>
      </c>
    </row>
    <row r="301" customFormat="false" ht="15" hidden="false" customHeight="true" outlineLevel="0" collapsed="false">
      <c r="N301" s="1" t="str">
        <f aca="false">IF(L301="","",IF(2026-E301&gt;0,L301/(2026-E301),L301))</f>
        <v/>
      </c>
    </row>
    <row r="302" customFormat="false" ht="15" hidden="false" customHeight="true" outlineLevel="0" collapsed="false">
      <c r="N302" s="1" t="str">
        <f aca="false">IF(L302="","",IF(2026-E302&gt;0,L302/(2026-E302),L302))</f>
        <v/>
      </c>
    </row>
    <row r="303" customFormat="false" ht="15" hidden="false" customHeight="true" outlineLevel="0" collapsed="false">
      <c r="N303" s="1" t="str">
        <f aca="false">IF(L303="","",IF(2026-E303&gt;0,L303/(2026-E303),L303))</f>
        <v/>
      </c>
    </row>
    <row r="304" customFormat="false" ht="15" hidden="false" customHeight="true" outlineLevel="0" collapsed="false">
      <c r="N304" s="1" t="str">
        <f aca="false">IF(L304="","",IF(2026-E304&gt;0,L304/(2026-E304),L304))</f>
        <v/>
      </c>
    </row>
    <row r="305" customFormat="false" ht="15" hidden="false" customHeight="true" outlineLevel="0" collapsed="false">
      <c r="N305" s="1" t="str">
        <f aca="false">IF(L305="","",IF(2026-E305&gt;0,L305/(2026-E305),L305))</f>
        <v/>
      </c>
    </row>
    <row r="306" customFormat="false" ht="15" hidden="false" customHeight="true" outlineLevel="0" collapsed="false">
      <c r="N306" s="1" t="str">
        <f aca="false">IF(L306="","",IF(2026-E306&gt;0,L306/(2026-E306),L306))</f>
        <v/>
      </c>
    </row>
    <row r="307" customFormat="false" ht="15" hidden="false" customHeight="true" outlineLevel="0" collapsed="false">
      <c r="N307" s="1" t="str">
        <f aca="false">IF(L307="","",IF(2026-E307&gt;0,L307/(2026-E307),L307))</f>
        <v/>
      </c>
    </row>
    <row r="308" customFormat="false" ht="15" hidden="false" customHeight="true" outlineLevel="0" collapsed="false">
      <c r="N308" s="1" t="str">
        <f aca="false">IF(L308="","",IF(2026-E308&gt;0,L308/(2026-E308),L308))</f>
        <v/>
      </c>
    </row>
    <row r="309" customFormat="false" ht="15" hidden="false" customHeight="true" outlineLevel="0" collapsed="false">
      <c r="N309" s="1" t="str">
        <f aca="false">IF(L309="","",IF(2026-E309&gt;0,L309/(2026-E309),L309))</f>
        <v/>
      </c>
    </row>
    <row r="310" customFormat="false" ht="15" hidden="false" customHeight="true" outlineLevel="0" collapsed="false">
      <c r="N310" s="1" t="str">
        <f aca="false">IF(L310="","",IF(2026-E310&gt;0,L310/(2026-E310),L310))</f>
        <v/>
      </c>
    </row>
    <row r="311" customFormat="false" ht="15" hidden="false" customHeight="true" outlineLevel="0" collapsed="false">
      <c r="N311" s="1" t="str">
        <f aca="false">IF(L311="","",IF(2026-E311&gt;0,L311/(2026-E311),L311))</f>
        <v/>
      </c>
    </row>
    <row r="312" customFormat="false" ht="15" hidden="false" customHeight="true" outlineLevel="0" collapsed="false">
      <c r="N312" s="1" t="str">
        <f aca="false">IF(L312="","",IF(2026-E312&gt;0,L312/(2026-E312),L312))</f>
        <v/>
      </c>
    </row>
    <row r="313" customFormat="false" ht="15" hidden="false" customHeight="true" outlineLevel="0" collapsed="false">
      <c r="N313" s="1" t="str">
        <f aca="false">IF(L313="","",IF(2026-E313&gt;0,L313/(2026-E313),L313))</f>
        <v/>
      </c>
    </row>
    <row r="314" customFormat="false" ht="15" hidden="false" customHeight="true" outlineLevel="0" collapsed="false">
      <c r="N314" s="1" t="str">
        <f aca="false">IF(L314="","",IF(2026-E314&gt;0,L314/(2026-E314),L314))</f>
        <v/>
      </c>
    </row>
    <row r="315" customFormat="false" ht="15" hidden="false" customHeight="true" outlineLevel="0" collapsed="false">
      <c r="N315" s="1" t="str">
        <f aca="false">IF(L315="","",IF(2026-E315&gt;0,L315/(2026-E315),L315))</f>
        <v/>
      </c>
    </row>
    <row r="316" customFormat="false" ht="15" hidden="false" customHeight="true" outlineLevel="0" collapsed="false">
      <c r="N316" s="1" t="str">
        <f aca="false">IF(L316="","",IF(2026-E316&gt;0,L316/(2026-E316),L316))</f>
        <v/>
      </c>
    </row>
    <row r="317" customFormat="false" ht="15" hidden="false" customHeight="true" outlineLevel="0" collapsed="false">
      <c r="N317" s="1" t="str">
        <f aca="false">IF(L317="","",IF(2026-E317&gt;0,L317/(2026-E317),L317))</f>
        <v/>
      </c>
    </row>
    <row r="318" customFormat="false" ht="15" hidden="false" customHeight="true" outlineLevel="0" collapsed="false">
      <c r="N318" s="1" t="str">
        <f aca="false">IF(L318="","",IF(2026-E318&gt;0,L318/(2026-E318),L318))</f>
        <v/>
      </c>
    </row>
    <row r="319" customFormat="false" ht="15" hidden="false" customHeight="true" outlineLevel="0" collapsed="false">
      <c r="N319" s="1" t="str">
        <f aca="false">IF(L319="","",IF(2026-E319&gt;0,L319/(2026-E319),L319))</f>
        <v/>
      </c>
    </row>
    <row r="320" customFormat="false" ht="15" hidden="false" customHeight="true" outlineLevel="0" collapsed="false">
      <c r="N320" s="1" t="str">
        <f aca="false">IF(L320="","",IF(2026-E320&gt;0,L320/(2026-E320),L320))</f>
        <v/>
      </c>
    </row>
    <row r="321" customFormat="false" ht="15" hidden="false" customHeight="true" outlineLevel="0" collapsed="false">
      <c r="N321" s="1" t="str">
        <f aca="false">IF(L321="","",IF(2026-E321&gt;0,L321/(2026-E321),L321))</f>
        <v/>
      </c>
    </row>
    <row r="322" customFormat="false" ht="15" hidden="false" customHeight="true" outlineLevel="0" collapsed="false">
      <c r="N322" s="1" t="str">
        <f aca="false">IF(L322="","",IF(2026-E322&gt;0,L322/(2026-E322),L322))</f>
        <v/>
      </c>
    </row>
    <row r="323" customFormat="false" ht="15" hidden="false" customHeight="true" outlineLevel="0" collapsed="false">
      <c r="N323" s="1" t="str">
        <f aca="false">IF(L323="","",IF(2026-E323&gt;0,L323/(2026-E323),L323))</f>
        <v/>
      </c>
    </row>
    <row r="324" customFormat="false" ht="15" hidden="false" customHeight="true" outlineLevel="0" collapsed="false">
      <c r="N324" s="1" t="str">
        <f aca="false">IF(L324="","",IF(2026-E324&gt;0,L324/(2026-E324),L324))</f>
        <v/>
      </c>
    </row>
    <row r="325" customFormat="false" ht="15" hidden="false" customHeight="true" outlineLevel="0" collapsed="false">
      <c r="N325" s="1" t="str">
        <f aca="false">IF(L325="","",IF(2026-E325&gt;0,L325/(2026-E325),L325))</f>
        <v/>
      </c>
    </row>
    <row r="326" customFormat="false" ht="15" hidden="false" customHeight="true" outlineLevel="0" collapsed="false">
      <c r="N326" s="1" t="str">
        <f aca="false">IF(L326="","",IF(2026-E326&gt;0,L326/(2026-E326),L326))</f>
        <v/>
      </c>
    </row>
    <row r="327" customFormat="false" ht="15" hidden="false" customHeight="true" outlineLevel="0" collapsed="false">
      <c r="N327" s="1" t="str">
        <f aca="false">IF(L327="","",IF(2026-E327&gt;0,L327/(2026-E327),L327))</f>
        <v/>
      </c>
    </row>
    <row r="328" customFormat="false" ht="15" hidden="false" customHeight="true" outlineLevel="0" collapsed="false">
      <c r="N328" s="1" t="str">
        <f aca="false">IF(L328="","",IF(2026-E328&gt;0,L328/(2026-E328),L328))</f>
        <v/>
      </c>
    </row>
    <row r="329" customFormat="false" ht="15" hidden="false" customHeight="true" outlineLevel="0" collapsed="false">
      <c r="N329" s="1" t="str">
        <f aca="false">IF(L329="","",IF(2026-E329&gt;0,L329/(2026-E329),L329))</f>
        <v/>
      </c>
    </row>
    <row r="330" customFormat="false" ht="15" hidden="false" customHeight="true" outlineLevel="0" collapsed="false">
      <c r="N330" s="1" t="str">
        <f aca="false">IF(L330="","",IF(2026-E330&gt;0,L330/(2026-E330),L330))</f>
        <v/>
      </c>
    </row>
    <row r="331" customFormat="false" ht="15" hidden="false" customHeight="true" outlineLevel="0" collapsed="false">
      <c r="N331" s="1" t="str">
        <f aca="false">IF(L331="","",IF(2026-E331&gt;0,L331/(2026-E331),L331))</f>
        <v/>
      </c>
    </row>
    <row r="332" customFormat="false" ht="15" hidden="false" customHeight="true" outlineLevel="0" collapsed="false">
      <c r="N332" s="1" t="str">
        <f aca="false">IF(L332="","",IF(2026-E332&gt;0,L332/(2026-E332),L332))</f>
        <v/>
      </c>
    </row>
    <row r="333" customFormat="false" ht="15" hidden="false" customHeight="true" outlineLevel="0" collapsed="false">
      <c r="N333" s="1" t="str">
        <f aca="false">IF(L333="","",IF(2026-E333&gt;0,L333/(2026-E333),L333))</f>
        <v/>
      </c>
    </row>
    <row r="334" customFormat="false" ht="15" hidden="false" customHeight="true" outlineLevel="0" collapsed="false">
      <c r="N334" s="1" t="str">
        <f aca="false">IF(L334="","",IF(2026-E334&gt;0,L334/(2026-E334),L334))</f>
        <v/>
      </c>
    </row>
    <row r="335" customFormat="false" ht="15" hidden="false" customHeight="true" outlineLevel="0" collapsed="false">
      <c r="N335" s="1" t="str">
        <f aca="false">IF(L335="","",IF(2026-E335&gt;0,L335/(2026-E335),L335))</f>
        <v/>
      </c>
    </row>
    <row r="336" customFormat="false" ht="15" hidden="false" customHeight="true" outlineLevel="0" collapsed="false">
      <c r="N336" s="1" t="str">
        <f aca="false">IF(L336="","",IF(2026-E336&gt;0,L336/(2026-E336),L336))</f>
        <v/>
      </c>
    </row>
    <row r="337" customFormat="false" ht="15" hidden="false" customHeight="true" outlineLevel="0" collapsed="false">
      <c r="N337" s="1" t="str">
        <f aca="false">IF(L337="","",IF(2026-E337&gt;0,L337/(2026-E337),L337))</f>
        <v/>
      </c>
    </row>
    <row r="338" customFormat="false" ht="15" hidden="false" customHeight="true" outlineLevel="0" collapsed="false">
      <c r="N338" s="1" t="str">
        <f aca="false">IF(L338="","",IF(2026-E338&gt;0,L338/(2026-E338),L338))</f>
        <v/>
      </c>
    </row>
    <row r="339" customFormat="false" ht="15" hidden="false" customHeight="true" outlineLevel="0" collapsed="false">
      <c r="N339" s="1" t="str">
        <f aca="false">IF(L339="","",IF(2026-E339&gt;0,L339/(2026-E339),L339))</f>
        <v/>
      </c>
    </row>
    <row r="340" customFormat="false" ht="15" hidden="false" customHeight="true" outlineLevel="0" collapsed="false">
      <c r="N340" s="1" t="str">
        <f aca="false">IF(L340="","",IF(2026-E340&gt;0,L340/(2026-E340),L340))</f>
        <v/>
      </c>
    </row>
    <row r="341" customFormat="false" ht="15" hidden="false" customHeight="true" outlineLevel="0" collapsed="false">
      <c r="N341" s="1" t="str">
        <f aca="false">IF(L341="","",IF(2026-E341&gt;0,L341/(2026-E341),L341))</f>
        <v/>
      </c>
    </row>
    <row r="342" customFormat="false" ht="15" hidden="false" customHeight="true" outlineLevel="0" collapsed="false">
      <c r="N342" s="1" t="str">
        <f aca="false">IF(L342="","",IF(2026-E342&gt;0,L342/(2026-E342),L342))</f>
        <v/>
      </c>
    </row>
    <row r="343" customFormat="false" ht="15" hidden="false" customHeight="true" outlineLevel="0" collapsed="false">
      <c r="N343" s="1" t="str">
        <f aca="false">IF(L343="","",IF(2026-E343&gt;0,L343/(2026-E343),L343))</f>
        <v/>
      </c>
    </row>
    <row r="344" customFormat="false" ht="15" hidden="false" customHeight="true" outlineLevel="0" collapsed="false">
      <c r="N344" s="1" t="str">
        <f aca="false">IF(L344="","",IF(2026-E344&gt;0,L344/(2026-E344),L344))</f>
        <v/>
      </c>
    </row>
    <row r="345" customFormat="false" ht="15" hidden="false" customHeight="true" outlineLevel="0" collapsed="false">
      <c r="N345" s="1" t="str">
        <f aca="false">IF(L345="","",IF(2026-E345&gt;0,L345/(2026-E345),L345))</f>
        <v/>
      </c>
    </row>
    <row r="346" customFormat="false" ht="15" hidden="false" customHeight="true" outlineLevel="0" collapsed="false">
      <c r="N346" s="1" t="str">
        <f aca="false">IF(L346="","",IF(2026-E346&gt;0,L346/(2026-E346),L346))</f>
        <v/>
      </c>
    </row>
    <row r="347" customFormat="false" ht="15" hidden="false" customHeight="true" outlineLevel="0" collapsed="false">
      <c r="N347" s="1" t="str">
        <f aca="false">IF(L347="","",IF(2026-E347&gt;0,L347/(2026-E347),L347))</f>
        <v/>
      </c>
    </row>
    <row r="348" customFormat="false" ht="15" hidden="false" customHeight="true" outlineLevel="0" collapsed="false">
      <c r="N348" s="1" t="str">
        <f aca="false">IF(L348="","",IF(2026-E348&gt;0,L348/(2026-E348),L348))</f>
        <v/>
      </c>
    </row>
    <row r="349" customFormat="false" ht="15" hidden="false" customHeight="true" outlineLevel="0" collapsed="false">
      <c r="N349" s="1" t="str">
        <f aca="false">IF(L349="","",IF(2026-E349&gt;0,L349/(2026-E349),L349))</f>
        <v/>
      </c>
    </row>
    <row r="350" customFormat="false" ht="15" hidden="false" customHeight="true" outlineLevel="0" collapsed="false">
      <c r="N350" s="1" t="str">
        <f aca="false">IF(L350="","",IF(2026-E350&gt;0,L350/(2026-E350),L350))</f>
        <v/>
      </c>
    </row>
    <row r="351" customFormat="false" ht="15" hidden="false" customHeight="true" outlineLevel="0" collapsed="false">
      <c r="N351" s="1" t="str">
        <f aca="false">IF(L351="","",IF(2026-E351&gt;0,L351/(2026-E351),L351))</f>
        <v/>
      </c>
    </row>
    <row r="352" customFormat="false" ht="15" hidden="false" customHeight="true" outlineLevel="0" collapsed="false">
      <c r="N352" s="1" t="str">
        <f aca="false">IF(L352="","",IF(2026-E352&gt;0,L352/(2026-E352),L352))</f>
        <v/>
      </c>
    </row>
    <row r="353" customFormat="false" ht="15" hidden="false" customHeight="true" outlineLevel="0" collapsed="false">
      <c r="N353" s="1" t="str">
        <f aca="false">IF(L353="","",IF(2026-E353&gt;0,L353/(2026-E353),L353))</f>
        <v/>
      </c>
    </row>
    <row r="354" customFormat="false" ht="15" hidden="false" customHeight="true" outlineLevel="0" collapsed="false">
      <c r="N354" s="1" t="str">
        <f aca="false">IF(L354="","",IF(2026-E354&gt;0,L354/(2026-E354),L354))</f>
        <v/>
      </c>
    </row>
    <row r="355" customFormat="false" ht="15" hidden="false" customHeight="true" outlineLevel="0" collapsed="false">
      <c r="N355" s="1" t="str">
        <f aca="false">IF(L355="","",IF(2026-E355&gt;0,L355/(2026-E355),L355))</f>
        <v/>
      </c>
    </row>
    <row r="356" customFormat="false" ht="15" hidden="false" customHeight="true" outlineLevel="0" collapsed="false">
      <c r="N356" s="1" t="str">
        <f aca="false">IF(L356="","",IF(2026-E356&gt;0,L356/(2026-E356),L356))</f>
        <v/>
      </c>
    </row>
    <row r="357" customFormat="false" ht="15" hidden="false" customHeight="true" outlineLevel="0" collapsed="false">
      <c r="N357" s="1" t="str">
        <f aca="false">IF(L357="","",IF(2026-E357&gt;0,L357/(2026-E357),L357))</f>
        <v/>
      </c>
    </row>
    <row r="358" customFormat="false" ht="15" hidden="false" customHeight="true" outlineLevel="0" collapsed="false">
      <c r="N358" s="1" t="str">
        <f aca="false">IF(L358="","",IF(2026-E358&gt;0,L358/(2026-E358),L358))</f>
        <v/>
      </c>
    </row>
    <row r="359" customFormat="false" ht="15" hidden="false" customHeight="true" outlineLevel="0" collapsed="false">
      <c r="N359" s="1" t="str">
        <f aca="false">IF(L359="","",IF(2026-E359&gt;0,L359/(2026-E359),L359))</f>
        <v/>
      </c>
    </row>
    <row r="360" customFormat="false" ht="15" hidden="false" customHeight="true" outlineLevel="0" collapsed="false">
      <c r="N360" s="1" t="str">
        <f aca="false">IF(L360="","",IF(2026-E360&gt;0,L360/(2026-E360),L360))</f>
        <v/>
      </c>
    </row>
    <row r="361" customFormat="false" ht="15" hidden="false" customHeight="true" outlineLevel="0" collapsed="false">
      <c r="N361" s="1" t="str">
        <f aca="false">IF(L361="","",IF(2026-E361&gt;0,L361/(2026-E361),L361))</f>
        <v/>
      </c>
    </row>
    <row r="362" customFormat="false" ht="15" hidden="false" customHeight="true" outlineLevel="0" collapsed="false">
      <c r="N362" s="1" t="str">
        <f aca="false">IF(L362="","",IF(2026-E362&gt;0,L362/(2026-E362),L362))</f>
        <v/>
      </c>
    </row>
    <row r="363" customFormat="false" ht="15" hidden="false" customHeight="true" outlineLevel="0" collapsed="false">
      <c r="N363" s="1" t="str">
        <f aca="false">IF(L363="","",IF(2026-E363&gt;0,L363/(2026-E363),L363))</f>
        <v/>
      </c>
    </row>
    <row r="364" customFormat="false" ht="15" hidden="false" customHeight="true" outlineLevel="0" collapsed="false">
      <c r="N364" s="1" t="str">
        <f aca="false">IF(L364="","",IF(2026-E364&gt;0,L364/(2026-E364),L364))</f>
        <v/>
      </c>
    </row>
    <row r="365" customFormat="false" ht="15" hidden="false" customHeight="true" outlineLevel="0" collapsed="false">
      <c r="N365" s="1" t="str">
        <f aca="false">IF(L365="","",IF(2026-E365&gt;0,L365/(2026-E365),L365))</f>
        <v/>
      </c>
    </row>
    <row r="366" customFormat="false" ht="15" hidden="false" customHeight="true" outlineLevel="0" collapsed="false">
      <c r="N366" s="1" t="str">
        <f aca="false">IF(L366="","",IF(2026-E366&gt;0,L366/(2026-E366),L366))</f>
        <v/>
      </c>
    </row>
    <row r="367" customFormat="false" ht="15" hidden="false" customHeight="true" outlineLevel="0" collapsed="false">
      <c r="N367" s="1" t="str">
        <f aca="false">IF(L367="","",IF(2026-E367&gt;0,L367/(2026-E367),L367))</f>
        <v/>
      </c>
    </row>
    <row r="368" customFormat="false" ht="15" hidden="false" customHeight="true" outlineLevel="0" collapsed="false">
      <c r="N368" s="1" t="str">
        <f aca="false">IF(L368="","",IF(2026-E368&gt;0,L368/(2026-E368),L368))</f>
        <v/>
      </c>
    </row>
    <row r="369" customFormat="false" ht="15" hidden="false" customHeight="true" outlineLevel="0" collapsed="false">
      <c r="N369" s="1" t="str">
        <f aca="false">IF(L369="","",IF(2026-E369&gt;0,L369/(2026-E369),L369))</f>
        <v/>
      </c>
    </row>
    <row r="370" customFormat="false" ht="15" hidden="false" customHeight="true" outlineLevel="0" collapsed="false">
      <c r="N370" s="1" t="str">
        <f aca="false">IF(L370="","",IF(2026-E370&gt;0,L370/(2026-E370),L370))</f>
        <v/>
      </c>
    </row>
    <row r="371" customFormat="false" ht="15" hidden="false" customHeight="true" outlineLevel="0" collapsed="false">
      <c r="N371" s="1" t="str">
        <f aca="false">IF(L371="","",IF(2026-E371&gt;0,L371/(2026-E371),L371))</f>
        <v/>
      </c>
    </row>
    <row r="372" customFormat="false" ht="15" hidden="false" customHeight="true" outlineLevel="0" collapsed="false">
      <c r="N372" s="1" t="str">
        <f aca="false">IF(L372="","",IF(2026-E372&gt;0,L372/(2026-E372),L372))</f>
        <v/>
      </c>
    </row>
    <row r="373" customFormat="false" ht="15" hidden="false" customHeight="true" outlineLevel="0" collapsed="false">
      <c r="N373" s="1" t="str">
        <f aca="false">IF(L373="","",IF(2026-E373&gt;0,L373/(2026-E373),L373))</f>
        <v/>
      </c>
    </row>
    <row r="374" customFormat="false" ht="15" hidden="false" customHeight="true" outlineLevel="0" collapsed="false">
      <c r="N374" s="1" t="str">
        <f aca="false">IF(L374="","",IF(2026-E374&gt;0,L374/(2026-E374),L374))</f>
        <v/>
      </c>
    </row>
    <row r="375" customFormat="false" ht="15" hidden="false" customHeight="true" outlineLevel="0" collapsed="false">
      <c r="N375" s="1" t="str">
        <f aca="false">IF(L375="","",IF(2026-E375&gt;0,L375/(2026-E375),L375))</f>
        <v/>
      </c>
    </row>
    <row r="376" customFormat="false" ht="15" hidden="false" customHeight="true" outlineLevel="0" collapsed="false">
      <c r="N376" s="1" t="str">
        <f aca="false">IF(L376="","",IF(2026-E376&gt;0,L376/(2026-E376),L376))</f>
        <v/>
      </c>
    </row>
    <row r="377" customFormat="false" ht="15" hidden="false" customHeight="true" outlineLevel="0" collapsed="false">
      <c r="N377" s="1" t="str">
        <f aca="false">IF(L377="","",IF(2026-E377&gt;0,L377/(2026-E377),L377))</f>
        <v/>
      </c>
    </row>
    <row r="378" customFormat="false" ht="15" hidden="false" customHeight="true" outlineLevel="0" collapsed="false">
      <c r="N378" s="1" t="str">
        <f aca="false">IF(L378="","",IF(2026-E378&gt;0,L378/(2026-E378),L378))</f>
        <v/>
      </c>
    </row>
    <row r="379" customFormat="false" ht="15" hidden="false" customHeight="true" outlineLevel="0" collapsed="false">
      <c r="N379" s="1" t="str">
        <f aca="false">IF(L379="","",IF(2026-E379&gt;0,L379/(2026-E379),L379))</f>
        <v/>
      </c>
    </row>
    <row r="380" customFormat="false" ht="15" hidden="false" customHeight="true" outlineLevel="0" collapsed="false">
      <c r="N380" s="1" t="str">
        <f aca="false">IF(L380="","",IF(2026-E380&gt;0,L380/(2026-E380),L380))</f>
        <v/>
      </c>
    </row>
    <row r="381" customFormat="false" ht="15" hidden="false" customHeight="true" outlineLevel="0" collapsed="false">
      <c r="N381" s="1" t="str">
        <f aca="false">IF(L381="","",IF(2026-E381&gt;0,L381/(2026-E381),L381))</f>
        <v/>
      </c>
    </row>
    <row r="382" customFormat="false" ht="15" hidden="false" customHeight="true" outlineLevel="0" collapsed="false">
      <c r="N382" s="1" t="str">
        <f aca="false">IF(L382="","",IF(2026-E382&gt;0,L382/(2026-E382),L382))</f>
        <v/>
      </c>
    </row>
    <row r="383" customFormat="false" ht="15" hidden="false" customHeight="true" outlineLevel="0" collapsed="false">
      <c r="N383" s="1" t="str">
        <f aca="false">IF(L383="","",IF(2026-E383&gt;0,L383/(2026-E383),L383))</f>
        <v/>
      </c>
    </row>
    <row r="384" customFormat="false" ht="15" hidden="false" customHeight="true" outlineLevel="0" collapsed="false">
      <c r="N384" s="1" t="str">
        <f aca="false">IF(L384="","",IF(2026-E384&gt;0,L384/(2026-E384),L384))</f>
        <v/>
      </c>
    </row>
    <row r="385" customFormat="false" ht="15" hidden="false" customHeight="true" outlineLevel="0" collapsed="false">
      <c r="N385" s="1" t="str">
        <f aca="false">IF(L385="","",IF(2026-E385&gt;0,L385/(2026-E385),L385))</f>
        <v/>
      </c>
    </row>
    <row r="386" customFormat="false" ht="15" hidden="false" customHeight="true" outlineLevel="0" collapsed="false">
      <c r="N386" s="1" t="str">
        <f aca="false">IF(L386="","",IF(2026-E386&gt;0,L386/(2026-E386),L386))</f>
        <v/>
      </c>
    </row>
    <row r="387" customFormat="false" ht="15" hidden="false" customHeight="true" outlineLevel="0" collapsed="false">
      <c r="N387" s="1" t="str">
        <f aca="false">IF(L387="","",IF(2026-E387&gt;0,L387/(2026-E387),L387))</f>
        <v/>
      </c>
    </row>
    <row r="388" customFormat="false" ht="15" hidden="false" customHeight="true" outlineLevel="0" collapsed="false">
      <c r="N388" s="1" t="str">
        <f aca="false">IF(L388="","",IF(2026-E388&gt;0,L388/(2026-E388),L388))</f>
        <v/>
      </c>
    </row>
    <row r="389" customFormat="false" ht="15" hidden="false" customHeight="true" outlineLevel="0" collapsed="false">
      <c r="N389" s="1" t="str">
        <f aca="false">IF(L389="","",IF(2026-E389&gt;0,L389/(2026-E389),L389))</f>
        <v/>
      </c>
    </row>
    <row r="390" customFormat="false" ht="15" hidden="false" customHeight="true" outlineLevel="0" collapsed="false">
      <c r="N390" s="1" t="str">
        <f aca="false">IF(L390="","",IF(2026-E390&gt;0,L390/(2026-E390),L390))</f>
        <v/>
      </c>
    </row>
    <row r="391" customFormat="false" ht="15" hidden="false" customHeight="true" outlineLevel="0" collapsed="false">
      <c r="N391" s="1" t="str">
        <f aca="false">IF(L391="","",IF(2026-E391&gt;0,L391/(2026-E391),L391))</f>
        <v/>
      </c>
    </row>
    <row r="392" customFormat="false" ht="15" hidden="false" customHeight="true" outlineLevel="0" collapsed="false">
      <c r="N392" s="1" t="str">
        <f aca="false">IF(L392="","",IF(2026-E392&gt;0,L392/(2026-E392),L392))</f>
        <v/>
      </c>
    </row>
    <row r="393" customFormat="false" ht="15" hidden="false" customHeight="true" outlineLevel="0" collapsed="false">
      <c r="N393" s="1" t="str">
        <f aca="false">IF(L393="","",IF(2026-E393&gt;0,L393/(2026-E393),L393))</f>
        <v/>
      </c>
    </row>
    <row r="394" customFormat="false" ht="15" hidden="false" customHeight="true" outlineLevel="0" collapsed="false">
      <c r="N394" s="1" t="str">
        <f aca="false">IF(L394="","",IF(2026-E394&gt;0,L394/(2026-E394),L394))</f>
        <v/>
      </c>
    </row>
    <row r="395" customFormat="false" ht="15" hidden="false" customHeight="true" outlineLevel="0" collapsed="false">
      <c r="N395" s="1" t="str">
        <f aca="false">IF(L395="","",IF(2026-E395&gt;0,L395/(2026-E395),L395))</f>
        <v/>
      </c>
    </row>
    <row r="396" customFormat="false" ht="15" hidden="false" customHeight="true" outlineLevel="0" collapsed="false">
      <c r="N396" s="1" t="str">
        <f aca="false">IF(L396="","",IF(2026-E396&gt;0,L396/(2026-E396),L396))</f>
        <v/>
      </c>
    </row>
    <row r="397" customFormat="false" ht="15" hidden="false" customHeight="true" outlineLevel="0" collapsed="false">
      <c r="N397" s="1" t="str">
        <f aca="false">IF(L397="","",IF(2026-E397&gt;0,L397/(2026-E397),L397))</f>
        <v/>
      </c>
    </row>
    <row r="398" customFormat="false" ht="15" hidden="false" customHeight="true" outlineLevel="0" collapsed="false">
      <c r="N398" s="1" t="str">
        <f aca="false">IF(L398="","",IF(2026-E398&gt;0,L398/(2026-E398),L398))</f>
        <v/>
      </c>
    </row>
    <row r="399" customFormat="false" ht="15" hidden="false" customHeight="true" outlineLevel="0" collapsed="false">
      <c r="N399" s="1" t="str">
        <f aca="false">IF(L399="","",IF(2026-E399&gt;0,L399/(2026-E399),L399))</f>
        <v/>
      </c>
    </row>
    <row r="400" customFormat="false" ht="15" hidden="false" customHeight="true" outlineLevel="0" collapsed="false">
      <c r="N400" s="1" t="str">
        <f aca="false">IF(L400="","",IF(2026-E400&gt;0,L400/(2026-E400),L400))</f>
        <v/>
      </c>
    </row>
    <row r="401" customFormat="false" ht="15" hidden="false" customHeight="true" outlineLevel="0" collapsed="false">
      <c r="N401" s="1" t="str">
        <f aca="false">IF(L401="","",IF(2026-E401&gt;0,L401/(2026-E401),L401))</f>
        <v/>
      </c>
    </row>
    <row r="402" customFormat="false" ht="15" hidden="false" customHeight="true" outlineLevel="0" collapsed="false">
      <c r="N402" s="1" t="str">
        <f aca="false">IF(L402="","",IF(2026-E402&gt;0,L402/(2026-E402),L402))</f>
        <v/>
      </c>
    </row>
    <row r="403" customFormat="false" ht="15" hidden="false" customHeight="true" outlineLevel="0" collapsed="false">
      <c r="N403" s="1" t="str">
        <f aca="false">IF(L403="","",IF(2026-E403&gt;0,L403/(2026-E403),L403))</f>
        <v/>
      </c>
    </row>
    <row r="404" customFormat="false" ht="15" hidden="false" customHeight="true" outlineLevel="0" collapsed="false">
      <c r="N404" s="1" t="str">
        <f aca="false">IF(L404="","",IF(2026-E404&gt;0,L404/(2026-E404),L404))</f>
        <v/>
      </c>
    </row>
    <row r="405" customFormat="false" ht="15" hidden="false" customHeight="true" outlineLevel="0" collapsed="false">
      <c r="N405" s="1" t="str">
        <f aca="false">IF(L405="","",IF(2026-E405&gt;0,L405/(2026-E405),L405))</f>
        <v/>
      </c>
    </row>
    <row r="406" customFormat="false" ht="15" hidden="false" customHeight="true" outlineLevel="0" collapsed="false">
      <c r="N406" s="1" t="str">
        <f aca="false">IF(L406="","",IF(2026-E406&gt;0,L406/(2026-E406),L406))</f>
        <v/>
      </c>
    </row>
    <row r="407" customFormat="false" ht="15" hidden="false" customHeight="true" outlineLevel="0" collapsed="false">
      <c r="N407" s="1" t="str">
        <f aca="false">IF(L407="","",IF(2026-E407&gt;0,L407/(2026-E407),L407))</f>
        <v/>
      </c>
    </row>
    <row r="408" customFormat="false" ht="15" hidden="false" customHeight="true" outlineLevel="0" collapsed="false">
      <c r="N408" s="1" t="str">
        <f aca="false">IF(L408="","",IF(2026-E408&gt;0,L408/(2026-E408),L408))</f>
        <v/>
      </c>
    </row>
    <row r="409" customFormat="false" ht="15" hidden="false" customHeight="true" outlineLevel="0" collapsed="false">
      <c r="N409" s="1" t="str">
        <f aca="false">IF(L409="","",IF(2026-E409&gt;0,L409/(2026-E409),L409))</f>
        <v/>
      </c>
    </row>
    <row r="410" customFormat="false" ht="15" hidden="false" customHeight="true" outlineLevel="0" collapsed="false">
      <c r="N410" s="1" t="str">
        <f aca="false">IF(L410="","",IF(2026-E410&gt;0,L410/(2026-E410),L410))</f>
        <v/>
      </c>
    </row>
    <row r="411" customFormat="false" ht="15" hidden="false" customHeight="true" outlineLevel="0" collapsed="false">
      <c r="N411" s="1" t="str">
        <f aca="false">IF(L411="","",IF(2026-E411&gt;0,L411/(2026-E411),L411))</f>
        <v/>
      </c>
    </row>
    <row r="412" customFormat="false" ht="15" hidden="false" customHeight="true" outlineLevel="0" collapsed="false">
      <c r="N412" s="1" t="str">
        <f aca="false">IF(L412="","",IF(2026-E412&gt;0,L412/(2026-E412),L412))</f>
        <v/>
      </c>
    </row>
    <row r="413" customFormat="false" ht="15" hidden="false" customHeight="true" outlineLevel="0" collapsed="false">
      <c r="N413" s="1" t="str">
        <f aca="false">IF(L413="","",IF(2026-E413&gt;0,L413/(2026-E413),L413))</f>
        <v/>
      </c>
    </row>
    <row r="414" customFormat="false" ht="15" hidden="false" customHeight="true" outlineLevel="0" collapsed="false">
      <c r="N414" s="1" t="str">
        <f aca="false">IF(L414="","",IF(2026-E414&gt;0,L414/(2026-E414),L414))</f>
        <v/>
      </c>
    </row>
    <row r="415" customFormat="false" ht="15" hidden="false" customHeight="true" outlineLevel="0" collapsed="false">
      <c r="N415" s="1" t="str">
        <f aca="false">IF(L415="","",IF(2026-E415&gt;0,L415/(2026-E415),L415))</f>
        <v/>
      </c>
    </row>
    <row r="416" customFormat="false" ht="15" hidden="false" customHeight="true" outlineLevel="0" collapsed="false">
      <c r="N416" s="1" t="str">
        <f aca="false">IF(L416="","",IF(2026-E416&gt;0,L416/(2026-E416),L416))</f>
        <v/>
      </c>
    </row>
    <row r="417" customFormat="false" ht="15" hidden="false" customHeight="true" outlineLevel="0" collapsed="false">
      <c r="N417" s="1" t="str">
        <f aca="false">IF(L417="","",IF(2026-E417&gt;0,L417/(2026-E417),L417))</f>
        <v/>
      </c>
    </row>
    <row r="418" customFormat="false" ht="15" hidden="false" customHeight="true" outlineLevel="0" collapsed="false">
      <c r="N418" s="1" t="str">
        <f aca="false">IF(L418="","",IF(2026-E418&gt;0,L418/(2026-E418),L418))</f>
        <v/>
      </c>
    </row>
    <row r="419" customFormat="false" ht="15" hidden="false" customHeight="true" outlineLevel="0" collapsed="false">
      <c r="N419" s="1" t="str">
        <f aca="false">IF(L419="","",IF(2026-E419&gt;0,L419/(2026-E419),L419))</f>
        <v/>
      </c>
    </row>
    <row r="420" customFormat="false" ht="15" hidden="false" customHeight="true" outlineLevel="0" collapsed="false">
      <c r="N420" s="1" t="str">
        <f aca="false">IF(L420="","",IF(2026-E420&gt;0,L420/(2026-E420),L420))</f>
        <v/>
      </c>
    </row>
    <row r="421" customFormat="false" ht="15" hidden="false" customHeight="true" outlineLevel="0" collapsed="false">
      <c r="N421" s="1" t="str">
        <f aca="false">IF(L421="","",IF(2026-E421&gt;0,L421/(2026-E421),L421))</f>
        <v/>
      </c>
    </row>
    <row r="422" customFormat="false" ht="15" hidden="false" customHeight="true" outlineLevel="0" collapsed="false">
      <c r="N422" s="1" t="str">
        <f aca="false">IF(L422="","",IF(2026-E422&gt;0,L422/(2026-E422),L422))</f>
        <v/>
      </c>
    </row>
    <row r="423" customFormat="false" ht="15" hidden="false" customHeight="true" outlineLevel="0" collapsed="false">
      <c r="N423" s="1" t="str">
        <f aca="false">IF(L423="","",IF(2026-E423&gt;0,L423/(2026-E423),L423))</f>
        <v/>
      </c>
    </row>
    <row r="424" customFormat="false" ht="15" hidden="false" customHeight="true" outlineLevel="0" collapsed="false">
      <c r="N424" s="1" t="str">
        <f aca="false">IF(L424="","",IF(2026-E424&gt;0,L424/(2026-E424),L424))</f>
        <v/>
      </c>
    </row>
    <row r="425" customFormat="false" ht="15" hidden="false" customHeight="true" outlineLevel="0" collapsed="false">
      <c r="N425" s="1" t="str">
        <f aca="false">IF(L425="","",IF(2026-E425&gt;0,L425/(2026-E425),L425))</f>
        <v/>
      </c>
    </row>
    <row r="426" customFormat="false" ht="15" hidden="false" customHeight="true" outlineLevel="0" collapsed="false">
      <c r="N426" s="1" t="str">
        <f aca="false">IF(L426="","",IF(2026-E426&gt;0,L426/(2026-E426),L426))</f>
        <v/>
      </c>
    </row>
    <row r="427" customFormat="false" ht="15" hidden="false" customHeight="true" outlineLevel="0" collapsed="false">
      <c r="N427" s="1" t="str">
        <f aca="false">IF(L427="","",IF(2026-E427&gt;0,L427/(2026-E427),L427))</f>
        <v/>
      </c>
    </row>
    <row r="428" customFormat="false" ht="15" hidden="false" customHeight="true" outlineLevel="0" collapsed="false">
      <c r="N428" s="1" t="str">
        <f aca="false">IF(L428="","",IF(2026-E428&gt;0,L428/(2026-E428),L428))</f>
        <v/>
      </c>
    </row>
    <row r="429" customFormat="false" ht="15" hidden="false" customHeight="true" outlineLevel="0" collapsed="false">
      <c r="N429" s="1" t="str">
        <f aca="false">IF(L429="","",IF(2026-E429&gt;0,L429/(2026-E429),L429))</f>
        <v/>
      </c>
    </row>
    <row r="430" customFormat="false" ht="15" hidden="false" customHeight="true" outlineLevel="0" collapsed="false">
      <c r="N430" s="1" t="str">
        <f aca="false">IF(L430="","",IF(2026-E430&gt;0,L430/(2026-E430),L430))</f>
        <v/>
      </c>
    </row>
    <row r="431" customFormat="false" ht="15" hidden="false" customHeight="true" outlineLevel="0" collapsed="false">
      <c r="N431" s="1" t="str">
        <f aca="false">IF(L431="","",IF(2026-E431&gt;0,L431/(2026-E431),L431))</f>
        <v/>
      </c>
    </row>
    <row r="432" customFormat="false" ht="15" hidden="false" customHeight="true" outlineLevel="0" collapsed="false">
      <c r="N432" s="1" t="str">
        <f aca="false">IF(L432="","",IF(2026-E432&gt;0,L432/(2026-E432),L432))</f>
        <v/>
      </c>
    </row>
    <row r="433" customFormat="false" ht="15" hidden="false" customHeight="true" outlineLevel="0" collapsed="false">
      <c r="N433" s="1" t="str">
        <f aca="false">IF(L433="","",IF(2026-E433&gt;0,L433/(2026-E433),L433))</f>
        <v/>
      </c>
    </row>
    <row r="434" customFormat="false" ht="15" hidden="false" customHeight="true" outlineLevel="0" collapsed="false">
      <c r="N434" s="1" t="str">
        <f aca="false">IF(L434="","",IF(2026-E434&gt;0,L434/(2026-E434),L434))</f>
        <v/>
      </c>
    </row>
    <row r="435" customFormat="false" ht="15" hidden="false" customHeight="true" outlineLevel="0" collapsed="false">
      <c r="N435" s="1" t="str">
        <f aca="false">IF(L435="","",IF(2026-E435&gt;0,L435/(2026-E435),L435))</f>
        <v/>
      </c>
    </row>
    <row r="436" customFormat="false" ht="15" hidden="false" customHeight="true" outlineLevel="0" collapsed="false">
      <c r="N436" s="1" t="str">
        <f aca="false">IF(L436="","",IF(2026-E436&gt;0,L436/(2026-E436),L436))</f>
        <v/>
      </c>
    </row>
    <row r="437" customFormat="false" ht="15" hidden="false" customHeight="true" outlineLevel="0" collapsed="false">
      <c r="N437" s="1" t="str">
        <f aca="false">IF(L437="","",IF(2026-E437&gt;0,L437/(2026-E437),L437))</f>
        <v/>
      </c>
    </row>
    <row r="438" customFormat="false" ht="15" hidden="false" customHeight="true" outlineLevel="0" collapsed="false">
      <c r="N438" s="1" t="str">
        <f aca="false">IF(L438="","",IF(2026-E438&gt;0,L438/(2026-E438),L438))</f>
        <v/>
      </c>
    </row>
    <row r="439" customFormat="false" ht="15" hidden="false" customHeight="true" outlineLevel="0" collapsed="false">
      <c r="N439" s="1" t="str">
        <f aca="false">IF(L439="","",IF(2026-E439&gt;0,L439/(2026-E439),L439))</f>
        <v/>
      </c>
    </row>
    <row r="440" customFormat="false" ht="15" hidden="false" customHeight="true" outlineLevel="0" collapsed="false">
      <c r="N440" s="1" t="str">
        <f aca="false">IF(L440="","",IF(2026-E440&gt;0,L440/(2026-E440),L440))</f>
        <v/>
      </c>
    </row>
    <row r="441" customFormat="false" ht="15" hidden="false" customHeight="true" outlineLevel="0" collapsed="false">
      <c r="N441" s="1" t="str">
        <f aca="false">IF(L441="","",IF(2026-E441&gt;0,L441/(2026-E441),L441))</f>
        <v/>
      </c>
    </row>
    <row r="442" customFormat="false" ht="15" hidden="false" customHeight="true" outlineLevel="0" collapsed="false">
      <c r="N442" s="1" t="str">
        <f aca="false">IF(L442="","",IF(2026-E442&gt;0,L442/(2026-E442),L442))</f>
        <v/>
      </c>
    </row>
    <row r="443" customFormat="false" ht="15" hidden="false" customHeight="true" outlineLevel="0" collapsed="false">
      <c r="N443" s="1" t="str">
        <f aca="false">IF(L443="","",IF(2026-E443&gt;0,L443/(2026-E443),L443))</f>
        <v/>
      </c>
    </row>
    <row r="444" customFormat="false" ht="15" hidden="false" customHeight="true" outlineLevel="0" collapsed="false">
      <c r="N444" s="1" t="str">
        <f aca="false">IF(L444="","",IF(2026-E444&gt;0,L444/(2026-E444),L444))</f>
        <v/>
      </c>
    </row>
    <row r="445" customFormat="false" ht="15" hidden="false" customHeight="true" outlineLevel="0" collapsed="false">
      <c r="N445" s="1" t="str">
        <f aca="false">IF(L445="","",IF(2026-E445&gt;0,L445/(2026-E445),L445))</f>
        <v/>
      </c>
    </row>
    <row r="446" customFormat="false" ht="15" hidden="false" customHeight="true" outlineLevel="0" collapsed="false">
      <c r="N446" s="1" t="str">
        <f aca="false">IF(L446="","",IF(2026-E446&gt;0,L446/(2026-E446),L446))</f>
        <v/>
      </c>
    </row>
    <row r="447" customFormat="false" ht="15" hidden="false" customHeight="true" outlineLevel="0" collapsed="false">
      <c r="N447" s="1" t="str">
        <f aca="false">IF(L447="","",IF(2026-E447&gt;0,L447/(2026-E447),L447))</f>
        <v/>
      </c>
    </row>
    <row r="448" customFormat="false" ht="15" hidden="false" customHeight="true" outlineLevel="0" collapsed="false">
      <c r="N448" s="1" t="str">
        <f aca="false">IF(L448="","",IF(2026-E448&gt;0,L448/(2026-E448),L448))</f>
        <v/>
      </c>
    </row>
    <row r="449" customFormat="false" ht="15" hidden="false" customHeight="true" outlineLevel="0" collapsed="false">
      <c r="N449" s="1" t="str">
        <f aca="false">IF(L449="","",IF(2026-E449&gt;0,L449/(2026-E449),L449))</f>
        <v/>
      </c>
    </row>
    <row r="450" customFormat="false" ht="15" hidden="false" customHeight="true" outlineLevel="0" collapsed="false">
      <c r="N450" s="1" t="str">
        <f aca="false">IF(L450="","",IF(2026-E450&gt;0,L450/(2026-E450),L450))</f>
        <v/>
      </c>
    </row>
    <row r="451" customFormat="false" ht="15" hidden="false" customHeight="true" outlineLevel="0" collapsed="false">
      <c r="N451" s="1" t="str">
        <f aca="false">IF(L451="","",IF(2026-E451&gt;0,L451/(2026-E451),L451))</f>
        <v/>
      </c>
    </row>
    <row r="452" customFormat="false" ht="15" hidden="false" customHeight="true" outlineLevel="0" collapsed="false">
      <c r="N452" s="1" t="str">
        <f aca="false">IF(L452="","",IF(2026-E452&gt;0,L452/(2026-E452),L452))</f>
        <v/>
      </c>
    </row>
    <row r="453" customFormat="false" ht="15" hidden="false" customHeight="true" outlineLevel="0" collapsed="false">
      <c r="N453" s="1" t="str">
        <f aca="false">IF(L453="","",IF(2026-E453&gt;0,L453/(2026-E453),L453))</f>
        <v/>
      </c>
    </row>
    <row r="454" customFormat="false" ht="15" hidden="false" customHeight="true" outlineLevel="0" collapsed="false">
      <c r="N454" s="1" t="str">
        <f aca="false">IF(L454="","",IF(2026-E454&gt;0,L454/(2026-E454),L454))</f>
        <v/>
      </c>
    </row>
    <row r="455" customFormat="false" ht="15" hidden="false" customHeight="true" outlineLevel="0" collapsed="false">
      <c r="N455" s="1" t="str">
        <f aca="false">IF(L455="","",IF(2026-E455&gt;0,L455/(2026-E455),L455))</f>
        <v/>
      </c>
    </row>
    <row r="456" customFormat="false" ht="15" hidden="false" customHeight="true" outlineLevel="0" collapsed="false">
      <c r="N456" s="1" t="str">
        <f aca="false">IF(L456="","",IF(2026-E456&gt;0,L456/(2026-E456),L456))</f>
        <v/>
      </c>
    </row>
    <row r="457" customFormat="false" ht="15" hidden="false" customHeight="true" outlineLevel="0" collapsed="false">
      <c r="N457" s="1" t="str">
        <f aca="false">IF(L457="","",IF(2026-E457&gt;0,L457/(2026-E457),L457))</f>
        <v/>
      </c>
    </row>
    <row r="458" customFormat="false" ht="15" hidden="false" customHeight="true" outlineLevel="0" collapsed="false">
      <c r="N458" s="1" t="str">
        <f aca="false">IF(L458="","",IF(2026-E458&gt;0,L458/(2026-E458),L458))</f>
        <v/>
      </c>
    </row>
    <row r="459" customFormat="false" ht="15" hidden="false" customHeight="true" outlineLevel="0" collapsed="false">
      <c r="N459" s="1" t="str">
        <f aca="false">IF(L459="","",IF(2026-E459&gt;0,L459/(2026-E459),L459))</f>
        <v/>
      </c>
    </row>
    <row r="460" customFormat="false" ht="15" hidden="false" customHeight="true" outlineLevel="0" collapsed="false">
      <c r="N460" s="1" t="str">
        <f aca="false">IF(L460="","",IF(2026-E460&gt;0,L460/(2026-E460),L460))</f>
        <v/>
      </c>
    </row>
    <row r="461" customFormat="false" ht="15" hidden="false" customHeight="true" outlineLevel="0" collapsed="false">
      <c r="N461" s="1" t="str">
        <f aca="false">IF(L461="","",IF(2026-E461&gt;0,L461/(2026-E461),L461))</f>
        <v/>
      </c>
    </row>
    <row r="462" customFormat="false" ht="15" hidden="false" customHeight="true" outlineLevel="0" collapsed="false">
      <c r="N462" s="1" t="str">
        <f aca="false">IF(L462="","",IF(2026-E462&gt;0,L462/(2026-E462),L462))</f>
        <v/>
      </c>
    </row>
    <row r="463" customFormat="false" ht="15" hidden="false" customHeight="true" outlineLevel="0" collapsed="false">
      <c r="N463" s="1" t="str">
        <f aca="false">IF(L463="","",IF(2026-E463&gt;0,L463/(2026-E463),L463))</f>
        <v/>
      </c>
    </row>
    <row r="464" customFormat="false" ht="15" hidden="false" customHeight="true" outlineLevel="0" collapsed="false">
      <c r="N464" s="1" t="str">
        <f aca="false">IF(L464="","",IF(2026-E464&gt;0,L464/(2026-E464),L464))</f>
        <v/>
      </c>
    </row>
    <row r="465" customFormat="false" ht="15" hidden="false" customHeight="true" outlineLevel="0" collapsed="false">
      <c r="N465" s="1" t="str">
        <f aca="false">IF(L465="","",IF(2026-E465&gt;0,L465/(2026-E465),L465))</f>
        <v/>
      </c>
    </row>
    <row r="466" customFormat="false" ht="15" hidden="false" customHeight="true" outlineLevel="0" collapsed="false">
      <c r="N466" s="1" t="str">
        <f aca="false">IF(L466="","",IF(2026-E466&gt;0,L466/(2026-E466),L466))</f>
        <v/>
      </c>
    </row>
    <row r="467" customFormat="false" ht="15" hidden="false" customHeight="true" outlineLevel="0" collapsed="false">
      <c r="N467" s="1" t="str">
        <f aca="false">IF(L467="","",IF(2026-E467&gt;0,L467/(2026-E467),L467))</f>
        <v/>
      </c>
    </row>
    <row r="468" customFormat="false" ht="15" hidden="false" customHeight="true" outlineLevel="0" collapsed="false">
      <c r="N468" s="1" t="str">
        <f aca="false">IF(L468="","",IF(2026-E468&gt;0,L468/(2026-E468),L468))</f>
        <v/>
      </c>
    </row>
    <row r="469" customFormat="false" ht="15" hidden="false" customHeight="true" outlineLevel="0" collapsed="false">
      <c r="N469" s="1" t="str">
        <f aca="false">IF(L469="","",IF(2026-E469&gt;0,L469/(2026-E469),L469))</f>
        <v/>
      </c>
    </row>
    <row r="470" customFormat="false" ht="15" hidden="false" customHeight="true" outlineLevel="0" collapsed="false">
      <c r="N470" s="1" t="str">
        <f aca="false">IF(L470="","",IF(2026-E470&gt;0,L470/(2026-E470),L470))</f>
        <v/>
      </c>
    </row>
    <row r="471" customFormat="false" ht="15" hidden="false" customHeight="true" outlineLevel="0" collapsed="false">
      <c r="N471" s="1" t="str">
        <f aca="false">IF(L471="","",IF(2026-E471&gt;0,L471/(2026-E471),L471))</f>
        <v/>
      </c>
    </row>
    <row r="472" customFormat="false" ht="15" hidden="false" customHeight="true" outlineLevel="0" collapsed="false">
      <c r="N472" s="1" t="str">
        <f aca="false">IF(L472="","",IF(2026-E472&gt;0,L472/(2026-E472),L472))</f>
        <v/>
      </c>
    </row>
    <row r="473" customFormat="false" ht="15" hidden="false" customHeight="true" outlineLevel="0" collapsed="false">
      <c r="N473" s="1" t="str">
        <f aca="false">IF(L473="","",IF(2026-E473&gt;0,L473/(2026-E473),L473))</f>
        <v/>
      </c>
    </row>
    <row r="474" customFormat="false" ht="15" hidden="false" customHeight="true" outlineLevel="0" collapsed="false">
      <c r="N474" s="1" t="str">
        <f aca="false">IF(L474="","",IF(2026-E474&gt;0,L474/(2026-E474),L474))</f>
        <v/>
      </c>
    </row>
    <row r="475" customFormat="false" ht="15" hidden="false" customHeight="true" outlineLevel="0" collapsed="false">
      <c r="N475" s="1" t="str">
        <f aca="false">IF(L475="","",IF(2026-E475&gt;0,L475/(2026-E475),L475))</f>
        <v/>
      </c>
    </row>
    <row r="476" customFormat="false" ht="15" hidden="false" customHeight="true" outlineLevel="0" collapsed="false">
      <c r="N476" s="1" t="str">
        <f aca="false">IF(L476="","",IF(2026-E476&gt;0,L476/(2026-E476),L476))</f>
        <v/>
      </c>
    </row>
    <row r="477" customFormat="false" ht="15" hidden="false" customHeight="true" outlineLevel="0" collapsed="false">
      <c r="N477" s="1" t="str">
        <f aca="false">IF(L477="","",IF(2026-E477&gt;0,L477/(2026-E477),L477))</f>
        <v/>
      </c>
    </row>
    <row r="478" customFormat="false" ht="15" hidden="false" customHeight="true" outlineLevel="0" collapsed="false">
      <c r="N478" s="1" t="str">
        <f aca="false">IF(L478="","",IF(2026-E478&gt;0,L478/(2026-E478),L478))</f>
        <v/>
      </c>
    </row>
    <row r="479" customFormat="false" ht="15" hidden="false" customHeight="true" outlineLevel="0" collapsed="false">
      <c r="N479" s="1" t="str">
        <f aca="false">IF(L479="","",IF(2026-E479&gt;0,L479/(2026-E479),L479))</f>
        <v/>
      </c>
    </row>
    <row r="480" customFormat="false" ht="15" hidden="false" customHeight="true" outlineLevel="0" collapsed="false">
      <c r="N480" s="1" t="str">
        <f aca="false">IF(L480="","",IF(2026-E480&gt;0,L480/(2026-E480),L480))</f>
        <v/>
      </c>
    </row>
    <row r="481" customFormat="false" ht="15" hidden="false" customHeight="true" outlineLevel="0" collapsed="false">
      <c r="N481" s="1" t="str">
        <f aca="false">IF(L481="","",IF(2026-E481&gt;0,L481/(2026-E481),L481))</f>
        <v/>
      </c>
    </row>
    <row r="482" customFormat="false" ht="15" hidden="false" customHeight="true" outlineLevel="0" collapsed="false">
      <c r="N482" s="1" t="str">
        <f aca="false">IF(L482="","",IF(2026-E482&gt;0,L482/(2026-E482),L482))</f>
        <v/>
      </c>
    </row>
    <row r="483" customFormat="false" ht="15" hidden="false" customHeight="true" outlineLevel="0" collapsed="false">
      <c r="N483" s="1" t="str">
        <f aca="false">IF(L483="","",IF(2026-E483&gt;0,L483/(2026-E483),L483))</f>
        <v/>
      </c>
    </row>
    <row r="484" customFormat="false" ht="15" hidden="false" customHeight="true" outlineLevel="0" collapsed="false">
      <c r="N484" s="1" t="str">
        <f aca="false">IF(L484="","",IF(2026-E484&gt;0,L484/(2026-E484),L484))</f>
        <v/>
      </c>
    </row>
    <row r="485" customFormat="false" ht="15" hidden="false" customHeight="true" outlineLevel="0" collapsed="false">
      <c r="N485" s="1" t="str">
        <f aca="false">IF(L485="","",IF(2026-E485&gt;0,L485/(2026-E485),L485))</f>
        <v/>
      </c>
    </row>
    <row r="486" customFormat="false" ht="15" hidden="false" customHeight="true" outlineLevel="0" collapsed="false">
      <c r="N486" s="1" t="str">
        <f aca="false">IF(L486="","",IF(2026-E486&gt;0,L486/(2026-E486),L486))</f>
        <v/>
      </c>
    </row>
    <row r="487" customFormat="false" ht="15" hidden="false" customHeight="true" outlineLevel="0" collapsed="false">
      <c r="N487" s="1" t="str">
        <f aca="false">IF(L487="","",IF(2026-E487&gt;0,L487/(2026-E487),L487))</f>
        <v/>
      </c>
    </row>
    <row r="488" customFormat="false" ht="15" hidden="false" customHeight="true" outlineLevel="0" collapsed="false">
      <c r="N488" s="1" t="str">
        <f aca="false">IF(L488="","",IF(2026-E488&gt;0,L488/(2026-E488),L488))</f>
        <v/>
      </c>
    </row>
    <row r="489" customFormat="false" ht="15" hidden="false" customHeight="true" outlineLevel="0" collapsed="false">
      <c r="N489" s="1" t="str">
        <f aca="false">IF(L489="","",IF(2026-E489&gt;0,L489/(2026-E489),L489))</f>
        <v/>
      </c>
    </row>
    <row r="490" customFormat="false" ht="15" hidden="false" customHeight="true" outlineLevel="0" collapsed="false">
      <c r="N490" s="1" t="str">
        <f aca="false">IF(L490="","",IF(2026-E490&gt;0,L490/(2026-E490),L490))</f>
        <v/>
      </c>
    </row>
    <row r="491" customFormat="false" ht="15" hidden="false" customHeight="true" outlineLevel="0" collapsed="false">
      <c r="N491" s="1" t="str">
        <f aca="false">IF(L491="","",IF(2026-E491&gt;0,L491/(2026-E491),L491))</f>
        <v/>
      </c>
    </row>
    <row r="492" customFormat="false" ht="15" hidden="false" customHeight="true" outlineLevel="0" collapsed="false">
      <c r="N492" s="1" t="str">
        <f aca="false">IF(L492="","",IF(2026-E492&gt;0,L492/(2026-E492),L492))</f>
        <v/>
      </c>
    </row>
    <row r="493" customFormat="false" ht="15" hidden="false" customHeight="true" outlineLevel="0" collapsed="false">
      <c r="N493" s="1" t="str">
        <f aca="false">IF(L493="","",IF(2026-E493&gt;0,L493/(2026-E493),L493))</f>
        <v/>
      </c>
    </row>
    <row r="494" customFormat="false" ht="15" hidden="false" customHeight="true" outlineLevel="0" collapsed="false">
      <c r="N494" s="1" t="str">
        <f aca="false">IF(L494="","",IF(2026-E494&gt;0,L494/(2026-E494),L494))</f>
        <v/>
      </c>
    </row>
    <row r="495" customFormat="false" ht="15" hidden="false" customHeight="true" outlineLevel="0" collapsed="false">
      <c r="N495" s="1" t="str">
        <f aca="false">IF(L495="","",IF(2026-E495&gt;0,L495/(2026-E495),L495))</f>
        <v/>
      </c>
    </row>
    <row r="496" customFormat="false" ht="15" hidden="false" customHeight="true" outlineLevel="0" collapsed="false">
      <c r="N496" s="1" t="str">
        <f aca="false">IF(L496="","",IF(2026-E496&gt;0,L496/(2026-E496),L496))</f>
        <v/>
      </c>
    </row>
    <row r="497" customFormat="false" ht="15" hidden="false" customHeight="true" outlineLevel="0" collapsed="false">
      <c r="N497" s="1" t="str">
        <f aca="false">IF(L497="","",IF(2026-E497&gt;0,L497/(2026-E497),L497))</f>
        <v/>
      </c>
    </row>
    <row r="498" customFormat="false" ht="15" hidden="false" customHeight="true" outlineLevel="0" collapsed="false">
      <c r="N498" s="1" t="str">
        <f aca="false">IF(L498="","",IF(2026-E498&gt;0,L498/(2026-E498),L498))</f>
        <v/>
      </c>
    </row>
    <row r="499" customFormat="false" ht="15" hidden="false" customHeight="true" outlineLevel="0" collapsed="false">
      <c r="N499" s="1" t="str">
        <f aca="false">IF(L499="","",IF(2026-E499&gt;0,L499/(2026-E499),L499))</f>
        <v/>
      </c>
    </row>
    <row r="500" customFormat="false" ht="15" hidden="false" customHeight="true" outlineLevel="0" collapsed="false">
      <c r="N500" s="1" t="str">
        <f aca="false">IF(L500="","",IF(2026-E500&gt;0,L500/(2026-E500),L500))</f>
        <v/>
      </c>
    </row>
    <row r="501" customFormat="false" ht="15" hidden="false" customHeight="true" outlineLevel="0" collapsed="false">
      <c r="N501" s="1" t="str">
        <f aca="false">IF(L501="","",IF(2026-E501&gt;0,L501/(2026-E501),L501))</f>
        <v/>
      </c>
    </row>
    <row r="502" customFormat="false" ht="15" hidden="false" customHeight="true" outlineLevel="0" collapsed="false">
      <c r="N502" s="1" t="str">
        <f aca="false">IF(L502="","",IF(2026-E502&gt;0,L502/(2026-E502),L502))</f>
        <v/>
      </c>
    </row>
    <row r="503" customFormat="false" ht="15" hidden="false" customHeight="true" outlineLevel="0" collapsed="false">
      <c r="N503" s="1" t="str">
        <f aca="false">IF(L503="","",IF(2026-E503&gt;0,L503/(2026-E503),L503))</f>
        <v/>
      </c>
    </row>
    <row r="504" customFormat="false" ht="15" hidden="false" customHeight="true" outlineLevel="0" collapsed="false">
      <c r="N504" s="1" t="str">
        <f aca="false">IF(L504="","",IF(2026-E504&gt;0,L504/(2026-E504),L504))</f>
        <v/>
      </c>
    </row>
    <row r="505" customFormat="false" ht="15" hidden="false" customHeight="true" outlineLevel="0" collapsed="false">
      <c r="N505" s="1" t="str">
        <f aca="false">IF(L505="","",IF(2026-E505&gt;0,L505/(2026-E505),L505))</f>
        <v/>
      </c>
    </row>
    <row r="506" customFormat="false" ht="15" hidden="false" customHeight="true" outlineLevel="0" collapsed="false">
      <c r="N506" s="1" t="str">
        <f aca="false">IF(L506="","",IF(2026-E506&gt;0,L506/(2026-E506),L506))</f>
        <v/>
      </c>
    </row>
    <row r="507" customFormat="false" ht="15" hidden="false" customHeight="true" outlineLevel="0" collapsed="false">
      <c r="N507" s="1" t="str">
        <f aca="false">IF(L507="","",IF(2026-E507&gt;0,L507/(2026-E507),L507))</f>
        <v/>
      </c>
    </row>
    <row r="508" customFormat="false" ht="15" hidden="false" customHeight="true" outlineLevel="0" collapsed="false">
      <c r="N508" s="1" t="str">
        <f aca="false">IF(L508="","",IF(2026-E508&gt;0,L508/(2026-E508),L508))</f>
        <v/>
      </c>
    </row>
    <row r="509" customFormat="false" ht="15" hidden="false" customHeight="true" outlineLevel="0" collapsed="false">
      <c r="N509" s="1" t="str">
        <f aca="false">IF(L509="","",IF(2026-E509&gt;0,L509/(2026-E509),L509))</f>
        <v/>
      </c>
    </row>
    <row r="510" customFormat="false" ht="15" hidden="false" customHeight="true" outlineLevel="0" collapsed="false">
      <c r="N510" s="1" t="str">
        <f aca="false">IF(L510="","",IF(2026-E510&gt;0,L510/(2026-E510),L510))</f>
        <v/>
      </c>
    </row>
    <row r="511" customFormat="false" ht="15" hidden="false" customHeight="true" outlineLevel="0" collapsed="false">
      <c r="N511" s="1" t="str">
        <f aca="false">IF(L511="","",IF(2026-E511&gt;0,L511/(2026-E511),L511))</f>
        <v/>
      </c>
    </row>
    <row r="512" customFormat="false" ht="15" hidden="false" customHeight="true" outlineLevel="0" collapsed="false">
      <c r="N512" s="1" t="str">
        <f aca="false">IF(L512="","",IF(2026-E512&gt;0,L512/(2026-E512),L512))</f>
        <v/>
      </c>
    </row>
    <row r="513" customFormat="false" ht="15" hidden="false" customHeight="true" outlineLevel="0" collapsed="false">
      <c r="N513" s="1" t="str">
        <f aca="false">IF(L513="","",IF(2026-E513&gt;0,L513/(2026-E513),L513))</f>
        <v/>
      </c>
    </row>
    <row r="514" customFormat="false" ht="15" hidden="false" customHeight="true" outlineLevel="0" collapsed="false">
      <c r="N514" s="1" t="str">
        <f aca="false">IF(L514="","",IF(2026-E514&gt;0,L514/(2026-E514),L514))</f>
        <v/>
      </c>
    </row>
    <row r="515" customFormat="false" ht="15" hidden="false" customHeight="true" outlineLevel="0" collapsed="false">
      <c r="N515" s="1" t="str">
        <f aca="false">IF(L515="","",IF(2026-E515&gt;0,L515/(2026-E515),L515))</f>
        <v/>
      </c>
    </row>
    <row r="516" customFormat="false" ht="15" hidden="false" customHeight="true" outlineLevel="0" collapsed="false">
      <c r="N516" s="1" t="str">
        <f aca="false">IF(L516="","",IF(2026-E516&gt;0,L516/(2026-E516),L516))</f>
        <v/>
      </c>
    </row>
    <row r="517" customFormat="false" ht="15" hidden="false" customHeight="true" outlineLevel="0" collapsed="false">
      <c r="N517" s="1" t="str">
        <f aca="false">IF(L517="","",IF(2026-E517&gt;0,L517/(2026-E517),L517))</f>
        <v/>
      </c>
    </row>
    <row r="518" customFormat="false" ht="15" hidden="false" customHeight="true" outlineLevel="0" collapsed="false">
      <c r="N518" s="1" t="str">
        <f aca="false">IF(L518="","",IF(2026-E518&gt;0,L518/(2026-E518),L518))</f>
        <v/>
      </c>
    </row>
    <row r="519" customFormat="false" ht="15" hidden="false" customHeight="true" outlineLevel="0" collapsed="false">
      <c r="N519" s="1" t="str">
        <f aca="false">IF(L519="","",IF(2026-E519&gt;0,L519/(2026-E519),L519))</f>
        <v/>
      </c>
    </row>
    <row r="520" customFormat="false" ht="15" hidden="false" customHeight="true" outlineLevel="0" collapsed="false">
      <c r="N520" s="1" t="str">
        <f aca="false">IF(L520="","",IF(2026-E520&gt;0,L520/(2026-E520),L520))</f>
        <v/>
      </c>
    </row>
    <row r="521" customFormat="false" ht="15" hidden="false" customHeight="true" outlineLevel="0" collapsed="false">
      <c r="N521" s="1" t="str">
        <f aca="false">IF(L521="","",IF(2026-E521&gt;0,L521/(2026-E521),L521))</f>
        <v/>
      </c>
    </row>
    <row r="522" customFormat="false" ht="15" hidden="false" customHeight="true" outlineLevel="0" collapsed="false">
      <c r="N522" s="1" t="str">
        <f aca="false">IF(L522="","",IF(2026-E522&gt;0,L522/(2026-E522),L522))</f>
        <v/>
      </c>
    </row>
    <row r="523" customFormat="false" ht="15" hidden="false" customHeight="true" outlineLevel="0" collapsed="false">
      <c r="N523" s="1" t="str">
        <f aca="false">IF(L523="","",IF(2026-E523&gt;0,L523/(2026-E523),L523))</f>
        <v/>
      </c>
    </row>
    <row r="524" customFormat="false" ht="15" hidden="false" customHeight="true" outlineLevel="0" collapsed="false">
      <c r="N524" s="1" t="str">
        <f aca="false">IF(L524="","",IF(2026-E524&gt;0,L524/(2026-E524),L524))</f>
        <v/>
      </c>
    </row>
    <row r="525" customFormat="false" ht="15" hidden="false" customHeight="true" outlineLevel="0" collapsed="false">
      <c r="N525" s="1" t="str">
        <f aca="false">IF(L525="","",IF(2026-E525&gt;0,L525/(2026-E525),L525))</f>
        <v/>
      </c>
    </row>
    <row r="526" customFormat="false" ht="15" hidden="false" customHeight="true" outlineLevel="0" collapsed="false">
      <c r="N526" s="1" t="str">
        <f aca="false">IF(L526="","",IF(2026-E526&gt;0,L526/(2026-E526),L526))</f>
        <v/>
      </c>
    </row>
    <row r="527" customFormat="false" ht="15" hidden="false" customHeight="true" outlineLevel="0" collapsed="false">
      <c r="N527" s="1" t="str">
        <f aca="false">IF(L527="","",IF(2026-E527&gt;0,L527/(2026-E527),L527))</f>
        <v/>
      </c>
    </row>
    <row r="528" customFormat="false" ht="15" hidden="false" customHeight="true" outlineLevel="0" collapsed="false">
      <c r="N528" s="1" t="str">
        <f aca="false">IF(L528="","",IF(2026-E528&gt;0,L528/(2026-E528),L528))</f>
        <v/>
      </c>
    </row>
    <row r="529" customFormat="false" ht="15" hidden="false" customHeight="true" outlineLevel="0" collapsed="false">
      <c r="N529" s="1" t="str">
        <f aca="false">IF(L529="","",IF(2026-E529&gt;0,L529/(2026-E529),L529))</f>
        <v/>
      </c>
    </row>
    <row r="530" customFormat="false" ht="15" hidden="false" customHeight="true" outlineLevel="0" collapsed="false">
      <c r="N530" s="1" t="str">
        <f aca="false">IF(L530="","",IF(2026-E530&gt;0,L530/(2026-E530),L530))</f>
        <v/>
      </c>
    </row>
    <row r="531" customFormat="false" ht="15" hidden="false" customHeight="true" outlineLevel="0" collapsed="false">
      <c r="N531" s="1" t="str">
        <f aca="false">IF(L531="","",IF(2026-E531&gt;0,L531/(2026-E531),L531))</f>
        <v/>
      </c>
    </row>
    <row r="532" customFormat="false" ht="15" hidden="false" customHeight="true" outlineLevel="0" collapsed="false">
      <c r="N532" s="1" t="str">
        <f aca="false">IF(L532="","",IF(2026-E532&gt;0,L532/(2026-E532),L532))</f>
        <v/>
      </c>
    </row>
    <row r="533" customFormat="false" ht="15" hidden="false" customHeight="true" outlineLevel="0" collapsed="false">
      <c r="N533" s="1" t="str">
        <f aca="false">IF(L533="","",IF(2026-E533&gt;0,L533/(2026-E533),L533))</f>
        <v/>
      </c>
    </row>
    <row r="534" customFormat="false" ht="15" hidden="false" customHeight="true" outlineLevel="0" collapsed="false">
      <c r="N534" s="1" t="str">
        <f aca="false">IF(L534="","",IF(2026-E534&gt;0,L534/(2026-E534),L534))</f>
        <v/>
      </c>
    </row>
    <row r="535" customFormat="false" ht="15" hidden="false" customHeight="true" outlineLevel="0" collapsed="false">
      <c r="N535" s="1" t="str">
        <f aca="false">IF(L535="","",IF(2026-E535&gt;0,L535/(2026-E535),L535))</f>
        <v/>
      </c>
    </row>
    <row r="536" customFormat="false" ht="15" hidden="false" customHeight="true" outlineLevel="0" collapsed="false">
      <c r="N536" s="1" t="str">
        <f aca="false">IF(L536="","",IF(2026-E536&gt;0,L536/(2026-E536),L536))</f>
        <v/>
      </c>
    </row>
    <row r="537" customFormat="false" ht="15" hidden="false" customHeight="true" outlineLevel="0" collapsed="false">
      <c r="N537" s="1" t="str">
        <f aca="false">IF(L537="","",IF(2026-E537&gt;0,L537/(2026-E537),L537))</f>
        <v/>
      </c>
    </row>
    <row r="538" customFormat="false" ht="15" hidden="false" customHeight="true" outlineLevel="0" collapsed="false">
      <c r="N538" s="1" t="str">
        <f aca="false">IF(L538="","",IF(2026-E538&gt;0,L538/(2026-E538),L538))</f>
        <v/>
      </c>
    </row>
    <row r="539" customFormat="false" ht="15" hidden="false" customHeight="true" outlineLevel="0" collapsed="false">
      <c r="N539" s="1" t="str">
        <f aca="false">IF(L539="","",IF(2026-E539&gt;0,L539/(2026-E539),L539))</f>
        <v/>
      </c>
    </row>
    <row r="540" customFormat="false" ht="15" hidden="false" customHeight="true" outlineLevel="0" collapsed="false">
      <c r="N540" s="1" t="str">
        <f aca="false">IF(L540="","",IF(2026-E540&gt;0,L540/(2026-E540),L540))</f>
        <v/>
      </c>
    </row>
    <row r="541" customFormat="false" ht="15" hidden="false" customHeight="true" outlineLevel="0" collapsed="false">
      <c r="N541" s="1" t="str">
        <f aca="false">IF(L541="","",IF(2026-E541&gt;0,L541/(2026-E541),L541))</f>
        <v/>
      </c>
    </row>
    <row r="542" customFormat="false" ht="15" hidden="false" customHeight="true" outlineLevel="0" collapsed="false">
      <c r="N542" s="1" t="str">
        <f aca="false">IF(L542="","",IF(2026-E542&gt;0,L542/(2026-E542),L542))</f>
        <v/>
      </c>
    </row>
    <row r="543" customFormat="false" ht="15" hidden="false" customHeight="true" outlineLevel="0" collapsed="false">
      <c r="N543" s="1" t="str">
        <f aca="false">IF(L543="","",IF(2026-E543&gt;0,L543/(2026-E543),L543))</f>
        <v/>
      </c>
    </row>
    <row r="544" customFormat="false" ht="15" hidden="false" customHeight="true" outlineLevel="0" collapsed="false">
      <c r="N544" s="1" t="str">
        <f aca="false">IF(L544="","",IF(2026-E544&gt;0,L544/(2026-E544),L544))</f>
        <v/>
      </c>
    </row>
    <row r="545" customFormat="false" ht="15" hidden="false" customHeight="true" outlineLevel="0" collapsed="false">
      <c r="N545" s="1" t="str">
        <f aca="false">IF(L545="","",IF(2026-E545&gt;0,L545/(2026-E545),L545))</f>
        <v/>
      </c>
    </row>
    <row r="546" customFormat="false" ht="15" hidden="false" customHeight="true" outlineLevel="0" collapsed="false">
      <c r="N546" s="1" t="str">
        <f aca="false">IF(L546="","",IF(2026-E546&gt;0,L546/(2026-E546),L546))</f>
        <v/>
      </c>
    </row>
    <row r="547" customFormat="false" ht="15" hidden="false" customHeight="true" outlineLevel="0" collapsed="false">
      <c r="N547" s="1" t="str">
        <f aca="false">IF(L547="","",IF(2026-E547&gt;0,L547/(2026-E547),L547))</f>
        <v/>
      </c>
    </row>
    <row r="548" customFormat="false" ht="15" hidden="false" customHeight="true" outlineLevel="0" collapsed="false">
      <c r="N548" s="1" t="str">
        <f aca="false">IF(L548="","",IF(2026-E548&gt;0,L548/(2026-E548),L548))</f>
        <v/>
      </c>
    </row>
    <row r="549" customFormat="false" ht="15" hidden="false" customHeight="true" outlineLevel="0" collapsed="false">
      <c r="N549" s="1" t="str">
        <f aca="false">IF(L549="","",IF(2026-E549&gt;0,L549/(2026-E549),L549))</f>
        <v/>
      </c>
    </row>
    <row r="550" customFormat="false" ht="15" hidden="false" customHeight="true" outlineLevel="0" collapsed="false">
      <c r="N550" s="1" t="str">
        <f aca="false">IF(L550="","",IF(2026-E550&gt;0,L550/(2026-E550),L550))</f>
        <v/>
      </c>
    </row>
    <row r="551" customFormat="false" ht="15" hidden="false" customHeight="true" outlineLevel="0" collapsed="false">
      <c r="N551" s="1" t="str">
        <f aca="false">IF(L551="","",IF(2026-E551&gt;0,L551/(2026-E551),L551))</f>
        <v/>
      </c>
    </row>
    <row r="552" customFormat="false" ht="15" hidden="false" customHeight="true" outlineLevel="0" collapsed="false">
      <c r="N552" s="1" t="str">
        <f aca="false">IF(L552="","",IF(2026-E552&gt;0,L552/(2026-E552),L552))</f>
        <v/>
      </c>
    </row>
    <row r="553" customFormat="false" ht="15" hidden="false" customHeight="true" outlineLevel="0" collapsed="false">
      <c r="N553" s="1" t="str">
        <f aca="false">IF(L553="","",IF(2026-E553&gt;0,L553/(2026-E553),L553))</f>
        <v/>
      </c>
    </row>
    <row r="554" customFormat="false" ht="15" hidden="false" customHeight="true" outlineLevel="0" collapsed="false">
      <c r="N554" s="1" t="str">
        <f aca="false">IF(L554="","",IF(2026-E554&gt;0,L554/(2026-E554),L554))</f>
        <v/>
      </c>
    </row>
    <row r="555" customFormat="false" ht="15" hidden="false" customHeight="true" outlineLevel="0" collapsed="false">
      <c r="N555" s="1" t="str">
        <f aca="false">IF(L555="","",IF(2026-E555&gt;0,L555/(2026-E555),L555))</f>
        <v/>
      </c>
    </row>
    <row r="556" customFormat="false" ht="15" hidden="false" customHeight="true" outlineLevel="0" collapsed="false">
      <c r="N556" s="1" t="str">
        <f aca="false">IF(L556="","",IF(2026-E556&gt;0,L556/(2026-E556),L556))</f>
        <v/>
      </c>
    </row>
    <row r="557" customFormat="false" ht="15" hidden="false" customHeight="true" outlineLevel="0" collapsed="false">
      <c r="N557" s="1" t="str">
        <f aca="false">IF(L557="","",IF(2026-E557&gt;0,L557/(2026-E557),L557))</f>
        <v/>
      </c>
    </row>
    <row r="558" customFormat="false" ht="15" hidden="false" customHeight="true" outlineLevel="0" collapsed="false">
      <c r="N558" s="1" t="str">
        <f aca="false">IF(L558="","",IF(2026-E558&gt;0,L558/(2026-E558),L558))</f>
        <v/>
      </c>
    </row>
    <row r="559" customFormat="false" ht="15" hidden="false" customHeight="true" outlineLevel="0" collapsed="false">
      <c r="N559" s="1" t="str">
        <f aca="false">IF(L559="","",IF(2026-E559&gt;0,L559/(2026-E559),L559))</f>
        <v/>
      </c>
    </row>
    <row r="560" customFormat="false" ht="15" hidden="false" customHeight="true" outlineLevel="0" collapsed="false">
      <c r="N560" s="1" t="str">
        <f aca="false">IF(L560="","",IF(2026-E560&gt;0,L560/(2026-E560),L560))</f>
        <v/>
      </c>
    </row>
    <row r="561" customFormat="false" ht="15" hidden="false" customHeight="true" outlineLevel="0" collapsed="false">
      <c r="N561" s="1" t="str">
        <f aca="false">IF(L561="","",IF(2026-E561&gt;0,L561/(2026-E561),L561))</f>
        <v/>
      </c>
    </row>
    <row r="562" customFormat="false" ht="15" hidden="false" customHeight="true" outlineLevel="0" collapsed="false">
      <c r="N562" s="1" t="str">
        <f aca="false">IF(L562="","",IF(2026-E562&gt;0,L562/(2026-E562),L562))</f>
        <v/>
      </c>
    </row>
    <row r="563" customFormat="false" ht="15" hidden="false" customHeight="true" outlineLevel="0" collapsed="false">
      <c r="N563" s="1" t="str">
        <f aca="false">IF(L563="","",IF(2026-E563&gt;0,L563/(2026-E563),L563))</f>
        <v/>
      </c>
    </row>
    <row r="564" customFormat="false" ht="15" hidden="false" customHeight="true" outlineLevel="0" collapsed="false">
      <c r="N564" s="1" t="str">
        <f aca="false">IF(L564="","",IF(2026-E564&gt;0,L564/(2026-E564),L564))</f>
        <v/>
      </c>
    </row>
    <row r="565" customFormat="false" ht="15" hidden="false" customHeight="true" outlineLevel="0" collapsed="false">
      <c r="N565" s="1" t="str">
        <f aca="false">IF(L565="","",IF(2026-E565&gt;0,L565/(2026-E565),L565))</f>
        <v/>
      </c>
    </row>
    <row r="566" customFormat="false" ht="15" hidden="false" customHeight="true" outlineLevel="0" collapsed="false">
      <c r="N566" s="1" t="str">
        <f aca="false">IF(L566="","",IF(2026-E566&gt;0,L566/(2026-E566),L566))</f>
        <v/>
      </c>
    </row>
    <row r="567" customFormat="false" ht="15" hidden="false" customHeight="true" outlineLevel="0" collapsed="false">
      <c r="N567" s="1" t="str">
        <f aca="false">IF(L567="","",IF(2026-E567&gt;0,L567/(2026-E567),L567))</f>
        <v/>
      </c>
    </row>
    <row r="568" customFormat="false" ht="15" hidden="false" customHeight="true" outlineLevel="0" collapsed="false">
      <c r="N568" s="1" t="str">
        <f aca="false">IF(L568="","",IF(2026-E568&gt;0,L568/(2026-E568),L568))</f>
        <v/>
      </c>
    </row>
    <row r="569" customFormat="false" ht="15" hidden="false" customHeight="true" outlineLevel="0" collapsed="false">
      <c r="N569" s="1" t="str">
        <f aca="false">IF(L569="","",IF(2026-E569&gt;0,L569/(2026-E569),L569))</f>
        <v/>
      </c>
    </row>
    <row r="570" customFormat="false" ht="15" hidden="false" customHeight="true" outlineLevel="0" collapsed="false">
      <c r="N570" s="1" t="str">
        <f aca="false">IF(L570="","",IF(2026-E570&gt;0,L570/(2026-E570),L570))</f>
        <v/>
      </c>
    </row>
    <row r="571" customFormat="false" ht="15" hidden="false" customHeight="true" outlineLevel="0" collapsed="false">
      <c r="N571" s="1" t="str">
        <f aca="false">IF(L571="","",IF(2026-E571&gt;0,L571/(2026-E571),L571))</f>
        <v/>
      </c>
    </row>
    <row r="572" customFormat="false" ht="15" hidden="false" customHeight="true" outlineLevel="0" collapsed="false">
      <c r="N572" s="1" t="str">
        <f aca="false">IF(L572="","",IF(2026-E572&gt;0,L572/(2026-E572),L572))</f>
        <v/>
      </c>
    </row>
    <row r="573" customFormat="false" ht="15" hidden="false" customHeight="true" outlineLevel="0" collapsed="false">
      <c r="N573" s="1" t="str">
        <f aca="false">IF(L573="","",IF(2026-E573&gt;0,L573/(2026-E573),L573))</f>
        <v/>
      </c>
    </row>
    <row r="574" customFormat="false" ht="15" hidden="false" customHeight="true" outlineLevel="0" collapsed="false">
      <c r="N574" s="1" t="str">
        <f aca="false">IF(L574="","",IF(2026-E574&gt;0,L574/(2026-E574),L574))</f>
        <v/>
      </c>
    </row>
    <row r="575" customFormat="false" ht="15" hidden="false" customHeight="true" outlineLevel="0" collapsed="false">
      <c r="N575" s="1" t="str">
        <f aca="false">IF(L575="","",IF(2026-E575&gt;0,L575/(2026-E575),L575))</f>
        <v/>
      </c>
    </row>
    <row r="576" customFormat="false" ht="15" hidden="false" customHeight="true" outlineLevel="0" collapsed="false">
      <c r="N576" s="1" t="str">
        <f aca="false">IF(L576="","",IF(2026-E576&gt;0,L576/(2026-E576),L576))</f>
        <v/>
      </c>
    </row>
    <row r="577" customFormat="false" ht="15" hidden="false" customHeight="true" outlineLevel="0" collapsed="false">
      <c r="N577" s="1" t="str">
        <f aca="false">IF(L577="","",IF(2026-E577&gt;0,L577/(2026-E577),L577))</f>
        <v/>
      </c>
    </row>
    <row r="578" customFormat="false" ht="15" hidden="false" customHeight="true" outlineLevel="0" collapsed="false">
      <c r="N578" s="1" t="str">
        <f aca="false">IF(L578="","",IF(2026-E578&gt;0,L578/(2026-E578),L578))</f>
        <v/>
      </c>
    </row>
    <row r="579" customFormat="false" ht="15" hidden="false" customHeight="true" outlineLevel="0" collapsed="false">
      <c r="N579" s="1" t="str">
        <f aca="false">IF(L579="","",IF(2026-E579&gt;0,L579/(2026-E579),L579))</f>
        <v/>
      </c>
    </row>
    <row r="580" customFormat="false" ht="15" hidden="false" customHeight="true" outlineLevel="0" collapsed="false">
      <c r="N580" s="1" t="str">
        <f aca="false">IF(L580="","",IF(2026-E580&gt;0,L580/(2026-E580),L580))</f>
        <v/>
      </c>
    </row>
    <row r="581" customFormat="false" ht="15" hidden="false" customHeight="true" outlineLevel="0" collapsed="false">
      <c r="N581" s="1" t="str">
        <f aca="false">IF(L581="","",IF(2026-E581&gt;0,L581/(2026-E581),L581))</f>
        <v/>
      </c>
    </row>
    <row r="582" customFormat="false" ht="15" hidden="false" customHeight="true" outlineLevel="0" collapsed="false">
      <c r="N582" s="1" t="str">
        <f aca="false">IF(L582="","",IF(2026-E582&gt;0,L582/(2026-E582),L582))</f>
        <v/>
      </c>
    </row>
    <row r="583" customFormat="false" ht="15" hidden="false" customHeight="true" outlineLevel="0" collapsed="false">
      <c r="N583" s="1" t="str">
        <f aca="false">IF(L583="","",IF(2026-E583&gt;0,L583/(2026-E583),L583))</f>
        <v/>
      </c>
    </row>
    <row r="584" customFormat="false" ht="15" hidden="false" customHeight="true" outlineLevel="0" collapsed="false">
      <c r="N584" s="1" t="str">
        <f aca="false">IF(L584="","",IF(2026-E584&gt;0,L584/(2026-E584),L584))</f>
        <v/>
      </c>
    </row>
    <row r="585" customFormat="false" ht="15" hidden="false" customHeight="true" outlineLevel="0" collapsed="false">
      <c r="N585" s="1" t="str">
        <f aca="false">IF(L585="","",IF(2026-E585&gt;0,L585/(2026-E585),L585))</f>
        <v/>
      </c>
    </row>
    <row r="586" customFormat="false" ht="15" hidden="false" customHeight="true" outlineLevel="0" collapsed="false">
      <c r="N586" s="1" t="str">
        <f aca="false">IF(L586="","",IF(2026-E586&gt;0,L586/(2026-E586),L586))</f>
        <v/>
      </c>
    </row>
    <row r="587" customFormat="false" ht="15" hidden="false" customHeight="true" outlineLevel="0" collapsed="false">
      <c r="N587" s="1" t="str">
        <f aca="false">IF(L587="","",IF(2026-E587&gt;0,L587/(2026-E587),L587))</f>
        <v/>
      </c>
    </row>
    <row r="588" customFormat="false" ht="15" hidden="false" customHeight="true" outlineLevel="0" collapsed="false">
      <c r="N588" s="1" t="str">
        <f aca="false">IF(L588="","",IF(2026-E588&gt;0,L588/(2026-E588),L588))</f>
        <v/>
      </c>
    </row>
    <row r="589" customFormat="false" ht="15" hidden="false" customHeight="true" outlineLevel="0" collapsed="false">
      <c r="N589" s="1" t="str">
        <f aca="false">IF(L589="","",IF(2026-E589&gt;0,L589/(2026-E589),L589))</f>
        <v/>
      </c>
    </row>
    <row r="590" customFormat="false" ht="15" hidden="false" customHeight="true" outlineLevel="0" collapsed="false">
      <c r="N590" s="1" t="str">
        <f aca="false">IF(L590="","",IF(2026-E590&gt;0,L590/(2026-E590),L590))</f>
        <v/>
      </c>
    </row>
    <row r="591" customFormat="false" ht="15" hidden="false" customHeight="true" outlineLevel="0" collapsed="false">
      <c r="N591" s="1" t="str">
        <f aca="false">IF(L591="","",IF(2026-E591&gt;0,L591/(2026-E591),L591))</f>
        <v/>
      </c>
    </row>
    <row r="592" customFormat="false" ht="15" hidden="false" customHeight="true" outlineLevel="0" collapsed="false">
      <c r="N592" s="1" t="str">
        <f aca="false">IF(L592="","",IF(2026-E592&gt;0,L592/(2026-E592),L592))</f>
        <v/>
      </c>
    </row>
    <row r="593" customFormat="false" ht="15" hidden="false" customHeight="true" outlineLevel="0" collapsed="false">
      <c r="N593" s="1" t="str">
        <f aca="false">IF(L593="","",IF(2026-E593&gt;0,L593/(2026-E593),L593))</f>
        <v/>
      </c>
    </row>
    <row r="594" customFormat="false" ht="15" hidden="false" customHeight="true" outlineLevel="0" collapsed="false">
      <c r="N594" s="1" t="str">
        <f aca="false">IF(L594="","",IF(2026-E594&gt;0,L594/(2026-E594),L594))</f>
        <v/>
      </c>
    </row>
    <row r="595" customFormat="false" ht="15" hidden="false" customHeight="true" outlineLevel="0" collapsed="false">
      <c r="N595" s="1" t="str">
        <f aca="false">IF(L595="","",IF(2026-E595&gt;0,L595/(2026-E595),L595))</f>
        <v/>
      </c>
    </row>
    <row r="596" customFormat="false" ht="15" hidden="false" customHeight="true" outlineLevel="0" collapsed="false">
      <c r="N596" s="1" t="str">
        <f aca="false">IF(L596="","",IF(2026-E596&gt;0,L596/(2026-E596),L596))</f>
        <v/>
      </c>
    </row>
    <row r="597" customFormat="false" ht="15" hidden="false" customHeight="true" outlineLevel="0" collapsed="false">
      <c r="N597" s="1" t="str">
        <f aca="false">IF(L597="","",IF(2026-E597&gt;0,L597/(2026-E597),L597))</f>
        <v/>
      </c>
    </row>
    <row r="598" customFormat="false" ht="15" hidden="false" customHeight="true" outlineLevel="0" collapsed="false">
      <c r="N598" s="1" t="str">
        <f aca="false">IF(L598="","",IF(2026-E598&gt;0,L598/(2026-E598),L598))</f>
        <v/>
      </c>
    </row>
    <row r="599" customFormat="false" ht="15" hidden="false" customHeight="true" outlineLevel="0" collapsed="false">
      <c r="N599" s="1" t="str">
        <f aca="false">IF(L599="","",IF(2026-E599&gt;0,L599/(2026-E599),L599))</f>
        <v/>
      </c>
    </row>
    <row r="600" customFormat="false" ht="15" hidden="false" customHeight="true" outlineLevel="0" collapsed="false">
      <c r="N600" s="1" t="str">
        <f aca="false">IF(L600="","",IF(2026-E600&gt;0,L600/(2026-E600),L600))</f>
        <v/>
      </c>
    </row>
    <row r="601" customFormat="false" ht="15" hidden="false" customHeight="true" outlineLevel="0" collapsed="false">
      <c r="N601" s="1" t="str">
        <f aca="false">IF(L601="","",IF(2026-E601&gt;0,L601/(2026-E601),L601))</f>
        <v/>
      </c>
    </row>
    <row r="602" customFormat="false" ht="15" hidden="false" customHeight="true" outlineLevel="0" collapsed="false">
      <c r="N602" s="1" t="str">
        <f aca="false">IF(L602="","",IF(2026-E602&gt;0,L602/(2026-E602),L602))</f>
        <v/>
      </c>
    </row>
    <row r="603" customFormat="false" ht="15" hidden="false" customHeight="true" outlineLevel="0" collapsed="false">
      <c r="N603" s="1" t="str">
        <f aca="false">IF(L603="","",IF(2026-E603&gt;0,L603/(2026-E603),L603))</f>
        <v/>
      </c>
    </row>
    <row r="604" customFormat="false" ht="15" hidden="false" customHeight="true" outlineLevel="0" collapsed="false">
      <c r="N604" s="1" t="str">
        <f aca="false">IF(L604="","",IF(2026-E604&gt;0,L604/(2026-E604),L604))</f>
        <v/>
      </c>
    </row>
    <row r="605" customFormat="false" ht="15" hidden="false" customHeight="true" outlineLevel="0" collapsed="false">
      <c r="N605" s="1" t="str">
        <f aca="false">IF(L605="","",IF(2026-E605&gt;0,L605/(2026-E605),L605))</f>
        <v/>
      </c>
    </row>
    <row r="606" customFormat="false" ht="15" hidden="false" customHeight="true" outlineLevel="0" collapsed="false">
      <c r="N606" s="1" t="str">
        <f aca="false">IF(L606="","",IF(2026-E606&gt;0,L606/(2026-E606),L606))</f>
        <v/>
      </c>
    </row>
    <row r="607" customFormat="false" ht="15" hidden="false" customHeight="true" outlineLevel="0" collapsed="false">
      <c r="N607" s="1" t="str">
        <f aca="false">IF(L607="","",IF(2026-E607&gt;0,L607/(2026-E607),L607))</f>
        <v/>
      </c>
    </row>
    <row r="608" customFormat="false" ht="15" hidden="false" customHeight="true" outlineLevel="0" collapsed="false">
      <c r="N608" s="1" t="str">
        <f aca="false">IF(L608="","",IF(2026-E608&gt;0,L608/(2026-E608),L608))</f>
        <v/>
      </c>
    </row>
    <row r="609" customFormat="false" ht="15" hidden="false" customHeight="true" outlineLevel="0" collapsed="false">
      <c r="N609" s="1" t="str">
        <f aca="false">IF(L609="","",IF(2026-E609&gt;0,L609/(2026-E609),L609))</f>
        <v/>
      </c>
    </row>
    <row r="610" customFormat="false" ht="15" hidden="false" customHeight="true" outlineLevel="0" collapsed="false">
      <c r="N610" s="1" t="str">
        <f aca="false">IF(L610="","",IF(2026-E610&gt;0,L610/(2026-E610),L610))</f>
        <v/>
      </c>
    </row>
    <row r="611" customFormat="false" ht="15" hidden="false" customHeight="true" outlineLevel="0" collapsed="false">
      <c r="N611" s="1" t="str">
        <f aca="false">IF(L611="","",IF(2026-E611&gt;0,L611/(2026-E611),L611))</f>
        <v/>
      </c>
    </row>
    <row r="612" customFormat="false" ht="15" hidden="false" customHeight="true" outlineLevel="0" collapsed="false">
      <c r="N612" s="1" t="str">
        <f aca="false">IF(L612="","",IF(2026-E612&gt;0,L612/(2026-E612),L612))</f>
        <v/>
      </c>
    </row>
    <row r="613" customFormat="false" ht="15" hidden="false" customHeight="true" outlineLevel="0" collapsed="false">
      <c r="N613" s="1" t="str">
        <f aca="false">IF(L613="","",IF(2026-E613&gt;0,L613/(2026-E613),L613))</f>
        <v/>
      </c>
    </row>
    <row r="614" customFormat="false" ht="15" hidden="false" customHeight="true" outlineLevel="0" collapsed="false">
      <c r="N614" s="1" t="str">
        <f aca="false">IF(L614="","",IF(2026-E614&gt;0,L614/(2026-E614),L614))</f>
        <v/>
      </c>
    </row>
    <row r="615" customFormat="false" ht="15" hidden="false" customHeight="true" outlineLevel="0" collapsed="false">
      <c r="N615" s="1" t="str">
        <f aca="false">IF(L615="","",IF(2026-E615&gt;0,L615/(2026-E615),L615))</f>
        <v/>
      </c>
    </row>
    <row r="616" customFormat="false" ht="15" hidden="false" customHeight="true" outlineLevel="0" collapsed="false">
      <c r="N616" s="1" t="str">
        <f aca="false">IF(L616="","",IF(2026-E616&gt;0,L616/(2026-E616),L616))</f>
        <v/>
      </c>
    </row>
    <row r="617" customFormat="false" ht="15" hidden="false" customHeight="true" outlineLevel="0" collapsed="false">
      <c r="N617" s="1" t="str">
        <f aca="false">IF(L617="","",IF(2026-E617&gt;0,L617/(2026-E617),L617))</f>
        <v/>
      </c>
    </row>
    <row r="618" customFormat="false" ht="15" hidden="false" customHeight="true" outlineLevel="0" collapsed="false">
      <c r="N618" s="1" t="str">
        <f aca="false">IF(L618="","",IF(2026-E618&gt;0,L618/(2026-E618),L618))</f>
        <v/>
      </c>
    </row>
    <row r="619" customFormat="false" ht="15" hidden="false" customHeight="true" outlineLevel="0" collapsed="false">
      <c r="N619" s="1" t="str">
        <f aca="false">IF(L619="","",IF(2026-E619&gt;0,L619/(2026-E619),L619))</f>
        <v/>
      </c>
    </row>
    <row r="620" customFormat="false" ht="15" hidden="false" customHeight="true" outlineLevel="0" collapsed="false">
      <c r="N620" s="1" t="str">
        <f aca="false">IF(L620="","",IF(2026-E620&gt;0,L620/(2026-E620),L620))</f>
        <v/>
      </c>
    </row>
    <row r="621" customFormat="false" ht="15" hidden="false" customHeight="true" outlineLevel="0" collapsed="false">
      <c r="N621" s="1" t="str">
        <f aca="false">IF(L621="","",IF(2026-E621&gt;0,L621/(2026-E621),L621))</f>
        <v/>
      </c>
    </row>
    <row r="622" customFormat="false" ht="15" hidden="false" customHeight="true" outlineLevel="0" collapsed="false">
      <c r="N622" s="1" t="str">
        <f aca="false">IF(L622="","",IF(2026-E622&gt;0,L622/(2026-E622),L622))</f>
        <v/>
      </c>
    </row>
    <row r="623" customFormat="false" ht="15" hidden="false" customHeight="true" outlineLevel="0" collapsed="false">
      <c r="N623" s="1" t="str">
        <f aca="false">IF(L623="","",IF(2026-E623&gt;0,L623/(2026-E623),L623))</f>
        <v/>
      </c>
    </row>
    <row r="624" customFormat="false" ht="15" hidden="false" customHeight="true" outlineLevel="0" collapsed="false">
      <c r="N624" s="1" t="str">
        <f aca="false">IF(L624="","",IF(2026-E624&gt;0,L624/(2026-E624),L624))</f>
        <v/>
      </c>
    </row>
    <row r="625" customFormat="false" ht="15" hidden="false" customHeight="true" outlineLevel="0" collapsed="false">
      <c r="N625" s="1" t="str">
        <f aca="false">IF(L625="","",IF(2026-E625&gt;0,L625/(2026-E625),L625))</f>
        <v/>
      </c>
    </row>
    <row r="626" customFormat="false" ht="15" hidden="false" customHeight="true" outlineLevel="0" collapsed="false">
      <c r="N626" s="1" t="str">
        <f aca="false">IF(L626="","",IF(2026-E626&gt;0,L626/(2026-E626),L626))</f>
        <v/>
      </c>
    </row>
    <row r="627" customFormat="false" ht="15" hidden="false" customHeight="true" outlineLevel="0" collapsed="false">
      <c r="N627" s="1" t="str">
        <f aca="false">IF(L627="","",IF(2026-E627&gt;0,L627/(2026-E627),L627))</f>
        <v/>
      </c>
    </row>
    <row r="628" customFormat="false" ht="15" hidden="false" customHeight="true" outlineLevel="0" collapsed="false">
      <c r="N628" s="1" t="str">
        <f aca="false">IF(L628="","",IF(2026-E628&gt;0,L628/(2026-E628),L628))</f>
        <v/>
      </c>
    </row>
    <row r="629" customFormat="false" ht="15" hidden="false" customHeight="true" outlineLevel="0" collapsed="false">
      <c r="N629" s="1" t="str">
        <f aca="false">IF(L629="","",IF(2026-E629&gt;0,L629/(2026-E629),L629))</f>
        <v/>
      </c>
    </row>
    <row r="630" customFormat="false" ht="15" hidden="false" customHeight="true" outlineLevel="0" collapsed="false">
      <c r="N630" s="1" t="str">
        <f aca="false">IF(L630="","",IF(2026-E630&gt;0,L630/(2026-E630),L630))</f>
        <v/>
      </c>
    </row>
    <row r="631" customFormat="false" ht="15" hidden="false" customHeight="true" outlineLevel="0" collapsed="false">
      <c r="N631" s="1" t="str">
        <f aca="false">IF(L631="","",IF(2026-E631&gt;0,L631/(2026-E631),L631))</f>
        <v/>
      </c>
    </row>
    <row r="632" customFormat="false" ht="15" hidden="false" customHeight="true" outlineLevel="0" collapsed="false">
      <c r="N632" s="1" t="str">
        <f aca="false">IF(L632="","",IF(2026-E632&gt;0,L632/(2026-E632),L632))</f>
        <v/>
      </c>
    </row>
    <row r="633" customFormat="false" ht="15" hidden="false" customHeight="true" outlineLevel="0" collapsed="false">
      <c r="N633" s="1" t="str">
        <f aca="false">IF(L633="","",IF(2026-E633&gt;0,L633/(2026-E633),L633))</f>
        <v/>
      </c>
    </row>
    <row r="634" customFormat="false" ht="15" hidden="false" customHeight="true" outlineLevel="0" collapsed="false">
      <c r="N634" s="1" t="str">
        <f aca="false">IF(L634="","",IF(2026-E634&gt;0,L634/(2026-E634),L634))</f>
        <v/>
      </c>
    </row>
    <row r="635" customFormat="false" ht="15" hidden="false" customHeight="true" outlineLevel="0" collapsed="false">
      <c r="N635" s="1" t="str">
        <f aca="false">IF(L635="","",IF(2026-E635&gt;0,L635/(2026-E635),L635))</f>
        <v/>
      </c>
    </row>
    <row r="636" customFormat="false" ht="15" hidden="false" customHeight="true" outlineLevel="0" collapsed="false">
      <c r="N636" s="1" t="str">
        <f aca="false">IF(L636="","",IF(2026-E636&gt;0,L636/(2026-E636),L636))</f>
        <v/>
      </c>
    </row>
    <row r="637" customFormat="false" ht="15" hidden="false" customHeight="true" outlineLevel="0" collapsed="false">
      <c r="N637" s="1" t="str">
        <f aca="false">IF(L637="","",IF(2026-E637&gt;0,L637/(2026-E637),L637))</f>
        <v/>
      </c>
    </row>
    <row r="638" customFormat="false" ht="15" hidden="false" customHeight="true" outlineLevel="0" collapsed="false">
      <c r="N638" s="1" t="str">
        <f aca="false">IF(L638="","",IF(2026-E638&gt;0,L638/(2026-E638),L638))</f>
        <v/>
      </c>
    </row>
    <row r="639" customFormat="false" ht="15" hidden="false" customHeight="true" outlineLevel="0" collapsed="false">
      <c r="N639" s="1" t="str">
        <f aca="false">IF(L639="","",IF(2026-E639&gt;0,L639/(2026-E639),L639))</f>
        <v/>
      </c>
    </row>
    <row r="640" customFormat="false" ht="15" hidden="false" customHeight="true" outlineLevel="0" collapsed="false">
      <c r="N640" s="1" t="str">
        <f aca="false">IF(L640="","",IF(2026-E640&gt;0,L640/(2026-E640),L640))</f>
        <v/>
      </c>
    </row>
    <row r="641" customFormat="false" ht="15" hidden="false" customHeight="true" outlineLevel="0" collapsed="false">
      <c r="N641" s="1" t="str">
        <f aca="false">IF(L641="","",IF(2026-E641&gt;0,L641/(2026-E641),L641))</f>
        <v/>
      </c>
    </row>
    <row r="642" customFormat="false" ht="15" hidden="false" customHeight="true" outlineLevel="0" collapsed="false">
      <c r="N642" s="1" t="str">
        <f aca="false">IF(L642="","",IF(2026-E642&gt;0,L642/(2026-E642),L642))</f>
        <v/>
      </c>
    </row>
    <row r="643" customFormat="false" ht="15" hidden="false" customHeight="true" outlineLevel="0" collapsed="false">
      <c r="N643" s="1" t="str">
        <f aca="false">IF(L643="","",IF(2026-E643&gt;0,L643/(2026-E643),L643))</f>
        <v/>
      </c>
    </row>
    <row r="644" customFormat="false" ht="15" hidden="false" customHeight="true" outlineLevel="0" collapsed="false">
      <c r="N644" s="1" t="str">
        <f aca="false">IF(L644="","",IF(2026-E644&gt;0,L644/(2026-E644),L644))</f>
        <v/>
      </c>
    </row>
    <row r="645" customFormat="false" ht="15" hidden="false" customHeight="true" outlineLevel="0" collapsed="false">
      <c r="N645" s="1" t="str">
        <f aca="false">IF(L645="","",IF(2026-E645&gt;0,L645/(2026-E645),L645))</f>
        <v/>
      </c>
    </row>
    <row r="646" customFormat="false" ht="15" hidden="false" customHeight="true" outlineLevel="0" collapsed="false">
      <c r="N646" s="1" t="str">
        <f aca="false">IF(L646="","",IF(2026-E646&gt;0,L646/(2026-E646),L646))</f>
        <v/>
      </c>
    </row>
    <row r="647" customFormat="false" ht="15" hidden="false" customHeight="true" outlineLevel="0" collapsed="false">
      <c r="N647" s="1" t="str">
        <f aca="false">IF(L647="","",IF(2026-E647&gt;0,L647/(2026-E647),L647))</f>
        <v/>
      </c>
    </row>
    <row r="648" customFormat="false" ht="15" hidden="false" customHeight="true" outlineLevel="0" collapsed="false">
      <c r="N648" s="1" t="str">
        <f aca="false">IF(L648="","",IF(2026-E648&gt;0,L648/(2026-E648),L648))</f>
        <v/>
      </c>
    </row>
    <row r="649" customFormat="false" ht="15" hidden="false" customHeight="true" outlineLevel="0" collapsed="false">
      <c r="N649" s="1" t="str">
        <f aca="false">IF(L649="","",IF(2026-E649&gt;0,L649/(2026-E649),L649))</f>
        <v/>
      </c>
    </row>
    <row r="650" customFormat="false" ht="15" hidden="false" customHeight="true" outlineLevel="0" collapsed="false">
      <c r="N650" s="1" t="str">
        <f aca="false">IF(L650="","",IF(2026-E650&gt;0,L650/(2026-E650),L650))</f>
        <v/>
      </c>
    </row>
    <row r="651" customFormat="false" ht="15" hidden="false" customHeight="true" outlineLevel="0" collapsed="false">
      <c r="N651" s="1" t="str">
        <f aca="false">IF(L651="","",IF(2026-E651&gt;0,L651/(2026-E651),L651))</f>
        <v/>
      </c>
    </row>
    <row r="652" customFormat="false" ht="15" hidden="false" customHeight="true" outlineLevel="0" collapsed="false">
      <c r="N652" s="1" t="str">
        <f aca="false">IF(L652="","",IF(2026-E652&gt;0,L652/(2026-E652),L652))</f>
        <v/>
      </c>
    </row>
    <row r="653" customFormat="false" ht="15" hidden="false" customHeight="true" outlineLevel="0" collapsed="false">
      <c r="N653" s="1" t="str">
        <f aca="false">IF(L653="","",IF(2026-E653&gt;0,L653/(2026-E653),L653))</f>
        <v/>
      </c>
    </row>
    <row r="654" customFormat="false" ht="15" hidden="false" customHeight="true" outlineLevel="0" collapsed="false">
      <c r="N654" s="1" t="str">
        <f aca="false">IF(L654="","",IF(2026-E654&gt;0,L654/(2026-E654),L654))</f>
        <v/>
      </c>
    </row>
    <row r="655" customFormat="false" ht="15" hidden="false" customHeight="true" outlineLevel="0" collapsed="false">
      <c r="N655" s="1" t="str">
        <f aca="false">IF(L655="","",IF(2026-E655&gt;0,L655/(2026-E655),L655))</f>
        <v/>
      </c>
    </row>
    <row r="656" customFormat="false" ht="15" hidden="false" customHeight="true" outlineLevel="0" collapsed="false">
      <c r="N656" s="1" t="str">
        <f aca="false">IF(L656="","",IF(2026-E656&gt;0,L656/(2026-E656),L656))</f>
        <v/>
      </c>
    </row>
    <row r="657" customFormat="false" ht="15" hidden="false" customHeight="true" outlineLevel="0" collapsed="false">
      <c r="N657" s="1" t="str">
        <f aca="false">IF(L657="","",IF(2026-E657&gt;0,L657/(2026-E657),L657))</f>
        <v/>
      </c>
    </row>
    <row r="658" customFormat="false" ht="15" hidden="false" customHeight="true" outlineLevel="0" collapsed="false">
      <c r="N658" s="1" t="str">
        <f aca="false">IF(L658="","",IF(2026-E658&gt;0,L658/(2026-E658),L658))</f>
        <v/>
      </c>
    </row>
    <row r="659" customFormat="false" ht="15" hidden="false" customHeight="true" outlineLevel="0" collapsed="false">
      <c r="N659" s="1" t="str">
        <f aca="false">IF(L659="","",IF(2026-E659&gt;0,L659/(2026-E659),L659))</f>
        <v/>
      </c>
    </row>
    <row r="660" customFormat="false" ht="15" hidden="false" customHeight="true" outlineLevel="0" collapsed="false">
      <c r="N660" s="1" t="str">
        <f aca="false">IF(L660="","",IF(2026-E660&gt;0,L660/(2026-E660),L660))</f>
        <v/>
      </c>
    </row>
    <row r="661" customFormat="false" ht="15" hidden="false" customHeight="true" outlineLevel="0" collapsed="false">
      <c r="N661" s="1" t="str">
        <f aca="false">IF(L661="","",IF(2026-E661&gt;0,L661/(2026-E661),L661))</f>
        <v/>
      </c>
    </row>
    <row r="662" customFormat="false" ht="15" hidden="false" customHeight="true" outlineLevel="0" collapsed="false">
      <c r="N662" s="1" t="str">
        <f aca="false">IF(L662="","",IF(2026-E662&gt;0,L662/(2026-E662),L662))</f>
        <v/>
      </c>
    </row>
    <row r="663" customFormat="false" ht="15" hidden="false" customHeight="true" outlineLevel="0" collapsed="false">
      <c r="N663" s="1" t="str">
        <f aca="false">IF(L663="","",IF(2026-E663&gt;0,L663/(2026-E663),L663))</f>
        <v/>
      </c>
    </row>
    <row r="664" customFormat="false" ht="15" hidden="false" customHeight="true" outlineLevel="0" collapsed="false">
      <c r="N664" s="1" t="str">
        <f aca="false">IF(L664="","",IF(2026-E664&gt;0,L664/(2026-E664),L664))</f>
        <v/>
      </c>
    </row>
    <row r="665" customFormat="false" ht="15" hidden="false" customHeight="true" outlineLevel="0" collapsed="false">
      <c r="N665" s="1" t="str">
        <f aca="false">IF(L665="","",IF(2026-E665&gt;0,L665/(2026-E665),L665))</f>
        <v/>
      </c>
    </row>
    <row r="666" customFormat="false" ht="15" hidden="false" customHeight="true" outlineLevel="0" collapsed="false">
      <c r="N666" s="1" t="str">
        <f aca="false">IF(L666="","",IF(2026-E666&gt;0,L666/(2026-E666),L666))</f>
        <v/>
      </c>
    </row>
    <row r="667" customFormat="false" ht="15" hidden="false" customHeight="true" outlineLevel="0" collapsed="false">
      <c r="N667" s="1" t="str">
        <f aca="false">IF(L667="","",IF(2026-E667&gt;0,L667/(2026-E667),L667))</f>
        <v/>
      </c>
    </row>
    <row r="668" customFormat="false" ht="15" hidden="false" customHeight="true" outlineLevel="0" collapsed="false">
      <c r="N668" s="1" t="str">
        <f aca="false">IF(L668="","",IF(2026-E668&gt;0,L668/(2026-E668),L668))</f>
        <v/>
      </c>
    </row>
    <row r="669" customFormat="false" ht="15" hidden="false" customHeight="true" outlineLevel="0" collapsed="false">
      <c r="N669" s="1" t="str">
        <f aca="false">IF(L669="","",IF(2026-E669&gt;0,L669/(2026-E669),L669))</f>
        <v/>
      </c>
    </row>
    <row r="670" customFormat="false" ht="15" hidden="false" customHeight="true" outlineLevel="0" collapsed="false">
      <c r="N670" s="1" t="str">
        <f aca="false">IF(L670="","",IF(2026-E670&gt;0,L670/(2026-E670),L670))</f>
        <v/>
      </c>
    </row>
    <row r="671" customFormat="false" ht="15" hidden="false" customHeight="true" outlineLevel="0" collapsed="false">
      <c r="N671" s="1" t="str">
        <f aca="false">IF(L671="","",IF(2026-E671&gt;0,L671/(2026-E671),L671))</f>
        <v/>
      </c>
    </row>
    <row r="672" customFormat="false" ht="15" hidden="false" customHeight="true" outlineLevel="0" collapsed="false">
      <c r="N672" s="1" t="str">
        <f aca="false">IF(L672="","",IF(2026-E672&gt;0,L672/(2026-E672),L672))</f>
        <v/>
      </c>
    </row>
    <row r="673" customFormat="false" ht="15" hidden="false" customHeight="true" outlineLevel="0" collapsed="false">
      <c r="N673" s="1" t="str">
        <f aca="false">IF(L673="","",IF(2026-E673&gt;0,L673/(2026-E673),L673))</f>
        <v/>
      </c>
    </row>
    <row r="674" customFormat="false" ht="15" hidden="false" customHeight="true" outlineLevel="0" collapsed="false">
      <c r="N674" s="1" t="str">
        <f aca="false">IF(L674="","",IF(2026-E674&gt;0,L674/(2026-E674),L674))</f>
        <v/>
      </c>
    </row>
    <row r="675" customFormat="false" ht="15" hidden="false" customHeight="true" outlineLevel="0" collapsed="false">
      <c r="N675" s="1" t="str">
        <f aca="false">IF(L675="","",IF(2026-E675&gt;0,L675/(2026-E675),L675))</f>
        <v/>
      </c>
    </row>
    <row r="676" customFormat="false" ht="15" hidden="false" customHeight="true" outlineLevel="0" collapsed="false">
      <c r="N676" s="1" t="str">
        <f aca="false">IF(L676="","",IF(2026-E676&gt;0,L676/(2026-E676),L676))</f>
        <v/>
      </c>
    </row>
    <row r="677" customFormat="false" ht="15" hidden="false" customHeight="true" outlineLevel="0" collapsed="false">
      <c r="N677" s="1" t="str">
        <f aca="false">IF(L677="","",IF(2026-E677&gt;0,L677/(2026-E677),L677))</f>
        <v/>
      </c>
    </row>
    <row r="678" customFormat="false" ht="15" hidden="false" customHeight="true" outlineLevel="0" collapsed="false">
      <c r="N678" s="1" t="str">
        <f aca="false">IF(L678="","",IF(2026-E678&gt;0,L678/(2026-E678),L678))</f>
        <v/>
      </c>
    </row>
    <row r="679" customFormat="false" ht="15" hidden="false" customHeight="true" outlineLevel="0" collapsed="false">
      <c r="N679" s="1" t="str">
        <f aca="false">IF(L679="","",IF(2026-E679&gt;0,L679/(2026-E679),L679))</f>
        <v/>
      </c>
    </row>
    <row r="680" customFormat="false" ht="15" hidden="false" customHeight="true" outlineLevel="0" collapsed="false">
      <c r="N680" s="1" t="str">
        <f aca="false">IF(L680="","",IF(2026-E680&gt;0,L680/(2026-E680),L680))</f>
        <v/>
      </c>
    </row>
    <row r="681" customFormat="false" ht="15" hidden="false" customHeight="true" outlineLevel="0" collapsed="false">
      <c r="N681" s="1" t="str">
        <f aca="false">IF(L681="","",IF(2026-E681&gt;0,L681/(2026-E681),L681))</f>
        <v/>
      </c>
    </row>
    <row r="682" customFormat="false" ht="15" hidden="false" customHeight="true" outlineLevel="0" collapsed="false">
      <c r="N682" s="1" t="str">
        <f aca="false">IF(L682="","",IF(2026-E682&gt;0,L682/(2026-E682),L682))</f>
        <v/>
      </c>
    </row>
    <row r="683" customFormat="false" ht="15" hidden="false" customHeight="true" outlineLevel="0" collapsed="false">
      <c r="N683" s="1" t="str">
        <f aca="false">IF(L683="","",IF(2026-E683&gt;0,L683/(2026-E683),L683))</f>
        <v/>
      </c>
    </row>
    <row r="684" customFormat="false" ht="15" hidden="false" customHeight="true" outlineLevel="0" collapsed="false">
      <c r="N684" s="1" t="str">
        <f aca="false">IF(L684="","",IF(2026-E684&gt;0,L684/(2026-E684),L684))</f>
        <v/>
      </c>
    </row>
    <row r="685" customFormat="false" ht="15" hidden="false" customHeight="true" outlineLevel="0" collapsed="false">
      <c r="N685" s="1" t="str">
        <f aca="false">IF(L685="","",IF(2026-E685&gt;0,L685/(2026-E685),L685))</f>
        <v/>
      </c>
    </row>
    <row r="686" customFormat="false" ht="15" hidden="false" customHeight="true" outlineLevel="0" collapsed="false">
      <c r="N686" s="1" t="str">
        <f aca="false">IF(L686="","",IF(2026-E686&gt;0,L686/(2026-E686),L686))</f>
        <v/>
      </c>
    </row>
    <row r="687" customFormat="false" ht="15" hidden="false" customHeight="true" outlineLevel="0" collapsed="false">
      <c r="N687" s="1" t="str">
        <f aca="false">IF(L687="","",IF(2026-E687&gt;0,L687/(2026-E687),L687))</f>
        <v/>
      </c>
    </row>
    <row r="688" customFormat="false" ht="15" hidden="false" customHeight="true" outlineLevel="0" collapsed="false">
      <c r="N688" s="1" t="str">
        <f aca="false">IF(L688="","",IF(2026-E688&gt;0,L688/(2026-E688),L688))</f>
        <v/>
      </c>
    </row>
    <row r="689" customFormat="false" ht="15" hidden="false" customHeight="true" outlineLevel="0" collapsed="false">
      <c r="N689" s="1" t="str">
        <f aca="false">IF(L689="","",IF(2026-E689&gt;0,L689/(2026-E689),L689))</f>
        <v/>
      </c>
    </row>
    <row r="690" customFormat="false" ht="15" hidden="false" customHeight="true" outlineLevel="0" collapsed="false">
      <c r="N690" s="1" t="str">
        <f aca="false">IF(L690="","",IF(2026-E690&gt;0,L690/(2026-E690),L690))</f>
        <v/>
      </c>
    </row>
    <row r="691" customFormat="false" ht="15" hidden="false" customHeight="true" outlineLevel="0" collapsed="false">
      <c r="N691" s="1" t="str">
        <f aca="false">IF(L691="","",IF(2026-E691&gt;0,L691/(2026-E691),L691))</f>
        <v/>
      </c>
    </row>
    <row r="692" customFormat="false" ht="15" hidden="false" customHeight="true" outlineLevel="0" collapsed="false">
      <c r="N692" s="1" t="str">
        <f aca="false">IF(L692="","",IF(2026-E692&gt;0,L692/(2026-E692),L692))</f>
        <v/>
      </c>
    </row>
    <row r="693" customFormat="false" ht="15" hidden="false" customHeight="true" outlineLevel="0" collapsed="false">
      <c r="N693" s="1" t="str">
        <f aca="false">IF(L693="","",IF(2026-E693&gt;0,L693/(2026-E693),L693))</f>
        <v/>
      </c>
    </row>
    <row r="694" customFormat="false" ht="15" hidden="false" customHeight="true" outlineLevel="0" collapsed="false">
      <c r="N694" s="1" t="str">
        <f aca="false">IF(L694="","",IF(2026-E694&gt;0,L694/(2026-E694),L694))</f>
        <v/>
      </c>
    </row>
    <row r="695" customFormat="false" ht="15" hidden="false" customHeight="true" outlineLevel="0" collapsed="false">
      <c r="N695" s="1" t="str">
        <f aca="false">IF(L695="","",IF(2026-E695&gt;0,L695/(2026-E695),L695))</f>
        <v/>
      </c>
    </row>
    <row r="696" customFormat="false" ht="15" hidden="false" customHeight="true" outlineLevel="0" collapsed="false">
      <c r="N696" s="1" t="str">
        <f aca="false">IF(L696="","",IF(2026-E696&gt;0,L696/(2026-E696),L696))</f>
        <v/>
      </c>
    </row>
    <row r="697" customFormat="false" ht="15" hidden="false" customHeight="true" outlineLevel="0" collapsed="false">
      <c r="N697" s="1" t="str">
        <f aca="false">IF(L697="","",IF(2026-E697&gt;0,L697/(2026-E697),L697))</f>
        <v/>
      </c>
    </row>
    <row r="698" customFormat="false" ht="15" hidden="false" customHeight="true" outlineLevel="0" collapsed="false">
      <c r="N698" s="1" t="str">
        <f aca="false">IF(L698="","",IF(2026-E698&gt;0,L698/(2026-E698),L698))</f>
        <v/>
      </c>
    </row>
    <row r="699" customFormat="false" ht="15" hidden="false" customHeight="true" outlineLevel="0" collapsed="false">
      <c r="N699" s="1" t="str">
        <f aca="false">IF(L699="","",IF(2026-E699&gt;0,L699/(2026-E699),L699))</f>
        <v/>
      </c>
    </row>
    <row r="700" customFormat="false" ht="15" hidden="false" customHeight="true" outlineLevel="0" collapsed="false">
      <c r="N700" s="1" t="str">
        <f aca="false">IF(L700="","",IF(2026-E700&gt;0,L700/(2026-E700),L700))</f>
        <v/>
      </c>
    </row>
    <row r="701" customFormat="false" ht="15" hidden="false" customHeight="true" outlineLevel="0" collapsed="false">
      <c r="N701" s="1" t="str">
        <f aca="false">IF(L701="","",IF(2026-E701&gt;0,L701/(2026-E701),L701))</f>
        <v/>
      </c>
    </row>
    <row r="702" customFormat="false" ht="15" hidden="false" customHeight="true" outlineLevel="0" collapsed="false">
      <c r="N702" s="1" t="str">
        <f aca="false">IF(L702="","",IF(2026-E702&gt;0,L702/(2026-E702),L702))</f>
        <v/>
      </c>
    </row>
    <row r="703" customFormat="false" ht="15" hidden="false" customHeight="true" outlineLevel="0" collapsed="false">
      <c r="N703" s="1" t="str">
        <f aca="false">IF(L703="","",IF(2026-E703&gt;0,L703/(2026-E703),L703))</f>
        <v/>
      </c>
    </row>
    <row r="704" customFormat="false" ht="15" hidden="false" customHeight="true" outlineLevel="0" collapsed="false">
      <c r="N704" s="1" t="str">
        <f aca="false">IF(L704="","",IF(2026-E704&gt;0,L704/(2026-E704),L704))</f>
        <v/>
      </c>
    </row>
    <row r="705" customFormat="false" ht="15" hidden="false" customHeight="true" outlineLevel="0" collapsed="false">
      <c r="N705" s="1" t="str">
        <f aca="false">IF(L705="","",IF(2026-E705&gt;0,L705/(2026-E705),L705))</f>
        <v/>
      </c>
    </row>
    <row r="706" customFormat="false" ht="15" hidden="false" customHeight="true" outlineLevel="0" collapsed="false">
      <c r="N706" s="1" t="str">
        <f aca="false">IF(L706="","",IF(2026-E706&gt;0,L706/(2026-E706),L706))</f>
        <v/>
      </c>
    </row>
    <row r="707" customFormat="false" ht="15" hidden="false" customHeight="true" outlineLevel="0" collapsed="false">
      <c r="N707" s="1" t="str">
        <f aca="false">IF(L707="","",IF(2026-E707&gt;0,L707/(2026-E707),L707))</f>
        <v/>
      </c>
    </row>
    <row r="708" customFormat="false" ht="15" hidden="false" customHeight="true" outlineLevel="0" collapsed="false">
      <c r="N708" s="1" t="str">
        <f aca="false">IF(L708="","",IF(2026-E708&gt;0,L708/(2026-E708),L708))</f>
        <v/>
      </c>
    </row>
    <row r="709" customFormat="false" ht="15" hidden="false" customHeight="true" outlineLevel="0" collapsed="false">
      <c r="N709" s="1" t="str">
        <f aca="false">IF(L709="","",IF(2026-E709&gt;0,L709/(2026-E709),L709))</f>
        <v/>
      </c>
    </row>
    <row r="710" customFormat="false" ht="15" hidden="false" customHeight="true" outlineLevel="0" collapsed="false">
      <c r="N710" s="1" t="str">
        <f aca="false">IF(L710="","",IF(2026-E710&gt;0,L710/(2026-E710),L710))</f>
        <v/>
      </c>
    </row>
    <row r="711" customFormat="false" ht="15" hidden="false" customHeight="true" outlineLevel="0" collapsed="false">
      <c r="N711" s="1" t="str">
        <f aca="false">IF(L711="","",IF(2026-E711&gt;0,L711/(2026-E711),L711))</f>
        <v/>
      </c>
    </row>
    <row r="712" customFormat="false" ht="15" hidden="false" customHeight="true" outlineLevel="0" collapsed="false">
      <c r="N712" s="1" t="str">
        <f aca="false">IF(L712="","",IF(2026-E712&gt;0,L712/(2026-E712),L712))</f>
        <v/>
      </c>
    </row>
    <row r="713" customFormat="false" ht="15" hidden="false" customHeight="true" outlineLevel="0" collapsed="false">
      <c r="N713" s="1" t="str">
        <f aca="false">IF(L713="","",IF(2026-E713&gt;0,L713/(2026-E713),L713))</f>
        <v/>
      </c>
    </row>
    <row r="714" customFormat="false" ht="15" hidden="false" customHeight="true" outlineLevel="0" collapsed="false">
      <c r="N714" s="1" t="str">
        <f aca="false">IF(L714="","",IF(2026-E714&gt;0,L714/(2026-E714),L714))</f>
        <v/>
      </c>
    </row>
    <row r="715" customFormat="false" ht="15" hidden="false" customHeight="true" outlineLevel="0" collapsed="false">
      <c r="N715" s="1" t="str">
        <f aca="false">IF(L715="","",IF(2026-E715&gt;0,L715/(2026-E715),L715))</f>
        <v/>
      </c>
    </row>
    <row r="716" customFormat="false" ht="15" hidden="false" customHeight="true" outlineLevel="0" collapsed="false">
      <c r="N716" s="1" t="str">
        <f aca="false">IF(L716="","",IF(2026-E716&gt;0,L716/(2026-E716),L716))</f>
        <v/>
      </c>
    </row>
    <row r="717" customFormat="false" ht="15" hidden="false" customHeight="true" outlineLevel="0" collapsed="false">
      <c r="N717" s="1" t="str">
        <f aca="false">IF(L717="","",IF(2026-E717&gt;0,L717/(2026-E717),L717))</f>
        <v/>
      </c>
    </row>
    <row r="718" customFormat="false" ht="15" hidden="false" customHeight="true" outlineLevel="0" collapsed="false">
      <c r="N718" s="1" t="str">
        <f aca="false">IF(L718="","",IF(2026-E718&gt;0,L718/(2026-E718),L718))</f>
        <v/>
      </c>
    </row>
    <row r="719" customFormat="false" ht="15" hidden="false" customHeight="true" outlineLevel="0" collapsed="false">
      <c r="N719" s="1" t="str">
        <f aca="false">IF(L719="","",IF(2026-E719&gt;0,L719/(2026-E719),L719))</f>
        <v/>
      </c>
    </row>
    <row r="720" customFormat="false" ht="15" hidden="false" customHeight="true" outlineLevel="0" collapsed="false">
      <c r="N720" s="1" t="str">
        <f aca="false">IF(L720="","",IF(2026-E720&gt;0,L720/(2026-E720),L720))</f>
        <v/>
      </c>
    </row>
    <row r="721" customFormat="false" ht="15" hidden="false" customHeight="true" outlineLevel="0" collapsed="false">
      <c r="N721" s="1" t="str">
        <f aca="false">IF(L721="","",IF(2026-E721&gt;0,L721/(2026-E721),L721))</f>
        <v/>
      </c>
    </row>
    <row r="722" customFormat="false" ht="15" hidden="false" customHeight="true" outlineLevel="0" collapsed="false">
      <c r="N722" s="1" t="str">
        <f aca="false">IF(L722="","",IF(2026-E722&gt;0,L722/(2026-E722),L722))</f>
        <v/>
      </c>
    </row>
    <row r="723" customFormat="false" ht="15" hidden="false" customHeight="true" outlineLevel="0" collapsed="false">
      <c r="N723" s="1" t="str">
        <f aca="false">IF(L723="","",IF(2026-E723&gt;0,L723/(2026-E723),L723))</f>
        <v/>
      </c>
    </row>
    <row r="724" customFormat="false" ht="15" hidden="false" customHeight="true" outlineLevel="0" collapsed="false">
      <c r="N724" s="1" t="str">
        <f aca="false">IF(L724="","",IF(2026-E724&gt;0,L724/(2026-E724),L724))</f>
        <v/>
      </c>
    </row>
    <row r="725" customFormat="false" ht="15" hidden="false" customHeight="true" outlineLevel="0" collapsed="false">
      <c r="N725" s="1" t="str">
        <f aca="false">IF(L725="","",IF(2026-E725&gt;0,L725/(2026-E725),L725))</f>
        <v/>
      </c>
    </row>
    <row r="726" customFormat="false" ht="15" hidden="false" customHeight="true" outlineLevel="0" collapsed="false">
      <c r="N726" s="1" t="str">
        <f aca="false">IF(L726="","",IF(2026-E726&gt;0,L726/(2026-E726),L726))</f>
        <v/>
      </c>
    </row>
    <row r="727" customFormat="false" ht="15" hidden="false" customHeight="true" outlineLevel="0" collapsed="false">
      <c r="N727" s="1" t="str">
        <f aca="false">IF(L727="","",IF(2026-E727&gt;0,L727/(2026-E727),L727))</f>
        <v/>
      </c>
    </row>
    <row r="728" customFormat="false" ht="15" hidden="false" customHeight="true" outlineLevel="0" collapsed="false">
      <c r="N728" s="1" t="str">
        <f aca="false">IF(L728="","",IF(2026-E728&gt;0,L728/(2026-E728),L728))</f>
        <v/>
      </c>
    </row>
    <row r="729" customFormat="false" ht="15" hidden="false" customHeight="true" outlineLevel="0" collapsed="false">
      <c r="N729" s="1" t="str">
        <f aca="false">IF(L729="","",IF(2026-E729&gt;0,L729/(2026-E729),L729))</f>
        <v/>
      </c>
    </row>
    <row r="730" customFormat="false" ht="15" hidden="false" customHeight="true" outlineLevel="0" collapsed="false">
      <c r="N730" s="1" t="str">
        <f aca="false">IF(L730="","",IF(2026-E730&gt;0,L730/(2026-E730),L730))</f>
        <v/>
      </c>
    </row>
    <row r="731" customFormat="false" ht="15" hidden="false" customHeight="true" outlineLevel="0" collapsed="false">
      <c r="N731" s="1" t="str">
        <f aca="false">IF(L731="","",IF(2026-E731&gt;0,L731/(2026-E731),L731))</f>
        <v/>
      </c>
    </row>
    <row r="732" customFormat="false" ht="15" hidden="false" customHeight="true" outlineLevel="0" collapsed="false">
      <c r="N732" s="1" t="str">
        <f aca="false">IF(L732="","",IF(2026-E732&gt;0,L732/(2026-E732),L732))</f>
        <v/>
      </c>
    </row>
    <row r="733" customFormat="false" ht="15" hidden="false" customHeight="true" outlineLevel="0" collapsed="false">
      <c r="N733" s="1" t="str">
        <f aca="false">IF(L733="","",IF(2026-E733&gt;0,L733/(2026-E733),L733))</f>
        <v/>
      </c>
    </row>
    <row r="734" customFormat="false" ht="15" hidden="false" customHeight="true" outlineLevel="0" collapsed="false">
      <c r="N734" s="1" t="str">
        <f aca="false">IF(L734="","",IF(2026-E734&gt;0,L734/(2026-E734),L734))</f>
        <v/>
      </c>
    </row>
    <row r="735" customFormat="false" ht="15" hidden="false" customHeight="true" outlineLevel="0" collapsed="false">
      <c r="N735" s="1" t="str">
        <f aca="false">IF(L735="","",IF(2026-E735&gt;0,L735/(2026-E735),L735))</f>
        <v/>
      </c>
    </row>
    <row r="736" customFormat="false" ht="15" hidden="false" customHeight="true" outlineLevel="0" collapsed="false">
      <c r="N736" s="1" t="str">
        <f aca="false">IF(L736="","",IF(2026-E736&gt;0,L736/(2026-E736),L736))</f>
        <v/>
      </c>
    </row>
    <row r="737" customFormat="false" ht="15" hidden="false" customHeight="true" outlineLevel="0" collapsed="false">
      <c r="N737" s="1" t="str">
        <f aca="false">IF(L737="","",IF(2026-E737&gt;0,L737/(2026-E737),L737))</f>
        <v/>
      </c>
    </row>
    <row r="738" customFormat="false" ht="15" hidden="false" customHeight="true" outlineLevel="0" collapsed="false">
      <c r="N738" s="1" t="str">
        <f aca="false">IF(L738="","",IF(2026-E738&gt;0,L738/(2026-E738),L738))</f>
        <v/>
      </c>
    </row>
    <row r="739" customFormat="false" ht="15" hidden="false" customHeight="true" outlineLevel="0" collapsed="false">
      <c r="N739" s="1" t="str">
        <f aca="false">IF(L739="","",IF(2026-E739&gt;0,L739/(2026-E739),L739))</f>
        <v/>
      </c>
    </row>
    <row r="740" customFormat="false" ht="15" hidden="false" customHeight="true" outlineLevel="0" collapsed="false">
      <c r="N740" s="1" t="str">
        <f aca="false">IF(L740="","",IF(2026-E740&gt;0,L740/(2026-E740),L740))</f>
        <v/>
      </c>
    </row>
    <row r="741" customFormat="false" ht="15" hidden="false" customHeight="true" outlineLevel="0" collapsed="false">
      <c r="N741" s="1" t="str">
        <f aca="false">IF(L741="","",IF(2026-E741&gt;0,L741/(2026-E741),L741))</f>
        <v/>
      </c>
    </row>
    <row r="742" customFormat="false" ht="15" hidden="false" customHeight="true" outlineLevel="0" collapsed="false">
      <c r="N742" s="1" t="str">
        <f aca="false">IF(L742="","",IF(2026-E742&gt;0,L742/(2026-E742),L742))</f>
        <v/>
      </c>
    </row>
    <row r="743" customFormat="false" ht="15" hidden="false" customHeight="true" outlineLevel="0" collapsed="false">
      <c r="N743" s="1" t="str">
        <f aca="false">IF(L743="","",IF(2026-E743&gt;0,L743/(2026-E743),L743))</f>
        <v/>
      </c>
    </row>
    <row r="744" customFormat="false" ht="15" hidden="false" customHeight="true" outlineLevel="0" collapsed="false">
      <c r="N744" s="1" t="str">
        <f aca="false">IF(L744="","",IF(2026-E744&gt;0,L744/(2026-E744),L744))</f>
        <v/>
      </c>
    </row>
    <row r="745" customFormat="false" ht="15" hidden="false" customHeight="true" outlineLevel="0" collapsed="false">
      <c r="N745" s="1" t="str">
        <f aca="false">IF(L745="","",IF(2026-E745&gt;0,L745/(2026-E745),L745))</f>
        <v/>
      </c>
    </row>
    <row r="746" customFormat="false" ht="15" hidden="false" customHeight="true" outlineLevel="0" collapsed="false">
      <c r="N746" s="1" t="str">
        <f aca="false">IF(L746="","",IF(2026-E746&gt;0,L746/(2026-E746),L746))</f>
        <v/>
      </c>
    </row>
    <row r="747" customFormat="false" ht="15" hidden="false" customHeight="true" outlineLevel="0" collapsed="false">
      <c r="N747" s="1" t="str">
        <f aca="false">IF(L747="","",IF(2026-E747&gt;0,L747/(2026-E747),L747))</f>
        <v/>
      </c>
    </row>
    <row r="748" customFormat="false" ht="15" hidden="false" customHeight="true" outlineLevel="0" collapsed="false">
      <c r="N748" s="1" t="str">
        <f aca="false">IF(L748="","",IF(2026-E748&gt;0,L748/(2026-E748),L748))</f>
        <v/>
      </c>
    </row>
    <row r="749" customFormat="false" ht="15" hidden="false" customHeight="true" outlineLevel="0" collapsed="false">
      <c r="N749" s="1" t="str">
        <f aca="false">IF(L749="","",IF(2026-E749&gt;0,L749/(2026-E749),L749))</f>
        <v/>
      </c>
    </row>
    <row r="750" customFormat="false" ht="15" hidden="false" customHeight="true" outlineLevel="0" collapsed="false">
      <c r="N750" s="1" t="str">
        <f aca="false">IF(L750="","",IF(2026-E750&gt;0,L750/(2026-E750),L750))</f>
        <v/>
      </c>
    </row>
    <row r="751" customFormat="false" ht="15" hidden="false" customHeight="true" outlineLevel="0" collapsed="false">
      <c r="N751" s="1" t="str">
        <f aca="false">IF(L751="","",IF(2026-E751&gt;0,L751/(2026-E751),L751))</f>
        <v/>
      </c>
    </row>
    <row r="752" customFormat="false" ht="15" hidden="false" customHeight="true" outlineLevel="0" collapsed="false">
      <c r="N752" s="1" t="str">
        <f aca="false">IF(L752="","",IF(2026-E752&gt;0,L752/(2026-E752),L752))</f>
        <v/>
      </c>
    </row>
    <row r="753" customFormat="false" ht="15" hidden="false" customHeight="true" outlineLevel="0" collapsed="false">
      <c r="N753" s="1" t="str">
        <f aca="false">IF(L753="","",IF(2026-E753&gt;0,L753/(2026-E753),L753))</f>
        <v/>
      </c>
    </row>
    <row r="754" customFormat="false" ht="15" hidden="false" customHeight="true" outlineLevel="0" collapsed="false">
      <c r="N754" s="1" t="str">
        <f aca="false">IF(L754="","",IF(2026-E754&gt;0,L754/(2026-E754),L754))</f>
        <v/>
      </c>
    </row>
    <row r="755" customFormat="false" ht="15" hidden="false" customHeight="true" outlineLevel="0" collapsed="false">
      <c r="N755" s="1" t="str">
        <f aca="false">IF(L755="","",IF(2026-E755&gt;0,L755/(2026-E755),L755))</f>
        <v/>
      </c>
    </row>
    <row r="756" customFormat="false" ht="15" hidden="false" customHeight="true" outlineLevel="0" collapsed="false">
      <c r="N756" s="1" t="str">
        <f aca="false">IF(L756="","",IF(2026-E756&gt;0,L756/(2026-E756),L756))</f>
        <v/>
      </c>
    </row>
    <row r="757" customFormat="false" ht="15" hidden="false" customHeight="true" outlineLevel="0" collapsed="false">
      <c r="N757" s="1" t="str">
        <f aca="false">IF(L757="","",IF(2026-E757&gt;0,L757/(2026-E757),L757))</f>
        <v/>
      </c>
    </row>
    <row r="758" customFormat="false" ht="15" hidden="false" customHeight="true" outlineLevel="0" collapsed="false">
      <c r="N758" s="1" t="str">
        <f aca="false">IF(L758="","",IF(2026-E758&gt;0,L758/(2026-E758),L758))</f>
        <v/>
      </c>
    </row>
    <row r="759" customFormat="false" ht="15" hidden="false" customHeight="true" outlineLevel="0" collapsed="false">
      <c r="N759" s="1" t="str">
        <f aca="false">IF(L759="","",IF(2026-E759&gt;0,L759/(2026-E759),L759))</f>
        <v/>
      </c>
    </row>
    <row r="760" customFormat="false" ht="15" hidden="false" customHeight="true" outlineLevel="0" collapsed="false">
      <c r="N760" s="1" t="str">
        <f aca="false">IF(L760="","",IF(2026-E760&gt;0,L760/(2026-E760),L760))</f>
        <v/>
      </c>
    </row>
    <row r="761" customFormat="false" ht="15" hidden="false" customHeight="true" outlineLevel="0" collapsed="false">
      <c r="N761" s="1" t="str">
        <f aca="false">IF(L761="","",IF(2026-E761&gt;0,L761/(2026-E761),L761))</f>
        <v/>
      </c>
    </row>
    <row r="762" customFormat="false" ht="15" hidden="false" customHeight="true" outlineLevel="0" collapsed="false">
      <c r="N762" s="1" t="str">
        <f aca="false">IF(L762="","",IF(2026-E762&gt;0,L762/(2026-E762),L762))</f>
        <v/>
      </c>
    </row>
    <row r="763" customFormat="false" ht="15" hidden="false" customHeight="true" outlineLevel="0" collapsed="false">
      <c r="N763" s="1" t="str">
        <f aca="false">IF(L763="","",IF(2026-E763&gt;0,L763/(2026-E763),L763))</f>
        <v/>
      </c>
    </row>
    <row r="764" customFormat="false" ht="15" hidden="false" customHeight="true" outlineLevel="0" collapsed="false">
      <c r="N764" s="1" t="str">
        <f aca="false">IF(L764="","",IF(2026-E764&gt;0,L764/(2026-E764),L764))</f>
        <v/>
      </c>
    </row>
    <row r="765" customFormat="false" ht="15" hidden="false" customHeight="true" outlineLevel="0" collapsed="false">
      <c r="N765" s="1" t="str">
        <f aca="false">IF(L765="","",IF(2026-E765&gt;0,L765/(2026-E765),L765))</f>
        <v/>
      </c>
    </row>
    <row r="766" customFormat="false" ht="15" hidden="false" customHeight="true" outlineLevel="0" collapsed="false">
      <c r="N766" s="1" t="str">
        <f aca="false">IF(L766="","",IF(2026-E766&gt;0,L766/(2026-E766),L766))</f>
        <v/>
      </c>
    </row>
    <row r="767" customFormat="false" ht="15" hidden="false" customHeight="true" outlineLevel="0" collapsed="false">
      <c r="N767" s="1" t="str">
        <f aca="false">IF(L767="","",IF(2026-E767&gt;0,L767/(2026-E767),L767))</f>
        <v/>
      </c>
    </row>
    <row r="768" customFormat="false" ht="15" hidden="false" customHeight="true" outlineLevel="0" collapsed="false">
      <c r="N768" s="1" t="str">
        <f aca="false">IF(L768="","",IF(2026-E768&gt;0,L768/(2026-E768),L768))</f>
        <v/>
      </c>
    </row>
    <row r="769" customFormat="false" ht="15" hidden="false" customHeight="true" outlineLevel="0" collapsed="false">
      <c r="N769" s="1" t="str">
        <f aca="false">IF(L769="","",IF(2026-E769&gt;0,L769/(2026-E769),L769))</f>
        <v/>
      </c>
    </row>
    <row r="770" customFormat="false" ht="15" hidden="false" customHeight="true" outlineLevel="0" collapsed="false">
      <c r="N770" s="1" t="str">
        <f aca="false">IF(L770="","",IF(2026-E770&gt;0,L770/(2026-E770),L770))</f>
        <v/>
      </c>
    </row>
    <row r="771" customFormat="false" ht="15" hidden="false" customHeight="true" outlineLevel="0" collapsed="false">
      <c r="N771" s="1" t="str">
        <f aca="false">IF(L771="","",IF(2026-E771&gt;0,L771/(2026-E771),L771))</f>
        <v/>
      </c>
    </row>
    <row r="772" customFormat="false" ht="15" hidden="false" customHeight="true" outlineLevel="0" collapsed="false">
      <c r="N772" s="1" t="str">
        <f aca="false">IF(L772="","",IF(2026-E772&gt;0,L772/(2026-E772),L772))</f>
        <v/>
      </c>
    </row>
    <row r="773" customFormat="false" ht="15" hidden="false" customHeight="true" outlineLevel="0" collapsed="false">
      <c r="N773" s="1" t="str">
        <f aca="false">IF(L773="","",IF(2026-E773&gt;0,L773/(2026-E773),L773))</f>
        <v/>
      </c>
    </row>
    <row r="774" customFormat="false" ht="15" hidden="false" customHeight="true" outlineLevel="0" collapsed="false">
      <c r="N774" s="1" t="str">
        <f aca="false">IF(L774="","",IF(2026-E774&gt;0,L774/(2026-E774),L774))</f>
        <v/>
      </c>
    </row>
    <row r="775" customFormat="false" ht="15" hidden="false" customHeight="true" outlineLevel="0" collapsed="false">
      <c r="N775" s="1" t="str">
        <f aca="false">IF(L775="","",IF(2026-E775&gt;0,L775/(2026-E775),L775))</f>
        <v/>
      </c>
    </row>
    <row r="776" customFormat="false" ht="15" hidden="false" customHeight="true" outlineLevel="0" collapsed="false">
      <c r="N776" s="1" t="str">
        <f aca="false">IF(L776="","",IF(2026-E776&gt;0,L776/(2026-E776),L776))</f>
        <v/>
      </c>
    </row>
    <row r="777" customFormat="false" ht="15" hidden="false" customHeight="true" outlineLevel="0" collapsed="false">
      <c r="N777" s="1" t="str">
        <f aca="false">IF(L777="","",IF(2026-E777&gt;0,L777/(2026-E777),L777))</f>
        <v/>
      </c>
    </row>
    <row r="778" customFormat="false" ht="15" hidden="false" customHeight="true" outlineLevel="0" collapsed="false">
      <c r="N778" s="1" t="str">
        <f aca="false">IF(L778="","",IF(2026-E778&gt;0,L778/(2026-E778),L778))</f>
        <v/>
      </c>
    </row>
    <row r="779" customFormat="false" ht="15" hidden="false" customHeight="true" outlineLevel="0" collapsed="false">
      <c r="N779" s="1" t="str">
        <f aca="false">IF(L779="","",IF(2026-E779&gt;0,L779/(2026-E779),L779))</f>
        <v/>
      </c>
    </row>
    <row r="780" customFormat="false" ht="15" hidden="false" customHeight="true" outlineLevel="0" collapsed="false">
      <c r="N780" s="1" t="str">
        <f aca="false">IF(L780="","",IF(2026-E780&gt;0,L780/(2026-E780),L780))</f>
        <v/>
      </c>
    </row>
    <row r="781" customFormat="false" ht="15" hidden="false" customHeight="true" outlineLevel="0" collapsed="false">
      <c r="N781" s="1" t="str">
        <f aca="false">IF(L781="","",IF(2026-E781&gt;0,L781/(2026-E781),L781))</f>
        <v/>
      </c>
    </row>
    <row r="782" customFormat="false" ht="15" hidden="false" customHeight="true" outlineLevel="0" collapsed="false">
      <c r="N782" s="1" t="str">
        <f aca="false">IF(L782="","",IF(2026-E782&gt;0,L782/(2026-E782),L782))</f>
        <v/>
      </c>
    </row>
    <row r="783" customFormat="false" ht="15" hidden="false" customHeight="true" outlineLevel="0" collapsed="false">
      <c r="N783" s="1" t="str">
        <f aca="false">IF(L783="","",IF(2026-E783&gt;0,L783/(2026-E783),L783))</f>
        <v/>
      </c>
    </row>
    <row r="784" customFormat="false" ht="15" hidden="false" customHeight="true" outlineLevel="0" collapsed="false">
      <c r="N784" s="1" t="str">
        <f aca="false">IF(L784="","",IF(2026-E784&gt;0,L784/(2026-E784),L784))</f>
        <v/>
      </c>
    </row>
    <row r="785" customFormat="false" ht="15" hidden="false" customHeight="true" outlineLevel="0" collapsed="false">
      <c r="N785" s="1" t="str">
        <f aca="false">IF(L785="","",IF(2026-E785&gt;0,L785/(2026-E785),L785))</f>
        <v/>
      </c>
    </row>
    <row r="786" customFormat="false" ht="15" hidden="false" customHeight="true" outlineLevel="0" collapsed="false">
      <c r="N786" s="1" t="str">
        <f aca="false">IF(L786="","",IF(2026-E786&gt;0,L786/(2026-E786),L786))</f>
        <v/>
      </c>
    </row>
    <row r="787" customFormat="false" ht="15" hidden="false" customHeight="true" outlineLevel="0" collapsed="false">
      <c r="N787" s="1" t="str">
        <f aca="false">IF(L787="","",IF(2026-E787&gt;0,L787/(2026-E787),L787))</f>
        <v/>
      </c>
    </row>
    <row r="788" customFormat="false" ht="15" hidden="false" customHeight="true" outlineLevel="0" collapsed="false">
      <c r="N788" s="1" t="str">
        <f aca="false">IF(L788="","",IF(2026-E788&gt;0,L788/(2026-E788),L788))</f>
        <v/>
      </c>
    </row>
    <row r="789" customFormat="false" ht="15" hidden="false" customHeight="true" outlineLevel="0" collapsed="false">
      <c r="N789" s="1" t="str">
        <f aca="false">IF(L789="","",IF(2026-E789&gt;0,L789/(2026-E789),L789))</f>
        <v/>
      </c>
    </row>
    <row r="790" customFormat="false" ht="15" hidden="false" customHeight="true" outlineLevel="0" collapsed="false">
      <c r="N790" s="1" t="str">
        <f aca="false">IF(L790="","",IF(2026-E790&gt;0,L790/(2026-E790),L790))</f>
        <v/>
      </c>
    </row>
    <row r="791" customFormat="false" ht="15" hidden="false" customHeight="true" outlineLevel="0" collapsed="false">
      <c r="N791" s="1" t="str">
        <f aca="false">IF(L791="","",IF(2026-E791&gt;0,L791/(2026-E791),L791))</f>
        <v/>
      </c>
    </row>
    <row r="792" customFormat="false" ht="15" hidden="false" customHeight="true" outlineLevel="0" collapsed="false">
      <c r="N792" s="1" t="str">
        <f aca="false">IF(L792="","",IF(2026-E792&gt;0,L792/(2026-E792),L792))</f>
        <v/>
      </c>
    </row>
    <row r="793" customFormat="false" ht="15" hidden="false" customHeight="true" outlineLevel="0" collapsed="false">
      <c r="N793" s="1" t="str">
        <f aca="false">IF(L793="","",IF(2026-E793&gt;0,L793/(2026-E793),L793))</f>
        <v/>
      </c>
    </row>
    <row r="794" customFormat="false" ht="15" hidden="false" customHeight="true" outlineLevel="0" collapsed="false">
      <c r="N794" s="1" t="str">
        <f aca="false">IF(L794="","",IF(2026-E794&gt;0,L794/(2026-E794),L794))</f>
        <v/>
      </c>
    </row>
    <row r="795" customFormat="false" ht="15" hidden="false" customHeight="true" outlineLevel="0" collapsed="false">
      <c r="N795" s="1" t="str">
        <f aca="false">IF(L795="","",IF(2026-E795&gt;0,L795/(2026-E795),L795))</f>
        <v/>
      </c>
    </row>
    <row r="796" customFormat="false" ht="15" hidden="false" customHeight="true" outlineLevel="0" collapsed="false">
      <c r="N796" s="1" t="str">
        <f aca="false">IF(L796="","",IF(2026-E796&gt;0,L796/(2026-E796),L796))</f>
        <v/>
      </c>
    </row>
    <row r="797" customFormat="false" ht="15" hidden="false" customHeight="true" outlineLevel="0" collapsed="false">
      <c r="N797" s="1" t="str">
        <f aca="false">IF(L797="","",IF(2026-E797&gt;0,L797/(2026-E797),L797))</f>
        <v/>
      </c>
    </row>
    <row r="798" customFormat="false" ht="15" hidden="false" customHeight="true" outlineLevel="0" collapsed="false">
      <c r="N798" s="1" t="str">
        <f aca="false">IF(L798="","",IF(2026-E798&gt;0,L798/(2026-E798),L798))</f>
        <v/>
      </c>
    </row>
    <row r="799" customFormat="false" ht="15" hidden="false" customHeight="true" outlineLevel="0" collapsed="false">
      <c r="N799" s="1" t="str">
        <f aca="false">IF(L799="","",IF(2026-E799&gt;0,L799/(2026-E799),L799))</f>
        <v/>
      </c>
    </row>
    <row r="800" customFormat="false" ht="15" hidden="false" customHeight="true" outlineLevel="0" collapsed="false">
      <c r="N800" s="1" t="str">
        <f aca="false">IF(L800="","",IF(2026-E800&gt;0,L800/(2026-E800),L800))</f>
        <v/>
      </c>
    </row>
    <row r="801" customFormat="false" ht="15" hidden="false" customHeight="true" outlineLevel="0" collapsed="false">
      <c r="N801" s="1" t="str">
        <f aca="false">IF(L801="","",IF(2026-E801&gt;0,L801/(2026-E801),L801))</f>
        <v/>
      </c>
    </row>
    <row r="802" customFormat="false" ht="15" hidden="false" customHeight="true" outlineLevel="0" collapsed="false">
      <c r="N802" s="1" t="str">
        <f aca="false">IF(L802="","",IF(2026-E802&gt;0,L802/(2026-E802),L802))</f>
        <v/>
      </c>
    </row>
    <row r="803" customFormat="false" ht="15" hidden="false" customHeight="true" outlineLevel="0" collapsed="false">
      <c r="N803" s="1" t="str">
        <f aca="false">IF(L803="","",IF(2026-E803&gt;0,L803/(2026-E803),L803))</f>
        <v/>
      </c>
    </row>
    <row r="804" customFormat="false" ht="15" hidden="false" customHeight="true" outlineLevel="0" collapsed="false">
      <c r="N804" s="1" t="str">
        <f aca="false">IF(L804="","",IF(2026-E804&gt;0,L804/(2026-E804),L804))</f>
        <v/>
      </c>
    </row>
    <row r="805" customFormat="false" ht="15" hidden="false" customHeight="true" outlineLevel="0" collapsed="false">
      <c r="N805" s="1" t="str">
        <f aca="false">IF(L805="","",IF(2026-E805&gt;0,L805/(2026-E805),L805))</f>
        <v/>
      </c>
    </row>
    <row r="806" customFormat="false" ht="15" hidden="false" customHeight="true" outlineLevel="0" collapsed="false">
      <c r="N806" s="1" t="str">
        <f aca="false">IF(L806="","",IF(2026-E806&gt;0,L806/(2026-E806),L806))</f>
        <v/>
      </c>
    </row>
    <row r="807" customFormat="false" ht="15" hidden="false" customHeight="true" outlineLevel="0" collapsed="false">
      <c r="N807" s="1" t="str">
        <f aca="false">IF(L807="","",IF(2026-E807&gt;0,L807/(2026-E807),L807))</f>
        <v/>
      </c>
    </row>
    <row r="808" customFormat="false" ht="15" hidden="false" customHeight="true" outlineLevel="0" collapsed="false">
      <c r="N808" s="1" t="str">
        <f aca="false">IF(L808="","",IF(2026-E808&gt;0,L808/(2026-E808),L808))</f>
        <v/>
      </c>
    </row>
    <row r="809" customFormat="false" ht="15" hidden="false" customHeight="true" outlineLevel="0" collapsed="false">
      <c r="N809" s="1" t="str">
        <f aca="false">IF(L809="","",IF(2026-E809&gt;0,L809/(2026-E809),L809))</f>
        <v/>
      </c>
    </row>
    <row r="810" customFormat="false" ht="15" hidden="false" customHeight="true" outlineLevel="0" collapsed="false">
      <c r="N810" s="1" t="str">
        <f aca="false">IF(L810="","",IF(2026-E810&gt;0,L810/(2026-E810),L810))</f>
        <v/>
      </c>
    </row>
    <row r="811" customFormat="false" ht="15" hidden="false" customHeight="true" outlineLevel="0" collapsed="false">
      <c r="N811" s="1" t="str">
        <f aca="false">IF(L811="","",IF(2026-E811&gt;0,L811/(2026-E811),L811))</f>
        <v/>
      </c>
    </row>
    <row r="812" customFormat="false" ht="15" hidden="false" customHeight="true" outlineLevel="0" collapsed="false">
      <c r="N812" s="1" t="str">
        <f aca="false">IF(L812="","",IF(2026-E812&gt;0,L812/(2026-E812),L812))</f>
        <v/>
      </c>
    </row>
    <row r="813" customFormat="false" ht="15" hidden="false" customHeight="true" outlineLevel="0" collapsed="false">
      <c r="N813" s="1" t="str">
        <f aca="false">IF(L813="","",IF(2026-E813&gt;0,L813/(2026-E813),L813))</f>
        <v/>
      </c>
    </row>
    <row r="814" customFormat="false" ht="15" hidden="false" customHeight="true" outlineLevel="0" collapsed="false">
      <c r="N814" s="1" t="str">
        <f aca="false">IF(L814="","",IF(2026-E814&gt;0,L814/(2026-E814),L814))</f>
        <v/>
      </c>
    </row>
    <row r="815" customFormat="false" ht="15" hidden="false" customHeight="true" outlineLevel="0" collapsed="false">
      <c r="N815" s="1" t="str">
        <f aca="false">IF(L815="","",IF(2026-E815&gt;0,L815/(2026-E815),L815))</f>
        <v/>
      </c>
    </row>
    <row r="816" customFormat="false" ht="15" hidden="false" customHeight="true" outlineLevel="0" collapsed="false">
      <c r="N816" s="1" t="str">
        <f aca="false">IF(L816="","",IF(2026-E816&gt;0,L816/(2026-E816),L816))</f>
        <v/>
      </c>
    </row>
    <row r="817" customFormat="false" ht="15" hidden="false" customHeight="true" outlineLevel="0" collapsed="false">
      <c r="N817" s="1" t="str">
        <f aca="false">IF(L817="","",IF(2026-E817&gt;0,L817/(2026-E817),L817))</f>
        <v/>
      </c>
    </row>
    <row r="818" customFormat="false" ht="15" hidden="false" customHeight="true" outlineLevel="0" collapsed="false">
      <c r="N818" s="1" t="str">
        <f aca="false">IF(L818="","",IF(2026-E818&gt;0,L818/(2026-E818),L818))</f>
        <v/>
      </c>
    </row>
    <row r="819" customFormat="false" ht="15" hidden="false" customHeight="true" outlineLevel="0" collapsed="false">
      <c r="N819" s="1" t="str">
        <f aca="false">IF(L819="","",IF(2026-E819&gt;0,L819/(2026-E819),L819))</f>
        <v/>
      </c>
    </row>
    <row r="820" customFormat="false" ht="15" hidden="false" customHeight="true" outlineLevel="0" collapsed="false">
      <c r="N820" s="1" t="str">
        <f aca="false">IF(L820="","",IF(2026-E820&gt;0,L820/(2026-E820),L820))</f>
        <v/>
      </c>
    </row>
    <row r="821" customFormat="false" ht="15" hidden="false" customHeight="true" outlineLevel="0" collapsed="false">
      <c r="N821" s="1" t="str">
        <f aca="false">IF(L821="","",IF(2026-E821&gt;0,L821/(2026-E821),L821))</f>
        <v/>
      </c>
    </row>
    <row r="822" customFormat="false" ht="15" hidden="false" customHeight="true" outlineLevel="0" collapsed="false">
      <c r="N822" s="1" t="str">
        <f aca="false">IF(L822="","",IF(2026-E822&gt;0,L822/(2026-E822),L822))</f>
        <v/>
      </c>
    </row>
    <row r="823" customFormat="false" ht="15" hidden="false" customHeight="true" outlineLevel="0" collapsed="false">
      <c r="N823" s="1" t="str">
        <f aca="false">IF(L823="","",IF(2026-E823&gt;0,L823/(2026-E823),L823))</f>
        <v/>
      </c>
    </row>
    <row r="824" customFormat="false" ht="15" hidden="false" customHeight="true" outlineLevel="0" collapsed="false">
      <c r="N824" s="1" t="str">
        <f aca="false">IF(L824="","",IF(2026-E824&gt;0,L824/(2026-E824),L824))</f>
        <v/>
      </c>
    </row>
    <row r="825" customFormat="false" ht="15" hidden="false" customHeight="true" outlineLevel="0" collapsed="false">
      <c r="N825" s="1" t="str">
        <f aca="false">IF(L825="","",IF(2026-E825&gt;0,L825/(2026-E825),L825))</f>
        <v/>
      </c>
    </row>
    <row r="826" customFormat="false" ht="15" hidden="false" customHeight="true" outlineLevel="0" collapsed="false">
      <c r="N826" s="1" t="str">
        <f aca="false">IF(L826="","",IF(2026-E826&gt;0,L826/(2026-E826),L826))</f>
        <v/>
      </c>
    </row>
    <row r="827" customFormat="false" ht="15" hidden="false" customHeight="true" outlineLevel="0" collapsed="false">
      <c r="N827" s="1" t="str">
        <f aca="false">IF(L827="","",IF(2026-E827&gt;0,L827/(2026-E827),L827))</f>
        <v/>
      </c>
    </row>
    <row r="828" customFormat="false" ht="15" hidden="false" customHeight="true" outlineLevel="0" collapsed="false">
      <c r="N828" s="1" t="str">
        <f aca="false">IF(L828="","",IF(2026-E828&gt;0,L828/(2026-E828),L828))</f>
        <v/>
      </c>
    </row>
    <row r="829" customFormat="false" ht="15" hidden="false" customHeight="true" outlineLevel="0" collapsed="false">
      <c r="N829" s="1" t="str">
        <f aca="false">IF(L829="","",IF(2026-E829&gt;0,L829/(2026-E829),L829))</f>
        <v/>
      </c>
    </row>
    <row r="830" customFormat="false" ht="15" hidden="false" customHeight="true" outlineLevel="0" collapsed="false">
      <c r="N830" s="1" t="str">
        <f aca="false">IF(L830="","",IF(2026-E830&gt;0,L830/(2026-E830),L830))</f>
        <v/>
      </c>
    </row>
    <row r="831" customFormat="false" ht="15" hidden="false" customHeight="true" outlineLevel="0" collapsed="false">
      <c r="N831" s="1" t="str">
        <f aca="false">IF(L831="","",IF(2026-E831&gt;0,L831/(2026-E831),L831))</f>
        <v/>
      </c>
    </row>
    <row r="832" customFormat="false" ht="15" hidden="false" customHeight="true" outlineLevel="0" collapsed="false">
      <c r="N832" s="1" t="str">
        <f aca="false">IF(L832="","",IF(2026-E832&gt;0,L832/(2026-E832),L832))</f>
        <v/>
      </c>
    </row>
    <row r="833" customFormat="false" ht="15" hidden="false" customHeight="true" outlineLevel="0" collapsed="false">
      <c r="N833" s="1" t="str">
        <f aca="false">IF(L833="","",IF(2026-E833&gt;0,L833/(2026-E833),L833))</f>
        <v/>
      </c>
    </row>
    <row r="834" customFormat="false" ht="15" hidden="false" customHeight="true" outlineLevel="0" collapsed="false">
      <c r="N834" s="1" t="str">
        <f aca="false">IF(L834="","",IF(2026-E834&gt;0,L834/(2026-E834),L834))</f>
        <v/>
      </c>
    </row>
    <row r="835" customFormat="false" ht="15" hidden="false" customHeight="true" outlineLevel="0" collapsed="false">
      <c r="N835" s="1" t="str">
        <f aca="false">IF(L835="","",IF(2026-E835&gt;0,L835/(2026-E835),L835))</f>
        <v/>
      </c>
    </row>
    <row r="836" customFormat="false" ht="15" hidden="false" customHeight="true" outlineLevel="0" collapsed="false">
      <c r="N836" s="1" t="str">
        <f aca="false">IF(L836="","",IF(2026-E836&gt;0,L836/(2026-E836),L836))</f>
        <v/>
      </c>
    </row>
    <row r="837" customFormat="false" ht="15" hidden="false" customHeight="true" outlineLevel="0" collapsed="false">
      <c r="N837" s="1" t="str">
        <f aca="false">IF(L837="","",IF(2026-E837&gt;0,L837/(2026-E837),L837))</f>
        <v/>
      </c>
    </row>
    <row r="838" customFormat="false" ht="15" hidden="false" customHeight="true" outlineLevel="0" collapsed="false">
      <c r="N838" s="1" t="str">
        <f aca="false">IF(L838="","",IF(2026-E838&gt;0,L838/(2026-E838),L838))</f>
        <v/>
      </c>
    </row>
    <row r="839" customFormat="false" ht="15" hidden="false" customHeight="true" outlineLevel="0" collapsed="false">
      <c r="N839" s="1" t="str">
        <f aca="false">IF(L839="","",IF(2026-E839&gt;0,L839/(2026-E839),L839))</f>
        <v/>
      </c>
    </row>
    <row r="840" customFormat="false" ht="15" hidden="false" customHeight="true" outlineLevel="0" collapsed="false">
      <c r="N840" s="1" t="str">
        <f aca="false">IF(L840="","",IF(2026-E840&gt;0,L840/(2026-E840),L840))</f>
        <v/>
      </c>
    </row>
    <row r="841" customFormat="false" ht="15" hidden="false" customHeight="true" outlineLevel="0" collapsed="false">
      <c r="N841" s="1" t="str">
        <f aca="false">IF(L841="","",IF(2026-E841&gt;0,L841/(2026-E841),L841))</f>
        <v/>
      </c>
    </row>
    <row r="842" customFormat="false" ht="15" hidden="false" customHeight="true" outlineLevel="0" collapsed="false">
      <c r="N842" s="1" t="str">
        <f aca="false">IF(L842="","",IF(2026-E842&gt;0,L842/(2026-E842),L842))</f>
        <v/>
      </c>
    </row>
    <row r="843" customFormat="false" ht="15" hidden="false" customHeight="true" outlineLevel="0" collapsed="false">
      <c r="N843" s="1" t="str">
        <f aca="false">IF(L843="","",IF(2026-E843&gt;0,L843/(2026-E843),L843))</f>
        <v/>
      </c>
    </row>
    <row r="844" customFormat="false" ht="15" hidden="false" customHeight="true" outlineLevel="0" collapsed="false">
      <c r="N844" s="1" t="str">
        <f aca="false">IF(L844="","",IF(2026-E844&gt;0,L844/(2026-E844),L844))</f>
        <v/>
      </c>
    </row>
    <row r="845" customFormat="false" ht="15" hidden="false" customHeight="true" outlineLevel="0" collapsed="false">
      <c r="N845" s="1" t="str">
        <f aca="false">IF(L845="","",IF(2026-E845&gt;0,L845/(2026-E845),L845))</f>
        <v/>
      </c>
    </row>
    <row r="846" customFormat="false" ht="15" hidden="false" customHeight="true" outlineLevel="0" collapsed="false">
      <c r="N846" s="1" t="str">
        <f aca="false">IF(L846="","",IF(2026-E846&gt;0,L846/(2026-E846),L846))</f>
        <v/>
      </c>
    </row>
    <row r="847" customFormat="false" ht="15" hidden="false" customHeight="true" outlineLevel="0" collapsed="false">
      <c r="N847" s="1" t="str">
        <f aca="false">IF(L847="","",IF(2026-E847&gt;0,L847/(2026-E847),L847))</f>
        <v/>
      </c>
    </row>
    <row r="848" customFormat="false" ht="15" hidden="false" customHeight="true" outlineLevel="0" collapsed="false">
      <c r="N848" s="1" t="str">
        <f aca="false">IF(L848="","",IF(2026-E848&gt;0,L848/(2026-E848),L848))</f>
        <v/>
      </c>
    </row>
    <row r="849" customFormat="false" ht="15" hidden="false" customHeight="true" outlineLevel="0" collapsed="false">
      <c r="N849" s="1" t="str">
        <f aca="false">IF(L849="","",IF(2026-E849&gt;0,L849/(2026-E849),L849))</f>
        <v/>
      </c>
    </row>
    <row r="850" customFormat="false" ht="15" hidden="false" customHeight="true" outlineLevel="0" collapsed="false">
      <c r="N850" s="1" t="str">
        <f aca="false">IF(L850="","",IF(2026-E850&gt;0,L850/(2026-E850),L850))</f>
        <v/>
      </c>
    </row>
    <row r="851" customFormat="false" ht="15" hidden="false" customHeight="true" outlineLevel="0" collapsed="false">
      <c r="N851" s="1" t="str">
        <f aca="false">IF(L851="","",IF(2026-E851&gt;0,L851/(2026-E851),L851))</f>
        <v/>
      </c>
    </row>
    <row r="852" customFormat="false" ht="15" hidden="false" customHeight="true" outlineLevel="0" collapsed="false">
      <c r="N852" s="1" t="str">
        <f aca="false">IF(L852="","",IF(2026-E852&gt;0,L852/(2026-E852),L852))</f>
        <v/>
      </c>
    </row>
    <row r="853" customFormat="false" ht="15" hidden="false" customHeight="true" outlineLevel="0" collapsed="false">
      <c r="N853" s="1" t="str">
        <f aca="false">IF(L853="","",IF(2026-E853&gt;0,L853/(2026-E853),L853))</f>
        <v/>
      </c>
    </row>
    <row r="854" customFormat="false" ht="15" hidden="false" customHeight="true" outlineLevel="0" collapsed="false">
      <c r="N854" s="1" t="str">
        <f aca="false">IF(L854="","",IF(2026-E854&gt;0,L854/(2026-E854),L854))</f>
        <v/>
      </c>
    </row>
    <row r="855" customFormat="false" ht="15" hidden="false" customHeight="true" outlineLevel="0" collapsed="false">
      <c r="N855" s="1" t="str">
        <f aca="false">IF(L855="","",IF(2026-E855&gt;0,L855/(2026-E855),L855))</f>
        <v/>
      </c>
    </row>
    <row r="856" customFormat="false" ht="15" hidden="false" customHeight="true" outlineLevel="0" collapsed="false">
      <c r="N856" s="1" t="str">
        <f aca="false">IF(L856="","",IF(2026-E856&gt;0,L856/(2026-E856),L856))</f>
        <v/>
      </c>
    </row>
    <row r="857" customFormat="false" ht="15" hidden="false" customHeight="true" outlineLevel="0" collapsed="false">
      <c r="N857" s="1" t="str">
        <f aca="false">IF(L857="","",IF(2026-E857&gt;0,L857/(2026-E857),L857))</f>
        <v/>
      </c>
    </row>
    <row r="858" customFormat="false" ht="15" hidden="false" customHeight="true" outlineLevel="0" collapsed="false">
      <c r="N858" s="1" t="str">
        <f aca="false">IF(L858="","",IF(2026-E858&gt;0,L858/(2026-E858),L858))</f>
        <v/>
      </c>
    </row>
    <row r="859" customFormat="false" ht="15" hidden="false" customHeight="true" outlineLevel="0" collapsed="false">
      <c r="N859" s="1" t="str">
        <f aca="false">IF(L859="","",IF(2026-E859&gt;0,L859/(2026-E859),L859))</f>
        <v/>
      </c>
    </row>
    <row r="860" customFormat="false" ht="15" hidden="false" customHeight="true" outlineLevel="0" collapsed="false">
      <c r="N860" s="1" t="str">
        <f aca="false">IF(L860="","",IF(2026-E860&gt;0,L860/(2026-E860),L860))</f>
        <v/>
      </c>
    </row>
    <row r="861" customFormat="false" ht="15" hidden="false" customHeight="true" outlineLevel="0" collapsed="false">
      <c r="N861" s="1" t="str">
        <f aca="false">IF(L861="","",IF(2026-E861&gt;0,L861/(2026-E861),L861))</f>
        <v/>
      </c>
    </row>
    <row r="862" customFormat="false" ht="15" hidden="false" customHeight="true" outlineLevel="0" collapsed="false">
      <c r="N862" s="1" t="str">
        <f aca="false">IF(L862="","",IF(2026-E862&gt;0,L862/(2026-E862),L862))</f>
        <v/>
      </c>
    </row>
    <row r="863" customFormat="false" ht="15" hidden="false" customHeight="true" outlineLevel="0" collapsed="false">
      <c r="N863" s="1" t="str">
        <f aca="false">IF(L863="","",IF(2026-E863&gt;0,L863/(2026-E863),L863))</f>
        <v/>
      </c>
    </row>
    <row r="864" customFormat="false" ht="15" hidden="false" customHeight="true" outlineLevel="0" collapsed="false">
      <c r="N864" s="1" t="str">
        <f aca="false">IF(L864="","",IF(2026-E864&gt;0,L864/(2026-E864),L864))</f>
        <v/>
      </c>
    </row>
    <row r="865" customFormat="false" ht="15" hidden="false" customHeight="true" outlineLevel="0" collapsed="false">
      <c r="N865" s="1" t="str">
        <f aca="false">IF(L865="","",IF(2026-E865&gt;0,L865/(2026-E865),L865))</f>
        <v/>
      </c>
    </row>
    <row r="866" customFormat="false" ht="15" hidden="false" customHeight="true" outlineLevel="0" collapsed="false">
      <c r="N866" s="1" t="str">
        <f aca="false">IF(L866="","",IF(2026-E866&gt;0,L866/(2026-E866),L866))</f>
        <v/>
      </c>
    </row>
    <row r="867" customFormat="false" ht="15" hidden="false" customHeight="true" outlineLevel="0" collapsed="false">
      <c r="N867" s="1" t="str">
        <f aca="false">IF(L867="","",IF(2026-E867&gt;0,L867/(2026-E867),L867))</f>
        <v/>
      </c>
    </row>
    <row r="868" customFormat="false" ht="15" hidden="false" customHeight="true" outlineLevel="0" collapsed="false">
      <c r="N868" s="1" t="str">
        <f aca="false">IF(L868="","",IF(2026-E868&gt;0,L868/(2026-E868),L868))</f>
        <v/>
      </c>
    </row>
    <row r="869" customFormat="false" ht="15" hidden="false" customHeight="true" outlineLevel="0" collapsed="false">
      <c r="N869" s="1" t="str">
        <f aca="false">IF(L869="","",IF(2026-E869&gt;0,L869/(2026-E869),L869))</f>
        <v/>
      </c>
    </row>
    <row r="870" customFormat="false" ht="15" hidden="false" customHeight="true" outlineLevel="0" collapsed="false">
      <c r="N870" s="1" t="str">
        <f aca="false">IF(L870="","",IF(2026-E870&gt;0,L870/(2026-E870),L870))</f>
        <v/>
      </c>
    </row>
    <row r="871" customFormat="false" ht="15" hidden="false" customHeight="true" outlineLevel="0" collapsed="false">
      <c r="N871" s="1" t="str">
        <f aca="false">IF(L871="","",IF(2026-E871&gt;0,L871/(2026-E871),L871))</f>
        <v/>
      </c>
    </row>
    <row r="872" customFormat="false" ht="15" hidden="false" customHeight="true" outlineLevel="0" collapsed="false">
      <c r="N872" s="1" t="str">
        <f aca="false">IF(L872="","",IF(2026-E872&gt;0,L872/(2026-E872),L872))</f>
        <v/>
      </c>
    </row>
    <row r="873" customFormat="false" ht="15" hidden="false" customHeight="true" outlineLevel="0" collapsed="false">
      <c r="N873" s="1" t="str">
        <f aca="false">IF(L873="","",IF(2026-E873&gt;0,L873/(2026-E873),L873))</f>
        <v/>
      </c>
    </row>
    <row r="874" customFormat="false" ht="15" hidden="false" customHeight="true" outlineLevel="0" collapsed="false">
      <c r="N874" s="1" t="str">
        <f aca="false">IF(L874="","",IF(2026-E874&gt;0,L874/(2026-E874),L874))</f>
        <v/>
      </c>
    </row>
    <row r="875" customFormat="false" ht="15" hidden="false" customHeight="true" outlineLevel="0" collapsed="false">
      <c r="N875" s="1" t="str">
        <f aca="false">IF(L875="","",IF(2026-E875&gt;0,L875/(2026-E875),L875))</f>
        <v/>
      </c>
    </row>
    <row r="876" customFormat="false" ht="15" hidden="false" customHeight="true" outlineLevel="0" collapsed="false">
      <c r="N876" s="1" t="str">
        <f aca="false">IF(L876="","",IF(2026-E876&gt;0,L876/(2026-E876),L876))</f>
        <v/>
      </c>
    </row>
    <row r="877" customFormat="false" ht="15" hidden="false" customHeight="true" outlineLevel="0" collapsed="false">
      <c r="N877" s="1" t="str">
        <f aca="false">IF(L877="","",IF(2026-E877&gt;0,L877/(2026-E877),L877))</f>
        <v/>
      </c>
    </row>
    <row r="878" customFormat="false" ht="15" hidden="false" customHeight="true" outlineLevel="0" collapsed="false">
      <c r="N878" s="1" t="str">
        <f aca="false">IF(L878="","",IF(2026-E878&gt;0,L878/(2026-E878),L878))</f>
        <v/>
      </c>
    </row>
    <row r="879" customFormat="false" ht="15" hidden="false" customHeight="true" outlineLevel="0" collapsed="false">
      <c r="N879" s="1" t="str">
        <f aca="false">IF(L879="","",IF(2026-E879&gt;0,L879/(2026-E879),L879))</f>
        <v/>
      </c>
    </row>
    <row r="880" customFormat="false" ht="15" hidden="false" customHeight="true" outlineLevel="0" collapsed="false">
      <c r="N880" s="1" t="str">
        <f aca="false">IF(L880="","",IF(2026-E880&gt;0,L880/(2026-E880),L880))</f>
        <v/>
      </c>
    </row>
    <row r="881" customFormat="false" ht="15" hidden="false" customHeight="true" outlineLevel="0" collapsed="false">
      <c r="N881" s="1" t="str">
        <f aca="false">IF(L881="","",IF(2026-E881&gt;0,L881/(2026-E881),L881))</f>
        <v/>
      </c>
    </row>
    <row r="882" customFormat="false" ht="15" hidden="false" customHeight="true" outlineLevel="0" collapsed="false">
      <c r="N882" s="1" t="str">
        <f aca="false">IF(L882="","",IF(2026-E882&gt;0,L882/(2026-E882),L882))</f>
        <v/>
      </c>
    </row>
    <row r="883" customFormat="false" ht="15" hidden="false" customHeight="true" outlineLevel="0" collapsed="false">
      <c r="N883" s="1" t="str">
        <f aca="false">IF(L883="","",IF(2026-E883&gt;0,L883/(2026-E883),L883))</f>
        <v/>
      </c>
    </row>
    <row r="884" customFormat="false" ht="15" hidden="false" customHeight="true" outlineLevel="0" collapsed="false">
      <c r="N884" s="1" t="str">
        <f aca="false">IF(L884="","",IF(2026-E884&gt;0,L884/(2026-E884),L884))</f>
        <v/>
      </c>
    </row>
    <row r="885" customFormat="false" ht="15" hidden="false" customHeight="true" outlineLevel="0" collapsed="false">
      <c r="N885" s="1" t="str">
        <f aca="false">IF(L885="","",IF(2026-E885&gt;0,L885/(2026-E885),L885))</f>
        <v/>
      </c>
    </row>
    <row r="886" customFormat="false" ht="15" hidden="false" customHeight="true" outlineLevel="0" collapsed="false">
      <c r="N886" s="1" t="str">
        <f aca="false">IF(L886="","",IF(2026-E886&gt;0,L886/(2026-E886),L886))</f>
        <v/>
      </c>
    </row>
    <row r="887" customFormat="false" ht="15" hidden="false" customHeight="true" outlineLevel="0" collapsed="false">
      <c r="N887" s="1" t="str">
        <f aca="false">IF(L887="","",IF(2026-E887&gt;0,L887/(2026-E887),L887))</f>
        <v/>
      </c>
    </row>
    <row r="888" customFormat="false" ht="15" hidden="false" customHeight="true" outlineLevel="0" collapsed="false">
      <c r="N888" s="1" t="str">
        <f aca="false">IF(L888="","",IF(2026-E888&gt;0,L888/(2026-E888),L888))</f>
        <v/>
      </c>
    </row>
    <row r="889" customFormat="false" ht="15" hidden="false" customHeight="true" outlineLevel="0" collapsed="false">
      <c r="N889" s="1" t="str">
        <f aca="false">IF(L889="","",IF(2026-E889&gt;0,L889/(2026-E889),L889))</f>
        <v/>
      </c>
    </row>
    <row r="890" customFormat="false" ht="15" hidden="false" customHeight="true" outlineLevel="0" collapsed="false">
      <c r="N890" s="1" t="str">
        <f aca="false">IF(L890="","",IF(2026-E890&gt;0,L890/(2026-E890),L890))</f>
        <v/>
      </c>
    </row>
    <row r="891" customFormat="false" ht="15" hidden="false" customHeight="true" outlineLevel="0" collapsed="false">
      <c r="N891" s="1" t="str">
        <f aca="false">IF(L891="","",IF(2026-E891&gt;0,L891/(2026-E891),L891))</f>
        <v/>
      </c>
    </row>
    <row r="892" customFormat="false" ht="15" hidden="false" customHeight="true" outlineLevel="0" collapsed="false">
      <c r="N892" s="1" t="str">
        <f aca="false">IF(L892="","",IF(2026-E892&gt;0,L892/(2026-E892),L892))</f>
        <v/>
      </c>
    </row>
    <row r="893" customFormat="false" ht="15" hidden="false" customHeight="true" outlineLevel="0" collapsed="false">
      <c r="N893" s="1" t="str">
        <f aca="false">IF(L893="","",IF(2026-E893&gt;0,L893/(2026-E893),L893))</f>
        <v/>
      </c>
    </row>
    <row r="894" customFormat="false" ht="15" hidden="false" customHeight="true" outlineLevel="0" collapsed="false">
      <c r="N894" s="1" t="str">
        <f aca="false">IF(L894="","",IF(2026-E894&gt;0,L894/(2026-E894),L894))</f>
        <v/>
      </c>
    </row>
    <row r="895" customFormat="false" ht="15" hidden="false" customHeight="true" outlineLevel="0" collapsed="false">
      <c r="N895" s="1" t="str">
        <f aca="false">IF(L895="","",IF(2026-E895&gt;0,L895/(2026-E895),L895))</f>
        <v/>
      </c>
    </row>
    <row r="896" customFormat="false" ht="15" hidden="false" customHeight="true" outlineLevel="0" collapsed="false">
      <c r="N896" s="1" t="str">
        <f aca="false">IF(L896="","",IF(2026-E896&gt;0,L896/(2026-E896),L896))</f>
        <v/>
      </c>
    </row>
    <row r="897" customFormat="false" ht="15" hidden="false" customHeight="true" outlineLevel="0" collapsed="false">
      <c r="N897" s="1" t="str">
        <f aca="false">IF(L897="","",IF(2026-E897&gt;0,L897/(2026-E897),L897))</f>
        <v/>
      </c>
    </row>
    <row r="898" customFormat="false" ht="15" hidden="false" customHeight="true" outlineLevel="0" collapsed="false">
      <c r="N898" s="1" t="str">
        <f aca="false">IF(L898="","",IF(2026-E898&gt;0,L898/(2026-E898),L898))</f>
        <v/>
      </c>
    </row>
    <row r="899" customFormat="false" ht="15" hidden="false" customHeight="true" outlineLevel="0" collapsed="false">
      <c r="N899" s="1" t="str">
        <f aca="false">IF(L899="","",IF(2026-E899&gt;0,L899/(2026-E899),L899))</f>
        <v/>
      </c>
    </row>
    <row r="900" customFormat="false" ht="15" hidden="false" customHeight="true" outlineLevel="0" collapsed="false">
      <c r="N900" s="1" t="str">
        <f aca="false">IF(L900="","",IF(2026-E900&gt;0,L900/(2026-E900),L900))</f>
        <v/>
      </c>
    </row>
    <row r="901" customFormat="false" ht="15" hidden="false" customHeight="true" outlineLevel="0" collapsed="false">
      <c r="N901" s="1" t="str">
        <f aca="false">IF(L901="","",IF(2026-E901&gt;0,L901/(2026-E901),L901))</f>
        <v/>
      </c>
    </row>
    <row r="902" customFormat="false" ht="15" hidden="false" customHeight="true" outlineLevel="0" collapsed="false">
      <c r="N902" s="1" t="str">
        <f aca="false">IF(L902="","",IF(2026-E902&gt;0,L902/(2026-E902),L902))</f>
        <v/>
      </c>
    </row>
    <row r="903" customFormat="false" ht="15" hidden="false" customHeight="true" outlineLevel="0" collapsed="false">
      <c r="N903" s="1" t="str">
        <f aca="false">IF(L903="","",IF(2026-E903&gt;0,L903/(2026-E903),L903))</f>
        <v/>
      </c>
    </row>
    <row r="904" customFormat="false" ht="15" hidden="false" customHeight="true" outlineLevel="0" collapsed="false">
      <c r="N904" s="1" t="str">
        <f aca="false">IF(L904="","",IF(2026-E904&gt;0,L904/(2026-E904),L904))</f>
        <v/>
      </c>
    </row>
    <row r="905" customFormat="false" ht="15" hidden="false" customHeight="true" outlineLevel="0" collapsed="false">
      <c r="N905" s="1" t="str">
        <f aca="false">IF(L905="","",IF(2026-E905&gt;0,L905/(2026-E905),L905))</f>
        <v/>
      </c>
    </row>
    <row r="906" customFormat="false" ht="15" hidden="false" customHeight="true" outlineLevel="0" collapsed="false">
      <c r="N906" s="1" t="str">
        <f aca="false">IF(L906="","",IF(2026-E906&gt;0,L906/(2026-E906),L906))</f>
        <v/>
      </c>
    </row>
    <row r="907" customFormat="false" ht="15" hidden="false" customHeight="true" outlineLevel="0" collapsed="false">
      <c r="N907" s="1" t="str">
        <f aca="false">IF(L907="","",IF(2026-E907&gt;0,L907/(2026-E907),L907))</f>
        <v/>
      </c>
    </row>
    <row r="908" customFormat="false" ht="15" hidden="false" customHeight="true" outlineLevel="0" collapsed="false">
      <c r="N908" s="1" t="str">
        <f aca="false">IF(L908="","",IF(2026-E908&gt;0,L908/(2026-E908),L908))</f>
        <v/>
      </c>
    </row>
    <row r="909" customFormat="false" ht="15" hidden="false" customHeight="true" outlineLevel="0" collapsed="false">
      <c r="N909" s="1" t="str">
        <f aca="false">IF(L909="","",IF(2026-E909&gt;0,L909/(2026-E909),L909))</f>
        <v/>
      </c>
    </row>
    <row r="910" customFormat="false" ht="15" hidden="false" customHeight="true" outlineLevel="0" collapsed="false">
      <c r="N910" s="1" t="str">
        <f aca="false">IF(L910="","",IF(2026-E910&gt;0,L910/(2026-E910),L910))</f>
        <v/>
      </c>
    </row>
    <row r="911" customFormat="false" ht="15" hidden="false" customHeight="true" outlineLevel="0" collapsed="false">
      <c r="N911" s="1" t="str">
        <f aca="false">IF(L911="","",IF(2026-E911&gt;0,L911/(2026-E911),L911))</f>
        <v/>
      </c>
    </row>
    <row r="912" customFormat="false" ht="15" hidden="false" customHeight="true" outlineLevel="0" collapsed="false">
      <c r="N912" s="1" t="str">
        <f aca="false">IF(L912="","",IF(2026-E912&gt;0,L912/(2026-E912),L912))</f>
        <v/>
      </c>
    </row>
    <row r="913" customFormat="false" ht="15" hidden="false" customHeight="true" outlineLevel="0" collapsed="false">
      <c r="N913" s="1" t="str">
        <f aca="false">IF(L913="","",IF(2026-E913&gt;0,L913/(2026-E913),L913))</f>
        <v/>
      </c>
    </row>
    <row r="914" customFormat="false" ht="15" hidden="false" customHeight="true" outlineLevel="0" collapsed="false">
      <c r="N914" s="1" t="str">
        <f aca="false">IF(L914="","",IF(2026-E914&gt;0,L914/(2026-E914),L914))</f>
        <v/>
      </c>
    </row>
    <row r="915" customFormat="false" ht="15" hidden="false" customHeight="true" outlineLevel="0" collapsed="false">
      <c r="N915" s="1" t="str">
        <f aca="false">IF(L915="","",IF(2026-E915&gt;0,L915/(2026-E915),L915))</f>
        <v/>
      </c>
    </row>
    <row r="916" customFormat="false" ht="15" hidden="false" customHeight="true" outlineLevel="0" collapsed="false">
      <c r="N916" s="1" t="str">
        <f aca="false">IF(L916="","",IF(2026-E916&gt;0,L916/(2026-E916),L916))</f>
        <v/>
      </c>
    </row>
    <row r="917" customFormat="false" ht="15" hidden="false" customHeight="true" outlineLevel="0" collapsed="false">
      <c r="N917" s="1" t="str">
        <f aca="false">IF(L917="","",IF(2026-E917&gt;0,L917/(2026-E917),L917))</f>
        <v/>
      </c>
    </row>
    <row r="918" customFormat="false" ht="15" hidden="false" customHeight="true" outlineLevel="0" collapsed="false">
      <c r="N918" s="1" t="str">
        <f aca="false">IF(L918="","",IF(2026-E918&gt;0,L918/(2026-E918),L918))</f>
        <v/>
      </c>
    </row>
    <row r="919" customFormat="false" ht="15" hidden="false" customHeight="true" outlineLevel="0" collapsed="false">
      <c r="N919" s="1" t="str">
        <f aca="false">IF(L919="","",IF(2026-E919&gt;0,L919/(2026-E919),L919))</f>
        <v/>
      </c>
    </row>
    <row r="920" customFormat="false" ht="15" hidden="false" customHeight="true" outlineLevel="0" collapsed="false">
      <c r="N920" s="1" t="str">
        <f aca="false">IF(L920="","",IF(2026-E920&gt;0,L920/(2026-E920),L920))</f>
        <v/>
      </c>
    </row>
    <row r="921" customFormat="false" ht="15" hidden="false" customHeight="true" outlineLevel="0" collapsed="false">
      <c r="N921" s="1" t="str">
        <f aca="false">IF(L921="","",IF(2026-E921&gt;0,L921/(2026-E921),L921))</f>
        <v/>
      </c>
    </row>
    <row r="922" customFormat="false" ht="15" hidden="false" customHeight="true" outlineLevel="0" collapsed="false">
      <c r="N922" s="1" t="str">
        <f aca="false">IF(L922="","",IF(2026-E922&gt;0,L922/(2026-E922),L922))</f>
        <v/>
      </c>
    </row>
    <row r="923" customFormat="false" ht="15" hidden="false" customHeight="true" outlineLevel="0" collapsed="false">
      <c r="N923" s="1" t="str">
        <f aca="false">IF(L923="","",IF(2026-E923&gt;0,L923/(2026-E923),L923))</f>
        <v/>
      </c>
    </row>
    <row r="924" customFormat="false" ht="15" hidden="false" customHeight="true" outlineLevel="0" collapsed="false">
      <c r="N924" s="1" t="str">
        <f aca="false">IF(L924="","",IF(2026-E924&gt;0,L924/(2026-E924),L924))</f>
        <v/>
      </c>
    </row>
    <row r="925" customFormat="false" ht="15" hidden="false" customHeight="true" outlineLevel="0" collapsed="false">
      <c r="N925" s="1" t="str">
        <f aca="false">IF(L925="","",IF(2026-E925&gt;0,L925/(2026-E925),L925))</f>
        <v/>
      </c>
    </row>
    <row r="926" customFormat="false" ht="15" hidden="false" customHeight="true" outlineLevel="0" collapsed="false">
      <c r="N926" s="1" t="str">
        <f aca="false">IF(L926="","",IF(2026-E926&gt;0,L926/(2026-E926),L926))</f>
        <v/>
      </c>
    </row>
    <row r="927" customFormat="false" ht="15" hidden="false" customHeight="true" outlineLevel="0" collapsed="false">
      <c r="N927" s="1" t="str">
        <f aca="false">IF(L927="","",IF(2026-E927&gt;0,L927/(2026-E927),L927))</f>
        <v/>
      </c>
    </row>
    <row r="928" customFormat="false" ht="15" hidden="false" customHeight="true" outlineLevel="0" collapsed="false">
      <c r="N928" s="1" t="str">
        <f aca="false">IF(L928="","",IF(2026-E928&gt;0,L928/(2026-E928),L928))</f>
        <v/>
      </c>
    </row>
    <row r="929" customFormat="false" ht="15" hidden="false" customHeight="true" outlineLevel="0" collapsed="false">
      <c r="N929" s="1" t="str">
        <f aca="false">IF(L929="","",IF(2026-E929&gt;0,L929/(2026-E929),L929))</f>
        <v/>
      </c>
    </row>
    <row r="930" customFormat="false" ht="15" hidden="false" customHeight="true" outlineLevel="0" collapsed="false">
      <c r="N930" s="1" t="str">
        <f aca="false">IF(L930="","",IF(2026-E930&gt;0,L930/(2026-E930),L930))</f>
        <v/>
      </c>
    </row>
    <row r="931" customFormat="false" ht="15" hidden="false" customHeight="true" outlineLevel="0" collapsed="false">
      <c r="N931" s="1" t="str">
        <f aca="false">IF(L931="","",IF(2026-E931&gt;0,L931/(2026-E931),L931))</f>
        <v/>
      </c>
    </row>
    <row r="932" customFormat="false" ht="15" hidden="false" customHeight="true" outlineLevel="0" collapsed="false">
      <c r="N932" s="1" t="str">
        <f aca="false">IF(L932="","",IF(2026-E932&gt;0,L932/(2026-E932),L932))</f>
        <v/>
      </c>
    </row>
    <row r="933" customFormat="false" ht="15" hidden="false" customHeight="true" outlineLevel="0" collapsed="false">
      <c r="N933" s="1" t="str">
        <f aca="false">IF(L933="","",IF(2026-E933&gt;0,L933/(2026-E933),L933))</f>
        <v/>
      </c>
    </row>
    <row r="934" customFormat="false" ht="15" hidden="false" customHeight="true" outlineLevel="0" collapsed="false">
      <c r="N934" s="1" t="str">
        <f aca="false">IF(L934="","",IF(2026-E934&gt;0,L934/(2026-E934),L934))</f>
        <v/>
      </c>
    </row>
    <row r="935" customFormat="false" ht="15" hidden="false" customHeight="true" outlineLevel="0" collapsed="false">
      <c r="N935" s="1" t="str">
        <f aca="false">IF(L935="","",IF(2026-E935&gt;0,L935/(2026-E935),L935))</f>
        <v/>
      </c>
    </row>
    <row r="936" customFormat="false" ht="15" hidden="false" customHeight="true" outlineLevel="0" collapsed="false">
      <c r="N936" s="1" t="str">
        <f aca="false">IF(L936="","",IF(2026-E936&gt;0,L936/(2026-E936),L936))</f>
        <v/>
      </c>
    </row>
    <row r="937" customFormat="false" ht="15" hidden="false" customHeight="true" outlineLevel="0" collapsed="false">
      <c r="N937" s="1" t="str">
        <f aca="false">IF(L937="","",IF(2026-E937&gt;0,L937/(2026-E937),L937))</f>
        <v/>
      </c>
    </row>
    <row r="938" customFormat="false" ht="15" hidden="false" customHeight="true" outlineLevel="0" collapsed="false">
      <c r="N938" s="1" t="str">
        <f aca="false">IF(L938="","",IF(2026-E938&gt;0,L938/(2026-E938),L938))</f>
        <v/>
      </c>
    </row>
    <row r="939" customFormat="false" ht="15" hidden="false" customHeight="true" outlineLevel="0" collapsed="false">
      <c r="N939" s="1" t="str">
        <f aca="false">IF(L939="","",IF(2026-E939&gt;0,L939/(2026-E939),L939))</f>
        <v/>
      </c>
    </row>
    <row r="940" customFormat="false" ht="15" hidden="false" customHeight="true" outlineLevel="0" collapsed="false">
      <c r="N940" s="1" t="str">
        <f aca="false">IF(L940="","",IF(2026-E940&gt;0,L940/(2026-E940),L940))</f>
        <v/>
      </c>
    </row>
    <row r="941" customFormat="false" ht="15" hidden="false" customHeight="true" outlineLevel="0" collapsed="false">
      <c r="N941" s="1" t="str">
        <f aca="false">IF(L941="","",IF(2026-E941&gt;0,L941/(2026-E941),L941))</f>
        <v/>
      </c>
    </row>
    <row r="942" customFormat="false" ht="15" hidden="false" customHeight="true" outlineLevel="0" collapsed="false">
      <c r="N942" s="1" t="str">
        <f aca="false">IF(L942="","",IF(2026-E942&gt;0,L942/(2026-E942),L942))</f>
        <v/>
      </c>
    </row>
    <row r="943" customFormat="false" ht="15" hidden="false" customHeight="true" outlineLevel="0" collapsed="false">
      <c r="N943" s="1" t="str">
        <f aca="false">IF(L943="","",IF(2026-E943&gt;0,L943/(2026-E943),L943))</f>
        <v/>
      </c>
    </row>
    <row r="944" customFormat="false" ht="15" hidden="false" customHeight="true" outlineLevel="0" collapsed="false">
      <c r="N944" s="1" t="str">
        <f aca="false">IF(L944="","",IF(2026-E944&gt;0,L944/(2026-E944),L944))</f>
        <v/>
      </c>
    </row>
    <row r="945" customFormat="false" ht="15" hidden="false" customHeight="true" outlineLevel="0" collapsed="false">
      <c r="N945" s="1" t="str">
        <f aca="false">IF(L945="","",IF(2026-E945&gt;0,L945/(2026-E945),L945))</f>
        <v/>
      </c>
    </row>
    <row r="946" customFormat="false" ht="15" hidden="false" customHeight="true" outlineLevel="0" collapsed="false">
      <c r="N946" s="1" t="str">
        <f aca="false">IF(L946="","",IF(2026-E946&gt;0,L946/(2026-E946),L946))</f>
        <v/>
      </c>
    </row>
    <row r="947" customFormat="false" ht="15" hidden="false" customHeight="true" outlineLevel="0" collapsed="false">
      <c r="N947" s="1" t="str">
        <f aca="false">IF(L947="","",IF(2026-E947&gt;0,L947/(2026-E947),L947))</f>
        <v/>
      </c>
    </row>
    <row r="948" customFormat="false" ht="15" hidden="false" customHeight="true" outlineLevel="0" collapsed="false">
      <c r="N948" s="1" t="str">
        <f aca="false">IF(L948="","",IF(2026-E948&gt;0,L948/(2026-E948),L948))</f>
        <v/>
      </c>
    </row>
    <row r="949" customFormat="false" ht="15" hidden="false" customHeight="true" outlineLevel="0" collapsed="false">
      <c r="N949" s="1" t="str">
        <f aca="false">IF(L949="","",IF(2026-E949&gt;0,L949/(2026-E949),L949))</f>
        <v/>
      </c>
    </row>
    <row r="950" customFormat="false" ht="15" hidden="false" customHeight="true" outlineLevel="0" collapsed="false">
      <c r="N950" s="1" t="str">
        <f aca="false">IF(L950="","",IF(2026-E950&gt;0,L950/(2026-E950),L950))</f>
        <v/>
      </c>
    </row>
    <row r="951" customFormat="false" ht="15" hidden="false" customHeight="true" outlineLevel="0" collapsed="false">
      <c r="N951" s="1" t="str">
        <f aca="false">IF(L951="","",IF(2026-E951&gt;0,L951/(2026-E951),L951))</f>
        <v/>
      </c>
    </row>
    <row r="952" customFormat="false" ht="15" hidden="false" customHeight="true" outlineLevel="0" collapsed="false">
      <c r="N952" s="1" t="str">
        <f aca="false">IF(L952="","",IF(2026-E952&gt;0,L952/(2026-E952),L952))</f>
        <v/>
      </c>
    </row>
    <row r="953" customFormat="false" ht="15" hidden="false" customHeight="true" outlineLevel="0" collapsed="false">
      <c r="N953" s="1" t="str">
        <f aca="false">IF(L953="","",IF(2026-E953&gt;0,L953/(2026-E953),L953))</f>
        <v/>
      </c>
    </row>
    <row r="954" customFormat="false" ht="15" hidden="false" customHeight="true" outlineLevel="0" collapsed="false">
      <c r="N954" s="1" t="str">
        <f aca="false">IF(L954="","",IF(2026-E954&gt;0,L954/(2026-E954),L954))</f>
        <v/>
      </c>
    </row>
    <row r="955" customFormat="false" ht="15" hidden="false" customHeight="true" outlineLevel="0" collapsed="false">
      <c r="N955" s="1" t="str">
        <f aca="false">IF(L955="","",IF(2026-E955&gt;0,L955/(2026-E955),L955))</f>
        <v/>
      </c>
    </row>
    <row r="956" customFormat="false" ht="15" hidden="false" customHeight="true" outlineLevel="0" collapsed="false">
      <c r="N956" s="1" t="str">
        <f aca="false">IF(L956="","",IF(2026-E956&gt;0,L956/(2026-E956),L956))</f>
        <v/>
      </c>
    </row>
    <row r="957" customFormat="false" ht="15" hidden="false" customHeight="true" outlineLevel="0" collapsed="false">
      <c r="N957" s="1" t="str">
        <f aca="false">IF(L957="","",IF(2026-E957&gt;0,L957/(2026-E957),L957))</f>
        <v/>
      </c>
    </row>
    <row r="958" customFormat="false" ht="15" hidden="false" customHeight="true" outlineLevel="0" collapsed="false">
      <c r="N958" s="1" t="str">
        <f aca="false">IF(L958="","",IF(2026-E958&gt;0,L958/(2026-E958),L958))</f>
        <v/>
      </c>
    </row>
    <row r="959" customFormat="false" ht="15" hidden="false" customHeight="true" outlineLevel="0" collapsed="false">
      <c r="N959" s="1" t="str">
        <f aca="false">IF(L959="","",IF(2026-E959&gt;0,L959/(2026-E959),L959))</f>
        <v/>
      </c>
    </row>
    <row r="960" customFormat="false" ht="15" hidden="false" customHeight="true" outlineLevel="0" collapsed="false">
      <c r="N960" s="1" t="str">
        <f aca="false">IF(L960="","",IF(2026-E960&gt;0,L960/(2026-E960),L960))</f>
        <v/>
      </c>
    </row>
    <row r="961" customFormat="false" ht="15" hidden="false" customHeight="true" outlineLevel="0" collapsed="false">
      <c r="N961" s="1" t="str">
        <f aca="false">IF(L961="","",IF(2026-E961&gt;0,L961/(2026-E961),L961))</f>
        <v/>
      </c>
    </row>
    <row r="962" customFormat="false" ht="15" hidden="false" customHeight="true" outlineLevel="0" collapsed="false">
      <c r="N962" s="1" t="str">
        <f aca="false">IF(L962="","",IF(2026-E962&gt;0,L962/(2026-E962),L962))</f>
        <v/>
      </c>
    </row>
    <row r="963" customFormat="false" ht="15" hidden="false" customHeight="true" outlineLevel="0" collapsed="false">
      <c r="N963" s="1" t="str">
        <f aca="false">IF(L963="","",IF(2026-E963&gt;0,L963/(2026-E963),L963))</f>
        <v/>
      </c>
    </row>
    <row r="964" customFormat="false" ht="15" hidden="false" customHeight="true" outlineLevel="0" collapsed="false">
      <c r="N964" s="1" t="str">
        <f aca="false">IF(L964="","",IF(2026-E964&gt;0,L964/(2026-E964),L964))</f>
        <v/>
      </c>
    </row>
    <row r="965" customFormat="false" ht="15" hidden="false" customHeight="true" outlineLevel="0" collapsed="false">
      <c r="N965" s="1" t="str">
        <f aca="false">IF(L965="","",IF(2026-E965&gt;0,L965/(2026-E965),L965))</f>
        <v/>
      </c>
    </row>
    <row r="966" customFormat="false" ht="15" hidden="false" customHeight="true" outlineLevel="0" collapsed="false">
      <c r="N966" s="1" t="str">
        <f aca="false">IF(L966="","",IF(2026-E966&gt;0,L966/(2026-E966),L966))</f>
        <v/>
      </c>
    </row>
    <row r="967" customFormat="false" ht="15" hidden="false" customHeight="true" outlineLevel="0" collapsed="false">
      <c r="N967" s="1" t="str">
        <f aca="false">IF(L967="","",IF(2026-E967&gt;0,L967/(2026-E967),L967))</f>
        <v/>
      </c>
    </row>
    <row r="968" customFormat="false" ht="15" hidden="false" customHeight="true" outlineLevel="0" collapsed="false">
      <c r="N968" s="1" t="str">
        <f aca="false">IF(L968="","",IF(2026-E968&gt;0,L968/(2026-E968),L968))</f>
        <v/>
      </c>
    </row>
    <row r="969" customFormat="false" ht="15" hidden="false" customHeight="true" outlineLevel="0" collapsed="false">
      <c r="N969" s="1" t="str">
        <f aca="false">IF(L969="","",IF(2026-E969&gt;0,L969/(2026-E969),L969))</f>
        <v/>
      </c>
    </row>
    <row r="970" customFormat="false" ht="15" hidden="false" customHeight="true" outlineLevel="0" collapsed="false">
      <c r="N970" s="1" t="str">
        <f aca="false">IF(L970="","",IF(2026-E970&gt;0,L970/(2026-E970),L970))</f>
        <v/>
      </c>
    </row>
    <row r="971" customFormat="false" ht="15" hidden="false" customHeight="true" outlineLevel="0" collapsed="false">
      <c r="N971" s="1" t="str">
        <f aca="false">IF(L971="","",IF(2026-E971&gt;0,L971/(2026-E971),L971))</f>
        <v/>
      </c>
    </row>
    <row r="972" customFormat="false" ht="15" hidden="false" customHeight="true" outlineLevel="0" collapsed="false">
      <c r="N972" s="1" t="str">
        <f aca="false">IF(L972="","",IF(2026-E972&gt;0,L972/(2026-E972),L972))</f>
        <v/>
      </c>
    </row>
    <row r="973" customFormat="false" ht="15" hidden="false" customHeight="true" outlineLevel="0" collapsed="false">
      <c r="N973" s="1" t="str">
        <f aca="false">IF(L973="","",IF(2026-E973&gt;0,L973/(2026-E973),L973))</f>
        <v/>
      </c>
    </row>
    <row r="974" customFormat="false" ht="15" hidden="false" customHeight="true" outlineLevel="0" collapsed="false">
      <c r="N974" s="1" t="str">
        <f aca="false">IF(L974="","",IF(2026-E974&gt;0,L974/(2026-E974),L974))</f>
        <v/>
      </c>
    </row>
    <row r="975" customFormat="false" ht="15" hidden="false" customHeight="true" outlineLevel="0" collapsed="false">
      <c r="N975" s="1" t="str">
        <f aca="false">IF(L975="","",IF(2026-E975&gt;0,L975/(2026-E975),L975))</f>
        <v/>
      </c>
    </row>
    <row r="976" customFormat="false" ht="15" hidden="false" customHeight="true" outlineLevel="0" collapsed="false">
      <c r="N976" s="1" t="str">
        <f aca="false">IF(L976="","",IF(2026-E976&gt;0,L976/(2026-E976),L976))</f>
        <v/>
      </c>
    </row>
    <row r="977" customFormat="false" ht="15" hidden="false" customHeight="true" outlineLevel="0" collapsed="false">
      <c r="N977" s="1" t="str">
        <f aca="false">IF(L977="","",IF(2026-E977&gt;0,L977/(2026-E977),L977))</f>
        <v/>
      </c>
    </row>
    <row r="978" customFormat="false" ht="15" hidden="false" customHeight="true" outlineLevel="0" collapsed="false">
      <c r="N978" s="1" t="str">
        <f aca="false">IF(L978="","",IF(2026-E978&gt;0,L978/(2026-E978),L978))</f>
        <v/>
      </c>
    </row>
    <row r="979" customFormat="false" ht="15" hidden="false" customHeight="true" outlineLevel="0" collapsed="false">
      <c r="N979" s="1" t="str">
        <f aca="false">IF(L979="","",IF(2026-E979&gt;0,L979/(2026-E979),L979))</f>
        <v/>
      </c>
    </row>
    <row r="980" customFormat="false" ht="15" hidden="false" customHeight="true" outlineLevel="0" collapsed="false">
      <c r="N980" s="1" t="str">
        <f aca="false">IF(L980="","",IF(2026-E980&gt;0,L980/(2026-E980),L980))</f>
        <v/>
      </c>
    </row>
    <row r="981" customFormat="false" ht="15" hidden="false" customHeight="true" outlineLevel="0" collapsed="false">
      <c r="N981" s="1" t="str">
        <f aca="false">IF(L981="","",IF(2026-E981&gt;0,L981/(2026-E981),L981))</f>
        <v/>
      </c>
    </row>
    <row r="982" customFormat="false" ht="15" hidden="false" customHeight="true" outlineLevel="0" collapsed="false">
      <c r="N982" s="1" t="str">
        <f aca="false">IF(L982="","",IF(2026-E982&gt;0,L982/(2026-E982),L982))</f>
        <v/>
      </c>
    </row>
    <row r="983" customFormat="false" ht="15" hidden="false" customHeight="true" outlineLevel="0" collapsed="false">
      <c r="N983" s="1" t="str">
        <f aca="false">IF(L983="","",IF(2026-E983&gt;0,L983/(2026-E983),L983))</f>
        <v/>
      </c>
    </row>
    <row r="984" customFormat="false" ht="15" hidden="false" customHeight="true" outlineLevel="0" collapsed="false">
      <c r="N984" s="1" t="str">
        <f aca="false">IF(L984="","",IF(2026-E984&gt;0,L984/(2026-E984),L984))</f>
        <v/>
      </c>
    </row>
    <row r="985" customFormat="false" ht="15" hidden="false" customHeight="true" outlineLevel="0" collapsed="false">
      <c r="N985" s="1" t="str">
        <f aca="false">IF(L985="","",IF(2026-E985&gt;0,L985/(2026-E985),L985))</f>
        <v/>
      </c>
    </row>
    <row r="986" customFormat="false" ht="15" hidden="false" customHeight="true" outlineLevel="0" collapsed="false">
      <c r="N986" s="1" t="str">
        <f aca="false">IF(L986="","",IF(2026-E986&gt;0,L986/(2026-E986),L986))</f>
        <v/>
      </c>
    </row>
    <row r="987" customFormat="false" ht="15" hidden="false" customHeight="true" outlineLevel="0" collapsed="false">
      <c r="N987" s="1" t="str">
        <f aca="false">IF(L987="","",IF(2026-E987&gt;0,L987/(2026-E987),L987))</f>
        <v/>
      </c>
    </row>
    <row r="988" customFormat="false" ht="15" hidden="false" customHeight="true" outlineLevel="0" collapsed="false">
      <c r="N988" s="1" t="str">
        <f aca="false">IF(L988="","",IF(2026-E988&gt;0,L988/(2026-E988),L988))</f>
        <v/>
      </c>
    </row>
    <row r="989" customFormat="false" ht="15" hidden="false" customHeight="true" outlineLevel="0" collapsed="false">
      <c r="N989" s="1" t="str">
        <f aca="false">IF(L989="","",IF(2026-E989&gt;0,L989/(2026-E989),L989))</f>
        <v/>
      </c>
    </row>
    <row r="990" customFormat="false" ht="15" hidden="false" customHeight="true" outlineLevel="0" collapsed="false">
      <c r="N990" s="1" t="str">
        <f aca="false">IF(L990="","",IF(2026-E990&gt;0,L990/(2026-E990),L990))</f>
        <v/>
      </c>
    </row>
    <row r="991" customFormat="false" ht="15" hidden="false" customHeight="true" outlineLevel="0" collapsed="false">
      <c r="N991" s="1" t="str">
        <f aca="false">IF(L991="","",IF(2026-E991&gt;0,L991/(2026-E991),L991))</f>
        <v/>
      </c>
    </row>
    <row r="992" customFormat="false" ht="15" hidden="false" customHeight="true" outlineLevel="0" collapsed="false">
      <c r="N992" s="1" t="str">
        <f aca="false">IF(L992="","",IF(2026-E992&gt;0,L992/(2026-E992),L992))</f>
        <v/>
      </c>
    </row>
    <row r="993" customFormat="false" ht="15" hidden="false" customHeight="true" outlineLevel="0" collapsed="false">
      <c r="N993" s="1" t="str">
        <f aca="false">IF(L993="","",IF(2026-E993&gt;0,L993/(2026-E993),L993))</f>
        <v/>
      </c>
    </row>
    <row r="994" customFormat="false" ht="15" hidden="false" customHeight="true" outlineLevel="0" collapsed="false">
      <c r="N994" s="1" t="str">
        <f aca="false">IF(L994="","",IF(2026-E994&gt;0,L994/(2026-E994),L994))</f>
        <v/>
      </c>
    </row>
    <row r="995" customFormat="false" ht="15" hidden="false" customHeight="true" outlineLevel="0" collapsed="false">
      <c r="N995" s="1" t="str">
        <f aca="false">IF(L995="","",IF(2026-E995&gt;0,L995/(2026-E995),L995))</f>
        <v/>
      </c>
    </row>
    <row r="996" customFormat="false" ht="15" hidden="false" customHeight="true" outlineLevel="0" collapsed="false">
      <c r="N996" s="1" t="str">
        <f aca="false">IF(L996="","",IF(2026-E996&gt;0,L996/(2026-E996),L996))</f>
        <v/>
      </c>
    </row>
    <row r="997" customFormat="false" ht="15" hidden="false" customHeight="true" outlineLevel="0" collapsed="false">
      <c r="N997" s="1" t="str">
        <f aca="false">IF(L997="","",IF(2026-E997&gt;0,L997/(2026-E997),L997))</f>
        <v/>
      </c>
    </row>
    <row r="998" customFormat="false" ht="15" hidden="false" customHeight="true" outlineLevel="0" collapsed="false">
      <c r="N998" s="1" t="str">
        <f aca="false">IF(L998="","",IF(2026-E998&gt;0,L998/(2026-E998),L998))</f>
        <v/>
      </c>
    </row>
    <row r="999" customFormat="false" ht="15" hidden="false" customHeight="true" outlineLevel="0" collapsed="false">
      <c r="N999" s="1" t="str">
        <f aca="false">IF(L999="","",IF(2026-E999&gt;0,L999/(2026-E999),L999))</f>
        <v/>
      </c>
    </row>
    <row r="1000" customFormat="false" ht="15" hidden="false" customHeight="true" outlineLevel="0" collapsed="false">
      <c r="N1000" s="1" t="str">
        <f aca="false">IF(L1000="","",IF(2026-E1000&gt;0,L1000/(2026-E1000),L1000))</f>
        <v/>
      </c>
    </row>
    <row r="1001" customFormat="false" ht="15" hidden="false" customHeight="true" outlineLevel="0" collapsed="false">
      <c r="N1001" s="1" t="str">
        <f aca="false">IF(L1001="","",IF(2026-E1001&gt;0,L1001/(2026-E1001),L1001))</f>
        <v/>
      </c>
    </row>
    <row r="1002" customFormat="false" ht="15" hidden="false" customHeight="true" outlineLevel="0" collapsed="false">
      <c r="N1002" s="1" t="str">
        <f aca="false">IF(L1002="","",IF(2026-E1002&gt;0,L1002/(2026-E1002),L1002))</f>
        <v/>
      </c>
    </row>
    <row r="1003" customFormat="false" ht="15" hidden="false" customHeight="true" outlineLevel="0" collapsed="false">
      <c r="N1003" s="1" t="str">
        <f aca="false">IF(L1003="","",IF(2026-E1003&gt;0,L1003/(2026-E1003),L1003))</f>
        <v/>
      </c>
    </row>
    <row r="1004" customFormat="false" ht="15" hidden="false" customHeight="true" outlineLevel="0" collapsed="false">
      <c r="N1004" s="1" t="str">
        <f aca="false">IF(L1004="","",IF(2026-E1004&gt;0,L1004/(2026-E1004),L1004))</f>
        <v/>
      </c>
    </row>
    <row r="1005" customFormat="false" ht="15" hidden="false" customHeight="true" outlineLevel="0" collapsed="false">
      <c r="N1005" s="1" t="str">
        <f aca="false">IF(L1005="","",IF(2026-E1005&gt;0,L1005/(2026-E1005),L1005))</f>
        <v/>
      </c>
    </row>
    <row r="1006" customFormat="false" ht="15" hidden="false" customHeight="true" outlineLevel="0" collapsed="false">
      <c r="N1006" s="1" t="str">
        <f aca="false">IF(L1006="","",IF(2026-E1006&gt;0,L1006/(2026-E1006),L1006))</f>
        <v/>
      </c>
    </row>
    <row r="1007" customFormat="false" ht="15" hidden="false" customHeight="true" outlineLevel="0" collapsed="false">
      <c r="N1007" s="1" t="str">
        <f aca="false">IF(L1007="","",IF(2026-E1007&gt;0,L1007/(2026-E1007),L1007))</f>
        <v/>
      </c>
    </row>
    <row r="1008" customFormat="false" ht="15" hidden="false" customHeight="true" outlineLevel="0" collapsed="false">
      <c r="N1008" s="1" t="str">
        <f aca="false">IF(L1008="","",IF(2026-E1008&gt;0,L1008/(2026-E1008),L1008))</f>
        <v/>
      </c>
    </row>
    <row r="1009" customFormat="false" ht="15" hidden="false" customHeight="true" outlineLevel="0" collapsed="false">
      <c r="N1009" s="1" t="str">
        <f aca="false">IF(L1009="","",IF(2026-E1009&gt;0,L1009/(2026-E1009),L1009))</f>
        <v/>
      </c>
    </row>
    <row r="1010" customFormat="false" ht="15" hidden="false" customHeight="true" outlineLevel="0" collapsed="false">
      <c r="N1010" s="1" t="str">
        <f aca="false">IF(L1010="","",IF(2026-E1010&gt;0,L1010/(2026-E1010),L1010))</f>
        <v/>
      </c>
    </row>
    <row r="1011" customFormat="false" ht="15" hidden="false" customHeight="true" outlineLevel="0" collapsed="false">
      <c r="N1011" s="1" t="str">
        <f aca="false">IF(L1011="","",IF(2026-E1011&gt;0,L1011/(2026-E1011),L1011))</f>
        <v/>
      </c>
    </row>
    <row r="1012" customFormat="false" ht="15" hidden="false" customHeight="true" outlineLevel="0" collapsed="false">
      <c r="N1012" s="1" t="str">
        <f aca="false">IF(L1012="","",IF(2026-E1012&gt;0,L1012/(2026-E1012),L1012))</f>
        <v/>
      </c>
    </row>
    <row r="1013" customFormat="false" ht="15" hidden="false" customHeight="true" outlineLevel="0" collapsed="false">
      <c r="N1013" s="1" t="str">
        <f aca="false">IF(L1013="","",IF(2026-E1013&gt;0,L1013/(2026-E1013),L1013))</f>
        <v/>
      </c>
    </row>
    <row r="1014" customFormat="false" ht="15" hidden="false" customHeight="true" outlineLevel="0" collapsed="false">
      <c r="N1014" s="1" t="str">
        <f aca="false">IF(L1014="","",IF(2026-E1014&gt;0,L1014/(2026-E1014),L1014))</f>
        <v/>
      </c>
    </row>
    <row r="1015" customFormat="false" ht="15" hidden="false" customHeight="true" outlineLevel="0" collapsed="false">
      <c r="N1015" s="1" t="str">
        <f aca="false">IF(L1015="","",IF(2026-E1015&gt;0,L1015/(2026-E1015),L1015))</f>
        <v/>
      </c>
    </row>
    <row r="1016" customFormat="false" ht="15" hidden="false" customHeight="true" outlineLevel="0" collapsed="false">
      <c r="N1016" s="1" t="str">
        <f aca="false">IF(L1016="","",IF(2026-E1016&gt;0,L1016/(2026-E1016),L1016))</f>
        <v/>
      </c>
    </row>
    <row r="1017" customFormat="false" ht="15" hidden="false" customHeight="true" outlineLevel="0" collapsed="false">
      <c r="N1017" s="1" t="str">
        <f aca="false">IF(L1017="","",IF(2026-E1017&gt;0,L1017/(2026-E1017),L1017))</f>
        <v/>
      </c>
    </row>
    <row r="1018" customFormat="false" ht="15" hidden="false" customHeight="true" outlineLevel="0" collapsed="false">
      <c r="N1018" s="1" t="str">
        <f aca="false">IF(L1018="","",IF(2026-E1018&gt;0,L1018/(2026-E1018),L1018))</f>
        <v/>
      </c>
    </row>
    <row r="1019" customFormat="false" ht="15" hidden="false" customHeight="true" outlineLevel="0" collapsed="false">
      <c r="N1019" s="1" t="str">
        <f aca="false">IF(L1019="","",IF(2026-E1019&gt;0,L1019/(2026-E1019),L1019))</f>
        <v/>
      </c>
    </row>
    <row r="1020" customFormat="false" ht="15" hidden="false" customHeight="true" outlineLevel="0" collapsed="false">
      <c r="N1020" s="1" t="str">
        <f aca="false">IF(L1020="","",IF(2026-E1020&gt;0,L1020/(2026-E1020),L1020))</f>
        <v/>
      </c>
    </row>
    <row r="1021" customFormat="false" ht="15" hidden="false" customHeight="true" outlineLevel="0" collapsed="false">
      <c r="N1021" s="1" t="str">
        <f aca="false">IF(L1021="","",IF(2026-E1021&gt;0,L1021/(2026-E1021),L1021))</f>
        <v/>
      </c>
    </row>
    <row r="1022" customFormat="false" ht="15" hidden="false" customHeight="true" outlineLevel="0" collapsed="false">
      <c r="N1022" s="1" t="str">
        <f aca="false">IF(L1022="","",IF(2026-E1022&gt;0,L1022/(2026-E1022),L1022))</f>
        <v/>
      </c>
    </row>
    <row r="1023" customFormat="false" ht="15" hidden="false" customHeight="true" outlineLevel="0" collapsed="false">
      <c r="N1023" s="1" t="str">
        <f aca="false">IF(L1023="","",IF(2026-E1023&gt;0,L1023/(2026-E1023),L1023))</f>
        <v/>
      </c>
    </row>
    <row r="1024" customFormat="false" ht="15" hidden="false" customHeight="true" outlineLevel="0" collapsed="false">
      <c r="N1024" s="1" t="str">
        <f aca="false">IF(L1024="","",IF(2026-E1024&gt;0,L1024/(2026-E1024),L1024))</f>
        <v/>
      </c>
    </row>
    <row r="1025" customFormat="false" ht="15" hidden="false" customHeight="true" outlineLevel="0" collapsed="false">
      <c r="N1025" s="1" t="str">
        <f aca="false">IF(L1025="","",IF(2026-E1025&gt;0,L1025/(2026-E1025),L1025))</f>
        <v/>
      </c>
    </row>
    <row r="1026" customFormat="false" ht="15" hidden="false" customHeight="true" outlineLevel="0" collapsed="false">
      <c r="N1026" s="1" t="str">
        <f aca="false">IF(L1026="","",IF(2026-E1026&gt;0,L1026/(2026-E1026),L1026))</f>
        <v/>
      </c>
    </row>
    <row r="1027" customFormat="false" ht="15" hidden="false" customHeight="true" outlineLevel="0" collapsed="false">
      <c r="N1027" s="1" t="str">
        <f aca="false">IF(L1027="","",IF(2026-E1027&gt;0,L1027/(2026-E1027),L1027))</f>
        <v/>
      </c>
    </row>
    <row r="1028" customFormat="false" ht="15" hidden="false" customHeight="true" outlineLevel="0" collapsed="false">
      <c r="N1028" s="1" t="str">
        <f aca="false">IF(L1028="","",IF(2026-E1028&gt;0,L1028/(2026-E1028),L1028))</f>
        <v/>
      </c>
    </row>
    <row r="1029" customFormat="false" ht="15" hidden="false" customHeight="true" outlineLevel="0" collapsed="false">
      <c r="N1029" s="1" t="str">
        <f aca="false">IF(L1029="","",IF(2026-E1029&gt;0,L1029/(2026-E1029),L1029))</f>
        <v/>
      </c>
    </row>
    <row r="1030" customFormat="false" ht="15" hidden="false" customHeight="true" outlineLevel="0" collapsed="false">
      <c r="N1030" s="1" t="str">
        <f aca="false">IF(L1030="","",IF(2026-E1030&gt;0,L1030/(2026-E1030),L1030))</f>
        <v/>
      </c>
    </row>
    <row r="1031" customFormat="false" ht="15" hidden="false" customHeight="true" outlineLevel="0" collapsed="false">
      <c r="N1031" s="1" t="str">
        <f aca="false">IF(L1031="","",IF(2026-E1031&gt;0,L1031/(2026-E1031),L1031))</f>
        <v/>
      </c>
    </row>
    <row r="1032" customFormat="false" ht="15" hidden="false" customHeight="true" outlineLevel="0" collapsed="false">
      <c r="N1032" s="1" t="str">
        <f aca="false">IF(L1032="","",IF(2026-E1032&gt;0,L1032/(2026-E1032),L1032))</f>
        <v/>
      </c>
    </row>
    <row r="1033" customFormat="false" ht="15" hidden="false" customHeight="true" outlineLevel="0" collapsed="false">
      <c r="N1033" s="1" t="str">
        <f aca="false">IF(L1033="","",IF(2026-E1033&gt;0,L1033/(2026-E1033),L1033))</f>
        <v/>
      </c>
    </row>
    <row r="1034" customFormat="false" ht="15" hidden="false" customHeight="true" outlineLevel="0" collapsed="false">
      <c r="N1034" s="1" t="str">
        <f aca="false">IF(L1034="","",IF(2026-E1034&gt;0,L1034/(2026-E1034),L1034))</f>
        <v/>
      </c>
    </row>
    <row r="1035" customFormat="false" ht="15" hidden="false" customHeight="true" outlineLevel="0" collapsed="false">
      <c r="N1035" s="1" t="str">
        <f aca="false">IF(L1035="","",IF(2026-E1035&gt;0,L1035/(2026-E1035),L1035))</f>
        <v/>
      </c>
    </row>
    <row r="1036" customFormat="false" ht="15" hidden="false" customHeight="true" outlineLevel="0" collapsed="false">
      <c r="N1036" s="1" t="str">
        <f aca="false">IF(L1036="","",IF(2026-E1036&gt;0,L1036/(2026-E1036),L1036))</f>
        <v/>
      </c>
    </row>
    <row r="1037" customFormat="false" ht="15" hidden="false" customHeight="true" outlineLevel="0" collapsed="false">
      <c r="N1037" s="1" t="str">
        <f aca="false">IF(L1037="","",IF(2026-E1037&gt;0,L1037/(2026-E1037),L1037))</f>
        <v/>
      </c>
    </row>
    <row r="1038" customFormat="false" ht="15" hidden="false" customHeight="true" outlineLevel="0" collapsed="false">
      <c r="N1038" s="1" t="str">
        <f aca="false">IF(L1038="","",IF(2026-E1038&gt;0,L1038/(2026-E1038),L1038))</f>
        <v/>
      </c>
    </row>
    <row r="1039" customFormat="false" ht="15" hidden="false" customHeight="true" outlineLevel="0" collapsed="false">
      <c r="N1039" s="1" t="str">
        <f aca="false">IF(L1039="","",IF(2026-E1039&gt;0,L1039/(2026-E1039),L1039))</f>
        <v/>
      </c>
    </row>
    <row r="1040" customFormat="false" ht="15" hidden="false" customHeight="true" outlineLevel="0" collapsed="false">
      <c r="N1040" s="1" t="str">
        <f aca="false">IF(L1040="","",IF(2026-E1040&gt;0,L1040/(2026-E1040),L1040))</f>
        <v/>
      </c>
    </row>
    <row r="1041" customFormat="false" ht="15" hidden="false" customHeight="true" outlineLevel="0" collapsed="false">
      <c r="N1041" s="1" t="str">
        <f aca="false">IF(L1041="","",IF(2026-E1041&gt;0,L1041/(2026-E1041),L1041))</f>
        <v/>
      </c>
    </row>
    <row r="1042" customFormat="false" ht="15" hidden="false" customHeight="true" outlineLevel="0" collapsed="false">
      <c r="N1042" s="1" t="str">
        <f aca="false">IF(L1042="","",IF(2026-E1042&gt;0,L1042/(2026-E1042),L1042))</f>
        <v/>
      </c>
    </row>
    <row r="1043" customFormat="false" ht="15" hidden="false" customHeight="true" outlineLevel="0" collapsed="false">
      <c r="N1043" s="1" t="str">
        <f aca="false">IF(L1043="","",IF(2026-E1043&gt;0,L1043/(2026-E1043),L1043))</f>
        <v/>
      </c>
    </row>
    <row r="1044" customFormat="false" ht="15" hidden="false" customHeight="true" outlineLevel="0" collapsed="false">
      <c r="N1044" s="1" t="str">
        <f aca="false">IF(L1044="","",IF(2026-E1044&gt;0,L1044/(2026-E1044),L1044))</f>
        <v/>
      </c>
    </row>
    <row r="1045" customFormat="false" ht="15" hidden="false" customHeight="true" outlineLevel="0" collapsed="false">
      <c r="N1045" s="1" t="str">
        <f aca="false">IF(L1045="","",IF(2026-E1045&gt;0,L1045/(2026-E1045),L1045))</f>
        <v/>
      </c>
    </row>
    <row r="1046" customFormat="false" ht="15" hidden="false" customHeight="true" outlineLevel="0" collapsed="false">
      <c r="N1046" s="1" t="str">
        <f aca="false">IF(L1046="","",IF(2026-E1046&gt;0,L1046/(2026-E1046),L1046))</f>
        <v/>
      </c>
    </row>
    <row r="1047" customFormat="false" ht="15" hidden="false" customHeight="true" outlineLevel="0" collapsed="false">
      <c r="N1047" s="1" t="str">
        <f aca="false">IF(L1047="","",IF(2026-E1047&gt;0,L1047/(2026-E1047),L1047))</f>
        <v/>
      </c>
    </row>
    <row r="1048" customFormat="false" ht="15" hidden="false" customHeight="true" outlineLevel="0" collapsed="false">
      <c r="N1048" s="1" t="str">
        <f aca="false">IF(L1048="","",IF(2026-E1048&gt;0,L1048/(2026-E1048),L1048))</f>
        <v/>
      </c>
    </row>
    <row r="1049" customFormat="false" ht="15" hidden="false" customHeight="true" outlineLevel="0" collapsed="false">
      <c r="N1049" s="1" t="str">
        <f aca="false">IF(L1049="","",IF(2026-E1049&gt;0,L1049/(2026-E1049),L1049))</f>
        <v/>
      </c>
    </row>
    <row r="1050" customFormat="false" ht="15" hidden="false" customHeight="true" outlineLevel="0" collapsed="false">
      <c r="N1050" s="1" t="str">
        <f aca="false">IF(L1050="","",IF(2026-E1050&gt;0,L1050/(2026-E1050),L1050))</f>
        <v/>
      </c>
    </row>
    <row r="1051" customFormat="false" ht="15" hidden="false" customHeight="true" outlineLevel="0" collapsed="false">
      <c r="N1051" s="1" t="str">
        <f aca="false">IF(L1051="","",IF(2026-E1051&gt;0,L1051/(2026-E1051),L1051))</f>
        <v/>
      </c>
    </row>
    <row r="1052" customFormat="false" ht="15" hidden="false" customHeight="true" outlineLevel="0" collapsed="false">
      <c r="N1052" s="1" t="str">
        <f aca="false">IF(L1052="","",IF(2026-E1052&gt;0,L1052/(2026-E1052),L1052))</f>
        <v/>
      </c>
    </row>
    <row r="1053" customFormat="false" ht="15" hidden="false" customHeight="true" outlineLevel="0" collapsed="false">
      <c r="N1053" s="1" t="str">
        <f aca="false">IF(L1053="","",IF(2026-E1053&gt;0,L1053/(2026-E1053),L1053))</f>
        <v/>
      </c>
    </row>
    <row r="1054" customFormat="false" ht="15" hidden="false" customHeight="true" outlineLevel="0" collapsed="false">
      <c r="N1054" s="1" t="str">
        <f aca="false">IF(L1054="","",IF(2026-E1054&gt;0,L1054/(2026-E1054),L1054))</f>
        <v/>
      </c>
    </row>
    <row r="1055" customFormat="false" ht="15" hidden="false" customHeight="true" outlineLevel="0" collapsed="false">
      <c r="N1055" s="1" t="str">
        <f aca="false">IF(L1055="","",IF(2026-E1055&gt;0,L1055/(2026-E1055),L1055))</f>
        <v/>
      </c>
    </row>
    <row r="1056" customFormat="false" ht="15" hidden="false" customHeight="true" outlineLevel="0" collapsed="false">
      <c r="N1056" s="1" t="str">
        <f aca="false">IF(L1056="","",IF(2026-E1056&gt;0,L1056/(2026-E1056),L1056))</f>
        <v/>
      </c>
    </row>
    <row r="1057" customFormat="false" ht="15" hidden="false" customHeight="true" outlineLevel="0" collapsed="false">
      <c r="N1057" s="1" t="str">
        <f aca="false">IF(L1057="","",IF(2026-E1057&gt;0,L1057/(2026-E1057),L1057))</f>
        <v/>
      </c>
    </row>
    <row r="1058" customFormat="false" ht="15" hidden="false" customHeight="true" outlineLevel="0" collapsed="false">
      <c r="N1058" s="1" t="str">
        <f aca="false">IF(L1058="","",IF(2026-E1058&gt;0,L1058/(2026-E1058),L1058))</f>
        <v/>
      </c>
    </row>
    <row r="1059" customFormat="false" ht="15" hidden="false" customHeight="true" outlineLevel="0" collapsed="false">
      <c r="N1059" s="1" t="str">
        <f aca="false">IF(L1059="","",IF(2026-E1059&gt;0,L1059/(2026-E1059),L1059))</f>
        <v/>
      </c>
    </row>
    <row r="1060" customFormat="false" ht="15" hidden="false" customHeight="true" outlineLevel="0" collapsed="false">
      <c r="N1060" s="1" t="str">
        <f aca="false">IF(L1060="","",IF(2026-E1060&gt;0,L1060/(2026-E1060),L1060))</f>
        <v/>
      </c>
    </row>
    <row r="1061" customFormat="false" ht="15" hidden="false" customHeight="true" outlineLevel="0" collapsed="false">
      <c r="N1061" s="1" t="str">
        <f aca="false">IF(L1061="","",IF(2026-E1061&gt;0,L1061/(2026-E1061),L1061))</f>
        <v/>
      </c>
    </row>
    <row r="1062" customFormat="false" ht="15" hidden="false" customHeight="true" outlineLevel="0" collapsed="false">
      <c r="N1062" s="1" t="str">
        <f aca="false">IF(L1062="","",IF(2026-E1062&gt;0,L1062/(2026-E1062),L1062))</f>
        <v/>
      </c>
    </row>
    <row r="1063" customFormat="false" ht="15" hidden="false" customHeight="true" outlineLevel="0" collapsed="false">
      <c r="N1063" s="1" t="str">
        <f aca="false">IF(L1063="","",IF(2026-E1063&gt;0,L1063/(2026-E1063),L1063))</f>
        <v/>
      </c>
    </row>
    <row r="1064" customFormat="false" ht="15" hidden="false" customHeight="true" outlineLevel="0" collapsed="false">
      <c r="N1064" s="1" t="str">
        <f aca="false">IF(L1064="","",IF(2026-E1064&gt;0,L1064/(2026-E1064),L1064))</f>
        <v/>
      </c>
    </row>
    <row r="1065" customFormat="false" ht="15" hidden="false" customHeight="true" outlineLevel="0" collapsed="false">
      <c r="N1065" s="1" t="str">
        <f aca="false">IF(L1065="","",IF(2026-E1065&gt;0,L1065/(2026-E1065),L1065))</f>
        <v/>
      </c>
    </row>
    <row r="1066" customFormat="false" ht="15" hidden="false" customHeight="true" outlineLevel="0" collapsed="false">
      <c r="N1066" s="1" t="str">
        <f aca="false">IF(L1066="","",IF(2026-E1066&gt;0,L1066/(2026-E1066),L1066))</f>
        <v/>
      </c>
    </row>
    <row r="1067" customFormat="false" ht="15" hidden="false" customHeight="true" outlineLevel="0" collapsed="false">
      <c r="N1067" s="1" t="str">
        <f aca="false">IF(L1067="","",IF(2026-E1067&gt;0,L1067/(2026-E1067),L1067))</f>
        <v/>
      </c>
    </row>
    <row r="1068" customFormat="false" ht="15" hidden="false" customHeight="true" outlineLevel="0" collapsed="false">
      <c r="N1068" s="1" t="str">
        <f aca="false">IF(L1068="","",IF(2026-E1068&gt;0,L1068/(2026-E1068),L1068))</f>
        <v/>
      </c>
    </row>
    <row r="1069" customFormat="false" ht="15" hidden="false" customHeight="true" outlineLevel="0" collapsed="false">
      <c r="N1069" s="1" t="str">
        <f aca="false">IF(L1069="","",IF(2026-E1069&gt;0,L1069/(2026-E1069),L1069))</f>
        <v/>
      </c>
    </row>
    <row r="1070" customFormat="false" ht="15" hidden="false" customHeight="true" outlineLevel="0" collapsed="false">
      <c r="N1070" s="1" t="str">
        <f aca="false">IF(L1070="","",IF(2026-E1070&gt;0,L1070/(2026-E1070),L1070))</f>
        <v/>
      </c>
    </row>
    <row r="1071" customFormat="false" ht="15" hidden="false" customHeight="true" outlineLevel="0" collapsed="false">
      <c r="N1071" s="1" t="str">
        <f aca="false">IF(L1071="","",IF(2026-E1071&gt;0,L1071/(2026-E1071),L1071))</f>
        <v/>
      </c>
    </row>
    <row r="1072" customFormat="false" ht="15" hidden="false" customHeight="true" outlineLevel="0" collapsed="false">
      <c r="N1072" s="1" t="str">
        <f aca="false">IF(L1072="","",IF(2026-E1072&gt;0,L1072/(2026-E1072),L1072))</f>
        <v/>
      </c>
    </row>
    <row r="1073" customFormat="false" ht="15" hidden="false" customHeight="true" outlineLevel="0" collapsed="false">
      <c r="N1073" s="1" t="str">
        <f aca="false">IF(L1073="","",IF(2026-E1073&gt;0,L1073/(2026-E1073),L1073))</f>
        <v/>
      </c>
    </row>
    <row r="1074" customFormat="false" ht="15" hidden="false" customHeight="true" outlineLevel="0" collapsed="false">
      <c r="N1074" s="1" t="str">
        <f aca="false">IF(L1074="","",IF(2026-E1074&gt;0,L1074/(2026-E1074),L1074))</f>
        <v/>
      </c>
    </row>
    <row r="1075" customFormat="false" ht="15" hidden="false" customHeight="true" outlineLevel="0" collapsed="false">
      <c r="N1075" s="1" t="str">
        <f aca="false">IF(L1075="","",IF(2026-E1075&gt;0,L1075/(2026-E1075),L1075))</f>
        <v/>
      </c>
    </row>
    <row r="1076" customFormat="false" ht="15" hidden="false" customHeight="true" outlineLevel="0" collapsed="false">
      <c r="N1076" s="1" t="str">
        <f aca="false">IF(L1076="","",IF(2026-E1076&gt;0,L1076/(2026-E1076),L1076))</f>
        <v/>
      </c>
    </row>
    <row r="1077" customFormat="false" ht="15" hidden="false" customHeight="true" outlineLevel="0" collapsed="false">
      <c r="N1077" s="1" t="str">
        <f aca="false">IF(L1077="","",IF(2026-E1077&gt;0,L1077/(2026-E1077),L1077))</f>
        <v/>
      </c>
    </row>
    <row r="1078" customFormat="false" ht="15" hidden="false" customHeight="true" outlineLevel="0" collapsed="false">
      <c r="N1078" s="1" t="str">
        <f aca="false">IF(L1078="","",IF(2026-E1078&gt;0,L1078/(2026-E1078),L1078))</f>
        <v/>
      </c>
    </row>
    <row r="1079" customFormat="false" ht="15" hidden="false" customHeight="true" outlineLevel="0" collapsed="false">
      <c r="N1079" s="1" t="str">
        <f aca="false">IF(L1079="","",IF(2026-E1079&gt;0,L1079/(2026-E1079),L1079))</f>
        <v/>
      </c>
    </row>
    <row r="1080" customFormat="false" ht="15" hidden="false" customHeight="true" outlineLevel="0" collapsed="false">
      <c r="N1080" s="1" t="str">
        <f aca="false">IF(L1080="","",IF(2026-E1080&gt;0,L1080/(2026-E1080),L1080))</f>
        <v/>
      </c>
    </row>
    <row r="1081" customFormat="false" ht="15" hidden="false" customHeight="true" outlineLevel="0" collapsed="false">
      <c r="N1081" s="1" t="str">
        <f aca="false">IF(L1081="","",IF(2026-E1081&gt;0,L1081/(2026-E1081),L1081))</f>
        <v/>
      </c>
    </row>
    <row r="1082" customFormat="false" ht="15" hidden="false" customHeight="true" outlineLevel="0" collapsed="false">
      <c r="N1082" s="1" t="str">
        <f aca="false">IF(L1082="","",IF(2026-E1082&gt;0,L1082/(2026-E1082),L1082))</f>
        <v/>
      </c>
    </row>
    <row r="1083" customFormat="false" ht="15" hidden="false" customHeight="true" outlineLevel="0" collapsed="false">
      <c r="N1083" s="1" t="str">
        <f aca="false">IF(L1083="","",IF(2026-E1083&gt;0,L1083/(2026-E1083),L1083))</f>
        <v/>
      </c>
    </row>
    <row r="1084" customFormat="false" ht="15" hidden="false" customHeight="true" outlineLevel="0" collapsed="false">
      <c r="N1084" s="1" t="str">
        <f aca="false">IF(L1084="","",IF(2026-E1084&gt;0,L1084/(2026-E1084),L1084))</f>
        <v/>
      </c>
    </row>
    <row r="1085" customFormat="false" ht="15" hidden="false" customHeight="true" outlineLevel="0" collapsed="false">
      <c r="N1085" s="1" t="str">
        <f aca="false">IF(L1085="","",IF(2026-E1085&gt;0,L1085/(2026-E1085),L1085))</f>
        <v/>
      </c>
    </row>
    <row r="1086" customFormat="false" ht="15" hidden="false" customHeight="true" outlineLevel="0" collapsed="false">
      <c r="N1086" s="1" t="str">
        <f aca="false">IF(L1086="","",IF(2026-E1086&gt;0,L1086/(2026-E1086),L1086))</f>
        <v/>
      </c>
    </row>
    <row r="1087" customFormat="false" ht="15" hidden="false" customHeight="true" outlineLevel="0" collapsed="false">
      <c r="N1087" s="1" t="str">
        <f aca="false">IF(L1087="","",IF(2026-E1087&gt;0,L1087/(2026-E1087),L1087))</f>
        <v/>
      </c>
    </row>
    <row r="1088" customFormat="false" ht="15" hidden="false" customHeight="true" outlineLevel="0" collapsed="false">
      <c r="N1088" s="1" t="str">
        <f aca="false">IF(L1088="","",IF(2026-E1088&gt;0,L1088/(2026-E1088),L1088))</f>
        <v/>
      </c>
    </row>
    <row r="1089" customFormat="false" ht="15" hidden="false" customHeight="true" outlineLevel="0" collapsed="false">
      <c r="N1089" s="1" t="str">
        <f aca="false">IF(L1089="","",IF(2026-E1089&gt;0,L1089/(2026-E1089),L1089))</f>
        <v/>
      </c>
    </row>
    <row r="1090" customFormat="false" ht="15" hidden="false" customHeight="true" outlineLevel="0" collapsed="false">
      <c r="N1090" s="1" t="str">
        <f aca="false">IF(L1090="","",IF(2026-E1090&gt;0,L1090/(2026-E1090),L1090))</f>
        <v/>
      </c>
    </row>
    <row r="1091" customFormat="false" ht="15" hidden="false" customHeight="true" outlineLevel="0" collapsed="false">
      <c r="N1091" s="1" t="str">
        <f aca="false">IF(L1091="","",IF(2026-E1091&gt;0,L1091/(2026-E1091),L1091))</f>
        <v/>
      </c>
    </row>
    <row r="1092" customFormat="false" ht="15" hidden="false" customHeight="true" outlineLevel="0" collapsed="false">
      <c r="N1092" s="1" t="str">
        <f aca="false">IF(L1092="","",IF(2026-E1092&gt;0,L1092/(2026-E1092),L1092))</f>
        <v/>
      </c>
    </row>
    <row r="1093" customFormat="false" ht="15" hidden="false" customHeight="true" outlineLevel="0" collapsed="false">
      <c r="N1093" s="1" t="str">
        <f aca="false">IF(L1093="","",IF(2026-E1093&gt;0,L1093/(2026-E1093),L1093))</f>
        <v/>
      </c>
    </row>
    <row r="1094" customFormat="false" ht="15" hidden="false" customHeight="true" outlineLevel="0" collapsed="false">
      <c r="N1094" s="1" t="str">
        <f aca="false">IF(L1094="","",IF(2026-E1094&gt;0,L1094/(2026-E1094),L1094))</f>
        <v/>
      </c>
    </row>
    <row r="1095" customFormat="false" ht="15" hidden="false" customHeight="true" outlineLevel="0" collapsed="false">
      <c r="N1095" s="1" t="str">
        <f aca="false">IF(L1095="","",IF(2026-E1095&gt;0,L1095/(2026-E1095),L1095))</f>
        <v/>
      </c>
    </row>
    <row r="1096" customFormat="false" ht="15" hidden="false" customHeight="true" outlineLevel="0" collapsed="false">
      <c r="N1096" s="1" t="str">
        <f aca="false">IF(L1096="","",IF(2026-E1096&gt;0,L1096/(2026-E1096),L1096))</f>
        <v/>
      </c>
    </row>
    <row r="1097" customFormat="false" ht="15" hidden="false" customHeight="true" outlineLevel="0" collapsed="false">
      <c r="N1097" s="1" t="str">
        <f aca="false">IF(L1097="","",IF(2026-E1097&gt;0,L1097/(2026-E1097),L1097))</f>
        <v/>
      </c>
    </row>
    <row r="1098" customFormat="false" ht="15" hidden="false" customHeight="true" outlineLevel="0" collapsed="false">
      <c r="N1098" s="1" t="str">
        <f aca="false">IF(L1098="","",IF(2026-E1098&gt;0,L1098/(2026-E1098),L1098))</f>
        <v/>
      </c>
    </row>
    <row r="1099" customFormat="false" ht="15" hidden="false" customHeight="true" outlineLevel="0" collapsed="false">
      <c r="N1099" s="1" t="str">
        <f aca="false">IF(L1099="","",IF(2026-E1099&gt;0,L1099/(2026-E1099),L1099))</f>
        <v/>
      </c>
    </row>
    <row r="1100" customFormat="false" ht="15" hidden="false" customHeight="true" outlineLevel="0" collapsed="false">
      <c r="N1100" s="1" t="str">
        <f aca="false">IF(L1100="","",IF(2026-E1100&gt;0,L1100/(2026-E1100),L1100))</f>
        <v/>
      </c>
    </row>
    <row r="1101" customFormat="false" ht="15" hidden="false" customHeight="true" outlineLevel="0" collapsed="false">
      <c r="N1101" s="1" t="str">
        <f aca="false">IF(L1101="","",IF(2026-E1101&gt;0,L1101/(2026-E1101),L1101))</f>
        <v/>
      </c>
    </row>
    <row r="1102" customFormat="false" ht="15" hidden="false" customHeight="true" outlineLevel="0" collapsed="false">
      <c r="N1102" s="1" t="str">
        <f aca="false">IF(L1102="","",IF(2026-E1102&gt;0,L1102/(2026-E1102),L1102))</f>
        <v/>
      </c>
    </row>
    <row r="1103" customFormat="false" ht="15" hidden="false" customHeight="true" outlineLevel="0" collapsed="false">
      <c r="N1103" s="1" t="str">
        <f aca="false">IF(L1103="","",IF(2026-E1103&gt;0,L1103/(2026-E1103),L1103))</f>
        <v/>
      </c>
    </row>
    <row r="1104" customFormat="false" ht="15" hidden="false" customHeight="true" outlineLevel="0" collapsed="false">
      <c r="N1104" s="1" t="str">
        <f aca="false">IF(L1104="","",IF(2026-E1104&gt;0,L1104/(2026-E1104),L1104))</f>
        <v/>
      </c>
    </row>
    <row r="1105" customFormat="false" ht="15" hidden="false" customHeight="true" outlineLevel="0" collapsed="false">
      <c r="N1105" s="1" t="str">
        <f aca="false">IF(L1105="","",IF(2026-E1105&gt;0,L1105/(2026-E1105),L1105))</f>
        <v/>
      </c>
    </row>
    <row r="1106" customFormat="false" ht="15" hidden="false" customHeight="true" outlineLevel="0" collapsed="false">
      <c r="N1106" s="1" t="str">
        <f aca="false">IF(L1106="","",IF(2026-E1106&gt;0,L1106/(2026-E1106),L1106))</f>
        <v/>
      </c>
    </row>
    <row r="1107" customFormat="false" ht="15" hidden="false" customHeight="true" outlineLevel="0" collapsed="false">
      <c r="N1107" s="1" t="str">
        <f aca="false">IF(L1107="","",IF(2026-E1107&gt;0,L1107/(2026-E1107),L1107))</f>
        <v/>
      </c>
    </row>
    <row r="1108" customFormat="false" ht="15" hidden="false" customHeight="true" outlineLevel="0" collapsed="false">
      <c r="N1108" s="1" t="str">
        <f aca="false">IF(L1108="","",IF(2026-E1108&gt;0,L1108/(2026-E1108),L1108))</f>
        <v/>
      </c>
    </row>
    <row r="1109" customFormat="false" ht="15" hidden="false" customHeight="true" outlineLevel="0" collapsed="false">
      <c r="N1109" s="1" t="str">
        <f aca="false">IF(L1109="","",IF(2026-E1109&gt;0,L1109/(2026-E1109),L1109))</f>
        <v/>
      </c>
    </row>
    <row r="1110" customFormat="false" ht="15" hidden="false" customHeight="true" outlineLevel="0" collapsed="false">
      <c r="N1110" s="1" t="str">
        <f aca="false">IF(L1110="","",IF(2026-E1110&gt;0,L1110/(2026-E1110),L1110))</f>
        <v/>
      </c>
    </row>
    <row r="1111" customFormat="false" ht="15" hidden="false" customHeight="true" outlineLevel="0" collapsed="false">
      <c r="N1111" s="1" t="str">
        <f aca="false">IF(L1111="","",IF(2026-E1111&gt;0,L1111/(2026-E1111),L1111))</f>
        <v/>
      </c>
    </row>
    <row r="1112" customFormat="false" ht="15" hidden="false" customHeight="true" outlineLevel="0" collapsed="false">
      <c r="N1112" s="1" t="str">
        <f aca="false">IF(L1112="","",IF(2026-E1112&gt;0,L1112/(2026-E1112),L1112))</f>
        <v/>
      </c>
    </row>
    <row r="1113" customFormat="false" ht="15" hidden="false" customHeight="true" outlineLevel="0" collapsed="false">
      <c r="N1113" s="1" t="str">
        <f aca="false">IF(L1113="","",IF(2026-E1113&gt;0,L1113/(2026-E1113),L1113))</f>
        <v/>
      </c>
    </row>
    <row r="1114" customFormat="false" ht="15" hidden="false" customHeight="true" outlineLevel="0" collapsed="false">
      <c r="N1114" s="1" t="str">
        <f aca="false">IF(L1114="","",IF(2026-E1114&gt;0,L1114/(2026-E1114),L1114))</f>
        <v/>
      </c>
    </row>
    <row r="1115" customFormat="false" ht="15" hidden="false" customHeight="true" outlineLevel="0" collapsed="false">
      <c r="N1115" s="1" t="str">
        <f aca="false">IF(L1115="","",IF(2026-E1115&gt;0,L1115/(2026-E1115),L1115))</f>
        <v/>
      </c>
    </row>
    <row r="1116" customFormat="false" ht="15" hidden="false" customHeight="true" outlineLevel="0" collapsed="false">
      <c r="N1116" s="1" t="str">
        <f aca="false">IF(L1116="","",IF(2026-E1116&gt;0,L1116/(2026-E1116),L1116))</f>
        <v/>
      </c>
    </row>
    <row r="1117" customFormat="false" ht="15" hidden="false" customHeight="true" outlineLevel="0" collapsed="false">
      <c r="N1117" s="1" t="str">
        <f aca="false">IF(L1117="","",IF(2026-E1117&gt;0,L1117/(2026-E1117),L1117))</f>
        <v/>
      </c>
    </row>
    <row r="1118" customFormat="false" ht="15" hidden="false" customHeight="true" outlineLevel="0" collapsed="false">
      <c r="N1118" s="1" t="str">
        <f aca="false">IF(L1118="","",IF(2026-E1118&gt;0,L1118/(2026-E1118),L1118))</f>
        <v/>
      </c>
    </row>
    <row r="1119" customFormat="false" ht="15" hidden="false" customHeight="true" outlineLevel="0" collapsed="false">
      <c r="N1119" s="1" t="str">
        <f aca="false">IF(L1119="","",IF(2026-E1119&gt;0,L1119/(2026-E1119),L1119))</f>
        <v/>
      </c>
    </row>
    <row r="1120" customFormat="false" ht="15" hidden="false" customHeight="true" outlineLevel="0" collapsed="false">
      <c r="N1120" s="1" t="str">
        <f aca="false">IF(L1120="","",IF(2026-E1120&gt;0,L1120/(2026-E1120),L1120))</f>
        <v/>
      </c>
    </row>
    <row r="1121" customFormat="false" ht="15" hidden="false" customHeight="true" outlineLevel="0" collapsed="false">
      <c r="N1121" s="1" t="str">
        <f aca="false">IF(L1121="","",IF(2026-E1121&gt;0,L1121/(2026-E1121),L1121))</f>
        <v/>
      </c>
    </row>
    <row r="1122" customFormat="false" ht="15" hidden="false" customHeight="true" outlineLevel="0" collapsed="false">
      <c r="N1122" s="1" t="str">
        <f aca="false">IF(L1122="","",IF(2026-E1122&gt;0,L1122/(2026-E1122),L1122))</f>
        <v/>
      </c>
    </row>
    <row r="1123" customFormat="false" ht="15" hidden="false" customHeight="true" outlineLevel="0" collapsed="false">
      <c r="N1123" s="1" t="str">
        <f aca="false">IF(L1123="","",IF(2026-E1123&gt;0,L1123/(2026-E1123),L1123))</f>
        <v/>
      </c>
    </row>
    <row r="1124" customFormat="false" ht="15" hidden="false" customHeight="true" outlineLevel="0" collapsed="false">
      <c r="N1124" s="1" t="str">
        <f aca="false">IF(L1124="","",IF(2026-E1124&gt;0,L1124/(2026-E1124),L1124))</f>
        <v/>
      </c>
    </row>
    <row r="1125" customFormat="false" ht="15" hidden="false" customHeight="true" outlineLevel="0" collapsed="false">
      <c r="N1125" s="1" t="str">
        <f aca="false">IF(L1125="","",IF(2026-E1125&gt;0,L1125/(2026-E1125),L1125))</f>
        <v/>
      </c>
    </row>
    <row r="1126" customFormat="false" ht="15" hidden="false" customHeight="true" outlineLevel="0" collapsed="false">
      <c r="N1126" s="1" t="str">
        <f aca="false">IF(L1126="","",IF(2026-E1126&gt;0,L1126/(2026-E1126),L1126))</f>
        <v/>
      </c>
    </row>
    <row r="1127" customFormat="false" ht="15" hidden="false" customHeight="true" outlineLevel="0" collapsed="false">
      <c r="N1127" s="1" t="str">
        <f aca="false">IF(L1127="","",IF(2026-E1127&gt;0,L1127/(2026-E1127),L1127))</f>
        <v/>
      </c>
    </row>
    <row r="1128" customFormat="false" ht="15" hidden="false" customHeight="true" outlineLevel="0" collapsed="false">
      <c r="N1128" s="1" t="str">
        <f aca="false">IF(L1128="","",IF(2026-E1128&gt;0,L1128/(2026-E1128),L1128))</f>
        <v/>
      </c>
    </row>
    <row r="1129" customFormat="false" ht="15" hidden="false" customHeight="true" outlineLevel="0" collapsed="false">
      <c r="N1129" s="1" t="str">
        <f aca="false">IF(L1129="","",IF(2026-E1129&gt;0,L1129/(2026-E1129),L1129))</f>
        <v/>
      </c>
    </row>
    <row r="1130" customFormat="false" ht="15" hidden="false" customHeight="true" outlineLevel="0" collapsed="false">
      <c r="N1130" s="1" t="str">
        <f aca="false">IF(L1130="","",IF(2026-E1130&gt;0,L1130/(2026-E1130),L1130))</f>
        <v/>
      </c>
    </row>
    <row r="1131" customFormat="false" ht="15" hidden="false" customHeight="true" outlineLevel="0" collapsed="false">
      <c r="N1131" s="1" t="str">
        <f aca="false">IF(L1131="","",IF(2026-E1131&gt;0,L1131/(2026-E1131),L1131))</f>
        <v/>
      </c>
    </row>
    <row r="1132" customFormat="false" ht="15" hidden="false" customHeight="true" outlineLevel="0" collapsed="false">
      <c r="N1132" s="1" t="str">
        <f aca="false">IF(L1132="","",IF(2026-E1132&gt;0,L1132/(2026-E1132),L1132))</f>
        <v/>
      </c>
    </row>
    <row r="1133" customFormat="false" ht="15" hidden="false" customHeight="true" outlineLevel="0" collapsed="false">
      <c r="N1133" s="1" t="str">
        <f aca="false">IF(L1133="","",IF(2026-E1133&gt;0,L1133/(2026-E1133),L1133))</f>
        <v/>
      </c>
    </row>
    <row r="1134" customFormat="false" ht="15" hidden="false" customHeight="true" outlineLevel="0" collapsed="false">
      <c r="N1134" s="1" t="str">
        <f aca="false">IF(L1134="","",IF(2026-E1134&gt;0,L1134/(2026-E1134),L1134))</f>
        <v/>
      </c>
    </row>
    <row r="1135" customFormat="false" ht="15" hidden="false" customHeight="true" outlineLevel="0" collapsed="false">
      <c r="N1135" s="1" t="str">
        <f aca="false">IF(L1135="","",IF(2026-E1135&gt;0,L1135/(2026-E1135),L1135))</f>
        <v/>
      </c>
    </row>
    <row r="1136" customFormat="false" ht="15" hidden="false" customHeight="true" outlineLevel="0" collapsed="false">
      <c r="N1136" s="1" t="str">
        <f aca="false">IF(L1136="","",IF(2026-E1136&gt;0,L1136/(2026-E1136),L1136))</f>
        <v/>
      </c>
    </row>
    <row r="1137" customFormat="false" ht="15" hidden="false" customHeight="true" outlineLevel="0" collapsed="false">
      <c r="N1137" s="1" t="str">
        <f aca="false">IF(L1137="","",IF(2026-E1137&gt;0,L1137/(2026-E1137),L1137))</f>
        <v/>
      </c>
    </row>
    <row r="1138" customFormat="false" ht="15" hidden="false" customHeight="true" outlineLevel="0" collapsed="false">
      <c r="N1138" s="1" t="str">
        <f aca="false">IF(L1138="","",IF(2026-E1138&gt;0,L1138/(2026-E1138),L1138))</f>
        <v/>
      </c>
    </row>
    <row r="1139" customFormat="false" ht="15" hidden="false" customHeight="true" outlineLevel="0" collapsed="false">
      <c r="N1139" s="1" t="str">
        <f aca="false">IF(L1139="","",IF(2026-E1139&gt;0,L1139/(2026-E1139),L1139))</f>
        <v/>
      </c>
    </row>
    <row r="1140" customFormat="false" ht="15" hidden="false" customHeight="true" outlineLevel="0" collapsed="false">
      <c r="N1140" s="1" t="str">
        <f aca="false">IF(L1140="","",IF(2026-E1140&gt;0,L1140/(2026-E1140),L1140))</f>
        <v/>
      </c>
    </row>
    <row r="1141" customFormat="false" ht="15" hidden="false" customHeight="true" outlineLevel="0" collapsed="false">
      <c r="N1141" s="1" t="str">
        <f aca="false">IF(L1141="","",IF(2026-E1141&gt;0,L1141/(2026-E1141),L1141))</f>
        <v/>
      </c>
    </row>
    <row r="1142" customFormat="false" ht="15" hidden="false" customHeight="true" outlineLevel="0" collapsed="false">
      <c r="N1142" s="1" t="str">
        <f aca="false">IF(L1142="","",IF(2026-E1142&gt;0,L1142/(2026-E1142),L1142))</f>
        <v/>
      </c>
    </row>
    <row r="1143" customFormat="false" ht="15" hidden="false" customHeight="true" outlineLevel="0" collapsed="false">
      <c r="N1143" s="1" t="str">
        <f aca="false">IF(L1143="","",IF(2026-E1143&gt;0,L1143/(2026-E1143),L1143))</f>
        <v/>
      </c>
    </row>
    <row r="1144" customFormat="false" ht="15" hidden="false" customHeight="true" outlineLevel="0" collapsed="false">
      <c r="N1144" s="1" t="str">
        <f aca="false">IF(L1144="","",IF(2026-E1144&gt;0,L1144/(2026-E1144),L1144))</f>
        <v/>
      </c>
    </row>
    <row r="1145" customFormat="false" ht="15" hidden="false" customHeight="true" outlineLevel="0" collapsed="false">
      <c r="N1145" s="1" t="str">
        <f aca="false">IF(L1145="","",IF(2026-E1145&gt;0,L1145/(2026-E1145),L1145))</f>
        <v/>
      </c>
    </row>
    <row r="1146" customFormat="false" ht="15" hidden="false" customHeight="true" outlineLevel="0" collapsed="false">
      <c r="N1146" s="1" t="str">
        <f aca="false">IF(L1146="","",IF(2026-E1146&gt;0,L1146/(2026-E1146),L1146))</f>
        <v/>
      </c>
    </row>
    <row r="1147" customFormat="false" ht="15" hidden="false" customHeight="true" outlineLevel="0" collapsed="false">
      <c r="N1147" s="1" t="str">
        <f aca="false">IF(L1147="","",IF(2026-E1147&gt;0,L1147/(2026-E1147),L1147))</f>
        <v/>
      </c>
    </row>
    <row r="1148" customFormat="false" ht="15" hidden="false" customHeight="true" outlineLevel="0" collapsed="false">
      <c r="N1148" s="1" t="str">
        <f aca="false">IF(L1148="","",IF(2026-E1148&gt;0,L1148/(2026-E1148),L1148))</f>
        <v/>
      </c>
    </row>
    <row r="1149" customFormat="false" ht="15" hidden="false" customHeight="true" outlineLevel="0" collapsed="false">
      <c r="N1149" s="1" t="str">
        <f aca="false">IF(L1149="","",IF(2026-E1149&gt;0,L1149/(2026-E1149),L1149))</f>
        <v/>
      </c>
    </row>
    <row r="1150" customFormat="false" ht="15" hidden="false" customHeight="true" outlineLevel="0" collapsed="false">
      <c r="N1150" s="1" t="str">
        <f aca="false">IF(L1150="","",IF(2026-E1150&gt;0,L1150/(2026-E1150),L1150))</f>
        <v/>
      </c>
    </row>
    <row r="1151" customFormat="false" ht="15" hidden="false" customHeight="true" outlineLevel="0" collapsed="false">
      <c r="N1151" s="1" t="str">
        <f aca="false">IF(L1151="","",IF(2026-E1151&gt;0,L1151/(2026-E1151),L1151))</f>
        <v/>
      </c>
    </row>
    <row r="1152" customFormat="false" ht="15" hidden="false" customHeight="true" outlineLevel="0" collapsed="false">
      <c r="N1152" s="1" t="str">
        <f aca="false">IF(L1152="","",IF(2026-E1152&gt;0,L1152/(2026-E1152),L1152))</f>
        <v/>
      </c>
    </row>
    <row r="1153" customFormat="false" ht="15" hidden="false" customHeight="true" outlineLevel="0" collapsed="false">
      <c r="N1153" s="1" t="str">
        <f aca="false">IF(L1153="","",IF(2026-E1153&gt;0,L1153/(2026-E1153),L1153))</f>
        <v/>
      </c>
    </row>
    <row r="1154" customFormat="false" ht="15" hidden="false" customHeight="true" outlineLevel="0" collapsed="false">
      <c r="N1154" s="1" t="str">
        <f aca="false">IF(L1154="","",IF(2026-E1154&gt;0,L1154/(2026-E1154),L1154))</f>
        <v/>
      </c>
    </row>
    <row r="1155" customFormat="false" ht="15" hidden="false" customHeight="true" outlineLevel="0" collapsed="false">
      <c r="N1155" s="1" t="str">
        <f aca="false">IF(L1155="","",IF(2026-E1155&gt;0,L1155/(2026-E1155),L1155))</f>
        <v/>
      </c>
    </row>
    <row r="1156" customFormat="false" ht="15" hidden="false" customHeight="true" outlineLevel="0" collapsed="false">
      <c r="N1156" s="1" t="str">
        <f aca="false">IF(L1156="","",IF(2026-E1156&gt;0,L1156/(2026-E1156),L1156))</f>
        <v/>
      </c>
    </row>
    <row r="1157" customFormat="false" ht="15" hidden="false" customHeight="true" outlineLevel="0" collapsed="false">
      <c r="N1157" s="1" t="str">
        <f aca="false">IF(L1157="","",IF(2026-E1157&gt;0,L1157/(2026-E1157),L1157))</f>
        <v/>
      </c>
    </row>
    <row r="1158" customFormat="false" ht="15" hidden="false" customHeight="true" outlineLevel="0" collapsed="false">
      <c r="N1158" s="1" t="str">
        <f aca="false">IF(L1158="","",IF(2026-E1158&gt;0,L1158/(2026-E1158),L1158))</f>
        <v/>
      </c>
    </row>
    <row r="1159" customFormat="false" ht="15" hidden="false" customHeight="true" outlineLevel="0" collapsed="false">
      <c r="N1159" s="1" t="str">
        <f aca="false">IF(L1159="","",IF(2026-E1159&gt;0,L1159/(2026-E1159),L1159))</f>
        <v/>
      </c>
    </row>
    <row r="1160" customFormat="false" ht="15" hidden="false" customHeight="true" outlineLevel="0" collapsed="false">
      <c r="N1160" s="1" t="str">
        <f aca="false">IF(L1160="","",IF(2026-E1160&gt;0,L1160/(2026-E1160),L1160))</f>
        <v/>
      </c>
    </row>
    <row r="1161" customFormat="false" ht="15" hidden="false" customHeight="true" outlineLevel="0" collapsed="false">
      <c r="N1161" s="1" t="str">
        <f aca="false">IF(L1161="","",IF(2026-E1161&gt;0,L1161/(2026-E1161),L1161))</f>
        <v/>
      </c>
    </row>
    <row r="1162" customFormat="false" ht="15" hidden="false" customHeight="true" outlineLevel="0" collapsed="false">
      <c r="N1162" s="1" t="str">
        <f aca="false">IF(L1162="","",IF(2026-E1162&gt;0,L1162/(2026-E1162),L1162))</f>
        <v/>
      </c>
    </row>
    <row r="1163" customFormat="false" ht="15" hidden="false" customHeight="true" outlineLevel="0" collapsed="false">
      <c r="N1163" s="1" t="str">
        <f aca="false">IF(L1163="","",IF(2026-E1163&gt;0,L1163/(2026-E1163),L1163))</f>
        <v/>
      </c>
    </row>
    <row r="1164" customFormat="false" ht="15" hidden="false" customHeight="true" outlineLevel="0" collapsed="false">
      <c r="N1164" s="1" t="str">
        <f aca="false">IF(L1164="","",IF(2026-E1164&gt;0,L1164/(2026-E1164),L1164))</f>
        <v/>
      </c>
    </row>
    <row r="1165" customFormat="false" ht="15" hidden="false" customHeight="true" outlineLevel="0" collapsed="false">
      <c r="N1165" s="1" t="str">
        <f aca="false">IF(L1165="","",IF(2026-E1165&gt;0,L1165/(2026-E1165),L1165))</f>
        <v/>
      </c>
    </row>
    <row r="1166" customFormat="false" ht="15" hidden="false" customHeight="true" outlineLevel="0" collapsed="false">
      <c r="N1166" s="1" t="str">
        <f aca="false">IF(L1166="","",IF(2026-E1166&gt;0,L1166/(2026-E1166),L1166))</f>
        <v/>
      </c>
    </row>
    <row r="1167" customFormat="false" ht="15" hidden="false" customHeight="true" outlineLevel="0" collapsed="false">
      <c r="N1167" s="1" t="str">
        <f aca="false">IF(L1167="","",IF(2026-E1167&gt;0,L1167/(2026-E1167),L1167))</f>
        <v/>
      </c>
    </row>
    <row r="1168" customFormat="false" ht="15" hidden="false" customHeight="true" outlineLevel="0" collapsed="false">
      <c r="N1168" s="1" t="str">
        <f aca="false">IF(L1168="","",IF(2026-E1168&gt;0,L1168/(2026-E1168),L1168))</f>
        <v/>
      </c>
    </row>
    <row r="1169" customFormat="false" ht="15" hidden="false" customHeight="true" outlineLevel="0" collapsed="false">
      <c r="N1169" s="1" t="str">
        <f aca="false">IF(L1169="","",IF(2026-E1169&gt;0,L1169/(2026-E1169),L1169))</f>
        <v/>
      </c>
    </row>
    <row r="1170" customFormat="false" ht="15" hidden="false" customHeight="true" outlineLevel="0" collapsed="false">
      <c r="N1170" s="1" t="str">
        <f aca="false">IF(L1170="","",IF(2026-E1170&gt;0,L1170/(2026-E1170),L1170))</f>
        <v/>
      </c>
    </row>
    <row r="1171" customFormat="false" ht="15" hidden="false" customHeight="true" outlineLevel="0" collapsed="false">
      <c r="N1171" s="1" t="str">
        <f aca="false">IF(L1171="","",IF(2026-E1171&gt;0,L1171/(2026-E1171),L1171))</f>
        <v/>
      </c>
    </row>
    <row r="1172" customFormat="false" ht="15" hidden="false" customHeight="true" outlineLevel="0" collapsed="false">
      <c r="N1172" s="1" t="str">
        <f aca="false">IF(L1172="","",IF(2026-E1172&gt;0,L1172/(2026-E1172),L1172))</f>
        <v/>
      </c>
    </row>
    <row r="1173" customFormat="false" ht="15" hidden="false" customHeight="true" outlineLevel="0" collapsed="false">
      <c r="N1173" s="1" t="str">
        <f aca="false">IF(L1173="","",IF(2026-E1173&gt;0,L1173/(2026-E1173),L1173))</f>
        <v/>
      </c>
    </row>
    <row r="1174" customFormat="false" ht="15" hidden="false" customHeight="true" outlineLevel="0" collapsed="false">
      <c r="N1174" s="1" t="str">
        <f aca="false">IF(L1174="","",IF(2026-E1174&gt;0,L1174/(2026-E1174),L1174))</f>
        <v/>
      </c>
    </row>
    <row r="1175" customFormat="false" ht="15" hidden="false" customHeight="true" outlineLevel="0" collapsed="false">
      <c r="N1175" s="1" t="str">
        <f aca="false">IF(L1175="","",IF(2026-E1175&gt;0,L1175/(2026-E1175),L1175))</f>
        <v/>
      </c>
    </row>
    <row r="1176" customFormat="false" ht="15" hidden="false" customHeight="true" outlineLevel="0" collapsed="false">
      <c r="N1176" s="1" t="str">
        <f aca="false">IF(L1176="","",IF(2026-E1176&gt;0,L1176/(2026-E1176),L1176))</f>
        <v/>
      </c>
    </row>
    <row r="1177" customFormat="false" ht="15" hidden="false" customHeight="true" outlineLevel="0" collapsed="false">
      <c r="N1177" s="1" t="str">
        <f aca="false">IF(L1177="","",IF(2026-E1177&gt;0,L1177/(2026-E1177),L1177))</f>
        <v/>
      </c>
    </row>
    <row r="1178" customFormat="false" ht="15" hidden="false" customHeight="true" outlineLevel="0" collapsed="false">
      <c r="N1178" s="1" t="str">
        <f aca="false">IF(L1178="","",IF(2026-E1178&gt;0,L1178/(2026-E1178),L1178))</f>
        <v/>
      </c>
    </row>
    <row r="1179" customFormat="false" ht="15" hidden="false" customHeight="true" outlineLevel="0" collapsed="false">
      <c r="N1179" s="1" t="str">
        <f aca="false">IF(L1179="","",IF(2026-E1179&gt;0,L1179/(2026-E1179),L1179))</f>
        <v/>
      </c>
    </row>
    <row r="1180" customFormat="false" ht="15" hidden="false" customHeight="true" outlineLevel="0" collapsed="false">
      <c r="N1180" s="1" t="str">
        <f aca="false">IF(L1180="","",IF(2026-E1180&gt;0,L1180/(2026-E1180),L1180))</f>
        <v/>
      </c>
    </row>
    <row r="1181" customFormat="false" ht="15" hidden="false" customHeight="true" outlineLevel="0" collapsed="false">
      <c r="N1181" s="1" t="str">
        <f aca="false">IF(L1181="","",IF(2026-E1181&gt;0,L1181/(2026-E1181),L1181))</f>
        <v/>
      </c>
    </row>
    <row r="1182" customFormat="false" ht="15" hidden="false" customHeight="true" outlineLevel="0" collapsed="false">
      <c r="N1182" s="1" t="str">
        <f aca="false">IF(L1182="","",IF(2026-E1182&gt;0,L1182/(2026-E1182),L1182))</f>
        <v/>
      </c>
    </row>
    <row r="1183" customFormat="false" ht="15" hidden="false" customHeight="true" outlineLevel="0" collapsed="false">
      <c r="N1183" s="1" t="str">
        <f aca="false">IF(L1183="","",IF(2026-E1183&gt;0,L1183/(2026-E1183),L1183))</f>
        <v/>
      </c>
    </row>
    <row r="1184" customFormat="false" ht="15" hidden="false" customHeight="true" outlineLevel="0" collapsed="false">
      <c r="N1184" s="1" t="str">
        <f aca="false">IF(L1184="","",IF(2026-E1184&gt;0,L1184/(2026-E1184),L1184))</f>
        <v/>
      </c>
    </row>
    <row r="1185" customFormat="false" ht="15" hidden="false" customHeight="true" outlineLevel="0" collapsed="false">
      <c r="N1185" s="1" t="str">
        <f aca="false">IF(L1185="","",IF(2026-E1185&gt;0,L1185/(2026-E1185),L1185))</f>
        <v/>
      </c>
    </row>
    <row r="1186" customFormat="false" ht="15" hidden="false" customHeight="true" outlineLevel="0" collapsed="false">
      <c r="N1186" s="1" t="str">
        <f aca="false">IF(L1186="","",IF(2026-E1186&gt;0,L1186/(2026-E1186),L1186))</f>
        <v/>
      </c>
    </row>
    <row r="1187" customFormat="false" ht="15" hidden="false" customHeight="true" outlineLevel="0" collapsed="false">
      <c r="N1187" s="1" t="str">
        <f aca="false">IF(L1187="","",IF(2026-E1187&gt;0,L1187/(2026-E1187),L1187))</f>
        <v/>
      </c>
    </row>
    <row r="1188" customFormat="false" ht="15" hidden="false" customHeight="true" outlineLevel="0" collapsed="false">
      <c r="N1188" s="1" t="str">
        <f aca="false">IF(L1188="","",IF(2026-E1188&gt;0,L1188/(2026-E1188),L1188))</f>
        <v/>
      </c>
    </row>
    <row r="1189" customFormat="false" ht="15" hidden="false" customHeight="true" outlineLevel="0" collapsed="false">
      <c r="N1189" s="1" t="str">
        <f aca="false">IF(L1189="","",IF(2026-E1189&gt;0,L1189/(2026-E1189),L1189))</f>
        <v/>
      </c>
    </row>
    <row r="1190" customFormat="false" ht="15" hidden="false" customHeight="true" outlineLevel="0" collapsed="false">
      <c r="N1190" s="1" t="str">
        <f aca="false">IF(L1190="","",IF(2026-E1190&gt;0,L1190/(2026-E1190),L1190))</f>
        <v/>
      </c>
    </row>
    <row r="1191" customFormat="false" ht="15" hidden="false" customHeight="true" outlineLevel="0" collapsed="false">
      <c r="N1191" s="1" t="str">
        <f aca="false">IF(L1191="","",IF(2026-E1191&gt;0,L1191/(2026-E1191),L1191))</f>
        <v/>
      </c>
    </row>
    <row r="1192" customFormat="false" ht="15" hidden="false" customHeight="true" outlineLevel="0" collapsed="false">
      <c r="N1192" s="1" t="str">
        <f aca="false">IF(L1192="","",IF(2026-E1192&gt;0,L1192/(2026-E1192),L1192))</f>
        <v/>
      </c>
    </row>
    <row r="1193" customFormat="false" ht="15" hidden="false" customHeight="true" outlineLevel="0" collapsed="false">
      <c r="N1193" s="1" t="str">
        <f aca="false">IF(L1193="","",IF(2026-E1193&gt;0,L1193/(2026-E1193),L1193))</f>
        <v/>
      </c>
    </row>
    <row r="1194" customFormat="false" ht="15" hidden="false" customHeight="true" outlineLevel="0" collapsed="false">
      <c r="N1194" s="1" t="str">
        <f aca="false">IF(L1194="","",IF(2026-E1194&gt;0,L1194/(2026-E1194),L1194))</f>
        <v/>
      </c>
    </row>
    <row r="1195" customFormat="false" ht="15" hidden="false" customHeight="true" outlineLevel="0" collapsed="false">
      <c r="N1195" s="1" t="str">
        <f aca="false">IF(L1195="","",IF(2026-E1195&gt;0,L1195/(2026-E1195),L1195))</f>
        <v/>
      </c>
    </row>
    <row r="1196" customFormat="false" ht="15" hidden="false" customHeight="true" outlineLevel="0" collapsed="false">
      <c r="N1196" s="1" t="str">
        <f aca="false">IF(L1196="","",IF(2026-E1196&gt;0,L1196/(2026-E1196),L1196))</f>
        <v/>
      </c>
    </row>
    <row r="1197" customFormat="false" ht="15" hidden="false" customHeight="true" outlineLevel="0" collapsed="false">
      <c r="N1197" s="1" t="str">
        <f aca="false">IF(L1197="","",IF(2026-E1197&gt;0,L1197/(2026-E1197),L1197))</f>
        <v/>
      </c>
    </row>
    <row r="1198" customFormat="false" ht="15" hidden="false" customHeight="true" outlineLevel="0" collapsed="false">
      <c r="N1198" s="1" t="str">
        <f aca="false">IF(L1198="","",IF(2026-E1198&gt;0,L1198/(2026-E1198),L1198))</f>
        <v/>
      </c>
    </row>
    <row r="1199" customFormat="false" ht="15" hidden="false" customHeight="true" outlineLevel="0" collapsed="false">
      <c r="N1199" s="1" t="str">
        <f aca="false">IF(L1199="","",IF(2026-E1199&gt;0,L1199/(2026-E1199),L1199))</f>
        <v/>
      </c>
    </row>
    <row r="1200" customFormat="false" ht="15" hidden="false" customHeight="true" outlineLevel="0" collapsed="false">
      <c r="N1200" s="1" t="str">
        <f aca="false">IF(L1200="","",IF(2026-E1200&gt;0,L1200/(2026-E1200),L1200))</f>
        <v/>
      </c>
    </row>
    <row r="1201" customFormat="false" ht="15" hidden="false" customHeight="true" outlineLevel="0" collapsed="false">
      <c r="N1201" s="1" t="str">
        <f aca="false">IF(L1201="","",IF(2026-E1201&gt;0,L1201/(2026-E1201),L1201))</f>
        <v/>
      </c>
    </row>
    <row r="1202" customFormat="false" ht="15" hidden="false" customHeight="true" outlineLevel="0" collapsed="false">
      <c r="N1202" s="1" t="str">
        <f aca="false">IF(L1202="","",IF(2026-E1202&gt;0,L1202/(2026-E1202),L1202))</f>
        <v/>
      </c>
    </row>
    <row r="1203" customFormat="false" ht="15" hidden="false" customHeight="true" outlineLevel="0" collapsed="false">
      <c r="N1203" s="1" t="str">
        <f aca="false">IF(L1203="","",IF(2026-E1203&gt;0,L1203/(2026-E1203),L1203))</f>
        <v/>
      </c>
    </row>
    <row r="1204" customFormat="false" ht="15" hidden="false" customHeight="true" outlineLevel="0" collapsed="false">
      <c r="N1204" s="1" t="str">
        <f aca="false">IF(L1204="","",IF(2026-E1204&gt;0,L1204/(2026-E1204),L1204))</f>
        <v/>
      </c>
    </row>
    <row r="1205" customFormat="false" ht="15" hidden="false" customHeight="true" outlineLevel="0" collapsed="false">
      <c r="N1205" s="1" t="str">
        <f aca="false">IF(L1205="","",IF(2026-E1205&gt;0,L1205/(2026-E1205),L1205))</f>
        <v/>
      </c>
    </row>
    <row r="1206" customFormat="false" ht="15" hidden="false" customHeight="true" outlineLevel="0" collapsed="false">
      <c r="N1206" s="1" t="str">
        <f aca="false">IF(L1206="","",IF(2026-E1206&gt;0,L1206/(2026-E1206),L1206))</f>
        <v/>
      </c>
    </row>
    <row r="1207" customFormat="false" ht="15" hidden="false" customHeight="true" outlineLevel="0" collapsed="false">
      <c r="N1207" s="1" t="str">
        <f aca="false">IF(L1207="","",IF(2026-E1207&gt;0,L1207/(2026-E1207),L1207))</f>
        <v/>
      </c>
    </row>
    <row r="1208" customFormat="false" ht="15" hidden="false" customHeight="true" outlineLevel="0" collapsed="false">
      <c r="N1208" s="1" t="str">
        <f aca="false">IF(L1208="","",IF(2026-E1208&gt;0,L1208/(2026-E1208),L1208))</f>
        <v/>
      </c>
    </row>
    <row r="1209" customFormat="false" ht="15" hidden="false" customHeight="true" outlineLevel="0" collapsed="false">
      <c r="N1209" s="1" t="str">
        <f aca="false">IF(L1209="","",IF(2026-E1209&gt;0,L1209/(2026-E1209),L1209))</f>
        <v/>
      </c>
    </row>
    <row r="1210" customFormat="false" ht="15" hidden="false" customHeight="true" outlineLevel="0" collapsed="false">
      <c r="N1210" s="1" t="str">
        <f aca="false">IF(L1210="","",IF(2026-E1210&gt;0,L1210/(2026-E1210),L1210))</f>
        <v/>
      </c>
    </row>
    <row r="1211" customFormat="false" ht="15" hidden="false" customHeight="true" outlineLevel="0" collapsed="false">
      <c r="N1211" s="1" t="str">
        <f aca="false">IF(L1211="","",IF(2026-E1211&gt;0,L1211/(2026-E1211),L1211))</f>
        <v/>
      </c>
    </row>
    <row r="1212" customFormat="false" ht="15" hidden="false" customHeight="true" outlineLevel="0" collapsed="false">
      <c r="N1212" s="1" t="str">
        <f aca="false">IF(L1212="","",IF(2026-E1212&gt;0,L1212/(2026-E1212),L1212))</f>
        <v/>
      </c>
    </row>
    <row r="1213" customFormat="false" ht="15" hidden="false" customHeight="true" outlineLevel="0" collapsed="false">
      <c r="N1213" s="1" t="str">
        <f aca="false">IF(L1213="","",IF(2026-E1213&gt;0,L1213/(2026-E1213),L1213))</f>
        <v/>
      </c>
    </row>
    <row r="1214" customFormat="false" ht="15" hidden="false" customHeight="true" outlineLevel="0" collapsed="false">
      <c r="N1214" s="1" t="str">
        <f aca="false">IF(L1214="","",IF(2026-E1214&gt;0,L1214/(2026-E1214),L1214))</f>
        <v/>
      </c>
    </row>
    <row r="1215" customFormat="false" ht="15" hidden="false" customHeight="true" outlineLevel="0" collapsed="false">
      <c r="N1215" s="1" t="str">
        <f aca="false">IF(L1215="","",IF(2026-E1215&gt;0,L1215/(2026-E1215),L1215))</f>
        <v/>
      </c>
    </row>
    <row r="1216" customFormat="false" ht="15" hidden="false" customHeight="true" outlineLevel="0" collapsed="false">
      <c r="N1216" s="1" t="str">
        <f aca="false">IF(L1216="","",IF(2026-E1216&gt;0,L1216/(2026-E1216),L1216))</f>
        <v/>
      </c>
    </row>
    <row r="1217" customFormat="false" ht="15" hidden="false" customHeight="true" outlineLevel="0" collapsed="false">
      <c r="N1217" s="1" t="str">
        <f aca="false">IF(L1217="","",IF(2026-E1217&gt;0,L1217/(2026-E1217),L1217))</f>
        <v/>
      </c>
    </row>
    <row r="1218" customFormat="false" ht="15" hidden="false" customHeight="true" outlineLevel="0" collapsed="false">
      <c r="N1218" s="1" t="str">
        <f aca="false">IF(L1218="","",IF(2026-E1218&gt;0,L1218/(2026-E1218),L1218))</f>
        <v/>
      </c>
    </row>
    <row r="1219" customFormat="false" ht="15" hidden="false" customHeight="true" outlineLevel="0" collapsed="false">
      <c r="N1219" s="1" t="str">
        <f aca="false">IF(L1219="","",IF(2026-E1219&gt;0,L1219/(2026-E1219),L1219))</f>
        <v/>
      </c>
    </row>
    <row r="1220" customFormat="false" ht="15" hidden="false" customHeight="true" outlineLevel="0" collapsed="false">
      <c r="N1220" s="1" t="str">
        <f aca="false">IF(L1220="","",IF(2026-E1220&gt;0,L1220/(2026-E1220),L1220))</f>
        <v/>
      </c>
    </row>
    <row r="1221" customFormat="false" ht="15" hidden="false" customHeight="true" outlineLevel="0" collapsed="false">
      <c r="N1221" s="1" t="str">
        <f aca="false">IF(L1221="","",IF(2026-E1221&gt;0,L1221/(2026-E1221),L1221))</f>
        <v/>
      </c>
    </row>
    <row r="1222" customFormat="false" ht="15" hidden="false" customHeight="true" outlineLevel="0" collapsed="false">
      <c r="N1222" s="1" t="str">
        <f aca="false">IF(L1222="","",IF(2026-E1222&gt;0,L1222/(2026-E1222),L1222))</f>
        <v/>
      </c>
    </row>
    <row r="1223" customFormat="false" ht="15" hidden="false" customHeight="true" outlineLevel="0" collapsed="false">
      <c r="N1223" s="1" t="str">
        <f aca="false">IF(L1223="","",IF(2026-E1223&gt;0,L1223/(2026-E1223),L1223))</f>
        <v/>
      </c>
    </row>
    <row r="1224" customFormat="false" ht="15" hidden="false" customHeight="true" outlineLevel="0" collapsed="false">
      <c r="N1224" s="1" t="str">
        <f aca="false">IF(L1224="","",IF(2026-E1224&gt;0,L1224/(2026-E1224),L1224))</f>
        <v/>
      </c>
    </row>
    <row r="1225" customFormat="false" ht="15" hidden="false" customHeight="true" outlineLevel="0" collapsed="false">
      <c r="N1225" s="1" t="str">
        <f aca="false">IF(L1225="","",IF(2026-E1225&gt;0,L1225/(2026-E1225),L1225))</f>
        <v/>
      </c>
    </row>
    <row r="1226" customFormat="false" ht="15" hidden="false" customHeight="true" outlineLevel="0" collapsed="false">
      <c r="N1226" s="1" t="str">
        <f aca="false">IF(L1226="","",IF(2026-E1226&gt;0,L1226/(2026-E1226),L1226))</f>
        <v/>
      </c>
    </row>
    <row r="1227" customFormat="false" ht="15" hidden="false" customHeight="true" outlineLevel="0" collapsed="false">
      <c r="N1227" s="1" t="str">
        <f aca="false">IF(L1227="","",IF(2026-E1227&gt;0,L1227/(2026-E1227),L1227))</f>
        <v/>
      </c>
    </row>
    <row r="1228" customFormat="false" ht="15" hidden="false" customHeight="true" outlineLevel="0" collapsed="false">
      <c r="N1228" s="1" t="str">
        <f aca="false">IF(L1228="","",IF(2026-E1228&gt;0,L1228/(2026-E1228),L1228))</f>
        <v/>
      </c>
    </row>
    <row r="1229" customFormat="false" ht="15" hidden="false" customHeight="true" outlineLevel="0" collapsed="false">
      <c r="N1229" s="1" t="str">
        <f aca="false">IF(L1229="","",IF(2026-E1229&gt;0,L1229/(2026-E1229),L1229))</f>
        <v/>
      </c>
    </row>
    <row r="1230" customFormat="false" ht="15" hidden="false" customHeight="true" outlineLevel="0" collapsed="false">
      <c r="N1230" s="1" t="str">
        <f aca="false">IF(L1230="","",IF(2026-E1230&gt;0,L1230/(2026-E1230),L1230))</f>
        <v/>
      </c>
    </row>
    <row r="1231" customFormat="false" ht="15" hidden="false" customHeight="true" outlineLevel="0" collapsed="false">
      <c r="N1231" s="1" t="str">
        <f aca="false">IF(L1231="","",IF(2026-E1231&gt;0,L1231/(2026-E1231),L1231))</f>
        <v/>
      </c>
    </row>
    <row r="1232" customFormat="false" ht="15" hidden="false" customHeight="true" outlineLevel="0" collapsed="false">
      <c r="N1232" s="1" t="str">
        <f aca="false">IF(L1232="","",IF(2026-E1232&gt;0,L1232/(2026-E1232),L1232))</f>
        <v/>
      </c>
    </row>
    <row r="1233" customFormat="false" ht="15" hidden="false" customHeight="true" outlineLevel="0" collapsed="false">
      <c r="N1233" s="1" t="str">
        <f aca="false">IF(L1233="","",IF(2026-E1233&gt;0,L1233/(2026-E1233),L1233))</f>
        <v/>
      </c>
    </row>
    <row r="1234" customFormat="false" ht="15" hidden="false" customHeight="true" outlineLevel="0" collapsed="false">
      <c r="N1234" s="1" t="str">
        <f aca="false">IF(L1234="","",IF(2026-E1234&gt;0,L1234/(2026-E1234),L1234))</f>
        <v/>
      </c>
    </row>
    <row r="1235" customFormat="false" ht="15" hidden="false" customHeight="true" outlineLevel="0" collapsed="false">
      <c r="N1235" s="1" t="str">
        <f aca="false">IF(L1235="","",IF(2026-E1235&gt;0,L1235/(2026-E1235),L1235))</f>
        <v/>
      </c>
    </row>
    <row r="1236" customFormat="false" ht="15" hidden="false" customHeight="true" outlineLevel="0" collapsed="false">
      <c r="N1236" s="1" t="str">
        <f aca="false">IF(L1236="","",IF(2026-E1236&gt;0,L1236/(2026-E1236),L1236))</f>
        <v/>
      </c>
    </row>
    <row r="1237" customFormat="false" ht="15" hidden="false" customHeight="true" outlineLevel="0" collapsed="false">
      <c r="N1237" s="1" t="str">
        <f aca="false">IF(L1237="","",IF(2026-E1237&gt;0,L1237/(2026-E1237),L1237))</f>
        <v/>
      </c>
    </row>
    <row r="1238" customFormat="false" ht="15" hidden="false" customHeight="true" outlineLevel="0" collapsed="false">
      <c r="N1238" s="1" t="str">
        <f aca="false">IF(L1238="","",IF(2026-E1238&gt;0,L1238/(2026-E1238),L1238))</f>
        <v/>
      </c>
    </row>
    <row r="1239" customFormat="false" ht="15" hidden="false" customHeight="true" outlineLevel="0" collapsed="false">
      <c r="N1239" s="1" t="str">
        <f aca="false">IF(L1239="","",IF(2026-E1239&gt;0,L1239/(2026-E1239),L1239))</f>
        <v/>
      </c>
    </row>
    <row r="1240" customFormat="false" ht="15" hidden="false" customHeight="true" outlineLevel="0" collapsed="false">
      <c r="N1240" s="1" t="str">
        <f aca="false">IF(L1240="","",IF(2026-E1240&gt;0,L1240/(2026-E1240),L1240))</f>
        <v/>
      </c>
    </row>
    <row r="1241" customFormat="false" ht="15" hidden="false" customHeight="true" outlineLevel="0" collapsed="false">
      <c r="N1241" s="1" t="str">
        <f aca="false">IF(L1241="","",IF(2026-E1241&gt;0,L1241/(2026-E1241),L1241))</f>
        <v/>
      </c>
    </row>
    <row r="1242" customFormat="false" ht="15" hidden="false" customHeight="true" outlineLevel="0" collapsed="false">
      <c r="N1242" s="1" t="str">
        <f aca="false">IF(L1242="","",IF(2026-E1242&gt;0,L1242/(2026-E1242),L1242))</f>
        <v/>
      </c>
    </row>
    <row r="1243" customFormat="false" ht="15" hidden="false" customHeight="true" outlineLevel="0" collapsed="false">
      <c r="N1243" s="1" t="str">
        <f aca="false">IF(L1243="","",IF(2026-E1243&gt;0,L1243/(2026-E1243),L1243))</f>
        <v/>
      </c>
    </row>
    <row r="1244" customFormat="false" ht="15" hidden="false" customHeight="true" outlineLevel="0" collapsed="false">
      <c r="N1244" s="1" t="str">
        <f aca="false">IF(L1244="","",IF(2026-E1244&gt;0,L1244/(2026-E1244),L1244))</f>
        <v/>
      </c>
    </row>
    <row r="1245" customFormat="false" ht="15" hidden="false" customHeight="true" outlineLevel="0" collapsed="false">
      <c r="N1245" s="1" t="str">
        <f aca="false">IF(L1245="","",IF(2026-E1245&gt;0,L1245/(2026-E1245),L1245))</f>
        <v/>
      </c>
    </row>
    <row r="1246" customFormat="false" ht="15" hidden="false" customHeight="true" outlineLevel="0" collapsed="false">
      <c r="N1246" s="1" t="str">
        <f aca="false">IF(L1246="","",IF(2026-E1246&gt;0,L1246/(2026-E1246),L1246))</f>
        <v/>
      </c>
    </row>
    <row r="1247" customFormat="false" ht="15" hidden="false" customHeight="true" outlineLevel="0" collapsed="false">
      <c r="N1247" s="1" t="str">
        <f aca="false">IF(L1247="","",IF(2026-E1247&gt;0,L1247/(2026-E1247),L1247))</f>
        <v/>
      </c>
    </row>
    <row r="1248" customFormat="false" ht="15" hidden="false" customHeight="true" outlineLevel="0" collapsed="false">
      <c r="N1248" s="1" t="str">
        <f aca="false">IF(L1248="","",IF(2026-E1248&gt;0,L1248/(2026-E1248),L1248))</f>
        <v/>
      </c>
    </row>
    <row r="1249" customFormat="false" ht="15" hidden="false" customHeight="true" outlineLevel="0" collapsed="false">
      <c r="N1249" s="1" t="str">
        <f aca="false">IF(L1249="","",IF(2026-E1249&gt;0,L1249/(2026-E1249),L1249))</f>
        <v/>
      </c>
    </row>
    <row r="1250" customFormat="false" ht="15" hidden="false" customHeight="true" outlineLevel="0" collapsed="false">
      <c r="N1250" s="1" t="str">
        <f aca="false">IF(L1250="","",IF(2026-E1250&gt;0,L1250/(2026-E1250),L1250))</f>
        <v/>
      </c>
    </row>
    <row r="1251" customFormat="false" ht="15" hidden="false" customHeight="true" outlineLevel="0" collapsed="false">
      <c r="N1251" s="1" t="str">
        <f aca="false">IF(L1251="","",IF(2026-E1251&gt;0,L1251/(2026-E1251),L1251))</f>
        <v/>
      </c>
    </row>
    <row r="1252" customFormat="false" ht="15" hidden="false" customHeight="true" outlineLevel="0" collapsed="false">
      <c r="N1252" s="1" t="str">
        <f aca="false">IF(L1252="","",IF(2026-E1252&gt;0,L1252/(2026-E1252),L1252))</f>
        <v/>
      </c>
    </row>
    <row r="1253" customFormat="false" ht="15" hidden="false" customHeight="true" outlineLevel="0" collapsed="false">
      <c r="N1253" s="1" t="str">
        <f aca="false">IF(L1253="","",IF(2026-E1253&gt;0,L1253/(2026-E1253),L1253))</f>
        <v/>
      </c>
    </row>
    <row r="1254" customFormat="false" ht="15" hidden="false" customHeight="true" outlineLevel="0" collapsed="false">
      <c r="N1254" s="1" t="str">
        <f aca="false">IF(L1254="","",IF(2026-E1254&gt;0,L1254/(2026-E1254),L1254))</f>
        <v/>
      </c>
    </row>
    <row r="1255" customFormat="false" ht="15" hidden="false" customHeight="true" outlineLevel="0" collapsed="false">
      <c r="N1255" s="1" t="str">
        <f aca="false">IF(L1255="","",IF(2026-E1255&gt;0,L1255/(2026-E1255),L1255))</f>
        <v/>
      </c>
    </row>
    <row r="1256" customFormat="false" ht="15" hidden="false" customHeight="true" outlineLevel="0" collapsed="false">
      <c r="N1256" s="1" t="str">
        <f aca="false">IF(L1256="","",IF(2026-E1256&gt;0,L1256/(2026-E1256),L1256))</f>
        <v/>
      </c>
    </row>
    <row r="1257" customFormat="false" ht="15" hidden="false" customHeight="true" outlineLevel="0" collapsed="false">
      <c r="N1257" s="1" t="str">
        <f aca="false">IF(L1257="","",IF(2026-E1257&gt;0,L1257/(2026-E1257),L1257))</f>
        <v/>
      </c>
    </row>
    <row r="1258" customFormat="false" ht="15" hidden="false" customHeight="true" outlineLevel="0" collapsed="false">
      <c r="N1258" s="1" t="str">
        <f aca="false">IF(L1258="","",IF(2026-E1258&gt;0,L1258/(2026-E1258),L1258))</f>
        <v/>
      </c>
    </row>
    <row r="1259" customFormat="false" ht="15" hidden="false" customHeight="true" outlineLevel="0" collapsed="false">
      <c r="N1259" s="1" t="str">
        <f aca="false">IF(L1259="","",IF(2026-E1259&gt;0,L1259/(2026-E1259),L1259))</f>
        <v/>
      </c>
    </row>
    <row r="1260" customFormat="false" ht="15" hidden="false" customHeight="true" outlineLevel="0" collapsed="false">
      <c r="N1260" s="1" t="str">
        <f aca="false">IF(L1260="","",IF(2026-E1260&gt;0,L1260/(2026-E1260),L1260))</f>
        <v/>
      </c>
    </row>
    <row r="1261" customFormat="false" ht="15" hidden="false" customHeight="true" outlineLevel="0" collapsed="false">
      <c r="N1261" s="1" t="str">
        <f aca="false">IF(L1261="","",IF(2026-E1261&gt;0,L1261/(2026-E1261),L1261))</f>
        <v/>
      </c>
    </row>
    <row r="1262" customFormat="false" ht="15" hidden="false" customHeight="true" outlineLevel="0" collapsed="false">
      <c r="N1262" s="1" t="str">
        <f aca="false">IF(L1262="","",IF(2026-E1262&gt;0,L1262/(2026-E1262),L1262))</f>
        <v/>
      </c>
    </row>
    <row r="1263" customFormat="false" ht="15" hidden="false" customHeight="true" outlineLevel="0" collapsed="false">
      <c r="N1263" s="1" t="str">
        <f aca="false">IF(L1263="","",IF(2026-E1263&gt;0,L1263/(2026-E1263),L1263))</f>
        <v/>
      </c>
    </row>
    <row r="1264" customFormat="false" ht="15" hidden="false" customHeight="true" outlineLevel="0" collapsed="false">
      <c r="N1264" s="1" t="str">
        <f aca="false">IF(L1264="","",IF(2026-E1264&gt;0,L1264/(2026-E1264),L1264))</f>
        <v/>
      </c>
    </row>
    <row r="1265" customFormat="false" ht="15" hidden="false" customHeight="true" outlineLevel="0" collapsed="false">
      <c r="N1265" s="1" t="str">
        <f aca="false">IF(L1265="","",IF(2026-E1265&gt;0,L1265/(2026-E1265),L1265))</f>
        <v/>
      </c>
    </row>
    <row r="1266" customFormat="false" ht="15" hidden="false" customHeight="true" outlineLevel="0" collapsed="false">
      <c r="N1266" s="1" t="str">
        <f aca="false">IF(L1266="","",IF(2026-E1266&gt;0,L1266/(2026-E1266),L1266))</f>
        <v/>
      </c>
    </row>
    <row r="1267" customFormat="false" ht="15" hidden="false" customHeight="true" outlineLevel="0" collapsed="false">
      <c r="N1267" s="1" t="str">
        <f aca="false">IF(L1267="","",IF(2026-E1267&gt;0,L1267/(2026-E1267),L1267))</f>
        <v/>
      </c>
    </row>
    <row r="1268" customFormat="false" ht="15" hidden="false" customHeight="true" outlineLevel="0" collapsed="false">
      <c r="N1268" s="1" t="str">
        <f aca="false">IF(L1268="","",IF(2026-E1268&gt;0,L1268/(2026-E1268),L1268))</f>
        <v/>
      </c>
    </row>
    <row r="1269" customFormat="false" ht="15" hidden="false" customHeight="true" outlineLevel="0" collapsed="false">
      <c r="N1269" s="1" t="str">
        <f aca="false">IF(L1269="","",IF(2026-E1269&gt;0,L1269/(2026-E1269),L1269))</f>
        <v/>
      </c>
    </row>
    <row r="1270" customFormat="false" ht="15" hidden="false" customHeight="true" outlineLevel="0" collapsed="false">
      <c r="N1270" s="1" t="str">
        <f aca="false">IF(L1270="","",IF(2026-E1270&gt;0,L1270/(2026-E1270),L1270))</f>
        <v/>
      </c>
    </row>
    <row r="1271" customFormat="false" ht="15" hidden="false" customHeight="true" outlineLevel="0" collapsed="false">
      <c r="N1271" s="1" t="str">
        <f aca="false">IF(L1271="","",IF(2026-E1271&gt;0,L1271/(2026-E1271),L1271))</f>
        <v/>
      </c>
    </row>
    <row r="1272" customFormat="false" ht="15" hidden="false" customHeight="true" outlineLevel="0" collapsed="false">
      <c r="N1272" s="1" t="str">
        <f aca="false">IF(L1272="","",IF(2026-E1272&gt;0,L1272/(2026-E1272),L1272))</f>
        <v/>
      </c>
    </row>
    <row r="1273" customFormat="false" ht="15" hidden="false" customHeight="true" outlineLevel="0" collapsed="false">
      <c r="N1273" s="1" t="str">
        <f aca="false">IF(L1273="","",IF(2026-E1273&gt;0,L1273/(2026-E1273),L1273))</f>
        <v/>
      </c>
    </row>
    <row r="1274" customFormat="false" ht="15" hidden="false" customHeight="true" outlineLevel="0" collapsed="false">
      <c r="N1274" s="1" t="str">
        <f aca="false">IF(L1274="","",IF(2026-E1274&gt;0,L1274/(2026-E1274),L1274))</f>
        <v/>
      </c>
    </row>
    <row r="1275" customFormat="false" ht="15" hidden="false" customHeight="true" outlineLevel="0" collapsed="false">
      <c r="N1275" s="1" t="str">
        <f aca="false">IF(L1275="","",IF(2026-E1275&gt;0,L1275/(2026-E1275),L1275))</f>
        <v/>
      </c>
    </row>
    <row r="1276" customFormat="false" ht="15" hidden="false" customHeight="true" outlineLevel="0" collapsed="false">
      <c r="N1276" s="1" t="str">
        <f aca="false">IF(L1276="","",IF(2026-E1276&gt;0,L1276/(2026-E1276),L1276))</f>
        <v/>
      </c>
    </row>
    <row r="1277" customFormat="false" ht="15" hidden="false" customHeight="true" outlineLevel="0" collapsed="false">
      <c r="N1277" s="1" t="str">
        <f aca="false">IF(L1277="","",IF(2026-E1277&gt;0,L1277/(2026-E1277),L1277))</f>
        <v/>
      </c>
    </row>
    <row r="1278" customFormat="false" ht="15" hidden="false" customHeight="true" outlineLevel="0" collapsed="false">
      <c r="N1278" s="1" t="str">
        <f aca="false">IF(L1278="","",IF(2026-E1278&gt;0,L1278/(2026-E1278),L1278))</f>
        <v/>
      </c>
    </row>
    <row r="1279" customFormat="false" ht="15" hidden="false" customHeight="true" outlineLevel="0" collapsed="false">
      <c r="N1279" s="1" t="str">
        <f aca="false">IF(L1279="","",IF(2026-E1279&gt;0,L1279/(2026-E1279),L1279))</f>
        <v/>
      </c>
    </row>
    <row r="1280" customFormat="false" ht="15" hidden="false" customHeight="true" outlineLevel="0" collapsed="false">
      <c r="N1280" s="1" t="str">
        <f aca="false">IF(L1280="","",IF(2026-E1280&gt;0,L1280/(2026-E1280),L1280))</f>
        <v/>
      </c>
    </row>
    <row r="1281" customFormat="false" ht="15" hidden="false" customHeight="true" outlineLevel="0" collapsed="false">
      <c r="N1281" s="1" t="str">
        <f aca="false">IF(L1281="","",IF(2026-E1281&gt;0,L1281/(2026-E1281),L1281))</f>
        <v/>
      </c>
    </row>
    <row r="1282" customFormat="false" ht="15" hidden="false" customHeight="true" outlineLevel="0" collapsed="false">
      <c r="N1282" s="1" t="str">
        <f aca="false">IF(L1282="","",IF(2026-E1282&gt;0,L1282/(2026-E1282),L1282))</f>
        <v/>
      </c>
    </row>
    <row r="1283" customFormat="false" ht="15" hidden="false" customHeight="true" outlineLevel="0" collapsed="false">
      <c r="N1283" s="1" t="str">
        <f aca="false">IF(L1283="","",IF(2026-E1283&gt;0,L1283/(2026-E1283),L1283))</f>
        <v/>
      </c>
    </row>
    <row r="1284" customFormat="false" ht="15" hidden="false" customHeight="true" outlineLevel="0" collapsed="false">
      <c r="N1284" s="1" t="str">
        <f aca="false">IF(L1284="","",IF(2026-E1284&gt;0,L1284/(2026-E1284),L1284))</f>
        <v/>
      </c>
    </row>
    <row r="1285" customFormat="false" ht="15" hidden="false" customHeight="true" outlineLevel="0" collapsed="false">
      <c r="N1285" s="1" t="str">
        <f aca="false">IF(L1285="","",IF(2026-E1285&gt;0,L1285/(2026-E1285),L1285))</f>
        <v/>
      </c>
    </row>
    <row r="1286" customFormat="false" ht="15" hidden="false" customHeight="true" outlineLevel="0" collapsed="false">
      <c r="N1286" s="1" t="str">
        <f aca="false">IF(L1286="","",IF(2026-E1286&gt;0,L1286/(2026-E1286),L1286))</f>
        <v/>
      </c>
    </row>
    <row r="1287" customFormat="false" ht="15" hidden="false" customHeight="true" outlineLevel="0" collapsed="false">
      <c r="N1287" s="1" t="str">
        <f aca="false">IF(L1287="","",IF(2026-E1287&gt;0,L1287/(2026-E1287),L1287))</f>
        <v/>
      </c>
    </row>
    <row r="1288" customFormat="false" ht="15" hidden="false" customHeight="true" outlineLevel="0" collapsed="false">
      <c r="N1288" s="1" t="str">
        <f aca="false">IF(L1288="","",IF(2026-E1288&gt;0,L1288/(2026-E1288),L1288))</f>
        <v/>
      </c>
    </row>
    <row r="1289" customFormat="false" ht="15" hidden="false" customHeight="true" outlineLevel="0" collapsed="false">
      <c r="N1289" s="1" t="str">
        <f aca="false">IF(L1289="","",IF(2026-E1289&gt;0,L1289/(2026-E1289),L1289))</f>
        <v/>
      </c>
    </row>
    <row r="1290" customFormat="false" ht="15" hidden="false" customHeight="true" outlineLevel="0" collapsed="false">
      <c r="N1290" s="1" t="str">
        <f aca="false">IF(L1290="","",IF(2026-E1290&gt;0,L1290/(2026-E1290),L1290))</f>
        <v/>
      </c>
    </row>
    <row r="1291" customFormat="false" ht="15" hidden="false" customHeight="true" outlineLevel="0" collapsed="false">
      <c r="N1291" s="1" t="str">
        <f aca="false">IF(L1291="","",IF(2026-E1291&gt;0,L1291/(2026-E1291),L1291))</f>
        <v/>
      </c>
    </row>
    <row r="1292" customFormat="false" ht="15" hidden="false" customHeight="true" outlineLevel="0" collapsed="false">
      <c r="N1292" s="1" t="str">
        <f aca="false">IF(L1292="","",IF(2026-E1292&gt;0,L1292/(2026-E1292),L1292))</f>
        <v/>
      </c>
    </row>
    <row r="1293" customFormat="false" ht="15" hidden="false" customHeight="true" outlineLevel="0" collapsed="false">
      <c r="N1293" s="1" t="str">
        <f aca="false">IF(L1293="","",IF(2026-E1293&gt;0,L1293/(2026-E1293),L1293))</f>
        <v/>
      </c>
    </row>
    <row r="1294" customFormat="false" ht="15" hidden="false" customHeight="true" outlineLevel="0" collapsed="false">
      <c r="N1294" s="1" t="str">
        <f aca="false">IF(L1294="","",IF(2026-E1294&gt;0,L1294/(2026-E1294),L1294))</f>
        <v/>
      </c>
    </row>
    <row r="1295" customFormat="false" ht="15" hidden="false" customHeight="true" outlineLevel="0" collapsed="false">
      <c r="N1295" s="1" t="str">
        <f aca="false">IF(L1295="","",IF(2026-E1295&gt;0,L1295/(2026-E1295),L1295))</f>
        <v/>
      </c>
    </row>
    <row r="1296" customFormat="false" ht="15" hidden="false" customHeight="true" outlineLevel="0" collapsed="false">
      <c r="N1296" s="1" t="str">
        <f aca="false">IF(L1296="","",IF(2026-E1296&gt;0,L1296/(2026-E1296),L1296))</f>
        <v/>
      </c>
    </row>
    <row r="1297" customFormat="false" ht="15" hidden="false" customHeight="true" outlineLevel="0" collapsed="false">
      <c r="N1297" s="1" t="str">
        <f aca="false">IF(L1297="","",IF(2026-E1297&gt;0,L1297/(2026-E1297),L1297))</f>
        <v/>
      </c>
    </row>
    <row r="1298" customFormat="false" ht="15" hidden="false" customHeight="true" outlineLevel="0" collapsed="false">
      <c r="N1298" s="1" t="str">
        <f aca="false">IF(L1298="","",IF(2026-E1298&gt;0,L1298/(2026-E1298),L1298))</f>
        <v/>
      </c>
    </row>
    <row r="1299" customFormat="false" ht="15" hidden="false" customHeight="true" outlineLevel="0" collapsed="false">
      <c r="N1299" s="1" t="str">
        <f aca="false">IF(L1299="","",IF(2026-E1299&gt;0,L1299/(2026-E1299),L1299))</f>
        <v/>
      </c>
    </row>
    <row r="1300" customFormat="false" ht="15" hidden="false" customHeight="true" outlineLevel="0" collapsed="false">
      <c r="N1300" s="1" t="str">
        <f aca="false">IF(L1300="","",IF(2026-E1300&gt;0,L1300/(2026-E1300),L1300))</f>
        <v/>
      </c>
    </row>
    <row r="1301" customFormat="false" ht="15" hidden="false" customHeight="true" outlineLevel="0" collapsed="false">
      <c r="N1301" s="1" t="str">
        <f aca="false">IF(L1301="","",IF(2026-E1301&gt;0,L1301/(2026-E1301),L1301))</f>
        <v/>
      </c>
    </row>
    <row r="1302" customFormat="false" ht="15" hidden="false" customHeight="true" outlineLevel="0" collapsed="false">
      <c r="N1302" s="1" t="str">
        <f aca="false">IF(L1302="","",IF(2026-E1302&gt;0,L1302/(2026-E1302),L1302))</f>
        <v/>
      </c>
    </row>
    <row r="1303" customFormat="false" ht="15" hidden="false" customHeight="true" outlineLevel="0" collapsed="false">
      <c r="N1303" s="1" t="str">
        <f aca="false">IF(L1303="","",IF(2026-E1303&gt;0,L1303/(2026-E1303),L1303))</f>
        <v/>
      </c>
    </row>
    <row r="1304" customFormat="false" ht="15" hidden="false" customHeight="true" outlineLevel="0" collapsed="false">
      <c r="N1304" s="1" t="str">
        <f aca="false">IF(L1304="","",IF(2026-E1304&gt;0,L1304/(2026-E1304),L1304))</f>
        <v/>
      </c>
    </row>
    <row r="1305" customFormat="false" ht="15" hidden="false" customHeight="true" outlineLevel="0" collapsed="false">
      <c r="N1305" s="1" t="str">
        <f aca="false">IF(L1305="","",IF(2026-E1305&gt;0,L1305/(2026-E1305),L1305))</f>
        <v/>
      </c>
    </row>
    <row r="1306" customFormat="false" ht="15" hidden="false" customHeight="true" outlineLevel="0" collapsed="false">
      <c r="N1306" s="1" t="str">
        <f aca="false">IF(L1306="","",IF(2026-E1306&gt;0,L1306/(2026-E1306),L1306))</f>
        <v/>
      </c>
    </row>
    <row r="1307" customFormat="false" ht="15" hidden="false" customHeight="true" outlineLevel="0" collapsed="false">
      <c r="N1307" s="1" t="str">
        <f aca="false">IF(L1307="","",IF(2026-E1307&gt;0,L1307/(2026-E1307),L1307))</f>
        <v/>
      </c>
    </row>
    <row r="1308" customFormat="false" ht="15" hidden="false" customHeight="true" outlineLevel="0" collapsed="false">
      <c r="N1308" s="1" t="str">
        <f aca="false">IF(L1308="","",IF(2026-E1308&gt;0,L1308/(2026-E1308),L1308))</f>
        <v/>
      </c>
    </row>
    <row r="1309" customFormat="false" ht="15" hidden="false" customHeight="true" outlineLevel="0" collapsed="false">
      <c r="N1309" s="1" t="str">
        <f aca="false">IF(L1309="","",IF(2026-E1309&gt;0,L1309/(2026-E1309),L1309))</f>
        <v/>
      </c>
    </row>
    <row r="1310" customFormat="false" ht="15" hidden="false" customHeight="true" outlineLevel="0" collapsed="false">
      <c r="N1310" s="1" t="str">
        <f aca="false">IF(L1310="","",IF(2026-E1310&gt;0,L1310/(2026-E1310),L1310))</f>
        <v/>
      </c>
    </row>
    <row r="1311" customFormat="false" ht="15" hidden="false" customHeight="true" outlineLevel="0" collapsed="false">
      <c r="N1311" s="1" t="str">
        <f aca="false">IF(L1311="","",IF(2026-E1311&gt;0,L1311/(2026-E1311),L1311))</f>
        <v/>
      </c>
    </row>
    <row r="1312" customFormat="false" ht="15" hidden="false" customHeight="true" outlineLevel="0" collapsed="false">
      <c r="N1312" s="1" t="str">
        <f aca="false">IF(L1312="","",IF(2026-E1312&gt;0,L1312/(2026-E1312),L1312))</f>
        <v/>
      </c>
    </row>
    <row r="1313" customFormat="false" ht="15" hidden="false" customHeight="true" outlineLevel="0" collapsed="false">
      <c r="N1313" s="1" t="str">
        <f aca="false">IF(L1313="","",IF(2026-E1313&gt;0,L1313/(2026-E1313),L1313))</f>
        <v/>
      </c>
    </row>
    <row r="1314" customFormat="false" ht="15" hidden="false" customHeight="true" outlineLevel="0" collapsed="false">
      <c r="N1314" s="1" t="str">
        <f aca="false">IF(L1314="","",IF(2026-E1314&gt;0,L1314/(2026-E1314),L1314))</f>
        <v/>
      </c>
    </row>
    <row r="1315" customFormat="false" ht="15" hidden="false" customHeight="true" outlineLevel="0" collapsed="false">
      <c r="N1315" s="1" t="str">
        <f aca="false">IF(L1315="","",IF(2026-E1315&gt;0,L1315/(2026-E1315),L1315))</f>
        <v/>
      </c>
    </row>
    <row r="1316" customFormat="false" ht="15" hidden="false" customHeight="true" outlineLevel="0" collapsed="false">
      <c r="N1316" s="1" t="str">
        <f aca="false">IF(L1316="","",IF(2026-E1316&gt;0,L1316/(2026-E1316),L1316))</f>
        <v/>
      </c>
    </row>
    <row r="1317" customFormat="false" ht="15" hidden="false" customHeight="true" outlineLevel="0" collapsed="false">
      <c r="N1317" s="1" t="str">
        <f aca="false">IF(L1317="","",IF(2026-E1317&gt;0,L1317/(2026-E1317),L1317))</f>
        <v/>
      </c>
    </row>
    <row r="1318" customFormat="false" ht="15" hidden="false" customHeight="true" outlineLevel="0" collapsed="false">
      <c r="N1318" s="1" t="str">
        <f aca="false">IF(L1318="","",IF(2026-E1318&gt;0,L1318/(2026-E1318),L1318))</f>
        <v/>
      </c>
    </row>
    <row r="1319" customFormat="false" ht="15" hidden="false" customHeight="true" outlineLevel="0" collapsed="false">
      <c r="N1319" s="1" t="str">
        <f aca="false">IF(L1319="","",IF(2026-E1319&gt;0,L1319/(2026-E1319),L1319))</f>
        <v/>
      </c>
    </row>
    <row r="1320" customFormat="false" ht="15" hidden="false" customHeight="true" outlineLevel="0" collapsed="false">
      <c r="N1320" s="1" t="str">
        <f aca="false">IF(L1320="","",IF(2026-E1320&gt;0,L1320/(2026-E1320),L1320))</f>
        <v/>
      </c>
    </row>
    <row r="1321" customFormat="false" ht="15" hidden="false" customHeight="true" outlineLevel="0" collapsed="false">
      <c r="N1321" s="1" t="str">
        <f aca="false">IF(L1321="","",IF(2026-E1321&gt;0,L1321/(2026-E1321),L1321))</f>
        <v/>
      </c>
    </row>
    <row r="1322" customFormat="false" ht="15" hidden="false" customHeight="true" outlineLevel="0" collapsed="false">
      <c r="N1322" s="1" t="str">
        <f aca="false">IF(L1322="","",IF(2026-E1322&gt;0,L1322/(2026-E1322),L1322))</f>
        <v/>
      </c>
    </row>
    <row r="1323" customFormat="false" ht="15" hidden="false" customHeight="true" outlineLevel="0" collapsed="false">
      <c r="N1323" s="1" t="str">
        <f aca="false">IF(L1323="","",IF(2026-E1323&gt;0,L1323/(2026-E1323),L1323))</f>
        <v/>
      </c>
    </row>
    <row r="1324" customFormat="false" ht="15" hidden="false" customHeight="true" outlineLevel="0" collapsed="false">
      <c r="N1324" s="1" t="str">
        <f aca="false">IF(L1324="","",IF(2026-E1324&gt;0,L1324/(2026-E1324),L1324))</f>
        <v/>
      </c>
    </row>
    <row r="1325" customFormat="false" ht="15" hidden="false" customHeight="true" outlineLevel="0" collapsed="false">
      <c r="N1325" s="1" t="str">
        <f aca="false">IF(L1325="","",IF(2026-E1325&gt;0,L1325/(2026-E1325),L1325))</f>
        <v/>
      </c>
    </row>
    <row r="1326" customFormat="false" ht="15" hidden="false" customHeight="true" outlineLevel="0" collapsed="false">
      <c r="N1326" s="1" t="str">
        <f aca="false">IF(L1326="","",IF(2026-E1326&gt;0,L1326/(2026-E1326),L1326))</f>
        <v/>
      </c>
    </row>
    <row r="1327" customFormat="false" ht="15" hidden="false" customHeight="true" outlineLevel="0" collapsed="false">
      <c r="N1327" s="1" t="str">
        <f aca="false">IF(L1327="","",IF(2026-E1327&gt;0,L1327/(2026-E1327),L1327))</f>
        <v/>
      </c>
    </row>
    <row r="1328" customFormat="false" ht="15" hidden="false" customHeight="true" outlineLevel="0" collapsed="false">
      <c r="N1328" s="1" t="str">
        <f aca="false">IF(L1328="","",IF(2026-E1328&gt;0,L1328/(2026-E1328),L1328))</f>
        <v/>
      </c>
    </row>
    <row r="1329" customFormat="false" ht="15" hidden="false" customHeight="true" outlineLevel="0" collapsed="false">
      <c r="N1329" s="1" t="str">
        <f aca="false">IF(L1329="","",IF(2026-E1329&gt;0,L1329/(2026-E1329),L1329))</f>
        <v/>
      </c>
    </row>
    <row r="1330" customFormat="false" ht="15" hidden="false" customHeight="true" outlineLevel="0" collapsed="false">
      <c r="N1330" s="1" t="str">
        <f aca="false">IF(L1330="","",IF(2026-E1330&gt;0,L1330/(2026-E1330),L1330))</f>
        <v/>
      </c>
    </row>
    <row r="1331" customFormat="false" ht="15" hidden="false" customHeight="true" outlineLevel="0" collapsed="false">
      <c r="N1331" s="1" t="str">
        <f aca="false">IF(L1331="","",IF(2026-E1331&gt;0,L1331/(2026-E1331),L1331))</f>
        <v/>
      </c>
    </row>
    <row r="1332" customFormat="false" ht="15" hidden="false" customHeight="true" outlineLevel="0" collapsed="false">
      <c r="N1332" s="1" t="str">
        <f aca="false">IF(L1332="","",IF(2026-E1332&gt;0,L1332/(2026-E1332),L1332))</f>
        <v/>
      </c>
    </row>
    <row r="1333" customFormat="false" ht="15" hidden="false" customHeight="true" outlineLevel="0" collapsed="false">
      <c r="N1333" s="1" t="str">
        <f aca="false">IF(L1333="","",IF(2026-E1333&gt;0,L1333/(2026-E1333),L1333))</f>
        <v/>
      </c>
    </row>
    <row r="1334" customFormat="false" ht="15" hidden="false" customHeight="true" outlineLevel="0" collapsed="false">
      <c r="N1334" s="1" t="str">
        <f aca="false">IF(L1334="","",IF(2026-E1334&gt;0,L1334/(2026-E1334),L1334))</f>
        <v/>
      </c>
    </row>
    <row r="1335" customFormat="false" ht="15" hidden="false" customHeight="true" outlineLevel="0" collapsed="false">
      <c r="N1335" s="1" t="str">
        <f aca="false">IF(L1335="","",IF(2026-E1335&gt;0,L1335/(2026-E1335),L1335))</f>
        <v/>
      </c>
    </row>
    <row r="1336" customFormat="false" ht="15" hidden="false" customHeight="true" outlineLevel="0" collapsed="false">
      <c r="N1336" s="1" t="str">
        <f aca="false">IF(L1336="","",IF(2026-E1336&gt;0,L1336/(2026-E1336),L1336))</f>
        <v/>
      </c>
    </row>
    <row r="1337" customFormat="false" ht="15" hidden="false" customHeight="true" outlineLevel="0" collapsed="false">
      <c r="N1337" s="1" t="str">
        <f aca="false">IF(L1337="","",IF(2026-E1337&gt;0,L1337/(2026-E1337),L1337))</f>
        <v/>
      </c>
    </row>
    <row r="1338" customFormat="false" ht="15" hidden="false" customHeight="true" outlineLevel="0" collapsed="false">
      <c r="N1338" s="1" t="str">
        <f aca="false">IF(L1338="","",IF(2026-E1338&gt;0,L1338/(2026-E1338),L1338))</f>
        <v/>
      </c>
    </row>
    <row r="1339" customFormat="false" ht="15" hidden="false" customHeight="true" outlineLevel="0" collapsed="false">
      <c r="N1339" s="1" t="str">
        <f aca="false">IF(L1339="","",IF(2026-E1339&gt;0,L1339/(2026-E1339),L1339))</f>
        <v/>
      </c>
    </row>
    <row r="1340" customFormat="false" ht="15" hidden="false" customHeight="true" outlineLevel="0" collapsed="false">
      <c r="N1340" s="1" t="str">
        <f aca="false">IF(L1340="","",IF(2026-E1340&gt;0,L1340/(2026-E1340),L1340))</f>
        <v/>
      </c>
    </row>
    <row r="1341" customFormat="false" ht="15" hidden="false" customHeight="true" outlineLevel="0" collapsed="false">
      <c r="N1341" s="1" t="str">
        <f aca="false">IF(L1341="","",IF(2026-E1341&gt;0,L1341/(2026-E1341),L1341))</f>
        <v/>
      </c>
    </row>
    <row r="1342" customFormat="false" ht="15" hidden="false" customHeight="true" outlineLevel="0" collapsed="false">
      <c r="N1342" s="1" t="str">
        <f aca="false">IF(L1342="","",IF(2026-E1342&gt;0,L1342/(2026-E1342),L1342))</f>
        <v/>
      </c>
    </row>
    <row r="1343" customFormat="false" ht="15" hidden="false" customHeight="true" outlineLevel="0" collapsed="false">
      <c r="N1343" s="1" t="str">
        <f aca="false">IF(L1343="","",IF(2026-E1343&gt;0,L1343/(2026-E1343),L1343))</f>
        <v/>
      </c>
    </row>
    <row r="1344" customFormat="false" ht="15" hidden="false" customHeight="true" outlineLevel="0" collapsed="false">
      <c r="N1344" s="1" t="str">
        <f aca="false">IF(L1344="","",IF(2026-E1344&gt;0,L1344/(2026-E1344),L1344))</f>
        <v/>
      </c>
    </row>
    <row r="1345" customFormat="false" ht="15" hidden="false" customHeight="true" outlineLevel="0" collapsed="false">
      <c r="N1345" s="1" t="str">
        <f aca="false">IF(L1345="","",IF(2026-E1345&gt;0,L1345/(2026-E1345),L1345))</f>
        <v/>
      </c>
    </row>
    <row r="1346" customFormat="false" ht="15" hidden="false" customHeight="true" outlineLevel="0" collapsed="false">
      <c r="N1346" s="1" t="str">
        <f aca="false">IF(L1346="","",IF(2026-E1346&gt;0,L1346/(2026-E1346),L1346))</f>
        <v/>
      </c>
    </row>
    <row r="1347" customFormat="false" ht="15" hidden="false" customHeight="true" outlineLevel="0" collapsed="false">
      <c r="N1347" s="1" t="str">
        <f aca="false">IF(L1347="","",IF(2026-E1347&gt;0,L1347/(2026-E1347),L1347))</f>
        <v/>
      </c>
    </row>
    <row r="1348" customFormat="false" ht="15" hidden="false" customHeight="true" outlineLevel="0" collapsed="false">
      <c r="N1348" s="1" t="str">
        <f aca="false">IF(L1348="","",IF(2026-E1348&gt;0,L1348/(2026-E1348),L1348))</f>
        <v/>
      </c>
    </row>
    <row r="1349" customFormat="false" ht="15" hidden="false" customHeight="true" outlineLevel="0" collapsed="false">
      <c r="N1349" s="1" t="str">
        <f aca="false">IF(L1349="","",IF(2026-E1349&gt;0,L1349/(2026-E1349),L1349))</f>
        <v/>
      </c>
    </row>
    <row r="1350" customFormat="false" ht="15" hidden="false" customHeight="true" outlineLevel="0" collapsed="false">
      <c r="N1350" s="1" t="str">
        <f aca="false">IF(L1350="","",IF(2026-E1350&gt;0,L1350/(2026-E1350),L1350))</f>
        <v/>
      </c>
    </row>
    <row r="1351" customFormat="false" ht="15" hidden="false" customHeight="true" outlineLevel="0" collapsed="false">
      <c r="N1351" s="1" t="str">
        <f aca="false">IF(L1351="","",IF(2026-E1351&gt;0,L1351/(2026-E1351),L1351))</f>
        <v/>
      </c>
    </row>
    <row r="1352" customFormat="false" ht="15" hidden="false" customHeight="true" outlineLevel="0" collapsed="false">
      <c r="N1352" s="1" t="str">
        <f aca="false">IF(L1352="","",IF(2026-E1352&gt;0,L1352/(2026-E1352),L1352))</f>
        <v/>
      </c>
    </row>
    <row r="1353" customFormat="false" ht="15" hidden="false" customHeight="true" outlineLevel="0" collapsed="false">
      <c r="N1353" s="1" t="str">
        <f aca="false">IF(L1353="","",IF(2026-E1353&gt;0,L1353/(2026-E1353),L1353))</f>
        <v/>
      </c>
    </row>
    <row r="1354" customFormat="false" ht="15" hidden="false" customHeight="true" outlineLevel="0" collapsed="false">
      <c r="N1354" s="1" t="str">
        <f aca="false">IF(L1354="","",IF(2026-E1354&gt;0,L1354/(2026-E1354),L1354))</f>
        <v/>
      </c>
    </row>
    <row r="1355" customFormat="false" ht="15" hidden="false" customHeight="true" outlineLevel="0" collapsed="false">
      <c r="N1355" s="1" t="str">
        <f aca="false">IF(L1355="","",IF(2026-E1355&gt;0,L1355/(2026-E1355),L1355))</f>
        <v/>
      </c>
    </row>
    <row r="1356" customFormat="false" ht="15" hidden="false" customHeight="true" outlineLevel="0" collapsed="false">
      <c r="N1356" s="1" t="str">
        <f aca="false">IF(L1356="","",IF(2026-E1356&gt;0,L1356/(2026-E1356),L1356))</f>
        <v/>
      </c>
    </row>
    <row r="1357" customFormat="false" ht="15" hidden="false" customHeight="true" outlineLevel="0" collapsed="false">
      <c r="N1357" s="1" t="str">
        <f aca="false">IF(L1357="","",IF(2026-E1357&gt;0,L1357/(2026-E1357),L1357))</f>
        <v/>
      </c>
    </row>
    <row r="1358" customFormat="false" ht="15" hidden="false" customHeight="true" outlineLevel="0" collapsed="false">
      <c r="N1358" s="1" t="str">
        <f aca="false">IF(L1358="","",IF(2026-E1358&gt;0,L1358/(2026-E1358),L1358))</f>
        <v/>
      </c>
    </row>
    <row r="1359" customFormat="false" ht="15" hidden="false" customHeight="true" outlineLevel="0" collapsed="false">
      <c r="N1359" s="1" t="str">
        <f aca="false">IF(L1359="","",IF(2026-E1359&gt;0,L1359/(2026-E1359),L1359))</f>
        <v/>
      </c>
    </row>
    <row r="1360" customFormat="false" ht="15" hidden="false" customHeight="true" outlineLevel="0" collapsed="false">
      <c r="N1360" s="1" t="str">
        <f aca="false">IF(L1360="","",IF(2026-E1360&gt;0,L1360/(2026-E1360),L1360))</f>
        <v/>
      </c>
    </row>
    <row r="1361" customFormat="false" ht="15" hidden="false" customHeight="true" outlineLevel="0" collapsed="false">
      <c r="N1361" s="1" t="str">
        <f aca="false">IF(L1361="","",IF(2026-E1361&gt;0,L1361/(2026-E1361),L1361))</f>
        <v/>
      </c>
    </row>
    <row r="1362" customFormat="false" ht="15" hidden="false" customHeight="true" outlineLevel="0" collapsed="false">
      <c r="N1362" s="1" t="str">
        <f aca="false">IF(L1362="","",IF(2026-E1362&gt;0,L1362/(2026-E1362),L1362))</f>
        <v/>
      </c>
    </row>
    <row r="1363" customFormat="false" ht="15" hidden="false" customHeight="true" outlineLevel="0" collapsed="false">
      <c r="N1363" s="1" t="str">
        <f aca="false">IF(L1363="","",IF(2026-E1363&gt;0,L1363/(2026-E1363),L1363))</f>
        <v/>
      </c>
    </row>
    <row r="1364" customFormat="false" ht="15" hidden="false" customHeight="true" outlineLevel="0" collapsed="false">
      <c r="N1364" s="1" t="str">
        <f aca="false">IF(L1364="","",IF(2026-E1364&gt;0,L1364/(2026-E1364),L1364))</f>
        <v/>
      </c>
    </row>
    <row r="1365" customFormat="false" ht="15" hidden="false" customHeight="true" outlineLevel="0" collapsed="false">
      <c r="N1365" s="1" t="str">
        <f aca="false">IF(L1365="","",IF(2026-E1365&gt;0,L1365/(2026-E1365),L1365))</f>
        <v/>
      </c>
    </row>
    <row r="1366" customFormat="false" ht="15" hidden="false" customHeight="true" outlineLevel="0" collapsed="false">
      <c r="N1366" s="1" t="str">
        <f aca="false">IF(L1366="","",IF(2026-E1366&gt;0,L1366/(2026-E1366),L1366))</f>
        <v/>
      </c>
    </row>
    <row r="1367" customFormat="false" ht="15" hidden="false" customHeight="true" outlineLevel="0" collapsed="false">
      <c r="N1367" s="1" t="str">
        <f aca="false">IF(L1367="","",IF(2026-E1367&gt;0,L1367/(2026-E1367),L1367))</f>
        <v/>
      </c>
    </row>
    <row r="1368" customFormat="false" ht="15" hidden="false" customHeight="true" outlineLevel="0" collapsed="false">
      <c r="N1368" s="1" t="str">
        <f aca="false">IF(L1368="","",IF(2026-E1368&gt;0,L1368/(2026-E1368),L1368))</f>
        <v/>
      </c>
    </row>
    <row r="1369" customFormat="false" ht="15" hidden="false" customHeight="true" outlineLevel="0" collapsed="false">
      <c r="N1369" s="1" t="str">
        <f aca="false">IF(L1369="","",IF(2026-E1369&gt;0,L1369/(2026-E1369),L1369))</f>
        <v/>
      </c>
    </row>
    <row r="1370" customFormat="false" ht="15" hidden="false" customHeight="true" outlineLevel="0" collapsed="false">
      <c r="N1370" s="1" t="str">
        <f aca="false">IF(L1370="","",IF(2026-E1370&gt;0,L1370/(2026-E1370),L1370))</f>
        <v/>
      </c>
    </row>
    <row r="1371" customFormat="false" ht="15" hidden="false" customHeight="true" outlineLevel="0" collapsed="false">
      <c r="N1371" s="1" t="str">
        <f aca="false">IF(L1371="","",IF(2026-E1371&gt;0,L1371/(2026-E1371),L1371))</f>
        <v/>
      </c>
    </row>
    <row r="1372" customFormat="false" ht="15" hidden="false" customHeight="true" outlineLevel="0" collapsed="false">
      <c r="N1372" s="1" t="str">
        <f aca="false">IF(L1372="","",IF(2026-E1372&gt;0,L1372/(2026-E1372),L1372))</f>
        <v/>
      </c>
    </row>
    <row r="1373" customFormat="false" ht="15" hidden="false" customHeight="true" outlineLevel="0" collapsed="false">
      <c r="N1373" s="1" t="str">
        <f aca="false">IF(L1373="","",IF(2026-E1373&gt;0,L1373/(2026-E1373),L1373))</f>
        <v/>
      </c>
    </row>
    <row r="1374" customFormat="false" ht="15" hidden="false" customHeight="true" outlineLevel="0" collapsed="false">
      <c r="N1374" s="1" t="str">
        <f aca="false">IF(L1374="","",IF(2026-E1374&gt;0,L1374/(2026-E1374),L1374))</f>
        <v/>
      </c>
    </row>
    <row r="1375" customFormat="false" ht="15" hidden="false" customHeight="true" outlineLevel="0" collapsed="false">
      <c r="N1375" s="1" t="str">
        <f aca="false">IF(L1375="","",IF(2026-E1375&gt;0,L1375/(2026-E1375),L1375))</f>
        <v/>
      </c>
    </row>
    <row r="1376" customFormat="false" ht="15" hidden="false" customHeight="true" outlineLevel="0" collapsed="false">
      <c r="N1376" s="1" t="str">
        <f aca="false">IF(L1376="","",IF(2026-E1376&gt;0,L1376/(2026-E1376),L1376))</f>
        <v/>
      </c>
    </row>
    <row r="1377" customFormat="false" ht="15" hidden="false" customHeight="true" outlineLevel="0" collapsed="false">
      <c r="N1377" s="1" t="str">
        <f aca="false">IF(L1377="","",IF(2026-E1377&gt;0,L1377/(2026-E1377),L1377))</f>
        <v/>
      </c>
    </row>
    <row r="1378" customFormat="false" ht="15" hidden="false" customHeight="true" outlineLevel="0" collapsed="false">
      <c r="N1378" s="1" t="str">
        <f aca="false">IF(L1378="","",IF(2026-E1378&gt;0,L1378/(2026-E1378),L1378))</f>
        <v/>
      </c>
    </row>
    <row r="1379" customFormat="false" ht="15" hidden="false" customHeight="true" outlineLevel="0" collapsed="false">
      <c r="N1379" s="1" t="str">
        <f aca="false">IF(L1379="","",IF(2026-E1379&gt;0,L1379/(2026-E1379),L1379))</f>
        <v/>
      </c>
    </row>
    <row r="1380" customFormat="false" ht="15" hidden="false" customHeight="true" outlineLevel="0" collapsed="false">
      <c r="N1380" s="1" t="str">
        <f aca="false">IF(L1380="","",IF(2026-E1380&gt;0,L1380/(2026-E1380),L1380))</f>
        <v/>
      </c>
    </row>
    <row r="1381" customFormat="false" ht="15" hidden="false" customHeight="true" outlineLevel="0" collapsed="false">
      <c r="N1381" s="1" t="str">
        <f aca="false">IF(L1381="","",IF(2026-E1381&gt;0,L1381/(2026-E1381),L1381))</f>
        <v/>
      </c>
    </row>
    <row r="1382" customFormat="false" ht="15" hidden="false" customHeight="true" outlineLevel="0" collapsed="false">
      <c r="N1382" s="1" t="str">
        <f aca="false">IF(L1382="","",IF(2026-E1382&gt;0,L1382/(2026-E1382),L1382))</f>
        <v/>
      </c>
    </row>
    <row r="1383" customFormat="false" ht="15" hidden="false" customHeight="true" outlineLevel="0" collapsed="false">
      <c r="N1383" s="1" t="str">
        <f aca="false">IF(L1383="","",IF(2026-E1383&gt;0,L1383/(2026-E1383),L1383))</f>
        <v/>
      </c>
    </row>
    <row r="1384" customFormat="false" ht="15" hidden="false" customHeight="true" outlineLevel="0" collapsed="false">
      <c r="N1384" s="1" t="str">
        <f aca="false">IF(L1384="","",IF(2026-E1384&gt;0,L1384/(2026-E1384),L1384))</f>
        <v/>
      </c>
    </row>
    <row r="1385" customFormat="false" ht="15" hidden="false" customHeight="true" outlineLevel="0" collapsed="false">
      <c r="N1385" s="1" t="str">
        <f aca="false">IF(L1385="","",IF(2026-E1385&gt;0,L1385/(2026-E1385),L1385))</f>
        <v/>
      </c>
    </row>
    <row r="1386" customFormat="false" ht="15" hidden="false" customHeight="true" outlineLevel="0" collapsed="false">
      <c r="N1386" s="1" t="str">
        <f aca="false">IF(L1386="","",IF(2026-E1386&gt;0,L1386/(2026-E1386),L1386))</f>
        <v/>
      </c>
    </row>
    <row r="1387" customFormat="false" ht="15" hidden="false" customHeight="true" outlineLevel="0" collapsed="false">
      <c r="N1387" s="1" t="str">
        <f aca="false">IF(L1387="","",IF(2026-E1387&gt;0,L1387/(2026-E1387),L1387))</f>
        <v/>
      </c>
    </row>
    <row r="1388" customFormat="false" ht="15" hidden="false" customHeight="true" outlineLevel="0" collapsed="false">
      <c r="N1388" s="1" t="str">
        <f aca="false">IF(L1388="","",IF(2026-E1388&gt;0,L1388/(2026-E1388),L1388))</f>
        <v/>
      </c>
    </row>
    <row r="1389" customFormat="false" ht="15" hidden="false" customHeight="true" outlineLevel="0" collapsed="false">
      <c r="N1389" s="1" t="str">
        <f aca="false">IF(L1389="","",IF(2026-E1389&gt;0,L1389/(2026-E1389),L1389))</f>
        <v/>
      </c>
    </row>
    <row r="1390" customFormat="false" ht="15" hidden="false" customHeight="true" outlineLevel="0" collapsed="false">
      <c r="N1390" s="1" t="str">
        <f aca="false">IF(L1390="","",IF(2026-E1390&gt;0,L1390/(2026-E1390),L1390))</f>
        <v/>
      </c>
    </row>
    <row r="1391" customFormat="false" ht="15" hidden="false" customHeight="true" outlineLevel="0" collapsed="false">
      <c r="N1391" s="1" t="str">
        <f aca="false">IF(L1391="","",IF(2026-E1391&gt;0,L1391/(2026-E1391),L1391))</f>
        <v/>
      </c>
    </row>
    <row r="1392" customFormat="false" ht="15" hidden="false" customHeight="true" outlineLevel="0" collapsed="false">
      <c r="N1392" s="1" t="str">
        <f aca="false">IF(L1392="","",IF(2026-E1392&gt;0,L1392/(2026-E1392),L1392))</f>
        <v/>
      </c>
    </row>
    <row r="1393" customFormat="false" ht="15" hidden="false" customHeight="true" outlineLevel="0" collapsed="false">
      <c r="N1393" s="1" t="str">
        <f aca="false">IF(L1393="","",IF(2026-E1393&gt;0,L1393/(2026-E1393),L1393))</f>
        <v/>
      </c>
    </row>
    <row r="1394" customFormat="false" ht="15" hidden="false" customHeight="true" outlineLevel="0" collapsed="false">
      <c r="N1394" s="1" t="str">
        <f aca="false">IF(L1394="","",IF(2026-E1394&gt;0,L1394/(2026-E1394),L1394))</f>
        <v/>
      </c>
    </row>
    <row r="1395" customFormat="false" ht="15" hidden="false" customHeight="true" outlineLevel="0" collapsed="false">
      <c r="N1395" s="1" t="str">
        <f aca="false">IF(L1395="","",IF(2026-E1395&gt;0,L1395/(2026-E1395),L1395))</f>
        <v/>
      </c>
    </row>
    <row r="1396" customFormat="false" ht="15" hidden="false" customHeight="true" outlineLevel="0" collapsed="false">
      <c r="N1396" s="1" t="str">
        <f aca="false">IF(L1396="","",IF(2026-E1396&gt;0,L1396/(2026-E1396),L1396))</f>
        <v/>
      </c>
    </row>
    <row r="1397" customFormat="false" ht="15" hidden="false" customHeight="true" outlineLevel="0" collapsed="false">
      <c r="N1397" s="1" t="str">
        <f aca="false">IF(L1397="","",IF(2026-E1397&gt;0,L1397/(2026-E1397),L1397))</f>
        <v/>
      </c>
    </row>
    <row r="1398" customFormat="false" ht="15" hidden="false" customHeight="true" outlineLevel="0" collapsed="false">
      <c r="N1398" s="1" t="str">
        <f aca="false">IF(L1398="","",IF(2026-E1398&gt;0,L1398/(2026-E1398),L1398))</f>
        <v/>
      </c>
    </row>
    <row r="1399" customFormat="false" ht="15" hidden="false" customHeight="true" outlineLevel="0" collapsed="false">
      <c r="N1399" s="1" t="str">
        <f aca="false">IF(L1399="","",IF(2026-E1399&gt;0,L1399/(2026-E1399),L1399))</f>
        <v/>
      </c>
    </row>
    <row r="1400" customFormat="false" ht="15" hidden="false" customHeight="true" outlineLevel="0" collapsed="false">
      <c r="N1400" s="1" t="str">
        <f aca="false">IF(L1400="","",IF(2026-E1400&gt;0,L1400/(2026-E1400),L1400))</f>
        <v/>
      </c>
    </row>
    <row r="1401" customFormat="false" ht="15" hidden="false" customHeight="true" outlineLevel="0" collapsed="false">
      <c r="N1401" s="1" t="str">
        <f aca="false">IF(L1401="","",IF(2026-E1401&gt;0,L1401/(2026-E1401),L1401))</f>
        <v/>
      </c>
    </row>
    <row r="1402" customFormat="false" ht="15" hidden="false" customHeight="true" outlineLevel="0" collapsed="false">
      <c r="N1402" s="1" t="str">
        <f aca="false">IF(L1402="","",IF(2026-E1402&gt;0,L1402/(2026-E1402),L1402))</f>
        <v/>
      </c>
    </row>
    <row r="1403" customFormat="false" ht="15" hidden="false" customHeight="true" outlineLevel="0" collapsed="false">
      <c r="N1403" s="1" t="str">
        <f aca="false">IF(L1403="","",IF(2026-E1403&gt;0,L1403/(2026-E1403),L1403))</f>
        <v/>
      </c>
    </row>
    <row r="1404" customFormat="false" ht="15" hidden="false" customHeight="true" outlineLevel="0" collapsed="false">
      <c r="N1404" s="1" t="str">
        <f aca="false">IF(L1404="","",IF(2026-E1404&gt;0,L1404/(2026-E1404),L1404))</f>
        <v/>
      </c>
    </row>
    <row r="1405" customFormat="false" ht="15" hidden="false" customHeight="true" outlineLevel="0" collapsed="false">
      <c r="N1405" s="1" t="str">
        <f aca="false">IF(L1405="","",IF(2026-E1405&gt;0,L1405/(2026-E1405),L1405))</f>
        <v/>
      </c>
    </row>
    <row r="1406" customFormat="false" ht="15" hidden="false" customHeight="true" outlineLevel="0" collapsed="false">
      <c r="N1406" s="1" t="str">
        <f aca="false">IF(L1406="","",IF(2026-E1406&gt;0,L1406/(2026-E1406),L1406))</f>
        <v/>
      </c>
    </row>
    <row r="1407" customFormat="false" ht="15" hidden="false" customHeight="true" outlineLevel="0" collapsed="false">
      <c r="N1407" s="1" t="str">
        <f aca="false">IF(L1407="","",IF(2026-E1407&gt;0,L1407/(2026-E1407),L1407))</f>
        <v/>
      </c>
    </row>
    <row r="1408" customFormat="false" ht="15" hidden="false" customHeight="true" outlineLevel="0" collapsed="false">
      <c r="N1408" s="1" t="str">
        <f aca="false">IF(L1408="","",IF(2026-E1408&gt;0,L1408/(2026-E1408),L1408))</f>
        <v/>
      </c>
    </row>
    <row r="1409" customFormat="false" ht="15" hidden="false" customHeight="true" outlineLevel="0" collapsed="false">
      <c r="N1409" s="1" t="str">
        <f aca="false">IF(L1409="","",IF(2026-E1409&gt;0,L1409/(2026-E1409),L1409))</f>
        <v/>
      </c>
    </row>
    <row r="1410" customFormat="false" ht="15" hidden="false" customHeight="true" outlineLevel="0" collapsed="false">
      <c r="N1410" s="1" t="str">
        <f aca="false">IF(L1410="","",IF(2026-E1410&gt;0,L1410/(2026-E1410),L1410))</f>
        <v/>
      </c>
    </row>
    <row r="1411" customFormat="false" ht="15" hidden="false" customHeight="true" outlineLevel="0" collapsed="false">
      <c r="N1411" s="1" t="str">
        <f aca="false">IF(L1411="","",IF(2026-E1411&gt;0,L1411/(2026-E1411),L1411))</f>
        <v/>
      </c>
    </row>
    <row r="1412" customFormat="false" ht="15" hidden="false" customHeight="true" outlineLevel="0" collapsed="false">
      <c r="N1412" s="1" t="str">
        <f aca="false">IF(L1412="","",IF(2026-E1412&gt;0,L1412/(2026-E1412),L1412))</f>
        <v/>
      </c>
    </row>
    <row r="1413" customFormat="false" ht="15" hidden="false" customHeight="true" outlineLevel="0" collapsed="false">
      <c r="N1413" s="1" t="str">
        <f aca="false">IF(L1413="","",IF(2026-E1413&gt;0,L1413/(2026-E1413),L1413))</f>
        <v/>
      </c>
    </row>
    <row r="1414" customFormat="false" ht="15" hidden="false" customHeight="true" outlineLevel="0" collapsed="false">
      <c r="N1414" s="1" t="str">
        <f aca="false">IF(L1414="","",IF(2026-E1414&gt;0,L1414/(2026-E1414),L1414))</f>
        <v/>
      </c>
    </row>
    <row r="1415" customFormat="false" ht="15" hidden="false" customHeight="true" outlineLevel="0" collapsed="false">
      <c r="N1415" s="1" t="str">
        <f aca="false">IF(L1415="","",IF(2026-E1415&gt;0,L1415/(2026-E1415),L1415))</f>
        <v/>
      </c>
    </row>
    <row r="1416" customFormat="false" ht="15" hidden="false" customHeight="true" outlineLevel="0" collapsed="false">
      <c r="N1416" s="1" t="str">
        <f aca="false">IF(L1416="","",IF(2026-E1416&gt;0,L1416/(2026-E1416),L1416))</f>
        <v/>
      </c>
    </row>
    <row r="1417" customFormat="false" ht="15" hidden="false" customHeight="true" outlineLevel="0" collapsed="false">
      <c r="N1417" s="1" t="str">
        <f aca="false">IF(L1417="","",IF(2026-E1417&gt;0,L1417/(2026-E1417),L1417))</f>
        <v/>
      </c>
    </row>
    <row r="1418" customFormat="false" ht="15" hidden="false" customHeight="true" outlineLevel="0" collapsed="false">
      <c r="N1418" s="1" t="str">
        <f aca="false">IF(L1418="","",IF(2026-E1418&gt;0,L1418/(2026-E1418),L1418))</f>
        <v/>
      </c>
    </row>
    <row r="1419" customFormat="false" ht="15" hidden="false" customHeight="true" outlineLevel="0" collapsed="false">
      <c r="N1419" s="1" t="str">
        <f aca="false">IF(L1419="","",IF(2026-E1419&gt;0,L1419/(2026-E1419),L1419))</f>
        <v/>
      </c>
    </row>
    <row r="1420" customFormat="false" ht="15" hidden="false" customHeight="true" outlineLevel="0" collapsed="false">
      <c r="N1420" s="1" t="str">
        <f aca="false">IF(L1420="","",IF(2026-E1420&gt;0,L1420/(2026-E1420),L1420))</f>
        <v/>
      </c>
    </row>
    <row r="1421" customFormat="false" ht="15" hidden="false" customHeight="true" outlineLevel="0" collapsed="false">
      <c r="N1421" s="1" t="str">
        <f aca="false">IF(L1421="","",IF(2026-E1421&gt;0,L1421/(2026-E1421),L1421))</f>
        <v/>
      </c>
    </row>
    <row r="1422" customFormat="false" ht="15" hidden="false" customHeight="true" outlineLevel="0" collapsed="false">
      <c r="N1422" s="1" t="str">
        <f aca="false">IF(L1422="","",IF(2026-E1422&gt;0,L1422/(2026-E1422),L1422))</f>
        <v/>
      </c>
    </row>
    <row r="1423" customFormat="false" ht="15" hidden="false" customHeight="true" outlineLevel="0" collapsed="false">
      <c r="N1423" s="1" t="str">
        <f aca="false">IF(L1423="","",IF(2026-E1423&gt;0,L1423/(2026-E1423),L1423))</f>
        <v/>
      </c>
    </row>
    <row r="1424" customFormat="false" ht="15" hidden="false" customHeight="true" outlineLevel="0" collapsed="false">
      <c r="N1424" s="1" t="str">
        <f aca="false">IF(L1424="","",IF(2026-E1424&gt;0,L1424/(2026-E1424),L1424))</f>
        <v/>
      </c>
    </row>
    <row r="1425" customFormat="false" ht="15" hidden="false" customHeight="true" outlineLevel="0" collapsed="false">
      <c r="N1425" s="1" t="str">
        <f aca="false">IF(L1425="","",IF(2026-E1425&gt;0,L1425/(2026-E1425),L1425))</f>
        <v/>
      </c>
    </row>
    <row r="1426" customFormat="false" ht="15" hidden="false" customHeight="true" outlineLevel="0" collapsed="false">
      <c r="N1426" s="1" t="str">
        <f aca="false">IF(L1426="","",IF(2026-E1426&gt;0,L1426/(2026-E1426),L1426))</f>
        <v/>
      </c>
    </row>
    <row r="1427" customFormat="false" ht="15" hidden="false" customHeight="true" outlineLevel="0" collapsed="false">
      <c r="N1427" s="1" t="str">
        <f aca="false">IF(L1427="","",IF(2026-E1427&gt;0,L1427/(2026-E1427),L1427))</f>
        <v/>
      </c>
    </row>
    <row r="1428" customFormat="false" ht="15" hidden="false" customHeight="true" outlineLevel="0" collapsed="false">
      <c r="N1428" s="1" t="str">
        <f aca="false">IF(L1428="","",IF(2026-E1428&gt;0,L1428/(2026-E1428),L1428))</f>
        <v/>
      </c>
    </row>
    <row r="1429" customFormat="false" ht="15" hidden="false" customHeight="true" outlineLevel="0" collapsed="false">
      <c r="N1429" s="1" t="str">
        <f aca="false">IF(L1429="","",IF(2026-E1429&gt;0,L1429/(2026-E1429),L1429))</f>
        <v/>
      </c>
    </row>
    <row r="1430" customFormat="false" ht="15" hidden="false" customHeight="true" outlineLevel="0" collapsed="false">
      <c r="N1430" s="1" t="str">
        <f aca="false">IF(L1430="","",IF(2026-E1430&gt;0,L1430/(2026-E1430),L1430))</f>
        <v/>
      </c>
    </row>
    <row r="1431" customFormat="false" ht="15" hidden="false" customHeight="true" outlineLevel="0" collapsed="false">
      <c r="N1431" s="1" t="str">
        <f aca="false">IF(L1431="","",IF(2026-E1431&gt;0,L1431/(2026-E1431),L1431))</f>
        <v/>
      </c>
    </row>
    <row r="1432" customFormat="false" ht="15" hidden="false" customHeight="true" outlineLevel="0" collapsed="false">
      <c r="N1432" s="1" t="str">
        <f aca="false">IF(L1432="","",IF(2026-E1432&gt;0,L1432/(2026-E1432),L1432))</f>
        <v/>
      </c>
    </row>
    <row r="1433" customFormat="false" ht="15" hidden="false" customHeight="true" outlineLevel="0" collapsed="false">
      <c r="N1433" s="1" t="str">
        <f aca="false">IF(L1433="","",IF(2026-E1433&gt;0,L1433/(2026-E1433),L1433))</f>
        <v/>
      </c>
    </row>
    <row r="1434" customFormat="false" ht="15" hidden="false" customHeight="true" outlineLevel="0" collapsed="false">
      <c r="N1434" s="1" t="str">
        <f aca="false">IF(L1434="","",IF(2026-E1434&gt;0,L1434/(2026-E1434),L1434))</f>
        <v/>
      </c>
    </row>
    <row r="1435" customFormat="false" ht="15" hidden="false" customHeight="true" outlineLevel="0" collapsed="false">
      <c r="N1435" s="1" t="str">
        <f aca="false">IF(L1435="","",IF(2026-E1435&gt;0,L1435/(2026-E1435),L1435))</f>
        <v/>
      </c>
    </row>
    <row r="1436" customFormat="false" ht="15" hidden="false" customHeight="true" outlineLevel="0" collapsed="false">
      <c r="N1436" s="1" t="str">
        <f aca="false">IF(L1436="","",IF(2026-E1436&gt;0,L1436/(2026-E1436),L1436))</f>
        <v/>
      </c>
    </row>
    <row r="1437" customFormat="false" ht="15" hidden="false" customHeight="true" outlineLevel="0" collapsed="false">
      <c r="N1437" s="1" t="str">
        <f aca="false">IF(L1437="","",IF(2026-E1437&gt;0,L1437/(2026-E1437),L1437))</f>
        <v/>
      </c>
    </row>
    <row r="1438" customFormat="false" ht="15" hidden="false" customHeight="true" outlineLevel="0" collapsed="false">
      <c r="N1438" s="1" t="str">
        <f aca="false">IF(L1438="","",IF(2026-E1438&gt;0,L1438/(2026-E1438),L1438))</f>
        <v/>
      </c>
    </row>
    <row r="1439" customFormat="false" ht="15" hidden="false" customHeight="true" outlineLevel="0" collapsed="false">
      <c r="N1439" s="1" t="str">
        <f aca="false">IF(L1439="","",IF(2026-E1439&gt;0,L1439/(2026-E1439),L1439))</f>
        <v/>
      </c>
    </row>
    <row r="1440" customFormat="false" ht="15" hidden="false" customHeight="true" outlineLevel="0" collapsed="false">
      <c r="N1440" s="1" t="str">
        <f aca="false">IF(L1440="","",IF(2026-E1440&gt;0,L1440/(2026-E1440),L1440))</f>
        <v/>
      </c>
    </row>
    <row r="1441" customFormat="false" ht="15" hidden="false" customHeight="true" outlineLevel="0" collapsed="false">
      <c r="N1441" s="1" t="str">
        <f aca="false">IF(L1441="","",IF(2026-E1441&gt;0,L1441/(2026-E1441),L1441))</f>
        <v/>
      </c>
    </row>
    <row r="1442" customFormat="false" ht="15" hidden="false" customHeight="true" outlineLevel="0" collapsed="false">
      <c r="N1442" s="1" t="str">
        <f aca="false">IF(L1442="","",IF(2026-E1442&gt;0,L1442/(2026-E1442),L1442))</f>
        <v/>
      </c>
    </row>
    <row r="1443" customFormat="false" ht="15" hidden="false" customHeight="true" outlineLevel="0" collapsed="false">
      <c r="N1443" s="1" t="str">
        <f aca="false">IF(L1443="","",IF(2026-E1443&gt;0,L1443/(2026-E1443),L1443))</f>
        <v/>
      </c>
    </row>
    <row r="1444" customFormat="false" ht="15" hidden="false" customHeight="true" outlineLevel="0" collapsed="false">
      <c r="N1444" s="1" t="str">
        <f aca="false">IF(L1444="","",IF(2026-E1444&gt;0,L1444/(2026-E1444),L1444))</f>
        <v/>
      </c>
    </row>
    <row r="1445" customFormat="false" ht="15" hidden="false" customHeight="true" outlineLevel="0" collapsed="false">
      <c r="N1445" s="1" t="str">
        <f aca="false">IF(L1445="","",IF(2026-E1445&gt;0,L1445/(2026-E1445),L1445))</f>
        <v/>
      </c>
    </row>
    <row r="1446" customFormat="false" ht="15" hidden="false" customHeight="true" outlineLevel="0" collapsed="false">
      <c r="N1446" s="1" t="str">
        <f aca="false">IF(L1446="","",IF(2026-E1446&gt;0,L1446/(2026-E1446),L1446))</f>
        <v/>
      </c>
    </row>
    <row r="1447" customFormat="false" ht="15" hidden="false" customHeight="true" outlineLevel="0" collapsed="false">
      <c r="N1447" s="1" t="str">
        <f aca="false">IF(L1447="","",IF(2026-E1447&gt;0,L1447/(2026-E1447),L1447))</f>
        <v/>
      </c>
    </row>
    <row r="1448" customFormat="false" ht="15" hidden="false" customHeight="true" outlineLevel="0" collapsed="false">
      <c r="N1448" s="1" t="str">
        <f aca="false">IF(L1448="","",IF(2026-E1448&gt;0,L1448/(2026-E1448),L1448))</f>
        <v/>
      </c>
    </row>
    <row r="1449" customFormat="false" ht="15" hidden="false" customHeight="true" outlineLevel="0" collapsed="false">
      <c r="N1449" s="1" t="str">
        <f aca="false">IF(L1449="","",IF(2026-E1449&gt;0,L1449/(2026-E1449),L1449))</f>
        <v/>
      </c>
    </row>
    <row r="1450" customFormat="false" ht="15" hidden="false" customHeight="true" outlineLevel="0" collapsed="false">
      <c r="N1450" s="1" t="str">
        <f aca="false">IF(L1450="","",IF(2026-E1450&gt;0,L1450/(2026-E1450),L1450))</f>
        <v/>
      </c>
    </row>
    <row r="1451" customFormat="false" ht="15" hidden="false" customHeight="true" outlineLevel="0" collapsed="false">
      <c r="N1451" s="1" t="str">
        <f aca="false">IF(L1451="","",IF(2026-E1451&gt;0,L1451/(2026-E1451),L1451))</f>
        <v/>
      </c>
    </row>
    <row r="1452" customFormat="false" ht="15" hidden="false" customHeight="true" outlineLevel="0" collapsed="false">
      <c r="N1452" s="1" t="str">
        <f aca="false">IF(L1452="","",IF(2026-E1452&gt;0,L1452/(2026-E1452),L1452))</f>
        <v/>
      </c>
    </row>
    <row r="1453" customFormat="false" ht="15" hidden="false" customHeight="true" outlineLevel="0" collapsed="false">
      <c r="N1453" s="1" t="str">
        <f aca="false">IF(L1453="","",IF(2026-E1453&gt;0,L1453/(2026-E1453),L1453))</f>
        <v/>
      </c>
    </row>
    <row r="1454" customFormat="false" ht="15" hidden="false" customHeight="true" outlineLevel="0" collapsed="false">
      <c r="N1454" s="1" t="str">
        <f aca="false">IF(L1454="","",IF(2026-E1454&gt;0,L1454/(2026-E1454),L1454))</f>
        <v/>
      </c>
    </row>
    <row r="1455" customFormat="false" ht="15" hidden="false" customHeight="true" outlineLevel="0" collapsed="false">
      <c r="N1455" s="1" t="str">
        <f aca="false">IF(L1455="","",IF(2026-E1455&gt;0,L1455/(2026-E1455),L1455))</f>
        <v/>
      </c>
    </row>
    <row r="1456" customFormat="false" ht="15" hidden="false" customHeight="true" outlineLevel="0" collapsed="false">
      <c r="N1456" s="1" t="str">
        <f aca="false">IF(L1456="","",IF(2026-E1456&gt;0,L1456/(2026-E1456),L1456))</f>
        <v/>
      </c>
    </row>
    <row r="1457" customFormat="false" ht="15" hidden="false" customHeight="true" outlineLevel="0" collapsed="false">
      <c r="N1457" s="1" t="str">
        <f aca="false">IF(L1457="","",IF(2026-E1457&gt;0,L1457/(2026-E1457),L1457))</f>
        <v/>
      </c>
    </row>
    <row r="1458" customFormat="false" ht="15" hidden="false" customHeight="true" outlineLevel="0" collapsed="false">
      <c r="N1458" s="1" t="str">
        <f aca="false">IF(L1458="","",IF(2026-E1458&gt;0,L1458/(2026-E1458),L1458))</f>
        <v/>
      </c>
    </row>
    <row r="1459" customFormat="false" ht="15" hidden="false" customHeight="true" outlineLevel="0" collapsed="false">
      <c r="N1459" s="1" t="str">
        <f aca="false">IF(L1459="","",IF(2026-E1459&gt;0,L1459/(2026-E1459),L1459))</f>
        <v/>
      </c>
    </row>
    <row r="1460" customFormat="false" ht="15" hidden="false" customHeight="true" outlineLevel="0" collapsed="false">
      <c r="N1460" s="1" t="str">
        <f aca="false">IF(L1460="","",IF(2026-E1460&gt;0,L1460/(2026-E1460),L1460))</f>
        <v/>
      </c>
    </row>
    <row r="1461" customFormat="false" ht="15" hidden="false" customHeight="true" outlineLevel="0" collapsed="false">
      <c r="N1461" s="1" t="str">
        <f aca="false">IF(L1461="","",IF(2026-E1461&gt;0,L1461/(2026-E1461),L1461))</f>
        <v/>
      </c>
    </row>
    <row r="1462" customFormat="false" ht="15" hidden="false" customHeight="true" outlineLevel="0" collapsed="false">
      <c r="N1462" s="1" t="str">
        <f aca="false">IF(L1462="","",IF(2026-E1462&gt;0,L1462/(2026-E1462),L1462))</f>
        <v/>
      </c>
    </row>
    <row r="1463" customFormat="false" ht="15" hidden="false" customHeight="true" outlineLevel="0" collapsed="false">
      <c r="N1463" s="1" t="str">
        <f aca="false">IF(L1463="","",IF(2026-E1463&gt;0,L1463/(2026-E1463),L1463))</f>
        <v/>
      </c>
    </row>
    <row r="1464" customFormat="false" ht="15" hidden="false" customHeight="true" outlineLevel="0" collapsed="false">
      <c r="N1464" s="1" t="str">
        <f aca="false">IF(L1464="","",IF(2026-E1464&gt;0,L1464/(2026-E1464),L1464))</f>
        <v/>
      </c>
    </row>
    <row r="1465" customFormat="false" ht="15" hidden="false" customHeight="true" outlineLevel="0" collapsed="false">
      <c r="N1465" s="1" t="str">
        <f aca="false">IF(L1465="","",IF(2026-E1465&gt;0,L1465/(2026-E1465),L1465))</f>
        <v/>
      </c>
    </row>
    <row r="1466" customFormat="false" ht="15" hidden="false" customHeight="true" outlineLevel="0" collapsed="false">
      <c r="N1466" s="1" t="str">
        <f aca="false">IF(L1466="","",IF(2026-E1466&gt;0,L1466/(2026-E1466),L1466))</f>
        <v/>
      </c>
    </row>
    <row r="1467" customFormat="false" ht="15" hidden="false" customHeight="true" outlineLevel="0" collapsed="false">
      <c r="N1467" s="1" t="str">
        <f aca="false">IF(L1467="","",IF(2026-E1467&gt;0,L1467/(2026-E1467),L1467))</f>
        <v/>
      </c>
    </row>
    <row r="1468" customFormat="false" ht="15" hidden="false" customHeight="true" outlineLevel="0" collapsed="false">
      <c r="N1468" s="1" t="str">
        <f aca="false">IF(L1468="","",IF(2026-E1468&gt;0,L1468/(2026-E1468),L1468))</f>
        <v/>
      </c>
    </row>
    <row r="1469" customFormat="false" ht="15" hidden="false" customHeight="true" outlineLevel="0" collapsed="false">
      <c r="N1469" s="1" t="str">
        <f aca="false">IF(L1469="","",IF(2026-E1469&gt;0,L1469/(2026-E1469),L1469))</f>
        <v/>
      </c>
    </row>
    <row r="1470" customFormat="false" ht="15" hidden="false" customHeight="true" outlineLevel="0" collapsed="false">
      <c r="N1470" s="1" t="str">
        <f aca="false">IF(L1470="","",IF(2026-E1470&gt;0,L1470/(2026-E1470),L1470))</f>
        <v/>
      </c>
    </row>
    <row r="1471" customFormat="false" ht="15" hidden="false" customHeight="true" outlineLevel="0" collapsed="false">
      <c r="N1471" s="1" t="str">
        <f aca="false">IF(L1471="","",IF(2026-E1471&gt;0,L1471/(2026-E1471),L1471))</f>
        <v/>
      </c>
    </row>
    <row r="1472" customFormat="false" ht="15" hidden="false" customHeight="true" outlineLevel="0" collapsed="false">
      <c r="N1472" s="1" t="str">
        <f aca="false">IF(L1472="","",IF(2026-E1472&gt;0,L1472/(2026-E1472),L1472))</f>
        <v/>
      </c>
    </row>
    <row r="1473" customFormat="false" ht="15" hidden="false" customHeight="true" outlineLevel="0" collapsed="false">
      <c r="N1473" s="1" t="str">
        <f aca="false">IF(L1473="","",IF(2026-E1473&gt;0,L1473/(2026-E1473),L1473))</f>
        <v/>
      </c>
    </row>
    <row r="1474" customFormat="false" ht="15" hidden="false" customHeight="true" outlineLevel="0" collapsed="false">
      <c r="N1474" s="1" t="str">
        <f aca="false">IF(L1474="","",IF(2026-E1474&gt;0,L1474/(2026-E1474),L1474))</f>
        <v/>
      </c>
    </row>
    <row r="1475" customFormat="false" ht="15" hidden="false" customHeight="true" outlineLevel="0" collapsed="false">
      <c r="N1475" s="1" t="str">
        <f aca="false">IF(L1475="","",IF(2026-E1475&gt;0,L1475/(2026-E1475),L1475))</f>
        <v/>
      </c>
    </row>
    <row r="1476" customFormat="false" ht="15" hidden="false" customHeight="true" outlineLevel="0" collapsed="false">
      <c r="N1476" s="1" t="str">
        <f aca="false">IF(L1476="","",IF(2026-E1476&gt;0,L1476/(2026-E1476),L1476))</f>
        <v/>
      </c>
    </row>
    <row r="1477" customFormat="false" ht="15" hidden="false" customHeight="true" outlineLevel="0" collapsed="false">
      <c r="N1477" s="1" t="str">
        <f aca="false">IF(L1477="","",IF(2026-E1477&gt;0,L1477/(2026-E1477),L1477))</f>
        <v/>
      </c>
    </row>
    <row r="1478" customFormat="false" ht="15" hidden="false" customHeight="true" outlineLevel="0" collapsed="false">
      <c r="N1478" s="1" t="str">
        <f aca="false">IF(L1478="","",IF(2026-E1478&gt;0,L1478/(2026-E1478),L1478))</f>
        <v/>
      </c>
    </row>
    <row r="1479" customFormat="false" ht="15" hidden="false" customHeight="true" outlineLevel="0" collapsed="false">
      <c r="N1479" s="1" t="str">
        <f aca="false">IF(L1479="","",IF(2026-E1479&gt;0,L1479/(2026-E1479),L1479))</f>
        <v/>
      </c>
    </row>
    <row r="1480" customFormat="false" ht="15" hidden="false" customHeight="true" outlineLevel="0" collapsed="false">
      <c r="N1480" s="1" t="str">
        <f aca="false">IF(L1480="","",IF(2026-E1480&gt;0,L1480/(2026-E1480),L1480))</f>
        <v/>
      </c>
    </row>
    <row r="1481" customFormat="false" ht="15" hidden="false" customHeight="true" outlineLevel="0" collapsed="false">
      <c r="N1481" s="1" t="str">
        <f aca="false">IF(L1481="","",IF(2026-E1481&gt;0,L1481/(2026-E1481),L1481))</f>
        <v/>
      </c>
    </row>
    <row r="1482" customFormat="false" ht="15" hidden="false" customHeight="true" outlineLevel="0" collapsed="false">
      <c r="N1482" s="1" t="str">
        <f aca="false">IF(L1482="","",IF(2026-E1482&gt;0,L1482/(2026-E1482),L1482))</f>
        <v/>
      </c>
    </row>
    <row r="1483" customFormat="false" ht="15" hidden="false" customHeight="true" outlineLevel="0" collapsed="false">
      <c r="N1483" s="1" t="str">
        <f aca="false">IF(L1483="","",IF(2026-E1483&gt;0,L1483/(2026-E1483),L1483))</f>
        <v/>
      </c>
    </row>
    <row r="1484" customFormat="false" ht="15" hidden="false" customHeight="true" outlineLevel="0" collapsed="false">
      <c r="N1484" s="1" t="str">
        <f aca="false">IF(L1484="","",IF(2026-E1484&gt;0,L1484/(2026-E1484),L1484))</f>
        <v/>
      </c>
    </row>
    <row r="1485" customFormat="false" ht="15" hidden="false" customHeight="true" outlineLevel="0" collapsed="false">
      <c r="N1485" s="1" t="str">
        <f aca="false">IF(L1485="","",IF(2026-E1485&gt;0,L1485/(2026-E1485),L1485))</f>
        <v/>
      </c>
    </row>
    <row r="1486" customFormat="false" ht="15" hidden="false" customHeight="true" outlineLevel="0" collapsed="false">
      <c r="N1486" s="1" t="str">
        <f aca="false">IF(L1486="","",IF(2026-E1486&gt;0,L1486/(2026-E1486),L1486))</f>
        <v/>
      </c>
    </row>
    <row r="1487" customFormat="false" ht="15" hidden="false" customHeight="true" outlineLevel="0" collapsed="false">
      <c r="N1487" s="1" t="str">
        <f aca="false">IF(L1487="","",IF(2026-E1487&gt;0,L1487/(2026-E1487),L1487))</f>
        <v/>
      </c>
    </row>
    <row r="1488" customFormat="false" ht="15" hidden="false" customHeight="true" outlineLevel="0" collapsed="false">
      <c r="N1488" s="1" t="str">
        <f aca="false">IF(L1488="","",IF(2026-E1488&gt;0,L1488/(2026-E1488),L1488))</f>
        <v/>
      </c>
    </row>
    <row r="1489" customFormat="false" ht="15" hidden="false" customHeight="true" outlineLevel="0" collapsed="false">
      <c r="N1489" s="1" t="str">
        <f aca="false">IF(L1489="","",IF(2026-E1489&gt;0,L1489/(2026-E1489),L1489))</f>
        <v/>
      </c>
    </row>
    <row r="1490" customFormat="false" ht="15" hidden="false" customHeight="true" outlineLevel="0" collapsed="false">
      <c r="N1490" s="1" t="str">
        <f aca="false">IF(L1490="","",IF(2026-E1490&gt;0,L1490/(2026-E1490),L1490))</f>
        <v/>
      </c>
    </row>
    <row r="1491" customFormat="false" ht="15" hidden="false" customHeight="true" outlineLevel="0" collapsed="false">
      <c r="N1491" s="1" t="str">
        <f aca="false">IF(L1491="","",IF(2026-E1491&gt;0,L1491/(2026-E1491),L1491))</f>
        <v/>
      </c>
    </row>
    <row r="1492" customFormat="false" ht="15" hidden="false" customHeight="true" outlineLevel="0" collapsed="false">
      <c r="N1492" s="1" t="str">
        <f aca="false">IF(L1492="","",IF(2026-E1492&gt;0,L1492/(2026-E1492),L1492))</f>
        <v/>
      </c>
    </row>
    <row r="1493" customFormat="false" ht="15" hidden="false" customHeight="true" outlineLevel="0" collapsed="false">
      <c r="N1493" s="1" t="str">
        <f aca="false">IF(L1493="","",IF(2026-E1493&gt;0,L1493/(2026-E1493),L1493))</f>
        <v/>
      </c>
    </row>
    <row r="1494" customFormat="false" ht="15" hidden="false" customHeight="true" outlineLevel="0" collapsed="false">
      <c r="N1494" s="1" t="str">
        <f aca="false">IF(L1494="","",IF(2026-E1494&gt;0,L1494/(2026-E1494),L1494))</f>
        <v/>
      </c>
    </row>
    <row r="1495" customFormat="false" ht="15" hidden="false" customHeight="true" outlineLevel="0" collapsed="false">
      <c r="N1495" s="1" t="str">
        <f aca="false">IF(L1495="","",IF(2026-E1495&gt;0,L1495/(2026-E1495),L1495))</f>
        <v/>
      </c>
    </row>
    <row r="1496" customFormat="false" ht="15" hidden="false" customHeight="true" outlineLevel="0" collapsed="false">
      <c r="N1496" s="1" t="str">
        <f aca="false">IF(L1496="","",IF(2026-E1496&gt;0,L1496/(2026-E1496),L1496))</f>
        <v/>
      </c>
    </row>
    <row r="1497" customFormat="false" ht="15" hidden="false" customHeight="true" outlineLevel="0" collapsed="false">
      <c r="N1497" s="1" t="str">
        <f aca="false">IF(L1497="","",IF(2026-E1497&gt;0,L1497/(2026-E1497),L1497))</f>
        <v/>
      </c>
    </row>
    <row r="1498" customFormat="false" ht="15" hidden="false" customHeight="true" outlineLevel="0" collapsed="false">
      <c r="N1498" s="1" t="str">
        <f aca="false">IF(L1498="","",IF(2026-E1498&gt;0,L1498/(2026-E1498),L1498))</f>
        <v/>
      </c>
    </row>
    <row r="1499" customFormat="false" ht="15" hidden="false" customHeight="true" outlineLevel="0" collapsed="false">
      <c r="N1499" s="1" t="str">
        <f aca="false">IF(L1499="","",IF(2026-E1499&gt;0,L1499/(2026-E1499),L1499))</f>
        <v/>
      </c>
    </row>
    <row r="1500" customFormat="false" ht="15" hidden="false" customHeight="true" outlineLevel="0" collapsed="false">
      <c r="N1500" s="1" t="str">
        <f aca="false">IF(L1500="","",IF(2026-E1500&gt;0,L1500/(2026-E1500),L1500))</f>
        <v/>
      </c>
    </row>
    <row r="1501" customFormat="false" ht="15" hidden="false" customHeight="true" outlineLevel="0" collapsed="false">
      <c r="N1501" s="1" t="str">
        <f aca="false">IF(L1501="","",IF(2026-E1501&gt;0,L1501/(2026-E1501),L1501))</f>
        <v/>
      </c>
    </row>
    <row r="1502" customFormat="false" ht="15" hidden="false" customHeight="true" outlineLevel="0" collapsed="false">
      <c r="N1502" s="1" t="str">
        <f aca="false">IF(L1502="","",IF(2026-E1502&gt;0,L1502/(2026-E1502),L1502))</f>
        <v/>
      </c>
    </row>
    <row r="1503" customFormat="false" ht="15" hidden="false" customHeight="true" outlineLevel="0" collapsed="false">
      <c r="N1503" s="1" t="str">
        <f aca="false">IF(L1503="","",IF(2026-E1503&gt;0,L1503/(2026-E1503),L1503))</f>
        <v/>
      </c>
    </row>
    <row r="1504" customFormat="false" ht="15" hidden="false" customHeight="true" outlineLevel="0" collapsed="false">
      <c r="N1504" s="1" t="str">
        <f aca="false">IF(L1504="","",IF(2026-E1504&gt;0,L1504/(2026-E1504),L1504))</f>
        <v/>
      </c>
    </row>
    <row r="1505" customFormat="false" ht="15" hidden="false" customHeight="true" outlineLevel="0" collapsed="false">
      <c r="N1505" s="1" t="str">
        <f aca="false">IF(L1505="","",IF(2026-E1505&gt;0,L1505/(2026-E1505),L1505))</f>
        <v/>
      </c>
    </row>
    <row r="1506" customFormat="false" ht="15" hidden="false" customHeight="true" outlineLevel="0" collapsed="false">
      <c r="N1506" s="1" t="str">
        <f aca="false">IF(L1506="","",IF(2026-E1506&gt;0,L1506/(2026-E1506),L1506))</f>
        <v/>
      </c>
    </row>
    <row r="1507" customFormat="false" ht="15" hidden="false" customHeight="true" outlineLevel="0" collapsed="false">
      <c r="N1507" s="1" t="str">
        <f aca="false">IF(L1507="","",IF(2026-E1507&gt;0,L1507/(2026-E1507),L1507))</f>
        <v/>
      </c>
    </row>
    <row r="1508" customFormat="false" ht="15" hidden="false" customHeight="true" outlineLevel="0" collapsed="false">
      <c r="N1508" s="1" t="str">
        <f aca="false">IF(L1508="","",IF(2026-E1508&gt;0,L1508/(2026-E1508),L1508))</f>
        <v/>
      </c>
    </row>
    <row r="1509" customFormat="false" ht="15" hidden="false" customHeight="true" outlineLevel="0" collapsed="false">
      <c r="N1509" s="1" t="str">
        <f aca="false">IF(L1509="","",IF(2026-E1509&gt;0,L1509/(2026-E1509),L1509))</f>
        <v/>
      </c>
    </row>
    <row r="1510" customFormat="false" ht="15" hidden="false" customHeight="true" outlineLevel="0" collapsed="false">
      <c r="N1510" s="1" t="str">
        <f aca="false">IF(L1510="","",IF(2026-E1510&gt;0,L1510/(2026-E1510),L1510))</f>
        <v/>
      </c>
    </row>
    <row r="1511" customFormat="false" ht="15" hidden="false" customHeight="true" outlineLevel="0" collapsed="false">
      <c r="N1511" s="1" t="str">
        <f aca="false">IF(L1511="","",IF(2026-E1511&gt;0,L1511/(2026-E1511),L1511))</f>
        <v/>
      </c>
    </row>
    <row r="1512" customFormat="false" ht="15" hidden="false" customHeight="true" outlineLevel="0" collapsed="false">
      <c r="N1512" s="1" t="str">
        <f aca="false">IF(L1512="","",IF(2026-E1512&gt;0,L1512/(2026-E1512),L1512))</f>
        <v/>
      </c>
    </row>
    <row r="1513" customFormat="false" ht="15" hidden="false" customHeight="true" outlineLevel="0" collapsed="false">
      <c r="N1513" s="1" t="str">
        <f aca="false">IF(L1513="","",IF(2026-E1513&gt;0,L1513/(2026-E1513),L1513))</f>
        <v/>
      </c>
    </row>
    <row r="1514" customFormat="false" ht="15" hidden="false" customHeight="true" outlineLevel="0" collapsed="false">
      <c r="N1514" s="1" t="str">
        <f aca="false">IF(L1514="","",IF(2026-E1514&gt;0,L1514/(2026-E1514),L1514))</f>
        <v/>
      </c>
    </row>
    <row r="1515" customFormat="false" ht="15" hidden="false" customHeight="true" outlineLevel="0" collapsed="false">
      <c r="N1515" s="1" t="str">
        <f aca="false">IF(L1515="","",IF(2026-E1515&gt;0,L1515/(2026-E1515),L1515))</f>
        <v/>
      </c>
    </row>
    <row r="1516" customFormat="false" ht="15" hidden="false" customHeight="true" outlineLevel="0" collapsed="false">
      <c r="N1516" s="1" t="str">
        <f aca="false">IF(L1516="","",IF(2026-E1516&gt;0,L1516/(2026-E1516),L1516))</f>
        <v/>
      </c>
    </row>
    <row r="1517" customFormat="false" ht="15" hidden="false" customHeight="true" outlineLevel="0" collapsed="false">
      <c r="N1517" s="1" t="str">
        <f aca="false">IF(L1517="","",IF(2026-E1517&gt;0,L1517/(2026-E1517),L1517))</f>
        <v/>
      </c>
    </row>
    <row r="1518" customFormat="false" ht="15" hidden="false" customHeight="true" outlineLevel="0" collapsed="false">
      <c r="N1518" s="1" t="str">
        <f aca="false">IF(L1518="","",IF(2026-E1518&gt;0,L1518/(2026-E1518),L1518))</f>
        <v/>
      </c>
    </row>
    <row r="1519" customFormat="false" ht="15" hidden="false" customHeight="true" outlineLevel="0" collapsed="false">
      <c r="N1519" s="1" t="str">
        <f aca="false">IF(L1519="","",IF(2026-E1519&gt;0,L1519/(2026-E1519),L1519))</f>
        <v/>
      </c>
    </row>
    <row r="1520" customFormat="false" ht="15" hidden="false" customHeight="true" outlineLevel="0" collapsed="false">
      <c r="N1520" s="1" t="str">
        <f aca="false">IF(L1520="","",IF(2026-E1520&gt;0,L1520/(2026-E1520),L1520))</f>
        <v/>
      </c>
    </row>
    <row r="1521" customFormat="false" ht="15" hidden="false" customHeight="true" outlineLevel="0" collapsed="false">
      <c r="N1521" s="1" t="str">
        <f aca="false">IF(L1521="","",IF(2026-E1521&gt;0,L1521/(2026-E1521),L1521))</f>
        <v/>
      </c>
    </row>
    <row r="1522" customFormat="false" ht="15" hidden="false" customHeight="true" outlineLevel="0" collapsed="false">
      <c r="N1522" s="1" t="str">
        <f aca="false">IF(L1522="","",IF(2026-E1522&gt;0,L1522/(2026-E1522),L1522))</f>
        <v/>
      </c>
    </row>
    <row r="1523" customFormat="false" ht="15" hidden="false" customHeight="true" outlineLevel="0" collapsed="false">
      <c r="N1523" s="1" t="str">
        <f aca="false">IF(L1523="","",IF(2026-E1523&gt;0,L1523/(2026-E1523),L1523))</f>
        <v/>
      </c>
    </row>
    <row r="1524" customFormat="false" ht="15" hidden="false" customHeight="true" outlineLevel="0" collapsed="false">
      <c r="N1524" s="1" t="str">
        <f aca="false">IF(L1524="","",IF(2026-E1524&gt;0,L1524/(2026-E1524),L1524))</f>
        <v/>
      </c>
    </row>
    <row r="1525" customFormat="false" ht="15" hidden="false" customHeight="true" outlineLevel="0" collapsed="false">
      <c r="N1525" s="1" t="str">
        <f aca="false">IF(L1525="","",IF(2026-E1525&gt;0,L1525/(2026-E1525),L1525))</f>
        <v/>
      </c>
    </row>
    <row r="1526" customFormat="false" ht="15" hidden="false" customHeight="true" outlineLevel="0" collapsed="false">
      <c r="N1526" s="1" t="str">
        <f aca="false">IF(L1526="","",IF(2026-E1526&gt;0,L1526/(2026-E1526),L1526))</f>
        <v/>
      </c>
    </row>
    <row r="1527" customFormat="false" ht="15" hidden="false" customHeight="true" outlineLevel="0" collapsed="false">
      <c r="N1527" s="1" t="str">
        <f aca="false">IF(L1527="","",IF(2026-E1527&gt;0,L1527/(2026-E1527),L1527))</f>
        <v/>
      </c>
    </row>
    <row r="1528" customFormat="false" ht="15" hidden="false" customHeight="true" outlineLevel="0" collapsed="false">
      <c r="N1528" s="1" t="str">
        <f aca="false">IF(L1528="","",IF(2026-E1528&gt;0,L1528/(2026-E1528),L1528))</f>
        <v/>
      </c>
    </row>
    <row r="1529" customFormat="false" ht="15" hidden="false" customHeight="true" outlineLevel="0" collapsed="false">
      <c r="N1529" s="1" t="str">
        <f aca="false">IF(L1529="","",IF(2026-E1529&gt;0,L1529/(2026-E1529),L1529))</f>
        <v/>
      </c>
    </row>
    <row r="1530" customFormat="false" ht="15" hidden="false" customHeight="true" outlineLevel="0" collapsed="false">
      <c r="N1530" s="1" t="str">
        <f aca="false">IF(L1530="","",IF(2026-E1530&gt;0,L1530/(2026-E1530),L1530))</f>
        <v/>
      </c>
    </row>
    <row r="1531" customFormat="false" ht="15" hidden="false" customHeight="true" outlineLevel="0" collapsed="false">
      <c r="N1531" s="1" t="str">
        <f aca="false">IF(L1531="","",IF(2026-E1531&gt;0,L1531/(2026-E1531),L1531))</f>
        <v/>
      </c>
    </row>
    <row r="1532" customFormat="false" ht="15" hidden="false" customHeight="true" outlineLevel="0" collapsed="false">
      <c r="N1532" s="1" t="str">
        <f aca="false">IF(L1532="","",IF(2026-E1532&gt;0,L1532/(2026-E1532),L1532))</f>
        <v/>
      </c>
    </row>
    <row r="1533" customFormat="false" ht="15" hidden="false" customHeight="true" outlineLevel="0" collapsed="false">
      <c r="N1533" s="1" t="str">
        <f aca="false">IF(L1533="","",IF(2026-E1533&gt;0,L1533/(2026-E1533),L1533))</f>
        <v/>
      </c>
    </row>
    <row r="1534" customFormat="false" ht="15" hidden="false" customHeight="true" outlineLevel="0" collapsed="false">
      <c r="N1534" s="1" t="str">
        <f aca="false">IF(L1534="","",IF(2026-E1534&gt;0,L1534/(2026-E1534),L1534))</f>
        <v/>
      </c>
    </row>
    <row r="1535" customFormat="false" ht="15" hidden="false" customHeight="true" outlineLevel="0" collapsed="false">
      <c r="N1535" s="1" t="str">
        <f aca="false">IF(L1535="","",IF(2026-E1535&gt;0,L1535/(2026-E1535),L1535))</f>
        <v/>
      </c>
    </row>
    <row r="1536" customFormat="false" ht="15" hidden="false" customHeight="true" outlineLevel="0" collapsed="false">
      <c r="N1536" s="1" t="str">
        <f aca="false">IF(L1536="","",IF(2026-E1536&gt;0,L1536/(2026-E1536),L1536))</f>
        <v/>
      </c>
    </row>
    <row r="1537" customFormat="false" ht="15" hidden="false" customHeight="true" outlineLevel="0" collapsed="false">
      <c r="N1537" s="1" t="str">
        <f aca="false">IF(L1537="","",IF(2026-E1537&gt;0,L1537/(2026-E1537),L1537))</f>
        <v/>
      </c>
    </row>
    <row r="1538" customFormat="false" ht="15" hidden="false" customHeight="true" outlineLevel="0" collapsed="false">
      <c r="N1538" s="1" t="str">
        <f aca="false">IF(L1538="","",IF(2026-E1538&gt;0,L1538/(2026-E1538),L1538))</f>
        <v/>
      </c>
    </row>
    <row r="1539" customFormat="false" ht="15" hidden="false" customHeight="true" outlineLevel="0" collapsed="false">
      <c r="N1539" s="1" t="str">
        <f aca="false">IF(L1539="","",IF(2026-E1539&gt;0,L1539/(2026-E1539),L1539))</f>
        <v/>
      </c>
    </row>
    <row r="1540" customFormat="false" ht="15" hidden="false" customHeight="true" outlineLevel="0" collapsed="false">
      <c r="N1540" s="1" t="str">
        <f aca="false">IF(L1540="","",IF(2026-E1540&gt;0,L1540/(2026-E1540),L1540))</f>
        <v/>
      </c>
    </row>
    <row r="1541" customFormat="false" ht="15" hidden="false" customHeight="true" outlineLevel="0" collapsed="false">
      <c r="N1541" s="1" t="str">
        <f aca="false">IF(L1541="","",IF(2026-E1541&gt;0,L1541/(2026-E1541),L1541))</f>
        <v/>
      </c>
    </row>
    <row r="1542" customFormat="false" ht="15" hidden="false" customHeight="true" outlineLevel="0" collapsed="false">
      <c r="N1542" s="1" t="str">
        <f aca="false">IF(L1542="","",IF(2026-E1542&gt;0,L1542/(2026-E1542),L1542))</f>
        <v/>
      </c>
    </row>
    <row r="1543" customFormat="false" ht="15" hidden="false" customHeight="true" outlineLevel="0" collapsed="false">
      <c r="N1543" s="1" t="str">
        <f aca="false">IF(L1543="","",IF(2026-E1543&gt;0,L1543/(2026-E1543),L1543))</f>
        <v/>
      </c>
    </row>
    <row r="1544" customFormat="false" ht="15" hidden="false" customHeight="true" outlineLevel="0" collapsed="false">
      <c r="N1544" s="1" t="str">
        <f aca="false">IF(L1544="","",IF(2026-E1544&gt;0,L1544/(2026-E1544),L1544))</f>
        <v/>
      </c>
    </row>
    <row r="1545" customFormat="false" ht="15" hidden="false" customHeight="true" outlineLevel="0" collapsed="false">
      <c r="N1545" s="1" t="str">
        <f aca="false">IF(L1545="","",IF(2026-E1545&gt;0,L1545/(2026-E1545),L1545))</f>
        <v/>
      </c>
    </row>
    <row r="1546" customFormat="false" ht="15" hidden="false" customHeight="true" outlineLevel="0" collapsed="false">
      <c r="N1546" s="1" t="str">
        <f aca="false">IF(L1546="","",IF(2026-E1546&gt;0,L1546/(2026-E1546),L1546))</f>
        <v/>
      </c>
    </row>
    <row r="1547" customFormat="false" ht="15" hidden="false" customHeight="true" outlineLevel="0" collapsed="false">
      <c r="N1547" s="1" t="str">
        <f aca="false">IF(L1547="","",IF(2026-E1547&gt;0,L1547/(2026-E1547),L1547))</f>
        <v/>
      </c>
    </row>
    <row r="1548" customFormat="false" ht="15" hidden="false" customHeight="true" outlineLevel="0" collapsed="false">
      <c r="N1548" s="1" t="str">
        <f aca="false">IF(L1548="","",IF(2026-E1548&gt;0,L1548/(2026-E1548),L1548))</f>
        <v/>
      </c>
    </row>
    <row r="1549" customFormat="false" ht="15" hidden="false" customHeight="true" outlineLevel="0" collapsed="false">
      <c r="N1549" s="1" t="str">
        <f aca="false">IF(L1549="","",IF(2026-E1549&gt;0,L1549/(2026-E1549),L1549))</f>
        <v/>
      </c>
    </row>
    <row r="1550" customFormat="false" ht="15" hidden="false" customHeight="true" outlineLevel="0" collapsed="false">
      <c r="N1550" s="1" t="str">
        <f aca="false">IF(L1550="","",IF(2026-E1550&gt;0,L1550/(2026-E1550),L1550))</f>
        <v/>
      </c>
    </row>
    <row r="1551" customFormat="false" ht="15" hidden="false" customHeight="true" outlineLevel="0" collapsed="false">
      <c r="N1551" s="1" t="str">
        <f aca="false">IF(L1551="","",IF(2026-E1551&gt;0,L1551/(2026-E1551),L1551))</f>
        <v/>
      </c>
    </row>
    <row r="1552" customFormat="false" ht="15" hidden="false" customHeight="true" outlineLevel="0" collapsed="false">
      <c r="N1552" s="1" t="str">
        <f aca="false">IF(L1552="","",IF(2026-E1552&gt;0,L1552/(2026-E1552),L1552))</f>
        <v/>
      </c>
    </row>
    <row r="1553" customFormat="false" ht="15" hidden="false" customHeight="true" outlineLevel="0" collapsed="false">
      <c r="N1553" s="1" t="str">
        <f aca="false">IF(L1553="","",IF(2026-E1553&gt;0,L1553/(2026-E1553),L1553))</f>
        <v/>
      </c>
    </row>
    <row r="1554" customFormat="false" ht="15" hidden="false" customHeight="true" outlineLevel="0" collapsed="false">
      <c r="N1554" s="1" t="str">
        <f aca="false">IF(L1554="","",IF(2026-E1554&gt;0,L1554/(2026-E1554),L1554))</f>
        <v/>
      </c>
    </row>
    <row r="1555" customFormat="false" ht="15" hidden="false" customHeight="true" outlineLevel="0" collapsed="false">
      <c r="N1555" s="1" t="str">
        <f aca="false">IF(L1555="","",IF(2026-E1555&gt;0,L1555/(2026-E1555),L1555))</f>
        <v/>
      </c>
    </row>
    <row r="1556" customFormat="false" ht="15" hidden="false" customHeight="true" outlineLevel="0" collapsed="false">
      <c r="N1556" s="1" t="str">
        <f aca="false">IF(L1556="","",IF(2026-E1556&gt;0,L1556/(2026-E1556),L1556))</f>
        <v/>
      </c>
    </row>
    <row r="1557" customFormat="false" ht="15" hidden="false" customHeight="true" outlineLevel="0" collapsed="false">
      <c r="N1557" s="1" t="str">
        <f aca="false">IF(L1557="","",IF(2026-E1557&gt;0,L1557/(2026-E1557),L1557))</f>
        <v/>
      </c>
    </row>
    <row r="1558" customFormat="false" ht="15" hidden="false" customHeight="true" outlineLevel="0" collapsed="false">
      <c r="N1558" s="1" t="str">
        <f aca="false">IF(L1558="","",IF(2026-E1558&gt;0,L1558/(2026-E1558),L1558))</f>
        <v/>
      </c>
    </row>
    <row r="1559" customFormat="false" ht="15" hidden="false" customHeight="true" outlineLevel="0" collapsed="false">
      <c r="N1559" s="1" t="str">
        <f aca="false">IF(L1559="","",IF(2026-E1559&gt;0,L1559/(2026-E1559),L1559))</f>
        <v/>
      </c>
    </row>
    <row r="1560" customFormat="false" ht="15" hidden="false" customHeight="true" outlineLevel="0" collapsed="false">
      <c r="N1560" s="1" t="str">
        <f aca="false">IF(L1560="","",IF(2026-E1560&gt;0,L1560/(2026-E1560),L1560))</f>
        <v/>
      </c>
    </row>
    <row r="1561" customFormat="false" ht="15" hidden="false" customHeight="true" outlineLevel="0" collapsed="false">
      <c r="N1561" s="1" t="str">
        <f aca="false">IF(L1561="","",IF(2026-E1561&gt;0,L1561/(2026-E1561),L1561))</f>
        <v/>
      </c>
    </row>
    <row r="1562" customFormat="false" ht="15" hidden="false" customHeight="true" outlineLevel="0" collapsed="false">
      <c r="N1562" s="1" t="str">
        <f aca="false">IF(L1562="","",IF(2026-E1562&gt;0,L1562/(2026-E1562),L1562))</f>
        <v/>
      </c>
    </row>
    <row r="1563" customFormat="false" ht="15" hidden="false" customHeight="true" outlineLevel="0" collapsed="false">
      <c r="N1563" s="1" t="str">
        <f aca="false">IF(L1563="","",IF(2026-E1563&gt;0,L1563/(2026-E1563),L1563))</f>
        <v/>
      </c>
    </row>
    <row r="1564" customFormat="false" ht="15" hidden="false" customHeight="true" outlineLevel="0" collapsed="false">
      <c r="N1564" s="1" t="str">
        <f aca="false">IF(L1564="","",IF(2026-E1564&gt;0,L1564/(2026-E1564),L1564))</f>
        <v/>
      </c>
    </row>
    <row r="1565" customFormat="false" ht="15" hidden="false" customHeight="true" outlineLevel="0" collapsed="false">
      <c r="N1565" s="1" t="str">
        <f aca="false">IF(L1565="","",IF(2026-E1565&gt;0,L1565/(2026-E1565),L1565))</f>
        <v/>
      </c>
    </row>
    <row r="1566" customFormat="false" ht="15" hidden="false" customHeight="true" outlineLevel="0" collapsed="false">
      <c r="N1566" s="1" t="str">
        <f aca="false">IF(L1566="","",IF(2026-E1566&gt;0,L1566/(2026-E1566),L1566))</f>
        <v/>
      </c>
    </row>
    <row r="1567" customFormat="false" ht="15" hidden="false" customHeight="true" outlineLevel="0" collapsed="false">
      <c r="N1567" s="1" t="str">
        <f aca="false">IF(L1567="","",IF(2026-E1567&gt;0,L1567/(2026-E1567),L1567))</f>
        <v/>
      </c>
    </row>
    <row r="1568" customFormat="false" ht="15" hidden="false" customHeight="true" outlineLevel="0" collapsed="false">
      <c r="N1568" s="1" t="str">
        <f aca="false">IF(L1568="","",IF(2026-E1568&gt;0,L1568/(2026-E1568),L1568))</f>
        <v/>
      </c>
    </row>
    <row r="1569" customFormat="false" ht="15" hidden="false" customHeight="true" outlineLevel="0" collapsed="false">
      <c r="N1569" s="1" t="str">
        <f aca="false">IF(L1569="","",IF(2026-E1569&gt;0,L1569/(2026-E1569),L1569))</f>
        <v/>
      </c>
    </row>
    <row r="1570" customFormat="false" ht="15" hidden="false" customHeight="true" outlineLevel="0" collapsed="false">
      <c r="N1570" s="1" t="str">
        <f aca="false">IF(L1570="","",IF(2026-E1570&gt;0,L1570/(2026-E1570),L1570))</f>
        <v/>
      </c>
    </row>
    <row r="1571" customFormat="false" ht="15" hidden="false" customHeight="true" outlineLevel="0" collapsed="false">
      <c r="N1571" s="1" t="str">
        <f aca="false">IF(L1571="","",IF(2026-E1571&gt;0,L1571/(2026-E1571),L1571))</f>
        <v/>
      </c>
    </row>
    <row r="1572" customFormat="false" ht="15" hidden="false" customHeight="true" outlineLevel="0" collapsed="false">
      <c r="N1572" s="1" t="str">
        <f aca="false">IF(L1572="","",IF(2026-E1572&gt;0,L1572/(2026-E1572),L1572))</f>
        <v/>
      </c>
    </row>
    <row r="1573" customFormat="false" ht="15" hidden="false" customHeight="true" outlineLevel="0" collapsed="false">
      <c r="N1573" s="1" t="str">
        <f aca="false">IF(L1573="","",IF(2026-E1573&gt;0,L1573/(2026-E1573),L1573))</f>
        <v/>
      </c>
    </row>
    <row r="1574" customFormat="false" ht="15" hidden="false" customHeight="true" outlineLevel="0" collapsed="false">
      <c r="N1574" s="1" t="str">
        <f aca="false">IF(L1574="","",IF(2026-E1574&gt;0,L1574/(2026-E1574),L1574))</f>
        <v/>
      </c>
    </row>
    <row r="1575" customFormat="false" ht="15" hidden="false" customHeight="true" outlineLevel="0" collapsed="false">
      <c r="N1575" s="1" t="str">
        <f aca="false">IF(L1575="","",IF(2026-E1575&gt;0,L1575/(2026-E1575),L1575))</f>
        <v/>
      </c>
    </row>
    <row r="1576" customFormat="false" ht="15" hidden="false" customHeight="true" outlineLevel="0" collapsed="false">
      <c r="N1576" s="1" t="str">
        <f aca="false">IF(L1576="","",IF(2026-E1576&gt;0,L1576/(2026-E1576),L1576))</f>
        <v/>
      </c>
    </row>
    <row r="1577" customFormat="false" ht="15" hidden="false" customHeight="true" outlineLevel="0" collapsed="false">
      <c r="N1577" s="1" t="str">
        <f aca="false">IF(L1577="","",IF(2026-E1577&gt;0,L1577/(2026-E1577),L1577))</f>
        <v/>
      </c>
    </row>
    <row r="1578" customFormat="false" ht="15" hidden="false" customHeight="true" outlineLevel="0" collapsed="false">
      <c r="N1578" s="1" t="str">
        <f aca="false">IF(L1578="","",IF(2026-E1578&gt;0,L1578/(2026-E1578),L1578))</f>
        <v/>
      </c>
    </row>
    <row r="1579" customFormat="false" ht="15" hidden="false" customHeight="true" outlineLevel="0" collapsed="false">
      <c r="N1579" s="1" t="str">
        <f aca="false">IF(L1579="","",IF(2026-E1579&gt;0,L1579/(2026-E1579),L1579))</f>
        <v/>
      </c>
    </row>
    <row r="1580" customFormat="false" ht="15" hidden="false" customHeight="true" outlineLevel="0" collapsed="false">
      <c r="N1580" s="1" t="str">
        <f aca="false">IF(L1580="","",IF(2026-E1580&gt;0,L1580/(2026-E1580),L1580))</f>
        <v/>
      </c>
    </row>
    <row r="1581" customFormat="false" ht="15" hidden="false" customHeight="true" outlineLevel="0" collapsed="false">
      <c r="N1581" s="1" t="str">
        <f aca="false">IF(L1581="","",IF(2026-E1581&gt;0,L1581/(2026-E1581),L1581))</f>
        <v/>
      </c>
    </row>
    <row r="1582" customFormat="false" ht="15" hidden="false" customHeight="true" outlineLevel="0" collapsed="false">
      <c r="N1582" s="1" t="str">
        <f aca="false">IF(L1582="","",IF(2026-E1582&gt;0,L1582/(2026-E1582),L1582))</f>
        <v/>
      </c>
    </row>
    <row r="1583" customFormat="false" ht="15" hidden="false" customHeight="true" outlineLevel="0" collapsed="false">
      <c r="N1583" s="1" t="str">
        <f aca="false">IF(L1583="","",IF(2026-E1583&gt;0,L1583/(2026-E1583),L1583))</f>
        <v/>
      </c>
    </row>
    <row r="1584" customFormat="false" ht="15" hidden="false" customHeight="true" outlineLevel="0" collapsed="false">
      <c r="N1584" s="1" t="str">
        <f aca="false">IF(L1584="","",IF(2026-E1584&gt;0,L1584/(2026-E1584),L1584))</f>
        <v/>
      </c>
    </row>
    <row r="1585" customFormat="false" ht="15" hidden="false" customHeight="true" outlineLevel="0" collapsed="false">
      <c r="N1585" s="1" t="str">
        <f aca="false">IF(L1585="","",IF(2026-E1585&gt;0,L1585/(2026-E1585),L1585))</f>
        <v/>
      </c>
    </row>
    <row r="1586" customFormat="false" ht="15" hidden="false" customHeight="true" outlineLevel="0" collapsed="false">
      <c r="N1586" s="1" t="str">
        <f aca="false">IF(L1586="","",IF(2026-E1586&gt;0,L1586/(2026-E1586),L1586))</f>
        <v/>
      </c>
    </row>
    <row r="1587" customFormat="false" ht="15" hidden="false" customHeight="true" outlineLevel="0" collapsed="false">
      <c r="N1587" s="1" t="str">
        <f aca="false">IF(L1587="","",IF(2026-E1587&gt;0,L1587/(2026-E1587),L1587))</f>
        <v/>
      </c>
    </row>
    <row r="1588" customFormat="false" ht="15" hidden="false" customHeight="true" outlineLevel="0" collapsed="false">
      <c r="N1588" s="1" t="str">
        <f aca="false">IF(L1588="","",IF(2026-E1588&gt;0,L1588/(2026-E1588),L1588))</f>
        <v/>
      </c>
    </row>
    <row r="1589" customFormat="false" ht="15" hidden="false" customHeight="true" outlineLevel="0" collapsed="false">
      <c r="N1589" s="1" t="str">
        <f aca="false">IF(L1589="","",IF(2026-E1589&gt;0,L1589/(2026-E1589),L1589))</f>
        <v/>
      </c>
    </row>
    <row r="1590" customFormat="false" ht="15" hidden="false" customHeight="true" outlineLevel="0" collapsed="false">
      <c r="N1590" s="1" t="str">
        <f aca="false">IF(L1590="","",IF(2026-E1590&gt;0,L1590/(2026-E1590),L1590))</f>
        <v/>
      </c>
    </row>
    <row r="1591" customFormat="false" ht="15" hidden="false" customHeight="true" outlineLevel="0" collapsed="false">
      <c r="N1591" s="1" t="str">
        <f aca="false">IF(L1591="","",IF(2026-E1591&gt;0,L1591/(2026-E1591),L1591))</f>
        <v/>
      </c>
    </row>
    <row r="1592" customFormat="false" ht="15" hidden="false" customHeight="true" outlineLevel="0" collapsed="false">
      <c r="N1592" s="1" t="str">
        <f aca="false">IF(L1592="","",IF(2026-E1592&gt;0,L1592/(2026-E1592),L1592))</f>
        <v/>
      </c>
    </row>
    <row r="1593" customFormat="false" ht="15" hidden="false" customHeight="true" outlineLevel="0" collapsed="false">
      <c r="N1593" s="1" t="str">
        <f aca="false">IF(L1593="","",IF(2026-E1593&gt;0,L1593/(2026-E1593),L1593))</f>
        <v/>
      </c>
    </row>
    <row r="1594" customFormat="false" ht="15" hidden="false" customHeight="true" outlineLevel="0" collapsed="false">
      <c r="N1594" s="1" t="str">
        <f aca="false">IF(L1594="","",IF(2026-E1594&gt;0,L1594/(2026-E1594),L1594))</f>
        <v/>
      </c>
    </row>
    <row r="1595" customFormat="false" ht="15" hidden="false" customHeight="true" outlineLevel="0" collapsed="false">
      <c r="N1595" s="1" t="str">
        <f aca="false">IF(L1595="","",IF(2026-E1595&gt;0,L1595/(2026-E1595),L1595))</f>
        <v/>
      </c>
    </row>
    <row r="1596" customFormat="false" ht="15" hidden="false" customHeight="true" outlineLevel="0" collapsed="false">
      <c r="N1596" s="1" t="str">
        <f aca="false">IF(L1596="","",IF(2026-E1596&gt;0,L1596/(2026-E1596),L1596))</f>
        <v/>
      </c>
    </row>
    <row r="1597" customFormat="false" ht="15" hidden="false" customHeight="true" outlineLevel="0" collapsed="false">
      <c r="N1597" s="1" t="str">
        <f aca="false">IF(L1597="","",IF(2026-E1597&gt;0,L1597/(2026-E1597),L1597))</f>
        <v/>
      </c>
    </row>
    <row r="1598" customFormat="false" ht="15" hidden="false" customHeight="true" outlineLevel="0" collapsed="false">
      <c r="N1598" s="1" t="str">
        <f aca="false">IF(L1598="","",IF(2026-E1598&gt;0,L1598/(2026-E1598),L1598))</f>
        <v/>
      </c>
    </row>
    <row r="1599" customFormat="false" ht="15" hidden="false" customHeight="true" outlineLevel="0" collapsed="false">
      <c r="N1599" s="1" t="str">
        <f aca="false">IF(L1599="","",IF(2026-E1599&gt;0,L1599/(2026-E1599),L1599))</f>
        <v/>
      </c>
    </row>
    <row r="1600" customFormat="false" ht="15" hidden="false" customHeight="true" outlineLevel="0" collapsed="false">
      <c r="N1600" s="1" t="str">
        <f aca="false">IF(L1600="","",IF(2026-E1600&gt;0,L1600/(2026-E1600),L1600))</f>
        <v/>
      </c>
    </row>
    <row r="1601" customFormat="false" ht="15" hidden="false" customHeight="true" outlineLevel="0" collapsed="false">
      <c r="N1601" s="1" t="str">
        <f aca="false">IF(L1601="","",IF(2026-E1601&gt;0,L1601/(2026-E1601),L1601))</f>
        <v/>
      </c>
    </row>
    <row r="1602" customFormat="false" ht="15" hidden="false" customHeight="true" outlineLevel="0" collapsed="false">
      <c r="N1602" s="1" t="str">
        <f aca="false">IF(L1602="","",IF(2026-E1602&gt;0,L1602/(2026-E1602),L1602))</f>
        <v/>
      </c>
    </row>
    <row r="1603" customFormat="false" ht="15" hidden="false" customHeight="true" outlineLevel="0" collapsed="false">
      <c r="N1603" s="1" t="str">
        <f aca="false">IF(L1603="","",IF(2026-E1603&gt;0,L1603/(2026-E1603),L1603))</f>
        <v/>
      </c>
    </row>
    <row r="1604" customFormat="false" ht="15" hidden="false" customHeight="true" outlineLevel="0" collapsed="false">
      <c r="N1604" s="1" t="str">
        <f aca="false">IF(L1604="","",IF(2026-E1604&gt;0,L1604/(2026-E1604),L1604))</f>
        <v/>
      </c>
    </row>
    <row r="1605" customFormat="false" ht="15" hidden="false" customHeight="true" outlineLevel="0" collapsed="false">
      <c r="N1605" s="1" t="str">
        <f aca="false">IF(L1605="","",IF(2026-E1605&gt;0,L1605/(2026-E1605),L1605))</f>
        <v/>
      </c>
    </row>
    <row r="1606" customFormat="false" ht="15" hidden="false" customHeight="true" outlineLevel="0" collapsed="false">
      <c r="N1606" s="1" t="str">
        <f aca="false">IF(L1606="","",IF(2026-E1606&gt;0,L1606/(2026-E1606),L1606))</f>
        <v/>
      </c>
    </row>
    <row r="1607" customFormat="false" ht="15" hidden="false" customHeight="true" outlineLevel="0" collapsed="false">
      <c r="N1607" s="1" t="str">
        <f aca="false">IF(L1607="","",IF(2026-E1607&gt;0,L1607/(2026-E1607),L1607))</f>
        <v/>
      </c>
    </row>
    <row r="1608" customFormat="false" ht="15" hidden="false" customHeight="true" outlineLevel="0" collapsed="false">
      <c r="N1608" s="1" t="str">
        <f aca="false">IF(L1608="","",IF(2026-E1608&gt;0,L1608/(2026-E1608),L1608))</f>
        <v/>
      </c>
    </row>
    <row r="1609" customFormat="false" ht="15" hidden="false" customHeight="true" outlineLevel="0" collapsed="false">
      <c r="N1609" s="1" t="str">
        <f aca="false">IF(L1609="","",IF(2026-E1609&gt;0,L1609/(2026-E1609),L1609))</f>
        <v/>
      </c>
    </row>
    <row r="1610" customFormat="false" ht="15" hidden="false" customHeight="true" outlineLevel="0" collapsed="false">
      <c r="N1610" s="1" t="str">
        <f aca="false">IF(L1610="","",IF(2026-E1610&gt;0,L1610/(2026-E1610),L1610))</f>
        <v/>
      </c>
    </row>
    <row r="1611" customFormat="false" ht="15" hidden="false" customHeight="true" outlineLevel="0" collapsed="false">
      <c r="N1611" s="1" t="str">
        <f aca="false">IF(L1611="","",IF(2026-E1611&gt;0,L1611/(2026-E1611),L1611))</f>
        <v/>
      </c>
    </row>
    <row r="1612" customFormat="false" ht="15" hidden="false" customHeight="true" outlineLevel="0" collapsed="false">
      <c r="N1612" s="1" t="str">
        <f aca="false">IF(L1612="","",IF(2026-E1612&gt;0,L1612/(2026-E1612),L1612))</f>
        <v/>
      </c>
    </row>
    <row r="1613" customFormat="false" ht="15" hidden="false" customHeight="true" outlineLevel="0" collapsed="false">
      <c r="N1613" s="1" t="str">
        <f aca="false">IF(L1613="","",IF(2026-E1613&gt;0,L1613/(2026-E1613),L1613))</f>
        <v/>
      </c>
    </row>
    <row r="1614" customFormat="false" ht="15" hidden="false" customHeight="true" outlineLevel="0" collapsed="false">
      <c r="N1614" s="1" t="str">
        <f aca="false">IF(L1614="","",IF(2026-E1614&gt;0,L1614/(2026-E1614),L1614))</f>
        <v/>
      </c>
    </row>
    <row r="1615" customFormat="false" ht="15" hidden="false" customHeight="true" outlineLevel="0" collapsed="false">
      <c r="N1615" s="1" t="str">
        <f aca="false">IF(L1615="","",IF(2026-E1615&gt;0,L1615/(2026-E1615),L1615))</f>
        <v/>
      </c>
    </row>
    <row r="1616" customFormat="false" ht="15" hidden="false" customHeight="true" outlineLevel="0" collapsed="false">
      <c r="N1616" s="1" t="str">
        <f aca="false">IF(L1616="","",IF(2026-E1616&gt;0,L1616/(2026-E1616),L1616))</f>
        <v/>
      </c>
    </row>
    <row r="1617" customFormat="false" ht="15" hidden="false" customHeight="true" outlineLevel="0" collapsed="false">
      <c r="N1617" s="1" t="str">
        <f aca="false">IF(L1617="","",IF(2026-E1617&gt;0,L1617/(2026-E1617),L1617))</f>
        <v/>
      </c>
    </row>
    <row r="1618" customFormat="false" ht="15" hidden="false" customHeight="true" outlineLevel="0" collapsed="false">
      <c r="N1618" s="1" t="str">
        <f aca="false">IF(L1618="","",IF(2026-E1618&gt;0,L1618/(2026-E1618),L1618))</f>
        <v/>
      </c>
    </row>
    <row r="1619" customFormat="false" ht="15" hidden="false" customHeight="true" outlineLevel="0" collapsed="false">
      <c r="N1619" s="1" t="str">
        <f aca="false">IF(L1619="","",IF(2026-E1619&gt;0,L1619/(2026-E1619),L1619))</f>
        <v/>
      </c>
    </row>
    <row r="1620" customFormat="false" ht="15" hidden="false" customHeight="true" outlineLevel="0" collapsed="false">
      <c r="N1620" s="1" t="str">
        <f aca="false">IF(L1620="","",IF(2026-E1620&gt;0,L1620/(2026-E1620),L1620))</f>
        <v/>
      </c>
    </row>
    <row r="1621" customFormat="false" ht="15" hidden="false" customHeight="true" outlineLevel="0" collapsed="false">
      <c r="N1621" s="1" t="str">
        <f aca="false">IF(L1621="","",IF(2026-E1621&gt;0,L1621/(2026-E1621),L1621))</f>
        <v/>
      </c>
    </row>
    <row r="1622" customFormat="false" ht="15" hidden="false" customHeight="true" outlineLevel="0" collapsed="false">
      <c r="N1622" s="1" t="str">
        <f aca="false">IF(L1622="","",IF(2026-E1622&gt;0,L1622/(2026-E1622),L1622))</f>
        <v/>
      </c>
    </row>
    <row r="1623" customFormat="false" ht="15" hidden="false" customHeight="true" outlineLevel="0" collapsed="false">
      <c r="N1623" s="1" t="str">
        <f aca="false">IF(L1623="","",IF(2026-E1623&gt;0,L1623/(2026-E1623),L1623))</f>
        <v/>
      </c>
    </row>
    <row r="1624" customFormat="false" ht="15" hidden="false" customHeight="true" outlineLevel="0" collapsed="false">
      <c r="N1624" s="1" t="str">
        <f aca="false">IF(L1624="","",IF(2026-E1624&gt;0,L1624/(2026-E1624),L1624))</f>
        <v/>
      </c>
    </row>
    <row r="1625" customFormat="false" ht="15" hidden="false" customHeight="true" outlineLevel="0" collapsed="false">
      <c r="N1625" s="1" t="str">
        <f aca="false">IF(L1625="","",IF(2026-E1625&gt;0,L1625/(2026-E1625),L1625))</f>
        <v/>
      </c>
    </row>
    <row r="1626" customFormat="false" ht="15" hidden="false" customHeight="true" outlineLevel="0" collapsed="false">
      <c r="N1626" s="1" t="str">
        <f aca="false">IF(L1626="","",IF(2026-E1626&gt;0,L1626/(2026-E1626),L1626))</f>
        <v/>
      </c>
    </row>
    <row r="1627" customFormat="false" ht="15" hidden="false" customHeight="true" outlineLevel="0" collapsed="false">
      <c r="N1627" s="1" t="str">
        <f aca="false">IF(L1627="","",IF(2026-E1627&gt;0,L1627/(2026-E1627),L1627))</f>
        <v/>
      </c>
    </row>
    <row r="1628" customFormat="false" ht="15" hidden="false" customHeight="true" outlineLevel="0" collapsed="false">
      <c r="N1628" s="1" t="str">
        <f aca="false">IF(L1628="","",IF(2026-E1628&gt;0,L1628/(2026-E1628),L1628))</f>
        <v/>
      </c>
    </row>
    <row r="1629" customFormat="false" ht="15" hidden="false" customHeight="true" outlineLevel="0" collapsed="false">
      <c r="N1629" s="1" t="str">
        <f aca="false">IF(L1629="","",IF(2026-E1629&gt;0,L1629/(2026-E1629),L1629))</f>
        <v/>
      </c>
    </row>
    <row r="1630" customFormat="false" ht="15" hidden="false" customHeight="true" outlineLevel="0" collapsed="false">
      <c r="N1630" s="1" t="str">
        <f aca="false">IF(L1630="","",IF(2026-E1630&gt;0,L1630/(2026-E1630),L1630))</f>
        <v/>
      </c>
    </row>
    <row r="1631" customFormat="false" ht="15" hidden="false" customHeight="true" outlineLevel="0" collapsed="false">
      <c r="N1631" s="1" t="str">
        <f aca="false">IF(L1631="","",IF(2026-E1631&gt;0,L1631/(2026-E1631),L1631))</f>
        <v/>
      </c>
    </row>
    <row r="1632" customFormat="false" ht="15" hidden="false" customHeight="true" outlineLevel="0" collapsed="false">
      <c r="N1632" s="1" t="str">
        <f aca="false">IF(L1632="","",IF(2026-E1632&gt;0,L1632/(2026-E1632),L1632))</f>
        <v/>
      </c>
    </row>
    <row r="1633" customFormat="false" ht="15" hidden="false" customHeight="true" outlineLevel="0" collapsed="false">
      <c r="N1633" s="1" t="str">
        <f aca="false">IF(L1633="","",IF(2026-E1633&gt;0,L1633/(2026-E1633),L1633))</f>
        <v/>
      </c>
    </row>
    <row r="1634" customFormat="false" ht="15" hidden="false" customHeight="true" outlineLevel="0" collapsed="false">
      <c r="N1634" s="1" t="str">
        <f aca="false">IF(L1634="","",IF(2026-E1634&gt;0,L1634/(2026-E1634),L1634))</f>
        <v/>
      </c>
    </row>
    <row r="1635" customFormat="false" ht="15" hidden="false" customHeight="true" outlineLevel="0" collapsed="false">
      <c r="N1635" s="1" t="str">
        <f aca="false">IF(L1635="","",IF(2026-E1635&gt;0,L1635/(2026-E1635),L1635))</f>
        <v/>
      </c>
    </row>
    <row r="1636" customFormat="false" ht="15" hidden="false" customHeight="true" outlineLevel="0" collapsed="false">
      <c r="N1636" s="1" t="str">
        <f aca="false">IF(L1636="","",IF(2026-E1636&gt;0,L1636/(2026-E1636),L1636))</f>
        <v/>
      </c>
    </row>
    <row r="1637" customFormat="false" ht="15" hidden="false" customHeight="true" outlineLevel="0" collapsed="false">
      <c r="N1637" s="1" t="str">
        <f aca="false">IF(L1637="","",IF(2026-E1637&gt;0,L1637/(2026-E1637),L1637))</f>
        <v/>
      </c>
    </row>
    <row r="1638" customFormat="false" ht="15" hidden="false" customHeight="true" outlineLevel="0" collapsed="false">
      <c r="N1638" s="1" t="str">
        <f aca="false">IF(L1638="","",IF(2026-E1638&gt;0,L1638/(2026-E1638),L1638))</f>
        <v/>
      </c>
    </row>
    <row r="1639" customFormat="false" ht="15" hidden="false" customHeight="true" outlineLevel="0" collapsed="false">
      <c r="N1639" s="1" t="str">
        <f aca="false">IF(L1639="","",IF(2026-E1639&gt;0,L1639/(2026-E1639),L1639))</f>
        <v/>
      </c>
    </row>
    <row r="1640" customFormat="false" ht="15" hidden="false" customHeight="true" outlineLevel="0" collapsed="false">
      <c r="N1640" s="1" t="str">
        <f aca="false">IF(L1640="","",IF(2026-E1640&gt;0,L1640/(2026-E1640),L1640))</f>
        <v/>
      </c>
    </row>
    <row r="1641" customFormat="false" ht="15" hidden="false" customHeight="true" outlineLevel="0" collapsed="false">
      <c r="N1641" s="1" t="str">
        <f aca="false">IF(L1641="","",IF(2026-E1641&gt;0,L1641/(2026-E1641),L1641))</f>
        <v/>
      </c>
    </row>
    <row r="1642" customFormat="false" ht="15" hidden="false" customHeight="true" outlineLevel="0" collapsed="false">
      <c r="N1642" s="1" t="str">
        <f aca="false">IF(L1642="","",IF(2026-E1642&gt;0,L1642/(2026-E1642),L1642))</f>
        <v/>
      </c>
    </row>
    <row r="1643" customFormat="false" ht="15" hidden="false" customHeight="true" outlineLevel="0" collapsed="false">
      <c r="N1643" s="1" t="str">
        <f aca="false">IF(L1643="","",IF(2026-E1643&gt;0,L1643/(2026-E1643),L1643))</f>
        <v/>
      </c>
    </row>
    <row r="1644" customFormat="false" ht="15" hidden="false" customHeight="true" outlineLevel="0" collapsed="false">
      <c r="N1644" s="1" t="str">
        <f aca="false">IF(L1644="","",IF(2026-E1644&gt;0,L1644/(2026-E1644),L1644))</f>
        <v/>
      </c>
    </row>
    <row r="1645" customFormat="false" ht="15" hidden="false" customHeight="true" outlineLevel="0" collapsed="false">
      <c r="N1645" s="1" t="str">
        <f aca="false">IF(L1645="","",IF(2026-E1645&gt;0,L1645/(2026-E1645),L1645))</f>
        <v/>
      </c>
    </row>
    <row r="1646" customFormat="false" ht="15" hidden="false" customHeight="true" outlineLevel="0" collapsed="false">
      <c r="N1646" s="1" t="str">
        <f aca="false">IF(L1646="","",IF(2026-E1646&gt;0,L1646/(2026-E1646),L1646))</f>
        <v/>
      </c>
    </row>
    <row r="1647" customFormat="false" ht="15" hidden="false" customHeight="true" outlineLevel="0" collapsed="false">
      <c r="N1647" s="1" t="str">
        <f aca="false">IF(L1647="","",IF(2026-E1647&gt;0,L1647/(2026-E1647),L1647))</f>
        <v/>
      </c>
    </row>
    <row r="1648" customFormat="false" ht="15" hidden="false" customHeight="true" outlineLevel="0" collapsed="false">
      <c r="N1648" s="1" t="str">
        <f aca="false">IF(L1648="","",IF(2026-E1648&gt;0,L1648/(2026-E1648),L1648))</f>
        <v/>
      </c>
    </row>
    <row r="1649" customFormat="false" ht="15" hidden="false" customHeight="true" outlineLevel="0" collapsed="false">
      <c r="N1649" s="1" t="str">
        <f aca="false">IF(L1649="","",IF(2026-E1649&gt;0,L1649/(2026-E1649),L1649))</f>
        <v/>
      </c>
    </row>
    <row r="1650" customFormat="false" ht="15" hidden="false" customHeight="true" outlineLevel="0" collapsed="false">
      <c r="N1650" s="1" t="str">
        <f aca="false">IF(L1650="","",IF(2026-E1650&gt;0,L1650/(2026-E1650),L1650))</f>
        <v/>
      </c>
    </row>
    <row r="1651" customFormat="false" ht="15" hidden="false" customHeight="true" outlineLevel="0" collapsed="false">
      <c r="N1651" s="1" t="str">
        <f aca="false">IF(L1651="","",IF(2026-E1651&gt;0,L1651/(2026-E1651),L1651))</f>
        <v/>
      </c>
    </row>
    <row r="1652" customFormat="false" ht="15" hidden="false" customHeight="true" outlineLevel="0" collapsed="false">
      <c r="N1652" s="1" t="str">
        <f aca="false">IF(L1652="","",IF(2026-E1652&gt;0,L1652/(2026-E1652),L1652))</f>
        <v/>
      </c>
    </row>
    <row r="1653" customFormat="false" ht="15" hidden="false" customHeight="true" outlineLevel="0" collapsed="false">
      <c r="N1653" s="1" t="str">
        <f aca="false">IF(L1653="","",IF(2026-E1653&gt;0,L1653/(2026-E1653),L1653))</f>
        <v/>
      </c>
    </row>
    <row r="1654" customFormat="false" ht="15" hidden="false" customHeight="true" outlineLevel="0" collapsed="false">
      <c r="N1654" s="1" t="str">
        <f aca="false">IF(L1654="","",IF(2026-E1654&gt;0,L1654/(2026-E1654),L1654))</f>
        <v/>
      </c>
    </row>
    <row r="1655" customFormat="false" ht="15" hidden="false" customHeight="true" outlineLevel="0" collapsed="false">
      <c r="N1655" s="1" t="str">
        <f aca="false">IF(L1655="","",IF(2026-E1655&gt;0,L1655/(2026-E1655),L1655))</f>
        <v/>
      </c>
    </row>
    <row r="1656" customFormat="false" ht="15" hidden="false" customHeight="true" outlineLevel="0" collapsed="false">
      <c r="N1656" s="1" t="str">
        <f aca="false">IF(L1656="","",IF(2026-E1656&gt;0,L1656/(2026-E1656),L1656))</f>
        <v/>
      </c>
    </row>
    <row r="1657" customFormat="false" ht="15" hidden="false" customHeight="true" outlineLevel="0" collapsed="false">
      <c r="N1657" s="1" t="str">
        <f aca="false">IF(L1657="","",IF(2026-E1657&gt;0,L1657/(2026-E1657),L1657))</f>
        <v/>
      </c>
    </row>
    <row r="1658" customFormat="false" ht="15" hidden="false" customHeight="true" outlineLevel="0" collapsed="false">
      <c r="N1658" s="1" t="str">
        <f aca="false">IF(L1658="","",IF(2026-E1658&gt;0,L1658/(2026-E1658),L1658))</f>
        <v/>
      </c>
    </row>
    <row r="1659" customFormat="false" ht="15" hidden="false" customHeight="true" outlineLevel="0" collapsed="false">
      <c r="N1659" s="1" t="str">
        <f aca="false">IF(L1659="","",IF(2026-E1659&gt;0,L1659/(2026-E1659),L1659))</f>
        <v/>
      </c>
    </row>
    <row r="1660" customFormat="false" ht="15" hidden="false" customHeight="true" outlineLevel="0" collapsed="false">
      <c r="N1660" s="1" t="str">
        <f aca="false">IF(L1660="","",IF(2026-E1660&gt;0,L1660/(2026-E1660),L1660))</f>
        <v/>
      </c>
    </row>
    <row r="1661" customFormat="false" ht="15" hidden="false" customHeight="true" outlineLevel="0" collapsed="false">
      <c r="N1661" s="1" t="str">
        <f aca="false">IF(L1661="","",IF(2026-E1661&gt;0,L1661/(2026-E1661),L1661))</f>
        <v/>
      </c>
    </row>
    <row r="1662" customFormat="false" ht="15" hidden="false" customHeight="true" outlineLevel="0" collapsed="false">
      <c r="N1662" s="1" t="str">
        <f aca="false">IF(L1662="","",IF(2026-E1662&gt;0,L1662/(2026-E1662),L1662))</f>
        <v/>
      </c>
    </row>
    <row r="1663" customFormat="false" ht="15" hidden="false" customHeight="true" outlineLevel="0" collapsed="false">
      <c r="N1663" s="1" t="str">
        <f aca="false">IF(L1663="","",IF(2026-E1663&gt;0,L1663/(2026-E1663),L1663))</f>
        <v/>
      </c>
    </row>
    <row r="1664" customFormat="false" ht="15" hidden="false" customHeight="true" outlineLevel="0" collapsed="false">
      <c r="N1664" s="1" t="str">
        <f aca="false">IF(L1664="","",IF(2026-E1664&gt;0,L1664/(2026-E1664),L1664))</f>
        <v/>
      </c>
    </row>
    <row r="1665" customFormat="false" ht="15" hidden="false" customHeight="true" outlineLevel="0" collapsed="false">
      <c r="N1665" s="1" t="str">
        <f aca="false">IF(L1665="","",IF(2026-E1665&gt;0,L1665/(2026-E1665),L1665))</f>
        <v/>
      </c>
    </row>
    <row r="1666" customFormat="false" ht="15" hidden="false" customHeight="true" outlineLevel="0" collapsed="false">
      <c r="N1666" s="1" t="str">
        <f aca="false">IF(L1666="","",IF(2026-E1666&gt;0,L1666/(2026-E1666),L1666))</f>
        <v/>
      </c>
    </row>
    <row r="1667" customFormat="false" ht="15" hidden="false" customHeight="true" outlineLevel="0" collapsed="false">
      <c r="N1667" s="1" t="str">
        <f aca="false">IF(L1667="","",IF(2026-E1667&gt;0,L1667/(2026-E1667),L1667))</f>
        <v/>
      </c>
    </row>
    <row r="1668" customFormat="false" ht="15" hidden="false" customHeight="true" outlineLevel="0" collapsed="false">
      <c r="N1668" s="1" t="str">
        <f aca="false">IF(L1668="","",IF(2026-E1668&gt;0,L1668/(2026-E1668),L1668))</f>
        <v/>
      </c>
    </row>
    <row r="1669" customFormat="false" ht="15" hidden="false" customHeight="true" outlineLevel="0" collapsed="false">
      <c r="N1669" s="1" t="str">
        <f aca="false">IF(L1669="","",IF(2026-E1669&gt;0,L1669/(2026-E1669),L1669))</f>
        <v/>
      </c>
    </row>
    <row r="1670" customFormat="false" ht="15" hidden="false" customHeight="true" outlineLevel="0" collapsed="false">
      <c r="N1670" s="1" t="str">
        <f aca="false">IF(L1670="","",IF(2026-E1670&gt;0,L1670/(2026-E1670),L1670))</f>
        <v/>
      </c>
    </row>
    <row r="1671" customFormat="false" ht="15" hidden="false" customHeight="true" outlineLevel="0" collapsed="false">
      <c r="N1671" s="1" t="str">
        <f aca="false">IF(L1671="","",IF(2026-E1671&gt;0,L1671/(2026-E1671),L1671))</f>
        <v/>
      </c>
    </row>
    <row r="1672" customFormat="false" ht="15" hidden="false" customHeight="true" outlineLevel="0" collapsed="false">
      <c r="N1672" s="1" t="str">
        <f aca="false">IF(L1672="","",IF(2026-E1672&gt;0,L1672/(2026-E1672),L1672))</f>
        <v/>
      </c>
    </row>
    <row r="1673" customFormat="false" ht="15" hidden="false" customHeight="true" outlineLevel="0" collapsed="false">
      <c r="N1673" s="1" t="str">
        <f aca="false">IF(L1673="","",IF(2026-E1673&gt;0,L1673/(2026-E1673),L1673))</f>
        <v/>
      </c>
    </row>
    <row r="1674" customFormat="false" ht="15" hidden="false" customHeight="true" outlineLevel="0" collapsed="false">
      <c r="N1674" s="1" t="str">
        <f aca="false">IF(L1674="","",IF(2026-E1674&gt;0,L1674/(2026-E1674),L1674))</f>
        <v/>
      </c>
    </row>
    <row r="1675" customFormat="false" ht="15" hidden="false" customHeight="true" outlineLevel="0" collapsed="false">
      <c r="N1675" s="1" t="str">
        <f aca="false">IF(L1675="","",IF(2026-E1675&gt;0,L1675/(2026-E1675),L1675))</f>
        <v/>
      </c>
    </row>
    <row r="1676" customFormat="false" ht="15" hidden="false" customHeight="true" outlineLevel="0" collapsed="false">
      <c r="N1676" s="1" t="str">
        <f aca="false">IF(L1676="","",IF(2026-E1676&gt;0,L1676/(2026-E1676),L1676))</f>
        <v/>
      </c>
    </row>
    <row r="1677" customFormat="false" ht="15" hidden="false" customHeight="true" outlineLevel="0" collapsed="false">
      <c r="N1677" s="1" t="str">
        <f aca="false">IF(L1677="","",IF(2026-E1677&gt;0,L1677/(2026-E1677),L1677))</f>
        <v/>
      </c>
    </row>
    <row r="1678" customFormat="false" ht="15" hidden="false" customHeight="true" outlineLevel="0" collapsed="false">
      <c r="N1678" s="1" t="str">
        <f aca="false">IF(L1678="","",IF(2026-E1678&gt;0,L1678/(2026-E1678),L1678))</f>
        <v/>
      </c>
    </row>
    <row r="1679" customFormat="false" ht="15" hidden="false" customHeight="true" outlineLevel="0" collapsed="false">
      <c r="N1679" s="1" t="str">
        <f aca="false">IF(L1679="","",IF(2026-E1679&gt;0,L1679/(2026-E1679),L1679))</f>
        <v/>
      </c>
    </row>
    <row r="1680" customFormat="false" ht="15" hidden="false" customHeight="true" outlineLevel="0" collapsed="false">
      <c r="N1680" s="1" t="str">
        <f aca="false">IF(L1680="","",IF(2026-E1680&gt;0,L1680/(2026-E1680),L1680))</f>
        <v/>
      </c>
    </row>
    <row r="1681" customFormat="false" ht="15" hidden="false" customHeight="true" outlineLevel="0" collapsed="false">
      <c r="N1681" s="1" t="str">
        <f aca="false">IF(L1681="","",IF(2026-E1681&gt;0,L1681/(2026-E1681),L1681))</f>
        <v/>
      </c>
    </row>
    <row r="1682" customFormat="false" ht="15" hidden="false" customHeight="true" outlineLevel="0" collapsed="false">
      <c r="N1682" s="1" t="str">
        <f aca="false">IF(L1682="","",IF(2026-E1682&gt;0,L1682/(2026-E1682),L1682))</f>
        <v/>
      </c>
    </row>
    <row r="1683" customFormat="false" ht="15" hidden="false" customHeight="true" outlineLevel="0" collapsed="false">
      <c r="N1683" s="1" t="str">
        <f aca="false">IF(L1683="","",IF(2026-E1683&gt;0,L1683/(2026-E1683),L1683))</f>
        <v/>
      </c>
    </row>
    <row r="1684" customFormat="false" ht="15" hidden="false" customHeight="true" outlineLevel="0" collapsed="false">
      <c r="N1684" s="1" t="str">
        <f aca="false">IF(L1684="","",IF(2026-E1684&gt;0,L1684/(2026-E1684),L1684))</f>
        <v/>
      </c>
    </row>
    <row r="1685" customFormat="false" ht="15" hidden="false" customHeight="true" outlineLevel="0" collapsed="false">
      <c r="N1685" s="1" t="str">
        <f aca="false">IF(L1685="","",IF(2026-E1685&gt;0,L1685/(2026-E1685),L1685))</f>
        <v/>
      </c>
    </row>
    <row r="1686" customFormat="false" ht="15" hidden="false" customHeight="true" outlineLevel="0" collapsed="false">
      <c r="N1686" s="1" t="str">
        <f aca="false">IF(L1686="","",IF(2026-E1686&gt;0,L1686/(2026-E1686),L1686))</f>
        <v/>
      </c>
    </row>
    <row r="1687" customFormat="false" ht="15" hidden="false" customHeight="true" outlineLevel="0" collapsed="false">
      <c r="N1687" s="1" t="str">
        <f aca="false">IF(L1687="","",IF(2026-E1687&gt;0,L1687/(2026-E1687),L1687))</f>
        <v/>
      </c>
    </row>
    <row r="1688" customFormat="false" ht="15" hidden="false" customHeight="true" outlineLevel="0" collapsed="false">
      <c r="N1688" s="1" t="str">
        <f aca="false">IF(L1688="","",IF(2026-E1688&gt;0,L1688/(2026-E1688),L1688))</f>
        <v/>
      </c>
    </row>
    <row r="1689" customFormat="false" ht="15" hidden="false" customHeight="true" outlineLevel="0" collapsed="false">
      <c r="N1689" s="1" t="str">
        <f aca="false">IF(L1689="","",IF(2026-E1689&gt;0,L1689/(2026-E1689),L1689))</f>
        <v/>
      </c>
    </row>
    <row r="1690" customFormat="false" ht="15" hidden="false" customHeight="true" outlineLevel="0" collapsed="false">
      <c r="N1690" s="1" t="str">
        <f aca="false">IF(L1690="","",IF(2026-E1690&gt;0,L1690/(2026-E1690),L1690))</f>
        <v/>
      </c>
    </row>
    <row r="1691" customFormat="false" ht="15" hidden="false" customHeight="true" outlineLevel="0" collapsed="false">
      <c r="N1691" s="1" t="str">
        <f aca="false">IF(L1691="","",IF(2026-E1691&gt;0,L1691/(2026-E1691),L1691))</f>
        <v/>
      </c>
    </row>
    <row r="1692" customFormat="false" ht="15" hidden="false" customHeight="true" outlineLevel="0" collapsed="false">
      <c r="N1692" s="1" t="str">
        <f aca="false">IF(L1692="","",IF(2026-E1692&gt;0,L1692/(2026-E1692),L1692))</f>
        <v/>
      </c>
    </row>
    <row r="1693" customFormat="false" ht="15" hidden="false" customHeight="true" outlineLevel="0" collapsed="false">
      <c r="N1693" s="1" t="str">
        <f aca="false">IF(L1693="","",IF(2026-E1693&gt;0,L1693/(2026-E1693),L1693))</f>
        <v/>
      </c>
    </row>
    <row r="1694" customFormat="false" ht="15" hidden="false" customHeight="true" outlineLevel="0" collapsed="false">
      <c r="N1694" s="1" t="str">
        <f aca="false">IF(L1694="","",IF(2026-E1694&gt;0,L1694/(2026-E1694),L1694))</f>
        <v/>
      </c>
    </row>
    <row r="1695" customFormat="false" ht="15" hidden="false" customHeight="true" outlineLevel="0" collapsed="false">
      <c r="N1695" s="1" t="str">
        <f aca="false">IF(L1695="","",IF(2026-E1695&gt;0,L1695/(2026-E1695),L1695))</f>
        <v/>
      </c>
    </row>
    <row r="1696" customFormat="false" ht="15" hidden="false" customHeight="true" outlineLevel="0" collapsed="false">
      <c r="N1696" s="1" t="str">
        <f aca="false">IF(L1696="","",IF(2026-E1696&gt;0,L1696/(2026-E1696),L1696))</f>
        <v/>
      </c>
    </row>
    <row r="1697" customFormat="false" ht="15" hidden="false" customHeight="true" outlineLevel="0" collapsed="false">
      <c r="N1697" s="1" t="str">
        <f aca="false">IF(L1697="","",IF(2026-E1697&gt;0,L1697/(2026-E1697),L1697))</f>
        <v/>
      </c>
    </row>
    <row r="1698" customFormat="false" ht="15" hidden="false" customHeight="true" outlineLevel="0" collapsed="false">
      <c r="N1698" s="1" t="str">
        <f aca="false">IF(L1698="","",IF(2026-E1698&gt;0,L1698/(2026-E1698),L1698))</f>
        <v/>
      </c>
    </row>
    <row r="1699" customFormat="false" ht="15" hidden="false" customHeight="true" outlineLevel="0" collapsed="false">
      <c r="N1699" s="1" t="str">
        <f aca="false">IF(L1699="","",IF(2026-E1699&gt;0,L1699/(2026-E1699),L1699))</f>
        <v/>
      </c>
    </row>
    <row r="1700" customFormat="false" ht="15" hidden="false" customHeight="true" outlineLevel="0" collapsed="false">
      <c r="N1700" s="1" t="str">
        <f aca="false">IF(L1700="","",IF(2026-E1700&gt;0,L1700/(2026-E1700),L1700))</f>
        <v/>
      </c>
    </row>
    <row r="1701" customFormat="false" ht="15" hidden="false" customHeight="true" outlineLevel="0" collapsed="false">
      <c r="N1701" s="1" t="str">
        <f aca="false">IF(L1701="","",IF(2026-E1701&gt;0,L1701/(2026-E1701),L1701))</f>
        <v/>
      </c>
    </row>
    <row r="1702" customFormat="false" ht="15" hidden="false" customHeight="true" outlineLevel="0" collapsed="false">
      <c r="N1702" s="1" t="str">
        <f aca="false">IF(L1702="","",IF(2026-E1702&gt;0,L1702/(2026-E1702),L1702))</f>
        <v/>
      </c>
    </row>
    <row r="1703" customFormat="false" ht="15" hidden="false" customHeight="true" outlineLevel="0" collapsed="false">
      <c r="N1703" s="1" t="str">
        <f aca="false">IF(L1703="","",IF(2026-E1703&gt;0,L1703/(2026-E1703),L1703))</f>
        <v/>
      </c>
    </row>
    <row r="1704" customFormat="false" ht="15" hidden="false" customHeight="true" outlineLevel="0" collapsed="false">
      <c r="N1704" s="1" t="str">
        <f aca="false">IF(L1704="","",IF(2026-E1704&gt;0,L1704/(2026-E1704),L1704))</f>
        <v/>
      </c>
    </row>
    <row r="1705" customFormat="false" ht="15" hidden="false" customHeight="true" outlineLevel="0" collapsed="false">
      <c r="N1705" s="1" t="str">
        <f aca="false">IF(L1705="","",IF(2026-E1705&gt;0,L1705/(2026-E1705),L1705))</f>
        <v/>
      </c>
    </row>
    <row r="1706" customFormat="false" ht="15" hidden="false" customHeight="true" outlineLevel="0" collapsed="false">
      <c r="N1706" s="1" t="str">
        <f aca="false">IF(L1706="","",IF(2026-E1706&gt;0,L1706/(2026-E1706),L1706))</f>
        <v/>
      </c>
    </row>
    <row r="1707" customFormat="false" ht="15" hidden="false" customHeight="true" outlineLevel="0" collapsed="false">
      <c r="N1707" s="1" t="str">
        <f aca="false">IF(L1707="","",IF(2026-E1707&gt;0,L1707/(2026-E1707),L1707))</f>
        <v/>
      </c>
    </row>
    <row r="1708" customFormat="false" ht="15" hidden="false" customHeight="true" outlineLevel="0" collapsed="false">
      <c r="N1708" s="1" t="str">
        <f aca="false">IF(L1708="","",IF(2026-E1708&gt;0,L1708/(2026-E1708),L1708))</f>
        <v/>
      </c>
    </row>
    <row r="1709" customFormat="false" ht="15" hidden="false" customHeight="true" outlineLevel="0" collapsed="false">
      <c r="N1709" s="1" t="str">
        <f aca="false">IF(L1709="","",IF(2026-E1709&gt;0,L1709/(2026-E1709),L1709))</f>
        <v/>
      </c>
    </row>
    <row r="1710" customFormat="false" ht="15" hidden="false" customHeight="true" outlineLevel="0" collapsed="false">
      <c r="N1710" s="1" t="str">
        <f aca="false">IF(L1710="","",IF(2026-E1710&gt;0,L1710/(2026-E1710),L1710))</f>
        <v/>
      </c>
    </row>
    <row r="1711" customFormat="false" ht="15" hidden="false" customHeight="true" outlineLevel="0" collapsed="false">
      <c r="N1711" s="1" t="str">
        <f aca="false">IF(L1711="","",IF(2026-E1711&gt;0,L1711/(2026-E1711),L1711))</f>
        <v/>
      </c>
    </row>
    <row r="1712" customFormat="false" ht="15" hidden="false" customHeight="true" outlineLevel="0" collapsed="false">
      <c r="N1712" s="1" t="str">
        <f aca="false">IF(L1712="","",IF(2026-E1712&gt;0,L1712/(2026-E1712),L1712))</f>
        <v/>
      </c>
    </row>
    <row r="1713" customFormat="false" ht="15" hidden="false" customHeight="true" outlineLevel="0" collapsed="false">
      <c r="N1713" s="1" t="str">
        <f aca="false">IF(L1713="","",IF(2026-E1713&gt;0,L1713/(2026-E1713),L1713))</f>
        <v/>
      </c>
    </row>
    <row r="1714" customFormat="false" ht="15" hidden="false" customHeight="true" outlineLevel="0" collapsed="false">
      <c r="N1714" s="1" t="str">
        <f aca="false">IF(L1714="","",IF(2026-E1714&gt;0,L1714/(2026-E1714),L1714))</f>
        <v/>
      </c>
    </row>
    <row r="1715" customFormat="false" ht="15" hidden="false" customHeight="true" outlineLevel="0" collapsed="false">
      <c r="N1715" s="1" t="str">
        <f aca="false">IF(L1715="","",IF(2026-E1715&gt;0,L1715/(2026-E1715),L1715))</f>
        <v/>
      </c>
    </row>
    <row r="1716" customFormat="false" ht="15" hidden="false" customHeight="true" outlineLevel="0" collapsed="false">
      <c r="N1716" s="1" t="str">
        <f aca="false">IF(L1716="","",IF(2026-E1716&gt;0,L1716/(2026-E1716),L1716))</f>
        <v/>
      </c>
    </row>
    <row r="1717" customFormat="false" ht="15" hidden="false" customHeight="true" outlineLevel="0" collapsed="false">
      <c r="N1717" s="1" t="str">
        <f aca="false">IF(L1717="","",IF(2026-E1717&gt;0,L1717/(2026-E1717),L1717))</f>
        <v/>
      </c>
    </row>
    <row r="1718" customFormat="false" ht="15" hidden="false" customHeight="true" outlineLevel="0" collapsed="false">
      <c r="N1718" s="1" t="str">
        <f aca="false">IF(L1718="","",IF(2026-E1718&gt;0,L1718/(2026-E1718),L1718))</f>
        <v/>
      </c>
    </row>
    <row r="1719" customFormat="false" ht="15" hidden="false" customHeight="true" outlineLevel="0" collapsed="false">
      <c r="N1719" s="1" t="str">
        <f aca="false">IF(L1719="","",IF(2026-E1719&gt;0,L1719/(2026-E1719),L1719))</f>
        <v/>
      </c>
    </row>
    <row r="1720" customFormat="false" ht="15" hidden="false" customHeight="true" outlineLevel="0" collapsed="false">
      <c r="N1720" s="1" t="str">
        <f aca="false">IF(L1720="","",IF(2026-E1720&gt;0,L1720/(2026-E1720),L1720))</f>
        <v/>
      </c>
    </row>
    <row r="1721" customFormat="false" ht="15" hidden="false" customHeight="true" outlineLevel="0" collapsed="false">
      <c r="N1721" s="1" t="str">
        <f aca="false">IF(L1721="","",IF(2026-E1721&gt;0,L1721/(2026-E1721),L1721))</f>
        <v/>
      </c>
    </row>
    <row r="1722" customFormat="false" ht="15" hidden="false" customHeight="true" outlineLevel="0" collapsed="false">
      <c r="N1722" s="1" t="str">
        <f aca="false">IF(L1722="","",IF(2026-E1722&gt;0,L1722/(2026-E1722),L1722))</f>
        <v/>
      </c>
    </row>
    <row r="1723" customFormat="false" ht="15" hidden="false" customHeight="true" outlineLevel="0" collapsed="false">
      <c r="N1723" s="1" t="str">
        <f aca="false">IF(L1723="","",IF(2026-E1723&gt;0,L1723/(2026-E1723),L1723))</f>
        <v/>
      </c>
    </row>
    <row r="1724" customFormat="false" ht="15" hidden="false" customHeight="true" outlineLevel="0" collapsed="false">
      <c r="N1724" s="1" t="str">
        <f aca="false">IF(L1724="","",IF(2026-E1724&gt;0,L1724/(2026-E1724),L1724))</f>
        <v/>
      </c>
    </row>
    <row r="1725" customFormat="false" ht="15" hidden="false" customHeight="true" outlineLevel="0" collapsed="false">
      <c r="N1725" s="1" t="str">
        <f aca="false">IF(L1725="","",IF(2026-E1725&gt;0,L1725/(2026-E1725),L1725))</f>
        <v/>
      </c>
    </row>
    <row r="1726" customFormat="false" ht="15" hidden="false" customHeight="true" outlineLevel="0" collapsed="false">
      <c r="N1726" s="1" t="str">
        <f aca="false">IF(L1726="","",IF(2026-E1726&gt;0,L1726/(2026-E1726),L1726))</f>
        <v/>
      </c>
    </row>
    <row r="1727" customFormat="false" ht="15" hidden="false" customHeight="true" outlineLevel="0" collapsed="false">
      <c r="N1727" s="1" t="str">
        <f aca="false">IF(L1727="","",IF(2026-E1727&gt;0,L1727/(2026-E1727),L1727))</f>
        <v/>
      </c>
    </row>
    <row r="1728" customFormat="false" ht="15" hidden="false" customHeight="true" outlineLevel="0" collapsed="false">
      <c r="N1728" s="1" t="str">
        <f aca="false">IF(L1728="","",IF(2026-E1728&gt;0,L1728/(2026-E1728),L1728))</f>
        <v/>
      </c>
    </row>
    <row r="1729" customFormat="false" ht="15" hidden="false" customHeight="true" outlineLevel="0" collapsed="false">
      <c r="N1729" s="1" t="str">
        <f aca="false">IF(L1729="","",IF(2026-E1729&gt;0,L1729/(2026-E1729),L1729))</f>
        <v/>
      </c>
    </row>
    <row r="1730" customFormat="false" ht="15" hidden="false" customHeight="true" outlineLevel="0" collapsed="false">
      <c r="N1730" s="1" t="str">
        <f aca="false">IF(L1730="","",IF(2026-E1730&gt;0,L1730/(2026-E1730),L1730))</f>
        <v/>
      </c>
    </row>
    <row r="1731" customFormat="false" ht="15" hidden="false" customHeight="true" outlineLevel="0" collapsed="false">
      <c r="N1731" s="1" t="str">
        <f aca="false">IF(L1731="","",IF(2026-E1731&gt;0,L1731/(2026-E1731),L1731))</f>
        <v/>
      </c>
    </row>
    <row r="1732" customFormat="false" ht="15" hidden="false" customHeight="true" outlineLevel="0" collapsed="false">
      <c r="N1732" s="1" t="str">
        <f aca="false">IF(L1732="","",IF(2026-E1732&gt;0,L1732/(2026-E1732),L1732))</f>
        <v/>
      </c>
    </row>
    <row r="1733" customFormat="false" ht="15" hidden="false" customHeight="true" outlineLevel="0" collapsed="false">
      <c r="N1733" s="1" t="str">
        <f aca="false">IF(L1733="","",IF(2026-E1733&gt;0,L1733/(2026-E1733),L1733))</f>
        <v/>
      </c>
    </row>
    <row r="1734" customFormat="false" ht="15" hidden="false" customHeight="true" outlineLevel="0" collapsed="false">
      <c r="N1734" s="1" t="str">
        <f aca="false">IF(L1734="","",IF(2026-E1734&gt;0,L1734/(2026-E1734),L1734))</f>
        <v/>
      </c>
    </row>
    <row r="1735" customFormat="false" ht="15" hidden="false" customHeight="true" outlineLevel="0" collapsed="false">
      <c r="N1735" s="1" t="str">
        <f aca="false">IF(L1735="","",IF(2026-E1735&gt;0,L1735/(2026-E1735),L1735))</f>
        <v/>
      </c>
    </row>
    <row r="1736" customFormat="false" ht="15" hidden="false" customHeight="true" outlineLevel="0" collapsed="false">
      <c r="N1736" s="1" t="str">
        <f aca="false">IF(L1736="","",IF(2026-E1736&gt;0,L1736/(2026-E1736),L1736))</f>
        <v/>
      </c>
    </row>
    <row r="1737" customFormat="false" ht="15" hidden="false" customHeight="true" outlineLevel="0" collapsed="false">
      <c r="N1737" s="1" t="str">
        <f aca="false">IF(L1737="","",IF(2026-E1737&gt;0,L1737/(2026-E1737),L1737))</f>
        <v/>
      </c>
    </row>
    <row r="1738" customFormat="false" ht="15" hidden="false" customHeight="true" outlineLevel="0" collapsed="false">
      <c r="N1738" s="1" t="str">
        <f aca="false">IF(L1738="","",IF(2026-E1738&gt;0,L1738/(2026-E1738),L1738))</f>
        <v/>
      </c>
    </row>
    <row r="1739" customFormat="false" ht="15" hidden="false" customHeight="true" outlineLevel="0" collapsed="false">
      <c r="N1739" s="1" t="str">
        <f aca="false">IF(L1739="","",IF(2026-E1739&gt;0,L1739/(2026-E1739),L1739))</f>
        <v/>
      </c>
    </row>
    <row r="1740" customFormat="false" ht="15" hidden="false" customHeight="true" outlineLevel="0" collapsed="false">
      <c r="N1740" s="1" t="str">
        <f aca="false">IF(L1740="","",IF(2026-E1740&gt;0,L1740/(2026-E1740),L1740))</f>
        <v/>
      </c>
    </row>
    <row r="1741" customFormat="false" ht="15" hidden="false" customHeight="true" outlineLevel="0" collapsed="false">
      <c r="N1741" s="1" t="str">
        <f aca="false">IF(L1741="","",IF(2026-E1741&gt;0,L1741/(2026-E1741),L1741))</f>
        <v/>
      </c>
    </row>
    <row r="1742" customFormat="false" ht="15" hidden="false" customHeight="true" outlineLevel="0" collapsed="false">
      <c r="N1742" s="1" t="str">
        <f aca="false">IF(L1742="","",IF(2026-E1742&gt;0,L1742/(2026-E1742),L1742))</f>
        <v/>
      </c>
    </row>
    <row r="1743" customFormat="false" ht="15" hidden="false" customHeight="true" outlineLevel="0" collapsed="false">
      <c r="N1743" s="1" t="str">
        <f aca="false">IF(L1743="","",IF(2026-E1743&gt;0,L1743/(2026-E1743),L1743))</f>
        <v/>
      </c>
    </row>
    <row r="1744" customFormat="false" ht="15" hidden="false" customHeight="true" outlineLevel="0" collapsed="false">
      <c r="N1744" s="1" t="str">
        <f aca="false">IF(L1744="","",IF(2026-E1744&gt;0,L1744/(2026-E1744),L1744))</f>
        <v/>
      </c>
    </row>
    <row r="1745" customFormat="false" ht="15" hidden="false" customHeight="true" outlineLevel="0" collapsed="false">
      <c r="N1745" s="1" t="str">
        <f aca="false">IF(L1745="","",IF(2026-E1745&gt;0,L1745/(2026-E1745),L1745))</f>
        <v/>
      </c>
    </row>
    <row r="1746" customFormat="false" ht="15" hidden="false" customHeight="true" outlineLevel="0" collapsed="false">
      <c r="N1746" s="1" t="str">
        <f aca="false">IF(L1746="","",IF(2026-E1746&gt;0,L1746/(2026-E1746),L1746))</f>
        <v/>
      </c>
    </row>
    <row r="1747" customFormat="false" ht="15" hidden="false" customHeight="true" outlineLevel="0" collapsed="false">
      <c r="N1747" s="1" t="str">
        <f aca="false">IF(L1747="","",IF(2026-E1747&gt;0,L1747/(2026-E1747),L1747))</f>
        <v/>
      </c>
    </row>
    <row r="1748" customFormat="false" ht="15" hidden="false" customHeight="true" outlineLevel="0" collapsed="false">
      <c r="N1748" s="1" t="str">
        <f aca="false">IF(L1748="","",IF(2026-E1748&gt;0,L1748/(2026-E1748),L1748))</f>
        <v/>
      </c>
    </row>
    <row r="1749" customFormat="false" ht="15" hidden="false" customHeight="true" outlineLevel="0" collapsed="false">
      <c r="N1749" s="1" t="str">
        <f aca="false">IF(L1749="","",IF(2026-E1749&gt;0,L1749/(2026-E1749),L1749))</f>
        <v/>
      </c>
    </row>
    <row r="1750" customFormat="false" ht="15" hidden="false" customHeight="true" outlineLevel="0" collapsed="false">
      <c r="N1750" s="1" t="str">
        <f aca="false">IF(L1750="","",IF(2026-E1750&gt;0,L1750/(2026-E1750),L1750))</f>
        <v/>
      </c>
    </row>
    <row r="1751" customFormat="false" ht="15" hidden="false" customHeight="true" outlineLevel="0" collapsed="false">
      <c r="N1751" s="1" t="str">
        <f aca="false">IF(L1751="","",IF(2026-E1751&gt;0,L1751/(2026-E1751),L1751))</f>
        <v/>
      </c>
    </row>
    <row r="1752" customFormat="false" ht="15" hidden="false" customHeight="true" outlineLevel="0" collapsed="false">
      <c r="N1752" s="1" t="str">
        <f aca="false">IF(L1752="","",IF(2026-E1752&gt;0,L1752/(2026-E1752),L1752))</f>
        <v/>
      </c>
    </row>
    <row r="1753" customFormat="false" ht="15" hidden="false" customHeight="true" outlineLevel="0" collapsed="false">
      <c r="N1753" s="1" t="str">
        <f aca="false">IF(L1753="","",IF(2026-E1753&gt;0,L1753/(2026-E1753),L1753))</f>
        <v/>
      </c>
    </row>
    <row r="1754" customFormat="false" ht="15" hidden="false" customHeight="true" outlineLevel="0" collapsed="false">
      <c r="N1754" s="1" t="str">
        <f aca="false">IF(L1754="","",IF(2026-E1754&gt;0,L1754/(2026-E1754),L1754))</f>
        <v/>
      </c>
    </row>
    <row r="1755" customFormat="false" ht="15" hidden="false" customHeight="true" outlineLevel="0" collapsed="false">
      <c r="N1755" s="1" t="str">
        <f aca="false">IF(L1755="","",IF(2026-E1755&gt;0,L1755/(2026-E1755),L1755))</f>
        <v/>
      </c>
    </row>
    <row r="1756" customFormat="false" ht="15" hidden="false" customHeight="true" outlineLevel="0" collapsed="false">
      <c r="N1756" s="1" t="str">
        <f aca="false">IF(L1756="","",IF(2026-E1756&gt;0,L1756/(2026-E1756),L1756))</f>
        <v/>
      </c>
    </row>
    <row r="1757" customFormat="false" ht="15" hidden="false" customHeight="true" outlineLevel="0" collapsed="false">
      <c r="N1757" s="1" t="str">
        <f aca="false">IF(L1757="","",IF(2026-E1757&gt;0,L1757/(2026-E1757),L1757))</f>
        <v/>
      </c>
    </row>
    <row r="1758" customFormat="false" ht="15" hidden="false" customHeight="true" outlineLevel="0" collapsed="false">
      <c r="N1758" s="1" t="str">
        <f aca="false">IF(L1758="","",IF(2026-E1758&gt;0,L1758/(2026-E1758),L1758))</f>
        <v/>
      </c>
    </row>
    <row r="1759" customFormat="false" ht="15" hidden="false" customHeight="true" outlineLevel="0" collapsed="false">
      <c r="N1759" s="1" t="str">
        <f aca="false">IF(L1759="","",IF(2026-E1759&gt;0,L1759/(2026-E1759),L1759))</f>
        <v/>
      </c>
    </row>
    <row r="1760" customFormat="false" ht="15" hidden="false" customHeight="true" outlineLevel="0" collapsed="false">
      <c r="N1760" s="1" t="str">
        <f aca="false">IF(L1760="","",IF(2026-E1760&gt;0,L1760/(2026-E1760),L1760))</f>
        <v/>
      </c>
    </row>
    <row r="1761" customFormat="false" ht="15" hidden="false" customHeight="true" outlineLevel="0" collapsed="false">
      <c r="N1761" s="1" t="str">
        <f aca="false">IF(L1761="","",IF(2026-E1761&gt;0,L1761/(2026-E1761),L1761))</f>
        <v/>
      </c>
    </row>
    <row r="1762" customFormat="false" ht="15" hidden="false" customHeight="true" outlineLevel="0" collapsed="false">
      <c r="N1762" s="1" t="str">
        <f aca="false">IF(L1762="","",IF(2026-E1762&gt;0,L1762/(2026-E1762),L1762))</f>
        <v/>
      </c>
    </row>
    <row r="1763" customFormat="false" ht="15" hidden="false" customHeight="true" outlineLevel="0" collapsed="false">
      <c r="N1763" s="1" t="str">
        <f aca="false">IF(L1763="","",IF(2026-E1763&gt;0,L1763/(2026-E1763),L1763))</f>
        <v/>
      </c>
    </row>
    <row r="1764" customFormat="false" ht="15" hidden="false" customHeight="true" outlineLevel="0" collapsed="false">
      <c r="N1764" s="1" t="str">
        <f aca="false">IF(L1764="","",IF(2026-E1764&gt;0,L1764/(2026-E1764),L1764))</f>
        <v/>
      </c>
    </row>
    <row r="1765" customFormat="false" ht="15" hidden="false" customHeight="true" outlineLevel="0" collapsed="false">
      <c r="N1765" s="1" t="str">
        <f aca="false">IF(L1765="","",IF(2026-E1765&gt;0,L1765/(2026-E1765),L1765))</f>
        <v/>
      </c>
    </row>
    <row r="1766" customFormat="false" ht="15" hidden="false" customHeight="true" outlineLevel="0" collapsed="false">
      <c r="N1766" s="1" t="str">
        <f aca="false">IF(L1766="","",IF(2026-E1766&gt;0,L1766/(2026-E1766),L1766))</f>
        <v/>
      </c>
    </row>
    <row r="1767" customFormat="false" ht="15" hidden="false" customHeight="true" outlineLevel="0" collapsed="false">
      <c r="N1767" s="1" t="str">
        <f aca="false">IF(L1767="","",IF(2026-E1767&gt;0,L1767/(2026-E1767),L1767))</f>
        <v/>
      </c>
    </row>
    <row r="1768" customFormat="false" ht="15" hidden="false" customHeight="true" outlineLevel="0" collapsed="false">
      <c r="N1768" s="1" t="str">
        <f aca="false">IF(L1768="","",IF(2026-E1768&gt;0,L1768/(2026-E1768),L1768))</f>
        <v/>
      </c>
    </row>
    <row r="1769" customFormat="false" ht="15" hidden="false" customHeight="true" outlineLevel="0" collapsed="false">
      <c r="N1769" s="1" t="str">
        <f aca="false">IF(L1769="","",IF(2026-E1769&gt;0,L1769/(2026-E1769),L1769))</f>
        <v/>
      </c>
    </row>
    <row r="1770" customFormat="false" ht="15" hidden="false" customHeight="true" outlineLevel="0" collapsed="false">
      <c r="N1770" s="1" t="str">
        <f aca="false">IF(L1770="","",IF(2026-E1770&gt;0,L1770/(2026-E1770),L1770))</f>
        <v/>
      </c>
    </row>
    <row r="1771" customFormat="false" ht="15" hidden="false" customHeight="true" outlineLevel="0" collapsed="false">
      <c r="N1771" s="1" t="str">
        <f aca="false">IF(L1771="","",IF(2026-E1771&gt;0,L1771/(2026-E1771),L1771))</f>
        <v/>
      </c>
    </row>
    <row r="1772" customFormat="false" ht="15" hidden="false" customHeight="true" outlineLevel="0" collapsed="false">
      <c r="N1772" s="1" t="str">
        <f aca="false">IF(L1772="","",IF(2026-E1772&gt;0,L1772/(2026-E1772),L1772))</f>
        <v/>
      </c>
    </row>
    <row r="1773" customFormat="false" ht="15" hidden="false" customHeight="true" outlineLevel="0" collapsed="false">
      <c r="N1773" s="1" t="str">
        <f aca="false">IF(L1773="","",IF(2026-E1773&gt;0,L1773/(2026-E1773),L1773))</f>
        <v/>
      </c>
    </row>
    <row r="1774" customFormat="false" ht="15" hidden="false" customHeight="true" outlineLevel="0" collapsed="false">
      <c r="N1774" s="1" t="str">
        <f aca="false">IF(L1774="","",IF(2026-E1774&gt;0,L1774/(2026-E1774),L1774))</f>
        <v/>
      </c>
    </row>
    <row r="1775" customFormat="false" ht="15" hidden="false" customHeight="true" outlineLevel="0" collapsed="false">
      <c r="N1775" s="1" t="str">
        <f aca="false">IF(L1775="","",IF(2026-E1775&gt;0,L1775/(2026-E1775),L1775))</f>
        <v/>
      </c>
    </row>
    <row r="1776" customFormat="false" ht="15" hidden="false" customHeight="true" outlineLevel="0" collapsed="false">
      <c r="N1776" s="1" t="str">
        <f aca="false">IF(L1776="","",IF(2026-E1776&gt;0,L1776/(2026-E1776),L1776))</f>
        <v/>
      </c>
    </row>
    <row r="1777" customFormat="false" ht="15" hidden="false" customHeight="true" outlineLevel="0" collapsed="false">
      <c r="N1777" s="1" t="str">
        <f aca="false">IF(L1777="","",IF(2026-E1777&gt;0,L1777/(2026-E1777),L1777))</f>
        <v/>
      </c>
    </row>
    <row r="1778" customFormat="false" ht="15" hidden="false" customHeight="true" outlineLevel="0" collapsed="false">
      <c r="N1778" s="1" t="str">
        <f aca="false">IF(L1778="","",IF(2026-E1778&gt;0,L1778/(2026-E1778),L1778))</f>
        <v/>
      </c>
    </row>
    <row r="1779" customFormat="false" ht="15" hidden="false" customHeight="true" outlineLevel="0" collapsed="false">
      <c r="N1779" s="1" t="str">
        <f aca="false">IF(L1779="","",IF(2026-E1779&gt;0,L1779/(2026-E1779),L1779))</f>
        <v/>
      </c>
    </row>
    <row r="1780" customFormat="false" ht="15" hidden="false" customHeight="true" outlineLevel="0" collapsed="false">
      <c r="N1780" s="1" t="str">
        <f aca="false">IF(L1780="","",IF(2026-E1780&gt;0,L1780/(2026-E1780),L1780))</f>
        <v/>
      </c>
    </row>
    <row r="1781" customFormat="false" ht="15" hidden="false" customHeight="true" outlineLevel="0" collapsed="false">
      <c r="N1781" s="1" t="str">
        <f aca="false">IF(L1781="","",IF(2026-E1781&gt;0,L1781/(2026-E1781),L1781))</f>
        <v/>
      </c>
    </row>
    <row r="1782" customFormat="false" ht="15" hidden="false" customHeight="true" outlineLevel="0" collapsed="false">
      <c r="N1782" s="1" t="str">
        <f aca="false">IF(L1782="","",IF(2026-E1782&gt;0,L1782/(2026-E1782),L1782))</f>
        <v/>
      </c>
    </row>
    <row r="1783" customFormat="false" ht="15" hidden="false" customHeight="true" outlineLevel="0" collapsed="false">
      <c r="N1783" s="1" t="str">
        <f aca="false">IF(L1783="","",IF(2026-E1783&gt;0,L1783/(2026-E1783),L1783))</f>
        <v/>
      </c>
    </row>
    <row r="1784" customFormat="false" ht="15" hidden="false" customHeight="true" outlineLevel="0" collapsed="false">
      <c r="N1784" s="1" t="str">
        <f aca="false">IF(L1784="","",IF(2026-E1784&gt;0,L1784/(2026-E1784),L1784))</f>
        <v/>
      </c>
    </row>
    <row r="1785" customFormat="false" ht="15" hidden="false" customHeight="true" outlineLevel="0" collapsed="false">
      <c r="N1785" s="1" t="str">
        <f aca="false">IF(L1785="","",IF(2026-E1785&gt;0,L1785/(2026-E1785),L1785))</f>
        <v/>
      </c>
    </row>
    <row r="1786" customFormat="false" ht="15" hidden="false" customHeight="true" outlineLevel="0" collapsed="false">
      <c r="N1786" s="1" t="str">
        <f aca="false">IF(L1786="","",IF(2026-E1786&gt;0,L1786/(2026-E1786),L1786))</f>
        <v/>
      </c>
    </row>
    <row r="1787" customFormat="false" ht="15" hidden="false" customHeight="true" outlineLevel="0" collapsed="false">
      <c r="N1787" s="1" t="str">
        <f aca="false">IF(L1787="","",IF(2026-E1787&gt;0,L1787/(2026-E1787),L1787))</f>
        <v/>
      </c>
    </row>
    <row r="1788" customFormat="false" ht="15" hidden="false" customHeight="true" outlineLevel="0" collapsed="false">
      <c r="N1788" s="1" t="str">
        <f aca="false">IF(L1788="","",IF(2026-E1788&gt;0,L1788/(2026-E1788),L1788))</f>
        <v/>
      </c>
    </row>
    <row r="1789" customFormat="false" ht="15" hidden="false" customHeight="true" outlineLevel="0" collapsed="false">
      <c r="N1789" s="1" t="str">
        <f aca="false">IF(L1789="","",IF(2026-E1789&gt;0,L1789/(2026-E1789),L1789))</f>
        <v/>
      </c>
    </row>
    <row r="1790" customFormat="false" ht="15" hidden="false" customHeight="true" outlineLevel="0" collapsed="false">
      <c r="N1790" s="1" t="str">
        <f aca="false">IF(L1790="","",IF(2026-E1790&gt;0,L1790/(2026-E1790),L1790))</f>
        <v/>
      </c>
    </row>
    <row r="1791" customFormat="false" ht="15" hidden="false" customHeight="true" outlineLevel="0" collapsed="false">
      <c r="N1791" s="1" t="str">
        <f aca="false">IF(L1791="","",IF(2026-E1791&gt;0,L1791/(2026-E1791),L1791))</f>
        <v/>
      </c>
    </row>
    <row r="1792" customFormat="false" ht="15" hidden="false" customHeight="true" outlineLevel="0" collapsed="false">
      <c r="N1792" s="1" t="str">
        <f aca="false">IF(L1792="","",IF(2026-E1792&gt;0,L1792/(2026-E1792),L1792))</f>
        <v/>
      </c>
    </row>
    <row r="1793" customFormat="false" ht="15" hidden="false" customHeight="true" outlineLevel="0" collapsed="false">
      <c r="N1793" s="1" t="str">
        <f aca="false">IF(L1793="","",IF(2026-E1793&gt;0,L1793/(2026-E1793),L1793))</f>
        <v/>
      </c>
    </row>
    <row r="1794" customFormat="false" ht="15" hidden="false" customHeight="true" outlineLevel="0" collapsed="false">
      <c r="N1794" s="1" t="str">
        <f aca="false">IF(L1794="","",IF(2026-E1794&gt;0,L1794/(2026-E1794),L1794))</f>
        <v/>
      </c>
    </row>
    <row r="1795" customFormat="false" ht="15" hidden="false" customHeight="true" outlineLevel="0" collapsed="false">
      <c r="N1795" s="1" t="str">
        <f aca="false">IF(L1795="","",IF(2026-E1795&gt;0,L1795/(2026-E1795),L1795))</f>
        <v/>
      </c>
    </row>
    <row r="1796" customFormat="false" ht="15" hidden="false" customHeight="true" outlineLevel="0" collapsed="false">
      <c r="N1796" s="1" t="str">
        <f aca="false">IF(L1796="","",IF(2026-E1796&gt;0,L1796/(2026-E1796),L1796))</f>
        <v/>
      </c>
    </row>
    <row r="1797" customFormat="false" ht="15" hidden="false" customHeight="true" outlineLevel="0" collapsed="false">
      <c r="N1797" s="1" t="str">
        <f aca="false">IF(L1797="","",IF(2026-E1797&gt;0,L1797/(2026-E1797),L1797))</f>
        <v/>
      </c>
    </row>
    <row r="1798" customFormat="false" ht="15" hidden="false" customHeight="true" outlineLevel="0" collapsed="false">
      <c r="N1798" s="1" t="str">
        <f aca="false">IF(L1798="","",IF(2026-E1798&gt;0,L1798/(2026-E1798),L1798))</f>
        <v/>
      </c>
    </row>
    <row r="1799" customFormat="false" ht="15" hidden="false" customHeight="true" outlineLevel="0" collapsed="false">
      <c r="N1799" s="1" t="str">
        <f aca="false">IF(L1799="","",IF(2026-E1799&gt;0,L1799/(2026-E1799),L1799))</f>
        <v/>
      </c>
    </row>
    <row r="1800" customFormat="false" ht="15" hidden="false" customHeight="true" outlineLevel="0" collapsed="false">
      <c r="N1800" s="1" t="str">
        <f aca="false">IF(L1800="","",IF(2026-E1800&gt;0,L1800/(2026-E1800),L1800))</f>
        <v/>
      </c>
    </row>
    <row r="1801" customFormat="false" ht="15" hidden="false" customHeight="true" outlineLevel="0" collapsed="false">
      <c r="N1801" s="1" t="str">
        <f aca="false">IF(L1801="","",IF(2026-E1801&gt;0,L1801/(2026-E1801),L1801))</f>
        <v/>
      </c>
    </row>
    <row r="1802" customFormat="false" ht="15" hidden="false" customHeight="true" outlineLevel="0" collapsed="false">
      <c r="N1802" s="1" t="str">
        <f aca="false">IF(L1802="","",IF(2026-E1802&gt;0,L1802/(2026-E1802),L1802))</f>
        <v/>
      </c>
    </row>
    <row r="1803" customFormat="false" ht="15" hidden="false" customHeight="true" outlineLevel="0" collapsed="false">
      <c r="N1803" s="1" t="str">
        <f aca="false">IF(L1803="","",IF(2026-E1803&gt;0,L1803/(2026-E1803),L1803))</f>
        <v/>
      </c>
    </row>
    <row r="1804" customFormat="false" ht="15" hidden="false" customHeight="true" outlineLevel="0" collapsed="false">
      <c r="N1804" s="1" t="str">
        <f aca="false">IF(L1804="","",IF(2026-E1804&gt;0,L1804/(2026-E1804),L1804))</f>
        <v/>
      </c>
    </row>
    <row r="1805" customFormat="false" ht="15" hidden="false" customHeight="true" outlineLevel="0" collapsed="false">
      <c r="N1805" s="1" t="str">
        <f aca="false">IF(L1805="","",IF(2026-E1805&gt;0,L1805/(2026-E1805),L1805))</f>
        <v/>
      </c>
    </row>
    <row r="1806" customFormat="false" ht="15" hidden="false" customHeight="true" outlineLevel="0" collapsed="false">
      <c r="N1806" s="1" t="str">
        <f aca="false">IF(L1806="","",IF(2026-E1806&gt;0,L1806/(2026-E1806),L1806))</f>
        <v/>
      </c>
    </row>
    <row r="1807" customFormat="false" ht="15" hidden="false" customHeight="true" outlineLevel="0" collapsed="false">
      <c r="N1807" s="1" t="str">
        <f aca="false">IF(L1807="","",IF(2026-E1807&gt;0,L1807/(2026-E1807),L1807))</f>
        <v/>
      </c>
    </row>
    <row r="1808" customFormat="false" ht="15" hidden="false" customHeight="true" outlineLevel="0" collapsed="false">
      <c r="N1808" s="1" t="str">
        <f aca="false">IF(L1808="","",IF(2026-E1808&gt;0,L1808/(2026-E1808),L1808))</f>
        <v/>
      </c>
    </row>
    <row r="1809" customFormat="false" ht="15" hidden="false" customHeight="true" outlineLevel="0" collapsed="false">
      <c r="N1809" s="1" t="str">
        <f aca="false">IF(L1809="","",IF(2026-E1809&gt;0,L1809/(2026-E1809),L1809))</f>
        <v/>
      </c>
    </row>
    <row r="1810" customFormat="false" ht="15" hidden="false" customHeight="true" outlineLevel="0" collapsed="false">
      <c r="N1810" s="1" t="str">
        <f aca="false">IF(L1810="","",IF(2026-E1810&gt;0,L1810/(2026-E1810),L1810))</f>
        <v/>
      </c>
    </row>
    <row r="1811" customFormat="false" ht="15" hidden="false" customHeight="true" outlineLevel="0" collapsed="false">
      <c r="N1811" s="1" t="str">
        <f aca="false">IF(L1811="","",IF(2026-E1811&gt;0,L1811/(2026-E1811),L1811))</f>
        <v/>
      </c>
    </row>
    <row r="1812" customFormat="false" ht="15" hidden="false" customHeight="true" outlineLevel="0" collapsed="false">
      <c r="N1812" s="1" t="str">
        <f aca="false">IF(L1812="","",IF(2026-E1812&gt;0,L1812/(2026-E1812),L1812))</f>
        <v/>
      </c>
    </row>
    <row r="1813" customFormat="false" ht="15" hidden="false" customHeight="true" outlineLevel="0" collapsed="false">
      <c r="N1813" s="1" t="str">
        <f aca="false">IF(L1813="","",IF(2026-E1813&gt;0,L1813/(2026-E1813),L1813))</f>
        <v/>
      </c>
    </row>
    <row r="1814" customFormat="false" ht="15" hidden="false" customHeight="true" outlineLevel="0" collapsed="false">
      <c r="N1814" s="1" t="str">
        <f aca="false">IF(L1814="","",IF(2026-E1814&gt;0,L1814/(2026-E1814),L1814))</f>
        <v/>
      </c>
    </row>
    <row r="1815" customFormat="false" ht="15" hidden="false" customHeight="true" outlineLevel="0" collapsed="false">
      <c r="N1815" s="1" t="str">
        <f aca="false">IF(L1815="","",IF(2026-E1815&gt;0,L1815/(2026-E1815),L1815))</f>
        <v/>
      </c>
    </row>
    <row r="1816" customFormat="false" ht="15" hidden="false" customHeight="true" outlineLevel="0" collapsed="false">
      <c r="N1816" s="1" t="str">
        <f aca="false">IF(L1816="","",IF(2026-E1816&gt;0,L1816/(2026-E1816),L1816))</f>
        <v/>
      </c>
    </row>
    <row r="1817" customFormat="false" ht="15" hidden="false" customHeight="true" outlineLevel="0" collapsed="false">
      <c r="N1817" s="1" t="str">
        <f aca="false">IF(L1817="","",IF(2026-E1817&gt;0,L1817/(2026-E1817),L1817))</f>
        <v/>
      </c>
    </row>
    <row r="1818" customFormat="false" ht="15" hidden="false" customHeight="true" outlineLevel="0" collapsed="false">
      <c r="N1818" s="1" t="str">
        <f aca="false">IF(L1818="","",IF(2026-E1818&gt;0,L1818/(2026-E1818),L1818))</f>
        <v/>
      </c>
    </row>
    <row r="1819" customFormat="false" ht="15" hidden="false" customHeight="true" outlineLevel="0" collapsed="false">
      <c r="N1819" s="1" t="str">
        <f aca="false">IF(L1819="","",IF(2026-E1819&gt;0,L1819/(2026-E1819),L1819))</f>
        <v/>
      </c>
    </row>
    <row r="1820" customFormat="false" ht="15" hidden="false" customHeight="true" outlineLevel="0" collapsed="false">
      <c r="N1820" s="1" t="str">
        <f aca="false">IF(L1820="","",IF(2026-E1820&gt;0,L1820/(2026-E1820),L1820))</f>
        <v/>
      </c>
    </row>
    <row r="1821" customFormat="false" ht="15" hidden="false" customHeight="true" outlineLevel="0" collapsed="false">
      <c r="N1821" s="1" t="str">
        <f aca="false">IF(L1821="","",IF(2026-E1821&gt;0,L1821/(2026-E1821),L1821))</f>
        <v/>
      </c>
    </row>
    <row r="1822" customFormat="false" ht="15" hidden="false" customHeight="true" outlineLevel="0" collapsed="false">
      <c r="N1822" s="1" t="str">
        <f aca="false">IF(L1822="","",IF(2026-E1822&gt;0,L1822/(2026-E1822),L1822))</f>
        <v/>
      </c>
    </row>
    <row r="1823" customFormat="false" ht="15" hidden="false" customHeight="true" outlineLevel="0" collapsed="false">
      <c r="N1823" s="1" t="str">
        <f aca="false">IF(L1823="","",IF(2026-E1823&gt;0,L1823/(2026-E1823),L1823))</f>
        <v/>
      </c>
    </row>
    <row r="1824" customFormat="false" ht="15" hidden="false" customHeight="true" outlineLevel="0" collapsed="false">
      <c r="N1824" s="1" t="str">
        <f aca="false">IF(L1824="","",IF(2026-E1824&gt;0,L1824/(2026-E1824),L1824))</f>
        <v/>
      </c>
    </row>
    <row r="1825" customFormat="false" ht="15" hidden="false" customHeight="true" outlineLevel="0" collapsed="false">
      <c r="N1825" s="1" t="str">
        <f aca="false">IF(L1825="","",IF(2026-E1825&gt;0,L1825/(2026-E1825),L1825))</f>
        <v/>
      </c>
    </row>
    <row r="1826" customFormat="false" ht="15" hidden="false" customHeight="true" outlineLevel="0" collapsed="false">
      <c r="N1826" s="1" t="str">
        <f aca="false">IF(L1826="","",IF(2026-E1826&gt;0,L1826/(2026-E1826),L1826))</f>
        <v/>
      </c>
    </row>
    <row r="1827" customFormat="false" ht="15" hidden="false" customHeight="true" outlineLevel="0" collapsed="false">
      <c r="N1827" s="1" t="str">
        <f aca="false">IF(L1827="","",IF(2026-E1827&gt;0,L1827/(2026-E1827),L1827))</f>
        <v/>
      </c>
    </row>
    <row r="1828" customFormat="false" ht="15" hidden="false" customHeight="true" outlineLevel="0" collapsed="false">
      <c r="N1828" s="1" t="str">
        <f aca="false">IF(L1828="","",IF(2026-E1828&gt;0,L1828/(2026-E1828),L1828))</f>
        <v/>
      </c>
    </row>
    <row r="1829" customFormat="false" ht="15" hidden="false" customHeight="true" outlineLevel="0" collapsed="false">
      <c r="N1829" s="1" t="str">
        <f aca="false">IF(L1829="","",IF(2026-E1829&gt;0,L1829/(2026-E1829),L1829))</f>
        <v/>
      </c>
    </row>
    <row r="1830" customFormat="false" ht="15" hidden="false" customHeight="true" outlineLevel="0" collapsed="false">
      <c r="N1830" s="1" t="str">
        <f aca="false">IF(L1830="","",IF(2026-E1830&gt;0,L1830/(2026-E1830),L1830))</f>
        <v/>
      </c>
    </row>
    <row r="1831" customFormat="false" ht="15" hidden="false" customHeight="true" outlineLevel="0" collapsed="false">
      <c r="N1831" s="1" t="str">
        <f aca="false">IF(L1831="","",IF(2026-E1831&gt;0,L1831/(2026-E1831),L1831))</f>
        <v/>
      </c>
    </row>
    <row r="1832" customFormat="false" ht="15" hidden="false" customHeight="true" outlineLevel="0" collapsed="false">
      <c r="N1832" s="1" t="str">
        <f aca="false">IF(L1832="","",IF(2026-E1832&gt;0,L1832/(2026-E1832),L1832))</f>
        <v/>
      </c>
    </row>
    <row r="1833" customFormat="false" ht="15" hidden="false" customHeight="true" outlineLevel="0" collapsed="false">
      <c r="N1833" s="1" t="str">
        <f aca="false">IF(L1833="","",IF(2026-E1833&gt;0,L1833/(2026-E1833),L1833))</f>
        <v/>
      </c>
    </row>
    <row r="1834" customFormat="false" ht="15" hidden="false" customHeight="true" outlineLevel="0" collapsed="false">
      <c r="N1834" s="1" t="str">
        <f aca="false">IF(L1834="","",IF(2026-E1834&gt;0,L1834/(2026-E1834),L1834))</f>
        <v/>
      </c>
    </row>
    <row r="1835" customFormat="false" ht="15" hidden="false" customHeight="true" outlineLevel="0" collapsed="false">
      <c r="N1835" s="1" t="str">
        <f aca="false">IF(L1835="","",IF(2026-E1835&gt;0,L1835/(2026-E1835),L1835))</f>
        <v/>
      </c>
    </row>
    <row r="1836" customFormat="false" ht="15" hidden="false" customHeight="true" outlineLevel="0" collapsed="false">
      <c r="N1836" s="1" t="str">
        <f aca="false">IF(L1836="","",IF(2026-E1836&gt;0,L1836/(2026-E1836),L1836))</f>
        <v/>
      </c>
    </row>
    <row r="1837" customFormat="false" ht="15" hidden="false" customHeight="true" outlineLevel="0" collapsed="false">
      <c r="N1837" s="1" t="str">
        <f aca="false">IF(L1837="","",IF(2026-E1837&gt;0,L1837/(2026-E1837),L1837))</f>
        <v/>
      </c>
    </row>
    <row r="1838" customFormat="false" ht="15" hidden="false" customHeight="true" outlineLevel="0" collapsed="false">
      <c r="N1838" s="1" t="str">
        <f aca="false">IF(L1838="","",IF(2026-E1838&gt;0,L1838/(2026-E1838),L1838))</f>
        <v/>
      </c>
    </row>
    <row r="1839" customFormat="false" ht="15" hidden="false" customHeight="true" outlineLevel="0" collapsed="false">
      <c r="N1839" s="1" t="str">
        <f aca="false">IF(L1839="","",IF(2026-E1839&gt;0,L1839/(2026-E1839),L1839))</f>
        <v/>
      </c>
    </row>
    <row r="1840" customFormat="false" ht="15" hidden="false" customHeight="true" outlineLevel="0" collapsed="false">
      <c r="N1840" s="1" t="str">
        <f aca="false">IF(L1840="","",IF(2026-E1840&gt;0,L1840/(2026-E1840),L1840))</f>
        <v/>
      </c>
    </row>
    <row r="1841" customFormat="false" ht="15" hidden="false" customHeight="true" outlineLevel="0" collapsed="false">
      <c r="N1841" s="1" t="str">
        <f aca="false">IF(L1841="","",IF(2026-E1841&gt;0,L1841/(2026-E1841),L1841))</f>
        <v/>
      </c>
    </row>
    <row r="1842" customFormat="false" ht="15" hidden="false" customHeight="true" outlineLevel="0" collapsed="false">
      <c r="N1842" s="1" t="str">
        <f aca="false">IF(L1842="","",IF(2026-E1842&gt;0,L1842/(2026-E1842),L1842))</f>
        <v/>
      </c>
    </row>
    <row r="1843" customFormat="false" ht="15" hidden="false" customHeight="true" outlineLevel="0" collapsed="false">
      <c r="N1843" s="1" t="str">
        <f aca="false">IF(L1843="","",IF(2026-E1843&gt;0,L1843/(2026-E1843),L1843))</f>
        <v/>
      </c>
    </row>
    <row r="1844" customFormat="false" ht="15" hidden="false" customHeight="true" outlineLevel="0" collapsed="false">
      <c r="N1844" s="1" t="str">
        <f aca="false">IF(L1844="","",IF(2026-E1844&gt;0,L1844/(2026-E1844),L1844))</f>
        <v/>
      </c>
    </row>
    <row r="1845" customFormat="false" ht="15" hidden="false" customHeight="true" outlineLevel="0" collapsed="false">
      <c r="N1845" s="1" t="str">
        <f aca="false">IF(L1845="","",IF(2026-E1845&gt;0,L1845/(2026-E1845),L1845))</f>
        <v/>
      </c>
    </row>
    <row r="1846" customFormat="false" ht="15" hidden="false" customHeight="true" outlineLevel="0" collapsed="false">
      <c r="N1846" s="1" t="str">
        <f aca="false">IF(L1846="","",IF(2026-E1846&gt;0,L1846/(2026-E1846),L1846))</f>
        <v/>
      </c>
    </row>
    <row r="1847" customFormat="false" ht="15" hidden="false" customHeight="true" outlineLevel="0" collapsed="false">
      <c r="N1847" s="1" t="str">
        <f aca="false">IF(L1847="","",IF(2026-E1847&gt;0,L1847/(2026-E1847),L1847))</f>
        <v/>
      </c>
    </row>
    <row r="1848" customFormat="false" ht="15" hidden="false" customHeight="true" outlineLevel="0" collapsed="false">
      <c r="N1848" s="1" t="str">
        <f aca="false">IF(L1848="","",IF(2026-E1848&gt;0,L1848/(2026-E1848),L1848))</f>
        <v/>
      </c>
    </row>
    <row r="1849" customFormat="false" ht="15" hidden="false" customHeight="true" outlineLevel="0" collapsed="false">
      <c r="N1849" s="1" t="str">
        <f aca="false">IF(L1849="","",IF(2026-E1849&gt;0,L1849/(2026-E1849),L1849))</f>
        <v/>
      </c>
    </row>
    <row r="1850" customFormat="false" ht="15" hidden="false" customHeight="true" outlineLevel="0" collapsed="false">
      <c r="N1850" s="1" t="str">
        <f aca="false">IF(L1850="","",IF(2026-E1850&gt;0,L1850/(2026-E1850),L1850))</f>
        <v/>
      </c>
    </row>
    <row r="1851" customFormat="false" ht="15" hidden="false" customHeight="true" outlineLevel="0" collapsed="false">
      <c r="N1851" s="1" t="str">
        <f aca="false">IF(L1851="","",IF(2026-E1851&gt;0,L1851/(2026-E1851),L1851))</f>
        <v/>
      </c>
    </row>
    <row r="1852" customFormat="false" ht="15" hidden="false" customHeight="true" outlineLevel="0" collapsed="false">
      <c r="N1852" s="1" t="str">
        <f aca="false">IF(L1852="","",IF(2026-E1852&gt;0,L1852/(2026-E1852),L1852))</f>
        <v/>
      </c>
    </row>
    <row r="1853" customFormat="false" ht="15" hidden="false" customHeight="true" outlineLevel="0" collapsed="false">
      <c r="N1853" s="1" t="str">
        <f aca="false">IF(L1853="","",IF(2026-E1853&gt;0,L1853/(2026-E1853),L1853))</f>
        <v/>
      </c>
    </row>
    <row r="1854" customFormat="false" ht="15" hidden="false" customHeight="true" outlineLevel="0" collapsed="false">
      <c r="N1854" s="1" t="str">
        <f aca="false">IF(L1854="","",IF(2026-E1854&gt;0,L1854/(2026-E1854),L1854))</f>
        <v/>
      </c>
    </row>
    <row r="1855" customFormat="false" ht="15" hidden="false" customHeight="true" outlineLevel="0" collapsed="false">
      <c r="N1855" s="1" t="str">
        <f aca="false">IF(L1855="","",IF(2026-E1855&gt;0,L1855/(2026-E1855),L1855))</f>
        <v/>
      </c>
    </row>
    <row r="1856" customFormat="false" ht="15" hidden="false" customHeight="true" outlineLevel="0" collapsed="false">
      <c r="N1856" s="1" t="str">
        <f aca="false">IF(L1856="","",IF(2026-E1856&gt;0,L1856/(2026-E1856),L1856))</f>
        <v/>
      </c>
    </row>
    <row r="1857" customFormat="false" ht="15" hidden="false" customHeight="true" outlineLevel="0" collapsed="false">
      <c r="N1857" s="1" t="str">
        <f aca="false">IF(L1857="","",IF(2026-E1857&gt;0,L1857/(2026-E1857),L1857))</f>
        <v/>
      </c>
    </row>
    <row r="1858" customFormat="false" ht="15" hidden="false" customHeight="true" outlineLevel="0" collapsed="false">
      <c r="N1858" s="1" t="str">
        <f aca="false">IF(L1858="","",IF(2026-E1858&gt;0,L1858/(2026-E1858),L1858))</f>
        <v/>
      </c>
    </row>
    <row r="1859" customFormat="false" ht="15" hidden="false" customHeight="true" outlineLevel="0" collapsed="false">
      <c r="N1859" s="1" t="str">
        <f aca="false">IF(L1859="","",IF(2026-E1859&gt;0,L1859/(2026-E1859),L1859))</f>
        <v/>
      </c>
    </row>
    <row r="1860" customFormat="false" ht="15" hidden="false" customHeight="true" outlineLevel="0" collapsed="false">
      <c r="N1860" s="1" t="str">
        <f aca="false">IF(L1860="","",IF(2026-E1860&gt;0,L1860/(2026-E1860),L1860))</f>
        <v/>
      </c>
    </row>
    <row r="1861" customFormat="false" ht="15" hidden="false" customHeight="true" outlineLevel="0" collapsed="false">
      <c r="N1861" s="1" t="str">
        <f aca="false">IF(L1861="","",IF(2026-E1861&gt;0,L1861/(2026-E1861),L1861))</f>
        <v/>
      </c>
    </row>
    <row r="1862" customFormat="false" ht="15" hidden="false" customHeight="true" outlineLevel="0" collapsed="false">
      <c r="N1862" s="1" t="str">
        <f aca="false">IF(L1862="","",IF(2026-E1862&gt;0,L1862/(2026-E1862),L1862))</f>
        <v/>
      </c>
    </row>
    <row r="1863" customFormat="false" ht="15" hidden="false" customHeight="true" outlineLevel="0" collapsed="false">
      <c r="N1863" s="1" t="str">
        <f aca="false">IF(L1863="","",IF(2026-E1863&gt;0,L1863/(2026-E1863),L1863))</f>
        <v/>
      </c>
    </row>
    <row r="1864" customFormat="false" ht="15" hidden="false" customHeight="true" outlineLevel="0" collapsed="false">
      <c r="N1864" s="1" t="str">
        <f aca="false">IF(L1864="","",IF(2026-E1864&gt;0,L1864/(2026-E1864),L1864))</f>
        <v/>
      </c>
    </row>
    <row r="1865" customFormat="false" ht="15" hidden="false" customHeight="true" outlineLevel="0" collapsed="false">
      <c r="N1865" s="1" t="str">
        <f aca="false">IF(L1865="","",IF(2026-E1865&gt;0,L1865/(2026-E1865),L1865))</f>
        <v/>
      </c>
    </row>
    <row r="1866" customFormat="false" ht="15" hidden="false" customHeight="true" outlineLevel="0" collapsed="false">
      <c r="N1866" s="1" t="str">
        <f aca="false">IF(L1866="","",IF(2026-E1866&gt;0,L1866/(2026-E1866),L1866))</f>
        <v/>
      </c>
    </row>
    <row r="1867" customFormat="false" ht="15" hidden="false" customHeight="true" outlineLevel="0" collapsed="false">
      <c r="N1867" s="1" t="str">
        <f aca="false">IF(L1867="","",IF(2026-E1867&gt;0,L1867/(2026-E1867),L1867))</f>
        <v/>
      </c>
    </row>
    <row r="1868" customFormat="false" ht="15" hidden="false" customHeight="true" outlineLevel="0" collapsed="false">
      <c r="N1868" s="1" t="str">
        <f aca="false">IF(L1868="","",IF(2026-E1868&gt;0,L1868/(2026-E1868),L1868))</f>
        <v/>
      </c>
    </row>
    <row r="1869" customFormat="false" ht="15" hidden="false" customHeight="true" outlineLevel="0" collapsed="false">
      <c r="N1869" s="1" t="str">
        <f aca="false">IF(L1869="","",IF(2026-E1869&gt;0,L1869/(2026-E1869),L1869))</f>
        <v/>
      </c>
    </row>
    <row r="1870" customFormat="false" ht="15" hidden="false" customHeight="true" outlineLevel="0" collapsed="false">
      <c r="N1870" s="1" t="str">
        <f aca="false">IF(L1870="","",IF(2026-E1870&gt;0,L1870/(2026-E1870),L1870))</f>
        <v/>
      </c>
    </row>
    <row r="1871" customFormat="false" ht="15" hidden="false" customHeight="true" outlineLevel="0" collapsed="false">
      <c r="N1871" s="1" t="str">
        <f aca="false">IF(L1871="","",IF(2026-E1871&gt;0,L1871/(2026-E1871),L1871))</f>
        <v/>
      </c>
    </row>
    <row r="1872" customFormat="false" ht="15" hidden="false" customHeight="true" outlineLevel="0" collapsed="false">
      <c r="N1872" s="1" t="str">
        <f aca="false">IF(L1872="","",IF(2026-E1872&gt;0,L1872/(2026-E1872),L1872))</f>
        <v/>
      </c>
    </row>
    <row r="1873" customFormat="false" ht="15" hidden="false" customHeight="true" outlineLevel="0" collapsed="false">
      <c r="N1873" s="1" t="str">
        <f aca="false">IF(L1873="","",IF(2026-E1873&gt;0,L1873/(2026-E1873),L1873))</f>
        <v/>
      </c>
    </row>
    <row r="1874" customFormat="false" ht="15" hidden="false" customHeight="true" outlineLevel="0" collapsed="false">
      <c r="N1874" s="1" t="str">
        <f aca="false">IF(L1874="","",IF(2026-E1874&gt;0,L1874/(2026-E1874),L1874))</f>
        <v/>
      </c>
    </row>
    <row r="1875" customFormat="false" ht="15" hidden="false" customHeight="true" outlineLevel="0" collapsed="false">
      <c r="N1875" s="1" t="str">
        <f aca="false">IF(L1875="","",IF(2026-E1875&gt;0,L1875/(2026-E1875),L1875))</f>
        <v/>
      </c>
    </row>
    <row r="1876" customFormat="false" ht="15" hidden="false" customHeight="true" outlineLevel="0" collapsed="false">
      <c r="N1876" s="1" t="str">
        <f aca="false">IF(L1876="","",IF(2026-E1876&gt;0,L1876/(2026-E1876),L1876))</f>
        <v/>
      </c>
    </row>
    <row r="1877" customFormat="false" ht="15" hidden="false" customHeight="true" outlineLevel="0" collapsed="false">
      <c r="N1877" s="1" t="str">
        <f aca="false">IF(L1877="","",IF(2026-E1877&gt;0,L1877/(2026-E1877),L1877))</f>
        <v/>
      </c>
    </row>
    <row r="1878" customFormat="false" ht="15" hidden="false" customHeight="true" outlineLevel="0" collapsed="false">
      <c r="N1878" s="1" t="str">
        <f aca="false">IF(L1878="","",IF(2026-E1878&gt;0,L1878/(2026-E1878),L1878))</f>
        <v/>
      </c>
    </row>
    <row r="1879" customFormat="false" ht="15" hidden="false" customHeight="true" outlineLevel="0" collapsed="false">
      <c r="N1879" s="1" t="str">
        <f aca="false">IF(L1879="","",IF(2026-E1879&gt;0,L1879/(2026-E1879),L1879))</f>
        <v/>
      </c>
    </row>
    <row r="1880" customFormat="false" ht="15" hidden="false" customHeight="true" outlineLevel="0" collapsed="false">
      <c r="N1880" s="1" t="str">
        <f aca="false">IF(L1880="","",IF(2026-E1880&gt;0,L1880/(2026-E1880),L1880))</f>
        <v/>
      </c>
    </row>
    <row r="1881" customFormat="false" ht="15" hidden="false" customHeight="true" outlineLevel="0" collapsed="false">
      <c r="N1881" s="1" t="str">
        <f aca="false">IF(L1881="","",IF(2026-E1881&gt;0,L1881/(2026-E1881),L1881))</f>
        <v/>
      </c>
    </row>
    <row r="1882" customFormat="false" ht="15" hidden="false" customHeight="true" outlineLevel="0" collapsed="false">
      <c r="N1882" s="1" t="str">
        <f aca="false">IF(L1882="","",IF(2026-E1882&gt;0,L1882/(2026-E1882),L1882))</f>
        <v/>
      </c>
    </row>
    <row r="1883" customFormat="false" ht="15" hidden="false" customHeight="true" outlineLevel="0" collapsed="false">
      <c r="N1883" s="1" t="str">
        <f aca="false">IF(L1883="","",IF(2026-E1883&gt;0,L1883/(2026-E1883),L1883))</f>
        <v/>
      </c>
    </row>
    <row r="1884" customFormat="false" ht="15" hidden="false" customHeight="true" outlineLevel="0" collapsed="false">
      <c r="N1884" s="1" t="str">
        <f aca="false">IF(L1884="","",IF(2026-E1884&gt;0,L1884/(2026-E1884),L1884))</f>
        <v/>
      </c>
    </row>
    <row r="1885" customFormat="false" ht="15" hidden="false" customHeight="true" outlineLevel="0" collapsed="false">
      <c r="N1885" s="1" t="str">
        <f aca="false">IF(L1885="","",IF(2026-E1885&gt;0,L1885/(2026-E1885),L1885))</f>
        <v/>
      </c>
    </row>
    <row r="1886" customFormat="false" ht="15" hidden="false" customHeight="true" outlineLevel="0" collapsed="false">
      <c r="N1886" s="1" t="str">
        <f aca="false">IF(L1886="","",IF(2026-E1886&gt;0,L1886/(2026-E1886),L1886))</f>
        <v/>
      </c>
    </row>
    <row r="1887" customFormat="false" ht="15" hidden="false" customHeight="true" outlineLevel="0" collapsed="false">
      <c r="N1887" s="1" t="str">
        <f aca="false">IF(L1887="","",IF(2026-E1887&gt;0,L1887/(2026-E1887),L1887))</f>
        <v/>
      </c>
    </row>
    <row r="1888" customFormat="false" ht="15" hidden="false" customHeight="true" outlineLevel="0" collapsed="false">
      <c r="N1888" s="1" t="str">
        <f aca="false">IF(L1888="","",IF(2026-E1888&gt;0,L1888/(2026-E1888),L1888))</f>
        <v/>
      </c>
    </row>
    <row r="1889" customFormat="false" ht="15" hidden="false" customHeight="true" outlineLevel="0" collapsed="false">
      <c r="N1889" s="1" t="str">
        <f aca="false">IF(L1889="","",IF(2026-E1889&gt;0,L1889/(2026-E1889),L1889))</f>
        <v/>
      </c>
    </row>
    <row r="1890" customFormat="false" ht="15" hidden="false" customHeight="true" outlineLevel="0" collapsed="false">
      <c r="N1890" s="1" t="str">
        <f aca="false">IF(L1890="","",IF(2026-E1890&gt;0,L1890/(2026-E1890),L1890))</f>
        <v/>
      </c>
    </row>
    <row r="1891" customFormat="false" ht="15" hidden="false" customHeight="true" outlineLevel="0" collapsed="false">
      <c r="N1891" s="1" t="str">
        <f aca="false">IF(L1891="","",IF(2026-E1891&gt;0,L1891/(2026-E1891),L1891))</f>
        <v/>
      </c>
    </row>
    <row r="1892" customFormat="false" ht="15" hidden="false" customHeight="true" outlineLevel="0" collapsed="false">
      <c r="N1892" s="1" t="str">
        <f aca="false">IF(L1892="","",IF(2026-E1892&gt;0,L1892/(2026-E1892),L1892))</f>
        <v/>
      </c>
    </row>
    <row r="1893" customFormat="false" ht="15" hidden="false" customHeight="true" outlineLevel="0" collapsed="false">
      <c r="N1893" s="1" t="str">
        <f aca="false">IF(L1893="","",IF(2026-E1893&gt;0,L1893/(2026-E1893),L1893))</f>
        <v/>
      </c>
    </row>
    <row r="1894" customFormat="false" ht="15" hidden="false" customHeight="true" outlineLevel="0" collapsed="false">
      <c r="N1894" s="1" t="str">
        <f aca="false">IF(L1894="","",IF(2026-E1894&gt;0,L1894/(2026-E1894),L1894))</f>
        <v/>
      </c>
    </row>
    <row r="1895" customFormat="false" ht="15" hidden="false" customHeight="true" outlineLevel="0" collapsed="false">
      <c r="N1895" s="1" t="str">
        <f aca="false">IF(L1895="","",IF(2026-E1895&gt;0,L1895/(2026-E1895),L1895))</f>
        <v/>
      </c>
    </row>
    <row r="1896" customFormat="false" ht="15" hidden="false" customHeight="true" outlineLevel="0" collapsed="false">
      <c r="N1896" s="1" t="str">
        <f aca="false">IF(L1896="","",IF(2026-E1896&gt;0,L1896/(2026-E1896),L1896))</f>
        <v/>
      </c>
    </row>
    <row r="1897" customFormat="false" ht="15" hidden="false" customHeight="true" outlineLevel="0" collapsed="false">
      <c r="N1897" s="1" t="str">
        <f aca="false">IF(L1897="","",IF(2026-E1897&gt;0,L1897/(2026-E1897),L1897))</f>
        <v/>
      </c>
    </row>
    <row r="1898" customFormat="false" ht="15" hidden="false" customHeight="true" outlineLevel="0" collapsed="false">
      <c r="N1898" s="1" t="str">
        <f aca="false">IF(L1898="","",IF(2026-E1898&gt;0,L1898/(2026-E1898),L1898))</f>
        <v/>
      </c>
    </row>
    <row r="1899" customFormat="false" ht="15" hidden="false" customHeight="true" outlineLevel="0" collapsed="false">
      <c r="N1899" s="1" t="str">
        <f aca="false">IF(L1899="","",IF(2026-E1899&gt;0,L1899/(2026-E1899),L1899))</f>
        <v/>
      </c>
    </row>
    <row r="1900" customFormat="false" ht="15" hidden="false" customHeight="true" outlineLevel="0" collapsed="false">
      <c r="N1900" s="1" t="str">
        <f aca="false">IF(L1900="","",IF(2026-E1900&gt;0,L1900/(2026-E1900),L1900))</f>
        <v/>
      </c>
    </row>
    <row r="1901" customFormat="false" ht="15" hidden="false" customHeight="true" outlineLevel="0" collapsed="false">
      <c r="N1901" s="1" t="str">
        <f aca="false">IF(L1901="","",IF(2026-E1901&gt;0,L1901/(2026-E1901),L1901))</f>
        <v/>
      </c>
    </row>
    <row r="1902" customFormat="false" ht="15" hidden="false" customHeight="true" outlineLevel="0" collapsed="false">
      <c r="N1902" s="1" t="str">
        <f aca="false">IF(L1902="","",IF(2026-E1902&gt;0,L1902/(2026-E1902),L1902))</f>
        <v/>
      </c>
    </row>
    <row r="1903" customFormat="false" ht="15" hidden="false" customHeight="true" outlineLevel="0" collapsed="false">
      <c r="N1903" s="1" t="str">
        <f aca="false">IF(L1903="","",IF(2026-E1903&gt;0,L1903/(2026-E1903),L1903))</f>
        <v/>
      </c>
    </row>
    <row r="1904" customFormat="false" ht="15" hidden="false" customHeight="true" outlineLevel="0" collapsed="false">
      <c r="N1904" s="1" t="str">
        <f aca="false">IF(L1904="","",IF(2026-E1904&gt;0,L1904/(2026-E1904),L1904))</f>
        <v/>
      </c>
    </row>
    <row r="1905" customFormat="false" ht="15" hidden="false" customHeight="true" outlineLevel="0" collapsed="false">
      <c r="N1905" s="1" t="str">
        <f aca="false">IF(L1905="","",IF(2026-E1905&gt;0,L1905/(2026-E1905),L1905))</f>
        <v/>
      </c>
    </row>
    <row r="1906" customFormat="false" ht="15" hidden="false" customHeight="true" outlineLevel="0" collapsed="false">
      <c r="N1906" s="1" t="str">
        <f aca="false">IF(L1906="","",IF(2026-E1906&gt;0,L1906/(2026-E1906),L1906))</f>
        <v/>
      </c>
    </row>
    <row r="1907" customFormat="false" ht="15" hidden="false" customHeight="true" outlineLevel="0" collapsed="false">
      <c r="N1907" s="1" t="str">
        <f aca="false">IF(L1907="","",IF(2026-E1907&gt;0,L1907/(2026-E1907),L1907))</f>
        <v/>
      </c>
    </row>
    <row r="1908" customFormat="false" ht="15" hidden="false" customHeight="true" outlineLevel="0" collapsed="false">
      <c r="N1908" s="1" t="str">
        <f aca="false">IF(L1908="","",IF(2026-E1908&gt;0,L1908/(2026-E1908),L1908))</f>
        <v/>
      </c>
    </row>
    <row r="1909" customFormat="false" ht="15" hidden="false" customHeight="true" outlineLevel="0" collapsed="false">
      <c r="N1909" s="1" t="str">
        <f aca="false">IF(L1909="","",IF(2026-E1909&gt;0,L1909/(2026-E1909),L1909))</f>
        <v/>
      </c>
    </row>
    <row r="1910" customFormat="false" ht="15" hidden="false" customHeight="true" outlineLevel="0" collapsed="false">
      <c r="N1910" s="1" t="str">
        <f aca="false">IF(L1910="","",IF(2026-E1910&gt;0,L1910/(2026-E1910),L1910))</f>
        <v/>
      </c>
    </row>
    <row r="1911" customFormat="false" ht="15" hidden="false" customHeight="true" outlineLevel="0" collapsed="false">
      <c r="N1911" s="1" t="str">
        <f aca="false">IF(L1911="","",IF(2026-E1911&gt;0,L1911/(2026-E1911),L1911))</f>
        <v/>
      </c>
    </row>
    <row r="1912" customFormat="false" ht="15" hidden="false" customHeight="true" outlineLevel="0" collapsed="false">
      <c r="N1912" s="1" t="str">
        <f aca="false">IF(L1912="","",IF(2026-E1912&gt;0,L1912/(2026-E1912),L1912))</f>
        <v/>
      </c>
    </row>
    <row r="1913" customFormat="false" ht="15" hidden="false" customHeight="true" outlineLevel="0" collapsed="false">
      <c r="N1913" s="1" t="str">
        <f aca="false">IF(L1913="","",IF(2026-E1913&gt;0,L1913/(2026-E1913),L1913))</f>
        <v/>
      </c>
    </row>
    <row r="1914" customFormat="false" ht="15" hidden="false" customHeight="true" outlineLevel="0" collapsed="false">
      <c r="N1914" s="1" t="str">
        <f aca="false">IF(L1914="","",IF(2026-E1914&gt;0,L1914/(2026-E1914),L1914))</f>
        <v/>
      </c>
    </row>
    <row r="1915" customFormat="false" ht="15" hidden="false" customHeight="true" outlineLevel="0" collapsed="false">
      <c r="N1915" s="1" t="str">
        <f aca="false">IF(L1915="","",IF(2026-E1915&gt;0,L1915/(2026-E1915),L1915))</f>
        <v/>
      </c>
    </row>
    <row r="1916" customFormat="false" ht="15" hidden="false" customHeight="true" outlineLevel="0" collapsed="false">
      <c r="N1916" s="1" t="str">
        <f aca="false">IF(L1916="","",IF(2026-E1916&gt;0,L1916/(2026-E1916),L1916))</f>
        <v/>
      </c>
    </row>
    <row r="1917" customFormat="false" ht="15" hidden="false" customHeight="true" outlineLevel="0" collapsed="false">
      <c r="N1917" s="1" t="str">
        <f aca="false">IF(L1917="","",IF(2026-E1917&gt;0,L1917/(2026-E1917),L1917))</f>
        <v/>
      </c>
    </row>
    <row r="1918" customFormat="false" ht="15" hidden="false" customHeight="true" outlineLevel="0" collapsed="false">
      <c r="N1918" s="1" t="str">
        <f aca="false">IF(L1918="","",IF(2026-E1918&gt;0,L1918/(2026-E1918),L1918))</f>
        <v/>
      </c>
    </row>
    <row r="1919" customFormat="false" ht="15" hidden="false" customHeight="true" outlineLevel="0" collapsed="false">
      <c r="N1919" s="1" t="str">
        <f aca="false">IF(L1919="","",IF(2026-E1919&gt;0,L1919/(2026-E1919),L1919))</f>
        <v/>
      </c>
    </row>
    <row r="1920" customFormat="false" ht="15" hidden="false" customHeight="true" outlineLevel="0" collapsed="false">
      <c r="N1920" s="1" t="str">
        <f aca="false">IF(L1920="","",IF(2026-E1920&gt;0,L1920/(2026-E1920),L1920))</f>
        <v/>
      </c>
    </row>
    <row r="1921" customFormat="false" ht="15" hidden="false" customHeight="true" outlineLevel="0" collapsed="false">
      <c r="N1921" s="1" t="str">
        <f aca="false">IF(L1921="","",IF(2026-E1921&gt;0,L1921/(2026-E1921),L1921))</f>
        <v/>
      </c>
    </row>
    <row r="1922" customFormat="false" ht="15" hidden="false" customHeight="true" outlineLevel="0" collapsed="false">
      <c r="N1922" s="1" t="str">
        <f aca="false">IF(L1922="","",IF(2026-E1922&gt;0,L1922/(2026-E1922),L1922))</f>
        <v/>
      </c>
    </row>
    <row r="1923" customFormat="false" ht="15" hidden="false" customHeight="true" outlineLevel="0" collapsed="false">
      <c r="N1923" s="1" t="str">
        <f aca="false">IF(L1923="","",IF(2026-E1923&gt;0,L1923/(2026-E1923),L1923))</f>
        <v/>
      </c>
    </row>
    <row r="1924" customFormat="false" ht="15" hidden="false" customHeight="true" outlineLevel="0" collapsed="false">
      <c r="N1924" s="1" t="str">
        <f aca="false">IF(L1924="","",IF(2026-E1924&gt;0,L1924/(2026-E1924),L1924))</f>
        <v/>
      </c>
    </row>
    <row r="1925" customFormat="false" ht="15" hidden="false" customHeight="true" outlineLevel="0" collapsed="false">
      <c r="N1925" s="1" t="str">
        <f aca="false">IF(L1925="","",IF(2026-E1925&gt;0,L1925/(2026-E1925),L1925))</f>
        <v/>
      </c>
    </row>
    <row r="1926" customFormat="false" ht="15" hidden="false" customHeight="true" outlineLevel="0" collapsed="false">
      <c r="N1926" s="1" t="str">
        <f aca="false">IF(L1926="","",IF(2026-E1926&gt;0,L1926/(2026-E1926),L1926))</f>
        <v/>
      </c>
    </row>
    <row r="1927" customFormat="false" ht="15" hidden="false" customHeight="true" outlineLevel="0" collapsed="false">
      <c r="N1927" s="1" t="str">
        <f aca="false">IF(L1927="","",IF(2026-E1927&gt;0,L1927/(2026-E1927),L1927))</f>
        <v/>
      </c>
    </row>
    <row r="1928" customFormat="false" ht="15" hidden="false" customHeight="true" outlineLevel="0" collapsed="false">
      <c r="N1928" s="1" t="str">
        <f aca="false">IF(L1928="","",IF(2026-E1928&gt;0,L1928/(2026-E1928),L1928))</f>
        <v/>
      </c>
    </row>
    <row r="1929" customFormat="false" ht="15" hidden="false" customHeight="true" outlineLevel="0" collapsed="false">
      <c r="N1929" s="1" t="str">
        <f aca="false">IF(L1929="","",IF(2026-E1929&gt;0,L1929/(2026-E1929),L1929))</f>
        <v/>
      </c>
    </row>
    <row r="1930" customFormat="false" ht="15" hidden="false" customHeight="true" outlineLevel="0" collapsed="false">
      <c r="N1930" s="1" t="str">
        <f aca="false">IF(L1930="","",IF(2026-E1930&gt;0,L1930/(2026-E1930),L1930))</f>
        <v/>
      </c>
    </row>
    <row r="1931" customFormat="false" ht="15" hidden="false" customHeight="true" outlineLevel="0" collapsed="false">
      <c r="N1931" s="1" t="str">
        <f aca="false">IF(L1931="","",IF(2026-E1931&gt;0,L1931/(2026-E1931),L1931))</f>
        <v/>
      </c>
    </row>
    <row r="1932" customFormat="false" ht="15" hidden="false" customHeight="true" outlineLevel="0" collapsed="false">
      <c r="N1932" s="1" t="str">
        <f aca="false">IF(L1932="","",IF(2026-E1932&gt;0,L1932/(2026-E1932),L1932))</f>
        <v/>
      </c>
    </row>
    <row r="1933" customFormat="false" ht="15" hidden="false" customHeight="true" outlineLevel="0" collapsed="false">
      <c r="N1933" s="1" t="str">
        <f aca="false">IF(L1933="","",IF(2026-E1933&gt;0,L1933/(2026-E1933),L1933))</f>
        <v/>
      </c>
    </row>
    <row r="1934" customFormat="false" ht="15" hidden="false" customHeight="true" outlineLevel="0" collapsed="false">
      <c r="N1934" s="1" t="str">
        <f aca="false">IF(L1934="","",IF(2026-E1934&gt;0,L1934/(2026-E1934),L1934))</f>
        <v/>
      </c>
    </row>
    <row r="1935" customFormat="false" ht="15" hidden="false" customHeight="true" outlineLevel="0" collapsed="false">
      <c r="N1935" s="1" t="str">
        <f aca="false">IF(L1935="","",IF(2026-E1935&gt;0,L1935/(2026-E1935),L1935))</f>
        <v/>
      </c>
    </row>
    <row r="1936" customFormat="false" ht="15" hidden="false" customHeight="true" outlineLevel="0" collapsed="false">
      <c r="N1936" s="1" t="str">
        <f aca="false">IF(L1936="","",IF(2026-E1936&gt;0,L1936/(2026-E1936),L1936))</f>
        <v/>
      </c>
    </row>
    <row r="1937" customFormat="false" ht="15" hidden="false" customHeight="true" outlineLevel="0" collapsed="false">
      <c r="N1937" s="1" t="str">
        <f aca="false">IF(L1937="","",IF(2026-E1937&gt;0,L1937/(2026-E1937),L1937))</f>
        <v/>
      </c>
    </row>
    <row r="1938" customFormat="false" ht="15" hidden="false" customHeight="true" outlineLevel="0" collapsed="false">
      <c r="N1938" s="1" t="str">
        <f aca="false">IF(L1938="","",IF(2026-E1938&gt;0,L1938/(2026-E1938),L1938))</f>
        <v/>
      </c>
    </row>
    <row r="1939" customFormat="false" ht="15" hidden="false" customHeight="true" outlineLevel="0" collapsed="false">
      <c r="N1939" s="1" t="str">
        <f aca="false">IF(L1939="","",IF(2026-E1939&gt;0,L1939/(2026-E1939),L1939))</f>
        <v/>
      </c>
    </row>
    <row r="1940" customFormat="false" ht="15" hidden="false" customHeight="true" outlineLevel="0" collapsed="false">
      <c r="N1940" s="1" t="str">
        <f aca="false">IF(L1940="","",IF(2026-E1940&gt;0,L1940/(2026-E1940),L1940))</f>
        <v/>
      </c>
    </row>
    <row r="1941" customFormat="false" ht="15" hidden="false" customHeight="true" outlineLevel="0" collapsed="false">
      <c r="N1941" s="1" t="str">
        <f aca="false">IF(L1941="","",IF(2026-E1941&gt;0,L1941/(2026-E1941),L1941))</f>
        <v/>
      </c>
    </row>
    <row r="1942" customFormat="false" ht="15" hidden="false" customHeight="true" outlineLevel="0" collapsed="false">
      <c r="N1942" s="1" t="str">
        <f aca="false">IF(L1942="","",IF(2026-E1942&gt;0,L1942/(2026-E1942),L1942))</f>
        <v/>
      </c>
    </row>
    <row r="1943" customFormat="false" ht="15" hidden="false" customHeight="true" outlineLevel="0" collapsed="false">
      <c r="N1943" s="1" t="str">
        <f aca="false">IF(L1943="","",IF(2026-E1943&gt;0,L1943/(2026-E1943),L1943))</f>
        <v/>
      </c>
    </row>
    <row r="1944" customFormat="false" ht="15" hidden="false" customHeight="true" outlineLevel="0" collapsed="false">
      <c r="N1944" s="1" t="str">
        <f aca="false">IF(L1944="","",IF(2026-E1944&gt;0,L1944/(2026-E1944),L1944))</f>
        <v/>
      </c>
    </row>
    <row r="1945" customFormat="false" ht="15" hidden="false" customHeight="true" outlineLevel="0" collapsed="false">
      <c r="N1945" s="1" t="str">
        <f aca="false">IF(L1945="","",IF(2026-E1945&gt;0,L1945/(2026-E1945),L1945))</f>
        <v/>
      </c>
    </row>
    <row r="1946" customFormat="false" ht="15" hidden="false" customHeight="true" outlineLevel="0" collapsed="false">
      <c r="N1946" s="1" t="str">
        <f aca="false">IF(L1946="","",IF(2026-E1946&gt;0,L1946/(2026-E1946),L1946))</f>
        <v/>
      </c>
    </row>
    <row r="1947" customFormat="false" ht="15" hidden="false" customHeight="true" outlineLevel="0" collapsed="false">
      <c r="N1947" s="1" t="str">
        <f aca="false">IF(L1947="","",IF(2026-E1947&gt;0,L1947/(2026-E1947),L1947))</f>
        <v/>
      </c>
    </row>
    <row r="1948" customFormat="false" ht="15" hidden="false" customHeight="true" outlineLevel="0" collapsed="false">
      <c r="N1948" s="1" t="str">
        <f aca="false">IF(L1948="","",IF(2026-E1948&gt;0,L1948/(2026-E1948),L1948))</f>
        <v/>
      </c>
    </row>
    <row r="1949" customFormat="false" ht="15" hidden="false" customHeight="true" outlineLevel="0" collapsed="false">
      <c r="N1949" s="1" t="str">
        <f aca="false">IF(L1949="","",IF(2026-E1949&gt;0,L1949/(2026-E1949),L1949))</f>
        <v/>
      </c>
    </row>
    <row r="1950" customFormat="false" ht="15" hidden="false" customHeight="true" outlineLevel="0" collapsed="false">
      <c r="N1950" s="1" t="str">
        <f aca="false">IF(L1950="","",IF(2026-E1950&gt;0,L1950/(2026-E1950),L1950))</f>
        <v/>
      </c>
    </row>
    <row r="1951" customFormat="false" ht="15" hidden="false" customHeight="true" outlineLevel="0" collapsed="false">
      <c r="N1951" s="1" t="str">
        <f aca="false">IF(L1951="","",IF(2026-E1951&gt;0,L1951/(2026-E1951),L1951))</f>
        <v/>
      </c>
    </row>
    <row r="1952" customFormat="false" ht="15" hidden="false" customHeight="true" outlineLevel="0" collapsed="false">
      <c r="N1952" s="1" t="str">
        <f aca="false">IF(L1952="","",IF(2026-E1952&gt;0,L1952/(2026-E1952),L1952))</f>
        <v/>
      </c>
    </row>
    <row r="1953" customFormat="false" ht="15" hidden="false" customHeight="true" outlineLevel="0" collapsed="false">
      <c r="N1953" s="1" t="str">
        <f aca="false">IF(L1953="","",IF(2026-E1953&gt;0,L1953/(2026-E1953),L1953))</f>
        <v/>
      </c>
    </row>
    <row r="1954" customFormat="false" ht="15" hidden="false" customHeight="true" outlineLevel="0" collapsed="false">
      <c r="N1954" s="1" t="str">
        <f aca="false">IF(L1954="","",IF(2026-E1954&gt;0,L1954/(2026-E1954),L1954))</f>
        <v/>
      </c>
    </row>
    <row r="1955" customFormat="false" ht="15" hidden="false" customHeight="true" outlineLevel="0" collapsed="false">
      <c r="N1955" s="1" t="str">
        <f aca="false">IF(L1955="","",IF(2026-E1955&gt;0,L1955/(2026-E1955),L1955))</f>
        <v/>
      </c>
    </row>
    <row r="1956" customFormat="false" ht="15" hidden="false" customHeight="true" outlineLevel="0" collapsed="false">
      <c r="N1956" s="1" t="str">
        <f aca="false">IF(L1956="","",IF(2026-E1956&gt;0,L1956/(2026-E1956),L1956))</f>
        <v/>
      </c>
    </row>
    <row r="1957" customFormat="false" ht="15" hidden="false" customHeight="true" outlineLevel="0" collapsed="false">
      <c r="N1957" s="1" t="str">
        <f aca="false">IF(L1957="","",IF(2026-E1957&gt;0,L1957/(2026-E1957),L1957))</f>
        <v/>
      </c>
    </row>
    <row r="1958" customFormat="false" ht="15" hidden="false" customHeight="true" outlineLevel="0" collapsed="false">
      <c r="N1958" s="1" t="str">
        <f aca="false">IF(L1958="","",IF(2026-E1958&gt;0,L1958/(2026-E1958),L1958))</f>
        <v/>
      </c>
    </row>
    <row r="1959" customFormat="false" ht="15" hidden="false" customHeight="true" outlineLevel="0" collapsed="false">
      <c r="N1959" s="1" t="str">
        <f aca="false">IF(L1959="","",IF(2026-E1959&gt;0,L1959/(2026-E1959),L1959))</f>
        <v/>
      </c>
    </row>
    <row r="1960" customFormat="false" ht="15" hidden="false" customHeight="true" outlineLevel="0" collapsed="false">
      <c r="N1960" s="1" t="str">
        <f aca="false">IF(L1960="","",IF(2026-E1960&gt;0,L1960/(2026-E1960),L1960))</f>
        <v/>
      </c>
    </row>
    <row r="1961" customFormat="false" ht="15" hidden="false" customHeight="true" outlineLevel="0" collapsed="false">
      <c r="N1961" s="1" t="str">
        <f aca="false">IF(L1961="","",IF(2026-E1961&gt;0,L1961/(2026-E1961),L1961))</f>
        <v/>
      </c>
    </row>
    <row r="1962" customFormat="false" ht="15" hidden="false" customHeight="true" outlineLevel="0" collapsed="false">
      <c r="N1962" s="1" t="str">
        <f aca="false">IF(L1962="","",IF(2026-E1962&gt;0,L1962/(2026-E1962),L1962))</f>
        <v/>
      </c>
    </row>
    <row r="1963" customFormat="false" ht="15" hidden="false" customHeight="true" outlineLevel="0" collapsed="false">
      <c r="N1963" s="1" t="str">
        <f aca="false">IF(L1963="","",IF(2026-E1963&gt;0,L1963/(2026-E1963),L1963))</f>
        <v/>
      </c>
    </row>
    <row r="1964" customFormat="false" ht="15" hidden="false" customHeight="true" outlineLevel="0" collapsed="false">
      <c r="N1964" s="1" t="str">
        <f aca="false">IF(L1964="","",IF(2026-E1964&gt;0,L1964/(2026-E1964),L1964))</f>
        <v/>
      </c>
    </row>
    <row r="1965" customFormat="false" ht="15" hidden="false" customHeight="true" outlineLevel="0" collapsed="false">
      <c r="N1965" s="1" t="str">
        <f aca="false">IF(L1965="","",IF(2026-E1965&gt;0,L1965/(2026-E1965),L1965))</f>
        <v/>
      </c>
    </row>
    <row r="1966" customFormat="false" ht="15" hidden="false" customHeight="true" outlineLevel="0" collapsed="false">
      <c r="N1966" s="1" t="str">
        <f aca="false">IF(L1966="","",IF(2026-E1966&gt;0,L1966/(2026-E1966),L1966))</f>
        <v/>
      </c>
    </row>
    <row r="1967" customFormat="false" ht="15" hidden="false" customHeight="true" outlineLevel="0" collapsed="false">
      <c r="N1967" s="1" t="str">
        <f aca="false">IF(L1967="","",IF(2026-E1967&gt;0,L1967/(2026-E1967),L1967))</f>
        <v/>
      </c>
    </row>
    <row r="1968" customFormat="false" ht="15" hidden="false" customHeight="true" outlineLevel="0" collapsed="false">
      <c r="N1968" s="1" t="str">
        <f aca="false">IF(L1968="","",IF(2026-E1968&gt;0,L1968/(2026-E1968),L1968))</f>
        <v/>
      </c>
    </row>
    <row r="1969" customFormat="false" ht="15" hidden="false" customHeight="true" outlineLevel="0" collapsed="false">
      <c r="N1969" s="1" t="str">
        <f aca="false">IF(L1969="","",IF(2026-E1969&gt;0,L1969/(2026-E1969),L1969))</f>
        <v/>
      </c>
    </row>
    <row r="1970" customFormat="false" ht="15" hidden="false" customHeight="true" outlineLevel="0" collapsed="false">
      <c r="N1970" s="1" t="str">
        <f aca="false">IF(L1970="","",IF(2026-E1970&gt;0,L1970/(2026-E1970),L1970))</f>
        <v/>
      </c>
    </row>
    <row r="1971" customFormat="false" ht="15" hidden="false" customHeight="true" outlineLevel="0" collapsed="false">
      <c r="N1971" s="1" t="str">
        <f aca="false">IF(L1971="","",IF(2026-E1971&gt;0,L1971/(2026-E1971),L1971))</f>
        <v/>
      </c>
    </row>
    <row r="1972" customFormat="false" ht="15" hidden="false" customHeight="true" outlineLevel="0" collapsed="false">
      <c r="N1972" s="1" t="str">
        <f aca="false">IF(L1972="","",IF(2026-E1972&gt;0,L1972/(2026-E1972),L1972))</f>
        <v/>
      </c>
    </row>
    <row r="1973" customFormat="false" ht="15" hidden="false" customHeight="true" outlineLevel="0" collapsed="false">
      <c r="N1973" s="1" t="str">
        <f aca="false">IF(L1973="","",IF(2026-E1973&gt;0,L1973/(2026-E1973),L1973))</f>
        <v/>
      </c>
    </row>
    <row r="1974" customFormat="false" ht="15" hidden="false" customHeight="true" outlineLevel="0" collapsed="false">
      <c r="N1974" s="1" t="str">
        <f aca="false">IF(L1974="","",IF(2026-E1974&gt;0,L1974/(2026-E1974),L1974))</f>
        <v/>
      </c>
    </row>
    <row r="1975" customFormat="false" ht="15" hidden="false" customHeight="true" outlineLevel="0" collapsed="false">
      <c r="N1975" s="1" t="str">
        <f aca="false">IF(L1975="","",IF(2026-E1975&gt;0,L1975/(2026-E1975),L1975))</f>
        <v/>
      </c>
    </row>
    <row r="1976" customFormat="false" ht="15" hidden="false" customHeight="true" outlineLevel="0" collapsed="false">
      <c r="N1976" s="1" t="str">
        <f aca="false">IF(L1976="","",IF(2026-E1976&gt;0,L1976/(2026-E1976),L1976))</f>
        <v/>
      </c>
    </row>
    <row r="1977" customFormat="false" ht="15" hidden="false" customHeight="true" outlineLevel="0" collapsed="false">
      <c r="N1977" s="1" t="str">
        <f aca="false">IF(L1977="","",IF(2026-E1977&gt;0,L1977/(2026-E1977),L1977))</f>
        <v/>
      </c>
    </row>
    <row r="1978" customFormat="false" ht="15" hidden="false" customHeight="true" outlineLevel="0" collapsed="false">
      <c r="N1978" s="1" t="str">
        <f aca="false">IF(L1978="","",IF(2026-E1978&gt;0,L1978/(2026-E1978),L1978))</f>
        <v/>
      </c>
    </row>
    <row r="1979" customFormat="false" ht="15" hidden="false" customHeight="true" outlineLevel="0" collapsed="false">
      <c r="N1979" s="1" t="str">
        <f aca="false">IF(L1979="","",IF(2026-E1979&gt;0,L1979/(2026-E1979),L1979))</f>
        <v/>
      </c>
    </row>
    <row r="1980" customFormat="false" ht="15" hidden="false" customHeight="true" outlineLevel="0" collapsed="false">
      <c r="N1980" s="1" t="str">
        <f aca="false">IF(L1980="","",IF(2026-E1980&gt;0,L1980/(2026-E1980),L1980))</f>
        <v/>
      </c>
    </row>
    <row r="1981" customFormat="false" ht="15" hidden="false" customHeight="true" outlineLevel="0" collapsed="false">
      <c r="N1981" s="1" t="str">
        <f aca="false">IF(L1981="","",IF(2026-E1981&gt;0,L1981/(2026-E1981),L1981))</f>
        <v/>
      </c>
    </row>
    <row r="1982" customFormat="false" ht="15" hidden="false" customHeight="true" outlineLevel="0" collapsed="false">
      <c r="N1982" s="1" t="str">
        <f aca="false">IF(L1982="","",IF(2026-E1982&gt;0,L1982/(2026-E1982),L1982))</f>
        <v/>
      </c>
    </row>
    <row r="1983" customFormat="false" ht="15" hidden="false" customHeight="true" outlineLevel="0" collapsed="false">
      <c r="N1983" s="1" t="str">
        <f aca="false">IF(L1983="","",IF(2026-E1983&gt;0,L1983/(2026-E1983),L1983))</f>
        <v/>
      </c>
    </row>
    <row r="1984" customFormat="false" ht="15" hidden="false" customHeight="true" outlineLevel="0" collapsed="false">
      <c r="N1984" s="1" t="str">
        <f aca="false">IF(L1984="","",IF(2026-E1984&gt;0,L1984/(2026-E1984),L1984))</f>
        <v/>
      </c>
    </row>
    <row r="1985" customFormat="false" ht="15" hidden="false" customHeight="true" outlineLevel="0" collapsed="false">
      <c r="N1985" s="1" t="str">
        <f aca="false">IF(L1985="","",IF(2026-E1985&gt;0,L1985/(2026-E1985),L1985))</f>
        <v/>
      </c>
    </row>
    <row r="1986" customFormat="false" ht="15" hidden="false" customHeight="true" outlineLevel="0" collapsed="false">
      <c r="N1986" s="1" t="str">
        <f aca="false">IF(L1986="","",IF(2026-E1986&gt;0,L1986/(2026-E1986),L1986))</f>
        <v/>
      </c>
    </row>
    <row r="1987" customFormat="false" ht="15" hidden="false" customHeight="true" outlineLevel="0" collapsed="false">
      <c r="N1987" s="1" t="str">
        <f aca="false">IF(L1987="","",IF(2026-E1987&gt;0,L1987/(2026-E1987),L1987))</f>
        <v/>
      </c>
    </row>
    <row r="1988" customFormat="false" ht="15" hidden="false" customHeight="true" outlineLevel="0" collapsed="false">
      <c r="N1988" s="1" t="str">
        <f aca="false">IF(L1988="","",IF(2026-E1988&gt;0,L1988/(2026-E1988),L1988))</f>
        <v/>
      </c>
    </row>
    <row r="1989" customFormat="false" ht="15" hidden="false" customHeight="true" outlineLevel="0" collapsed="false">
      <c r="N1989" s="1" t="str">
        <f aca="false">IF(L1989="","",IF(2026-E1989&gt;0,L1989/(2026-E1989),L1989))</f>
        <v/>
      </c>
    </row>
    <row r="1990" customFormat="false" ht="15" hidden="false" customHeight="true" outlineLevel="0" collapsed="false">
      <c r="N1990" s="1" t="str">
        <f aca="false">IF(L1990="","",IF(2026-E1990&gt;0,L1990/(2026-E1990),L1990))</f>
        <v/>
      </c>
    </row>
    <row r="1991" customFormat="false" ht="15" hidden="false" customHeight="true" outlineLevel="0" collapsed="false">
      <c r="N1991" s="1" t="str">
        <f aca="false">IF(L1991="","",IF(2026-E1991&gt;0,L1991/(2026-E1991),L1991))</f>
        <v/>
      </c>
    </row>
    <row r="1992" customFormat="false" ht="15" hidden="false" customHeight="true" outlineLevel="0" collapsed="false">
      <c r="N1992" s="1" t="str">
        <f aca="false">IF(L1992="","",IF(2026-E1992&gt;0,L1992/(2026-E1992),L1992))</f>
        <v/>
      </c>
    </row>
    <row r="1993" customFormat="false" ht="15" hidden="false" customHeight="true" outlineLevel="0" collapsed="false">
      <c r="N1993" s="1" t="str">
        <f aca="false">IF(L1993="","",IF(2026-E1993&gt;0,L1993/(2026-E1993),L1993))</f>
        <v/>
      </c>
    </row>
    <row r="1994" customFormat="false" ht="15" hidden="false" customHeight="true" outlineLevel="0" collapsed="false">
      <c r="N1994" s="1" t="str">
        <f aca="false">IF(L1994="","",IF(2026-E1994&gt;0,L1994/(2026-E1994),L1994))</f>
        <v/>
      </c>
    </row>
    <row r="1995" customFormat="false" ht="15" hidden="false" customHeight="true" outlineLevel="0" collapsed="false">
      <c r="N1995" s="1" t="str">
        <f aca="false">IF(L1995="","",IF(2026-E1995&gt;0,L1995/(2026-E1995),L1995))</f>
        <v/>
      </c>
    </row>
    <row r="1996" customFormat="false" ht="15" hidden="false" customHeight="true" outlineLevel="0" collapsed="false">
      <c r="N1996" s="1" t="str">
        <f aca="false">IF(L1996="","",IF(2026-E1996&gt;0,L1996/(2026-E1996),L1996))</f>
        <v/>
      </c>
    </row>
    <row r="1997" customFormat="false" ht="15" hidden="false" customHeight="true" outlineLevel="0" collapsed="false">
      <c r="N1997" s="1" t="str">
        <f aca="false">IF(L1997="","",IF(2026-E1997&gt;0,L1997/(2026-E1997),L1997))</f>
        <v/>
      </c>
    </row>
    <row r="1998" customFormat="false" ht="15" hidden="false" customHeight="true" outlineLevel="0" collapsed="false">
      <c r="N1998" s="1" t="str">
        <f aca="false">IF(L1998="","",IF(2026-E1998&gt;0,L1998/(2026-E1998),L1998))</f>
        <v/>
      </c>
    </row>
    <row r="1999" customFormat="false" ht="15" hidden="false" customHeight="true" outlineLevel="0" collapsed="false">
      <c r="N1999" s="1" t="str">
        <f aca="false">IF(L1999="","",IF(2026-E1999&gt;0,L1999/(2026-E1999),L1999))</f>
        <v/>
      </c>
    </row>
    <row r="2000" customFormat="false" ht="15" hidden="false" customHeight="true" outlineLevel="0" collapsed="false">
      <c r="N2000" s="1" t="str">
        <f aca="false">IF(L2000="","",IF(2026-E2000&gt;0,L2000/(2026-E2000),L2000))</f>
        <v/>
      </c>
    </row>
  </sheetData>
  <dataValidations count="4">
    <dataValidation allowBlank="true" errorStyle="stop" operator="between" showDropDown="false" showErrorMessage="false" showInputMessage="false" sqref="G2:H2000" type="list">
      <formula1>"include,exclude,unsure"</formula1>
      <formula2>0</formula2>
    </dataValidation>
    <dataValidation allowBlank="true" errorStyle="stop" operator="between" showDropDown="false" showErrorMessage="false" showInputMessage="false" sqref="J2:J2000" type="list">
      <formula1>"P1,P2,P3,P4"</formula1>
      <formula2>0</formula2>
    </dataValidation>
    <dataValidation allowBlank="true" errorStyle="stop" operator="between" showDropDown="false" showErrorMessage="false" showInputMessage="false" sqref="K2:K2000" type="list">
      <formula1>"yes,no"</formula1>
      <formula2>0</formula2>
    </dataValidation>
    <dataValidation allowBlank="true" errorStyle="stop" operator="between" showDropDown="false" showErrorMessage="false" showInputMessage="false" sqref="O2:O20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" min="5" style="1" width="60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9" min="8" style="1" width="12"/>
    <col collapsed="false" customWidth="true" hidden="false" outlineLevel="0" max="13" min="10" style="1" width="10"/>
    <col collapsed="false" customWidth="true" hidden="false" outlineLevel="0" max="15" min="14" style="1" width="12"/>
    <col collapsed="false" customWidth="true" hidden="false" outlineLevel="0" max="16" min="16" style="1" width="26"/>
    <col collapsed="false" customWidth="true" hidden="false" outlineLevel="0" max="18" min="17" style="1" width="12"/>
    <col collapsed="false" customWidth="true" hidden="false" outlineLevel="0" max="20" min="19" style="1" width="30"/>
  </cols>
  <sheetData>
    <row r="1" customFormat="false" ht="15" hidden="false" customHeight="true" outlineLevel="0" collapsed="false">
      <c r="A1" s="5" t="s">
        <v>311</v>
      </c>
      <c r="B1" s="5" t="s">
        <v>342</v>
      </c>
      <c r="C1" s="5" t="s">
        <v>374</v>
      </c>
      <c r="D1" s="5" t="s">
        <v>375</v>
      </c>
      <c r="E1" s="5" t="s">
        <v>376</v>
      </c>
      <c r="F1" s="5" t="s">
        <v>377</v>
      </c>
      <c r="G1" s="5" t="s">
        <v>378</v>
      </c>
      <c r="H1" s="5" t="s">
        <v>379</v>
      </c>
      <c r="I1" s="5" t="s">
        <v>380</v>
      </c>
      <c r="J1" s="5" t="s">
        <v>351</v>
      </c>
      <c r="K1" s="5" t="s">
        <v>381</v>
      </c>
      <c r="L1" s="5" t="s">
        <v>382</v>
      </c>
      <c r="M1" s="5" t="s">
        <v>383</v>
      </c>
      <c r="N1" s="5" t="s">
        <v>384</v>
      </c>
      <c r="O1" s="5" t="s">
        <v>385</v>
      </c>
      <c r="P1" s="5" t="s">
        <v>386</v>
      </c>
      <c r="Q1" s="5" t="s">
        <v>387</v>
      </c>
      <c r="R1" s="5" t="s">
        <v>388</v>
      </c>
      <c r="S1" s="5" t="s">
        <v>389</v>
      </c>
      <c r="T1" s="5" t="s">
        <v>315</v>
      </c>
    </row>
    <row r="2" customFormat="false" ht="15" hidden="false" customHeight="true" outlineLevel="0" collapsed="false">
      <c r="A2" s="6" t="s">
        <v>390</v>
      </c>
      <c r="B2" s="6" t="s">
        <v>359</v>
      </c>
      <c r="C2" s="6" t="s">
        <v>368</v>
      </c>
      <c r="D2" s="6" t="s">
        <v>391</v>
      </c>
      <c r="E2" s="6" t="s">
        <v>392</v>
      </c>
      <c r="F2" s="6" t="s">
        <v>393</v>
      </c>
      <c r="G2" s="6" t="s">
        <v>394</v>
      </c>
      <c r="H2" s="6" t="s">
        <v>395</v>
      </c>
      <c r="I2" s="6"/>
      <c r="J2" s="6" t="s">
        <v>365</v>
      </c>
      <c r="K2" s="6" t="s">
        <v>396</v>
      </c>
      <c r="L2" s="6" t="s">
        <v>396</v>
      </c>
      <c r="M2" s="6" t="s">
        <v>396</v>
      </c>
      <c r="N2" s="6"/>
      <c r="O2" s="6"/>
      <c r="P2" s="1" t="str">
        <f aca="false">IF(OR(F2="",H2="",J2=""),"",J2&amp;"|"&amp;F2&amp;"|"&amp;IF(H2="W3","W3_"&amp;IF(I2="","unknown",I2),H2))</f>
        <v>P4|conceptual|W4</v>
      </c>
      <c r="Q2" s="1" t="str">
        <f aca="false">IF(P2="","",IFERROR(IF(AND(H2="W7",OR(F2="causal",F2="predictive")),IF(AND(K2=1,L2=1,M2=1),"adequate","partial"),INDEX(Fit_Matrix!$B:$B,MATCH(P2,Fit_Matrix!$A:$A,0))),"CHECK KEY"))</f>
        <v>adequate</v>
      </c>
      <c r="R2" s="6" t="s">
        <v>40</v>
      </c>
      <c r="S2" s="6"/>
      <c r="T2" s="6" t="s">
        <v>397</v>
      </c>
    </row>
    <row r="3" customFormat="false" ht="15" hidden="false" customHeight="true" outlineLevel="0" collapsed="false">
      <c r="A3" s="6" t="s">
        <v>398</v>
      </c>
      <c r="B3" s="6" t="s">
        <v>359</v>
      </c>
      <c r="C3" s="6" t="s">
        <v>368</v>
      </c>
      <c r="D3" s="6" t="s">
        <v>399</v>
      </c>
      <c r="E3" s="6" t="s">
        <v>400</v>
      </c>
      <c r="F3" s="6" t="s">
        <v>401</v>
      </c>
      <c r="G3" s="6" t="s">
        <v>402</v>
      </c>
      <c r="H3" s="6" t="s">
        <v>403</v>
      </c>
      <c r="I3" s="6"/>
      <c r="J3" s="6" t="s">
        <v>365</v>
      </c>
      <c r="K3" s="6" t="s">
        <v>404</v>
      </c>
      <c r="L3" s="6" t="s">
        <v>404</v>
      </c>
      <c r="M3" s="6" t="s">
        <v>405</v>
      </c>
      <c r="N3" s="6" t="s">
        <v>336</v>
      </c>
      <c r="O3" s="6"/>
      <c r="P3" s="1" t="str">
        <f aca="false">IF(OR(F3="",H3="",J3=""),"",J3&amp;"|"&amp;F3&amp;"|"&amp;IF(H3="W3","W3_"&amp;IF(I3="","unknown",I3),H3))</f>
        <v>P4|predictive|W7</v>
      </c>
      <c r="Q3" s="1" t="str">
        <f aca="false">IF(P3="","",IFERROR(IF(AND(H3="W7",OR(F3="causal",F3="predictive")),IF(AND(K3=1,L3=1,M3=1),"adequate","partial"),INDEX(Fit_Matrix!$B:$B,MATCH(P3,Fit_Matrix!$A:$A,0))),"CHECK KEY"))</f>
        <v>partial</v>
      </c>
      <c r="R3" s="6" t="s">
        <v>44</v>
      </c>
      <c r="S3" s="6"/>
      <c r="T3" s="6" t="s">
        <v>406</v>
      </c>
    </row>
    <row r="4" customFormat="false" ht="15" hidden="false" customHeight="true" outlineLevel="0" collapsed="false">
      <c r="A4" s="6" t="s">
        <v>407</v>
      </c>
      <c r="B4" s="6" t="s">
        <v>359</v>
      </c>
      <c r="C4" s="6" t="s">
        <v>368</v>
      </c>
      <c r="D4" s="6" t="s">
        <v>399</v>
      </c>
      <c r="E4" s="6" t="s">
        <v>408</v>
      </c>
      <c r="F4" s="6" t="s">
        <v>401</v>
      </c>
      <c r="G4" s="6" t="s">
        <v>402</v>
      </c>
      <c r="H4" s="6" t="s">
        <v>403</v>
      </c>
      <c r="I4" s="6"/>
      <c r="J4" s="6" t="s">
        <v>365</v>
      </c>
      <c r="K4" s="6" t="s">
        <v>404</v>
      </c>
      <c r="L4" s="6" t="s">
        <v>404</v>
      </c>
      <c r="M4" s="6" t="s">
        <v>405</v>
      </c>
      <c r="N4" s="6" t="s">
        <v>336</v>
      </c>
      <c r="O4" s="6"/>
      <c r="P4" s="1" t="str">
        <f aca="false">IF(OR(F4="",H4="",J4=""),"",J4&amp;"|"&amp;F4&amp;"|"&amp;IF(H4="W3","W3_"&amp;IF(I4="","unknown",I4),H4))</f>
        <v>P4|predictive|W7</v>
      </c>
      <c r="Q4" s="1" t="str">
        <f aca="false">IF(P4="","",IFERROR(IF(AND(H4="W7",OR(F4="causal",F4="predictive")),IF(AND(K4=1,L4=1,M4=1),"adequate","partial"),INDEX(Fit_Matrix!$B:$B,MATCH(P4,Fit_Matrix!$A:$A,0))),"CHECK KEY"))</f>
        <v>partial</v>
      </c>
      <c r="R4" s="6" t="s">
        <v>44</v>
      </c>
      <c r="S4" s="6"/>
      <c r="T4" s="6" t="s">
        <v>409</v>
      </c>
    </row>
    <row r="5" customFormat="false" ht="15" hidden="false" customHeight="true" outlineLevel="0" collapsed="false">
      <c r="A5" s="6" t="s">
        <v>410</v>
      </c>
      <c r="B5" s="6" t="s">
        <v>359</v>
      </c>
      <c r="C5" s="6" t="s">
        <v>368</v>
      </c>
      <c r="D5" s="6" t="s">
        <v>411</v>
      </c>
      <c r="E5" s="6" t="s">
        <v>412</v>
      </c>
      <c r="F5" s="6" t="s">
        <v>413</v>
      </c>
      <c r="G5" s="6" t="s">
        <v>414</v>
      </c>
      <c r="H5" s="6" t="s">
        <v>415</v>
      </c>
      <c r="I5" s="6" t="s">
        <v>416</v>
      </c>
      <c r="J5" s="6" t="s">
        <v>365</v>
      </c>
      <c r="K5" s="6" t="s">
        <v>396</v>
      </c>
      <c r="L5" s="6" t="s">
        <v>396</v>
      </c>
      <c r="M5" s="6" t="s">
        <v>396</v>
      </c>
      <c r="N5" s="6" t="s">
        <v>316</v>
      </c>
      <c r="O5" s="6" t="s">
        <v>417</v>
      </c>
      <c r="P5" s="1" t="str">
        <f aca="false">IF(OR(F5="",H5="",J5=""),"",J5&amp;"|"&amp;F5&amp;"|"&amp;IF(H5="W3","W3_"&amp;IF(I5="","unknown",I5),H5))</f>
        <v>P4|causal|W3_to_W1W2</v>
      </c>
      <c r="Q5" s="1" t="str">
        <f aca="false">IF(P5="","",IFERROR(IF(AND(H5="W7",OR(F5="causal",F5="predictive")),IF(AND(K5=1,L5=1,M5=1),"adequate","partial"),INDEX(Fit_Matrix!$B:$B,MATCH(P5,Fit_Matrix!$A:$A,0))),"CHECK KEY"))</f>
        <v>adequate</v>
      </c>
      <c r="R5" s="6" t="s">
        <v>40</v>
      </c>
      <c r="S5" s="6"/>
      <c r="T5" s="6" t="s">
        <v>418</v>
      </c>
    </row>
    <row r="6" customFormat="false" ht="15" hidden="false" customHeight="true" outlineLevel="0" collapsed="false">
      <c r="A6" s="6" t="s">
        <v>419</v>
      </c>
      <c r="B6" s="6" t="s">
        <v>359</v>
      </c>
      <c r="C6" s="6" t="s">
        <v>368</v>
      </c>
      <c r="D6" s="6" t="s">
        <v>420</v>
      </c>
      <c r="E6" s="6" t="s">
        <v>421</v>
      </c>
      <c r="F6" s="6" t="s">
        <v>422</v>
      </c>
      <c r="G6" s="6" t="s">
        <v>423</v>
      </c>
      <c r="H6" s="6" t="s">
        <v>423</v>
      </c>
      <c r="I6" s="6"/>
      <c r="J6" s="6" t="s">
        <v>365</v>
      </c>
      <c r="K6" s="6" t="s">
        <v>396</v>
      </c>
      <c r="L6" s="6" t="s">
        <v>396</v>
      </c>
      <c r="M6" s="6" t="s">
        <v>396</v>
      </c>
      <c r="N6" s="6"/>
      <c r="O6" s="6"/>
      <c r="P6" s="1" t="str">
        <f aca="false">IF(OR(F6="",H6="",J6=""),"",J6&amp;"|"&amp;F6&amp;"|"&amp;IF(H6="W3","W3_"&amp;IF(I6="","unknown",I6),H6))</f>
        <v>P4|descriptive|W6</v>
      </c>
      <c r="Q6" s="1" t="str">
        <f aca="false">IF(P6="","",IFERROR(IF(AND(H6="W7",OR(F6="causal",F6="predictive")),IF(AND(K6=1,L6=1,M6=1),"adequate","partial"),INDEX(Fit_Matrix!$B:$B,MATCH(P6,Fit_Matrix!$A:$A,0))),"CHECK KEY"))</f>
        <v>partial</v>
      </c>
      <c r="R6" s="6" t="s">
        <v>44</v>
      </c>
      <c r="S6" s="6"/>
      <c r="T6" s="6" t="s">
        <v>424</v>
      </c>
    </row>
    <row r="7" customFormat="false" ht="15" hidden="false" customHeight="true" outlineLevel="0" collapsed="false">
      <c r="A7" s="6" t="s">
        <v>425</v>
      </c>
      <c r="B7" s="6" t="s">
        <v>359</v>
      </c>
      <c r="C7" s="6" t="s">
        <v>368</v>
      </c>
      <c r="D7" s="6" t="s">
        <v>420</v>
      </c>
      <c r="E7" s="6" t="s">
        <v>426</v>
      </c>
      <c r="F7" s="6" t="s">
        <v>413</v>
      </c>
      <c r="G7" s="6" t="s">
        <v>414</v>
      </c>
      <c r="H7" s="6" t="s">
        <v>415</v>
      </c>
      <c r="I7" s="6" t="s">
        <v>416</v>
      </c>
      <c r="J7" s="6" t="s">
        <v>365</v>
      </c>
      <c r="K7" s="6" t="s">
        <v>396</v>
      </c>
      <c r="L7" s="6" t="s">
        <v>396</v>
      </c>
      <c r="M7" s="6" t="s">
        <v>396</v>
      </c>
      <c r="N7" s="6" t="s">
        <v>316</v>
      </c>
      <c r="O7" s="6" t="s">
        <v>417</v>
      </c>
      <c r="P7" s="1" t="str">
        <f aca="false">IF(OR(F7="",H7="",J7=""),"",J7&amp;"|"&amp;F7&amp;"|"&amp;IF(H7="W3","W3_"&amp;IF(I7="","unknown",I7),H7))</f>
        <v>P4|causal|W3_to_W1W2</v>
      </c>
      <c r="Q7" s="1" t="str">
        <f aca="false">IF(P7="","",IFERROR(IF(AND(H7="W7",OR(F7="causal",F7="predictive")),IF(AND(K7=1,L7=1,M7=1),"adequate","partial"),INDEX(Fit_Matrix!$B:$B,MATCH(P7,Fit_Matrix!$A:$A,0))),"CHECK KEY"))</f>
        <v>adequate</v>
      </c>
      <c r="R7" s="6" t="s">
        <v>40</v>
      </c>
      <c r="S7" s="6"/>
      <c r="T7" s="6" t="s">
        <v>427</v>
      </c>
    </row>
    <row r="8" customFormat="false" ht="15" hidden="false" customHeight="true" outlineLevel="0" collapsed="false">
      <c r="A8" s="6" t="s">
        <v>428</v>
      </c>
      <c r="B8" s="6" t="s">
        <v>359</v>
      </c>
      <c r="C8" s="6" t="s">
        <v>368</v>
      </c>
      <c r="D8" s="6" t="s">
        <v>429</v>
      </c>
      <c r="E8" s="6" t="s">
        <v>430</v>
      </c>
      <c r="F8" s="6" t="s">
        <v>401</v>
      </c>
      <c r="G8" s="6" t="s">
        <v>431</v>
      </c>
      <c r="H8" s="6" t="s">
        <v>423</v>
      </c>
      <c r="I8" s="6"/>
      <c r="J8" s="6" t="s">
        <v>365</v>
      </c>
      <c r="K8" s="6" t="s">
        <v>405</v>
      </c>
      <c r="L8" s="6" t="s">
        <v>404</v>
      </c>
      <c r="M8" s="6" t="s">
        <v>405</v>
      </c>
      <c r="N8" s="6" t="s">
        <v>319</v>
      </c>
      <c r="O8" s="6"/>
      <c r="P8" s="1" t="str">
        <f aca="false">IF(OR(F8="",H8="",J8=""),"",J8&amp;"|"&amp;F8&amp;"|"&amp;IF(H8="W3","W3_"&amp;IF(I8="","unknown",I8),H8))</f>
        <v>P4|predictive|W6</v>
      </c>
      <c r="Q8" s="1" t="str">
        <f aca="false">IF(P8="","",IFERROR(IF(AND(H8="W7",OR(F8="causal",F8="predictive")),IF(AND(K8=1,L8=1,M8=1),"adequate","partial"),INDEX(Fit_Matrix!$B:$B,MATCH(P8,Fit_Matrix!$A:$A,0))),"CHECK KEY"))</f>
        <v>partial</v>
      </c>
      <c r="R8" s="6" t="s">
        <v>44</v>
      </c>
      <c r="S8" s="6"/>
      <c r="T8" s="6" t="s">
        <v>432</v>
      </c>
    </row>
    <row r="9" customFormat="false" ht="15" hidden="false" customHeight="true" outlineLevel="0" collapsed="false">
      <c r="A9" s="6" t="s">
        <v>433</v>
      </c>
      <c r="B9" s="6" t="s">
        <v>359</v>
      </c>
      <c r="C9" s="6" t="s">
        <v>368</v>
      </c>
      <c r="D9" s="6" t="s">
        <v>434</v>
      </c>
      <c r="E9" s="6" t="s">
        <v>435</v>
      </c>
      <c r="F9" s="6" t="s">
        <v>401</v>
      </c>
      <c r="G9" s="6" t="s">
        <v>436</v>
      </c>
      <c r="H9" s="6" t="s">
        <v>436</v>
      </c>
      <c r="I9" s="6"/>
      <c r="J9" s="6" t="s">
        <v>365</v>
      </c>
      <c r="K9" s="6" t="s">
        <v>404</v>
      </c>
      <c r="L9" s="6" t="s">
        <v>404</v>
      </c>
      <c r="M9" s="6" t="s">
        <v>405</v>
      </c>
      <c r="N9" s="6"/>
      <c r="O9" s="6"/>
      <c r="P9" s="1" t="str">
        <f aca="false">IF(OR(F9="",H9="",J9=""),"",J9&amp;"|"&amp;F9&amp;"|"&amp;IF(H9="W3","W3_"&amp;IF(I9="","unknown",I9),H9))</f>
        <v>P4|predictive|W5</v>
      </c>
      <c r="Q9" s="1" t="str">
        <f aca="false">IF(P9="","",IFERROR(IF(AND(H9="W7",OR(F9="causal",F9="predictive")),IF(AND(K9=1,L9=1,M9=1),"adequate","partial"),INDEX(Fit_Matrix!$B:$B,MATCH(P9,Fit_Matrix!$A:$A,0))),"CHECK KEY"))</f>
        <v>partial</v>
      </c>
      <c r="R9" s="6" t="s">
        <v>44</v>
      </c>
      <c r="S9" s="6"/>
      <c r="T9" s="6" t="s">
        <v>437</v>
      </c>
    </row>
    <row r="10" customFormat="false" ht="15" hidden="false" customHeight="true" outlineLevel="0" collapsed="false">
      <c r="A10" s="6" t="s">
        <v>438</v>
      </c>
      <c r="B10" s="6" t="s">
        <v>359</v>
      </c>
      <c r="C10" s="6" t="s">
        <v>368</v>
      </c>
      <c r="D10" s="6" t="s">
        <v>434</v>
      </c>
      <c r="E10" s="6" t="s">
        <v>439</v>
      </c>
      <c r="F10" s="6" t="s">
        <v>422</v>
      </c>
      <c r="G10" s="6" t="s">
        <v>440</v>
      </c>
      <c r="H10" s="6" t="s">
        <v>415</v>
      </c>
      <c r="I10" s="6" t="s">
        <v>441</v>
      </c>
      <c r="J10" s="6" t="s">
        <v>365</v>
      </c>
      <c r="K10" s="6" t="s">
        <v>396</v>
      </c>
      <c r="L10" s="6" t="s">
        <v>396</v>
      </c>
      <c r="M10" s="6" t="s">
        <v>396</v>
      </c>
      <c r="N10" s="6"/>
      <c r="O10" s="6"/>
      <c r="P10" s="1" t="str">
        <f aca="false">IF(OR(F10="",H10="",J10=""),"",J10&amp;"|"&amp;F10&amp;"|"&amp;IF(H10="W3","W3_"&amp;IF(I10="","unknown",I10),H10))</f>
        <v>P4|descriptive|W3_to_W4W8</v>
      </c>
      <c r="Q10" s="1" t="str">
        <f aca="false">IF(P10="","",IFERROR(IF(AND(H10="W7",OR(F10="causal",F10="predictive")),IF(AND(K10=1,L10=1,M10=1),"adequate","partial"),INDEX(Fit_Matrix!$B:$B,MATCH(P10,Fit_Matrix!$A:$A,0))),"CHECK KEY"))</f>
        <v>partial</v>
      </c>
      <c r="R10" s="6" t="s">
        <v>44</v>
      </c>
      <c r="S10" s="6"/>
      <c r="T10" s="6" t="s">
        <v>442</v>
      </c>
    </row>
    <row r="11" customFormat="false" ht="15" hidden="false" customHeight="true" outlineLevel="0" collapsed="false">
      <c r="A11" s="6" t="s">
        <v>443</v>
      </c>
      <c r="B11" s="6" t="s">
        <v>359</v>
      </c>
      <c r="C11" s="6" t="s">
        <v>368</v>
      </c>
      <c r="D11" s="6" t="s">
        <v>434</v>
      </c>
      <c r="E11" s="6" t="s">
        <v>444</v>
      </c>
      <c r="F11" s="6" t="s">
        <v>422</v>
      </c>
      <c r="G11" s="6" t="s">
        <v>415</v>
      </c>
      <c r="H11" s="6" t="s">
        <v>415</v>
      </c>
      <c r="I11" s="6" t="s">
        <v>441</v>
      </c>
      <c r="J11" s="6" t="s">
        <v>365</v>
      </c>
      <c r="K11" s="6" t="s">
        <v>396</v>
      </c>
      <c r="L11" s="6" t="s">
        <v>396</v>
      </c>
      <c r="M11" s="6" t="s">
        <v>396</v>
      </c>
      <c r="N11" s="6"/>
      <c r="O11" s="6"/>
      <c r="P11" s="1" t="str">
        <f aca="false">IF(OR(F11="",H11="",J11=""),"",J11&amp;"|"&amp;F11&amp;"|"&amp;IF(H11="W3","W3_"&amp;IF(I11="","unknown",I11),H11))</f>
        <v>P4|descriptive|W3_to_W4W8</v>
      </c>
      <c r="Q11" s="1" t="str">
        <f aca="false">IF(P11="","",IFERROR(IF(AND(H11="W7",OR(F11="causal",F11="predictive")),IF(AND(K11=1,L11=1,M11=1),"adequate","partial"),INDEX(Fit_Matrix!$B:$B,MATCH(P11,Fit_Matrix!$A:$A,0))),"CHECK KEY"))</f>
        <v>partial</v>
      </c>
      <c r="R11" s="6" t="s">
        <v>44</v>
      </c>
      <c r="S11" s="6"/>
      <c r="T11" s="6" t="s">
        <v>445</v>
      </c>
    </row>
    <row r="12" customFormat="false" ht="15" hidden="false" customHeight="true" outlineLevel="0" collapsed="false">
      <c r="A12" s="6" t="s">
        <v>446</v>
      </c>
      <c r="B12" s="6" t="s">
        <v>359</v>
      </c>
      <c r="C12" s="6" t="s">
        <v>368</v>
      </c>
      <c r="D12" s="6" t="s">
        <v>391</v>
      </c>
      <c r="E12" s="6" t="s">
        <v>447</v>
      </c>
      <c r="F12" s="6" t="s">
        <v>393</v>
      </c>
      <c r="G12" s="6" t="s">
        <v>436</v>
      </c>
      <c r="H12" s="6" t="s">
        <v>436</v>
      </c>
      <c r="I12" s="6"/>
      <c r="J12" s="6" t="s">
        <v>365</v>
      </c>
      <c r="K12" s="6" t="s">
        <v>396</v>
      </c>
      <c r="L12" s="6" t="s">
        <v>396</v>
      </c>
      <c r="M12" s="6" t="s">
        <v>396</v>
      </c>
      <c r="N12" s="6"/>
      <c r="O12" s="6"/>
      <c r="P12" s="1" t="str">
        <f aca="false">IF(OR(F12="",H12="",J12=""),"",J12&amp;"|"&amp;F12&amp;"|"&amp;IF(H12="W3","W3_"&amp;IF(I12="","unknown",I12),H12))</f>
        <v>P4|conceptual|W5</v>
      </c>
      <c r="Q12" s="1" t="str">
        <f aca="false">IF(P12="","",IFERROR(IF(AND(H12="W7",OR(F12="causal",F12="predictive")),IF(AND(K12=1,L12=1,M12=1),"adequate","partial"),INDEX(Fit_Matrix!$B:$B,MATCH(P12,Fit_Matrix!$A:$A,0))),"CHECK KEY"))</f>
        <v>adequate</v>
      </c>
      <c r="R12" s="6" t="s">
        <v>40</v>
      </c>
      <c r="S12" s="6"/>
      <c r="T12" s="6"/>
    </row>
    <row r="13" customFormat="false" ht="15" hidden="false" customHeight="true" outlineLevel="0" collapsed="false">
      <c r="A13" s="6" t="s">
        <v>448</v>
      </c>
      <c r="B13" s="6" t="s">
        <v>370</v>
      </c>
      <c r="C13" s="6" t="s">
        <v>368</v>
      </c>
      <c r="D13" s="6" t="s">
        <v>391</v>
      </c>
      <c r="E13" s="6" t="s">
        <v>449</v>
      </c>
      <c r="F13" s="6" t="s">
        <v>413</v>
      </c>
      <c r="G13" s="6" t="s">
        <v>450</v>
      </c>
      <c r="H13" s="6" t="s">
        <v>436</v>
      </c>
      <c r="I13" s="6"/>
      <c r="J13" s="6" t="s">
        <v>365</v>
      </c>
      <c r="K13" s="6" t="s">
        <v>404</v>
      </c>
      <c r="L13" s="6" t="s">
        <v>404</v>
      </c>
      <c r="M13" s="6" t="s">
        <v>405</v>
      </c>
      <c r="N13" s="6" t="s">
        <v>331</v>
      </c>
      <c r="O13" s="6"/>
      <c r="P13" s="1" t="str">
        <f aca="false">IF(OR(F13="",H13="",J13=""),"",J13&amp;"|"&amp;F13&amp;"|"&amp;IF(H13="W3","W3_"&amp;IF(I13="","unknown",I13),H13))</f>
        <v>P4|causal|W5</v>
      </c>
      <c r="Q13" s="1" t="str">
        <f aca="false">IF(P13="","",IFERROR(IF(AND(H13="W7",OR(F13="causal",F13="predictive")),IF(AND(K13=1,L13=1,M13=1),"adequate","partial"),INDEX(Fit_Matrix!$B:$B,MATCH(P13,Fit_Matrix!$A:$A,0))),"CHECK KEY"))</f>
        <v>partial</v>
      </c>
      <c r="R13" s="6" t="s">
        <v>44</v>
      </c>
      <c r="S13" s="6"/>
      <c r="T13" s="6" t="s">
        <v>451</v>
      </c>
    </row>
    <row r="14" customFormat="false" ht="15" hidden="false" customHeight="true" outlineLevel="0" collapsed="false">
      <c r="A14" s="6" t="s">
        <v>452</v>
      </c>
      <c r="B14" s="6" t="s">
        <v>370</v>
      </c>
      <c r="C14" s="6" t="s">
        <v>368</v>
      </c>
      <c r="D14" s="6" t="s">
        <v>391</v>
      </c>
      <c r="E14" s="6" t="s">
        <v>453</v>
      </c>
      <c r="F14" s="6" t="s">
        <v>401</v>
      </c>
      <c r="G14" s="6" t="s">
        <v>454</v>
      </c>
      <c r="H14" s="6" t="s">
        <v>395</v>
      </c>
      <c r="I14" s="6"/>
      <c r="J14" s="6" t="s">
        <v>365</v>
      </c>
      <c r="K14" s="6" t="s">
        <v>405</v>
      </c>
      <c r="L14" s="6" t="s">
        <v>404</v>
      </c>
      <c r="M14" s="6" t="s">
        <v>405</v>
      </c>
      <c r="N14" s="6" t="s">
        <v>319</v>
      </c>
      <c r="O14" s="6"/>
      <c r="P14" s="1" t="str">
        <f aca="false">IF(OR(F14="",H14="",J14=""),"",J14&amp;"|"&amp;F14&amp;"|"&amp;IF(H14="W3","W3_"&amp;IF(I14="","unknown",I14),H14))</f>
        <v>P4|predictive|W4</v>
      </c>
      <c r="Q14" s="1" t="str">
        <f aca="false">IF(P14="","",IFERROR(IF(AND(H14="W7",OR(F14="causal",F14="predictive")),IF(AND(K14=1,L14=1,M14=1),"adequate","partial"),INDEX(Fit_Matrix!$B:$B,MATCH(P14,Fit_Matrix!$A:$A,0))),"CHECK KEY"))</f>
        <v>adequate</v>
      </c>
      <c r="R14" s="6" t="s">
        <v>40</v>
      </c>
      <c r="S14" s="6"/>
      <c r="T14" s="6" t="s">
        <v>455</v>
      </c>
    </row>
    <row r="15" customFormat="false" ht="15" hidden="false" customHeight="true" outlineLevel="0" collapsed="false">
      <c r="A15" s="6" t="s">
        <v>456</v>
      </c>
      <c r="B15" s="6" t="s">
        <v>370</v>
      </c>
      <c r="C15" s="6" t="s">
        <v>368</v>
      </c>
      <c r="D15" s="6" t="s">
        <v>399</v>
      </c>
      <c r="E15" s="6" t="s">
        <v>457</v>
      </c>
      <c r="F15" s="6" t="s">
        <v>401</v>
      </c>
      <c r="G15" s="6" t="s">
        <v>458</v>
      </c>
      <c r="H15" s="6" t="s">
        <v>395</v>
      </c>
      <c r="I15" s="6"/>
      <c r="J15" s="6" t="s">
        <v>365</v>
      </c>
      <c r="K15" s="6" t="s">
        <v>405</v>
      </c>
      <c r="L15" s="6" t="s">
        <v>404</v>
      </c>
      <c r="M15" s="6" t="s">
        <v>405</v>
      </c>
      <c r="N15" s="6" t="s">
        <v>339</v>
      </c>
      <c r="O15" s="6"/>
      <c r="P15" s="1" t="str">
        <f aca="false">IF(OR(F15="",H15="",J15=""),"",J15&amp;"|"&amp;F15&amp;"|"&amp;IF(H15="W3","W3_"&amp;IF(I15="","unknown",I15),H15))</f>
        <v>P4|predictive|W4</v>
      </c>
      <c r="Q15" s="1" t="str">
        <f aca="false">IF(P15="","",IFERROR(IF(AND(H15="W7",OR(F15="causal",F15="predictive")),IF(AND(K15=1,L15=1,M15=1),"adequate","partial"),INDEX(Fit_Matrix!$B:$B,MATCH(P15,Fit_Matrix!$A:$A,0))),"CHECK KEY"))</f>
        <v>adequate</v>
      </c>
      <c r="R15" s="6" t="s">
        <v>40</v>
      </c>
      <c r="S15" s="6"/>
      <c r="T15" s="6" t="s">
        <v>459</v>
      </c>
    </row>
    <row r="16" customFormat="false" ht="15" hidden="false" customHeight="true" outlineLevel="0" collapsed="false">
      <c r="A16" s="6" t="s">
        <v>460</v>
      </c>
      <c r="B16" s="6" t="s">
        <v>370</v>
      </c>
      <c r="C16" s="6" t="s">
        <v>368</v>
      </c>
      <c r="D16" s="6" t="s">
        <v>420</v>
      </c>
      <c r="E16" s="6" t="s">
        <v>461</v>
      </c>
      <c r="F16" s="6" t="s">
        <v>401</v>
      </c>
      <c r="G16" s="6" t="s">
        <v>462</v>
      </c>
      <c r="H16" s="6" t="s">
        <v>415</v>
      </c>
      <c r="I16" s="6" t="s">
        <v>416</v>
      </c>
      <c r="J16" s="6" t="s">
        <v>365</v>
      </c>
      <c r="K16" s="6" t="s">
        <v>405</v>
      </c>
      <c r="L16" s="6" t="s">
        <v>405</v>
      </c>
      <c r="M16" s="6" t="s">
        <v>405</v>
      </c>
      <c r="N16" s="6" t="s">
        <v>331</v>
      </c>
      <c r="O16" s="6"/>
      <c r="P16" s="1" t="str">
        <f aca="false">IF(OR(F16="",H16="",J16=""),"",J16&amp;"|"&amp;F16&amp;"|"&amp;IF(H16="W3","W3_"&amp;IF(I16="","unknown",I16),H16))</f>
        <v>P4|predictive|W3_to_W1W2</v>
      </c>
      <c r="Q16" s="1" t="str">
        <f aca="false">IF(P16="","",IFERROR(IF(AND(H16="W7",OR(F16="causal",F16="predictive")),IF(AND(K16=1,L16=1,M16=1),"adequate","partial"),INDEX(Fit_Matrix!$B:$B,MATCH(P16,Fit_Matrix!$A:$A,0))),"CHECK KEY"))</f>
        <v>adequate</v>
      </c>
      <c r="R16" s="6" t="s">
        <v>40</v>
      </c>
      <c r="S16" s="6"/>
      <c r="T16" s="6" t="s">
        <v>463</v>
      </c>
    </row>
    <row r="17" customFormat="false" ht="15" hidden="false" customHeight="true" outlineLevel="0" collapsed="false">
      <c r="A17" s="6" t="s">
        <v>464</v>
      </c>
      <c r="B17" s="6" t="s">
        <v>370</v>
      </c>
      <c r="C17" s="6" t="s">
        <v>368</v>
      </c>
      <c r="D17" s="6" t="s">
        <v>420</v>
      </c>
      <c r="E17" s="6" t="s">
        <v>465</v>
      </c>
      <c r="F17" s="6" t="s">
        <v>401</v>
      </c>
      <c r="G17" s="6" t="s">
        <v>462</v>
      </c>
      <c r="H17" s="6" t="s">
        <v>415</v>
      </c>
      <c r="I17" s="6" t="s">
        <v>416</v>
      </c>
      <c r="J17" s="6" t="s">
        <v>365</v>
      </c>
      <c r="K17" s="6" t="s">
        <v>404</v>
      </c>
      <c r="L17" s="6" t="s">
        <v>404</v>
      </c>
      <c r="M17" s="6" t="s">
        <v>405</v>
      </c>
      <c r="N17" s="6"/>
      <c r="O17" s="6"/>
      <c r="P17" s="1" t="str">
        <f aca="false">IF(OR(F17="",H17="",J17=""),"",J17&amp;"|"&amp;F17&amp;"|"&amp;IF(H17="W3","W3_"&amp;IF(I17="","unknown",I17),H17))</f>
        <v>P4|predictive|W3_to_W1W2</v>
      </c>
      <c r="Q17" s="1" t="str">
        <f aca="false">IF(P17="","",IFERROR(IF(AND(H17="W7",OR(F17="causal",F17="predictive")),IF(AND(K17=1,L17=1,M17=1),"adequate","partial"),INDEX(Fit_Matrix!$B:$B,MATCH(P17,Fit_Matrix!$A:$A,0))),"CHECK KEY"))</f>
        <v>adequate</v>
      </c>
      <c r="R17" s="6" t="s">
        <v>40</v>
      </c>
      <c r="S17" s="6"/>
      <c r="T17" s="6" t="s">
        <v>466</v>
      </c>
    </row>
    <row r="18" customFormat="false" ht="15" hidden="false" customHeight="true" outlineLevel="0" collapsed="false">
      <c r="A18" s="6" t="s">
        <v>467</v>
      </c>
      <c r="B18" s="6" t="s">
        <v>370</v>
      </c>
      <c r="C18" s="6" t="s">
        <v>368</v>
      </c>
      <c r="D18" s="6" t="s">
        <v>420</v>
      </c>
      <c r="E18" s="6" t="s">
        <v>468</v>
      </c>
      <c r="F18" s="6" t="s">
        <v>401</v>
      </c>
      <c r="G18" s="6" t="s">
        <v>462</v>
      </c>
      <c r="H18" s="6" t="s">
        <v>415</v>
      </c>
      <c r="I18" s="6" t="s">
        <v>416</v>
      </c>
      <c r="J18" s="6" t="s">
        <v>365</v>
      </c>
      <c r="K18" s="6" t="s">
        <v>405</v>
      </c>
      <c r="L18" s="6" t="s">
        <v>404</v>
      </c>
      <c r="M18" s="6" t="s">
        <v>405</v>
      </c>
      <c r="N18" s="6"/>
      <c r="O18" s="6"/>
      <c r="P18" s="1" t="str">
        <f aca="false">IF(OR(F18="",H18="",J18=""),"",J18&amp;"|"&amp;F18&amp;"|"&amp;IF(H18="W3","W3_"&amp;IF(I18="","unknown",I18),H18))</f>
        <v>P4|predictive|W3_to_W1W2</v>
      </c>
      <c r="Q18" s="1" t="str">
        <f aca="false">IF(P18="","",IFERROR(IF(AND(H18="W7",OR(F18="causal",F18="predictive")),IF(AND(K18=1,L18=1,M18=1),"adequate","partial"),INDEX(Fit_Matrix!$B:$B,MATCH(P18,Fit_Matrix!$A:$A,0))),"CHECK KEY"))</f>
        <v>adequate</v>
      </c>
      <c r="R18" s="6" t="s">
        <v>40</v>
      </c>
      <c r="S18" s="6"/>
      <c r="T18" s="6" t="s">
        <v>469</v>
      </c>
    </row>
    <row r="19" customFormat="false" ht="15" hidden="false" customHeight="true" outlineLevel="0" collapsed="false">
      <c r="A19" s="6" t="s">
        <v>470</v>
      </c>
      <c r="B19" s="6" t="s">
        <v>370</v>
      </c>
      <c r="C19" s="6" t="s">
        <v>368</v>
      </c>
      <c r="D19" s="6" t="s">
        <v>471</v>
      </c>
      <c r="E19" s="6" t="s">
        <v>472</v>
      </c>
      <c r="F19" s="6" t="s">
        <v>473</v>
      </c>
      <c r="G19" s="6" t="s">
        <v>395</v>
      </c>
      <c r="H19" s="6" t="s">
        <v>395</v>
      </c>
      <c r="I19" s="6"/>
      <c r="J19" s="6" t="s">
        <v>365</v>
      </c>
      <c r="K19" s="6" t="s">
        <v>396</v>
      </c>
      <c r="L19" s="6" t="s">
        <v>396</v>
      </c>
      <c r="M19" s="6" t="s">
        <v>396</v>
      </c>
      <c r="N19" s="6"/>
      <c r="O19" s="6"/>
      <c r="P19" s="1" t="str">
        <f aca="false">IF(OR(F19="",H19="",J19=""),"",J19&amp;"|"&amp;F19&amp;"|"&amp;IF(H19="W3","W3_"&amp;IF(I19="","unknown",I19),H19))</f>
        <v>P4|normative|W4</v>
      </c>
      <c r="Q19" s="1" t="str">
        <f aca="false">IF(P19="","",IFERROR(IF(AND(H19="W7",OR(F19="causal",F19="predictive")),IF(AND(K19=1,L19=1,M19=1),"adequate","partial"),INDEX(Fit_Matrix!$B:$B,MATCH(P19,Fit_Matrix!$A:$A,0))),"CHECK KEY"))</f>
        <v>partial</v>
      </c>
      <c r="R19" s="6" t="s">
        <v>44</v>
      </c>
      <c r="S19" s="6"/>
      <c r="T19" s="6" t="s">
        <v>474</v>
      </c>
    </row>
    <row r="20" customFormat="false" ht="15" hidden="false" customHeight="true" outlineLevel="0" collapsed="false">
      <c r="A20" s="6" t="s">
        <v>475</v>
      </c>
      <c r="B20" s="6" t="s">
        <v>370</v>
      </c>
      <c r="C20" s="6" t="s">
        <v>368</v>
      </c>
      <c r="D20" s="6" t="s">
        <v>434</v>
      </c>
      <c r="E20" s="6" t="s">
        <v>476</v>
      </c>
      <c r="F20" s="6" t="s">
        <v>401</v>
      </c>
      <c r="G20" s="6" t="s">
        <v>395</v>
      </c>
      <c r="H20" s="6" t="s">
        <v>395</v>
      </c>
      <c r="I20" s="6"/>
      <c r="J20" s="6" t="s">
        <v>365</v>
      </c>
      <c r="K20" s="6" t="s">
        <v>405</v>
      </c>
      <c r="L20" s="6" t="s">
        <v>404</v>
      </c>
      <c r="M20" s="6" t="s">
        <v>405</v>
      </c>
      <c r="N20" s="6"/>
      <c r="O20" s="6"/>
      <c r="P20" s="1" t="str">
        <f aca="false">IF(OR(F20="",H20="",J20=""),"",J20&amp;"|"&amp;F20&amp;"|"&amp;IF(H20="W3","W3_"&amp;IF(I20="","unknown",I20),H20))</f>
        <v>P4|predictive|W4</v>
      </c>
      <c r="Q20" s="1" t="str">
        <f aca="false">IF(P20="","",IFERROR(IF(AND(H20="W7",OR(F20="causal",F20="predictive")),IF(AND(K20=1,L20=1,M20=1),"adequate","partial"),INDEX(Fit_Matrix!$B:$B,MATCH(P20,Fit_Matrix!$A:$A,0))),"CHECK KEY"))</f>
        <v>adequate</v>
      </c>
      <c r="R20" s="6" t="s">
        <v>44</v>
      </c>
      <c r="S20" s="6" t="s">
        <v>477</v>
      </c>
      <c r="T20" s="6" t="s">
        <v>478</v>
      </c>
    </row>
    <row r="21" customFormat="false" ht="15" hidden="false" customHeight="true" outlineLevel="0" collapsed="false">
      <c r="A21" s="6" t="s">
        <v>479</v>
      </c>
      <c r="B21" s="6" t="s">
        <v>370</v>
      </c>
      <c r="C21" s="6" t="s">
        <v>368</v>
      </c>
      <c r="D21" s="6" t="s">
        <v>399</v>
      </c>
      <c r="E21" s="6" t="s">
        <v>480</v>
      </c>
      <c r="F21" s="6" t="s">
        <v>422</v>
      </c>
      <c r="G21" s="6" t="s">
        <v>481</v>
      </c>
      <c r="H21" s="6" t="s">
        <v>481</v>
      </c>
      <c r="I21" s="6"/>
      <c r="J21" s="6" t="s">
        <v>365</v>
      </c>
      <c r="K21" s="6" t="s">
        <v>396</v>
      </c>
      <c r="L21" s="6" t="s">
        <v>396</v>
      </c>
      <c r="M21" s="6" t="s">
        <v>396</v>
      </c>
      <c r="N21" s="6"/>
      <c r="O21" s="6"/>
      <c r="P21" s="1" t="str">
        <f aca="false">IF(OR(F21="",H21="",J21=""),"",J21&amp;"|"&amp;F21&amp;"|"&amp;IF(H21="W3","W3_"&amp;IF(I21="","unknown",I21),H21))</f>
        <v>P4|descriptive|W2</v>
      </c>
      <c r="Q21" s="1" t="str">
        <f aca="false">IF(P21="","",IFERROR(IF(AND(H21="W7",OR(F21="causal",F21="predictive")),IF(AND(K21=1,L21=1,M21=1),"adequate","partial"),INDEX(Fit_Matrix!$B:$B,MATCH(P21,Fit_Matrix!$A:$A,0))),"CHECK KEY"))</f>
        <v>adequate</v>
      </c>
      <c r="R21" s="6" t="s">
        <v>40</v>
      </c>
      <c r="S21" s="6"/>
      <c r="T21" s="6" t="s">
        <v>482</v>
      </c>
    </row>
    <row r="22" customFormat="false" ht="15" hidden="false" customHeight="true" outlineLevel="0" collapsed="false">
      <c r="A22" s="6" t="s">
        <v>483</v>
      </c>
      <c r="B22" s="6" t="s">
        <v>370</v>
      </c>
      <c r="C22" s="6" t="s">
        <v>368</v>
      </c>
      <c r="D22" s="6" t="s">
        <v>434</v>
      </c>
      <c r="E22" s="6" t="s">
        <v>484</v>
      </c>
      <c r="F22" s="6" t="s">
        <v>393</v>
      </c>
      <c r="G22" s="6" t="s">
        <v>485</v>
      </c>
      <c r="H22" s="6" t="s">
        <v>403</v>
      </c>
      <c r="I22" s="6"/>
      <c r="J22" s="6" t="s">
        <v>365</v>
      </c>
      <c r="K22" s="6" t="s">
        <v>396</v>
      </c>
      <c r="L22" s="6" t="s">
        <v>396</v>
      </c>
      <c r="M22" s="6" t="s">
        <v>396</v>
      </c>
      <c r="N22" s="6"/>
      <c r="O22" s="6"/>
      <c r="P22" s="1" t="str">
        <f aca="false">IF(OR(F22="",H22="",J22=""),"",J22&amp;"|"&amp;F22&amp;"|"&amp;IF(H22="W3","W3_"&amp;IF(I22="","unknown",I22),H22))</f>
        <v>P4|conceptual|W7</v>
      </c>
      <c r="Q22" s="1" t="str">
        <f aca="false">IF(P22="","",IFERROR(IF(AND(H22="W7",OR(F22="causal",F22="predictive")),IF(AND(K22=1,L22=1,M22=1),"adequate","partial"),INDEX(Fit_Matrix!$B:$B,MATCH(P22,Fit_Matrix!$A:$A,0))),"CHECK KEY"))</f>
        <v>adequate</v>
      </c>
      <c r="R22" s="6" t="s">
        <v>40</v>
      </c>
      <c r="S22" s="6"/>
      <c r="T22" s="6" t="s">
        <v>486</v>
      </c>
    </row>
    <row r="23" customFormat="false" ht="15" hidden="false" customHeight="true" outlineLevel="0" collapsed="false">
      <c r="P23" s="1" t="str">
        <f aca="false">IF(OR(F23="",H23="",J23=""),"",J23&amp;"|"&amp;F23&amp;"|"&amp;IF(H23="W3","W3_"&amp;IF(I23="","unknown",I23),H23))</f>
        <v/>
      </c>
      <c r="Q23" s="1" t="str">
        <f aca="false">IF(P23="","",IFERROR(IF(AND(H23="W7",OR(F23="causal",F23="predictive")),IF(AND(K23=1,L23=1,M23=1),"adequate","partial"),INDEX(Fit_Matrix!$B:$B,MATCH(P23,Fit_Matrix!$A:$A,0))),"CHECK KEY"))</f>
        <v/>
      </c>
    </row>
    <row r="24" customFormat="false" ht="15" hidden="false" customHeight="true" outlineLevel="0" collapsed="false">
      <c r="P24" s="1" t="str">
        <f aca="false">IF(OR(F24="",H24="",J24=""),"",J24&amp;"|"&amp;F24&amp;"|"&amp;IF(H24="W3","W3_"&amp;IF(I24="","unknown",I24),H24))</f>
        <v/>
      </c>
      <c r="Q24" s="1" t="str">
        <f aca="false">IF(P24="","",IFERROR(IF(AND(H24="W7",OR(F24="causal",F24="predictive")),IF(AND(K24=1,L24=1,M24=1),"adequate","partial"),INDEX(Fit_Matrix!$B:$B,MATCH(P24,Fit_Matrix!$A:$A,0))),"CHECK KEY"))</f>
        <v/>
      </c>
    </row>
    <row r="25" customFormat="false" ht="15" hidden="false" customHeight="true" outlineLevel="0" collapsed="false">
      <c r="P25" s="1" t="str">
        <f aca="false">IF(OR(F25="",H25="",J25=""),"",J25&amp;"|"&amp;F25&amp;"|"&amp;IF(H25="W3","W3_"&amp;IF(I25="","unknown",I25),H25))</f>
        <v/>
      </c>
      <c r="Q25" s="1" t="str">
        <f aca="false">IF(P25="","",IFERROR(IF(AND(H25="W7",OR(F25="causal",F25="predictive")),IF(AND(K25=1,L25=1,M25=1),"adequate","partial"),INDEX(Fit_Matrix!$B:$B,MATCH(P25,Fit_Matrix!$A:$A,0))),"CHECK KEY"))</f>
        <v/>
      </c>
    </row>
    <row r="26" customFormat="false" ht="15" hidden="false" customHeight="true" outlineLevel="0" collapsed="false">
      <c r="P26" s="1" t="str">
        <f aca="false">IF(OR(F26="",H26="",J26=""),"",J26&amp;"|"&amp;F26&amp;"|"&amp;IF(H26="W3","W3_"&amp;IF(I26="","unknown",I26),H26))</f>
        <v/>
      </c>
      <c r="Q26" s="1" t="str">
        <f aca="false">IF(P26="","",IFERROR(IF(AND(H26="W7",OR(F26="causal",F26="predictive")),IF(AND(K26=1,L26=1,M26=1),"adequate","partial"),INDEX(Fit_Matrix!$B:$B,MATCH(P26,Fit_Matrix!$A:$A,0))),"CHECK KEY"))</f>
        <v/>
      </c>
    </row>
    <row r="27" customFormat="false" ht="15" hidden="false" customHeight="true" outlineLevel="0" collapsed="false">
      <c r="P27" s="1" t="str">
        <f aca="false">IF(OR(F27="",H27="",J27=""),"",J27&amp;"|"&amp;F27&amp;"|"&amp;IF(H27="W3","W3_"&amp;IF(I27="","unknown",I27),H27))</f>
        <v/>
      </c>
      <c r="Q27" s="1" t="str">
        <f aca="false">IF(P27="","",IFERROR(IF(AND(H27="W7",OR(F27="causal",F27="predictive")),IF(AND(K27=1,L27=1,M27=1),"adequate","partial"),INDEX(Fit_Matrix!$B:$B,MATCH(P27,Fit_Matrix!$A:$A,0))),"CHECK KEY"))</f>
        <v/>
      </c>
    </row>
    <row r="28" customFormat="false" ht="15" hidden="false" customHeight="true" outlineLevel="0" collapsed="false">
      <c r="P28" s="1" t="str">
        <f aca="false">IF(OR(F28="",H28="",J28=""),"",J28&amp;"|"&amp;F28&amp;"|"&amp;IF(H28="W3","W3_"&amp;IF(I28="","unknown",I28),H28))</f>
        <v/>
      </c>
      <c r="Q28" s="1" t="str">
        <f aca="false">IF(P28="","",IFERROR(IF(AND(H28="W7",OR(F28="causal",F28="predictive")),IF(AND(K28=1,L28=1,M28=1),"adequate","partial"),INDEX(Fit_Matrix!$B:$B,MATCH(P28,Fit_Matrix!$A:$A,0))),"CHECK KEY"))</f>
        <v/>
      </c>
    </row>
    <row r="29" customFormat="false" ht="15" hidden="false" customHeight="true" outlineLevel="0" collapsed="false">
      <c r="P29" s="1" t="str">
        <f aca="false">IF(OR(F29="",H29="",J29=""),"",J29&amp;"|"&amp;F29&amp;"|"&amp;IF(H29="W3","W3_"&amp;IF(I29="","unknown",I29),H29))</f>
        <v/>
      </c>
      <c r="Q29" s="1" t="str">
        <f aca="false">IF(P29="","",IFERROR(IF(AND(H29="W7",OR(F29="causal",F29="predictive")),IF(AND(K29=1,L29=1,M29=1),"adequate","partial"),INDEX(Fit_Matrix!$B:$B,MATCH(P29,Fit_Matrix!$A:$A,0))),"CHECK KEY"))</f>
        <v/>
      </c>
    </row>
    <row r="30" customFormat="false" ht="15" hidden="false" customHeight="true" outlineLevel="0" collapsed="false">
      <c r="P30" s="1" t="str">
        <f aca="false">IF(OR(F30="",H30="",J30=""),"",J30&amp;"|"&amp;F30&amp;"|"&amp;IF(H30="W3","W3_"&amp;IF(I30="","unknown",I30),H30))</f>
        <v/>
      </c>
      <c r="Q30" s="1" t="str">
        <f aca="false">IF(P30="","",IFERROR(IF(AND(H30="W7",OR(F30="causal",F30="predictive")),IF(AND(K30=1,L30=1,M30=1),"adequate","partial"),INDEX(Fit_Matrix!$B:$B,MATCH(P30,Fit_Matrix!$A:$A,0))),"CHECK KEY"))</f>
        <v/>
      </c>
    </row>
    <row r="31" customFormat="false" ht="15" hidden="false" customHeight="true" outlineLevel="0" collapsed="false">
      <c r="P31" s="1" t="str">
        <f aca="false">IF(OR(F31="",H31="",J31=""),"",J31&amp;"|"&amp;F31&amp;"|"&amp;IF(H31="W3","W3_"&amp;IF(I31="","unknown",I31),H31))</f>
        <v/>
      </c>
      <c r="Q31" s="1" t="str">
        <f aca="false">IF(P31="","",IFERROR(IF(AND(H31="W7",OR(F31="causal",F31="predictive")),IF(AND(K31=1,L31=1,M31=1),"adequate","partial"),INDEX(Fit_Matrix!$B:$B,MATCH(P31,Fit_Matrix!$A:$A,0))),"CHECK KEY"))</f>
        <v/>
      </c>
    </row>
    <row r="32" customFormat="false" ht="15" hidden="false" customHeight="true" outlineLevel="0" collapsed="false">
      <c r="P32" s="1" t="str">
        <f aca="false">IF(OR(F32="",H32="",J32=""),"",J32&amp;"|"&amp;F32&amp;"|"&amp;IF(H32="W3","W3_"&amp;IF(I32="","unknown",I32),H32))</f>
        <v/>
      </c>
      <c r="Q32" s="1" t="str">
        <f aca="false">IF(P32="","",IFERROR(IF(AND(H32="W7",OR(F32="causal",F32="predictive")),IF(AND(K32=1,L32=1,M32=1),"adequate","partial"),INDEX(Fit_Matrix!$B:$B,MATCH(P32,Fit_Matrix!$A:$A,0))),"CHECK KEY"))</f>
        <v/>
      </c>
    </row>
    <row r="33" customFormat="false" ht="15" hidden="false" customHeight="true" outlineLevel="0" collapsed="false">
      <c r="P33" s="1" t="str">
        <f aca="false">IF(OR(F33="",H33="",J33=""),"",J33&amp;"|"&amp;F33&amp;"|"&amp;IF(H33="W3","W3_"&amp;IF(I33="","unknown",I33),H33))</f>
        <v/>
      </c>
      <c r="Q33" s="1" t="str">
        <f aca="false">IF(P33="","",IFERROR(IF(AND(H33="W7",OR(F33="causal",F33="predictive")),IF(AND(K33=1,L33=1,M33=1),"adequate","partial"),INDEX(Fit_Matrix!$B:$B,MATCH(P33,Fit_Matrix!$A:$A,0))),"CHECK KEY"))</f>
        <v/>
      </c>
    </row>
    <row r="34" customFormat="false" ht="15" hidden="false" customHeight="true" outlineLevel="0" collapsed="false">
      <c r="P34" s="1" t="str">
        <f aca="false">IF(OR(F34="",H34="",J34=""),"",J34&amp;"|"&amp;F34&amp;"|"&amp;IF(H34="W3","W3_"&amp;IF(I34="","unknown",I34),H34))</f>
        <v/>
      </c>
      <c r="Q34" s="1" t="str">
        <f aca="false">IF(P34="","",IFERROR(IF(AND(H34="W7",OR(F34="causal",F34="predictive")),IF(AND(K34=1,L34=1,M34=1),"adequate","partial"),INDEX(Fit_Matrix!$B:$B,MATCH(P34,Fit_Matrix!$A:$A,0))),"CHECK KEY"))</f>
        <v/>
      </c>
    </row>
    <row r="35" customFormat="false" ht="15" hidden="false" customHeight="true" outlineLevel="0" collapsed="false">
      <c r="P35" s="1" t="str">
        <f aca="false">IF(OR(F35="",H35="",J35=""),"",J35&amp;"|"&amp;F35&amp;"|"&amp;IF(H35="W3","W3_"&amp;IF(I35="","unknown",I35),H35))</f>
        <v/>
      </c>
      <c r="Q35" s="1" t="str">
        <f aca="false">IF(P35="","",IFERROR(IF(AND(H35="W7",OR(F35="causal",F35="predictive")),IF(AND(K35=1,L35=1,M35=1),"adequate","partial"),INDEX(Fit_Matrix!$B:$B,MATCH(P35,Fit_Matrix!$A:$A,0))),"CHECK KEY"))</f>
        <v/>
      </c>
    </row>
    <row r="36" customFormat="false" ht="15" hidden="false" customHeight="true" outlineLevel="0" collapsed="false">
      <c r="P36" s="1" t="str">
        <f aca="false">IF(OR(F36="",H36="",J36=""),"",J36&amp;"|"&amp;F36&amp;"|"&amp;IF(H36="W3","W3_"&amp;IF(I36="","unknown",I36),H36))</f>
        <v/>
      </c>
      <c r="Q36" s="1" t="str">
        <f aca="false">IF(P36="","",IFERROR(IF(AND(H36="W7",OR(F36="causal",F36="predictive")),IF(AND(K36=1,L36=1,M36=1),"adequate","partial"),INDEX(Fit_Matrix!$B:$B,MATCH(P36,Fit_Matrix!$A:$A,0))),"CHECK KEY"))</f>
        <v/>
      </c>
    </row>
    <row r="37" customFormat="false" ht="15" hidden="false" customHeight="true" outlineLevel="0" collapsed="false">
      <c r="P37" s="1" t="str">
        <f aca="false">IF(OR(F37="",H37="",J37=""),"",J37&amp;"|"&amp;F37&amp;"|"&amp;IF(H37="W3","W3_"&amp;IF(I37="","unknown",I37),H37))</f>
        <v/>
      </c>
      <c r="Q37" s="1" t="str">
        <f aca="false">IF(P37="","",IFERROR(IF(AND(H37="W7",OR(F37="causal",F37="predictive")),IF(AND(K37=1,L37=1,M37=1),"adequate","partial"),INDEX(Fit_Matrix!$B:$B,MATCH(P37,Fit_Matrix!$A:$A,0))),"CHECK KEY"))</f>
        <v/>
      </c>
    </row>
    <row r="38" customFormat="false" ht="15" hidden="false" customHeight="true" outlineLevel="0" collapsed="false">
      <c r="P38" s="1" t="str">
        <f aca="false">IF(OR(F38="",H38="",J38=""),"",J38&amp;"|"&amp;F38&amp;"|"&amp;IF(H38="W3","W3_"&amp;IF(I38="","unknown",I38),H38))</f>
        <v/>
      </c>
      <c r="Q38" s="1" t="str">
        <f aca="false">IF(P38="","",IFERROR(IF(AND(H38="W7",OR(F38="causal",F38="predictive")),IF(AND(K38=1,L38=1,M38=1),"adequate","partial"),INDEX(Fit_Matrix!$B:$B,MATCH(P38,Fit_Matrix!$A:$A,0))),"CHECK KEY"))</f>
        <v/>
      </c>
    </row>
    <row r="39" customFormat="false" ht="15" hidden="false" customHeight="true" outlineLevel="0" collapsed="false">
      <c r="P39" s="1" t="str">
        <f aca="false">IF(OR(F39="",H39="",J39=""),"",J39&amp;"|"&amp;F39&amp;"|"&amp;IF(H39="W3","W3_"&amp;IF(I39="","unknown",I39),H39))</f>
        <v/>
      </c>
      <c r="Q39" s="1" t="str">
        <f aca="false">IF(P39="","",IFERROR(IF(AND(H39="W7",OR(F39="causal",F39="predictive")),IF(AND(K39=1,L39=1,M39=1),"adequate","partial"),INDEX(Fit_Matrix!$B:$B,MATCH(P39,Fit_Matrix!$A:$A,0))),"CHECK KEY"))</f>
        <v/>
      </c>
    </row>
    <row r="40" customFormat="false" ht="15" hidden="false" customHeight="true" outlineLevel="0" collapsed="false">
      <c r="P40" s="1" t="str">
        <f aca="false">IF(OR(F40="",H40="",J40=""),"",J40&amp;"|"&amp;F40&amp;"|"&amp;IF(H40="W3","W3_"&amp;IF(I40="","unknown",I40),H40))</f>
        <v/>
      </c>
      <c r="Q40" s="1" t="str">
        <f aca="false">IF(P40="","",IFERROR(IF(AND(H40="W7",OR(F40="causal",F40="predictive")),IF(AND(K40=1,L40=1,M40=1),"adequate","partial"),INDEX(Fit_Matrix!$B:$B,MATCH(P40,Fit_Matrix!$A:$A,0))),"CHECK KEY"))</f>
        <v/>
      </c>
    </row>
    <row r="41" customFormat="false" ht="15" hidden="false" customHeight="true" outlineLevel="0" collapsed="false">
      <c r="P41" s="1" t="str">
        <f aca="false">IF(OR(F41="",H41="",J41=""),"",J41&amp;"|"&amp;F41&amp;"|"&amp;IF(H41="W3","W3_"&amp;IF(I41="","unknown",I41),H41))</f>
        <v/>
      </c>
      <c r="Q41" s="1" t="str">
        <f aca="false">IF(P41="","",IFERROR(IF(AND(H41="W7",OR(F41="causal",F41="predictive")),IF(AND(K41=1,L41=1,M41=1),"adequate","partial"),INDEX(Fit_Matrix!$B:$B,MATCH(P41,Fit_Matrix!$A:$A,0))),"CHECK KEY"))</f>
        <v/>
      </c>
    </row>
    <row r="42" customFormat="false" ht="15" hidden="false" customHeight="true" outlineLevel="0" collapsed="false">
      <c r="P42" s="1" t="str">
        <f aca="false">IF(OR(F42="",H42="",J42=""),"",J42&amp;"|"&amp;F42&amp;"|"&amp;IF(H42="W3","W3_"&amp;IF(I42="","unknown",I42),H42))</f>
        <v/>
      </c>
      <c r="Q42" s="1" t="str">
        <f aca="false">IF(P42="","",IFERROR(IF(AND(H42="W7",OR(F42="causal",F42="predictive")),IF(AND(K42=1,L42=1,M42=1),"adequate","partial"),INDEX(Fit_Matrix!$B:$B,MATCH(P42,Fit_Matrix!$A:$A,0))),"CHECK KEY"))</f>
        <v/>
      </c>
    </row>
    <row r="43" customFormat="false" ht="15" hidden="false" customHeight="true" outlineLevel="0" collapsed="false">
      <c r="P43" s="1" t="str">
        <f aca="false">IF(OR(F43="",H43="",J43=""),"",J43&amp;"|"&amp;F43&amp;"|"&amp;IF(H43="W3","W3_"&amp;IF(I43="","unknown",I43),H43))</f>
        <v/>
      </c>
      <c r="Q43" s="1" t="str">
        <f aca="false">IF(P43="","",IFERROR(IF(AND(H43="W7",OR(F43="causal",F43="predictive")),IF(AND(K43=1,L43=1,M43=1),"adequate","partial"),INDEX(Fit_Matrix!$B:$B,MATCH(P43,Fit_Matrix!$A:$A,0))),"CHECK KEY"))</f>
        <v/>
      </c>
    </row>
    <row r="44" customFormat="false" ht="15" hidden="false" customHeight="true" outlineLevel="0" collapsed="false">
      <c r="P44" s="1" t="str">
        <f aca="false">IF(OR(F44="",H44="",J44=""),"",J44&amp;"|"&amp;F44&amp;"|"&amp;IF(H44="W3","W3_"&amp;IF(I44="","unknown",I44),H44))</f>
        <v/>
      </c>
      <c r="Q44" s="1" t="str">
        <f aca="false">IF(P44="","",IFERROR(IF(AND(H44="W7",OR(F44="causal",F44="predictive")),IF(AND(K44=1,L44=1,M44=1),"adequate","partial"),INDEX(Fit_Matrix!$B:$B,MATCH(P44,Fit_Matrix!$A:$A,0))),"CHECK KEY"))</f>
        <v/>
      </c>
    </row>
    <row r="45" customFormat="false" ht="15" hidden="false" customHeight="true" outlineLevel="0" collapsed="false">
      <c r="P45" s="1" t="str">
        <f aca="false">IF(OR(F45="",H45="",J45=""),"",J45&amp;"|"&amp;F45&amp;"|"&amp;IF(H45="W3","W3_"&amp;IF(I45="","unknown",I45),H45))</f>
        <v/>
      </c>
      <c r="Q45" s="1" t="str">
        <f aca="false">IF(P45="","",IFERROR(IF(AND(H45="W7",OR(F45="causal",F45="predictive")),IF(AND(K45=1,L45=1,M45=1),"adequate","partial"),INDEX(Fit_Matrix!$B:$B,MATCH(P45,Fit_Matrix!$A:$A,0))),"CHECK KEY"))</f>
        <v/>
      </c>
    </row>
    <row r="46" customFormat="false" ht="15" hidden="false" customHeight="true" outlineLevel="0" collapsed="false">
      <c r="P46" s="1" t="str">
        <f aca="false">IF(OR(F46="",H46="",J46=""),"",J46&amp;"|"&amp;F46&amp;"|"&amp;IF(H46="W3","W3_"&amp;IF(I46="","unknown",I46),H46))</f>
        <v/>
      </c>
      <c r="Q46" s="1" t="str">
        <f aca="false">IF(P46="","",IFERROR(IF(AND(H46="W7",OR(F46="causal",F46="predictive")),IF(AND(K46=1,L46=1,M46=1),"adequate","partial"),INDEX(Fit_Matrix!$B:$B,MATCH(P46,Fit_Matrix!$A:$A,0))),"CHECK KEY"))</f>
        <v/>
      </c>
    </row>
    <row r="47" customFormat="false" ht="15" hidden="false" customHeight="true" outlineLevel="0" collapsed="false">
      <c r="P47" s="1" t="str">
        <f aca="false">IF(OR(F47="",H47="",J47=""),"",J47&amp;"|"&amp;F47&amp;"|"&amp;IF(H47="W3","W3_"&amp;IF(I47="","unknown",I47),H47))</f>
        <v/>
      </c>
      <c r="Q47" s="1" t="str">
        <f aca="false">IF(P47="","",IFERROR(IF(AND(H47="W7",OR(F47="causal",F47="predictive")),IF(AND(K47=1,L47=1,M47=1),"adequate","partial"),INDEX(Fit_Matrix!$B:$B,MATCH(P47,Fit_Matrix!$A:$A,0))),"CHECK KEY"))</f>
        <v/>
      </c>
    </row>
    <row r="48" customFormat="false" ht="15" hidden="false" customHeight="true" outlineLevel="0" collapsed="false">
      <c r="P48" s="1" t="str">
        <f aca="false">IF(OR(F48="",H48="",J48=""),"",J48&amp;"|"&amp;F48&amp;"|"&amp;IF(H48="W3","W3_"&amp;IF(I48="","unknown",I48),H48))</f>
        <v/>
      </c>
      <c r="Q48" s="1" t="str">
        <f aca="false">IF(P48="","",IFERROR(IF(AND(H48="W7",OR(F48="causal",F48="predictive")),IF(AND(K48=1,L48=1,M48=1),"adequate","partial"),INDEX(Fit_Matrix!$B:$B,MATCH(P48,Fit_Matrix!$A:$A,0))),"CHECK KEY"))</f>
        <v/>
      </c>
    </row>
    <row r="49" customFormat="false" ht="15" hidden="false" customHeight="true" outlineLevel="0" collapsed="false">
      <c r="P49" s="1" t="str">
        <f aca="false">IF(OR(F49="",H49="",J49=""),"",J49&amp;"|"&amp;F49&amp;"|"&amp;IF(H49="W3","W3_"&amp;IF(I49="","unknown",I49),H49))</f>
        <v/>
      </c>
      <c r="Q49" s="1" t="str">
        <f aca="false">IF(P49="","",IFERROR(IF(AND(H49="W7",OR(F49="causal",F49="predictive")),IF(AND(K49=1,L49=1,M49=1),"adequate","partial"),INDEX(Fit_Matrix!$B:$B,MATCH(P49,Fit_Matrix!$A:$A,0))),"CHECK KEY"))</f>
        <v/>
      </c>
    </row>
    <row r="50" customFormat="false" ht="15" hidden="false" customHeight="true" outlineLevel="0" collapsed="false">
      <c r="P50" s="1" t="str">
        <f aca="false">IF(OR(F50="",H50="",J50=""),"",J50&amp;"|"&amp;F50&amp;"|"&amp;IF(H50="W3","W3_"&amp;IF(I50="","unknown",I50),H50))</f>
        <v/>
      </c>
      <c r="Q50" s="1" t="str">
        <f aca="false">IF(P50="","",IFERROR(IF(AND(H50="W7",OR(F50="causal",F50="predictive")),IF(AND(K50=1,L50=1,M50=1),"adequate","partial"),INDEX(Fit_Matrix!$B:$B,MATCH(P50,Fit_Matrix!$A:$A,0))),"CHECK KEY"))</f>
        <v/>
      </c>
    </row>
    <row r="51" customFormat="false" ht="15" hidden="false" customHeight="true" outlineLevel="0" collapsed="false">
      <c r="P51" s="1" t="str">
        <f aca="false">IF(OR(F51="",H51="",J51=""),"",J51&amp;"|"&amp;F51&amp;"|"&amp;IF(H51="W3","W3_"&amp;IF(I51="","unknown",I51),H51))</f>
        <v/>
      </c>
      <c r="Q51" s="1" t="str">
        <f aca="false">IF(P51="","",IFERROR(IF(AND(H51="W7",OR(F51="causal",F51="predictive")),IF(AND(K51=1,L51=1,M51=1),"adequate","partial"),INDEX(Fit_Matrix!$B:$B,MATCH(P51,Fit_Matrix!$A:$A,0))),"CHECK KEY"))</f>
        <v/>
      </c>
    </row>
    <row r="52" customFormat="false" ht="15" hidden="false" customHeight="true" outlineLevel="0" collapsed="false">
      <c r="P52" s="1" t="str">
        <f aca="false">IF(OR(F52="",H52="",J52=""),"",J52&amp;"|"&amp;F52&amp;"|"&amp;IF(H52="W3","W3_"&amp;IF(I52="","unknown",I52),H52))</f>
        <v/>
      </c>
      <c r="Q52" s="1" t="str">
        <f aca="false">IF(P52="","",IFERROR(IF(AND(H52="W7",OR(F52="causal",F52="predictive")),IF(AND(K52=1,L52=1,M52=1),"adequate","partial"),INDEX(Fit_Matrix!$B:$B,MATCH(P52,Fit_Matrix!$A:$A,0))),"CHECK KEY"))</f>
        <v/>
      </c>
    </row>
    <row r="53" customFormat="false" ht="15" hidden="false" customHeight="true" outlineLevel="0" collapsed="false">
      <c r="P53" s="1" t="str">
        <f aca="false">IF(OR(F53="",H53="",J53=""),"",J53&amp;"|"&amp;F53&amp;"|"&amp;IF(H53="W3","W3_"&amp;IF(I53="","unknown",I53),H53))</f>
        <v/>
      </c>
      <c r="Q53" s="1" t="str">
        <f aca="false">IF(P53="","",IFERROR(IF(AND(H53="W7",OR(F53="causal",F53="predictive")),IF(AND(K53=1,L53=1,M53=1),"adequate","partial"),INDEX(Fit_Matrix!$B:$B,MATCH(P53,Fit_Matrix!$A:$A,0))),"CHECK KEY"))</f>
        <v/>
      </c>
    </row>
    <row r="54" customFormat="false" ht="15" hidden="false" customHeight="true" outlineLevel="0" collapsed="false">
      <c r="P54" s="1" t="str">
        <f aca="false">IF(OR(F54="",H54="",J54=""),"",J54&amp;"|"&amp;F54&amp;"|"&amp;IF(H54="W3","W3_"&amp;IF(I54="","unknown",I54),H54))</f>
        <v/>
      </c>
      <c r="Q54" s="1" t="str">
        <f aca="false">IF(P54="","",IFERROR(IF(AND(H54="W7",OR(F54="causal",F54="predictive")),IF(AND(K54=1,L54=1,M54=1),"adequate","partial"),INDEX(Fit_Matrix!$B:$B,MATCH(P54,Fit_Matrix!$A:$A,0))),"CHECK KEY"))</f>
        <v/>
      </c>
    </row>
    <row r="55" customFormat="false" ht="15" hidden="false" customHeight="true" outlineLevel="0" collapsed="false">
      <c r="P55" s="1" t="str">
        <f aca="false">IF(OR(F55="",H55="",J55=""),"",J55&amp;"|"&amp;F55&amp;"|"&amp;IF(H55="W3","W3_"&amp;IF(I55="","unknown",I55),H55))</f>
        <v/>
      </c>
      <c r="Q55" s="1" t="str">
        <f aca="false">IF(P55="","",IFERROR(IF(AND(H55="W7",OR(F55="causal",F55="predictive")),IF(AND(K55=1,L55=1,M55=1),"adequate","partial"),INDEX(Fit_Matrix!$B:$B,MATCH(P55,Fit_Matrix!$A:$A,0))),"CHECK KEY"))</f>
        <v/>
      </c>
    </row>
    <row r="56" customFormat="false" ht="15" hidden="false" customHeight="true" outlineLevel="0" collapsed="false">
      <c r="P56" s="1" t="str">
        <f aca="false">IF(OR(F56="",H56="",J56=""),"",J56&amp;"|"&amp;F56&amp;"|"&amp;IF(H56="W3","W3_"&amp;IF(I56="","unknown",I56),H56))</f>
        <v/>
      </c>
      <c r="Q56" s="1" t="str">
        <f aca="false">IF(P56="","",IFERROR(IF(AND(H56="W7",OR(F56="causal",F56="predictive")),IF(AND(K56=1,L56=1,M56=1),"adequate","partial"),INDEX(Fit_Matrix!$B:$B,MATCH(P56,Fit_Matrix!$A:$A,0))),"CHECK KEY"))</f>
        <v/>
      </c>
    </row>
    <row r="57" customFormat="false" ht="15" hidden="false" customHeight="true" outlineLevel="0" collapsed="false">
      <c r="P57" s="1" t="str">
        <f aca="false">IF(OR(F57="",H57="",J57=""),"",J57&amp;"|"&amp;F57&amp;"|"&amp;IF(H57="W3","W3_"&amp;IF(I57="","unknown",I57),H57))</f>
        <v/>
      </c>
      <c r="Q57" s="1" t="str">
        <f aca="false">IF(P57="","",IFERROR(IF(AND(H57="W7",OR(F57="causal",F57="predictive")),IF(AND(K57=1,L57=1,M57=1),"adequate","partial"),INDEX(Fit_Matrix!$B:$B,MATCH(P57,Fit_Matrix!$A:$A,0))),"CHECK KEY"))</f>
        <v/>
      </c>
    </row>
    <row r="58" customFormat="false" ht="15" hidden="false" customHeight="true" outlineLevel="0" collapsed="false">
      <c r="P58" s="1" t="str">
        <f aca="false">IF(OR(F58="",H58="",J58=""),"",J58&amp;"|"&amp;F58&amp;"|"&amp;IF(H58="W3","W3_"&amp;IF(I58="","unknown",I58),H58))</f>
        <v/>
      </c>
      <c r="Q58" s="1" t="str">
        <f aca="false">IF(P58="","",IFERROR(IF(AND(H58="W7",OR(F58="causal",F58="predictive")),IF(AND(K58=1,L58=1,M58=1),"adequate","partial"),INDEX(Fit_Matrix!$B:$B,MATCH(P58,Fit_Matrix!$A:$A,0))),"CHECK KEY"))</f>
        <v/>
      </c>
    </row>
    <row r="59" customFormat="false" ht="15" hidden="false" customHeight="true" outlineLevel="0" collapsed="false">
      <c r="P59" s="1" t="str">
        <f aca="false">IF(OR(F59="",H59="",J59=""),"",J59&amp;"|"&amp;F59&amp;"|"&amp;IF(H59="W3","W3_"&amp;IF(I59="","unknown",I59),H59))</f>
        <v/>
      </c>
      <c r="Q59" s="1" t="str">
        <f aca="false">IF(P59="","",IFERROR(IF(AND(H59="W7",OR(F59="causal",F59="predictive")),IF(AND(K59=1,L59=1,M59=1),"adequate","partial"),INDEX(Fit_Matrix!$B:$B,MATCH(P59,Fit_Matrix!$A:$A,0))),"CHECK KEY"))</f>
        <v/>
      </c>
    </row>
    <row r="60" customFormat="false" ht="15" hidden="false" customHeight="true" outlineLevel="0" collapsed="false">
      <c r="P60" s="1" t="str">
        <f aca="false">IF(OR(F60="",H60="",J60=""),"",J60&amp;"|"&amp;F60&amp;"|"&amp;IF(H60="W3","W3_"&amp;IF(I60="","unknown",I60),H60))</f>
        <v/>
      </c>
      <c r="Q60" s="1" t="str">
        <f aca="false">IF(P60="","",IFERROR(IF(AND(H60="W7",OR(F60="causal",F60="predictive")),IF(AND(K60=1,L60=1,M60=1),"adequate","partial"),INDEX(Fit_Matrix!$B:$B,MATCH(P60,Fit_Matrix!$A:$A,0))),"CHECK KEY"))</f>
        <v/>
      </c>
    </row>
    <row r="61" customFormat="false" ht="15" hidden="false" customHeight="true" outlineLevel="0" collapsed="false">
      <c r="P61" s="1" t="str">
        <f aca="false">IF(OR(F61="",H61="",J61=""),"",J61&amp;"|"&amp;F61&amp;"|"&amp;IF(H61="W3","W3_"&amp;IF(I61="","unknown",I61),H61))</f>
        <v/>
      </c>
      <c r="Q61" s="1" t="str">
        <f aca="false">IF(P61="","",IFERROR(IF(AND(H61="W7",OR(F61="causal",F61="predictive")),IF(AND(K61=1,L61=1,M61=1),"adequate","partial"),INDEX(Fit_Matrix!$B:$B,MATCH(P61,Fit_Matrix!$A:$A,0))),"CHECK KEY"))</f>
        <v/>
      </c>
    </row>
    <row r="62" customFormat="false" ht="15" hidden="false" customHeight="true" outlineLevel="0" collapsed="false">
      <c r="P62" s="1" t="str">
        <f aca="false">IF(OR(F62="",H62="",J62=""),"",J62&amp;"|"&amp;F62&amp;"|"&amp;IF(H62="W3","W3_"&amp;IF(I62="","unknown",I62),H62))</f>
        <v/>
      </c>
      <c r="Q62" s="1" t="str">
        <f aca="false">IF(P62="","",IFERROR(IF(AND(H62="W7",OR(F62="causal",F62="predictive")),IF(AND(K62=1,L62=1,M62=1),"adequate","partial"),INDEX(Fit_Matrix!$B:$B,MATCH(P62,Fit_Matrix!$A:$A,0))),"CHECK KEY"))</f>
        <v/>
      </c>
    </row>
    <row r="63" customFormat="false" ht="15" hidden="false" customHeight="true" outlineLevel="0" collapsed="false">
      <c r="P63" s="1" t="str">
        <f aca="false">IF(OR(F63="",H63="",J63=""),"",J63&amp;"|"&amp;F63&amp;"|"&amp;IF(H63="W3","W3_"&amp;IF(I63="","unknown",I63),H63))</f>
        <v/>
      </c>
      <c r="Q63" s="1" t="str">
        <f aca="false">IF(P63="","",IFERROR(IF(AND(H63="W7",OR(F63="causal",F63="predictive")),IF(AND(K63=1,L63=1,M63=1),"adequate","partial"),INDEX(Fit_Matrix!$B:$B,MATCH(P63,Fit_Matrix!$A:$A,0))),"CHECK KEY"))</f>
        <v/>
      </c>
    </row>
    <row r="64" customFormat="false" ht="15" hidden="false" customHeight="true" outlineLevel="0" collapsed="false">
      <c r="P64" s="1" t="str">
        <f aca="false">IF(OR(F64="",H64="",J64=""),"",J64&amp;"|"&amp;F64&amp;"|"&amp;IF(H64="W3","W3_"&amp;IF(I64="","unknown",I64),H64))</f>
        <v/>
      </c>
      <c r="Q64" s="1" t="str">
        <f aca="false">IF(P64="","",IFERROR(IF(AND(H64="W7",OR(F64="causal",F64="predictive")),IF(AND(K64=1,L64=1,M64=1),"adequate","partial"),INDEX(Fit_Matrix!$B:$B,MATCH(P64,Fit_Matrix!$A:$A,0))),"CHECK KEY"))</f>
        <v/>
      </c>
    </row>
    <row r="65" customFormat="false" ht="15" hidden="false" customHeight="true" outlineLevel="0" collapsed="false">
      <c r="P65" s="1" t="str">
        <f aca="false">IF(OR(F65="",H65="",J65=""),"",J65&amp;"|"&amp;F65&amp;"|"&amp;IF(H65="W3","W3_"&amp;IF(I65="","unknown",I65),H65))</f>
        <v/>
      </c>
      <c r="Q65" s="1" t="str">
        <f aca="false">IF(P65="","",IFERROR(IF(AND(H65="W7",OR(F65="causal",F65="predictive")),IF(AND(K65=1,L65=1,M65=1),"adequate","partial"),INDEX(Fit_Matrix!$B:$B,MATCH(P65,Fit_Matrix!$A:$A,0))),"CHECK KEY"))</f>
        <v/>
      </c>
    </row>
    <row r="66" customFormat="false" ht="15" hidden="false" customHeight="true" outlineLevel="0" collapsed="false">
      <c r="P66" s="1" t="str">
        <f aca="false">IF(OR(F66="",H66="",J66=""),"",J66&amp;"|"&amp;F66&amp;"|"&amp;IF(H66="W3","W3_"&amp;IF(I66="","unknown",I66),H66))</f>
        <v/>
      </c>
      <c r="Q66" s="1" t="str">
        <f aca="false">IF(P66="","",IFERROR(IF(AND(H66="W7",OR(F66="causal",F66="predictive")),IF(AND(K66=1,L66=1,M66=1),"adequate","partial"),INDEX(Fit_Matrix!$B:$B,MATCH(P66,Fit_Matrix!$A:$A,0))),"CHECK KEY"))</f>
        <v/>
      </c>
    </row>
    <row r="67" customFormat="false" ht="15" hidden="false" customHeight="true" outlineLevel="0" collapsed="false">
      <c r="P67" s="1" t="str">
        <f aca="false">IF(OR(F67="",H67="",J67=""),"",J67&amp;"|"&amp;F67&amp;"|"&amp;IF(H67="W3","W3_"&amp;IF(I67="","unknown",I67),H67))</f>
        <v/>
      </c>
      <c r="Q67" s="1" t="str">
        <f aca="false">IF(P67="","",IFERROR(IF(AND(H67="W7",OR(F67="causal",F67="predictive")),IF(AND(K67=1,L67=1,M67=1),"adequate","partial"),INDEX(Fit_Matrix!$B:$B,MATCH(P67,Fit_Matrix!$A:$A,0))),"CHECK KEY"))</f>
        <v/>
      </c>
    </row>
    <row r="68" customFormat="false" ht="15" hidden="false" customHeight="true" outlineLevel="0" collapsed="false">
      <c r="P68" s="1" t="str">
        <f aca="false">IF(OR(F68="",H68="",J68=""),"",J68&amp;"|"&amp;F68&amp;"|"&amp;IF(H68="W3","W3_"&amp;IF(I68="","unknown",I68),H68))</f>
        <v/>
      </c>
      <c r="Q68" s="1" t="str">
        <f aca="false">IF(P68="","",IFERROR(IF(AND(H68="W7",OR(F68="causal",F68="predictive")),IF(AND(K68=1,L68=1,M68=1),"adequate","partial"),INDEX(Fit_Matrix!$B:$B,MATCH(P68,Fit_Matrix!$A:$A,0))),"CHECK KEY"))</f>
        <v/>
      </c>
    </row>
    <row r="69" customFormat="false" ht="15" hidden="false" customHeight="true" outlineLevel="0" collapsed="false">
      <c r="P69" s="1" t="str">
        <f aca="false">IF(OR(F69="",H69="",J69=""),"",J69&amp;"|"&amp;F69&amp;"|"&amp;IF(H69="W3","W3_"&amp;IF(I69="","unknown",I69),H69))</f>
        <v/>
      </c>
      <c r="Q69" s="1" t="str">
        <f aca="false">IF(P69="","",IFERROR(IF(AND(H69="W7",OR(F69="causal",F69="predictive")),IF(AND(K69=1,L69=1,M69=1),"adequate","partial"),INDEX(Fit_Matrix!$B:$B,MATCH(P69,Fit_Matrix!$A:$A,0))),"CHECK KEY"))</f>
        <v/>
      </c>
    </row>
    <row r="70" customFormat="false" ht="15" hidden="false" customHeight="true" outlineLevel="0" collapsed="false">
      <c r="P70" s="1" t="str">
        <f aca="false">IF(OR(F70="",H70="",J70=""),"",J70&amp;"|"&amp;F70&amp;"|"&amp;IF(H70="W3","W3_"&amp;IF(I70="","unknown",I70),H70))</f>
        <v/>
      </c>
      <c r="Q70" s="1" t="str">
        <f aca="false">IF(P70="","",IFERROR(IF(AND(H70="W7",OR(F70="causal",F70="predictive")),IF(AND(K70=1,L70=1,M70=1),"adequate","partial"),INDEX(Fit_Matrix!$B:$B,MATCH(P70,Fit_Matrix!$A:$A,0))),"CHECK KEY"))</f>
        <v/>
      </c>
    </row>
    <row r="71" customFormat="false" ht="15" hidden="false" customHeight="true" outlineLevel="0" collapsed="false">
      <c r="P71" s="1" t="str">
        <f aca="false">IF(OR(F71="",H71="",J71=""),"",J71&amp;"|"&amp;F71&amp;"|"&amp;IF(H71="W3","W3_"&amp;IF(I71="","unknown",I71),H71))</f>
        <v/>
      </c>
      <c r="Q71" s="1" t="str">
        <f aca="false">IF(P71="","",IFERROR(IF(AND(H71="W7",OR(F71="causal",F71="predictive")),IF(AND(K71=1,L71=1,M71=1),"adequate","partial"),INDEX(Fit_Matrix!$B:$B,MATCH(P71,Fit_Matrix!$A:$A,0))),"CHECK KEY"))</f>
        <v/>
      </c>
    </row>
    <row r="72" customFormat="false" ht="15" hidden="false" customHeight="true" outlineLevel="0" collapsed="false">
      <c r="P72" s="1" t="str">
        <f aca="false">IF(OR(F72="",H72="",J72=""),"",J72&amp;"|"&amp;F72&amp;"|"&amp;IF(H72="W3","W3_"&amp;IF(I72="","unknown",I72),H72))</f>
        <v/>
      </c>
      <c r="Q72" s="1" t="str">
        <f aca="false">IF(P72="","",IFERROR(IF(AND(H72="W7",OR(F72="causal",F72="predictive")),IF(AND(K72=1,L72=1,M72=1),"adequate","partial"),INDEX(Fit_Matrix!$B:$B,MATCH(P72,Fit_Matrix!$A:$A,0))),"CHECK KEY"))</f>
        <v/>
      </c>
    </row>
    <row r="73" customFormat="false" ht="15" hidden="false" customHeight="true" outlineLevel="0" collapsed="false">
      <c r="P73" s="1" t="str">
        <f aca="false">IF(OR(F73="",H73="",J73=""),"",J73&amp;"|"&amp;F73&amp;"|"&amp;IF(H73="W3","W3_"&amp;IF(I73="","unknown",I73),H73))</f>
        <v/>
      </c>
      <c r="Q73" s="1" t="str">
        <f aca="false">IF(P73="","",IFERROR(IF(AND(H73="W7",OR(F73="causal",F73="predictive")),IF(AND(K73=1,L73=1,M73=1),"adequate","partial"),INDEX(Fit_Matrix!$B:$B,MATCH(P73,Fit_Matrix!$A:$A,0))),"CHECK KEY"))</f>
        <v/>
      </c>
    </row>
    <row r="74" customFormat="false" ht="15" hidden="false" customHeight="true" outlineLevel="0" collapsed="false">
      <c r="P74" s="1" t="str">
        <f aca="false">IF(OR(F74="",H74="",J74=""),"",J74&amp;"|"&amp;F74&amp;"|"&amp;IF(H74="W3","W3_"&amp;IF(I74="","unknown",I74),H74))</f>
        <v/>
      </c>
      <c r="Q74" s="1" t="str">
        <f aca="false">IF(P74="","",IFERROR(IF(AND(H74="W7",OR(F74="causal",F74="predictive")),IF(AND(K74=1,L74=1,M74=1),"adequate","partial"),INDEX(Fit_Matrix!$B:$B,MATCH(P74,Fit_Matrix!$A:$A,0))),"CHECK KEY"))</f>
        <v/>
      </c>
    </row>
    <row r="75" customFormat="false" ht="15" hidden="false" customHeight="true" outlineLevel="0" collapsed="false">
      <c r="P75" s="1" t="str">
        <f aca="false">IF(OR(F75="",H75="",J75=""),"",J75&amp;"|"&amp;F75&amp;"|"&amp;IF(H75="W3","W3_"&amp;IF(I75="","unknown",I75),H75))</f>
        <v/>
      </c>
      <c r="Q75" s="1" t="str">
        <f aca="false">IF(P75="","",IFERROR(IF(AND(H75="W7",OR(F75="causal",F75="predictive")),IF(AND(K75=1,L75=1,M75=1),"adequate","partial"),INDEX(Fit_Matrix!$B:$B,MATCH(P75,Fit_Matrix!$A:$A,0))),"CHECK KEY"))</f>
        <v/>
      </c>
    </row>
    <row r="76" customFormat="false" ht="15" hidden="false" customHeight="true" outlineLevel="0" collapsed="false">
      <c r="P76" s="1" t="str">
        <f aca="false">IF(OR(F76="",H76="",J76=""),"",J76&amp;"|"&amp;F76&amp;"|"&amp;IF(H76="W3","W3_"&amp;IF(I76="","unknown",I76),H76))</f>
        <v/>
      </c>
      <c r="Q76" s="1" t="str">
        <f aca="false">IF(P76="","",IFERROR(IF(AND(H76="W7",OR(F76="causal",F76="predictive")),IF(AND(K76=1,L76=1,M76=1),"adequate","partial"),INDEX(Fit_Matrix!$B:$B,MATCH(P76,Fit_Matrix!$A:$A,0))),"CHECK KEY"))</f>
        <v/>
      </c>
    </row>
    <row r="77" customFormat="false" ht="15" hidden="false" customHeight="true" outlineLevel="0" collapsed="false">
      <c r="P77" s="1" t="str">
        <f aca="false">IF(OR(F77="",H77="",J77=""),"",J77&amp;"|"&amp;F77&amp;"|"&amp;IF(H77="W3","W3_"&amp;IF(I77="","unknown",I77),H77))</f>
        <v/>
      </c>
      <c r="Q77" s="1" t="str">
        <f aca="false">IF(P77="","",IFERROR(IF(AND(H77="W7",OR(F77="causal",F77="predictive")),IF(AND(K77=1,L77=1,M77=1),"adequate","partial"),INDEX(Fit_Matrix!$B:$B,MATCH(P77,Fit_Matrix!$A:$A,0))),"CHECK KEY"))</f>
        <v/>
      </c>
    </row>
    <row r="78" customFormat="false" ht="15" hidden="false" customHeight="true" outlineLevel="0" collapsed="false">
      <c r="P78" s="1" t="str">
        <f aca="false">IF(OR(F78="",H78="",J78=""),"",J78&amp;"|"&amp;F78&amp;"|"&amp;IF(H78="W3","W3_"&amp;IF(I78="","unknown",I78),H78))</f>
        <v/>
      </c>
      <c r="Q78" s="1" t="str">
        <f aca="false">IF(P78="","",IFERROR(IF(AND(H78="W7",OR(F78="causal",F78="predictive")),IF(AND(K78=1,L78=1,M78=1),"adequate","partial"),INDEX(Fit_Matrix!$B:$B,MATCH(P78,Fit_Matrix!$A:$A,0))),"CHECK KEY"))</f>
        <v/>
      </c>
    </row>
    <row r="79" customFormat="false" ht="15" hidden="false" customHeight="true" outlineLevel="0" collapsed="false">
      <c r="P79" s="1" t="str">
        <f aca="false">IF(OR(F79="",H79="",J79=""),"",J79&amp;"|"&amp;F79&amp;"|"&amp;IF(H79="W3","W3_"&amp;IF(I79="","unknown",I79),H79))</f>
        <v/>
      </c>
      <c r="Q79" s="1" t="str">
        <f aca="false">IF(P79="","",IFERROR(IF(AND(H79="W7",OR(F79="causal",F79="predictive")),IF(AND(K79=1,L79=1,M79=1),"adequate","partial"),INDEX(Fit_Matrix!$B:$B,MATCH(P79,Fit_Matrix!$A:$A,0))),"CHECK KEY"))</f>
        <v/>
      </c>
    </row>
    <row r="80" customFormat="false" ht="15" hidden="false" customHeight="true" outlineLevel="0" collapsed="false">
      <c r="P80" s="1" t="str">
        <f aca="false">IF(OR(F80="",H80="",J80=""),"",J80&amp;"|"&amp;F80&amp;"|"&amp;IF(H80="W3","W3_"&amp;IF(I80="","unknown",I80),H80))</f>
        <v/>
      </c>
      <c r="Q80" s="1" t="str">
        <f aca="false">IF(P80="","",IFERROR(IF(AND(H80="W7",OR(F80="causal",F80="predictive")),IF(AND(K80=1,L80=1,M80=1),"adequate","partial"),INDEX(Fit_Matrix!$B:$B,MATCH(P80,Fit_Matrix!$A:$A,0))),"CHECK KEY"))</f>
        <v/>
      </c>
    </row>
    <row r="81" customFormat="false" ht="15" hidden="false" customHeight="true" outlineLevel="0" collapsed="false">
      <c r="P81" s="1" t="str">
        <f aca="false">IF(OR(F81="",H81="",J81=""),"",J81&amp;"|"&amp;F81&amp;"|"&amp;IF(H81="W3","W3_"&amp;IF(I81="","unknown",I81),H81))</f>
        <v/>
      </c>
      <c r="Q81" s="1" t="str">
        <f aca="false">IF(P81="","",IFERROR(IF(AND(H81="W7",OR(F81="causal",F81="predictive")),IF(AND(K81=1,L81=1,M81=1),"adequate","partial"),INDEX(Fit_Matrix!$B:$B,MATCH(P81,Fit_Matrix!$A:$A,0))),"CHECK KEY"))</f>
        <v/>
      </c>
    </row>
    <row r="82" customFormat="false" ht="15" hidden="false" customHeight="true" outlineLevel="0" collapsed="false">
      <c r="P82" s="1" t="str">
        <f aca="false">IF(OR(F82="",H82="",J82=""),"",J82&amp;"|"&amp;F82&amp;"|"&amp;IF(H82="W3","W3_"&amp;IF(I82="","unknown",I82),H82))</f>
        <v/>
      </c>
      <c r="Q82" s="1" t="str">
        <f aca="false">IF(P82="","",IFERROR(IF(AND(H82="W7",OR(F82="causal",F82="predictive")),IF(AND(K82=1,L82=1,M82=1),"adequate","partial"),INDEX(Fit_Matrix!$B:$B,MATCH(P82,Fit_Matrix!$A:$A,0))),"CHECK KEY"))</f>
        <v/>
      </c>
    </row>
    <row r="83" customFormat="false" ht="15" hidden="false" customHeight="true" outlineLevel="0" collapsed="false">
      <c r="P83" s="1" t="str">
        <f aca="false">IF(OR(F83="",H83="",J83=""),"",J83&amp;"|"&amp;F83&amp;"|"&amp;IF(H83="W3","W3_"&amp;IF(I83="","unknown",I83),H83))</f>
        <v/>
      </c>
      <c r="Q83" s="1" t="str">
        <f aca="false">IF(P83="","",IFERROR(IF(AND(H83="W7",OR(F83="causal",F83="predictive")),IF(AND(K83=1,L83=1,M83=1),"adequate","partial"),INDEX(Fit_Matrix!$B:$B,MATCH(P83,Fit_Matrix!$A:$A,0))),"CHECK KEY"))</f>
        <v/>
      </c>
    </row>
    <row r="84" customFormat="false" ht="15" hidden="false" customHeight="true" outlineLevel="0" collapsed="false">
      <c r="P84" s="1" t="str">
        <f aca="false">IF(OR(F84="",H84="",J84=""),"",J84&amp;"|"&amp;F84&amp;"|"&amp;IF(H84="W3","W3_"&amp;IF(I84="","unknown",I84),H84))</f>
        <v/>
      </c>
      <c r="Q84" s="1" t="str">
        <f aca="false">IF(P84="","",IFERROR(IF(AND(H84="W7",OR(F84="causal",F84="predictive")),IF(AND(K84=1,L84=1,M84=1),"adequate","partial"),INDEX(Fit_Matrix!$B:$B,MATCH(P84,Fit_Matrix!$A:$A,0))),"CHECK KEY"))</f>
        <v/>
      </c>
    </row>
    <row r="85" customFormat="false" ht="15" hidden="false" customHeight="true" outlineLevel="0" collapsed="false">
      <c r="P85" s="1" t="str">
        <f aca="false">IF(OR(F85="",H85="",J85=""),"",J85&amp;"|"&amp;F85&amp;"|"&amp;IF(H85="W3","W3_"&amp;IF(I85="","unknown",I85),H85))</f>
        <v/>
      </c>
      <c r="Q85" s="1" t="str">
        <f aca="false">IF(P85="","",IFERROR(IF(AND(H85="W7",OR(F85="causal",F85="predictive")),IF(AND(K85=1,L85=1,M85=1),"adequate","partial"),INDEX(Fit_Matrix!$B:$B,MATCH(P85,Fit_Matrix!$A:$A,0))),"CHECK KEY"))</f>
        <v/>
      </c>
    </row>
    <row r="86" customFormat="false" ht="15" hidden="false" customHeight="true" outlineLevel="0" collapsed="false">
      <c r="P86" s="1" t="str">
        <f aca="false">IF(OR(F86="",H86="",J86=""),"",J86&amp;"|"&amp;F86&amp;"|"&amp;IF(H86="W3","W3_"&amp;IF(I86="","unknown",I86),H86))</f>
        <v/>
      </c>
      <c r="Q86" s="1" t="str">
        <f aca="false">IF(P86="","",IFERROR(IF(AND(H86="W7",OR(F86="causal",F86="predictive")),IF(AND(K86=1,L86=1,M86=1),"adequate","partial"),INDEX(Fit_Matrix!$B:$B,MATCH(P86,Fit_Matrix!$A:$A,0))),"CHECK KEY"))</f>
        <v/>
      </c>
    </row>
    <row r="87" customFormat="false" ht="15" hidden="false" customHeight="true" outlineLevel="0" collapsed="false">
      <c r="P87" s="1" t="str">
        <f aca="false">IF(OR(F87="",H87="",J87=""),"",J87&amp;"|"&amp;F87&amp;"|"&amp;IF(H87="W3","W3_"&amp;IF(I87="","unknown",I87),H87))</f>
        <v/>
      </c>
      <c r="Q87" s="1" t="str">
        <f aca="false">IF(P87="","",IFERROR(IF(AND(H87="W7",OR(F87="causal",F87="predictive")),IF(AND(K87=1,L87=1,M87=1),"adequate","partial"),INDEX(Fit_Matrix!$B:$B,MATCH(P87,Fit_Matrix!$A:$A,0))),"CHECK KEY"))</f>
        <v/>
      </c>
    </row>
    <row r="88" customFormat="false" ht="15" hidden="false" customHeight="true" outlineLevel="0" collapsed="false">
      <c r="P88" s="1" t="str">
        <f aca="false">IF(OR(F88="",H88="",J88=""),"",J88&amp;"|"&amp;F88&amp;"|"&amp;IF(H88="W3","W3_"&amp;IF(I88="","unknown",I88),H88))</f>
        <v/>
      </c>
      <c r="Q88" s="1" t="str">
        <f aca="false">IF(P88="","",IFERROR(IF(AND(H88="W7",OR(F88="causal",F88="predictive")),IF(AND(K88=1,L88=1,M88=1),"adequate","partial"),INDEX(Fit_Matrix!$B:$B,MATCH(P88,Fit_Matrix!$A:$A,0))),"CHECK KEY"))</f>
        <v/>
      </c>
    </row>
    <row r="89" customFormat="false" ht="15" hidden="false" customHeight="true" outlineLevel="0" collapsed="false">
      <c r="P89" s="1" t="str">
        <f aca="false">IF(OR(F89="",H89="",J89=""),"",J89&amp;"|"&amp;F89&amp;"|"&amp;IF(H89="W3","W3_"&amp;IF(I89="","unknown",I89),H89))</f>
        <v/>
      </c>
      <c r="Q89" s="1" t="str">
        <f aca="false">IF(P89="","",IFERROR(IF(AND(H89="W7",OR(F89="causal",F89="predictive")),IF(AND(K89=1,L89=1,M89=1),"adequate","partial"),INDEX(Fit_Matrix!$B:$B,MATCH(P89,Fit_Matrix!$A:$A,0))),"CHECK KEY"))</f>
        <v/>
      </c>
    </row>
    <row r="90" customFormat="false" ht="15" hidden="false" customHeight="true" outlineLevel="0" collapsed="false">
      <c r="P90" s="1" t="str">
        <f aca="false">IF(OR(F90="",H90="",J90=""),"",J90&amp;"|"&amp;F90&amp;"|"&amp;IF(H90="W3","W3_"&amp;IF(I90="","unknown",I90),H90))</f>
        <v/>
      </c>
      <c r="Q90" s="1" t="str">
        <f aca="false">IF(P90="","",IFERROR(IF(AND(H90="W7",OR(F90="causal",F90="predictive")),IF(AND(K90=1,L90=1,M90=1),"adequate","partial"),INDEX(Fit_Matrix!$B:$B,MATCH(P90,Fit_Matrix!$A:$A,0))),"CHECK KEY"))</f>
        <v/>
      </c>
    </row>
    <row r="91" customFormat="false" ht="15" hidden="false" customHeight="true" outlineLevel="0" collapsed="false">
      <c r="P91" s="1" t="str">
        <f aca="false">IF(OR(F91="",H91="",J91=""),"",J91&amp;"|"&amp;F91&amp;"|"&amp;IF(H91="W3","W3_"&amp;IF(I91="","unknown",I91),H91))</f>
        <v/>
      </c>
      <c r="Q91" s="1" t="str">
        <f aca="false">IF(P91="","",IFERROR(IF(AND(H91="W7",OR(F91="causal",F91="predictive")),IF(AND(K91=1,L91=1,M91=1),"adequate","partial"),INDEX(Fit_Matrix!$B:$B,MATCH(P91,Fit_Matrix!$A:$A,0))),"CHECK KEY"))</f>
        <v/>
      </c>
    </row>
    <row r="92" customFormat="false" ht="15" hidden="false" customHeight="true" outlineLevel="0" collapsed="false">
      <c r="P92" s="1" t="str">
        <f aca="false">IF(OR(F92="",H92="",J92=""),"",J92&amp;"|"&amp;F92&amp;"|"&amp;IF(H92="W3","W3_"&amp;IF(I92="","unknown",I92),H92))</f>
        <v/>
      </c>
      <c r="Q92" s="1" t="str">
        <f aca="false">IF(P92="","",IFERROR(IF(AND(H92="W7",OR(F92="causal",F92="predictive")),IF(AND(K92=1,L92=1,M92=1),"adequate","partial"),INDEX(Fit_Matrix!$B:$B,MATCH(P92,Fit_Matrix!$A:$A,0))),"CHECK KEY"))</f>
        <v/>
      </c>
    </row>
    <row r="93" customFormat="false" ht="15" hidden="false" customHeight="true" outlineLevel="0" collapsed="false">
      <c r="P93" s="1" t="str">
        <f aca="false">IF(OR(F93="",H93="",J93=""),"",J93&amp;"|"&amp;F93&amp;"|"&amp;IF(H93="W3","W3_"&amp;IF(I93="","unknown",I93),H93))</f>
        <v/>
      </c>
      <c r="Q93" s="1" t="str">
        <f aca="false">IF(P93="","",IFERROR(IF(AND(H93="W7",OR(F93="causal",F93="predictive")),IF(AND(K93=1,L93=1,M93=1),"adequate","partial"),INDEX(Fit_Matrix!$B:$B,MATCH(P93,Fit_Matrix!$A:$A,0))),"CHECK KEY"))</f>
        <v/>
      </c>
    </row>
    <row r="94" customFormat="false" ht="15" hidden="false" customHeight="true" outlineLevel="0" collapsed="false">
      <c r="P94" s="1" t="str">
        <f aca="false">IF(OR(F94="",H94="",J94=""),"",J94&amp;"|"&amp;F94&amp;"|"&amp;IF(H94="W3","W3_"&amp;IF(I94="","unknown",I94),H94))</f>
        <v/>
      </c>
      <c r="Q94" s="1" t="str">
        <f aca="false">IF(P94="","",IFERROR(IF(AND(H94="W7",OR(F94="causal",F94="predictive")),IF(AND(K94=1,L94=1,M94=1),"adequate","partial"),INDEX(Fit_Matrix!$B:$B,MATCH(P94,Fit_Matrix!$A:$A,0))),"CHECK KEY"))</f>
        <v/>
      </c>
    </row>
    <row r="95" customFormat="false" ht="15" hidden="false" customHeight="true" outlineLevel="0" collapsed="false">
      <c r="P95" s="1" t="str">
        <f aca="false">IF(OR(F95="",H95="",J95=""),"",J95&amp;"|"&amp;F95&amp;"|"&amp;IF(H95="W3","W3_"&amp;IF(I95="","unknown",I95),H95))</f>
        <v/>
      </c>
      <c r="Q95" s="1" t="str">
        <f aca="false">IF(P95="","",IFERROR(IF(AND(H95="W7",OR(F95="causal",F95="predictive")),IF(AND(K95=1,L95=1,M95=1),"adequate","partial"),INDEX(Fit_Matrix!$B:$B,MATCH(P95,Fit_Matrix!$A:$A,0))),"CHECK KEY"))</f>
        <v/>
      </c>
    </row>
    <row r="96" customFormat="false" ht="15" hidden="false" customHeight="true" outlineLevel="0" collapsed="false">
      <c r="P96" s="1" t="str">
        <f aca="false">IF(OR(F96="",H96="",J96=""),"",J96&amp;"|"&amp;F96&amp;"|"&amp;IF(H96="W3","W3_"&amp;IF(I96="","unknown",I96),H96))</f>
        <v/>
      </c>
      <c r="Q96" s="1" t="str">
        <f aca="false">IF(P96="","",IFERROR(IF(AND(H96="W7",OR(F96="causal",F96="predictive")),IF(AND(K96=1,L96=1,M96=1),"adequate","partial"),INDEX(Fit_Matrix!$B:$B,MATCH(P96,Fit_Matrix!$A:$A,0))),"CHECK KEY"))</f>
        <v/>
      </c>
    </row>
    <row r="97" customFormat="false" ht="15" hidden="false" customHeight="true" outlineLevel="0" collapsed="false">
      <c r="P97" s="1" t="str">
        <f aca="false">IF(OR(F97="",H97="",J97=""),"",J97&amp;"|"&amp;F97&amp;"|"&amp;IF(H97="W3","W3_"&amp;IF(I97="","unknown",I97),H97))</f>
        <v/>
      </c>
      <c r="Q97" s="1" t="str">
        <f aca="false">IF(P97="","",IFERROR(IF(AND(H97="W7",OR(F97="causal",F97="predictive")),IF(AND(K97=1,L97=1,M97=1),"adequate","partial"),INDEX(Fit_Matrix!$B:$B,MATCH(P97,Fit_Matrix!$A:$A,0))),"CHECK KEY"))</f>
        <v/>
      </c>
    </row>
    <row r="98" customFormat="false" ht="15" hidden="false" customHeight="true" outlineLevel="0" collapsed="false">
      <c r="P98" s="1" t="str">
        <f aca="false">IF(OR(F98="",H98="",J98=""),"",J98&amp;"|"&amp;F98&amp;"|"&amp;IF(H98="W3","W3_"&amp;IF(I98="","unknown",I98),H98))</f>
        <v/>
      </c>
      <c r="Q98" s="1" t="str">
        <f aca="false">IF(P98="","",IFERROR(IF(AND(H98="W7",OR(F98="causal",F98="predictive")),IF(AND(K98=1,L98=1,M98=1),"adequate","partial"),INDEX(Fit_Matrix!$B:$B,MATCH(P98,Fit_Matrix!$A:$A,0))),"CHECK KEY"))</f>
        <v/>
      </c>
    </row>
    <row r="99" customFormat="false" ht="15" hidden="false" customHeight="true" outlineLevel="0" collapsed="false">
      <c r="P99" s="1" t="str">
        <f aca="false">IF(OR(F99="",H99="",J99=""),"",J99&amp;"|"&amp;F99&amp;"|"&amp;IF(H99="W3","W3_"&amp;IF(I99="","unknown",I99),H99))</f>
        <v/>
      </c>
      <c r="Q99" s="1" t="str">
        <f aca="false">IF(P99="","",IFERROR(IF(AND(H99="W7",OR(F99="causal",F99="predictive")),IF(AND(K99=1,L99=1,M99=1),"adequate","partial"),INDEX(Fit_Matrix!$B:$B,MATCH(P99,Fit_Matrix!$A:$A,0))),"CHECK KEY"))</f>
        <v/>
      </c>
    </row>
    <row r="100" customFormat="false" ht="15" hidden="false" customHeight="true" outlineLevel="0" collapsed="false">
      <c r="P100" s="1" t="str">
        <f aca="false">IF(OR(F100="",H100="",J100=""),"",J100&amp;"|"&amp;F100&amp;"|"&amp;IF(H100="W3","W3_"&amp;IF(I100="","unknown",I100),H100))</f>
        <v/>
      </c>
      <c r="Q100" s="1" t="str">
        <f aca="false">IF(P100="","",IFERROR(IF(AND(H100="W7",OR(F100="causal",F100="predictive")),IF(AND(K100=1,L100=1,M100=1),"adequate","partial"),INDEX(Fit_Matrix!$B:$B,MATCH(P100,Fit_Matrix!$A:$A,0))),"CHECK KEY"))</f>
        <v/>
      </c>
    </row>
    <row r="101" customFormat="false" ht="15" hidden="false" customHeight="true" outlineLevel="0" collapsed="false">
      <c r="P101" s="1" t="str">
        <f aca="false">IF(OR(F101="",H101="",J101=""),"",J101&amp;"|"&amp;F101&amp;"|"&amp;IF(H101="W3","W3_"&amp;IF(I101="","unknown",I101),H101))</f>
        <v/>
      </c>
      <c r="Q101" s="1" t="str">
        <f aca="false">IF(P101="","",IFERROR(IF(AND(H101="W7",OR(F101="causal",F101="predictive")),IF(AND(K101=1,L101=1,M101=1),"adequate","partial"),INDEX(Fit_Matrix!$B:$B,MATCH(P101,Fit_Matrix!$A:$A,0))),"CHECK KEY"))</f>
        <v/>
      </c>
    </row>
    <row r="102" customFormat="false" ht="15" hidden="false" customHeight="true" outlineLevel="0" collapsed="false">
      <c r="P102" s="1" t="str">
        <f aca="false">IF(OR(F102="",H102="",J102=""),"",J102&amp;"|"&amp;F102&amp;"|"&amp;IF(H102="W3","W3_"&amp;IF(I102="","unknown",I102),H102))</f>
        <v/>
      </c>
      <c r="Q102" s="1" t="str">
        <f aca="false">IF(P102="","",IFERROR(IF(AND(H102="W7",OR(F102="causal",F102="predictive")),IF(AND(K102=1,L102=1,M102=1),"adequate","partial"),INDEX(Fit_Matrix!$B:$B,MATCH(P102,Fit_Matrix!$A:$A,0))),"CHECK KEY"))</f>
        <v/>
      </c>
    </row>
    <row r="103" customFormat="false" ht="15" hidden="false" customHeight="true" outlineLevel="0" collapsed="false">
      <c r="P103" s="1" t="str">
        <f aca="false">IF(OR(F103="",H103="",J103=""),"",J103&amp;"|"&amp;F103&amp;"|"&amp;IF(H103="W3","W3_"&amp;IF(I103="","unknown",I103),H103))</f>
        <v/>
      </c>
      <c r="Q103" s="1" t="str">
        <f aca="false">IF(P103="","",IFERROR(IF(AND(H103="W7",OR(F103="causal",F103="predictive")),IF(AND(K103=1,L103=1,M103=1),"adequate","partial"),INDEX(Fit_Matrix!$B:$B,MATCH(P103,Fit_Matrix!$A:$A,0))),"CHECK KEY"))</f>
        <v/>
      </c>
    </row>
    <row r="104" customFormat="false" ht="15" hidden="false" customHeight="true" outlineLevel="0" collapsed="false">
      <c r="P104" s="1" t="str">
        <f aca="false">IF(OR(F104="",H104="",J104=""),"",J104&amp;"|"&amp;F104&amp;"|"&amp;IF(H104="W3","W3_"&amp;IF(I104="","unknown",I104),H104))</f>
        <v/>
      </c>
      <c r="Q104" s="1" t="str">
        <f aca="false">IF(P104="","",IFERROR(IF(AND(H104="W7",OR(F104="causal",F104="predictive")),IF(AND(K104=1,L104=1,M104=1),"adequate","partial"),INDEX(Fit_Matrix!$B:$B,MATCH(P104,Fit_Matrix!$A:$A,0))),"CHECK KEY"))</f>
        <v/>
      </c>
    </row>
    <row r="105" customFormat="false" ht="15" hidden="false" customHeight="true" outlineLevel="0" collapsed="false">
      <c r="P105" s="1" t="str">
        <f aca="false">IF(OR(F105="",H105="",J105=""),"",J105&amp;"|"&amp;F105&amp;"|"&amp;IF(H105="W3","W3_"&amp;IF(I105="","unknown",I105),H105))</f>
        <v/>
      </c>
      <c r="Q105" s="1" t="str">
        <f aca="false">IF(P105="","",IFERROR(IF(AND(H105="W7",OR(F105="causal",F105="predictive")),IF(AND(K105=1,L105=1,M105=1),"adequate","partial"),INDEX(Fit_Matrix!$B:$B,MATCH(P105,Fit_Matrix!$A:$A,0))),"CHECK KEY"))</f>
        <v/>
      </c>
    </row>
    <row r="106" customFormat="false" ht="15" hidden="false" customHeight="true" outlineLevel="0" collapsed="false">
      <c r="P106" s="1" t="str">
        <f aca="false">IF(OR(F106="",H106="",J106=""),"",J106&amp;"|"&amp;F106&amp;"|"&amp;IF(H106="W3","W3_"&amp;IF(I106="","unknown",I106),H106))</f>
        <v/>
      </c>
      <c r="Q106" s="1" t="str">
        <f aca="false">IF(P106="","",IFERROR(IF(AND(H106="W7",OR(F106="causal",F106="predictive")),IF(AND(K106=1,L106=1,M106=1),"adequate","partial"),INDEX(Fit_Matrix!$B:$B,MATCH(P106,Fit_Matrix!$A:$A,0))),"CHECK KEY"))</f>
        <v/>
      </c>
    </row>
    <row r="107" customFormat="false" ht="15" hidden="false" customHeight="true" outlineLevel="0" collapsed="false">
      <c r="P107" s="1" t="str">
        <f aca="false">IF(OR(F107="",H107="",J107=""),"",J107&amp;"|"&amp;F107&amp;"|"&amp;IF(H107="W3","W3_"&amp;IF(I107="","unknown",I107),H107))</f>
        <v/>
      </c>
      <c r="Q107" s="1" t="str">
        <f aca="false">IF(P107="","",IFERROR(IF(AND(H107="W7",OR(F107="causal",F107="predictive")),IF(AND(K107=1,L107=1,M107=1),"adequate","partial"),INDEX(Fit_Matrix!$B:$B,MATCH(P107,Fit_Matrix!$A:$A,0))),"CHECK KEY"))</f>
        <v/>
      </c>
    </row>
    <row r="108" customFormat="false" ht="15" hidden="false" customHeight="true" outlineLevel="0" collapsed="false">
      <c r="P108" s="1" t="str">
        <f aca="false">IF(OR(F108="",H108="",J108=""),"",J108&amp;"|"&amp;F108&amp;"|"&amp;IF(H108="W3","W3_"&amp;IF(I108="","unknown",I108),H108))</f>
        <v/>
      </c>
      <c r="Q108" s="1" t="str">
        <f aca="false">IF(P108="","",IFERROR(IF(AND(H108="W7",OR(F108="causal",F108="predictive")),IF(AND(K108=1,L108=1,M108=1),"adequate","partial"),INDEX(Fit_Matrix!$B:$B,MATCH(P108,Fit_Matrix!$A:$A,0))),"CHECK KEY"))</f>
        <v/>
      </c>
    </row>
    <row r="109" customFormat="false" ht="15" hidden="false" customHeight="true" outlineLevel="0" collapsed="false">
      <c r="P109" s="1" t="str">
        <f aca="false">IF(OR(F109="",H109="",J109=""),"",J109&amp;"|"&amp;F109&amp;"|"&amp;IF(H109="W3","W3_"&amp;IF(I109="","unknown",I109),H109))</f>
        <v/>
      </c>
      <c r="Q109" s="1" t="str">
        <f aca="false">IF(P109="","",IFERROR(IF(AND(H109="W7",OR(F109="causal",F109="predictive")),IF(AND(K109=1,L109=1,M109=1),"adequate","partial"),INDEX(Fit_Matrix!$B:$B,MATCH(P109,Fit_Matrix!$A:$A,0))),"CHECK KEY"))</f>
        <v/>
      </c>
    </row>
    <row r="110" customFormat="false" ht="15" hidden="false" customHeight="true" outlineLevel="0" collapsed="false">
      <c r="P110" s="1" t="str">
        <f aca="false">IF(OR(F110="",H110="",J110=""),"",J110&amp;"|"&amp;F110&amp;"|"&amp;IF(H110="W3","W3_"&amp;IF(I110="","unknown",I110),H110))</f>
        <v/>
      </c>
      <c r="Q110" s="1" t="str">
        <f aca="false">IF(P110="","",IFERROR(IF(AND(H110="W7",OR(F110="causal",F110="predictive")),IF(AND(K110=1,L110=1,M110=1),"adequate","partial"),INDEX(Fit_Matrix!$B:$B,MATCH(P110,Fit_Matrix!$A:$A,0))),"CHECK KEY"))</f>
        <v/>
      </c>
    </row>
    <row r="111" customFormat="false" ht="15" hidden="false" customHeight="true" outlineLevel="0" collapsed="false">
      <c r="P111" s="1" t="str">
        <f aca="false">IF(OR(F111="",H111="",J111=""),"",J111&amp;"|"&amp;F111&amp;"|"&amp;IF(H111="W3","W3_"&amp;IF(I111="","unknown",I111),H111))</f>
        <v/>
      </c>
      <c r="Q111" s="1" t="str">
        <f aca="false">IF(P111="","",IFERROR(IF(AND(H111="W7",OR(F111="causal",F111="predictive")),IF(AND(K111=1,L111=1,M111=1),"adequate","partial"),INDEX(Fit_Matrix!$B:$B,MATCH(P111,Fit_Matrix!$A:$A,0))),"CHECK KEY"))</f>
        <v/>
      </c>
    </row>
    <row r="112" customFormat="false" ht="15" hidden="false" customHeight="true" outlineLevel="0" collapsed="false">
      <c r="P112" s="1" t="str">
        <f aca="false">IF(OR(F112="",H112="",J112=""),"",J112&amp;"|"&amp;F112&amp;"|"&amp;IF(H112="W3","W3_"&amp;IF(I112="","unknown",I112),H112))</f>
        <v/>
      </c>
      <c r="Q112" s="1" t="str">
        <f aca="false">IF(P112="","",IFERROR(IF(AND(H112="W7",OR(F112="causal",F112="predictive")),IF(AND(K112=1,L112=1,M112=1),"adequate","partial"),INDEX(Fit_Matrix!$B:$B,MATCH(P112,Fit_Matrix!$A:$A,0))),"CHECK KEY"))</f>
        <v/>
      </c>
    </row>
    <row r="113" customFormat="false" ht="15" hidden="false" customHeight="true" outlineLevel="0" collapsed="false">
      <c r="P113" s="1" t="str">
        <f aca="false">IF(OR(F113="",H113="",J113=""),"",J113&amp;"|"&amp;F113&amp;"|"&amp;IF(H113="W3","W3_"&amp;IF(I113="","unknown",I113),H113))</f>
        <v/>
      </c>
      <c r="Q113" s="1" t="str">
        <f aca="false">IF(P113="","",IFERROR(IF(AND(H113="W7",OR(F113="causal",F113="predictive")),IF(AND(K113=1,L113=1,M113=1),"adequate","partial"),INDEX(Fit_Matrix!$B:$B,MATCH(P113,Fit_Matrix!$A:$A,0))),"CHECK KEY"))</f>
        <v/>
      </c>
    </row>
    <row r="114" customFormat="false" ht="15" hidden="false" customHeight="true" outlineLevel="0" collapsed="false">
      <c r="P114" s="1" t="str">
        <f aca="false">IF(OR(F114="",H114="",J114=""),"",J114&amp;"|"&amp;F114&amp;"|"&amp;IF(H114="W3","W3_"&amp;IF(I114="","unknown",I114),H114))</f>
        <v/>
      </c>
      <c r="Q114" s="1" t="str">
        <f aca="false">IF(P114="","",IFERROR(IF(AND(H114="W7",OR(F114="causal",F114="predictive")),IF(AND(K114=1,L114=1,M114=1),"adequate","partial"),INDEX(Fit_Matrix!$B:$B,MATCH(P114,Fit_Matrix!$A:$A,0))),"CHECK KEY"))</f>
        <v/>
      </c>
    </row>
    <row r="115" customFormat="false" ht="15" hidden="false" customHeight="true" outlineLevel="0" collapsed="false">
      <c r="P115" s="1" t="str">
        <f aca="false">IF(OR(F115="",H115="",J115=""),"",J115&amp;"|"&amp;F115&amp;"|"&amp;IF(H115="W3","W3_"&amp;IF(I115="","unknown",I115),H115))</f>
        <v/>
      </c>
      <c r="Q115" s="1" t="str">
        <f aca="false">IF(P115="","",IFERROR(IF(AND(H115="W7",OR(F115="causal",F115="predictive")),IF(AND(K115=1,L115=1,M115=1),"adequate","partial"),INDEX(Fit_Matrix!$B:$B,MATCH(P115,Fit_Matrix!$A:$A,0))),"CHECK KEY"))</f>
        <v/>
      </c>
    </row>
    <row r="116" customFormat="false" ht="15" hidden="false" customHeight="true" outlineLevel="0" collapsed="false">
      <c r="P116" s="1" t="str">
        <f aca="false">IF(OR(F116="",H116="",J116=""),"",J116&amp;"|"&amp;F116&amp;"|"&amp;IF(H116="W3","W3_"&amp;IF(I116="","unknown",I116),H116))</f>
        <v/>
      </c>
      <c r="Q116" s="1" t="str">
        <f aca="false">IF(P116="","",IFERROR(IF(AND(H116="W7",OR(F116="causal",F116="predictive")),IF(AND(K116=1,L116=1,M116=1),"adequate","partial"),INDEX(Fit_Matrix!$B:$B,MATCH(P116,Fit_Matrix!$A:$A,0))),"CHECK KEY"))</f>
        <v/>
      </c>
    </row>
    <row r="117" customFormat="false" ht="15" hidden="false" customHeight="true" outlineLevel="0" collapsed="false">
      <c r="P117" s="1" t="str">
        <f aca="false">IF(OR(F117="",H117="",J117=""),"",J117&amp;"|"&amp;F117&amp;"|"&amp;IF(H117="W3","W3_"&amp;IF(I117="","unknown",I117),H117))</f>
        <v/>
      </c>
      <c r="Q117" s="1" t="str">
        <f aca="false">IF(P117="","",IFERROR(IF(AND(H117="W7",OR(F117="causal",F117="predictive")),IF(AND(K117=1,L117=1,M117=1),"adequate","partial"),INDEX(Fit_Matrix!$B:$B,MATCH(P117,Fit_Matrix!$A:$A,0))),"CHECK KEY"))</f>
        <v/>
      </c>
    </row>
    <row r="118" customFormat="false" ht="15" hidden="false" customHeight="true" outlineLevel="0" collapsed="false">
      <c r="P118" s="1" t="str">
        <f aca="false">IF(OR(F118="",H118="",J118=""),"",J118&amp;"|"&amp;F118&amp;"|"&amp;IF(H118="W3","W3_"&amp;IF(I118="","unknown",I118),H118))</f>
        <v/>
      </c>
      <c r="Q118" s="1" t="str">
        <f aca="false">IF(P118="","",IFERROR(IF(AND(H118="W7",OR(F118="causal",F118="predictive")),IF(AND(K118=1,L118=1,M118=1),"adequate","partial"),INDEX(Fit_Matrix!$B:$B,MATCH(P118,Fit_Matrix!$A:$A,0))),"CHECK KEY"))</f>
        <v/>
      </c>
    </row>
    <row r="119" customFormat="false" ht="15" hidden="false" customHeight="true" outlineLevel="0" collapsed="false">
      <c r="P119" s="1" t="str">
        <f aca="false">IF(OR(F119="",H119="",J119=""),"",J119&amp;"|"&amp;F119&amp;"|"&amp;IF(H119="W3","W3_"&amp;IF(I119="","unknown",I119),H119))</f>
        <v/>
      </c>
      <c r="Q119" s="1" t="str">
        <f aca="false">IF(P119="","",IFERROR(IF(AND(H119="W7",OR(F119="causal",F119="predictive")),IF(AND(K119=1,L119=1,M119=1),"adequate","partial"),INDEX(Fit_Matrix!$B:$B,MATCH(P119,Fit_Matrix!$A:$A,0))),"CHECK KEY"))</f>
        <v/>
      </c>
    </row>
    <row r="120" customFormat="false" ht="15" hidden="false" customHeight="true" outlineLevel="0" collapsed="false">
      <c r="P120" s="1" t="str">
        <f aca="false">IF(OR(F120="",H120="",J120=""),"",J120&amp;"|"&amp;F120&amp;"|"&amp;IF(H120="W3","W3_"&amp;IF(I120="","unknown",I120),H120))</f>
        <v/>
      </c>
      <c r="Q120" s="1" t="str">
        <f aca="false">IF(P120="","",IFERROR(IF(AND(H120="W7",OR(F120="causal",F120="predictive")),IF(AND(K120=1,L120=1,M120=1),"adequate","partial"),INDEX(Fit_Matrix!$B:$B,MATCH(P120,Fit_Matrix!$A:$A,0))),"CHECK KEY"))</f>
        <v/>
      </c>
    </row>
    <row r="121" customFormat="false" ht="15" hidden="false" customHeight="true" outlineLevel="0" collapsed="false">
      <c r="P121" s="1" t="str">
        <f aca="false">IF(OR(F121="",H121="",J121=""),"",J121&amp;"|"&amp;F121&amp;"|"&amp;IF(H121="W3","W3_"&amp;IF(I121="","unknown",I121),H121))</f>
        <v/>
      </c>
      <c r="Q121" s="1" t="str">
        <f aca="false">IF(P121="","",IFERROR(IF(AND(H121="W7",OR(F121="causal",F121="predictive")),IF(AND(K121=1,L121=1,M121=1),"adequate","partial"),INDEX(Fit_Matrix!$B:$B,MATCH(P121,Fit_Matrix!$A:$A,0))),"CHECK KEY"))</f>
        <v/>
      </c>
    </row>
    <row r="122" customFormat="false" ht="15" hidden="false" customHeight="true" outlineLevel="0" collapsed="false">
      <c r="P122" s="1" t="str">
        <f aca="false">IF(OR(F122="",H122="",J122=""),"",J122&amp;"|"&amp;F122&amp;"|"&amp;IF(H122="W3","W3_"&amp;IF(I122="","unknown",I122),H122))</f>
        <v/>
      </c>
      <c r="Q122" s="1" t="str">
        <f aca="false">IF(P122="","",IFERROR(IF(AND(H122="W7",OR(F122="causal",F122="predictive")),IF(AND(K122=1,L122=1,M122=1),"adequate","partial"),INDEX(Fit_Matrix!$B:$B,MATCH(P122,Fit_Matrix!$A:$A,0))),"CHECK KEY"))</f>
        <v/>
      </c>
    </row>
    <row r="123" customFormat="false" ht="15" hidden="false" customHeight="true" outlineLevel="0" collapsed="false">
      <c r="P123" s="1" t="str">
        <f aca="false">IF(OR(F123="",H123="",J123=""),"",J123&amp;"|"&amp;F123&amp;"|"&amp;IF(H123="W3","W3_"&amp;IF(I123="","unknown",I123),H123))</f>
        <v/>
      </c>
      <c r="Q123" s="1" t="str">
        <f aca="false">IF(P123="","",IFERROR(IF(AND(H123="W7",OR(F123="causal",F123="predictive")),IF(AND(K123=1,L123=1,M123=1),"adequate","partial"),INDEX(Fit_Matrix!$B:$B,MATCH(P123,Fit_Matrix!$A:$A,0))),"CHECK KEY"))</f>
        <v/>
      </c>
    </row>
    <row r="124" customFormat="false" ht="15" hidden="false" customHeight="true" outlineLevel="0" collapsed="false">
      <c r="P124" s="1" t="str">
        <f aca="false">IF(OR(F124="",H124="",J124=""),"",J124&amp;"|"&amp;F124&amp;"|"&amp;IF(H124="W3","W3_"&amp;IF(I124="","unknown",I124),H124))</f>
        <v/>
      </c>
      <c r="Q124" s="1" t="str">
        <f aca="false">IF(P124="","",IFERROR(IF(AND(H124="W7",OR(F124="causal",F124="predictive")),IF(AND(K124=1,L124=1,M124=1),"adequate","partial"),INDEX(Fit_Matrix!$B:$B,MATCH(P124,Fit_Matrix!$A:$A,0))),"CHECK KEY"))</f>
        <v/>
      </c>
    </row>
    <row r="125" customFormat="false" ht="15" hidden="false" customHeight="true" outlineLevel="0" collapsed="false">
      <c r="P125" s="1" t="str">
        <f aca="false">IF(OR(F125="",H125="",J125=""),"",J125&amp;"|"&amp;F125&amp;"|"&amp;IF(H125="W3","W3_"&amp;IF(I125="","unknown",I125),H125))</f>
        <v/>
      </c>
      <c r="Q125" s="1" t="str">
        <f aca="false">IF(P125="","",IFERROR(IF(AND(H125="W7",OR(F125="causal",F125="predictive")),IF(AND(K125=1,L125=1,M125=1),"adequate","partial"),INDEX(Fit_Matrix!$B:$B,MATCH(P125,Fit_Matrix!$A:$A,0))),"CHECK KEY"))</f>
        <v/>
      </c>
    </row>
    <row r="126" customFormat="false" ht="15" hidden="false" customHeight="true" outlineLevel="0" collapsed="false">
      <c r="P126" s="1" t="str">
        <f aca="false">IF(OR(F126="",H126="",J126=""),"",J126&amp;"|"&amp;F126&amp;"|"&amp;IF(H126="W3","W3_"&amp;IF(I126="","unknown",I126),H126))</f>
        <v/>
      </c>
      <c r="Q126" s="1" t="str">
        <f aca="false">IF(P126="","",IFERROR(IF(AND(H126="W7",OR(F126="causal",F126="predictive")),IF(AND(K126=1,L126=1,M126=1),"adequate","partial"),INDEX(Fit_Matrix!$B:$B,MATCH(P126,Fit_Matrix!$A:$A,0))),"CHECK KEY"))</f>
        <v/>
      </c>
    </row>
    <row r="127" customFormat="false" ht="15" hidden="false" customHeight="true" outlineLevel="0" collapsed="false">
      <c r="P127" s="1" t="str">
        <f aca="false">IF(OR(F127="",H127="",J127=""),"",J127&amp;"|"&amp;F127&amp;"|"&amp;IF(H127="W3","W3_"&amp;IF(I127="","unknown",I127),H127))</f>
        <v/>
      </c>
      <c r="Q127" s="1" t="str">
        <f aca="false">IF(P127="","",IFERROR(IF(AND(H127="W7",OR(F127="causal",F127="predictive")),IF(AND(K127=1,L127=1,M127=1),"adequate","partial"),INDEX(Fit_Matrix!$B:$B,MATCH(P127,Fit_Matrix!$A:$A,0))),"CHECK KEY"))</f>
        <v/>
      </c>
    </row>
    <row r="128" customFormat="false" ht="15" hidden="false" customHeight="true" outlineLevel="0" collapsed="false">
      <c r="P128" s="1" t="str">
        <f aca="false">IF(OR(F128="",H128="",J128=""),"",J128&amp;"|"&amp;F128&amp;"|"&amp;IF(H128="W3","W3_"&amp;IF(I128="","unknown",I128),H128))</f>
        <v/>
      </c>
      <c r="Q128" s="1" t="str">
        <f aca="false">IF(P128="","",IFERROR(IF(AND(H128="W7",OR(F128="causal",F128="predictive")),IF(AND(K128=1,L128=1,M128=1),"adequate","partial"),INDEX(Fit_Matrix!$B:$B,MATCH(P128,Fit_Matrix!$A:$A,0))),"CHECK KEY"))</f>
        <v/>
      </c>
    </row>
    <row r="129" customFormat="false" ht="15" hidden="false" customHeight="true" outlineLevel="0" collapsed="false">
      <c r="P129" s="1" t="str">
        <f aca="false">IF(OR(F129="",H129="",J129=""),"",J129&amp;"|"&amp;F129&amp;"|"&amp;IF(H129="W3","W3_"&amp;IF(I129="","unknown",I129),H129))</f>
        <v/>
      </c>
      <c r="Q129" s="1" t="str">
        <f aca="false">IF(P129="","",IFERROR(IF(AND(H129="W7",OR(F129="causal",F129="predictive")),IF(AND(K129=1,L129=1,M129=1),"adequate","partial"),INDEX(Fit_Matrix!$B:$B,MATCH(P129,Fit_Matrix!$A:$A,0))),"CHECK KEY"))</f>
        <v/>
      </c>
    </row>
    <row r="130" customFormat="false" ht="15" hidden="false" customHeight="true" outlineLevel="0" collapsed="false">
      <c r="P130" s="1" t="str">
        <f aca="false">IF(OR(F130="",H130="",J130=""),"",J130&amp;"|"&amp;F130&amp;"|"&amp;IF(H130="W3","W3_"&amp;IF(I130="","unknown",I130),H130))</f>
        <v/>
      </c>
      <c r="Q130" s="1" t="str">
        <f aca="false">IF(P130="","",IFERROR(IF(AND(H130="W7",OR(F130="causal",F130="predictive")),IF(AND(K130=1,L130=1,M130=1),"adequate","partial"),INDEX(Fit_Matrix!$B:$B,MATCH(P130,Fit_Matrix!$A:$A,0))),"CHECK KEY"))</f>
        <v/>
      </c>
    </row>
    <row r="131" customFormat="false" ht="15" hidden="false" customHeight="true" outlineLevel="0" collapsed="false">
      <c r="P131" s="1" t="str">
        <f aca="false">IF(OR(F131="",H131="",J131=""),"",J131&amp;"|"&amp;F131&amp;"|"&amp;IF(H131="W3","W3_"&amp;IF(I131="","unknown",I131),H131))</f>
        <v/>
      </c>
      <c r="Q131" s="1" t="str">
        <f aca="false">IF(P131="","",IFERROR(IF(AND(H131="W7",OR(F131="causal",F131="predictive")),IF(AND(K131=1,L131=1,M131=1),"adequate","partial"),INDEX(Fit_Matrix!$B:$B,MATCH(P131,Fit_Matrix!$A:$A,0))),"CHECK KEY"))</f>
        <v/>
      </c>
    </row>
    <row r="132" customFormat="false" ht="15" hidden="false" customHeight="true" outlineLevel="0" collapsed="false">
      <c r="P132" s="1" t="str">
        <f aca="false">IF(OR(F132="",H132="",J132=""),"",J132&amp;"|"&amp;F132&amp;"|"&amp;IF(H132="W3","W3_"&amp;IF(I132="","unknown",I132),H132))</f>
        <v/>
      </c>
      <c r="Q132" s="1" t="str">
        <f aca="false">IF(P132="","",IFERROR(IF(AND(H132="W7",OR(F132="causal",F132="predictive")),IF(AND(K132=1,L132=1,M132=1),"adequate","partial"),INDEX(Fit_Matrix!$B:$B,MATCH(P132,Fit_Matrix!$A:$A,0))),"CHECK KEY"))</f>
        <v/>
      </c>
    </row>
    <row r="133" customFormat="false" ht="15" hidden="false" customHeight="true" outlineLevel="0" collapsed="false">
      <c r="P133" s="1" t="str">
        <f aca="false">IF(OR(F133="",H133="",J133=""),"",J133&amp;"|"&amp;F133&amp;"|"&amp;IF(H133="W3","W3_"&amp;IF(I133="","unknown",I133),H133))</f>
        <v/>
      </c>
      <c r="Q133" s="1" t="str">
        <f aca="false">IF(P133="","",IFERROR(IF(AND(H133="W7",OR(F133="causal",F133="predictive")),IF(AND(K133=1,L133=1,M133=1),"adequate","partial"),INDEX(Fit_Matrix!$B:$B,MATCH(P133,Fit_Matrix!$A:$A,0))),"CHECK KEY"))</f>
        <v/>
      </c>
    </row>
    <row r="134" customFormat="false" ht="15" hidden="false" customHeight="true" outlineLevel="0" collapsed="false">
      <c r="P134" s="1" t="str">
        <f aca="false">IF(OR(F134="",H134="",J134=""),"",J134&amp;"|"&amp;F134&amp;"|"&amp;IF(H134="W3","W3_"&amp;IF(I134="","unknown",I134),H134))</f>
        <v/>
      </c>
      <c r="Q134" s="1" t="str">
        <f aca="false">IF(P134="","",IFERROR(IF(AND(H134="W7",OR(F134="causal",F134="predictive")),IF(AND(K134=1,L134=1,M134=1),"adequate","partial"),INDEX(Fit_Matrix!$B:$B,MATCH(P134,Fit_Matrix!$A:$A,0))),"CHECK KEY"))</f>
        <v/>
      </c>
    </row>
    <row r="135" customFormat="false" ht="15" hidden="false" customHeight="true" outlineLevel="0" collapsed="false">
      <c r="P135" s="1" t="str">
        <f aca="false">IF(OR(F135="",H135="",J135=""),"",J135&amp;"|"&amp;F135&amp;"|"&amp;IF(H135="W3","W3_"&amp;IF(I135="","unknown",I135),H135))</f>
        <v/>
      </c>
      <c r="Q135" s="1" t="str">
        <f aca="false">IF(P135="","",IFERROR(IF(AND(H135="W7",OR(F135="causal",F135="predictive")),IF(AND(K135=1,L135=1,M135=1),"adequate","partial"),INDEX(Fit_Matrix!$B:$B,MATCH(P135,Fit_Matrix!$A:$A,0))),"CHECK KEY"))</f>
        <v/>
      </c>
    </row>
    <row r="136" customFormat="false" ht="15" hidden="false" customHeight="true" outlineLevel="0" collapsed="false">
      <c r="P136" s="1" t="str">
        <f aca="false">IF(OR(F136="",H136="",J136=""),"",J136&amp;"|"&amp;F136&amp;"|"&amp;IF(H136="W3","W3_"&amp;IF(I136="","unknown",I136),H136))</f>
        <v/>
      </c>
      <c r="Q136" s="1" t="str">
        <f aca="false">IF(P136="","",IFERROR(IF(AND(H136="W7",OR(F136="causal",F136="predictive")),IF(AND(K136=1,L136=1,M136=1),"adequate","partial"),INDEX(Fit_Matrix!$B:$B,MATCH(P136,Fit_Matrix!$A:$A,0))),"CHECK KEY"))</f>
        <v/>
      </c>
    </row>
    <row r="137" customFormat="false" ht="15" hidden="false" customHeight="true" outlineLevel="0" collapsed="false">
      <c r="P137" s="1" t="str">
        <f aca="false">IF(OR(F137="",H137="",J137=""),"",J137&amp;"|"&amp;F137&amp;"|"&amp;IF(H137="W3","W3_"&amp;IF(I137="","unknown",I137),H137))</f>
        <v/>
      </c>
      <c r="Q137" s="1" t="str">
        <f aca="false">IF(P137="","",IFERROR(IF(AND(H137="W7",OR(F137="causal",F137="predictive")),IF(AND(K137=1,L137=1,M137=1),"adequate","partial"),INDEX(Fit_Matrix!$B:$B,MATCH(P137,Fit_Matrix!$A:$A,0))),"CHECK KEY"))</f>
        <v/>
      </c>
    </row>
    <row r="138" customFormat="false" ht="15" hidden="false" customHeight="true" outlineLevel="0" collapsed="false">
      <c r="P138" s="1" t="str">
        <f aca="false">IF(OR(F138="",H138="",J138=""),"",J138&amp;"|"&amp;F138&amp;"|"&amp;IF(H138="W3","W3_"&amp;IF(I138="","unknown",I138),H138))</f>
        <v/>
      </c>
      <c r="Q138" s="1" t="str">
        <f aca="false">IF(P138="","",IFERROR(IF(AND(H138="W7",OR(F138="causal",F138="predictive")),IF(AND(K138=1,L138=1,M138=1),"adequate","partial"),INDEX(Fit_Matrix!$B:$B,MATCH(P138,Fit_Matrix!$A:$A,0))),"CHECK KEY"))</f>
        <v/>
      </c>
    </row>
    <row r="139" customFormat="false" ht="15" hidden="false" customHeight="true" outlineLevel="0" collapsed="false">
      <c r="P139" s="1" t="str">
        <f aca="false">IF(OR(F139="",H139="",J139=""),"",J139&amp;"|"&amp;F139&amp;"|"&amp;IF(H139="W3","W3_"&amp;IF(I139="","unknown",I139),H139))</f>
        <v/>
      </c>
      <c r="Q139" s="1" t="str">
        <f aca="false">IF(P139="","",IFERROR(IF(AND(H139="W7",OR(F139="causal",F139="predictive")),IF(AND(K139=1,L139=1,M139=1),"adequate","partial"),INDEX(Fit_Matrix!$B:$B,MATCH(P139,Fit_Matrix!$A:$A,0))),"CHECK KEY"))</f>
        <v/>
      </c>
    </row>
    <row r="140" customFormat="false" ht="15" hidden="false" customHeight="true" outlineLevel="0" collapsed="false">
      <c r="P140" s="1" t="str">
        <f aca="false">IF(OR(F140="",H140="",J140=""),"",J140&amp;"|"&amp;F140&amp;"|"&amp;IF(H140="W3","W3_"&amp;IF(I140="","unknown",I140),H140))</f>
        <v/>
      </c>
      <c r="Q140" s="1" t="str">
        <f aca="false">IF(P140="","",IFERROR(IF(AND(H140="W7",OR(F140="causal",F140="predictive")),IF(AND(K140=1,L140=1,M140=1),"adequate","partial"),INDEX(Fit_Matrix!$B:$B,MATCH(P140,Fit_Matrix!$A:$A,0))),"CHECK KEY"))</f>
        <v/>
      </c>
    </row>
    <row r="141" customFormat="false" ht="15" hidden="false" customHeight="true" outlineLevel="0" collapsed="false">
      <c r="P141" s="1" t="str">
        <f aca="false">IF(OR(F141="",H141="",J141=""),"",J141&amp;"|"&amp;F141&amp;"|"&amp;IF(H141="W3","W3_"&amp;IF(I141="","unknown",I141),H141))</f>
        <v/>
      </c>
      <c r="Q141" s="1" t="str">
        <f aca="false">IF(P141="","",IFERROR(IF(AND(H141="W7",OR(F141="causal",F141="predictive")),IF(AND(K141=1,L141=1,M141=1),"adequate","partial"),INDEX(Fit_Matrix!$B:$B,MATCH(P141,Fit_Matrix!$A:$A,0))),"CHECK KEY"))</f>
        <v/>
      </c>
    </row>
    <row r="142" customFormat="false" ht="15" hidden="false" customHeight="true" outlineLevel="0" collapsed="false">
      <c r="P142" s="1" t="str">
        <f aca="false">IF(OR(F142="",H142="",J142=""),"",J142&amp;"|"&amp;F142&amp;"|"&amp;IF(H142="W3","W3_"&amp;IF(I142="","unknown",I142),H142))</f>
        <v/>
      </c>
      <c r="Q142" s="1" t="str">
        <f aca="false">IF(P142="","",IFERROR(IF(AND(H142="W7",OR(F142="causal",F142="predictive")),IF(AND(K142=1,L142=1,M142=1),"adequate","partial"),INDEX(Fit_Matrix!$B:$B,MATCH(P142,Fit_Matrix!$A:$A,0))),"CHECK KEY"))</f>
        <v/>
      </c>
    </row>
    <row r="143" customFormat="false" ht="15" hidden="false" customHeight="true" outlineLevel="0" collapsed="false">
      <c r="P143" s="1" t="str">
        <f aca="false">IF(OR(F143="",H143="",J143=""),"",J143&amp;"|"&amp;F143&amp;"|"&amp;IF(H143="W3","W3_"&amp;IF(I143="","unknown",I143),H143))</f>
        <v/>
      </c>
      <c r="Q143" s="1" t="str">
        <f aca="false">IF(P143="","",IFERROR(IF(AND(H143="W7",OR(F143="causal",F143="predictive")),IF(AND(K143=1,L143=1,M143=1),"adequate","partial"),INDEX(Fit_Matrix!$B:$B,MATCH(P143,Fit_Matrix!$A:$A,0))),"CHECK KEY"))</f>
        <v/>
      </c>
    </row>
    <row r="144" customFormat="false" ht="15" hidden="false" customHeight="true" outlineLevel="0" collapsed="false">
      <c r="P144" s="1" t="str">
        <f aca="false">IF(OR(F144="",H144="",J144=""),"",J144&amp;"|"&amp;F144&amp;"|"&amp;IF(H144="W3","W3_"&amp;IF(I144="","unknown",I144),H144))</f>
        <v/>
      </c>
      <c r="Q144" s="1" t="str">
        <f aca="false">IF(P144="","",IFERROR(IF(AND(H144="W7",OR(F144="causal",F144="predictive")),IF(AND(K144=1,L144=1,M144=1),"adequate","partial"),INDEX(Fit_Matrix!$B:$B,MATCH(P144,Fit_Matrix!$A:$A,0))),"CHECK KEY"))</f>
        <v/>
      </c>
    </row>
    <row r="145" customFormat="false" ht="15" hidden="false" customHeight="true" outlineLevel="0" collapsed="false">
      <c r="P145" s="1" t="str">
        <f aca="false">IF(OR(F145="",H145="",J145=""),"",J145&amp;"|"&amp;F145&amp;"|"&amp;IF(H145="W3","W3_"&amp;IF(I145="","unknown",I145),H145))</f>
        <v/>
      </c>
      <c r="Q145" s="1" t="str">
        <f aca="false">IF(P145="","",IFERROR(IF(AND(H145="W7",OR(F145="causal",F145="predictive")),IF(AND(K145=1,L145=1,M145=1),"adequate","partial"),INDEX(Fit_Matrix!$B:$B,MATCH(P145,Fit_Matrix!$A:$A,0))),"CHECK KEY"))</f>
        <v/>
      </c>
    </row>
    <row r="146" customFormat="false" ht="15" hidden="false" customHeight="true" outlineLevel="0" collapsed="false">
      <c r="P146" s="1" t="str">
        <f aca="false">IF(OR(F146="",H146="",J146=""),"",J146&amp;"|"&amp;F146&amp;"|"&amp;IF(H146="W3","W3_"&amp;IF(I146="","unknown",I146),H146))</f>
        <v/>
      </c>
      <c r="Q146" s="1" t="str">
        <f aca="false">IF(P146="","",IFERROR(IF(AND(H146="W7",OR(F146="causal",F146="predictive")),IF(AND(K146=1,L146=1,M146=1),"adequate","partial"),INDEX(Fit_Matrix!$B:$B,MATCH(P146,Fit_Matrix!$A:$A,0))),"CHECK KEY"))</f>
        <v/>
      </c>
    </row>
    <row r="147" customFormat="false" ht="15" hidden="false" customHeight="true" outlineLevel="0" collapsed="false">
      <c r="P147" s="1" t="str">
        <f aca="false">IF(OR(F147="",H147="",J147=""),"",J147&amp;"|"&amp;F147&amp;"|"&amp;IF(H147="W3","W3_"&amp;IF(I147="","unknown",I147),H147))</f>
        <v/>
      </c>
      <c r="Q147" s="1" t="str">
        <f aca="false">IF(P147="","",IFERROR(IF(AND(H147="W7",OR(F147="causal",F147="predictive")),IF(AND(K147=1,L147=1,M147=1),"adequate","partial"),INDEX(Fit_Matrix!$B:$B,MATCH(P147,Fit_Matrix!$A:$A,0))),"CHECK KEY"))</f>
        <v/>
      </c>
    </row>
    <row r="148" customFormat="false" ht="15" hidden="false" customHeight="true" outlineLevel="0" collapsed="false">
      <c r="P148" s="1" t="str">
        <f aca="false">IF(OR(F148="",H148="",J148=""),"",J148&amp;"|"&amp;F148&amp;"|"&amp;IF(H148="W3","W3_"&amp;IF(I148="","unknown",I148),H148))</f>
        <v/>
      </c>
      <c r="Q148" s="1" t="str">
        <f aca="false">IF(P148="","",IFERROR(IF(AND(H148="W7",OR(F148="causal",F148="predictive")),IF(AND(K148=1,L148=1,M148=1),"adequate","partial"),INDEX(Fit_Matrix!$B:$B,MATCH(P148,Fit_Matrix!$A:$A,0))),"CHECK KEY"))</f>
        <v/>
      </c>
    </row>
    <row r="149" customFormat="false" ht="15" hidden="false" customHeight="true" outlineLevel="0" collapsed="false">
      <c r="P149" s="1" t="str">
        <f aca="false">IF(OR(F149="",H149="",J149=""),"",J149&amp;"|"&amp;F149&amp;"|"&amp;IF(H149="W3","W3_"&amp;IF(I149="","unknown",I149),H149))</f>
        <v/>
      </c>
      <c r="Q149" s="1" t="str">
        <f aca="false">IF(P149="","",IFERROR(IF(AND(H149="W7",OR(F149="causal",F149="predictive")),IF(AND(K149=1,L149=1,M149=1),"adequate","partial"),INDEX(Fit_Matrix!$B:$B,MATCH(P149,Fit_Matrix!$A:$A,0))),"CHECK KEY"))</f>
        <v/>
      </c>
    </row>
    <row r="150" customFormat="false" ht="15" hidden="false" customHeight="true" outlineLevel="0" collapsed="false">
      <c r="P150" s="1" t="str">
        <f aca="false">IF(OR(F150="",H150="",J150=""),"",J150&amp;"|"&amp;F150&amp;"|"&amp;IF(H150="W3","W3_"&amp;IF(I150="","unknown",I150),H150))</f>
        <v/>
      </c>
      <c r="Q150" s="1" t="str">
        <f aca="false">IF(P150="","",IFERROR(IF(AND(H150="W7",OR(F150="causal",F150="predictive")),IF(AND(K150=1,L150=1,M150=1),"adequate","partial"),INDEX(Fit_Matrix!$B:$B,MATCH(P150,Fit_Matrix!$A:$A,0))),"CHECK KEY"))</f>
        <v/>
      </c>
    </row>
    <row r="151" customFormat="false" ht="15" hidden="false" customHeight="true" outlineLevel="0" collapsed="false">
      <c r="P151" s="1" t="str">
        <f aca="false">IF(OR(F151="",H151="",J151=""),"",J151&amp;"|"&amp;F151&amp;"|"&amp;IF(H151="W3","W3_"&amp;IF(I151="","unknown",I151),H151))</f>
        <v/>
      </c>
      <c r="Q151" s="1" t="str">
        <f aca="false">IF(P151="","",IFERROR(IF(AND(H151="W7",OR(F151="causal",F151="predictive")),IF(AND(K151=1,L151=1,M151=1),"adequate","partial"),INDEX(Fit_Matrix!$B:$B,MATCH(P151,Fit_Matrix!$A:$A,0))),"CHECK KEY"))</f>
        <v/>
      </c>
    </row>
    <row r="152" customFormat="false" ht="15" hidden="false" customHeight="true" outlineLevel="0" collapsed="false">
      <c r="P152" s="1" t="str">
        <f aca="false">IF(OR(F152="",H152="",J152=""),"",J152&amp;"|"&amp;F152&amp;"|"&amp;IF(H152="W3","W3_"&amp;IF(I152="","unknown",I152),H152))</f>
        <v/>
      </c>
      <c r="Q152" s="1" t="str">
        <f aca="false">IF(P152="","",IFERROR(IF(AND(H152="W7",OR(F152="causal",F152="predictive")),IF(AND(K152=1,L152=1,M152=1),"adequate","partial"),INDEX(Fit_Matrix!$B:$B,MATCH(P152,Fit_Matrix!$A:$A,0))),"CHECK KEY"))</f>
        <v/>
      </c>
    </row>
    <row r="153" customFormat="false" ht="15" hidden="false" customHeight="true" outlineLevel="0" collapsed="false">
      <c r="P153" s="1" t="str">
        <f aca="false">IF(OR(F153="",H153="",J153=""),"",J153&amp;"|"&amp;F153&amp;"|"&amp;IF(H153="W3","W3_"&amp;IF(I153="","unknown",I153),H153))</f>
        <v/>
      </c>
      <c r="Q153" s="1" t="str">
        <f aca="false">IF(P153="","",IFERROR(IF(AND(H153="W7",OR(F153="causal",F153="predictive")),IF(AND(K153=1,L153=1,M153=1),"adequate","partial"),INDEX(Fit_Matrix!$B:$B,MATCH(P153,Fit_Matrix!$A:$A,0))),"CHECK KEY"))</f>
        <v/>
      </c>
    </row>
    <row r="154" customFormat="false" ht="15" hidden="false" customHeight="true" outlineLevel="0" collapsed="false">
      <c r="P154" s="1" t="str">
        <f aca="false">IF(OR(F154="",H154="",J154=""),"",J154&amp;"|"&amp;F154&amp;"|"&amp;IF(H154="W3","W3_"&amp;IF(I154="","unknown",I154),H154))</f>
        <v/>
      </c>
      <c r="Q154" s="1" t="str">
        <f aca="false">IF(P154="","",IFERROR(IF(AND(H154="W7",OR(F154="causal",F154="predictive")),IF(AND(K154=1,L154=1,M154=1),"adequate","partial"),INDEX(Fit_Matrix!$B:$B,MATCH(P154,Fit_Matrix!$A:$A,0))),"CHECK KEY"))</f>
        <v/>
      </c>
    </row>
    <row r="155" customFormat="false" ht="15" hidden="false" customHeight="true" outlineLevel="0" collapsed="false">
      <c r="P155" s="1" t="str">
        <f aca="false">IF(OR(F155="",H155="",J155=""),"",J155&amp;"|"&amp;F155&amp;"|"&amp;IF(H155="W3","W3_"&amp;IF(I155="","unknown",I155),H155))</f>
        <v/>
      </c>
      <c r="Q155" s="1" t="str">
        <f aca="false">IF(P155="","",IFERROR(IF(AND(H155="W7",OR(F155="causal",F155="predictive")),IF(AND(K155=1,L155=1,M155=1),"adequate","partial"),INDEX(Fit_Matrix!$B:$B,MATCH(P155,Fit_Matrix!$A:$A,0))),"CHECK KEY"))</f>
        <v/>
      </c>
    </row>
    <row r="156" customFormat="false" ht="15" hidden="false" customHeight="true" outlineLevel="0" collapsed="false">
      <c r="P156" s="1" t="str">
        <f aca="false">IF(OR(F156="",H156="",J156=""),"",J156&amp;"|"&amp;F156&amp;"|"&amp;IF(H156="W3","W3_"&amp;IF(I156="","unknown",I156),H156))</f>
        <v/>
      </c>
      <c r="Q156" s="1" t="str">
        <f aca="false">IF(P156="","",IFERROR(IF(AND(H156="W7",OR(F156="causal",F156="predictive")),IF(AND(K156=1,L156=1,M156=1),"adequate","partial"),INDEX(Fit_Matrix!$B:$B,MATCH(P156,Fit_Matrix!$A:$A,0))),"CHECK KEY"))</f>
        <v/>
      </c>
    </row>
    <row r="157" customFormat="false" ht="15" hidden="false" customHeight="true" outlineLevel="0" collapsed="false">
      <c r="P157" s="1" t="str">
        <f aca="false">IF(OR(F157="",H157="",J157=""),"",J157&amp;"|"&amp;F157&amp;"|"&amp;IF(H157="W3","W3_"&amp;IF(I157="","unknown",I157),H157))</f>
        <v/>
      </c>
      <c r="Q157" s="1" t="str">
        <f aca="false">IF(P157="","",IFERROR(IF(AND(H157="W7",OR(F157="causal",F157="predictive")),IF(AND(K157=1,L157=1,M157=1),"adequate","partial"),INDEX(Fit_Matrix!$B:$B,MATCH(P157,Fit_Matrix!$A:$A,0))),"CHECK KEY"))</f>
        <v/>
      </c>
    </row>
    <row r="158" customFormat="false" ht="15" hidden="false" customHeight="true" outlineLevel="0" collapsed="false">
      <c r="P158" s="1" t="str">
        <f aca="false">IF(OR(F158="",H158="",J158=""),"",J158&amp;"|"&amp;F158&amp;"|"&amp;IF(H158="W3","W3_"&amp;IF(I158="","unknown",I158),H158))</f>
        <v/>
      </c>
      <c r="Q158" s="1" t="str">
        <f aca="false">IF(P158="","",IFERROR(IF(AND(H158="W7",OR(F158="causal",F158="predictive")),IF(AND(K158=1,L158=1,M158=1),"adequate","partial"),INDEX(Fit_Matrix!$B:$B,MATCH(P158,Fit_Matrix!$A:$A,0))),"CHECK KEY"))</f>
        <v/>
      </c>
    </row>
    <row r="159" customFormat="false" ht="15" hidden="false" customHeight="true" outlineLevel="0" collapsed="false">
      <c r="P159" s="1" t="str">
        <f aca="false">IF(OR(F159="",H159="",J159=""),"",J159&amp;"|"&amp;F159&amp;"|"&amp;IF(H159="W3","W3_"&amp;IF(I159="","unknown",I159),H159))</f>
        <v/>
      </c>
      <c r="Q159" s="1" t="str">
        <f aca="false">IF(P159="","",IFERROR(IF(AND(H159="W7",OR(F159="causal",F159="predictive")),IF(AND(K159=1,L159=1,M159=1),"adequate","partial"),INDEX(Fit_Matrix!$B:$B,MATCH(P159,Fit_Matrix!$A:$A,0))),"CHECK KEY"))</f>
        <v/>
      </c>
    </row>
    <row r="160" customFormat="false" ht="15" hidden="false" customHeight="true" outlineLevel="0" collapsed="false">
      <c r="P160" s="1" t="str">
        <f aca="false">IF(OR(F160="",H160="",J160=""),"",J160&amp;"|"&amp;F160&amp;"|"&amp;IF(H160="W3","W3_"&amp;IF(I160="","unknown",I160),H160))</f>
        <v/>
      </c>
      <c r="Q160" s="1" t="str">
        <f aca="false">IF(P160="","",IFERROR(IF(AND(H160="W7",OR(F160="causal",F160="predictive")),IF(AND(K160=1,L160=1,M160=1),"adequate","partial"),INDEX(Fit_Matrix!$B:$B,MATCH(P160,Fit_Matrix!$A:$A,0))),"CHECK KEY"))</f>
        <v/>
      </c>
    </row>
    <row r="161" customFormat="false" ht="15" hidden="false" customHeight="true" outlineLevel="0" collapsed="false">
      <c r="P161" s="1" t="str">
        <f aca="false">IF(OR(F161="",H161="",J161=""),"",J161&amp;"|"&amp;F161&amp;"|"&amp;IF(H161="W3","W3_"&amp;IF(I161="","unknown",I161),H161))</f>
        <v/>
      </c>
      <c r="Q161" s="1" t="str">
        <f aca="false">IF(P161="","",IFERROR(IF(AND(H161="W7",OR(F161="causal",F161="predictive")),IF(AND(K161=1,L161=1,M161=1),"adequate","partial"),INDEX(Fit_Matrix!$B:$B,MATCH(P161,Fit_Matrix!$A:$A,0))),"CHECK KEY"))</f>
        <v/>
      </c>
    </row>
    <row r="162" customFormat="false" ht="15" hidden="false" customHeight="true" outlineLevel="0" collapsed="false">
      <c r="P162" s="1" t="str">
        <f aca="false">IF(OR(F162="",H162="",J162=""),"",J162&amp;"|"&amp;F162&amp;"|"&amp;IF(H162="W3","W3_"&amp;IF(I162="","unknown",I162),H162))</f>
        <v/>
      </c>
      <c r="Q162" s="1" t="str">
        <f aca="false">IF(P162="","",IFERROR(IF(AND(H162="W7",OR(F162="causal",F162="predictive")),IF(AND(K162=1,L162=1,M162=1),"adequate","partial"),INDEX(Fit_Matrix!$B:$B,MATCH(P162,Fit_Matrix!$A:$A,0))),"CHECK KEY"))</f>
        <v/>
      </c>
    </row>
    <row r="163" customFormat="false" ht="15" hidden="false" customHeight="true" outlineLevel="0" collapsed="false">
      <c r="P163" s="1" t="str">
        <f aca="false">IF(OR(F163="",H163="",J163=""),"",J163&amp;"|"&amp;F163&amp;"|"&amp;IF(H163="W3","W3_"&amp;IF(I163="","unknown",I163),H163))</f>
        <v/>
      </c>
      <c r="Q163" s="1" t="str">
        <f aca="false">IF(P163="","",IFERROR(IF(AND(H163="W7",OR(F163="causal",F163="predictive")),IF(AND(K163=1,L163=1,M163=1),"adequate","partial"),INDEX(Fit_Matrix!$B:$B,MATCH(P163,Fit_Matrix!$A:$A,0))),"CHECK KEY"))</f>
        <v/>
      </c>
    </row>
    <row r="164" customFormat="false" ht="15" hidden="false" customHeight="true" outlineLevel="0" collapsed="false">
      <c r="P164" s="1" t="str">
        <f aca="false">IF(OR(F164="",H164="",J164=""),"",J164&amp;"|"&amp;F164&amp;"|"&amp;IF(H164="W3","W3_"&amp;IF(I164="","unknown",I164),H164))</f>
        <v/>
      </c>
      <c r="Q164" s="1" t="str">
        <f aca="false">IF(P164="","",IFERROR(IF(AND(H164="W7",OR(F164="causal",F164="predictive")),IF(AND(K164=1,L164=1,M164=1),"adequate","partial"),INDEX(Fit_Matrix!$B:$B,MATCH(P164,Fit_Matrix!$A:$A,0))),"CHECK KEY"))</f>
        <v/>
      </c>
    </row>
    <row r="165" customFormat="false" ht="15" hidden="false" customHeight="true" outlineLevel="0" collapsed="false">
      <c r="P165" s="1" t="str">
        <f aca="false">IF(OR(F165="",H165="",J165=""),"",J165&amp;"|"&amp;F165&amp;"|"&amp;IF(H165="W3","W3_"&amp;IF(I165="","unknown",I165),H165))</f>
        <v/>
      </c>
      <c r="Q165" s="1" t="str">
        <f aca="false">IF(P165="","",IFERROR(IF(AND(H165="W7",OR(F165="causal",F165="predictive")),IF(AND(K165=1,L165=1,M165=1),"adequate","partial"),INDEX(Fit_Matrix!$B:$B,MATCH(P165,Fit_Matrix!$A:$A,0))),"CHECK KEY"))</f>
        <v/>
      </c>
    </row>
    <row r="166" customFormat="false" ht="15" hidden="false" customHeight="true" outlineLevel="0" collapsed="false">
      <c r="P166" s="1" t="str">
        <f aca="false">IF(OR(F166="",H166="",J166=""),"",J166&amp;"|"&amp;F166&amp;"|"&amp;IF(H166="W3","W3_"&amp;IF(I166="","unknown",I166),H166))</f>
        <v/>
      </c>
      <c r="Q166" s="1" t="str">
        <f aca="false">IF(P166="","",IFERROR(IF(AND(H166="W7",OR(F166="causal",F166="predictive")),IF(AND(K166=1,L166=1,M166=1),"adequate","partial"),INDEX(Fit_Matrix!$B:$B,MATCH(P166,Fit_Matrix!$A:$A,0))),"CHECK KEY"))</f>
        <v/>
      </c>
    </row>
    <row r="167" customFormat="false" ht="15" hidden="false" customHeight="true" outlineLevel="0" collapsed="false">
      <c r="P167" s="1" t="str">
        <f aca="false">IF(OR(F167="",H167="",J167=""),"",J167&amp;"|"&amp;F167&amp;"|"&amp;IF(H167="W3","W3_"&amp;IF(I167="","unknown",I167),H167))</f>
        <v/>
      </c>
      <c r="Q167" s="1" t="str">
        <f aca="false">IF(P167="","",IFERROR(IF(AND(H167="W7",OR(F167="causal",F167="predictive")),IF(AND(K167=1,L167=1,M167=1),"adequate","partial"),INDEX(Fit_Matrix!$B:$B,MATCH(P167,Fit_Matrix!$A:$A,0))),"CHECK KEY"))</f>
        <v/>
      </c>
    </row>
    <row r="168" customFormat="false" ht="15" hidden="false" customHeight="true" outlineLevel="0" collapsed="false">
      <c r="P168" s="1" t="str">
        <f aca="false">IF(OR(F168="",H168="",J168=""),"",J168&amp;"|"&amp;F168&amp;"|"&amp;IF(H168="W3","W3_"&amp;IF(I168="","unknown",I168),H168))</f>
        <v/>
      </c>
      <c r="Q168" s="1" t="str">
        <f aca="false">IF(P168="","",IFERROR(IF(AND(H168="W7",OR(F168="causal",F168="predictive")),IF(AND(K168=1,L168=1,M168=1),"adequate","partial"),INDEX(Fit_Matrix!$B:$B,MATCH(P168,Fit_Matrix!$A:$A,0))),"CHECK KEY"))</f>
        <v/>
      </c>
    </row>
    <row r="169" customFormat="false" ht="15" hidden="false" customHeight="true" outlineLevel="0" collapsed="false">
      <c r="P169" s="1" t="str">
        <f aca="false">IF(OR(F169="",H169="",J169=""),"",J169&amp;"|"&amp;F169&amp;"|"&amp;IF(H169="W3","W3_"&amp;IF(I169="","unknown",I169),H169))</f>
        <v/>
      </c>
      <c r="Q169" s="1" t="str">
        <f aca="false">IF(P169="","",IFERROR(IF(AND(H169="W7",OR(F169="causal",F169="predictive")),IF(AND(K169=1,L169=1,M169=1),"adequate","partial"),INDEX(Fit_Matrix!$B:$B,MATCH(P169,Fit_Matrix!$A:$A,0))),"CHECK KEY"))</f>
        <v/>
      </c>
    </row>
    <row r="170" customFormat="false" ht="15" hidden="false" customHeight="true" outlineLevel="0" collapsed="false">
      <c r="P170" s="1" t="str">
        <f aca="false">IF(OR(F170="",H170="",J170=""),"",J170&amp;"|"&amp;F170&amp;"|"&amp;IF(H170="W3","W3_"&amp;IF(I170="","unknown",I170),H170))</f>
        <v/>
      </c>
      <c r="Q170" s="1" t="str">
        <f aca="false">IF(P170="","",IFERROR(IF(AND(H170="W7",OR(F170="causal",F170="predictive")),IF(AND(K170=1,L170=1,M170=1),"adequate","partial"),INDEX(Fit_Matrix!$B:$B,MATCH(P170,Fit_Matrix!$A:$A,0))),"CHECK KEY"))</f>
        <v/>
      </c>
    </row>
    <row r="171" customFormat="false" ht="15" hidden="false" customHeight="true" outlineLevel="0" collapsed="false">
      <c r="P171" s="1" t="str">
        <f aca="false">IF(OR(F171="",H171="",J171=""),"",J171&amp;"|"&amp;F171&amp;"|"&amp;IF(H171="W3","W3_"&amp;IF(I171="","unknown",I171),H171))</f>
        <v/>
      </c>
      <c r="Q171" s="1" t="str">
        <f aca="false">IF(P171="","",IFERROR(IF(AND(H171="W7",OR(F171="causal",F171="predictive")),IF(AND(K171=1,L171=1,M171=1),"adequate","partial"),INDEX(Fit_Matrix!$B:$B,MATCH(P171,Fit_Matrix!$A:$A,0))),"CHECK KEY"))</f>
        <v/>
      </c>
    </row>
    <row r="172" customFormat="false" ht="15" hidden="false" customHeight="true" outlineLevel="0" collapsed="false">
      <c r="P172" s="1" t="str">
        <f aca="false">IF(OR(F172="",H172="",J172=""),"",J172&amp;"|"&amp;F172&amp;"|"&amp;IF(H172="W3","W3_"&amp;IF(I172="","unknown",I172),H172))</f>
        <v/>
      </c>
      <c r="Q172" s="1" t="str">
        <f aca="false">IF(P172="","",IFERROR(IF(AND(H172="W7",OR(F172="causal",F172="predictive")),IF(AND(K172=1,L172=1,M172=1),"adequate","partial"),INDEX(Fit_Matrix!$B:$B,MATCH(P172,Fit_Matrix!$A:$A,0))),"CHECK KEY"))</f>
        <v/>
      </c>
    </row>
    <row r="173" customFormat="false" ht="15" hidden="false" customHeight="true" outlineLevel="0" collapsed="false">
      <c r="P173" s="1" t="str">
        <f aca="false">IF(OR(F173="",H173="",J173=""),"",J173&amp;"|"&amp;F173&amp;"|"&amp;IF(H173="W3","W3_"&amp;IF(I173="","unknown",I173),H173))</f>
        <v/>
      </c>
      <c r="Q173" s="1" t="str">
        <f aca="false">IF(P173="","",IFERROR(IF(AND(H173="W7",OR(F173="causal",F173="predictive")),IF(AND(K173=1,L173=1,M173=1),"adequate","partial"),INDEX(Fit_Matrix!$B:$B,MATCH(P173,Fit_Matrix!$A:$A,0))),"CHECK KEY"))</f>
        <v/>
      </c>
    </row>
    <row r="174" customFormat="false" ht="15" hidden="false" customHeight="true" outlineLevel="0" collapsed="false">
      <c r="P174" s="1" t="str">
        <f aca="false">IF(OR(F174="",H174="",J174=""),"",J174&amp;"|"&amp;F174&amp;"|"&amp;IF(H174="W3","W3_"&amp;IF(I174="","unknown",I174),H174))</f>
        <v/>
      </c>
      <c r="Q174" s="1" t="str">
        <f aca="false">IF(P174="","",IFERROR(IF(AND(H174="W7",OR(F174="causal",F174="predictive")),IF(AND(K174=1,L174=1,M174=1),"adequate","partial"),INDEX(Fit_Matrix!$B:$B,MATCH(P174,Fit_Matrix!$A:$A,0))),"CHECK KEY"))</f>
        <v/>
      </c>
    </row>
    <row r="175" customFormat="false" ht="15" hidden="false" customHeight="true" outlineLevel="0" collapsed="false">
      <c r="P175" s="1" t="str">
        <f aca="false">IF(OR(F175="",H175="",J175=""),"",J175&amp;"|"&amp;F175&amp;"|"&amp;IF(H175="W3","W3_"&amp;IF(I175="","unknown",I175),H175))</f>
        <v/>
      </c>
      <c r="Q175" s="1" t="str">
        <f aca="false">IF(P175="","",IFERROR(IF(AND(H175="W7",OR(F175="causal",F175="predictive")),IF(AND(K175=1,L175=1,M175=1),"adequate","partial"),INDEX(Fit_Matrix!$B:$B,MATCH(P175,Fit_Matrix!$A:$A,0))),"CHECK KEY"))</f>
        <v/>
      </c>
    </row>
    <row r="176" customFormat="false" ht="15" hidden="false" customHeight="true" outlineLevel="0" collapsed="false">
      <c r="P176" s="1" t="str">
        <f aca="false">IF(OR(F176="",H176="",J176=""),"",J176&amp;"|"&amp;F176&amp;"|"&amp;IF(H176="W3","W3_"&amp;IF(I176="","unknown",I176),H176))</f>
        <v/>
      </c>
      <c r="Q176" s="1" t="str">
        <f aca="false">IF(P176="","",IFERROR(IF(AND(H176="W7",OR(F176="causal",F176="predictive")),IF(AND(K176=1,L176=1,M176=1),"adequate","partial"),INDEX(Fit_Matrix!$B:$B,MATCH(P176,Fit_Matrix!$A:$A,0))),"CHECK KEY"))</f>
        <v/>
      </c>
    </row>
    <row r="177" customFormat="false" ht="15" hidden="false" customHeight="true" outlineLevel="0" collapsed="false">
      <c r="P177" s="1" t="str">
        <f aca="false">IF(OR(F177="",H177="",J177=""),"",J177&amp;"|"&amp;F177&amp;"|"&amp;IF(H177="W3","W3_"&amp;IF(I177="","unknown",I177),H177))</f>
        <v/>
      </c>
      <c r="Q177" s="1" t="str">
        <f aca="false">IF(P177="","",IFERROR(IF(AND(H177="W7",OR(F177="causal",F177="predictive")),IF(AND(K177=1,L177=1,M177=1),"adequate","partial"),INDEX(Fit_Matrix!$B:$B,MATCH(P177,Fit_Matrix!$A:$A,0))),"CHECK KEY"))</f>
        <v/>
      </c>
    </row>
    <row r="178" customFormat="false" ht="15" hidden="false" customHeight="true" outlineLevel="0" collapsed="false">
      <c r="P178" s="1" t="str">
        <f aca="false">IF(OR(F178="",H178="",J178=""),"",J178&amp;"|"&amp;F178&amp;"|"&amp;IF(H178="W3","W3_"&amp;IF(I178="","unknown",I178),H178))</f>
        <v/>
      </c>
      <c r="Q178" s="1" t="str">
        <f aca="false">IF(P178="","",IFERROR(IF(AND(H178="W7",OR(F178="causal",F178="predictive")),IF(AND(K178=1,L178=1,M178=1),"adequate","partial"),INDEX(Fit_Matrix!$B:$B,MATCH(P178,Fit_Matrix!$A:$A,0))),"CHECK KEY"))</f>
        <v/>
      </c>
    </row>
    <row r="179" customFormat="false" ht="15" hidden="false" customHeight="true" outlineLevel="0" collapsed="false">
      <c r="P179" s="1" t="str">
        <f aca="false">IF(OR(F179="",H179="",J179=""),"",J179&amp;"|"&amp;F179&amp;"|"&amp;IF(H179="W3","W3_"&amp;IF(I179="","unknown",I179),H179))</f>
        <v/>
      </c>
      <c r="Q179" s="1" t="str">
        <f aca="false">IF(P179="","",IFERROR(IF(AND(H179="W7",OR(F179="causal",F179="predictive")),IF(AND(K179=1,L179=1,M179=1),"adequate","partial"),INDEX(Fit_Matrix!$B:$B,MATCH(P179,Fit_Matrix!$A:$A,0))),"CHECK KEY"))</f>
        <v/>
      </c>
    </row>
    <row r="180" customFormat="false" ht="15" hidden="false" customHeight="true" outlineLevel="0" collapsed="false">
      <c r="P180" s="1" t="str">
        <f aca="false">IF(OR(F180="",H180="",J180=""),"",J180&amp;"|"&amp;F180&amp;"|"&amp;IF(H180="W3","W3_"&amp;IF(I180="","unknown",I180),H180))</f>
        <v/>
      </c>
      <c r="Q180" s="1" t="str">
        <f aca="false">IF(P180="","",IFERROR(IF(AND(H180="W7",OR(F180="causal",F180="predictive")),IF(AND(K180=1,L180=1,M180=1),"adequate","partial"),INDEX(Fit_Matrix!$B:$B,MATCH(P180,Fit_Matrix!$A:$A,0))),"CHECK KEY"))</f>
        <v/>
      </c>
    </row>
    <row r="181" customFormat="false" ht="15" hidden="false" customHeight="true" outlineLevel="0" collapsed="false">
      <c r="P181" s="1" t="str">
        <f aca="false">IF(OR(F181="",H181="",J181=""),"",J181&amp;"|"&amp;F181&amp;"|"&amp;IF(H181="W3","W3_"&amp;IF(I181="","unknown",I181),H181))</f>
        <v/>
      </c>
      <c r="Q181" s="1" t="str">
        <f aca="false">IF(P181="","",IFERROR(IF(AND(H181="W7",OR(F181="causal",F181="predictive")),IF(AND(K181=1,L181=1,M181=1),"adequate","partial"),INDEX(Fit_Matrix!$B:$B,MATCH(P181,Fit_Matrix!$A:$A,0))),"CHECK KEY"))</f>
        <v/>
      </c>
    </row>
    <row r="182" customFormat="false" ht="15" hidden="false" customHeight="true" outlineLevel="0" collapsed="false">
      <c r="P182" s="1" t="str">
        <f aca="false">IF(OR(F182="",H182="",J182=""),"",J182&amp;"|"&amp;F182&amp;"|"&amp;IF(H182="W3","W3_"&amp;IF(I182="","unknown",I182),H182))</f>
        <v/>
      </c>
      <c r="Q182" s="1" t="str">
        <f aca="false">IF(P182="","",IFERROR(IF(AND(H182="W7",OR(F182="causal",F182="predictive")),IF(AND(K182=1,L182=1,M182=1),"adequate","partial"),INDEX(Fit_Matrix!$B:$B,MATCH(P182,Fit_Matrix!$A:$A,0))),"CHECK KEY"))</f>
        <v/>
      </c>
    </row>
    <row r="183" customFormat="false" ht="15" hidden="false" customHeight="true" outlineLevel="0" collapsed="false">
      <c r="P183" s="1" t="str">
        <f aca="false">IF(OR(F183="",H183="",J183=""),"",J183&amp;"|"&amp;F183&amp;"|"&amp;IF(H183="W3","W3_"&amp;IF(I183="","unknown",I183),H183))</f>
        <v/>
      </c>
      <c r="Q183" s="1" t="str">
        <f aca="false">IF(P183="","",IFERROR(IF(AND(H183="W7",OR(F183="causal",F183="predictive")),IF(AND(K183=1,L183=1,M183=1),"adequate","partial"),INDEX(Fit_Matrix!$B:$B,MATCH(P183,Fit_Matrix!$A:$A,0))),"CHECK KEY"))</f>
        <v/>
      </c>
    </row>
    <row r="184" customFormat="false" ht="15" hidden="false" customHeight="true" outlineLevel="0" collapsed="false">
      <c r="P184" s="1" t="str">
        <f aca="false">IF(OR(F184="",H184="",J184=""),"",J184&amp;"|"&amp;F184&amp;"|"&amp;IF(H184="W3","W3_"&amp;IF(I184="","unknown",I184),H184))</f>
        <v/>
      </c>
      <c r="Q184" s="1" t="str">
        <f aca="false">IF(P184="","",IFERROR(IF(AND(H184="W7",OR(F184="causal",F184="predictive")),IF(AND(K184=1,L184=1,M184=1),"adequate","partial"),INDEX(Fit_Matrix!$B:$B,MATCH(P184,Fit_Matrix!$A:$A,0))),"CHECK KEY"))</f>
        <v/>
      </c>
    </row>
    <row r="185" customFormat="false" ht="15" hidden="false" customHeight="true" outlineLevel="0" collapsed="false">
      <c r="P185" s="1" t="str">
        <f aca="false">IF(OR(F185="",H185="",J185=""),"",J185&amp;"|"&amp;F185&amp;"|"&amp;IF(H185="W3","W3_"&amp;IF(I185="","unknown",I185),H185))</f>
        <v/>
      </c>
      <c r="Q185" s="1" t="str">
        <f aca="false">IF(P185="","",IFERROR(IF(AND(H185="W7",OR(F185="causal",F185="predictive")),IF(AND(K185=1,L185=1,M185=1),"adequate","partial"),INDEX(Fit_Matrix!$B:$B,MATCH(P185,Fit_Matrix!$A:$A,0))),"CHECK KEY"))</f>
        <v/>
      </c>
    </row>
    <row r="186" customFormat="false" ht="15" hidden="false" customHeight="true" outlineLevel="0" collapsed="false">
      <c r="P186" s="1" t="str">
        <f aca="false">IF(OR(F186="",H186="",J186=""),"",J186&amp;"|"&amp;F186&amp;"|"&amp;IF(H186="W3","W3_"&amp;IF(I186="","unknown",I186),H186))</f>
        <v/>
      </c>
      <c r="Q186" s="1" t="str">
        <f aca="false">IF(P186="","",IFERROR(IF(AND(H186="W7",OR(F186="causal",F186="predictive")),IF(AND(K186=1,L186=1,M186=1),"adequate","partial"),INDEX(Fit_Matrix!$B:$B,MATCH(P186,Fit_Matrix!$A:$A,0))),"CHECK KEY"))</f>
        <v/>
      </c>
    </row>
    <row r="187" customFormat="false" ht="15" hidden="false" customHeight="true" outlineLevel="0" collapsed="false">
      <c r="P187" s="1" t="str">
        <f aca="false">IF(OR(F187="",H187="",J187=""),"",J187&amp;"|"&amp;F187&amp;"|"&amp;IF(H187="W3","W3_"&amp;IF(I187="","unknown",I187),H187))</f>
        <v/>
      </c>
      <c r="Q187" s="1" t="str">
        <f aca="false">IF(P187="","",IFERROR(IF(AND(H187="W7",OR(F187="causal",F187="predictive")),IF(AND(K187=1,L187=1,M187=1),"adequate","partial"),INDEX(Fit_Matrix!$B:$B,MATCH(P187,Fit_Matrix!$A:$A,0))),"CHECK KEY"))</f>
        <v/>
      </c>
    </row>
    <row r="188" customFormat="false" ht="15" hidden="false" customHeight="true" outlineLevel="0" collapsed="false">
      <c r="P188" s="1" t="str">
        <f aca="false">IF(OR(F188="",H188="",J188=""),"",J188&amp;"|"&amp;F188&amp;"|"&amp;IF(H188="W3","W3_"&amp;IF(I188="","unknown",I188),H188))</f>
        <v/>
      </c>
      <c r="Q188" s="1" t="str">
        <f aca="false">IF(P188="","",IFERROR(IF(AND(H188="W7",OR(F188="causal",F188="predictive")),IF(AND(K188=1,L188=1,M188=1),"adequate","partial"),INDEX(Fit_Matrix!$B:$B,MATCH(P188,Fit_Matrix!$A:$A,0))),"CHECK KEY"))</f>
        <v/>
      </c>
    </row>
    <row r="189" customFormat="false" ht="15" hidden="false" customHeight="true" outlineLevel="0" collapsed="false">
      <c r="P189" s="1" t="str">
        <f aca="false">IF(OR(F189="",H189="",J189=""),"",J189&amp;"|"&amp;F189&amp;"|"&amp;IF(H189="W3","W3_"&amp;IF(I189="","unknown",I189),H189))</f>
        <v/>
      </c>
      <c r="Q189" s="1" t="str">
        <f aca="false">IF(P189="","",IFERROR(IF(AND(H189="W7",OR(F189="causal",F189="predictive")),IF(AND(K189=1,L189=1,M189=1),"adequate","partial"),INDEX(Fit_Matrix!$B:$B,MATCH(P189,Fit_Matrix!$A:$A,0))),"CHECK KEY"))</f>
        <v/>
      </c>
    </row>
    <row r="190" customFormat="false" ht="15" hidden="false" customHeight="true" outlineLevel="0" collapsed="false">
      <c r="P190" s="1" t="str">
        <f aca="false">IF(OR(F190="",H190="",J190=""),"",J190&amp;"|"&amp;F190&amp;"|"&amp;IF(H190="W3","W3_"&amp;IF(I190="","unknown",I190),H190))</f>
        <v/>
      </c>
      <c r="Q190" s="1" t="str">
        <f aca="false">IF(P190="","",IFERROR(IF(AND(H190="W7",OR(F190="causal",F190="predictive")),IF(AND(K190=1,L190=1,M190=1),"adequate","partial"),INDEX(Fit_Matrix!$B:$B,MATCH(P190,Fit_Matrix!$A:$A,0))),"CHECK KEY"))</f>
        <v/>
      </c>
    </row>
    <row r="191" customFormat="false" ht="15" hidden="false" customHeight="true" outlineLevel="0" collapsed="false">
      <c r="P191" s="1" t="str">
        <f aca="false">IF(OR(F191="",H191="",J191=""),"",J191&amp;"|"&amp;F191&amp;"|"&amp;IF(H191="W3","W3_"&amp;IF(I191="","unknown",I191),H191))</f>
        <v/>
      </c>
      <c r="Q191" s="1" t="str">
        <f aca="false">IF(P191="","",IFERROR(IF(AND(H191="W7",OR(F191="causal",F191="predictive")),IF(AND(K191=1,L191=1,M191=1),"adequate","partial"),INDEX(Fit_Matrix!$B:$B,MATCH(P191,Fit_Matrix!$A:$A,0))),"CHECK KEY"))</f>
        <v/>
      </c>
    </row>
    <row r="192" customFormat="false" ht="15" hidden="false" customHeight="true" outlineLevel="0" collapsed="false">
      <c r="P192" s="1" t="str">
        <f aca="false">IF(OR(F192="",H192="",J192=""),"",J192&amp;"|"&amp;F192&amp;"|"&amp;IF(H192="W3","W3_"&amp;IF(I192="","unknown",I192),H192))</f>
        <v/>
      </c>
      <c r="Q192" s="1" t="str">
        <f aca="false">IF(P192="","",IFERROR(IF(AND(H192="W7",OR(F192="causal",F192="predictive")),IF(AND(K192=1,L192=1,M192=1),"adequate","partial"),INDEX(Fit_Matrix!$B:$B,MATCH(P192,Fit_Matrix!$A:$A,0))),"CHECK KEY"))</f>
        <v/>
      </c>
    </row>
    <row r="193" customFormat="false" ht="15" hidden="false" customHeight="true" outlineLevel="0" collapsed="false">
      <c r="P193" s="1" t="str">
        <f aca="false">IF(OR(F193="",H193="",J193=""),"",J193&amp;"|"&amp;F193&amp;"|"&amp;IF(H193="W3","W3_"&amp;IF(I193="","unknown",I193),H193))</f>
        <v/>
      </c>
      <c r="Q193" s="1" t="str">
        <f aca="false">IF(P193="","",IFERROR(IF(AND(H193="W7",OR(F193="causal",F193="predictive")),IF(AND(K193=1,L193=1,M193=1),"adequate","partial"),INDEX(Fit_Matrix!$B:$B,MATCH(P193,Fit_Matrix!$A:$A,0))),"CHECK KEY"))</f>
        <v/>
      </c>
    </row>
    <row r="194" customFormat="false" ht="15" hidden="false" customHeight="true" outlineLevel="0" collapsed="false">
      <c r="P194" s="1" t="str">
        <f aca="false">IF(OR(F194="",H194="",J194=""),"",J194&amp;"|"&amp;F194&amp;"|"&amp;IF(H194="W3","W3_"&amp;IF(I194="","unknown",I194),H194))</f>
        <v/>
      </c>
      <c r="Q194" s="1" t="str">
        <f aca="false">IF(P194="","",IFERROR(IF(AND(H194="W7",OR(F194="causal",F194="predictive")),IF(AND(K194=1,L194=1,M194=1),"adequate","partial"),INDEX(Fit_Matrix!$B:$B,MATCH(P194,Fit_Matrix!$A:$A,0))),"CHECK KEY"))</f>
        <v/>
      </c>
    </row>
    <row r="195" customFormat="false" ht="15" hidden="false" customHeight="true" outlineLevel="0" collapsed="false">
      <c r="P195" s="1" t="str">
        <f aca="false">IF(OR(F195="",H195="",J195=""),"",J195&amp;"|"&amp;F195&amp;"|"&amp;IF(H195="W3","W3_"&amp;IF(I195="","unknown",I195),H195))</f>
        <v/>
      </c>
      <c r="Q195" s="1" t="str">
        <f aca="false">IF(P195="","",IFERROR(IF(AND(H195="W7",OR(F195="causal",F195="predictive")),IF(AND(K195=1,L195=1,M195=1),"adequate","partial"),INDEX(Fit_Matrix!$B:$B,MATCH(P195,Fit_Matrix!$A:$A,0))),"CHECK KEY"))</f>
        <v/>
      </c>
    </row>
    <row r="196" customFormat="false" ht="15" hidden="false" customHeight="true" outlineLevel="0" collapsed="false">
      <c r="P196" s="1" t="str">
        <f aca="false">IF(OR(F196="",H196="",J196=""),"",J196&amp;"|"&amp;F196&amp;"|"&amp;IF(H196="W3","W3_"&amp;IF(I196="","unknown",I196),H196))</f>
        <v/>
      </c>
      <c r="Q196" s="1" t="str">
        <f aca="false">IF(P196="","",IFERROR(IF(AND(H196="W7",OR(F196="causal",F196="predictive")),IF(AND(K196=1,L196=1,M196=1),"adequate","partial"),INDEX(Fit_Matrix!$B:$B,MATCH(P196,Fit_Matrix!$A:$A,0))),"CHECK KEY"))</f>
        <v/>
      </c>
    </row>
    <row r="197" customFormat="false" ht="15" hidden="false" customHeight="true" outlineLevel="0" collapsed="false">
      <c r="P197" s="1" t="str">
        <f aca="false">IF(OR(F197="",H197="",J197=""),"",J197&amp;"|"&amp;F197&amp;"|"&amp;IF(H197="W3","W3_"&amp;IF(I197="","unknown",I197),H197))</f>
        <v/>
      </c>
      <c r="Q197" s="1" t="str">
        <f aca="false">IF(P197="","",IFERROR(IF(AND(H197="W7",OR(F197="causal",F197="predictive")),IF(AND(K197=1,L197=1,M197=1),"adequate","partial"),INDEX(Fit_Matrix!$B:$B,MATCH(P197,Fit_Matrix!$A:$A,0))),"CHECK KEY"))</f>
        <v/>
      </c>
    </row>
    <row r="198" customFormat="false" ht="15" hidden="false" customHeight="true" outlineLevel="0" collapsed="false">
      <c r="P198" s="1" t="str">
        <f aca="false">IF(OR(F198="",H198="",J198=""),"",J198&amp;"|"&amp;F198&amp;"|"&amp;IF(H198="W3","W3_"&amp;IF(I198="","unknown",I198),H198))</f>
        <v/>
      </c>
      <c r="Q198" s="1" t="str">
        <f aca="false">IF(P198="","",IFERROR(IF(AND(H198="W7",OR(F198="causal",F198="predictive")),IF(AND(K198=1,L198=1,M198=1),"adequate","partial"),INDEX(Fit_Matrix!$B:$B,MATCH(P198,Fit_Matrix!$A:$A,0))),"CHECK KEY"))</f>
        <v/>
      </c>
    </row>
    <row r="199" customFormat="false" ht="15" hidden="false" customHeight="true" outlineLevel="0" collapsed="false">
      <c r="P199" s="1" t="str">
        <f aca="false">IF(OR(F199="",H199="",J199=""),"",J199&amp;"|"&amp;F199&amp;"|"&amp;IF(H199="W3","W3_"&amp;IF(I199="","unknown",I199),H199))</f>
        <v/>
      </c>
      <c r="Q199" s="1" t="str">
        <f aca="false">IF(P199="","",IFERROR(IF(AND(H199="W7",OR(F199="causal",F199="predictive")),IF(AND(K199=1,L199=1,M199=1),"adequate","partial"),INDEX(Fit_Matrix!$B:$B,MATCH(P199,Fit_Matrix!$A:$A,0))),"CHECK KEY"))</f>
        <v/>
      </c>
    </row>
    <row r="200" customFormat="false" ht="15" hidden="false" customHeight="true" outlineLevel="0" collapsed="false">
      <c r="P200" s="1" t="str">
        <f aca="false">IF(OR(F200="",H200="",J200=""),"",J200&amp;"|"&amp;F200&amp;"|"&amp;IF(H200="W3","W3_"&amp;IF(I200="","unknown",I200),H200))</f>
        <v/>
      </c>
      <c r="Q200" s="1" t="str">
        <f aca="false">IF(P200="","",IFERROR(IF(AND(H200="W7",OR(F200="causal",F200="predictive")),IF(AND(K200=1,L200=1,M200=1),"adequate","partial"),INDEX(Fit_Matrix!$B:$B,MATCH(P200,Fit_Matrix!$A:$A,0))),"CHECK KEY"))</f>
        <v/>
      </c>
    </row>
    <row r="201" customFormat="false" ht="15" hidden="false" customHeight="true" outlineLevel="0" collapsed="false">
      <c r="P201" s="1" t="str">
        <f aca="false">IF(OR(F201="",H201="",J201=""),"",J201&amp;"|"&amp;F201&amp;"|"&amp;IF(H201="W3","W3_"&amp;IF(I201="","unknown",I201),H201))</f>
        <v/>
      </c>
      <c r="Q201" s="1" t="str">
        <f aca="false">IF(P201="","",IFERROR(IF(AND(H201="W7",OR(F201="causal",F201="predictive")),IF(AND(K201=1,L201=1,M201=1),"adequate","partial"),INDEX(Fit_Matrix!$B:$B,MATCH(P201,Fit_Matrix!$A:$A,0))),"CHECK KEY"))</f>
        <v/>
      </c>
    </row>
    <row r="202" customFormat="false" ht="15" hidden="false" customHeight="true" outlineLevel="0" collapsed="false">
      <c r="P202" s="1" t="str">
        <f aca="false">IF(OR(F202="",H202="",J202=""),"",J202&amp;"|"&amp;F202&amp;"|"&amp;IF(H202="W3","W3_"&amp;IF(I202="","unknown",I202),H202))</f>
        <v/>
      </c>
      <c r="Q202" s="1" t="str">
        <f aca="false">IF(P202="","",IFERROR(IF(AND(H202="W7",OR(F202="causal",F202="predictive")),IF(AND(K202=1,L202=1,M202=1),"adequate","partial"),INDEX(Fit_Matrix!$B:$B,MATCH(P202,Fit_Matrix!$A:$A,0))),"CHECK KEY"))</f>
        <v/>
      </c>
    </row>
    <row r="203" customFormat="false" ht="15" hidden="false" customHeight="true" outlineLevel="0" collapsed="false">
      <c r="P203" s="1" t="str">
        <f aca="false">IF(OR(F203="",H203="",J203=""),"",J203&amp;"|"&amp;F203&amp;"|"&amp;IF(H203="W3","W3_"&amp;IF(I203="","unknown",I203),H203))</f>
        <v/>
      </c>
      <c r="Q203" s="1" t="str">
        <f aca="false">IF(P203="","",IFERROR(IF(AND(H203="W7",OR(F203="causal",F203="predictive")),IF(AND(K203=1,L203=1,M203=1),"adequate","partial"),INDEX(Fit_Matrix!$B:$B,MATCH(P203,Fit_Matrix!$A:$A,0))),"CHECK KEY"))</f>
        <v/>
      </c>
    </row>
    <row r="204" customFormat="false" ht="15" hidden="false" customHeight="true" outlineLevel="0" collapsed="false">
      <c r="P204" s="1" t="str">
        <f aca="false">IF(OR(F204="",H204="",J204=""),"",J204&amp;"|"&amp;F204&amp;"|"&amp;IF(H204="W3","W3_"&amp;IF(I204="","unknown",I204),H204))</f>
        <v/>
      </c>
      <c r="Q204" s="1" t="str">
        <f aca="false">IF(P204="","",IFERROR(IF(AND(H204="W7",OR(F204="causal",F204="predictive")),IF(AND(K204=1,L204=1,M204=1),"adequate","partial"),INDEX(Fit_Matrix!$B:$B,MATCH(P204,Fit_Matrix!$A:$A,0))),"CHECK KEY"))</f>
        <v/>
      </c>
    </row>
    <row r="205" customFormat="false" ht="15" hidden="false" customHeight="true" outlineLevel="0" collapsed="false">
      <c r="P205" s="1" t="str">
        <f aca="false">IF(OR(F205="",H205="",J205=""),"",J205&amp;"|"&amp;F205&amp;"|"&amp;IF(H205="W3","W3_"&amp;IF(I205="","unknown",I205),H205))</f>
        <v/>
      </c>
      <c r="Q205" s="1" t="str">
        <f aca="false">IF(P205="","",IFERROR(IF(AND(H205="W7",OR(F205="causal",F205="predictive")),IF(AND(K205=1,L205=1,M205=1),"adequate","partial"),INDEX(Fit_Matrix!$B:$B,MATCH(P205,Fit_Matrix!$A:$A,0))),"CHECK KEY"))</f>
        <v/>
      </c>
    </row>
    <row r="206" customFormat="false" ht="15" hidden="false" customHeight="true" outlineLevel="0" collapsed="false">
      <c r="P206" s="1" t="str">
        <f aca="false">IF(OR(F206="",H206="",J206=""),"",J206&amp;"|"&amp;F206&amp;"|"&amp;IF(H206="W3","W3_"&amp;IF(I206="","unknown",I206),H206))</f>
        <v/>
      </c>
      <c r="Q206" s="1" t="str">
        <f aca="false">IF(P206="","",IFERROR(IF(AND(H206="W7",OR(F206="causal",F206="predictive")),IF(AND(K206=1,L206=1,M206=1),"adequate","partial"),INDEX(Fit_Matrix!$B:$B,MATCH(P206,Fit_Matrix!$A:$A,0))),"CHECK KEY"))</f>
        <v/>
      </c>
    </row>
    <row r="207" customFormat="false" ht="15" hidden="false" customHeight="true" outlineLevel="0" collapsed="false">
      <c r="P207" s="1" t="str">
        <f aca="false">IF(OR(F207="",H207="",J207=""),"",J207&amp;"|"&amp;F207&amp;"|"&amp;IF(H207="W3","W3_"&amp;IF(I207="","unknown",I207),H207))</f>
        <v/>
      </c>
      <c r="Q207" s="1" t="str">
        <f aca="false">IF(P207="","",IFERROR(IF(AND(H207="W7",OR(F207="causal",F207="predictive")),IF(AND(K207=1,L207=1,M207=1),"adequate","partial"),INDEX(Fit_Matrix!$B:$B,MATCH(P207,Fit_Matrix!$A:$A,0))),"CHECK KEY"))</f>
        <v/>
      </c>
    </row>
    <row r="208" customFormat="false" ht="15" hidden="false" customHeight="true" outlineLevel="0" collapsed="false">
      <c r="P208" s="1" t="str">
        <f aca="false">IF(OR(F208="",H208="",J208=""),"",J208&amp;"|"&amp;F208&amp;"|"&amp;IF(H208="W3","W3_"&amp;IF(I208="","unknown",I208),H208))</f>
        <v/>
      </c>
      <c r="Q208" s="1" t="str">
        <f aca="false">IF(P208="","",IFERROR(IF(AND(H208="W7",OR(F208="causal",F208="predictive")),IF(AND(K208=1,L208=1,M208=1),"adequate","partial"),INDEX(Fit_Matrix!$B:$B,MATCH(P208,Fit_Matrix!$A:$A,0))),"CHECK KEY"))</f>
        <v/>
      </c>
    </row>
    <row r="209" customFormat="false" ht="15" hidden="false" customHeight="true" outlineLevel="0" collapsed="false">
      <c r="P209" s="1" t="str">
        <f aca="false">IF(OR(F209="",H209="",J209=""),"",J209&amp;"|"&amp;F209&amp;"|"&amp;IF(H209="W3","W3_"&amp;IF(I209="","unknown",I209),H209))</f>
        <v/>
      </c>
      <c r="Q209" s="1" t="str">
        <f aca="false">IF(P209="","",IFERROR(IF(AND(H209="W7",OR(F209="causal",F209="predictive")),IF(AND(K209=1,L209=1,M209=1),"adequate","partial"),INDEX(Fit_Matrix!$B:$B,MATCH(P209,Fit_Matrix!$A:$A,0))),"CHECK KEY"))</f>
        <v/>
      </c>
    </row>
    <row r="210" customFormat="false" ht="15" hidden="false" customHeight="true" outlineLevel="0" collapsed="false">
      <c r="P210" s="1" t="str">
        <f aca="false">IF(OR(F210="",H210="",J210=""),"",J210&amp;"|"&amp;F210&amp;"|"&amp;IF(H210="W3","W3_"&amp;IF(I210="","unknown",I210),H210))</f>
        <v/>
      </c>
      <c r="Q210" s="1" t="str">
        <f aca="false">IF(P210="","",IFERROR(IF(AND(H210="W7",OR(F210="causal",F210="predictive")),IF(AND(K210=1,L210=1,M210=1),"adequate","partial"),INDEX(Fit_Matrix!$B:$B,MATCH(P210,Fit_Matrix!$A:$A,0))),"CHECK KEY"))</f>
        <v/>
      </c>
    </row>
    <row r="211" customFormat="false" ht="15" hidden="false" customHeight="true" outlineLevel="0" collapsed="false">
      <c r="P211" s="1" t="str">
        <f aca="false">IF(OR(F211="",H211="",J211=""),"",J211&amp;"|"&amp;F211&amp;"|"&amp;IF(H211="W3","W3_"&amp;IF(I211="","unknown",I211),H211))</f>
        <v/>
      </c>
      <c r="Q211" s="1" t="str">
        <f aca="false">IF(P211="","",IFERROR(IF(AND(H211="W7",OR(F211="causal",F211="predictive")),IF(AND(K211=1,L211=1,M211=1),"adequate","partial"),INDEX(Fit_Matrix!$B:$B,MATCH(P211,Fit_Matrix!$A:$A,0))),"CHECK KEY"))</f>
        <v/>
      </c>
    </row>
    <row r="212" customFormat="false" ht="15" hidden="false" customHeight="true" outlineLevel="0" collapsed="false">
      <c r="P212" s="1" t="str">
        <f aca="false">IF(OR(F212="",H212="",J212=""),"",J212&amp;"|"&amp;F212&amp;"|"&amp;IF(H212="W3","W3_"&amp;IF(I212="","unknown",I212),H212))</f>
        <v/>
      </c>
      <c r="Q212" s="1" t="str">
        <f aca="false">IF(P212="","",IFERROR(IF(AND(H212="W7",OR(F212="causal",F212="predictive")),IF(AND(K212=1,L212=1,M212=1),"adequate","partial"),INDEX(Fit_Matrix!$B:$B,MATCH(P212,Fit_Matrix!$A:$A,0))),"CHECK KEY"))</f>
        <v/>
      </c>
    </row>
    <row r="213" customFormat="false" ht="15" hidden="false" customHeight="true" outlineLevel="0" collapsed="false">
      <c r="P213" s="1" t="str">
        <f aca="false">IF(OR(F213="",H213="",J213=""),"",J213&amp;"|"&amp;F213&amp;"|"&amp;IF(H213="W3","W3_"&amp;IF(I213="","unknown",I213),H213))</f>
        <v/>
      </c>
      <c r="Q213" s="1" t="str">
        <f aca="false">IF(P213="","",IFERROR(IF(AND(H213="W7",OR(F213="causal",F213="predictive")),IF(AND(K213=1,L213=1,M213=1),"adequate","partial"),INDEX(Fit_Matrix!$B:$B,MATCH(P213,Fit_Matrix!$A:$A,0))),"CHECK KEY"))</f>
        <v/>
      </c>
    </row>
    <row r="214" customFormat="false" ht="15" hidden="false" customHeight="true" outlineLevel="0" collapsed="false">
      <c r="P214" s="1" t="str">
        <f aca="false">IF(OR(F214="",H214="",J214=""),"",J214&amp;"|"&amp;F214&amp;"|"&amp;IF(H214="W3","W3_"&amp;IF(I214="","unknown",I214),H214))</f>
        <v/>
      </c>
      <c r="Q214" s="1" t="str">
        <f aca="false">IF(P214="","",IFERROR(IF(AND(H214="W7",OR(F214="causal",F214="predictive")),IF(AND(K214=1,L214=1,M214=1),"adequate","partial"),INDEX(Fit_Matrix!$B:$B,MATCH(P214,Fit_Matrix!$A:$A,0))),"CHECK KEY"))</f>
        <v/>
      </c>
    </row>
    <row r="215" customFormat="false" ht="15" hidden="false" customHeight="true" outlineLevel="0" collapsed="false">
      <c r="P215" s="1" t="str">
        <f aca="false">IF(OR(F215="",H215="",J215=""),"",J215&amp;"|"&amp;F215&amp;"|"&amp;IF(H215="W3","W3_"&amp;IF(I215="","unknown",I215),H215))</f>
        <v/>
      </c>
      <c r="Q215" s="1" t="str">
        <f aca="false">IF(P215="","",IFERROR(IF(AND(H215="W7",OR(F215="causal",F215="predictive")),IF(AND(K215=1,L215=1,M215=1),"adequate","partial"),INDEX(Fit_Matrix!$B:$B,MATCH(P215,Fit_Matrix!$A:$A,0))),"CHECK KEY"))</f>
        <v/>
      </c>
    </row>
    <row r="216" customFormat="false" ht="15" hidden="false" customHeight="true" outlineLevel="0" collapsed="false">
      <c r="P216" s="1" t="str">
        <f aca="false">IF(OR(F216="",H216="",J216=""),"",J216&amp;"|"&amp;F216&amp;"|"&amp;IF(H216="W3","W3_"&amp;IF(I216="","unknown",I216),H216))</f>
        <v/>
      </c>
      <c r="Q216" s="1" t="str">
        <f aca="false">IF(P216="","",IFERROR(IF(AND(H216="W7",OR(F216="causal",F216="predictive")),IF(AND(K216=1,L216=1,M216=1),"adequate","partial"),INDEX(Fit_Matrix!$B:$B,MATCH(P216,Fit_Matrix!$A:$A,0))),"CHECK KEY"))</f>
        <v/>
      </c>
    </row>
    <row r="217" customFormat="false" ht="15" hidden="false" customHeight="true" outlineLevel="0" collapsed="false">
      <c r="P217" s="1" t="str">
        <f aca="false">IF(OR(F217="",H217="",J217=""),"",J217&amp;"|"&amp;F217&amp;"|"&amp;IF(H217="W3","W3_"&amp;IF(I217="","unknown",I217),H217))</f>
        <v/>
      </c>
      <c r="Q217" s="1" t="str">
        <f aca="false">IF(P217="","",IFERROR(IF(AND(H217="W7",OR(F217="causal",F217="predictive")),IF(AND(K217=1,L217=1,M217=1),"adequate","partial"),INDEX(Fit_Matrix!$B:$B,MATCH(P217,Fit_Matrix!$A:$A,0))),"CHECK KEY"))</f>
        <v/>
      </c>
    </row>
    <row r="218" customFormat="false" ht="15" hidden="false" customHeight="true" outlineLevel="0" collapsed="false">
      <c r="P218" s="1" t="str">
        <f aca="false">IF(OR(F218="",H218="",J218=""),"",J218&amp;"|"&amp;F218&amp;"|"&amp;IF(H218="W3","W3_"&amp;IF(I218="","unknown",I218),H218))</f>
        <v/>
      </c>
      <c r="Q218" s="1" t="str">
        <f aca="false">IF(P218="","",IFERROR(IF(AND(H218="W7",OR(F218="causal",F218="predictive")),IF(AND(K218=1,L218=1,M218=1),"adequate","partial"),INDEX(Fit_Matrix!$B:$B,MATCH(P218,Fit_Matrix!$A:$A,0))),"CHECK KEY"))</f>
        <v/>
      </c>
    </row>
    <row r="219" customFormat="false" ht="15" hidden="false" customHeight="true" outlineLevel="0" collapsed="false">
      <c r="P219" s="1" t="str">
        <f aca="false">IF(OR(F219="",H219="",J219=""),"",J219&amp;"|"&amp;F219&amp;"|"&amp;IF(H219="W3","W3_"&amp;IF(I219="","unknown",I219),H219))</f>
        <v/>
      </c>
      <c r="Q219" s="1" t="str">
        <f aca="false">IF(P219="","",IFERROR(IF(AND(H219="W7",OR(F219="causal",F219="predictive")),IF(AND(K219=1,L219=1,M219=1),"adequate","partial"),INDEX(Fit_Matrix!$B:$B,MATCH(P219,Fit_Matrix!$A:$A,0))),"CHECK KEY"))</f>
        <v/>
      </c>
    </row>
    <row r="220" customFormat="false" ht="15" hidden="false" customHeight="true" outlineLevel="0" collapsed="false">
      <c r="P220" s="1" t="str">
        <f aca="false">IF(OR(F220="",H220="",J220=""),"",J220&amp;"|"&amp;F220&amp;"|"&amp;IF(H220="W3","W3_"&amp;IF(I220="","unknown",I220),H220))</f>
        <v/>
      </c>
      <c r="Q220" s="1" t="str">
        <f aca="false">IF(P220="","",IFERROR(IF(AND(H220="W7",OR(F220="causal",F220="predictive")),IF(AND(K220=1,L220=1,M220=1),"adequate","partial"),INDEX(Fit_Matrix!$B:$B,MATCH(P220,Fit_Matrix!$A:$A,0))),"CHECK KEY"))</f>
        <v/>
      </c>
    </row>
    <row r="221" customFormat="false" ht="15" hidden="false" customHeight="true" outlineLevel="0" collapsed="false">
      <c r="P221" s="1" t="str">
        <f aca="false">IF(OR(F221="",H221="",J221=""),"",J221&amp;"|"&amp;F221&amp;"|"&amp;IF(H221="W3","W3_"&amp;IF(I221="","unknown",I221),H221))</f>
        <v/>
      </c>
      <c r="Q221" s="1" t="str">
        <f aca="false">IF(P221="","",IFERROR(IF(AND(H221="W7",OR(F221="causal",F221="predictive")),IF(AND(K221=1,L221=1,M221=1),"adequate","partial"),INDEX(Fit_Matrix!$B:$B,MATCH(P221,Fit_Matrix!$A:$A,0))),"CHECK KEY"))</f>
        <v/>
      </c>
    </row>
    <row r="222" customFormat="false" ht="15" hidden="false" customHeight="true" outlineLevel="0" collapsed="false">
      <c r="P222" s="1" t="str">
        <f aca="false">IF(OR(F222="",H222="",J222=""),"",J222&amp;"|"&amp;F222&amp;"|"&amp;IF(H222="W3","W3_"&amp;IF(I222="","unknown",I222),H222))</f>
        <v/>
      </c>
      <c r="Q222" s="1" t="str">
        <f aca="false">IF(P222="","",IFERROR(IF(AND(H222="W7",OR(F222="causal",F222="predictive")),IF(AND(K222=1,L222=1,M222=1),"adequate","partial"),INDEX(Fit_Matrix!$B:$B,MATCH(P222,Fit_Matrix!$A:$A,0))),"CHECK KEY"))</f>
        <v/>
      </c>
    </row>
    <row r="223" customFormat="false" ht="15" hidden="false" customHeight="true" outlineLevel="0" collapsed="false">
      <c r="P223" s="1" t="str">
        <f aca="false">IF(OR(F223="",H223="",J223=""),"",J223&amp;"|"&amp;F223&amp;"|"&amp;IF(H223="W3","W3_"&amp;IF(I223="","unknown",I223),H223))</f>
        <v/>
      </c>
      <c r="Q223" s="1" t="str">
        <f aca="false">IF(P223="","",IFERROR(IF(AND(H223="W7",OR(F223="causal",F223="predictive")),IF(AND(K223=1,L223=1,M223=1),"adequate","partial"),INDEX(Fit_Matrix!$B:$B,MATCH(P223,Fit_Matrix!$A:$A,0))),"CHECK KEY"))</f>
        <v/>
      </c>
    </row>
    <row r="224" customFormat="false" ht="15" hidden="false" customHeight="true" outlineLevel="0" collapsed="false">
      <c r="P224" s="1" t="str">
        <f aca="false">IF(OR(F224="",H224="",J224=""),"",J224&amp;"|"&amp;F224&amp;"|"&amp;IF(H224="W3","W3_"&amp;IF(I224="","unknown",I224),H224))</f>
        <v/>
      </c>
      <c r="Q224" s="1" t="str">
        <f aca="false">IF(P224="","",IFERROR(IF(AND(H224="W7",OR(F224="causal",F224="predictive")),IF(AND(K224=1,L224=1,M224=1),"adequate","partial"),INDEX(Fit_Matrix!$B:$B,MATCH(P224,Fit_Matrix!$A:$A,0))),"CHECK KEY"))</f>
        <v/>
      </c>
    </row>
    <row r="225" customFormat="false" ht="15" hidden="false" customHeight="true" outlineLevel="0" collapsed="false">
      <c r="P225" s="1" t="str">
        <f aca="false">IF(OR(F225="",H225="",J225=""),"",J225&amp;"|"&amp;F225&amp;"|"&amp;IF(H225="W3","W3_"&amp;IF(I225="","unknown",I225),H225))</f>
        <v/>
      </c>
      <c r="Q225" s="1" t="str">
        <f aca="false">IF(P225="","",IFERROR(IF(AND(H225="W7",OR(F225="causal",F225="predictive")),IF(AND(K225=1,L225=1,M225=1),"adequate","partial"),INDEX(Fit_Matrix!$B:$B,MATCH(P225,Fit_Matrix!$A:$A,0))),"CHECK KEY"))</f>
        <v/>
      </c>
    </row>
    <row r="226" customFormat="false" ht="15" hidden="false" customHeight="true" outlineLevel="0" collapsed="false">
      <c r="P226" s="1" t="str">
        <f aca="false">IF(OR(F226="",H226="",J226=""),"",J226&amp;"|"&amp;F226&amp;"|"&amp;IF(H226="W3","W3_"&amp;IF(I226="","unknown",I226),H226))</f>
        <v/>
      </c>
      <c r="Q226" s="1" t="str">
        <f aca="false">IF(P226="","",IFERROR(IF(AND(H226="W7",OR(F226="causal",F226="predictive")),IF(AND(K226=1,L226=1,M226=1),"adequate","partial"),INDEX(Fit_Matrix!$B:$B,MATCH(P226,Fit_Matrix!$A:$A,0))),"CHECK KEY"))</f>
        <v/>
      </c>
    </row>
    <row r="227" customFormat="false" ht="15" hidden="false" customHeight="true" outlineLevel="0" collapsed="false">
      <c r="P227" s="1" t="str">
        <f aca="false">IF(OR(F227="",H227="",J227=""),"",J227&amp;"|"&amp;F227&amp;"|"&amp;IF(H227="W3","W3_"&amp;IF(I227="","unknown",I227),H227))</f>
        <v/>
      </c>
      <c r="Q227" s="1" t="str">
        <f aca="false">IF(P227="","",IFERROR(IF(AND(H227="W7",OR(F227="causal",F227="predictive")),IF(AND(K227=1,L227=1,M227=1),"adequate","partial"),INDEX(Fit_Matrix!$B:$B,MATCH(P227,Fit_Matrix!$A:$A,0))),"CHECK KEY"))</f>
        <v/>
      </c>
    </row>
    <row r="228" customFormat="false" ht="15" hidden="false" customHeight="true" outlineLevel="0" collapsed="false">
      <c r="P228" s="1" t="str">
        <f aca="false">IF(OR(F228="",H228="",J228=""),"",J228&amp;"|"&amp;F228&amp;"|"&amp;IF(H228="W3","W3_"&amp;IF(I228="","unknown",I228),H228))</f>
        <v/>
      </c>
      <c r="Q228" s="1" t="str">
        <f aca="false">IF(P228="","",IFERROR(IF(AND(H228="W7",OR(F228="causal",F228="predictive")),IF(AND(K228=1,L228=1,M228=1),"adequate","partial"),INDEX(Fit_Matrix!$B:$B,MATCH(P228,Fit_Matrix!$A:$A,0))),"CHECK KEY"))</f>
        <v/>
      </c>
    </row>
    <row r="229" customFormat="false" ht="15" hidden="false" customHeight="true" outlineLevel="0" collapsed="false">
      <c r="P229" s="1" t="str">
        <f aca="false">IF(OR(F229="",H229="",J229=""),"",J229&amp;"|"&amp;F229&amp;"|"&amp;IF(H229="W3","W3_"&amp;IF(I229="","unknown",I229),H229))</f>
        <v/>
      </c>
      <c r="Q229" s="1" t="str">
        <f aca="false">IF(P229="","",IFERROR(IF(AND(H229="W7",OR(F229="causal",F229="predictive")),IF(AND(K229=1,L229=1,M229=1),"adequate","partial"),INDEX(Fit_Matrix!$B:$B,MATCH(P229,Fit_Matrix!$A:$A,0))),"CHECK KEY"))</f>
        <v/>
      </c>
    </row>
    <row r="230" customFormat="false" ht="15" hidden="false" customHeight="true" outlineLevel="0" collapsed="false">
      <c r="P230" s="1" t="str">
        <f aca="false">IF(OR(F230="",H230="",J230=""),"",J230&amp;"|"&amp;F230&amp;"|"&amp;IF(H230="W3","W3_"&amp;IF(I230="","unknown",I230),H230))</f>
        <v/>
      </c>
      <c r="Q230" s="1" t="str">
        <f aca="false">IF(P230="","",IFERROR(IF(AND(H230="W7",OR(F230="causal",F230="predictive")),IF(AND(K230=1,L230=1,M230=1),"adequate","partial"),INDEX(Fit_Matrix!$B:$B,MATCH(P230,Fit_Matrix!$A:$A,0))),"CHECK KEY"))</f>
        <v/>
      </c>
    </row>
    <row r="231" customFormat="false" ht="15" hidden="false" customHeight="true" outlineLevel="0" collapsed="false">
      <c r="P231" s="1" t="str">
        <f aca="false">IF(OR(F231="",H231="",J231=""),"",J231&amp;"|"&amp;F231&amp;"|"&amp;IF(H231="W3","W3_"&amp;IF(I231="","unknown",I231),H231))</f>
        <v/>
      </c>
      <c r="Q231" s="1" t="str">
        <f aca="false">IF(P231="","",IFERROR(IF(AND(H231="W7",OR(F231="causal",F231="predictive")),IF(AND(K231=1,L231=1,M231=1),"adequate","partial"),INDEX(Fit_Matrix!$B:$B,MATCH(P231,Fit_Matrix!$A:$A,0))),"CHECK KEY"))</f>
        <v/>
      </c>
    </row>
    <row r="232" customFormat="false" ht="15" hidden="false" customHeight="true" outlineLevel="0" collapsed="false">
      <c r="P232" s="1" t="str">
        <f aca="false">IF(OR(F232="",H232="",J232=""),"",J232&amp;"|"&amp;F232&amp;"|"&amp;IF(H232="W3","W3_"&amp;IF(I232="","unknown",I232),H232))</f>
        <v/>
      </c>
      <c r="Q232" s="1" t="str">
        <f aca="false">IF(P232="","",IFERROR(IF(AND(H232="W7",OR(F232="causal",F232="predictive")),IF(AND(K232=1,L232=1,M232=1),"adequate","partial"),INDEX(Fit_Matrix!$B:$B,MATCH(P232,Fit_Matrix!$A:$A,0))),"CHECK KEY"))</f>
        <v/>
      </c>
    </row>
    <row r="233" customFormat="false" ht="15" hidden="false" customHeight="true" outlineLevel="0" collapsed="false">
      <c r="P233" s="1" t="str">
        <f aca="false">IF(OR(F233="",H233="",J233=""),"",J233&amp;"|"&amp;F233&amp;"|"&amp;IF(H233="W3","W3_"&amp;IF(I233="","unknown",I233),H233))</f>
        <v/>
      </c>
      <c r="Q233" s="1" t="str">
        <f aca="false">IF(P233="","",IFERROR(IF(AND(H233="W7",OR(F233="causal",F233="predictive")),IF(AND(K233=1,L233=1,M233=1),"adequate","partial"),INDEX(Fit_Matrix!$B:$B,MATCH(P233,Fit_Matrix!$A:$A,0))),"CHECK KEY"))</f>
        <v/>
      </c>
    </row>
    <row r="234" customFormat="false" ht="15" hidden="false" customHeight="true" outlineLevel="0" collapsed="false">
      <c r="P234" s="1" t="str">
        <f aca="false">IF(OR(F234="",H234="",J234=""),"",J234&amp;"|"&amp;F234&amp;"|"&amp;IF(H234="W3","W3_"&amp;IF(I234="","unknown",I234),H234))</f>
        <v/>
      </c>
      <c r="Q234" s="1" t="str">
        <f aca="false">IF(P234="","",IFERROR(IF(AND(H234="W7",OR(F234="causal",F234="predictive")),IF(AND(K234=1,L234=1,M234=1),"adequate","partial"),INDEX(Fit_Matrix!$B:$B,MATCH(P234,Fit_Matrix!$A:$A,0))),"CHECK KEY"))</f>
        <v/>
      </c>
    </row>
    <row r="235" customFormat="false" ht="15" hidden="false" customHeight="true" outlineLevel="0" collapsed="false">
      <c r="P235" s="1" t="str">
        <f aca="false">IF(OR(F235="",H235="",J235=""),"",J235&amp;"|"&amp;F235&amp;"|"&amp;IF(H235="W3","W3_"&amp;IF(I235="","unknown",I235),H235))</f>
        <v/>
      </c>
      <c r="Q235" s="1" t="str">
        <f aca="false">IF(P235="","",IFERROR(IF(AND(H235="W7",OR(F235="causal",F235="predictive")),IF(AND(K235=1,L235=1,M235=1),"adequate","partial"),INDEX(Fit_Matrix!$B:$B,MATCH(P235,Fit_Matrix!$A:$A,0))),"CHECK KEY"))</f>
        <v/>
      </c>
    </row>
    <row r="236" customFormat="false" ht="15" hidden="false" customHeight="true" outlineLevel="0" collapsed="false">
      <c r="P236" s="1" t="str">
        <f aca="false">IF(OR(F236="",H236="",J236=""),"",J236&amp;"|"&amp;F236&amp;"|"&amp;IF(H236="W3","W3_"&amp;IF(I236="","unknown",I236),H236))</f>
        <v/>
      </c>
      <c r="Q236" s="1" t="str">
        <f aca="false">IF(P236="","",IFERROR(IF(AND(H236="W7",OR(F236="causal",F236="predictive")),IF(AND(K236=1,L236=1,M236=1),"adequate","partial"),INDEX(Fit_Matrix!$B:$B,MATCH(P236,Fit_Matrix!$A:$A,0))),"CHECK KEY"))</f>
        <v/>
      </c>
    </row>
    <row r="237" customFormat="false" ht="15" hidden="false" customHeight="true" outlineLevel="0" collapsed="false">
      <c r="P237" s="1" t="str">
        <f aca="false">IF(OR(F237="",H237="",J237=""),"",J237&amp;"|"&amp;F237&amp;"|"&amp;IF(H237="W3","W3_"&amp;IF(I237="","unknown",I237),H237))</f>
        <v/>
      </c>
      <c r="Q237" s="1" t="str">
        <f aca="false">IF(P237="","",IFERROR(IF(AND(H237="W7",OR(F237="causal",F237="predictive")),IF(AND(K237=1,L237=1,M237=1),"adequate","partial"),INDEX(Fit_Matrix!$B:$B,MATCH(P237,Fit_Matrix!$A:$A,0))),"CHECK KEY"))</f>
        <v/>
      </c>
    </row>
    <row r="238" customFormat="false" ht="15" hidden="false" customHeight="true" outlineLevel="0" collapsed="false">
      <c r="P238" s="1" t="str">
        <f aca="false">IF(OR(F238="",H238="",J238=""),"",J238&amp;"|"&amp;F238&amp;"|"&amp;IF(H238="W3","W3_"&amp;IF(I238="","unknown",I238),H238))</f>
        <v/>
      </c>
      <c r="Q238" s="1" t="str">
        <f aca="false">IF(P238="","",IFERROR(IF(AND(H238="W7",OR(F238="causal",F238="predictive")),IF(AND(K238=1,L238=1,M238=1),"adequate","partial"),INDEX(Fit_Matrix!$B:$B,MATCH(P238,Fit_Matrix!$A:$A,0))),"CHECK KEY"))</f>
        <v/>
      </c>
    </row>
    <row r="239" customFormat="false" ht="15" hidden="false" customHeight="true" outlineLevel="0" collapsed="false">
      <c r="P239" s="1" t="str">
        <f aca="false">IF(OR(F239="",H239="",J239=""),"",J239&amp;"|"&amp;F239&amp;"|"&amp;IF(H239="W3","W3_"&amp;IF(I239="","unknown",I239),H239))</f>
        <v/>
      </c>
      <c r="Q239" s="1" t="str">
        <f aca="false">IF(P239="","",IFERROR(IF(AND(H239="W7",OR(F239="causal",F239="predictive")),IF(AND(K239=1,L239=1,M239=1),"adequate","partial"),INDEX(Fit_Matrix!$B:$B,MATCH(P239,Fit_Matrix!$A:$A,0))),"CHECK KEY"))</f>
        <v/>
      </c>
    </row>
    <row r="240" customFormat="false" ht="15" hidden="false" customHeight="true" outlineLevel="0" collapsed="false">
      <c r="P240" s="1" t="str">
        <f aca="false">IF(OR(F240="",H240="",J240=""),"",J240&amp;"|"&amp;F240&amp;"|"&amp;IF(H240="W3","W3_"&amp;IF(I240="","unknown",I240),H240))</f>
        <v/>
      </c>
      <c r="Q240" s="1" t="str">
        <f aca="false">IF(P240="","",IFERROR(IF(AND(H240="W7",OR(F240="causal",F240="predictive")),IF(AND(K240=1,L240=1,M240=1),"adequate","partial"),INDEX(Fit_Matrix!$B:$B,MATCH(P240,Fit_Matrix!$A:$A,0))),"CHECK KEY"))</f>
        <v/>
      </c>
    </row>
    <row r="241" customFormat="false" ht="15" hidden="false" customHeight="true" outlineLevel="0" collapsed="false">
      <c r="P241" s="1" t="str">
        <f aca="false">IF(OR(F241="",H241="",J241=""),"",J241&amp;"|"&amp;F241&amp;"|"&amp;IF(H241="W3","W3_"&amp;IF(I241="","unknown",I241),H241))</f>
        <v/>
      </c>
      <c r="Q241" s="1" t="str">
        <f aca="false">IF(P241="","",IFERROR(IF(AND(H241="W7",OR(F241="causal",F241="predictive")),IF(AND(K241=1,L241=1,M241=1),"adequate","partial"),INDEX(Fit_Matrix!$B:$B,MATCH(P241,Fit_Matrix!$A:$A,0))),"CHECK KEY"))</f>
        <v/>
      </c>
    </row>
    <row r="242" customFormat="false" ht="15" hidden="false" customHeight="true" outlineLevel="0" collapsed="false">
      <c r="P242" s="1" t="str">
        <f aca="false">IF(OR(F242="",H242="",J242=""),"",J242&amp;"|"&amp;F242&amp;"|"&amp;IF(H242="W3","W3_"&amp;IF(I242="","unknown",I242),H242))</f>
        <v/>
      </c>
      <c r="Q242" s="1" t="str">
        <f aca="false">IF(P242="","",IFERROR(IF(AND(H242="W7",OR(F242="causal",F242="predictive")),IF(AND(K242=1,L242=1,M242=1),"adequate","partial"),INDEX(Fit_Matrix!$B:$B,MATCH(P242,Fit_Matrix!$A:$A,0))),"CHECK KEY"))</f>
        <v/>
      </c>
    </row>
    <row r="243" customFormat="false" ht="15" hidden="false" customHeight="true" outlineLevel="0" collapsed="false">
      <c r="P243" s="1" t="str">
        <f aca="false">IF(OR(F243="",H243="",J243=""),"",J243&amp;"|"&amp;F243&amp;"|"&amp;IF(H243="W3","W3_"&amp;IF(I243="","unknown",I243),H243))</f>
        <v/>
      </c>
      <c r="Q243" s="1" t="str">
        <f aca="false">IF(P243="","",IFERROR(IF(AND(H243="W7",OR(F243="causal",F243="predictive")),IF(AND(K243=1,L243=1,M243=1),"adequate","partial"),INDEX(Fit_Matrix!$B:$B,MATCH(P243,Fit_Matrix!$A:$A,0))),"CHECK KEY"))</f>
        <v/>
      </c>
    </row>
    <row r="244" customFormat="false" ht="15" hidden="false" customHeight="true" outlineLevel="0" collapsed="false">
      <c r="P244" s="1" t="str">
        <f aca="false">IF(OR(F244="",H244="",J244=""),"",J244&amp;"|"&amp;F244&amp;"|"&amp;IF(H244="W3","W3_"&amp;IF(I244="","unknown",I244),H244))</f>
        <v/>
      </c>
      <c r="Q244" s="1" t="str">
        <f aca="false">IF(P244="","",IFERROR(IF(AND(H244="W7",OR(F244="causal",F244="predictive")),IF(AND(K244=1,L244=1,M244=1),"adequate","partial"),INDEX(Fit_Matrix!$B:$B,MATCH(P244,Fit_Matrix!$A:$A,0))),"CHECK KEY"))</f>
        <v/>
      </c>
    </row>
    <row r="245" customFormat="false" ht="15" hidden="false" customHeight="true" outlineLevel="0" collapsed="false">
      <c r="P245" s="1" t="str">
        <f aca="false">IF(OR(F245="",H245="",J245=""),"",J245&amp;"|"&amp;F245&amp;"|"&amp;IF(H245="W3","W3_"&amp;IF(I245="","unknown",I245),H245))</f>
        <v/>
      </c>
      <c r="Q245" s="1" t="str">
        <f aca="false">IF(P245="","",IFERROR(IF(AND(H245="W7",OR(F245="causal",F245="predictive")),IF(AND(K245=1,L245=1,M245=1),"adequate","partial"),INDEX(Fit_Matrix!$B:$B,MATCH(P245,Fit_Matrix!$A:$A,0))),"CHECK KEY"))</f>
        <v/>
      </c>
    </row>
    <row r="246" customFormat="false" ht="15" hidden="false" customHeight="true" outlineLevel="0" collapsed="false">
      <c r="P246" s="1" t="str">
        <f aca="false">IF(OR(F246="",H246="",J246=""),"",J246&amp;"|"&amp;F246&amp;"|"&amp;IF(H246="W3","W3_"&amp;IF(I246="","unknown",I246),H246))</f>
        <v/>
      </c>
      <c r="Q246" s="1" t="str">
        <f aca="false">IF(P246="","",IFERROR(IF(AND(H246="W7",OR(F246="causal",F246="predictive")),IF(AND(K246=1,L246=1,M246=1),"adequate","partial"),INDEX(Fit_Matrix!$B:$B,MATCH(P246,Fit_Matrix!$A:$A,0))),"CHECK KEY"))</f>
        <v/>
      </c>
    </row>
    <row r="247" customFormat="false" ht="15" hidden="false" customHeight="true" outlineLevel="0" collapsed="false">
      <c r="P247" s="1" t="str">
        <f aca="false">IF(OR(F247="",H247="",J247=""),"",J247&amp;"|"&amp;F247&amp;"|"&amp;IF(H247="W3","W3_"&amp;IF(I247="","unknown",I247),H247))</f>
        <v/>
      </c>
      <c r="Q247" s="1" t="str">
        <f aca="false">IF(P247="","",IFERROR(IF(AND(H247="W7",OR(F247="causal",F247="predictive")),IF(AND(K247=1,L247=1,M247=1),"adequate","partial"),INDEX(Fit_Matrix!$B:$B,MATCH(P247,Fit_Matrix!$A:$A,0))),"CHECK KEY"))</f>
        <v/>
      </c>
    </row>
    <row r="248" customFormat="false" ht="15" hidden="false" customHeight="true" outlineLevel="0" collapsed="false">
      <c r="P248" s="1" t="str">
        <f aca="false">IF(OR(F248="",H248="",J248=""),"",J248&amp;"|"&amp;F248&amp;"|"&amp;IF(H248="W3","W3_"&amp;IF(I248="","unknown",I248),H248))</f>
        <v/>
      </c>
      <c r="Q248" s="1" t="str">
        <f aca="false">IF(P248="","",IFERROR(IF(AND(H248="W7",OR(F248="causal",F248="predictive")),IF(AND(K248=1,L248=1,M248=1),"adequate","partial"),INDEX(Fit_Matrix!$B:$B,MATCH(P248,Fit_Matrix!$A:$A,0))),"CHECK KEY"))</f>
        <v/>
      </c>
    </row>
    <row r="249" customFormat="false" ht="15" hidden="false" customHeight="true" outlineLevel="0" collapsed="false">
      <c r="P249" s="1" t="str">
        <f aca="false">IF(OR(F249="",H249="",J249=""),"",J249&amp;"|"&amp;F249&amp;"|"&amp;IF(H249="W3","W3_"&amp;IF(I249="","unknown",I249),H249))</f>
        <v/>
      </c>
      <c r="Q249" s="1" t="str">
        <f aca="false">IF(P249="","",IFERROR(IF(AND(H249="W7",OR(F249="causal",F249="predictive")),IF(AND(K249=1,L249=1,M249=1),"adequate","partial"),INDEX(Fit_Matrix!$B:$B,MATCH(P249,Fit_Matrix!$A:$A,0))),"CHECK KEY"))</f>
        <v/>
      </c>
    </row>
    <row r="250" customFormat="false" ht="15" hidden="false" customHeight="true" outlineLevel="0" collapsed="false">
      <c r="P250" s="1" t="str">
        <f aca="false">IF(OR(F250="",H250="",J250=""),"",J250&amp;"|"&amp;F250&amp;"|"&amp;IF(H250="W3","W3_"&amp;IF(I250="","unknown",I250),H250))</f>
        <v/>
      </c>
      <c r="Q250" s="1" t="str">
        <f aca="false">IF(P250="","",IFERROR(IF(AND(H250="W7",OR(F250="causal",F250="predictive")),IF(AND(K250=1,L250=1,M250=1),"adequate","partial"),INDEX(Fit_Matrix!$B:$B,MATCH(P250,Fit_Matrix!$A:$A,0))),"CHECK KEY"))</f>
        <v/>
      </c>
    </row>
    <row r="251" customFormat="false" ht="15" hidden="false" customHeight="true" outlineLevel="0" collapsed="false">
      <c r="P251" s="1" t="str">
        <f aca="false">IF(OR(F251="",H251="",J251=""),"",J251&amp;"|"&amp;F251&amp;"|"&amp;IF(H251="W3","W3_"&amp;IF(I251="","unknown",I251),H251))</f>
        <v/>
      </c>
      <c r="Q251" s="1" t="str">
        <f aca="false">IF(P251="","",IFERROR(IF(AND(H251="W7",OR(F251="causal",F251="predictive")),IF(AND(K251=1,L251=1,M251=1),"adequate","partial"),INDEX(Fit_Matrix!$B:$B,MATCH(P251,Fit_Matrix!$A:$A,0))),"CHECK KEY"))</f>
        <v/>
      </c>
    </row>
    <row r="252" customFormat="false" ht="15" hidden="false" customHeight="true" outlineLevel="0" collapsed="false">
      <c r="P252" s="1" t="str">
        <f aca="false">IF(OR(F252="",H252="",J252=""),"",J252&amp;"|"&amp;F252&amp;"|"&amp;IF(H252="W3","W3_"&amp;IF(I252="","unknown",I252),H252))</f>
        <v/>
      </c>
      <c r="Q252" s="1" t="str">
        <f aca="false">IF(P252="","",IFERROR(IF(AND(H252="W7",OR(F252="causal",F252="predictive")),IF(AND(K252=1,L252=1,M252=1),"adequate","partial"),INDEX(Fit_Matrix!$B:$B,MATCH(P252,Fit_Matrix!$A:$A,0))),"CHECK KEY"))</f>
        <v/>
      </c>
    </row>
    <row r="253" customFormat="false" ht="15" hidden="false" customHeight="true" outlineLevel="0" collapsed="false">
      <c r="P253" s="1" t="str">
        <f aca="false">IF(OR(F253="",H253="",J253=""),"",J253&amp;"|"&amp;F253&amp;"|"&amp;IF(H253="W3","W3_"&amp;IF(I253="","unknown",I253),H253))</f>
        <v/>
      </c>
      <c r="Q253" s="1" t="str">
        <f aca="false">IF(P253="","",IFERROR(IF(AND(H253="W7",OR(F253="causal",F253="predictive")),IF(AND(K253=1,L253=1,M253=1),"adequate","partial"),INDEX(Fit_Matrix!$B:$B,MATCH(P253,Fit_Matrix!$A:$A,0))),"CHECK KEY"))</f>
        <v/>
      </c>
    </row>
    <row r="254" customFormat="false" ht="15" hidden="false" customHeight="true" outlineLevel="0" collapsed="false">
      <c r="P254" s="1" t="str">
        <f aca="false">IF(OR(F254="",H254="",J254=""),"",J254&amp;"|"&amp;F254&amp;"|"&amp;IF(H254="W3","W3_"&amp;IF(I254="","unknown",I254),H254))</f>
        <v/>
      </c>
      <c r="Q254" s="1" t="str">
        <f aca="false">IF(P254="","",IFERROR(IF(AND(H254="W7",OR(F254="causal",F254="predictive")),IF(AND(K254=1,L254=1,M254=1),"adequate","partial"),INDEX(Fit_Matrix!$B:$B,MATCH(P254,Fit_Matrix!$A:$A,0))),"CHECK KEY"))</f>
        <v/>
      </c>
    </row>
    <row r="255" customFormat="false" ht="15" hidden="false" customHeight="true" outlineLevel="0" collapsed="false">
      <c r="P255" s="1" t="str">
        <f aca="false">IF(OR(F255="",H255="",J255=""),"",J255&amp;"|"&amp;F255&amp;"|"&amp;IF(H255="W3","W3_"&amp;IF(I255="","unknown",I255),H255))</f>
        <v/>
      </c>
      <c r="Q255" s="1" t="str">
        <f aca="false">IF(P255="","",IFERROR(IF(AND(H255="W7",OR(F255="causal",F255="predictive")),IF(AND(K255=1,L255=1,M255=1),"adequate","partial"),INDEX(Fit_Matrix!$B:$B,MATCH(P255,Fit_Matrix!$A:$A,0))),"CHECK KEY"))</f>
        <v/>
      </c>
    </row>
    <row r="256" customFormat="false" ht="15" hidden="false" customHeight="true" outlineLevel="0" collapsed="false">
      <c r="P256" s="1" t="str">
        <f aca="false">IF(OR(F256="",H256="",J256=""),"",J256&amp;"|"&amp;F256&amp;"|"&amp;IF(H256="W3","W3_"&amp;IF(I256="","unknown",I256),H256))</f>
        <v/>
      </c>
      <c r="Q256" s="1" t="str">
        <f aca="false">IF(P256="","",IFERROR(IF(AND(H256="W7",OR(F256="causal",F256="predictive")),IF(AND(K256=1,L256=1,M256=1),"adequate","partial"),INDEX(Fit_Matrix!$B:$B,MATCH(P256,Fit_Matrix!$A:$A,0))),"CHECK KEY"))</f>
        <v/>
      </c>
    </row>
    <row r="257" customFormat="false" ht="15" hidden="false" customHeight="true" outlineLevel="0" collapsed="false">
      <c r="P257" s="1" t="str">
        <f aca="false">IF(OR(F257="",H257="",J257=""),"",J257&amp;"|"&amp;F257&amp;"|"&amp;IF(H257="W3","W3_"&amp;IF(I257="","unknown",I257),H257))</f>
        <v/>
      </c>
      <c r="Q257" s="1" t="str">
        <f aca="false">IF(P257="","",IFERROR(IF(AND(H257="W7",OR(F257="causal",F257="predictive")),IF(AND(K257=1,L257=1,M257=1),"adequate","partial"),INDEX(Fit_Matrix!$B:$B,MATCH(P257,Fit_Matrix!$A:$A,0))),"CHECK KEY"))</f>
        <v/>
      </c>
    </row>
    <row r="258" customFormat="false" ht="15" hidden="false" customHeight="true" outlineLevel="0" collapsed="false">
      <c r="P258" s="1" t="str">
        <f aca="false">IF(OR(F258="",H258="",J258=""),"",J258&amp;"|"&amp;F258&amp;"|"&amp;IF(H258="W3","W3_"&amp;IF(I258="","unknown",I258),H258))</f>
        <v/>
      </c>
      <c r="Q258" s="1" t="str">
        <f aca="false">IF(P258="","",IFERROR(IF(AND(H258="W7",OR(F258="causal",F258="predictive")),IF(AND(K258=1,L258=1,M258=1),"adequate","partial"),INDEX(Fit_Matrix!$B:$B,MATCH(P258,Fit_Matrix!$A:$A,0))),"CHECK KEY"))</f>
        <v/>
      </c>
    </row>
    <row r="259" customFormat="false" ht="15" hidden="false" customHeight="true" outlineLevel="0" collapsed="false">
      <c r="P259" s="1" t="str">
        <f aca="false">IF(OR(F259="",H259="",J259=""),"",J259&amp;"|"&amp;F259&amp;"|"&amp;IF(H259="W3","W3_"&amp;IF(I259="","unknown",I259),H259))</f>
        <v/>
      </c>
      <c r="Q259" s="1" t="str">
        <f aca="false">IF(P259="","",IFERROR(IF(AND(H259="W7",OR(F259="causal",F259="predictive")),IF(AND(K259=1,L259=1,M259=1),"adequate","partial"),INDEX(Fit_Matrix!$B:$B,MATCH(P259,Fit_Matrix!$A:$A,0))),"CHECK KEY"))</f>
        <v/>
      </c>
    </row>
    <row r="260" customFormat="false" ht="15" hidden="false" customHeight="true" outlineLevel="0" collapsed="false">
      <c r="P260" s="1" t="str">
        <f aca="false">IF(OR(F260="",H260="",J260=""),"",J260&amp;"|"&amp;F260&amp;"|"&amp;IF(H260="W3","W3_"&amp;IF(I260="","unknown",I260),H260))</f>
        <v/>
      </c>
      <c r="Q260" s="1" t="str">
        <f aca="false">IF(P260="","",IFERROR(IF(AND(H260="W7",OR(F260="causal",F260="predictive")),IF(AND(K260=1,L260=1,M260=1),"adequate","partial"),INDEX(Fit_Matrix!$B:$B,MATCH(P260,Fit_Matrix!$A:$A,0))),"CHECK KEY"))</f>
        <v/>
      </c>
    </row>
    <row r="261" customFormat="false" ht="15" hidden="false" customHeight="true" outlineLevel="0" collapsed="false">
      <c r="P261" s="1" t="str">
        <f aca="false">IF(OR(F261="",H261="",J261=""),"",J261&amp;"|"&amp;F261&amp;"|"&amp;IF(H261="W3","W3_"&amp;IF(I261="","unknown",I261),H261))</f>
        <v/>
      </c>
      <c r="Q261" s="1" t="str">
        <f aca="false">IF(P261="","",IFERROR(IF(AND(H261="W7",OR(F261="causal",F261="predictive")),IF(AND(K261=1,L261=1,M261=1),"adequate","partial"),INDEX(Fit_Matrix!$B:$B,MATCH(P261,Fit_Matrix!$A:$A,0))),"CHECK KEY"))</f>
        <v/>
      </c>
    </row>
    <row r="262" customFormat="false" ht="15" hidden="false" customHeight="true" outlineLevel="0" collapsed="false">
      <c r="P262" s="1" t="str">
        <f aca="false">IF(OR(F262="",H262="",J262=""),"",J262&amp;"|"&amp;F262&amp;"|"&amp;IF(H262="W3","W3_"&amp;IF(I262="","unknown",I262),H262))</f>
        <v/>
      </c>
      <c r="Q262" s="1" t="str">
        <f aca="false">IF(P262="","",IFERROR(IF(AND(H262="W7",OR(F262="causal",F262="predictive")),IF(AND(K262=1,L262=1,M262=1),"adequate","partial"),INDEX(Fit_Matrix!$B:$B,MATCH(P262,Fit_Matrix!$A:$A,0))),"CHECK KEY"))</f>
        <v/>
      </c>
    </row>
    <row r="263" customFormat="false" ht="15" hidden="false" customHeight="true" outlineLevel="0" collapsed="false">
      <c r="P263" s="1" t="str">
        <f aca="false">IF(OR(F263="",H263="",J263=""),"",J263&amp;"|"&amp;F263&amp;"|"&amp;IF(H263="W3","W3_"&amp;IF(I263="","unknown",I263),H263))</f>
        <v/>
      </c>
      <c r="Q263" s="1" t="str">
        <f aca="false">IF(P263="","",IFERROR(IF(AND(H263="W7",OR(F263="causal",F263="predictive")),IF(AND(K263=1,L263=1,M263=1),"adequate","partial"),INDEX(Fit_Matrix!$B:$B,MATCH(P263,Fit_Matrix!$A:$A,0))),"CHECK KEY"))</f>
        <v/>
      </c>
    </row>
    <row r="264" customFormat="false" ht="15" hidden="false" customHeight="true" outlineLevel="0" collapsed="false">
      <c r="P264" s="1" t="str">
        <f aca="false">IF(OR(F264="",H264="",J264=""),"",J264&amp;"|"&amp;F264&amp;"|"&amp;IF(H264="W3","W3_"&amp;IF(I264="","unknown",I264),H264))</f>
        <v/>
      </c>
      <c r="Q264" s="1" t="str">
        <f aca="false">IF(P264="","",IFERROR(IF(AND(H264="W7",OR(F264="causal",F264="predictive")),IF(AND(K264=1,L264=1,M264=1),"adequate","partial"),INDEX(Fit_Matrix!$B:$B,MATCH(P264,Fit_Matrix!$A:$A,0))),"CHECK KEY"))</f>
        <v/>
      </c>
    </row>
    <row r="265" customFormat="false" ht="15" hidden="false" customHeight="true" outlineLevel="0" collapsed="false">
      <c r="P265" s="1" t="str">
        <f aca="false">IF(OR(F265="",H265="",J265=""),"",J265&amp;"|"&amp;F265&amp;"|"&amp;IF(H265="W3","W3_"&amp;IF(I265="","unknown",I265),H265))</f>
        <v/>
      </c>
      <c r="Q265" s="1" t="str">
        <f aca="false">IF(P265="","",IFERROR(IF(AND(H265="W7",OR(F265="causal",F265="predictive")),IF(AND(K265=1,L265=1,M265=1),"adequate","partial"),INDEX(Fit_Matrix!$B:$B,MATCH(P265,Fit_Matrix!$A:$A,0))),"CHECK KEY"))</f>
        <v/>
      </c>
    </row>
    <row r="266" customFormat="false" ht="15" hidden="false" customHeight="true" outlineLevel="0" collapsed="false">
      <c r="P266" s="1" t="str">
        <f aca="false">IF(OR(F266="",H266="",J266=""),"",J266&amp;"|"&amp;F266&amp;"|"&amp;IF(H266="W3","W3_"&amp;IF(I266="","unknown",I266),H266))</f>
        <v/>
      </c>
      <c r="Q266" s="1" t="str">
        <f aca="false">IF(P266="","",IFERROR(IF(AND(H266="W7",OR(F266="causal",F266="predictive")),IF(AND(K266=1,L266=1,M266=1),"adequate","partial"),INDEX(Fit_Matrix!$B:$B,MATCH(P266,Fit_Matrix!$A:$A,0))),"CHECK KEY"))</f>
        <v/>
      </c>
    </row>
    <row r="267" customFormat="false" ht="15" hidden="false" customHeight="true" outlineLevel="0" collapsed="false">
      <c r="P267" s="1" t="str">
        <f aca="false">IF(OR(F267="",H267="",J267=""),"",J267&amp;"|"&amp;F267&amp;"|"&amp;IF(H267="W3","W3_"&amp;IF(I267="","unknown",I267),H267))</f>
        <v/>
      </c>
      <c r="Q267" s="1" t="str">
        <f aca="false">IF(P267="","",IFERROR(IF(AND(H267="W7",OR(F267="causal",F267="predictive")),IF(AND(K267=1,L267=1,M267=1),"adequate","partial"),INDEX(Fit_Matrix!$B:$B,MATCH(P267,Fit_Matrix!$A:$A,0))),"CHECK KEY"))</f>
        <v/>
      </c>
    </row>
    <row r="268" customFormat="false" ht="15" hidden="false" customHeight="true" outlineLevel="0" collapsed="false">
      <c r="P268" s="1" t="str">
        <f aca="false">IF(OR(F268="",H268="",J268=""),"",J268&amp;"|"&amp;F268&amp;"|"&amp;IF(H268="W3","W3_"&amp;IF(I268="","unknown",I268),H268))</f>
        <v/>
      </c>
      <c r="Q268" s="1" t="str">
        <f aca="false">IF(P268="","",IFERROR(IF(AND(H268="W7",OR(F268="causal",F268="predictive")),IF(AND(K268=1,L268=1,M268=1),"adequate","partial"),INDEX(Fit_Matrix!$B:$B,MATCH(P268,Fit_Matrix!$A:$A,0))),"CHECK KEY"))</f>
        <v/>
      </c>
    </row>
    <row r="269" customFormat="false" ht="15" hidden="false" customHeight="true" outlineLevel="0" collapsed="false">
      <c r="P269" s="1" t="str">
        <f aca="false">IF(OR(F269="",H269="",J269=""),"",J269&amp;"|"&amp;F269&amp;"|"&amp;IF(H269="W3","W3_"&amp;IF(I269="","unknown",I269),H269))</f>
        <v/>
      </c>
      <c r="Q269" s="1" t="str">
        <f aca="false">IF(P269="","",IFERROR(IF(AND(H269="W7",OR(F269="causal",F269="predictive")),IF(AND(K269=1,L269=1,M269=1),"adequate","partial"),INDEX(Fit_Matrix!$B:$B,MATCH(P269,Fit_Matrix!$A:$A,0))),"CHECK KEY"))</f>
        <v/>
      </c>
    </row>
    <row r="270" customFormat="false" ht="15" hidden="false" customHeight="true" outlineLevel="0" collapsed="false">
      <c r="P270" s="1" t="str">
        <f aca="false">IF(OR(F270="",H270="",J270=""),"",J270&amp;"|"&amp;F270&amp;"|"&amp;IF(H270="W3","W3_"&amp;IF(I270="","unknown",I270),H270))</f>
        <v/>
      </c>
      <c r="Q270" s="1" t="str">
        <f aca="false">IF(P270="","",IFERROR(IF(AND(H270="W7",OR(F270="causal",F270="predictive")),IF(AND(K270=1,L270=1,M270=1),"adequate","partial"),INDEX(Fit_Matrix!$B:$B,MATCH(P270,Fit_Matrix!$A:$A,0))),"CHECK KEY"))</f>
        <v/>
      </c>
    </row>
    <row r="271" customFormat="false" ht="15" hidden="false" customHeight="true" outlineLevel="0" collapsed="false">
      <c r="P271" s="1" t="str">
        <f aca="false">IF(OR(F271="",H271="",J271=""),"",J271&amp;"|"&amp;F271&amp;"|"&amp;IF(H271="W3","W3_"&amp;IF(I271="","unknown",I271),H271))</f>
        <v/>
      </c>
      <c r="Q271" s="1" t="str">
        <f aca="false">IF(P271="","",IFERROR(IF(AND(H271="W7",OR(F271="causal",F271="predictive")),IF(AND(K271=1,L271=1,M271=1),"adequate","partial"),INDEX(Fit_Matrix!$B:$B,MATCH(P271,Fit_Matrix!$A:$A,0))),"CHECK KEY"))</f>
        <v/>
      </c>
    </row>
    <row r="272" customFormat="false" ht="15" hidden="false" customHeight="true" outlineLevel="0" collapsed="false">
      <c r="P272" s="1" t="str">
        <f aca="false">IF(OR(F272="",H272="",J272=""),"",J272&amp;"|"&amp;F272&amp;"|"&amp;IF(H272="W3","W3_"&amp;IF(I272="","unknown",I272),H272))</f>
        <v/>
      </c>
      <c r="Q272" s="1" t="str">
        <f aca="false">IF(P272="","",IFERROR(IF(AND(H272="W7",OR(F272="causal",F272="predictive")),IF(AND(K272=1,L272=1,M272=1),"adequate","partial"),INDEX(Fit_Matrix!$B:$B,MATCH(P272,Fit_Matrix!$A:$A,0))),"CHECK KEY"))</f>
        <v/>
      </c>
    </row>
    <row r="273" customFormat="false" ht="15" hidden="false" customHeight="true" outlineLevel="0" collapsed="false">
      <c r="P273" s="1" t="str">
        <f aca="false">IF(OR(F273="",H273="",J273=""),"",J273&amp;"|"&amp;F273&amp;"|"&amp;IF(H273="W3","W3_"&amp;IF(I273="","unknown",I273),H273))</f>
        <v/>
      </c>
      <c r="Q273" s="1" t="str">
        <f aca="false">IF(P273="","",IFERROR(IF(AND(H273="W7",OR(F273="causal",F273="predictive")),IF(AND(K273=1,L273=1,M273=1),"adequate","partial"),INDEX(Fit_Matrix!$B:$B,MATCH(P273,Fit_Matrix!$A:$A,0))),"CHECK KEY"))</f>
        <v/>
      </c>
    </row>
    <row r="274" customFormat="false" ht="15" hidden="false" customHeight="true" outlineLevel="0" collapsed="false">
      <c r="P274" s="1" t="str">
        <f aca="false">IF(OR(F274="",H274="",J274=""),"",J274&amp;"|"&amp;F274&amp;"|"&amp;IF(H274="W3","W3_"&amp;IF(I274="","unknown",I274),H274))</f>
        <v/>
      </c>
      <c r="Q274" s="1" t="str">
        <f aca="false">IF(P274="","",IFERROR(IF(AND(H274="W7",OR(F274="causal",F274="predictive")),IF(AND(K274=1,L274=1,M274=1),"adequate","partial"),INDEX(Fit_Matrix!$B:$B,MATCH(P274,Fit_Matrix!$A:$A,0))),"CHECK KEY"))</f>
        <v/>
      </c>
    </row>
    <row r="275" customFormat="false" ht="15" hidden="false" customHeight="true" outlineLevel="0" collapsed="false">
      <c r="P275" s="1" t="str">
        <f aca="false">IF(OR(F275="",H275="",J275=""),"",J275&amp;"|"&amp;F275&amp;"|"&amp;IF(H275="W3","W3_"&amp;IF(I275="","unknown",I275),H275))</f>
        <v/>
      </c>
      <c r="Q275" s="1" t="str">
        <f aca="false">IF(P275="","",IFERROR(IF(AND(H275="W7",OR(F275="causal",F275="predictive")),IF(AND(K275=1,L275=1,M275=1),"adequate","partial"),INDEX(Fit_Matrix!$B:$B,MATCH(P275,Fit_Matrix!$A:$A,0))),"CHECK KEY"))</f>
        <v/>
      </c>
    </row>
    <row r="276" customFormat="false" ht="15" hidden="false" customHeight="true" outlineLevel="0" collapsed="false">
      <c r="P276" s="1" t="str">
        <f aca="false">IF(OR(F276="",H276="",J276=""),"",J276&amp;"|"&amp;F276&amp;"|"&amp;IF(H276="W3","W3_"&amp;IF(I276="","unknown",I276),H276))</f>
        <v/>
      </c>
      <c r="Q276" s="1" t="str">
        <f aca="false">IF(P276="","",IFERROR(IF(AND(H276="W7",OR(F276="causal",F276="predictive")),IF(AND(K276=1,L276=1,M276=1),"adequate","partial"),INDEX(Fit_Matrix!$B:$B,MATCH(P276,Fit_Matrix!$A:$A,0))),"CHECK KEY"))</f>
        <v/>
      </c>
    </row>
    <row r="277" customFormat="false" ht="15" hidden="false" customHeight="true" outlineLevel="0" collapsed="false">
      <c r="P277" s="1" t="str">
        <f aca="false">IF(OR(F277="",H277="",J277=""),"",J277&amp;"|"&amp;F277&amp;"|"&amp;IF(H277="W3","W3_"&amp;IF(I277="","unknown",I277),H277))</f>
        <v/>
      </c>
      <c r="Q277" s="1" t="str">
        <f aca="false">IF(P277="","",IFERROR(IF(AND(H277="W7",OR(F277="causal",F277="predictive")),IF(AND(K277=1,L277=1,M277=1),"adequate","partial"),INDEX(Fit_Matrix!$B:$B,MATCH(P277,Fit_Matrix!$A:$A,0))),"CHECK KEY"))</f>
        <v/>
      </c>
    </row>
    <row r="278" customFormat="false" ht="15" hidden="false" customHeight="true" outlineLevel="0" collapsed="false">
      <c r="P278" s="1" t="str">
        <f aca="false">IF(OR(F278="",H278="",J278=""),"",J278&amp;"|"&amp;F278&amp;"|"&amp;IF(H278="W3","W3_"&amp;IF(I278="","unknown",I278),H278))</f>
        <v/>
      </c>
      <c r="Q278" s="1" t="str">
        <f aca="false">IF(P278="","",IFERROR(IF(AND(H278="W7",OR(F278="causal",F278="predictive")),IF(AND(K278=1,L278=1,M278=1),"adequate","partial"),INDEX(Fit_Matrix!$B:$B,MATCH(P278,Fit_Matrix!$A:$A,0))),"CHECK KEY"))</f>
        <v/>
      </c>
    </row>
    <row r="279" customFormat="false" ht="15" hidden="false" customHeight="true" outlineLevel="0" collapsed="false">
      <c r="P279" s="1" t="str">
        <f aca="false">IF(OR(F279="",H279="",J279=""),"",J279&amp;"|"&amp;F279&amp;"|"&amp;IF(H279="W3","W3_"&amp;IF(I279="","unknown",I279),H279))</f>
        <v/>
      </c>
      <c r="Q279" s="1" t="str">
        <f aca="false">IF(P279="","",IFERROR(IF(AND(H279="W7",OR(F279="causal",F279="predictive")),IF(AND(K279=1,L279=1,M279=1),"adequate","partial"),INDEX(Fit_Matrix!$B:$B,MATCH(P279,Fit_Matrix!$A:$A,0))),"CHECK KEY"))</f>
        <v/>
      </c>
    </row>
    <row r="280" customFormat="false" ht="15" hidden="false" customHeight="true" outlineLevel="0" collapsed="false">
      <c r="P280" s="1" t="str">
        <f aca="false">IF(OR(F280="",H280="",J280=""),"",J280&amp;"|"&amp;F280&amp;"|"&amp;IF(H280="W3","W3_"&amp;IF(I280="","unknown",I280),H280))</f>
        <v/>
      </c>
      <c r="Q280" s="1" t="str">
        <f aca="false">IF(P280="","",IFERROR(IF(AND(H280="W7",OR(F280="causal",F280="predictive")),IF(AND(K280=1,L280=1,M280=1),"adequate","partial"),INDEX(Fit_Matrix!$B:$B,MATCH(P280,Fit_Matrix!$A:$A,0))),"CHECK KEY"))</f>
        <v/>
      </c>
    </row>
    <row r="281" customFormat="false" ht="15" hidden="false" customHeight="true" outlineLevel="0" collapsed="false">
      <c r="P281" s="1" t="str">
        <f aca="false">IF(OR(F281="",H281="",J281=""),"",J281&amp;"|"&amp;F281&amp;"|"&amp;IF(H281="W3","W3_"&amp;IF(I281="","unknown",I281),H281))</f>
        <v/>
      </c>
      <c r="Q281" s="1" t="str">
        <f aca="false">IF(P281="","",IFERROR(IF(AND(H281="W7",OR(F281="causal",F281="predictive")),IF(AND(K281=1,L281=1,M281=1),"adequate","partial"),INDEX(Fit_Matrix!$B:$B,MATCH(P281,Fit_Matrix!$A:$A,0))),"CHECK KEY"))</f>
        <v/>
      </c>
    </row>
    <row r="282" customFormat="false" ht="15" hidden="false" customHeight="true" outlineLevel="0" collapsed="false">
      <c r="P282" s="1" t="str">
        <f aca="false">IF(OR(F282="",H282="",J282=""),"",J282&amp;"|"&amp;F282&amp;"|"&amp;IF(H282="W3","W3_"&amp;IF(I282="","unknown",I282),H282))</f>
        <v/>
      </c>
      <c r="Q282" s="1" t="str">
        <f aca="false">IF(P282="","",IFERROR(IF(AND(H282="W7",OR(F282="causal",F282="predictive")),IF(AND(K282=1,L282=1,M282=1),"adequate","partial"),INDEX(Fit_Matrix!$B:$B,MATCH(P282,Fit_Matrix!$A:$A,0))),"CHECK KEY"))</f>
        <v/>
      </c>
    </row>
    <row r="283" customFormat="false" ht="15" hidden="false" customHeight="true" outlineLevel="0" collapsed="false">
      <c r="P283" s="1" t="str">
        <f aca="false">IF(OR(F283="",H283="",J283=""),"",J283&amp;"|"&amp;F283&amp;"|"&amp;IF(H283="W3","W3_"&amp;IF(I283="","unknown",I283),H283))</f>
        <v/>
      </c>
      <c r="Q283" s="1" t="str">
        <f aca="false">IF(P283="","",IFERROR(IF(AND(H283="W7",OR(F283="causal",F283="predictive")),IF(AND(K283=1,L283=1,M283=1),"adequate","partial"),INDEX(Fit_Matrix!$B:$B,MATCH(P283,Fit_Matrix!$A:$A,0))),"CHECK KEY"))</f>
        <v/>
      </c>
    </row>
    <row r="284" customFormat="false" ht="15" hidden="false" customHeight="true" outlineLevel="0" collapsed="false">
      <c r="P284" s="1" t="str">
        <f aca="false">IF(OR(F284="",H284="",J284=""),"",J284&amp;"|"&amp;F284&amp;"|"&amp;IF(H284="W3","W3_"&amp;IF(I284="","unknown",I284),H284))</f>
        <v/>
      </c>
      <c r="Q284" s="1" t="str">
        <f aca="false">IF(P284="","",IFERROR(IF(AND(H284="W7",OR(F284="causal",F284="predictive")),IF(AND(K284=1,L284=1,M284=1),"adequate","partial"),INDEX(Fit_Matrix!$B:$B,MATCH(P284,Fit_Matrix!$A:$A,0))),"CHECK KEY"))</f>
        <v/>
      </c>
    </row>
    <row r="285" customFormat="false" ht="15" hidden="false" customHeight="true" outlineLevel="0" collapsed="false">
      <c r="P285" s="1" t="str">
        <f aca="false">IF(OR(F285="",H285="",J285=""),"",J285&amp;"|"&amp;F285&amp;"|"&amp;IF(H285="W3","W3_"&amp;IF(I285="","unknown",I285),H285))</f>
        <v/>
      </c>
      <c r="Q285" s="1" t="str">
        <f aca="false">IF(P285="","",IFERROR(IF(AND(H285="W7",OR(F285="causal",F285="predictive")),IF(AND(K285=1,L285=1,M285=1),"adequate","partial"),INDEX(Fit_Matrix!$B:$B,MATCH(P285,Fit_Matrix!$A:$A,0))),"CHECK KEY"))</f>
        <v/>
      </c>
    </row>
    <row r="286" customFormat="false" ht="15" hidden="false" customHeight="true" outlineLevel="0" collapsed="false">
      <c r="P286" s="1" t="str">
        <f aca="false">IF(OR(F286="",H286="",J286=""),"",J286&amp;"|"&amp;F286&amp;"|"&amp;IF(H286="W3","W3_"&amp;IF(I286="","unknown",I286),H286))</f>
        <v/>
      </c>
      <c r="Q286" s="1" t="str">
        <f aca="false">IF(P286="","",IFERROR(IF(AND(H286="W7",OR(F286="causal",F286="predictive")),IF(AND(K286=1,L286=1,M286=1),"adequate","partial"),INDEX(Fit_Matrix!$B:$B,MATCH(P286,Fit_Matrix!$A:$A,0))),"CHECK KEY"))</f>
        <v/>
      </c>
    </row>
    <row r="287" customFormat="false" ht="15" hidden="false" customHeight="true" outlineLevel="0" collapsed="false">
      <c r="P287" s="1" t="str">
        <f aca="false">IF(OR(F287="",H287="",J287=""),"",J287&amp;"|"&amp;F287&amp;"|"&amp;IF(H287="W3","W3_"&amp;IF(I287="","unknown",I287),H287))</f>
        <v/>
      </c>
      <c r="Q287" s="1" t="str">
        <f aca="false">IF(P287="","",IFERROR(IF(AND(H287="W7",OR(F287="causal",F287="predictive")),IF(AND(K287=1,L287=1,M287=1),"adequate","partial"),INDEX(Fit_Matrix!$B:$B,MATCH(P287,Fit_Matrix!$A:$A,0))),"CHECK KEY"))</f>
        <v/>
      </c>
    </row>
    <row r="288" customFormat="false" ht="15" hidden="false" customHeight="true" outlineLevel="0" collapsed="false">
      <c r="P288" s="1" t="str">
        <f aca="false">IF(OR(F288="",H288="",J288=""),"",J288&amp;"|"&amp;F288&amp;"|"&amp;IF(H288="W3","W3_"&amp;IF(I288="","unknown",I288),H288))</f>
        <v/>
      </c>
      <c r="Q288" s="1" t="str">
        <f aca="false">IF(P288="","",IFERROR(IF(AND(H288="W7",OR(F288="causal",F288="predictive")),IF(AND(K288=1,L288=1,M288=1),"adequate","partial"),INDEX(Fit_Matrix!$B:$B,MATCH(P288,Fit_Matrix!$A:$A,0))),"CHECK KEY"))</f>
        <v/>
      </c>
    </row>
    <row r="289" customFormat="false" ht="15" hidden="false" customHeight="true" outlineLevel="0" collapsed="false">
      <c r="P289" s="1" t="str">
        <f aca="false">IF(OR(F289="",H289="",J289=""),"",J289&amp;"|"&amp;F289&amp;"|"&amp;IF(H289="W3","W3_"&amp;IF(I289="","unknown",I289),H289))</f>
        <v/>
      </c>
      <c r="Q289" s="1" t="str">
        <f aca="false">IF(P289="","",IFERROR(IF(AND(H289="W7",OR(F289="causal",F289="predictive")),IF(AND(K289=1,L289=1,M289=1),"adequate","partial"),INDEX(Fit_Matrix!$B:$B,MATCH(P289,Fit_Matrix!$A:$A,0))),"CHECK KEY"))</f>
        <v/>
      </c>
    </row>
    <row r="290" customFormat="false" ht="15" hidden="false" customHeight="true" outlineLevel="0" collapsed="false">
      <c r="P290" s="1" t="str">
        <f aca="false">IF(OR(F290="",H290="",J290=""),"",J290&amp;"|"&amp;F290&amp;"|"&amp;IF(H290="W3","W3_"&amp;IF(I290="","unknown",I290),H290))</f>
        <v/>
      </c>
      <c r="Q290" s="1" t="str">
        <f aca="false">IF(P290="","",IFERROR(IF(AND(H290="W7",OR(F290="causal",F290="predictive")),IF(AND(K290=1,L290=1,M290=1),"adequate","partial"),INDEX(Fit_Matrix!$B:$B,MATCH(P290,Fit_Matrix!$A:$A,0))),"CHECK KEY"))</f>
        <v/>
      </c>
    </row>
    <row r="291" customFormat="false" ht="15" hidden="false" customHeight="true" outlineLevel="0" collapsed="false">
      <c r="P291" s="1" t="str">
        <f aca="false">IF(OR(F291="",H291="",J291=""),"",J291&amp;"|"&amp;F291&amp;"|"&amp;IF(H291="W3","W3_"&amp;IF(I291="","unknown",I291),H291))</f>
        <v/>
      </c>
      <c r="Q291" s="1" t="str">
        <f aca="false">IF(P291="","",IFERROR(IF(AND(H291="W7",OR(F291="causal",F291="predictive")),IF(AND(K291=1,L291=1,M291=1),"adequate","partial"),INDEX(Fit_Matrix!$B:$B,MATCH(P291,Fit_Matrix!$A:$A,0))),"CHECK KEY"))</f>
        <v/>
      </c>
    </row>
    <row r="292" customFormat="false" ht="15" hidden="false" customHeight="true" outlineLevel="0" collapsed="false">
      <c r="P292" s="1" t="str">
        <f aca="false">IF(OR(F292="",H292="",J292=""),"",J292&amp;"|"&amp;F292&amp;"|"&amp;IF(H292="W3","W3_"&amp;IF(I292="","unknown",I292),H292))</f>
        <v/>
      </c>
      <c r="Q292" s="1" t="str">
        <f aca="false">IF(P292="","",IFERROR(IF(AND(H292="W7",OR(F292="causal",F292="predictive")),IF(AND(K292=1,L292=1,M292=1),"adequate","partial"),INDEX(Fit_Matrix!$B:$B,MATCH(P292,Fit_Matrix!$A:$A,0))),"CHECK KEY"))</f>
        <v/>
      </c>
    </row>
    <row r="293" customFormat="false" ht="15" hidden="false" customHeight="true" outlineLevel="0" collapsed="false">
      <c r="P293" s="1" t="str">
        <f aca="false">IF(OR(F293="",H293="",J293=""),"",J293&amp;"|"&amp;F293&amp;"|"&amp;IF(H293="W3","W3_"&amp;IF(I293="","unknown",I293),H293))</f>
        <v/>
      </c>
      <c r="Q293" s="1" t="str">
        <f aca="false">IF(P293="","",IFERROR(IF(AND(H293="W7",OR(F293="causal",F293="predictive")),IF(AND(K293=1,L293=1,M293=1),"adequate","partial"),INDEX(Fit_Matrix!$B:$B,MATCH(P293,Fit_Matrix!$A:$A,0))),"CHECK KEY"))</f>
        <v/>
      </c>
    </row>
    <row r="294" customFormat="false" ht="15" hidden="false" customHeight="true" outlineLevel="0" collapsed="false">
      <c r="P294" s="1" t="str">
        <f aca="false">IF(OR(F294="",H294="",J294=""),"",J294&amp;"|"&amp;F294&amp;"|"&amp;IF(H294="W3","W3_"&amp;IF(I294="","unknown",I294),H294))</f>
        <v/>
      </c>
      <c r="Q294" s="1" t="str">
        <f aca="false">IF(P294="","",IFERROR(IF(AND(H294="W7",OR(F294="causal",F294="predictive")),IF(AND(K294=1,L294=1,M294=1),"adequate","partial"),INDEX(Fit_Matrix!$B:$B,MATCH(P294,Fit_Matrix!$A:$A,0))),"CHECK KEY"))</f>
        <v/>
      </c>
    </row>
    <row r="295" customFormat="false" ht="15" hidden="false" customHeight="true" outlineLevel="0" collapsed="false">
      <c r="P295" s="1" t="str">
        <f aca="false">IF(OR(F295="",H295="",J295=""),"",J295&amp;"|"&amp;F295&amp;"|"&amp;IF(H295="W3","W3_"&amp;IF(I295="","unknown",I295),H295))</f>
        <v/>
      </c>
      <c r="Q295" s="1" t="str">
        <f aca="false">IF(P295="","",IFERROR(IF(AND(H295="W7",OR(F295="causal",F295="predictive")),IF(AND(K295=1,L295=1,M295=1),"adequate","partial"),INDEX(Fit_Matrix!$B:$B,MATCH(P295,Fit_Matrix!$A:$A,0))),"CHECK KEY"))</f>
        <v/>
      </c>
    </row>
    <row r="296" customFormat="false" ht="15" hidden="false" customHeight="true" outlineLevel="0" collapsed="false">
      <c r="P296" s="1" t="str">
        <f aca="false">IF(OR(F296="",H296="",J296=""),"",J296&amp;"|"&amp;F296&amp;"|"&amp;IF(H296="W3","W3_"&amp;IF(I296="","unknown",I296),H296))</f>
        <v/>
      </c>
      <c r="Q296" s="1" t="str">
        <f aca="false">IF(P296="","",IFERROR(IF(AND(H296="W7",OR(F296="causal",F296="predictive")),IF(AND(K296=1,L296=1,M296=1),"adequate","partial"),INDEX(Fit_Matrix!$B:$B,MATCH(P296,Fit_Matrix!$A:$A,0))),"CHECK KEY"))</f>
        <v/>
      </c>
    </row>
    <row r="297" customFormat="false" ht="15" hidden="false" customHeight="true" outlineLevel="0" collapsed="false">
      <c r="P297" s="1" t="str">
        <f aca="false">IF(OR(F297="",H297="",J297=""),"",J297&amp;"|"&amp;F297&amp;"|"&amp;IF(H297="W3","W3_"&amp;IF(I297="","unknown",I297),H297))</f>
        <v/>
      </c>
      <c r="Q297" s="1" t="str">
        <f aca="false">IF(P297="","",IFERROR(IF(AND(H297="W7",OR(F297="causal",F297="predictive")),IF(AND(K297=1,L297=1,M297=1),"adequate","partial"),INDEX(Fit_Matrix!$B:$B,MATCH(P297,Fit_Matrix!$A:$A,0))),"CHECK KEY"))</f>
        <v/>
      </c>
    </row>
    <row r="298" customFormat="false" ht="15" hidden="false" customHeight="true" outlineLevel="0" collapsed="false">
      <c r="P298" s="1" t="str">
        <f aca="false">IF(OR(F298="",H298="",J298=""),"",J298&amp;"|"&amp;F298&amp;"|"&amp;IF(H298="W3","W3_"&amp;IF(I298="","unknown",I298),H298))</f>
        <v/>
      </c>
      <c r="Q298" s="1" t="str">
        <f aca="false">IF(P298="","",IFERROR(IF(AND(H298="W7",OR(F298="causal",F298="predictive")),IF(AND(K298=1,L298=1,M298=1),"adequate","partial"),INDEX(Fit_Matrix!$B:$B,MATCH(P298,Fit_Matrix!$A:$A,0))),"CHECK KEY"))</f>
        <v/>
      </c>
    </row>
    <row r="299" customFormat="false" ht="15" hidden="false" customHeight="true" outlineLevel="0" collapsed="false">
      <c r="P299" s="1" t="str">
        <f aca="false">IF(OR(F299="",H299="",J299=""),"",J299&amp;"|"&amp;F299&amp;"|"&amp;IF(H299="W3","W3_"&amp;IF(I299="","unknown",I299),H299))</f>
        <v/>
      </c>
      <c r="Q299" s="1" t="str">
        <f aca="false">IF(P299="","",IFERROR(IF(AND(H299="W7",OR(F299="causal",F299="predictive")),IF(AND(K299=1,L299=1,M299=1),"adequate","partial"),INDEX(Fit_Matrix!$B:$B,MATCH(P299,Fit_Matrix!$A:$A,0))),"CHECK KEY"))</f>
        <v/>
      </c>
    </row>
    <row r="300" customFormat="false" ht="15" hidden="false" customHeight="true" outlineLevel="0" collapsed="false">
      <c r="P300" s="1" t="str">
        <f aca="false">IF(OR(F300="",H300="",J300=""),"",J300&amp;"|"&amp;F300&amp;"|"&amp;IF(H300="W3","W3_"&amp;IF(I300="","unknown",I300),H300))</f>
        <v/>
      </c>
      <c r="Q300" s="1" t="str">
        <f aca="false">IF(P300="","",IFERROR(IF(AND(H300="W7",OR(F300="causal",F300="predictive")),IF(AND(K300=1,L300=1,M300=1),"adequate","partial"),INDEX(Fit_Matrix!$B:$B,MATCH(P300,Fit_Matrix!$A:$A,0))),"CHECK KEY"))</f>
        <v/>
      </c>
    </row>
    <row r="301" customFormat="false" ht="15" hidden="false" customHeight="true" outlineLevel="0" collapsed="false">
      <c r="P301" s="1" t="str">
        <f aca="false">IF(OR(F301="",H301="",J301=""),"",J301&amp;"|"&amp;F301&amp;"|"&amp;IF(H301="W3","W3_"&amp;IF(I301="","unknown",I301),H301))</f>
        <v/>
      </c>
      <c r="Q301" s="1" t="str">
        <f aca="false">IF(P301="","",IFERROR(IF(AND(H301="W7",OR(F301="causal",F301="predictive")),IF(AND(K301=1,L301=1,M301=1),"adequate","partial"),INDEX(Fit_Matrix!$B:$B,MATCH(P301,Fit_Matrix!$A:$A,0))),"CHECK KEY"))</f>
        <v/>
      </c>
    </row>
    <row r="302" customFormat="false" ht="15" hidden="false" customHeight="true" outlineLevel="0" collapsed="false">
      <c r="P302" s="1" t="str">
        <f aca="false">IF(OR(F302="",H302="",J302=""),"",J302&amp;"|"&amp;F302&amp;"|"&amp;IF(H302="W3","W3_"&amp;IF(I302="","unknown",I302),H302))</f>
        <v/>
      </c>
      <c r="Q302" s="1" t="str">
        <f aca="false">IF(P302="","",IFERROR(IF(AND(H302="W7",OR(F302="causal",F302="predictive")),IF(AND(K302=1,L302=1,M302=1),"adequate","partial"),INDEX(Fit_Matrix!$B:$B,MATCH(P302,Fit_Matrix!$A:$A,0))),"CHECK KEY"))</f>
        <v/>
      </c>
    </row>
    <row r="303" customFormat="false" ht="15" hidden="false" customHeight="true" outlineLevel="0" collapsed="false">
      <c r="P303" s="1" t="str">
        <f aca="false">IF(OR(F303="",H303="",J303=""),"",J303&amp;"|"&amp;F303&amp;"|"&amp;IF(H303="W3","W3_"&amp;IF(I303="","unknown",I303),H303))</f>
        <v/>
      </c>
      <c r="Q303" s="1" t="str">
        <f aca="false">IF(P303="","",IFERROR(IF(AND(H303="W7",OR(F303="causal",F303="predictive")),IF(AND(K303=1,L303=1,M303=1),"adequate","partial"),INDEX(Fit_Matrix!$B:$B,MATCH(P303,Fit_Matrix!$A:$A,0))),"CHECK KEY"))</f>
        <v/>
      </c>
    </row>
    <row r="304" customFormat="false" ht="15" hidden="false" customHeight="true" outlineLevel="0" collapsed="false">
      <c r="P304" s="1" t="str">
        <f aca="false">IF(OR(F304="",H304="",J304=""),"",J304&amp;"|"&amp;F304&amp;"|"&amp;IF(H304="W3","W3_"&amp;IF(I304="","unknown",I304),H304))</f>
        <v/>
      </c>
      <c r="Q304" s="1" t="str">
        <f aca="false">IF(P304="","",IFERROR(IF(AND(H304="W7",OR(F304="causal",F304="predictive")),IF(AND(K304=1,L304=1,M304=1),"adequate","partial"),INDEX(Fit_Matrix!$B:$B,MATCH(P304,Fit_Matrix!$A:$A,0))),"CHECK KEY"))</f>
        <v/>
      </c>
    </row>
    <row r="305" customFormat="false" ht="15" hidden="false" customHeight="true" outlineLevel="0" collapsed="false">
      <c r="P305" s="1" t="str">
        <f aca="false">IF(OR(F305="",H305="",J305=""),"",J305&amp;"|"&amp;F305&amp;"|"&amp;IF(H305="W3","W3_"&amp;IF(I305="","unknown",I305),H305))</f>
        <v/>
      </c>
      <c r="Q305" s="1" t="str">
        <f aca="false">IF(P305="","",IFERROR(IF(AND(H305="W7",OR(F305="causal",F305="predictive")),IF(AND(K305=1,L305=1,M305=1),"adequate","partial"),INDEX(Fit_Matrix!$B:$B,MATCH(P305,Fit_Matrix!$A:$A,0))),"CHECK KEY"))</f>
        <v/>
      </c>
    </row>
    <row r="306" customFormat="false" ht="15" hidden="false" customHeight="true" outlineLevel="0" collapsed="false">
      <c r="P306" s="1" t="str">
        <f aca="false">IF(OR(F306="",H306="",J306=""),"",J306&amp;"|"&amp;F306&amp;"|"&amp;IF(H306="W3","W3_"&amp;IF(I306="","unknown",I306),H306))</f>
        <v/>
      </c>
      <c r="Q306" s="1" t="str">
        <f aca="false">IF(P306="","",IFERROR(IF(AND(H306="W7",OR(F306="causal",F306="predictive")),IF(AND(K306=1,L306=1,M306=1),"adequate","partial"),INDEX(Fit_Matrix!$B:$B,MATCH(P306,Fit_Matrix!$A:$A,0))),"CHECK KEY"))</f>
        <v/>
      </c>
    </row>
    <row r="307" customFormat="false" ht="15" hidden="false" customHeight="true" outlineLevel="0" collapsed="false">
      <c r="P307" s="1" t="str">
        <f aca="false">IF(OR(F307="",H307="",J307=""),"",J307&amp;"|"&amp;F307&amp;"|"&amp;IF(H307="W3","W3_"&amp;IF(I307="","unknown",I307),H307))</f>
        <v/>
      </c>
      <c r="Q307" s="1" t="str">
        <f aca="false">IF(P307="","",IFERROR(IF(AND(H307="W7",OR(F307="causal",F307="predictive")),IF(AND(K307=1,L307=1,M307=1),"adequate","partial"),INDEX(Fit_Matrix!$B:$B,MATCH(P307,Fit_Matrix!$A:$A,0))),"CHECK KEY"))</f>
        <v/>
      </c>
    </row>
    <row r="308" customFormat="false" ht="15" hidden="false" customHeight="true" outlineLevel="0" collapsed="false">
      <c r="P308" s="1" t="str">
        <f aca="false">IF(OR(F308="",H308="",J308=""),"",J308&amp;"|"&amp;F308&amp;"|"&amp;IF(H308="W3","W3_"&amp;IF(I308="","unknown",I308),H308))</f>
        <v/>
      </c>
      <c r="Q308" s="1" t="str">
        <f aca="false">IF(P308="","",IFERROR(IF(AND(H308="W7",OR(F308="causal",F308="predictive")),IF(AND(K308=1,L308=1,M308=1),"adequate","partial"),INDEX(Fit_Matrix!$B:$B,MATCH(P308,Fit_Matrix!$A:$A,0))),"CHECK KEY"))</f>
        <v/>
      </c>
    </row>
    <row r="309" customFormat="false" ht="15" hidden="false" customHeight="true" outlineLevel="0" collapsed="false">
      <c r="P309" s="1" t="str">
        <f aca="false">IF(OR(F309="",H309="",J309=""),"",J309&amp;"|"&amp;F309&amp;"|"&amp;IF(H309="W3","W3_"&amp;IF(I309="","unknown",I309),H309))</f>
        <v/>
      </c>
      <c r="Q309" s="1" t="str">
        <f aca="false">IF(P309="","",IFERROR(IF(AND(H309="W7",OR(F309="causal",F309="predictive")),IF(AND(K309=1,L309=1,M309=1),"adequate","partial"),INDEX(Fit_Matrix!$B:$B,MATCH(P309,Fit_Matrix!$A:$A,0))),"CHECK KEY"))</f>
        <v/>
      </c>
    </row>
    <row r="310" customFormat="false" ht="15" hidden="false" customHeight="true" outlineLevel="0" collapsed="false">
      <c r="P310" s="1" t="str">
        <f aca="false">IF(OR(F310="",H310="",J310=""),"",J310&amp;"|"&amp;F310&amp;"|"&amp;IF(H310="W3","W3_"&amp;IF(I310="","unknown",I310),H310))</f>
        <v/>
      </c>
      <c r="Q310" s="1" t="str">
        <f aca="false">IF(P310="","",IFERROR(IF(AND(H310="W7",OR(F310="causal",F310="predictive")),IF(AND(K310=1,L310=1,M310=1),"adequate","partial"),INDEX(Fit_Matrix!$B:$B,MATCH(P310,Fit_Matrix!$A:$A,0))),"CHECK KEY"))</f>
        <v/>
      </c>
    </row>
    <row r="311" customFormat="false" ht="15" hidden="false" customHeight="true" outlineLevel="0" collapsed="false">
      <c r="P311" s="1" t="str">
        <f aca="false">IF(OR(F311="",H311="",J311=""),"",J311&amp;"|"&amp;F311&amp;"|"&amp;IF(H311="W3","W3_"&amp;IF(I311="","unknown",I311),H311))</f>
        <v/>
      </c>
      <c r="Q311" s="1" t="str">
        <f aca="false">IF(P311="","",IFERROR(IF(AND(H311="W7",OR(F311="causal",F311="predictive")),IF(AND(K311=1,L311=1,M311=1),"adequate","partial"),INDEX(Fit_Matrix!$B:$B,MATCH(P311,Fit_Matrix!$A:$A,0))),"CHECK KEY"))</f>
        <v/>
      </c>
    </row>
    <row r="312" customFormat="false" ht="15" hidden="false" customHeight="true" outlineLevel="0" collapsed="false">
      <c r="P312" s="1" t="str">
        <f aca="false">IF(OR(F312="",H312="",J312=""),"",J312&amp;"|"&amp;F312&amp;"|"&amp;IF(H312="W3","W3_"&amp;IF(I312="","unknown",I312),H312))</f>
        <v/>
      </c>
      <c r="Q312" s="1" t="str">
        <f aca="false">IF(P312="","",IFERROR(IF(AND(H312="W7",OR(F312="causal",F312="predictive")),IF(AND(K312=1,L312=1,M312=1),"adequate","partial"),INDEX(Fit_Matrix!$B:$B,MATCH(P312,Fit_Matrix!$A:$A,0))),"CHECK KEY"))</f>
        <v/>
      </c>
    </row>
    <row r="313" customFormat="false" ht="15" hidden="false" customHeight="true" outlineLevel="0" collapsed="false">
      <c r="P313" s="1" t="str">
        <f aca="false">IF(OR(F313="",H313="",J313=""),"",J313&amp;"|"&amp;F313&amp;"|"&amp;IF(H313="W3","W3_"&amp;IF(I313="","unknown",I313),H313))</f>
        <v/>
      </c>
      <c r="Q313" s="1" t="str">
        <f aca="false">IF(P313="","",IFERROR(IF(AND(H313="W7",OR(F313="causal",F313="predictive")),IF(AND(K313=1,L313=1,M313=1),"adequate","partial"),INDEX(Fit_Matrix!$B:$B,MATCH(P313,Fit_Matrix!$A:$A,0))),"CHECK KEY"))</f>
        <v/>
      </c>
    </row>
    <row r="314" customFormat="false" ht="15" hidden="false" customHeight="true" outlineLevel="0" collapsed="false">
      <c r="P314" s="1" t="str">
        <f aca="false">IF(OR(F314="",H314="",J314=""),"",J314&amp;"|"&amp;F314&amp;"|"&amp;IF(H314="W3","W3_"&amp;IF(I314="","unknown",I314),H314))</f>
        <v/>
      </c>
      <c r="Q314" s="1" t="str">
        <f aca="false">IF(P314="","",IFERROR(IF(AND(H314="W7",OR(F314="causal",F314="predictive")),IF(AND(K314=1,L314=1,M314=1),"adequate","partial"),INDEX(Fit_Matrix!$B:$B,MATCH(P314,Fit_Matrix!$A:$A,0))),"CHECK KEY"))</f>
        <v/>
      </c>
    </row>
    <row r="315" customFormat="false" ht="15" hidden="false" customHeight="true" outlineLevel="0" collapsed="false">
      <c r="P315" s="1" t="str">
        <f aca="false">IF(OR(F315="",H315="",J315=""),"",J315&amp;"|"&amp;F315&amp;"|"&amp;IF(H315="W3","W3_"&amp;IF(I315="","unknown",I315),H315))</f>
        <v/>
      </c>
      <c r="Q315" s="1" t="str">
        <f aca="false">IF(P315="","",IFERROR(IF(AND(H315="W7",OR(F315="causal",F315="predictive")),IF(AND(K315=1,L315=1,M315=1),"adequate","partial"),INDEX(Fit_Matrix!$B:$B,MATCH(P315,Fit_Matrix!$A:$A,0))),"CHECK KEY"))</f>
        <v/>
      </c>
    </row>
    <row r="316" customFormat="false" ht="15" hidden="false" customHeight="true" outlineLevel="0" collapsed="false">
      <c r="P316" s="1" t="str">
        <f aca="false">IF(OR(F316="",H316="",J316=""),"",J316&amp;"|"&amp;F316&amp;"|"&amp;IF(H316="W3","W3_"&amp;IF(I316="","unknown",I316),H316))</f>
        <v/>
      </c>
      <c r="Q316" s="1" t="str">
        <f aca="false">IF(P316="","",IFERROR(IF(AND(H316="W7",OR(F316="causal",F316="predictive")),IF(AND(K316=1,L316=1,M316=1),"adequate","partial"),INDEX(Fit_Matrix!$B:$B,MATCH(P316,Fit_Matrix!$A:$A,0))),"CHECK KEY"))</f>
        <v/>
      </c>
    </row>
    <row r="317" customFormat="false" ht="15" hidden="false" customHeight="true" outlineLevel="0" collapsed="false">
      <c r="P317" s="1" t="str">
        <f aca="false">IF(OR(F317="",H317="",J317=""),"",J317&amp;"|"&amp;F317&amp;"|"&amp;IF(H317="W3","W3_"&amp;IF(I317="","unknown",I317),H317))</f>
        <v/>
      </c>
      <c r="Q317" s="1" t="str">
        <f aca="false">IF(P317="","",IFERROR(IF(AND(H317="W7",OR(F317="causal",F317="predictive")),IF(AND(K317=1,L317=1,M317=1),"adequate","partial"),INDEX(Fit_Matrix!$B:$B,MATCH(P317,Fit_Matrix!$A:$A,0))),"CHECK KEY"))</f>
        <v/>
      </c>
    </row>
    <row r="318" customFormat="false" ht="15" hidden="false" customHeight="true" outlineLevel="0" collapsed="false">
      <c r="P318" s="1" t="str">
        <f aca="false">IF(OR(F318="",H318="",J318=""),"",J318&amp;"|"&amp;F318&amp;"|"&amp;IF(H318="W3","W3_"&amp;IF(I318="","unknown",I318),H318))</f>
        <v/>
      </c>
      <c r="Q318" s="1" t="str">
        <f aca="false">IF(P318="","",IFERROR(IF(AND(H318="W7",OR(F318="causal",F318="predictive")),IF(AND(K318=1,L318=1,M318=1),"adequate","partial"),INDEX(Fit_Matrix!$B:$B,MATCH(P318,Fit_Matrix!$A:$A,0))),"CHECK KEY"))</f>
        <v/>
      </c>
    </row>
    <row r="319" customFormat="false" ht="15" hidden="false" customHeight="true" outlineLevel="0" collapsed="false">
      <c r="P319" s="1" t="str">
        <f aca="false">IF(OR(F319="",H319="",J319=""),"",J319&amp;"|"&amp;F319&amp;"|"&amp;IF(H319="W3","W3_"&amp;IF(I319="","unknown",I319),H319))</f>
        <v/>
      </c>
      <c r="Q319" s="1" t="str">
        <f aca="false">IF(P319="","",IFERROR(IF(AND(H319="W7",OR(F319="causal",F319="predictive")),IF(AND(K319=1,L319=1,M319=1),"adequate","partial"),INDEX(Fit_Matrix!$B:$B,MATCH(P319,Fit_Matrix!$A:$A,0))),"CHECK KEY"))</f>
        <v/>
      </c>
    </row>
    <row r="320" customFormat="false" ht="15" hidden="false" customHeight="true" outlineLevel="0" collapsed="false">
      <c r="P320" s="1" t="str">
        <f aca="false">IF(OR(F320="",H320="",J320=""),"",J320&amp;"|"&amp;F320&amp;"|"&amp;IF(H320="W3","W3_"&amp;IF(I320="","unknown",I320),H320))</f>
        <v/>
      </c>
      <c r="Q320" s="1" t="str">
        <f aca="false">IF(P320="","",IFERROR(IF(AND(H320="W7",OR(F320="causal",F320="predictive")),IF(AND(K320=1,L320=1,M320=1),"adequate","partial"),INDEX(Fit_Matrix!$B:$B,MATCH(P320,Fit_Matrix!$A:$A,0))),"CHECK KEY"))</f>
        <v/>
      </c>
    </row>
    <row r="321" customFormat="false" ht="15" hidden="false" customHeight="true" outlineLevel="0" collapsed="false">
      <c r="P321" s="1" t="str">
        <f aca="false">IF(OR(F321="",H321="",J321=""),"",J321&amp;"|"&amp;F321&amp;"|"&amp;IF(H321="W3","W3_"&amp;IF(I321="","unknown",I321),H321))</f>
        <v/>
      </c>
      <c r="Q321" s="1" t="str">
        <f aca="false">IF(P321="","",IFERROR(IF(AND(H321="W7",OR(F321="causal",F321="predictive")),IF(AND(K321=1,L321=1,M321=1),"adequate","partial"),INDEX(Fit_Matrix!$B:$B,MATCH(P321,Fit_Matrix!$A:$A,0))),"CHECK KEY"))</f>
        <v/>
      </c>
    </row>
    <row r="322" customFormat="false" ht="15" hidden="false" customHeight="true" outlineLevel="0" collapsed="false">
      <c r="P322" s="1" t="str">
        <f aca="false">IF(OR(F322="",H322="",J322=""),"",J322&amp;"|"&amp;F322&amp;"|"&amp;IF(H322="W3","W3_"&amp;IF(I322="","unknown",I322),H322))</f>
        <v/>
      </c>
      <c r="Q322" s="1" t="str">
        <f aca="false">IF(P322="","",IFERROR(IF(AND(H322="W7",OR(F322="causal",F322="predictive")),IF(AND(K322=1,L322=1,M322=1),"adequate","partial"),INDEX(Fit_Matrix!$B:$B,MATCH(P322,Fit_Matrix!$A:$A,0))),"CHECK KEY"))</f>
        <v/>
      </c>
    </row>
    <row r="323" customFormat="false" ht="15" hidden="false" customHeight="true" outlineLevel="0" collapsed="false">
      <c r="P323" s="1" t="str">
        <f aca="false">IF(OR(F323="",H323="",J323=""),"",J323&amp;"|"&amp;F323&amp;"|"&amp;IF(H323="W3","W3_"&amp;IF(I323="","unknown",I323),H323))</f>
        <v/>
      </c>
      <c r="Q323" s="1" t="str">
        <f aca="false">IF(P323="","",IFERROR(IF(AND(H323="W7",OR(F323="causal",F323="predictive")),IF(AND(K323=1,L323=1,M323=1),"adequate","partial"),INDEX(Fit_Matrix!$B:$B,MATCH(P323,Fit_Matrix!$A:$A,0))),"CHECK KEY"))</f>
        <v/>
      </c>
    </row>
    <row r="324" customFormat="false" ht="15" hidden="false" customHeight="true" outlineLevel="0" collapsed="false">
      <c r="P324" s="1" t="str">
        <f aca="false">IF(OR(F324="",H324="",J324=""),"",J324&amp;"|"&amp;F324&amp;"|"&amp;IF(H324="W3","W3_"&amp;IF(I324="","unknown",I324),H324))</f>
        <v/>
      </c>
      <c r="Q324" s="1" t="str">
        <f aca="false">IF(P324="","",IFERROR(IF(AND(H324="W7",OR(F324="causal",F324="predictive")),IF(AND(K324=1,L324=1,M324=1),"adequate","partial"),INDEX(Fit_Matrix!$B:$B,MATCH(P324,Fit_Matrix!$A:$A,0))),"CHECK KEY"))</f>
        <v/>
      </c>
    </row>
    <row r="325" customFormat="false" ht="15" hidden="false" customHeight="true" outlineLevel="0" collapsed="false">
      <c r="P325" s="1" t="str">
        <f aca="false">IF(OR(F325="",H325="",J325=""),"",J325&amp;"|"&amp;F325&amp;"|"&amp;IF(H325="W3","W3_"&amp;IF(I325="","unknown",I325),H325))</f>
        <v/>
      </c>
      <c r="Q325" s="1" t="str">
        <f aca="false">IF(P325="","",IFERROR(IF(AND(H325="W7",OR(F325="causal",F325="predictive")),IF(AND(K325=1,L325=1,M325=1),"adequate","partial"),INDEX(Fit_Matrix!$B:$B,MATCH(P325,Fit_Matrix!$A:$A,0))),"CHECK KEY"))</f>
        <v/>
      </c>
    </row>
    <row r="326" customFormat="false" ht="15" hidden="false" customHeight="true" outlineLevel="0" collapsed="false">
      <c r="P326" s="1" t="str">
        <f aca="false">IF(OR(F326="",H326="",J326=""),"",J326&amp;"|"&amp;F326&amp;"|"&amp;IF(H326="W3","W3_"&amp;IF(I326="","unknown",I326),H326))</f>
        <v/>
      </c>
      <c r="Q326" s="1" t="str">
        <f aca="false">IF(P326="","",IFERROR(IF(AND(H326="W7",OR(F326="causal",F326="predictive")),IF(AND(K326=1,L326=1,M326=1),"adequate","partial"),INDEX(Fit_Matrix!$B:$B,MATCH(P326,Fit_Matrix!$A:$A,0))),"CHECK KEY"))</f>
        <v/>
      </c>
    </row>
    <row r="327" customFormat="false" ht="15" hidden="false" customHeight="true" outlineLevel="0" collapsed="false">
      <c r="P327" s="1" t="str">
        <f aca="false">IF(OR(F327="",H327="",J327=""),"",J327&amp;"|"&amp;F327&amp;"|"&amp;IF(H327="W3","W3_"&amp;IF(I327="","unknown",I327),H327))</f>
        <v/>
      </c>
      <c r="Q327" s="1" t="str">
        <f aca="false">IF(P327="","",IFERROR(IF(AND(H327="W7",OR(F327="causal",F327="predictive")),IF(AND(K327=1,L327=1,M327=1),"adequate","partial"),INDEX(Fit_Matrix!$B:$B,MATCH(P327,Fit_Matrix!$A:$A,0))),"CHECK KEY"))</f>
        <v/>
      </c>
    </row>
    <row r="328" customFormat="false" ht="15" hidden="false" customHeight="true" outlineLevel="0" collapsed="false">
      <c r="P328" s="1" t="str">
        <f aca="false">IF(OR(F328="",H328="",J328=""),"",J328&amp;"|"&amp;F328&amp;"|"&amp;IF(H328="W3","W3_"&amp;IF(I328="","unknown",I328),H328))</f>
        <v/>
      </c>
      <c r="Q328" s="1" t="str">
        <f aca="false">IF(P328="","",IFERROR(IF(AND(H328="W7",OR(F328="causal",F328="predictive")),IF(AND(K328=1,L328=1,M328=1),"adequate","partial"),INDEX(Fit_Matrix!$B:$B,MATCH(P328,Fit_Matrix!$A:$A,0))),"CHECK KEY"))</f>
        <v/>
      </c>
    </row>
    <row r="329" customFormat="false" ht="15" hidden="false" customHeight="true" outlineLevel="0" collapsed="false">
      <c r="P329" s="1" t="str">
        <f aca="false">IF(OR(F329="",H329="",J329=""),"",J329&amp;"|"&amp;F329&amp;"|"&amp;IF(H329="W3","W3_"&amp;IF(I329="","unknown",I329),H329))</f>
        <v/>
      </c>
      <c r="Q329" s="1" t="str">
        <f aca="false">IF(P329="","",IFERROR(IF(AND(H329="W7",OR(F329="causal",F329="predictive")),IF(AND(K329=1,L329=1,M329=1),"adequate","partial"),INDEX(Fit_Matrix!$B:$B,MATCH(P329,Fit_Matrix!$A:$A,0))),"CHECK KEY"))</f>
        <v/>
      </c>
    </row>
    <row r="330" customFormat="false" ht="15" hidden="false" customHeight="true" outlineLevel="0" collapsed="false">
      <c r="P330" s="1" t="str">
        <f aca="false">IF(OR(F330="",H330="",J330=""),"",J330&amp;"|"&amp;F330&amp;"|"&amp;IF(H330="W3","W3_"&amp;IF(I330="","unknown",I330),H330))</f>
        <v/>
      </c>
      <c r="Q330" s="1" t="str">
        <f aca="false">IF(P330="","",IFERROR(IF(AND(H330="W7",OR(F330="causal",F330="predictive")),IF(AND(K330=1,L330=1,M330=1),"adequate","partial"),INDEX(Fit_Matrix!$B:$B,MATCH(P330,Fit_Matrix!$A:$A,0))),"CHECK KEY"))</f>
        <v/>
      </c>
    </row>
    <row r="331" customFormat="false" ht="15" hidden="false" customHeight="true" outlineLevel="0" collapsed="false">
      <c r="P331" s="1" t="str">
        <f aca="false">IF(OR(F331="",H331="",J331=""),"",J331&amp;"|"&amp;F331&amp;"|"&amp;IF(H331="W3","W3_"&amp;IF(I331="","unknown",I331),H331))</f>
        <v/>
      </c>
      <c r="Q331" s="1" t="str">
        <f aca="false">IF(P331="","",IFERROR(IF(AND(H331="W7",OR(F331="causal",F331="predictive")),IF(AND(K331=1,L331=1,M331=1),"adequate","partial"),INDEX(Fit_Matrix!$B:$B,MATCH(P331,Fit_Matrix!$A:$A,0))),"CHECK KEY"))</f>
        <v/>
      </c>
    </row>
    <row r="332" customFormat="false" ht="15" hidden="false" customHeight="true" outlineLevel="0" collapsed="false">
      <c r="P332" s="1" t="str">
        <f aca="false">IF(OR(F332="",H332="",J332=""),"",J332&amp;"|"&amp;F332&amp;"|"&amp;IF(H332="W3","W3_"&amp;IF(I332="","unknown",I332),H332))</f>
        <v/>
      </c>
      <c r="Q332" s="1" t="str">
        <f aca="false">IF(P332="","",IFERROR(IF(AND(H332="W7",OR(F332="causal",F332="predictive")),IF(AND(K332=1,L332=1,M332=1),"adequate","partial"),INDEX(Fit_Matrix!$B:$B,MATCH(P332,Fit_Matrix!$A:$A,0))),"CHECK KEY"))</f>
        <v/>
      </c>
    </row>
    <row r="333" customFormat="false" ht="15" hidden="false" customHeight="true" outlineLevel="0" collapsed="false">
      <c r="P333" s="1" t="str">
        <f aca="false">IF(OR(F333="",H333="",J333=""),"",J333&amp;"|"&amp;F333&amp;"|"&amp;IF(H333="W3","W3_"&amp;IF(I333="","unknown",I333),H333))</f>
        <v/>
      </c>
      <c r="Q333" s="1" t="str">
        <f aca="false">IF(P333="","",IFERROR(IF(AND(H333="W7",OR(F333="causal",F333="predictive")),IF(AND(K333=1,L333=1,M333=1),"adequate","partial"),INDEX(Fit_Matrix!$B:$B,MATCH(P333,Fit_Matrix!$A:$A,0))),"CHECK KEY"))</f>
        <v/>
      </c>
    </row>
    <row r="334" customFormat="false" ht="15" hidden="false" customHeight="true" outlineLevel="0" collapsed="false">
      <c r="P334" s="1" t="str">
        <f aca="false">IF(OR(F334="",H334="",J334=""),"",J334&amp;"|"&amp;F334&amp;"|"&amp;IF(H334="W3","W3_"&amp;IF(I334="","unknown",I334),H334))</f>
        <v/>
      </c>
      <c r="Q334" s="1" t="str">
        <f aca="false">IF(P334="","",IFERROR(IF(AND(H334="W7",OR(F334="causal",F334="predictive")),IF(AND(K334=1,L334=1,M334=1),"adequate","partial"),INDEX(Fit_Matrix!$B:$B,MATCH(P334,Fit_Matrix!$A:$A,0))),"CHECK KEY"))</f>
        <v/>
      </c>
    </row>
    <row r="335" customFormat="false" ht="15" hidden="false" customHeight="true" outlineLevel="0" collapsed="false">
      <c r="P335" s="1" t="str">
        <f aca="false">IF(OR(F335="",H335="",J335=""),"",J335&amp;"|"&amp;F335&amp;"|"&amp;IF(H335="W3","W3_"&amp;IF(I335="","unknown",I335),H335))</f>
        <v/>
      </c>
      <c r="Q335" s="1" t="str">
        <f aca="false">IF(P335="","",IFERROR(IF(AND(H335="W7",OR(F335="causal",F335="predictive")),IF(AND(K335=1,L335=1,M335=1),"adequate","partial"),INDEX(Fit_Matrix!$B:$B,MATCH(P335,Fit_Matrix!$A:$A,0))),"CHECK KEY"))</f>
        <v/>
      </c>
    </row>
    <row r="336" customFormat="false" ht="15" hidden="false" customHeight="true" outlineLevel="0" collapsed="false">
      <c r="P336" s="1" t="str">
        <f aca="false">IF(OR(F336="",H336="",J336=""),"",J336&amp;"|"&amp;F336&amp;"|"&amp;IF(H336="W3","W3_"&amp;IF(I336="","unknown",I336),H336))</f>
        <v/>
      </c>
      <c r="Q336" s="1" t="str">
        <f aca="false">IF(P336="","",IFERROR(IF(AND(H336="W7",OR(F336="causal",F336="predictive")),IF(AND(K336=1,L336=1,M336=1),"adequate","partial"),INDEX(Fit_Matrix!$B:$B,MATCH(P336,Fit_Matrix!$A:$A,0))),"CHECK KEY"))</f>
        <v/>
      </c>
    </row>
    <row r="337" customFormat="false" ht="15" hidden="false" customHeight="true" outlineLevel="0" collapsed="false">
      <c r="P337" s="1" t="str">
        <f aca="false">IF(OR(F337="",H337="",J337=""),"",J337&amp;"|"&amp;F337&amp;"|"&amp;IF(H337="W3","W3_"&amp;IF(I337="","unknown",I337),H337))</f>
        <v/>
      </c>
      <c r="Q337" s="1" t="str">
        <f aca="false">IF(P337="","",IFERROR(IF(AND(H337="W7",OR(F337="causal",F337="predictive")),IF(AND(K337=1,L337=1,M337=1),"adequate","partial"),INDEX(Fit_Matrix!$B:$B,MATCH(P337,Fit_Matrix!$A:$A,0))),"CHECK KEY"))</f>
        <v/>
      </c>
    </row>
    <row r="338" customFormat="false" ht="15" hidden="false" customHeight="true" outlineLevel="0" collapsed="false">
      <c r="P338" s="1" t="str">
        <f aca="false">IF(OR(F338="",H338="",J338=""),"",J338&amp;"|"&amp;F338&amp;"|"&amp;IF(H338="W3","W3_"&amp;IF(I338="","unknown",I338),H338))</f>
        <v/>
      </c>
      <c r="Q338" s="1" t="str">
        <f aca="false">IF(P338="","",IFERROR(IF(AND(H338="W7",OR(F338="causal",F338="predictive")),IF(AND(K338=1,L338=1,M338=1),"adequate","partial"),INDEX(Fit_Matrix!$B:$B,MATCH(P338,Fit_Matrix!$A:$A,0))),"CHECK KEY"))</f>
        <v/>
      </c>
    </row>
    <row r="339" customFormat="false" ht="15" hidden="false" customHeight="true" outlineLevel="0" collapsed="false">
      <c r="P339" s="1" t="str">
        <f aca="false">IF(OR(F339="",H339="",J339=""),"",J339&amp;"|"&amp;F339&amp;"|"&amp;IF(H339="W3","W3_"&amp;IF(I339="","unknown",I339),H339))</f>
        <v/>
      </c>
      <c r="Q339" s="1" t="str">
        <f aca="false">IF(P339="","",IFERROR(IF(AND(H339="W7",OR(F339="causal",F339="predictive")),IF(AND(K339=1,L339=1,M339=1),"adequate","partial"),INDEX(Fit_Matrix!$B:$B,MATCH(P339,Fit_Matrix!$A:$A,0))),"CHECK KEY"))</f>
        <v/>
      </c>
    </row>
    <row r="340" customFormat="false" ht="15" hidden="false" customHeight="true" outlineLevel="0" collapsed="false">
      <c r="P340" s="1" t="str">
        <f aca="false">IF(OR(F340="",H340="",J340=""),"",J340&amp;"|"&amp;F340&amp;"|"&amp;IF(H340="W3","W3_"&amp;IF(I340="","unknown",I340),H340))</f>
        <v/>
      </c>
      <c r="Q340" s="1" t="str">
        <f aca="false">IF(P340="","",IFERROR(IF(AND(H340="W7",OR(F340="causal",F340="predictive")),IF(AND(K340=1,L340=1,M340=1),"adequate","partial"),INDEX(Fit_Matrix!$B:$B,MATCH(P340,Fit_Matrix!$A:$A,0))),"CHECK KEY"))</f>
        <v/>
      </c>
    </row>
    <row r="341" customFormat="false" ht="15" hidden="false" customHeight="true" outlineLevel="0" collapsed="false">
      <c r="P341" s="1" t="str">
        <f aca="false">IF(OR(F341="",H341="",J341=""),"",J341&amp;"|"&amp;F341&amp;"|"&amp;IF(H341="W3","W3_"&amp;IF(I341="","unknown",I341),H341))</f>
        <v/>
      </c>
      <c r="Q341" s="1" t="str">
        <f aca="false">IF(P341="","",IFERROR(IF(AND(H341="W7",OR(F341="causal",F341="predictive")),IF(AND(K341=1,L341=1,M341=1),"adequate","partial"),INDEX(Fit_Matrix!$B:$B,MATCH(P341,Fit_Matrix!$A:$A,0))),"CHECK KEY"))</f>
        <v/>
      </c>
    </row>
    <row r="342" customFormat="false" ht="15" hidden="false" customHeight="true" outlineLevel="0" collapsed="false">
      <c r="P342" s="1" t="str">
        <f aca="false">IF(OR(F342="",H342="",J342=""),"",J342&amp;"|"&amp;F342&amp;"|"&amp;IF(H342="W3","W3_"&amp;IF(I342="","unknown",I342),H342))</f>
        <v/>
      </c>
      <c r="Q342" s="1" t="str">
        <f aca="false">IF(P342="","",IFERROR(IF(AND(H342="W7",OR(F342="causal",F342="predictive")),IF(AND(K342=1,L342=1,M342=1),"adequate","partial"),INDEX(Fit_Matrix!$B:$B,MATCH(P342,Fit_Matrix!$A:$A,0))),"CHECK KEY"))</f>
        <v/>
      </c>
    </row>
    <row r="343" customFormat="false" ht="15" hidden="false" customHeight="true" outlineLevel="0" collapsed="false">
      <c r="P343" s="1" t="str">
        <f aca="false">IF(OR(F343="",H343="",J343=""),"",J343&amp;"|"&amp;F343&amp;"|"&amp;IF(H343="W3","W3_"&amp;IF(I343="","unknown",I343),H343))</f>
        <v/>
      </c>
      <c r="Q343" s="1" t="str">
        <f aca="false">IF(P343="","",IFERROR(IF(AND(H343="W7",OR(F343="causal",F343="predictive")),IF(AND(K343=1,L343=1,M343=1),"adequate","partial"),INDEX(Fit_Matrix!$B:$B,MATCH(P343,Fit_Matrix!$A:$A,0))),"CHECK KEY"))</f>
        <v/>
      </c>
    </row>
    <row r="344" customFormat="false" ht="15" hidden="false" customHeight="true" outlineLevel="0" collapsed="false">
      <c r="P344" s="1" t="str">
        <f aca="false">IF(OR(F344="",H344="",J344=""),"",J344&amp;"|"&amp;F344&amp;"|"&amp;IF(H344="W3","W3_"&amp;IF(I344="","unknown",I344),H344))</f>
        <v/>
      </c>
      <c r="Q344" s="1" t="str">
        <f aca="false">IF(P344="","",IFERROR(IF(AND(H344="W7",OR(F344="causal",F344="predictive")),IF(AND(K344=1,L344=1,M344=1),"adequate","partial"),INDEX(Fit_Matrix!$B:$B,MATCH(P344,Fit_Matrix!$A:$A,0))),"CHECK KEY"))</f>
        <v/>
      </c>
    </row>
    <row r="345" customFormat="false" ht="15" hidden="false" customHeight="true" outlineLevel="0" collapsed="false">
      <c r="P345" s="1" t="str">
        <f aca="false">IF(OR(F345="",H345="",J345=""),"",J345&amp;"|"&amp;F345&amp;"|"&amp;IF(H345="W3","W3_"&amp;IF(I345="","unknown",I345),H345))</f>
        <v/>
      </c>
      <c r="Q345" s="1" t="str">
        <f aca="false">IF(P345="","",IFERROR(IF(AND(H345="W7",OR(F345="causal",F345="predictive")),IF(AND(K345=1,L345=1,M345=1),"adequate","partial"),INDEX(Fit_Matrix!$B:$B,MATCH(P345,Fit_Matrix!$A:$A,0))),"CHECK KEY"))</f>
        <v/>
      </c>
    </row>
    <row r="346" customFormat="false" ht="15" hidden="false" customHeight="true" outlineLevel="0" collapsed="false">
      <c r="P346" s="1" t="str">
        <f aca="false">IF(OR(F346="",H346="",J346=""),"",J346&amp;"|"&amp;F346&amp;"|"&amp;IF(H346="W3","W3_"&amp;IF(I346="","unknown",I346),H346))</f>
        <v/>
      </c>
      <c r="Q346" s="1" t="str">
        <f aca="false">IF(P346="","",IFERROR(IF(AND(H346="W7",OR(F346="causal",F346="predictive")),IF(AND(K346=1,L346=1,M346=1),"adequate","partial"),INDEX(Fit_Matrix!$B:$B,MATCH(P346,Fit_Matrix!$A:$A,0))),"CHECK KEY"))</f>
        <v/>
      </c>
    </row>
    <row r="347" customFormat="false" ht="15" hidden="false" customHeight="true" outlineLevel="0" collapsed="false">
      <c r="P347" s="1" t="str">
        <f aca="false">IF(OR(F347="",H347="",J347=""),"",J347&amp;"|"&amp;F347&amp;"|"&amp;IF(H347="W3","W3_"&amp;IF(I347="","unknown",I347),H347))</f>
        <v/>
      </c>
      <c r="Q347" s="1" t="str">
        <f aca="false">IF(P347="","",IFERROR(IF(AND(H347="W7",OR(F347="causal",F347="predictive")),IF(AND(K347=1,L347=1,M347=1),"adequate","partial"),INDEX(Fit_Matrix!$B:$B,MATCH(P347,Fit_Matrix!$A:$A,0))),"CHECK KEY"))</f>
        <v/>
      </c>
    </row>
    <row r="348" customFormat="false" ht="15" hidden="false" customHeight="true" outlineLevel="0" collapsed="false">
      <c r="P348" s="1" t="str">
        <f aca="false">IF(OR(F348="",H348="",J348=""),"",J348&amp;"|"&amp;F348&amp;"|"&amp;IF(H348="W3","W3_"&amp;IF(I348="","unknown",I348),H348))</f>
        <v/>
      </c>
      <c r="Q348" s="1" t="str">
        <f aca="false">IF(P348="","",IFERROR(IF(AND(H348="W7",OR(F348="causal",F348="predictive")),IF(AND(K348=1,L348=1,M348=1),"adequate","partial"),INDEX(Fit_Matrix!$B:$B,MATCH(P348,Fit_Matrix!$A:$A,0))),"CHECK KEY"))</f>
        <v/>
      </c>
    </row>
    <row r="349" customFormat="false" ht="15" hidden="false" customHeight="true" outlineLevel="0" collapsed="false">
      <c r="P349" s="1" t="str">
        <f aca="false">IF(OR(F349="",H349="",J349=""),"",J349&amp;"|"&amp;F349&amp;"|"&amp;IF(H349="W3","W3_"&amp;IF(I349="","unknown",I349),H349))</f>
        <v/>
      </c>
      <c r="Q349" s="1" t="str">
        <f aca="false">IF(P349="","",IFERROR(IF(AND(H349="W7",OR(F349="causal",F349="predictive")),IF(AND(K349=1,L349=1,M349=1),"adequate","partial"),INDEX(Fit_Matrix!$B:$B,MATCH(P349,Fit_Matrix!$A:$A,0))),"CHECK KEY"))</f>
        <v/>
      </c>
    </row>
    <row r="350" customFormat="false" ht="15" hidden="false" customHeight="true" outlineLevel="0" collapsed="false">
      <c r="P350" s="1" t="str">
        <f aca="false">IF(OR(F350="",H350="",J350=""),"",J350&amp;"|"&amp;F350&amp;"|"&amp;IF(H350="W3","W3_"&amp;IF(I350="","unknown",I350),H350))</f>
        <v/>
      </c>
      <c r="Q350" s="1" t="str">
        <f aca="false">IF(P350="","",IFERROR(IF(AND(H350="W7",OR(F350="causal",F350="predictive")),IF(AND(K350=1,L350=1,M350=1),"adequate","partial"),INDEX(Fit_Matrix!$B:$B,MATCH(P350,Fit_Matrix!$A:$A,0))),"CHECK KEY"))</f>
        <v/>
      </c>
    </row>
    <row r="351" customFormat="false" ht="15" hidden="false" customHeight="true" outlineLevel="0" collapsed="false">
      <c r="P351" s="1" t="str">
        <f aca="false">IF(OR(F351="",H351="",J351=""),"",J351&amp;"|"&amp;F351&amp;"|"&amp;IF(H351="W3","W3_"&amp;IF(I351="","unknown",I351),H351))</f>
        <v/>
      </c>
      <c r="Q351" s="1" t="str">
        <f aca="false">IF(P351="","",IFERROR(IF(AND(H351="W7",OR(F351="causal",F351="predictive")),IF(AND(K351=1,L351=1,M351=1),"adequate","partial"),INDEX(Fit_Matrix!$B:$B,MATCH(P351,Fit_Matrix!$A:$A,0))),"CHECK KEY"))</f>
        <v/>
      </c>
    </row>
    <row r="352" customFormat="false" ht="15" hidden="false" customHeight="true" outlineLevel="0" collapsed="false">
      <c r="P352" s="1" t="str">
        <f aca="false">IF(OR(F352="",H352="",J352=""),"",J352&amp;"|"&amp;F352&amp;"|"&amp;IF(H352="W3","W3_"&amp;IF(I352="","unknown",I352),H352))</f>
        <v/>
      </c>
      <c r="Q352" s="1" t="str">
        <f aca="false">IF(P352="","",IFERROR(IF(AND(H352="W7",OR(F352="causal",F352="predictive")),IF(AND(K352=1,L352=1,M352=1),"adequate","partial"),INDEX(Fit_Matrix!$B:$B,MATCH(P352,Fit_Matrix!$A:$A,0))),"CHECK KEY"))</f>
        <v/>
      </c>
    </row>
    <row r="353" customFormat="false" ht="15" hidden="false" customHeight="true" outlineLevel="0" collapsed="false">
      <c r="P353" s="1" t="str">
        <f aca="false">IF(OR(F353="",H353="",J353=""),"",J353&amp;"|"&amp;F353&amp;"|"&amp;IF(H353="W3","W3_"&amp;IF(I353="","unknown",I353),H353))</f>
        <v/>
      </c>
      <c r="Q353" s="1" t="str">
        <f aca="false">IF(P353="","",IFERROR(IF(AND(H353="W7",OR(F353="causal",F353="predictive")),IF(AND(K353=1,L353=1,M353=1),"adequate","partial"),INDEX(Fit_Matrix!$B:$B,MATCH(P353,Fit_Matrix!$A:$A,0))),"CHECK KEY"))</f>
        <v/>
      </c>
    </row>
    <row r="354" customFormat="false" ht="15" hidden="false" customHeight="true" outlineLevel="0" collapsed="false">
      <c r="P354" s="1" t="str">
        <f aca="false">IF(OR(F354="",H354="",J354=""),"",J354&amp;"|"&amp;F354&amp;"|"&amp;IF(H354="W3","W3_"&amp;IF(I354="","unknown",I354),H354))</f>
        <v/>
      </c>
      <c r="Q354" s="1" t="str">
        <f aca="false">IF(P354="","",IFERROR(IF(AND(H354="W7",OR(F354="causal",F354="predictive")),IF(AND(K354=1,L354=1,M354=1),"adequate","partial"),INDEX(Fit_Matrix!$B:$B,MATCH(P354,Fit_Matrix!$A:$A,0))),"CHECK KEY"))</f>
        <v/>
      </c>
    </row>
    <row r="355" customFormat="false" ht="15" hidden="false" customHeight="true" outlineLevel="0" collapsed="false">
      <c r="P355" s="1" t="str">
        <f aca="false">IF(OR(F355="",H355="",J355=""),"",J355&amp;"|"&amp;F355&amp;"|"&amp;IF(H355="W3","W3_"&amp;IF(I355="","unknown",I355),H355))</f>
        <v/>
      </c>
      <c r="Q355" s="1" t="str">
        <f aca="false">IF(P355="","",IFERROR(IF(AND(H355="W7",OR(F355="causal",F355="predictive")),IF(AND(K355=1,L355=1,M355=1),"adequate","partial"),INDEX(Fit_Matrix!$B:$B,MATCH(P355,Fit_Matrix!$A:$A,0))),"CHECK KEY"))</f>
        <v/>
      </c>
    </row>
    <row r="356" customFormat="false" ht="15" hidden="false" customHeight="true" outlineLevel="0" collapsed="false">
      <c r="P356" s="1" t="str">
        <f aca="false">IF(OR(F356="",H356="",J356=""),"",J356&amp;"|"&amp;F356&amp;"|"&amp;IF(H356="W3","W3_"&amp;IF(I356="","unknown",I356),H356))</f>
        <v/>
      </c>
      <c r="Q356" s="1" t="str">
        <f aca="false">IF(P356="","",IFERROR(IF(AND(H356="W7",OR(F356="causal",F356="predictive")),IF(AND(K356=1,L356=1,M356=1),"adequate","partial"),INDEX(Fit_Matrix!$B:$B,MATCH(P356,Fit_Matrix!$A:$A,0))),"CHECK KEY"))</f>
        <v/>
      </c>
    </row>
    <row r="357" customFormat="false" ht="15" hidden="false" customHeight="true" outlineLevel="0" collapsed="false">
      <c r="P357" s="1" t="str">
        <f aca="false">IF(OR(F357="",H357="",J357=""),"",J357&amp;"|"&amp;F357&amp;"|"&amp;IF(H357="W3","W3_"&amp;IF(I357="","unknown",I357),H357))</f>
        <v/>
      </c>
      <c r="Q357" s="1" t="str">
        <f aca="false">IF(P357="","",IFERROR(IF(AND(H357="W7",OR(F357="causal",F357="predictive")),IF(AND(K357=1,L357=1,M357=1),"adequate","partial"),INDEX(Fit_Matrix!$B:$B,MATCH(P357,Fit_Matrix!$A:$A,0))),"CHECK KEY"))</f>
        <v/>
      </c>
    </row>
    <row r="358" customFormat="false" ht="15" hidden="false" customHeight="true" outlineLevel="0" collapsed="false">
      <c r="P358" s="1" t="str">
        <f aca="false">IF(OR(F358="",H358="",J358=""),"",J358&amp;"|"&amp;F358&amp;"|"&amp;IF(H358="W3","W3_"&amp;IF(I358="","unknown",I358),H358))</f>
        <v/>
      </c>
      <c r="Q358" s="1" t="str">
        <f aca="false">IF(P358="","",IFERROR(IF(AND(H358="W7",OR(F358="causal",F358="predictive")),IF(AND(K358=1,L358=1,M358=1),"adequate","partial"),INDEX(Fit_Matrix!$B:$B,MATCH(P358,Fit_Matrix!$A:$A,0))),"CHECK KEY"))</f>
        <v/>
      </c>
    </row>
    <row r="359" customFormat="false" ht="15" hidden="false" customHeight="true" outlineLevel="0" collapsed="false">
      <c r="P359" s="1" t="str">
        <f aca="false">IF(OR(F359="",H359="",J359=""),"",J359&amp;"|"&amp;F359&amp;"|"&amp;IF(H359="W3","W3_"&amp;IF(I359="","unknown",I359),H359))</f>
        <v/>
      </c>
      <c r="Q359" s="1" t="str">
        <f aca="false">IF(P359="","",IFERROR(IF(AND(H359="W7",OR(F359="causal",F359="predictive")),IF(AND(K359=1,L359=1,M359=1),"adequate","partial"),INDEX(Fit_Matrix!$B:$B,MATCH(P359,Fit_Matrix!$A:$A,0))),"CHECK KEY"))</f>
        <v/>
      </c>
    </row>
    <row r="360" customFormat="false" ht="15" hidden="false" customHeight="true" outlineLevel="0" collapsed="false">
      <c r="P360" s="1" t="str">
        <f aca="false">IF(OR(F360="",H360="",J360=""),"",J360&amp;"|"&amp;F360&amp;"|"&amp;IF(H360="W3","W3_"&amp;IF(I360="","unknown",I360),H360))</f>
        <v/>
      </c>
      <c r="Q360" s="1" t="str">
        <f aca="false">IF(P360="","",IFERROR(IF(AND(H360="W7",OR(F360="causal",F360="predictive")),IF(AND(K360=1,L360=1,M360=1),"adequate","partial"),INDEX(Fit_Matrix!$B:$B,MATCH(P360,Fit_Matrix!$A:$A,0))),"CHECK KEY"))</f>
        <v/>
      </c>
    </row>
    <row r="361" customFormat="false" ht="15" hidden="false" customHeight="true" outlineLevel="0" collapsed="false">
      <c r="P361" s="1" t="str">
        <f aca="false">IF(OR(F361="",H361="",J361=""),"",J361&amp;"|"&amp;F361&amp;"|"&amp;IF(H361="W3","W3_"&amp;IF(I361="","unknown",I361),H361))</f>
        <v/>
      </c>
      <c r="Q361" s="1" t="str">
        <f aca="false">IF(P361="","",IFERROR(IF(AND(H361="W7",OR(F361="causal",F361="predictive")),IF(AND(K361=1,L361=1,M361=1),"adequate","partial"),INDEX(Fit_Matrix!$B:$B,MATCH(P361,Fit_Matrix!$A:$A,0))),"CHECK KEY"))</f>
        <v/>
      </c>
    </row>
    <row r="362" customFormat="false" ht="15" hidden="false" customHeight="true" outlineLevel="0" collapsed="false">
      <c r="P362" s="1" t="str">
        <f aca="false">IF(OR(F362="",H362="",J362=""),"",J362&amp;"|"&amp;F362&amp;"|"&amp;IF(H362="W3","W3_"&amp;IF(I362="","unknown",I362),H362))</f>
        <v/>
      </c>
      <c r="Q362" s="1" t="str">
        <f aca="false">IF(P362="","",IFERROR(IF(AND(H362="W7",OR(F362="causal",F362="predictive")),IF(AND(K362=1,L362=1,M362=1),"adequate","partial"),INDEX(Fit_Matrix!$B:$B,MATCH(P362,Fit_Matrix!$A:$A,0))),"CHECK KEY"))</f>
        <v/>
      </c>
    </row>
    <row r="363" customFormat="false" ht="15" hidden="false" customHeight="true" outlineLevel="0" collapsed="false">
      <c r="P363" s="1" t="str">
        <f aca="false">IF(OR(F363="",H363="",J363=""),"",J363&amp;"|"&amp;F363&amp;"|"&amp;IF(H363="W3","W3_"&amp;IF(I363="","unknown",I363),H363))</f>
        <v/>
      </c>
      <c r="Q363" s="1" t="str">
        <f aca="false">IF(P363="","",IFERROR(IF(AND(H363="W7",OR(F363="causal",F363="predictive")),IF(AND(K363=1,L363=1,M363=1),"adequate","partial"),INDEX(Fit_Matrix!$B:$B,MATCH(P363,Fit_Matrix!$A:$A,0))),"CHECK KEY"))</f>
        <v/>
      </c>
    </row>
    <row r="364" customFormat="false" ht="15" hidden="false" customHeight="true" outlineLevel="0" collapsed="false">
      <c r="P364" s="1" t="str">
        <f aca="false">IF(OR(F364="",H364="",J364=""),"",J364&amp;"|"&amp;F364&amp;"|"&amp;IF(H364="W3","W3_"&amp;IF(I364="","unknown",I364),H364))</f>
        <v/>
      </c>
      <c r="Q364" s="1" t="str">
        <f aca="false">IF(P364="","",IFERROR(IF(AND(H364="W7",OR(F364="causal",F364="predictive")),IF(AND(K364=1,L364=1,M364=1),"adequate","partial"),INDEX(Fit_Matrix!$B:$B,MATCH(P364,Fit_Matrix!$A:$A,0))),"CHECK KEY"))</f>
        <v/>
      </c>
    </row>
    <row r="365" customFormat="false" ht="15" hidden="false" customHeight="true" outlineLevel="0" collapsed="false">
      <c r="P365" s="1" t="str">
        <f aca="false">IF(OR(F365="",H365="",J365=""),"",J365&amp;"|"&amp;F365&amp;"|"&amp;IF(H365="W3","W3_"&amp;IF(I365="","unknown",I365),H365))</f>
        <v/>
      </c>
      <c r="Q365" s="1" t="str">
        <f aca="false">IF(P365="","",IFERROR(IF(AND(H365="W7",OR(F365="causal",F365="predictive")),IF(AND(K365=1,L365=1,M365=1),"adequate","partial"),INDEX(Fit_Matrix!$B:$B,MATCH(P365,Fit_Matrix!$A:$A,0))),"CHECK KEY"))</f>
        <v/>
      </c>
    </row>
    <row r="366" customFormat="false" ht="15" hidden="false" customHeight="true" outlineLevel="0" collapsed="false">
      <c r="P366" s="1" t="str">
        <f aca="false">IF(OR(F366="",H366="",J366=""),"",J366&amp;"|"&amp;F366&amp;"|"&amp;IF(H366="W3","W3_"&amp;IF(I366="","unknown",I366),H366))</f>
        <v/>
      </c>
      <c r="Q366" s="1" t="str">
        <f aca="false">IF(P366="","",IFERROR(IF(AND(H366="W7",OR(F366="causal",F366="predictive")),IF(AND(K366=1,L366=1,M366=1),"adequate","partial"),INDEX(Fit_Matrix!$B:$B,MATCH(P366,Fit_Matrix!$A:$A,0))),"CHECK KEY"))</f>
        <v/>
      </c>
    </row>
    <row r="367" customFormat="false" ht="15" hidden="false" customHeight="true" outlineLevel="0" collapsed="false">
      <c r="P367" s="1" t="str">
        <f aca="false">IF(OR(F367="",H367="",J367=""),"",J367&amp;"|"&amp;F367&amp;"|"&amp;IF(H367="W3","W3_"&amp;IF(I367="","unknown",I367),H367))</f>
        <v/>
      </c>
      <c r="Q367" s="1" t="str">
        <f aca="false">IF(P367="","",IFERROR(IF(AND(H367="W7",OR(F367="causal",F367="predictive")),IF(AND(K367=1,L367=1,M367=1),"adequate","partial"),INDEX(Fit_Matrix!$B:$B,MATCH(P367,Fit_Matrix!$A:$A,0))),"CHECK KEY"))</f>
        <v/>
      </c>
    </row>
    <row r="368" customFormat="false" ht="15" hidden="false" customHeight="true" outlineLevel="0" collapsed="false">
      <c r="P368" s="1" t="str">
        <f aca="false">IF(OR(F368="",H368="",J368=""),"",J368&amp;"|"&amp;F368&amp;"|"&amp;IF(H368="W3","W3_"&amp;IF(I368="","unknown",I368),H368))</f>
        <v/>
      </c>
      <c r="Q368" s="1" t="str">
        <f aca="false">IF(P368="","",IFERROR(IF(AND(H368="W7",OR(F368="causal",F368="predictive")),IF(AND(K368=1,L368=1,M368=1),"adequate","partial"),INDEX(Fit_Matrix!$B:$B,MATCH(P368,Fit_Matrix!$A:$A,0))),"CHECK KEY"))</f>
        <v/>
      </c>
    </row>
    <row r="369" customFormat="false" ht="15" hidden="false" customHeight="true" outlineLevel="0" collapsed="false">
      <c r="P369" s="1" t="str">
        <f aca="false">IF(OR(F369="",H369="",J369=""),"",J369&amp;"|"&amp;F369&amp;"|"&amp;IF(H369="W3","W3_"&amp;IF(I369="","unknown",I369),H369))</f>
        <v/>
      </c>
      <c r="Q369" s="1" t="str">
        <f aca="false">IF(P369="","",IFERROR(IF(AND(H369="W7",OR(F369="causal",F369="predictive")),IF(AND(K369=1,L369=1,M369=1),"adequate","partial"),INDEX(Fit_Matrix!$B:$B,MATCH(P369,Fit_Matrix!$A:$A,0))),"CHECK KEY"))</f>
        <v/>
      </c>
    </row>
    <row r="370" customFormat="false" ht="15" hidden="false" customHeight="true" outlineLevel="0" collapsed="false">
      <c r="P370" s="1" t="str">
        <f aca="false">IF(OR(F370="",H370="",J370=""),"",J370&amp;"|"&amp;F370&amp;"|"&amp;IF(H370="W3","W3_"&amp;IF(I370="","unknown",I370),H370))</f>
        <v/>
      </c>
      <c r="Q370" s="1" t="str">
        <f aca="false">IF(P370="","",IFERROR(IF(AND(H370="W7",OR(F370="causal",F370="predictive")),IF(AND(K370=1,L370=1,M370=1),"adequate","partial"),INDEX(Fit_Matrix!$B:$B,MATCH(P370,Fit_Matrix!$A:$A,0))),"CHECK KEY"))</f>
        <v/>
      </c>
    </row>
    <row r="371" customFormat="false" ht="15" hidden="false" customHeight="true" outlineLevel="0" collapsed="false">
      <c r="P371" s="1" t="str">
        <f aca="false">IF(OR(F371="",H371="",J371=""),"",J371&amp;"|"&amp;F371&amp;"|"&amp;IF(H371="W3","W3_"&amp;IF(I371="","unknown",I371),H371))</f>
        <v/>
      </c>
      <c r="Q371" s="1" t="str">
        <f aca="false">IF(P371="","",IFERROR(IF(AND(H371="W7",OR(F371="causal",F371="predictive")),IF(AND(K371=1,L371=1,M371=1),"adequate","partial"),INDEX(Fit_Matrix!$B:$B,MATCH(P371,Fit_Matrix!$A:$A,0))),"CHECK KEY"))</f>
        <v/>
      </c>
    </row>
    <row r="372" customFormat="false" ht="15" hidden="false" customHeight="true" outlineLevel="0" collapsed="false">
      <c r="P372" s="1" t="str">
        <f aca="false">IF(OR(F372="",H372="",J372=""),"",J372&amp;"|"&amp;F372&amp;"|"&amp;IF(H372="W3","W3_"&amp;IF(I372="","unknown",I372),H372))</f>
        <v/>
      </c>
      <c r="Q372" s="1" t="str">
        <f aca="false">IF(P372="","",IFERROR(IF(AND(H372="W7",OR(F372="causal",F372="predictive")),IF(AND(K372=1,L372=1,M372=1),"adequate","partial"),INDEX(Fit_Matrix!$B:$B,MATCH(P372,Fit_Matrix!$A:$A,0))),"CHECK KEY"))</f>
        <v/>
      </c>
    </row>
    <row r="373" customFormat="false" ht="15" hidden="false" customHeight="true" outlineLevel="0" collapsed="false">
      <c r="P373" s="1" t="str">
        <f aca="false">IF(OR(F373="",H373="",J373=""),"",J373&amp;"|"&amp;F373&amp;"|"&amp;IF(H373="W3","W3_"&amp;IF(I373="","unknown",I373),H373))</f>
        <v/>
      </c>
      <c r="Q373" s="1" t="str">
        <f aca="false">IF(P373="","",IFERROR(IF(AND(H373="W7",OR(F373="causal",F373="predictive")),IF(AND(K373=1,L373=1,M373=1),"adequate","partial"),INDEX(Fit_Matrix!$B:$B,MATCH(P373,Fit_Matrix!$A:$A,0))),"CHECK KEY"))</f>
        <v/>
      </c>
    </row>
    <row r="374" customFormat="false" ht="15" hidden="false" customHeight="true" outlineLevel="0" collapsed="false">
      <c r="P374" s="1" t="str">
        <f aca="false">IF(OR(F374="",H374="",J374=""),"",J374&amp;"|"&amp;F374&amp;"|"&amp;IF(H374="W3","W3_"&amp;IF(I374="","unknown",I374),H374))</f>
        <v/>
      </c>
      <c r="Q374" s="1" t="str">
        <f aca="false">IF(P374="","",IFERROR(IF(AND(H374="W7",OR(F374="causal",F374="predictive")),IF(AND(K374=1,L374=1,M374=1),"adequate","partial"),INDEX(Fit_Matrix!$B:$B,MATCH(P374,Fit_Matrix!$A:$A,0))),"CHECK KEY"))</f>
        <v/>
      </c>
    </row>
    <row r="375" customFormat="false" ht="15" hidden="false" customHeight="true" outlineLevel="0" collapsed="false">
      <c r="P375" s="1" t="str">
        <f aca="false">IF(OR(F375="",H375="",J375=""),"",J375&amp;"|"&amp;F375&amp;"|"&amp;IF(H375="W3","W3_"&amp;IF(I375="","unknown",I375),H375))</f>
        <v/>
      </c>
      <c r="Q375" s="1" t="str">
        <f aca="false">IF(P375="","",IFERROR(IF(AND(H375="W7",OR(F375="causal",F375="predictive")),IF(AND(K375=1,L375=1,M375=1),"adequate","partial"),INDEX(Fit_Matrix!$B:$B,MATCH(P375,Fit_Matrix!$A:$A,0))),"CHECK KEY"))</f>
        <v/>
      </c>
    </row>
    <row r="376" customFormat="false" ht="15" hidden="false" customHeight="true" outlineLevel="0" collapsed="false">
      <c r="P376" s="1" t="str">
        <f aca="false">IF(OR(F376="",H376="",J376=""),"",J376&amp;"|"&amp;F376&amp;"|"&amp;IF(H376="W3","W3_"&amp;IF(I376="","unknown",I376),H376))</f>
        <v/>
      </c>
      <c r="Q376" s="1" t="str">
        <f aca="false">IF(P376="","",IFERROR(IF(AND(H376="W7",OR(F376="causal",F376="predictive")),IF(AND(K376=1,L376=1,M376=1),"adequate","partial"),INDEX(Fit_Matrix!$B:$B,MATCH(P376,Fit_Matrix!$A:$A,0))),"CHECK KEY"))</f>
        <v/>
      </c>
    </row>
    <row r="377" customFormat="false" ht="15" hidden="false" customHeight="true" outlineLevel="0" collapsed="false">
      <c r="P377" s="1" t="str">
        <f aca="false">IF(OR(F377="",H377="",J377=""),"",J377&amp;"|"&amp;F377&amp;"|"&amp;IF(H377="W3","W3_"&amp;IF(I377="","unknown",I377),H377))</f>
        <v/>
      </c>
      <c r="Q377" s="1" t="str">
        <f aca="false">IF(P377="","",IFERROR(IF(AND(H377="W7",OR(F377="causal",F377="predictive")),IF(AND(K377=1,L377=1,M377=1),"adequate","partial"),INDEX(Fit_Matrix!$B:$B,MATCH(P377,Fit_Matrix!$A:$A,0))),"CHECK KEY"))</f>
        <v/>
      </c>
    </row>
    <row r="378" customFormat="false" ht="15" hidden="false" customHeight="true" outlineLevel="0" collapsed="false">
      <c r="P378" s="1" t="str">
        <f aca="false">IF(OR(F378="",H378="",J378=""),"",J378&amp;"|"&amp;F378&amp;"|"&amp;IF(H378="W3","W3_"&amp;IF(I378="","unknown",I378),H378))</f>
        <v/>
      </c>
      <c r="Q378" s="1" t="str">
        <f aca="false">IF(P378="","",IFERROR(IF(AND(H378="W7",OR(F378="causal",F378="predictive")),IF(AND(K378=1,L378=1,M378=1),"adequate","partial"),INDEX(Fit_Matrix!$B:$B,MATCH(P378,Fit_Matrix!$A:$A,0))),"CHECK KEY"))</f>
        <v/>
      </c>
    </row>
    <row r="379" customFormat="false" ht="15" hidden="false" customHeight="true" outlineLevel="0" collapsed="false">
      <c r="P379" s="1" t="str">
        <f aca="false">IF(OR(F379="",H379="",J379=""),"",J379&amp;"|"&amp;F379&amp;"|"&amp;IF(H379="W3","W3_"&amp;IF(I379="","unknown",I379),H379))</f>
        <v/>
      </c>
      <c r="Q379" s="1" t="str">
        <f aca="false">IF(P379="","",IFERROR(IF(AND(H379="W7",OR(F379="causal",F379="predictive")),IF(AND(K379=1,L379=1,M379=1),"adequate","partial"),INDEX(Fit_Matrix!$B:$B,MATCH(P379,Fit_Matrix!$A:$A,0))),"CHECK KEY"))</f>
        <v/>
      </c>
    </row>
    <row r="380" customFormat="false" ht="15" hidden="false" customHeight="true" outlineLevel="0" collapsed="false">
      <c r="P380" s="1" t="str">
        <f aca="false">IF(OR(F380="",H380="",J380=""),"",J380&amp;"|"&amp;F380&amp;"|"&amp;IF(H380="W3","W3_"&amp;IF(I380="","unknown",I380),H380))</f>
        <v/>
      </c>
      <c r="Q380" s="1" t="str">
        <f aca="false">IF(P380="","",IFERROR(IF(AND(H380="W7",OR(F380="causal",F380="predictive")),IF(AND(K380=1,L380=1,M380=1),"adequate","partial"),INDEX(Fit_Matrix!$B:$B,MATCH(P380,Fit_Matrix!$A:$A,0))),"CHECK KEY"))</f>
        <v/>
      </c>
    </row>
    <row r="381" customFormat="false" ht="15" hidden="false" customHeight="true" outlineLevel="0" collapsed="false">
      <c r="P381" s="1" t="str">
        <f aca="false">IF(OR(F381="",H381="",J381=""),"",J381&amp;"|"&amp;F381&amp;"|"&amp;IF(H381="W3","W3_"&amp;IF(I381="","unknown",I381),H381))</f>
        <v/>
      </c>
      <c r="Q381" s="1" t="str">
        <f aca="false">IF(P381="","",IFERROR(IF(AND(H381="W7",OR(F381="causal",F381="predictive")),IF(AND(K381=1,L381=1,M381=1),"adequate","partial"),INDEX(Fit_Matrix!$B:$B,MATCH(P381,Fit_Matrix!$A:$A,0))),"CHECK KEY"))</f>
        <v/>
      </c>
    </row>
    <row r="382" customFormat="false" ht="15" hidden="false" customHeight="true" outlineLevel="0" collapsed="false">
      <c r="P382" s="1" t="str">
        <f aca="false">IF(OR(F382="",H382="",J382=""),"",J382&amp;"|"&amp;F382&amp;"|"&amp;IF(H382="W3","W3_"&amp;IF(I382="","unknown",I382),H382))</f>
        <v/>
      </c>
      <c r="Q382" s="1" t="str">
        <f aca="false">IF(P382="","",IFERROR(IF(AND(H382="W7",OR(F382="causal",F382="predictive")),IF(AND(K382=1,L382=1,M382=1),"adequate","partial"),INDEX(Fit_Matrix!$B:$B,MATCH(P382,Fit_Matrix!$A:$A,0))),"CHECK KEY"))</f>
        <v/>
      </c>
    </row>
    <row r="383" customFormat="false" ht="15" hidden="false" customHeight="true" outlineLevel="0" collapsed="false">
      <c r="P383" s="1" t="str">
        <f aca="false">IF(OR(F383="",H383="",J383=""),"",J383&amp;"|"&amp;F383&amp;"|"&amp;IF(H383="W3","W3_"&amp;IF(I383="","unknown",I383),H383))</f>
        <v/>
      </c>
      <c r="Q383" s="1" t="str">
        <f aca="false">IF(P383="","",IFERROR(IF(AND(H383="W7",OR(F383="causal",F383="predictive")),IF(AND(K383=1,L383=1,M383=1),"adequate","partial"),INDEX(Fit_Matrix!$B:$B,MATCH(P383,Fit_Matrix!$A:$A,0))),"CHECK KEY"))</f>
        <v/>
      </c>
    </row>
    <row r="384" customFormat="false" ht="15" hidden="false" customHeight="true" outlineLevel="0" collapsed="false">
      <c r="P384" s="1" t="str">
        <f aca="false">IF(OR(F384="",H384="",J384=""),"",J384&amp;"|"&amp;F384&amp;"|"&amp;IF(H384="W3","W3_"&amp;IF(I384="","unknown",I384),H384))</f>
        <v/>
      </c>
      <c r="Q384" s="1" t="str">
        <f aca="false">IF(P384="","",IFERROR(IF(AND(H384="W7",OR(F384="causal",F384="predictive")),IF(AND(K384=1,L384=1,M384=1),"adequate","partial"),INDEX(Fit_Matrix!$B:$B,MATCH(P384,Fit_Matrix!$A:$A,0))),"CHECK KEY"))</f>
        <v/>
      </c>
    </row>
    <row r="385" customFormat="false" ht="15" hidden="false" customHeight="true" outlineLevel="0" collapsed="false">
      <c r="P385" s="1" t="str">
        <f aca="false">IF(OR(F385="",H385="",J385=""),"",J385&amp;"|"&amp;F385&amp;"|"&amp;IF(H385="W3","W3_"&amp;IF(I385="","unknown",I385),H385))</f>
        <v/>
      </c>
      <c r="Q385" s="1" t="str">
        <f aca="false">IF(P385="","",IFERROR(IF(AND(H385="W7",OR(F385="causal",F385="predictive")),IF(AND(K385=1,L385=1,M385=1),"adequate","partial"),INDEX(Fit_Matrix!$B:$B,MATCH(P385,Fit_Matrix!$A:$A,0))),"CHECK KEY"))</f>
        <v/>
      </c>
    </row>
    <row r="386" customFormat="false" ht="15" hidden="false" customHeight="true" outlineLevel="0" collapsed="false">
      <c r="P386" s="1" t="str">
        <f aca="false">IF(OR(F386="",H386="",J386=""),"",J386&amp;"|"&amp;F386&amp;"|"&amp;IF(H386="W3","W3_"&amp;IF(I386="","unknown",I386),H386))</f>
        <v/>
      </c>
      <c r="Q386" s="1" t="str">
        <f aca="false">IF(P386="","",IFERROR(IF(AND(H386="W7",OR(F386="causal",F386="predictive")),IF(AND(K386=1,L386=1,M386=1),"adequate","partial"),INDEX(Fit_Matrix!$B:$B,MATCH(P386,Fit_Matrix!$A:$A,0))),"CHECK KEY"))</f>
        <v/>
      </c>
    </row>
    <row r="387" customFormat="false" ht="15" hidden="false" customHeight="true" outlineLevel="0" collapsed="false">
      <c r="P387" s="1" t="str">
        <f aca="false">IF(OR(F387="",H387="",J387=""),"",J387&amp;"|"&amp;F387&amp;"|"&amp;IF(H387="W3","W3_"&amp;IF(I387="","unknown",I387),H387))</f>
        <v/>
      </c>
      <c r="Q387" s="1" t="str">
        <f aca="false">IF(P387="","",IFERROR(IF(AND(H387="W7",OR(F387="causal",F387="predictive")),IF(AND(K387=1,L387=1,M387=1),"adequate","partial"),INDEX(Fit_Matrix!$B:$B,MATCH(P387,Fit_Matrix!$A:$A,0))),"CHECK KEY"))</f>
        <v/>
      </c>
    </row>
    <row r="388" customFormat="false" ht="15" hidden="false" customHeight="true" outlineLevel="0" collapsed="false">
      <c r="P388" s="1" t="str">
        <f aca="false">IF(OR(F388="",H388="",J388=""),"",J388&amp;"|"&amp;F388&amp;"|"&amp;IF(H388="W3","W3_"&amp;IF(I388="","unknown",I388),H388))</f>
        <v/>
      </c>
      <c r="Q388" s="1" t="str">
        <f aca="false">IF(P388="","",IFERROR(IF(AND(H388="W7",OR(F388="causal",F388="predictive")),IF(AND(K388=1,L388=1,M388=1),"adequate","partial"),INDEX(Fit_Matrix!$B:$B,MATCH(P388,Fit_Matrix!$A:$A,0))),"CHECK KEY"))</f>
        <v/>
      </c>
    </row>
    <row r="389" customFormat="false" ht="15" hidden="false" customHeight="true" outlineLevel="0" collapsed="false">
      <c r="P389" s="1" t="str">
        <f aca="false">IF(OR(F389="",H389="",J389=""),"",J389&amp;"|"&amp;F389&amp;"|"&amp;IF(H389="W3","W3_"&amp;IF(I389="","unknown",I389),H389))</f>
        <v/>
      </c>
      <c r="Q389" s="1" t="str">
        <f aca="false">IF(P389="","",IFERROR(IF(AND(H389="W7",OR(F389="causal",F389="predictive")),IF(AND(K389=1,L389=1,M389=1),"adequate","partial"),INDEX(Fit_Matrix!$B:$B,MATCH(P389,Fit_Matrix!$A:$A,0))),"CHECK KEY"))</f>
        <v/>
      </c>
    </row>
    <row r="390" customFormat="false" ht="15" hidden="false" customHeight="true" outlineLevel="0" collapsed="false">
      <c r="P390" s="1" t="str">
        <f aca="false">IF(OR(F390="",H390="",J390=""),"",J390&amp;"|"&amp;F390&amp;"|"&amp;IF(H390="W3","W3_"&amp;IF(I390="","unknown",I390),H390))</f>
        <v/>
      </c>
      <c r="Q390" s="1" t="str">
        <f aca="false">IF(P390="","",IFERROR(IF(AND(H390="W7",OR(F390="causal",F390="predictive")),IF(AND(K390=1,L390=1,M390=1),"adequate","partial"),INDEX(Fit_Matrix!$B:$B,MATCH(P390,Fit_Matrix!$A:$A,0))),"CHECK KEY"))</f>
        <v/>
      </c>
    </row>
    <row r="391" customFormat="false" ht="15" hidden="false" customHeight="true" outlineLevel="0" collapsed="false">
      <c r="P391" s="1" t="str">
        <f aca="false">IF(OR(F391="",H391="",J391=""),"",J391&amp;"|"&amp;F391&amp;"|"&amp;IF(H391="W3","W3_"&amp;IF(I391="","unknown",I391),H391))</f>
        <v/>
      </c>
      <c r="Q391" s="1" t="str">
        <f aca="false">IF(P391="","",IFERROR(IF(AND(H391="W7",OR(F391="causal",F391="predictive")),IF(AND(K391=1,L391=1,M391=1),"adequate","partial"),INDEX(Fit_Matrix!$B:$B,MATCH(P391,Fit_Matrix!$A:$A,0))),"CHECK KEY"))</f>
        <v/>
      </c>
    </row>
    <row r="392" customFormat="false" ht="15" hidden="false" customHeight="true" outlineLevel="0" collapsed="false">
      <c r="P392" s="1" t="str">
        <f aca="false">IF(OR(F392="",H392="",J392=""),"",J392&amp;"|"&amp;F392&amp;"|"&amp;IF(H392="W3","W3_"&amp;IF(I392="","unknown",I392),H392))</f>
        <v/>
      </c>
      <c r="Q392" s="1" t="str">
        <f aca="false">IF(P392="","",IFERROR(IF(AND(H392="W7",OR(F392="causal",F392="predictive")),IF(AND(K392=1,L392=1,M392=1),"adequate","partial"),INDEX(Fit_Matrix!$B:$B,MATCH(P392,Fit_Matrix!$A:$A,0))),"CHECK KEY"))</f>
        <v/>
      </c>
    </row>
    <row r="393" customFormat="false" ht="15" hidden="false" customHeight="true" outlineLevel="0" collapsed="false">
      <c r="P393" s="1" t="str">
        <f aca="false">IF(OR(F393="",H393="",J393=""),"",J393&amp;"|"&amp;F393&amp;"|"&amp;IF(H393="W3","W3_"&amp;IF(I393="","unknown",I393),H393))</f>
        <v/>
      </c>
      <c r="Q393" s="1" t="str">
        <f aca="false">IF(P393="","",IFERROR(IF(AND(H393="W7",OR(F393="causal",F393="predictive")),IF(AND(K393=1,L393=1,M393=1),"adequate","partial"),INDEX(Fit_Matrix!$B:$B,MATCH(P393,Fit_Matrix!$A:$A,0))),"CHECK KEY"))</f>
        <v/>
      </c>
    </row>
    <row r="394" customFormat="false" ht="15" hidden="false" customHeight="true" outlineLevel="0" collapsed="false">
      <c r="P394" s="1" t="str">
        <f aca="false">IF(OR(F394="",H394="",J394=""),"",J394&amp;"|"&amp;F394&amp;"|"&amp;IF(H394="W3","W3_"&amp;IF(I394="","unknown",I394),H394))</f>
        <v/>
      </c>
      <c r="Q394" s="1" t="str">
        <f aca="false">IF(P394="","",IFERROR(IF(AND(H394="W7",OR(F394="causal",F394="predictive")),IF(AND(K394=1,L394=1,M394=1),"adequate","partial"),INDEX(Fit_Matrix!$B:$B,MATCH(P394,Fit_Matrix!$A:$A,0))),"CHECK KEY"))</f>
        <v/>
      </c>
    </row>
    <row r="395" customFormat="false" ht="15" hidden="false" customHeight="true" outlineLevel="0" collapsed="false">
      <c r="P395" s="1" t="str">
        <f aca="false">IF(OR(F395="",H395="",J395=""),"",J395&amp;"|"&amp;F395&amp;"|"&amp;IF(H395="W3","W3_"&amp;IF(I395="","unknown",I395),H395))</f>
        <v/>
      </c>
      <c r="Q395" s="1" t="str">
        <f aca="false">IF(P395="","",IFERROR(IF(AND(H395="W7",OR(F395="causal",F395="predictive")),IF(AND(K395=1,L395=1,M395=1),"adequate","partial"),INDEX(Fit_Matrix!$B:$B,MATCH(P395,Fit_Matrix!$A:$A,0))),"CHECK KEY"))</f>
        <v/>
      </c>
    </row>
    <row r="396" customFormat="false" ht="15" hidden="false" customHeight="true" outlineLevel="0" collapsed="false">
      <c r="P396" s="1" t="str">
        <f aca="false">IF(OR(F396="",H396="",J396=""),"",J396&amp;"|"&amp;F396&amp;"|"&amp;IF(H396="W3","W3_"&amp;IF(I396="","unknown",I396),H396))</f>
        <v/>
      </c>
      <c r="Q396" s="1" t="str">
        <f aca="false">IF(P396="","",IFERROR(IF(AND(H396="W7",OR(F396="causal",F396="predictive")),IF(AND(K396=1,L396=1,M396=1),"adequate","partial"),INDEX(Fit_Matrix!$B:$B,MATCH(P396,Fit_Matrix!$A:$A,0))),"CHECK KEY"))</f>
        <v/>
      </c>
    </row>
    <row r="397" customFormat="false" ht="15" hidden="false" customHeight="true" outlineLevel="0" collapsed="false">
      <c r="P397" s="1" t="str">
        <f aca="false">IF(OR(F397="",H397="",J397=""),"",J397&amp;"|"&amp;F397&amp;"|"&amp;IF(H397="W3","W3_"&amp;IF(I397="","unknown",I397),H397))</f>
        <v/>
      </c>
      <c r="Q397" s="1" t="str">
        <f aca="false">IF(P397="","",IFERROR(IF(AND(H397="W7",OR(F397="causal",F397="predictive")),IF(AND(K397=1,L397=1,M397=1),"adequate","partial"),INDEX(Fit_Matrix!$B:$B,MATCH(P397,Fit_Matrix!$A:$A,0))),"CHECK KEY"))</f>
        <v/>
      </c>
    </row>
    <row r="398" customFormat="false" ht="15" hidden="false" customHeight="true" outlineLevel="0" collapsed="false">
      <c r="P398" s="1" t="str">
        <f aca="false">IF(OR(F398="",H398="",J398=""),"",J398&amp;"|"&amp;F398&amp;"|"&amp;IF(H398="W3","W3_"&amp;IF(I398="","unknown",I398),H398))</f>
        <v/>
      </c>
      <c r="Q398" s="1" t="str">
        <f aca="false">IF(P398="","",IFERROR(IF(AND(H398="W7",OR(F398="causal",F398="predictive")),IF(AND(K398=1,L398=1,M398=1),"adequate","partial"),INDEX(Fit_Matrix!$B:$B,MATCH(P398,Fit_Matrix!$A:$A,0))),"CHECK KEY"))</f>
        <v/>
      </c>
    </row>
    <row r="399" customFormat="false" ht="15" hidden="false" customHeight="true" outlineLevel="0" collapsed="false">
      <c r="P399" s="1" t="str">
        <f aca="false">IF(OR(F399="",H399="",J399=""),"",J399&amp;"|"&amp;F399&amp;"|"&amp;IF(H399="W3","W3_"&amp;IF(I399="","unknown",I399),H399))</f>
        <v/>
      </c>
      <c r="Q399" s="1" t="str">
        <f aca="false">IF(P399="","",IFERROR(IF(AND(H399="W7",OR(F399="causal",F399="predictive")),IF(AND(K399=1,L399=1,M399=1),"adequate","partial"),INDEX(Fit_Matrix!$B:$B,MATCH(P399,Fit_Matrix!$A:$A,0))),"CHECK KEY"))</f>
        <v/>
      </c>
    </row>
    <row r="400" customFormat="false" ht="15" hidden="false" customHeight="true" outlineLevel="0" collapsed="false">
      <c r="P400" s="1" t="str">
        <f aca="false">IF(OR(F400="",H400="",J400=""),"",J400&amp;"|"&amp;F400&amp;"|"&amp;IF(H400="W3","W3_"&amp;IF(I400="","unknown",I400),H400))</f>
        <v/>
      </c>
      <c r="Q400" s="1" t="str">
        <f aca="false">IF(P400="","",IFERROR(IF(AND(H400="W7",OR(F400="causal",F400="predictive")),IF(AND(K400=1,L400=1,M400=1),"adequate","partial"),INDEX(Fit_Matrix!$B:$B,MATCH(P400,Fit_Matrix!$A:$A,0))),"CHECK KEY"))</f>
        <v/>
      </c>
    </row>
    <row r="401" customFormat="false" ht="15" hidden="false" customHeight="true" outlineLevel="0" collapsed="false">
      <c r="P401" s="1" t="str">
        <f aca="false">IF(OR(F401="",H401="",J401=""),"",J401&amp;"|"&amp;F401&amp;"|"&amp;IF(H401="W3","W3_"&amp;IF(I401="","unknown",I401),H401))</f>
        <v/>
      </c>
      <c r="Q401" s="1" t="str">
        <f aca="false">IF(P401="","",IFERROR(IF(AND(H401="W7",OR(F401="causal",F401="predictive")),IF(AND(K401=1,L401=1,M401=1),"adequate","partial"),INDEX(Fit_Matrix!$B:$B,MATCH(P401,Fit_Matrix!$A:$A,0))),"CHECK KEY"))</f>
        <v/>
      </c>
    </row>
    <row r="402" customFormat="false" ht="15" hidden="false" customHeight="true" outlineLevel="0" collapsed="false">
      <c r="P402" s="1" t="str">
        <f aca="false">IF(OR(F402="",H402="",J402=""),"",J402&amp;"|"&amp;F402&amp;"|"&amp;IF(H402="W3","W3_"&amp;IF(I402="","unknown",I402),H402))</f>
        <v/>
      </c>
      <c r="Q402" s="1" t="str">
        <f aca="false">IF(P402="","",IFERROR(IF(AND(H402="W7",OR(F402="causal",F402="predictive")),IF(AND(K402=1,L402=1,M402=1),"adequate","partial"),INDEX(Fit_Matrix!$B:$B,MATCH(P402,Fit_Matrix!$A:$A,0))),"CHECK KEY"))</f>
        <v/>
      </c>
    </row>
    <row r="403" customFormat="false" ht="15" hidden="false" customHeight="true" outlineLevel="0" collapsed="false">
      <c r="P403" s="1" t="str">
        <f aca="false">IF(OR(F403="",H403="",J403=""),"",J403&amp;"|"&amp;F403&amp;"|"&amp;IF(H403="W3","W3_"&amp;IF(I403="","unknown",I403),H403))</f>
        <v/>
      </c>
      <c r="Q403" s="1" t="str">
        <f aca="false">IF(P403="","",IFERROR(IF(AND(H403="W7",OR(F403="causal",F403="predictive")),IF(AND(K403=1,L403=1,M403=1),"adequate","partial"),INDEX(Fit_Matrix!$B:$B,MATCH(P403,Fit_Matrix!$A:$A,0))),"CHECK KEY"))</f>
        <v/>
      </c>
    </row>
    <row r="404" customFormat="false" ht="15" hidden="false" customHeight="true" outlineLevel="0" collapsed="false">
      <c r="P404" s="1" t="str">
        <f aca="false">IF(OR(F404="",H404="",J404=""),"",J404&amp;"|"&amp;F404&amp;"|"&amp;IF(H404="W3","W3_"&amp;IF(I404="","unknown",I404),H404))</f>
        <v/>
      </c>
      <c r="Q404" s="1" t="str">
        <f aca="false">IF(P404="","",IFERROR(IF(AND(H404="W7",OR(F404="causal",F404="predictive")),IF(AND(K404=1,L404=1,M404=1),"adequate","partial"),INDEX(Fit_Matrix!$B:$B,MATCH(P404,Fit_Matrix!$A:$A,0))),"CHECK KEY"))</f>
        <v/>
      </c>
    </row>
    <row r="405" customFormat="false" ht="15" hidden="false" customHeight="true" outlineLevel="0" collapsed="false">
      <c r="P405" s="1" t="str">
        <f aca="false">IF(OR(F405="",H405="",J405=""),"",J405&amp;"|"&amp;F405&amp;"|"&amp;IF(H405="W3","W3_"&amp;IF(I405="","unknown",I405),H405))</f>
        <v/>
      </c>
      <c r="Q405" s="1" t="str">
        <f aca="false">IF(P405="","",IFERROR(IF(AND(H405="W7",OR(F405="causal",F405="predictive")),IF(AND(K405=1,L405=1,M405=1),"adequate","partial"),INDEX(Fit_Matrix!$B:$B,MATCH(P405,Fit_Matrix!$A:$A,0))),"CHECK KEY"))</f>
        <v/>
      </c>
    </row>
    <row r="406" customFormat="false" ht="15" hidden="false" customHeight="true" outlineLevel="0" collapsed="false">
      <c r="P406" s="1" t="str">
        <f aca="false">IF(OR(F406="",H406="",J406=""),"",J406&amp;"|"&amp;F406&amp;"|"&amp;IF(H406="W3","W3_"&amp;IF(I406="","unknown",I406),H406))</f>
        <v/>
      </c>
      <c r="Q406" s="1" t="str">
        <f aca="false">IF(P406="","",IFERROR(IF(AND(H406="W7",OR(F406="causal",F406="predictive")),IF(AND(K406=1,L406=1,M406=1),"adequate","partial"),INDEX(Fit_Matrix!$B:$B,MATCH(P406,Fit_Matrix!$A:$A,0))),"CHECK KEY"))</f>
        <v/>
      </c>
    </row>
    <row r="407" customFormat="false" ht="15" hidden="false" customHeight="true" outlineLevel="0" collapsed="false">
      <c r="P407" s="1" t="str">
        <f aca="false">IF(OR(F407="",H407="",J407=""),"",J407&amp;"|"&amp;F407&amp;"|"&amp;IF(H407="W3","W3_"&amp;IF(I407="","unknown",I407),H407))</f>
        <v/>
      </c>
      <c r="Q407" s="1" t="str">
        <f aca="false">IF(P407="","",IFERROR(IF(AND(H407="W7",OR(F407="causal",F407="predictive")),IF(AND(K407=1,L407=1,M407=1),"adequate","partial"),INDEX(Fit_Matrix!$B:$B,MATCH(P407,Fit_Matrix!$A:$A,0))),"CHECK KEY"))</f>
        <v/>
      </c>
    </row>
    <row r="408" customFormat="false" ht="15" hidden="false" customHeight="true" outlineLevel="0" collapsed="false">
      <c r="P408" s="1" t="str">
        <f aca="false">IF(OR(F408="",H408="",J408=""),"",J408&amp;"|"&amp;F408&amp;"|"&amp;IF(H408="W3","W3_"&amp;IF(I408="","unknown",I408),H408))</f>
        <v/>
      </c>
      <c r="Q408" s="1" t="str">
        <f aca="false">IF(P408="","",IFERROR(IF(AND(H408="W7",OR(F408="causal",F408="predictive")),IF(AND(K408=1,L408=1,M408=1),"adequate","partial"),INDEX(Fit_Matrix!$B:$B,MATCH(P408,Fit_Matrix!$A:$A,0))),"CHECK KEY"))</f>
        <v/>
      </c>
    </row>
    <row r="409" customFormat="false" ht="15" hidden="false" customHeight="true" outlineLevel="0" collapsed="false">
      <c r="P409" s="1" t="str">
        <f aca="false">IF(OR(F409="",H409="",J409=""),"",J409&amp;"|"&amp;F409&amp;"|"&amp;IF(H409="W3","W3_"&amp;IF(I409="","unknown",I409),H409))</f>
        <v/>
      </c>
      <c r="Q409" s="1" t="str">
        <f aca="false">IF(P409="","",IFERROR(IF(AND(H409="W7",OR(F409="causal",F409="predictive")),IF(AND(K409=1,L409=1,M409=1),"adequate","partial"),INDEX(Fit_Matrix!$B:$B,MATCH(P409,Fit_Matrix!$A:$A,0))),"CHECK KEY"))</f>
        <v/>
      </c>
    </row>
    <row r="410" customFormat="false" ht="15" hidden="false" customHeight="true" outlineLevel="0" collapsed="false">
      <c r="P410" s="1" t="str">
        <f aca="false">IF(OR(F410="",H410="",J410=""),"",J410&amp;"|"&amp;F410&amp;"|"&amp;IF(H410="W3","W3_"&amp;IF(I410="","unknown",I410),H410))</f>
        <v/>
      </c>
      <c r="Q410" s="1" t="str">
        <f aca="false">IF(P410="","",IFERROR(IF(AND(H410="W7",OR(F410="causal",F410="predictive")),IF(AND(K410=1,L410=1,M410=1),"adequate","partial"),INDEX(Fit_Matrix!$B:$B,MATCH(P410,Fit_Matrix!$A:$A,0))),"CHECK KEY"))</f>
        <v/>
      </c>
    </row>
    <row r="411" customFormat="false" ht="15" hidden="false" customHeight="true" outlineLevel="0" collapsed="false">
      <c r="P411" s="1" t="str">
        <f aca="false">IF(OR(F411="",H411="",J411=""),"",J411&amp;"|"&amp;F411&amp;"|"&amp;IF(H411="W3","W3_"&amp;IF(I411="","unknown",I411),H411))</f>
        <v/>
      </c>
      <c r="Q411" s="1" t="str">
        <f aca="false">IF(P411="","",IFERROR(IF(AND(H411="W7",OR(F411="causal",F411="predictive")),IF(AND(K411=1,L411=1,M411=1),"adequate","partial"),INDEX(Fit_Matrix!$B:$B,MATCH(P411,Fit_Matrix!$A:$A,0))),"CHECK KEY"))</f>
        <v/>
      </c>
    </row>
    <row r="412" customFormat="false" ht="15" hidden="false" customHeight="true" outlineLevel="0" collapsed="false">
      <c r="P412" s="1" t="str">
        <f aca="false">IF(OR(F412="",H412="",J412=""),"",J412&amp;"|"&amp;F412&amp;"|"&amp;IF(H412="W3","W3_"&amp;IF(I412="","unknown",I412),H412))</f>
        <v/>
      </c>
      <c r="Q412" s="1" t="str">
        <f aca="false">IF(P412="","",IFERROR(IF(AND(H412="W7",OR(F412="causal",F412="predictive")),IF(AND(K412=1,L412=1,M412=1),"adequate","partial"),INDEX(Fit_Matrix!$B:$B,MATCH(P412,Fit_Matrix!$A:$A,0))),"CHECK KEY"))</f>
        <v/>
      </c>
    </row>
    <row r="413" customFormat="false" ht="15" hidden="false" customHeight="true" outlineLevel="0" collapsed="false">
      <c r="P413" s="1" t="str">
        <f aca="false">IF(OR(F413="",H413="",J413=""),"",J413&amp;"|"&amp;F413&amp;"|"&amp;IF(H413="W3","W3_"&amp;IF(I413="","unknown",I413),H413))</f>
        <v/>
      </c>
      <c r="Q413" s="1" t="str">
        <f aca="false">IF(P413="","",IFERROR(IF(AND(H413="W7",OR(F413="causal",F413="predictive")),IF(AND(K413=1,L413=1,M413=1),"adequate","partial"),INDEX(Fit_Matrix!$B:$B,MATCH(P413,Fit_Matrix!$A:$A,0))),"CHECK KEY"))</f>
        <v/>
      </c>
    </row>
    <row r="414" customFormat="false" ht="15" hidden="false" customHeight="true" outlineLevel="0" collapsed="false">
      <c r="P414" s="1" t="str">
        <f aca="false">IF(OR(F414="",H414="",J414=""),"",J414&amp;"|"&amp;F414&amp;"|"&amp;IF(H414="W3","W3_"&amp;IF(I414="","unknown",I414),H414))</f>
        <v/>
      </c>
      <c r="Q414" s="1" t="str">
        <f aca="false">IF(P414="","",IFERROR(IF(AND(H414="W7",OR(F414="causal",F414="predictive")),IF(AND(K414=1,L414=1,M414=1),"adequate","partial"),INDEX(Fit_Matrix!$B:$B,MATCH(P414,Fit_Matrix!$A:$A,0))),"CHECK KEY"))</f>
        <v/>
      </c>
    </row>
    <row r="415" customFormat="false" ht="15" hidden="false" customHeight="true" outlineLevel="0" collapsed="false">
      <c r="P415" s="1" t="str">
        <f aca="false">IF(OR(F415="",H415="",J415=""),"",J415&amp;"|"&amp;F415&amp;"|"&amp;IF(H415="W3","W3_"&amp;IF(I415="","unknown",I415),H415))</f>
        <v/>
      </c>
      <c r="Q415" s="1" t="str">
        <f aca="false">IF(P415="","",IFERROR(IF(AND(H415="W7",OR(F415="causal",F415="predictive")),IF(AND(K415=1,L415=1,M415=1),"adequate","partial"),INDEX(Fit_Matrix!$B:$B,MATCH(P415,Fit_Matrix!$A:$A,0))),"CHECK KEY"))</f>
        <v/>
      </c>
    </row>
    <row r="416" customFormat="false" ht="15" hidden="false" customHeight="true" outlineLevel="0" collapsed="false">
      <c r="P416" s="1" t="str">
        <f aca="false">IF(OR(F416="",H416="",J416=""),"",J416&amp;"|"&amp;F416&amp;"|"&amp;IF(H416="W3","W3_"&amp;IF(I416="","unknown",I416),H416))</f>
        <v/>
      </c>
      <c r="Q416" s="1" t="str">
        <f aca="false">IF(P416="","",IFERROR(IF(AND(H416="W7",OR(F416="causal",F416="predictive")),IF(AND(K416=1,L416=1,M416=1),"adequate","partial"),INDEX(Fit_Matrix!$B:$B,MATCH(P416,Fit_Matrix!$A:$A,0))),"CHECK KEY"))</f>
        <v/>
      </c>
    </row>
    <row r="417" customFormat="false" ht="15" hidden="false" customHeight="true" outlineLevel="0" collapsed="false">
      <c r="P417" s="1" t="str">
        <f aca="false">IF(OR(F417="",H417="",J417=""),"",J417&amp;"|"&amp;F417&amp;"|"&amp;IF(H417="W3","W3_"&amp;IF(I417="","unknown",I417),H417))</f>
        <v/>
      </c>
      <c r="Q417" s="1" t="str">
        <f aca="false">IF(P417="","",IFERROR(IF(AND(H417="W7",OR(F417="causal",F417="predictive")),IF(AND(K417=1,L417=1,M417=1),"adequate","partial"),INDEX(Fit_Matrix!$B:$B,MATCH(P417,Fit_Matrix!$A:$A,0))),"CHECK KEY"))</f>
        <v/>
      </c>
    </row>
    <row r="418" customFormat="false" ht="15" hidden="false" customHeight="true" outlineLevel="0" collapsed="false">
      <c r="P418" s="1" t="str">
        <f aca="false">IF(OR(F418="",H418="",J418=""),"",J418&amp;"|"&amp;F418&amp;"|"&amp;IF(H418="W3","W3_"&amp;IF(I418="","unknown",I418),H418))</f>
        <v/>
      </c>
      <c r="Q418" s="1" t="str">
        <f aca="false">IF(P418="","",IFERROR(IF(AND(H418="W7",OR(F418="causal",F418="predictive")),IF(AND(K418=1,L418=1,M418=1),"adequate","partial"),INDEX(Fit_Matrix!$B:$B,MATCH(P418,Fit_Matrix!$A:$A,0))),"CHECK KEY"))</f>
        <v/>
      </c>
    </row>
    <row r="419" customFormat="false" ht="15" hidden="false" customHeight="true" outlineLevel="0" collapsed="false">
      <c r="P419" s="1" t="str">
        <f aca="false">IF(OR(F419="",H419="",J419=""),"",J419&amp;"|"&amp;F419&amp;"|"&amp;IF(H419="W3","W3_"&amp;IF(I419="","unknown",I419),H419))</f>
        <v/>
      </c>
      <c r="Q419" s="1" t="str">
        <f aca="false">IF(P419="","",IFERROR(IF(AND(H419="W7",OR(F419="causal",F419="predictive")),IF(AND(K419=1,L419=1,M419=1),"adequate","partial"),INDEX(Fit_Matrix!$B:$B,MATCH(P419,Fit_Matrix!$A:$A,0))),"CHECK KEY"))</f>
        <v/>
      </c>
    </row>
    <row r="420" customFormat="false" ht="15" hidden="false" customHeight="true" outlineLevel="0" collapsed="false">
      <c r="P420" s="1" t="str">
        <f aca="false">IF(OR(F420="",H420="",J420=""),"",J420&amp;"|"&amp;F420&amp;"|"&amp;IF(H420="W3","W3_"&amp;IF(I420="","unknown",I420),H420))</f>
        <v/>
      </c>
      <c r="Q420" s="1" t="str">
        <f aca="false">IF(P420="","",IFERROR(IF(AND(H420="W7",OR(F420="causal",F420="predictive")),IF(AND(K420=1,L420=1,M420=1),"adequate","partial"),INDEX(Fit_Matrix!$B:$B,MATCH(P420,Fit_Matrix!$A:$A,0))),"CHECK KEY"))</f>
        <v/>
      </c>
    </row>
    <row r="421" customFormat="false" ht="15" hidden="false" customHeight="true" outlineLevel="0" collapsed="false">
      <c r="P421" s="1" t="str">
        <f aca="false">IF(OR(F421="",H421="",J421=""),"",J421&amp;"|"&amp;F421&amp;"|"&amp;IF(H421="W3","W3_"&amp;IF(I421="","unknown",I421),H421))</f>
        <v/>
      </c>
      <c r="Q421" s="1" t="str">
        <f aca="false">IF(P421="","",IFERROR(IF(AND(H421="W7",OR(F421="causal",F421="predictive")),IF(AND(K421=1,L421=1,M421=1),"adequate","partial"),INDEX(Fit_Matrix!$B:$B,MATCH(P421,Fit_Matrix!$A:$A,0))),"CHECK KEY"))</f>
        <v/>
      </c>
    </row>
    <row r="422" customFormat="false" ht="15" hidden="false" customHeight="true" outlineLevel="0" collapsed="false">
      <c r="P422" s="1" t="str">
        <f aca="false">IF(OR(F422="",H422="",J422=""),"",J422&amp;"|"&amp;F422&amp;"|"&amp;IF(H422="W3","W3_"&amp;IF(I422="","unknown",I422),H422))</f>
        <v/>
      </c>
      <c r="Q422" s="1" t="str">
        <f aca="false">IF(P422="","",IFERROR(IF(AND(H422="W7",OR(F422="causal",F422="predictive")),IF(AND(K422=1,L422=1,M422=1),"adequate","partial"),INDEX(Fit_Matrix!$B:$B,MATCH(P422,Fit_Matrix!$A:$A,0))),"CHECK KEY"))</f>
        <v/>
      </c>
    </row>
    <row r="423" customFormat="false" ht="15" hidden="false" customHeight="true" outlineLevel="0" collapsed="false">
      <c r="P423" s="1" t="str">
        <f aca="false">IF(OR(F423="",H423="",J423=""),"",J423&amp;"|"&amp;F423&amp;"|"&amp;IF(H423="W3","W3_"&amp;IF(I423="","unknown",I423),H423))</f>
        <v/>
      </c>
      <c r="Q423" s="1" t="str">
        <f aca="false">IF(P423="","",IFERROR(IF(AND(H423="W7",OR(F423="causal",F423="predictive")),IF(AND(K423=1,L423=1,M423=1),"adequate","partial"),INDEX(Fit_Matrix!$B:$B,MATCH(P423,Fit_Matrix!$A:$A,0))),"CHECK KEY"))</f>
        <v/>
      </c>
    </row>
    <row r="424" customFormat="false" ht="15" hidden="false" customHeight="true" outlineLevel="0" collapsed="false">
      <c r="P424" s="1" t="str">
        <f aca="false">IF(OR(F424="",H424="",J424=""),"",J424&amp;"|"&amp;F424&amp;"|"&amp;IF(H424="W3","W3_"&amp;IF(I424="","unknown",I424),H424))</f>
        <v/>
      </c>
      <c r="Q424" s="1" t="str">
        <f aca="false">IF(P424="","",IFERROR(IF(AND(H424="W7",OR(F424="causal",F424="predictive")),IF(AND(K424=1,L424=1,M424=1),"adequate","partial"),INDEX(Fit_Matrix!$B:$B,MATCH(P424,Fit_Matrix!$A:$A,0))),"CHECK KEY"))</f>
        <v/>
      </c>
    </row>
    <row r="425" customFormat="false" ht="15" hidden="false" customHeight="true" outlineLevel="0" collapsed="false">
      <c r="P425" s="1" t="str">
        <f aca="false">IF(OR(F425="",H425="",J425=""),"",J425&amp;"|"&amp;F425&amp;"|"&amp;IF(H425="W3","W3_"&amp;IF(I425="","unknown",I425),H425))</f>
        <v/>
      </c>
      <c r="Q425" s="1" t="str">
        <f aca="false">IF(P425="","",IFERROR(IF(AND(H425="W7",OR(F425="causal",F425="predictive")),IF(AND(K425=1,L425=1,M425=1),"adequate","partial"),INDEX(Fit_Matrix!$B:$B,MATCH(P425,Fit_Matrix!$A:$A,0))),"CHECK KEY"))</f>
        <v/>
      </c>
    </row>
    <row r="426" customFormat="false" ht="15" hidden="false" customHeight="true" outlineLevel="0" collapsed="false">
      <c r="P426" s="1" t="str">
        <f aca="false">IF(OR(F426="",H426="",J426=""),"",J426&amp;"|"&amp;F426&amp;"|"&amp;IF(H426="W3","W3_"&amp;IF(I426="","unknown",I426),H426))</f>
        <v/>
      </c>
      <c r="Q426" s="1" t="str">
        <f aca="false">IF(P426="","",IFERROR(IF(AND(H426="W7",OR(F426="causal",F426="predictive")),IF(AND(K426=1,L426=1,M426=1),"adequate","partial"),INDEX(Fit_Matrix!$B:$B,MATCH(P426,Fit_Matrix!$A:$A,0))),"CHECK KEY"))</f>
        <v/>
      </c>
    </row>
    <row r="427" customFormat="false" ht="15" hidden="false" customHeight="true" outlineLevel="0" collapsed="false">
      <c r="P427" s="1" t="str">
        <f aca="false">IF(OR(F427="",H427="",J427=""),"",J427&amp;"|"&amp;F427&amp;"|"&amp;IF(H427="W3","W3_"&amp;IF(I427="","unknown",I427),H427))</f>
        <v/>
      </c>
      <c r="Q427" s="1" t="str">
        <f aca="false">IF(P427="","",IFERROR(IF(AND(H427="W7",OR(F427="causal",F427="predictive")),IF(AND(K427=1,L427=1,M427=1),"adequate","partial"),INDEX(Fit_Matrix!$B:$B,MATCH(P427,Fit_Matrix!$A:$A,0))),"CHECK KEY"))</f>
        <v/>
      </c>
    </row>
    <row r="428" customFormat="false" ht="15" hidden="false" customHeight="true" outlineLevel="0" collapsed="false">
      <c r="P428" s="1" t="str">
        <f aca="false">IF(OR(F428="",H428="",J428=""),"",J428&amp;"|"&amp;F428&amp;"|"&amp;IF(H428="W3","W3_"&amp;IF(I428="","unknown",I428),H428))</f>
        <v/>
      </c>
      <c r="Q428" s="1" t="str">
        <f aca="false">IF(P428="","",IFERROR(IF(AND(H428="W7",OR(F428="causal",F428="predictive")),IF(AND(K428=1,L428=1,M428=1),"adequate","partial"),INDEX(Fit_Matrix!$B:$B,MATCH(P428,Fit_Matrix!$A:$A,0))),"CHECK KEY"))</f>
        <v/>
      </c>
    </row>
    <row r="429" customFormat="false" ht="15" hidden="false" customHeight="true" outlineLevel="0" collapsed="false">
      <c r="P429" s="1" t="str">
        <f aca="false">IF(OR(F429="",H429="",J429=""),"",J429&amp;"|"&amp;F429&amp;"|"&amp;IF(H429="W3","W3_"&amp;IF(I429="","unknown",I429),H429))</f>
        <v/>
      </c>
      <c r="Q429" s="1" t="str">
        <f aca="false">IF(P429="","",IFERROR(IF(AND(H429="W7",OR(F429="causal",F429="predictive")),IF(AND(K429=1,L429=1,M429=1),"adequate","partial"),INDEX(Fit_Matrix!$B:$B,MATCH(P429,Fit_Matrix!$A:$A,0))),"CHECK KEY"))</f>
        <v/>
      </c>
    </row>
    <row r="430" customFormat="false" ht="15" hidden="false" customHeight="true" outlineLevel="0" collapsed="false">
      <c r="P430" s="1" t="str">
        <f aca="false">IF(OR(F430="",H430="",J430=""),"",J430&amp;"|"&amp;F430&amp;"|"&amp;IF(H430="W3","W3_"&amp;IF(I430="","unknown",I430),H430))</f>
        <v/>
      </c>
      <c r="Q430" s="1" t="str">
        <f aca="false">IF(P430="","",IFERROR(IF(AND(H430="W7",OR(F430="causal",F430="predictive")),IF(AND(K430=1,L430=1,M430=1),"adequate","partial"),INDEX(Fit_Matrix!$B:$B,MATCH(P430,Fit_Matrix!$A:$A,0))),"CHECK KEY"))</f>
        <v/>
      </c>
    </row>
    <row r="431" customFormat="false" ht="15" hidden="false" customHeight="true" outlineLevel="0" collapsed="false">
      <c r="P431" s="1" t="str">
        <f aca="false">IF(OR(F431="",H431="",J431=""),"",J431&amp;"|"&amp;F431&amp;"|"&amp;IF(H431="W3","W3_"&amp;IF(I431="","unknown",I431),H431))</f>
        <v/>
      </c>
      <c r="Q431" s="1" t="str">
        <f aca="false">IF(P431="","",IFERROR(IF(AND(H431="W7",OR(F431="causal",F431="predictive")),IF(AND(K431=1,L431=1,M431=1),"adequate","partial"),INDEX(Fit_Matrix!$B:$B,MATCH(P431,Fit_Matrix!$A:$A,0))),"CHECK KEY"))</f>
        <v/>
      </c>
    </row>
    <row r="432" customFormat="false" ht="15" hidden="false" customHeight="true" outlineLevel="0" collapsed="false">
      <c r="P432" s="1" t="str">
        <f aca="false">IF(OR(F432="",H432="",J432=""),"",J432&amp;"|"&amp;F432&amp;"|"&amp;IF(H432="W3","W3_"&amp;IF(I432="","unknown",I432),H432))</f>
        <v/>
      </c>
      <c r="Q432" s="1" t="str">
        <f aca="false">IF(P432="","",IFERROR(IF(AND(H432="W7",OR(F432="causal",F432="predictive")),IF(AND(K432=1,L432=1,M432=1),"adequate","partial"),INDEX(Fit_Matrix!$B:$B,MATCH(P432,Fit_Matrix!$A:$A,0))),"CHECK KEY"))</f>
        <v/>
      </c>
    </row>
    <row r="433" customFormat="false" ht="15" hidden="false" customHeight="true" outlineLevel="0" collapsed="false">
      <c r="P433" s="1" t="str">
        <f aca="false">IF(OR(F433="",H433="",J433=""),"",J433&amp;"|"&amp;F433&amp;"|"&amp;IF(H433="W3","W3_"&amp;IF(I433="","unknown",I433),H433))</f>
        <v/>
      </c>
      <c r="Q433" s="1" t="str">
        <f aca="false">IF(P433="","",IFERROR(IF(AND(H433="W7",OR(F433="causal",F433="predictive")),IF(AND(K433=1,L433=1,M433=1),"adequate","partial"),INDEX(Fit_Matrix!$B:$B,MATCH(P433,Fit_Matrix!$A:$A,0))),"CHECK KEY"))</f>
        <v/>
      </c>
    </row>
    <row r="434" customFormat="false" ht="15" hidden="false" customHeight="true" outlineLevel="0" collapsed="false">
      <c r="P434" s="1" t="str">
        <f aca="false">IF(OR(F434="",H434="",J434=""),"",J434&amp;"|"&amp;F434&amp;"|"&amp;IF(H434="W3","W3_"&amp;IF(I434="","unknown",I434),H434))</f>
        <v/>
      </c>
      <c r="Q434" s="1" t="str">
        <f aca="false">IF(P434="","",IFERROR(IF(AND(H434="W7",OR(F434="causal",F434="predictive")),IF(AND(K434=1,L434=1,M434=1),"adequate","partial"),INDEX(Fit_Matrix!$B:$B,MATCH(P434,Fit_Matrix!$A:$A,0))),"CHECK KEY"))</f>
        <v/>
      </c>
    </row>
    <row r="435" customFormat="false" ht="15" hidden="false" customHeight="true" outlineLevel="0" collapsed="false">
      <c r="P435" s="1" t="str">
        <f aca="false">IF(OR(F435="",H435="",J435=""),"",J435&amp;"|"&amp;F435&amp;"|"&amp;IF(H435="W3","W3_"&amp;IF(I435="","unknown",I435),H435))</f>
        <v/>
      </c>
      <c r="Q435" s="1" t="str">
        <f aca="false">IF(P435="","",IFERROR(IF(AND(H435="W7",OR(F435="causal",F435="predictive")),IF(AND(K435=1,L435=1,M435=1),"adequate","partial"),INDEX(Fit_Matrix!$B:$B,MATCH(P435,Fit_Matrix!$A:$A,0))),"CHECK KEY"))</f>
        <v/>
      </c>
    </row>
    <row r="436" customFormat="false" ht="15" hidden="false" customHeight="true" outlineLevel="0" collapsed="false">
      <c r="P436" s="1" t="str">
        <f aca="false">IF(OR(F436="",H436="",J436=""),"",J436&amp;"|"&amp;F436&amp;"|"&amp;IF(H436="W3","W3_"&amp;IF(I436="","unknown",I436),H436))</f>
        <v/>
      </c>
      <c r="Q436" s="1" t="str">
        <f aca="false">IF(P436="","",IFERROR(IF(AND(H436="W7",OR(F436="causal",F436="predictive")),IF(AND(K436=1,L436=1,M436=1),"adequate","partial"),INDEX(Fit_Matrix!$B:$B,MATCH(P436,Fit_Matrix!$A:$A,0))),"CHECK KEY"))</f>
        <v/>
      </c>
    </row>
    <row r="437" customFormat="false" ht="15" hidden="false" customHeight="true" outlineLevel="0" collapsed="false">
      <c r="P437" s="1" t="str">
        <f aca="false">IF(OR(F437="",H437="",J437=""),"",J437&amp;"|"&amp;F437&amp;"|"&amp;IF(H437="W3","W3_"&amp;IF(I437="","unknown",I437),H437))</f>
        <v/>
      </c>
      <c r="Q437" s="1" t="str">
        <f aca="false">IF(P437="","",IFERROR(IF(AND(H437="W7",OR(F437="causal",F437="predictive")),IF(AND(K437=1,L437=1,M437=1),"adequate","partial"),INDEX(Fit_Matrix!$B:$B,MATCH(P437,Fit_Matrix!$A:$A,0))),"CHECK KEY"))</f>
        <v/>
      </c>
    </row>
    <row r="438" customFormat="false" ht="15" hidden="false" customHeight="true" outlineLevel="0" collapsed="false">
      <c r="P438" s="1" t="str">
        <f aca="false">IF(OR(F438="",H438="",J438=""),"",J438&amp;"|"&amp;F438&amp;"|"&amp;IF(H438="W3","W3_"&amp;IF(I438="","unknown",I438),H438))</f>
        <v/>
      </c>
      <c r="Q438" s="1" t="str">
        <f aca="false">IF(P438="","",IFERROR(IF(AND(H438="W7",OR(F438="causal",F438="predictive")),IF(AND(K438=1,L438=1,M438=1),"adequate","partial"),INDEX(Fit_Matrix!$B:$B,MATCH(P438,Fit_Matrix!$A:$A,0))),"CHECK KEY"))</f>
        <v/>
      </c>
    </row>
    <row r="439" customFormat="false" ht="15" hidden="false" customHeight="true" outlineLevel="0" collapsed="false">
      <c r="P439" s="1" t="str">
        <f aca="false">IF(OR(F439="",H439="",J439=""),"",J439&amp;"|"&amp;F439&amp;"|"&amp;IF(H439="W3","W3_"&amp;IF(I439="","unknown",I439),H439))</f>
        <v/>
      </c>
      <c r="Q439" s="1" t="str">
        <f aca="false">IF(P439="","",IFERROR(IF(AND(H439="W7",OR(F439="causal",F439="predictive")),IF(AND(K439=1,L439=1,M439=1),"adequate","partial"),INDEX(Fit_Matrix!$B:$B,MATCH(P439,Fit_Matrix!$A:$A,0))),"CHECK KEY"))</f>
        <v/>
      </c>
    </row>
    <row r="440" customFormat="false" ht="15" hidden="false" customHeight="true" outlineLevel="0" collapsed="false">
      <c r="P440" s="1" t="str">
        <f aca="false">IF(OR(F440="",H440="",J440=""),"",J440&amp;"|"&amp;F440&amp;"|"&amp;IF(H440="W3","W3_"&amp;IF(I440="","unknown",I440),H440))</f>
        <v/>
      </c>
      <c r="Q440" s="1" t="str">
        <f aca="false">IF(P440="","",IFERROR(IF(AND(H440="W7",OR(F440="causal",F440="predictive")),IF(AND(K440=1,L440=1,M440=1),"adequate","partial"),INDEX(Fit_Matrix!$B:$B,MATCH(P440,Fit_Matrix!$A:$A,0))),"CHECK KEY"))</f>
        <v/>
      </c>
    </row>
    <row r="441" customFormat="false" ht="15" hidden="false" customHeight="true" outlineLevel="0" collapsed="false">
      <c r="P441" s="1" t="str">
        <f aca="false">IF(OR(F441="",H441="",J441=""),"",J441&amp;"|"&amp;F441&amp;"|"&amp;IF(H441="W3","W3_"&amp;IF(I441="","unknown",I441),H441))</f>
        <v/>
      </c>
      <c r="Q441" s="1" t="str">
        <f aca="false">IF(P441="","",IFERROR(IF(AND(H441="W7",OR(F441="causal",F441="predictive")),IF(AND(K441=1,L441=1,M441=1),"adequate","partial"),INDEX(Fit_Matrix!$B:$B,MATCH(P441,Fit_Matrix!$A:$A,0))),"CHECK KEY"))</f>
        <v/>
      </c>
    </row>
    <row r="442" customFormat="false" ht="15" hidden="false" customHeight="true" outlineLevel="0" collapsed="false">
      <c r="P442" s="1" t="str">
        <f aca="false">IF(OR(F442="",H442="",J442=""),"",J442&amp;"|"&amp;F442&amp;"|"&amp;IF(H442="W3","W3_"&amp;IF(I442="","unknown",I442),H442))</f>
        <v/>
      </c>
      <c r="Q442" s="1" t="str">
        <f aca="false">IF(P442="","",IFERROR(IF(AND(H442="W7",OR(F442="causal",F442="predictive")),IF(AND(K442=1,L442=1,M442=1),"adequate","partial"),INDEX(Fit_Matrix!$B:$B,MATCH(P442,Fit_Matrix!$A:$A,0))),"CHECK KEY"))</f>
        <v/>
      </c>
    </row>
    <row r="443" customFormat="false" ht="15" hidden="false" customHeight="true" outlineLevel="0" collapsed="false">
      <c r="P443" s="1" t="str">
        <f aca="false">IF(OR(F443="",H443="",J443=""),"",J443&amp;"|"&amp;F443&amp;"|"&amp;IF(H443="W3","W3_"&amp;IF(I443="","unknown",I443),H443))</f>
        <v/>
      </c>
      <c r="Q443" s="1" t="str">
        <f aca="false">IF(P443="","",IFERROR(IF(AND(H443="W7",OR(F443="causal",F443="predictive")),IF(AND(K443=1,L443=1,M443=1),"adequate","partial"),INDEX(Fit_Matrix!$B:$B,MATCH(P443,Fit_Matrix!$A:$A,0))),"CHECK KEY"))</f>
        <v/>
      </c>
    </row>
    <row r="444" customFormat="false" ht="15" hidden="false" customHeight="true" outlineLevel="0" collapsed="false">
      <c r="P444" s="1" t="str">
        <f aca="false">IF(OR(F444="",H444="",J444=""),"",J444&amp;"|"&amp;F444&amp;"|"&amp;IF(H444="W3","W3_"&amp;IF(I444="","unknown",I444),H444))</f>
        <v/>
      </c>
      <c r="Q444" s="1" t="str">
        <f aca="false">IF(P444="","",IFERROR(IF(AND(H444="W7",OR(F444="causal",F444="predictive")),IF(AND(K444=1,L444=1,M444=1),"adequate","partial"),INDEX(Fit_Matrix!$B:$B,MATCH(P444,Fit_Matrix!$A:$A,0))),"CHECK KEY"))</f>
        <v/>
      </c>
    </row>
    <row r="445" customFormat="false" ht="15" hidden="false" customHeight="true" outlineLevel="0" collapsed="false">
      <c r="P445" s="1" t="str">
        <f aca="false">IF(OR(F445="",H445="",J445=""),"",J445&amp;"|"&amp;F445&amp;"|"&amp;IF(H445="W3","W3_"&amp;IF(I445="","unknown",I445),H445))</f>
        <v/>
      </c>
      <c r="Q445" s="1" t="str">
        <f aca="false">IF(P445="","",IFERROR(IF(AND(H445="W7",OR(F445="causal",F445="predictive")),IF(AND(K445=1,L445=1,M445=1),"adequate","partial"),INDEX(Fit_Matrix!$B:$B,MATCH(P445,Fit_Matrix!$A:$A,0))),"CHECK KEY"))</f>
        <v/>
      </c>
    </row>
    <row r="446" customFormat="false" ht="15" hidden="false" customHeight="true" outlineLevel="0" collapsed="false">
      <c r="P446" s="1" t="str">
        <f aca="false">IF(OR(F446="",H446="",J446=""),"",J446&amp;"|"&amp;F446&amp;"|"&amp;IF(H446="W3","W3_"&amp;IF(I446="","unknown",I446),H446))</f>
        <v/>
      </c>
      <c r="Q446" s="1" t="str">
        <f aca="false">IF(P446="","",IFERROR(IF(AND(H446="W7",OR(F446="causal",F446="predictive")),IF(AND(K446=1,L446=1,M446=1),"adequate","partial"),INDEX(Fit_Matrix!$B:$B,MATCH(P446,Fit_Matrix!$A:$A,0))),"CHECK KEY"))</f>
        <v/>
      </c>
    </row>
    <row r="447" customFormat="false" ht="15" hidden="false" customHeight="true" outlineLevel="0" collapsed="false">
      <c r="P447" s="1" t="str">
        <f aca="false">IF(OR(F447="",H447="",J447=""),"",J447&amp;"|"&amp;F447&amp;"|"&amp;IF(H447="W3","W3_"&amp;IF(I447="","unknown",I447),H447))</f>
        <v/>
      </c>
      <c r="Q447" s="1" t="str">
        <f aca="false">IF(P447="","",IFERROR(IF(AND(H447="W7",OR(F447="causal",F447="predictive")),IF(AND(K447=1,L447=1,M447=1),"adequate","partial"),INDEX(Fit_Matrix!$B:$B,MATCH(P447,Fit_Matrix!$A:$A,0))),"CHECK KEY"))</f>
        <v/>
      </c>
    </row>
    <row r="448" customFormat="false" ht="15" hidden="false" customHeight="true" outlineLevel="0" collapsed="false">
      <c r="P448" s="1" t="str">
        <f aca="false">IF(OR(F448="",H448="",J448=""),"",J448&amp;"|"&amp;F448&amp;"|"&amp;IF(H448="W3","W3_"&amp;IF(I448="","unknown",I448),H448))</f>
        <v/>
      </c>
      <c r="Q448" s="1" t="str">
        <f aca="false">IF(P448="","",IFERROR(IF(AND(H448="W7",OR(F448="causal",F448="predictive")),IF(AND(K448=1,L448=1,M448=1),"adequate","partial"),INDEX(Fit_Matrix!$B:$B,MATCH(P448,Fit_Matrix!$A:$A,0))),"CHECK KEY"))</f>
        <v/>
      </c>
    </row>
    <row r="449" customFormat="false" ht="15" hidden="false" customHeight="true" outlineLevel="0" collapsed="false">
      <c r="P449" s="1" t="str">
        <f aca="false">IF(OR(F449="",H449="",J449=""),"",J449&amp;"|"&amp;F449&amp;"|"&amp;IF(H449="W3","W3_"&amp;IF(I449="","unknown",I449),H449))</f>
        <v/>
      </c>
      <c r="Q449" s="1" t="str">
        <f aca="false">IF(P449="","",IFERROR(IF(AND(H449="W7",OR(F449="causal",F449="predictive")),IF(AND(K449=1,L449=1,M449=1),"adequate","partial"),INDEX(Fit_Matrix!$B:$B,MATCH(P449,Fit_Matrix!$A:$A,0))),"CHECK KEY"))</f>
        <v/>
      </c>
    </row>
    <row r="450" customFormat="false" ht="15" hidden="false" customHeight="true" outlineLevel="0" collapsed="false">
      <c r="P450" s="1" t="str">
        <f aca="false">IF(OR(F450="",H450="",J450=""),"",J450&amp;"|"&amp;F450&amp;"|"&amp;IF(H450="W3","W3_"&amp;IF(I450="","unknown",I450),H450))</f>
        <v/>
      </c>
      <c r="Q450" s="1" t="str">
        <f aca="false">IF(P450="","",IFERROR(IF(AND(H450="W7",OR(F450="causal",F450="predictive")),IF(AND(K450=1,L450=1,M450=1),"adequate","partial"),INDEX(Fit_Matrix!$B:$B,MATCH(P450,Fit_Matrix!$A:$A,0))),"CHECK KEY"))</f>
        <v/>
      </c>
    </row>
    <row r="451" customFormat="false" ht="15" hidden="false" customHeight="true" outlineLevel="0" collapsed="false">
      <c r="P451" s="1" t="str">
        <f aca="false">IF(OR(F451="",H451="",J451=""),"",J451&amp;"|"&amp;F451&amp;"|"&amp;IF(H451="W3","W3_"&amp;IF(I451="","unknown",I451),H451))</f>
        <v/>
      </c>
      <c r="Q451" s="1" t="str">
        <f aca="false">IF(P451="","",IFERROR(IF(AND(H451="W7",OR(F451="causal",F451="predictive")),IF(AND(K451=1,L451=1,M451=1),"adequate","partial"),INDEX(Fit_Matrix!$B:$B,MATCH(P451,Fit_Matrix!$A:$A,0))),"CHECK KEY"))</f>
        <v/>
      </c>
    </row>
    <row r="452" customFormat="false" ht="15" hidden="false" customHeight="true" outlineLevel="0" collapsed="false">
      <c r="P452" s="1" t="str">
        <f aca="false">IF(OR(F452="",H452="",J452=""),"",J452&amp;"|"&amp;F452&amp;"|"&amp;IF(H452="W3","W3_"&amp;IF(I452="","unknown",I452),H452))</f>
        <v/>
      </c>
      <c r="Q452" s="1" t="str">
        <f aca="false">IF(P452="","",IFERROR(IF(AND(H452="W7",OR(F452="causal",F452="predictive")),IF(AND(K452=1,L452=1,M452=1),"adequate","partial"),INDEX(Fit_Matrix!$B:$B,MATCH(P452,Fit_Matrix!$A:$A,0))),"CHECK KEY"))</f>
        <v/>
      </c>
    </row>
    <row r="453" customFormat="false" ht="15" hidden="false" customHeight="true" outlineLevel="0" collapsed="false">
      <c r="P453" s="1" t="str">
        <f aca="false">IF(OR(F453="",H453="",J453=""),"",J453&amp;"|"&amp;F453&amp;"|"&amp;IF(H453="W3","W3_"&amp;IF(I453="","unknown",I453),H453))</f>
        <v/>
      </c>
      <c r="Q453" s="1" t="str">
        <f aca="false">IF(P453="","",IFERROR(IF(AND(H453="W7",OR(F453="causal",F453="predictive")),IF(AND(K453=1,L453=1,M453=1),"adequate","partial"),INDEX(Fit_Matrix!$B:$B,MATCH(P453,Fit_Matrix!$A:$A,0))),"CHECK KEY"))</f>
        <v/>
      </c>
    </row>
    <row r="454" customFormat="false" ht="15" hidden="false" customHeight="true" outlineLevel="0" collapsed="false">
      <c r="P454" s="1" t="str">
        <f aca="false">IF(OR(F454="",H454="",J454=""),"",J454&amp;"|"&amp;F454&amp;"|"&amp;IF(H454="W3","W3_"&amp;IF(I454="","unknown",I454),H454))</f>
        <v/>
      </c>
      <c r="Q454" s="1" t="str">
        <f aca="false">IF(P454="","",IFERROR(IF(AND(H454="W7",OR(F454="causal",F454="predictive")),IF(AND(K454=1,L454=1,M454=1),"adequate","partial"),INDEX(Fit_Matrix!$B:$B,MATCH(P454,Fit_Matrix!$A:$A,0))),"CHECK KEY"))</f>
        <v/>
      </c>
    </row>
    <row r="455" customFormat="false" ht="15" hidden="false" customHeight="true" outlineLevel="0" collapsed="false">
      <c r="P455" s="1" t="str">
        <f aca="false">IF(OR(F455="",H455="",J455=""),"",J455&amp;"|"&amp;F455&amp;"|"&amp;IF(H455="W3","W3_"&amp;IF(I455="","unknown",I455),H455))</f>
        <v/>
      </c>
      <c r="Q455" s="1" t="str">
        <f aca="false">IF(P455="","",IFERROR(IF(AND(H455="W7",OR(F455="causal",F455="predictive")),IF(AND(K455=1,L455=1,M455=1),"adequate","partial"),INDEX(Fit_Matrix!$B:$B,MATCH(P455,Fit_Matrix!$A:$A,0))),"CHECK KEY"))</f>
        <v/>
      </c>
    </row>
    <row r="456" customFormat="false" ht="15" hidden="false" customHeight="true" outlineLevel="0" collapsed="false">
      <c r="P456" s="1" t="str">
        <f aca="false">IF(OR(F456="",H456="",J456=""),"",J456&amp;"|"&amp;F456&amp;"|"&amp;IF(H456="W3","W3_"&amp;IF(I456="","unknown",I456),H456))</f>
        <v/>
      </c>
      <c r="Q456" s="1" t="str">
        <f aca="false">IF(P456="","",IFERROR(IF(AND(H456="W7",OR(F456="causal",F456="predictive")),IF(AND(K456=1,L456=1,M456=1),"adequate","partial"),INDEX(Fit_Matrix!$B:$B,MATCH(P456,Fit_Matrix!$A:$A,0))),"CHECK KEY"))</f>
        <v/>
      </c>
    </row>
    <row r="457" customFormat="false" ht="15" hidden="false" customHeight="true" outlineLevel="0" collapsed="false">
      <c r="P457" s="1" t="str">
        <f aca="false">IF(OR(F457="",H457="",J457=""),"",J457&amp;"|"&amp;F457&amp;"|"&amp;IF(H457="W3","W3_"&amp;IF(I457="","unknown",I457),H457))</f>
        <v/>
      </c>
      <c r="Q457" s="1" t="str">
        <f aca="false">IF(P457="","",IFERROR(IF(AND(H457="W7",OR(F457="causal",F457="predictive")),IF(AND(K457=1,L457=1,M457=1),"adequate","partial"),INDEX(Fit_Matrix!$B:$B,MATCH(P457,Fit_Matrix!$A:$A,0))),"CHECK KEY"))</f>
        <v/>
      </c>
    </row>
    <row r="458" customFormat="false" ht="15" hidden="false" customHeight="true" outlineLevel="0" collapsed="false">
      <c r="P458" s="1" t="str">
        <f aca="false">IF(OR(F458="",H458="",J458=""),"",J458&amp;"|"&amp;F458&amp;"|"&amp;IF(H458="W3","W3_"&amp;IF(I458="","unknown",I458),H458))</f>
        <v/>
      </c>
      <c r="Q458" s="1" t="str">
        <f aca="false">IF(P458="","",IFERROR(IF(AND(H458="W7",OR(F458="causal",F458="predictive")),IF(AND(K458=1,L458=1,M458=1),"adequate","partial"),INDEX(Fit_Matrix!$B:$B,MATCH(P458,Fit_Matrix!$A:$A,0))),"CHECK KEY"))</f>
        <v/>
      </c>
    </row>
    <row r="459" customFormat="false" ht="15" hidden="false" customHeight="true" outlineLevel="0" collapsed="false">
      <c r="P459" s="1" t="str">
        <f aca="false">IF(OR(F459="",H459="",J459=""),"",J459&amp;"|"&amp;F459&amp;"|"&amp;IF(H459="W3","W3_"&amp;IF(I459="","unknown",I459),H459))</f>
        <v/>
      </c>
      <c r="Q459" s="1" t="str">
        <f aca="false">IF(P459="","",IFERROR(IF(AND(H459="W7",OR(F459="causal",F459="predictive")),IF(AND(K459=1,L459=1,M459=1),"adequate","partial"),INDEX(Fit_Matrix!$B:$B,MATCH(P459,Fit_Matrix!$A:$A,0))),"CHECK KEY"))</f>
        <v/>
      </c>
    </row>
    <row r="460" customFormat="false" ht="15" hidden="false" customHeight="true" outlineLevel="0" collapsed="false">
      <c r="P460" s="1" t="str">
        <f aca="false">IF(OR(F460="",H460="",J460=""),"",J460&amp;"|"&amp;F460&amp;"|"&amp;IF(H460="W3","W3_"&amp;IF(I460="","unknown",I460),H460))</f>
        <v/>
      </c>
      <c r="Q460" s="1" t="str">
        <f aca="false">IF(P460="","",IFERROR(IF(AND(H460="W7",OR(F460="causal",F460="predictive")),IF(AND(K460=1,L460=1,M460=1),"adequate","partial"),INDEX(Fit_Matrix!$B:$B,MATCH(P460,Fit_Matrix!$A:$A,0))),"CHECK KEY"))</f>
        <v/>
      </c>
    </row>
    <row r="461" customFormat="false" ht="15" hidden="false" customHeight="true" outlineLevel="0" collapsed="false">
      <c r="P461" s="1" t="str">
        <f aca="false">IF(OR(F461="",H461="",J461=""),"",J461&amp;"|"&amp;F461&amp;"|"&amp;IF(H461="W3","W3_"&amp;IF(I461="","unknown",I461),H461))</f>
        <v/>
      </c>
      <c r="Q461" s="1" t="str">
        <f aca="false">IF(P461="","",IFERROR(IF(AND(H461="W7",OR(F461="causal",F461="predictive")),IF(AND(K461=1,L461=1,M461=1),"adequate","partial"),INDEX(Fit_Matrix!$B:$B,MATCH(P461,Fit_Matrix!$A:$A,0))),"CHECK KEY"))</f>
        <v/>
      </c>
    </row>
    <row r="462" customFormat="false" ht="15" hidden="false" customHeight="true" outlineLevel="0" collapsed="false">
      <c r="P462" s="1" t="str">
        <f aca="false">IF(OR(F462="",H462="",J462=""),"",J462&amp;"|"&amp;F462&amp;"|"&amp;IF(H462="W3","W3_"&amp;IF(I462="","unknown",I462),H462))</f>
        <v/>
      </c>
      <c r="Q462" s="1" t="str">
        <f aca="false">IF(P462="","",IFERROR(IF(AND(H462="W7",OR(F462="causal",F462="predictive")),IF(AND(K462=1,L462=1,M462=1),"adequate","partial"),INDEX(Fit_Matrix!$B:$B,MATCH(P462,Fit_Matrix!$A:$A,0))),"CHECK KEY"))</f>
        <v/>
      </c>
    </row>
    <row r="463" customFormat="false" ht="15" hidden="false" customHeight="true" outlineLevel="0" collapsed="false">
      <c r="P463" s="1" t="str">
        <f aca="false">IF(OR(F463="",H463="",J463=""),"",J463&amp;"|"&amp;F463&amp;"|"&amp;IF(H463="W3","W3_"&amp;IF(I463="","unknown",I463),H463))</f>
        <v/>
      </c>
      <c r="Q463" s="1" t="str">
        <f aca="false">IF(P463="","",IFERROR(IF(AND(H463="W7",OR(F463="causal",F463="predictive")),IF(AND(K463=1,L463=1,M463=1),"adequate","partial"),INDEX(Fit_Matrix!$B:$B,MATCH(P463,Fit_Matrix!$A:$A,0))),"CHECK KEY"))</f>
        <v/>
      </c>
    </row>
    <row r="464" customFormat="false" ht="15" hidden="false" customHeight="true" outlineLevel="0" collapsed="false">
      <c r="P464" s="1" t="str">
        <f aca="false">IF(OR(F464="",H464="",J464=""),"",J464&amp;"|"&amp;F464&amp;"|"&amp;IF(H464="W3","W3_"&amp;IF(I464="","unknown",I464),H464))</f>
        <v/>
      </c>
      <c r="Q464" s="1" t="str">
        <f aca="false">IF(P464="","",IFERROR(IF(AND(H464="W7",OR(F464="causal",F464="predictive")),IF(AND(K464=1,L464=1,M464=1),"adequate","partial"),INDEX(Fit_Matrix!$B:$B,MATCH(P464,Fit_Matrix!$A:$A,0))),"CHECK KEY"))</f>
        <v/>
      </c>
    </row>
    <row r="465" customFormat="false" ht="15" hidden="false" customHeight="true" outlineLevel="0" collapsed="false">
      <c r="P465" s="1" t="str">
        <f aca="false">IF(OR(F465="",H465="",J465=""),"",J465&amp;"|"&amp;F465&amp;"|"&amp;IF(H465="W3","W3_"&amp;IF(I465="","unknown",I465),H465))</f>
        <v/>
      </c>
      <c r="Q465" s="1" t="str">
        <f aca="false">IF(P465="","",IFERROR(IF(AND(H465="W7",OR(F465="causal",F465="predictive")),IF(AND(K465=1,L465=1,M465=1),"adequate","partial"),INDEX(Fit_Matrix!$B:$B,MATCH(P465,Fit_Matrix!$A:$A,0))),"CHECK KEY"))</f>
        <v/>
      </c>
    </row>
    <row r="466" customFormat="false" ht="15" hidden="false" customHeight="true" outlineLevel="0" collapsed="false">
      <c r="P466" s="1" t="str">
        <f aca="false">IF(OR(F466="",H466="",J466=""),"",J466&amp;"|"&amp;F466&amp;"|"&amp;IF(H466="W3","W3_"&amp;IF(I466="","unknown",I466),H466))</f>
        <v/>
      </c>
      <c r="Q466" s="1" t="str">
        <f aca="false">IF(P466="","",IFERROR(IF(AND(H466="W7",OR(F466="causal",F466="predictive")),IF(AND(K466=1,L466=1,M466=1),"adequate","partial"),INDEX(Fit_Matrix!$B:$B,MATCH(P466,Fit_Matrix!$A:$A,0))),"CHECK KEY"))</f>
        <v/>
      </c>
    </row>
    <row r="467" customFormat="false" ht="15" hidden="false" customHeight="true" outlineLevel="0" collapsed="false">
      <c r="P467" s="1" t="str">
        <f aca="false">IF(OR(F467="",H467="",J467=""),"",J467&amp;"|"&amp;F467&amp;"|"&amp;IF(H467="W3","W3_"&amp;IF(I467="","unknown",I467),H467))</f>
        <v/>
      </c>
      <c r="Q467" s="1" t="str">
        <f aca="false">IF(P467="","",IFERROR(IF(AND(H467="W7",OR(F467="causal",F467="predictive")),IF(AND(K467=1,L467=1,M467=1),"adequate","partial"),INDEX(Fit_Matrix!$B:$B,MATCH(P467,Fit_Matrix!$A:$A,0))),"CHECK KEY"))</f>
        <v/>
      </c>
    </row>
    <row r="468" customFormat="false" ht="15" hidden="false" customHeight="true" outlineLevel="0" collapsed="false">
      <c r="P468" s="1" t="str">
        <f aca="false">IF(OR(F468="",H468="",J468=""),"",J468&amp;"|"&amp;F468&amp;"|"&amp;IF(H468="W3","W3_"&amp;IF(I468="","unknown",I468),H468))</f>
        <v/>
      </c>
      <c r="Q468" s="1" t="str">
        <f aca="false">IF(P468="","",IFERROR(IF(AND(H468="W7",OR(F468="causal",F468="predictive")),IF(AND(K468=1,L468=1,M468=1),"adequate","partial"),INDEX(Fit_Matrix!$B:$B,MATCH(P468,Fit_Matrix!$A:$A,0))),"CHECK KEY"))</f>
        <v/>
      </c>
    </row>
    <row r="469" customFormat="false" ht="15" hidden="false" customHeight="true" outlineLevel="0" collapsed="false">
      <c r="P469" s="1" t="str">
        <f aca="false">IF(OR(F469="",H469="",J469=""),"",J469&amp;"|"&amp;F469&amp;"|"&amp;IF(H469="W3","W3_"&amp;IF(I469="","unknown",I469),H469))</f>
        <v/>
      </c>
      <c r="Q469" s="1" t="str">
        <f aca="false">IF(P469="","",IFERROR(IF(AND(H469="W7",OR(F469="causal",F469="predictive")),IF(AND(K469=1,L469=1,M469=1),"adequate","partial"),INDEX(Fit_Matrix!$B:$B,MATCH(P469,Fit_Matrix!$A:$A,0))),"CHECK KEY"))</f>
        <v/>
      </c>
    </row>
    <row r="470" customFormat="false" ht="15" hidden="false" customHeight="true" outlineLevel="0" collapsed="false">
      <c r="P470" s="1" t="str">
        <f aca="false">IF(OR(F470="",H470="",J470=""),"",J470&amp;"|"&amp;F470&amp;"|"&amp;IF(H470="W3","W3_"&amp;IF(I470="","unknown",I470),H470))</f>
        <v/>
      </c>
      <c r="Q470" s="1" t="str">
        <f aca="false">IF(P470="","",IFERROR(IF(AND(H470="W7",OR(F470="causal",F470="predictive")),IF(AND(K470=1,L470=1,M470=1),"adequate","partial"),INDEX(Fit_Matrix!$B:$B,MATCH(P470,Fit_Matrix!$A:$A,0))),"CHECK KEY"))</f>
        <v/>
      </c>
    </row>
    <row r="471" customFormat="false" ht="15" hidden="false" customHeight="true" outlineLevel="0" collapsed="false">
      <c r="P471" s="1" t="str">
        <f aca="false">IF(OR(F471="",H471="",J471=""),"",J471&amp;"|"&amp;F471&amp;"|"&amp;IF(H471="W3","W3_"&amp;IF(I471="","unknown",I471),H471))</f>
        <v/>
      </c>
      <c r="Q471" s="1" t="str">
        <f aca="false">IF(P471="","",IFERROR(IF(AND(H471="W7",OR(F471="causal",F471="predictive")),IF(AND(K471=1,L471=1,M471=1),"adequate","partial"),INDEX(Fit_Matrix!$B:$B,MATCH(P471,Fit_Matrix!$A:$A,0))),"CHECK KEY"))</f>
        <v/>
      </c>
    </row>
    <row r="472" customFormat="false" ht="15" hidden="false" customHeight="true" outlineLevel="0" collapsed="false">
      <c r="P472" s="1" t="str">
        <f aca="false">IF(OR(F472="",H472="",J472=""),"",J472&amp;"|"&amp;F472&amp;"|"&amp;IF(H472="W3","W3_"&amp;IF(I472="","unknown",I472),H472))</f>
        <v/>
      </c>
      <c r="Q472" s="1" t="str">
        <f aca="false">IF(P472="","",IFERROR(IF(AND(H472="W7",OR(F472="causal",F472="predictive")),IF(AND(K472=1,L472=1,M472=1),"adequate","partial"),INDEX(Fit_Matrix!$B:$B,MATCH(P472,Fit_Matrix!$A:$A,0))),"CHECK KEY"))</f>
        <v/>
      </c>
    </row>
    <row r="473" customFormat="false" ht="15" hidden="false" customHeight="true" outlineLevel="0" collapsed="false">
      <c r="P473" s="1" t="str">
        <f aca="false">IF(OR(F473="",H473="",J473=""),"",J473&amp;"|"&amp;F473&amp;"|"&amp;IF(H473="W3","W3_"&amp;IF(I473="","unknown",I473),H473))</f>
        <v/>
      </c>
      <c r="Q473" s="1" t="str">
        <f aca="false">IF(P473="","",IFERROR(IF(AND(H473="W7",OR(F473="causal",F473="predictive")),IF(AND(K473=1,L473=1,M473=1),"adequate","partial"),INDEX(Fit_Matrix!$B:$B,MATCH(P473,Fit_Matrix!$A:$A,0))),"CHECK KEY"))</f>
        <v/>
      </c>
    </row>
    <row r="474" customFormat="false" ht="15" hidden="false" customHeight="true" outlineLevel="0" collapsed="false">
      <c r="P474" s="1" t="str">
        <f aca="false">IF(OR(F474="",H474="",J474=""),"",J474&amp;"|"&amp;F474&amp;"|"&amp;IF(H474="W3","W3_"&amp;IF(I474="","unknown",I474),H474))</f>
        <v/>
      </c>
      <c r="Q474" s="1" t="str">
        <f aca="false">IF(P474="","",IFERROR(IF(AND(H474="W7",OR(F474="causal",F474="predictive")),IF(AND(K474=1,L474=1,M474=1),"adequate","partial"),INDEX(Fit_Matrix!$B:$B,MATCH(P474,Fit_Matrix!$A:$A,0))),"CHECK KEY"))</f>
        <v/>
      </c>
    </row>
    <row r="475" customFormat="false" ht="15" hidden="false" customHeight="true" outlineLevel="0" collapsed="false">
      <c r="P475" s="1" t="str">
        <f aca="false">IF(OR(F475="",H475="",J475=""),"",J475&amp;"|"&amp;F475&amp;"|"&amp;IF(H475="W3","W3_"&amp;IF(I475="","unknown",I475),H475))</f>
        <v/>
      </c>
      <c r="Q475" s="1" t="str">
        <f aca="false">IF(P475="","",IFERROR(IF(AND(H475="W7",OR(F475="causal",F475="predictive")),IF(AND(K475=1,L475=1,M475=1),"adequate","partial"),INDEX(Fit_Matrix!$B:$B,MATCH(P475,Fit_Matrix!$A:$A,0))),"CHECK KEY"))</f>
        <v/>
      </c>
    </row>
    <row r="476" customFormat="false" ht="15" hidden="false" customHeight="true" outlineLevel="0" collapsed="false">
      <c r="P476" s="1" t="str">
        <f aca="false">IF(OR(F476="",H476="",J476=""),"",J476&amp;"|"&amp;F476&amp;"|"&amp;IF(H476="W3","W3_"&amp;IF(I476="","unknown",I476),H476))</f>
        <v/>
      </c>
      <c r="Q476" s="1" t="str">
        <f aca="false">IF(P476="","",IFERROR(IF(AND(H476="W7",OR(F476="causal",F476="predictive")),IF(AND(K476=1,L476=1,M476=1),"adequate","partial"),INDEX(Fit_Matrix!$B:$B,MATCH(P476,Fit_Matrix!$A:$A,0))),"CHECK KEY"))</f>
        <v/>
      </c>
    </row>
    <row r="477" customFormat="false" ht="15" hidden="false" customHeight="true" outlineLevel="0" collapsed="false">
      <c r="P477" s="1" t="str">
        <f aca="false">IF(OR(F477="",H477="",J477=""),"",J477&amp;"|"&amp;F477&amp;"|"&amp;IF(H477="W3","W3_"&amp;IF(I477="","unknown",I477),H477))</f>
        <v/>
      </c>
      <c r="Q477" s="1" t="str">
        <f aca="false">IF(P477="","",IFERROR(IF(AND(H477="W7",OR(F477="causal",F477="predictive")),IF(AND(K477=1,L477=1,M477=1),"adequate","partial"),INDEX(Fit_Matrix!$B:$B,MATCH(P477,Fit_Matrix!$A:$A,0))),"CHECK KEY"))</f>
        <v/>
      </c>
    </row>
    <row r="478" customFormat="false" ht="15" hidden="false" customHeight="true" outlineLevel="0" collapsed="false">
      <c r="P478" s="1" t="str">
        <f aca="false">IF(OR(F478="",H478="",J478=""),"",J478&amp;"|"&amp;F478&amp;"|"&amp;IF(H478="W3","W3_"&amp;IF(I478="","unknown",I478),H478))</f>
        <v/>
      </c>
      <c r="Q478" s="1" t="str">
        <f aca="false">IF(P478="","",IFERROR(IF(AND(H478="W7",OR(F478="causal",F478="predictive")),IF(AND(K478=1,L478=1,M478=1),"adequate","partial"),INDEX(Fit_Matrix!$B:$B,MATCH(P478,Fit_Matrix!$A:$A,0))),"CHECK KEY"))</f>
        <v/>
      </c>
    </row>
    <row r="479" customFormat="false" ht="15" hidden="false" customHeight="true" outlineLevel="0" collapsed="false">
      <c r="P479" s="1" t="str">
        <f aca="false">IF(OR(F479="",H479="",J479=""),"",J479&amp;"|"&amp;F479&amp;"|"&amp;IF(H479="W3","W3_"&amp;IF(I479="","unknown",I479),H479))</f>
        <v/>
      </c>
      <c r="Q479" s="1" t="str">
        <f aca="false">IF(P479="","",IFERROR(IF(AND(H479="W7",OR(F479="causal",F479="predictive")),IF(AND(K479=1,L479=1,M479=1),"adequate","partial"),INDEX(Fit_Matrix!$B:$B,MATCH(P479,Fit_Matrix!$A:$A,0))),"CHECK KEY"))</f>
        <v/>
      </c>
    </row>
    <row r="480" customFormat="false" ht="15" hidden="false" customHeight="true" outlineLevel="0" collapsed="false">
      <c r="P480" s="1" t="str">
        <f aca="false">IF(OR(F480="",H480="",J480=""),"",J480&amp;"|"&amp;F480&amp;"|"&amp;IF(H480="W3","W3_"&amp;IF(I480="","unknown",I480),H480))</f>
        <v/>
      </c>
      <c r="Q480" s="1" t="str">
        <f aca="false">IF(P480="","",IFERROR(IF(AND(H480="W7",OR(F480="causal",F480="predictive")),IF(AND(K480=1,L480=1,M480=1),"adequate","partial"),INDEX(Fit_Matrix!$B:$B,MATCH(P480,Fit_Matrix!$A:$A,0))),"CHECK KEY"))</f>
        <v/>
      </c>
    </row>
    <row r="481" customFormat="false" ht="15" hidden="false" customHeight="true" outlineLevel="0" collapsed="false">
      <c r="P481" s="1" t="str">
        <f aca="false">IF(OR(F481="",H481="",J481=""),"",J481&amp;"|"&amp;F481&amp;"|"&amp;IF(H481="W3","W3_"&amp;IF(I481="","unknown",I481),H481))</f>
        <v/>
      </c>
      <c r="Q481" s="1" t="str">
        <f aca="false">IF(P481="","",IFERROR(IF(AND(H481="W7",OR(F481="causal",F481="predictive")),IF(AND(K481=1,L481=1,M481=1),"adequate","partial"),INDEX(Fit_Matrix!$B:$B,MATCH(P481,Fit_Matrix!$A:$A,0))),"CHECK KEY"))</f>
        <v/>
      </c>
    </row>
    <row r="482" customFormat="false" ht="15" hidden="false" customHeight="true" outlineLevel="0" collapsed="false">
      <c r="P482" s="1" t="str">
        <f aca="false">IF(OR(F482="",H482="",J482=""),"",J482&amp;"|"&amp;F482&amp;"|"&amp;IF(H482="W3","W3_"&amp;IF(I482="","unknown",I482),H482))</f>
        <v/>
      </c>
      <c r="Q482" s="1" t="str">
        <f aca="false">IF(P482="","",IFERROR(IF(AND(H482="W7",OR(F482="causal",F482="predictive")),IF(AND(K482=1,L482=1,M482=1),"adequate","partial"),INDEX(Fit_Matrix!$B:$B,MATCH(P482,Fit_Matrix!$A:$A,0))),"CHECK KEY"))</f>
        <v/>
      </c>
    </row>
    <row r="483" customFormat="false" ht="15" hidden="false" customHeight="true" outlineLevel="0" collapsed="false">
      <c r="P483" s="1" t="str">
        <f aca="false">IF(OR(F483="",H483="",J483=""),"",J483&amp;"|"&amp;F483&amp;"|"&amp;IF(H483="W3","W3_"&amp;IF(I483="","unknown",I483),H483))</f>
        <v/>
      </c>
      <c r="Q483" s="1" t="str">
        <f aca="false">IF(P483="","",IFERROR(IF(AND(H483="W7",OR(F483="causal",F483="predictive")),IF(AND(K483=1,L483=1,M483=1),"adequate","partial"),INDEX(Fit_Matrix!$B:$B,MATCH(P483,Fit_Matrix!$A:$A,0))),"CHECK KEY"))</f>
        <v/>
      </c>
    </row>
    <row r="484" customFormat="false" ht="15" hidden="false" customHeight="true" outlineLevel="0" collapsed="false">
      <c r="P484" s="1" t="str">
        <f aca="false">IF(OR(F484="",H484="",J484=""),"",J484&amp;"|"&amp;F484&amp;"|"&amp;IF(H484="W3","W3_"&amp;IF(I484="","unknown",I484),H484))</f>
        <v/>
      </c>
      <c r="Q484" s="1" t="str">
        <f aca="false">IF(P484="","",IFERROR(IF(AND(H484="W7",OR(F484="causal",F484="predictive")),IF(AND(K484=1,L484=1,M484=1),"adequate","partial"),INDEX(Fit_Matrix!$B:$B,MATCH(P484,Fit_Matrix!$A:$A,0))),"CHECK KEY"))</f>
        <v/>
      </c>
    </row>
    <row r="485" customFormat="false" ht="15" hidden="false" customHeight="true" outlineLevel="0" collapsed="false">
      <c r="P485" s="1" t="str">
        <f aca="false">IF(OR(F485="",H485="",J485=""),"",J485&amp;"|"&amp;F485&amp;"|"&amp;IF(H485="W3","W3_"&amp;IF(I485="","unknown",I485),H485))</f>
        <v/>
      </c>
      <c r="Q485" s="1" t="str">
        <f aca="false">IF(P485="","",IFERROR(IF(AND(H485="W7",OR(F485="causal",F485="predictive")),IF(AND(K485=1,L485=1,M485=1),"adequate","partial"),INDEX(Fit_Matrix!$B:$B,MATCH(P485,Fit_Matrix!$A:$A,0))),"CHECK KEY"))</f>
        <v/>
      </c>
    </row>
    <row r="486" customFormat="false" ht="15" hidden="false" customHeight="true" outlineLevel="0" collapsed="false">
      <c r="P486" s="1" t="str">
        <f aca="false">IF(OR(F486="",H486="",J486=""),"",J486&amp;"|"&amp;F486&amp;"|"&amp;IF(H486="W3","W3_"&amp;IF(I486="","unknown",I486),H486))</f>
        <v/>
      </c>
      <c r="Q486" s="1" t="str">
        <f aca="false">IF(P486="","",IFERROR(IF(AND(H486="W7",OR(F486="causal",F486="predictive")),IF(AND(K486=1,L486=1,M486=1),"adequate","partial"),INDEX(Fit_Matrix!$B:$B,MATCH(P486,Fit_Matrix!$A:$A,0))),"CHECK KEY"))</f>
        <v/>
      </c>
    </row>
    <row r="487" customFormat="false" ht="15" hidden="false" customHeight="true" outlineLevel="0" collapsed="false">
      <c r="P487" s="1" t="str">
        <f aca="false">IF(OR(F487="",H487="",J487=""),"",J487&amp;"|"&amp;F487&amp;"|"&amp;IF(H487="W3","W3_"&amp;IF(I487="","unknown",I487),H487))</f>
        <v/>
      </c>
      <c r="Q487" s="1" t="str">
        <f aca="false">IF(P487="","",IFERROR(IF(AND(H487="W7",OR(F487="causal",F487="predictive")),IF(AND(K487=1,L487=1,M487=1),"adequate","partial"),INDEX(Fit_Matrix!$B:$B,MATCH(P487,Fit_Matrix!$A:$A,0))),"CHECK KEY"))</f>
        <v/>
      </c>
    </row>
    <row r="488" customFormat="false" ht="15" hidden="false" customHeight="true" outlineLevel="0" collapsed="false">
      <c r="P488" s="1" t="str">
        <f aca="false">IF(OR(F488="",H488="",J488=""),"",J488&amp;"|"&amp;F488&amp;"|"&amp;IF(H488="W3","W3_"&amp;IF(I488="","unknown",I488),H488))</f>
        <v/>
      </c>
      <c r="Q488" s="1" t="str">
        <f aca="false">IF(P488="","",IFERROR(IF(AND(H488="W7",OR(F488="causal",F488="predictive")),IF(AND(K488=1,L488=1,M488=1),"adequate","partial"),INDEX(Fit_Matrix!$B:$B,MATCH(P488,Fit_Matrix!$A:$A,0))),"CHECK KEY"))</f>
        <v/>
      </c>
    </row>
    <row r="489" customFormat="false" ht="15" hidden="false" customHeight="true" outlineLevel="0" collapsed="false">
      <c r="P489" s="1" t="str">
        <f aca="false">IF(OR(F489="",H489="",J489=""),"",J489&amp;"|"&amp;F489&amp;"|"&amp;IF(H489="W3","W3_"&amp;IF(I489="","unknown",I489),H489))</f>
        <v/>
      </c>
      <c r="Q489" s="1" t="str">
        <f aca="false">IF(P489="","",IFERROR(IF(AND(H489="W7",OR(F489="causal",F489="predictive")),IF(AND(K489=1,L489=1,M489=1),"adequate","partial"),INDEX(Fit_Matrix!$B:$B,MATCH(P489,Fit_Matrix!$A:$A,0))),"CHECK KEY"))</f>
        <v/>
      </c>
    </row>
    <row r="490" customFormat="false" ht="15" hidden="false" customHeight="true" outlineLevel="0" collapsed="false">
      <c r="P490" s="1" t="str">
        <f aca="false">IF(OR(F490="",H490="",J490=""),"",J490&amp;"|"&amp;F490&amp;"|"&amp;IF(H490="W3","W3_"&amp;IF(I490="","unknown",I490),H490))</f>
        <v/>
      </c>
      <c r="Q490" s="1" t="str">
        <f aca="false">IF(P490="","",IFERROR(IF(AND(H490="W7",OR(F490="causal",F490="predictive")),IF(AND(K490=1,L490=1,M490=1),"adequate","partial"),INDEX(Fit_Matrix!$B:$B,MATCH(P490,Fit_Matrix!$A:$A,0))),"CHECK KEY"))</f>
        <v/>
      </c>
    </row>
    <row r="491" customFormat="false" ht="15" hidden="false" customHeight="true" outlineLevel="0" collapsed="false">
      <c r="P491" s="1" t="str">
        <f aca="false">IF(OR(F491="",H491="",J491=""),"",J491&amp;"|"&amp;F491&amp;"|"&amp;IF(H491="W3","W3_"&amp;IF(I491="","unknown",I491),H491))</f>
        <v/>
      </c>
      <c r="Q491" s="1" t="str">
        <f aca="false">IF(P491="","",IFERROR(IF(AND(H491="W7",OR(F491="causal",F491="predictive")),IF(AND(K491=1,L491=1,M491=1),"adequate","partial"),INDEX(Fit_Matrix!$B:$B,MATCH(P491,Fit_Matrix!$A:$A,0))),"CHECK KEY"))</f>
        <v/>
      </c>
    </row>
    <row r="492" customFormat="false" ht="15" hidden="false" customHeight="true" outlineLevel="0" collapsed="false">
      <c r="P492" s="1" t="str">
        <f aca="false">IF(OR(F492="",H492="",J492=""),"",J492&amp;"|"&amp;F492&amp;"|"&amp;IF(H492="W3","W3_"&amp;IF(I492="","unknown",I492),H492))</f>
        <v/>
      </c>
      <c r="Q492" s="1" t="str">
        <f aca="false">IF(P492="","",IFERROR(IF(AND(H492="W7",OR(F492="causal",F492="predictive")),IF(AND(K492=1,L492=1,M492=1),"adequate","partial"),INDEX(Fit_Matrix!$B:$B,MATCH(P492,Fit_Matrix!$A:$A,0))),"CHECK KEY"))</f>
        <v/>
      </c>
    </row>
    <row r="493" customFormat="false" ht="15" hidden="false" customHeight="true" outlineLevel="0" collapsed="false">
      <c r="P493" s="1" t="str">
        <f aca="false">IF(OR(F493="",H493="",J493=""),"",J493&amp;"|"&amp;F493&amp;"|"&amp;IF(H493="W3","W3_"&amp;IF(I493="","unknown",I493),H493))</f>
        <v/>
      </c>
      <c r="Q493" s="1" t="str">
        <f aca="false">IF(P493="","",IFERROR(IF(AND(H493="W7",OR(F493="causal",F493="predictive")),IF(AND(K493=1,L493=1,M493=1),"adequate","partial"),INDEX(Fit_Matrix!$B:$B,MATCH(P493,Fit_Matrix!$A:$A,0))),"CHECK KEY"))</f>
        <v/>
      </c>
    </row>
    <row r="494" customFormat="false" ht="15" hidden="false" customHeight="true" outlineLevel="0" collapsed="false">
      <c r="P494" s="1" t="str">
        <f aca="false">IF(OR(F494="",H494="",J494=""),"",J494&amp;"|"&amp;F494&amp;"|"&amp;IF(H494="W3","W3_"&amp;IF(I494="","unknown",I494),H494))</f>
        <v/>
      </c>
      <c r="Q494" s="1" t="str">
        <f aca="false">IF(P494="","",IFERROR(IF(AND(H494="W7",OR(F494="causal",F494="predictive")),IF(AND(K494=1,L494=1,M494=1),"adequate","partial"),INDEX(Fit_Matrix!$B:$B,MATCH(P494,Fit_Matrix!$A:$A,0))),"CHECK KEY"))</f>
        <v/>
      </c>
    </row>
    <row r="495" customFormat="false" ht="15" hidden="false" customHeight="true" outlineLevel="0" collapsed="false">
      <c r="P495" s="1" t="str">
        <f aca="false">IF(OR(F495="",H495="",J495=""),"",J495&amp;"|"&amp;F495&amp;"|"&amp;IF(H495="W3","W3_"&amp;IF(I495="","unknown",I495),H495))</f>
        <v/>
      </c>
      <c r="Q495" s="1" t="str">
        <f aca="false">IF(P495="","",IFERROR(IF(AND(H495="W7",OR(F495="causal",F495="predictive")),IF(AND(K495=1,L495=1,M495=1),"adequate","partial"),INDEX(Fit_Matrix!$B:$B,MATCH(P495,Fit_Matrix!$A:$A,0))),"CHECK KEY"))</f>
        <v/>
      </c>
    </row>
    <row r="496" customFormat="false" ht="15" hidden="false" customHeight="true" outlineLevel="0" collapsed="false">
      <c r="P496" s="1" t="str">
        <f aca="false">IF(OR(F496="",H496="",J496=""),"",J496&amp;"|"&amp;F496&amp;"|"&amp;IF(H496="W3","W3_"&amp;IF(I496="","unknown",I496),H496))</f>
        <v/>
      </c>
      <c r="Q496" s="1" t="str">
        <f aca="false">IF(P496="","",IFERROR(IF(AND(H496="W7",OR(F496="causal",F496="predictive")),IF(AND(K496=1,L496=1,M496=1),"adequate","partial"),INDEX(Fit_Matrix!$B:$B,MATCH(P496,Fit_Matrix!$A:$A,0))),"CHECK KEY"))</f>
        <v/>
      </c>
    </row>
    <row r="497" customFormat="false" ht="15" hidden="false" customHeight="true" outlineLevel="0" collapsed="false">
      <c r="P497" s="1" t="str">
        <f aca="false">IF(OR(F497="",H497="",J497=""),"",J497&amp;"|"&amp;F497&amp;"|"&amp;IF(H497="W3","W3_"&amp;IF(I497="","unknown",I497),H497))</f>
        <v/>
      </c>
      <c r="Q497" s="1" t="str">
        <f aca="false">IF(P497="","",IFERROR(IF(AND(H497="W7",OR(F497="causal",F497="predictive")),IF(AND(K497=1,L497=1,M497=1),"adequate","partial"),INDEX(Fit_Matrix!$B:$B,MATCH(P497,Fit_Matrix!$A:$A,0))),"CHECK KEY"))</f>
        <v/>
      </c>
    </row>
    <row r="498" customFormat="false" ht="15" hidden="false" customHeight="true" outlineLevel="0" collapsed="false">
      <c r="P498" s="1" t="str">
        <f aca="false">IF(OR(F498="",H498="",J498=""),"",J498&amp;"|"&amp;F498&amp;"|"&amp;IF(H498="W3","W3_"&amp;IF(I498="","unknown",I498),H498))</f>
        <v/>
      </c>
      <c r="Q498" s="1" t="str">
        <f aca="false">IF(P498="","",IFERROR(IF(AND(H498="W7",OR(F498="causal",F498="predictive")),IF(AND(K498=1,L498=1,M498=1),"adequate","partial"),INDEX(Fit_Matrix!$B:$B,MATCH(P498,Fit_Matrix!$A:$A,0))),"CHECK KEY"))</f>
        <v/>
      </c>
    </row>
    <row r="499" customFormat="false" ht="15" hidden="false" customHeight="true" outlineLevel="0" collapsed="false">
      <c r="P499" s="1" t="str">
        <f aca="false">IF(OR(F499="",H499="",J499=""),"",J499&amp;"|"&amp;F499&amp;"|"&amp;IF(H499="W3","W3_"&amp;IF(I499="","unknown",I499),H499))</f>
        <v/>
      </c>
      <c r="Q499" s="1" t="str">
        <f aca="false">IF(P499="","",IFERROR(IF(AND(H499="W7",OR(F499="causal",F499="predictive")),IF(AND(K499=1,L499=1,M499=1),"adequate","partial"),INDEX(Fit_Matrix!$B:$B,MATCH(P499,Fit_Matrix!$A:$A,0))),"CHECK KEY"))</f>
        <v/>
      </c>
    </row>
    <row r="500" customFormat="false" ht="15" hidden="false" customHeight="true" outlineLevel="0" collapsed="false">
      <c r="P500" s="1" t="str">
        <f aca="false">IF(OR(F500="",H500="",J500=""),"",J500&amp;"|"&amp;F500&amp;"|"&amp;IF(H500="W3","W3_"&amp;IF(I500="","unknown",I500),H500))</f>
        <v/>
      </c>
      <c r="Q500" s="1" t="str">
        <f aca="false">IF(P500="","",IFERROR(IF(AND(H500="W7",OR(F500="causal",F500="predictive")),IF(AND(K500=1,L500=1,M500=1),"adequate","partial"),INDEX(Fit_Matrix!$B:$B,MATCH(P500,Fit_Matrix!$A:$A,0))),"CHECK KEY"))</f>
        <v/>
      </c>
    </row>
    <row r="501" customFormat="false" ht="15" hidden="false" customHeight="true" outlineLevel="0" collapsed="false">
      <c r="P501" s="1" t="str">
        <f aca="false">IF(OR(F501="",H501="",J501=""),"",J501&amp;"|"&amp;F501&amp;"|"&amp;IF(H501="W3","W3_"&amp;IF(I501="","unknown",I501),H501))</f>
        <v/>
      </c>
      <c r="Q501" s="1" t="str">
        <f aca="false">IF(P501="","",IFERROR(IF(AND(H501="W7",OR(F501="causal",F501="predictive")),IF(AND(K501=1,L501=1,M501=1),"adequate","partial"),INDEX(Fit_Matrix!$B:$B,MATCH(P501,Fit_Matrix!$A:$A,0))),"CHECK KEY"))</f>
        <v/>
      </c>
    </row>
    <row r="502" customFormat="false" ht="15" hidden="false" customHeight="true" outlineLevel="0" collapsed="false">
      <c r="P502" s="1" t="str">
        <f aca="false">IF(OR(F502="",H502="",J502=""),"",J502&amp;"|"&amp;F502&amp;"|"&amp;IF(H502="W3","W3_"&amp;IF(I502="","unknown",I502),H502))</f>
        <v/>
      </c>
      <c r="Q502" s="1" t="str">
        <f aca="false">IF(P502="","",IFERROR(IF(AND(H502="W7",OR(F502="causal",F502="predictive")),IF(AND(K502=1,L502=1,M502=1),"adequate","partial"),INDEX(Fit_Matrix!$B:$B,MATCH(P502,Fit_Matrix!$A:$A,0))),"CHECK KEY"))</f>
        <v/>
      </c>
    </row>
    <row r="503" customFormat="false" ht="15" hidden="false" customHeight="true" outlineLevel="0" collapsed="false">
      <c r="P503" s="1" t="str">
        <f aca="false">IF(OR(F503="",H503="",J503=""),"",J503&amp;"|"&amp;F503&amp;"|"&amp;IF(H503="W3","W3_"&amp;IF(I503="","unknown",I503),H503))</f>
        <v/>
      </c>
      <c r="Q503" s="1" t="str">
        <f aca="false">IF(P503="","",IFERROR(IF(AND(H503="W7",OR(F503="causal",F503="predictive")),IF(AND(K503=1,L503=1,M503=1),"adequate","partial"),INDEX(Fit_Matrix!$B:$B,MATCH(P503,Fit_Matrix!$A:$A,0))),"CHECK KEY"))</f>
        <v/>
      </c>
    </row>
    <row r="504" customFormat="false" ht="15" hidden="false" customHeight="true" outlineLevel="0" collapsed="false">
      <c r="P504" s="1" t="str">
        <f aca="false">IF(OR(F504="",H504="",J504=""),"",J504&amp;"|"&amp;F504&amp;"|"&amp;IF(H504="W3","W3_"&amp;IF(I504="","unknown",I504),H504))</f>
        <v/>
      </c>
      <c r="Q504" s="1" t="str">
        <f aca="false">IF(P504="","",IFERROR(IF(AND(H504="W7",OR(F504="causal",F504="predictive")),IF(AND(K504=1,L504=1,M504=1),"adequate","partial"),INDEX(Fit_Matrix!$B:$B,MATCH(P504,Fit_Matrix!$A:$A,0))),"CHECK KEY"))</f>
        <v/>
      </c>
    </row>
    <row r="505" customFormat="false" ht="15" hidden="false" customHeight="true" outlineLevel="0" collapsed="false">
      <c r="P505" s="1" t="str">
        <f aca="false">IF(OR(F505="",H505="",J505=""),"",J505&amp;"|"&amp;F505&amp;"|"&amp;IF(H505="W3","W3_"&amp;IF(I505="","unknown",I505),H505))</f>
        <v/>
      </c>
      <c r="Q505" s="1" t="str">
        <f aca="false">IF(P505="","",IFERROR(IF(AND(H505="W7",OR(F505="causal",F505="predictive")),IF(AND(K505=1,L505=1,M505=1),"adequate","partial"),INDEX(Fit_Matrix!$B:$B,MATCH(P505,Fit_Matrix!$A:$A,0))),"CHECK KEY"))</f>
        <v/>
      </c>
    </row>
    <row r="506" customFormat="false" ht="15" hidden="false" customHeight="true" outlineLevel="0" collapsed="false">
      <c r="P506" s="1" t="str">
        <f aca="false">IF(OR(F506="",H506="",J506=""),"",J506&amp;"|"&amp;F506&amp;"|"&amp;IF(H506="W3","W3_"&amp;IF(I506="","unknown",I506),H506))</f>
        <v/>
      </c>
      <c r="Q506" s="1" t="str">
        <f aca="false">IF(P506="","",IFERROR(IF(AND(H506="W7",OR(F506="causal",F506="predictive")),IF(AND(K506=1,L506=1,M506=1),"adequate","partial"),INDEX(Fit_Matrix!$B:$B,MATCH(P506,Fit_Matrix!$A:$A,0))),"CHECK KEY"))</f>
        <v/>
      </c>
    </row>
    <row r="507" customFormat="false" ht="15" hidden="false" customHeight="true" outlineLevel="0" collapsed="false">
      <c r="P507" s="1" t="str">
        <f aca="false">IF(OR(F507="",H507="",J507=""),"",J507&amp;"|"&amp;F507&amp;"|"&amp;IF(H507="W3","W3_"&amp;IF(I507="","unknown",I507),H507))</f>
        <v/>
      </c>
      <c r="Q507" s="1" t="str">
        <f aca="false">IF(P507="","",IFERROR(IF(AND(H507="W7",OR(F507="causal",F507="predictive")),IF(AND(K507=1,L507=1,M507=1),"adequate","partial"),INDEX(Fit_Matrix!$B:$B,MATCH(P507,Fit_Matrix!$A:$A,0))),"CHECK KEY"))</f>
        <v/>
      </c>
    </row>
    <row r="508" customFormat="false" ht="15" hidden="false" customHeight="true" outlineLevel="0" collapsed="false">
      <c r="P508" s="1" t="str">
        <f aca="false">IF(OR(F508="",H508="",J508=""),"",J508&amp;"|"&amp;F508&amp;"|"&amp;IF(H508="W3","W3_"&amp;IF(I508="","unknown",I508),H508))</f>
        <v/>
      </c>
      <c r="Q508" s="1" t="str">
        <f aca="false">IF(P508="","",IFERROR(IF(AND(H508="W7",OR(F508="causal",F508="predictive")),IF(AND(K508=1,L508=1,M508=1),"adequate","partial"),INDEX(Fit_Matrix!$B:$B,MATCH(P508,Fit_Matrix!$A:$A,0))),"CHECK KEY"))</f>
        <v/>
      </c>
    </row>
    <row r="509" customFormat="false" ht="15" hidden="false" customHeight="true" outlineLevel="0" collapsed="false">
      <c r="P509" s="1" t="str">
        <f aca="false">IF(OR(F509="",H509="",J509=""),"",J509&amp;"|"&amp;F509&amp;"|"&amp;IF(H509="W3","W3_"&amp;IF(I509="","unknown",I509),H509))</f>
        <v/>
      </c>
      <c r="Q509" s="1" t="str">
        <f aca="false">IF(P509="","",IFERROR(IF(AND(H509="W7",OR(F509="causal",F509="predictive")),IF(AND(K509=1,L509=1,M509=1),"adequate","partial"),INDEX(Fit_Matrix!$B:$B,MATCH(P509,Fit_Matrix!$A:$A,0))),"CHECK KEY"))</f>
        <v/>
      </c>
    </row>
    <row r="510" customFormat="false" ht="15" hidden="false" customHeight="true" outlineLevel="0" collapsed="false">
      <c r="P510" s="1" t="str">
        <f aca="false">IF(OR(F510="",H510="",J510=""),"",J510&amp;"|"&amp;F510&amp;"|"&amp;IF(H510="W3","W3_"&amp;IF(I510="","unknown",I510),H510))</f>
        <v/>
      </c>
      <c r="Q510" s="1" t="str">
        <f aca="false">IF(P510="","",IFERROR(IF(AND(H510="W7",OR(F510="causal",F510="predictive")),IF(AND(K510=1,L510=1,M510=1),"adequate","partial"),INDEX(Fit_Matrix!$B:$B,MATCH(P510,Fit_Matrix!$A:$A,0))),"CHECK KEY"))</f>
        <v/>
      </c>
    </row>
    <row r="511" customFormat="false" ht="15" hidden="false" customHeight="true" outlineLevel="0" collapsed="false">
      <c r="P511" s="1" t="str">
        <f aca="false">IF(OR(F511="",H511="",J511=""),"",J511&amp;"|"&amp;F511&amp;"|"&amp;IF(H511="W3","W3_"&amp;IF(I511="","unknown",I511),H511))</f>
        <v/>
      </c>
      <c r="Q511" s="1" t="str">
        <f aca="false">IF(P511="","",IFERROR(IF(AND(H511="W7",OR(F511="causal",F511="predictive")),IF(AND(K511=1,L511=1,M511=1),"adequate","partial"),INDEX(Fit_Matrix!$B:$B,MATCH(P511,Fit_Matrix!$A:$A,0))),"CHECK KEY"))</f>
        <v/>
      </c>
    </row>
    <row r="512" customFormat="false" ht="15" hidden="false" customHeight="true" outlineLevel="0" collapsed="false">
      <c r="P512" s="1" t="str">
        <f aca="false">IF(OR(F512="",H512="",J512=""),"",J512&amp;"|"&amp;F512&amp;"|"&amp;IF(H512="W3","W3_"&amp;IF(I512="","unknown",I512),H512))</f>
        <v/>
      </c>
      <c r="Q512" s="1" t="str">
        <f aca="false">IF(P512="","",IFERROR(IF(AND(H512="W7",OR(F512="causal",F512="predictive")),IF(AND(K512=1,L512=1,M512=1),"adequate","partial"),INDEX(Fit_Matrix!$B:$B,MATCH(P512,Fit_Matrix!$A:$A,0))),"CHECK KEY"))</f>
        <v/>
      </c>
    </row>
    <row r="513" customFormat="false" ht="15" hidden="false" customHeight="true" outlineLevel="0" collapsed="false">
      <c r="P513" s="1" t="str">
        <f aca="false">IF(OR(F513="",H513="",J513=""),"",J513&amp;"|"&amp;F513&amp;"|"&amp;IF(H513="W3","W3_"&amp;IF(I513="","unknown",I513),H513))</f>
        <v/>
      </c>
      <c r="Q513" s="1" t="str">
        <f aca="false">IF(P513="","",IFERROR(IF(AND(H513="W7",OR(F513="causal",F513="predictive")),IF(AND(K513=1,L513=1,M513=1),"adequate","partial"),INDEX(Fit_Matrix!$B:$B,MATCH(P513,Fit_Matrix!$A:$A,0))),"CHECK KEY"))</f>
        <v/>
      </c>
    </row>
    <row r="514" customFormat="false" ht="15" hidden="false" customHeight="true" outlineLevel="0" collapsed="false">
      <c r="P514" s="1" t="str">
        <f aca="false">IF(OR(F514="",H514="",J514=""),"",J514&amp;"|"&amp;F514&amp;"|"&amp;IF(H514="W3","W3_"&amp;IF(I514="","unknown",I514),H514))</f>
        <v/>
      </c>
      <c r="Q514" s="1" t="str">
        <f aca="false">IF(P514="","",IFERROR(IF(AND(H514="W7",OR(F514="causal",F514="predictive")),IF(AND(K514=1,L514=1,M514=1),"adequate","partial"),INDEX(Fit_Matrix!$B:$B,MATCH(P514,Fit_Matrix!$A:$A,0))),"CHECK KEY"))</f>
        <v/>
      </c>
    </row>
    <row r="515" customFormat="false" ht="15" hidden="false" customHeight="true" outlineLevel="0" collapsed="false">
      <c r="P515" s="1" t="str">
        <f aca="false">IF(OR(F515="",H515="",J515=""),"",J515&amp;"|"&amp;F515&amp;"|"&amp;IF(H515="W3","W3_"&amp;IF(I515="","unknown",I515),H515))</f>
        <v/>
      </c>
      <c r="Q515" s="1" t="str">
        <f aca="false">IF(P515="","",IFERROR(IF(AND(H515="W7",OR(F515="causal",F515="predictive")),IF(AND(K515=1,L515=1,M515=1),"adequate","partial"),INDEX(Fit_Matrix!$B:$B,MATCH(P515,Fit_Matrix!$A:$A,0))),"CHECK KEY"))</f>
        <v/>
      </c>
    </row>
    <row r="516" customFormat="false" ht="15" hidden="false" customHeight="true" outlineLevel="0" collapsed="false">
      <c r="P516" s="1" t="str">
        <f aca="false">IF(OR(F516="",H516="",J516=""),"",J516&amp;"|"&amp;F516&amp;"|"&amp;IF(H516="W3","W3_"&amp;IF(I516="","unknown",I516),H516))</f>
        <v/>
      </c>
      <c r="Q516" s="1" t="str">
        <f aca="false">IF(P516="","",IFERROR(IF(AND(H516="W7",OR(F516="causal",F516="predictive")),IF(AND(K516=1,L516=1,M516=1),"adequate","partial"),INDEX(Fit_Matrix!$B:$B,MATCH(P516,Fit_Matrix!$A:$A,0))),"CHECK KEY"))</f>
        <v/>
      </c>
    </row>
    <row r="517" customFormat="false" ht="15" hidden="false" customHeight="true" outlineLevel="0" collapsed="false">
      <c r="P517" s="1" t="str">
        <f aca="false">IF(OR(F517="",H517="",J517=""),"",J517&amp;"|"&amp;F517&amp;"|"&amp;IF(H517="W3","W3_"&amp;IF(I517="","unknown",I517),H517))</f>
        <v/>
      </c>
      <c r="Q517" s="1" t="str">
        <f aca="false">IF(P517="","",IFERROR(IF(AND(H517="W7",OR(F517="causal",F517="predictive")),IF(AND(K517=1,L517=1,M517=1),"adequate","partial"),INDEX(Fit_Matrix!$B:$B,MATCH(P517,Fit_Matrix!$A:$A,0))),"CHECK KEY"))</f>
        <v/>
      </c>
    </row>
    <row r="518" customFormat="false" ht="15" hidden="false" customHeight="true" outlineLevel="0" collapsed="false">
      <c r="P518" s="1" t="str">
        <f aca="false">IF(OR(F518="",H518="",J518=""),"",J518&amp;"|"&amp;F518&amp;"|"&amp;IF(H518="W3","W3_"&amp;IF(I518="","unknown",I518),H518))</f>
        <v/>
      </c>
      <c r="Q518" s="1" t="str">
        <f aca="false">IF(P518="","",IFERROR(IF(AND(H518="W7",OR(F518="causal",F518="predictive")),IF(AND(K518=1,L518=1,M518=1),"adequate","partial"),INDEX(Fit_Matrix!$B:$B,MATCH(P518,Fit_Matrix!$A:$A,0))),"CHECK KEY"))</f>
        <v/>
      </c>
    </row>
    <row r="519" customFormat="false" ht="15" hidden="false" customHeight="true" outlineLevel="0" collapsed="false">
      <c r="P519" s="1" t="str">
        <f aca="false">IF(OR(F519="",H519="",J519=""),"",J519&amp;"|"&amp;F519&amp;"|"&amp;IF(H519="W3","W3_"&amp;IF(I519="","unknown",I519),H519))</f>
        <v/>
      </c>
      <c r="Q519" s="1" t="str">
        <f aca="false">IF(P519="","",IFERROR(IF(AND(H519="W7",OR(F519="causal",F519="predictive")),IF(AND(K519=1,L519=1,M519=1),"adequate","partial"),INDEX(Fit_Matrix!$B:$B,MATCH(P519,Fit_Matrix!$A:$A,0))),"CHECK KEY"))</f>
        <v/>
      </c>
    </row>
    <row r="520" customFormat="false" ht="15" hidden="false" customHeight="true" outlineLevel="0" collapsed="false">
      <c r="P520" s="1" t="str">
        <f aca="false">IF(OR(F520="",H520="",J520=""),"",J520&amp;"|"&amp;F520&amp;"|"&amp;IF(H520="W3","W3_"&amp;IF(I520="","unknown",I520),H520))</f>
        <v/>
      </c>
      <c r="Q520" s="1" t="str">
        <f aca="false">IF(P520="","",IFERROR(IF(AND(H520="W7",OR(F520="causal",F520="predictive")),IF(AND(K520=1,L520=1,M520=1),"adequate","partial"),INDEX(Fit_Matrix!$B:$B,MATCH(P520,Fit_Matrix!$A:$A,0))),"CHECK KEY"))</f>
        <v/>
      </c>
    </row>
    <row r="521" customFormat="false" ht="15" hidden="false" customHeight="true" outlineLevel="0" collapsed="false">
      <c r="P521" s="1" t="str">
        <f aca="false">IF(OR(F521="",H521="",J521=""),"",J521&amp;"|"&amp;F521&amp;"|"&amp;IF(H521="W3","W3_"&amp;IF(I521="","unknown",I521),H521))</f>
        <v/>
      </c>
      <c r="Q521" s="1" t="str">
        <f aca="false">IF(P521="","",IFERROR(IF(AND(H521="W7",OR(F521="causal",F521="predictive")),IF(AND(K521=1,L521=1,M521=1),"adequate","partial"),INDEX(Fit_Matrix!$B:$B,MATCH(P521,Fit_Matrix!$A:$A,0))),"CHECK KEY"))</f>
        <v/>
      </c>
    </row>
    <row r="522" customFormat="false" ht="15" hidden="false" customHeight="true" outlineLevel="0" collapsed="false">
      <c r="P522" s="1" t="str">
        <f aca="false">IF(OR(F522="",H522="",J522=""),"",J522&amp;"|"&amp;F522&amp;"|"&amp;IF(H522="W3","W3_"&amp;IF(I522="","unknown",I522),H522))</f>
        <v/>
      </c>
      <c r="Q522" s="1" t="str">
        <f aca="false">IF(P522="","",IFERROR(IF(AND(H522="W7",OR(F522="causal",F522="predictive")),IF(AND(K522=1,L522=1,M522=1),"adequate","partial"),INDEX(Fit_Matrix!$B:$B,MATCH(P522,Fit_Matrix!$A:$A,0))),"CHECK KEY"))</f>
        <v/>
      </c>
    </row>
    <row r="523" customFormat="false" ht="15" hidden="false" customHeight="true" outlineLevel="0" collapsed="false">
      <c r="P523" s="1" t="str">
        <f aca="false">IF(OR(F523="",H523="",J523=""),"",J523&amp;"|"&amp;F523&amp;"|"&amp;IF(H523="W3","W3_"&amp;IF(I523="","unknown",I523),H523))</f>
        <v/>
      </c>
      <c r="Q523" s="1" t="str">
        <f aca="false">IF(P523="","",IFERROR(IF(AND(H523="W7",OR(F523="causal",F523="predictive")),IF(AND(K523=1,L523=1,M523=1),"adequate","partial"),INDEX(Fit_Matrix!$B:$B,MATCH(P523,Fit_Matrix!$A:$A,0))),"CHECK KEY"))</f>
        <v/>
      </c>
    </row>
    <row r="524" customFormat="false" ht="15" hidden="false" customHeight="true" outlineLevel="0" collapsed="false">
      <c r="P524" s="1" t="str">
        <f aca="false">IF(OR(F524="",H524="",J524=""),"",J524&amp;"|"&amp;F524&amp;"|"&amp;IF(H524="W3","W3_"&amp;IF(I524="","unknown",I524),H524))</f>
        <v/>
      </c>
      <c r="Q524" s="1" t="str">
        <f aca="false">IF(P524="","",IFERROR(IF(AND(H524="W7",OR(F524="causal",F524="predictive")),IF(AND(K524=1,L524=1,M524=1),"adequate","partial"),INDEX(Fit_Matrix!$B:$B,MATCH(P524,Fit_Matrix!$A:$A,0))),"CHECK KEY"))</f>
        <v/>
      </c>
    </row>
    <row r="525" customFormat="false" ht="15" hidden="false" customHeight="true" outlineLevel="0" collapsed="false">
      <c r="P525" s="1" t="str">
        <f aca="false">IF(OR(F525="",H525="",J525=""),"",J525&amp;"|"&amp;F525&amp;"|"&amp;IF(H525="W3","W3_"&amp;IF(I525="","unknown",I525),H525))</f>
        <v/>
      </c>
      <c r="Q525" s="1" t="str">
        <f aca="false">IF(P525="","",IFERROR(IF(AND(H525="W7",OR(F525="causal",F525="predictive")),IF(AND(K525=1,L525=1,M525=1),"adequate","partial"),INDEX(Fit_Matrix!$B:$B,MATCH(P525,Fit_Matrix!$A:$A,0))),"CHECK KEY"))</f>
        <v/>
      </c>
    </row>
    <row r="526" customFormat="false" ht="15" hidden="false" customHeight="true" outlineLevel="0" collapsed="false">
      <c r="P526" s="1" t="str">
        <f aca="false">IF(OR(F526="",H526="",J526=""),"",J526&amp;"|"&amp;F526&amp;"|"&amp;IF(H526="W3","W3_"&amp;IF(I526="","unknown",I526),H526))</f>
        <v/>
      </c>
      <c r="Q526" s="1" t="str">
        <f aca="false">IF(P526="","",IFERROR(IF(AND(H526="W7",OR(F526="causal",F526="predictive")),IF(AND(K526=1,L526=1,M526=1),"adequate","partial"),INDEX(Fit_Matrix!$B:$B,MATCH(P526,Fit_Matrix!$A:$A,0))),"CHECK KEY"))</f>
        <v/>
      </c>
    </row>
    <row r="527" customFormat="false" ht="15" hidden="false" customHeight="true" outlineLevel="0" collapsed="false">
      <c r="P527" s="1" t="str">
        <f aca="false">IF(OR(F527="",H527="",J527=""),"",J527&amp;"|"&amp;F527&amp;"|"&amp;IF(H527="W3","W3_"&amp;IF(I527="","unknown",I527),H527))</f>
        <v/>
      </c>
      <c r="Q527" s="1" t="str">
        <f aca="false">IF(P527="","",IFERROR(IF(AND(H527="W7",OR(F527="causal",F527="predictive")),IF(AND(K527=1,L527=1,M527=1),"adequate","partial"),INDEX(Fit_Matrix!$B:$B,MATCH(P527,Fit_Matrix!$A:$A,0))),"CHECK KEY"))</f>
        <v/>
      </c>
    </row>
    <row r="528" customFormat="false" ht="15" hidden="false" customHeight="true" outlineLevel="0" collapsed="false">
      <c r="P528" s="1" t="str">
        <f aca="false">IF(OR(F528="",H528="",J528=""),"",J528&amp;"|"&amp;F528&amp;"|"&amp;IF(H528="W3","W3_"&amp;IF(I528="","unknown",I528),H528))</f>
        <v/>
      </c>
      <c r="Q528" s="1" t="str">
        <f aca="false">IF(P528="","",IFERROR(IF(AND(H528="W7",OR(F528="causal",F528="predictive")),IF(AND(K528=1,L528=1,M528=1),"adequate","partial"),INDEX(Fit_Matrix!$B:$B,MATCH(P528,Fit_Matrix!$A:$A,0))),"CHECK KEY"))</f>
        <v/>
      </c>
    </row>
    <row r="529" customFormat="false" ht="15" hidden="false" customHeight="true" outlineLevel="0" collapsed="false">
      <c r="P529" s="1" t="str">
        <f aca="false">IF(OR(F529="",H529="",J529=""),"",J529&amp;"|"&amp;F529&amp;"|"&amp;IF(H529="W3","W3_"&amp;IF(I529="","unknown",I529),H529))</f>
        <v/>
      </c>
      <c r="Q529" s="1" t="str">
        <f aca="false">IF(P529="","",IFERROR(IF(AND(H529="W7",OR(F529="causal",F529="predictive")),IF(AND(K529=1,L529=1,M529=1),"adequate","partial"),INDEX(Fit_Matrix!$B:$B,MATCH(P529,Fit_Matrix!$A:$A,0))),"CHECK KEY"))</f>
        <v/>
      </c>
    </row>
    <row r="530" customFormat="false" ht="15" hidden="false" customHeight="true" outlineLevel="0" collapsed="false">
      <c r="P530" s="1" t="str">
        <f aca="false">IF(OR(F530="",H530="",J530=""),"",J530&amp;"|"&amp;F530&amp;"|"&amp;IF(H530="W3","W3_"&amp;IF(I530="","unknown",I530),H530))</f>
        <v/>
      </c>
      <c r="Q530" s="1" t="str">
        <f aca="false">IF(P530="","",IFERROR(IF(AND(H530="W7",OR(F530="causal",F530="predictive")),IF(AND(K530=1,L530=1,M530=1),"adequate","partial"),INDEX(Fit_Matrix!$B:$B,MATCH(P530,Fit_Matrix!$A:$A,0))),"CHECK KEY"))</f>
        <v/>
      </c>
    </row>
    <row r="531" customFormat="false" ht="15" hidden="false" customHeight="true" outlineLevel="0" collapsed="false">
      <c r="P531" s="1" t="str">
        <f aca="false">IF(OR(F531="",H531="",J531=""),"",J531&amp;"|"&amp;F531&amp;"|"&amp;IF(H531="W3","W3_"&amp;IF(I531="","unknown",I531),H531))</f>
        <v/>
      </c>
      <c r="Q531" s="1" t="str">
        <f aca="false">IF(P531="","",IFERROR(IF(AND(H531="W7",OR(F531="causal",F531="predictive")),IF(AND(K531=1,L531=1,M531=1),"adequate","partial"),INDEX(Fit_Matrix!$B:$B,MATCH(P531,Fit_Matrix!$A:$A,0))),"CHECK KEY"))</f>
        <v/>
      </c>
    </row>
    <row r="532" customFormat="false" ht="15" hidden="false" customHeight="true" outlineLevel="0" collapsed="false">
      <c r="P532" s="1" t="str">
        <f aca="false">IF(OR(F532="",H532="",J532=""),"",J532&amp;"|"&amp;F532&amp;"|"&amp;IF(H532="W3","W3_"&amp;IF(I532="","unknown",I532),H532))</f>
        <v/>
      </c>
      <c r="Q532" s="1" t="str">
        <f aca="false">IF(P532="","",IFERROR(IF(AND(H532="W7",OR(F532="causal",F532="predictive")),IF(AND(K532=1,L532=1,M532=1),"adequate","partial"),INDEX(Fit_Matrix!$B:$B,MATCH(P532,Fit_Matrix!$A:$A,0))),"CHECK KEY"))</f>
        <v/>
      </c>
    </row>
    <row r="533" customFormat="false" ht="15" hidden="false" customHeight="true" outlineLevel="0" collapsed="false">
      <c r="P533" s="1" t="str">
        <f aca="false">IF(OR(F533="",H533="",J533=""),"",J533&amp;"|"&amp;F533&amp;"|"&amp;IF(H533="W3","W3_"&amp;IF(I533="","unknown",I533),H533))</f>
        <v/>
      </c>
      <c r="Q533" s="1" t="str">
        <f aca="false">IF(P533="","",IFERROR(IF(AND(H533="W7",OR(F533="causal",F533="predictive")),IF(AND(K533=1,L533=1,M533=1),"adequate","partial"),INDEX(Fit_Matrix!$B:$B,MATCH(P533,Fit_Matrix!$A:$A,0))),"CHECK KEY"))</f>
        <v/>
      </c>
    </row>
    <row r="534" customFormat="false" ht="15" hidden="false" customHeight="true" outlineLevel="0" collapsed="false">
      <c r="P534" s="1" t="str">
        <f aca="false">IF(OR(F534="",H534="",J534=""),"",J534&amp;"|"&amp;F534&amp;"|"&amp;IF(H534="W3","W3_"&amp;IF(I534="","unknown",I534),H534))</f>
        <v/>
      </c>
      <c r="Q534" s="1" t="str">
        <f aca="false">IF(P534="","",IFERROR(IF(AND(H534="W7",OR(F534="causal",F534="predictive")),IF(AND(K534=1,L534=1,M534=1),"adequate","partial"),INDEX(Fit_Matrix!$B:$B,MATCH(P534,Fit_Matrix!$A:$A,0))),"CHECK KEY"))</f>
        <v/>
      </c>
    </row>
    <row r="535" customFormat="false" ht="15" hidden="false" customHeight="true" outlineLevel="0" collapsed="false">
      <c r="P535" s="1" t="str">
        <f aca="false">IF(OR(F535="",H535="",J535=""),"",J535&amp;"|"&amp;F535&amp;"|"&amp;IF(H535="W3","W3_"&amp;IF(I535="","unknown",I535),H535))</f>
        <v/>
      </c>
      <c r="Q535" s="1" t="str">
        <f aca="false">IF(P535="","",IFERROR(IF(AND(H535="W7",OR(F535="causal",F535="predictive")),IF(AND(K535=1,L535=1,M535=1),"adequate","partial"),INDEX(Fit_Matrix!$B:$B,MATCH(P535,Fit_Matrix!$A:$A,0))),"CHECK KEY"))</f>
        <v/>
      </c>
    </row>
    <row r="536" customFormat="false" ht="15" hidden="false" customHeight="true" outlineLevel="0" collapsed="false">
      <c r="P536" s="1" t="str">
        <f aca="false">IF(OR(F536="",H536="",J536=""),"",J536&amp;"|"&amp;F536&amp;"|"&amp;IF(H536="W3","W3_"&amp;IF(I536="","unknown",I536),H536))</f>
        <v/>
      </c>
      <c r="Q536" s="1" t="str">
        <f aca="false">IF(P536="","",IFERROR(IF(AND(H536="W7",OR(F536="causal",F536="predictive")),IF(AND(K536=1,L536=1,M536=1),"adequate","partial"),INDEX(Fit_Matrix!$B:$B,MATCH(P536,Fit_Matrix!$A:$A,0))),"CHECK KEY"))</f>
        <v/>
      </c>
    </row>
    <row r="537" customFormat="false" ht="15" hidden="false" customHeight="true" outlineLevel="0" collapsed="false">
      <c r="P537" s="1" t="str">
        <f aca="false">IF(OR(F537="",H537="",J537=""),"",J537&amp;"|"&amp;F537&amp;"|"&amp;IF(H537="W3","W3_"&amp;IF(I537="","unknown",I537),H537))</f>
        <v/>
      </c>
      <c r="Q537" s="1" t="str">
        <f aca="false">IF(P537="","",IFERROR(IF(AND(H537="W7",OR(F537="causal",F537="predictive")),IF(AND(K537=1,L537=1,M537=1),"adequate","partial"),INDEX(Fit_Matrix!$B:$B,MATCH(P537,Fit_Matrix!$A:$A,0))),"CHECK KEY"))</f>
        <v/>
      </c>
    </row>
    <row r="538" customFormat="false" ht="15" hidden="false" customHeight="true" outlineLevel="0" collapsed="false">
      <c r="P538" s="1" t="str">
        <f aca="false">IF(OR(F538="",H538="",J538=""),"",J538&amp;"|"&amp;F538&amp;"|"&amp;IF(H538="W3","W3_"&amp;IF(I538="","unknown",I538),H538))</f>
        <v/>
      </c>
      <c r="Q538" s="1" t="str">
        <f aca="false">IF(P538="","",IFERROR(IF(AND(H538="W7",OR(F538="causal",F538="predictive")),IF(AND(K538=1,L538=1,M538=1),"adequate","partial"),INDEX(Fit_Matrix!$B:$B,MATCH(P538,Fit_Matrix!$A:$A,0))),"CHECK KEY"))</f>
        <v/>
      </c>
    </row>
    <row r="539" customFormat="false" ht="15" hidden="false" customHeight="true" outlineLevel="0" collapsed="false">
      <c r="P539" s="1" t="str">
        <f aca="false">IF(OR(F539="",H539="",J539=""),"",J539&amp;"|"&amp;F539&amp;"|"&amp;IF(H539="W3","W3_"&amp;IF(I539="","unknown",I539),H539))</f>
        <v/>
      </c>
      <c r="Q539" s="1" t="str">
        <f aca="false">IF(P539="","",IFERROR(IF(AND(H539="W7",OR(F539="causal",F539="predictive")),IF(AND(K539=1,L539=1,M539=1),"adequate","partial"),INDEX(Fit_Matrix!$B:$B,MATCH(P539,Fit_Matrix!$A:$A,0))),"CHECK KEY"))</f>
        <v/>
      </c>
    </row>
    <row r="540" customFormat="false" ht="15" hidden="false" customHeight="true" outlineLevel="0" collapsed="false">
      <c r="P540" s="1" t="str">
        <f aca="false">IF(OR(F540="",H540="",J540=""),"",J540&amp;"|"&amp;F540&amp;"|"&amp;IF(H540="W3","W3_"&amp;IF(I540="","unknown",I540),H540))</f>
        <v/>
      </c>
      <c r="Q540" s="1" t="str">
        <f aca="false">IF(P540="","",IFERROR(IF(AND(H540="W7",OR(F540="causal",F540="predictive")),IF(AND(K540=1,L540=1,M540=1),"adequate","partial"),INDEX(Fit_Matrix!$B:$B,MATCH(P540,Fit_Matrix!$A:$A,0))),"CHECK KEY"))</f>
        <v/>
      </c>
    </row>
    <row r="541" customFormat="false" ht="15" hidden="false" customHeight="true" outlineLevel="0" collapsed="false">
      <c r="P541" s="1" t="str">
        <f aca="false">IF(OR(F541="",H541="",J541=""),"",J541&amp;"|"&amp;F541&amp;"|"&amp;IF(H541="W3","W3_"&amp;IF(I541="","unknown",I541),H541))</f>
        <v/>
      </c>
      <c r="Q541" s="1" t="str">
        <f aca="false">IF(P541="","",IFERROR(IF(AND(H541="W7",OR(F541="causal",F541="predictive")),IF(AND(K541=1,L541=1,M541=1),"adequate","partial"),INDEX(Fit_Matrix!$B:$B,MATCH(P541,Fit_Matrix!$A:$A,0))),"CHECK KEY"))</f>
        <v/>
      </c>
    </row>
    <row r="542" customFormat="false" ht="15" hidden="false" customHeight="true" outlineLevel="0" collapsed="false">
      <c r="P542" s="1" t="str">
        <f aca="false">IF(OR(F542="",H542="",J542=""),"",J542&amp;"|"&amp;F542&amp;"|"&amp;IF(H542="W3","W3_"&amp;IF(I542="","unknown",I542),H542))</f>
        <v/>
      </c>
      <c r="Q542" s="1" t="str">
        <f aca="false">IF(P542="","",IFERROR(IF(AND(H542="W7",OR(F542="causal",F542="predictive")),IF(AND(K542=1,L542=1,M542=1),"adequate","partial"),INDEX(Fit_Matrix!$B:$B,MATCH(P542,Fit_Matrix!$A:$A,0))),"CHECK KEY"))</f>
        <v/>
      </c>
    </row>
    <row r="543" customFormat="false" ht="15" hidden="false" customHeight="true" outlineLevel="0" collapsed="false">
      <c r="P543" s="1" t="str">
        <f aca="false">IF(OR(F543="",H543="",J543=""),"",J543&amp;"|"&amp;F543&amp;"|"&amp;IF(H543="W3","W3_"&amp;IF(I543="","unknown",I543),H543))</f>
        <v/>
      </c>
      <c r="Q543" s="1" t="str">
        <f aca="false">IF(P543="","",IFERROR(IF(AND(H543="W7",OR(F543="causal",F543="predictive")),IF(AND(K543=1,L543=1,M543=1),"adequate","partial"),INDEX(Fit_Matrix!$B:$B,MATCH(P543,Fit_Matrix!$A:$A,0))),"CHECK KEY"))</f>
        <v/>
      </c>
    </row>
    <row r="544" customFormat="false" ht="15" hidden="false" customHeight="true" outlineLevel="0" collapsed="false">
      <c r="P544" s="1" t="str">
        <f aca="false">IF(OR(F544="",H544="",J544=""),"",J544&amp;"|"&amp;F544&amp;"|"&amp;IF(H544="W3","W3_"&amp;IF(I544="","unknown",I544),H544))</f>
        <v/>
      </c>
      <c r="Q544" s="1" t="str">
        <f aca="false">IF(P544="","",IFERROR(IF(AND(H544="W7",OR(F544="causal",F544="predictive")),IF(AND(K544=1,L544=1,M544=1),"adequate","partial"),INDEX(Fit_Matrix!$B:$B,MATCH(P544,Fit_Matrix!$A:$A,0))),"CHECK KEY"))</f>
        <v/>
      </c>
    </row>
    <row r="545" customFormat="false" ht="15" hidden="false" customHeight="true" outlineLevel="0" collapsed="false">
      <c r="P545" s="1" t="str">
        <f aca="false">IF(OR(F545="",H545="",J545=""),"",J545&amp;"|"&amp;F545&amp;"|"&amp;IF(H545="W3","W3_"&amp;IF(I545="","unknown",I545),H545))</f>
        <v/>
      </c>
      <c r="Q545" s="1" t="str">
        <f aca="false">IF(P545="","",IFERROR(IF(AND(H545="W7",OR(F545="causal",F545="predictive")),IF(AND(K545=1,L545=1,M545=1),"adequate","partial"),INDEX(Fit_Matrix!$B:$B,MATCH(P545,Fit_Matrix!$A:$A,0))),"CHECK KEY"))</f>
        <v/>
      </c>
    </row>
    <row r="546" customFormat="false" ht="15" hidden="false" customHeight="true" outlineLevel="0" collapsed="false">
      <c r="P546" s="1" t="str">
        <f aca="false">IF(OR(F546="",H546="",J546=""),"",J546&amp;"|"&amp;F546&amp;"|"&amp;IF(H546="W3","W3_"&amp;IF(I546="","unknown",I546),H546))</f>
        <v/>
      </c>
      <c r="Q546" s="1" t="str">
        <f aca="false">IF(P546="","",IFERROR(IF(AND(H546="W7",OR(F546="causal",F546="predictive")),IF(AND(K546=1,L546=1,M546=1),"adequate","partial"),INDEX(Fit_Matrix!$B:$B,MATCH(P546,Fit_Matrix!$A:$A,0))),"CHECK KEY"))</f>
        <v/>
      </c>
    </row>
    <row r="547" customFormat="false" ht="15" hidden="false" customHeight="true" outlineLevel="0" collapsed="false">
      <c r="P547" s="1" t="str">
        <f aca="false">IF(OR(F547="",H547="",J547=""),"",J547&amp;"|"&amp;F547&amp;"|"&amp;IF(H547="W3","W3_"&amp;IF(I547="","unknown",I547),H547))</f>
        <v/>
      </c>
      <c r="Q547" s="1" t="str">
        <f aca="false">IF(P547="","",IFERROR(IF(AND(H547="W7",OR(F547="causal",F547="predictive")),IF(AND(K547=1,L547=1,M547=1),"adequate","partial"),INDEX(Fit_Matrix!$B:$B,MATCH(P547,Fit_Matrix!$A:$A,0))),"CHECK KEY"))</f>
        <v/>
      </c>
    </row>
    <row r="548" customFormat="false" ht="15" hidden="false" customHeight="true" outlineLevel="0" collapsed="false">
      <c r="P548" s="1" t="str">
        <f aca="false">IF(OR(F548="",H548="",J548=""),"",J548&amp;"|"&amp;F548&amp;"|"&amp;IF(H548="W3","W3_"&amp;IF(I548="","unknown",I548),H548))</f>
        <v/>
      </c>
      <c r="Q548" s="1" t="str">
        <f aca="false">IF(P548="","",IFERROR(IF(AND(H548="W7",OR(F548="causal",F548="predictive")),IF(AND(K548=1,L548=1,M548=1),"adequate","partial"),INDEX(Fit_Matrix!$B:$B,MATCH(P548,Fit_Matrix!$A:$A,0))),"CHECK KEY"))</f>
        <v/>
      </c>
    </row>
    <row r="549" customFormat="false" ht="15" hidden="false" customHeight="true" outlineLevel="0" collapsed="false">
      <c r="P549" s="1" t="str">
        <f aca="false">IF(OR(F549="",H549="",J549=""),"",J549&amp;"|"&amp;F549&amp;"|"&amp;IF(H549="W3","W3_"&amp;IF(I549="","unknown",I549),H549))</f>
        <v/>
      </c>
      <c r="Q549" s="1" t="str">
        <f aca="false">IF(P549="","",IFERROR(IF(AND(H549="W7",OR(F549="causal",F549="predictive")),IF(AND(K549=1,L549=1,M549=1),"adequate","partial"),INDEX(Fit_Matrix!$B:$B,MATCH(P549,Fit_Matrix!$A:$A,0))),"CHECK KEY"))</f>
        <v/>
      </c>
    </row>
    <row r="550" customFormat="false" ht="15" hidden="false" customHeight="true" outlineLevel="0" collapsed="false">
      <c r="P550" s="1" t="str">
        <f aca="false">IF(OR(F550="",H550="",J550=""),"",J550&amp;"|"&amp;F550&amp;"|"&amp;IF(H550="W3","W3_"&amp;IF(I550="","unknown",I550),H550))</f>
        <v/>
      </c>
      <c r="Q550" s="1" t="str">
        <f aca="false">IF(P550="","",IFERROR(IF(AND(H550="W7",OR(F550="causal",F550="predictive")),IF(AND(K550=1,L550=1,M550=1),"adequate","partial"),INDEX(Fit_Matrix!$B:$B,MATCH(P550,Fit_Matrix!$A:$A,0))),"CHECK KEY"))</f>
        <v/>
      </c>
    </row>
    <row r="551" customFormat="false" ht="15" hidden="false" customHeight="true" outlineLevel="0" collapsed="false">
      <c r="P551" s="1" t="str">
        <f aca="false">IF(OR(F551="",H551="",J551=""),"",J551&amp;"|"&amp;F551&amp;"|"&amp;IF(H551="W3","W3_"&amp;IF(I551="","unknown",I551),H551))</f>
        <v/>
      </c>
      <c r="Q551" s="1" t="str">
        <f aca="false">IF(P551="","",IFERROR(IF(AND(H551="W7",OR(F551="causal",F551="predictive")),IF(AND(K551=1,L551=1,M551=1),"adequate","partial"),INDEX(Fit_Matrix!$B:$B,MATCH(P551,Fit_Matrix!$A:$A,0))),"CHECK KEY"))</f>
        <v/>
      </c>
    </row>
    <row r="552" customFormat="false" ht="15" hidden="false" customHeight="true" outlineLevel="0" collapsed="false">
      <c r="P552" s="1" t="str">
        <f aca="false">IF(OR(F552="",H552="",J552=""),"",J552&amp;"|"&amp;F552&amp;"|"&amp;IF(H552="W3","W3_"&amp;IF(I552="","unknown",I552),H552))</f>
        <v/>
      </c>
      <c r="Q552" s="1" t="str">
        <f aca="false">IF(P552="","",IFERROR(IF(AND(H552="W7",OR(F552="causal",F552="predictive")),IF(AND(K552=1,L552=1,M552=1),"adequate","partial"),INDEX(Fit_Matrix!$B:$B,MATCH(P552,Fit_Matrix!$A:$A,0))),"CHECK KEY"))</f>
        <v/>
      </c>
    </row>
    <row r="553" customFormat="false" ht="15" hidden="false" customHeight="true" outlineLevel="0" collapsed="false">
      <c r="P553" s="1" t="str">
        <f aca="false">IF(OR(F553="",H553="",J553=""),"",J553&amp;"|"&amp;F553&amp;"|"&amp;IF(H553="W3","W3_"&amp;IF(I553="","unknown",I553),H553))</f>
        <v/>
      </c>
      <c r="Q553" s="1" t="str">
        <f aca="false">IF(P553="","",IFERROR(IF(AND(H553="W7",OR(F553="causal",F553="predictive")),IF(AND(K553=1,L553=1,M553=1),"adequate","partial"),INDEX(Fit_Matrix!$B:$B,MATCH(P553,Fit_Matrix!$A:$A,0))),"CHECK KEY"))</f>
        <v/>
      </c>
    </row>
    <row r="554" customFormat="false" ht="15" hidden="false" customHeight="true" outlineLevel="0" collapsed="false">
      <c r="P554" s="1" t="str">
        <f aca="false">IF(OR(F554="",H554="",J554=""),"",J554&amp;"|"&amp;F554&amp;"|"&amp;IF(H554="W3","W3_"&amp;IF(I554="","unknown",I554),H554))</f>
        <v/>
      </c>
      <c r="Q554" s="1" t="str">
        <f aca="false">IF(P554="","",IFERROR(IF(AND(H554="W7",OR(F554="causal",F554="predictive")),IF(AND(K554=1,L554=1,M554=1),"adequate","partial"),INDEX(Fit_Matrix!$B:$B,MATCH(P554,Fit_Matrix!$A:$A,0))),"CHECK KEY"))</f>
        <v/>
      </c>
    </row>
    <row r="555" customFormat="false" ht="15" hidden="false" customHeight="true" outlineLevel="0" collapsed="false">
      <c r="P555" s="1" t="str">
        <f aca="false">IF(OR(F555="",H555="",J555=""),"",J555&amp;"|"&amp;F555&amp;"|"&amp;IF(H555="W3","W3_"&amp;IF(I555="","unknown",I555),H555))</f>
        <v/>
      </c>
      <c r="Q555" s="1" t="str">
        <f aca="false">IF(P555="","",IFERROR(IF(AND(H555="W7",OR(F555="causal",F555="predictive")),IF(AND(K555=1,L555=1,M555=1),"adequate","partial"),INDEX(Fit_Matrix!$B:$B,MATCH(P555,Fit_Matrix!$A:$A,0))),"CHECK KEY"))</f>
        <v/>
      </c>
    </row>
    <row r="556" customFormat="false" ht="15" hidden="false" customHeight="true" outlineLevel="0" collapsed="false">
      <c r="P556" s="1" t="str">
        <f aca="false">IF(OR(F556="",H556="",J556=""),"",J556&amp;"|"&amp;F556&amp;"|"&amp;IF(H556="W3","W3_"&amp;IF(I556="","unknown",I556),H556))</f>
        <v/>
      </c>
      <c r="Q556" s="1" t="str">
        <f aca="false">IF(P556="","",IFERROR(IF(AND(H556="W7",OR(F556="causal",F556="predictive")),IF(AND(K556=1,L556=1,M556=1),"adequate","partial"),INDEX(Fit_Matrix!$B:$B,MATCH(P556,Fit_Matrix!$A:$A,0))),"CHECK KEY"))</f>
        <v/>
      </c>
    </row>
    <row r="557" customFormat="false" ht="15" hidden="false" customHeight="true" outlineLevel="0" collapsed="false">
      <c r="P557" s="1" t="str">
        <f aca="false">IF(OR(F557="",H557="",J557=""),"",J557&amp;"|"&amp;F557&amp;"|"&amp;IF(H557="W3","W3_"&amp;IF(I557="","unknown",I557),H557))</f>
        <v/>
      </c>
      <c r="Q557" s="1" t="str">
        <f aca="false">IF(P557="","",IFERROR(IF(AND(H557="W7",OR(F557="causal",F557="predictive")),IF(AND(K557=1,L557=1,M557=1),"adequate","partial"),INDEX(Fit_Matrix!$B:$B,MATCH(P557,Fit_Matrix!$A:$A,0))),"CHECK KEY"))</f>
        <v/>
      </c>
    </row>
    <row r="558" customFormat="false" ht="15" hidden="false" customHeight="true" outlineLevel="0" collapsed="false">
      <c r="P558" s="1" t="str">
        <f aca="false">IF(OR(F558="",H558="",J558=""),"",J558&amp;"|"&amp;F558&amp;"|"&amp;IF(H558="W3","W3_"&amp;IF(I558="","unknown",I558),H558))</f>
        <v/>
      </c>
      <c r="Q558" s="1" t="str">
        <f aca="false">IF(P558="","",IFERROR(IF(AND(H558="W7",OR(F558="causal",F558="predictive")),IF(AND(K558=1,L558=1,M558=1),"adequate","partial"),INDEX(Fit_Matrix!$B:$B,MATCH(P558,Fit_Matrix!$A:$A,0))),"CHECK KEY"))</f>
        <v/>
      </c>
    </row>
    <row r="559" customFormat="false" ht="15" hidden="false" customHeight="true" outlineLevel="0" collapsed="false">
      <c r="P559" s="1" t="str">
        <f aca="false">IF(OR(F559="",H559="",J559=""),"",J559&amp;"|"&amp;F559&amp;"|"&amp;IF(H559="W3","W3_"&amp;IF(I559="","unknown",I559),H559))</f>
        <v/>
      </c>
      <c r="Q559" s="1" t="str">
        <f aca="false">IF(P559="","",IFERROR(IF(AND(H559="W7",OR(F559="causal",F559="predictive")),IF(AND(K559=1,L559=1,M559=1),"adequate","partial"),INDEX(Fit_Matrix!$B:$B,MATCH(P559,Fit_Matrix!$A:$A,0))),"CHECK KEY"))</f>
        <v/>
      </c>
    </row>
    <row r="560" customFormat="false" ht="15" hidden="false" customHeight="true" outlineLevel="0" collapsed="false">
      <c r="P560" s="1" t="str">
        <f aca="false">IF(OR(F560="",H560="",J560=""),"",J560&amp;"|"&amp;F560&amp;"|"&amp;IF(H560="W3","W3_"&amp;IF(I560="","unknown",I560),H560))</f>
        <v/>
      </c>
      <c r="Q560" s="1" t="str">
        <f aca="false">IF(P560="","",IFERROR(IF(AND(H560="W7",OR(F560="causal",F560="predictive")),IF(AND(K560=1,L560=1,M560=1),"adequate","partial"),INDEX(Fit_Matrix!$B:$B,MATCH(P560,Fit_Matrix!$A:$A,0))),"CHECK KEY"))</f>
        <v/>
      </c>
    </row>
    <row r="561" customFormat="false" ht="15" hidden="false" customHeight="true" outlineLevel="0" collapsed="false">
      <c r="P561" s="1" t="str">
        <f aca="false">IF(OR(F561="",H561="",J561=""),"",J561&amp;"|"&amp;F561&amp;"|"&amp;IF(H561="W3","W3_"&amp;IF(I561="","unknown",I561),H561))</f>
        <v/>
      </c>
      <c r="Q561" s="1" t="str">
        <f aca="false">IF(P561="","",IFERROR(IF(AND(H561="W7",OR(F561="causal",F561="predictive")),IF(AND(K561=1,L561=1,M561=1),"adequate","partial"),INDEX(Fit_Matrix!$B:$B,MATCH(P561,Fit_Matrix!$A:$A,0))),"CHECK KEY"))</f>
        <v/>
      </c>
    </row>
    <row r="562" customFormat="false" ht="15" hidden="false" customHeight="true" outlineLevel="0" collapsed="false">
      <c r="P562" s="1" t="str">
        <f aca="false">IF(OR(F562="",H562="",J562=""),"",J562&amp;"|"&amp;F562&amp;"|"&amp;IF(H562="W3","W3_"&amp;IF(I562="","unknown",I562),H562))</f>
        <v/>
      </c>
      <c r="Q562" s="1" t="str">
        <f aca="false">IF(P562="","",IFERROR(IF(AND(H562="W7",OR(F562="causal",F562="predictive")),IF(AND(K562=1,L562=1,M562=1),"adequate","partial"),INDEX(Fit_Matrix!$B:$B,MATCH(P562,Fit_Matrix!$A:$A,0))),"CHECK KEY"))</f>
        <v/>
      </c>
    </row>
    <row r="563" customFormat="false" ht="15" hidden="false" customHeight="true" outlineLevel="0" collapsed="false">
      <c r="P563" s="1" t="str">
        <f aca="false">IF(OR(F563="",H563="",J563=""),"",J563&amp;"|"&amp;F563&amp;"|"&amp;IF(H563="W3","W3_"&amp;IF(I563="","unknown",I563),H563))</f>
        <v/>
      </c>
      <c r="Q563" s="1" t="str">
        <f aca="false">IF(P563="","",IFERROR(IF(AND(H563="W7",OR(F563="causal",F563="predictive")),IF(AND(K563=1,L563=1,M563=1),"adequate","partial"),INDEX(Fit_Matrix!$B:$B,MATCH(P563,Fit_Matrix!$A:$A,0))),"CHECK KEY"))</f>
        <v/>
      </c>
    </row>
    <row r="564" customFormat="false" ht="15" hidden="false" customHeight="true" outlineLevel="0" collapsed="false">
      <c r="P564" s="1" t="str">
        <f aca="false">IF(OR(F564="",H564="",J564=""),"",J564&amp;"|"&amp;F564&amp;"|"&amp;IF(H564="W3","W3_"&amp;IF(I564="","unknown",I564),H564))</f>
        <v/>
      </c>
      <c r="Q564" s="1" t="str">
        <f aca="false">IF(P564="","",IFERROR(IF(AND(H564="W7",OR(F564="causal",F564="predictive")),IF(AND(K564=1,L564=1,M564=1),"adequate","partial"),INDEX(Fit_Matrix!$B:$B,MATCH(P564,Fit_Matrix!$A:$A,0))),"CHECK KEY"))</f>
        <v/>
      </c>
    </row>
    <row r="565" customFormat="false" ht="15" hidden="false" customHeight="true" outlineLevel="0" collapsed="false">
      <c r="P565" s="1" t="str">
        <f aca="false">IF(OR(F565="",H565="",J565=""),"",J565&amp;"|"&amp;F565&amp;"|"&amp;IF(H565="W3","W3_"&amp;IF(I565="","unknown",I565),H565))</f>
        <v/>
      </c>
      <c r="Q565" s="1" t="str">
        <f aca="false">IF(P565="","",IFERROR(IF(AND(H565="W7",OR(F565="causal",F565="predictive")),IF(AND(K565=1,L565=1,M565=1),"adequate","partial"),INDEX(Fit_Matrix!$B:$B,MATCH(P565,Fit_Matrix!$A:$A,0))),"CHECK KEY"))</f>
        <v/>
      </c>
    </row>
    <row r="566" customFormat="false" ht="15" hidden="false" customHeight="true" outlineLevel="0" collapsed="false">
      <c r="P566" s="1" t="str">
        <f aca="false">IF(OR(F566="",H566="",J566=""),"",J566&amp;"|"&amp;F566&amp;"|"&amp;IF(H566="W3","W3_"&amp;IF(I566="","unknown",I566),H566))</f>
        <v/>
      </c>
      <c r="Q566" s="1" t="str">
        <f aca="false">IF(P566="","",IFERROR(IF(AND(H566="W7",OR(F566="causal",F566="predictive")),IF(AND(K566=1,L566=1,M566=1),"adequate","partial"),INDEX(Fit_Matrix!$B:$B,MATCH(P566,Fit_Matrix!$A:$A,0))),"CHECK KEY"))</f>
        <v/>
      </c>
    </row>
    <row r="567" customFormat="false" ht="15" hidden="false" customHeight="true" outlineLevel="0" collapsed="false">
      <c r="P567" s="1" t="str">
        <f aca="false">IF(OR(F567="",H567="",J567=""),"",J567&amp;"|"&amp;F567&amp;"|"&amp;IF(H567="W3","W3_"&amp;IF(I567="","unknown",I567),H567))</f>
        <v/>
      </c>
      <c r="Q567" s="1" t="str">
        <f aca="false">IF(P567="","",IFERROR(IF(AND(H567="W7",OR(F567="causal",F567="predictive")),IF(AND(K567=1,L567=1,M567=1),"adequate","partial"),INDEX(Fit_Matrix!$B:$B,MATCH(P567,Fit_Matrix!$A:$A,0))),"CHECK KEY"))</f>
        <v/>
      </c>
    </row>
    <row r="568" customFormat="false" ht="15" hidden="false" customHeight="true" outlineLevel="0" collapsed="false">
      <c r="P568" s="1" t="str">
        <f aca="false">IF(OR(F568="",H568="",J568=""),"",J568&amp;"|"&amp;F568&amp;"|"&amp;IF(H568="W3","W3_"&amp;IF(I568="","unknown",I568),H568))</f>
        <v/>
      </c>
      <c r="Q568" s="1" t="str">
        <f aca="false">IF(P568="","",IFERROR(IF(AND(H568="W7",OR(F568="causal",F568="predictive")),IF(AND(K568=1,L568=1,M568=1),"adequate","partial"),INDEX(Fit_Matrix!$B:$B,MATCH(P568,Fit_Matrix!$A:$A,0))),"CHECK KEY"))</f>
        <v/>
      </c>
    </row>
    <row r="569" customFormat="false" ht="15" hidden="false" customHeight="true" outlineLevel="0" collapsed="false">
      <c r="P569" s="1" t="str">
        <f aca="false">IF(OR(F569="",H569="",J569=""),"",J569&amp;"|"&amp;F569&amp;"|"&amp;IF(H569="W3","W3_"&amp;IF(I569="","unknown",I569),H569))</f>
        <v/>
      </c>
      <c r="Q569" s="1" t="str">
        <f aca="false">IF(P569="","",IFERROR(IF(AND(H569="W7",OR(F569="causal",F569="predictive")),IF(AND(K569=1,L569=1,M569=1),"adequate","partial"),INDEX(Fit_Matrix!$B:$B,MATCH(P569,Fit_Matrix!$A:$A,0))),"CHECK KEY"))</f>
        <v/>
      </c>
    </row>
    <row r="570" customFormat="false" ht="15" hidden="false" customHeight="true" outlineLevel="0" collapsed="false">
      <c r="P570" s="1" t="str">
        <f aca="false">IF(OR(F570="",H570="",J570=""),"",J570&amp;"|"&amp;F570&amp;"|"&amp;IF(H570="W3","W3_"&amp;IF(I570="","unknown",I570),H570))</f>
        <v/>
      </c>
      <c r="Q570" s="1" t="str">
        <f aca="false">IF(P570="","",IFERROR(IF(AND(H570="W7",OR(F570="causal",F570="predictive")),IF(AND(K570=1,L570=1,M570=1),"adequate","partial"),INDEX(Fit_Matrix!$B:$B,MATCH(P570,Fit_Matrix!$A:$A,0))),"CHECK KEY"))</f>
        <v/>
      </c>
    </row>
    <row r="571" customFormat="false" ht="15" hidden="false" customHeight="true" outlineLevel="0" collapsed="false">
      <c r="P571" s="1" t="str">
        <f aca="false">IF(OR(F571="",H571="",J571=""),"",J571&amp;"|"&amp;F571&amp;"|"&amp;IF(H571="W3","W3_"&amp;IF(I571="","unknown",I571),H571))</f>
        <v/>
      </c>
      <c r="Q571" s="1" t="str">
        <f aca="false">IF(P571="","",IFERROR(IF(AND(H571="W7",OR(F571="causal",F571="predictive")),IF(AND(K571=1,L571=1,M571=1),"adequate","partial"),INDEX(Fit_Matrix!$B:$B,MATCH(P571,Fit_Matrix!$A:$A,0))),"CHECK KEY"))</f>
        <v/>
      </c>
    </row>
    <row r="572" customFormat="false" ht="15" hidden="false" customHeight="true" outlineLevel="0" collapsed="false">
      <c r="P572" s="1" t="str">
        <f aca="false">IF(OR(F572="",H572="",J572=""),"",J572&amp;"|"&amp;F572&amp;"|"&amp;IF(H572="W3","W3_"&amp;IF(I572="","unknown",I572),H572))</f>
        <v/>
      </c>
      <c r="Q572" s="1" t="str">
        <f aca="false">IF(P572="","",IFERROR(IF(AND(H572="W7",OR(F572="causal",F572="predictive")),IF(AND(K572=1,L572=1,M572=1),"adequate","partial"),INDEX(Fit_Matrix!$B:$B,MATCH(P572,Fit_Matrix!$A:$A,0))),"CHECK KEY"))</f>
        <v/>
      </c>
    </row>
    <row r="573" customFormat="false" ht="15" hidden="false" customHeight="true" outlineLevel="0" collapsed="false">
      <c r="P573" s="1" t="str">
        <f aca="false">IF(OR(F573="",H573="",J573=""),"",J573&amp;"|"&amp;F573&amp;"|"&amp;IF(H573="W3","W3_"&amp;IF(I573="","unknown",I573),H573))</f>
        <v/>
      </c>
      <c r="Q573" s="1" t="str">
        <f aca="false">IF(P573="","",IFERROR(IF(AND(H573="W7",OR(F573="causal",F573="predictive")),IF(AND(K573=1,L573=1,M573=1),"adequate","partial"),INDEX(Fit_Matrix!$B:$B,MATCH(P573,Fit_Matrix!$A:$A,0))),"CHECK KEY"))</f>
        <v/>
      </c>
    </row>
    <row r="574" customFormat="false" ht="15" hidden="false" customHeight="true" outlineLevel="0" collapsed="false">
      <c r="P574" s="1" t="str">
        <f aca="false">IF(OR(F574="",H574="",J574=""),"",J574&amp;"|"&amp;F574&amp;"|"&amp;IF(H574="W3","W3_"&amp;IF(I574="","unknown",I574),H574))</f>
        <v/>
      </c>
      <c r="Q574" s="1" t="str">
        <f aca="false">IF(P574="","",IFERROR(IF(AND(H574="W7",OR(F574="causal",F574="predictive")),IF(AND(K574=1,L574=1,M574=1),"adequate","partial"),INDEX(Fit_Matrix!$B:$B,MATCH(P574,Fit_Matrix!$A:$A,0))),"CHECK KEY"))</f>
        <v/>
      </c>
    </row>
    <row r="575" customFormat="false" ht="15" hidden="false" customHeight="true" outlineLevel="0" collapsed="false">
      <c r="P575" s="1" t="str">
        <f aca="false">IF(OR(F575="",H575="",J575=""),"",J575&amp;"|"&amp;F575&amp;"|"&amp;IF(H575="W3","W3_"&amp;IF(I575="","unknown",I575),H575))</f>
        <v/>
      </c>
      <c r="Q575" s="1" t="str">
        <f aca="false">IF(P575="","",IFERROR(IF(AND(H575="W7",OR(F575="causal",F575="predictive")),IF(AND(K575=1,L575=1,M575=1),"adequate","partial"),INDEX(Fit_Matrix!$B:$B,MATCH(P575,Fit_Matrix!$A:$A,0))),"CHECK KEY"))</f>
        <v/>
      </c>
    </row>
    <row r="576" customFormat="false" ht="15" hidden="false" customHeight="true" outlineLevel="0" collapsed="false">
      <c r="P576" s="1" t="str">
        <f aca="false">IF(OR(F576="",H576="",J576=""),"",J576&amp;"|"&amp;F576&amp;"|"&amp;IF(H576="W3","W3_"&amp;IF(I576="","unknown",I576),H576))</f>
        <v/>
      </c>
      <c r="Q576" s="1" t="str">
        <f aca="false">IF(P576="","",IFERROR(IF(AND(H576="W7",OR(F576="causal",F576="predictive")),IF(AND(K576=1,L576=1,M576=1),"adequate","partial"),INDEX(Fit_Matrix!$B:$B,MATCH(P576,Fit_Matrix!$A:$A,0))),"CHECK KEY"))</f>
        <v/>
      </c>
    </row>
    <row r="577" customFormat="false" ht="15" hidden="false" customHeight="true" outlineLevel="0" collapsed="false">
      <c r="P577" s="1" t="str">
        <f aca="false">IF(OR(F577="",H577="",J577=""),"",J577&amp;"|"&amp;F577&amp;"|"&amp;IF(H577="W3","W3_"&amp;IF(I577="","unknown",I577),H577))</f>
        <v/>
      </c>
      <c r="Q577" s="1" t="str">
        <f aca="false">IF(P577="","",IFERROR(IF(AND(H577="W7",OR(F577="causal",F577="predictive")),IF(AND(K577=1,L577=1,M577=1),"adequate","partial"),INDEX(Fit_Matrix!$B:$B,MATCH(P577,Fit_Matrix!$A:$A,0))),"CHECK KEY"))</f>
        <v/>
      </c>
    </row>
    <row r="578" customFormat="false" ht="15" hidden="false" customHeight="true" outlineLevel="0" collapsed="false">
      <c r="P578" s="1" t="str">
        <f aca="false">IF(OR(F578="",H578="",J578=""),"",J578&amp;"|"&amp;F578&amp;"|"&amp;IF(H578="W3","W3_"&amp;IF(I578="","unknown",I578),H578))</f>
        <v/>
      </c>
      <c r="Q578" s="1" t="str">
        <f aca="false">IF(P578="","",IFERROR(IF(AND(H578="W7",OR(F578="causal",F578="predictive")),IF(AND(K578=1,L578=1,M578=1),"adequate","partial"),INDEX(Fit_Matrix!$B:$B,MATCH(P578,Fit_Matrix!$A:$A,0))),"CHECK KEY"))</f>
        <v/>
      </c>
    </row>
    <row r="579" customFormat="false" ht="15" hidden="false" customHeight="true" outlineLevel="0" collapsed="false">
      <c r="P579" s="1" t="str">
        <f aca="false">IF(OR(F579="",H579="",J579=""),"",J579&amp;"|"&amp;F579&amp;"|"&amp;IF(H579="W3","W3_"&amp;IF(I579="","unknown",I579),H579))</f>
        <v/>
      </c>
      <c r="Q579" s="1" t="str">
        <f aca="false">IF(P579="","",IFERROR(IF(AND(H579="W7",OR(F579="causal",F579="predictive")),IF(AND(K579=1,L579=1,M579=1),"adequate","partial"),INDEX(Fit_Matrix!$B:$B,MATCH(P579,Fit_Matrix!$A:$A,0))),"CHECK KEY"))</f>
        <v/>
      </c>
    </row>
    <row r="580" customFormat="false" ht="15" hidden="false" customHeight="true" outlineLevel="0" collapsed="false">
      <c r="P580" s="1" t="str">
        <f aca="false">IF(OR(F580="",H580="",J580=""),"",J580&amp;"|"&amp;F580&amp;"|"&amp;IF(H580="W3","W3_"&amp;IF(I580="","unknown",I580),H580))</f>
        <v/>
      </c>
      <c r="Q580" s="1" t="str">
        <f aca="false">IF(P580="","",IFERROR(IF(AND(H580="W7",OR(F580="causal",F580="predictive")),IF(AND(K580=1,L580=1,M580=1),"adequate","partial"),INDEX(Fit_Matrix!$B:$B,MATCH(P580,Fit_Matrix!$A:$A,0))),"CHECK KEY"))</f>
        <v/>
      </c>
    </row>
    <row r="581" customFormat="false" ht="15" hidden="false" customHeight="true" outlineLevel="0" collapsed="false">
      <c r="P581" s="1" t="str">
        <f aca="false">IF(OR(F581="",H581="",J581=""),"",J581&amp;"|"&amp;F581&amp;"|"&amp;IF(H581="W3","W3_"&amp;IF(I581="","unknown",I581),H581))</f>
        <v/>
      </c>
      <c r="Q581" s="1" t="str">
        <f aca="false">IF(P581="","",IFERROR(IF(AND(H581="W7",OR(F581="causal",F581="predictive")),IF(AND(K581=1,L581=1,M581=1),"adequate","partial"),INDEX(Fit_Matrix!$B:$B,MATCH(P581,Fit_Matrix!$A:$A,0))),"CHECK KEY"))</f>
        <v/>
      </c>
    </row>
    <row r="582" customFormat="false" ht="15" hidden="false" customHeight="true" outlineLevel="0" collapsed="false">
      <c r="P582" s="1" t="str">
        <f aca="false">IF(OR(F582="",H582="",J582=""),"",J582&amp;"|"&amp;F582&amp;"|"&amp;IF(H582="W3","W3_"&amp;IF(I582="","unknown",I582),H582))</f>
        <v/>
      </c>
      <c r="Q582" s="1" t="str">
        <f aca="false">IF(P582="","",IFERROR(IF(AND(H582="W7",OR(F582="causal",F582="predictive")),IF(AND(K582=1,L582=1,M582=1),"adequate","partial"),INDEX(Fit_Matrix!$B:$B,MATCH(P582,Fit_Matrix!$A:$A,0))),"CHECK KEY"))</f>
        <v/>
      </c>
    </row>
    <row r="583" customFormat="false" ht="15" hidden="false" customHeight="true" outlineLevel="0" collapsed="false">
      <c r="P583" s="1" t="str">
        <f aca="false">IF(OR(F583="",H583="",J583=""),"",J583&amp;"|"&amp;F583&amp;"|"&amp;IF(H583="W3","W3_"&amp;IF(I583="","unknown",I583),H583))</f>
        <v/>
      </c>
      <c r="Q583" s="1" t="str">
        <f aca="false">IF(P583="","",IFERROR(IF(AND(H583="W7",OR(F583="causal",F583="predictive")),IF(AND(K583=1,L583=1,M583=1),"adequate","partial"),INDEX(Fit_Matrix!$B:$B,MATCH(P583,Fit_Matrix!$A:$A,0))),"CHECK KEY"))</f>
        <v/>
      </c>
    </row>
    <row r="584" customFormat="false" ht="15" hidden="false" customHeight="true" outlineLevel="0" collapsed="false">
      <c r="P584" s="1" t="str">
        <f aca="false">IF(OR(F584="",H584="",J584=""),"",J584&amp;"|"&amp;F584&amp;"|"&amp;IF(H584="W3","W3_"&amp;IF(I584="","unknown",I584),H584))</f>
        <v/>
      </c>
      <c r="Q584" s="1" t="str">
        <f aca="false">IF(P584="","",IFERROR(IF(AND(H584="W7",OR(F584="causal",F584="predictive")),IF(AND(K584=1,L584=1,M584=1),"adequate","partial"),INDEX(Fit_Matrix!$B:$B,MATCH(P584,Fit_Matrix!$A:$A,0))),"CHECK KEY"))</f>
        <v/>
      </c>
    </row>
    <row r="585" customFormat="false" ht="15" hidden="false" customHeight="true" outlineLevel="0" collapsed="false">
      <c r="P585" s="1" t="str">
        <f aca="false">IF(OR(F585="",H585="",J585=""),"",J585&amp;"|"&amp;F585&amp;"|"&amp;IF(H585="W3","W3_"&amp;IF(I585="","unknown",I585),H585))</f>
        <v/>
      </c>
      <c r="Q585" s="1" t="str">
        <f aca="false">IF(P585="","",IFERROR(IF(AND(H585="W7",OR(F585="causal",F585="predictive")),IF(AND(K585=1,L585=1,M585=1),"adequate","partial"),INDEX(Fit_Matrix!$B:$B,MATCH(P585,Fit_Matrix!$A:$A,0))),"CHECK KEY"))</f>
        <v/>
      </c>
    </row>
    <row r="586" customFormat="false" ht="15" hidden="false" customHeight="true" outlineLevel="0" collapsed="false">
      <c r="P586" s="1" t="str">
        <f aca="false">IF(OR(F586="",H586="",J586=""),"",J586&amp;"|"&amp;F586&amp;"|"&amp;IF(H586="W3","W3_"&amp;IF(I586="","unknown",I586),H586))</f>
        <v/>
      </c>
      <c r="Q586" s="1" t="str">
        <f aca="false">IF(P586="","",IFERROR(IF(AND(H586="W7",OR(F586="causal",F586="predictive")),IF(AND(K586=1,L586=1,M586=1),"adequate","partial"),INDEX(Fit_Matrix!$B:$B,MATCH(P586,Fit_Matrix!$A:$A,0))),"CHECK KEY"))</f>
        <v/>
      </c>
    </row>
    <row r="587" customFormat="false" ht="15" hidden="false" customHeight="true" outlineLevel="0" collapsed="false">
      <c r="P587" s="1" t="str">
        <f aca="false">IF(OR(F587="",H587="",J587=""),"",J587&amp;"|"&amp;F587&amp;"|"&amp;IF(H587="W3","W3_"&amp;IF(I587="","unknown",I587),H587))</f>
        <v/>
      </c>
      <c r="Q587" s="1" t="str">
        <f aca="false">IF(P587="","",IFERROR(IF(AND(H587="W7",OR(F587="causal",F587="predictive")),IF(AND(K587=1,L587=1,M587=1),"adequate","partial"),INDEX(Fit_Matrix!$B:$B,MATCH(P587,Fit_Matrix!$A:$A,0))),"CHECK KEY"))</f>
        <v/>
      </c>
    </row>
    <row r="588" customFormat="false" ht="15" hidden="false" customHeight="true" outlineLevel="0" collapsed="false">
      <c r="P588" s="1" t="str">
        <f aca="false">IF(OR(F588="",H588="",J588=""),"",J588&amp;"|"&amp;F588&amp;"|"&amp;IF(H588="W3","W3_"&amp;IF(I588="","unknown",I588),H588))</f>
        <v/>
      </c>
      <c r="Q588" s="1" t="str">
        <f aca="false">IF(P588="","",IFERROR(IF(AND(H588="W7",OR(F588="causal",F588="predictive")),IF(AND(K588=1,L588=1,M588=1),"adequate","partial"),INDEX(Fit_Matrix!$B:$B,MATCH(P588,Fit_Matrix!$A:$A,0))),"CHECK KEY"))</f>
        <v/>
      </c>
    </row>
    <row r="589" customFormat="false" ht="15" hidden="false" customHeight="true" outlineLevel="0" collapsed="false">
      <c r="P589" s="1" t="str">
        <f aca="false">IF(OR(F589="",H589="",J589=""),"",J589&amp;"|"&amp;F589&amp;"|"&amp;IF(H589="W3","W3_"&amp;IF(I589="","unknown",I589),H589))</f>
        <v/>
      </c>
      <c r="Q589" s="1" t="str">
        <f aca="false">IF(P589="","",IFERROR(IF(AND(H589="W7",OR(F589="causal",F589="predictive")),IF(AND(K589=1,L589=1,M589=1),"adequate","partial"),INDEX(Fit_Matrix!$B:$B,MATCH(P589,Fit_Matrix!$A:$A,0))),"CHECK KEY"))</f>
        <v/>
      </c>
    </row>
    <row r="590" customFormat="false" ht="15" hidden="false" customHeight="true" outlineLevel="0" collapsed="false">
      <c r="P590" s="1" t="str">
        <f aca="false">IF(OR(F590="",H590="",J590=""),"",J590&amp;"|"&amp;F590&amp;"|"&amp;IF(H590="W3","W3_"&amp;IF(I590="","unknown",I590),H590))</f>
        <v/>
      </c>
      <c r="Q590" s="1" t="str">
        <f aca="false">IF(P590="","",IFERROR(IF(AND(H590="W7",OR(F590="causal",F590="predictive")),IF(AND(K590=1,L590=1,M590=1),"adequate","partial"),INDEX(Fit_Matrix!$B:$B,MATCH(P590,Fit_Matrix!$A:$A,0))),"CHECK KEY"))</f>
        <v/>
      </c>
    </row>
    <row r="591" customFormat="false" ht="15" hidden="false" customHeight="true" outlineLevel="0" collapsed="false">
      <c r="P591" s="1" t="str">
        <f aca="false">IF(OR(F591="",H591="",J591=""),"",J591&amp;"|"&amp;F591&amp;"|"&amp;IF(H591="W3","W3_"&amp;IF(I591="","unknown",I591),H591))</f>
        <v/>
      </c>
      <c r="Q591" s="1" t="str">
        <f aca="false">IF(P591="","",IFERROR(IF(AND(H591="W7",OR(F591="causal",F591="predictive")),IF(AND(K591=1,L591=1,M591=1),"adequate","partial"),INDEX(Fit_Matrix!$B:$B,MATCH(P591,Fit_Matrix!$A:$A,0))),"CHECK KEY"))</f>
        <v/>
      </c>
    </row>
    <row r="592" customFormat="false" ht="15" hidden="false" customHeight="true" outlineLevel="0" collapsed="false">
      <c r="P592" s="1" t="str">
        <f aca="false">IF(OR(F592="",H592="",J592=""),"",J592&amp;"|"&amp;F592&amp;"|"&amp;IF(H592="W3","W3_"&amp;IF(I592="","unknown",I592),H592))</f>
        <v/>
      </c>
      <c r="Q592" s="1" t="str">
        <f aca="false">IF(P592="","",IFERROR(IF(AND(H592="W7",OR(F592="causal",F592="predictive")),IF(AND(K592=1,L592=1,M592=1),"adequate","partial"),INDEX(Fit_Matrix!$B:$B,MATCH(P592,Fit_Matrix!$A:$A,0))),"CHECK KEY"))</f>
        <v/>
      </c>
    </row>
    <row r="593" customFormat="false" ht="15" hidden="false" customHeight="true" outlineLevel="0" collapsed="false">
      <c r="P593" s="1" t="str">
        <f aca="false">IF(OR(F593="",H593="",J593=""),"",J593&amp;"|"&amp;F593&amp;"|"&amp;IF(H593="W3","W3_"&amp;IF(I593="","unknown",I593),H593))</f>
        <v/>
      </c>
      <c r="Q593" s="1" t="str">
        <f aca="false">IF(P593="","",IFERROR(IF(AND(H593="W7",OR(F593="causal",F593="predictive")),IF(AND(K593=1,L593=1,M593=1),"adequate","partial"),INDEX(Fit_Matrix!$B:$B,MATCH(P593,Fit_Matrix!$A:$A,0))),"CHECK KEY"))</f>
        <v/>
      </c>
    </row>
    <row r="594" customFormat="false" ht="15" hidden="false" customHeight="true" outlineLevel="0" collapsed="false">
      <c r="P594" s="1" t="str">
        <f aca="false">IF(OR(F594="",H594="",J594=""),"",J594&amp;"|"&amp;F594&amp;"|"&amp;IF(H594="W3","W3_"&amp;IF(I594="","unknown",I594),H594))</f>
        <v/>
      </c>
      <c r="Q594" s="1" t="str">
        <f aca="false">IF(P594="","",IFERROR(IF(AND(H594="W7",OR(F594="causal",F594="predictive")),IF(AND(K594=1,L594=1,M594=1),"adequate","partial"),INDEX(Fit_Matrix!$B:$B,MATCH(P594,Fit_Matrix!$A:$A,0))),"CHECK KEY"))</f>
        <v/>
      </c>
    </row>
    <row r="595" customFormat="false" ht="15" hidden="false" customHeight="true" outlineLevel="0" collapsed="false">
      <c r="P595" s="1" t="str">
        <f aca="false">IF(OR(F595="",H595="",J595=""),"",J595&amp;"|"&amp;F595&amp;"|"&amp;IF(H595="W3","W3_"&amp;IF(I595="","unknown",I595),H595))</f>
        <v/>
      </c>
      <c r="Q595" s="1" t="str">
        <f aca="false">IF(P595="","",IFERROR(IF(AND(H595="W7",OR(F595="causal",F595="predictive")),IF(AND(K595=1,L595=1,M595=1),"adequate","partial"),INDEX(Fit_Matrix!$B:$B,MATCH(P595,Fit_Matrix!$A:$A,0))),"CHECK KEY"))</f>
        <v/>
      </c>
    </row>
    <row r="596" customFormat="false" ht="15" hidden="false" customHeight="true" outlineLevel="0" collapsed="false">
      <c r="P596" s="1" t="str">
        <f aca="false">IF(OR(F596="",H596="",J596=""),"",J596&amp;"|"&amp;F596&amp;"|"&amp;IF(H596="W3","W3_"&amp;IF(I596="","unknown",I596),H596))</f>
        <v/>
      </c>
      <c r="Q596" s="1" t="str">
        <f aca="false">IF(P596="","",IFERROR(IF(AND(H596="W7",OR(F596="causal",F596="predictive")),IF(AND(K596=1,L596=1,M596=1),"adequate","partial"),INDEX(Fit_Matrix!$B:$B,MATCH(P596,Fit_Matrix!$A:$A,0))),"CHECK KEY"))</f>
        <v/>
      </c>
    </row>
    <row r="597" customFormat="false" ht="15" hidden="false" customHeight="true" outlineLevel="0" collapsed="false">
      <c r="P597" s="1" t="str">
        <f aca="false">IF(OR(F597="",H597="",J597=""),"",J597&amp;"|"&amp;F597&amp;"|"&amp;IF(H597="W3","W3_"&amp;IF(I597="","unknown",I597),H597))</f>
        <v/>
      </c>
      <c r="Q597" s="1" t="str">
        <f aca="false">IF(P597="","",IFERROR(IF(AND(H597="W7",OR(F597="causal",F597="predictive")),IF(AND(K597=1,L597=1,M597=1),"adequate","partial"),INDEX(Fit_Matrix!$B:$B,MATCH(P597,Fit_Matrix!$A:$A,0))),"CHECK KEY"))</f>
        <v/>
      </c>
    </row>
    <row r="598" customFormat="false" ht="15" hidden="false" customHeight="true" outlineLevel="0" collapsed="false">
      <c r="P598" s="1" t="str">
        <f aca="false">IF(OR(F598="",H598="",J598=""),"",J598&amp;"|"&amp;F598&amp;"|"&amp;IF(H598="W3","W3_"&amp;IF(I598="","unknown",I598),H598))</f>
        <v/>
      </c>
      <c r="Q598" s="1" t="str">
        <f aca="false">IF(P598="","",IFERROR(IF(AND(H598="W7",OR(F598="causal",F598="predictive")),IF(AND(K598=1,L598=1,M598=1),"adequate","partial"),INDEX(Fit_Matrix!$B:$B,MATCH(P598,Fit_Matrix!$A:$A,0))),"CHECK KEY"))</f>
        <v/>
      </c>
    </row>
    <row r="599" customFormat="false" ht="15" hidden="false" customHeight="true" outlineLevel="0" collapsed="false">
      <c r="P599" s="1" t="str">
        <f aca="false">IF(OR(F599="",H599="",J599=""),"",J599&amp;"|"&amp;F599&amp;"|"&amp;IF(H599="W3","W3_"&amp;IF(I599="","unknown",I599),H599))</f>
        <v/>
      </c>
      <c r="Q599" s="1" t="str">
        <f aca="false">IF(P599="","",IFERROR(IF(AND(H599="W7",OR(F599="causal",F599="predictive")),IF(AND(K599=1,L599=1,M599=1),"adequate","partial"),INDEX(Fit_Matrix!$B:$B,MATCH(P599,Fit_Matrix!$A:$A,0))),"CHECK KEY"))</f>
        <v/>
      </c>
    </row>
    <row r="600" customFormat="false" ht="15" hidden="false" customHeight="true" outlineLevel="0" collapsed="false">
      <c r="P600" s="1" t="str">
        <f aca="false">IF(OR(F600="",H600="",J600=""),"",J600&amp;"|"&amp;F600&amp;"|"&amp;IF(H600="W3","W3_"&amp;IF(I600="","unknown",I600),H600))</f>
        <v/>
      </c>
      <c r="Q600" s="1" t="str">
        <f aca="false">IF(P600="","",IFERROR(IF(AND(H600="W7",OR(F600="causal",F600="predictive")),IF(AND(K600=1,L600=1,M600=1),"adequate","partial"),INDEX(Fit_Matrix!$B:$B,MATCH(P600,Fit_Matrix!$A:$A,0))),"CHECK KEY"))</f>
        <v/>
      </c>
    </row>
    <row r="601" customFormat="false" ht="15" hidden="false" customHeight="true" outlineLevel="0" collapsed="false">
      <c r="P601" s="1" t="str">
        <f aca="false">IF(OR(F601="",H601="",J601=""),"",J601&amp;"|"&amp;F601&amp;"|"&amp;IF(H601="W3","W3_"&amp;IF(I601="","unknown",I601),H601))</f>
        <v/>
      </c>
      <c r="Q601" s="1" t="str">
        <f aca="false">IF(P601="","",IFERROR(IF(AND(H601="W7",OR(F601="causal",F601="predictive")),IF(AND(K601=1,L601=1,M601=1),"adequate","partial"),INDEX(Fit_Matrix!$B:$B,MATCH(P601,Fit_Matrix!$A:$A,0))),"CHECK KEY"))</f>
        <v/>
      </c>
    </row>
    <row r="602" customFormat="false" ht="15" hidden="false" customHeight="true" outlineLevel="0" collapsed="false">
      <c r="P602" s="1" t="str">
        <f aca="false">IF(OR(F602="",H602="",J602=""),"",J602&amp;"|"&amp;F602&amp;"|"&amp;IF(H602="W3","W3_"&amp;IF(I602="","unknown",I602),H602))</f>
        <v/>
      </c>
      <c r="Q602" s="1" t="str">
        <f aca="false">IF(P602="","",IFERROR(IF(AND(H602="W7",OR(F602="causal",F602="predictive")),IF(AND(K602=1,L602=1,M602=1),"adequate","partial"),INDEX(Fit_Matrix!$B:$B,MATCH(P602,Fit_Matrix!$A:$A,0))),"CHECK KEY"))</f>
        <v/>
      </c>
    </row>
    <row r="603" customFormat="false" ht="15" hidden="false" customHeight="true" outlineLevel="0" collapsed="false">
      <c r="P603" s="1" t="str">
        <f aca="false">IF(OR(F603="",H603="",J603=""),"",J603&amp;"|"&amp;F603&amp;"|"&amp;IF(H603="W3","W3_"&amp;IF(I603="","unknown",I603),H603))</f>
        <v/>
      </c>
      <c r="Q603" s="1" t="str">
        <f aca="false">IF(P603="","",IFERROR(IF(AND(H603="W7",OR(F603="causal",F603="predictive")),IF(AND(K603=1,L603=1,M603=1),"adequate","partial"),INDEX(Fit_Matrix!$B:$B,MATCH(P603,Fit_Matrix!$A:$A,0))),"CHECK KEY"))</f>
        <v/>
      </c>
    </row>
    <row r="604" customFormat="false" ht="15" hidden="false" customHeight="true" outlineLevel="0" collapsed="false">
      <c r="P604" s="1" t="str">
        <f aca="false">IF(OR(F604="",H604="",J604=""),"",J604&amp;"|"&amp;F604&amp;"|"&amp;IF(H604="W3","W3_"&amp;IF(I604="","unknown",I604),H604))</f>
        <v/>
      </c>
      <c r="Q604" s="1" t="str">
        <f aca="false">IF(P604="","",IFERROR(IF(AND(H604="W7",OR(F604="causal",F604="predictive")),IF(AND(K604=1,L604=1,M604=1),"adequate","partial"),INDEX(Fit_Matrix!$B:$B,MATCH(P604,Fit_Matrix!$A:$A,0))),"CHECK KEY"))</f>
        <v/>
      </c>
    </row>
    <row r="605" customFormat="false" ht="15" hidden="false" customHeight="true" outlineLevel="0" collapsed="false">
      <c r="P605" s="1" t="str">
        <f aca="false">IF(OR(F605="",H605="",J605=""),"",J605&amp;"|"&amp;F605&amp;"|"&amp;IF(H605="W3","W3_"&amp;IF(I605="","unknown",I605),H605))</f>
        <v/>
      </c>
      <c r="Q605" s="1" t="str">
        <f aca="false">IF(P605="","",IFERROR(IF(AND(H605="W7",OR(F605="causal",F605="predictive")),IF(AND(K605=1,L605=1,M605=1),"adequate","partial"),INDEX(Fit_Matrix!$B:$B,MATCH(P605,Fit_Matrix!$A:$A,0))),"CHECK KEY"))</f>
        <v/>
      </c>
    </row>
    <row r="606" customFormat="false" ht="15" hidden="false" customHeight="true" outlineLevel="0" collapsed="false">
      <c r="P606" s="1" t="str">
        <f aca="false">IF(OR(F606="",H606="",J606=""),"",J606&amp;"|"&amp;F606&amp;"|"&amp;IF(H606="W3","W3_"&amp;IF(I606="","unknown",I606),H606))</f>
        <v/>
      </c>
      <c r="Q606" s="1" t="str">
        <f aca="false">IF(P606="","",IFERROR(IF(AND(H606="W7",OR(F606="causal",F606="predictive")),IF(AND(K606=1,L606=1,M606=1),"adequate","partial"),INDEX(Fit_Matrix!$B:$B,MATCH(P606,Fit_Matrix!$A:$A,0))),"CHECK KEY"))</f>
        <v/>
      </c>
    </row>
    <row r="607" customFormat="false" ht="15" hidden="false" customHeight="true" outlineLevel="0" collapsed="false">
      <c r="P607" s="1" t="str">
        <f aca="false">IF(OR(F607="",H607="",J607=""),"",J607&amp;"|"&amp;F607&amp;"|"&amp;IF(H607="W3","W3_"&amp;IF(I607="","unknown",I607),H607))</f>
        <v/>
      </c>
      <c r="Q607" s="1" t="str">
        <f aca="false">IF(P607="","",IFERROR(IF(AND(H607="W7",OR(F607="causal",F607="predictive")),IF(AND(K607=1,L607=1,M607=1),"adequate","partial"),INDEX(Fit_Matrix!$B:$B,MATCH(P607,Fit_Matrix!$A:$A,0))),"CHECK KEY"))</f>
        <v/>
      </c>
    </row>
    <row r="608" customFormat="false" ht="15" hidden="false" customHeight="true" outlineLevel="0" collapsed="false">
      <c r="P608" s="1" t="str">
        <f aca="false">IF(OR(F608="",H608="",J608=""),"",J608&amp;"|"&amp;F608&amp;"|"&amp;IF(H608="W3","W3_"&amp;IF(I608="","unknown",I608),H608))</f>
        <v/>
      </c>
      <c r="Q608" s="1" t="str">
        <f aca="false">IF(P608="","",IFERROR(IF(AND(H608="W7",OR(F608="causal",F608="predictive")),IF(AND(K608=1,L608=1,M608=1),"adequate","partial"),INDEX(Fit_Matrix!$B:$B,MATCH(P608,Fit_Matrix!$A:$A,0))),"CHECK KEY"))</f>
        <v/>
      </c>
    </row>
    <row r="609" customFormat="false" ht="15" hidden="false" customHeight="true" outlineLevel="0" collapsed="false">
      <c r="P609" s="1" t="str">
        <f aca="false">IF(OR(F609="",H609="",J609=""),"",J609&amp;"|"&amp;F609&amp;"|"&amp;IF(H609="W3","W3_"&amp;IF(I609="","unknown",I609),H609))</f>
        <v/>
      </c>
      <c r="Q609" s="1" t="str">
        <f aca="false">IF(P609="","",IFERROR(IF(AND(H609="W7",OR(F609="causal",F609="predictive")),IF(AND(K609=1,L609=1,M609=1),"adequate","partial"),INDEX(Fit_Matrix!$B:$B,MATCH(P609,Fit_Matrix!$A:$A,0))),"CHECK KEY"))</f>
        <v/>
      </c>
    </row>
    <row r="610" customFormat="false" ht="15" hidden="false" customHeight="true" outlineLevel="0" collapsed="false">
      <c r="P610" s="1" t="str">
        <f aca="false">IF(OR(F610="",H610="",J610=""),"",J610&amp;"|"&amp;F610&amp;"|"&amp;IF(H610="W3","W3_"&amp;IF(I610="","unknown",I610),H610))</f>
        <v/>
      </c>
      <c r="Q610" s="1" t="str">
        <f aca="false">IF(P610="","",IFERROR(IF(AND(H610="W7",OR(F610="causal",F610="predictive")),IF(AND(K610=1,L610=1,M610=1),"adequate","partial"),INDEX(Fit_Matrix!$B:$B,MATCH(P610,Fit_Matrix!$A:$A,0))),"CHECK KEY"))</f>
        <v/>
      </c>
    </row>
    <row r="611" customFormat="false" ht="15" hidden="false" customHeight="true" outlineLevel="0" collapsed="false">
      <c r="P611" s="1" t="str">
        <f aca="false">IF(OR(F611="",H611="",J611=""),"",J611&amp;"|"&amp;F611&amp;"|"&amp;IF(H611="W3","W3_"&amp;IF(I611="","unknown",I611),H611))</f>
        <v/>
      </c>
      <c r="Q611" s="1" t="str">
        <f aca="false">IF(P611="","",IFERROR(IF(AND(H611="W7",OR(F611="causal",F611="predictive")),IF(AND(K611=1,L611=1,M611=1),"adequate","partial"),INDEX(Fit_Matrix!$B:$B,MATCH(P611,Fit_Matrix!$A:$A,0))),"CHECK KEY"))</f>
        <v/>
      </c>
    </row>
    <row r="612" customFormat="false" ht="15" hidden="false" customHeight="true" outlineLevel="0" collapsed="false">
      <c r="P612" s="1" t="str">
        <f aca="false">IF(OR(F612="",H612="",J612=""),"",J612&amp;"|"&amp;F612&amp;"|"&amp;IF(H612="W3","W3_"&amp;IF(I612="","unknown",I612),H612))</f>
        <v/>
      </c>
      <c r="Q612" s="1" t="str">
        <f aca="false">IF(P612="","",IFERROR(IF(AND(H612="W7",OR(F612="causal",F612="predictive")),IF(AND(K612=1,L612=1,M612=1),"adequate","partial"),INDEX(Fit_Matrix!$B:$B,MATCH(P612,Fit_Matrix!$A:$A,0))),"CHECK KEY"))</f>
        <v/>
      </c>
    </row>
    <row r="613" customFormat="false" ht="15" hidden="false" customHeight="true" outlineLevel="0" collapsed="false">
      <c r="P613" s="1" t="str">
        <f aca="false">IF(OR(F613="",H613="",J613=""),"",J613&amp;"|"&amp;F613&amp;"|"&amp;IF(H613="W3","W3_"&amp;IF(I613="","unknown",I613),H613))</f>
        <v/>
      </c>
      <c r="Q613" s="1" t="str">
        <f aca="false">IF(P613="","",IFERROR(IF(AND(H613="W7",OR(F613="causal",F613="predictive")),IF(AND(K613=1,L613=1,M613=1),"adequate","partial"),INDEX(Fit_Matrix!$B:$B,MATCH(P613,Fit_Matrix!$A:$A,0))),"CHECK KEY"))</f>
        <v/>
      </c>
    </row>
    <row r="614" customFormat="false" ht="15" hidden="false" customHeight="true" outlineLevel="0" collapsed="false">
      <c r="P614" s="1" t="str">
        <f aca="false">IF(OR(F614="",H614="",J614=""),"",J614&amp;"|"&amp;F614&amp;"|"&amp;IF(H614="W3","W3_"&amp;IF(I614="","unknown",I614),H614))</f>
        <v/>
      </c>
      <c r="Q614" s="1" t="str">
        <f aca="false">IF(P614="","",IFERROR(IF(AND(H614="W7",OR(F614="causal",F614="predictive")),IF(AND(K614=1,L614=1,M614=1),"adequate","partial"),INDEX(Fit_Matrix!$B:$B,MATCH(P614,Fit_Matrix!$A:$A,0))),"CHECK KEY"))</f>
        <v/>
      </c>
    </row>
    <row r="615" customFormat="false" ht="15" hidden="false" customHeight="true" outlineLevel="0" collapsed="false">
      <c r="P615" s="1" t="str">
        <f aca="false">IF(OR(F615="",H615="",J615=""),"",J615&amp;"|"&amp;F615&amp;"|"&amp;IF(H615="W3","W3_"&amp;IF(I615="","unknown",I615),H615))</f>
        <v/>
      </c>
      <c r="Q615" s="1" t="str">
        <f aca="false">IF(P615="","",IFERROR(IF(AND(H615="W7",OR(F615="causal",F615="predictive")),IF(AND(K615=1,L615=1,M615=1),"adequate","partial"),INDEX(Fit_Matrix!$B:$B,MATCH(P615,Fit_Matrix!$A:$A,0))),"CHECK KEY"))</f>
        <v/>
      </c>
    </row>
    <row r="616" customFormat="false" ht="15" hidden="false" customHeight="true" outlineLevel="0" collapsed="false">
      <c r="P616" s="1" t="str">
        <f aca="false">IF(OR(F616="",H616="",J616=""),"",J616&amp;"|"&amp;F616&amp;"|"&amp;IF(H616="W3","W3_"&amp;IF(I616="","unknown",I616),H616))</f>
        <v/>
      </c>
      <c r="Q616" s="1" t="str">
        <f aca="false">IF(P616="","",IFERROR(IF(AND(H616="W7",OR(F616="causal",F616="predictive")),IF(AND(K616=1,L616=1,M616=1),"adequate","partial"),INDEX(Fit_Matrix!$B:$B,MATCH(P616,Fit_Matrix!$A:$A,0))),"CHECK KEY"))</f>
        <v/>
      </c>
    </row>
    <row r="617" customFormat="false" ht="15" hidden="false" customHeight="true" outlineLevel="0" collapsed="false">
      <c r="P617" s="1" t="str">
        <f aca="false">IF(OR(F617="",H617="",J617=""),"",J617&amp;"|"&amp;F617&amp;"|"&amp;IF(H617="W3","W3_"&amp;IF(I617="","unknown",I617),H617))</f>
        <v/>
      </c>
      <c r="Q617" s="1" t="str">
        <f aca="false">IF(P617="","",IFERROR(IF(AND(H617="W7",OR(F617="causal",F617="predictive")),IF(AND(K617=1,L617=1,M617=1),"adequate","partial"),INDEX(Fit_Matrix!$B:$B,MATCH(P617,Fit_Matrix!$A:$A,0))),"CHECK KEY"))</f>
        <v/>
      </c>
    </row>
    <row r="618" customFormat="false" ht="15" hidden="false" customHeight="true" outlineLevel="0" collapsed="false">
      <c r="P618" s="1" t="str">
        <f aca="false">IF(OR(F618="",H618="",J618=""),"",J618&amp;"|"&amp;F618&amp;"|"&amp;IF(H618="W3","W3_"&amp;IF(I618="","unknown",I618),H618))</f>
        <v/>
      </c>
      <c r="Q618" s="1" t="str">
        <f aca="false">IF(P618="","",IFERROR(IF(AND(H618="W7",OR(F618="causal",F618="predictive")),IF(AND(K618=1,L618=1,M618=1),"adequate","partial"),INDEX(Fit_Matrix!$B:$B,MATCH(P618,Fit_Matrix!$A:$A,0))),"CHECK KEY"))</f>
        <v/>
      </c>
    </row>
    <row r="619" customFormat="false" ht="15" hidden="false" customHeight="true" outlineLevel="0" collapsed="false">
      <c r="P619" s="1" t="str">
        <f aca="false">IF(OR(F619="",H619="",J619=""),"",J619&amp;"|"&amp;F619&amp;"|"&amp;IF(H619="W3","W3_"&amp;IF(I619="","unknown",I619),H619))</f>
        <v/>
      </c>
      <c r="Q619" s="1" t="str">
        <f aca="false">IF(P619="","",IFERROR(IF(AND(H619="W7",OR(F619="causal",F619="predictive")),IF(AND(K619=1,L619=1,M619=1),"adequate","partial"),INDEX(Fit_Matrix!$B:$B,MATCH(P619,Fit_Matrix!$A:$A,0))),"CHECK KEY"))</f>
        <v/>
      </c>
    </row>
    <row r="620" customFormat="false" ht="15" hidden="false" customHeight="true" outlineLevel="0" collapsed="false">
      <c r="P620" s="1" t="str">
        <f aca="false">IF(OR(F620="",H620="",J620=""),"",J620&amp;"|"&amp;F620&amp;"|"&amp;IF(H620="W3","W3_"&amp;IF(I620="","unknown",I620),H620))</f>
        <v/>
      </c>
      <c r="Q620" s="1" t="str">
        <f aca="false">IF(P620="","",IFERROR(IF(AND(H620="W7",OR(F620="causal",F620="predictive")),IF(AND(K620=1,L620=1,M620=1),"adequate","partial"),INDEX(Fit_Matrix!$B:$B,MATCH(P620,Fit_Matrix!$A:$A,0))),"CHECK KEY"))</f>
        <v/>
      </c>
    </row>
    <row r="621" customFormat="false" ht="15" hidden="false" customHeight="true" outlineLevel="0" collapsed="false">
      <c r="P621" s="1" t="str">
        <f aca="false">IF(OR(F621="",H621="",J621=""),"",J621&amp;"|"&amp;F621&amp;"|"&amp;IF(H621="W3","W3_"&amp;IF(I621="","unknown",I621),H621))</f>
        <v/>
      </c>
      <c r="Q621" s="1" t="str">
        <f aca="false">IF(P621="","",IFERROR(IF(AND(H621="W7",OR(F621="causal",F621="predictive")),IF(AND(K621=1,L621=1,M621=1),"adequate","partial"),INDEX(Fit_Matrix!$B:$B,MATCH(P621,Fit_Matrix!$A:$A,0))),"CHECK KEY"))</f>
        <v/>
      </c>
    </row>
    <row r="622" customFormat="false" ht="15" hidden="false" customHeight="true" outlineLevel="0" collapsed="false">
      <c r="P622" s="1" t="str">
        <f aca="false">IF(OR(F622="",H622="",J622=""),"",J622&amp;"|"&amp;F622&amp;"|"&amp;IF(H622="W3","W3_"&amp;IF(I622="","unknown",I622),H622))</f>
        <v/>
      </c>
      <c r="Q622" s="1" t="str">
        <f aca="false">IF(P622="","",IFERROR(IF(AND(H622="W7",OR(F622="causal",F622="predictive")),IF(AND(K622=1,L622=1,M622=1),"adequate","partial"),INDEX(Fit_Matrix!$B:$B,MATCH(P622,Fit_Matrix!$A:$A,0))),"CHECK KEY"))</f>
        <v/>
      </c>
    </row>
    <row r="623" customFormat="false" ht="15" hidden="false" customHeight="true" outlineLevel="0" collapsed="false">
      <c r="P623" s="1" t="str">
        <f aca="false">IF(OR(F623="",H623="",J623=""),"",J623&amp;"|"&amp;F623&amp;"|"&amp;IF(H623="W3","W3_"&amp;IF(I623="","unknown",I623),H623))</f>
        <v/>
      </c>
      <c r="Q623" s="1" t="str">
        <f aca="false">IF(P623="","",IFERROR(IF(AND(H623="W7",OR(F623="causal",F623="predictive")),IF(AND(K623=1,L623=1,M623=1),"adequate","partial"),INDEX(Fit_Matrix!$B:$B,MATCH(P623,Fit_Matrix!$A:$A,0))),"CHECK KEY"))</f>
        <v/>
      </c>
    </row>
    <row r="624" customFormat="false" ht="15" hidden="false" customHeight="true" outlineLevel="0" collapsed="false">
      <c r="P624" s="1" t="str">
        <f aca="false">IF(OR(F624="",H624="",J624=""),"",J624&amp;"|"&amp;F624&amp;"|"&amp;IF(H624="W3","W3_"&amp;IF(I624="","unknown",I624),H624))</f>
        <v/>
      </c>
      <c r="Q624" s="1" t="str">
        <f aca="false">IF(P624="","",IFERROR(IF(AND(H624="W7",OR(F624="causal",F624="predictive")),IF(AND(K624=1,L624=1,M624=1),"adequate","partial"),INDEX(Fit_Matrix!$B:$B,MATCH(P624,Fit_Matrix!$A:$A,0))),"CHECK KEY"))</f>
        <v/>
      </c>
    </row>
    <row r="625" customFormat="false" ht="15" hidden="false" customHeight="true" outlineLevel="0" collapsed="false">
      <c r="P625" s="1" t="str">
        <f aca="false">IF(OR(F625="",H625="",J625=""),"",J625&amp;"|"&amp;F625&amp;"|"&amp;IF(H625="W3","W3_"&amp;IF(I625="","unknown",I625),H625))</f>
        <v/>
      </c>
      <c r="Q625" s="1" t="str">
        <f aca="false">IF(P625="","",IFERROR(IF(AND(H625="W7",OR(F625="causal",F625="predictive")),IF(AND(K625=1,L625=1,M625=1),"adequate","partial"),INDEX(Fit_Matrix!$B:$B,MATCH(P625,Fit_Matrix!$A:$A,0))),"CHECK KEY"))</f>
        <v/>
      </c>
    </row>
    <row r="626" customFormat="false" ht="15" hidden="false" customHeight="true" outlineLevel="0" collapsed="false">
      <c r="P626" s="1" t="str">
        <f aca="false">IF(OR(F626="",H626="",J626=""),"",J626&amp;"|"&amp;F626&amp;"|"&amp;IF(H626="W3","W3_"&amp;IF(I626="","unknown",I626),H626))</f>
        <v/>
      </c>
      <c r="Q626" s="1" t="str">
        <f aca="false">IF(P626="","",IFERROR(IF(AND(H626="W7",OR(F626="causal",F626="predictive")),IF(AND(K626=1,L626=1,M626=1),"adequate","partial"),INDEX(Fit_Matrix!$B:$B,MATCH(P626,Fit_Matrix!$A:$A,0))),"CHECK KEY"))</f>
        <v/>
      </c>
    </row>
    <row r="627" customFormat="false" ht="15" hidden="false" customHeight="true" outlineLevel="0" collapsed="false">
      <c r="P627" s="1" t="str">
        <f aca="false">IF(OR(F627="",H627="",J627=""),"",J627&amp;"|"&amp;F627&amp;"|"&amp;IF(H627="W3","W3_"&amp;IF(I627="","unknown",I627),H627))</f>
        <v/>
      </c>
      <c r="Q627" s="1" t="str">
        <f aca="false">IF(P627="","",IFERROR(IF(AND(H627="W7",OR(F627="causal",F627="predictive")),IF(AND(K627=1,L627=1,M627=1),"adequate","partial"),INDEX(Fit_Matrix!$B:$B,MATCH(P627,Fit_Matrix!$A:$A,0))),"CHECK KEY"))</f>
        <v/>
      </c>
    </row>
    <row r="628" customFormat="false" ht="15" hidden="false" customHeight="true" outlineLevel="0" collapsed="false">
      <c r="P628" s="1" t="str">
        <f aca="false">IF(OR(F628="",H628="",J628=""),"",J628&amp;"|"&amp;F628&amp;"|"&amp;IF(H628="W3","W3_"&amp;IF(I628="","unknown",I628),H628))</f>
        <v/>
      </c>
      <c r="Q628" s="1" t="str">
        <f aca="false">IF(P628="","",IFERROR(IF(AND(H628="W7",OR(F628="causal",F628="predictive")),IF(AND(K628=1,L628=1,M628=1),"adequate","partial"),INDEX(Fit_Matrix!$B:$B,MATCH(P628,Fit_Matrix!$A:$A,0))),"CHECK KEY"))</f>
        <v/>
      </c>
    </row>
    <row r="629" customFormat="false" ht="15" hidden="false" customHeight="true" outlineLevel="0" collapsed="false">
      <c r="P629" s="1" t="str">
        <f aca="false">IF(OR(F629="",H629="",J629=""),"",J629&amp;"|"&amp;F629&amp;"|"&amp;IF(H629="W3","W3_"&amp;IF(I629="","unknown",I629),H629))</f>
        <v/>
      </c>
      <c r="Q629" s="1" t="str">
        <f aca="false">IF(P629="","",IFERROR(IF(AND(H629="W7",OR(F629="causal",F629="predictive")),IF(AND(K629=1,L629=1,M629=1),"adequate","partial"),INDEX(Fit_Matrix!$B:$B,MATCH(P629,Fit_Matrix!$A:$A,0))),"CHECK KEY"))</f>
        <v/>
      </c>
    </row>
    <row r="630" customFormat="false" ht="15" hidden="false" customHeight="true" outlineLevel="0" collapsed="false">
      <c r="P630" s="1" t="str">
        <f aca="false">IF(OR(F630="",H630="",J630=""),"",J630&amp;"|"&amp;F630&amp;"|"&amp;IF(H630="W3","W3_"&amp;IF(I630="","unknown",I630),H630))</f>
        <v/>
      </c>
      <c r="Q630" s="1" t="str">
        <f aca="false">IF(P630="","",IFERROR(IF(AND(H630="W7",OR(F630="causal",F630="predictive")),IF(AND(K630=1,L630=1,M630=1),"adequate","partial"),INDEX(Fit_Matrix!$B:$B,MATCH(P630,Fit_Matrix!$A:$A,0))),"CHECK KEY"))</f>
        <v/>
      </c>
    </row>
    <row r="631" customFormat="false" ht="15" hidden="false" customHeight="true" outlineLevel="0" collapsed="false">
      <c r="P631" s="1" t="str">
        <f aca="false">IF(OR(F631="",H631="",J631=""),"",J631&amp;"|"&amp;F631&amp;"|"&amp;IF(H631="W3","W3_"&amp;IF(I631="","unknown",I631),H631))</f>
        <v/>
      </c>
      <c r="Q631" s="1" t="str">
        <f aca="false">IF(P631="","",IFERROR(IF(AND(H631="W7",OR(F631="causal",F631="predictive")),IF(AND(K631=1,L631=1,M631=1),"adequate","partial"),INDEX(Fit_Matrix!$B:$B,MATCH(P631,Fit_Matrix!$A:$A,0))),"CHECK KEY"))</f>
        <v/>
      </c>
    </row>
    <row r="632" customFormat="false" ht="15" hidden="false" customHeight="true" outlineLevel="0" collapsed="false">
      <c r="P632" s="1" t="str">
        <f aca="false">IF(OR(F632="",H632="",J632=""),"",J632&amp;"|"&amp;F632&amp;"|"&amp;IF(H632="W3","W3_"&amp;IF(I632="","unknown",I632),H632))</f>
        <v/>
      </c>
      <c r="Q632" s="1" t="str">
        <f aca="false">IF(P632="","",IFERROR(IF(AND(H632="W7",OR(F632="causal",F632="predictive")),IF(AND(K632=1,L632=1,M632=1),"adequate","partial"),INDEX(Fit_Matrix!$B:$B,MATCH(P632,Fit_Matrix!$A:$A,0))),"CHECK KEY"))</f>
        <v/>
      </c>
    </row>
    <row r="633" customFormat="false" ht="15" hidden="false" customHeight="true" outlineLevel="0" collapsed="false">
      <c r="P633" s="1" t="str">
        <f aca="false">IF(OR(F633="",H633="",J633=""),"",J633&amp;"|"&amp;F633&amp;"|"&amp;IF(H633="W3","W3_"&amp;IF(I633="","unknown",I633),H633))</f>
        <v/>
      </c>
      <c r="Q633" s="1" t="str">
        <f aca="false">IF(P633="","",IFERROR(IF(AND(H633="W7",OR(F633="causal",F633="predictive")),IF(AND(K633=1,L633=1,M633=1),"adequate","partial"),INDEX(Fit_Matrix!$B:$B,MATCH(P633,Fit_Matrix!$A:$A,0))),"CHECK KEY"))</f>
        <v/>
      </c>
    </row>
    <row r="634" customFormat="false" ht="15" hidden="false" customHeight="true" outlineLevel="0" collapsed="false">
      <c r="P634" s="1" t="str">
        <f aca="false">IF(OR(F634="",H634="",J634=""),"",J634&amp;"|"&amp;F634&amp;"|"&amp;IF(H634="W3","W3_"&amp;IF(I634="","unknown",I634),H634))</f>
        <v/>
      </c>
      <c r="Q634" s="1" t="str">
        <f aca="false">IF(P634="","",IFERROR(IF(AND(H634="W7",OR(F634="causal",F634="predictive")),IF(AND(K634=1,L634=1,M634=1),"adequate","partial"),INDEX(Fit_Matrix!$B:$B,MATCH(P634,Fit_Matrix!$A:$A,0))),"CHECK KEY"))</f>
        <v/>
      </c>
    </row>
    <row r="635" customFormat="false" ht="15" hidden="false" customHeight="true" outlineLevel="0" collapsed="false">
      <c r="P635" s="1" t="str">
        <f aca="false">IF(OR(F635="",H635="",J635=""),"",J635&amp;"|"&amp;F635&amp;"|"&amp;IF(H635="W3","W3_"&amp;IF(I635="","unknown",I635),H635))</f>
        <v/>
      </c>
      <c r="Q635" s="1" t="str">
        <f aca="false">IF(P635="","",IFERROR(IF(AND(H635="W7",OR(F635="causal",F635="predictive")),IF(AND(K635=1,L635=1,M635=1),"adequate","partial"),INDEX(Fit_Matrix!$B:$B,MATCH(P635,Fit_Matrix!$A:$A,0))),"CHECK KEY"))</f>
        <v/>
      </c>
    </row>
    <row r="636" customFormat="false" ht="15" hidden="false" customHeight="true" outlineLevel="0" collapsed="false">
      <c r="P636" s="1" t="str">
        <f aca="false">IF(OR(F636="",H636="",J636=""),"",J636&amp;"|"&amp;F636&amp;"|"&amp;IF(H636="W3","W3_"&amp;IF(I636="","unknown",I636),H636))</f>
        <v/>
      </c>
      <c r="Q636" s="1" t="str">
        <f aca="false">IF(P636="","",IFERROR(IF(AND(H636="W7",OR(F636="causal",F636="predictive")),IF(AND(K636=1,L636=1,M636=1),"adequate","partial"),INDEX(Fit_Matrix!$B:$B,MATCH(P636,Fit_Matrix!$A:$A,0))),"CHECK KEY"))</f>
        <v/>
      </c>
    </row>
    <row r="637" customFormat="false" ht="15" hidden="false" customHeight="true" outlineLevel="0" collapsed="false">
      <c r="P637" s="1" t="str">
        <f aca="false">IF(OR(F637="",H637="",J637=""),"",J637&amp;"|"&amp;F637&amp;"|"&amp;IF(H637="W3","W3_"&amp;IF(I637="","unknown",I637),H637))</f>
        <v/>
      </c>
      <c r="Q637" s="1" t="str">
        <f aca="false">IF(P637="","",IFERROR(IF(AND(H637="W7",OR(F637="causal",F637="predictive")),IF(AND(K637=1,L637=1,M637=1),"adequate","partial"),INDEX(Fit_Matrix!$B:$B,MATCH(P637,Fit_Matrix!$A:$A,0))),"CHECK KEY"))</f>
        <v/>
      </c>
    </row>
    <row r="638" customFormat="false" ht="15" hidden="false" customHeight="true" outlineLevel="0" collapsed="false">
      <c r="P638" s="1" t="str">
        <f aca="false">IF(OR(F638="",H638="",J638=""),"",J638&amp;"|"&amp;F638&amp;"|"&amp;IF(H638="W3","W3_"&amp;IF(I638="","unknown",I638),H638))</f>
        <v/>
      </c>
      <c r="Q638" s="1" t="str">
        <f aca="false">IF(P638="","",IFERROR(IF(AND(H638="W7",OR(F638="causal",F638="predictive")),IF(AND(K638=1,L638=1,M638=1),"adequate","partial"),INDEX(Fit_Matrix!$B:$B,MATCH(P638,Fit_Matrix!$A:$A,0))),"CHECK KEY"))</f>
        <v/>
      </c>
    </row>
    <row r="639" customFormat="false" ht="15" hidden="false" customHeight="true" outlineLevel="0" collapsed="false">
      <c r="P639" s="1" t="str">
        <f aca="false">IF(OR(F639="",H639="",J639=""),"",J639&amp;"|"&amp;F639&amp;"|"&amp;IF(H639="W3","W3_"&amp;IF(I639="","unknown",I639),H639))</f>
        <v/>
      </c>
      <c r="Q639" s="1" t="str">
        <f aca="false">IF(P639="","",IFERROR(IF(AND(H639="W7",OR(F639="causal",F639="predictive")),IF(AND(K639=1,L639=1,M639=1),"adequate","partial"),INDEX(Fit_Matrix!$B:$B,MATCH(P639,Fit_Matrix!$A:$A,0))),"CHECK KEY"))</f>
        <v/>
      </c>
    </row>
    <row r="640" customFormat="false" ht="15" hidden="false" customHeight="true" outlineLevel="0" collapsed="false">
      <c r="P640" s="1" t="str">
        <f aca="false">IF(OR(F640="",H640="",J640=""),"",J640&amp;"|"&amp;F640&amp;"|"&amp;IF(H640="W3","W3_"&amp;IF(I640="","unknown",I640),H640))</f>
        <v/>
      </c>
      <c r="Q640" s="1" t="str">
        <f aca="false">IF(P640="","",IFERROR(IF(AND(H640="W7",OR(F640="causal",F640="predictive")),IF(AND(K640=1,L640=1,M640=1),"adequate","partial"),INDEX(Fit_Matrix!$B:$B,MATCH(P640,Fit_Matrix!$A:$A,0))),"CHECK KEY"))</f>
        <v/>
      </c>
    </row>
    <row r="641" customFormat="false" ht="15" hidden="false" customHeight="true" outlineLevel="0" collapsed="false">
      <c r="P641" s="1" t="str">
        <f aca="false">IF(OR(F641="",H641="",J641=""),"",J641&amp;"|"&amp;F641&amp;"|"&amp;IF(H641="W3","W3_"&amp;IF(I641="","unknown",I641),H641))</f>
        <v/>
      </c>
      <c r="Q641" s="1" t="str">
        <f aca="false">IF(P641="","",IFERROR(IF(AND(H641="W7",OR(F641="causal",F641="predictive")),IF(AND(K641=1,L641=1,M641=1),"adequate","partial"),INDEX(Fit_Matrix!$B:$B,MATCH(P641,Fit_Matrix!$A:$A,0))),"CHECK KEY"))</f>
        <v/>
      </c>
    </row>
    <row r="642" customFormat="false" ht="15" hidden="false" customHeight="true" outlineLevel="0" collapsed="false">
      <c r="P642" s="1" t="str">
        <f aca="false">IF(OR(F642="",H642="",J642=""),"",J642&amp;"|"&amp;F642&amp;"|"&amp;IF(H642="W3","W3_"&amp;IF(I642="","unknown",I642),H642))</f>
        <v/>
      </c>
      <c r="Q642" s="1" t="str">
        <f aca="false">IF(P642="","",IFERROR(IF(AND(H642="W7",OR(F642="causal",F642="predictive")),IF(AND(K642=1,L642=1,M642=1),"adequate","partial"),INDEX(Fit_Matrix!$B:$B,MATCH(P642,Fit_Matrix!$A:$A,0))),"CHECK KEY"))</f>
        <v/>
      </c>
    </row>
    <row r="643" customFormat="false" ht="15" hidden="false" customHeight="true" outlineLevel="0" collapsed="false">
      <c r="P643" s="1" t="str">
        <f aca="false">IF(OR(F643="",H643="",J643=""),"",J643&amp;"|"&amp;F643&amp;"|"&amp;IF(H643="W3","W3_"&amp;IF(I643="","unknown",I643),H643))</f>
        <v/>
      </c>
      <c r="Q643" s="1" t="str">
        <f aca="false">IF(P643="","",IFERROR(IF(AND(H643="W7",OR(F643="causal",F643="predictive")),IF(AND(K643=1,L643=1,M643=1),"adequate","partial"),INDEX(Fit_Matrix!$B:$B,MATCH(P643,Fit_Matrix!$A:$A,0))),"CHECK KEY"))</f>
        <v/>
      </c>
    </row>
    <row r="644" customFormat="false" ht="15" hidden="false" customHeight="true" outlineLevel="0" collapsed="false">
      <c r="P644" s="1" t="str">
        <f aca="false">IF(OR(F644="",H644="",J644=""),"",J644&amp;"|"&amp;F644&amp;"|"&amp;IF(H644="W3","W3_"&amp;IF(I644="","unknown",I644),H644))</f>
        <v/>
      </c>
      <c r="Q644" s="1" t="str">
        <f aca="false">IF(P644="","",IFERROR(IF(AND(H644="W7",OR(F644="causal",F644="predictive")),IF(AND(K644=1,L644=1,M644=1),"adequate","partial"),INDEX(Fit_Matrix!$B:$B,MATCH(P644,Fit_Matrix!$A:$A,0))),"CHECK KEY"))</f>
        <v/>
      </c>
    </row>
    <row r="645" customFormat="false" ht="15" hidden="false" customHeight="true" outlineLevel="0" collapsed="false">
      <c r="P645" s="1" t="str">
        <f aca="false">IF(OR(F645="",H645="",J645=""),"",J645&amp;"|"&amp;F645&amp;"|"&amp;IF(H645="W3","W3_"&amp;IF(I645="","unknown",I645),H645))</f>
        <v/>
      </c>
      <c r="Q645" s="1" t="str">
        <f aca="false">IF(P645="","",IFERROR(IF(AND(H645="W7",OR(F645="causal",F645="predictive")),IF(AND(K645=1,L645=1,M645=1),"adequate","partial"),INDEX(Fit_Matrix!$B:$B,MATCH(P645,Fit_Matrix!$A:$A,0))),"CHECK KEY"))</f>
        <v/>
      </c>
    </row>
    <row r="646" customFormat="false" ht="15" hidden="false" customHeight="true" outlineLevel="0" collapsed="false">
      <c r="P646" s="1" t="str">
        <f aca="false">IF(OR(F646="",H646="",J646=""),"",J646&amp;"|"&amp;F646&amp;"|"&amp;IF(H646="W3","W3_"&amp;IF(I646="","unknown",I646),H646))</f>
        <v/>
      </c>
      <c r="Q646" s="1" t="str">
        <f aca="false">IF(P646="","",IFERROR(IF(AND(H646="W7",OR(F646="causal",F646="predictive")),IF(AND(K646=1,L646=1,M646=1),"adequate","partial"),INDEX(Fit_Matrix!$B:$B,MATCH(P646,Fit_Matrix!$A:$A,0))),"CHECK KEY"))</f>
        <v/>
      </c>
    </row>
    <row r="647" customFormat="false" ht="15" hidden="false" customHeight="true" outlineLevel="0" collapsed="false">
      <c r="P647" s="1" t="str">
        <f aca="false">IF(OR(F647="",H647="",J647=""),"",J647&amp;"|"&amp;F647&amp;"|"&amp;IF(H647="W3","W3_"&amp;IF(I647="","unknown",I647),H647))</f>
        <v/>
      </c>
      <c r="Q647" s="1" t="str">
        <f aca="false">IF(P647="","",IFERROR(IF(AND(H647="W7",OR(F647="causal",F647="predictive")),IF(AND(K647=1,L647=1,M647=1),"adequate","partial"),INDEX(Fit_Matrix!$B:$B,MATCH(P647,Fit_Matrix!$A:$A,0))),"CHECK KEY"))</f>
        <v/>
      </c>
    </row>
    <row r="648" customFormat="false" ht="15" hidden="false" customHeight="true" outlineLevel="0" collapsed="false">
      <c r="P648" s="1" t="str">
        <f aca="false">IF(OR(F648="",H648="",J648=""),"",J648&amp;"|"&amp;F648&amp;"|"&amp;IF(H648="W3","W3_"&amp;IF(I648="","unknown",I648),H648))</f>
        <v/>
      </c>
      <c r="Q648" s="1" t="str">
        <f aca="false">IF(P648="","",IFERROR(IF(AND(H648="W7",OR(F648="causal",F648="predictive")),IF(AND(K648=1,L648=1,M648=1),"adequate","partial"),INDEX(Fit_Matrix!$B:$B,MATCH(P648,Fit_Matrix!$A:$A,0))),"CHECK KEY"))</f>
        <v/>
      </c>
    </row>
    <row r="649" customFormat="false" ht="15" hidden="false" customHeight="true" outlineLevel="0" collapsed="false">
      <c r="P649" s="1" t="str">
        <f aca="false">IF(OR(F649="",H649="",J649=""),"",J649&amp;"|"&amp;F649&amp;"|"&amp;IF(H649="W3","W3_"&amp;IF(I649="","unknown",I649),H649))</f>
        <v/>
      </c>
      <c r="Q649" s="1" t="str">
        <f aca="false">IF(P649="","",IFERROR(IF(AND(H649="W7",OR(F649="causal",F649="predictive")),IF(AND(K649=1,L649=1,M649=1),"adequate","partial"),INDEX(Fit_Matrix!$B:$B,MATCH(P649,Fit_Matrix!$A:$A,0))),"CHECK KEY"))</f>
        <v/>
      </c>
    </row>
    <row r="650" customFormat="false" ht="15" hidden="false" customHeight="true" outlineLevel="0" collapsed="false">
      <c r="P650" s="1" t="str">
        <f aca="false">IF(OR(F650="",H650="",J650=""),"",J650&amp;"|"&amp;F650&amp;"|"&amp;IF(H650="W3","W3_"&amp;IF(I650="","unknown",I650),H650))</f>
        <v/>
      </c>
      <c r="Q650" s="1" t="str">
        <f aca="false">IF(P650="","",IFERROR(IF(AND(H650="W7",OR(F650="causal",F650="predictive")),IF(AND(K650=1,L650=1,M650=1),"adequate","partial"),INDEX(Fit_Matrix!$B:$B,MATCH(P650,Fit_Matrix!$A:$A,0))),"CHECK KEY"))</f>
        <v/>
      </c>
    </row>
    <row r="651" customFormat="false" ht="15" hidden="false" customHeight="true" outlineLevel="0" collapsed="false">
      <c r="P651" s="1" t="str">
        <f aca="false">IF(OR(F651="",H651="",J651=""),"",J651&amp;"|"&amp;F651&amp;"|"&amp;IF(H651="W3","W3_"&amp;IF(I651="","unknown",I651),H651))</f>
        <v/>
      </c>
      <c r="Q651" s="1" t="str">
        <f aca="false">IF(P651="","",IFERROR(IF(AND(H651="W7",OR(F651="causal",F651="predictive")),IF(AND(K651=1,L651=1,M651=1),"adequate","partial"),INDEX(Fit_Matrix!$B:$B,MATCH(P651,Fit_Matrix!$A:$A,0))),"CHECK KEY"))</f>
        <v/>
      </c>
    </row>
    <row r="652" customFormat="false" ht="15" hidden="false" customHeight="true" outlineLevel="0" collapsed="false">
      <c r="P652" s="1" t="str">
        <f aca="false">IF(OR(F652="",H652="",J652=""),"",J652&amp;"|"&amp;F652&amp;"|"&amp;IF(H652="W3","W3_"&amp;IF(I652="","unknown",I652),H652))</f>
        <v/>
      </c>
      <c r="Q652" s="1" t="str">
        <f aca="false">IF(P652="","",IFERROR(IF(AND(H652="W7",OR(F652="causal",F652="predictive")),IF(AND(K652=1,L652=1,M652=1),"adequate","partial"),INDEX(Fit_Matrix!$B:$B,MATCH(P652,Fit_Matrix!$A:$A,0))),"CHECK KEY"))</f>
        <v/>
      </c>
    </row>
    <row r="653" customFormat="false" ht="15" hidden="false" customHeight="true" outlineLevel="0" collapsed="false">
      <c r="P653" s="1" t="str">
        <f aca="false">IF(OR(F653="",H653="",J653=""),"",J653&amp;"|"&amp;F653&amp;"|"&amp;IF(H653="W3","W3_"&amp;IF(I653="","unknown",I653),H653))</f>
        <v/>
      </c>
      <c r="Q653" s="1" t="str">
        <f aca="false">IF(P653="","",IFERROR(IF(AND(H653="W7",OR(F653="causal",F653="predictive")),IF(AND(K653=1,L653=1,M653=1),"adequate","partial"),INDEX(Fit_Matrix!$B:$B,MATCH(P653,Fit_Matrix!$A:$A,0))),"CHECK KEY"))</f>
        <v/>
      </c>
    </row>
    <row r="654" customFormat="false" ht="15" hidden="false" customHeight="true" outlineLevel="0" collapsed="false">
      <c r="P654" s="1" t="str">
        <f aca="false">IF(OR(F654="",H654="",J654=""),"",J654&amp;"|"&amp;F654&amp;"|"&amp;IF(H654="W3","W3_"&amp;IF(I654="","unknown",I654),H654))</f>
        <v/>
      </c>
      <c r="Q654" s="1" t="str">
        <f aca="false">IF(P654="","",IFERROR(IF(AND(H654="W7",OR(F654="causal",F654="predictive")),IF(AND(K654=1,L654=1,M654=1),"adequate","partial"),INDEX(Fit_Matrix!$B:$B,MATCH(P654,Fit_Matrix!$A:$A,0))),"CHECK KEY"))</f>
        <v/>
      </c>
    </row>
    <row r="655" customFormat="false" ht="15" hidden="false" customHeight="true" outlineLevel="0" collapsed="false">
      <c r="P655" s="1" t="str">
        <f aca="false">IF(OR(F655="",H655="",J655=""),"",J655&amp;"|"&amp;F655&amp;"|"&amp;IF(H655="W3","W3_"&amp;IF(I655="","unknown",I655),H655))</f>
        <v/>
      </c>
      <c r="Q655" s="1" t="str">
        <f aca="false">IF(P655="","",IFERROR(IF(AND(H655="W7",OR(F655="causal",F655="predictive")),IF(AND(K655=1,L655=1,M655=1),"adequate","partial"),INDEX(Fit_Matrix!$B:$B,MATCH(P655,Fit_Matrix!$A:$A,0))),"CHECK KEY"))</f>
        <v/>
      </c>
    </row>
    <row r="656" customFormat="false" ht="15" hidden="false" customHeight="true" outlineLevel="0" collapsed="false">
      <c r="P656" s="1" t="str">
        <f aca="false">IF(OR(F656="",H656="",J656=""),"",J656&amp;"|"&amp;F656&amp;"|"&amp;IF(H656="W3","W3_"&amp;IF(I656="","unknown",I656),H656))</f>
        <v/>
      </c>
      <c r="Q656" s="1" t="str">
        <f aca="false">IF(P656="","",IFERROR(IF(AND(H656="W7",OR(F656="causal",F656="predictive")),IF(AND(K656=1,L656=1,M656=1),"adequate","partial"),INDEX(Fit_Matrix!$B:$B,MATCH(P656,Fit_Matrix!$A:$A,0))),"CHECK KEY"))</f>
        <v/>
      </c>
    </row>
    <row r="657" customFormat="false" ht="15" hidden="false" customHeight="true" outlineLevel="0" collapsed="false">
      <c r="P657" s="1" t="str">
        <f aca="false">IF(OR(F657="",H657="",J657=""),"",J657&amp;"|"&amp;F657&amp;"|"&amp;IF(H657="W3","W3_"&amp;IF(I657="","unknown",I657),H657))</f>
        <v/>
      </c>
      <c r="Q657" s="1" t="str">
        <f aca="false">IF(P657="","",IFERROR(IF(AND(H657="W7",OR(F657="causal",F657="predictive")),IF(AND(K657=1,L657=1,M657=1),"adequate","partial"),INDEX(Fit_Matrix!$B:$B,MATCH(P657,Fit_Matrix!$A:$A,0))),"CHECK KEY"))</f>
        <v/>
      </c>
    </row>
    <row r="658" customFormat="false" ht="15" hidden="false" customHeight="true" outlineLevel="0" collapsed="false">
      <c r="P658" s="1" t="str">
        <f aca="false">IF(OR(F658="",H658="",J658=""),"",J658&amp;"|"&amp;F658&amp;"|"&amp;IF(H658="W3","W3_"&amp;IF(I658="","unknown",I658),H658))</f>
        <v/>
      </c>
      <c r="Q658" s="1" t="str">
        <f aca="false">IF(P658="","",IFERROR(IF(AND(H658="W7",OR(F658="causal",F658="predictive")),IF(AND(K658=1,L658=1,M658=1),"adequate","partial"),INDEX(Fit_Matrix!$B:$B,MATCH(P658,Fit_Matrix!$A:$A,0))),"CHECK KEY"))</f>
        <v/>
      </c>
    </row>
    <row r="659" customFormat="false" ht="15" hidden="false" customHeight="true" outlineLevel="0" collapsed="false">
      <c r="P659" s="1" t="str">
        <f aca="false">IF(OR(F659="",H659="",J659=""),"",J659&amp;"|"&amp;F659&amp;"|"&amp;IF(H659="W3","W3_"&amp;IF(I659="","unknown",I659),H659))</f>
        <v/>
      </c>
      <c r="Q659" s="1" t="str">
        <f aca="false">IF(P659="","",IFERROR(IF(AND(H659="W7",OR(F659="causal",F659="predictive")),IF(AND(K659=1,L659=1,M659=1),"adequate","partial"),INDEX(Fit_Matrix!$B:$B,MATCH(P659,Fit_Matrix!$A:$A,0))),"CHECK KEY"))</f>
        <v/>
      </c>
    </row>
    <row r="660" customFormat="false" ht="15" hidden="false" customHeight="true" outlineLevel="0" collapsed="false">
      <c r="P660" s="1" t="str">
        <f aca="false">IF(OR(F660="",H660="",J660=""),"",J660&amp;"|"&amp;F660&amp;"|"&amp;IF(H660="W3","W3_"&amp;IF(I660="","unknown",I660),H660))</f>
        <v/>
      </c>
      <c r="Q660" s="1" t="str">
        <f aca="false">IF(P660="","",IFERROR(IF(AND(H660="W7",OR(F660="causal",F660="predictive")),IF(AND(K660=1,L660=1,M660=1),"adequate","partial"),INDEX(Fit_Matrix!$B:$B,MATCH(P660,Fit_Matrix!$A:$A,0))),"CHECK KEY"))</f>
        <v/>
      </c>
    </row>
    <row r="661" customFormat="false" ht="15" hidden="false" customHeight="true" outlineLevel="0" collapsed="false">
      <c r="P661" s="1" t="str">
        <f aca="false">IF(OR(F661="",H661="",J661=""),"",J661&amp;"|"&amp;F661&amp;"|"&amp;IF(H661="W3","W3_"&amp;IF(I661="","unknown",I661),H661))</f>
        <v/>
      </c>
      <c r="Q661" s="1" t="str">
        <f aca="false">IF(P661="","",IFERROR(IF(AND(H661="W7",OR(F661="causal",F661="predictive")),IF(AND(K661=1,L661=1,M661=1),"adequate","partial"),INDEX(Fit_Matrix!$B:$B,MATCH(P661,Fit_Matrix!$A:$A,0))),"CHECK KEY"))</f>
        <v/>
      </c>
    </row>
    <row r="662" customFormat="false" ht="15" hidden="false" customHeight="true" outlineLevel="0" collapsed="false">
      <c r="P662" s="1" t="str">
        <f aca="false">IF(OR(F662="",H662="",J662=""),"",J662&amp;"|"&amp;F662&amp;"|"&amp;IF(H662="W3","W3_"&amp;IF(I662="","unknown",I662),H662))</f>
        <v/>
      </c>
      <c r="Q662" s="1" t="str">
        <f aca="false">IF(P662="","",IFERROR(IF(AND(H662="W7",OR(F662="causal",F662="predictive")),IF(AND(K662=1,L662=1,M662=1),"adequate","partial"),INDEX(Fit_Matrix!$B:$B,MATCH(P662,Fit_Matrix!$A:$A,0))),"CHECK KEY"))</f>
        <v/>
      </c>
    </row>
    <row r="663" customFormat="false" ht="15" hidden="false" customHeight="true" outlineLevel="0" collapsed="false">
      <c r="P663" s="1" t="str">
        <f aca="false">IF(OR(F663="",H663="",J663=""),"",J663&amp;"|"&amp;F663&amp;"|"&amp;IF(H663="W3","W3_"&amp;IF(I663="","unknown",I663),H663))</f>
        <v/>
      </c>
      <c r="Q663" s="1" t="str">
        <f aca="false">IF(P663="","",IFERROR(IF(AND(H663="W7",OR(F663="causal",F663="predictive")),IF(AND(K663=1,L663=1,M663=1),"adequate","partial"),INDEX(Fit_Matrix!$B:$B,MATCH(P663,Fit_Matrix!$A:$A,0))),"CHECK KEY"))</f>
        <v/>
      </c>
    </row>
    <row r="664" customFormat="false" ht="15" hidden="false" customHeight="true" outlineLevel="0" collapsed="false">
      <c r="P664" s="1" t="str">
        <f aca="false">IF(OR(F664="",H664="",J664=""),"",J664&amp;"|"&amp;F664&amp;"|"&amp;IF(H664="W3","W3_"&amp;IF(I664="","unknown",I664),H664))</f>
        <v/>
      </c>
      <c r="Q664" s="1" t="str">
        <f aca="false">IF(P664="","",IFERROR(IF(AND(H664="W7",OR(F664="causal",F664="predictive")),IF(AND(K664=1,L664=1,M664=1),"adequate","partial"),INDEX(Fit_Matrix!$B:$B,MATCH(P664,Fit_Matrix!$A:$A,0))),"CHECK KEY"))</f>
        <v/>
      </c>
    </row>
    <row r="665" customFormat="false" ht="15" hidden="false" customHeight="true" outlineLevel="0" collapsed="false">
      <c r="P665" s="1" t="str">
        <f aca="false">IF(OR(F665="",H665="",J665=""),"",J665&amp;"|"&amp;F665&amp;"|"&amp;IF(H665="W3","W3_"&amp;IF(I665="","unknown",I665),H665))</f>
        <v/>
      </c>
      <c r="Q665" s="1" t="str">
        <f aca="false">IF(P665="","",IFERROR(IF(AND(H665="W7",OR(F665="causal",F665="predictive")),IF(AND(K665=1,L665=1,M665=1),"adequate","partial"),INDEX(Fit_Matrix!$B:$B,MATCH(P665,Fit_Matrix!$A:$A,0))),"CHECK KEY"))</f>
        <v/>
      </c>
    </row>
    <row r="666" customFormat="false" ht="15" hidden="false" customHeight="true" outlineLevel="0" collapsed="false">
      <c r="P666" s="1" t="str">
        <f aca="false">IF(OR(F666="",H666="",J666=""),"",J666&amp;"|"&amp;F666&amp;"|"&amp;IF(H666="W3","W3_"&amp;IF(I666="","unknown",I666),H666))</f>
        <v/>
      </c>
      <c r="Q666" s="1" t="str">
        <f aca="false">IF(P666="","",IFERROR(IF(AND(H666="W7",OR(F666="causal",F666="predictive")),IF(AND(K666=1,L666=1,M666=1),"adequate","partial"),INDEX(Fit_Matrix!$B:$B,MATCH(P666,Fit_Matrix!$A:$A,0))),"CHECK KEY"))</f>
        <v/>
      </c>
    </row>
    <row r="667" customFormat="false" ht="15" hidden="false" customHeight="true" outlineLevel="0" collapsed="false">
      <c r="P667" s="1" t="str">
        <f aca="false">IF(OR(F667="",H667="",J667=""),"",J667&amp;"|"&amp;F667&amp;"|"&amp;IF(H667="W3","W3_"&amp;IF(I667="","unknown",I667),H667))</f>
        <v/>
      </c>
      <c r="Q667" s="1" t="str">
        <f aca="false">IF(P667="","",IFERROR(IF(AND(H667="W7",OR(F667="causal",F667="predictive")),IF(AND(K667=1,L667=1,M667=1),"adequate","partial"),INDEX(Fit_Matrix!$B:$B,MATCH(P667,Fit_Matrix!$A:$A,0))),"CHECK KEY"))</f>
        <v/>
      </c>
    </row>
    <row r="668" customFormat="false" ht="15" hidden="false" customHeight="true" outlineLevel="0" collapsed="false">
      <c r="P668" s="1" t="str">
        <f aca="false">IF(OR(F668="",H668="",J668=""),"",J668&amp;"|"&amp;F668&amp;"|"&amp;IF(H668="W3","W3_"&amp;IF(I668="","unknown",I668),H668))</f>
        <v/>
      </c>
      <c r="Q668" s="1" t="str">
        <f aca="false">IF(P668="","",IFERROR(IF(AND(H668="W7",OR(F668="causal",F668="predictive")),IF(AND(K668=1,L668=1,M668=1),"adequate","partial"),INDEX(Fit_Matrix!$B:$B,MATCH(P668,Fit_Matrix!$A:$A,0))),"CHECK KEY"))</f>
        <v/>
      </c>
    </row>
    <row r="669" customFormat="false" ht="15" hidden="false" customHeight="true" outlineLevel="0" collapsed="false">
      <c r="P669" s="1" t="str">
        <f aca="false">IF(OR(F669="",H669="",J669=""),"",J669&amp;"|"&amp;F669&amp;"|"&amp;IF(H669="W3","W3_"&amp;IF(I669="","unknown",I669),H669))</f>
        <v/>
      </c>
      <c r="Q669" s="1" t="str">
        <f aca="false">IF(P669="","",IFERROR(IF(AND(H669="W7",OR(F669="causal",F669="predictive")),IF(AND(K669=1,L669=1,M669=1),"adequate","partial"),INDEX(Fit_Matrix!$B:$B,MATCH(P669,Fit_Matrix!$A:$A,0))),"CHECK KEY"))</f>
        <v/>
      </c>
    </row>
    <row r="670" customFormat="false" ht="15" hidden="false" customHeight="true" outlineLevel="0" collapsed="false">
      <c r="P670" s="1" t="str">
        <f aca="false">IF(OR(F670="",H670="",J670=""),"",J670&amp;"|"&amp;F670&amp;"|"&amp;IF(H670="W3","W3_"&amp;IF(I670="","unknown",I670),H670))</f>
        <v/>
      </c>
      <c r="Q670" s="1" t="str">
        <f aca="false">IF(P670="","",IFERROR(IF(AND(H670="W7",OR(F670="causal",F670="predictive")),IF(AND(K670=1,L670=1,M670=1),"adequate","partial"),INDEX(Fit_Matrix!$B:$B,MATCH(P670,Fit_Matrix!$A:$A,0))),"CHECK KEY"))</f>
        <v/>
      </c>
    </row>
    <row r="671" customFormat="false" ht="15" hidden="false" customHeight="true" outlineLevel="0" collapsed="false">
      <c r="P671" s="1" t="str">
        <f aca="false">IF(OR(F671="",H671="",J671=""),"",J671&amp;"|"&amp;F671&amp;"|"&amp;IF(H671="W3","W3_"&amp;IF(I671="","unknown",I671),H671))</f>
        <v/>
      </c>
      <c r="Q671" s="1" t="str">
        <f aca="false">IF(P671="","",IFERROR(IF(AND(H671="W7",OR(F671="causal",F671="predictive")),IF(AND(K671=1,L671=1,M671=1),"adequate","partial"),INDEX(Fit_Matrix!$B:$B,MATCH(P671,Fit_Matrix!$A:$A,0))),"CHECK KEY"))</f>
        <v/>
      </c>
    </row>
    <row r="672" customFormat="false" ht="15" hidden="false" customHeight="true" outlineLevel="0" collapsed="false">
      <c r="P672" s="1" t="str">
        <f aca="false">IF(OR(F672="",H672="",J672=""),"",J672&amp;"|"&amp;F672&amp;"|"&amp;IF(H672="W3","W3_"&amp;IF(I672="","unknown",I672),H672))</f>
        <v/>
      </c>
      <c r="Q672" s="1" t="str">
        <f aca="false">IF(P672="","",IFERROR(IF(AND(H672="W7",OR(F672="causal",F672="predictive")),IF(AND(K672=1,L672=1,M672=1),"adequate","partial"),INDEX(Fit_Matrix!$B:$B,MATCH(P672,Fit_Matrix!$A:$A,0))),"CHECK KEY"))</f>
        <v/>
      </c>
    </row>
    <row r="673" customFormat="false" ht="15" hidden="false" customHeight="true" outlineLevel="0" collapsed="false">
      <c r="P673" s="1" t="str">
        <f aca="false">IF(OR(F673="",H673="",J673=""),"",J673&amp;"|"&amp;F673&amp;"|"&amp;IF(H673="W3","W3_"&amp;IF(I673="","unknown",I673),H673))</f>
        <v/>
      </c>
      <c r="Q673" s="1" t="str">
        <f aca="false">IF(P673="","",IFERROR(IF(AND(H673="W7",OR(F673="causal",F673="predictive")),IF(AND(K673=1,L673=1,M673=1),"adequate","partial"),INDEX(Fit_Matrix!$B:$B,MATCH(P673,Fit_Matrix!$A:$A,0))),"CHECK KEY"))</f>
        <v/>
      </c>
    </row>
    <row r="674" customFormat="false" ht="15" hidden="false" customHeight="true" outlineLevel="0" collapsed="false">
      <c r="P674" s="1" t="str">
        <f aca="false">IF(OR(F674="",H674="",J674=""),"",J674&amp;"|"&amp;F674&amp;"|"&amp;IF(H674="W3","W3_"&amp;IF(I674="","unknown",I674),H674))</f>
        <v/>
      </c>
      <c r="Q674" s="1" t="str">
        <f aca="false">IF(P674="","",IFERROR(IF(AND(H674="W7",OR(F674="causal",F674="predictive")),IF(AND(K674=1,L674=1,M674=1),"adequate","partial"),INDEX(Fit_Matrix!$B:$B,MATCH(P674,Fit_Matrix!$A:$A,0))),"CHECK KEY"))</f>
        <v/>
      </c>
    </row>
    <row r="675" customFormat="false" ht="15" hidden="false" customHeight="true" outlineLevel="0" collapsed="false">
      <c r="P675" s="1" t="str">
        <f aca="false">IF(OR(F675="",H675="",J675=""),"",J675&amp;"|"&amp;F675&amp;"|"&amp;IF(H675="W3","W3_"&amp;IF(I675="","unknown",I675),H675))</f>
        <v/>
      </c>
      <c r="Q675" s="1" t="str">
        <f aca="false">IF(P675="","",IFERROR(IF(AND(H675="W7",OR(F675="causal",F675="predictive")),IF(AND(K675=1,L675=1,M675=1),"adequate","partial"),INDEX(Fit_Matrix!$B:$B,MATCH(P675,Fit_Matrix!$A:$A,0))),"CHECK KEY"))</f>
        <v/>
      </c>
    </row>
    <row r="676" customFormat="false" ht="15" hidden="false" customHeight="true" outlineLevel="0" collapsed="false">
      <c r="P676" s="1" t="str">
        <f aca="false">IF(OR(F676="",H676="",J676=""),"",J676&amp;"|"&amp;F676&amp;"|"&amp;IF(H676="W3","W3_"&amp;IF(I676="","unknown",I676),H676))</f>
        <v/>
      </c>
      <c r="Q676" s="1" t="str">
        <f aca="false">IF(P676="","",IFERROR(IF(AND(H676="W7",OR(F676="causal",F676="predictive")),IF(AND(K676=1,L676=1,M676=1),"adequate","partial"),INDEX(Fit_Matrix!$B:$B,MATCH(P676,Fit_Matrix!$A:$A,0))),"CHECK KEY"))</f>
        <v/>
      </c>
    </row>
    <row r="677" customFormat="false" ht="15" hidden="false" customHeight="true" outlineLevel="0" collapsed="false">
      <c r="P677" s="1" t="str">
        <f aca="false">IF(OR(F677="",H677="",J677=""),"",J677&amp;"|"&amp;F677&amp;"|"&amp;IF(H677="W3","W3_"&amp;IF(I677="","unknown",I677),H677))</f>
        <v/>
      </c>
      <c r="Q677" s="1" t="str">
        <f aca="false">IF(P677="","",IFERROR(IF(AND(H677="W7",OR(F677="causal",F677="predictive")),IF(AND(K677=1,L677=1,M677=1),"adequate","partial"),INDEX(Fit_Matrix!$B:$B,MATCH(P677,Fit_Matrix!$A:$A,0))),"CHECK KEY"))</f>
        <v/>
      </c>
    </row>
    <row r="678" customFormat="false" ht="15" hidden="false" customHeight="true" outlineLevel="0" collapsed="false">
      <c r="P678" s="1" t="str">
        <f aca="false">IF(OR(F678="",H678="",J678=""),"",J678&amp;"|"&amp;F678&amp;"|"&amp;IF(H678="W3","W3_"&amp;IF(I678="","unknown",I678),H678))</f>
        <v/>
      </c>
      <c r="Q678" s="1" t="str">
        <f aca="false">IF(P678="","",IFERROR(IF(AND(H678="W7",OR(F678="causal",F678="predictive")),IF(AND(K678=1,L678=1,M678=1),"adequate","partial"),INDEX(Fit_Matrix!$B:$B,MATCH(P678,Fit_Matrix!$A:$A,0))),"CHECK KEY"))</f>
        <v/>
      </c>
    </row>
    <row r="679" customFormat="false" ht="15" hidden="false" customHeight="true" outlineLevel="0" collapsed="false">
      <c r="P679" s="1" t="str">
        <f aca="false">IF(OR(F679="",H679="",J679=""),"",J679&amp;"|"&amp;F679&amp;"|"&amp;IF(H679="W3","W3_"&amp;IF(I679="","unknown",I679),H679))</f>
        <v/>
      </c>
      <c r="Q679" s="1" t="str">
        <f aca="false">IF(P679="","",IFERROR(IF(AND(H679="W7",OR(F679="causal",F679="predictive")),IF(AND(K679=1,L679=1,M679=1),"adequate","partial"),INDEX(Fit_Matrix!$B:$B,MATCH(P679,Fit_Matrix!$A:$A,0))),"CHECK KEY"))</f>
        <v/>
      </c>
    </row>
    <row r="680" customFormat="false" ht="15" hidden="false" customHeight="true" outlineLevel="0" collapsed="false">
      <c r="P680" s="1" t="str">
        <f aca="false">IF(OR(F680="",H680="",J680=""),"",J680&amp;"|"&amp;F680&amp;"|"&amp;IF(H680="W3","W3_"&amp;IF(I680="","unknown",I680),H680))</f>
        <v/>
      </c>
      <c r="Q680" s="1" t="str">
        <f aca="false">IF(P680="","",IFERROR(IF(AND(H680="W7",OR(F680="causal",F680="predictive")),IF(AND(K680=1,L680=1,M680=1),"adequate","partial"),INDEX(Fit_Matrix!$B:$B,MATCH(P680,Fit_Matrix!$A:$A,0))),"CHECK KEY"))</f>
        <v/>
      </c>
    </row>
    <row r="681" customFormat="false" ht="15" hidden="false" customHeight="true" outlineLevel="0" collapsed="false">
      <c r="P681" s="1" t="str">
        <f aca="false">IF(OR(F681="",H681="",J681=""),"",J681&amp;"|"&amp;F681&amp;"|"&amp;IF(H681="W3","W3_"&amp;IF(I681="","unknown",I681),H681))</f>
        <v/>
      </c>
      <c r="Q681" s="1" t="str">
        <f aca="false">IF(P681="","",IFERROR(IF(AND(H681="W7",OR(F681="causal",F681="predictive")),IF(AND(K681=1,L681=1,M681=1),"adequate","partial"),INDEX(Fit_Matrix!$B:$B,MATCH(P681,Fit_Matrix!$A:$A,0))),"CHECK KEY"))</f>
        <v/>
      </c>
    </row>
    <row r="682" customFormat="false" ht="15" hidden="false" customHeight="true" outlineLevel="0" collapsed="false">
      <c r="P682" s="1" t="str">
        <f aca="false">IF(OR(F682="",H682="",J682=""),"",J682&amp;"|"&amp;F682&amp;"|"&amp;IF(H682="W3","W3_"&amp;IF(I682="","unknown",I682),H682))</f>
        <v/>
      </c>
      <c r="Q682" s="1" t="str">
        <f aca="false">IF(P682="","",IFERROR(IF(AND(H682="W7",OR(F682="causal",F682="predictive")),IF(AND(K682=1,L682=1,M682=1),"adequate","partial"),INDEX(Fit_Matrix!$B:$B,MATCH(P682,Fit_Matrix!$A:$A,0))),"CHECK KEY"))</f>
        <v/>
      </c>
    </row>
    <row r="683" customFormat="false" ht="15" hidden="false" customHeight="true" outlineLevel="0" collapsed="false">
      <c r="P683" s="1" t="str">
        <f aca="false">IF(OR(F683="",H683="",J683=""),"",J683&amp;"|"&amp;F683&amp;"|"&amp;IF(H683="W3","W3_"&amp;IF(I683="","unknown",I683),H683))</f>
        <v/>
      </c>
      <c r="Q683" s="1" t="str">
        <f aca="false">IF(P683="","",IFERROR(IF(AND(H683="W7",OR(F683="causal",F683="predictive")),IF(AND(K683=1,L683=1,M683=1),"adequate","partial"),INDEX(Fit_Matrix!$B:$B,MATCH(P683,Fit_Matrix!$A:$A,0))),"CHECK KEY"))</f>
        <v/>
      </c>
    </row>
    <row r="684" customFormat="false" ht="15" hidden="false" customHeight="true" outlineLevel="0" collapsed="false">
      <c r="P684" s="1" t="str">
        <f aca="false">IF(OR(F684="",H684="",J684=""),"",J684&amp;"|"&amp;F684&amp;"|"&amp;IF(H684="W3","W3_"&amp;IF(I684="","unknown",I684),H684))</f>
        <v/>
      </c>
      <c r="Q684" s="1" t="str">
        <f aca="false">IF(P684="","",IFERROR(IF(AND(H684="W7",OR(F684="causal",F684="predictive")),IF(AND(K684=1,L684=1,M684=1),"adequate","partial"),INDEX(Fit_Matrix!$B:$B,MATCH(P684,Fit_Matrix!$A:$A,0))),"CHECK KEY"))</f>
        <v/>
      </c>
    </row>
    <row r="685" customFormat="false" ht="15" hidden="false" customHeight="true" outlineLevel="0" collapsed="false">
      <c r="P685" s="1" t="str">
        <f aca="false">IF(OR(F685="",H685="",J685=""),"",J685&amp;"|"&amp;F685&amp;"|"&amp;IF(H685="W3","W3_"&amp;IF(I685="","unknown",I685),H685))</f>
        <v/>
      </c>
      <c r="Q685" s="1" t="str">
        <f aca="false">IF(P685="","",IFERROR(IF(AND(H685="W7",OR(F685="causal",F685="predictive")),IF(AND(K685=1,L685=1,M685=1),"adequate","partial"),INDEX(Fit_Matrix!$B:$B,MATCH(P685,Fit_Matrix!$A:$A,0))),"CHECK KEY"))</f>
        <v/>
      </c>
    </row>
    <row r="686" customFormat="false" ht="15" hidden="false" customHeight="true" outlineLevel="0" collapsed="false">
      <c r="P686" s="1" t="str">
        <f aca="false">IF(OR(F686="",H686="",J686=""),"",J686&amp;"|"&amp;F686&amp;"|"&amp;IF(H686="W3","W3_"&amp;IF(I686="","unknown",I686),H686))</f>
        <v/>
      </c>
      <c r="Q686" s="1" t="str">
        <f aca="false">IF(P686="","",IFERROR(IF(AND(H686="W7",OR(F686="causal",F686="predictive")),IF(AND(K686=1,L686=1,M686=1),"adequate","partial"),INDEX(Fit_Matrix!$B:$B,MATCH(P686,Fit_Matrix!$A:$A,0))),"CHECK KEY"))</f>
        <v/>
      </c>
    </row>
    <row r="687" customFormat="false" ht="15" hidden="false" customHeight="true" outlineLevel="0" collapsed="false">
      <c r="P687" s="1" t="str">
        <f aca="false">IF(OR(F687="",H687="",J687=""),"",J687&amp;"|"&amp;F687&amp;"|"&amp;IF(H687="W3","W3_"&amp;IF(I687="","unknown",I687),H687))</f>
        <v/>
      </c>
      <c r="Q687" s="1" t="str">
        <f aca="false">IF(P687="","",IFERROR(IF(AND(H687="W7",OR(F687="causal",F687="predictive")),IF(AND(K687=1,L687=1,M687=1),"adequate","partial"),INDEX(Fit_Matrix!$B:$B,MATCH(P687,Fit_Matrix!$A:$A,0))),"CHECK KEY"))</f>
        <v/>
      </c>
    </row>
    <row r="688" customFormat="false" ht="15" hidden="false" customHeight="true" outlineLevel="0" collapsed="false">
      <c r="P688" s="1" t="str">
        <f aca="false">IF(OR(F688="",H688="",J688=""),"",J688&amp;"|"&amp;F688&amp;"|"&amp;IF(H688="W3","W3_"&amp;IF(I688="","unknown",I688),H688))</f>
        <v/>
      </c>
      <c r="Q688" s="1" t="str">
        <f aca="false">IF(P688="","",IFERROR(IF(AND(H688="W7",OR(F688="causal",F688="predictive")),IF(AND(K688=1,L688=1,M688=1),"adequate","partial"),INDEX(Fit_Matrix!$B:$B,MATCH(P688,Fit_Matrix!$A:$A,0))),"CHECK KEY"))</f>
        <v/>
      </c>
    </row>
    <row r="689" customFormat="false" ht="15" hidden="false" customHeight="true" outlineLevel="0" collapsed="false">
      <c r="P689" s="1" t="str">
        <f aca="false">IF(OR(F689="",H689="",J689=""),"",J689&amp;"|"&amp;F689&amp;"|"&amp;IF(H689="W3","W3_"&amp;IF(I689="","unknown",I689),H689))</f>
        <v/>
      </c>
      <c r="Q689" s="1" t="str">
        <f aca="false">IF(P689="","",IFERROR(IF(AND(H689="W7",OR(F689="causal",F689="predictive")),IF(AND(K689=1,L689=1,M689=1),"adequate","partial"),INDEX(Fit_Matrix!$B:$B,MATCH(P689,Fit_Matrix!$A:$A,0))),"CHECK KEY"))</f>
        <v/>
      </c>
    </row>
    <row r="690" customFormat="false" ht="15" hidden="false" customHeight="true" outlineLevel="0" collapsed="false">
      <c r="P690" s="1" t="str">
        <f aca="false">IF(OR(F690="",H690="",J690=""),"",J690&amp;"|"&amp;F690&amp;"|"&amp;IF(H690="W3","W3_"&amp;IF(I690="","unknown",I690),H690))</f>
        <v/>
      </c>
      <c r="Q690" s="1" t="str">
        <f aca="false">IF(P690="","",IFERROR(IF(AND(H690="W7",OR(F690="causal",F690="predictive")),IF(AND(K690=1,L690=1,M690=1),"adequate","partial"),INDEX(Fit_Matrix!$B:$B,MATCH(P690,Fit_Matrix!$A:$A,0))),"CHECK KEY"))</f>
        <v/>
      </c>
    </row>
    <row r="691" customFormat="false" ht="15" hidden="false" customHeight="true" outlineLevel="0" collapsed="false">
      <c r="P691" s="1" t="str">
        <f aca="false">IF(OR(F691="",H691="",J691=""),"",J691&amp;"|"&amp;F691&amp;"|"&amp;IF(H691="W3","W3_"&amp;IF(I691="","unknown",I691),H691))</f>
        <v/>
      </c>
      <c r="Q691" s="1" t="str">
        <f aca="false">IF(P691="","",IFERROR(IF(AND(H691="W7",OR(F691="causal",F691="predictive")),IF(AND(K691=1,L691=1,M691=1),"adequate","partial"),INDEX(Fit_Matrix!$B:$B,MATCH(P691,Fit_Matrix!$A:$A,0))),"CHECK KEY"))</f>
        <v/>
      </c>
    </row>
    <row r="692" customFormat="false" ht="15" hidden="false" customHeight="true" outlineLevel="0" collapsed="false">
      <c r="P692" s="1" t="str">
        <f aca="false">IF(OR(F692="",H692="",J692=""),"",J692&amp;"|"&amp;F692&amp;"|"&amp;IF(H692="W3","W3_"&amp;IF(I692="","unknown",I692),H692))</f>
        <v/>
      </c>
      <c r="Q692" s="1" t="str">
        <f aca="false">IF(P692="","",IFERROR(IF(AND(H692="W7",OR(F692="causal",F692="predictive")),IF(AND(K692=1,L692=1,M692=1),"adequate","partial"),INDEX(Fit_Matrix!$B:$B,MATCH(P692,Fit_Matrix!$A:$A,0))),"CHECK KEY"))</f>
        <v/>
      </c>
    </row>
    <row r="693" customFormat="false" ht="15" hidden="false" customHeight="true" outlineLevel="0" collapsed="false">
      <c r="P693" s="1" t="str">
        <f aca="false">IF(OR(F693="",H693="",J693=""),"",J693&amp;"|"&amp;F693&amp;"|"&amp;IF(H693="W3","W3_"&amp;IF(I693="","unknown",I693),H693))</f>
        <v/>
      </c>
      <c r="Q693" s="1" t="str">
        <f aca="false">IF(P693="","",IFERROR(IF(AND(H693="W7",OR(F693="causal",F693="predictive")),IF(AND(K693=1,L693=1,M693=1),"adequate","partial"),INDEX(Fit_Matrix!$B:$B,MATCH(P693,Fit_Matrix!$A:$A,0))),"CHECK KEY"))</f>
        <v/>
      </c>
    </row>
    <row r="694" customFormat="false" ht="15" hidden="false" customHeight="true" outlineLevel="0" collapsed="false">
      <c r="P694" s="1" t="str">
        <f aca="false">IF(OR(F694="",H694="",J694=""),"",J694&amp;"|"&amp;F694&amp;"|"&amp;IF(H694="W3","W3_"&amp;IF(I694="","unknown",I694),H694))</f>
        <v/>
      </c>
      <c r="Q694" s="1" t="str">
        <f aca="false">IF(P694="","",IFERROR(IF(AND(H694="W7",OR(F694="causal",F694="predictive")),IF(AND(K694=1,L694=1,M694=1),"adequate","partial"),INDEX(Fit_Matrix!$B:$B,MATCH(P694,Fit_Matrix!$A:$A,0))),"CHECK KEY"))</f>
        <v/>
      </c>
    </row>
    <row r="695" customFormat="false" ht="15" hidden="false" customHeight="true" outlineLevel="0" collapsed="false">
      <c r="P695" s="1" t="str">
        <f aca="false">IF(OR(F695="",H695="",J695=""),"",J695&amp;"|"&amp;F695&amp;"|"&amp;IF(H695="W3","W3_"&amp;IF(I695="","unknown",I695),H695))</f>
        <v/>
      </c>
      <c r="Q695" s="1" t="str">
        <f aca="false">IF(P695="","",IFERROR(IF(AND(H695="W7",OR(F695="causal",F695="predictive")),IF(AND(K695=1,L695=1,M695=1),"adequate","partial"),INDEX(Fit_Matrix!$B:$B,MATCH(P695,Fit_Matrix!$A:$A,0))),"CHECK KEY"))</f>
        <v/>
      </c>
    </row>
    <row r="696" customFormat="false" ht="15" hidden="false" customHeight="true" outlineLevel="0" collapsed="false">
      <c r="P696" s="1" t="str">
        <f aca="false">IF(OR(F696="",H696="",J696=""),"",J696&amp;"|"&amp;F696&amp;"|"&amp;IF(H696="W3","W3_"&amp;IF(I696="","unknown",I696),H696))</f>
        <v/>
      </c>
      <c r="Q696" s="1" t="str">
        <f aca="false">IF(P696="","",IFERROR(IF(AND(H696="W7",OR(F696="causal",F696="predictive")),IF(AND(K696=1,L696=1,M696=1),"adequate","partial"),INDEX(Fit_Matrix!$B:$B,MATCH(P696,Fit_Matrix!$A:$A,0))),"CHECK KEY"))</f>
        <v/>
      </c>
    </row>
    <row r="697" customFormat="false" ht="15" hidden="false" customHeight="true" outlineLevel="0" collapsed="false">
      <c r="P697" s="1" t="str">
        <f aca="false">IF(OR(F697="",H697="",J697=""),"",J697&amp;"|"&amp;F697&amp;"|"&amp;IF(H697="W3","W3_"&amp;IF(I697="","unknown",I697),H697))</f>
        <v/>
      </c>
      <c r="Q697" s="1" t="str">
        <f aca="false">IF(P697="","",IFERROR(IF(AND(H697="W7",OR(F697="causal",F697="predictive")),IF(AND(K697=1,L697=1,M697=1),"adequate","partial"),INDEX(Fit_Matrix!$B:$B,MATCH(P697,Fit_Matrix!$A:$A,0))),"CHECK KEY"))</f>
        <v/>
      </c>
    </row>
    <row r="698" customFormat="false" ht="15" hidden="false" customHeight="true" outlineLevel="0" collapsed="false">
      <c r="P698" s="1" t="str">
        <f aca="false">IF(OR(F698="",H698="",J698=""),"",J698&amp;"|"&amp;F698&amp;"|"&amp;IF(H698="W3","W3_"&amp;IF(I698="","unknown",I698),H698))</f>
        <v/>
      </c>
      <c r="Q698" s="1" t="str">
        <f aca="false">IF(P698="","",IFERROR(IF(AND(H698="W7",OR(F698="causal",F698="predictive")),IF(AND(K698=1,L698=1,M698=1),"adequate","partial"),INDEX(Fit_Matrix!$B:$B,MATCH(P698,Fit_Matrix!$A:$A,0))),"CHECK KEY"))</f>
        <v/>
      </c>
    </row>
    <row r="699" customFormat="false" ht="15" hidden="false" customHeight="true" outlineLevel="0" collapsed="false">
      <c r="P699" s="1" t="str">
        <f aca="false">IF(OR(F699="",H699="",J699=""),"",J699&amp;"|"&amp;F699&amp;"|"&amp;IF(H699="W3","W3_"&amp;IF(I699="","unknown",I699),H699))</f>
        <v/>
      </c>
      <c r="Q699" s="1" t="str">
        <f aca="false">IF(P699="","",IFERROR(IF(AND(H699="W7",OR(F699="causal",F699="predictive")),IF(AND(K699=1,L699=1,M699=1),"adequate","partial"),INDEX(Fit_Matrix!$B:$B,MATCH(P699,Fit_Matrix!$A:$A,0))),"CHECK KEY"))</f>
        <v/>
      </c>
    </row>
    <row r="700" customFormat="false" ht="15" hidden="false" customHeight="true" outlineLevel="0" collapsed="false">
      <c r="P700" s="1" t="str">
        <f aca="false">IF(OR(F700="",H700="",J700=""),"",J700&amp;"|"&amp;F700&amp;"|"&amp;IF(H700="W3","W3_"&amp;IF(I700="","unknown",I700),H700))</f>
        <v/>
      </c>
      <c r="Q700" s="1" t="str">
        <f aca="false">IF(P700="","",IFERROR(IF(AND(H700="W7",OR(F700="causal",F700="predictive")),IF(AND(K700=1,L700=1,M700=1),"adequate","partial"),INDEX(Fit_Matrix!$B:$B,MATCH(P700,Fit_Matrix!$A:$A,0))),"CHECK KEY"))</f>
        <v/>
      </c>
    </row>
    <row r="701" customFormat="false" ht="15" hidden="false" customHeight="true" outlineLevel="0" collapsed="false">
      <c r="P701" s="1" t="str">
        <f aca="false">IF(OR(F701="",H701="",J701=""),"",J701&amp;"|"&amp;F701&amp;"|"&amp;IF(H701="W3","W3_"&amp;IF(I701="","unknown",I701),H701))</f>
        <v/>
      </c>
      <c r="Q701" s="1" t="str">
        <f aca="false">IF(P701="","",IFERROR(IF(AND(H701="W7",OR(F701="causal",F701="predictive")),IF(AND(K701=1,L701=1,M701=1),"adequate","partial"),INDEX(Fit_Matrix!$B:$B,MATCH(P701,Fit_Matrix!$A:$A,0))),"CHECK KEY"))</f>
        <v/>
      </c>
    </row>
    <row r="702" customFormat="false" ht="15" hidden="false" customHeight="true" outlineLevel="0" collapsed="false">
      <c r="P702" s="1" t="str">
        <f aca="false">IF(OR(F702="",H702="",J702=""),"",J702&amp;"|"&amp;F702&amp;"|"&amp;IF(H702="W3","W3_"&amp;IF(I702="","unknown",I702),H702))</f>
        <v/>
      </c>
      <c r="Q702" s="1" t="str">
        <f aca="false">IF(P702="","",IFERROR(IF(AND(H702="W7",OR(F702="causal",F702="predictive")),IF(AND(K702=1,L702=1,M702=1),"adequate","partial"),INDEX(Fit_Matrix!$B:$B,MATCH(P702,Fit_Matrix!$A:$A,0))),"CHECK KEY"))</f>
        <v/>
      </c>
    </row>
    <row r="703" customFormat="false" ht="15" hidden="false" customHeight="true" outlineLevel="0" collapsed="false">
      <c r="P703" s="1" t="str">
        <f aca="false">IF(OR(F703="",H703="",J703=""),"",J703&amp;"|"&amp;F703&amp;"|"&amp;IF(H703="W3","W3_"&amp;IF(I703="","unknown",I703),H703))</f>
        <v/>
      </c>
      <c r="Q703" s="1" t="str">
        <f aca="false">IF(P703="","",IFERROR(IF(AND(H703="W7",OR(F703="causal",F703="predictive")),IF(AND(K703=1,L703=1,M703=1),"adequate","partial"),INDEX(Fit_Matrix!$B:$B,MATCH(P703,Fit_Matrix!$A:$A,0))),"CHECK KEY"))</f>
        <v/>
      </c>
    </row>
    <row r="704" customFormat="false" ht="15" hidden="false" customHeight="true" outlineLevel="0" collapsed="false">
      <c r="P704" s="1" t="str">
        <f aca="false">IF(OR(F704="",H704="",J704=""),"",J704&amp;"|"&amp;F704&amp;"|"&amp;IF(H704="W3","W3_"&amp;IF(I704="","unknown",I704),H704))</f>
        <v/>
      </c>
      <c r="Q704" s="1" t="str">
        <f aca="false">IF(P704="","",IFERROR(IF(AND(H704="W7",OR(F704="causal",F704="predictive")),IF(AND(K704=1,L704=1,M704=1),"adequate","partial"),INDEX(Fit_Matrix!$B:$B,MATCH(P704,Fit_Matrix!$A:$A,0))),"CHECK KEY"))</f>
        <v/>
      </c>
    </row>
    <row r="705" customFormat="false" ht="15" hidden="false" customHeight="true" outlineLevel="0" collapsed="false">
      <c r="P705" s="1" t="str">
        <f aca="false">IF(OR(F705="",H705="",J705=""),"",J705&amp;"|"&amp;F705&amp;"|"&amp;IF(H705="W3","W3_"&amp;IF(I705="","unknown",I705),H705))</f>
        <v/>
      </c>
      <c r="Q705" s="1" t="str">
        <f aca="false">IF(P705="","",IFERROR(IF(AND(H705="W7",OR(F705="causal",F705="predictive")),IF(AND(K705=1,L705=1,M705=1),"adequate","partial"),INDEX(Fit_Matrix!$B:$B,MATCH(P705,Fit_Matrix!$A:$A,0))),"CHECK KEY"))</f>
        <v/>
      </c>
    </row>
    <row r="706" customFormat="false" ht="15" hidden="false" customHeight="true" outlineLevel="0" collapsed="false">
      <c r="P706" s="1" t="str">
        <f aca="false">IF(OR(F706="",H706="",J706=""),"",J706&amp;"|"&amp;F706&amp;"|"&amp;IF(H706="W3","W3_"&amp;IF(I706="","unknown",I706),H706))</f>
        <v/>
      </c>
      <c r="Q706" s="1" t="str">
        <f aca="false">IF(P706="","",IFERROR(IF(AND(H706="W7",OR(F706="causal",F706="predictive")),IF(AND(K706=1,L706=1,M706=1),"adequate","partial"),INDEX(Fit_Matrix!$B:$B,MATCH(P706,Fit_Matrix!$A:$A,0))),"CHECK KEY"))</f>
        <v/>
      </c>
    </row>
    <row r="707" customFormat="false" ht="15" hidden="false" customHeight="true" outlineLevel="0" collapsed="false">
      <c r="P707" s="1" t="str">
        <f aca="false">IF(OR(F707="",H707="",J707=""),"",J707&amp;"|"&amp;F707&amp;"|"&amp;IF(H707="W3","W3_"&amp;IF(I707="","unknown",I707),H707))</f>
        <v/>
      </c>
      <c r="Q707" s="1" t="str">
        <f aca="false">IF(P707="","",IFERROR(IF(AND(H707="W7",OR(F707="causal",F707="predictive")),IF(AND(K707=1,L707=1,M707=1),"adequate","partial"),INDEX(Fit_Matrix!$B:$B,MATCH(P707,Fit_Matrix!$A:$A,0))),"CHECK KEY"))</f>
        <v/>
      </c>
    </row>
    <row r="708" customFormat="false" ht="15" hidden="false" customHeight="true" outlineLevel="0" collapsed="false">
      <c r="P708" s="1" t="str">
        <f aca="false">IF(OR(F708="",H708="",J708=""),"",J708&amp;"|"&amp;F708&amp;"|"&amp;IF(H708="W3","W3_"&amp;IF(I708="","unknown",I708),H708))</f>
        <v/>
      </c>
      <c r="Q708" s="1" t="str">
        <f aca="false">IF(P708="","",IFERROR(IF(AND(H708="W7",OR(F708="causal",F708="predictive")),IF(AND(K708=1,L708=1,M708=1),"adequate","partial"),INDEX(Fit_Matrix!$B:$B,MATCH(P708,Fit_Matrix!$A:$A,0))),"CHECK KEY"))</f>
        <v/>
      </c>
    </row>
    <row r="709" customFormat="false" ht="15" hidden="false" customHeight="true" outlineLevel="0" collapsed="false">
      <c r="P709" s="1" t="str">
        <f aca="false">IF(OR(F709="",H709="",J709=""),"",J709&amp;"|"&amp;F709&amp;"|"&amp;IF(H709="W3","W3_"&amp;IF(I709="","unknown",I709),H709))</f>
        <v/>
      </c>
      <c r="Q709" s="1" t="str">
        <f aca="false">IF(P709="","",IFERROR(IF(AND(H709="W7",OR(F709="causal",F709="predictive")),IF(AND(K709=1,L709=1,M709=1),"adequate","partial"),INDEX(Fit_Matrix!$B:$B,MATCH(P709,Fit_Matrix!$A:$A,0))),"CHECK KEY"))</f>
        <v/>
      </c>
    </row>
    <row r="710" customFormat="false" ht="15" hidden="false" customHeight="true" outlineLevel="0" collapsed="false">
      <c r="P710" s="1" t="str">
        <f aca="false">IF(OR(F710="",H710="",J710=""),"",J710&amp;"|"&amp;F710&amp;"|"&amp;IF(H710="W3","W3_"&amp;IF(I710="","unknown",I710),H710))</f>
        <v/>
      </c>
      <c r="Q710" s="1" t="str">
        <f aca="false">IF(P710="","",IFERROR(IF(AND(H710="W7",OR(F710="causal",F710="predictive")),IF(AND(K710=1,L710=1,M710=1),"adequate","partial"),INDEX(Fit_Matrix!$B:$B,MATCH(P710,Fit_Matrix!$A:$A,0))),"CHECK KEY"))</f>
        <v/>
      </c>
    </row>
    <row r="711" customFormat="false" ht="15" hidden="false" customHeight="true" outlineLevel="0" collapsed="false">
      <c r="P711" s="1" t="str">
        <f aca="false">IF(OR(F711="",H711="",J711=""),"",J711&amp;"|"&amp;F711&amp;"|"&amp;IF(H711="W3","W3_"&amp;IF(I711="","unknown",I711),H711))</f>
        <v/>
      </c>
      <c r="Q711" s="1" t="str">
        <f aca="false">IF(P711="","",IFERROR(IF(AND(H711="W7",OR(F711="causal",F711="predictive")),IF(AND(K711=1,L711=1,M711=1),"adequate","partial"),INDEX(Fit_Matrix!$B:$B,MATCH(P711,Fit_Matrix!$A:$A,0))),"CHECK KEY"))</f>
        <v/>
      </c>
    </row>
    <row r="712" customFormat="false" ht="15" hidden="false" customHeight="true" outlineLevel="0" collapsed="false">
      <c r="P712" s="1" t="str">
        <f aca="false">IF(OR(F712="",H712="",J712=""),"",J712&amp;"|"&amp;F712&amp;"|"&amp;IF(H712="W3","W3_"&amp;IF(I712="","unknown",I712),H712))</f>
        <v/>
      </c>
      <c r="Q712" s="1" t="str">
        <f aca="false">IF(P712="","",IFERROR(IF(AND(H712="W7",OR(F712="causal",F712="predictive")),IF(AND(K712=1,L712=1,M712=1),"adequate","partial"),INDEX(Fit_Matrix!$B:$B,MATCH(P712,Fit_Matrix!$A:$A,0))),"CHECK KEY"))</f>
        <v/>
      </c>
    </row>
    <row r="713" customFormat="false" ht="15" hidden="false" customHeight="true" outlineLevel="0" collapsed="false">
      <c r="P713" s="1" t="str">
        <f aca="false">IF(OR(F713="",H713="",J713=""),"",J713&amp;"|"&amp;F713&amp;"|"&amp;IF(H713="W3","W3_"&amp;IF(I713="","unknown",I713),H713))</f>
        <v/>
      </c>
      <c r="Q713" s="1" t="str">
        <f aca="false">IF(P713="","",IFERROR(IF(AND(H713="W7",OR(F713="causal",F713="predictive")),IF(AND(K713=1,L713=1,M713=1),"adequate","partial"),INDEX(Fit_Matrix!$B:$B,MATCH(P713,Fit_Matrix!$A:$A,0))),"CHECK KEY"))</f>
        <v/>
      </c>
    </row>
    <row r="714" customFormat="false" ht="15" hidden="false" customHeight="true" outlineLevel="0" collapsed="false">
      <c r="P714" s="1" t="str">
        <f aca="false">IF(OR(F714="",H714="",J714=""),"",J714&amp;"|"&amp;F714&amp;"|"&amp;IF(H714="W3","W3_"&amp;IF(I714="","unknown",I714),H714))</f>
        <v/>
      </c>
      <c r="Q714" s="1" t="str">
        <f aca="false">IF(P714="","",IFERROR(IF(AND(H714="W7",OR(F714="causal",F714="predictive")),IF(AND(K714=1,L714=1,M714=1),"adequate","partial"),INDEX(Fit_Matrix!$B:$B,MATCH(P714,Fit_Matrix!$A:$A,0))),"CHECK KEY"))</f>
        <v/>
      </c>
    </row>
    <row r="715" customFormat="false" ht="15" hidden="false" customHeight="true" outlineLevel="0" collapsed="false">
      <c r="P715" s="1" t="str">
        <f aca="false">IF(OR(F715="",H715="",J715=""),"",J715&amp;"|"&amp;F715&amp;"|"&amp;IF(H715="W3","W3_"&amp;IF(I715="","unknown",I715),H715))</f>
        <v/>
      </c>
      <c r="Q715" s="1" t="str">
        <f aca="false">IF(P715="","",IFERROR(IF(AND(H715="W7",OR(F715="causal",F715="predictive")),IF(AND(K715=1,L715=1,M715=1),"adequate","partial"),INDEX(Fit_Matrix!$B:$B,MATCH(P715,Fit_Matrix!$A:$A,0))),"CHECK KEY"))</f>
        <v/>
      </c>
    </row>
    <row r="716" customFormat="false" ht="15" hidden="false" customHeight="true" outlineLevel="0" collapsed="false">
      <c r="P716" s="1" t="str">
        <f aca="false">IF(OR(F716="",H716="",J716=""),"",J716&amp;"|"&amp;F716&amp;"|"&amp;IF(H716="W3","W3_"&amp;IF(I716="","unknown",I716),H716))</f>
        <v/>
      </c>
      <c r="Q716" s="1" t="str">
        <f aca="false">IF(P716="","",IFERROR(IF(AND(H716="W7",OR(F716="causal",F716="predictive")),IF(AND(K716=1,L716=1,M716=1),"adequate","partial"),INDEX(Fit_Matrix!$B:$B,MATCH(P716,Fit_Matrix!$A:$A,0))),"CHECK KEY"))</f>
        <v/>
      </c>
    </row>
    <row r="717" customFormat="false" ht="15" hidden="false" customHeight="true" outlineLevel="0" collapsed="false">
      <c r="P717" s="1" t="str">
        <f aca="false">IF(OR(F717="",H717="",J717=""),"",J717&amp;"|"&amp;F717&amp;"|"&amp;IF(H717="W3","W3_"&amp;IF(I717="","unknown",I717),H717))</f>
        <v/>
      </c>
      <c r="Q717" s="1" t="str">
        <f aca="false">IF(P717="","",IFERROR(IF(AND(H717="W7",OR(F717="causal",F717="predictive")),IF(AND(K717=1,L717=1,M717=1),"adequate","partial"),INDEX(Fit_Matrix!$B:$B,MATCH(P717,Fit_Matrix!$A:$A,0))),"CHECK KEY"))</f>
        <v/>
      </c>
    </row>
    <row r="718" customFormat="false" ht="15" hidden="false" customHeight="true" outlineLevel="0" collapsed="false">
      <c r="P718" s="1" t="str">
        <f aca="false">IF(OR(F718="",H718="",J718=""),"",J718&amp;"|"&amp;F718&amp;"|"&amp;IF(H718="W3","W3_"&amp;IF(I718="","unknown",I718),H718))</f>
        <v/>
      </c>
      <c r="Q718" s="1" t="str">
        <f aca="false">IF(P718="","",IFERROR(IF(AND(H718="W7",OR(F718="causal",F718="predictive")),IF(AND(K718=1,L718=1,M718=1),"adequate","partial"),INDEX(Fit_Matrix!$B:$B,MATCH(P718,Fit_Matrix!$A:$A,0))),"CHECK KEY"))</f>
        <v/>
      </c>
    </row>
    <row r="719" customFormat="false" ht="15" hidden="false" customHeight="true" outlineLevel="0" collapsed="false">
      <c r="P719" s="1" t="str">
        <f aca="false">IF(OR(F719="",H719="",J719=""),"",J719&amp;"|"&amp;F719&amp;"|"&amp;IF(H719="W3","W3_"&amp;IF(I719="","unknown",I719),H719))</f>
        <v/>
      </c>
      <c r="Q719" s="1" t="str">
        <f aca="false">IF(P719="","",IFERROR(IF(AND(H719="W7",OR(F719="causal",F719="predictive")),IF(AND(K719=1,L719=1,M719=1),"adequate","partial"),INDEX(Fit_Matrix!$B:$B,MATCH(P719,Fit_Matrix!$A:$A,0))),"CHECK KEY"))</f>
        <v/>
      </c>
    </row>
    <row r="720" customFormat="false" ht="15" hidden="false" customHeight="true" outlineLevel="0" collapsed="false">
      <c r="P720" s="1" t="str">
        <f aca="false">IF(OR(F720="",H720="",J720=""),"",J720&amp;"|"&amp;F720&amp;"|"&amp;IF(H720="W3","W3_"&amp;IF(I720="","unknown",I720),H720))</f>
        <v/>
      </c>
      <c r="Q720" s="1" t="str">
        <f aca="false">IF(P720="","",IFERROR(IF(AND(H720="W7",OR(F720="causal",F720="predictive")),IF(AND(K720=1,L720=1,M720=1),"adequate","partial"),INDEX(Fit_Matrix!$B:$B,MATCH(P720,Fit_Matrix!$A:$A,0))),"CHECK KEY"))</f>
        <v/>
      </c>
    </row>
    <row r="721" customFormat="false" ht="15" hidden="false" customHeight="true" outlineLevel="0" collapsed="false">
      <c r="P721" s="1" t="str">
        <f aca="false">IF(OR(F721="",H721="",J721=""),"",J721&amp;"|"&amp;F721&amp;"|"&amp;IF(H721="W3","W3_"&amp;IF(I721="","unknown",I721),H721))</f>
        <v/>
      </c>
      <c r="Q721" s="1" t="str">
        <f aca="false">IF(P721="","",IFERROR(IF(AND(H721="W7",OR(F721="causal",F721="predictive")),IF(AND(K721=1,L721=1,M721=1),"adequate","partial"),INDEX(Fit_Matrix!$B:$B,MATCH(P721,Fit_Matrix!$A:$A,0))),"CHECK KEY"))</f>
        <v/>
      </c>
    </row>
    <row r="722" customFormat="false" ht="15" hidden="false" customHeight="true" outlineLevel="0" collapsed="false">
      <c r="P722" s="1" t="str">
        <f aca="false">IF(OR(F722="",H722="",J722=""),"",J722&amp;"|"&amp;F722&amp;"|"&amp;IF(H722="W3","W3_"&amp;IF(I722="","unknown",I722),H722))</f>
        <v/>
      </c>
      <c r="Q722" s="1" t="str">
        <f aca="false">IF(P722="","",IFERROR(IF(AND(H722="W7",OR(F722="causal",F722="predictive")),IF(AND(K722=1,L722=1,M722=1),"adequate","partial"),INDEX(Fit_Matrix!$B:$B,MATCH(P722,Fit_Matrix!$A:$A,0))),"CHECK KEY"))</f>
        <v/>
      </c>
    </row>
    <row r="723" customFormat="false" ht="15" hidden="false" customHeight="true" outlineLevel="0" collapsed="false">
      <c r="P723" s="1" t="str">
        <f aca="false">IF(OR(F723="",H723="",J723=""),"",J723&amp;"|"&amp;F723&amp;"|"&amp;IF(H723="W3","W3_"&amp;IF(I723="","unknown",I723),H723))</f>
        <v/>
      </c>
      <c r="Q723" s="1" t="str">
        <f aca="false">IF(P723="","",IFERROR(IF(AND(H723="W7",OR(F723="causal",F723="predictive")),IF(AND(K723=1,L723=1,M723=1),"adequate","partial"),INDEX(Fit_Matrix!$B:$B,MATCH(P723,Fit_Matrix!$A:$A,0))),"CHECK KEY"))</f>
        <v/>
      </c>
    </row>
    <row r="724" customFormat="false" ht="15" hidden="false" customHeight="true" outlineLevel="0" collapsed="false">
      <c r="P724" s="1" t="str">
        <f aca="false">IF(OR(F724="",H724="",J724=""),"",J724&amp;"|"&amp;F724&amp;"|"&amp;IF(H724="W3","W3_"&amp;IF(I724="","unknown",I724),H724))</f>
        <v/>
      </c>
      <c r="Q724" s="1" t="str">
        <f aca="false">IF(P724="","",IFERROR(IF(AND(H724="W7",OR(F724="causal",F724="predictive")),IF(AND(K724=1,L724=1,M724=1),"adequate","partial"),INDEX(Fit_Matrix!$B:$B,MATCH(P724,Fit_Matrix!$A:$A,0))),"CHECK KEY"))</f>
        <v/>
      </c>
    </row>
    <row r="725" customFormat="false" ht="15" hidden="false" customHeight="true" outlineLevel="0" collapsed="false">
      <c r="P725" s="1" t="str">
        <f aca="false">IF(OR(F725="",H725="",J725=""),"",J725&amp;"|"&amp;F725&amp;"|"&amp;IF(H725="W3","W3_"&amp;IF(I725="","unknown",I725),H725))</f>
        <v/>
      </c>
      <c r="Q725" s="1" t="str">
        <f aca="false">IF(P725="","",IFERROR(IF(AND(H725="W7",OR(F725="causal",F725="predictive")),IF(AND(K725=1,L725=1,M725=1),"adequate","partial"),INDEX(Fit_Matrix!$B:$B,MATCH(P725,Fit_Matrix!$A:$A,0))),"CHECK KEY"))</f>
        <v/>
      </c>
    </row>
    <row r="726" customFormat="false" ht="15" hidden="false" customHeight="true" outlineLevel="0" collapsed="false">
      <c r="P726" s="1" t="str">
        <f aca="false">IF(OR(F726="",H726="",J726=""),"",J726&amp;"|"&amp;F726&amp;"|"&amp;IF(H726="W3","W3_"&amp;IF(I726="","unknown",I726),H726))</f>
        <v/>
      </c>
      <c r="Q726" s="1" t="str">
        <f aca="false">IF(P726="","",IFERROR(IF(AND(H726="W7",OR(F726="causal",F726="predictive")),IF(AND(K726=1,L726=1,M726=1),"adequate","partial"),INDEX(Fit_Matrix!$B:$B,MATCH(P726,Fit_Matrix!$A:$A,0))),"CHECK KEY"))</f>
        <v/>
      </c>
    </row>
    <row r="727" customFormat="false" ht="15" hidden="false" customHeight="true" outlineLevel="0" collapsed="false">
      <c r="P727" s="1" t="str">
        <f aca="false">IF(OR(F727="",H727="",J727=""),"",J727&amp;"|"&amp;F727&amp;"|"&amp;IF(H727="W3","W3_"&amp;IF(I727="","unknown",I727),H727))</f>
        <v/>
      </c>
      <c r="Q727" s="1" t="str">
        <f aca="false">IF(P727="","",IFERROR(IF(AND(H727="W7",OR(F727="causal",F727="predictive")),IF(AND(K727=1,L727=1,M727=1),"adequate","partial"),INDEX(Fit_Matrix!$B:$B,MATCH(P727,Fit_Matrix!$A:$A,0))),"CHECK KEY"))</f>
        <v/>
      </c>
    </row>
    <row r="728" customFormat="false" ht="15" hidden="false" customHeight="true" outlineLevel="0" collapsed="false">
      <c r="P728" s="1" t="str">
        <f aca="false">IF(OR(F728="",H728="",J728=""),"",J728&amp;"|"&amp;F728&amp;"|"&amp;IF(H728="W3","W3_"&amp;IF(I728="","unknown",I728),H728))</f>
        <v/>
      </c>
      <c r="Q728" s="1" t="str">
        <f aca="false">IF(P728="","",IFERROR(IF(AND(H728="W7",OR(F728="causal",F728="predictive")),IF(AND(K728=1,L728=1,M728=1),"adequate","partial"),INDEX(Fit_Matrix!$B:$B,MATCH(P728,Fit_Matrix!$A:$A,0))),"CHECK KEY"))</f>
        <v/>
      </c>
    </row>
    <row r="729" customFormat="false" ht="15" hidden="false" customHeight="true" outlineLevel="0" collapsed="false">
      <c r="P729" s="1" t="str">
        <f aca="false">IF(OR(F729="",H729="",J729=""),"",J729&amp;"|"&amp;F729&amp;"|"&amp;IF(H729="W3","W3_"&amp;IF(I729="","unknown",I729),H729))</f>
        <v/>
      </c>
      <c r="Q729" s="1" t="str">
        <f aca="false">IF(P729="","",IFERROR(IF(AND(H729="W7",OR(F729="causal",F729="predictive")),IF(AND(K729=1,L729=1,M729=1),"adequate","partial"),INDEX(Fit_Matrix!$B:$B,MATCH(P729,Fit_Matrix!$A:$A,0))),"CHECK KEY"))</f>
        <v/>
      </c>
    </row>
    <row r="730" customFormat="false" ht="15" hidden="false" customHeight="true" outlineLevel="0" collapsed="false">
      <c r="P730" s="1" t="str">
        <f aca="false">IF(OR(F730="",H730="",J730=""),"",J730&amp;"|"&amp;F730&amp;"|"&amp;IF(H730="W3","W3_"&amp;IF(I730="","unknown",I730),H730))</f>
        <v/>
      </c>
      <c r="Q730" s="1" t="str">
        <f aca="false">IF(P730="","",IFERROR(IF(AND(H730="W7",OR(F730="causal",F730="predictive")),IF(AND(K730=1,L730=1,M730=1),"adequate","partial"),INDEX(Fit_Matrix!$B:$B,MATCH(P730,Fit_Matrix!$A:$A,0))),"CHECK KEY"))</f>
        <v/>
      </c>
    </row>
    <row r="731" customFormat="false" ht="15" hidden="false" customHeight="true" outlineLevel="0" collapsed="false">
      <c r="P731" s="1" t="str">
        <f aca="false">IF(OR(F731="",H731="",J731=""),"",J731&amp;"|"&amp;F731&amp;"|"&amp;IF(H731="W3","W3_"&amp;IF(I731="","unknown",I731),H731))</f>
        <v/>
      </c>
      <c r="Q731" s="1" t="str">
        <f aca="false">IF(P731="","",IFERROR(IF(AND(H731="W7",OR(F731="causal",F731="predictive")),IF(AND(K731=1,L731=1,M731=1),"adequate","partial"),INDEX(Fit_Matrix!$B:$B,MATCH(P731,Fit_Matrix!$A:$A,0))),"CHECK KEY"))</f>
        <v/>
      </c>
    </row>
    <row r="732" customFormat="false" ht="15" hidden="false" customHeight="true" outlineLevel="0" collapsed="false">
      <c r="P732" s="1" t="str">
        <f aca="false">IF(OR(F732="",H732="",J732=""),"",J732&amp;"|"&amp;F732&amp;"|"&amp;IF(H732="W3","W3_"&amp;IF(I732="","unknown",I732),H732))</f>
        <v/>
      </c>
      <c r="Q732" s="1" t="str">
        <f aca="false">IF(P732="","",IFERROR(IF(AND(H732="W7",OR(F732="causal",F732="predictive")),IF(AND(K732=1,L732=1,M732=1),"adequate","partial"),INDEX(Fit_Matrix!$B:$B,MATCH(P732,Fit_Matrix!$A:$A,0))),"CHECK KEY"))</f>
        <v/>
      </c>
    </row>
    <row r="733" customFormat="false" ht="15" hidden="false" customHeight="true" outlineLevel="0" collapsed="false">
      <c r="P733" s="1" t="str">
        <f aca="false">IF(OR(F733="",H733="",J733=""),"",J733&amp;"|"&amp;F733&amp;"|"&amp;IF(H733="W3","W3_"&amp;IF(I733="","unknown",I733),H733))</f>
        <v/>
      </c>
      <c r="Q733" s="1" t="str">
        <f aca="false">IF(P733="","",IFERROR(IF(AND(H733="W7",OR(F733="causal",F733="predictive")),IF(AND(K733=1,L733=1,M733=1),"adequate","partial"),INDEX(Fit_Matrix!$B:$B,MATCH(P733,Fit_Matrix!$A:$A,0))),"CHECK KEY"))</f>
        <v/>
      </c>
    </row>
    <row r="734" customFormat="false" ht="15" hidden="false" customHeight="true" outlineLevel="0" collapsed="false">
      <c r="P734" s="1" t="str">
        <f aca="false">IF(OR(F734="",H734="",J734=""),"",J734&amp;"|"&amp;F734&amp;"|"&amp;IF(H734="W3","W3_"&amp;IF(I734="","unknown",I734),H734))</f>
        <v/>
      </c>
      <c r="Q734" s="1" t="str">
        <f aca="false">IF(P734="","",IFERROR(IF(AND(H734="W7",OR(F734="causal",F734="predictive")),IF(AND(K734=1,L734=1,M734=1),"adequate","partial"),INDEX(Fit_Matrix!$B:$B,MATCH(P734,Fit_Matrix!$A:$A,0))),"CHECK KEY"))</f>
        <v/>
      </c>
    </row>
    <row r="735" customFormat="false" ht="15" hidden="false" customHeight="true" outlineLevel="0" collapsed="false">
      <c r="P735" s="1" t="str">
        <f aca="false">IF(OR(F735="",H735="",J735=""),"",J735&amp;"|"&amp;F735&amp;"|"&amp;IF(H735="W3","W3_"&amp;IF(I735="","unknown",I735),H735))</f>
        <v/>
      </c>
      <c r="Q735" s="1" t="str">
        <f aca="false">IF(P735="","",IFERROR(IF(AND(H735="W7",OR(F735="causal",F735="predictive")),IF(AND(K735=1,L735=1,M735=1),"adequate","partial"),INDEX(Fit_Matrix!$B:$B,MATCH(P735,Fit_Matrix!$A:$A,0))),"CHECK KEY"))</f>
        <v/>
      </c>
    </row>
    <row r="736" customFormat="false" ht="15" hidden="false" customHeight="true" outlineLevel="0" collapsed="false">
      <c r="P736" s="1" t="str">
        <f aca="false">IF(OR(F736="",H736="",J736=""),"",J736&amp;"|"&amp;F736&amp;"|"&amp;IF(H736="W3","W3_"&amp;IF(I736="","unknown",I736),H736))</f>
        <v/>
      </c>
      <c r="Q736" s="1" t="str">
        <f aca="false">IF(P736="","",IFERROR(IF(AND(H736="W7",OR(F736="causal",F736="predictive")),IF(AND(K736=1,L736=1,M736=1),"adequate","partial"),INDEX(Fit_Matrix!$B:$B,MATCH(P736,Fit_Matrix!$A:$A,0))),"CHECK KEY"))</f>
        <v/>
      </c>
    </row>
    <row r="737" customFormat="false" ht="15" hidden="false" customHeight="true" outlineLevel="0" collapsed="false">
      <c r="P737" s="1" t="str">
        <f aca="false">IF(OR(F737="",H737="",J737=""),"",J737&amp;"|"&amp;F737&amp;"|"&amp;IF(H737="W3","W3_"&amp;IF(I737="","unknown",I737),H737))</f>
        <v/>
      </c>
      <c r="Q737" s="1" t="str">
        <f aca="false">IF(P737="","",IFERROR(IF(AND(H737="W7",OR(F737="causal",F737="predictive")),IF(AND(K737=1,L737=1,M737=1),"adequate","partial"),INDEX(Fit_Matrix!$B:$B,MATCH(P737,Fit_Matrix!$A:$A,0))),"CHECK KEY"))</f>
        <v/>
      </c>
    </row>
    <row r="738" customFormat="false" ht="15" hidden="false" customHeight="true" outlineLevel="0" collapsed="false">
      <c r="P738" s="1" t="str">
        <f aca="false">IF(OR(F738="",H738="",J738=""),"",J738&amp;"|"&amp;F738&amp;"|"&amp;IF(H738="W3","W3_"&amp;IF(I738="","unknown",I738),H738))</f>
        <v/>
      </c>
      <c r="Q738" s="1" t="str">
        <f aca="false">IF(P738="","",IFERROR(IF(AND(H738="W7",OR(F738="causal",F738="predictive")),IF(AND(K738=1,L738=1,M738=1),"adequate","partial"),INDEX(Fit_Matrix!$B:$B,MATCH(P738,Fit_Matrix!$A:$A,0))),"CHECK KEY"))</f>
        <v/>
      </c>
    </row>
    <row r="739" customFormat="false" ht="15" hidden="false" customHeight="true" outlineLevel="0" collapsed="false">
      <c r="P739" s="1" t="str">
        <f aca="false">IF(OR(F739="",H739="",J739=""),"",J739&amp;"|"&amp;F739&amp;"|"&amp;IF(H739="W3","W3_"&amp;IF(I739="","unknown",I739),H739))</f>
        <v/>
      </c>
      <c r="Q739" s="1" t="str">
        <f aca="false">IF(P739="","",IFERROR(IF(AND(H739="W7",OR(F739="causal",F739="predictive")),IF(AND(K739=1,L739=1,M739=1),"adequate","partial"),INDEX(Fit_Matrix!$B:$B,MATCH(P739,Fit_Matrix!$A:$A,0))),"CHECK KEY"))</f>
        <v/>
      </c>
    </row>
    <row r="740" customFormat="false" ht="15" hidden="false" customHeight="true" outlineLevel="0" collapsed="false">
      <c r="P740" s="1" t="str">
        <f aca="false">IF(OR(F740="",H740="",J740=""),"",J740&amp;"|"&amp;F740&amp;"|"&amp;IF(H740="W3","W3_"&amp;IF(I740="","unknown",I740),H740))</f>
        <v/>
      </c>
      <c r="Q740" s="1" t="str">
        <f aca="false">IF(P740="","",IFERROR(IF(AND(H740="W7",OR(F740="causal",F740="predictive")),IF(AND(K740=1,L740=1,M740=1),"adequate","partial"),INDEX(Fit_Matrix!$B:$B,MATCH(P740,Fit_Matrix!$A:$A,0))),"CHECK KEY"))</f>
        <v/>
      </c>
    </row>
    <row r="741" customFormat="false" ht="15" hidden="false" customHeight="true" outlineLevel="0" collapsed="false">
      <c r="P741" s="1" t="str">
        <f aca="false">IF(OR(F741="",H741="",J741=""),"",J741&amp;"|"&amp;F741&amp;"|"&amp;IF(H741="W3","W3_"&amp;IF(I741="","unknown",I741),H741))</f>
        <v/>
      </c>
      <c r="Q741" s="1" t="str">
        <f aca="false">IF(P741="","",IFERROR(IF(AND(H741="W7",OR(F741="causal",F741="predictive")),IF(AND(K741=1,L741=1,M741=1),"adequate","partial"),INDEX(Fit_Matrix!$B:$B,MATCH(P741,Fit_Matrix!$A:$A,0))),"CHECK KEY"))</f>
        <v/>
      </c>
    </row>
    <row r="742" customFormat="false" ht="15" hidden="false" customHeight="true" outlineLevel="0" collapsed="false">
      <c r="P742" s="1" t="str">
        <f aca="false">IF(OR(F742="",H742="",J742=""),"",J742&amp;"|"&amp;F742&amp;"|"&amp;IF(H742="W3","W3_"&amp;IF(I742="","unknown",I742),H742))</f>
        <v/>
      </c>
      <c r="Q742" s="1" t="str">
        <f aca="false">IF(P742="","",IFERROR(IF(AND(H742="W7",OR(F742="causal",F742="predictive")),IF(AND(K742=1,L742=1,M742=1),"adequate","partial"),INDEX(Fit_Matrix!$B:$B,MATCH(P742,Fit_Matrix!$A:$A,0))),"CHECK KEY"))</f>
        <v/>
      </c>
    </row>
    <row r="743" customFormat="false" ht="15" hidden="false" customHeight="true" outlineLevel="0" collapsed="false">
      <c r="P743" s="1" t="str">
        <f aca="false">IF(OR(F743="",H743="",J743=""),"",J743&amp;"|"&amp;F743&amp;"|"&amp;IF(H743="W3","W3_"&amp;IF(I743="","unknown",I743),H743))</f>
        <v/>
      </c>
      <c r="Q743" s="1" t="str">
        <f aca="false">IF(P743="","",IFERROR(IF(AND(H743="W7",OR(F743="causal",F743="predictive")),IF(AND(K743=1,L743=1,M743=1),"adequate","partial"),INDEX(Fit_Matrix!$B:$B,MATCH(P743,Fit_Matrix!$A:$A,0))),"CHECK KEY"))</f>
        <v/>
      </c>
    </row>
    <row r="744" customFormat="false" ht="15" hidden="false" customHeight="true" outlineLevel="0" collapsed="false">
      <c r="P744" s="1" t="str">
        <f aca="false">IF(OR(F744="",H744="",J744=""),"",J744&amp;"|"&amp;F744&amp;"|"&amp;IF(H744="W3","W3_"&amp;IF(I744="","unknown",I744),H744))</f>
        <v/>
      </c>
      <c r="Q744" s="1" t="str">
        <f aca="false">IF(P744="","",IFERROR(IF(AND(H744="W7",OR(F744="causal",F744="predictive")),IF(AND(K744=1,L744=1,M744=1),"adequate","partial"),INDEX(Fit_Matrix!$B:$B,MATCH(P744,Fit_Matrix!$A:$A,0))),"CHECK KEY"))</f>
        <v/>
      </c>
    </row>
    <row r="745" customFormat="false" ht="15" hidden="false" customHeight="true" outlineLevel="0" collapsed="false">
      <c r="P745" s="1" t="str">
        <f aca="false">IF(OR(F745="",H745="",J745=""),"",J745&amp;"|"&amp;F745&amp;"|"&amp;IF(H745="W3","W3_"&amp;IF(I745="","unknown",I745),H745))</f>
        <v/>
      </c>
      <c r="Q745" s="1" t="str">
        <f aca="false">IF(P745="","",IFERROR(IF(AND(H745="W7",OR(F745="causal",F745="predictive")),IF(AND(K745=1,L745=1,M745=1),"adequate","partial"),INDEX(Fit_Matrix!$B:$B,MATCH(P745,Fit_Matrix!$A:$A,0))),"CHECK KEY"))</f>
        <v/>
      </c>
    </row>
    <row r="746" customFormat="false" ht="15" hidden="false" customHeight="true" outlineLevel="0" collapsed="false">
      <c r="P746" s="1" t="str">
        <f aca="false">IF(OR(F746="",H746="",J746=""),"",J746&amp;"|"&amp;F746&amp;"|"&amp;IF(H746="W3","W3_"&amp;IF(I746="","unknown",I746),H746))</f>
        <v/>
      </c>
      <c r="Q746" s="1" t="str">
        <f aca="false">IF(P746="","",IFERROR(IF(AND(H746="W7",OR(F746="causal",F746="predictive")),IF(AND(K746=1,L746=1,M746=1),"adequate","partial"),INDEX(Fit_Matrix!$B:$B,MATCH(P746,Fit_Matrix!$A:$A,0))),"CHECK KEY"))</f>
        <v/>
      </c>
    </row>
    <row r="747" customFormat="false" ht="15" hidden="false" customHeight="true" outlineLevel="0" collapsed="false">
      <c r="P747" s="1" t="str">
        <f aca="false">IF(OR(F747="",H747="",J747=""),"",J747&amp;"|"&amp;F747&amp;"|"&amp;IF(H747="W3","W3_"&amp;IF(I747="","unknown",I747),H747))</f>
        <v/>
      </c>
      <c r="Q747" s="1" t="str">
        <f aca="false">IF(P747="","",IFERROR(IF(AND(H747="W7",OR(F747="causal",F747="predictive")),IF(AND(K747=1,L747=1,M747=1),"adequate","partial"),INDEX(Fit_Matrix!$B:$B,MATCH(P747,Fit_Matrix!$A:$A,0))),"CHECK KEY"))</f>
        <v/>
      </c>
    </row>
    <row r="748" customFormat="false" ht="15" hidden="false" customHeight="true" outlineLevel="0" collapsed="false">
      <c r="P748" s="1" t="str">
        <f aca="false">IF(OR(F748="",H748="",J748=""),"",J748&amp;"|"&amp;F748&amp;"|"&amp;IF(H748="W3","W3_"&amp;IF(I748="","unknown",I748),H748))</f>
        <v/>
      </c>
      <c r="Q748" s="1" t="str">
        <f aca="false">IF(P748="","",IFERROR(IF(AND(H748="W7",OR(F748="causal",F748="predictive")),IF(AND(K748=1,L748=1,M748=1),"adequate","partial"),INDEX(Fit_Matrix!$B:$B,MATCH(P748,Fit_Matrix!$A:$A,0))),"CHECK KEY"))</f>
        <v/>
      </c>
    </row>
    <row r="749" customFormat="false" ht="15" hidden="false" customHeight="true" outlineLevel="0" collapsed="false">
      <c r="P749" s="1" t="str">
        <f aca="false">IF(OR(F749="",H749="",J749=""),"",J749&amp;"|"&amp;F749&amp;"|"&amp;IF(H749="W3","W3_"&amp;IF(I749="","unknown",I749),H749))</f>
        <v/>
      </c>
      <c r="Q749" s="1" t="str">
        <f aca="false">IF(P749="","",IFERROR(IF(AND(H749="W7",OR(F749="causal",F749="predictive")),IF(AND(K749=1,L749=1,M749=1),"adequate","partial"),INDEX(Fit_Matrix!$B:$B,MATCH(P749,Fit_Matrix!$A:$A,0))),"CHECK KEY"))</f>
        <v/>
      </c>
    </row>
    <row r="750" customFormat="false" ht="15" hidden="false" customHeight="true" outlineLevel="0" collapsed="false">
      <c r="P750" s="1" t="str">
        <f aca="false">IF(OR(F750="",H750="",J750=""),"",J750&amp;"|"&amp;F750&amp;"|"&amp;IF(H750="W3","W3_"&amp;IF(I750="","unknown",I750),H750))</f>
        <v/>
      </c>
      <c r="Q750" s="1" t="str">
        <f aca="false">IF(P750="","",IFERROR(IF(AND(H750="W7",OR(F750="causal",F750="predictive")),IF(AND(K750=1,L750=1,M750=1),"adequate","partial"),INDEX(Fit_Matrix!$B:$B,MATCH(P750,Fit_Matrix!$A:$A,0))),"CHECK KEY"))</f>
        <v/>
      </c>
    </row>
    <row r="751" customFormat="false" ht="15" hidden="false" customHeight="true" outlineLevel="0" collapsed="false">
      <c r="P751" s="1" t="str">
        <f aca="false">IF(OR(F751="",H751="",J751=""),"",J751&amp;"|"&amp;F751&amp;"|"&amp;IF(H751="W3","W3_"&amp;IF(I751="","unknown",I751),H751))</f>
        <v/>
      </c>
      <c r="Q751" s="1" t="str">
        <f aca="false">IF(P751="","",IFERROR(IF(AND(H751="W7",OR(F751="causal",F751="predictive")),IF(AND(K751=1,L751=1,M751=1),"adequate","partial"),INDEX(Fit_Matrix!$B:$B,MATCH(P751,Fit_Matrix!$A:$A,0))),"CHECK KEY"))</f>
        <v/>
      </c>
    </row>
    <row r="752" customFormat="false" ht="15" hidden="false" customHeight="true" outlineLevel="0" collapsed="false">
      <c r="P752" s="1" t="str">
        <f aca="false">IF(OR(F752="",H752="",J752=""),"",J752&amp;"|"&amp;F752&amp;"|"&amp;IF(H752="W3","W3_"&amp;IF(I752="","unknown",I752),H752))</f>
        <v/>
      </c>
      <c r="Q752" s="1" t="str">
        <f aca="false">IF(P752="","",IFERROR(IF(AND(H752="W7",OR(F752="causal",F752="predictive")),IF(AND(K752=1,L752=1,M752=1),"adequate","partial"),INDEX(Fit_Matrix!$B:$B,MATCH(P752,Fit_Matrix!$A:$A,0))),"CHECK KEY"))</f>
        <v/>
      </c>
    </row>
    <row r="753" customFormat="false" ht="15" hidden="false" customHeight="true" outlineLevel="0" collapsed="false">
      <c r="P753" s="1" t="str">
        <f aca="false">IF(OR(F753="",H753="",J753=""),"",J753&amp;"|"&amp;F753&amp;"|"&amp;IF(H753="W3","W3_"&amp;IF(I753="","unknown",I753),H753))</f>
        <v/>
      </c>
      <c r="Q753" s="1" t="str">
        <f aca="false">IF(P753="","",IFERROR(IF(AND(H753="W7",OR(F753="causal",F753="predictive")),IF(AND(K753=1,L753=1,M753=1),"adequate","partial"),INDEX(Fit_Matrix!$B:$B,MATCH(P753,Fit_Matrix!$A:$A,0))),"CHECK KEY"))</f>
        <v/>
      </c>
    </row>
    <row r="754" customFormat="false" ht="15" hidden="false" customHeight="true" outlineLevel="0" collapsed="false">
      <c r="P754" s="1" t="str">
        <f aca="false">IF(OR(F754="",H754="",J754=""),"",J754&amp;"|"&amp;F754&amp;"|"&amp;IF(H754="W3","W3_"&amp;IF(I754="","unknown",I754),H754))</f>
        <v/>
      </c>
      <c r="Q754" s="1" t="str">
        <f aca="false">IF(P754="","",IFERROR(IF(AND(H754="W7",OR(F754="causal",F754="predictive")),IF(AND(K754=1,L754=1,M754=1),"adequate","partial"),INDEX(Fit_Matrix!$B:$B,MATCH(P754,Fit_Matrix!$A:$A,0))),"CHECK KEY"))</f>
        <v/>
      </c>
    </row>
    <row r="755" customFormat="false" ht="15" hidden="false" customHeight="true" outlineLevel="0" collapsed="false">
      <c r="P755" s="1" t="str">
        <f aca="false">IF(OR(F755="",H755="",J755=""),"",J755&amp;"|"&amp;F755&amp;"|"&amp;IF(H755="W3","W3_"&amp;IF(I755="","unknown",I755),H755))</f>
        <v/>
      </c>
      <c r="Q755" s="1" t="str">
        <f aca="false">IF(P755="","",IFERROR(IF(AND(H755="W7",OR(F755="causal",F755="predictive")),IF(AND(K755=1,L755=1,M755=1),"adequate","partial"),INDEX(Fit_Matrix!$B:$B,MATCH(P755,Fit_Matrix!$A:$A,0))),"CHECK KEY"))</f>
        <v/>
      </c>
    </row>
    <row r="756" customFormat="false" ht="15" hidden="false" customHeight="true" outlineLevel="0" collapsed="false">
      <c r="P756" s="1" t="str">
        <f aca="false">IF(OR(F756="",H756="",J756=""),"",J756&amp;"|"&amp;F756&amp;"|"&amp;IF(H756="W3","W3_"&amp;IF(I756="","unknown",I756),H756))</f>
        <v/>
      </c>
      <c r="Q756" s="1" t="str">
        <f aca="false">IF(P756="","",IFERROR(IF(AND(H756="W7",OR(F756="causal",F756="predictive")),IF(AND(K756=1,L756=1,M756=1),"adequate","partial"),INDEX(Fit_Matrix!$B:$B,MATCH(P756,Fit_Matrix!$A:$A,0))),"CHECK KEY"))</f>
        <v/>
      </c>
    </row>
    <row r="757" customFormat="false" ht="15" hidden="false" customHeight="true" outlineLevel="0" collapsed="false">
      <c r="P757" s="1" t="str">
        <f aca="false">IF(OR(F757="",H757="",J757=""),"",J757&amp;"|"&amp;F757&amp;"|"&amp;IF(H757="W3","W3_"&amp;IF(I757="","unknown",I757),H757))</f>
        <v/>
      </c>
      <c r="Q757" s="1" t="str">
        <f aca="false">IF(P757="","",IFERROR(IF(AND(H757="W7",OR(F757="causal",F757="predictive")),IF(AND(K757=1,L757=1,M757=1),"adequate","partial"),INDEX(Fit_Matrix!$B:$B,MATCH(P757,Fit_Matrix!$A:$A,0))),"CHECK KEY"))</f>
        <v/>
      </c>
    </row>
    <row r="758" customFormat="false" ht="15" hidden="false" customHeight="true" outlineLevel="0" collapsed="false">
      <c r="P758" s="1" t="str">
        <f aca="false">IF(OR(F758="",H758="",J758=""),"",J758&amp;"|"&amp;F758&amp;"|"&amp;IF(H758="W3","W3_"&amp;IF(I758="","unknown",I758),H758))</f>
        <v/>
      </c>
      <c r="Q758" s="1" t="str">
        <f aca="false">IF(P758="","",IFERROR(IF(AND(H758="W7",OR(F758="causal",F758="predictive")),IF(AND(K758=1,L758=1,M758=1),"adequate","partial"),INDEX(Fit_Matrix!$B:$B,MATCH(P758,Fit_Matrix!$A:$A,0))),"CHECK KEY"))</f>
        <v/>
      </c>
    </row>
    <row r="759" customFormat="false" ht="15" hidden="false" customHeight="true" outlineLevel="0" collapsed="false">
      <c r="P759" s="1" t="str">
        <f aca="false">IF(OR(F759="",H759="",J759=""),"",J759&amp;"|"&amp;F759&amp;"|"&amp;IF(H759="W3","W3_"&amp;IF(I759="","unknown",I759),H759))</f>
        <v/>
      </c>
      <c r="Q759" s="1" t="str">
        <f aca="false">IF(P759="","",IFERROR(IF(AND(H759="W7",OR(F759="causal",F759="predictive")),IF(AND(K759=1,L759=1,M759=1),"adequate","partial"),INDEX(Fit_Matrix!$B:$B,MATCH(P759,Fit_Matrix!$A:$A,0))),"CHECK KEY"))</f>
        <v/>
      </c>
    </row>
    <row r="760" customFormat="false" ht="15" hidden="false" customHeight="true" outlineLevel="0" collapsed="false">
      <c r="P760" s="1" t="str">
        <f aca="false">IF(OR(F760="",H760="",J760=""),"",J760&amp;"|"&amp;F760&amp;"|"&amp;IF(H760="W3","W3_"&amp;IF(I760="","unknown",I760),H760))</f>
        <v/>
      </c>
      <c r="Q760" s="1" t="str">
        <f aca="false">IF(P760="","",IFERROR(IF(AND(H760="W7",OR(F760="causal",F760="predictive")),IF(AND(K760=1,L760=1,M760=1),"adequate","partial"),INDEX(Fit_Matrix!$B:$B,MATCH(P760,Fit_Matrix!$A:$A,0))),"CHECK KEY"))</f>
        <v/>
      </c>
    </row>
    <row r="761" customFormat="false" ht="15" hidden="false" customHeight="true" outlineLevel="0" collapsed="false">
      <c r="P761" s="1" t="str">
        <f aca="false">IF(OR(F761="",H761="",J761=""),"",J761&amp;"|"&amp;F761&amp;"|"&amp;IF(H761="W3","W3_"&amp;IF(I761="","unknown",I761),H761))</f>
        <v/>
      </c>
      <c r="Q761" s="1" t="str">
        <f aca="false">IF(P761="","",IFERROR(IF(AND(H761="W7",OR(F761="causal",F761="predictive")),IF(AND(K761=1,L761=1,M761=1),"adequate","partial"),INDEX(Fit_Matrix!$B:$B,MATCH(P761,Fit_Matrix!$A:$A,0))),"CHECK KEY"))</f>
        <v/>
      </c>
    </row>
    <row r="762" customFormat="false" ht="15" hidden="false" customHeight="true" outlineLevel="0" collapsed="false">
      <c r="P762" s="1" t="str">
        <f aca="false">IF(OR(F762="",H762="",J762=""),"",J762&amp;"|"&amp;F762&amp;"|"&amp;IF(H762="W3","W3_"&amp;IF(I762="","unknown",I762),H762))</f>
        <v/>
      </c>
      <c r="Q762" s="1" t="str">
        <f aca="false">IF(P762="","",IFERROR(IF(AND(H762="W7",OR(F762="causal",F762="predictive")),IF(AND(K762=1,L762=1,M762=1),"adequate","partial"),INDEX(Fit_Matrix!$B:$B,MATCH(P762,Fit_Matrix!$A:$A,0))),"CHECK KEY"))</f>
        <v/>
      </c>
    </row>
    <row r="763" customFormat="false" ht="15" hidden="false" customHeight="true" outlineLevel="0" collapsed="false">
      <c r="P763" s="1" t="str">
        <f aca="false">IF(OR(F763="",H763="",J763=""),"",J763&amp;"|"&amp;F763&amp;"|"&amp;IF(H763="W3","W3_"&amp;IF(I763="","unknown",I763),H763))</f>
        <v/>
      </c>
      <c r="Q763" s="1" t="str">
        <f aca="false">IF(P763="","",IFERROR(IF(AND(H763="W7",OR(F763="causal",F763="predictive")),IF(AND(K763=1,L763=1,M763=1),"adequate","partial"),INDEX(Fit_Matrix!$B:$B,MATCH(P763,Fit_Matrix!$A:$A,0))),"CHECK KEY"))</f>
        <v/>
      </c>
    </row>
    <row r="764" customFormat="false" ht="15" hidden="false" customHeight="true" outlineLevel="0" collapsed="false">
      <c r="P764" s="1" t="str">
        <f aca="false">IF(OR(F764="",H764="",J764=""),"",J764&amp;"|"&amp;F764&amp;"|"&amp;IF(H764="W3","W3_"&amp;IF(I764="","unknown",I764),H764))</f>
        <v/>
      </c>
      <c r="Q764" s="1" t="str">
        <f aca="false">IF(P764="","",IFERROR(IF(AND(H764="W7",OR(F764="causal",F764="predictive")),IF(AND(K764=1,L764=1,M764=1),"adequate","partial"),INDEX(Fit_Matrix!$B:$B,MATCH(P764,Fit_Matrix!$A:$A,0))),"CHECK KEY"))</f>
        <v/>
      </c>
    </row>
    <row r="765" customFormat="false" ht="15" hidden="false" customHeight="true" outlineLevel="0" collapsed="false">
      <c r="P765" s="1" t="str">
        <f aca="false">IF(OR(F765="",H765="",J765=""),"",J765&amp;"|"&amp;F765&amp;"|"&amp;IF(H765="W3","W3_"&amp;IF(I765="","unknown",I765),H765))</f>
        <v/>
      </c>
      <c r="Q765" s="1" t="str">
        <f aca="false">IF(P765="","",IFERROR(IF(AND(H765="W7",OR(F765="causal",F765="predictive")),IF(AND(K765=1,L765=1,M765=1),"adequate","partial"),INDEX(Fit_Matrix!$B:$B,MATCH(P765,Fit_Matrix!$A:$A,0))),"CHECK KEY"))</f>
        <v/>
      </c>
    </row>
    <row r="766" customFormat="false" ht="15" hidden="false" customHeight="true" outlineLevel="0" collapsed="false">
      <c r="P766" s="1" t="str">
        <f aca="false">IF(OR(F766="",H766="",J766=""),"",J766&amp;"|"&amp;F766&amp;"|"&amp;IF(H766="W3","W3_"&amp;IF(I766="","unknown",I766),H766))</f>
        <v/>
      </c>
      <c r="Q766" s="1" t="str">
        <f aca="false">IF(P766="","",IFERROR(IF(AND(H766="W7",OR(F766="causal",F766="predictive")),IF(AND(K766=1,L766=1,M766=1),"adequate","partial"),INDEX(Fit_Matrix!$B:$B,MATCH(P766,Fit_Matrix!$A:$A,0))),"CHECK KEY"))</f>
        <v/>
      </c>
    </row>
    <row r="767" customFormat="false" ht="15" hidden="false" customHeight="true" outlineLevel="0" collapsed="false">
      <c r="P767" s="1" t="str">
        <f aca="false">IF(OR(F767="",H767="",J767=""),"",J767&amp;"|"&amp;F767&amp;"|"&amp;IF(H767="W3","W3_"&amp;IF(I767="","unknown",I767),H767))</f>
        <v/>
      </c>
      <c r="Q767" s="1" t="str">
        <f aca="false">IF(P767="","",IFERROR(IF(AND(H767="W7",OR(F767="causal",F767="predictive")),IF(AND(K767=1,L767=1,M767=1),"adequate","partial"),INDEX(Fit_Matrix!$B:$B,MATCH(P767,Fit_Matrix!$A:$A,0))),"CHECK KEY"))</f>
        <v/>
      </c>
    </row>
    <row r="768" customFormat="false" ht="15" hidden="false" customHeight="true" outlineLevel="0" collapsed="false">
      <c r="P768" s="1" t="str">
        <f aca="false">IF(OR(F768="",H768="",J768=""),"",J768&amp;"|"&amp;F768&amp;"|"&amp;IF(H768="W3","W3_"&amp;IF(I768="","unknown",I768),H768))</f>
        <v/>
      </c>
      <c r="Q768" s="1" t="str">
        <f aca="false">IF(P768="","",IFERROR(IF(AND(H768="W7",OR(F768="causal",F768="predictive")),IF(AND(K768=1,L768=1,M768=1),"adequate","partial"),INDEX(Fit_Matrix!$B:$B,MATCH(P768,Fit_Matrix!$A:$A,0))),"CHECK KEY"))</f>
        <v/>
      </c>
    </row>
    <row r="769" customFormat="false" ht="15" hidden="false" customHeight="true" outlineLevel="0" collapsed="false">
      <c r="P769" s="1" t="str">
        <f aca="false">IF(OR(F769="",H769="",J769=""),"",J769&amp;"|"&amp;F769&amp;"|"&amp;IF(H769="W3","W3_"&amp;IF(I769="","unknown",I769),H769))</f>
        <v/>
      </c>
      <c r="Q769" s="1" t="str">
        <f aca="false">IF(P769="","",IFERROR(IF(AND(H769="W7",OR(F769="causal",F769="predictive")),IF(AND(K769=1,L769=1,M769=1),"adequate","partial"),INDEX(Fit_Matrix!$B:$B,MATCH(P769,Fit_Matrix!$A:$A,0))),"CHECK KEY"))</f>
        <v/>
      </c>
    </row>
    <row r="770" customFormat="false" ht="15" hidden="false" customHeight="true" outlineLevel="0" collapsed="false">
      <c r="P770" s="1" t="str">
        <f aca="false">IF(OR(F770="",H770="",J770=""),"",J770&amp;"|"&amp;F770&amp;"|"&amp;IF(H770="W3","W3_"&amp;IF(I770="","unknown",I770),H770))</f>
        <v/>
      </c>
      <c r="Q770" s="1" t="str">
        <f aca="false">IF(P770="","",IFERROR(IF(AND(H770="W7",OR(F770="causal",F770="predictive")),IF(AND(K770=1,L770=1,M770=1),"adequate","partial"),INDEX(Fit_Matrix!$B:$B,MATCH(P770,Fit_Matrix!$A:$A,0))),"CHECK KEY"))</f>
        <v/>
      </c>
    </row>
    <row r="771" customFormat="false" ht="15" hidden="false" customHeight="true" outlineLevel="0" collapsed="false">
      <c r="P771" s="1" t="str">
        <f aca="false">IF(OR(F771="",H771="",J771=""),"",J771&amp;"|"&amp;F771&amp;"|"&amp;IF(H771="W3","W3_"&amp;IF(I771="","unknown",I771),H771))</f>
        <v/>
      </c>
      <c r="Q771" s="1" t="str">
        <f aca="false">IF(P771="","",IFERROR(IF(AND(H771="W7",OR(F771="causal",F771="predictive")),IF(AND(K771=1,L771=1,M771=1),"adequate","partial"),INDEX(Fit_Matrix!$B:$B,MATCH(P771,Fit_Matrix!$A:$A,0))),"CHECK KEY"))</f>
        <v/>
      </c>
    </row>
    <row r="772" customFormat="false" ht="15" hidden="false" customHeight="true" outlineLevel="0" collapsed="false">
      <c r="P772" s="1" t="str">
        <f aca="false">IF(OR(F772="",H772="",J772=""),"",J772&amp;"|"&amp;F772&amp;"|"&amp;IF(H772="W3","W3_"&amp;IF(I772="","unknown",I772),H772))</f>
        <v/>
      </c>
      <c r="Q772" s="1" t="str">
        <f aca="false">IF(P772="","",IFERROR(IF(AND(H772="W7",OR(F772="causal",F772="predictive")),IF(AND(K772=1,L772=1,M772=1),"adequate","partial"),INDEX(Fit_Matrix!$B:$B,MATCH(P772,Fit_Matrix!$A:$A,0))),"CHECK KEY"))</f>
        <v/>
      </c>
    </row>
    <row r="773" customFormat="false" ht="15" hidden="false" customHeight="true" outlineLevel="0" collapsed="false">
      <c r="P773" s="1" t="str">
        <f aca="false">IF(OR(F773="",H773="",J773=""),"",J773&amp;"|"&amp;F773&amp;"|"&amp;IF(H773="W3","W3_"&amp;IF(I773="","unknown",I773),H773))</f>
        <v/>
      </c>
      <c r="Q773" s="1" t="str">
        <f aca="false">IF(P773="","",IFERROR(IF(AND(H773="W7",OR(F773="causal",F773="predictive")),IF(AND(K773=1,L773=1,M773=1),"adequate","partial"),INDEX(Fit_Matrix!$B:$B,MATCH(P773,Fit_Matrix!$A:$A,0))),"CHECK KEY"))</f>
        <v/>
      </c>
    </row>
    <row r="774" customFormat="false" ht="15" hidden="false" customHeight="true" outlineLevel="0" collapsed="false">
      <c r="P774" s="1" t="str">
        <f aca="false">IF(OR(F774="",H774="",J774=""),"",J774&amp;"|"&amp;F774&amp;"|"&amp;IF(H774="W3","W3_"&amp;IF(I774="","unknown",I774),H774))</f>
        <v/>
      </c>
      <c r="Q774" s="1" t="str">
        <f aca="false">IF(P774="","",IFERROR(IF(AND(H774="W7",OR(F774="causal",F774="predictive")),IF(AND(K774=1,L774=1,M774=1),"adequate","partial"),INDEX(Fit_Matrix!$B:$B,MATCH(P774,Fit_Matrix!$A:$A,0))),"CHECK KEY"))</f>
        <v/>
      </c>
    </row>
    <row r="775" customFormat="false" ht="15" hidden="false" customHeight="true" outlineLevel="0" collapsed="false">
      <c r="P775" s="1" t="str">
        <f aca="false">IF(OR(F775="",H775="",J775=""),"",J775&amp;"|"&amp;F775&amp;"|"&amp;IF(H775="W3","W3_"&amp;IF(I775="","unknown",I775),H775))</f>
        <v/>
      </c>
      <c r="Q775" s="1" t="str">
        <f aca="false">IF(P775="","",IFERROR(IF(AND(H775="W7",OR(F775="causal",F775="predictive")),IF(AND(K775=1,L775=1,M775=1),"adequate","partial"),INDEX(Fit_Matrix!$B:$B,MATCH(P775,Fit_Matrix!$A:$A,0))),"CHECK KEY"))</f>
        <v/>
      </c>
    </row>
    <row r="776" customFormat="false" ht="15" hidden="false" customHeight="true" outlineLevel="0" collapsed="false">
      <c r="P776" s="1" t="str">
        <f aca="false">IF(OR(F776="",H776="",J776=""),"",J776&amp;"|"&amp;F776&amp;"|"&amp;IF(H776="W3","W3_"&amp;IF(I776="","unknown",I776),H776))</f>
        <v/>
      </c>
      <c r="Q776" s="1" t="str">
        <f aca="false">IF(P776="","",IFERROR(IF(AND(H776="W7",OR(F776="causal",F776="predictive")),IF(AND(K776=1,L776=1,M776=1),"adequate","partial"),INDEX(Fit_Matrix!$B:$B,MATCH(P776,Fit_Matrix!$A:$A,0))),"CHECK KEY"))</f>
        <v/>
      </c>
    </row>
    <row r="777" customFormat="false" ht="15" hidden="false" customHeight="true" outlineLevel="0" collapsed="false">
      <c r="P777" s="1" t="str">
        <f aca="false">IF(OR(F777="",H777="",J777=""),"",J777&amp;"|"&amp;F777&amp;"|"&amp;IF(H777="W3","W3_"&amp;IF(I777="","unknown",I777),H777))</f>
        <v/>
      </c>
      <c r="Q777" s="1" t="str">
        <f aca="false">IF(P777="","",IFERROR(IF(AND(H777="W7",OR(F777="causal",F777="predictive")),IF(AND(K777=1,L777=1,M777=1),"adequate","partial"),INDEX(Fit_Matrix!$B:$B,MATCH(P777,Fit_Matrix!$A:$A,0))),"CHECK KEY"))</f>
        <v/>
      </c>
    </row>
    <row r="778" customFormat="false" ht="15" hidden="false" customHeight="true" outlineLevel="0" collapsed="false">
      <c r="P778" s="1" t="str">
        <f aca="false">IF(OR(F778="",H778="",J778=""),"",J778&amp;"|"&amp;F778&amp;"|"&amp;IF(H778="W3","W3_"&amp;IF(I778="","unknown",I778),H778))</f>
        <v/>
      </c>
      <c r="Q778" s="1" t="str">
        <f aca="false">IF(P778="","",IFERROR(IF(AND(H778="W7",OR(F778="causal",F778="predictive")),IF(AND(K778=1,L778=1,M778=1),"adequate","partial"),INDEX(Fit_Matrix!$B:$B,MATCH(P778,Fit_Matrix!$A:$A,0))),"CHECK KEY"))</f>
        <v/>
      </c>
    </row>
    <row r="779" customFormat="false" ht="15" hidden="false" customHeight="true" outlineLevel="0" collapsed="false">
      <c r="P779" s="1" t="str">
        <f aca="false">IF(OR(F779="",H779="",J779=""),"",J779&amp;"|"&amp;F779&amp;"|"&amp;IF(H779="W3","W3_"&amp;IF(I779="","unknown",I779),H779))</f>
        <v/>
      </c>
      <c r="Q779" s="1" t="str">
        <f aca="false">IF(P779="","",IFERROR(IF(AND(H779="W7",OR(F779="causal",F779="predictive")),IF(AND(K779=1,L779=1,M779=1),"adequate","partial"),INDEX(Fit_Matrix!$B:$B,MATCH(P779,Fit_Matrix!$A:$A,0))),"CHECK KEY"))</f>
        <v/>
      </c>
    </row>
    <row r="780" customFormat="false" ht="15" hidden="false" customHeight="true" outlineLevel="0" collapsed="false">
      <c r="P780" s="1" t="str">
        <f aca="false">IF(OR(F780="",H780="",J780=""),"",J780&amp;"|"&amp;F780&amp;"|"&amp;IF(H780="W3","W3_"&amp;IF(I780="","unknown",I780),H780))</f>
        <v/>
      </c>
      <c r="Q780" s="1" t="str">
        <f aca="false">IF(P780="","",IFERROR(IF(AND(H780="W7",OR(F780="causal",F780="predictive")),IF(AND(K780=1,L780=1,M780=1),"adequate","partial"),INDEX(Fit_Matrix!$B:$B,MATCH(P780,Fit_Matrix!$A:$A,0))),"CHECK KEY"))</f>
        <v/>
      </c>
    </row>
    <row r="781" customFormat="false" ht="15" hidden="false" customHeight="true" outlineLevel="0" collapsed="false">
      <c r="P781" s="1" t="str">
        <f aca="false">IF(OR(F781="",H781="",J781=""),"",J781&amp;"|"&amp;F781&amp;"|"&amp;IF(H781="W3","W3_"&amp;IF(I781="","unknown",I781),H781))</f>
        <v/>
      </c>
      <c r="Q781" s="1" t="str">
        <f aca="false">IF(P781="","",IFERROR(IF(AND(H781="W7",OR(F781="causal",F781="predictive")),IF(AND(K781=1,L781=1,M781=1),"adequate","partial"),INDEX(Fit_Matrix!$B:$B,MATCH(P781,Fit_Matrix!$A:$A,0))),"CHECK KEY"))</f>
        <v/>
      </c>
    </row>
    <row r="782" customFormat="false" ht="15" hidden="false" customHeight="true" outlineLevel="0" collapsed="false">
      <c r="P782" s="1" t="str">
        <f aca="false">IF(OR(F782="",H782="",J782=""),"",J782&amp;"|"&amp;F782&amp;"|"&amp;IF(H782="W3","W3_"&amp;IF(I782="","unknown",I782),H782))</f>
        <v/>
      </c>
      <c r="Q782" s="1" t="str">
        <f aca="false">IF(P782="","",IFERROR(IF(AND(H782="W7",OR(F782="causal",F782="predictive")),IF(AND(K782=1,L782=1,M782=1),"adequate","partial"),INDEX(Fit_Matrix!$B:$B,MATCH(P782,Fit_Matrix!$A:$A,0))),"CHECK KEY"))</f>
        <v/>
      </c>
    </row>
    <row r="783" customFormat="false" ht="15" hidden="false" customHeight="true" outlineLevel="0" collapsed="false">
      <c r="P783" s="1" t="str">
        <f aca="false">IF(OR(F783="",H783="",J783=""),"",J783&amp;"|"&amp;F783&amp;"|"&amp;IF(H783="W3","W3_"&amp;IF(I783="","unknown",I783),H783))</f>
        <v/>
      </c>
      <c r="Q783" s="1" t="str">
        <f aca="false">IF(P783="","",IFERROR(IF(AND(H783="W7",OR(F783="causal",F783="predictive")),IF(AND(K783=1,L783=1,M783=1),"adequate","partial"),INDEX(Fit_Matrix!$B:$B,MATCH(P783,Fit_Matrix!$A:$A,0))),"CHECK KEY"))</f>
        <v/>
      </c>
    </row>
    <row r="784" customFormat="false" ht="15" hidden="false" customHeight="true" outlineLevel="0" collapsed="false">
      <c r="P784" s="1" t="str">
        <f aca="false">IF(OR(F784="",H784="",J784=""),"",J784&amp;"|"&amp;F784&amp;"|"&amp;IF(H784="W3","W3_"&amp;IF(I784="","unknown",I784),H784))</f>
        <v/>
      </c>
      <c r="Q784" s="1" t="str">
        <f aca="false">IF(P784="","",IFERROR(IF(AND(H784="W7",OR(F784="causal",F784="predictive")),IF(AND(K784=1,L784=1,M784=1),"adequate","partial"),INDEX(Fit_Matrix!$B:$B,MATCH(P784,Fit_Matrix!$A:$A,0))),"CHECK KEY"))</f>
        <v/>
      </c>
    </row>
    <row r="785" customFormat="false" ht="15" hidden="false" customHeight="true" outlineLevel="0" collapsed="false">
      <c r="P785" s="1" t="str">
        <f aca="false">IF(OR(F785="",H785="",J785=""),"",J785&amp;"|"&amp;F785&amp;"|"&amp;IF(H785="W3","W3_"&amp;IF(I785="","unknown",I785),H785))</f>
        <v/>
      </c>
      <c r="Q785" s="1" t="str">
        <f aca="false">IF(P785="","",IFERROR(IF(AND(H785="W7",OR(F785="causal",F785="predictive")),IF(AND(K785=1,L785=1,M785=1),"adequate","partial"),INDEX(Fit_Matrix!$B:$B,MATCH(P785,Fit_Matrix!$A:$A,0))),"CHECK KEY"))</f>
        <v/>
      </c>
    </row>
    <row r="786" customFormat="false" ht="15" hidden="false" customHeight="true" outlineLevel="0" collapsed="false">
      <c r="P786" s="1" t="str">
        <f aca="false">IF(OR(F786="",H786="",J786=""),"",J786&amp;"|"&amp;F786&amp;"|"&amp;IF(H786="W3","W3_"&amp;IF(I786="","unknown",I786),H786))</f>
        <v/>
      </c>
      <c r="Q786" s="1" t="str">
        <f aca="false">IF(P786="","",IFERROR(IF(AND(H786="W7",OR(F786="causal",F786="predictive")),IF(AND(K786=1,L786=1,M786=1),"adequate","partial"),INDEX(Fit_Matrix!$B:$B,MATCH(P786,Fit_Matrix!$A:$A,0))),"CHECK KEY"))</f>
        <v/>
      </c>
    </row>
    <row r="787" customFormat="false" ht="15" hidden="false" customHeight="true" outlineLevel="0" collapsed="false">
      <c r="P787" s="1" t="str">
        <f aca="false">IF(OR(F787="",H787="",J787=""),"",J787&amp;"|"&amp;F787&amp;"|"&amp;IF(H787="W3","W3_"&amp;IF(I787="","unknown",I787),H787))</f>
        <v/>
      </c>
      <c r="Q787" s="1" t="str">
        <f aca="false">IF(P787="","",IFERROR(IF(AND(H787="W7",OR(F787="causal",F787="predictive")),IF(AND(K787=1,L787=1,M787=1),"adequate","partial"),INDEX(Fit_Matrix!$B:$B,MATCH(P787,Fit_Matrix!$A:$A,0))),"CHECK KEY"))</f>
        <v/>
      </c>
    </row>
    <row r="788" customFormat="false" ht="15" hidden="false" customHeight="true" outlineLevel="0" collapsed="false">
      <c r="P788" s="1" t="str">
        <f aca="false">IF(OR(F788="",H788="",J788=""),"",J788&amp;"|"&amp;F788&amp;"|"&amp;IF(H788="W3","W3_"&amp;IF(I788="","unknown",I788),H788))</f>
        <v/>
      </c>
      <c r="Q788" s="1" t="str">
        <f aca="false">IF(P788="","",IFERROR(IF(AND(H788="W7",OR(F788="causal",F788="predictive")),IF(AND(K788=1,L788=1,M788=1),"adequate","partial"),INDEX(Fit_Matrix!$B:$B,MATCH(P788,Fit_Matrix!$A:$A,0))),"CHECK KEY"))</f>
        <v/>
      </c>
    </row>
    <row r="789" customFormat="false" ht="15" hidden="false" customHeight="true" outlineLevel="0" collapsed="false">
      <c r="P789" s="1" t="str">
        <f aca="false">IF(OR(F789="",H789="",J789=""),"",J789&amp;"|"&amp;F789&amp;"|"&amp;IF(H789="W3","W3_"&amp;IF(I789="","unknown",I789),H789))</f>
        <v/>
      </c>
      <c r="Q789" s="1" t="str">
        <f aca="false">IF(P789="","",IFERROR(IF(AND(H789="W7",OR(F789="causal",F789="predictive")),IF(AND(K789=1,L789=1,M789=1),"adequate","partial"),INDEX(Fit_Matrix!$B:$B,MATCH(P789,Fit_Matrix!$A:$A,0))),"CHECK KEY"))</f>
        <v/>
      </c>
    </row>
    <row r="790" customFormat="false" ht="15" hidden="false" customHeight="true" outlineLevel="0" collapsed="false">
      <c r="P790" s="1" t="str">
        <f aca="false">IF(OR(F790="",H790="",J790=""),"",J790&amp;"|"&amp;F790&amp;"|"&amp;IF(H790="W3","W3_"&amp;IF(I790="","unknown",I790),H790))</f>
        <v/>
      </c>
      <c r="Q790" s="1" t="str">
        <f aca="false">IF(P790="","",IFERROR(IF(AND(H790="W7",OR(F790="causal",F790="predictive")),IF(AND(K790=1,L790=1,M790=1),"adequate","partial"),INDEX(Fit_Matrix!$B:$B,MATCH(P790,Fit_Matrix!$A:$A,0))),"CHECK KEY"))</f>
        <v/>
      </c>
    </row>
    <row r="791" customFormat="false" ht="15" hidden="false" customHeight="true" outlineLevel="0" collapsed="false">
      <c r="P791" s="1" t="str">
        <f aca="false">IF(OR(F791="",H791="",J791=""),"",J791&amp;"|"&amp;F791&amp;"|"&amp;IF(H791="W3","W3_"&amp;IF(I791="","unknown",I791),H791))</f>
        <v/>
      </c>
      <c r="Q791" s="1" t="str">
        <f aca="false">IF(P791="","",IFERROR(IF(AND(H791="W7",OR(F791="causal",F791="predictive")),IF(AND(K791=1,L791=1,M791=1),"adequate","partial"),INDEX(Fit_Matrix!$B:$B,MATCH(P791,Fit_Matrix!$A:$A,0))),"CHECK KEY"))</f>
        <v/>
      </c>
    </row>
    <row r="792" customFormat="false" ht="15" hidden="false" customHeight="true" outlineLevel="0" collapsed="false">
      <c r="P792" s="1" t="str">
        <f aca="false">IF(OR(F792="",H792="",J792=""),"",J792&amp;"|"&amp;F792&amp;"|"&amp;IF(H792="W3","W3_"&amp;IF(I792="","unknown",I792),H792))</f>
        <v/>
      </c>
      <c r="Q792" s="1" t="str">
        <f aca="false">IF(P792="","",IFERROR(IF(AND(H792="W7",OR(F792="causal",F792="predictive")),IF(AND(K792=1,L792=1,M792=1),"adequate","partial"),INDEX(Fit_Matrix!$B:$B,MATCH(P792,Fit_Matrix!$A:$A,0))),"CHECK KEY"))</f>
        <v/>
      </c>
    </row>
    <row r="793" customFormat="false" ht="15" hidden="false" customHeight="true" outlineLevel="0" collapsed="false">
      <c r="P793" s="1" t="str">
        <f aca="false">IF(OR(F793="",H793="",J793=""),"",J793&amp;"|"&amp;F793&amp;"|"&amp;IF(H793="W3","W3_"&amp;IF(I793="","unknown",I793),H793))</f>
        <v/>
      </c>
      <c r="Q793" s="1" t="str">
        <f aca="false">IF(P793="","",IFERROR(IF(AND(H793="W7",OR(F793="causal",F793="predictive")),IF(AND(K793=1,L793=1,M793=1),"adequate","partial"),INDEX(Fit_Matrix!$B:$B,MATCH(P793,Fit_Matrix!$A:$A,0))),"CHECK KEY"))</f>
        <v/>
      </c>
    </row>
    <row r="794" customFormat="false" ht="15" hidden="false" customHeight="true" outlineLevel="0" collapsed="false">
      <c r="P794" s="1" t="str">
        <f aca="false">IF(OR(F794="",H794="",J794=""),"",J794&amp;"|"&amp;F794&amp;"|"&amp;IF(H794="W3","W3_"&amp;IF(I794="","unknown",I794),H794))</f>
        <v/>
      </c>
      <c r="Q794" s="1" t="str">
        <f aca="false">IF(P794="","",IFERROR(IF(AND(H794="W7",OR(F794="causal",F794="predictive")),IF(AND(K794=1,L794=1,M794=1),"adequate","partial"),INDEX(Fit_Matrix!$B:$B,MATCH(P794,Fit_Matrix!$A:$A,0))),"CHECK KEY"))</f>
        <v/>
      </c>
    </row>
    <row r="795" customFormat="false" ht="15" hidden="false" customHeight="true" outlineLevel="0" collapsed="false">
      <c r="P795" s="1" t="str">
        <f aca="false">IF(OR(F795="",H795="",J795=""),"",J795&amp;"|"&amp;F795&amp;"|"&amp;IF(H795="W3","W3_"&amp;IF(I795="","unknown",I795),H795))</f>
        <v/>
      </c>
      <c r="Q795" s="1" t="str">
        <f aca="false">IF(P795="","",IFERROR(IF(AND(H795="W7",OR(F795="causal",F795="predictive")),IF(AND(K795=1,L795=1,M795=1),"adequate","partial"),INDEX(Fit_Matrix!$B:$B,MATCH(P795,Fit_Matrix!$A:$A,0))),"CHECK KEY"))</f>
        <v/>
      </c>
    </row>
    <row r="796" customFormat="false" ht="15" hidden="false" customHeight="true" outlineLevel="0" collapsed="false">
      <c r="P796" s="1" t="str">
        <f aca="false">IF(OR(F796="",H796="",J796=""),"",J796&amp;"|"&amp;F796&amp;"|"&amp;IF(H796="W3","W3_"&amp;IF(I796="","unknown",I796),H796))</f>
        <v/>
      </c>
      <c r="Q796" s="1" t="str">
        <f aca="false">IF(P796="","",IFERROR(IF(AND(H796="W7",OR(F796="causal",F796="predictive")),IF(AND(K796=1,L796=1,M796=1),"adequate","partial"),INDEX(Fit_Matrix!$B:$B,MATCH(P796,Fit_Matrix!$A:$A,0))),"CHECK KEY"))</f>
        <v/>
      </c>
    </row>
    <row r="797" customFormat="false" ht="15" hidden="false" customHeight="true" outlineLevel="0" collapsed="false">
      <c r="P797" s="1" t="str">
        <f aca="false">IF(OR(F797="",H797="",J797=""),"",J797&amp;"|"&amp;F797&amp;"|"&amp;IF(H797="W3","W3_"&amp;IF(I797="","unknown",I797),H797))</f>
        <v/>
      </c>
      <c r="Q797" s="1" t="str">
        <f aca="false">IF(P797="","",IFERROR(IF(AND(H797="W7",OR(F797="causal",F797="predictive")),IF(AND(K797=1,L797=1,M797=1),"adequate","partial"),INDEX(Fit_Matrix!$B:$B,MATCH(P797,Fit_Matrix!$A:$A,0))),"CHECK KEY"))</f>
        <v/>
      </c>
    </row>
    <row r="798" customFormat="false" ht="15" hidden="false" customHeight="true" outlineLevel="0" collapsed="false">
      <c r="P798" s="1" t="str">
        <f aca="false">IF(OR(F798="",H798="",J798=""),"",J798&amp;"|"&amp;F798&amp;"|"&amp;IF(H798="W3","W3_"&amp;IF(I798="","unknown",I798),H798))</f>
        <v/>
      </c>
      <c r="Q798" s="1" t="str">
        <f aca="false">IF(P798="","",IFERROR(IF(AND(H798="W7",OR(F798="causal",F798="predictive")),IF(AND(K798=1,L798=1,M798=1),"adequate","partial"),INDEX(Fit_Matrix!$B:$B,MATCH(P798,Fit_Matrix!$A:$A,0))),"CHECK KEY"))</f>
        <v/>
      </c>
    </row>
    <row r="799" customFormat="false" ht="15" hidden="false" customHeight="true" outlineLevel="0" collapsed="false">
      <c r="P799" s="1" t="str">
        <f aca="false">IF(OR(F799="",H799="",J799=""),"",J799&amp;"|"&amp;F799&amp;"|"&amp;IF(H799="W3","W3_"&amp;IF(I799="","unknown",I799),H799))</f>
        <v/>
      </c>
      <c r="Q799" s="1" t="str">
        <f aca="false">IF(P799="","",IFERROR(IF(AND(H799="W7",OR(F799="causal",F799="predictive")),IF(AND(K799=1,L799=1,M799=1),"adequate","partial"),INDEX(Fit_Matrix!$B:$B,MATCH(P799,Fit_Matrix!$A:$A,0))),"CHECK KEY"))</f>
        <v/>
      </c>
    </row>
    <row r="800" customFormat="false" ht="15" hidden="false" customHeight="true" outlineLevel="0" collapsed="false">
      <c r="P800" s="1" t="str">
        <f aca="false">IF(OR(F800="",H800="",J800=""),"",J800&amp;"|"&amp;F800&amp;"|"&amp;IF(H800="W3","W3_"&amp;IF(I800="","unknown",I800),H800))</f>
        <v/>
      </c>
      <c r="Q800" s="1" t="str">
        <f aca="false">IF(P800="","",IFERROR(IF(AND(H800="W7",OR(F800="causal",F800="predictive")),IF(AND(K800=1,L800=1,M800=1),"adequate","partial"),INDEX(Fit_Matrix!$B:$B,MATCH(P800,Fit_Matrix!$A:$A,0))),"CHECK KEY"))</f>
        <v/>
      </c>
    </row>
    <row r="801" customFormat="false" ht="15" hidden="false" customHeight="true" outlineLevel="0" collapsed="false">
      <c r="P801" s="1" t="str">
        <f aca="false">IF(OR(F801="",H801="",J801=""),"",J801&amp;"|"&amp;F801&amp;"|"&amp;IF(H801="W3","W3_"&amp;IF(I801="","unknown",I801),H801))</f>
        <v/>
      </c>
      <c r="Q801" s="1" t="str">
        <f aca="false">IF(P801="","",IFERROR(IF(AND(H801="W7",OR(F801="causal",F801="predictive")),IF(AND(K801=1,L801=1,M801=1),"adequate","partial"),INDEX(Fit_Matrix!$B:$B,MATCH(P801,Fit_Matrix!$A:$A,0))),"CHECK KEY"))</f>
        <v/>
      </c>
    </row>
    <row r="802" customFormat="false" ht="15" hidden="false" customHeight="true" outlineLevel="0" collapsed="false">
      <c r="P802" s="1" t="str">
        <f aca="false">IF(OR(F802="",H802="",J802=""),"",J802&amp;"|"&amp;F802&amp;"|"&amp;IF(H802="W3","W3_"&amp;IF(I802="","unknown",I802),H802))</f>
        <v/>
      </c>
      <c r="Q802" s="1" t="str">
        <f aca="false">IF(P802="","",IFERROR(IF(AND(H802="W7",OR(F802="causal",F802="predictive")),IF(AND(K802=1,L802=1,M802=1),"adequate","partial"),INDEX(Fit_Matrix!$B:$B,MATCH(P802,Fit_Matrix!$A:$A,0))),"CHECK KEY"))</f>
        <v/>
      </c>
    </row>
    <row r="803" customFormat="false" ht="15" hidden="false" customHeight="true" outlineLevel="0" collapsed="false">
      <c r="P803" s="1" t="str">
        <f aca="false">IF(OR(F803="",H803="",J803=""),"",J803&amp;"|"&amp;F803&amp;"|"&amp;IF(H803="W3","W3_"&amp;IF(I803="","unknown",I803),H803))</f>
        <v/>
      </c>
      <c r="Q803" s="1" t="str">
        <f aca="false">IF(P803="","",IFERROR(IF(AND(H803="W7",OR(F803="causal",F803="predictive")),IF(AND(K803=1,L803=1,M803=1),"adequate","partial"),INDEX(Fit_Matrix!$B:$B,MATCH(P803,Fit_Matrix!$A:$A,0))),"CHECK KEY"))</f>
        <v/>
      </c>
    </row>
    <row r="804" customFormat="false" ht="15" hidden="false" customHeight="true" outlineLevel="0" collapsed="false">
      <c r="P804" s="1" t="str">
        <f aca="false">IF(OR(F804="",H804="",J804=""),"",J804&amp;"|"&amp;F804&amp;"|"&amp;IF(H804="W3","W3_"&amp;IF(I804="","unknown",I804),H804))</f>
        <v/>
      </c>
      <c r="Q804" s="1" t="str">
        <f aca="false">IF(P804="","",IFERROR(IF(AND(H804="W7",OR(F804="causal",F804="predictive")),IF(AND(K804=1,L804=1,M804=1),"adequate","partial"),INDEX(Fit_Matrix!$B:$B,MATCH(P804,Fit_Matrix!$A:$A,0))),"CHECK KEY"))</f>
        <v/>
      </c>
    </row>
    <row r="805" customFormat="false" ht="15" hidden="false" customHeight="true" outlineLevel="0" collapsed="false">
      <c r="P805" s="1" t="str">
        <f aca="false">IF(OR(F805="",H805="",J805=""),"",J805&amp;"|"&amp;F805&amp;"|"&amp;IF(H805="W3","W3_"&amp;IF(I805="","unknown",I805),H805))</f>
        <v/>
      </c>
      <c r="Q805" s="1" t="str">
        <f aca="false">IF(P805="","",IFERROR(IF(AND(H805="W7",OR(F805="causal",F805="predictive")),IF(AND(K805=1,L805=1,M805=1),"adequate","partial"),INDEX(Fit_Matrix!$B:$B,MATCH(P805,Fit_Matrix!$A:$A,0))),"CHECK KEY"))</f>
        <v/>
      </c>
    </row>
    <row r="806" customFormat="false" ht="15" hidden="false" customHeight="true" outlineLevel="0" collapsed="false">
      <c r="P806" s="1" t="str">
        <f aca="false">IF(OR(F806="",H806="",J806=""),"",J806&amp;"|"&amp;F806&amp;"|"&amp;IF(H806="W3","W3_"&amp;IF(I806="","unknown",I806),H806))</f>
        <v/>
      </c>
      <c r="Q806" s="1" t="str">
        <f aca="false">IF(P806="","",IFERROR(IF(AND(H806="W7",OR(F806="causal",F806="predictive")),IF(AND(K806=1,L806=1,M806=1),"adequate","partial"),INDEX(Fit_Matrix!$B:$B,MATCH(P806,Fit_Matrix!$A:$A,0))),"CHECK KEY"))</f>
        <v/>
      </c>
    </row>
    <row r="807" customFormat="false" ht="15" hidden="false" customHeight="true" outlineLevel="0" collapsed="false">
      <c r="P807" s="1" t="str">
        <f aca="false">IF(OR(F807="",H807="",J807=""),"",J807&amp;"|"&amp;F807&amp;"|"&amp;IF(H807="W3","W3_"&amp;IF(I807="","unknown",I807),H807))</f>
        <v/>
      </c>
      <c r="Q807" s="1" t="str">
        <f aca="false">IF(P807="","",IFERROR(IF(AND(H807="W7",OR(F807="causal",F807="predictive")),IF(AND(K807=1,L807=1,M807=1),"adequate","partial"),INDEX(Fit_Matrix!$B:$B,MATCH(P807,Fit_Matrix!$A:$A,0))),"CHECK KEY"))</f>
        <v/>
      </c>
    </row>
    <row r="808" customFormat="false" ht="15" hidden="false" customHeight="true" outlineLevel="0" collapsed="false">
      <c r="P808" s="1" t="str">
        <f aca="false">IF(OR(F808="",H808="",J808=""),"",J808&amp;"|"&amp;F808&amp;"|"&amp;IF(H808="W3","W3_"&amp;IF(I808="","unknown",I808),H808))</f>
        <v/>
      </c>
      <c r="Q808" s="1" t="str">
        <f aca="false">IF(P808="","",IFERROR(IF(AND(H808="W7",OR(F808="causal",F808="predictive")),IF(AND(K808=1,L808=1,M808=1),"adequate","partial"),INDEX(Fit_Matrix!$B:$B,MATCH(P808,Fit_Matrix!$A:$A,0))),"CHECK KEY"))</f>
        <v/>
      </c>
    </row>
    <row r="809" customFormat="false" ht="15" hidden="false" customHeight="true" outlineLevel="0" collapsed="false">
      <c r="P809" s="1" t="str">
        <f aca="false">IF(OR(F809="",H809="",J809=""),"",J809&amp;"|"&amp;F809&amp;"|"&amp;IF(H809="W3","W3_"&amp;IF(I809="","unknown",I809),H809))</f>
        <v/>
      </c>
      <c r="Q809" s="1" t="str">
        <f aca="false">IF(P809="","",IFERROR(IF(AND(H809="W7",OR(F809="causal",F809="predictive")),IF(AND(K809=1,L809=1,M809=1),"adequate","partial"),INDEX(Fit_Matrix!$B:$B,MATCH(P809,Fit_Matrix!$A:$A,0))),"CHECK KEY"))</f>
        <v/>
      </c>
    </row>
    <row r="810" customFormat="false" ht="15" hidden="false" customHeight="true" outlineLevel="0" collapsed="false">
      <c r="P810" s="1" t="str">
        <f aca="false">IF(OR(F810="",H810="",J810=""),"",J810&amp;"|"&amp;F810&amp;"|"&amp;IF(H810="W3","W3_"&amp;IF(I810="","unknown",I810),H810))</f>
        <v/>
      </c>
      <c r="Q810" s="1" t="str">
        <f aca="false">IF(P810="","",IFERROR(IF(AND(H810="W7",OR(F810="causal",F810="predictive")),IF(AND(K810=1,L810=1,M810=1),"adequate","partial"),INDEX(Fit_Matrix!$B:$B,MATCH(P810,Fit_Matrix!$A:$A,0))),"CHECK KEY"))</f>
        <v/>
      </c>
    </row>
    <row r="811" customFormat="false" ht="15" hidden="false" customHeight="true" outlineLevel="0" collapsed="false">
      <c r="P811" s="1" t="str">
        <f aca="false">IF(OR(F811="",H811="",J811=""),"",J811&amp;"|"&amp;F811&amp;"|"&amp;IF(H811="W3","W3_"&amp;IF(I811="","unknown",I811),H811))</f>
        <v/>
      </c>
      <c r="Q811" s="1" t="str">
        <f aca="false">IF(P811="","",IFERROR(IF(AND(H811="W7",OR(F811="causal",F811="predictive")),IF(AND(K811=1,L811=1,M811=1),"adequate","partial"),INDEX(Fit_Matrix!$B:$B,MATCH(P811,Fit_Matrix!$A:$A,0))),"CHECK KEY"))</f>
        <v/>
      </c>
    </row>
    <row r="812" customFormat="false" ht="15" hidden="false" customHeight="true" outlineLevel="0" collapsed="false">
      <c r="P812" s="1" t="str">
        <f aca="false">IF(OR(F812="",H812="",J812=""),"",J812&amp;"|"&amp;F812&amp;"|"&amp;IF(H812="W3","W3_"&amp;IF(I812="","unknown",I812),H812))</f>
        <v/>
      </c>
      <c r="Q812" s="1" t="str">
        <f aca="false">IF(P812="","",IFERROR(IF(AND(H812="W7",OR(F812="causal",F812="predictive")),IF(AND(K812=1,L812=1,M812=1),"adequate","partial"),INDEX(Fit_Matrix!$B:$B,MATCH(P812,Fit_Matrix!$A:$A,0))),"CHECK KEY"))</f>
        <v/>
      </c>
    </row>
    <row r="813" customFormat="false" ht="15" hidden="false" customHeight="true" outlineLevel="0" collapsed="false">
      <c r="P813" s="1" t="str">
        <f aca="false">IF(OR(F813="",H813="",J813=""),"",J813&amp;"|"&amp;F813&amp;"|"&amp;IF(H813="W3","W3_"&amp;IF(I813="","unknown",I813),H813))</f>
        <v/>
      </c>
      <c r="Q813" s="1" t="str">
        <f aca="false">IF(P813="","",IFERROR(IF(AND(H813="W7",OR(F813="causal",F813="predictive")),IF(AND(K813=1,L813=1,M813=1),"adequate","partial"),INDEX(Fit_Matrix!$B:$B,MATCH(P813,Fit_Matrix!$A:$A,0))),"CHECK KEY"))</f>
        <v/>
      </c>
    </row>
    <row r="814" customFormat="false" ht="15" hidden="false" customHeight="true" outlineLevel="0" collapsed="false">
      <c r="P814" s="1" t="str">
        <f aca="false">IF(OR(F814="",H814="",J814=""),"",J814&amp;"|"&amp;F814&amp;"|"&amp;IF(H814="W3","W3_"&amp;IF(I814="","unknown",I814),H814))</f>
        <v/>
      </c>
      <c r="Q814" s="1" t="str">
        <f aca="false">IF(P814="","",IFERROR(IF(AND(H814="W7",OR(F814="causal",F814="predictive")),IF(AND(K814=1,L814=1,M814=1),"adequate","partial"),INDEX(Fit_Matrix!$B:$B,MATCH(P814,Fit_Matrix!$A:$A,0))),"CHECK KEY"))</f>
        <v/>
      </c>
    </row>
    <row r="815" customFormat="false" ht="15" hidden="false" customHeight="true" outlineLevel="0" collapsed="false">
      <c r="P815" s="1" t="str">
        <f aca="false">IF(OR(F815="",H815="",J815=""),"",J815&amp;"|"&amp;F815&amp;"|"&amp;IF(H815="W3","W3_"&amp;IF(I815="","unknown",I815),H815))</f>
        <v/>
      </c>
      <c r="Q815" s="1" t="str">
        <f aca="false">IF(P815="","",IFERROR(IF(AND(H815="W7",OR(F815="causal",F815="predictive")),IF(AND(K815=1,L815=1,M815=1),"adequate","partial"),INDEX(Fit_Matrix!$B:$B,MATCH(P815,Fit_Matrix!$A:$A,0))),"CHECK KEY"))</f>
        <v/>
      </c>
    </row>
    <row r="816" customFormat="false" ht="15" hidden="false" customHeight="true" outlineLevel="0" collapsed="false">
      <c r="P816" s="1" t="str">
        <f aca="false">IF(OR(F816="",H816="",J816=""),"",J816&amp;"|"&amp;F816&amp;"|"&amp;IF(H816="W3","W3_"&amp;IF(I816="","unknown",I816),H816))</f>
        <v/>
      </c>
      <c r="Q816" s="1" t="str">
        <f aca="false">IF(P816="","",IFERROR(IF(AND(H816="W7",OR(F816="causal",F816="predictive")),IF(AND(K816=1,L816=1,M816=1),"adequate","partial"),INDEX(Fit_Matrix!$B:$B,MATCH(P816,Fit_Matrix!$A:$A,0))),"CHECK KEY"))</f>
        <v/>
      </c>
    </row>
    <row r="817" customFormat="false" ht="15" hidden="false" customHeight="true" outlineLevel="0" collapsed="false">
      <c r="P817" s="1" t="str">
        <f aca="false">IF(OR(F817="",H817="",J817=""),"",J817&amp;"|"&amp;F817&amp;"|"&amp;IF(H817="W3","W3_"&amp;IF(I817="","unknown",I817),H817))</f>
        <v/>
      </c>
      <c r="Q817" s="1" t="str">
        <f aca="false">IF(P817="","",IFERROR(IF(AND(H817="W7",OR(F817="causal",F817="predictive")),IF(AND(K817=1,L817=1,M817=1),"adequate","partial"),INDEX(Fit_Matrix!$B:$B,MATCH(P817,Fit_Matrix!$A:$A,0))),"CHECK KEY"))</f>
        <v/>
      </c>
    </row>
    <row r="818" customFormat="false" ht="15" hidden="false" customHeight="true" outlineLevel="0" collapsed="false">
      <c r="P818" s="1" t="str">
        <f aca="false">IF(OR(F818="",H818="",J818=""),"",J818&amp;"|"&amp;F818&amp;"|"&amp;IF(H818="W3","W3_"&amp;IF(I818="","unknown",I818),H818))</f>
        <v/>
      </c>
      <c r="Q818" s="1" t="str">
        <f aca="false">IF(P818="","",IFERROR(IF(AND(H818="W7",OR(F818="causal",F818="predictive")),IF(AND(K818=1,L818=1,M818=1),"adequate","partial"),INDEX(Fit_Matrix!$B:$B,MATCH(P818,Fit_Matrix!$A:$A,0))),"CHECK KEY"))</f>
        <v/>
      </c>
    </row>
    <row r="819" customFormat="false" ht="15" hidden="false" customHeight="true" outlineLevel="0" collapsed="false">
      <c r="P819" s="1" t="str">
        <f aca="false">IF(OR(F819="",H819="",J819=""),"",J819&amp;"|"&amp;F819&amp;"|"&amp;IF(H819="W3","W3_"&amp;IF(I819="","unknown",I819),H819))</f>
        <v/>
      </c>
      <c r="Q819" s="1" t="str">
        <f aca="false">IF(P819="","",IFERROR(IF(AND(H819="W7",OR(F819="causal",F819="predictive")),IF(AND(K819=1,L819=1,M819=1),"adequate","partial"),INDEX(Fit_Matrix!$B:$B,MATCH(P819,Fit_Matrix!$A:$A,0))),"CHECK KEY"))</f>
        <v/>
      </c>
    </row>
    <row r="820" customFormat="false" ht="15" hidden="false" customHeight="true" outlineLevel="0" collapsed="false">
      <c r="P820" s="1" t="str">
        <f aca="false">IF(OR(F820="",H820="",J820=""),"",J820&amp;"|"&amp;F820&amp;"|"&amp;IF(H820="W3","W3_"&amp;IF(I820="","unknown",I820),H820))</f>
        <v/>
      </c>
      <c r="Q820" s="1" t="str">
        <f aca="false">IF(P820="","",IFERROR(IF(AND(H820="W7",OR(F820="causal",F820="predictive")),IF(AND(K820=1,L820=1,M820=1),"adequate","partial"),INDEX(Fit_Matrix!$B:$B,MATCH(P820,Fit_Matrix!$A:$A,0))),"CHECK KEY"))</f>
        <v/>
      </c>
    </row>
    <row r="821" customFormat="false" ht="15" hidden="false" customHeight="true" outlineLevel="0" collapsed="false">
      <c r="P821" s="1" t="str">
        <f aca="false">IF(OR(F821="",H821="",J821=""),"",J821&amp;"|"&amp;F821&amp;"|"&amp;IF(H821="W3","W3_"&amp;IF(I821="","unknown",I821),H821))</f>
        <v/>
      </c>
      <c r="Q821" s="1" t="str">
        <f aca="false">IF(P821="","",IFERROR(IF(AND(H821="W7",OR(F821="causal",F821="predictive")),IF(AND(K821=1,L821=1,M821=1),"adequate","partial"),INDEX(Fit_Matrix!$B:$B,MATCH(P821,Fit_Matrix!$A:$A,0))),"CHECK KEY"))</f>
        <v/>
      </c>
    </row>
    <row r="822" customFormat="false" ht="15" hidden="false" customHeight="true" outlineLevel="0" collapsed="false">
      <c r="P822" s="1" t="str">
        <f aca="false">IF(OR(F822="",H822="",J822=""),"",J822&amp;"|"&amp;F822&amp;"|"&amp;IF(H822="W3","W3_"&amp;IF(I822="","unknown",I822),H822))</f>
        <v/>
      </c>
      <c r="Q822" s="1" t="str">
        <f aca="false">IF(P822="","",IFERROR(IF(AND(H822="W7",OR(F822="causal",F822="predictive")),IF(AND(K822=1,L822=1,M822=1),"adequate","partial"),INDEX(Fit_Matrix!$B:$B,MATCH(P822,Fit_Matrix!$A:$A,0))),"CHECK KEY"))</f>
        <v/>
      </c>
    </row>
    <row r="823" customFormat="false" ht="15" hidden="false" customHeight="true" outlineLevel="0" collapsed="false">
      <c r="P823" s="1" t="str">
        <f aca="false">IF(OR(F823="",H823="",J823=""),"",J823&amp;"|"&amp;F823&amp;"|"&amp;IF(H823="W3","W3_"&amp;IF(I823="","unknown",I823),H823))</f>
        <v/>
      </c>
      <c r="Q823" s="1" t="str">
        <f aca="false">IF(P823="","",IFERROR(IF(AND(H823="W7",OR(F823="causal",F823="predictive")),IF(AND(K823=1,L823=1,M823=1),"adequate","partial"),INDEX(Fit_Matrix!$B:$B,MATCH(P823,Fit_Matrix!$A:$A,0))),"CHECK KEY"))</f>
        <v/>
      </c>
    </row>
    <row r="824" customFormat="false" ht="15" hidden="false" customHeight="true" outlineLevel="0" collapsed="false">
      <c r="P824" s="1" t="str">
        <f aca="false">IF(OR(F824="",H824="",J824=""),"",J824&amp;"|"&amp;F824&amp;"|"&amp;IF(H824="W3","W3_"&amp;IF(I824="","unknown",I824),H824))</f>
        <v/>
      </c>
      <c r="Q824" s="1" t="str">
        <f aca="false">IF(P824="","",IFERROR(IF(AND(H824="W7",OR(F824="causal",F824="predictive")),IF(AND(K824=1,L824=1,M824=1),"adequate","partial"),INDEX(Fit_Matrix!$B:$B,MATCH(P824,Fit_Matrix!$A:$A,0))),"CHECK KEY"))</f>
        <v/>
      </c>
    </row>
    <row r="825" customFormat="false" ht="15" hidden="false" customHeight="true" outlineLevel="0" collapsed="false">
      <c r="P825" s="1" t="str">
        <f aca="false">IF(OR(F825="",H825="",J825=""),"",J825&amp;"|"&amp;F825&amp;"|"&amp;IF(H825="W3","W3_"&amp;IF(I825="","unknown",I825),H825))</f>
        <v/>
      </c>
      <c r="Q825" s="1" t="str">
        <f aca="false">IF(P825="","",IFERROR(IF(AND(H825="W7",OR(F825="causal",F825="predictive")),IF(AND(K825=1,L825=1,M825=1),"adequate","partial"),INDEX(Fit_Matrix!$B:$B,MATCH(P825,Fit_Matrix!$A:$A,0))),"CHECK KEY"))</f>
        <v/>
      </c>
    </row>
    <row r="826" customFormat="false" ht="15" hidden="false" customHeight="true" outlineLevel="0" collapsed="false">
      <c r="P826" s="1" t="str">
        <f aca="false">IF(OR(F826="",H826="",J826=""),"",J826&amp;"|"&amp;F826&amp;"|"&amp;IF(H826="W3","W3_"&amp;IF(I826="","unknown",I826),H826))</f>
        <v/>
      </c>
      <c r="Q826" s="1" t="str">
        <f aca="false">IF(P826="","",IFERROR(IF(AND(H826="W7",OR(F826="causal",F826="predictive")),IF(AND(K826=1,L826=1,M826=1),"adequate","partial"),INDEX(Fit_Matrix!$B:$B,MATCH(P826,Fit_Matrix!$A:$A,0))),"CHECK KEY"))</f>
        <v/>
      </c>
    </row>
    <row r="827" customFormat="false" ht="15" hidden="false" customHeight="true" outlineLevel="0" collapsed="false">
      <c r="P827" s="1" t="str">
        <f aca="false">IF(OR(F827="",H827="",J827=""),"",J827&amp;"|"&amp;F827&amp;"|"&amp;IF(H827="W3","W3_"&amp;IF(I827="","unknown",I827),H827))</f>
        <v/>
      </c>
      <c r="Q827" s="1" t="str">
        <f aca="false">IF(P827="","",IFERROR(IF(AND(H827="W7",OR(F827="causal",F827="predictive")),IF(AND(K827=1,L827=1,M827=1),"adequate","partial"),INDEX(Fit_Matrix!$B:$B,MATCH(P827,Fit_Matrix!$A:$A,0))),"CHECK KEY"))</f>
        <v/>
      </c>
    </row>
    <row r="828" customFormat="false" ht="15" hidden="false" customHeight="true" outlineLevel="0" collapsed="false">
      <c r="P828" s="1" t="str">
        <f aca="false">IF(OR(F828="",H828="",J828=""),"",J828&amp;"|"&amp;F828&amp;"|"&amp;IF(H828="W3","W3_"&amp;IF(I828="","unknown",I828),H828))</f>
        <v/>
      </c>
      <c r="Q828" s="1" t="str">
        <f aca="false">IF(P828="","",IFERROR(IF(AND(H828="W7",OR(F828="causal",F828="predictive")),IF(AND(K828=1,L828=1,M828=1),"adequate","partial"),INDEX(Fit_Matrix!$B:$B,MATCH(P828,Fit_Matrix!$A:$A,0))),"CHECK KEY"))</f>
        <v/>
      </c>
    </row>
    <row r="829" customFormat="false" ht="15" hidden="false" customHeight="true" outlineLevel="0" collapsed="false">
      <c r="P829" s="1" t="str">
        <f aca="false">IF(OR(F829="",H829="",J829=""),"",J829&amp;"|"&amp;F829&amp;"|"&amp;IF(H829="W3","W3_"&amp;IF(I829="","unknown",I829),H829))</f>
        <v/>
      </c>
      <c r="Q829" s="1" t="str">
        <f aca="false">IF(P829="","",IFERROR(IF(AND(H829="W7",OR(F829="causal",F829="predictive")),IF(AND(K829=1,L829=1,M829=1),"adequate","partial"),INDEX(Fit_Matrix!$B:$B,MATCH(P829,Fit_Matrix!$A:$A,0))),"CHECK KEY"))</f>
        <v/>
      </c>
    </row>
    <row r="830" customFormat="false" ht="15" hidden="false" customHeight="true" outlineLevel="0" collapsed="false">
      <c r="P830" s="1" t="str">
        <f aca="false">IF(OR(F830="",H830="",J830=""),"",J830&amp;"|"&amp;F830&amp;"|"&amp;IF(H830="W3","W3_"&amp;IF(I830="","unknown",I830),H830))</f>
        <v/>
      </c>
      <c r="Q830" s="1" t="str">
        <f aca="false">IF(P830="","",IFERROR(IF(AND(H830="W7",OR(F830="causal",F830="predictive")),IF(AND(K830=1,L830=1,M830=1),"adequate","partial"),INDEX(Fit_Matrix!$B:$B,MATCH(P830,Fit_Matrix!$A:$A,0))),"CHECK KEY"))</f>
        <v/>
      </c>
    </row>
    <row r="831" customFormat="false" ht="15" hidden="false" customHeight="true" outlineLevel="0" collapsed="false">
      <c r="P831" s="1" t="str">
        <f aca="false">IF(OR(F831="",H831="",J831=""),"",J831&amp;"|"&amp;F831&amp;"|"&amp;IF(H831="W3","W3_"&amp;IF(I831="","unknown",I831),H831))</f>
        <v/>
      </c>
      <c r="Q831" s="1" t="str">
        <f aca="false">IF(P831="","",IFERROR(IF(AND(H831="W7",OR(F831="causal",F831="predictive")),IF(AND(K831=1,L831=1,M831=1),"adequate","partial"),INDEX(Fit_Matrix!$B:$B,MATCH(P831,Fit_Matrix!$A:$A,0))),"CHECK KEY"))</f>
        <v/>
      </c>
    </row>
    <row r="832" customFormat="false" ht="15" hidden="false" customHeight="true" outlineLevel="0" collapsed="false">
      <c r="P832" s="1" t="str">
        <f aca="false">IF(OR(F832="",H832="",J832=""),"",J832&amp;"|"&amp;F832&amp;"|"&amp;IF(H832="W3","W3_"&amp;IF(I832="","unknown",I832),H832))</f>
        <v/>
      </c>
      <c r="Q832" s="1" t="str">
        <f aca="false">IF(P832="","",IFERROR(IF(AND(H832="W7",OR(F832="causal",F832="predictive")),IF(AND(K832=1,L832=1,M832=1),"adequate","partial"),INDEX(Fit_Matrix!$B:$B,MATCH(P832,Fit_Matrix!$A:$A,0))),"CHECK KEY"))</f>
        <v/>
      </c>
    </row>
    <row r="833" customFormat="false" ht="15" hidden="false" customHeight="true" outlineLevel="0" collapsed="false">
      <c r="P833" s="1" t="str">
        <f aca="false">IF(OR(F833="",H833="",J833=""),"",J833&amp;"|"&amp;F833&amp;"|"&amp;IF(H833="W3","W3_"&amp;IF(I833="","unknown",I833),H833))</f>
        <v/>
      </c>
      <c r="Q833" s="1" t="str">
        <f aca="false">IF(P833="","",IFERROR(IF(AND(H833="W7",OR(F833="causal",F833="predictive")),IF(AND(K833=1,L833=1,M833=1),"adequate","partial"),INDEX(Fit_Matrix!$B:$B,MATCH(P833,Fit_Matrix!$A:$A,0))),"CHECK KEY"))</f>
        <v/>
      </c>
    </row>
    <row r="834" customFormat="false" ht="15" hidden="false" customHeight="true" outlineLevel="0" collapsed="false">
      <c r="P834" s="1" t="str">
        <f aca="false">IF(OR(F834="",H834="",J834=""),"",J834&amp;"|"&amp;F834&amp;"|"&amp;IF(H834="W3","W3_"&amp;IF(I834="","unknown",I834),H834))</f>
        <v/>
      </c>
      <c r="Q834" s="1" t="str">
        <f aca="false">IF(P834="","",IFERROR(IF(AND(H834="W7",OR(F834="causal",F834="predictive")),IF(AND(K834=1,L834=1,M834=1),"adequate","partial"),INDEX(Fit_Matrix!$B:$B,MATCH(P834,Fit_Matrix!$A:$A,0))),"CHECK KEY"))</f>
        <v/>
      </c>
    </row>
    <row r="835" customFormat="false" ht="15" hidden="false" customHeight="true" outlineLevel="0" collapsed="false">
      <c r="P835" s="1" t="str">
        <f aca="false">IF(OR(F835="",H835="",J835=""),"",J835&amp;"|"&amp;F835&amp;"|"&amp;IF(H835="W3","W3_"&amp;IF(I835="","unknown",I835),H835))</f>
        <v/>
      </c>
      <c r="Q835" s="1" t="str">
        <f aca="false">IF(P835="","",IFERROR(IF(AND(H835="W7",OR(F835="causal",F835="predictive")),IF(AND(K835=1,L835=1,M835=1),"adequate","partial"),INDEX(Fit_Matrix!$B:$B,MATCH(P835,Fit_Matrix!$A:$A,0))),"CHECK KEY"))</f>
        <v/>
      </c>
    </row>
    <row r="836" customFormat="false" ht="15" hidden="false" customHeight="true" outlineLevel="0" collapsed="false">
      <c r="P836" s="1" t="str">
        <f aca="false">IF(OR(F836="",H836="",J836=""),"",J836&amp;"|"&amp;F836&amp;"|"&amp;IF(H836="W3","W3_"&amp;IF(I836="","unknown",I836),H836))</f>
        <v/>
      </c>
      <c r="Q836" s="1" t="str">
        <f aca="false">IF(P836="","",IFERROR(IF(AND(H836="W7",OR(F836="causal",F836="predictive")),IF(AND(K836=1,L836=1,M836=1),"adequate","partial"),INDEX(Fit_Matrix!$B:$B,MATCH(P836,Fit_Matrix!$A:$A,0))),"CHECK KEY"))</f>
        <v/>
      </c>
    </row>
    <row r="837" customFormat="false" ht="15" hidden="false" customHeight="true" outlineLevel="0" collapsed="false">
      <c r="P837" s="1" t="str">
        <f aca="false">IF(OR(F837="",H837="",J837=""),"",J837&amp;"|"&amp;F837&amp;"|"&amp;IF(H837="W3","W3_"&amp;IF(I837="","unknown",I837),H837))</f>
        <v/>
      </c>
      <c r="Q837" s="1" t="str">
        <f aca="false">IF(P837="","",IFERROR(IF(AND(H837="W7",OR(F837="causal",F837="predictive")),IF(AND(K837=1,L837=1,M837=1),"adequate","partial"),INDEX(Fit_Matrix!$B:$B,MATCH(P837,Fit_Matrix!$A:$A,0))),"CHECK KEY"))</f>
        <v/>
      </c>
    </row>
    <row r="838" customFormat="false" ht="15" hidden="false" customHeight="true" outlineLevel="0" collapsed="false">
      <c r="P838" s="1" t="str">
        <f aca="false">IF(OR(F838="",H838="",J838=""),"",J838&amp;"|"&amp;F838&amp;"|"&amp;IF(H838="W3","W3_"&amp;IF(I838="","unknown",I838),H838))</f>
        <v/>
      </c>
      <c r="Q838" s="1" t="str">
        <f aca="false">IF(P838="","",IFERROR(IF(AND(H838="W7",OR(F838="causal",F838="predictive")),IF(AND(K838=1,L838=1,M838=1),"adequate","partial"),INDEX(Fit_Matrix!$B:$B,MATCH(P838,Fit_Matrix!$A:$A,0))),"CHECK KEY"))</f>
        <v/>
      </c>
    </row>
    <row r="839" customFormat="false" ht="15" hidden="false" customHeight="true" outlineLevel="0" collapsed="false">
      <c r="P839" s="1" t="str">
        <f aca="false">IF(OR(F839="",H839="",J839=""),"",J839&amp;"|"&amp;F839&amp;"|"&amp;IF(H839="W3","W3_"&amp;IF(I839="","unknown",I839),H839))</f>
        <v/>
      </c>
      <c r="Q839" s="1" t="str">
        <f aca="false">IF(P839="","",IFERROR(IF(AND(H839="W7",OR(F839="causal",F839="predictive")),IF(AND(K839=1,L839=1,M839=1),"adequate","partial"),INDEX(Fit_Matrix!$B:$B,MATCH(P839,Fit_Matrix!$A:$A,0))),"CHECK KEY"))</f>
        <v/>
      </c>
    </row>
    <row r="840" customFormat="false" ht="15" hidden="false" customHeight="true" outlineLevel="0" collapsed="false">
      <c r="P840" s="1" t="str">
        <f aca="false">IF(OR(F840="",H840="",J840=""),"",J840&amp;"|"&amp;F840&amp;"|"&amp;IF(H840="W3","W3_"&amp;IF(I840="","unknown",I840),H840))</f>
        <v/>
      </c>
      <c r="Q840" s="1" t="str">
        <f aca="false">IF(P840="","",IFERROR(IF(AND(H840="W7",OR(F840="causal",F840="predictive")),IF(AND(K840=1,L840=1,M840=1),"adequate","partial"),INDEX(Fit_Matrix!$B:$B,MATCH(P840,Fit_Matrix!$A:$A,0))),"CHECK KEY"))</f>
        <v/>
      </c>
    </row>
    <row r="841" customFormat="false" ht="15" hidden="false" customHeight="true" outlineLevel="0" collapsed="false">
      <c r="P841" s="1" t="str">
        <f aca="false">IF(OR(F841="",H841="",J841=""),"",J841&amp;"|"&amp;F841&amp;"|"&amp;IF(H841="W3","W3_"&amp;IF(I841="","unknown",I841),H841))</f>
        <v/>
      </c>
      <c r="Q841" s="1" t="str">
        <f aca="false">IF(P841="","",IFERROR(IF(AND(H841="W7",OR(F841="causal",F841="predictive")),IF(AND(K841=1,L841=1,M841=1),"adequate","partial"),INDEX(Fit_Matrix!$B:$B,MATCH(P841,Fit_Matrix!$A:$A,0))),"CHECK KEY"))</f>
        <v/>
      </c>
    </row>
    <row r="842" customFormat="false" ht="15" hidden="false" customHeight="true" outlineLevel="0" collapsed="false">
      <c r="P842" s="1" t="str">
        <f aca="false">IF(OR(F842="",H842="",J842=""),"",J842&amp;"|"&amp;F842&amp;"|"&amp;IF(H842="W3","W3_"&amp;IF(I842="","unknown",I842),H842))</f>
        <v/>
      </c>
      <c r="Q842" s="1" t="str">
        <f aca="false">IF(P842="","",IFERROR(IF(AND(H842="W7",OR(F842="causal",F842="predictive")),IF(AND(K842=1,L842=1,M842=1),"adequate","partial"),INDEX(Fit_Matrix!$B:$B,MATCH(P842,Fit_Matrix!$A:$A,0))),"CHECK KEY"))</f>
        <v/>
      </c>
    </row>
    <row r="843" customFormat="false" ht="15" hidden="false" customHeight="true" outlineLevel="0" collapsed="false">
      <c r="P843" s="1" t="str">
        <f aca="false">IF(OR(F843="",H843="",J843=""),"",J843&amp;"|"&amp;F843&amp;"|"&amp;IF(H843="W3","W3_"&amp;IF(I843="","unknown",I843),H843))</f>
        <v/>
      </c>
      <c r="Q843" s="1" t="str">
        <f aca="false">IF(P843="","",IFERROR(IF(AND(H843="W7",OR(F843="causal",F843="predictive")),IF(AND(K843=1,L843=1,M843=1),"adequate","partial"),INDEX(Fit_Matrix!$B:$B,MATCH(P843,Fit_Matrix!$A:$A,0))),"CHECK KEY"))</f>
        <v/>
      </c>
    </row>
    <row r="844" customFormat="false" ht="15" hidden="false" customHeight="true" outlineLevel="0" collapsed="false">
      <c r="P844" s="1" t="str">
        <f aca="false">IF(OR(F844="",H844="",J844=""),"",J844&amp;"|"&amp;F844&amp;"|"&amp;IF(H844="W3","W3_"&amp;IF(I844="","unknown",I844),H844))</f>
        <v/>
      </c>
      <c r="Q844" s="1" t="str">
        <f aca="false">IF(P844="","",IFERROR(IF(AND(H844="W7",OR(F844="causal",F844="predictive")),IF(AND(K844=1,L844=1,M844=1),"adequate","partial"),INDEX(Fit_Matrix!$B:$B,MATCH(P844,Fit_Matrix!$A:$A,0))),"CHECK KEY"))</f>
        <v/>
      </c>
    </row>
    <row r="845" customFormat="false" ht="15" hidden="false" customHeight="true" outlineLevel="0" collapsed="false">
      <c r="P845" s="1" t="str">
        <f aca="false">IF(OR(F845="",H845="",J845=""),"",J845&amp;"|"&amp;F845&amp;"|"&amp;IF(H845="W3","W3_"&amp;IF(I845="","unknown",I845),H845))</f>
        <v/>
      </c>
      <c r="Q845" s="1" t="str">
        <f aca="false">IF(P845="","",IFERROR(IF(AND(H845="W7",OR(F845="causal",F845="predictive")),IF(AND(K845=1,L845=1,M845=1),"adequate","partial"),INDEX(Fit_Matrix!$B:$B,MATCH(P845,Fit_Matrix!$A:$A,0))),"CHECK KEY"))</f>
        <v/>
      </c>
    </row>
    <row r="846" customFormat="false" ht="15" hidden="false" customHeight="true" outlineLevel="0" collapsed="false">
      <c r="P846" s="1" t="str">
        <f aca="false">IF(OR(F846="",H846="",J846=""),"",J846&amp;"|"&amp;F846&amp;"|"&amp;IF(H846="W3","W3_"&amp;IF(I846="","unknown",I846),H846))</f>
        <v/>
      </c>
      <c r="Q846" s="1" t="str">
        <f aca="false">IF(P846="","",IFERROR(IF(AND(H846="W7",OR(F846="causal",F846="predictive")),IF(AND(K846=1,L846=1,M846=1),"adequate","partial"),INDEX(Fit_Matrix!$B:$B,MATCH(P846,Fit_Matrix!$A:$A,0))),"CHECK KEY"))</f>
        <v/>
      </c>
    </row>
    <row r="847" customFormat="false" ht="15" hidden="false" customHeight="true" outlineLevel="0" collapsed="false">
      <c r="P847" s="1" t="str">
        <f aca="false">IF(OR(F847="",H847="",J847=""),"",J847&amp;"|"&amp;F847&amp;"|"&amp;IF(H847="W3","W3_"&amp;IF(I847="","unknown",I847),H847))</f>
        <v/>
      </c>
      <c r="Q847" s="1" t="str">
        <f aca="false">IF(P847="","",IFERROR(IF(AND(H847="W7",OR(F847="causal",F847="predictive")),IF(AND(K847=1,L847=1,M847=1),"adequate","partial"),INDEX(Fit_Matrix!$B:$B,MATCH(P847,Fit_Matrix!$A:$A,0))),"CHECK KEY"))</f>
        <v/>
      </c>
    </row>
    <row r="848" customFormat="false" ht="15" hidden="false" customHeight="true" outlineLevel="0" collapsed="false">
      <c r="P848" s="1" t="str">
        <f aca="false">IF(OR(F848="",H848="",J848=""),"",J848&amp;"|"&amp;F848&amp;"|"&amp;IF(H848="W3","W3_"&amp;IF(I848="","unknown",I848),H848))</f>
        <v/>
      </c>
      <c r="Q848" s="1" t="str">
        <f aca="false">IF(P848="","",IFERROR(IF(AND(H848="W7",OR(F848="causal",F848="predictive")),IF(AND(K848=1,L848=1,M848=1),"adequate","partial"),INDEX(Fit_Matrix!$B:$B,MATCH(P848,Fit_Matrix!$A:$A,0))),"CHECK KEY"))</f>
        <v/>
      </c>
    </row>
    <row r="849" customFormat="false" ht="15" hidden="false" customHeight="true" outlineLevel="0" collapsed="false">
      <c r="P849" s="1" t="str">
        <f aca="false">IF(OR(F849="",H849="",J849=""),"",J849&amp;"|"&amp;F849&amp;"|"&amp;IF(H849="W3","W3_"&amp;IF(I849="","unknown",I849),H849))</f>
        <v/>
      </c>
      <c r="Q849" s="1" t="str">
        <f aca="false">IF(P849="","",IFERROR(IF(AND(H849="W7",OR(F849="causal",F849="predictive")),IF(AND(K849=1,L849=1,M849=1),"adequate","partial"),INDEX(Fit_Matrix!$B:$B,MATCH(P849,Fit_Matrix!$A:$A,0))),"CHECK KEY"))</f>
        <v/>
      </c>
    </row>
    <row r="850" customFormat="false" ht="15" hidden="false" customHeight="true" outlineLevel="0" collapsed="false">
      <c r="P850" s="1" t="str">
        <f aca="false">IF(OR(F850="",H850="",J850=""),"",J850&amp;"|"&amp;F850&amp;"|"&amp;IF(H850="W3","W3_"&amp;IF(I850="","unknown",I850),H850))</f>
        <v/>
      </c>
      <c r="Q850" s="1" t="str">
        <f aca="false">IF(P850="","",IFERROR(IF(AND(H850="W7",OR(F850="causal",F850="predictive")),IF(AND(K850=1,L850=1,M850=1),"adequate","partial"),INDEX(Fit_Matrix!$B:$B,MATCH(P850,Fit_Matrix!$A:$A,0))),"CHECK KEY"))</f>
        <v/>
      </c>
    </row>
    <row r="851" customFormat="false" ht="15" hidden="false" customHeight="true" outlineLevel="0" collapsed="false">
      <c r="P851" s="1" t="str">
        <f aca="false">IF(OR(F851="",H851="",J851=""),"",J851&amp;"|"&amp;F851&amp;"|"&amp;IF(H851="W3","W3_"&amp;IF(I851="","unknown",I851),H851))</f>
        <v/>
      </c>
      <c r="Q851" s="1" t="str">
        <f aca="false">IF(P851="","",IFERROR(IF(AND(H851="W7",OR(F851="causal",F851="predictive")),IF(AND(K851=1,L851=1,M851=1),"adequate","partial"),INDEX(Fit_Matrix!$B:$B,MATCH(P851,Fit_Matrix!$A:$A,0))),"CHECK KEY"))</f>
        <v/>
      </c>
    </row>
    <row r="852" customFormat="false" ht="15" hidden="false" customHeight="true" outlineLevel="0" collapsed="false">
      <c r="P852" s="1" t="str">
        <f aca="false">IF(OR(F852="",H852="",J852=""),"",J852&amp;"|"&amp;F852&amp;"|"&amp;IF(H852="W3","W3_"&amp;IF(I852="","unknown",I852),H852))</f>
        <v/>
      </c>
      <c r="Q852" s="1" t="str">
        <f aca="false">IF(P852="","",IFERROR(IF(AND(H852="W7",OR(F852="causal",F852="predictive")),IF(AND(K852=1,L852=1,M852=1),"adequate","partial"),INDEX(Fit_Matrix!$B:$B,MATCH(P852,Fit_Matrix!$A:$A,0))),"CHECK KEY"))</f>
        <v/>
      </c>
    </row>
    <row r="853" customFormat="false" ht="15" hidden="false" customHeight="true" outlineLevel="0" collapsed="false">
      <c r="P853" s="1" t="str">
        <f aca="false">IF(OR(F853="",H853="",J853=""),"",J853&amp;"|"&amp;F853&amp;"|"&amp;IF(H853="W3","W3_"&amp;IF(I853="","unknown",I853),H853))</f>
        <v/>
      </c>
      <c r="Q853" s="1" t="str">
        <f aca="false">IF(P853="","",IFERROR(IF(AND(H853="W7",OR(F853="causal",F853="predictive")),IF(AND(K853=1,L853=1,M853=1),"adequate","partial"),INDEX(Fit_Matrix!$B:$B,MATCH(P853,Fit_Matrix!$A:$A,0))),"CHECK KEY"))</f>
        <v/>
      </c>
    </row>
    <row r="854" customFormat="false" ht="15" hidden="false" customHeight="true" outlineLevel="0" collapsed="false">
      <c r="P854" s="1" t="str">
        <f aca="false">IF(OR(F854="",H854="",J854=""),"",J854&amp;"|"&amp;F854&amp;"|"&amp;IF(H854="W3","W3_"&amp;IF(I854="","unknown",I854),H854))</f>
        <v/>
      </c>
      <c r="Q854" s="1" t="str">
        <f aca="false">IF(P854="","",IFERROR(IF(AND(H854="W7",OR(F854="causal",F854="predictive")),IF(AND(K854=1,L854=1,M854=1),"adequate","partial"),INDEX(Fit_Matrix!$B:$B,MATCH(P854,Fit_Matrix!$A:$A,0))),"CHECK KEY"))</f>
        <v/>
      </c>
    </row>
    <row r="855" customFormat="false" ht="15" hidden="false" customHeight="true" outlineLevel="0" collapsed="false">
      <c r="P855" s="1" t="str">
        <f aca="false">IF(OR(F855="",H855="",J855=""),"",J855&amp;"|"&amp;F855&amp;"|"&amp;IF(H855="W3","W3_"&amp;IF(I855="","unknown",I855),H855))</f>
        <v/>
      </c>
      <c r="Q855" s="1" t="str">
        <f aca="false">IF(P855="","",IFERROR(IF(AND(H855="W7",OR(F855="causal",F855="predictive")),IF(AND(K855=1,L855=1,M855=1),"adequate","partial"),INDEX(Fit_Matrix!$B:$B,MATCH(P855,Fit_Matrix!$A:$A,0))),"CHECK KEY"))</f>
        <v/>
      </c>
    </row>
    <row r="856" customFormat="false" ht="15" hidden="false" customHeight="true" outlineLevel="0" collapsed="false">
      <c r="P856" s="1" t="str">
        <f aca="false">IF(OR(F856="",H856="",J856=""),"",J856&amp;"|"&amp;F856&amp;"|"&amp;IF(H856="W3","W3_"&amp;IF(I856="","unknown",I856),H856))</f>
        <v/>
      </c>
      <c r="Q856" s="1" t="str">
        <f aca="false">IF(P856="","",IFERROR(IF(AND(H856="W7",OR(F856="causal",F856="predictive")),IF(AND(K856=1,L856=1,M856=1),"adequate","partial"),INDEX(Fit_Matrix!$B:$B,MATCH(P856,Fit_Matrix!$A:$A,0))),"CHECK KEY"))</f>
        <v/>
      </c>
    </row>
    <row r="857" customFormat="false" ht="15" hidden="false" customHeight="true" outlineLevel="0" collapsed="false">
      <c r="P857" s="1" t="str">
        <f aca="false">IF(OR(F857="",H857="",J857=""),"",J857&amp;"|"&amp;F857&amp;"|"&amp;IF(H857="W3","W3_"&amp;IF(I857="","unknown",I857),H857))</f>
        <v/>
      </c>
      <c r="Q857" s="1" t="str">
        <f aca="false">IF(P857="","",IFERROR(IF(AND(H857="W7",OR(F857="causal",F857="predictive")),IF(AND(K857=1,L857=1,M857=1),"adequate","partial"),INDEX(Fit_Matrix!$B:$B,MATCH(P857,Fit_Matrix!$A:$A,0))),"CHECK KEY"))</f>
        <v/>
      </c>
    </row>
    <row r="858" customFormat="false" ht="15" hidden="false" customHeight="true" outlineLevel="0" collapsed="false">
      <c r="P858" s="1" t="str">
        <f aca="false">IF(OR(F858="",H858="",J858=""),"",J858&amp;"|"&amp;F858&amp;"|"&amp;IF(H858="W3","W3_"&amp;IF(I858="","unknown",I858),H858))</f>
        <v/>
      </c>
      <c r="Q858" s="1" t="str">
        <f aca="false">IF(P858="","",IFERROR(IF(AND(H858="W7",OR(F858="causal",F858="predictive")),IF(AND(K858=1,L858=1,M858=1),"adequate","partial"),INDEX(Fit_Matrix!$B:$B,MATCH(P858,Fit_Matrix!$A:$A,0))),"CHECK KEY"))</f>
        <v/>
      </c>
    </row>
    <row r="859" customFormat="false" ht="15" hidden="false" customHeight="true" outlineLevel="0" collapsed="false">
      <c r="P859" s="1" t="str">
        <f aca="false">IF(OR(F859="",H859="",J859=""),"",J859&amp;"|"&amp;F859&amp;"|"&amp;IF(H859="W3","W3_"&amp;IF(I859="","unknown",I859),H859))</f>
        <v/>
      </c>
      <c r="Q859" s="1" t="str">
        <f aca="false">IF(P859="","",IFERROR(IF(AND(H859="W7",OR(F859="causal",F859="predictive")),IF(AND(K859=1,L859=1,M859=1),"adequate","partial"),INDEX(Fit_Matrix!$B:$B,MATCH(P859,Fit_Matrix!$A:$A,0))),"CHECK KEY"))</f>
        <v/>
      </c>
    </row>
    <row r="860" customFormat="false" ht="15" hidden="false" customHeight="true" outlineLevel="0" collapsed="false">
      <c r="P860" s="1" t="str">
        <f aca="false">IF(OR(F860="",H860="",J860=""),"",J860&amp;"|"&amp;F860&amp;"|"&amp;IF(H860="W3","W3_"&amp;IF(I860="","unknown",I860),H860))</f>
        <v/>
      </c>
      <c r="Q860" s="1" t="str">
        <f aca="false">IF(P860="","",IFERROR(IF(AND(H860="W7",OR(F860="causal",F860="predictive")),IF(AND(K860=1,L860=1,M860=1),"adequate","partial"),INDEX(Fit_Matrix!$B:$B,MATCH(P860,Fit_Matrix!$A:$A,0))),"CHECK KEY"))</f>
        <v/>
      </c>
    </row>
    <row r="861" customFormat="false" ht="15" hidden="false" customHeight="true" outlineLevel="0" collapsed="false">
      <c r="P861" s="1" t="str">
        <f aca="false">IF(OR(F861="",H861="",J861=""),"",J861&amp;"|"&amp;F861&amp;"|"&amp;IF(H861="W3","W3_"&amp;IF(I861="","unknown",I861),H861))</f>
        <v/>
      </c>
      <c r="Q861" s="1" t="str">
        <f aca="false">IF(P861="","",IFERROR(IF(AND(H861="W7",OR(F861="causal",F861="predictive")),IF(AND(K861=1,L861=1,M861=1),"adequate","partial"),INDEX(Fit_Matrix!$B:$B,MATCH(P861,Fit_Matrix!$A:$A,0))),"CHECK KEY"))</f>
        <v/>
      </c>
    </row>
    <row r="862" customFormat="false" ht="15" hidden="false" customHeight="true" outlineLevel="0" collapsed="false">
      <c r="P862" s="1" t="str">
        <f aca="false">IF(OR(F862="",H862="",J862=""),"",J862&amp;"|"&amp;F862&amp;"|"&amp;IF(H862="W3","W3_"&amp;IF(I862="","unknown",I862),H862))</f>
        <v/>
      </c>
      <c r="Q862" s="1" t="str">
        <f aca="false">IF(P862="","",IFERROR(IF(AND(H862="W7",OR(F862="causal",F862="predictive")),IF(AND(K862=1,L862=1,M862=1),"adequate","partial"),INDEX(Fit_Matrix!$B:$B,MATCH(P862,Fit_Matrix!$A:$A,0))),"CHECK KEY"))</f>
        <v/>
      </c>
    </row>
    <row r="863" customFormat="false" ht="15" hidden="false" customHeight="true" outlineLevel="0" collapsed="false">
      <c r="P863" s="1" t="str">
        <f aca="false">IF(OR(F863="",H863="",J863=""),"",J863&amp;"|"&amp;F863&amp;"|"&amp;IF(H863="W3","W3_"&amp;IF(I863="","unknown",I863),H863))</f>
        <v/>
      </c>
      <c r="Q863" s="1" t="str">
        <f aca="false">IF(P863="","",IFERROR(IF(AND(H863="W7",OR(F863="causal",F863="predictive")),IF(AND(K863=1,L863=1,M863=1),"adequate","partial"),INDEX(Fit_Matrix!$B:$B,MATCH(P863,Fit_Matrix!$A:$A,0))),"CHECK KEY"))</f>
        <v/>
      </c>
    </row>
    <row r="864" customFormat="false" ht="15" hidden="false" customHeight="true" outlineLevel="0" collapsed="false">
      <c r="P864" s="1" t="str">
        <f aca="false">IF(OR(F864="",H864="",J864=""),"",J864&amp;"|"&amp;F864&amp;"|"&amp;IF(H864="W3","W3_"&amp;IF(I864="","unknown",I864),H864))</f>
        <v/>
      </c>
      <c r="Q864" s="1" t="str">
        <f aca="false">IF(P864="","",IFERROR(IF(AND(H864="W7",OR(F864="causal",F864="predictive")),IF(AND(K864=1,L864=1,M864=1),"adequate","partial"),INDEX(Fit_Matrix!$B:$B,MATCH(P864,Fit_Matrix!$A:$A,0))),"CHECK KEY"))</f>
        <v/>
      </c>
    </row>
    <row r="865" customFormat="false" ht="15" hidden="false" customHeight="true" outlineLevel="0" collapsed="false">
      <c r="P865" s="1" t="str">
        <f aca="false">IF(OR(F865="",H865="",J865=""),"",J865&amp;"|"&amp;F865&amp;"|"&amp;IF(H865="W3","W3_"&amp;IF(I865="","unknown",I865),H865))</f>
        <v/>
      </c>
      <c r="Q865" s="1" t="str">
        <f aca="false">IF(P865="","",IFERROR(IF(AND(H865="W7",OR(F865="causal",F865="predictive")),IF(AND(K865=1,L865=1,M865=1),"adequate","partial"),INDEX(Fit_Matrix!$B:$B,MATCH(P865,Fit_Matrix!$A:$A,0))),"CHECK KEY"))</f>
        <v/>
      </c>
    </row>
    <row r="866" customFormat="false" ht="15" hidden="false" customHeight="true" outlineLevel="0" collapsed="false">
      <c r="P866" s="1" t="str">
        <f aca="false">IF(OR(F866="",H866="",J866=""),"",J866&amp;"|"&amp;F866&amp;"|"&amp;IF(H866="W3","W3_"&amp;IF(I866="","unknown",I866),H866))</f>
        <v/>
      </c>
      <c r="Q866" s="1" t="str">
        <f aca="false">IF(P866="","",IFERROR(IF(AND(H866="W7",OR(F866="causal",F866="predictive")),IF(AND(K866=1,L866=1,M866=1),"adequate","partial"),INDEX(Fit_Matrix!$B:$B,MATCH(P866,Fit_Matrix!$A:$A,0))),"CHECK KEY"))</f>
        <v/>
      </c>
    </row>
    <row r="867" customFormat="false" ht="15" hidden="false" customHeight="true" outlineLevel="0" collapsed="false">
      <c r="P867" s="1" t="str">
        <f aca="false">IF(OR(F867="",H867="",J867=""),"",J867&amp;"|"&amp;F867&amp;"|"&amp;IF(H867="W3","W3_"&amp;IF(I867="","unknown",I867),H867))</f>
        <v/>
      </c>
      <c r="Q867" s="1" t="str">
        <f aca="false">IF(P867="","",IFERROR(IF(AND(H867="W7",OR(F867="causal",F867="predictive")),IF(AND(K867=1,L867=1,M867=1),"adequate","partial"),INDEX(Fit_Matrix!$B:$B,MATCH(P867,Fit_Matrix!$A:$A,0))),"CHECK KEY"))</f>
        <v/>
      </c>
    </row>
    <row r="868" customFormat="false" ht="15" hidden="false" customHeight="true" outlineLevel="0" collapsed="false">
      <c r="P868" s="1" t="str">
        <f aca="false">IF(OR(F868="",H868="",J868=""),"",J868&amp;"|"&amp;F868&amp;"|"&amp;IF(H868="W3","W3_"&amp;IF(I868="","unknown",I868),H868))</f>
        <v/>
      </c>
      <c r="Q868" s="1" t="str">
        <f aca="false">IF(P868="","",IFERROR(IF(AND(H868="W7",OR(F868="causal",F868="predictive")),IF(AND(K868=1,L868=1,M868=1),"adequate","partial"),INDEX(Fit_Matrix!$B:$B,MATCH(P868,Fit_Matrix!$A:$A,0))),"CHECK KEY"))</f>
        <v/>
      </c>
    </row>
    <row r="869" customFormat="false" ht="15" hidden="false" customHeight="true" outlineLevel="0" collapsed="false">
      <c r="P869" s="1" t="str">
        <f aca="false">IF(OR(F869="",H869="",J869=""),"",J869&amp;"|"&amp;F869&amp;"|"&amp;IF(H869="W3","W3_"&amp;IF(I869="","unknown",I869),H869))</f>
        <v/>
      </c>
      <c r="Q869" s="1" t="str">
        <f aca="false">IF(P869="","",IFERROR(IF(AND(H869="W7",OR(F869="causal",F869="predictive")),IF(AND(K869=1,L869=1,M869=1),"adequate","partial"),INDEX(Fit_Matrix!$B:$B,MATCH(P869,Fit_Matrix!$A:$A,0))),"CHECK KEY"))</f>
        <v/>
      </c>
    </row>
    <row r="870" customFormat="false" ht="15" hidden="false" customHeight="true" outlineLevel="0" collapsed="false">
      <c r="P870" s="1" t="str">
        <f aca="false">IF(OR(F870="",H870="",J870=""),"",J870&amp;"|"&amp;F870&amp;"|"&amp;IF(H870="W3","W3_"&amp;IF(I870="","unknown",I870),H870))</f>
        <v/>
      </c>
      <c r="Q870" s="1" t="str">
        <f aca="false">IF(P870="","",IFERROR(IF(AND(H870="W7",OR(F870="causal",F870="predictive")),IF(AND(K870=1,L870=1,M870=1),"adequate","partial"),INDEX(Fit_Matrix!$B:$B,MATCH(P870,Fit_Matrix!$A:$A,0))),"CHECK KEY"))</f>
        <v/>
      </c>
    </row>
    <row r="871" customFormat="false" ht="15" hidden="false" customHeight="true" outlineLevel="0" collapsed="false">
      <c r="P871" s="1" t="str">
        <f aca="false">IF(OR(F871="",H871="",J871=""),"",J871&amp;"|"&amp;F871&amp;"|"&amp;IF(H871="W3","W3_"&amp;IF(I871="","unknown",I871),H871))</f>
        <v/>
      </c>
      <c r="Q871" s="1" t="str">
        <f aca="false">IF(P871="","",IFERROR(IF(AND(H871="W7",OR(F871="causal",F871="predictive")),IF(AND(K871=1,L871=1,M871=1),"adequate","partial"),INDEX(Fit_Matrix!$B:$B,MATCH(P871,Fit_Matrix!$A:$A,0))),"CHECK KEY"))</f>
        <v/>
      </c>
    </row>
    <row r="872" customFormat="false" ht="15" hidden="false" customHeight="true" outlineLevel="0" collapsed="false">
      <c r="P872" s="1" t="str">
        <f aca="false">IF(OR(F872="",H872="",J872=""),"",J872&amp;"|"&amp;F872&amp;"|"&amp;IF(H872="W3","W3_"&amp;IF(I872="","unknown",I872),H872))</f>
        <v/>
      </c>
      <c r="Q872" s="1" t="str">
        <f aca="false">IF(P872="","",IFERROR(IF(AND(H872="W7",OR(F872="causal",F872="predictive")),IF(AND(K872=1,L872=1,M872=1),"adequate","partial"),INDEX(Fit_Matrix!$B:$B,MATCH(P872,Fit_Matrix!$A:$A,0))),"CHECK KEY"))</f>
        <v/>
      </c>
    </row>
    <row r="873" customFormat="false" ht="15" hidden="false" customHeight="true" outlineLevel="0" collapsed="false">
      <c r="P873" s="1" t="str">
        <f aca="false">IF(OR(F873="",H873="",J873=""),"",J873&amp;"|"&amp;F873&amp;"|"&amp;IF(H873="W3","W3_"&amp;IF(I873="","unknown",I873),H873))</f>
        <v/>
      </c>
      <c r="Q873" s="1" t="str">
        <f aca="false">IF(P873="","",IFERROR(IF(AND(H873="W7",OR(F873="causal",F873="predictive")),IF(AND(K873=1,L873=1,M873=1),"adequate","partial"),INDEX(Fit_Matrix!$B:$B,MATCH(P873,Fit_Matrix!$A:$A,0))),"CHECK KEY"))</f>
        <v/>
      </c>
    </row>
    <row r="874" customFormat="false" ht="15" hidden="false" customHeight="true" outlineLevel="0" collapsed="false">
      <c r="P874" s="1" t="str">
        <f aca="false">IF(OR(F874="",H874="",J874=""),"",J874&amp;"|"&amp;F874&amp;"|"&amp;IF(H874="W3","W3_"&amp;IF(I874="","unknown",I874),H874))</f>
        <v/>
      </c>
      <c r="Q874" s="1" t="str">
        <f aca="false">IF(P874="","",IFERROR(IF(AND(H874="W7",OR(F874="causal",F874="predictive")),IF(AND(K874=1,L874=1,M874=1),"adequate","partial"),INDEX(Fit_Matrix!$B:$B,MATCH(P874,Fit_Matrix!$A:$A,0))),"CHECK KEY"))</f>
        <v/>
      </c>
    </row>
    <row r="875" customFormat="false" ht="15" hidden="false" customHeight="true" outlineLevel="0" collapsed="false">
      <c r="P875" s="1" t="str">
        <f aca="false">IF(OR(F875="",H875="",J875=""),"",J875&amp;"|"&amp;F875&amp;"|"&amp;IF(H875="W3","W3_"&amp;IF(I875="","unknown",I875),H875))</f>
        <v/>
      </c>
      <c r="Q875" s="1" t="str">
        <f aca="false">IF(P875="","",IFERROR(IF(AND(H875="W7",OR(F875="causal",F875="predictive")),IF(AND(K875=1,L875=1,M875=1),"adequate","partial"),INDEX(Fit_Matrix!$B:$B,MATCH(P875,Fit_Matrix!$A:$A,0))),"CHECK KEY"))</f>
        <v/>
      </c>
    </row>
    <row r="876" customFormat="false" ht="15" hidden="false" customHeight="true" outlineLevel="0" collapsed="false">
      <c r="P876" s="1" t="str">
        <f aca="false">IF(OR(F876="",H876="",J876=""),"",J876&amp;"|"&amp;F876&amp;"|"&amp;IF(H876="W3","W3_"&amp;IF(I876="","unknown",I876),H876))</f>
        <v/>
      </c>
      <c r="Q876" s="1" t="str">
        <f aca="false">IF(P876="","",IFERROR(IF(AND(H876="W7",OR(F876="causal",F876="predictive")),IF(AND(K876=1,L876=1,M876=1),"adequate","partial"),INDEX(Fit_Matrix!$B:$B,MATCH(P876,Fit_Matrix!$A:$A,0))),"CHECK KEY"))</f>
        <v/>
      </c>
    </row>
    <row r="877" customFormat="false" ht="15" hidden="false" customHeight="true" outlineLevel="0" collapsed="false">
      <c r="P877" s="1" t="str">
        <f aca="false">IF(OR(F877="",H877="",J877=""),"",J877&amp;"|"&amp;F877&amp;"|"&amp;IF(H877="W3","W3_"&amp;IF(I877="","unknown",I877),H877))</f>
        <v/>
      </c>
      <c r="Q877" s="1" t="str">
        <f aca="false">IF(P877="","",IFERROR(IF(AND(H877="W7",OR(F877="causal",F877="predictive")),IF(AND(K877=1,L877=1,M877=1),"adequate","partial"),INDEX(Fit_Matrix!$B:$B,MATCH(P877,Fit_Matrix!$A:$A,0))),"CHECK KEY"))</f>
        <v/>
      </c>
    </row>
    <row r="878" customFormat="false" ht="15" hidden="false" customHeight="true" outlineLevel="0" collapsed="false">
      <c r="P878" s="1" t="str">
        <f aca="false">IF(OR(F878="",H878="",J878=""),"",J878&amp;"|"&amp;F878&amp;"|"&amp;IF(H878="W3","W3_"&amp;IF(I878="","unknown",I878),H878))</f>
        <v/>
      </c>
      <c r="Q878" s="1" t="str">
        <f aca="false">IF(P878="","",IFERROR(IF(AND(H878="W7",OR(F878="causal",F878="predictive")),IF(AND(K878=1,L878=1,M878=1),"adequate","partial"),INDEX(Fit_Matrix!$B:$B,MATCH(P878,Fit_Matrix!$A:$A,0))),"CHECK KEY"))</f>
        <v/>
      </c>
    </row>
    <row r="879" customFormat="false" ht="15" hidden="false" customHeight="true" outlineLevel="0" collapsed="false">
      <c r="P879" s="1" t="str">
        <f aca="false">IF(OR(F879="",H879="",J879=""),"",J879&amp;"|"&amp;F879&amp;"|"&amp;IF(H879="W3","W3_"&amp;IF(I879="","unknown",I879),H879))</f>
        <v/>
      </c>
      <c r="Q879" s="1" t="str">
        <f aca="false">IF(P879="","",IFERROR(IF(AND(H879="W7",OR(F879="causal",F879="predictive")),IF(AND(K879=1,L879=1,M879=1),"adequate","partial"),INDEX(Fit_Matrix!$B:$B,MATCH(P879,Fit_Matrix!$A:$A,0))),"CHECK KEY"))</f>
        <v/>
      </c>
    </row>
    <row r="880" customFormat="false" ht="15" hidden="false" customHeight="true" outlineLevel="0" collapsed="false">
      <c r="P880" s="1" t="str">
        <f aca="false">IF(OR(F880="",H880="",J880=""),"",J880&amp;"|"&amp;F880&amp;"|"&amp;IF(H880="W3","W3_"&amp;IF(I880="","unknown",I880),H880))</f>
        <v/>
      </c>
      <c r="Q880" s="1" t="str">
        <f aca="false">IF(P880="","",IFERROR(IF(AND(H880="W7",OR(F880="causal",F880="predictive")),IF(AND(K880=1,L880=1,M880=1),"adequate","partial"),INDEX(Fit_Matrix!$B:$B,MATCH(P880,Fit_Matrix!$A:$A,0))),"CHECK KEY"))</f>
        <v/>
      </c>
    </row>
    <row r="881" customFormat="false" ht="15" hidden="false" customHeight="true" outlineLevel="0" collapsed="false">
      <c r="P881" s="1" t="str">
        <f aca="false">IF(OR(F881="",H881="",J881=""),"",J881&amp;"|"&amp;F881&amp;"|"&amp;IF(H881="W3","W3_"&amp;IF(I881="","unknown",I881),H881))</f>
        <v/>
      </c>
      <c r="Q881" s="1" t="str">
        <f aca="false">IF(P881="","",IFERROR(IF(AND(H881="W7",OR(F881="causal",F881="predictive")),IF(AND(K881=1,L881=1,M881=1),"adequate","partial"),INDEX(Fit_Matrix!$B:$B,MATCH(P881,Fit_Matrix!$A:$A,0))),"CHECK KEY"))</f>
        <v/>
      </c>
    </row>
    <row r="882" customFormat="false" ht="15" hidden="false" customHeight="true" outlineLevel="0" collapsed="false">
      <c r="P882" s="1" t="str">
        <f aca="false">IF(OR(F882="",H882="",J882=""),"",J882&amp;"|"&amp;F882&amp;"|"&amp;IF(H882="W3","W3_"&amp;IF(I882="","unknown",I882),H882))</f>
        <v/>
      </c>
      <c r="Q882" s="1" t="str">
        <f aca="false">IF(P882="","",IFERROR(IF(AND(H882="W7",OR(F882="causal",F882="predictive")),IF(AND(K882=1,L882=1,M882=1),"adequate","partial"),INDEX(Fit_Matrix!$B:$B,MATCH(P882,Fit_Matrix!$A:$A,0))),"CHECK KEY"))</f>
        <v/>
      </c>
    </row>
    <row r="883" customFormat="false" ht="15" hidden="false" customHeight="true" outlineLevel="0" collapsed="false">
      <c r="P883" s="1" t="str">
        <f aca="false">IF(OR(F883="",H883="",J883=""),"",J883&amp;"|"&amp;F883&amp;"|"&amp;IF(H883="W3","W3_"&amp;IF(I883="","unknown",I883),H883))</f>
        <v/>
      </c>
      <c r="Q883" s="1" t="str">
        <f aca="false">IF(P883="","",IFERROR(IF(AND(H883="W7",OR(F883="causal",F883="predictive")),IF(AND(K883=1,L883=1,M883=1),"adequate","partial"),INDEX(Fit_Matrix!$B:$B,MATCH(P883,Fit_Matrix!$A:$A,0))),"CHECK KEY"))</f>
        <v/>
      </c>
    </row>
    <row r="884" customFormat="false" ht="15" hidden="false" customHeight="true" outlineLevel="0" collapsed="false">
      <c r="P884" s="1" t="str">
        <f aca="false">IF(OR(F884="",H884="",J884=""),"",J884&amp;"|"&amp;F884&amp;"|"&amp;IF(H884="W3","W3_"&amp;IF(I884="","unknown",I884),H884))</f>
        <v/>
      </c>
      <c r="Q884" s="1" t="str">
        <f aca="false">IF(P884="","",IFERROR(IF(AND(H884="W7",OR(F884="causal",F884="predictive")),IF(AND(K884=1,L884=1,M884=1),"adequate","partial"),INDEX(Fit_Matrix!$B:$B,MATCH(P884,Fit_Matrix!$A:$A,0))),"CHECK KEY"))</f>
        <v/>
      </c>
    </row>
    <row r="885" customFormat="false" ht="15" hidden="false" customHeight="true" outlineLevel="0" collapsed="false">
      <c r="P885" s="1" t="str">
        <f aca="false">IF(OR(F885="",H885="",J885=""),"",J885&amp;"|"&amp;F885&amp;"|"&amp;IF(H885="W3","W3_"&amp;IF(I885="","unknown",I885),H885))</f>
        <v/>
      </c>
      <c r="Q885" s="1" t="str">
        <f aca="false">IF(P885="","",IFERROR(IF(AND(H885="W7",OR(F885="causal",F885="predictive")),IF(AND(K885=1,L885=1,M885=1),"adequate","partial"),INDEX(Fit_Matrix!$B:$B,MATCH(P885,Fit_Matrix!$A:$A,0))),"CHECK KEY"))</f>
        <v/>
      </c>
    </row>
    <row r="886" customFormat="false" ht="15" hidden="false" customHeight="true" outlineLevel="0" collapsed="false">
      <c r="P886" s="1" t="str">
        <f aca="false">IF(OR(F886="",H886="",J886=""),"",J886&amp;"|"&amp;F886&amp;"|"&amp;IF(H886="W3","W3_"&amp;IF(I886="","unknown",I886),H886))</f>
        <v/>
      </c>
      <c r="Q886" s="1" t="str">
        <f aca="false">IF(P886="","",IFERROR(IF(AND(H886="W7",OR(F886="causal",F886="predictive")),IF(AND(K886=1,L886=1,M886=1),"adequate","partial"),INDEX(Fit_Matrix!$B:$B,MATCH(P886,Fit_Matrix!$A:$A,0))),"CHECK KEY"))</f>
        <v/>
      </c>
    </row>
    <row r="887" customFormat="false" ht="15" hidden="false" customHeight="true" outlineLevel="0" collapsed="false">
      <c r="P887" s="1" t="str">
        <f aca="false">IF(OR(F887="",H887="",J887=""),"",J887&amp;"|"&amp;F887&amp;"|"&amp;IF(H887="W3","W3_"&amp;IF(I887="","unknown",I887),H887))</f>
        <v/>
      </c>
      <c r="Q887" s="1" t="str">
        <f aca="false">IF(P887="","",IFERROR(IF(AND(H887="W7",OR(F887="causal",F887="predictive")),IF(AND(K887=1,L887=1,M887=1),"adequate","partial"),INDEX(Fit_Matrix!$B:$B,MATCH(P887,Fit_Matrix!$A:$A,0))),"CHECK KEY"))</f>
        <v/>
      </c>
    </row>
    <row r="888" customFormat="false" ht="15" hidden="false" customHeight="true" outlineLevel="0" collapsed="false">
      <c r="P888" s="1" t="str">
        <f aca="false">IF(OR(F888="",H888="",J888=""),"",J888&amp;"|"&amp;F888&amp;"|"&amp;IF(H888="W3","W3_"&amp;IF(I888="","unknown",I888),H888))</f>
        <v/>
      </c>
      <c r="Q888" s="1" t="str">
        <f aca="false">IF(P888="","",IFERROR(IF(AND(H888="W7",OR(F888="causal",F888="predictive")),IF(AND(K888=1,L888=1,M888=1),"adequate","partial"),INDEX(Fit_Matrix!$B:$B,MATCH(P888,Fit_Matrix!$A:$A,0))),"CHECK KEY"))</f>
        <v/>
      </c>
    </row>
    <row r="889" customFormat="false" ht="15" hidden="false" customHeight="true" outlineLevel="0" collapsed="false">
      <c r="P889" s="1" t="str">
        <f aca="false">IF(OR(F889="",H889="",J889=""),"",J889&amp;"|"&amp;F889&amp;"|"&amp;IF(H889="W3","W3_"&amp;IF(I889="","unknown",I889),H889))</f>
        <v/>
      </c>
      <c r="Q889" s="1" t="str">
        <f aca="false">IF(P889="","",IFERROR(IF(AND(H889="W7",OR(F889="causal",F889="predictive")),IF(AND(K889=1,L889=1,M889=1),"adequate","partial"),INDEX(Fit_Matrix!$B:$B,MATCH(P889,Fit_Matrix!$A:$A,0))),"CHECK KEY"))</f>
        <v/>
      </c>
    </row>
    <row r="890" customFormat="false" ht="15" hidden="false" customHeight="true" outlineLevel="0" collapsed="false">
      <c r="P890" s="1" t="str">
        <f aca="false">IF(OR(F890="",H890="",J890=""),"",J890&amp;"|"&amp;F890&amp;"|"&amp;IF(H890="W3","W3_"&amp;IF(I890="","unknown",I890),H890))</f>
        <v/>
      </c>
      <c r="Q890" s="1" t="str">
        <f aca="false">IF(P890="","",IFERROR(IF(AND(H890="W7",OR(F890="causal",F890="predictive")),IF(AND(K890=1,L890=1,M890=1),"adequate","partial"),INDEX(Fit_Matrix!$B:$B,MATCH(P890,Fit_Matrix!$A:$A,0))),"CHECK KEY"))</f>
        <v/>
      </c>
    </row>
    <row r="891" customFormat="false" ht="15" hidden="false" customHeight="true" outlineLevel="0" collapsed="false">
      <c r="P891" s="1" t="str">
        <f aca="false">IF(OR(F891="",H891="",J891=""),"",J891&amp;"|"&amp;F891&amp;"|"&amp;IF(H891="W3","W3_"&amp;IF(I891="","unknown",I891),H891))</f>
        <v/>
      </c>
      <c r="Q891" s="1" t="str">
        <f aca="false">IF(P891="","",IFERROR(IF(AND(H891="W7",OR(F891="causal",F891="predictive")),IF(AND(K891=1,L891=1,M891=1),"adequate","partial"),INDEX(Fit_Matrix!$B:$B,MATCH(P891,Fit_Matrix!$A:$A,0))),"CHECK KEY"))</f>
        <v/>
      </c>
    </row>
    <row r="892" customFormat="false" ht="15" hidden="false" customHeight="true" outlineLevel="0" collapsed="false">
      <c r="P892" s="1" t="str">
        <f aca="false">IF(OR(F892="",H892="",J892=""),"",J892&amp;"|"&amp;F892&amp;"|"&amp;IF(H892="W3","W3_"&amp;IF(I892="","unknown",I892),H892))</f>
        <v/>
      </c>
      <c r="Q892" s="1" t="str">
        <f aca="false">IF(P892="","",IFERROR(IF(AND(H892="W7",OR(F892="causal",F892="predictive")),IF(AND(K892=1,L892=1,M892=1),"adequate","partial"),INDEX(Fit_Matrix!$B:$B,MATCH(P892,Fit_Matrix!$A:$A,0))),"CHECK KEY"))</f>
        <v/>
      </c>
    </row>
    <row r="893" customFormat="false" ht="15" hidden="false" customHeight="true" outlineLevel="0" collapsed="false">
      <c r="P893" s="1" t="str">
        <f aca="false">IF(OR(F893="",H893="",J893=""),"",J893&amp;"|"&amp;F893&amp;"|"&amp;IF(H893="W3","W3_"&amp;IF(I893="","unknown",I893),H893))</f>
        <v/>
      </c>
      <c r="Q893" s="1" t="str">
        <f aca="false">IF(P893="","",IFERROR(IF(AND(H893="W7",OR(F893="causal",F893="predictive")),IF(AND(K893=1,L893=1,M893=1),"adequate","partial"),INDEX(Fit_Matrix!$B:$B,MATCH(P893,Fit_Matrix!$A:$A,0))),"CHECK KEY"))</f>
        <v/>
      </c>
    </row>
    <row r="894" customFormat="false" ht="15" hidden="false" customHeight="true" outlineLevel="0" collapsed="false">
      <c r="P894" s="1" t="str">
        <f aca="false">IF(OR(F894="",H894="",J894=""),"",J894&amp;"|"&amp;F894&amp;"|"&amp;IF(H894="W3","W3_"&amp;IF(I894="","unknown",I894),H894))</f>
        <v/>
      </c>
      <c r="Q894" s="1" t="str">
        <f aca="false">IF(P894="","",IFERROR(IF(AND(H894="W7",OR(F894="causal",F894="predictive")),IF(AND(K894=1,L894=1,M894=1),"adequate","partial"),INDEX(Fit_Matrix!$B:$B,MATCH(P894,Fit_Matrix!$A:$A,0))),"CHECK KEY"))</f>
        <v/>
      </c>
    </row>
    <row r="895" customFormat="false" ht="15" hidden="false" customHeight="true" outlineLevel="0" collapsed="false">
      <c r="P895" s="1" t="str">
        <f aca="false">IF(OR(F895="",H895="",J895=""),"",J895&amp;"|"&amp;F895&amp;"|"&amp;IF(H895="W3","W3_"&amp;IF(I895="","unknown",I895),H895))</f>
        <v/>
      </c>
      <c r="Q895" s="1" t="str">
        <f aca="false">IF(P895="","",IFERROR(IF(AND(H895="W7",OR(F895="causal",F895="predictive")),IF(AND(K895=1,L895=1,M895=1),"adequate","partial"),INDEX(Fit_Matrix!$B:$B,MATCH(P895,Fit_Matrix!$A:$A,0))),"CHECK KEY"))</f>
        <v/>
      </c>
    </row>
    <row r="896" customFormat="false" ht="15" hidden="false" customHeight="true" outlineLevel="0" collapsed="false">
      <c r="P896" s="1" t="str">
        <f aca="false">IF(OR(F896="",H896="",J896=""),"",J896&amp;"|"&amp;F896&amp;"|"&amp;IF(H896="W3","W3_"&amp;IF(I896="","unknown",I896),H896))</f>
        <v/>
      </c>
      <c r="Q896" s="1" t="str">
        <f aca="false">IF(P896="","",IFERROR(IF(AND(H896="W7",OR(F896="causal",F896="predictive")),IF(AND(K896=1,L896=1,M896=1),"adequate","partial"),INDEX(Fit_Matrix!$B:$B,MATCH(P896,Fit_Matrix!$A:$A,0))),"CHECK KEY"))</f>
        <v/>
      </c>
    </row>
    <row r="897" customFormat="false" ht="15" hidden="false" customHeight="true" outlineLevel="0" collapsed="false">
      <c r="P897" s="1" t="str">
        <f aca="false">IF(OR(F897="",H897="",J897=""),"",J897&amp;"|"&amp;F897&amp;"|"&amp;IF(H897="W3","W3_"&amp;IF(I897="","unknown",I897),H897))</f>
        <v/>
      </c>
      <c r="Q897" s="1" t="str">
        <f aca="false">IF(P897="","",IFERROR(IF(AND(H897="W7",OR(F897="causal",F897="predictive")),IF(AND(K897=1,L897=1,M897=1),"adequate","partial"),INDEX(Fit_Matrix!$B:$B,MATCH(P897,Fit_Matrix!$A:$A,0))),"CHECK KEY"))</f>
        <v/>
      </c>
    </row>
    <row r="898" customFormat="false" ht="15" hidden="false" customHeight="true" outlineLevel="0" collapsed="false">
      <c r="P898" s="1" t="str">
        <f aca="false">IF(OR(F898="",H898="",J898=""),"",J898&amp;"|"&amp;F898&amp;"|"&amp;IF(H898="W3","W3_"&amp;IF(I898="","unknown",I898),H898))</f>
        <v/>
      </c>
      <c r="Q898" s="1" t="str">
        <f aca="false">IF(P898="","",IFERROR(IF(AND(H898="W7",OR(F898="causal",F898="predictive")),IF(AND(K898=1,L898=1,M898=1),"adequate","partial"),INDEX(Fit_Matrix!$B:$B,MATCH(P898,Fit_Matrix!$A:$A,0))),"CHECK KEY"))</f>
        <v/>
      </c>
    </row>
    <row r="899" customFormat="false" ht="15" hidden="false" customHeight="true" outlineLevel="0" collapsed="false">
      <c r="P899" s="1" t="str">
        <f aca="false">IF(OR(F899="",H899="",J899=""),"",J899&amp;"|"&amp;F899&amp;"|"&amp;IF(H899="W3","W3_"&amp;IF(I899="","unknown",I899),H899))</f>
        <v/>
      </c>
      <c r="Q899" s="1" t="str">
        <f aca="false">IF(P899="","",IFERROR(IF(AND(H899="W7",OR(F899="causal",F899="predictive")),IF(AND(K899=1,L899=1,M899=1),"adequate","partial"),INDEX(Fit_Matrix!$B:$B,MATCH(P899,Fit_Matrix!$A:$A,0))),"CHECK KEY"))</f>
        <v/>
      </c>
    </row>
    <row r="900" customFormat="false" ht="15" hidden="false" customHeight="true" outlineLevel="0" collapsed="false">
      <c r="P900" s="1" t="str">
        <f aca="false">IF(OR(F900="",H900="",J900=""),"",J900&amp;"|"&amp;F900&amp;"|"&amp;IF(H900="W3","W3_"&amp;IF(I900="","unknown",I900),H900))</f>
        <v/>
      </c>
      <c r="Q900" s="1" t="str">
        <f aca="false">IF(P900="","",IFERROR(IF(AND(H900="W7",OR(F900="causal",F900="predictive")),IF(AND(K900=1,L900=1,M900=1),"adequate","partial"),INDEX(Fit_Matrix!$B:$B,MATCH(P900,Fit_Matrix!$A:$A,0))),"CHECK KEY"))</f>
        <v/>
      </c>
    </row>
    <row r="901" customFormat="false" ht="15" hidden="false" customHeight="true" outlineLevel="0" collapsed="false">
      <c r="P901" s="1" t="str">
        <f aca="false">IF(OR(F901="",H901="",J901=""),"",J901&amp;"|"&amp;F901&amp;"|"&amp;IF(H901="W3","W3_"&amp;IF(I901="","unknown",I901),H901))</f>
        <v/>
      </c>
      <c r="Q901" s="1" t="str">
        <f aca="false">IF(P901="","",IFERROR(IF(AND(H901="W7",OR(F901="causal",F901="predictive")),IF(AND(K901=1,L901=1,M901=1),"adequate","partial"),INDEX(Fit_Matrix!$B:$B,MATCH(P901,Fit_Matrix!$A:$A,0))),"CHECK KEY"))</f>
        <v/>
      </c>
    </row>
    <row r="902" customFormat="false" ht="15" hidden="false" customHeight="true" outlineLevel="0" collapsed="false">
      <c r="P902" s="1" t="str">
        <f aca="false">IF(OR(F902="",H902="",J902=""),"",J902&amp;"|"&amp;F902&amp;"|"&amp;IF(H902="W3","W3_"&amp;IF(I902="","unknown",I902),H902))</f>
        <v/>
      </c>
      <c r="Q902" s="1" t="str">
        <f aca="false">IF(P902="","",IFERROR(IF(AND(H902="W7",OR(F902="causal",F902="predictive")),IF(AND(K902=1,L902=1,M902=1),"adequate","partial"),INDEX(Fit_Matrix!$B:$B,MATCH(P902,Fit_Matrix!$A:$A,0))),"CHECK KEY"))</f>
        <v/>
      </c>
    </row>
    <row r="903" customFormat="false" ht="15" hidden="false" customHeight="true" outlineLevel="0" collapsed="false">
      <c r="P903" s="1" t="str">
        <f aca="false">IF(OR(F903="",H903="",J903=""),"",J903&amp;"|"&amp;F903&amp;"|"&amp;IF(H903="W3","W3_"&amp;IF(I903="","unknown",I903),H903))</f>
        <v/>
      </c>
      <c r="Q903" s="1" t="str">
        <f aca="false">IF(P903="","",IFERROR(IF(AND(H903="W7",OR(F903="causal",F903="predictive")),IF(AND(K903=1,L903=1,M903=1),"adequate","partial"),INDEX(Fit_Matrix!$B:$B,MATCH(P903,Fit_Matrix!$A:$A,0))),"CHECK KEY"))</f>
        <v/>
      </c>
    </row>
    <row r="904" customFormat="false" ht="15" hidden="false" customHeight="true" outlineLevel="0" collapsed="false">
      <c r="P904" s="1" t="str">
        <f aca="false">IF(OR(F904="",H904="",J904=""),"",J904&amp;"|"&amp;F904&amp;"|"&amp;IF(H904="W3","W3_"&amp;IF(I904="","unknown",I904),H904))</f>
        <v/>
      </c>
      <c r="Q904" s="1" t="str">
        <f aca="false">IF(P904="","",IFERROR(IF(AND(H904="W7",OR(F904="causal",F904="predictive")),IF(AND(K904=1,L904=1,M904=1),"adequate","partial"),INDEX(Fit_Matrix!$B:$B,MATCH(P904,Fit_Matrix!$A:$A,0))),"CHECK KEY"))</f>
        <v/>
      </c>
    </row>
    <row r="905" customFormat="false" ht="15" hidden="false" customHeight="true" outlineLevel="0" collapsed="false">
      <c r="P905" s="1" t="str">
        <f aca="false">IF(OR(F905="",H905="",J905=""),"",J905&amp;"|"&amp;F905&amp;"|"&amp;IF(H905="W3","W3_"&amp;IF(I905="","unknown",I905),H905))</f>
        <v/>
      </c>
      <c r="Q905" s="1" t="str">
        <f aca="false">IF(P905="","",IFERROR(IF(AND(H905="W7",OR(F905="causal",F905="predictive")),IF(AND(K905=1,L905=1,M905=1),"adequate","partial"),INDEX(Fit_Matrix!$B:$B,MATCH(P905,Fit_Matrix!$A:$A,0))),"CHECK KEY"))</f>
        <v/>
      </c>
    </row>
    <row r="906" customFormat="false" ht="15" hidden="false" customHeight="true" outlineLevel="0" collapsed="false">
      <c r="P906" s="1" t="str">
        <f aca="false">IF(OR(F906="",H906="",J906=""),"",J906&amp;"|"&amp;F906&amp;"|"&amp;IF(H906="W3","W3_"&amp;IF(I906="","unknown",I906),H906))</f>
        <v/>
      </c>
      <c r="Q906" s="1" t="str">
        <f aca="false">IF(P906="","",IFERROR(IF(AND(H906="W7",OR(F906="causal",F906="predictive")),IF(AND(K906=1,L906=1,M906=1),"adequate","partial"),INDEX(Fit_Matrix!$B:$B,MATCH(P906,Fit_Matrix!$A:$A,0))),"CHECK KEY"))</f>
        <v/>
      </c>
    </row>
    <row r="907" customFormat="false" ht="15" hidden="false" customHeight="true" outlineLevel="0" collapsed="false">
      <c r="P907" s="1" t="str">
        <f aca="false">IF(OR(F907="",H907="",J907=""),"",J907&amp;"|"&amp;F907&amp;"|"&amp;IF(H907="W3","W3_"&amp;IF(I907="","unknown",I907),H907))</f>
        <v/>
      </c>
      <c r="Q907" s="1" t="str">
        <f aca="false">IF(P907="","",IFERROR(IF(AND(H907="W7",OR(F907="causal",F907="predictive")),IF(AND(K907=1,L907=1,M907=1),"adequate","partial"),INDEX(Fit_Matrix!$B:$B,MATCH(P907,Fit_Matrix!$A:$A,0))),"CHECK KEY"))</f>
        <v/>
      </c>
    </row>
    <row r="908" customFormat="false" ht="15" hidden="false" customHeight="true" outlineLevel="0" collapsed="false">
      <c r="P908" s="1" t="str">
        <f aca="false">IF(OR(F908="",H908="",J908=""),"",J908&amp;"|"&amp;F908&amp;"|"&amp;IF(H908="W3","W3_"&amp;IF(I908="","unknown",I908),H908))</f>
        <v/>
      </c>
      <c r="Q908" s="1" t="str">
        <f aca="false">IF(P908="","",IFERROR(IF(AND(H908="W7",OR(F908="causal",F908="predictive")),IF(AND(K908=1,L908=1,M908=1),"adequate","partial"),INDEX(Fit_Matrix!$B:$B,MATCH(P908,Fit_Matrix!$A:$A,0))),"CHECK KEY"))</f>
        <v/>
      </c>
    </row>
    <row r="909" customFormat="false" ht="15" hidden="false" customHeight="true" outlineLevel="0" collapsed="false">
      <c r="P909" s="1" t="str">
        <f aca="false">IF(OR(F909="",H909="",J909=""),"",J909&amp;"|"&amp;F909&amp;"|"&amp;IF(H909="W3","W3_"&amp;IF(I909="","unknown",I909),H909))</f>
        <v/>
      </c>
      <c r="Q909" s="1" t="str">
        <f aca="false">IF(P909="","",IFERROR(IF(AND(H909="W7",OR(F909="causal",F909="predictive")),IF(AND(K909=1,L909=1,M909=1),"adequate","partial"),INDEX(Fit_Matrix!$B:$B,MATCH(P909,Fit_Matrix!$A:$A,0))),"CHECK KEY"))</f>
        <v/>
      </c>
    </row>
    <row r="910" customFormat="false" ht="15" hidden="false" customHeight="true" outlineLevel="0" collapsed="false">
      <c r="P910" s="1" t="str">
        <f aca="false">IF(OR(F910="",H910="",J910=""),"",J910&amp;"|"&amp;F910&amp;"|"&amp;IF(H910="W3","W3_"&amp;IF(I910="","unknown",I910),H910))</f>
        <v/>
      </c>
      <c r="Q910" s="1" t="str">
        <f aca="false">IF(P910="","",IFERROR(IF(AND(H910="W7",OR(F910="causal",F910="predictive")),IF(AND(K910=1,L910=1,M910=1),"adequate","partial"),INDEX(Fit_Matrix!$B:$B,MATCH(P910,Fit_Matrix!$A:$A,0))),"CHECK KEY"))</f>
        <v/>
      </c>
    </row>
    <row r="911" customFormat="false" ht="15" hidden="false" customHeight="true" outlineLevel="0" collapsed="false">
      <c r="P911" s="1" t="str">
        <f aca="false">IF(OR(F911="",H911="",J911=""),"",J911&amp;"|"&amp;F911&amp;"|"&amp;IF(H911="W3","W3_"&amp;IF(I911="","unknown",I911),H911))</f>
        <v/>
      </c>
      <c r="Q911" s="1" t="str">
        <f aca="false">IF(P911="","",IFERROR(IF(AND(H911="W7",OR(F911="causal",F911="predictive")),IF(AND(K911=1,L911=1,M911=1),"adequate","partial"),INDEX(Fit_Matrix!$B:$B,MATCH(P911,Fit_Matrix!$A:$A,0))),"CHECK KEY"))</f>
        <v/>
      </c>
    </row>
    <row r="912" customFormat="false" ht="15" hidden="false" customHeight="true" outlineLevel="0" collapsed="false">
      <c r="P912" s="1" t="str">
        <f aca="false">IF(OR(F912="",H912="",J912=""),"",J912&amp;"|"&amp;F912&amp;"|"&amp;IF(H912="W3","W3_"&amp;IF(I912="","unknown",I912),H912))</f>
        <v/>
      </c>
      <c r="Q912" s="1" t="str">
        <f aca="false">IF(P912="","",IFERROR(IF(AND(H912="W7",OR(F912="causal",F912="predictive")),IF(AND(K912=1,L912=1,M912=1),"adequate","partial"),INDEX(Fit_Matrix!$B:$B,MATCH(P912,Fit_Matrix!$A:$A,0))),"CHECK KEY"))</f>
        <v/>
      </c>
    </row>
    <row r="913" customFormat="false" ht="15" hidden="false" customHeight="true" outlineLevel="0" collapsed="false">
      <c r="P913" s="1" t="str">
        <f aca="false">IF(OR(F913="",H913="",J913=""),"",J913&amp;"|"&amp;F913&amp;"|"&amp;IF(H913="W3","W3_"&amp;IF(I913="","unknown",I913),H913))</f>
        <v/>
      </c>
      <c r="Q913" s="1" t="str">
        <f aca="false">IF(P913="","",IFERROR(IF(AND(H913="W7",OR(F913="causal",F913="predictive")),IF(AND(K913=1,L913=1,M913=1),"adequate","partial"),INDEX(Fit_Matrix!$B:$B,MATCH(P913,Fit_Matrix!$A:$A,0))),"CHECK KEY"))</f>
        <v/>
      </c>
    </row>
    <row r="914" customFormat="false" ht="15" hidden="false" customHeight="true" outlineLevel="0" collapsed="false">
      <c r="P914" s="1" t="str">
        <f aca="false">IF(OR(F914="",H914="",J914=""),"",J914&amp;"|"&amp;F914&amp;"|"&amp;IF(H914="W3","W3_"&amp;IF(I914="","unknown",I914),H914))</f>
        <v/>
      </c>
      <c r="Q914" s="1" t="str">
        <f aca="false">IF(P914="","",IFERROR(IF(AND(H914="W7",OR(F914="causal",F914="predictive")),IF(AND(K914=1,L914=1,M914=1),"adequate","partial"),INDEX(Fit_Matrix!$B:$B,MATCH(P914,Fit_Matrix!$A:$A,0))),"CHECK KEY"))</f>
        <v/>
      </c>
    </row>
    <row r="915" customFormat="false" ht="15" hidden="false" customHeight="true" outlineLevel="0" collapsed="false">
      <c r="P915" s="1" t="str">
        <f aca="false">IF(OR(F915="",H915="",J915=""),"",J915&amp;"|"&amp;F915&amp;"|"&amp;IF(H915="W3","W3_"&amp;IF(I915="","unknown",I915),H915))</f>
        <v/>
      </c>
      <c r="Q915" s="1" t="str">
        <f aca="false">IF(P915="","",IFERROR(IF(AND(H915="W7",OR(F915="causal",F915="predictive")),IF(AND(K915=1,L915=1,M915=1),"adequate","partial"),INDEX(Fit_Matrix!$B:$B,MATCH(P915,Fit_Matrix!$A:$A,0))),"CHECK KEY"))</f>
        <v/>
      </c>
    </row>
    <row r="916" customFormat="false" ht="15" hidden="false" customHeight="true" outlineLevel="0" collapsed="false">
      <c r="P916" s="1" t="str">
        <f aca="false">IF(OR(F916="",H916="",J916=""),"",J916&amp;"|"&amp;F916&amp;"|"&amp;IF(H916="W3","W3_"&amp;IF(I916="","unknown",I916),H916))</f>
        <v/>
      </c>
      <c r="Q916" s="1" t="str">
        <f aca="false">IF(P916="","",IFERROR(IF(AND(H916="W7",OR(F916="causal",F916="predictive")),IF(AND(K916=1,L916=1,M916=1),"adequate","partial"),INDEX(Fit_Matrix!$B:$B,MATCH(P916,Fit_Matrix!$A:$A,0))),"CHECK KEY"))</f>
        <v/>
      </c>
    </row>
    <row r="917" customFormat="false" ht="15" hidden="false" customHeight="true" outlineLevel="0" collapsed="false">
      <c r="P917" s="1" t="str">
        <f aca="false">IF(OR(F917="",H917="",J917=""),"",J917&amp;"|"&amp;F917&amp;"|"&amp;IF(H917="W3","W3_"&amp;IF(I917="","unknown",I917),H917))</f>
        <v/>
      </c>
      <c r="Q917" s="1" t="str">
        <f aca="false">IF(P917="","",IFERROR(IF(AND(H917="W7",OR(F917="causal",F917="predictive")),IF(AND(K917=1,L917=1,M917=1),"adequate","partial"),INDEX(Fit_Matrix!$B:$B,MATCH(P917,Fit_Matrix!$A:$A,0))),"CHECK KEY"))</f>
        <v/>
      </c>
    </row>
    <row r="918" customFormat="false" ht="15" hidden="false" customHeight="true" outlineLevel="0" collapsed="false">
      <c r="P918" s="1" t="str">
        <f aca="false">IF(OR(F918="",H918="",J918=""),"",J918&amp;"|"&amp;F918&amp;"|"&amp;IF(H918="W3","W3_"&amp;IF(I918="","unknown",I918),H918))</f>
        <v/>
      </c>
      <c r="Q918" s="1" t="str">
        <f aca="false">IF(P918="","",IFERROR(IF(AND(H918="W7",OR(F918="causal",F918="predictive")),IF(AND(K918=1,L918=1,M918=1),"adequate","partial"),INDEX(Fit_Matrix!$B:$B,MATCH(P918,Fit_Matrix!$A:$A,0))),"CHECK KEY"))</f>
        <v/>
      </c>
    </row>
    <row r="919" customFormat="false" ht="15" hidden="false" customHeight="true" outlineLevel="0" collapsed="false">
      <c r="P919" s="1" t="str">
        <f aca="false">IF(OR(F919="",H919="",J919=""),"",J919&amp;"|"&amp;F919&amp;"|"&amp;IF(H919="W3","W3_"&amp;IF(I919="","unknown",I919),H919))</f>
        <v/>
      </c>
      <c r="Q919" s="1" t="str">
        <f aca="false">IF(P919="","",IFERROR(IF(AND(H919="W7",OR(F919="causal",F919="predictive")),IF(AND(K919=1,L919=1,M919=1),"adequate","partial"),INDEX(Fit_Matrix!$B:$B,MATCH(P919,Fit_Matrix!$A:$A,0))),"CHECK KEY"))</f>
        <v/>
      </c>
    </row>
    <row r="920" customFormat="false" ht="15" hidden="false" customHeight="true" outlineLevel="0" collapsed="false">
      <c r="P920" s="1" t="str">
        <f aca="false">IF(OR(F920="",H920="",J920=""),"",J920&amp;"|"&amp;F920&amp;"|"&amp;IF(H920="W3","W3_"&amp;IF(I920="","unknown",I920),H920))</f>
        <v/>
      </c>
      <c r="Q920" s="1" t="str">
        <f aca="false">IF(P920="","",IFERROR(IF(AND(H920="W7",OR(F920="causal",F920="predictive")),IF(AND(K920=1,L920=1,M920=1),"adequate","partial"),INDEX(Fit_Matrix!$B:$B,MATCH(P920,Fit_Matrix!$A:$A,0))),"CHECK KEY"))</f>
        <v/>
      </c>
    </row>
    <row r="921" customFormat="false" ht="15" hidden="false" customHeight="true" outlineLevel="0" collapsed="false">
      <c r="P921" s="1" t="str">
        <f aca="false">IF(OR(F921="",H921="",J921=""),"",J921&amp;"|"&amp;F921&amp;"|"&amp;IF(H921="W3","W3_"&amp;IF(I921="","unknown",I921),H921))</f>
        <v/>
      </c>
      <c r="Q921" s="1" t="str">
        <f aca="false">IF(P921="","",IFERROR(IF(AND(H921="W7",OR(F921="causal",F921="predictive")),IF(AND(K921=1,L921=1,M921=1),"adequate","partial"),INDEX(Fit_Matrix!$B:$B,MATCH(P921,Fit_Matrix!$A:$A,0))),"CHECK KEY"))</f>
        <v/>
      </c>
    </row>
    <row r="922" customFormat="false" ht="15" hidden="false" customHeight="true" outlineLevel="0" collapsed="false">
      <c r="P922" s="1" t="str">
        <f aca="false">IF(OR(F922="",H922="",J922=""),"",J922&amp;"|"&amp;F922&amp;"|"&amp;IF(H922="W3","W3_"&amp;IF(I922="","unknown",I922),H922))</f>
        <v/>
      </c>
      <c r="Q922" s="1" t="str">
        <f aca="false">IF(P922="","",IFERROR(IF(AND(H922="W7",OR(F922="causal",F922="predictive")),IF(AND(K922=1,L922=1,M922=1),"adequate","partial"),INDEX(Fit_Matrix!$B:$B,MATCH(P922,Fit_Matrix!$A:$A,0))),"CHECK KEY"))</f>
        <v/>
      </c>
    </row>
    <row r="923" customFormat="false" ht="15" hidden="false" customHeight="true" outlineLevel="0" collapsed="false">
      <c r="P923" s="1" t="str">
        <f aca="false">IF(OR(F923="",H923="",J923=""),"",J923&amp;"|"&amp;F923&amp;"|"&amp;IF(H923="W3","W3_"&amp;IF(I923="","unknown",I923),H923))</f>
        <v/>
      </c>
      <c r="Q923" s="1" t="str">
        <f aca="false">IF(P923="","",IFERROR(IF(AND(H923="W7",OR(F923="causal",F923="predictive")),IF(AND(K923=1,L923=1,M923=1),"adequate","partial"),INDEX(Fit_Matrix!$B:$B,MATCH(P923,Fit_Matrix!$A:$A,0))),"CHECK KEY"))</f>
        <v/>
      </c>
    </row>
    <row r="924" customFormat="false" ht="15" hidden="false" customHeight="true" outlineLevel="0" collapsed="false">
      <c r="P924" s="1" t="str">
        <f aca="false">IF(OR(F924="",H924="",J924=""),"",J924&amp;"|"&amp;F924&amp;"|"&amp;IF(H924="W3","W3_"&amp;IF(I924="","unknown",I924),H924))</f>
        <v/>
      </c>
      <c r="Q924" s="1" t="str">
        <f aca="false">IF(P924="","",IFERROR(IF(AND(H924="W7",OR(F924="causal",F924="predictive")),IF(AND(K924=1,L924=1,M924=1),"adequate","partial"),INDEX(Fit_Matrix!$B:$B,MATCH(P924,Fit_Matrix!$A:$A,0))),"CHECK KEY"))</f>
        <v/>
      </c>
    </row>
    <row r="925" customFormat="false" ht="15" hidden="false" customHeight="true" outlineLevel="0" collapsed="false">
      <c r="P925" s="1" t="str">
        <f aca="false">IF(OR(F925="",H925="",J925=""),"",J925&amp;"|"&amp;F925&amp;"|"&amp;IF(H925="W3","W3_"&amp;IF(I925="","unknown",I925),H925))</f>
        <v/>
      </c>
      <c r="Q925" s="1" t="str">
        <f aca="false">IF(P925="","",IFERROR(IF(AND(H925="W7",OR(F925="causal",F925="predictive")),IF(AND(K925=1,L925=1,M925=1),"adequate","partial"),INDEX(Fit_Matrix!$B:$B,MATCH(P925,Fit_Matrix!$A:$A,0))),"CHECK KEY"))</f>
        <v/>
      </c>
    </row>
    <row r="926" customFormat="false" ht="15" hidden="false" customHeight="true" outlineLevel="0" collapsed="false">
      <c r="P926" s="1" t="str">
        <f aca="false">IF(OR(F926="",H926="",J926=""),"",J926&amp;"|"&amp;F926&amp;"|"&amp;IF(H926="W3","W3_"&amp;IF(I926="","unknown",I926),H926))</f>
        <v/>
      </c>
      <c r="Q926" s="1" t="str">
        <f aca="false">IF(P926="","",IFERROR(IF(AND(H926="W7",OR(F926="causal",F926="predictive")),IF(AND(K926=1,L926=1,M926=1),"adequate","partial"),INDEX(Fit_Matrix!$B:$B,MATCH(P926,Fit_Matrix!$A:$A,0))),"CHECK KEY"))</f>
        <v/>
      </c>
    </row>
    <row r="927" customFormat="false" ht="15" hidden="false" customHeight="true" outlineLevel="0" collapsed="false">
      <c r="P927" s="1" t="str">
        <f aca="false">IF(OR(F927="",H927="",J927=""),"",J927&amp;"|"&amp;F927&amp;"|"&amp;IF(H927="W3","W3_"&amp;IF(I927="","unknown",I927),H927))</f>
        <v/>
      </c>
      <c r="Q927" s="1" t="str">
        <f aca="false">IF(P927="","",IFERROR(IF(AND(H927="W7",OR(F927="causal",F927="predictive")),IF(AND(K927=1,L927=1,M927=1),"adequate","partial"),INDEX(Fit_Matrix!$B:$B,MATCH(P927,Fit_Matrix!$A:$A,0))),"CHECK KEY"))</f>
        <v/>
      </c>
    </row>
    <row r="928" customFormat="false" ht="15" hidden="false" customHeight="true" outlineLevel="0" collapsed="false">
      <c r="P928" s="1" t="str">
        <f aca="false">IF(OR(F928="",H928="",J928=""),"",J928&amp;"|"&amp;F928&amp;"|"&amp;IF(H928="W3","W3_"&amp;IF(I928="","unknown",I928),H928))</f>
        <v/>
      </c>
      <c r="Q928" s="1" t="str">
        <f aca="false">IF(P928="","",IFERROR(IF(AND(H928="W7",OR(F928="causal",F928="predictive")),IF(AND(K928=1,L928=1,M928=1),"adequate","partial"),INDEX(Fit_Matrix!$B:$B,MATCH(P928,Fit_Matrix!$A:$A,0))),"CHECK KEY"))</f>
        <v/>
      </c>
    </row>
    <row r="929" customFormat="false" ht="15" hidden="false" customHeight="true" outlineLevel="0" collapsed="false">
      <c r="P929" s="1" t="str">
        <f aca="false">IF(OR(F929="",H929="",J929=""),"",J929&amp;"|"&amp;F929&amp;"|"&amp;IF(H929="W3","W3_"&amp;IF(I929="","unknown",I929),H929))</f>
        <v/>
      </c>
      <c r="Q929" s="1" t="str">
        <f aca="false">IF(P929="","",IFERROR(IF(AND(H929="W7",OR(F929="causal",F929="predictive")),IF(AND(K929=1,L929=1,M929=1),"adequate","partial"),INDEX(Fit_Matrix!$B:$B,MATCH(P929,Fit_Matrix!$A:$A,0))),"CHECK KEY"))</f>
        <v/>
      </c>
    </row>
    <row r="930" customFormat="false" ht="15" hidden="false" customHeight="true" outlineLevel="0" collapsed="false">
      <c r="P930" s="1" t="str">
        <f aca="false">IF(OR(F930="",H930="",J930=""),"",J930&amp;"|"&amp;F930&amp;"|"&amp;IF(H930="W3","W3_"&amp;IF(I930="","unknown",I930),H930))</f>
        <v/>
      </c>
      <c r="Q930" s="1" t="str">
        <f aca="false">IF(P930="","",IFERROR(IF(AND(H930="W7",OR(F930="causal",F930="predictive")),IF(AND(K930=1,L930=1,M930=1),"adequate","partial"),INDEX(Fit_Matrix!$B:$B,MATCH(P930,Fit_Matrix!$A:$A,0))),"CHECK KEY"))</f>
        <v/>
      </c>
    </row>
    <row r="931" customFormat="false" ht="15" hidden="false" customHeight="true" outlineLevel="0" collapsed="false">
      <c r="P931" s="1" t="str">
        <f aca="false">IF(OR(F931="",H931="",J931=""),"",J931&amp;"|"&amp;F931&amp;"|"&amp;IF(H931="W3","W3_"&amp;IF(I931="","unknown",I931),H931))</f>
        <v/>
      </c>
      <c r="Q931" s="1" t="str">
        <f aca="false">IF(P931="","",IFERROR(IF(AND(H931="W7",OR(F931="causal",F931="predictive")),IF(AND(K931=1,L931=1,M931=1),"adequate","partial"),INDEX(Fit_Matrix!$B:$B,MATCH(P931,Fit_Matrix!$A:$A,0))),"CHECK KEY"))</f>
        <v/>
      </c>
    </row>
    <row r="932" customFormat="false" ht="15" hidden="false" customHeight="true" outlineLevel="0" collapsed="false">
      <c r="P932" s="1" t="str">
        <f aca="false">IF(OR(F932="",H932="",J932=""),"",J932&amp;"|"&amp;F932&amp;"|"&amp;IF(H932="W3","W3_"&amp;IF(I932="","unknown",I932),H932))</f>
        <v/>
      </c>
      <c r="Q932" s="1" t="str">
        <f aca="false">IF(P932="","",IFERROR(IF(AND(H932="W7",OR(F932="causal",F932="predictive")),IF(AND(K932=1,L932=1,M932=1),"adequate","partial"),INDEX(Fit_Matrix!$B:$B,MATCH(P932,Fit_Matrix!$A:$A,0))),"CHECK KEY"))</f>
        <v/>
      </c>
    </row>
    <row r="933" customFormat="false" ht="15" hidden="false" customHeight="true" outlineLevel="0" collapsed="false">
      <c r="P933" s="1" t="str">
        <f aca="false">IF(OR(F933="",H933="",J933=""),"",J933&amp;"|"&amp;F933&amp;"|"&amp;IF(H933="W3","W3_"&amp;IF(I933="","unknown",I933),H933))</f>
        <v/>
      </c>
      <c r="Q933" s="1" t="str">
        <f aca="false">IF(P933="","",IFERROR(IF(AND(H933="W7",OR(F933="causal",F933="predictive")),IF(AND(K933=1,L933=1,M933=1),"adequate","partial"),INDEX(Fit_Matrix!$B:$B,MATCH(P933,Fit_Matrix!$A:$A,0))),"CHECK KEY"))</f>
        <v/>
      </c>
    </row>
    <row r="934" customFormat="false" ht="15" hidden="false" customHeight="true" outlineLevel="0" collapsed="false">
      <c r="P934" s="1" t="str">
        <f aca="false">IF(OR(F934="",H934="",J934=""),"",J934&amp;"|"&amp;F934&amp;"|"&amp;IF(H934="W3","W3_"&amp;IF(I934="","unknown",I934),H934))</f>
        <v/>
      </c>
      <c r="Q934" s="1" t="str">
        <f aca="false">IF(P934="","",IFERROR(IF(AND(H934="W7",OR(F934="causal",F934="predictive")),IF(AND(K934=1,L934=1,M934=1),"adequate","partial"),INDEX(Fit_Matrix!$B:$B,MATCH(P934,Fit_Matrix!$A:$A,0))),"CHECK KEY"))</f>
        <v/>
      </c>
    </row>
    <row r="935" customFormat="false" ht="15" hidden="false" customHeight="true" outlineLevel="0" collapsed="false">
      <c r="P935" s="1" t="str">
        <f aca="false">IF(OR(F935="",H935="",J935=""),"",J935&amp;"|"&amp;F935&amp;"|"&amp;IF(H935="W3","W3_"&amp;IF(I935="","unknown",I935),H935))</f>
        <v/>
      </c>
      <c r="Q935" s="1" t="str">
        <f aca="false">IF(P935="","",IFERROR(IF(AND(H935="W7",OR(F935="causal",F935="predictive")),IF(AND(K935=1,L935=1,M935=1),"adequate","partial"),INDEX(Fit_Matrix!$B:$B,MATCH(P935,Fit_Matrix!$A:$A,0))),"CHECK KEY"))</f>
        <v/>
      </c>
    </row>
    <row r="936" customFormat="false" ht="15" hidden="false" customHeight="true" outlineLevel="0" collapsed="false">
      <c r="P936" s="1" t="str">
        <f aca="false">IF(OR(F936="",H936="",J936=""),"",J936&amp;"|"&amp;F936&amp;"|"&amp;IF(H936="W3","W3_"&amp;IF(I936="","unknown",I936),H936))</f>
        <v/>
      </c>
      <c r="Q936" s="1" t="str">
        <f aca="false">IF(P936="","",IFERROR(IF(AND(H936="W7",OR(F936="causal",F936="predictive")),IF(AND(K936=1,L936=1,M936=1),"adequate","partial"),INDEX(Fit_Matrix!$B:$B,MATCH(P936,Fit_Matrix!$A:$A,0))),"CHECK KEY"))</f>
        <v/>
      </c>
    </row>
    <row r="937" customFormat="false" ht="15" hidden="false" customHeight="true" outlineLevel="0" collapsed="false">
      <c r="P937" s="1" t="str">
        <f aca="false">IF(OR(F937="",H937="",J937=""),"",J937&amp;"|"&amp;F937&amp;"|"&amp;IF(H937="W3","W3_"&amp;IF(I937="","unknown",I937),H937))</f>
        <v/>
      </c>
      <c r="Q937" s="1" t="str">
        <f aca="false">IF(P937="","",IFERROR(IF(AND(H937="W7",OR(F937="causal",F937="predictive")),IF(AND(K937=1,L937=1,M937=1),"adequate","partial"),INDEX(Fit_Matrix!$B:$B,MATCH(P937,Fit_Matrix!$A:$A,0))),"CHECK KEY"))</f>
        <v/>
      </c>
    </row>
    <row r="938" customFormat="false" ht="15" hidden="false" customHeight="true" outlineLevel="0" collapsed="false">
      <c r="P938" s="1" t="str">
        <f aca="false">IF(OR(F938="",H938="",J938=""),"",J938&amp;"|"&amp;F938&amp;"|"&amp;IF(H938="W3","W3_"&amp;IF(I938="","unknown",I938),H938))</f>
        <v/>
      </c>
      <c r="Q938" s="1" t="str">
        <f aca="false">IF(P938="","",IFERROR(IF(AND(H938="W7",OR(F938="causal",F938="predictive")),IF(AND(K938=1,L938=1,M938=1),"adequate","partial"),INDEX(Fit_Matrix!$B:$B,MATCH(P938,Fit_Matrix!$A:$A,0))),"CHECK KEY"))</f>
        <v/>
      </c>
    </row>
    <row r="939" customFormat="false" ht="15" hidden="false" customHeight="true" outlineLevel="0" collapsed="false">
      <c r="P939" s="1" t="str">
        <f aca="false">IF(OR(F939="",H939="",J939=""),"",J939&amp;"|"&amp;F939&amp;"|"&amp;IF(H939="W3","W3_"&amp;IF(I939="","unknown",I939),H939))</f>
        <v/>
      </c>
      <c r="Q939" s="1" t="str">
        <f aca="false">IF(P939="","",IFERROR(IF(AND(H939="W7",OR(F939="causal",F939="predictive")),IF(AND(K939=1,L939=1,M939=1),"adequate","partial"),INDEX(Fit_Matrix!$B:$B,MATCH(P939,Fit_Matrix!$A:$A,0))),"CHECK KEY"))</f>
        <v/>
      </c>
    </row>
    <row r="940" customFormat="false" ht="15" hidden="false" customHeight="true" outlineLevel="0" collapsed="false">
      <c r="P940" s="1" t="str">
        <f aca="false">IF(OR(F940="",H940="",J940=""),"",J940&amp;"|"&amp;F940&amp;"|"&amp;IF(H940="W3","W3_"&amp;IF(I940="","unknown",I940),H940))</f>
        <v/>
      </c>
      <c r="Q940" s="1" t="str">
        <f aca="false">IF(P940="","",IFERROR(IF(AND(H940="W7",OR(F940="causal",F940="predictive")),IF(AND(K940=1,L940=1,M940=1),"adequate","partial"),INDEX(Fit_Matrix!$B:$B,MATCH(P940,Fit_Matrix!$A:$A,0))),"CHECK KEY"))</f>
        <v/>
      </c>
    </row>
    <row r="941" customFormat="false" ht="15" hidden="false" customHeight="true" outlineLevel="0" collapsed="false">
      <c r="P941" s="1" t="str">
        <f aca="false">IF(OR(F941="",H941="",J941=""),"",J941&amp;"|"&amp;F941&amp;"|"&amp;IF(H941="W3","W3_"&amp;IF(I941="","unknown",I941),H941))</f>
        <v/>
      </c>
      <c r="Q941" s="1" t="str">
        <f aca="false">IF(P941="","",IFERROR(IF(AND(H941="W7",OR(F941="causal",F941="predictive")),IF(AND(K941=1,L941=1,M941=1),"adequate","partial"),INDEX(Fit_Matrix!$B:$B,MATCH(P941,Fit_Matrix!$A:$A,0))),"CHECK KEY"))</f>
        <v/>
      </c>
    </row>
    <row r="942" customFormat="false" ht="15" hidden="false" customHeight="true" outlineLevel="0" collapsed="false">
      <c r="P942" s="1" t="str">
        <f aca="false">IF(OR(F942="",H942="",J942=""),"",J942&amp;"|"&amp;F942&amp;"|"&amp;IF(H942="W3","W3_"&amp;IF(I942="","unknown",I942),H942))</f>
        <v/>
      </c>
      <c r="Q942" s="1" t="str">
        <f aca="false">IF(P942="","",IFERROR(IF(AND(H942="W7",OR(F942="causal",F942="predictive")),IF(AND(K942=1,L942=1,M942=1),"adequate","partial"),INDEX(Fit_Matrix!$B:$B,MATCH(P942,Fit_Matrix!$A:$A,0))),"CHECK KEY"))</f>
        <v/>
      </c>
    </row>
    <row r="943" customFormat="false" ht="15" hidden="false" customHeight="true" outlineLevel="0" collapsed="false">
      <c r="P943" s="1" t="str">
        <f aca="false">IF(OR(F943="",H943="",J943=""),"",J943&amp;"|"&amp;F943&amp;"|"&amp;IF(H943="W3","W3_"&amp;IF(I943="","unknown",I943),H943))</f>
        <v/>
      </c>
      <c r="Q943" s="1" t="str">
        <f aca="false">IF(P943="","",IFERROR(IF(AND(H943="W7",OR(F943="causal",F943="predictive")),IF(AND(K943=1,L943=1,M943=1),"adequate","partial"),INDEX(Fit_Matrix!$B:$B,MATCH(P943,Fit_Matrix!$A:$A,0))),"CHECK KEY"))</f>
        <v/>
      </c>
    </row>
    <row r="944" customFormat="false" ht="15" hidden="false" customHeight="true" outlineLevel="0" collapsed="false">
      <c r="P944" s="1" t="str">
        <f aca="false">IF(OR(F944="",H944="",J944=""),"",J944&amp;"|"&amp;F944&amp;"|"&amp;IF(H944="W3","W3_"&amp;IF(I944="","unknown",I944),H944))</f>
        <v/>
      </c>
      <c r="Q944" s="1" t="str">
        <f aca="false">IF(P944="","",IFERROR(IF(AND(H944="W7",OR(F944="causal",F944="predictive")),IF(AND(K944=1,L944=1,M944=1),"adequate","partial"),INDEX(Fit_Matrix!$B:$B,MATCH(P944,Fit_Matrix!$A:$A,0))),"CHECK KEY"))</f>
        <v/>
      </c>
    </row>
    <row r="945" customFormat="false" ht="15" hidden="false" customHeight="true" outlineLevel="0" collapsed="false">
      <c r="P945" s="1" t="str">
        <f aca="false">IF(OR(F945="",H945="",J945=""),"",J945&amp;"|"&amp;F945&amp;"|"&amp;IF(H945="W3","W3_"&amp;IF(I945="","unknown",I945),H945))</f>
        <v/>
      </c>
      <c r="Q945" s="1" t="str">
        <f aca="false">IF(P945="","",IFERROR(IF(AND(H945="W7",OR(F945="causal",F945="predictive")),IF(AND(K945=1,L945=1,M945=1),"adequate","partial"),INDEX(Fit_Matrix!$B:$B,MATCH(P945,Fit_Matrix!$A:$A,0))),"CHECK KEY"))</f>
        <v/>
      </c>
    </row>
    <row r="946" customFormat="false" ht="15" hidden="false" customHeight="true" outlineLevel="0" collapsed="false">
      <c r="P946" s="1" t="str">
        <f aca="false">IF(OR(F946="",H946="",J946=""),"",J946&amp;"|"&amp;F946&amp;"|"&amp;IF(H946="W3","W3_"&amp;IF(I946="","unknown",I946),H946))</f>
        <v/>
      </c>
      <c r="Q946" s="1" t="str">
        <f aca="false">IF(P946="","",IFERROR(IF(AND(H946="W7",OR(F946="causal",F946="predictive")),IF(AND(K946=1,L946=1,M946=1),"adequate","partial"),INDEX(Fit_Matrix!$B:$B,MATCH(P946,Fit_Matrix!$A:$A,0))),"CHECK KEY"))</f>
        <v/>
      </c>
    </row>
    <row r="947" customFormat="false" ht="15" hidden="false" customHeight="true" outlineLevel="0" collapsed="false">
      <c r="P947" s="1" t="str">
        <f aca="false">IF(OR(F947="",H947="",J947=""),"",J947&amp;"|"&amp;F947&amp;"|"&amp;IF(H947="W3","W3_"&amp;IF(I947="","unknown",I947),H947))</f>
        <v/>
      </c>
      <c r="Q947" s="1" t="str">
        <f aca="false">IF(P947="","",IFERROR(IF(AND(H947="W7",OR(F947="causal",F947="predictive")),IF(AND(K947=1,L947=1,M947=1),"adequate","partial"),INDEX(Fit_Matrix!$B:$B,MATCH(P947,Fit_Matrix!$A:$A,0))),"CHECK KEY"))</f>
        <v/>
      </c>
    </row>
    <row r="948" customFormat="false" ht="15" hidden="false" customHeight="true" outlineLevel="0" collapsed="false">
      <c r="P948" s="1" t="str">
        <f aca="false">IF(OR(F948="",H948="",J948=""),"",J948&amp;"|"&amp;F948&amp;"|"&amp;IF(H948="W3","W3_"&amp;IF(I948="","unknown",I948),H948))</f>
        <v/>
      </c>
      <c r="Q948" s="1" t="str">
        <f aca="false">IF(P948="","",IFERROR(IF(AND(H948="W7",OR(F948="causal",F948="predictive")),IF(AND(K948=1,L948=1,M948=1),"adequate","partial"),INDEX(Fit_Matrix!$B:$B,MATCH(P948,Fit_Matrix!$A:$A,0))),"CHECK KEY"))</f>
        <v/>
      </c>
    </row>
    <row r="949" customFormat="false" ht="15" hidden="false" customHeight="true" outlineLevel="0" collapsed="false">
      <c r="P949" s="1" t="str">
        <f aca="false">IF(OR(F949="",H949="",J949=""),"",J949&amp;"|"&amp;F949&amp;"|"&amp;IF(H949="W3","W3_"&amp;IF(I949="","unknown",I949),H949))</f>
        <v/>
      </c>
      <c r="Q949" s="1" t="str">
        <f aca="false">IF(P949="","",IFERROR(IF(AND(H949="W7",OR(F949="causal",F949="predictive")),IF(AND(K949=1,L949=1,M949=1),"adequate","partial"),INDEX(Fit_Matrix!$B:$B,MATCH(P949,Fit_Matrix!$A:$A,0))),"CHECK KEY"))</f>
        <v/>
      </c>
    </row>
    <row r="950" customFormat="false" ht="15" hidden="false" customHeight="true" outlineLevel="0" collapsed="false">
      <c r="P950" s="1" t="str">
        <f aca="false">IF(OR(F950="",H950="",J950=""),"",J950&amp;"|"&amp;F950&amp;"|"&amp;IF(H950="W3","W3_"&amp;IF(I950="","unknown",I950),H950))</f>
        <v/>
      </c>
      <c r="Q950" s="1" t="str">
        <f aca="false">IF(P950="","",IFERROR(IF(AND(H950="W7",OR(F950="causal",F950="predictive")),IF(AND(K950=1,L950=1,M950=1),"adequate","partial"),INDEX(Fit_Matrix!$B:$B,MATCH(P950,Fit_Matrix!$A:$A,0))),"CHECK KEY"))</f>
        <v/>
      </c>
    </row>
    <row r="951" customFormat="false" ht="15" hidden="false" customHeight="true" outlineLevel="0" collapsed="false">
      <c r="P951" s="1" t="str">
        <f aca="false">IF(OR(F951="",H951="",J951=""),"",J951&amp;"|"&amp;F951&amp;"|"&amp;IF(H951="W3","W3_"&amp;IF(I951="","unknown",I951),H951))</f>
        <v/>
      </c>
      <c r="Q951" s="1" t="str">
        <f aca="false">IF(P951="","",IFERROR(IF(AND(H951="W7",OR(F951="causal",F951="predictive")),IF(AND(K951=1,L951=1,M951=1),"adequate","partial"),INDEX(Fit_Matrix!$B:$B,MATCH(P951,Fit_Matrix!$A:$A,0))),"CHECK KEY"))</f>
        <v/>
      </c>
    </row>
    <row r="952" customFormat="false" ht="15" hidden="false" customHeight="true" outlineLevel="0" collapsed="false">
      <c r="P952" s="1" t="str">
        <f aca="false">IF(OR(F952="",H952="",J952=""),"",J952&amp;"|"&amp;F952&amp;"|"&amp;IF(H952="W3","W3_"&amp;IF(I952="","unknown",I952),H952))</f>
        <v/>
      </c>
      <c r="Q952" s="1" t="str">
        <f aca="false">IF(P952="","",IFERROR(IF(AND(H952="W7",OR(F952="causal",F952="predictive")),IF(AND(K952=1,L952=1,M952=1),"adequate","partial"),INDEX(Fit_Matrix!$B:$B,MATCH(P952,Fit_Matrix!$A:$A,0))),"CHECK KEY"))</f>
        <v/>
      </c>
    </row>
    <row r="953" customFormat="false" ht="15" hidden="false" customHeight="true" outlineLevel="0" collapsed="false">
      <c r="P953" s="1" t="str">
        <f aca="false">IF(OR(F953="",H953="",J953=""),"",J953&amp;"|"&amp;F953&amp;"|"&amp;IF(H953="W3","W3_"&amp;IF(I953="","unknown",I953),H953))</f>
        <v/>
      </c>
      <c r="Q953" s="1" t="str">
        <f aca="false">IF(P953="","",IFERROR(IF(AND(H953="W7",OR(F953="causal",F953="predictive")),IF(AND(K953=1,L953=1,M953=1),"adequate","partial"),INDEX(Fit_Matrix!$B:$B,MATCH(P953,Fit_Matrix!$A:$A,0))),"CHECK KEY"))</f>
        <v/>
      </c>
    </row>
    <row r="954" customFormat="false" ht="15" hidden="false" customHeight="true" outlineLevel="0" collapsed="false">
      <c r="P954" s="1" t="str">
        <f aca="false">IF(OR(F954="",H954="",J954=""),"",J954&amp;"|"&amp;F954&amp;"|"&amp;IF(H954="W3","W3_"&amp;IF(I954="","unknown",I954),H954))</f>
        <v/>
      </c>
      <c r="Q954" s="1" t="str">
        <f aca="false">IF(P954="","",IFERROR(IF(AND(H954="W7",OR(F954="causal",F954="predictive")),IF(AND(K954=1,L954=1,M954=1),"adequate","partial"),INDEX(Fit_Matrix!$B:$B,MATCH(P954,Fit_Matrix!$A:$A,0))),"CHECK KEY"))</f>
        <v/>
      </c>
    </row>
    <row r="955" customFormat="false" ht="15" hidden="false" customHeight="true" outlineLevel="0" collapsed="false">
      <c r="P955" s="1" t="str">
        <f aca="false">IF(OR(F955="",H955="",J955=""),"",J955&amp;"|"&amp;F955&amp;"|"&amp;IF(H955="W3","W3_"&amp;IF(I955="","unknown",I955),H955))</f>
        <v/>
      </c>
      <c r="Q955" s="1" t="str">
        <f aca="false">IF(P955="","",IFERROR(IF(AND(H955="W7",OR(F955="causal",F955="predictive")),IF(AND(K955=1,L955=1,M955=1),"adequate","partial"),INDEX(Fit_Matrix!$B:$B,MATCH(P955,Fit_Matrix!$A:$A,0))),"CHECK KEY"))</f>
        <v/>
      </c>
    </row>
    <row r="956" customFormat="false" ht="15" hidden="false" customHeight="true" outlineLevel="0" collapsed="false">
      <c r="P956" s="1" t="str">
        <f aca="false">IF(OR(F956="",H956="",J956=""),"",J956&amp;"|"&amp;F956&amp;"|"&amp;IF(H956="W3","W3_"&amp;IF(I956="","unknown",I956),H956))</f>
        <v/>
      </c>
      <c r="Q956" s="1" t="str">
        <f aca="false">IF(P956="","",IFERROR(IF(AND(H956="W7",OR(F956="causal",F956="predictive")),IF(AND(K956=1,L956=1,M956=1),"adequate","partial"),INDEX(Fit_Matrix!$B:$B,MATCH(P956,Fit_Matrix!$A:$A,0))),"CHECK KEY"))</f>
        <v/>
      </c>
    </row>
    <row r="957" customFormat="false" ht="15" hidden="false" customHeight="true" outlineLevel="0" collapsed="false">
      <c r="P957" s="1" t="str">
        <f aca="false">IF(OR(F957="",H957="",J957=""),"",J957&amp;"|"&amp;F957&amp;"|"&amp;IF(H957="W3","W3_"&amp;IF(I957="","unknown",I957),H957))</f>
        <v/>
      </c>
      <c r="Q957" s="1" t="str">
        <f aca="false">IF(P957="","",IFERROR(IF(AND(H957="W7",OR(F957="causal",F957="predictive")),IF(AND(K957=1,L957=1,M957=1),"adequate","partial"),INDEX(Fit_Matrix!$B:$B,MATCH(P957,Fit_Matrix!$A:$A,0))),"CHECK KEY"))</f>
        <v/>
      </c>
    </row>
    <row r="958" customFormat="false" ht="15" hidden="false" customHeight="true" outlineLevel="0" collapsed="false">
      <c r="P958" s="1" t="str">
        <f aca="false">IF(OR(F958="",H958="",J958=""),"",J958&amp;"|"&amp;F958&amp;"|"&amp;IF(H958="W3","W3_"&amp;IF(I958="","unknown",I958),H958))</f>
        <v/>
      </c>
      <c r="Q958" s="1" t="str">
        <f aca="false">IF(P958="","",IFERROR(IF(AND(H958="W7",OR(F958="causal",F958="predictive")),IF(AND(K958=1,L958=1,M958=1),"adequate","partial"),INDEX(Fit_Matrix!$B:$B,MATCH(P958,Fit_Matrix!$A:$A,0))),"CHECK KEY"))</f>
        <v/>
      </c>
    </row>
    <row r="959" customFormat="false" ht="15" hidden="false" customHeight="true" outlineLevel="0" collapsed="false">
      <c r="P959" s="1" t="str">
        <f aca="false">IF(OR(F959="",H959="",J959=""),"",J959&amp;"|"&amp;F959&amp;"|"&amp;IF(H959="W3","W3_"&amp;IF(I959="","unknown",I959),H959))</f>
        <v/>
      </c>
      <c r="Q959" s="1" t="str">
        <f aca="false">IF(P959="","",IFERROR(IF(AND(H959="W7",OR(F959="causal",F959="predictive")),IF(AND(K959=1,L959=1,M959=1),"adequate","partial"),INDEX(Fit_Matrix!$B:$B,MATCH(P959,Fit_Matrix!$A:$A,0))),"CHECK KEY"))</f>
        <v/>
      </c>
    </row>
    <row r="960" customFormat="false" ht="15" hidden="false" customHeight="true" outlineLevel="0" collapsed="false">
      <c r="P960" s="1" t="str">
        <f aca="false">IF(OR(F960="",H960="",J960=""),"",J960&amp;"|"&amp;F960&amp;"|"&amp;IF(H960="W3","W3_"&amp;IF(I960="","unknown",I960),H960))</f>
        <v/>
      </c>
      <c r="Q960" s="1" t="str">
        <f aca="false">IF(P960="","",IFERROR(IF(AND(H960="W7",OR(F960="causal",F960="predictive")),IF(AND(K960=1,L960=1,M960=1),"adequate","partial"),INDEX(Fit_Matrix!$B:$B,MATCH(P960,Fit_Matrix!$A:$A,0))),"CHECK KEY"))</f>
        <v/>
      </c>
    </row>
    <row r="961" customFormat="false" ht="15" hidden="false" customHeight="true" outlineLevel="0" collapsed="false">
      <c r="P961" s="1" t="str">
        <f aca="false">IF(OR(F961="",H961="",J961=""),"",J961&amp;"|"&amp;F961&amp;"|"&amp;IF(H961="W3","W3_"&amp;IF(I961="","unknown",I961),H961))</f>
        <v/>
      </c>
      <c r="Q961" s="1" t="str">
        <f aca="false">IF(P961="","",IFERROR(IF(AND(H961="W7",OR(F961="causal",F961="predictive")),IF(AND(K961=1,L961=1,M961=1),"adequate","partial"),INDEX(Fit_Matrix!$B:$B,MATCH(P961,Fit_Matrix!$A:$A,0))),"CHECK KEY"))</f>
        <v/>
      </c>
    </row>
    <row r="962" customFormat="false" ht="15" hidden="false" customHeight="true" outlineLevel="0" collapsed="false">
      <c r="P962" s="1" t="str">
        <f aca="false">IF(OR(F962="",H962="",J962=""),"",J962&amp;"|"&amp;F962&amp;"|"&amp;IF(H962="W3","W3_"&amp;IF(I962="","unknown",I962),H962))</f>
        <v/>
      </c>
      <c r="Q962" s="1" t="str">
        <f aca="false">IF(P962="","",IFERROR(IF(AND(H962="W7",OR(F962="causal",F962="predictive")),IF(AND(K962=1,L962=1,M962=1),"adequate","partial"),INDEX(Fit_Matrix!$B:$B,MATCH(P962,Fit_Matrix!$A:$A,0))),"CHECK KEY"))</f>
        <v/>
      </c>
    </row>
    <row r="963" customFormat="false" ht="15" hidden="false" customHeight="true" outlineLevel="0" collapsed="false">
      <c r="P963" s="1" t="str">
        <f aca="false">IF(OR(F963="",H963="",J963=""),"",J963&amp;"|"&amp;F963&amp;"|"&amp;IF(H963="W3","W3_"&amp;IF(I963="","unknown",I963),H963))</f>
        <v/>
      </c>
      <c r="Q963" s="1" t="str">
        <f aca="false">IF(P963="","",IFERROR(IF(AND(H963="W7",OR(F963="causal",F963="predictive")),IF(AND(K963=1,L963=1,M963=1),"adequate","partial"),INDEX(Fit_Matrix!$B:$B,MATCH(P963,Fit_Matrix!$A:$A,0))),"CHECK KEY"))</f>
        <v/>
      </c>
    </row>
    <row r="964" customFormat="false" ht="15" hidden="false" customHeight="true" outlineLevel="0" collapsed="false">
      <c r="P964" s="1" t="str">
        <f aca="false">IF(OR(F964="",H964="",J964=""),"",J964&amp;"|"&amp;F964&amp;"|"&amp;IF(H964="W3","W3_"&amp;IF(I964="","unknown",I964),H964))</f>
        <v/>
      </c>
      <c r="Q964" s="1" t="str">
        <f aca="false">IF(P964="","",IFERROR(IF(AND(H964="W7",OR(F964="causal",F964="predictive")),IF(AND(K964=1,L964=1,M964=1),"adequate","partial"),INDEX(Fit_Matrix!$B:$B,MATCH(P964,Fit_Matrix!$A:$A,0))),"CHECK KEY"))</f>
        <v/>
      </c>
    </row>
    <row r="965" customFormat="false" ht="15" hidden="false" customHeight="true" outlineLevel="0" collapsed="false">
      <c r="P965" s="1" t="str">
        <f aca="false">IF(OR(F965="",H965="",J965=""),"",J965&amp;"|"&amp;F965&amp;"|"&amp;IF(H965="W3","W3_"&amp;IF(I965="","unknown",I965),H965))</f>
        <v/>
      </c>
      <c r="Q965" s="1" t="str">
        <f aca="false">IF(P965="","",IFERROR(IF(AND(H965="W7",OR(F965="causal",F965="predictive")),IF(AND(K965=1,L965=1,M965=1),"adequate","partial"),INDEX(Fit_Matrix!$B:$B,MATCH(P965,Fit_Matrix!$A:$A,0))),"CHECK KEY"))</f>
        <v/>
      </c>
    </row>
    <row r="966" customFormat="false" ht="15" hidden="false" customHeight="true" outlineLevel="0" collapsed="false">
      <c r="P966" s="1" t="str">
        <f aca="false">IF(OR(F966="",H966="",J966=""),"",J966&amp;"|"&amp;F966&amp;"|"&amp;IF(H966="W3","W3_"&amp;IF(I966="","unknown",I966),H966))</f>
        <v/>
      </c>
      <c r="Q966" s="1" t="str">
        <f aca="false">IF(P966="","",IFERROR(IF(AND(H966="W7",OR(F966="causal",F966="predictive")),IF(AND(K966=1,L966=1,M966=1),"adequate","partial"),INDEX(Fit_Matrix!$B:$B,MATCH(P966,Fit_Matrix!$A:$A,0))),"CHECK KEY"))</f>
        <v/>
      </c>
    </row>
    <row r="967" customFormat="false" ht="15" hidden="false" customHeight="true" outlineLevel="0" collapsed="false">
      <c r="P967" s="1" t="str">
        <f aca="false">IF(OR(F967="",H967="",J967=""),"",J967&amp;"|"&amp;F967&amp;"|"&amp;IF(H967="W3","W3_"&amp;IF(I967="","unknown",I967),H967))</f>
        <v/>
      </c>
      <c r="Q967" s="1" t="str">
        <f aca="false">IF(P967="","",IFERROR(IF(AND(H967="W7",OR(F967="causal",F967="predictive")),IF(AND(K967=1,L967=1,M967=1),"adequate","partial"),INDEX(Fit_Matrix!$B:$B,MATCH(P967,Fit_Matrix!$A:$A,0))),"CHECK KEY"))</f>
        <v/>
      </c>
    </row>
    <row r="968" customFormat="false" ht="15" hidden="false" customHeight="true" outlineLevel="0" collapsed="false">
      <c r="P968" s="1" t="str">
        <f aca="false">IF(OR(F968="",H968="",J968=""),"",J968&amp;"|"&amp;F968&amp;"|"&amp;IF(H968="W3","W3_"&amp;IF(I968="","unknown",I968),H968))</f>
        <v/>
      </c>
      <c r="Q968" s="1" t="str">
        <f aca="false">IF(P968="","",IFERROR(IF(AND(H968="W7",OR(F968="causal",F968="predictive")),IF(AND(K968=1,L968=1,M968=1),"adequate","partial"),INDEX(Fit_Matrix!$B:$B,MATCH(P968,Fit_Matrix!$A:$A,0))),"CHECK KEY"))</f>
        <v/>
      </c>
    </row>
    <row r="969" customFormat="false" ht="15" hidden="false" customHeight="true" outlineLevel="0" collapsed="false">
      <c r="P969" s="1" t="str">
        <f aca="false">IF(OR(F969="",H969="",J969=""),"",J969&amp;"|"&amp;F969&amp;"|"&amp;IF(H969="W3","W3_"&amp;IF(I969="","unknown",I969),H969))</f>
        <v/>
      </c>
      <c r="Q969" s="1" t="str">
        <f aca="false">IF(P969="","",IFERROR(IF(AND(H969="W7",OR(F969="causal",F969="predictive")),IF(AND(K969=1,L969=1,M969=1),"adequate","partial"),INDEX(Fit_Matrix!$B:$B,MATCH(P969,Fit_Matrix!$A:$A,0))),"CHECK KEY"))</f>
        <v/>
      </c>
    </row>
    <row r="970" customFormat="false" ht="15" hidden="false" customHeight="true" outlineLevel="0" collapsed="false">
      <c r="P970" s="1" t="str">
        <f aca="false">IF(OR(F970="",H970="",J970=""),"",J970&amp;"|"&amp;F970&amp;"|"&amp;IF(H970="W3","W3_"&amp;IF(I970="","unknown",I970),H970))</f>
        <v/>
      </c>
      <c r="Q970" s="1" t="str">
        <f aca="false">IF(P970="","",IFERROR(IF(AND(H970="W7",OR(F970="causal",F970="predictive")),IF(AND(K970=1,L970=1,M970=1),"adequate","partial"),INDEX(Fit_Matrix!$B:$B,MATCH(P970,Fit_Matrix!$A:$A,0))),"CHECK KEY"))</f>
        <v/>
      </c>
    </row>
    <row r="971" customFormat="false" ht="15" hidden="false" customHeight="true" outlineLevel="0" collapsed="false">
      <c r="P971" s="1" t="str">
        <f aca="false">IF(OR(F971="",H971="",J971=""),"",J971&amp;"|"&amp;F971&amp;"|"&amp;IF(H971="W3","W3_"&amp;IF(I971="","unknown",I971),H971))</f>
        <v/>
      </c>
      <c r="Q971" s="1" t="str">
        <f aca="false">IF(P971="","",IFERROR(IF(AND(H971="W7",OR(F971="causal",F971="predictive")),IF(AND(K971=1,L971=1,M971=1),"adequate","partial"),INDEX(Fit_Matrix!$B:$B,MATCH(P971,Fit_Matrix!$A:$A,0))),"CHECK KEY"))</f>
        <v/>
      </c>
    </row>
    <row r="972" customFormat="false" ht="15" hidden="false" customHeight="true" outlineLevel="0" collapsed="false">
      <c r="P972" s="1" t="str">
        <f aca="false">IF(OR(F972="",H972="",J972=""),"",J972&amp;"|"&amp;F972&amp;"|"&amp;IF(H972="W3","W3_"&amp;IF(I972="","unknown",I972),H972))</f>
        <v/>
      </c>
      <c r="Q972" s="1" t="str">
        <f aca="false">IF(P972="","",IFERROR(IF(AND(H972="W7",OR(F972="causal",F972="predictive")),IF(AND(K972=1,L972=1,M972=1),"adequate","partial"),INDEX(Fit_Matrix!$B:$B,MATCH(P972,Fit_Matrix!$A:$A,0))),"CHECK KEY"))</f>
        <v/>
      </c>
    </row>
    <row r="973" customFormat="false" ht="15" hidden="false" customHeight="true" outlineLevel="0" collapsed="false">
      <c r="P973" s="1" t="str">
        <f aca="false">IF(OR(F973="",H973="",J973=""),"",J973&amp;"|"&amp;F973&amp;"|"&amp;IF(H973="W3","W3_"&amp;IF(I973="","unknown",I973),H973))</f>
        <v/>
      </c>
      <c r="Q973" s="1" t="str">
        <f aca="false">IF(P973="","",IFERROR(IF(AND(H973="W7",OR(F973="causal",F973="predictive")),IF(AND(K973=1,L973=1,M973=1),"adequate","partial"),INDEX(Fit_Matrix!$B:$B,MATCH(P973,Fit_Matrix!$A:$A,0))),"CHECK KEY"))</f>
        <v/>
      </c>
    </row>
    <row r="974" customFormat="false" ht="15" hidden="false" customHeight="true" outlineLevel="0" collapsed="false">
      <c r="P974" s="1" t="str">
        <f aca="false">IF(OR(F974="",H974="",J974=""),"",J974&amp;"|"&amp;F974&amp;"|"&amp;IF(H974="W3","W3_"&amp;IF(I974="","unknown",I974),H974))</f>
        <v/>
      </c>
      <c r="Q974" s="1" t="str">
        <f aca="false">IF(P974="","",IFERROR(IF(AND(H974="W7",OR(F974="causal",F974="predictive")),IF(AND(K974=1,L974=1,M974=1),"adequate","partial"),INDEX(Fit_Matrix!$B:$B,MATCH(P974,Fit_Matrix!$A:$A,0))),"CHECK KEY"))</f>
        <v/>
      </c>
    </row>
    <row r="975" customFormat="false" ht="15" hidden="false" customHeight="true" outlineLevel="0" collapsed="false">
      <c r="P975" s="1" t="str">
        <f aca="false">IF(OR(F975="",H975="",J975=""),"",J975&amp;"|"&amp;F975&amp;"|"&amp;IF(H975="W3","W3_"&amp;IF(I975="","unknown",I975),H975))</f>
        <v/>
      </c>
      <c r="Q975" s="1" t="str">
        <f aca="false">IF(P975="","",IFERROR(IF(AND(H975="W7",OR(F975="causal",F975="predictive")),IF(AND(K975=1,L975=1,M975=1),"adequate","partial"),INDEX(Fit_Matrix!$B:$B,MATCH(P975,Fit_Matrix!$A:$A,0))),"CHECK KEY"))</f>
        <v/>
      </c>
    </row>
    <row r="976" customFormat="false" ht="15" hidden="false" customHeight="true" outlineLevel="0" collapsed="false">
      <c r="P976" s="1" t="str">
        <f aca="false">IF(OR(F976="",H976="",J976=""),"",J976&amp;"|"&amp;F976&amp;"|"&amp;IF(H976="W3","W3_"&amp;IF(I976="","unknown",I976),H976))</f>
        <v/>
      </c>
      <c r="Q976" s="1" t="str">
        <f aca="false">IF(P976="","",IFERROR(IF(AND(H976="W7",OR(F976="causal",F976="predictive")),IF(AND(K976=1,L976=1,M976=1),"adequate","partial"),INDEX(Fit_Matrix!$B:$B,MATCH(P976,Fit_Matrix!$A:$A,0))),"CHECK KEY"))</f>
        <v/>
      </c>
    </row>
    <row r="977" customFormat="false" ht="15" hidden="false" customHeight="true" outlineLevel="0" collapsed="false">
      <c r="P977" s="1" t="str">
        <f aca="false">IF(OR(F977="",H977="",J977=""),"",J977&amp;"|"&amp;F977&amp;"|"&amp;IF(H977="W3","W3_"&amp;IF(I977="","unknown",I977),H977))</f>
        <v/>
      </c>
      <c r="Q977" s="1" t="str">
        <f aca="false">IF(P977="","",IFERROR(IF(AND(H977="W7",OR(F977="causal",F977="predictive")),IF(AND(K977=1,L977=1,M977=1),"adequate","partial"),INDEX(Fit_Matrix!$B:$B,MATCH(P977,Fit_Matrix!$A:$A,0))),"CHECK KEY"))</f>
        <v/>
      </c>
    </row>
    <row r="978" customFormat="false" ht="15" hidden="false" customHeight="true" outlineLevel="0" collapsed="false">
      <c r="P978" s="1" t="str">
        <f aca="false">IF(OR(F978="",H978="",J978=""),"",J978&amp;"|"&amp;F978&amp;"|"&amp;IF(H978="W3","W3_"&amp;IF(I978="","unknown",I978),H978))</f>
        <v/>
      </c>
      <c r="Q978" s="1" t="str">
        <f aca="false">IF(P978="","",IFERROR(IF(AND(H978="W7",OR(F978="causal",F978="predictive")),IF(AND(K978=1,L978=1,M978=1),"adequate","partial"),INDEX(Fit_Matrix!$B:$B,MATCH(P978,Fit_Matrix!$A:$A,0))),"CHECK KEY"))</f>
        <v/>
      </c>
    </row>
    <row r="979" customFormat="false" ht="15" hidden="false" customHeight="true" outlineLevel="0" collapsed="false">
      <c r="P979" s="1" t="str">
        <f aca="false">IF(OR(F979="",H979="",J979=""),"",J979&amp;"|"&amp;F979&amp;"|"&amp;IF(H979="W3","W3_"&amp;IF(I979="","unknown",I979),H979))</f>
        <v/>
      </c>
      <c r="Q979" s="1" t="str">
        <f aca="false">IF(P979="","",IFERROR(IF(AND(H979="W7",OR(F979="causal",F979="predictive")),IF(AND(K979=1,L979=1,M979=1),"adequate","partial"),INDEX(Fit_Matrix!$B:$B,MATCH(P979,Fit_Matrix!$A:$A,0))),"CHECK KEY"))</f>
        <v/>
      </c>
    </row>
    <row r="980" customFormat="false" ht="15" hidden="false" customHeight="true" outlineLevel="0" collapsed="false">
      <c r="P980" s="1" t="str">
        <f aca="false">IF(OR(F980="",H980="",J980=""),"",J980&amp;"|"&amp;F980&amp;"|"&amp;IF(H980="W3","W3_"&amp;IF(I980="","unknown",I980),H980))</f>
        <v/>
      </c>
      <c r="Q980" s="1" t="str">
        <f aca="false">IF(P980="","",IFERROR(IF(AND(H980="W7",OR(F980="causal",F980="predictive")),IF(AND(K980=1,L980=1,M980=1),"adequate","partial"),INDEX(Fit_Matrix!$B:$B,MATCH(P980,Fit_Matrix!$A:$A,0))),"CHECK KEY"))</f>
        <v/>
      </c>
    </row>
    <row r="981" customFormat="false" ht="15" hidden="false" customHeight="true" outlineLevel="0" collapsed="false">
      <c r="P981" s="1" t="str">
        <f aca="false">IF(OR(F981="",H981="",J981=""),"",J981&amp;"|"&amp;F981&amp;"|"&amp;IF(H981="W3","W3_"&amp;IF(I981="","unknown",I981),H981))</f>
        <v/>
      </c>
      <c r="Q981" s="1" t="str">
        <f aca="false">IF(P981="","",IFERROR(IF(AND(H981="W7",OR(F981="causal",F981="predictive")),IF(AND(K981=1,L981=1,M981=1),"adequate","partial"),INDEX(Fit_Matrix!$B:$B,MATCH(P981,Fit_Matrix!$A:$A,0))),"CHECK KEY"))</f>
        <v/>
      </c>
    </row>
    <row r="982" customFormat="false" ht="15" hidden="false" customHeight="true" outlineLevel="0" collapsed="false">
      <c r="P982" s="1" t="str">
        <f aca="false">IF(OR(F982="",H982="",J982=""),"",J982&amp;"|"&amp;F982&amp;"|"&amp;IF(H982="W3","W3_"&amp;IF(I982="","unknown",I982),H982))</f>
        <v/>
      </c>
      <c r="Q982" s="1" t="str">
        <f aca="false">IF(P982="","",IFERROR(IF(AND(H982="W7",OR(F982="causal",F982="predictive")),IF(AND(K982=1,L982=1,M982=1),"adequate","partial"),INDEX(Fit_Matrix!$B:$B,MATCH(P982,Fit_Matrix!$A:$A,0))),"CHECK KEY"))</f>
        <v/>
      </c>
    </row>
    <row r="983" customFormat="false" ht="15" hidden="false" customHeight="true" outlineLevel="0" collapsed="false">
      <c r="P983" s="1" t="str">
        <f aca="false">IF(OR(F983="",H983="",J983=""),"",J983&amp;"|"&amp;F983&amp;"|"&amp;IF(H983="W3","W3_"&amp;IF(I983="","unknown",I983),H983))</f>
        <v/>
      </c>
      <c r="Q983" s="1" t="str">
        <f aca="false">IF(P983="","",IFERROR(IF(AND(H983="W7",OR(F983="causal",F983="predictive")),IF(AND(K983=1,L983=1,M983=1),"adequate","partial"),INDEX(Fit_Matrix!$B:$B,MATCH(P983,Fit_Matrix!$A:$A,0))),"CHECK KEY"))</f>
        <v/>
      </c>
    </row>
    <row r="984" customFormat="false" ht="15" hidden="false" customHeight="true" outlineLevel="0" collapsed="false">
      <c r="P984" s="1" t="str">
        <f aca="false">IF(OR(F984="",H984="",J984=""),"",J984&amp;"|"&amp;F984&amp;"|"&amp;IF(H984="W3","W3_"&amp;IF(I984="","unknown",I984),H984))</f>
        <v/>
      </c>
      <c r="Q984" s="1" t="str">
        <f aca="false">IF(P984="","",IFERROR(IF(AND(H984="W7",OR(F984="causal",F984="predictive")),IF(AND(K984=1,L984=1,M984=1),"adequate","partial"),INDEX(Fit_Matrix!$B:$B,MATCH(P984,Fit_Matrix!$A:$A,0))),"CHECK KEY"))</f>
        <v/>
      </c>
    </row>
    <row r="985" customFormat="false" ht="15" hidden="false" customHeight="true" outlineLevel="0" collapsed="false">
      <c r="P985" s="1" t="str">
        <f aca="false">IF(OR(F985="",H985="",J985=""),"",J985&amp;"|"&amp;F985&amp;"|"&amp;IF(H985="W3","W3_"&amp;IF(I985="","unknown",I985),H985))</f>
        <v/>
      </c>
      <c r="Q985" s="1" t="str">
        <f aca="false">IF(P985="","",IFERROR(IF(AND(H985="W7",OR(F985="causal",F985="predictive")),IF(AND(K985=1,L985=1,M985=1),"adequate","partial"),INDEX(Fit_Matrix!$B:$B,MATCH(P985,Fit_Matrix!$A:$A,0))),"CHECK KEY"))</f>
        <v/>
      </c>
    </row>
    <row r="986" customFormat="false" ht="15" hidden="false" customHeight="true" outlineLevel="0" collapsed="false">
      <c r="P986" s="1" t="str">
        <f aca="false">IF(OR(F986="",H986="",J986=""),"",J986&amp;"|"&amp;F986&amp;"|"&amp;IF(H986="W3","W3_"&amp;IF(I986="","unknown",I986),H986))</f>
        <v/>
      </c>
      <c r="Q986" s="1" t="str">
        <f aca="false">IF(P986="","",IFERROR(IF(AND(H986="W7",OR(F986="causal",F986="predictive")),IF(AND(K986=1,L986=1,M986=1),"adequate","partial"),INDEX(Fit_Matrix!$B:$B,MATCH(P986,Fit_Matrix!$A:$A,0))),"CHECK KEY"))</f>
        <v/>
      </c>
    </row>
    <row r="987" customFormat="false" ht="15" hidden="false" customHeight="true" outlineLevel="0" collapsed="false">
      <c r="P987" s="1" t="str">
        <f aca="false">IF(OR(F987="",H987="",J987=""),"",J987&amp;"|"&amp;F987&amp;"|"&amp;IF(H987="W3","W3_"&amp;IF(I987="","unknown",I987),H987))</f>
        <v/>
      </c>
      <c r="Q987" s="1" t="str">
        <f aca="false">IF(P987="","",IFERROR(IF(AND(H987="W7",OR(F987="causal",F987="predictive")),IF(AND(K987=1,L987=1,M987=1),"adequate","partial"),INDEX(Fit_Matrix!$B:$B,MATCH(P987,Fit_Matrix!$A:$A,0))),"CHECK KEY"))</f>
        <v/>
      </c>
    </row>
    <row r="988" customFormat="false" ht="15" hidden="false" customHeight="true" outlineLevel="0" collapsed="false">
      <c r="P988" s="1" t="str">
        <f aca="false">IF(OR(F988="",H988="",J988=""),"",J988&amp;"|"&amp;F988&amp;"|"&amp;IF(H988="W3","W3_"&amp;IF(I988="","unknown",I988),H988))</f>
        <v/>
      </c>
      <c r="Q988" s="1" t="str">
        <f aca="false">IF(P988="","",IFERROR(IF(AND(H988="W7",OR(F988="causal",F988="predictive")),IF(AND(K988=1,L988=1,M988=1),"adequate","partial"),INDEX(Fit_Matrix!$B:$B,MATCH(P988,Fit_Matrix!$A:$A,0))),"CHECK KEY"))</f>
        <v/>
      </c>
    </row>
    <row r="989" customFormat="false" ht="15" hidden="false" customHeight="true" outlineLevel="0" collapsed="false">
      <c r="P989" s="1" t="str">
        <f aca="false">IF(OR(F989="",H989="",J989=""),"",J989&amp;"|"&amp;F989&amp;"|"&amp;IF(H989="W3","W3_"&amp;IF(I989="","unknown",I989),H989))</f>
        <v/>
      </c>
      <c r="Q989" s="1" t="str">
        <f aca="false">IF(P989="","",IFERROR(IF(AND(H989="W7",OR(F989="causal",F989="predictive")),IF(AND(K989=1,L989=1,M989=1),"adequate","partial"),INDEX(Fit_Matrix!$B:$B,MATCH(P989,Fit_Matrix!$A:$A,0))),"CHECK KEY"))</f>
        <v/>
      </c>
    </row>
    <row r="990" customFormat="false" ht="15" hidden="false" customHeight="true" outlineLevel="0" collapsed="false">
      <c r="P990" s="1" t="str">
        <f aca="false">IF(OR(F990="",H990="",J990=""),"",J990&amp;"|"&amp;F990&amp;"|"&amp;IF(H990="W3","W3_"&amp;IF(I990="","unknown",I990),H990))</f>
        <v/>
      </c>
      <c r="Q990" s="1" t="str">
        <f aca="false">IF(P990="","",IFERROR(IF(AND(H990="W7",OR(F990="causal",F990="predictive")),IF(AND(K990=1,L990=1,M990=1),"adequate","partial"),INDEX(Fit_Matrix!$B:$B,MATCH(P990,Fit_Matrix!$A:$A,0))),"CHECK KEY"))</f>
        <v/>
      </c>
    </row>
    <row r="991" customFormat="false" ht="15" hidden="false" customHeight="true" outlineLevel="0" collapsed="false">
      <c r="P991" s="1" t="str">
        <f aca="false">IF(OR(F991="",H991="",J991=""),"",J991&amp;"|"&amp;F991&amp;"|"&amp;IF(H991="W3","W3_"&amp;IF(I991="","unknown",I991),H991))</f>
        <v/>
      </c>
      <c r="Q991" s="1" t="str">
        <f aca="false">IF(P991="","",IFERROR(IF(AND(H991="W7",OR(F991="causal",F991="predictive")),IF(AND(K991=1,L991=1,M991=1),"adequate","partial"),INDEX(Fit_Matrix!$B:$B,MATCH(P991,Fit_Matrix!$A:$A,0))),"CHECK KEY"))</f>
        <v/>
      </c>
    </row>
    <row r="992" customFormat="false" ht="15" hidden="false" customHeight="true" outlineLevel="0" collapsed="false">
      <c r="P992" s="1" t="str">
        <f aca="false">IF(OR(F992="",H992="",J992=""),"",J992&amp;"|"&amp;F992&amp;"|"&amp;IF(H992="W3","W3_"&amp;IF(I992="","unknown",I992),H992))</f>
        <v/>
      </c>
      <c r="Q992" s="1" t="str">
        <f aca="false">IF(P992="","",IFERROR(IF(AND(H992="W7",OR(F992="causal",F992="predictive")),IF(AND(K992=1,L992=1,M992=1),"adequate","partial"),INDEX(Fit_Matrix!$B:$B,MATCH(P992,Fit_Matrix!$A:$A,0))),"CHECK KEY"))</f>
        <v/>
      </c>
    </row>
    <row r="993" customFormat="false" ht="15" hidden="false" customHeight="true" outlineLevel="0" collapsed="false">
      <c r="P993" s="1" t="str">
        <f aca="false">IF(OR(F993="",H993="",J993=""),"",J993&amp;"|"&amp;F993&amp;"|"&amp;IF(H993="W3","W3_"&amp;IF(I993="","unknown",I993),H993))</f>
        <v/>
      </c>
      <c r="Q993" s="1" t="str">
        <f aca="false">IF(P993="","",IFERROR(IF(AND(H993="W7",OR(F993="causal",F993="predictive")),IF(AND(K993=1,L993=1,M993=1),"adequate","partial"),INDEX(Fit_Matrix!$B:$B,MATCH(P993,Fit_Matrix!$A:$A,0))),"CHECK KEY"))</f>
        <v/>
      </c>
    </row>
    <row r="994" customFormat="false" ht="15" hidden="false" customHeight="true" outlineLevel="0" collapsed="false">
      <c r="P994" s="1" t="str">
        <f aca="false">IF(OR(F994="",H994="",J994=""),"",J994&amp;"|"&amp;F994&amp;"|"&amp;IF(H994="W3","W3_"&amp;IF(I994="","unknown",I994),H994))</f>
        <v/>
      </c>
      <c r="Q994" s="1" t="str">
        <f aca="false">IF(P994="","",IFERROR(IF(AND(H994="W7",OR(F994="causal",F994="predictive")),IF(AND(K994=1,L994=1,M994=1),"adequate","partial"),INDEX(Fit_Matrix!$B:$B,MATCH(P994,Fit_Matrix!$A:$A,0))),"CHECK KEY"))</f>
        <v/>
      </c>
    </row>
    <row r="995" customFormat="false" ht="15" hidden="false" customHeight="true" outlineLevel="0" collapsed="false">
      <c r="P995" s="1" t="str">
        <f aca="false">IF(OR(F995="",H995="",J995=""),"",J995&amp;"|"&amp;F995&amp;"|"&amp;IF(H995="W3","W3_"&amp;IF(I995="","unknown",I995),H995))</f>
        <v/>
      </c>
      <c r="Q995" s="1" t="str">
        <f aca="false">IF(P995="","",IFERROR(IF(AND(H995="W7",OR(F995="causal",F995="predictive")),IF(AND(K995=1,L995=1,M995=1),"adequate","partial"),INDEX(Fit_Matrix!$B:$B,MATCH(P995,Fit_Matrix!$A:$A,0))),"CHECK KEY"))</f>
        <v/>
      </c>
    </row>
    <row r="996" customFormat="false" ht="15" hidden="false" customHeight="true" outlineLevel="0" collapsed="false">
      <c r="P996" s="1" t="str">
        <f aca="false">IF(OR(F996="",H996="",J996=""),"",J996&amp;"|"&amp;F996&amp;"|"&amp;IF(H996="W3","W3_"&amp;IF(I996="","unknown",I996),H996))</f>
        <v/>
      </c>
      <c r="Q996" s="1" t="str">
        <f aca="false">IF(P996="","",IFERROR(IF(AND(H996="W7",OR(F996="causal",F996="predictive")),IF(AND(K996=1,L996=1,M996=1),"adequate","partial"),INDEX(Fit_Matrix!$B:$B,MATCH(P996,Fit_Matrix!$A:$A,0))),"CHECK KEY"))</f>
        <v/>
      </c>
    </row>
    <row r="997" customFormat="false" ht="15" hidden="false" customHeight="true" outlineLevel="0" collapsed="false">
      <c r="P997" s="1" t="str">
        <f aca="false">IF(OR(F997="",H997="",J997=""),"",J997&amp;"|"&amp;F997&amp;"|"&amp;IF(H997="W3","W3_"&amp;IF(I997="","unknown",I997),H997))</f>
        <v/>
      </c>
      <c r="Q997" s="1" t="str">
        <f aca="false">IF(P997="","",IFERROR(IF(AND(H997="W7",OR(F997="causal",F997="predictive")),IF(AND(K997=1,L997=1,M997=1),"adequate","partial"),INDEX(Fit_Matrix!$B:$B,MATCH(P997,Fit_Matrix!$A:$A,0))),"CHECK KEY"))</f>
        <v/>
      </c>
    </row>
    <row r="998" customFormat="false" ht="15" hidden="false" customHeight="true" outlineLevel="0" collapsed="false">
      <c r="P998" s="1" t="str">
        <f aca="false">IF(OR(F998="",H998="",J998=""),"",J998&amp;"|"&amp;F998&amp;"|"&amp;IF(H998="W3","W3_"&amp;IF(I998="","unknown",I998),H998))</f>
        <v/>
      </c>
      <c r="Q998" s="1" t="str">
        <f aca="false">IF(P998="","",IFERROR(IF(AND(H998="W7",OR(F998="causal",F998="predictive")),IF(AND(K998=1,L998=1,M998=1),"adequate","partial"),INDEX(Fit_Matrix!$B:$B,MATCH(P998,Fit_Matrix!$A:$A,0))),"CHECK KEY"))</f>
        <v/>
      </c>
    </row>
    <row r="999" customFormat="false" ht="15" hidden="false" customHeight="true" outlineLevel="0" collapsed="false">
      <c r="P999" s="1" t="str">
        <f aca="false">IF(OR(F999="",H999="",J999=""),"",J999&amp;"|"&amp;F999&amp;"|"&amp;IF(H999="W3","W3_"&amp;IF(I999="","unknown",I999),H999))</f>
        <v/>
      </c>
      <c r="Q999" s="1" t="str">
        <f aca="false">IF(P999="","",IFERROR(IF(AND(H999="W7",OR(F999="causal",F999="predictive")),IF(AND(K999=1,L999=1,M999=1),"adequate","partial"),INDEX(Fit_Matrix!$B:$B,MATCH(P999,Fit_Matrix!$A:$A,0))),"CHECK KEY"))</f>
        <v/>
      </c>
    </row>
    <row r="1000" customFormat="false" ht="15" hidden="false" customHeight="true" outlineLevel="0" collapsed="false">
      <c r="P1000" s="1" t="str">
        <f aca="false">IF(OR(F1000="",H1000="",J1000=""),"",J1000&amp;"|"&amp;F1000&amp;"|"&amp;IF(H1000="W3","W3_"&amp;IF(I1000="","unknown",I1000),H1000))</f>
        <v/>
      </c>
      <c r="Q1000" s="1" t="str">
        <f aca="false">IF(P1000="","",IFERROR(IF(AND(H1000="W7",OR(F1000="causal",F1000="predictive")),IF(AND(K1000=1,L1000=1,M1000=1),"adequate","partial"),INDEX(Fit_Matrix!$B:$B,MATCH(P1000,Fit_Matrix!$A:$A,0))),"CHECK KEY"))</f>
        <v/>
      </c>
    </row>
    <row r="1001" customFormat="false" ht="15" hidden="false" customHeight="true" outlineLevel="0" collapsed="false">
      <c r="P1001" s="1" t="str">
        <f aca="false">IF(OR(F1001="",H1001="",J1001=""),"",J1001&amp;"|"&amp;F1001&amp;"|"&amp;IF(H1001="W3","W3_"&amp;IF(I1001="","unknown",I1001),H1001))</f>
        <v/>
      </c>
      <c r="Q1001" s="1" t="str">
        <f aca="false">IF(P1001="","",IFERROR(IF(AND(H1001="W7",OR(F1001="causal",F1001="predictive")),IF(AND(K1001=1,L1001=1,M1001=1),"adequate","partial"),INDEX(Fit_Matrix!$B:$B,MATCH(P1001,Fit_Matrix!$A:$A,0))),"CHECK KEY"))</f>
        <v/>
      </c>
    </row>
    <row r="1002" customFormat="false" ht="15" hidden="false" customHeight="true" outlineLevel="0" collapsed="false">
      <c r="P1002" s="1" t="str">
        <f aca="false">IF(OR(F1002="",H1002="",J1002=""),"",J1002&amp;"|"&amp;F1002&amp;"|"&amp;IF(H1002="W3","W3_"&amp;IF(I1002="","unknown",I1002),H1002))</f>
        <v/>
      </c>
      <c r="Q1002" s="1" t="str">
        <f aca="false">IF(P1002="","",IFERROR(IF(AND(H1002="W7",OR(F1002="causal",F1002="predictive")),IF(AND(K1002=1,L1002=1,M1002=1),"adequate","partial"),INDEX(Fit_Matrix!$B:$B,MATCH(P1002,Fit_Matrix!$A:$A,0))),"CHECK KEY"))</f>
        <v/>
      </c>
    </row>
    <row r="1003" customFormat="false" ht="15" hidden="false" customHeight="true" outlineLevel="0" collapsed="false">
      <c r="P1003" s="1" t="str">
        <f aca="false">IF(OR(F1003="",H1003="",J1003=""),"",J1003&amp;"|"&amp;F1003&amp;"|"&amp;IF(H1003="W3","W3_"&amp;IF(I1003="","unknown",I1003),H1003))</f>
        <v/>
      </c>
      <c r="Q1003" s="1" t="str">
        <f aca="false">IF(P1003="","",IFERROR(IF(AND(H1003="W7",OR(F1003="causal",F1003="predictive")),IF(AND(K1003=1,L1003=1,M1003=1),"adequate","partial"),INDEX(Fit_Matrix!$B:$B,MATCH(P1003,Fit_Matrix!$A:$A,0))),"CHECK KEY"))</f>
        <v/>
      </c>
    </row>
    <row r="1004" customFormat="false" ht="15" hidden="false" customHeight="true" outlineLevel="0" collapsed="false">
      <c r="P1004" s="1" t="str">
        <f aca="false">IF(OR(F1004="",H1004="",J1004=""),"",J1004&amp;"|"&amp;F1004&amp;"|"&amp;IF(H1004="W3","W3_"&amp;IF(I1004="","unknown",I1004),H1004))</f>
        <v/>
      </c>
      <c r="Q1004" s="1" t="str">
        <f aca="false">IF(P1004="","",IFERROR(IF(AND(H1004="W7",OR(F1004="causal",F1004="predictive")),IF(AND(K1004=1,L1004=1,M1004=1),"adequate","partial"),INDEX(Fit_Matrix!$B:$B,MATCH(P1004,Fit_Matrix!$A:$A,0))),"CHECK KEY"))</f>
        <v/>
      </c>
    </row>
    <row r="1005" customFormat="false" ht="15" hidden="false" customHeight="true" outlineLevel="0" collapsed="false">
      <c r="P1005" s="1" t="str">
        <f aca="false">IF(OR(F1005="",H1005="",J1005=""),"",J1005&amp;"|"&amp;F1005&amp;"|"&amp;IF(H1005="W3","W3_"&amp;IF(I1005="","unknown",I1005),H1005))</f>
        <v/>
      </c>
      <c r="Q1005" s="1" t="str">
        <f aca="false">IF(P1005="","",IFERROR(IF(AND(H1005="W7",OR(F1005="causal",F1005="predictive")),IF(AND(K1005=1,L1005=1,M1005=1),"adequate","partial"),INDEX(Fit_Matrix!$B:$B,MATCH(P1005,Fit_Matrix!$A:$A,0))),"CHECK KEY"))</f>
        <v/>
      </c>
    </row>
    <row r="1006" customFormat="false" ht="15" hidden="false" customHeight="true" outlineLevel="0" collapsed="false">
      <c r="P1006" s="1" t="str">
        <f aca="false">IF(OR(F1006="",H1006="",J1006=""),"",J1006&amp;"|"&amp;F1006&amp;"|"&amp;IF(H1006="W3","W3_"&amp;IF(I1006="","unknown",I1006),H1006))</f>
        <v/>
      </c>
      <c r="Q1006" s="1" t="str">
        <f aca="false">IF(P1006="","",IFERROR(IF(AND(H1006="W7",OR(F1006="causal",F1006="predictive")),IF(AND(K1006=1,L1006=1,M1006=1),"adequate","partial"),INDEX(Fit_Matrix!$B:$B,MATCH(P1006,Fit_Matrix!$A:$A,0))),"CHECK KEY"))</f>
        <v/>
      </c>
    </row>
    <row r="1007" customFormat="false" ht="15" hidden="false" customHeight="true" outlineLevel="0" collapsed="false">
      <c r="P1007" s="1" t="str">
        <f aca="false">IF(OR(F1007="",H1007="",J1007=""),"",J1007&amp;"|"&amp;F1007&amp;"|"&amp;IF(H1007="W3","W3_"&amp;IF(I1007="","unknown",I1007),H1007))</f>
        <v/>
      </c>
      <c r="Q1007" s="1" t="str">
        <f aca="false">IF(P1007="","",IFERROR(IF(AND(H1007="W7",OR(F1007="causal",F1007="predictive")),IF(AND(K1007=1,L1007=1,M1007=1),"adequate","partial"),INDEX(Fit_Matrix!$B:$B,MATCH(P1007,Fit_Matrix!$A:$A,0))),"CHECK KEY"))</f>
        <v/>
      </c>
    </row>
    <row r="1008" customFormat="false" ht="15" hidden="false" customHeight="true" outlineLevel="0" collapsed="false">
      <c r="P1008" s="1" t="str">
        <f aca="false">IF(OR(F1008="",H1008="",J1008=""),"",J1008&amp;"|"&amp;F1008&amp;"|"&amp;IF(H1008="W3","W3_"&amp;IF(I1008="","unknown",I1008),H1008))</f>
        <v/>
      </c>
      <c r="Q1008" s="1" t="str">
        <f aca="false">IF(P1008="","",IFERROR(IF(AND(H1008="W7",OR(F1008="causal",F1008="predictive")),IF(AND(K1008=1,L1008=1,M1008=1),"adequate","partial"),INDEX(Fit_Matrix!$B:$B,MATCH(P1008,Fit_Matrix!$A:$A,0))),"CHECK KEY"))</f>
        <v/>
      </c>
    </row>
    <row r="1009" customFormat="false" ht="15" hidden="false" customHeight="true" outlineLevel="0" collapsed="false">
      <c r="P1009" s="1" t="str">
        <f aca="false">IF(OR(F1009="",H1009="",J1009=""),"",J1009&amp;"|"&amp;F1009&amp;"|"&amp;IF(H1009="W3","W3_"&amp;IF(I1009="","unknown",I1009),H1009))</f>
        <v/>
      </c>
      <c r="Q1009" s="1" t="str">
        <f aca="false">IF(P1009="","",IFERROR(IF(AND(H1009="W7",OR(F1009="causal",F1009="predictive")),IF(AND(K1009=1,L1009=1,M1009=1),"adequate","partial"),INDEX(Fit_Matrix!$B:$B,MATCH(P1009,Fit_Matrix!$A:$A,0))),"CHECK KEY"))</f>
        <v/>
      </c>
    </row>
    <row r="1010" customFormat="false" ht="15" hidden="false" customHeight="true" outlineLevel="0" collapsed="false">
      <c r="P1010" s="1" t="str">
        <f aca="false">IF(OR(F1010="",H1010="",J1010=""),"",J1010&amp;"|"&amp;F1010&amp;"|"&amp;IF(H1010="W3","W3_"&amp;IF(I1010="","unknown",I1010),H1010))</f>
        <v/>
      </c>
      <c r="Q1010" s="1" t="str">
        <f aca="false">IF(P1010="","",IFERROR(IF(AND(H1010="W7",OR(F1010="causal",F1010="predictive")),IF(AND(K1010=1,L1010=1,M1010=1),"adequate","partial"),INDEX(Fit_Matrix!$B:$B,MATCH(P1010,Fit_Matrix!$A:$A,0))),"CHECK KEY"))</f>
        <v/>
      </c>
    </row>
    <row r="1011" customFormat="false" ht="15" hidden="false" customHeight="true" outlineLevel="0" collapsed="false">
      <c r="P1011" s="1" t="str">
        <f aca="false">IF(OR(F1011="",H1011="",J1011=""),"",J1011&amp;"|"&amp;F1011&amp;"|"&amp;IF(H1011="W3","W3_"&amp;IF(I1011="","unknown",I1011),H1011))</f>
        <v/>
      </c>
      <c r="Q1011" s="1" t="str">
        <f aca="false">IF(P1011="","",IFERROR(IF(AND(H1011="W7",OR(F1011="causal",F1011="predictive")),IF(AND(K1011=1,L1011=1,M1011=1),"adequate","partial"),INDEX(Fit_Matrix!$B:$B,MATCH(P1011,Fit_Matrix!$A:$A,0))),"CHECK KEY"))</f>
        <v/>
      </c>
    </row>
    <row r="1012" customFormat="false" ht="15" hidden="false" customHeight="true" outlineLevel="0" collapsed="false">
      <c r="P1012" s="1" t="str">
        <f aca="false">IF(OR(F1012="",H1012="",J1012=""),"",J1012&amp;"|"&amp;F1012&amp;"|"&amp;IF(H1012="W3","W3_"&amp;IF(I1012="","unknown",I1012),H1012))</f>
        <v/>
      </c>
      <c r="Q1012" s="1" t="str">
        <f aca="false">IF(P1012="","",IFERROR(IF(AND(H1012="W7",OR(F1012="causal",F1012="predictive")),IF(AND(K1012=1,L1012=1,M1012=1),"adequate","partial"),INDEX(Fit_Matrix!$B:$B,MATCH(P1012,Fit_Matrix!$A:$A,0))),"CHECK KEY"))</f>
        <v/>
      </c>
    </row>
    <row r="1013" customFormat="false" ht="15" hidden="false" customHeight="true" outlineLevel="0" collapsed="false">
      <c r="P1013" s="1" t="str">
        <f aca="false">IF(OR(F1013="",H1013="",J1013=""),"",J1013&amp;"|"&amp;F1013&amp;"|"&amp;IF(H1013="W3","W3_"&amp;IF(I1013="","unknown",I1013),H1013))</f>
        <v/>
      </c>
      <c r="Q1013" s="1" t="str">
        <f aca="false">IF(P1013="","",IFERROR(IF(AND(H1013="W7",OR(F1013="causal",F1013="predictive")),IF(AND(K1013=1,L1013=1,M1013=1),"adequate","partial"),INDEX(Fit_Matrix!$B:$B,MATCH(P1013,Fit_Matrix!$A:$A,0))),"CHECK KEY"))</f>
        <v/>
      </c>
    </row>
    <row r="1014" customFormat="false" ht="15" hidden="false" customHeight="true" outlineLevel="0" collapsed="false">
      <c r="P1014" s="1" t="str">
        <f aca="false">IF(OR(F1014="",H1014="",J1014=""),"",J1014&amp;"|"&amp;F1014&amp;"|"&amp;IF(H1014="W3","W3_"&amp;IF(I1014="","unknown",I1014),H1014))</f>
        <v/>
      </c>
      <c r="Q1014" s="1" t="str">
        <f aca="false">IF(P1014="","",IFERROR(IF(AND(H1014="W7",OR(F1014="causal",F1014="predictive")),IF(AND(K1014=1,L1014=1,M1014=1),"adequate","partial"),INDEX(Fit_Matrix!$B:$B,MATCH(P1014,Fit_Matrix!$A:$A,0))),"CHECK KEY"))</f>
        <v/>
      </c>
    </row>
    <row r="1015" customFormat="false" ht="15" hidden="false" customHeight="true" outlineLevel="0" collapsed="false">
      <c r="P1015" s="1" t="str">
        <f aca="false">IF(OR(F1015="",H1015="",J1015=""),"",J1015&amp;"|"&amp;F1015&amp;"|"&amp;IF(H1015="W3","W3_"&amp;IF(I1015="","unknown",I1015),H1015))</f>
        <v/>
      </c>
      <c r="Q1015" s="1" t="str">
        <f aca="false">IF(P1015="","",IFERROR(IF(AND(H1015="W7",OR(F1015="causal",F1015="predictive")),IF(AND(K1015=1,L1015=1,M1015=1),"adequate","partial"),INDEX(Fit_Matrix!$B:$B,MATCH(P1015,Fit_Matrix!$A:$A,0))),"CHECK KEY"))</f>
        <v/>
      </c>
    </row>
    <row r="1016" customFormat="false" ht="15" hidden="false" customHeight="true" outlineLevel="0" collapsed="false">
      <c r="P1016" s="1" t="str">
        <f aca="false">IF(OR(F1016="",H1016="",J1016=""),"",J1016&amp;"|"&amp;F1016&amp;"|"&amp;IF(H1016="W3","W3_"&amp;IF(I1016="","unknown",I1016),H1016))</f>
        <v/>
      </c>
      <c r="Q1016" s="1" t="str">
        <f aca="false">IF(P1016="","",IFERROR(IF(AND(H1016="W7",OR(F1016="causal",F1016="predictive")),IF(AND(K1016=1,L1016=1,M1016=1),"adequate","partial"),INDEX(Fit_Matrix!$B:$B,MATCH(P1016,Fit_Matrix!$A:$A,0))),"CHECK KEY"))</f>
        <v/>
      </c>
    </row>
    <row r="1017" customFormat="false" ht="15" hidden="false" customHeight="true" outlineLevel="0" collapsed="false">
      <c r="P1017" s="1" t="str">
        <f aca="false">IF(OR(F1017="",H1017="",J1017=""),"",J1017&amp;"|"&amp;F1017&amp;"|"&amp;IF(H1017="W3","W3_"&amp;IF(I1017="","unknown",I1017),H1017))</f>
        <v/>
      </c>
      <c r="Q1017" s="1" t="str">
        <f aca="false">IF(P1017="","",IFERROR(IF(AND(H1017="W7",OR(F1017="causal",F1017="predictive")),IF(AND(K1017=1,L1017=1,M1017=1),"adequate","partial"),INDEX(Fit_Matrix!$B:$B,MATCH(P1017,Fit_Matrix!$A:$A,0))),"CHECK KEY"))</f>
        <v/>
      </c>
    </row>
    <row r="1018" customFormat="false" ht="15" hidden="false" customHeight="true" outlineLevel="0" collapsed="false">
      <c r="P1018" s="1" t="str">
        <f aca="false">IF(OR(F1018="",H1018="",J1018=""),"",J1018&amp;"|"&amp;F1018&amp;"|"&amp;IF(H1018="W3","W3_"&amp;IF(I1018="","unknown",I1018),H1018))</f>
        <v/>
      </c>
      <c r="Q1018" s="1" t="str">
        <f aca="false">IF(P1018="","",IFERROR(IF(AND(H1018="W7",OR(F1018="causal",F1018="predictive")),IF(AND(K1018=1,L1018=1,M1018=1),"adequate","partial"),INDEX(Fit_Matrix!$B:$B,MATCH(P1018,Fit_Matrix!$A:$A,0))),"CHECK KEY"))</f>
        <v/>
      </c>
    </row>
    <row r="1019" customFormat="false" ht="15" hidden="false" customHeight="true" outlineLevel="0" collapsed="false">
      <c r="P1019" s="1" t="str">
        <f aca="false">IF(OR(F1019="",H1019="",J1019=""),"",J1019&amp;"|"&amp;F1019&amp;"|"&amp;IF(H1019="W3","W3_"&amp;IF(I1019="","unknown",I1019),H1019))</f>
        <v/>
      </c>
      <c r="Q1019" s="1" t="str">
        <f aca="false">IF(P1019="","",IFERROR(IF(AND(H1019="W7",OR(F1019="causal",F1019="predictive")),IF(AND(K1019=1,L1019=1,M1019=1),"adequate","partial"),INDEX(Fit_Matrix!$B:$B,MATCH(P1019,Fit_Matrix!$A:$A,0))),"CHECK KEY"))</f>
        <v/>
      </c>
    </row>
    <row r="1020" customFormat="false" ht="15" hidden="false" customHeight="true" outlineLevel="0" collapsed="false">
      <c r="P1020" s="1" t="str">
        <f aca="false">IF(OR(F1020="",H1020="",J1020=""),"",J1020&amp;"|"&amp;F1020&amp;"|"&amp;IF(H1020="W3","W3_"&amp;IF(I1020="","unknown",I1020),H1020))</f>
        <v/>
      </c>
      <c r="Q1020" s="1" t="str">
        <f aca="false">IF(P1020="","",IFERROR(IF(AND(H1020="W7",OR(F1020="causal",F1020="predictive")),IF(AND(K1020=1,L1020=1,M1020=1),"adequate","partial"),INDEX(Fit_Matrix!$B:$B,MATCH(P1020,Fit_Matrix!$A:$A,0))),"CHECK KEY"))</f>
        <v/>
      </c>
    </row>
    <row r="1021" customFormat="false" ht="15" hidden="false" customHeight="true" outlineLevel="0" collapsed="false">
      <c r="P1021" s="1" t="str">
        <f aca="false">IF(OR(F1021="",H1021="",J1021=""),"",J1021&amp;"|"&amp;F1021&amp;"|"&amp;IF(H1021="W3","W3_"&amp;IF(I1021="","unknown",I1021),H1021))</f>
        <v/>
      </c>
      <c r="Q1021" s="1" t="str">
        <f aca="false">IF(P1021="","",IFERROR(IF(AND(H1021="W7",OR(F1021="causal",F1021="predictive")),IF(AND(K1021=1,L1021=1,M1021=1),"adequate","partial"),INDEX(Fit_Matrix!$B:$B,MATCH(P1021,Fit_Matrix!$A:$A,0))),"CHECK KEY"))</f>
        <v/>
      </c>
    </row>
    <row r="1022" customFormat="false" ht="15" hidden="false" customHeight="true" outlineLevel="0" collapsed="false">
      <c r="P1022" s="1" t="str">
        <f aca="false">IF(OR(F1022="",H1022="",J1022=""),"",J1022&amp;"|"&amp;F1022&amp;"|"&amp;IF(H1022="W3","W3_"&amp;IF(I1022="","unknown",I1022),H1022))</f>
        <v/>
      </c>
      <c r="Q1022" s="1" t="str">
        <f aca="false">IF(P1022="","",IFERROR(IF(AND(H1022="W7",OR(F1022="causal",F1022="predictive")),IF(AND(K1022=1,L1022=1,M1022=1),"adequate","partial"),INDEX(Fit_Matrix!$B:$B,MATCH(P1022,Fit_Matrix!$A:$A,0))),"CHECK KEY"))</f>
        <v/>
      </c>
    </row>
    <row r="1023" customFormat="false" ht="15" hidden="false" customHeight="true" outlineLevel="0" collapsed="false">
      <c r="P1023" s="1" t="str">
        <f aca="false">IF(OR(F1023="",H1023="",J1023=""),"",J1023&amp;"|"&amp;F1023&amp;"|"&amp;IF(H1023="W3","W3_"&amp;IF(I1023="","unknown",I1023),H1023))</f>
        <v/>
      </c>
      <c r="Q1023" s="1" t="str">
        <f aca="false">IF(P1023="","",IFERROR(IF(AND(H1023="W7",OR(F1023="causal",F1023="predictive")),IF(AND(K1023=1,L1023=1,M1023=1),"adequate","partial"),INDEX(Fit_Matrix!$B:$B,MATCH(P1023,Fit_Matrix!$A:$A,0))),"CHECK KEY"))</f>
        <v/>
      </c>
    </row>
    <row r="1024" customFormat="false" ht="15" hidden="false" customHeight="true" outlineLevel="0" collapsed="false">
      <c r="P1024" s="1" t="str">
        <f aca="false">IF(OR(F1024="",H1024="",J1024=""),"",J1024&amp;"|"&amp;F1024&amp;"|"&amp;IF(H1024="W3","W3_"&amp;IF(I1024="","unknown",I1024),H1024))</f>
        <v/>
      </c>
      <c r="Q1024" s="1" t="str">
        <f aca="false">IF(P1024="","",IFERROR(IF(AND(H1024="W7",OR(F1024="causal",F1024="predictive")),IF(AND(K1024=1,L1024=1,M1024=1),"adequate","partial"),INDEX(Fit_Matrix!$B:$B,MATCH(P1024,Fit_Matrix!$A:$A,0))),"CHECK KEY"))</f>
        <v/>
      </c>
    </row>
    <row r="1025" customFormat="false" ht="15" hidden="false" customHeight="true" outlineLevel="0" collapsed="false">
      <c r="P1025" s="1" t="str">
        <f aca="false">IF(OR(F1025="",H1025="",J1025=""),"",J1025&amp;"|"&amp;F1025&amp;"|"&amp;IF(H1025="W3","W3_"&amp;IF(I1025="","unknown",I1025),H1025))</f>
        <v/>
      </c>
      <c r="Q1025" s="1" t="str">
        <f aca="false">IF(P1025="","",IFERROR(IF(AND(H1025="W7",OR(F1025="causal",F1025="predictive")),IF(AND(K1025=1,L1025=1,M1025=1),"adequate","partial"),INDEX(Fit_Matrix!$B:$B,MATCH(P1025,Fit_Matrix!$A:$A,0))),"CHECK KEY"))</f>
        <v/>
      </c>
    </row>
    <row r="1026" customFormat="false" ht="15" hidden="false" customHeight="true" outlineLevel="0" collapsed="false">
      <c r="P1026" s="1" t="str">
        <f aca="false">IF(OR(F1026="",H1026="",J1026=""),"",J1026&amp;"|"&amp;F1026&amp;"|"&amp;IF(H1026="W3","W3_"&amp;IF(I1026="","unknown",I1026),H1026))</f>
        <v/>
      </c>
      <c r="Q1026" s="1" t="str">
        <f aca="false">IF(P1026="","",IFERROR(IF(AND(H1026="W7",OR(F1026="causal",F1026="predictive")),IF(AND(K1026=1,L1026=1,M1026=1),"adequate","partial"),INDEX(Fit_Matrix!$B:$B,MATCH(P1026,Fit_Matrix!$A:$A,0))),"CHECK KEY"))</f>
        <v/>
      </c>
    </row>
    <row r="1027" customFormat="false" ht="15" hidden="false" customHeight="true" outlineLevel="0" collapsed="false">
      <c r="P1027" s="1" t="str">
        <f aca="false">IF(OR(F1027="",H1027="",J1027=""),"",J1027&amp;"|"&amp;F1027&amp;"|"&amp;IF(H1027="W3","W3_"&amp;IF(I1027="","unknown",I1027),H1027))</f>
        <v/>
      </c>
      <c r="Q1027" s="1" t="str">
        <f aca="false">IF(P1027="","",IFERROR(IF(AND(H1027="W7",OR(F1027="causal",F1027="predictive")),IF(AND(K1027=1,L1027=1,M1027=1),"adequate","partial"),INDEX(Fit_Matrix!$B:$B,MATCH(P1027,Fit_Matrix!$A:$A,0))),"CHECK KEY"))</f>
        <v/>
      </c>
    </row>
    <row r="1028" customFormat="false" ht="15" hidden="false" customHeight="true" outlineLevel="0" collapsed="false">
      <c r="P1028" s="1" t="str">
        <f aca="false">IF(OR(F1028="",H1028="",J1028=""),"",J1028&amp;"|"&amp;F1028&amp;"|"&amp;IF(H1028="W3","W3_"&amp;IF(I1028="","unknown",I1028),H1028))</f>
        <v/>
      </c>
      <c r="Q1028" s="1" t="str">
        <f aca="false">IF(P1028="","",IFERROR(IF(AND(H1028="W7",OR(F1028="causal",F1028="predictive")),IF(AND(K1028=1,L1028=1,M1028=1),"adequate","partial"),INDEX(Fit_Matrix!$B:$B,MATCH(P1028,Fit_Matrix!$A:$A,0))),"CHECK KEY"))</f>
        <v/>
      </c>
    </row>
    <row r="1029" customFormat="false" ht="15" hidden="false" customHeight="true" outlineLevel="0" collapsed="false">
      <c r="P1029" s="1" t="str">
        <f aca="false">IF(OR(F1029="",H1029="",J1029=""),"",J1029&amp;"|"&amp;F1029&amp;"|"&amp;IF(H1029="W3","W3_"&amp;IF(I1029="","unknown",I1029),H1029))</f>
        <v/>
      </c>
      <c r="Q1029" s="1" t="str">
        <f aca="false">IF(P1029="","",IFERROR(IF(AND(H1029="W7",OR(F1029="causal",F1029="predictive")),IF(AND(K1029=1,L1029=1,M1029=1),"adequate","partial"),INDEX(Fit_Matrix!$B:$B,MATCH(P1029,Fit_Matrix!$A:$A,0))),"CHECK KEY"))</f>
        <v/>
      </c>
    </row>
    <row r="1030" customFormat="false" ht="15" hidden="false" customHeight="true" outlineLevel="0" collapsed="false">
      <c r="P1030" s="1" t="str">
        <f aca="false">IF(OR(F1030="",H1030="",J1030=""),"",J1030&amp;"|"&amp;F1030&amp;"|"&amp;IF(H1030="W3","W3_"&amp;IF(I1030="","unknown",I1030),H1030))</f>
        <v/>
      </c>
      <c r="Q1030" s="1" t="str">
        <f aca="false">IF(P1030="","",IFERROR(IF(AND(H1030="W7",OR(F1030="causal",F1030="predictive")),IF(AND(K1030=1,L1030=1,M1030=1),"adequate","partial"),INDEX(Fit_Matrix!$B:$B,MATCH(P1030,Fit_Matrix!$A:$A,0))),"CHECK KEY"))</f>
        <v/>
      </c>
    </row>
    <row r="1031" customFormat="false" ht="15" hidden="false" customHeight="true" outlineLevel="0" collapsed="false">
      <c r="P1031" s="1" t="str">
        <f aca="false">IF(OR(F1031="",H1031="",J1031=""),"",J1031&amp;"|"&amp;F1031&amp;"|"&amp;IF(H1031="W3","W3_"&amp;IF(I1031="","unknown",I1031),H1031))</f>
        <v/>
      </c>
      <c r="Q1031" s="1" t="str">
        <f aca="false">IF(P1031="","",IFERROR(IF(AND(H1031="W7",OR(F1031="causal",F1031="predictive")),IF(AND(K1031=1,L1031=1,M1031=1),"adequate","partial"),INDEX(Fit_Matrix!$B:$B,MATCH(P1031,Fit_Matrix!$A:$A,0))),"CHECK KEY"))</f>
        <v/>
      </c>
    </row>
    <row r="1032" customFormat="false" ht="15" hidden="false" customHeight="true" outlineLevel="0" collapsed="false">
      <c r="P1032" s="1" t="str">
        <f aca="false">IF(OR(F1032="",H1032="",J1032=""),"",J1032&amp;"|"&amp;F1032&amp;"|"&amp;IF(H1032="W3","W3_"&amp;IF(I1032="","unknown",I1032),H1032))</f>
        <v/>
      </c>
      <c r="Q1032" s="1" t="str">
        <f aca="false">IF(P1032="","",IFERROR(IF(AND(H1032="W7",OR(F1032="causal",F1032="predictive")),IF(AND(K1032=1,L1032=1,M1032=1),"adequate","partial"),INDEX(Fit_Matrix!$B:$B,MATCH(P1032,Fit_Matrix!$A:$A,0))),"CHECK KEY"))</f>
        <v/>
      </c>
    </row>
    <row r="1033" customFormat="false" ht="15" hidden="false" customHeight="true" outlineLevel="0" collapsed="false">
      <c r="P1033" s="1" t="str">
        <f aca="false">IF(OR(F1033="",H1033="",J1033=""),"",J1033&amp;"|"&amp;F1033&amp;"|"&amp;IF(H1033="W3","W3_"&amp;IF(I1033="","unknown",I1033),H1033))</f>
        <v/>
      </c>
      <c r="Q1033" s="1" t="str">
        <f aca="false">IF(P1033="","",IFERROR(IF(AND(H1033="W7",OR(F1033="causal",F1033="predictive")),IF(AND(K1033=1,L1033=1,M1033=1),"adequate","partial"),INDEX(Fit_Matrix!$B:$B,MATCH(P1033,Fit_Matrix!$A:$A,0))),"CHECK KEY"))</f>
        <v/>
      </c>
    </row>
    <row r="1034" customFormat="false" ht="15" hidden="false" customHeight="true" outlineLevel="0" collapsed="false">
      <c r="P1034" s="1" t="str">
        <f aca="false">IF(OR(F1034="",H1034="",J1034=""),"",J1034&amp;"|"&amp;F1034&amp;"|"&amp;IF(H1034="W3","W3_"&amp;IF(I1034="","unknown",I1034),H1034))</f>
        <v/>
      </c>
      <c r="Q1034" s="1" t="str">
        <f aca="false">IF(P1034="","",IFERROR(IF(AND(H1034="W7",OR(F1034="causal",F1034="predictive")),IF(AND(K1034=1,L1034=1,M1034=1),"adequate","partial"),INDEX(Fit_Matrix!$B:$B,MATCH(P1034,Fit_Matrix!$A:$A,0))),"CHECK KEY"))</f>
        <v/>
      </c>
    </row>
    <row r="1035" customFormat="false" ht="15" hidden="false" customHeight="true" outlineLevel="0" collapsed="false">
      <c r="P1035" s="1" t="str">
        <f aca="false">IF(OR(F1035="",H1035="",J1035=""),"",J1035&amp;"|"&amp;F1035&amp;"|"&amp;IF(H1035="W3","W3_"&amp;IF(I1035="","unknown",I1035),H1035))</f>
        <v/>
      </c>
      <c r="Q1035" s="1" t="str">
        <f aca="false">IF(P1035="","",IFERROR(IF(AND(H1035="W7",OR(F1035="causal",F1035="predictive")),IF(AND(K1035=1,L1035=1,M1035=1),"adequate","partial"),INDEX(Fit_Matrix!$B:$B,MATCH(P1035,Fit_Matrix!$A:$A,0))),"CHECK KEY"))</f>
        <v/>
      </c>
    </row>
    <row r="1036" customFormat="false" ht="15" hidden="false" customHeight="true" outlineLevel="0" collapsed="false">
      <c r="P1036" s="1" t="str">
        <f aca="false">IF(OR(F1036="",H1036="",J1036=""),"",J1036&amp;"|"&amp;F1036&amp;"|"&amp;IF(H1036="W3","W3_"&amp;IF(I1036="","unknown",I1036),H1036))</f>
        <v/>
      </c>
      <c r="Q1036" s="1" t="str">
        <f aca="false">IF(P1036="","",IFERROR(IF(AND(H1036="W7",OR(F1036="causal",F1036="predictive")),IF(AND(K1036=1,L1036=1,M1036=1),"adequate","partial"),INDEX(Fit_Matrix!$B:$B,MATCH(P1036,Fit_Matrix!$A:$A,0))),"CHECK KEY"))</f>
        <v/>
      </c>
    </row>
    <row r="1037" customFormat="false" ht="15" hidden="false" customHeight="true" outlineLevel="0" collapsed="false">
      <c r="P1037" s="1" t="str">
        <f aca="false">IF(OR(F1037="",H1037="",J1037=""),"",J1037&amp;"|"&amp;F1037&amp;"|"&amp;IF(H1037="W3","W3_"&amp;IF(I1037="","unknown",I1037),H1037))</f>
        <v/>
      </c>
      <c r="Q1037" s="1" t="str">
        <f aca="false">IF(P1037="","",IFERROR(IF(AND(H1037="W7",OR(F1037="causal",F1037="predictive")),IF(AND(K1037=1,L1037=1,M1037=1),"adequate","partial"),INDEX(Fit_Matrix!$B:$B,MATCH(P1037,Fit_Matrix!$A:$A,0))),"CHECK KEY"))</f>
        <v/>
      </c>
    </row>
    <row r="1038" customFormat="false" ht="15" hidden="false" customHeight="true" outlineLevel="0" collapsed="false">
      <c r="P1038" s="1" t="str">
        <f aca="false">IF(OR(F1038="",H1038="",J1038=""),"",J1038&amp;"|"&amp;F1038&amp;"|"&amp;IF(H1038="W3","W3_"&amp;IF(I1038="","unknown",I1038),H1038))</f>
        <v/>
      </c>
      <c r="Q1038" s="1" t="str">
        <f aca="false">IF(P1038="","",IFERROR(IF(AND(H1038="W7",OR(F1038="causal",F1038="predictive")),IF(AND(K1038=1,L1038=1,M1038=1),"adequate","partial"),INDEX(Fit_Matrix!$B:$B,MATCH(P1038,Fit_Matrix!$A:$A,0))),"CHECK KEY"))</f>
        <v/>
      </c>
    </row>
    <row r="1039" customFormat="false" ht="15" hidden="false" customHeight="true" outlineLevel="0" collapsed="false">
      <c r="P1039" s="1" t="str">
        <f aca="false">IF(OR(F1039="",H1039="",J1039=""),"",J1039&amp;"|"&amp;F1039&amp;"|"&amp;IF(H1039="W3","W3_"&amp;IF(I1039="","unknown",I1039),H1039))</f>
        <v/>
      </c>
      <c r="Q1039" s="1" t="str">
        <f aca="false">IF(P1039="","",IFERROR(IF(AND(H1039="W7",OR(F1039="causal",F1039="predictive")),IF(AND(K1039=1,L1039=1,M1039=1),"adequate","partial"),INDEX(Fit_Matrix!$B:$B,MATCH(P1039,Fit_Matrix!$A:$A,0))),"CHECK KEY"))</f>
        <v/>
      </c>
    </row>
    <row r="1040" customFormat="false" ht="15" hidden="false" customHeight="true" outlineLevel="0" collapsed="false">
      <c r="P1040" s="1" t="str">
        <f aca="false">IF(OR(F1040="",H1040="",J1040=""),"",J1040&amp;"|"&amp;F1040&amp;"|"&amp;IF(H1040="W3","W3_"&amp;IF(I1040="","unknown",I1040),H1040))</f>
        <v/>
      </c>
      <c r="Q1040" s="1" t="str">
        <f aca="false">IF(P1040="","",IFERROR(IF(AND(H1040="W7",OR(F1040="causal",F1040="predictive")),IF(AND(K1040=1,L1040=1,M1040=1),"adequate","partial"),INDEX(Fit_Matrix!$B:$B,MATCH(P1040,Fit_Matrix!$A:$A,0))),"CHECK KEY"))</f>
        <v/>
      </c>
    </row>
    <row r="1041" customFormat="false" ht="15" hidden="false" customHeight="true" outlineLevel="0" collapsed="false">
      <c r="P1041" s="1" t="str">
        <f aca="false">IF(OR(F1041="",H1041="",J1041=""),"",J1041&amp;"|"&amp;F1041&amp;"|"&amp;IF(H1041="W3","W3_"&amp;IF(I1041="","unknown",I1041),H1041))</f>
        <v/>
      </c>
      <c r="Q1041" s="1" t="str">
        <f aca="false">IF(P1041="","",IFERROR(IF(AND(H1041="W7",OR(F1041="causal",F1041="predictive")),IF(AND(K1041=1,L1041=1,M1041=1),"adequate","partial"),INDEX(Fit_Matrix!$B:$B,MATCH(P1041,Fit_Matrix!$A:$A,0))),"CHECK KEY"))</f>
        <v/>
      </c>
    </row>
    <row r="1042" customFormat="false" ht="15" hidden="false" customHeight="true" outlineLevel="0" collapsed="false">
      <c r="P1042" s="1" t="str">
        <f aca="false">IF(OR(F1042="",H1042="",J1042=""),"",J1042&amp;"|"&amp;F1042&amp;"|"&amp;IF(H1042="W3","W3_"&amp;IF(I1042="","unknown",I1042),H1042))</f>
        <v/>
      </c>
      <c r="Q1042" s="1" t="str">
        <f aca="false">IF(P1042="","",IFERROR(IF(AND(H1042="W7",OR(F1042="causal",F1042="predictive")),IF(AND(K1042=1,L1042=1,M1042=1),"adequate","partial"),INDEX(Fit_Matrix!$B:$B,MATCH(P1042,Fit_Matrix!$A:$A,0))),"CHECK KEY"))</f>
        <v/>
      </c>
    </row>
    <row r="1043" customFormat="false" ht="15" hidden="false" customHeight="true" outlineLevel="0" collapsed="false">
      <c r="P1043" s="1" t="str">
        <f aca="false">IF(OR(F1043="",H1043="",J1043=""),"",J1043&amp;"|"&amp;F1043&amp;"|"&amp;IF(H1043="W3","W3_"&amp;IF(I1043="","unknown",I1043),H1043))</f>
        <v/>
      </c>
      <c r="Q1043" s="1" t="str">
        <f aca="false">IF(P1043="","",IFERROR(IF(AND(H1043="W7",OR(F1043="causal",F1043="predictive")),IF(AND(K1043=1,L1043=1,M1043=1),"adequate","partial"),INDEX(Fit_Matrix!$B:$B,MATCH(P1043,Fit_Matrix!$A:$A,0))),"CHECK KEY"))</f>
        <v/>
      </c>
    </row>
    <row r="1044" customFormat="false" ht="15" hidden="false" customHeight="true" outlineLevel="0" collapsed="false">
      <c r="P1044" s="1" t="str">
        <f aca="false">IF(OR(F1044="",H1044="",J1044=""),"",J1044&amp;"|"&amp;F1044&amp;"|"&amp;IF(H1044="W3","W3_"&amp;IF(I1044="","unknown",I1044),H1044))</f>
        <v/>
      </c>
      <c r="Q1044" s="1" t="str">
        <f aca="false">IF(P1044="","",IFERROR(IF(AND(H1044="W7",OR(F1044="causal",F1044="predictive")),IF(AND(K1044=1,L1044=1,M1044=1),"adequate","partial"),INDEX(Fit_Matrix!$B:$B,MATCH(P1044,Fit_Matrix!$A:$A,0))),"CHECK KEY"))</f>
        <v/>
      </c>
    </row>
    <row r="1045" customFormat="false" ht="15" hidden="false" customHeight="true" outlineLevel="0" collapsed="false">
      <c r="P1045" s="1" t="str">
        <f aca="false">IF(OR(F1045="",H1045="",J1045=""),"",J1045&amp;"|"&amp;F1045&amp;"|"&amp;IF(H1045="W3","W3_"&amp;IF(I1045="","unknown",I1045),H1045))</f>
        <v/>
      </c>
      <c r="Q1045" s="1" t="str">
        <f aca="false">IF(P1045="","",IFERROR(IF(AND(H1045="W7",OR(F1045="causal",F1045="predictive")),IF(AND(K1045=1,L1045=1,M1045=1),"adequate","partial"),INDEX(Fit_Matrix!$B:$B,MATCH(P1045,Fit_Matrix!$A:$A,0))),"CHECK KEY"))</f>
        <v/>
      </c>
    </row>
    <row r="1046" customFormat="false" ht="15" hidden="false" customHeight="true" outlineLevel="0" collapsed="false">
      <c r="P1046" s="1" t="str">
        <f aca="false">IF(OR(F1046="",H1046="",J1046=""),"",J1046&amp;"|"&amp;F1046&amp;"|"&amp;IF(H1046="W3","W3_"&amp;IF(I1046="","unknown",I1046),H1046))</f>
        <v/>
      </c>
      <c r="Q1046" s="1" t="str">
        <f aca="false">IF(P1046="","",IFERROR(IF(AND(H1046="W7",OR(F1046="causal",F1046="predictive")),IF(AND(K1046=1,L1046=1,M1046=1),"adequate","partial"),INDEX(Fit_Matrix!$B:$B,MATCH(P1046,Fit_Matrix!$A:$A,0))),"CHECK KEY"))</f>
        <v/>
      </c>
    </row>
    <row r="1047" customFormat="false" ht="15" hidden="false" customHeight="true" outlineLevel="0" collapsed="false">
      <c r="P1047" s="1" t="str">
        <f aca="false">IF(OR(F1047="",H1047="",J1047=""),"",J1047&amp;"|"&amp;F1047&amp;"|"&amp;IF(H1047="W3","W3_"&amp;IF(I1047="","unknown",I1047),H1047))</f>
        <v/>
      </c>
      <c r="Q1047" s="1" t="str">
        <f aca="false">IF(P1047="","",IFERROR(IF(AND(H1047="W7",OR(F1047="causal",F1047="predictive")),IF(AND(K1047=1,L1047=1,M1047=1),"adequate","partial"),INDEX(Fit_Matrix!$B:$B,MATCH(P1047,Fit_Matrix!$A:$A,0))),"CHECK KEY"))</f>
        <v/>
      </c>
    </row>
    <row r="1048" customFormat="false" ht="15" hidden="false" customHeight="true" outlineLevel="0" collapsed="false">
      <c r="P1048" s="1" t="str">
        <f aca="false">IF(OR(F1048="",H1048="",J1048=""),"",J1048&amp;"|"&amp;F1048&amp;"|"&amp;IF(H1048="W3","W3_"&amp;IF(I1048="","unknown",I1048),H1048))</f>
        <v/>
      </c>
      <c r="Q1048" s="1" t="str">
        <f aca="false">IF(P1048="","",IFERROR(IF(AND(H1048="W7",OR(F1048="causal",F1048="predictive")),IF(AND(K1048=1,L1048=1,M1048=1),"adequate","partial"),INDEX(Fit_Matrix!$B:$B,MATCH(P1048,Fit_Matrix!$A:$A,0))),"CHECK KEY"))</f>
        <v/>
      </c>
    </row>
    <row r="1049" customFormat="false" ht="15" hidden="false" customHeight="true" outlineLevel="0" collapsed="false">
      <c r="P1049" s="1" t="str">
        <f aca="false">IF(OR(F1049="",H1049="",J1049=""),"",J1049&amp;"|"&amp;F1049&amp;"|"&amp;IF(H1049="W3","W3_"&amp;IF(I1049="","unknown",I1049),H1049))</f>
        <v/>
      </c>
      <c r="Q1049" s="1" t="str">
        <f aca="false">IF(P1049="","",IFERROR(IF(AND(H1049="W7",OR(F1049="causal",F1049="predictive")),IF(AND(K1049=1,L1049=1,M1049=1),"adequate","partial"),INDEX(Fit_Matrix!$B:$B,MATCH(P1049,Fit_Matrix!$A:$A,0))),"CHECK KEY"))</f>
        <v/>
      </c>
    </row>
    <row r="1050" customFormat="false" ht="15" hidden="false" customHeight="true" outlineLevel="0" collapsed="false">
      <c r="P1050" s="1" t="str">
        <f aca="false">IF(OR(F1050="",H1050="",J1050=""),"",J1050&amp;"|"&amp;F1050&amp;"|"&amp;IF(H1050="W3","W3_"&amp;IF(I1050="","unknown",I1050),H1050))</f>
        <v/>
      </c>
      <c r="Q1050" s="1" t="str">
        <f aca="false">IF(P1050="","",IFERROR(IF(AND(H1050="W7",OR(F1050="causal",F1050="predictive")),IF(AND(K1050=1,L1050=1,M1050=1),"adequate","partial"),INDEX(Fit_Matrix!$B:$B,MATCH(P1050,Fit_Matrix!$A:$A,0))),"CHECK KEY"))</f>
        <v/>
      </c>
    </row>
    <row r="1051" customFormat="false" ht="15" hidden="false" customHeight="true" outlineLevel="0" collapsed="false">
      <c r="P1051" s="1" t="str">
        <f aca="false">IF(OR(F1051="",H1051="",J1051=""),"",J1051&amp;"|"&amp;F1051&amp;"|"&amp;IF(H1051="W3","W3_"&amp;IF(I1051="","unknown",I1051),H1051))</f>
        <v/>
      </c>
      <c r="Q1051" s="1" t="str">
        <f aca="false">IF(P1051="","",IFERROR(IF(AND(H1051="W7",OR(F1051="causal",F1051="predictive")),IF(AND(K1051=1,L1051=1,M1051=1),"adequate","partial"),INDEX(Fit_Matrix!$B:$B,MATCH(P1051,Fit_Matrix!$A:$A,0))),"CHECK KEY"))</f>
        <v/>
      </c>
    </row>
    <row r="1052" customFormat="false" ht="15" hidden="false" customHeight="true" outlineLevel="0" collapsed="false">
      <c r="P1052" s="1" t="str">
        <f aca="false">IF(OR(F1052="",H1052="",J1052=""),"",J1052&amp;"|"&amp;F1052&amp;"|"&amp;IF(H1052="W3","W3_"&amp;IF(I1052="","unknown",I1052),H1052))</f>
        <v/>
      </c>
      <c r="Q1052" s="1" t="str">
        <f aca="false">IF(P1052="","",IFERROR(IF(AND(H1052="W7",OR(F1052="causal",F1052="predictive")),IF(AND(K1052=1,L1052=1,M1052=1),"adequate","partial"),INDEX(Fit_Matrix!$B:$B,MATCH(P1052,Fit_Matrix!$A:$A,0))),"CHECK KEY"))</f>
        <v/>
      </c>
    </row>
    <row r="1053" customFormat="false" ht="15" hidden="false" customHeight="true" outlineLevel="0" collapsed="false">
      <c r="P1053" s="1" t="str">
        <f aca="false">IF(OR(F1053="",H1053="",J1053=""),"",J1053&amp;"|"&amp;F1053&amp;"|"&amp;IF(H1053="W3","W3_"&amp;IF(I1053="","unknown",I1053),H1053))</f>
        <v/>
      </c>
      <c r="Q1053" s="1" t="str">
        <f aca="false">IF(P1053="","",IFERROR(IF(AND(H1053="W7",OR(F1053="causal",F1053="predictive")),IF(AND(K1053=1,L1053=1,M1053=1),"adequate","partial"),INDEX(Fit_Matrix!$B:$B,MATCH(P1053,Fit_Matrix!$A:$A,0))),"CHECK KEY"))</f>
        <v/>
      </c>
    </row>
    <row r="1054" customFormat="false" ht="15" hidden="false" customHeight="true" outlineLevel="0" collapsed="false">
      <c r="P1054" s="1" t="str">
        <f aca="false">IF(OR(F1054="",H1054="",J1054=""),"",J1054&amp;"|"&amp;F1054&amp;"|"&amp;IF(H1054="W3","W3_"&amp;IF(I1054="","unknown",I1054),H1054))</f>
        <v/>
      </c>
      <c r="Q1054" s="1" t="str">
        <f aca="false">IF(P1054="","",IFERROR(IF(AND(H1054="W7",OR(F1054="causal",F1054="predictive")),IF(AND(K1054=1,L1054=1,M1054=1),"adequate","partial"),INDEX(Fit_Matrix!$B:$B,MATCH(P1054,Fit_Matrix!$A:$A,0))),"CHECK KEY"))</f>
        <v/>
      </c>
    </row>
    <row r="1055" customFormat="false" ht="15" hidden="false" customHeight="true" outlineLevel="0" collapsed="false">
      <c r="P1055" s="1" t="str">
        <f aca="false">IF(OR(F1055="",H1055="",J1055=""),"",J1055&amp;"|"&amp;F1055&amp;"|"&amp;IF(H1055="W3","W3_"&amp;IF(I1055="","unknown",I1055),H1055))</f>
        <v/>
      </c>
      <c r="Q1055" s="1" t="str">
        <f aca="false">IF(P1055="","",IFERROR(IF(AND(H1055="W7",OR(F1055="causal",F1055="predictive")),IF(AND(K1055=1,L1055=1,M1055=1),"adequate","partial"),INDEX(Fit_Matrix!$B:$B,MATCH(P1055,Fit_Matrix!$A:$A,0))),"CHECK KEY"))</f>
        <v/>
      </c>
    </row>
    <row r="1056" customFormat="false" ht="15" hidden="false" customHeight="true" outlineLevel="0" collapsed="false">
      <c r="P1056" s="1" t="str">
        <f aca="false">IF(OR(F1056="",H1056="",J1056=""),"",J1056&amp;"|"&amp;F1056&amp;"|"&amp;IF(H1056="W3","W3_"&amp;IF(I1056="","unknown",I1056),H1056))</f>
        <v/>
      </c>
      <c r="Q1056" s="1" t="str">
        <f aca="false">IF(P1056="","",IFERROR(IF(AND(H1056="W7",OR(F1056="causal",F1056="predictive")),IF(AND(K1056=1,L1056=1,M1056=1),"adequate","partial"),INDEX(Fit_Matrix!$B:$B,MATCH(P1056,Fit_Matrix!$A:$A,0))),"CHECK KEY"))</f>
        <v/>
      </c>
    </row>
    <row r="1057" customFormat="false" ht="15" hidden="false" customHeight="true" outlineLevel="0" collapsed="false">
      <c r="P1057" s="1" t="str">
        <f aca="false">IF(OR(F1057="",H1057="",J1057=""),"",J1057&amp;"|"&amp;F1057&amp;"|"&amp;IF(H1057="W3","W3_"&amp;IF(I1057="","unknown",I1057),H1057))</f>
        <v/>
      </c>
      <c r="Q1057" s="1" t="str">
        <f aca="false">IF(P1057="","",IFERROR(IF(AND(H1057="W7",OR(F1057="causal",F1057="predictive")),IF(AND(K1057=1,L1057=1,M1057=1),"adequate","partial"),INDEX(Fit_Matrix!$B:$B,MATCH(P1057,Fit_Matrix!$A:$A,0))),"CHECK KEY"))</f>
        <v/>
      </c>
    </row>
    <row r="1058" customFormat="false" ht="15" hidden="false" customHeight="true" outlineLevel="0" collapsed="false">
      <c r="P1058" s="1" t="str">
        <f aca="false">IF(OR(F1058="",H1058="",J1058=""),"",J1058&amp;"|"&amp;F1058&amp;"|"&amp;IF(H1058="W3","W3_"&amp;IF(I1058="","unknown",I1058),H1058))</f>
        <v/>
      </c>
      <c r="Q1058" s="1" t="str">
        <f aca="false">IF(P1058="","",IFERROR(IF(AND(H1058="W7",OR(F1058="causal",F1058="predictive")),IF(AND(K1058=1,L1058=1,M1058=1),"adequate","partial"),INDEX(Fit_Matrix!$B:$B,MATCH(P1058,Fit_Matrix!$A:$A,0))),"CHECK KEY"))</f>
        <v/>
      </c>
    </row>
    <row r="1059" customFormat="false" ht="15" hidden="false" customHeight="true" outlineLevel="0" collapsed="false">
      <c r="P1059" s="1" t="str">
        <f aca="false">IF(OR(F1059="",H1059="",J1059=""),"",J1059&amp;"|"&amp;F1059&amp;"|"&amp;IF(H1059="W3","W3_"&amp;IF(I1059="","unknown",I1059),H1059))</f>
        <v/>
      </c>
      <c r="Q1059" s="1" t="str">
        <f aca="false">IF(P1059="","",IFERROR(IF(AND(H1059="W7",OR(F1059="causal",F1059="predictive")),IF(AND(K1059=1,L1059=1,M1059=1),"adequate","partial"),INDEX(Fit_Matrix!$B:$B,MATCH(P1059,Fit_Matrix!$A:$A,0))),"CHECK KEY"))</f>
        <v/>
      </c>
    </row>
    <row r="1060" customFormat="false" ht="15" hidden="false" customHeight="true" outlineLevel="0" collapsed="false">
      <c r="P1060" s="1" t="str">
        <f aca="false">IF(OR(F1060="",H1060="",J1060=""),"",J1060&amp;"|"&amp;F1060&amp;"|"&amp;IF(H1060="W3","W3_"&amp;IF(I1060="","unknown",I1060),H1060))</f>
        <v/>
      </c>
      <c r="Q1060" s="1" t="str">
        <f aca="false">IF(P1060="","",IFERROR(IF(AND(H1060="W7",OR(F1060="causal",F1060="predictive")),IF(AND(K1060=1,L1060=1,M1060=1),"adequate","partial"),INDEX(Fit_Matrix!$B:$B,MATCH(P1060,Fit_Matrix!$A:$A,0))),"CHECK KEY"))</f>
        <v/>
      </c>
    </row>
    <row r="1061" customFormat="false" ht="15" hidden="false" customHeight="true" outlineLevel="0" collapsed="false">
      <c r="P1061" s="1" t="str">
        <f aca="false">IF(OR(F1061="",H1061="",J1061=""),"",J1061&amp;"|"&amp;F1061&amp;"|"&amp;IF(H1061="W3","W3_"&amp;IF(I1061="","unknown",I1061),H1061))</f>
        <v/>
      </c>
      <c r="Q1061" s="1" t="str">
        <f aca="false">IF(P1061="","",IFERROR(IF(AND(H1061="W7",OR(F1061="causal",F1061="predictive")),IF(AND(K1061=1,L1061=1,M1061=1),"adequate","partial"),INDEX(Fit_Matrix!$B:$B,MATCH(P1061,Fit_Matrix!$A:$A,0))),"CHECK KEY"))</f>
        <v/>
      </c>
    </row>
    <row r="1062" customFormat="false" ht="15" hidden="false" customHeight="true" outlineLevel="0" collapsed="false">
      <c r="P1062" s="1" t="str">
        <f aca="false">IF(OR(F1062="",H1062="",J1062=""),"",J1062&amp;"|"&amp;F1062&amp;"|"&amp;IF(H1062="W3","W3_"&amp;IF(I1062="","unknown",I1062),H1062))</f>
        <v/>
      </c>
      <c r="Q1062" s="1" t="str">
        <f aca="false">IF(P1062="","",IFERROR(IF(AND(H1062="W7",OR(F1062="causal",F1062="predictive")),IF(AND(K1062=1,L1062=1,M1062=1),"adequate","partial"),INDEX(Fit_Matrix!$B:$B,MATCH(P1062,Fit_Matrix!$A:$A,0))),"CHECK KEY"))</f>
        <v/>
      </c>
    </row>
    <row r="1063" customFormat="false" ht="15" hidden="false" customHeight="true" outlineLevel="0" collapsed="false">
      <c r="P1063" s="1" t="str">
        <f aca="false">IF(OR(F1063="",H1063="",J1063=""),"",J1063&amp;"|"&amp;F1063&amp;"|"&amp;IF(H1063="W3","W3_"&amp;IF(I1063="","unknown",I1063),H1063))</f>
        <v/>
      </c>
      <c r="Q1063" s="1" t="str">
        <f aca="false">IF(P1063="","",IFERROR(IF(AND(H1063="W7",OR(F1063="causal",F1063="predictive")),IF(AND(K1063=1,L1063=1,M1063=1),"adequate","partial"),INDEX(Fit_Matrix!$B:$B,MATCH(P1063,Fit_Matrix!$A:$A,0))),"CHECK KEY"))</f>
        <v/>
      </c>
    </row>
    <row r="1064" customFormat="false" ht="15" hidden="false" customHeight="true" outlineLevel="0" collapsed="false">
      <c r="P1064" s="1" t="str">
        <f aca="false">IF(OR(F1064="",H1064="",J1064=""),"",J1064&amp;"|"&amp;F1064&amp;"|"&amp;IF(H1064="W3","W3_"&amp;IF(I1064="","unknown",I1064),H1064))</f>
        <v/>
      </c>
      <c r="Q1064" s="1" t="str">
        <f aca="false">IF(P1064="","",IFERROR(IF(AND(H1064="W7",OR(F1064="causal",F1064="predictive")),IF(AND(K1064=1,L1064=1,M1064=1),"adequate","partial"),INDEX(Fit_Matrix!$B:$B,MATCH(P1064,Fit_Matrix!$A:$A,0))),"CHECK KEY"))</f>
        <v/>
      </c>
    </row>
    <row r="1065" customFormat="false" ht="15" hidden="false" customHeight="true" outlineLevel="0" collapsed="false">
      <c r="P1065" s="1" t="str">
        <f aca="false">IF(OR(F1065="",H1065="",J1065=""),"",J1065&amp;"|"&amp;F1065&amp;"|"&amp;IF(H1065="W3","W3_"&amp;IF(I1065="","unknown",I1065),H1065))</f>
        <v/>
      </c>
      <c r="Q1065" s="1" t="str">
        <f aca="false">IF(P1065="","",IFERROR(IF(AND(H1065="W7",OR(F1065="causal",F1065="predictive")),IF(AND(K1065=1,L1065=1,M1065=1),"adequate","partial"),INDEX(Fit_Matrix!$B:$B,MATCH(P1065,Fit_Matrix!$A:$A,0))),"CHECK KEY"))</f>
        <v/>
      </c>
    </row>
    <row r="1066" customFormat="false" ht="15" hidden="false" customHeight="true" outlineLevel="0" collapsed="false">
      <c r="P1066" s="1" t="str">
        <f aca="false">IF(OR(F1066="",H1066="",J1066=""),"",J1066&amp;"|"&amp;F1066&amp;"|"&amp;IF(H1066="W3","W3_"&amp;IF(I1066="","unknown",I1066),H1066))</f>
        <v/>
      </c>
      <c r="Q1066" s="1" t="str">
        <f aca="false">IF(P1066="","",IFERROR(IF(AND(H1066="W7",OR(F1066="causal",F1066="predictive")),IF(AND(K1066=1,L1066=1,M1066=1),"adequate","partial"),INDEX(Fit_Matrix!$B:$B,MATCH(P1066,Fit_Matrix!$A:$A,0))),"CHECK KEY"))</f>
        <v/>
      </c>
    </row>
    <row r="1067" customFormat="false" ht="15" hidden="false" customHeight="true" outlineLevel="0" collapsed="false">
      <c r="P1067" s="1" t="str">
        <f aca="false">IF(OR(F1067="",H1067="",J1067=""),"",J1067&amp;"|"&amp;F1067&amp;"|"&amp;IF(H1067="W3","W3_"&amp;IF(I1067="","unknown",I1067),H1067))</f>
        <v/>
      </c>
      <c r="Q1067" s="1" t="str">
        <f aca="false">IF(P1067="","",IFERROR(IF(AND(H1067="W7",OR(F1067="causal",F1067="predictive")),IF(AND(K1067=1,L1067=1,M1067=1),"adequate","partial"),INDEX(Fit_Matrix!$B:$B,MATCH(P1067,Fit_Matrix!$A:$A,0))),"CHECK KEY"))</f>
        <v/>
      </c>
    </row>
    <row r="1068" customFormat="false" ht="15" hidden="false" customHeight="true" outlineLevel="0" collapsed="false">
      <c r="P1068" s="1" t="str">
        <f aca="false">IF(OR(F1068="",H1068="",J1068=""),"",J1068&amp;"|"&amp;F1068&amp;"|"&amp;IF(H1068="W3","W3_"&amp;IF(I1068="","unknown",I1068),H1068))</f>
        <v/>
      </c>
      <c r="Q1068" s="1" t="str">
        <f aca="false">IF(P1068="","",IFERROR(IF(AND(H1068="W7",OR(F1068="causal",F1068="predictive")),IF(AND(K1068=1,L1068=1,M1068=1),"adequate","partial"),INDEX(Fit_Matrix!$B:$B,MATCH(P1068,Fit_Matrix!$A:$A,0))),"CHECK KEY"))</f>
        <v/>
      </c>
    </row>
    <row r="1069" customFormat="false" ht="15" hidden="false" customHeight="true" outlineLevel="0" collapsed="false">
      <c r="P1069" s="1" t="str">
        <f aca="false">IF(OR(F1069="",H1069="",J1069=""),"",J1069&amp;"|"&amp;F1069&amp;"|"&amp;IF(H1069="W3","W3_"&amp;IF(I1069="","unknown",I1069),H1069))</f>
        <v/>
      </c>
      <c r="Q1069" s="1" t="str">
        <f aca="false">IF(P1069="","",IFERROR(IF(AND(H1069="W7",OR(F1069="causal",F1069="predictive")),IF(AND(K1069=1,L1069=1,M1069=1),"adequate","partial"),INDEX(Fit_Matrix!$B:$B,MATCH(P1069,Fit_Matrix!$A:$A,0))),"CHECK KEY"))</f>
        <v/>
      </c>
    </row>
    <row r="1070" customFormat="false" ht="15" hidden="false" customHeight="true" outlineLevel="0" collapsed="false">
      <c r="P1070" s="1" t="str">
        <f aca="false">IF(OR(F1070="",H1070="",J1070=""),"",J1070&amp;"|"&amp;F1070&amp;"|"&amp;IF(H1070="W3","W3_"&amp;IF(I1070="","unknown",I1070),H1070))</f>
        <v/>
      </c>
      <c r="Q1070" s="1" t="str">
        <f aca="false">IF(P1070="","",IFERROR(IF(AND(H1070="W7",OR(F1070="causal",F1070="predictive")),IF(AND(K1070=1,L1070=1,M1070=1),"adequate","partial"),INDEX(Fit_Matrix!$B:$B,MATCH(P1070,Fit_Matrix!$A:$A,0))),"CHECK KEY"))</f>
        <v/>
      </c>
    </row>
    <row r="1071" customFormat="false" ht="15" hidden="false" customHeight="true" outlineLevel="0" collapsed="false">
      <c r="P1071" s="1" t="str">
        <f aca="false">IF(OR(F1071="",H1071="",J1071=""),"",J1071&amp;"|"&amp;F1071&amp;"|"&amp;IF(H1071="W3","W3_"&amp;IF(I1071="","unknown",I1071),H1071))</f>
        <v/>
      </c>
      <c r="Q1071" s="1" t="str">
        <f aca="false">IF(P1071="","",IFERROR(IF(AND(H1071="W7",OR(F1071="causal",F1071="predictive")),IF(AND(K1071=1,L1071=1,M1071=1),"adequate","partial"),INDEX(Fit_Matrix!$B:$B,MATCH(P1071,Fit_Matrix!$A:$A,0))),"CHECK KEY"))</f>
        <v/>
      </c>
    </row>
    <row r="1072" customFormat="false" ht="15" hidden="false" customHeight="true" outlineLevel="0" collapsed="false">
      <c r="P1072" s="1" t="str">
        <f aca="false">IF(OR(F1072="",H1072="",J1072=""),"",J1072&amp;"|"&amp;F1072&amp;"|"&amp;IF(H1072="W3","W3_"&amp;IF(I1072="","unknown",I1072),H1072))</f>
        <v/>
      </c>
      <c r="Q1072" s="1" t="str">
        <f aca="false">IF(P1072="","",IFERROR(IF(AND(H1072="W7",OR(F1072="causal",F1072="predictive")),IF(AND(K1072=1,L1072=1,M1072=1),"adequate","partial"),INDEX(Fit_Matrix!$B:$B,MATCH(P1072,Fit_Matrix!$A:$A,0))),"CHECK KEY"))</f>
        <v/>
      </c>
    </row>
    <row r="1073" customFormat="false" ht="15" hidden="false" customHeight="true" outlineLevel="0" collapsed="false">
      <c r="P1073" s="1" t="str">
        <f aca="false">IF(OR(F1073="",H1073="",J1073=""),"",J1073&amp;"|"&amp;F1073&amp;"|"&amp;IF(H1073="W3","W3_"&amp;IF(I1073="","unknown",I1073),H1073))</f>
        <v/>
      </c>
      <c r="Q1073" s="1" t="str">
        <f aca="false">IF(P1073="","",IFERROR(IF(AND(H1073="W7",OR(F1073="causal",F1073="predictive")),IF(AND(K1073=1,L1073=1,M1073=1),"adequate","partial"),INDEX(Fit_Matrix!$B:$B,MATCH(P1073,Fit_Matrix!$A:$A,0))),"CHECK KEY"))</f>
        <v/>
      </c>
    </row>
    <row r="1074" customFormat="false" ht="15" hidden="false" customHeight="true" outlineLevel="0" collapsed="false">
      <c r="P1074" s="1" t="str">
        <f aca="false">IF(OR(F1074="",H1074="",J1074=""),"",J1074&amp;"|"&amp;F1074&amp;"|"&amp;IF(H1074="W3","W3_"&amp;IF(I1074="","unknown",I1074),H1074))</f>
        <v/>
      </c>
      <c r="Q1074" s="1" t="str">
        <f aca="false">IF(P1074="","",IFERROR(IF(AND(H1074="W7",OR(F1074="causal",F1074="predictive")),IF(AND(K1074=1,L1074=1,M1074=1),"adequate","partial"),INDEX(Fit_Matrix!$B:$B,MATCH(P1074,Fit_Matrix!$A:$A,0))),"CHECK KEY"))</f>
        <v/>
      </c>
    </row>
    <row r="1075" customFormat="false" ht="15" hidden="false" customHeight="true" outlineLevel="0" collapsed="false">
      <c r="P1075" s="1" t="str">
        <f aca="false">IF(OR(F1075="",H1075="",J1075=""),"",J1075&amp;"|"&amp;F1075&amp;"|"&amp;IF(H1075="W3","W3_"&amp;IF(I1075="","unknown",I1075),H1075))</f>
        <v/>
      </c>
      <c r="Q1075" s="1" t="str">
        <f aca="false">IF(P1075="","",IFERROR(IF(AND(H1075="W7",OR(F1075="causal",F1075="predictive")),IF(AND(K1075=1,L1075=1,M1075=1),"adequate","partial"),INDEX(Fit_Matrix!$B:$B,MATCH(P1075,Fit_Matrix!$A:$A,0))),"CHECK KEY"))</f>
        <v/>
      </c>
    </row>
    <row r="1076" customFormat="false" ht="15" hidden="false" customHeight="true" outlineLevel="0" collapsed="false">
      <c r="P1076" s="1" t="str">
        <f aca="false">IF(OR(F1076="",H1076="",J1076=""),"",J1076&amp;"|"&amp;F1076&amp;"|"&amp;IF(H1076="W3","W3_"&amp;IF(I1076="","unknown",I1076),H1076))</f>
        <v/>
      </c>
      <c r="Q1076" s="1" t="str">
        <f aca="false">IF(P1076="","",IFERROR(IF(AND(H1076="W7",OR(F1076="causal",F1076="predictive")),IF(AND(K1076=1,L1076=1,M1076=1),"adequate","partial"),INDEX(Fit_Matrix!$B:$B,MATCH(P1076,Fit_Matrix!$A:$A,0))),"CHECK KEY"))</f>
        <v/>
      </c>
    </row>
    <row r="1077" customFormat="false" ht="15" hidden="false" customHeight="true" outlineLevel="0" collapsed="false">
      <c r="P1077" s="1" t="str">
        <f aca="false">IF(OR(F1077="",H1077="",J1077=""),"",J1077&amp;"|"&amp;F1077&amp;"|"&amp;IF(H1077="W3","W3_"&amp;IF(I1077="","unknown",I1077),H1077))</f>
        <v/>
      </c>
      <c r="Q1077" s="1" t="str">
        <f aca="false">IF(P1077="","",IFERROR(IF(AND(H1077="W7",OR(F1077="causal",F1077="predictive")),IF(AND(K1077=1,L1077=1,M1077=1),"adequate","partial"),INDEX(Fit_Matrix!$B:$B,MATCH(P1077,Fit_Matrix!$A:$A,0))),"CHECK KEY"))</f>
        <v/>
      </c>
    </row>
    <row r="1078" customFormat="false" ht="15" hidden="false" customHeight="true" outlineLevel="0" collapsed="false">
      <c r="P1078" s="1" t="str">
        <f aca="false">IF(OR(F1078="",H1078="",J1078=""),"",J1078&amp;"|"&amp;F1078&amp;"|"&amp;IF(H1078="W3","W3_"&amp;IF(I1078="","unknown",I1078),H1078))</f>
        <v/>
      </c>
      <c r="Q1078" s="1" t="str">
        <f aca="false">IF(P1078="","",IFERROR(IF(AND(H1078="W7",OR(F1078="causal",F1078="predictive")),IF(AND(K1078=1,L1078=1,M1078=1),"adequate","partial"),INDEX(Fit_Matrix!$B:$B,MATCH(P1078,Fit_Matrix!$A:$A,0))),"CHECK KEY"))</f>
        <v/>
      </c>
    </row>
    <row r="1079" customFormat="false" ht="15" hidden="false" customHeight="true" outlineLevel="0" collapsed="false">
      <c r="P1079" s="1" t="str">
        <f aca="false">IF(OR(F1079="",H1079="",J1079=""),"",J1079&amp;"|"&amp;F1079&amp;"|"&amp;IF(H1079="W3","W3_"&amp;IF(I1079="","unknown",I1079),H1079))</f>
        <v/>
      </c>
      <c r="Q1079" s="1" t="str">
        <f aca="false">IF(P1079="","",IFERROR(IF(AND(H1079="W7",OR(F1079="causal",F1079="predictive")),IF(AND(K1079=1,L1079=1,M1079=1),"adequate","partial"),INDEX(Fit_Matrix!$B:$B,MATCH(P1079,Fit_Matrix!$A:$A,0))),"CHECK KEY"))</f>
        <v/>
      </c>
    </row>
    <row r="1080" customFormat="false" ht="15" hidden="false" customHeight="true" outlineLevel="0" collapsed="false">
      <c r="P1080" s="1" t="str">
        <f aca="false">IF(OR(F1080="",H1080="",J1080=""),"",J1080&amp;"|"&amp;F1080&amp;"|"&amp;IF(H1080="W3","W3_"&amp;IF(I1080="","unknown",I1080),H1080))</f>
        <v/>
      </c>
      <c r="Q1080" s="1" t="str">
        <f aca="false">IF(P1080="","",IFERROR(IF(AND(H1080="W7",OR(F1080="causal",F1080="predictive")),IF(AND(K1080=1,L1080=1,M1080=1),"adequate","partial"),INDEX(Fit_Matrix!$B:$B,MATCH(P1080,Fit_Matrix!$A:$A,0))),"CHECK KEY"))</f>
        <v/>
      </c>
    </row>
    <row r="1081" customFormat="false" ht="15" hidden="false" customHeight="true" outlineLevel="0" collapsed="false">
      <c r="P1081" s="1" t="str">
        <f aca="false">IF(OR(F1081="",H1081="",J1081=""),"",J1081&amp;"|"&amp;F1081&amp;"|"&amp;IF(H1081="W3","W3_"&amp;IF(I1081="","unknown",I1081),H1081))</f>
        <v/>
      </c>
      <c r="Q1081" s="1" t="str">
        <f aca="false">IF(P1081="","",IFERROR(IF(AND(H1081="W7",OR(F1081="causal",F1081="predictive")),IF(AND(K1081=1,L1081=1,M1081=1),"adequate","partial"),INDEX(Fit_Matrix!$B:$B,MATCH(P1081,Fit_Matrix!$A:$A,0))),"CHECK KEY"))</f>
        <v/>
      </c>
    </row>
    <row r="1082" customFormat="false" ht="15" hidden="false" customHeight="true" outlineLevel="0" collapsed="false">
      <c r="P1082" s="1" t="str">
        <f aca="false">IF(OR(F1082="",H1082="",J1082=""),"",J1082&amp;"|"&amp;F1082&amp;"|"&amp;IF(H1082="W3","W3_"&amp;IF(I1082="","unknown",I1082),H1082))</f>
        <v/>
      </c>
      <c r="Q1082" s="1" t="str">
        <f aca="false">IF(P1082="","",IFERROR(IF(AND(H1082="W7",OR(F1082="causal",F1082="predictive")),IF(AND(K1082=1,L1082=1,M1082=1),"adequate","partial"),INDEX(Fit_Matrix!$B:$B,MATCH(P1082,Fit_Matrix!$A:$A,0))),"CHECK KEY"))</f>
        <v/>
      </c>
    </row>
    <row r="1083" customFormat="false" ht="15" hidden="false" customHeight="true" outlineLevel="0" collapsed="false">
      <c r="P1083" s="1" t="str">
        <f aca="false">IF(OR(F1083="",H1083="",J1083=""),"",J1083&amp;"|"&amp;F1083&amp;"|"&amp;IF(H1083="W3","W3_"&amp;IF(I1083="","unknown",I1083),H1083))</f>
        <v/>
      </c>
      <c r="Q1083" s="1" t="str">
        <f aca="false">IF(P1083="","",IFERROR(IF(AND(H1083="W7",OR(F1083="causal",F1083="predictive")),IF(AND(K1083=1,L1083=1,M1083=1),"adequate","partial"),INDEX(Fit_Matrix!$B:$B,MATCH(P1083,Fit_Matrix!$A:$A,0))),"CHECK KEY"))</f>
        <v/>
      </c>
    </row>
    <row r="1084" customFormat="false" ht="15" hidden="false" customHeight="true" outlineLevel="0" collapsed="false">
      <c r="P1084" s="1" t="str">
        <f aca="false">IF(OR(F1084="",H1084="",J1084=""),"",J1084&amp;"|"&amp;F1084&amp;"|"&amp;IF(H1084="W3","W3_"&amp;IF(I1084="","unknown",I1084),H1084))</f>
        <v/>
      </c>
      <c r="Q1084" s="1" t="str">
        <f aca="false">IF(P1084="","",IFERROR(IF(AND(H1084="W7",OR(F1084="causal",F1084="predictive")),IF(AND(K1084=1,L1084=1,M1084=1),"adequate","partial"),INDEX(Fit_Matrix!$B:$B,MATCH(P1084,Fit_Matrix!$A:$A,0))),"CHECK KEY"))</f>
        <v/>
      </c>
    </row>
    <row r="1085" customFormat="false" ht="15" hidden="false" customHeight="true" outlineLevel="0" collapsed="false">
      <c r="P1085" s="1" t="str">
        <f aca="false">IF(OR(F1085="",H1085="",J1085=""),"",J1085&amp;"|"&amp;F1085&amp;"|"&amp;IF(H1085="W3","W3_"&amp;IF(I1085="","unknown",I1085),H1085))</f>
        <v/>
      </c>
      <c r="Q1085" s="1" t="str">
        <f aca="false">IF(P1085="","",IFERROR(IF(AND(H1085="W7",OR(F1085="causal",F1085="predictive")),IF(AND(K1085=1,L1085=1,M1085=1),"adequate","partial"),INDEX(Fit_Matrix!$B:$B,MATCH(P1085,Fit_Matrix!$A:$A,0))),"CHECK KEY"))</f>
        <v/>
      </c>
    </row>
    <row r="1086" customFormat="false" ht="15" hidden="false" customHeight="true" outlineLevel="0" collapsed="false">
      <c r="P1086" s="1" t="str">
        <f aca="false">IF(OR(F1086="",H1086="",J1086=""),"",J1086&amp;"|"&amp;F1086&amp;"|"&amp;IF(H1086="W3","W3_"&amp;IF(I1086="","unknown",I1086),H1086))</f>
        <v/>
      </c>
      <c r="Q1086" s="1" t="str">
        <f aca="false">IF(P1086="","",IFERROR(IF(AND(H1086="W7",OR(F1086="causal",F1086="predictive")),IF(AND(K1086=1,L1086=1,M1086=1),"adequate","partial"),INDEX(Fit_Matrix!$B:$B,MATCH(P1086,Fit_Matrix!$A:$A,0))),"CHECK KEY"))</f>
        <v/>
      </c>
    </row>
    <row r="1087" customFormat="false" ht="15" hidden="false" customHeight="true" outlineLevel="0" collapsed="false">
      <c r="P1087" s="1" t="str">
        <f aca="false">IF(OR(F1087="",H1087="",J1087=""),"",J1087&amp;"|"&amp;F1087&amp;"|"&amp;IF(H1087="W3","W3_"&amp;IF(I1087="","unknown",I1087),H1087))</f>
        <v/>
      </c>
      <c r="Q1087" s="1" t="str">
        <f aca="false">IF(P1087="","",IFERROR(IF(AND(H1087="W7",OR(F1087="causal",F1087="predictive")),IF(AND(K1087=1,L1087=1,M1087=1),"adequate","partial"),INDEX(Fit_Matrix!$B:$B,MATCH(P1087,Fit_Matrix!$A:$A,0))),"CHECK KEY"))</f>
        <v/>
      </c>
    </row>
    <row r="1088" customFormat="false" ht="15" hidden="false" customHeight="true" outlineLevel="0" collapsed="false">
      <c r="P1088" s="1" t="str">
        <f aca="false">IF(OR(F1088="",H1088="",J1088=""),"",J1088&amp;"|"&amp;F1088&amp;"|"&amp;IF(H1088="W3","W3_"&amp;IF(I1088="","unknown",I1088),H1088))</f>
        <v/>
      </c>
      <c r="Q1088" s="1" t="str">
        <f aca="false">IF(P1088="","",IFERROR(IF(AND(H1088="W7",OR(F1088="causal",F1088="predictive")),IF(AND(K1088=1,L1088=1,M1088=1),"adequate","partial"),INDEX(Fit_Matrix!$B:$B,MATCH(P1088,Fit_Matrix!$A:$A,0))),"CHECK KEY"))</f>
        <v/>
      </c>
    </row>
    <row r="1089" customFormat="false" ht="15" hidden="false" customHeight="true" outlineLevel="0" collapsed="false">
      <c r="P1089" s="1" t="str">
        <f aca="false">IF(OR(F1089="",H1089="",J1089=""),"",J1089&amp;"|"&amp;F1089&amp;"|"&amp;IF(H1089="W3","W3_"&amp;IF(I1089="","unknown",I1089),H1089))</f>
        <v/>
      </c>
      <c r="Q1089" s="1" t="str">
        <f aca="false">IF(P1089="","",IFERROR(IF(AND(H1089="W7",OR(F1089="causal",F1089="predictive")),IF(AND(K1089=1,L1089=1,M1089=1),"adequate","partial"),INDEX(Fit_Matrix!$B:$B,MATCH(P1089,Fit_Matrix!$A:$A,0))),"CHECK KEY"))</f>
        <v/>
      </c>
    </row>
    <row r="1090" customFormat="false" ht="15" hidden="false" customHeight="true" outlineLevel="0" collapsed="false">
      <c r="P1090" s="1" t="str">
        <f aca="false">IF(OR(F1090="",H1090="",J1090=""),"",J1090&amp;"|"&amp;F1090&amp;"|"&amp;IF(H1090="W3","W3_"&amp;IF(I1090="","unknown",I1090),H1090))</f>
        <v/>
      </c>
      <c r="Q1090" s="1" t="str">
        <f aca="false">IF(P1090="","",IFERROR(IF(AND(H1090="W7",OR(F1090="causal",F1090="predictive")),IF(AND(K1090=1,L1090=1,M1090=1),"adequate","partial"),INDEX(Fit_Matrix!$B:$B,MATCH(P1090,Fit_Matrix!$A:$A,0))),"CHECK KEY"))</f>
        <v/>
      </c>
    </row>
    <row r="1091" customFormat="false" ht="15" hidden="false" customHeight="true" outlineLevel="0" collapsed="false">
      <c r="P1091" s="1" t="str">
        <f aca="false">IF(OR(F1091="",H1091="",J1091=""),"",J1091&amp;"|"&amp;F1091&amp;"|"&amp;IF(H1091="W3","W3_"&amp;IF(I1091="","unknown",I1091),H1091))</f>
        <v/>
      </c>
      <c r="Q1091" s="1" t="str">
        <f aca="false">IF(P1091="","",IFERROR(IF(AND(H1091="W7",OR(F1091="causal",F1091="predictive")),IF(AND(K1091=1,L1091=1,M1091=1),"adequate","partial"),INDEX(Fit_Matrix!$B:$B,MATCH(P1091,Fit_Matrix!$A:$A,0))),"CHECK KEY"))</f>
        <v/>
      </c>
    </row>
    <row r="1092" customFormat="false" ht="15" hidden="false" customHeight="true" outlineLevel="0" collapsed="false">
      <c r="P1092" s="1" t="str">
        <f aca="false">IF(OR(F1092="",H1092="",J1092=""),"",J1092&amp;"|"&amp;F1092&amp;"|"&amp;IF(H1092="W3","W3_"&amp;IF(I1092="","unknown",I1092),H1092))</f>
        <v/>
      </c>
      <c r="Q1092" s="1" t="str">
        <f aca="false">IF(P1092="","",IFERROR(IF(AND(H1092="W7",OR(F1092="causal",F1092="predictive")),IF(AND(K1092=1,L1092=1,M1092=1),"adequate","partial"),INDEX(Fit_Matrix!$B:$B,MATCH(P1092,Fit_Matrix!$A:$A,0))),"CHECK KEY"))</f>
        <v/>
      </c>
    </row>
    <row r="1093" customFormat="false" ht="15" hidden="false" customHeight="true" outlineLevel="0" collapsed="false">
      <c r="P1093" s="1" t="str">
        <f aca="false">IF(OR(F1093="",H1093="",J1093=""),"",J1093&amp;"|"&amp;F1093&amp;"|"&amp;IF(H1093="W3","W3_"&amp;IF(I1093="","unknown",I1093),H1093))</f>
        <v/>
      </c>
      <c r="Q1093" s="1" t="str">
        <f aca="false">IF(P1093="","",IFERROR(IF(AND(H1093="W7",OR(F1093="causal",F1093="predictive")),IF(AND(K1093=1,L1093=1,M1093=1),"adequate","partial"),INDEX(Fit_Matrix!$B:$B,MATCH(P1093,Fit_Matrix!$A:$A,0))),"CHECK KEY"))</f>
        <v/>
      </c>
    </row>
    <row r="1094" customFormat="false" ht="15" hidden="false" customHeight="true" outlineLevel="0" collapsed="false">
      <c r="P1094" s="1" t="str">
        <f aca="false">IF(OR(F1094="",H1094="",J1094=""),"",J1094&amp;"|"&amp;F1094&amp;"|"&amp;IF(H1094="W3","W3_"&amp;IF(I1094="","unknown",I1094),H1094))</f>
        <v/>
      </c>
      <c r="Q1094" s="1" t="str">
        <f aca="false">IF(P1094="","",IFERROR(IF(AND(H1094="W7",OR(F1094="causal",F1094="predictive")),IF(AND(K1094=1,L1094=1,M1094=1),"adequate","partial"),INDEX(Fit_Matrix!$B:$B,MATCH(P1094,Fit_Matrix!$A:$A,0))),"CHECK KEY"))</f>
        <v/>
      </c>
    </row>
    <row r="1095" customFormat="false" ht="15" hidden="false" customHeight="true" outlineLevel="0" collapsed="false">
      <c r="P1095" s="1" t="str">
        <f aca="false">IF(OR(F1095="",H1095="",J1095=""),"",J1095&amp;"|"&amp;F1095&amp;"|"&amp;IF(H1095="W3","W3_"&amp;IF(I1095="","unknown",I1095),H1095))</f>
        <v/>
      </c>
      <c r="Q1095" s="1" t="str">
        <f aca="false">IF(P1095="","",IFERROR(IF(AND(H1095="W7",OR(F1095="causal",F1095="predictive")),IF(AND(K1095=1,L1095=1,M1095=1),"adequate","partial"),INDEX(Fit_Matrix!$B:$B,MATCH(P1095,Fit_Matrix!$A:$A,0))),"CHECK KEY"))</f>
        <v/>
      </c>
    </row>
    <row r="1096" customFormat="false" ht="15" hidden="false" customHeight="true" outlineLevel="0" collapsed="false">
      <c r="P1096" s="1" t="str">
        <f aca="false">IF(OR(F1096="",H1096="",J1096=""),"",J1096&amp;"|"&amp;F1096&amp;"|"&amp;IF(H1096="W3","W3_"&amp;IF(I1096="","unknown",I1096),H1096))</f>
        <v/>
      </c>
      <c r="Q1096" s="1" t="str">
        <f aca="false">IF(P1096="","",IFERROR(IF(AND(H1096="W7",OR(F1096="causal",F1096="predictive")),IF(AND(K1096=1,L1096=1,M1096=1),"adequate","partial"),INDEX(Fit_Matrix!$B:$B,MATCH(P1096,Fit_Matrix!$A:$A,0))),"CHECK KEY"))</f>
        <v/>
      </c>
    </row>
    <row r="1097" customFormat="false" ht="15" hidden="false" customHeight="true" outlineLevel="0" collapsed="false">
      <c r="P1097" s="1" t="str">
        <f aca="false">IF(OR(F1097="",H1097="",J1097=""),"",J1097&amp;"|"&amp;F1097&amp;"|"&amp;IF(H1097="W3","W3_"&amp;IF(I1097="","unknown",I1097),H1097))</f>
        <v/>
      </c>
      <c r="Q1097" s="1" t="str">
        <f aca="false">IF(P1097="","",IFERROR(IF(AND(H1097="W7",OR(F1097="causal",F1097="predictive")),IF(AND(K1097=1,L1097=1,M1097=1),"adequate","partial"),INDEX(Fit_Matrix!$B:$B,MATCH(P1097,Fit_Matrix!$A:$A,0))),"CHECK KEY"))</f>
        <v/>
      </c>
    </row>
    <row r="1098" customFormat="false" ht="15" hidden="false" customHeight="true" outlineLevel="0" collapsed="false">
      <c r="P1098" s="1" t="str">
        <f aca="false">IF(OR(F1098="",H1098="",J1098=""),"",J1098&amp;"|"&amp;F1098&amp;"|"&amp;IF(H1098="W3","W3_"&amp;IF(I1098="","unknown",I1098),H1098))</f>
        <v/>
      </c>
      <c r="Q1098" s="1" t="str">
        <f aca="false">IF(P1098="","",IFERROR(IF(AND(H1098="W7",OR(F1098="causal",F1098="predictive")),IF(AND(K1098=1,L1098=1,M1098=1),"adequate","partial"),INDEX(Fit_Matrix!$B:$B,MATCH(P1098,Fit_Matrix!$A:$A,0))),"CHECK KEY"))</f>
        <v/>
      </c>
    </row>
    <row r="1099" customFormat="false" ht="15" hidden="false" customHeight="true" outlineLevel="0" collapsed="false">
      <c r="P1099" s="1" t="str">
        <f aca="false">IF(OR(F1099="",H1099="",J1099=""),"",J1099&amp;"|"&amp;F1099&amp;"|"&amp;IF(H1099="W3","W3_"&amp;IF(I1099="","unknown",I1099),H1099))</f>
        <v/>
      </c>
      <c r="Q1099" s="1" t="str">
        <f aca="false">IF(P1099="","",IFERROR(IF(AND(H1099="W7",OR(F1099="causal",F1099="predictive")),IF(AND(K1099=1,L1099=1,M1099=1),"adequate","partial"),INDEX(Fit_Matrix!$B:$B,MATCH(P1099,Fit_Matrix!$A:$A,0))),"CHECK KEY"))</f>
        <v/>
      </c>
    </row>
    <row r="1100" customFormat="false" ht="15" hidden="false" customHeight="true" outlineLevel="0" collapsed="false">
      <c r="P1100" s="1" t="str">
        <f aca="false">IF(OR(F1100="",H1100="",J1100=""),"",J1100&amp;"|"&amp;F1100&amp;"|"&amp;IF(H1100="W3","W3_"&amp;IF(I1100="","unknown",I1100),H1100))</f>
        <v/>
      </c>
      <c r="Q1100" s="1" t="str">
        <f aca="false">IF(P1100="","",IFERROR(IF(AND(H1100="W7",OR(F1100="causal",F1100="predictive")),IF(AND(K1100=1,L1100=1,M1100=1),"adequate","partial"),INDEX(Fit_Matrix!$B:$B,MATCH(P1100,Fit_Matrix!$A:$A,0))),"CHECK KEY"))</f>
        <v/>
      </c>
    </row>
    <row r="1101" customFormat="false" ht="15" hidden="false" customHeight="true" outlineLevel="0" collapsed="false">
      <c r="P1101" s="1" t="str">
        <f aca="false">IF(OR(F1101="",H1101="",J1101=""),"",J1101&amp;"|"&amp;F1101&amp;"|"&amp;IF(H1101="W3","W3_"&amp;IF(I1101="","unknown",I1101),H1101))</f>
        <v/>
      </c>
      <c r="Q1101" s="1" t="str">
        <f aca="false">IF(P1101="","",IFERROR(IF(AND(H1101="W7",OR(F1101="causal",F1101="predictive")),IF(AND(K1101=1,L1101=1,M1101=1),"adequate","partial"),INDEX(Fit_Matrix!$B:$B,MATCH(P1101,Fit_Matrix!$A:$A,0))),"CHECK KEY"))</f>
        <v/>
      </c>
    </row>
    <row r="1102" customFormat="false" ht="15" hidden="false" customHeight="true" outlineLevel="0" collapsed="false">
      <c r="P1102" s="1" t="str">
        <f aca="false">IF(OR(F1102="",H1102="",J1102=""),"",J1102&amp;"|"&amp;F1102&amp;"|"&amp;IF(H1102="W3","W3_"&amp;IF(I1102="","unknown",I1102),H1102))</f>
        <v/>
      </c>
      <c r="Q1102" s="1" t="str">
        <f aca="false">IF(P1102="","",IFERROR(IF(AND(H1102="W7",OR(F1102="causal",F1102="predictive")),IF(AND(K1102=1,L1102=1,M1102=1),"adequate","partial"),INDEX(Fit_Matrix!$B:$B,MATCH(P1102,Fit_Matrix!$A:$A,0))),"CHECK KEY"))</f>
        <v/>
      </c>
    </row>
    <row r="1103" customFormat="false" ht="15" hidden="false" customHeight="true" outlineLevel="0" collapsed="false">
      <c r="P1103" s="1" t="str">
        <f aca="false">IF(OR(F1103="",H1103="",J1103=""),"",J1103&amp;"|"&amp;F1103&amp;"|"&amp;IF(H1103="W3","W3_"&amp;IF(I1103="","unknown",I1103),H1103))</f>
        <v/>
      </c>
      <c r="Q1103" s="1" t="str">
        <f aca="false">IF(P1103="","",IFERROR(IF(AND(H1103="W7",OR(F1103="causal",F1103="predictive")),IF(AND(K1103=1,L1103=1,M1103=1),"adequate","partial"),INDEX(Fit_Matrix!$B:$B,MATCH(P1103,Fit_Matrix!$A:$A,0))),"CHECK KEY"))</f>
        <v/>
      </c>
    </row>
    <row r="1104" customFormat="false" ht="15" hidden="false" customHeight="true" outlineLevel="0" collapsed="false">
      <c r="P1104" s="1" t="str">
        <f aca="false">IF(OR(F1104="",H1104="",J1104=""),"",J1104&amp;"|"&amp;F1104&amp;"|"&amp;IF(H1104="W3","W3_"&amp;IF(I1104="","unknown",I1104),H1104))</f>
        <v/>
      </c>
      <c r="Q1104" s="1" t="str">
        <f aca="false">IF(P1104="","",IFERROR(IF(AND(H1104="W7",OR(F1104="causal",F1104="predictive")),IF(AND(K1104=1,L1104=1,M1104=1),"adequate","partial"),INDEX(Fit_Matrix!$B:$B,MATCH(P1104,Fit_Matrix!$A:$A,0))),"CHECK KEY"))</f>
        <v/>
      </c>
    </row>
    <row r="1105" customFormat="false" ht="15" hidden="false" customHeight="true" outlineLevel="0" collapsed="false">
      <c r="P1105" s="1" t="str">
        <f aca="false">IF(OR(F1105="",H1105="",J1105=""),"",J1105&amp;"|"&amp;F1105&amp;"|"&amp;IF(H1105="W3","W3_"&amp;IF(I1105="","unknown",I1105),H1105))</f>
        <v/>
      </c>
      <c r="Q1105" s="1" t="str">
        <f aca="false">IF(P1105="","",IFERROR(IF(AND(H1105="W7",OR(F1105="causal",F1105="predictive")),IF(AND(K1105=1,L1105=1,M1105=1),"adequate","partial"),INDEX(Fit_Matrix!$B:$B,MATCH(P1105,Fit_Matrix!$A:$A,0))),"CHECK KEY"))</f>
        <v/>
      </c>
    </row>
    <row r="1106" customFormat="false" ht="15" hidden="false" customHeight="true" outlineLevel="0" collapsed="false">
      <c r="P1106" s="1" t="str">
        <f aca="false">IF(OR(F1106="",H1106="",J1106=""),"",J1106&amp;"|"&amp;F1106&amp;"|"&amp;IF(H1106="W3","W3_"&amp;IF(I1106="","unknown",I1106),H1106))</f>
        <v/>
      </c>
      <c r="Q1106" s="1" t="str">
        <f aca="false">IF(P1106="","",IFERROR(IF(AND(H1106="W7",OR(F1106="causal",F1106="predictive")),IF(AND(K1106=1,L1106=1,M1106=1),"adequate","partial"),INDEX(Fit_Matrix!$B:$B,MATCH(P1106,Fit_Matrix!$A:$A,0))),"CHECK KEY"))</f>
        <v/>
      </c>
    </row>
    <row r="1107" customFormat="false" ht="15" hidden="false" customHeight="true" outlineLevel="0" collapsed="false">
      <c r="P1107" s="1" t="str">
        <f aca="false">IF(OR(F1107="",H1107="",J1107=""),"",J1107&amp;"|"&amp;F1107&amp;"|"&amp;IF(H1107="W3","W3_"&amp;IF(I1107="","unknown",I1107),H1107))</f>
        <v/>
      </c>
      <c r="Q1107" s="1" t="str">
        <f aca="false">IF(P1107="","",IFERROR(IF(AND(H1107="W7",OR(F1107="causal",F1107="predictive")),IF(AND(K1107=1,L1107=1,M1107=1),"adequate","partial"),INDEX(Fit_Matrix!$B:$B,MATCH(P1107,Fit_Matrix!$A:$A,0))),"CHECK KEY"))</f>
        <v/>
      </c>
    </row>
    <row r="1108" customFormat="false" ht="15" hidden="false" customHeight="true" outlineLevel="0" collapsed="false">
      <c r="P1108" s="1" t="str">
        <f aca="false">IF(OR(F1108="",H1108="",J1108=""),"",J1108&amp;"|"&amp;F1108&amp;"|"&amp;IF(H1108="W3","W3_"&amp;IF(I1108="","unknown",I1108),H1108))</f>
        <v/>
      </c>
      <c r="Q1108" s="1" t="str">
        <f aca="false">IF(P1108="","",IFERROR(IF(AND(H1108="W7",OR(F1108="causal",F1108="predictive")),IF(AND(K1108=1,L1108=1,M1108=1),"adequate","partial"),INDEX(Fit_Matrix!$B:$B,MATCH(P1108,Fit_Matrix!$A:$A,0))),"CHECK KEY"))</f>
        <v/>
      </c>
    </row>
    <row r="1109" customFormat="false" ht="15" hidden="false" customHeight="true" outlineLevel="0" collapsed="false">
      <c r="P1109" s="1" t="str">
        <f aca="false">IF(OR(F1109="",H1109="",J1109=""),"",J1109&amp;"|"&amp;F1109&amp;"|"&amp;IF(H1109="W3","W3_"&amp;IF(I1109="","unknown",I1109),H1109))</f>
        <v/>
      </c>
      <c r="Q1109" s="1" t="str">
        <f aca="false">IF(P1109="","",IFERROR(IF(AND(H1109="W7",OR(F1109="causal",F1109="predictive")),IF(AND(K1109=1,L1109=1,M1109=1),"adequate","partial"),INDEX(Fit_Matrix!$B:$B,MATCH(P1109,Fit_Matrix!$A:$A,0))),"CHECK KEY"))</f>
        <v/>
      </c>
    </row>
    <row r="1110" customFormat="false" ht="15" hidden="false" customHeight="true" outlineLevel="0" collapsed="false">
      <c r="P1110" s="1" t="str">
        <f aca="false">IF(OR(F1110="",H1110="",J1110=""),"",J1110&amp;"|"&amp;F1110&amp;"|"&amp;IF(H1110="W3","W3_"&amp;IF(I1110="","unknown",I1110),H1110))</f>
        <v/>
      </c>
      <c r="Q1110" s="1" t="str">
        <f aca="false">IF(P1110="","",IFERROR(IF(AND(H1110="W7",OR(F1110="causal",F1110="predictive")),IF(AND(K1110=1,L1110=1,M1110=1),"adequate","partial"),INDEX(Fit_Matrix!$B:$B,MATCH(P1110,Fit_Matrix!$A:$A,0))),"CHECK KEY"))</f>
        <v/>
      </c>
    </row>
    <row r="1111" customFormat="false" ht="15" hidden="false" customHeight="true" outlineLevel="0" collapsed="false">
      <c r="P1111" s="1" t="str">
        <f aca="false">IF(OR(F1111="",H1111="",J1111=""),"",J1111&amp;"|"&amp;F1111&amp;"|"&amp;IF(H1111="W3","W3_"&amp;IF(I1111="","unknown",I1111),H1111))</f>
        <v/>
      </c>
      <c r="Q1111" s="1" t="str">
        <f aca="false">IF(P1111="","",IFERROR(IF(AND(H1111="W7",OR(F1111="causal",F1111="predictive")),IF(AND(K1111=1,L1111=1,M1111=1),"adequate","partial"),INDEX(Fit_Matrix!$B:$B,MATCH(P1111,Fit_Matrix!$A:$A,0))),"CHECK KEY"))</f>
        <v/>
      </c>
    </row>
    <row r="1112" customFormat="false" ht="15" hidden="false" customHeight="true" outlineLevel="0" collapsed="false">
      <c r="P1112" s="1" t="str">
        <f aca="false">IF(OR(F1112="",H1112="",J1112=""),"",J1112&amp;"|"&amp;F1112&amp;"|"&amp;IF(H1112="W3","W3_"&amp;IF(I1112="","unknown",I1112),H1112))</f>
        <v/>
      </c>
      <c r="Q1112" s="1" t="str">
        <f aca="false">IF(P1112="","",IFERROR(IF(AND(H1112="W7",OR(F1112="causal",F1112="predictive")),IF(AND(K1112=1,L1112=1,M1112=1),"adequate","partial"),INDEX(Fit_Matrix!$B:$B,MATCH(P1112,Fit_Matrix!$A:$A,0))),"CHECK KEY"))</f>
        <v/>
      </c>
    </row>
    <row r="1113" customFormat="false" ht="15" hidden="false" customHeight="true" outlineLevel="0" collapsed="false">
      <c r="P1113" s="1" t="str">
        <f aca="false">IF(OR(F1113="",H1113="",J1113=""),"",J1113&amp;"|"&amp;F1113&amp;"|"&amp;IF(H1113="W3","W3_"&amp;IF(I1113="","unknown",I1113),H1113))</f>
        <v/>
      </c>
      <c r="Q1113" s="1" t="str">
        <f aca="false">IF(P1113="","",IFERROR(IF(AND(H1113="W7",OR(F1113="causal",F1113="predictive")),IF(AND(K1113=1,L1113=1,M1113=1),"adequate","partial"),INDEX(Fit_Matrix!$B:$B,MATCH(P1113,Fit_Matrix!$A:$A,0))),"CHECK KEY"))</f>
        <v/>
      </c>
    </row>
    <row r="1114" customFormat="false" ht="15" hidden="false" customHeight="true" outlineLevel="0" collapsed="false">
      <c r="P1114" s="1" t="str">
        <f aca="false">IF(OR(F1114="",H1114="",J1114=""),"",J1114&amp;"|"&amp;F1114&amp;"|"&amp;IF(H1114="W3","W3_"&amp;IF(I1114="","unknown",I1114),H1114))</f>
        <v/>
      </c>
      <c r="Q1114" s="1" t="str">
        <f aca="false">IF(P1114="","",IFERROR(IF(AND(H1114="W7",OR(F1114="causal",F1114="predictive")),IF(AND(K1114=1,L1114=1,M1114=1),"adequate","partial"),INDEX(Fit_Matrix!$B:$B,MATCH(P1114,Fit_Matrix!$A:$A,0))),"CHECK KEY"))</f>
        <v/>
      </c>
    </row>
    <row r="1115" customFormat="false" ht="15" hidden="false" customHeight="true" outlineLevel="0" collapsed="false">
      <c r="P1115" s="1" t="str">
        <f aca="false">IF(OR(F1115="",H1115="",J1115=""),"",J1115&amp;"|"&amp;F1115&amp;"|"&amp;IF(H1115="W3","W3_"&amp;IF(I1115="","unknown",I1115),H1115))</f>
        <v/>
      </c>
      <c r="Q1115" s="1" t="str">
        <f aca="false">IF(P1115="","",IFERROR(IF(AND(H1115="W7",OR(F1115="causal",F1115="predictive")),IF(AND(K1115=1,L1115=1,M1115=1),"adequate","partial"),INDEX(Fit_Matrix!$B:$B,MATCH(P1115,Fit_Matrix!$A:$A,0))),"CHECK KEY"))</f>
        <v/>
      </c>
    </row>
    <row r="1116" customFormat="false" ht="15" hidden="false" customHeight="true" outlineLevel="0" collapsed="false">
      <c r="P1116" s="1" t="str">
        <f aca="false">IF(OR(F1116="",H1116="",J1116=""),"",J1116&amp;"|"&amp;F1116&amp;"|"&amp;IF(H1116="W3","W3_"&amp;IF(I1116="","unknown",I1116),H1116))</f>
        <v/>
      </c>
      <c r="Q1116" s="1" t="str">
        <f aca="false">IF(P1116="","",IFERROR(IF(AND(H1116="W7",OR(F1116="causal",F1116="predictive")),IF(AND(K1116=1,L1116=1,M1116=1),"adequate","partial"),INDEX(Fit_Matrix!$B:$B,MATCH(P1116,Fit_Matrix!$A:$A,0))),"CHECK KEY"))</f>
        <v/>
      </c>
    </row>
    <row r="1117" customFormat="false" ht="15" hidden="false" customHeight="true" outlineLevel="0" collapsed="false">
      <c r="P1117" s="1" t="str">
        <f aca="false">IF(OR(F1117="",H1117="",J1117=""),"",J1117&amp;"|"&amp;F1117&amp;"|"&amp;IF(H1117="W3","W3_"&amp;IF(I1117="","unknown",I1117),H1117))</f>
        <v/>
      </c>
      <c r="Q1117" s="1" t="str">
        <f aca="false">IF(P1117="","",IFERROR(IF(AND(H1117="W7",OR(F1117="causal",F1117="predictive")),IF(AND(K1117=1,L1117=1,M1117=1),"adequate","partial"),INDEX(Fit_Matrix!$B:$B,MATCH(P1117,Fit_Matrix!$A:$A,0))),"CHECK KEY"))</f>
        <v/>
      </c>
    </row>
    <row r="1118" customFormat="false" ht="15" hidden="false" customHeight="true" outlineLevel="0" collapsed="false">
      <c r="P1118" s="1" t="str">
        <f aca="false">IF(OR(F1118="",H1118="",J1118=""),"",J1118&amp;"|"&amp;F1118&amp;"|"&amp;IF(H1118="W3","W3_"&amp;IF(I1118="","unknown",I1118),H1118))</f>
        <v/>
      </c>
      <c r="Q1118" s="1" t="str">
        <f aca="false">IF(P1118="","",IFERROR(IF(AND(H1118="W7",OR(F1118="causal",F1118="predictive")),IF(AND(K1118=1,L1118=1,M1118=1),"adequate","partial"),INDEX(Fit_Matrix!$B:$B,MATCH(P1118,Fit_Matrix!$A:$A,0))),"CHECK KEY"))</f>
        <v/>
      </c>
    </row>
    <row r="1119" customFormat="false" ht="15" hidden="false" customHeight="true" outlineLevel="0" collapsed="false">
      <c r="P1119" s="1" t="str">
        <f aca="false">IF(OR(F1119="",H1119="",J1119=""),"",J1119&amp;"|"&amp;F1119&amp;"|"&amp;IF(H1119="W3","W3_"&amp;IF(I1119="","unknown",I1119),H1119))</f>
        <v/>
      </c>
      <c r="Q1119" s="1" t="str">
        <f aca="false">IF(P1119="","",IFERROR(IF(AND(H1119="W7",OR(F1119="causal",F1119="predictive")),IF(AND(K1119=1,L1119=1,M1119=1),"adequate","partial"),INDEX(Fit_Matrix!$B:$B,MATCH(P1119,Fit_Matrix!$A:$A,0))),"CHECK KEY"))</f>
        <v/>
      </c>
    </row>
    <row r="1120" customFormat="false" ht="15" hidden="false" customHeight="true" outlineLevel="0" collapsed="false">
      <c r="P1120" s="1" t="str">
        <f aca="false">IF(OR(F1120="",H1120="",J1120=""),"",J1120&amp;"|"&amp;F1120&amp;"|"&amp;IF(H1120="W3","W3_"&amp;IF(I1120="","unknown",I1120),H1120))</f>
        <v/>
      </c>
      <c r="Q1120" s="1" t="str">
        <f aca="false">IF(P1120="","",IFERROR(IF(AND(H1120="W7",OR(F1120="causal",F1120="predictive")),IF(AND(K1120=1,L1120=1,M1120=1),"adequate","partial"),INDEX(Fit_Matrix!$B:$B,MATCH(P1120,Fit_Matrix!$A:$A,0))),"CHECK KEY"))</f>
        <v/>
      </c>
    </row>
    <row r="1121" customFormat="false" ht="15" hidden="false" customHeight="true" outlineLevel="0" collapsed="false">
      <c r="P1121" s="1" t="str">
        <f aca="false">IF(OR(F1121="",H1121="",J1121=""),"",J1121&amp;"|"&amp;F1121&amp;"|"&amp;IF(H1121="W3","W3_"&amp;IF(I1121="","unknown",I1121),H1121))</f>
        <v/>
      </c>
      <c r="Q1121" s="1" t="str">
        <f aca="false">IF(P1121="","",IFERROR(IF(AND(H1121="W7",OR(F1121="causal",F1121="predictive")),IF(AND(K1121=1,L1121=1,M1121=1),"adequate","partial"),INDEX(Fit_Matrix!$B:$B,MATCH(P1121,Fit_Matrix!$A:$A,0))),"CHECK KEY"))</f>
        <v/>
      </c>
    </row>
    <row r="1122" customFormat="false" ht="15" hidden="false" customHeight="true" outlineLevel="0" collapsed="false">
      <c r="P1122" s="1" t="str">
        <f aca="false">IF(OR(F1122="",H1122="",J1122=""),"",J1122&amp;"|"&amp;F1122&amp;"|"&amp;IF(H1122="W3","W3_"&amp;IF(I1122="","unknown",I1122),H1122))</f>
        <v/>
      </c>
      <c r="Q1122" s="1" t="str">
        <f aca="false">IF(P1122="","",IFERROR(IF(AND(H1122="W7",OR(F1122="causal",F1122="predictive")),IF(AND(K1122=1,L1122=1,M1122=1),"adequate","partial"),INDEX(Fit_Matrix!$B:$B,MATCH(P1122,Fit_Matrix!$A:$A,0))),"CHECK KEY"))</f>
        <v/>
      </c>
    </row>
    <row r="1123" customFormat="false" ht="15" hidden="false" customHeight="true" outlineLevel="0" collapsed="false">
      <c r="P1123" s="1" t="str">
        <f aca="false">IF(OR(F1123="",H1123="",J1123=""),"",J1123&amp;"|"&amp;F1123&amp;"|"&amp;IF(H1123="W3","W3_"&amp;IF(I1123="","unknown",I1123),H1123))</f>
        <v/>
      </c>
      <c r="Q1123" s="1" t="str">
        <f aca="false">IF(P1123="","",IFERROR(IF(AND(H1123="W7",OR(F1123="causal",F1123="predictive")),IF(AND(K1123=1,L1123=1,M1123=1),"adequate","partial"),INDEX(Fit_Matrix!$B:$B,MATCH(P1123,Fit_Matrix!$A:$A,0))),"CHECK KEY"))</f>
        <v/>
      </c>
    </row>
    <row r="1124" customFormat="false" ht="15" hidden="false" customHeight="true" outlineLevel="0" collapsed="false">
      <c r="P1124" s="1" t="str">
        <f aca="false">IF(OR(F1124="",H1124="",J1124=""),"",J1124&amp;"|"&amp;F1124&amp;"|"&amp;IF(H1124="W3","W3_"&amp;IF(I1124="","unknown",I1124),H1124))</f>
        <v/>
      </c>
      <c r="Q1124" s="1" t="str">
        <f aca="false">IF(P1124="","",IFERROR(IF(AND(H1124="W7",OR(F1124="causal",F1124="predictive")),IF(AND(K1124=1,L1124=1,M1124=1),"adequate","partial"),INDEX(Fit_Matrix!$B:$B,MATCH(P1124,Fit_Matrix!$A:$A,0))),"CHECK KEY"))</f>
        <v/>
      </c>
    </row>
    <row r="1125" customFormat="false" ht="15" hidden="false" customHeight="true" outlineLevel="0" collapsed="false">
      <c r="P1125" s="1" t="str">
        <f aca="false">IF(OR(F1125="",H1125="",J1125=""),"",J1125&amp;"|"&amp;F1125&amp;"|"&amp;IF(H1125="W3","W3_"&amp;IF(I1125="","unknown",I1125),H1125))</f>
        <v/>
      </c>
      <c r="Q1125" s="1" t="str">
        <f aca="false">IF(P1125="","",IFERROR(IF(AND(H1125="W7",OR(F1125="causal",F1125="predictive")),IF(AND(K1125=1,L1125=1,M1125=1),"adequate","partial"),INDEX(Fit_Matrix!$B:$B,MATCH(P1125,Fit_Matrix!$A:$A,0))),"CHECK KEY"))</f>
        <v/>
      </c>
    </row>
    <row r="1126" customFormat="false" ht="15" hidden="false" customHeight="true" outlineLevel="0" collapsed="false">
      <c r="P1126" s="1" t="str">
        <f aca="false">IF(OR(F1126="",H1126="",J1126=""),"",J1126&amp;"|"&amp;F1126&amp;"|"&amp;IF(H1126="W3","W3_"&amp;IF(I1126="","unknown",I1126),H1126))</f>
        <v/>
      </c>
      <c r="Q1126" s="1" t="str">
        <f aca="false">IF(P1126="","",IFERROR(IF(AND(H1126="W7",OR(F1126="causal",F1126="predictive")),IF(AND(K1126=1,L1126=1,M1126=1),"adequate","partial"),INDEX(Fit_Matrix!$B:$B,MATCH(P1126,Fit_Matrix!$A:$A,0))),"CHECK KEY"))</f>
        <v/>
      </c>
    </row>
    <row r="1127" customFormat="false" ht="15" hidden="false" customHeight="true" outlineLevel="0" collapsed="false">
      <c r="P1127" s="1" t="str">
        <f aca="false">IF(OR(F1127="",H1127="",J1127=""),"",J1127&amp;"|"&amp;F1127&amp;"|"&amp;IF(H1127="W3","W3_"&amp;IF(I1127="","unknown",I1127),H1127))</f>
        <v/>
      </c>
      <c r="Q1127" s="1" t="str">
        <f aca="false">IF(P1127="","",IFERROR(IF(AND(H1127="W7",OR(F1127="causal",F1127="predictive")),IF(AND(K1127=1,L1127=1,M1127=1),"adequate","partial"),INDEX(Fit_Matrix!$B:$B,MATCH(P1127,Fit_Matrix!$A:$A,0))),"CHECK KEY"))</f>
        <v/>
      </c>
    </row>
    <row r="1128" customFormat="false" ht="15" hidden="false" customHeight="true" outlineLevel="0" collapsed="false">
      <c r="P1128" s="1" t="str">
        <f aca="false">IF(OR(F1128="",H1128="",J1128=""),"",J1128&amp;"|"&amp;F1128&amp;"|"&amp;IF(H1128="W3","W3_"&amp;IF(I1128="","unknown",I1128),H1128))</f>
        <v/>
      </c>
      <c r="Q1128" s="1" t="str">
        <f aca="false">IF(P1128="","",IFERROR(IF(AND(H1128="W7",OR(F1128="causal",F1128="predictive")),IF(AND(K1128=1,L1128=1,M1128=1),"adequate","partial"),INDEX(Fit_Matrix!$B:$B,MATCH(P1128,Fit_Matrix!$A:$A,0))),"CHECK KEY"))</f>
        <v/>
      </c>
    </row>
    <row r="1129" customFormat="false" ht="15" hidden="false" customHeight="true" outlineLevel="0" collapsed="false">
      <c r="P1129" s="1" t="str">
        <f aca="false">IF(OR(F1129="",H1129="",J1129=""),"",J1129&amp;"|"&amp;F1129&amp;"|"&amp;IF(H1129="W3","W3_"&amp;IF(I1129="","unknown",I1129),H1129))</f>
        <v/>
      </c>
      <c r="Q1129" s="1" t="str">
        <f aca="false">IF(P1129="","",IFERROR(IF(AND(H1129="W7",OR(F1129="causal",F1129="predictive")),IF(AND(K1129=1,L1129=1,M1129=1),"adequate","partial"),INDEX(Fit_Matrix!$B:$B,MATCH(P1129,Fit_Matrix!$A:$A,0))),"CHECK KEY"))</f>
        <v/>
      </c>
    </row>
    <row r="1130" customFormat="false" ht="15" hidden="false" customHeight="true" outlineLevel="0" collapsed="false">
      <c r="P1130" s="1" t="str">
        <f aca="false">IF(OR(F1130="",H1130="",J1130=""),"",J1130&amp;"|"&amp;F1130&amp;"|"&amp;IF(H1130="W3","W3_"&amp;IF(I1130="","unknown",I1130),H1130))</f>
        <v/>
      </c>
      <c r="Q1130" s="1" t="str">
        <f aca="false">IF(P1130="","",IFERROR(IF(AND(H1130="W7",OR(F1130="causal",F1130="predictive")),IF(AND(K1130=1,L1130=1,M1130=1),"adequate","partial"),INDEX(Fit_Matrix!$B:$B,MATCH(P1130,Fit_Matrix!$A:$A,0))),"CHECK KEY"))</f>
        <v/>
      </c>
    </row>
    <row r="1131" customFormat="false" ht="15" hidden="false" customHeight="true" outlineLevel="0" collapsed="false">
      <c r="P1131" s="1" t="str">
        <f aca="false">IF(OR(F1131="",H1131="",J1131=""),"",J1131&amp;"|"&amp;F1131&amp;"|"&amp;IF(H1131="W3","W3_"&amp;IF(I1131="","unknown",I1131),H1131))</f>
        <v/>
      </c>
      <c r="Q1131" s="1" t="str">
        <f aca="false">IF(P1131="","",IFERROR(IF(AND(H1131="W7",OR(F1131="causal",F1131="predictive")),IF(AND(K1131=1,L1131=1,M1131=1),"adequate","partial"),INDEX(Fit_Matrix!$B:$B,MATCH(P1131,Fit_Matrix!$A:$A,0))),"CHECK KEY"))</f>
        <v/>
      </c>
    </row>
    <row r="1132" customFormat="false" ht="15" hidden="false" customHeight="true" outlineLevel="0" collapsed="false">
      <c r="P1132" s="1" t="str">
        <f aca="false">IF(OR(F1132="",H1132="",J1132=""),"",J1132&amp;"|"&amp;F1132&amp;"|"&amp;IF(H1132="W3","W3_"&amp;IF(I1132="","unknown",I1132),H1132))</f>
        <v/>
      </c>
      <c r="Q1132" s="1" t="str">
        <f aca="false">IF(P1132="","",IFERROR(IF(AND(H1132="W7",OR(F1132="causal",F1132="predictive")),IF(AND(K1132=1,L1132=1,M1132=1),"adequate","partial"),INDEX(Fit_Matrix!$B:$B,MATCH(P1132,Fit_Matrix!$A:$A,0))),"CHECK KEY"))</f>
        <v/>
      </c>
    </row>
    <row r="1133" customFormat="false" ht="15" hidden="false" customHeight="true" outlineLevel="0" collapsed="false">
      <c r="P1133" s="1" t="str">
        <f aca="false">IF(OR(F1133="",H1133="",J1133=""),"",J1133&amp;"|"&amp;F1133&amp;"|"&amp;IF(H1133="W3","W3_"&amp;IF(I1133="","unknown",I1133),H1133))</f>
        <v/>
      </c>
      <c r="Q1133" s="1" t="str">
        <f aca="false">IF(P1133="","",IFERROR(IF(AND(H1133="W7",OR(F1133="causal",F1133="predictive")),IF(AND(K1133=1,L1133=1,M1133=1),"adequate","partial"),INDEX(Fit_Matrix!$B:$B,MATCH(P1133,Fit_Matrix!$A:$A,0))),"CHECK KEY"))</f>
        <v/>
      </c>
    </row>
    <row r="1134" customFormat="false" ht="15" hidden="false" customHeight="true" outlineLevel="0" collapsed="false">
      <c r="P1134" s="1" t="str">
        <f aca="false">IF(OR(F1134="",H1134="",J1134=""),"",J1134&amp;"|"&amp;F1134&amp;"|"&amp;IF(H1134="W3","W3_"&amp;IF(I1134="","unknown",I1134),H1134))</f>
        <v/>
      </c>
      <c r="Q1134" s="1" t="str">
        <f aca="false">IF(P1134="","",IFERROR(IF(AND(H1134="W7",OR(F1134="causal",F1134="predictive")),IF(AND(K1134=1,L1134=1,M1134=1),"adequate","partial"),INDEX(Fit_Matrix!$B:$B,MATCH(P1134,Fit_Matrix!$A:$A,0))),"CHECK KEY"))</f>
        <v/>
      </c>
    </row>
    <row r="1135" customFormat="false" ht="15" hidden="false" customHeight="true" outlineLevel="0" collapsed="false">
      <c r="P1135" s="1" t="str">
        <f aca="false">IF(OR(F1135="",H1135="",J1135=""),"",J1135&amp;"|"&amp;F1135&amp;"|"&amp;IF(H1135="W3","W3_"&amp;IF(I1135="","unknown",I1135),H1135))</f>
        <v/>
      </c>
      <c r="Q1135" s="1" t="str">
        <f aca="false">IF(P1135="","",IFERROR(IF(AND(H1135="W7",OR(F1135="causal",F1135="predictive")),IF(AND(K1135=1,L1135=1,M1135=1),"adequate","partial"),INDEX(Fit_Matrix!$B:$B,MATCH(P1135,Fit_Matrix!$A:$A,0))),"CHECK KEY"))</f>
        <v/>
      </c>
    </row>
    <row r="1136" customFormat="false" ht="15" hidden="false" customHeight="true" outlineLevel="0" collapsed="false">
      <c r="P1136" s="1" t="str">
        <f aca="false">IF(OR(F1136="",H1136="",J1136=""),"",J1136&amp;"|"&amp;F1136&amp;"|"&amp;IF(H1136="W3","W3_"&amp;IF(I1136="","unknown",I1136),H1136))</f>
        <v/>
      </c>
      <c r="Q1136" s="1" t="str">
        <f aca="false">IF(P1136="","",IFERROR(IF(AND(H1136="W7",OR(F1136="causal",F1136="predictive")),IF(AND(K1136=1,L1136=1,M1136=1),"adequate","partial"),INDEX(Fit_Matrix!$B:$B,MATCH(P1136,Fit_Matrix!$A:$A,0))),"CHECK KEY"))</f>
        <v/>
      </c>
    </row>
    <row r="1137" customFormat="false" ht="15" hidden="false" customHeight="true" outlineLevel="0" collapsed="false">
      <c r="P1137" s="1" t="str">
        <f aca="false">IF(OR(F1137="",H1137="",J1137=""),"",J1137&amp;"|"&amp;F1137&amp;"|"&amp;IF(H1137="W3","W3_"&amp;IF(I1137="","unknown",I1137),H1137))</f>
        <v/>
      </c>
      <c r="Q1137" s="1" t="str">
        <f aca="false">IF(P1137="","",IFERROR(IF(AND(H1137="W7",OR(F1137="causal",F1137="predictive")),IF(AND(K1137=1,L1137=1,M1137=1),"adequate","partial"),INDEX(Fit_Matrix!$B:$B,MATCH(P1137,Fit_Matrix!$A:$A,0))),"CHECK KEY"))</f>
        <v/>
      </c>
    </row>
    <row r="1138" customFormat="false" ht="15" hidden="false" customHeight="true" outlineLevel="0" collapsed="false">
      <c r="P1138" s="1" t="str">
        <f aca="false">IF(OR(F1138="",H1138="",J1138=""),"",J1138&amp;"|"&amp;F1138&amp;"|"&amp;IF(H1138="W3","W3_"&amp;IF(I1138="","unknown",I1138),H1138))</f>
        <v/>
      </c>
      <c r="Q1138" s="1" t="str">
        <f aca="false">IF(P1138="","",IFERROR(IF(AND(H1138="W7",OR(F1138="causal",F1138="predictive")),IF(AND(K1138=1,L1138=1,M1138=1),"adequate","partial"),INDEX(Fit_Matrix!$B:$B,MATCH(P1138,Fit_Matrix!$A:$A,0))),"CHECK KEY"))</f>
        <v/>
      </c>
    </row>
    <row r="1139" customFormat="false" ht="15" hidden="false" customHeight="true" outlineLevel="0" collapsed="false">
      <c r="P1139" s="1" t="str">
        <f aca="false">IF(OR(F1139="",H1139="",J1139=""),"",J1139&amp;"|"&amp;F1139&amp;"|"&amp;IF(H1139="W3","W3_"&amp;IF(I1139="","unknown",I1139),H1139))</f>
        <v/>
      </c>
      <c r="Q1139" s="1" t="str">
        <f aca="false">IF(P1139="","",IFERROR(IF(AND(H1139="W7",OR(F1139="causal",F1139="predictive")),IF(AND(K1139=1,L1139=1,M1139=1),"adequate","partial"),INDEX(Fit_Matrix!$B:$B,MATCH(P1139,Fit_Matrix!$A:$A,0))),"CHECK KEY"))</f>
        <v/>
      </c>
    </row>
    <row r="1140" customFormat="false" ht="15" hidden="false" customHeight="true" outlineLevel="0" collapsed="false">
      <c r="P1140" s="1" t="str">
        <f aca="false">IF(OR(F1140="",H1140="",J1140=""),"",J1140&amp;"|"&amp;F1140&amp;"|"&amp;IF(H1140="W3","W3_"&amp;IF(I1140="","unknown",I1140),H1140))</f>
        <v/>
      </c>
      <c r="Q1140" s="1" t="str">
        <f aca="false">IF(P1140="","",IFERROR(IF(AND(H1140="W7",OR(F1140="causal",F1140="predictive")),IF(AND(K1140=1,L1140=1,M1140=1),"adequate","partial"),INDEX(Fit_Matrix!$B:$B,MATCH(P1140,Fit_Matrix!$A:$A,0))),"CHECK KEY"))</f>
        <v/>
      </c>
    </row>
    <row r="1141" customFormat="false" ht="15" hidden="false" customHeight="true" outlineLevel="0" collapsed="false">
      <c r="P1141" s="1" t="str">
        <f aca="false">IF(OR(F1141="",H1141="",J1141=""),"",J1141&amp;"|"&amp;F1141&amp;"|"&amp;IF(H1141="W3","W3_"&amp;IF(I1141="","unknown",I1141),H1141))</f>
        <v/>
      </c>
      <c r="Q1141" s="1" t="str">
        <f aca="false">IF(P1141="","",IFERROR(IF(AND(H1141="W7",OR(F1141="causal",F1141="predictive")),IF(AND(K1141=1,L1141=1,M1141=1),"adequate","partial"),INDEX(Fit_Matrix!$B:$B,MATCH(P1141,Fit_Matrix!$A:$A,0))),"CHECK KEY"))</f>
        <v/>
      </c>
    </row>
    <row r="1142" customFormat="false" ht="15" hidden="false" customHeight="true" outlineLevel="0" collapsed="false">
      <c r="P1142" s="1" t="str">
        <f aca="false">IF(OR(F1142="",H1142="",J1142=""),"",J1142&amp;"|"&amp;F1142&amp;"|"&amp;IF(H1142="W3","W3_"&amp;IF(I1142="","unknown",I1142),H1142))</f>
        <v/>
      </c>
      <c r="Q1142" s="1" t="str">
        <f aca="false">IF(P1142="","",IFERROR(IF(AND(H1142="W7",OR(F1142="causal",F1142="predictive")),IF(AND(K1142=1,L1142=1,M1142=1),"adequate","partial"),INDEX(Fit_Matrix!$B:$B,MATCH(P1142,Fit_Matrix!$A:$A,0))),"CHECK KEY"))</f>
        <v/>
      </c>
    </row>
    <row r="1143" customFormat="false" ht="15" hidden="false" customHeight="true" outlineLevel="0" collapsed="false">
      <c r="P1143" s="1" t="str">
        <f aca="false">IF(OR(F1143="",H1143="",J1143=""),"",J1143&amp;"|"&amp;F1143&amp;"|"&amp;IF(H1143="W3","W3_"&amp;IF(I1143="","unknown",I1143),H1143))</f>
        <v/>
      </c>
      <c r="Q1143" s="1" t="str">
        <f aca="false">IF(P1143="","",IFERROR(IF(AND(H1143="W7",OR(F1143="causal",F1143="predictive")),IF(AND(K1143=1,L1143=1,M1143=1),"adequate","partial"),INDEX(Fit_Matrix!$B:$B,MATCH(P1143,Fit_Matrix!$A:$A,0))),"CHECK KEY"))</f>
        <v/>
      </c>
    </row>
    <row r="1144" customFormat="false" ht="15" hidden="false" customHeight="true" outlineLevel="0" collapsed="false">
      <c r="P1144" s="1" t="str">
        <f aca="false">IF(OR(F1144="",H1144="",J1144=""),"",J1144&amp;"|"&amp;F1144&amp;"|"&amp;IF(H1144="W3","W3_"&amp;IF(I1144="","unknown",I1144),H1144))</f>
        <v/>
      </c>
      <c r="Q1144" s="1" t="str">
        <f aca="false">IF(P1144="","",IFERROR(IF(AND(H1144="W7",OR(F1144="causal",F1144="predictive")),IF(AND(K1144=1,L1144=1,M1144=1),"adequate","partial"),INDEX(Fit_Matrix!$B:$B,MATCH(P1144,Fit_Matrix!$A:$A,0))),"CHECK KEY"))</f>
        <v/>
      </c>
    </row>
    <row r="1145" customFormat="false" ht="15" hidden="false" customHeight="true" outlineLevel="0" collapsed="false">
      <c r="P1145" s="1" t="str">
        <f aca="false">IF(OR(F1145="",H1145="",J1145=""),"",J1145&amp;"|"&amp;F1145&amp;"|"&amp;IF(H1145="W3","W3_"&amp;IF(I1145="","unknown",I1145),H1145))</f>
        <v/>
      </c>
      <c r="Q1145" s="1" t="str">
        <f aca="false">IF(P1145="","",IFERROR(IF(AND(H1145="W7",OR(F1145="causal",F1145="predictive")),IF(AND(K1145=1,L1145=1,M1145=1),"adequate","partial"),INDEX(Fit_Matrix!$B:$B,MATCH(P1145,Fit_Matrix!$A:$A,0))),"CHECK KEY"))</f>
        <v/>
      </c>
    </row>
    <row r="1146" customFormat="false" ht="15" hidden="false" customHeight="true" outlineLevel="0" collapsed="false">
      <c r="P1146" s="1" t="str">
        <f aca="false">IF(OR(F1146="",H1146="",J1146=""),"",J1146&amp;"|"&amp;F1146&amp;"|"&amp;IF(H1146="W3","W3_"&amp;IF(I1146="","unknown",I1146),H1146))</f>
        <v/>
      </c>
      <c r="Q1146" s="1" t="str">
        <f aca="false">IF(P1146="","",IFERROR(IF(AND(H1146="W7",OR(F1146="causal",F1146="predictive")),IF(AND(K1146=1,L1146=1,M1146=1),"adequate","partial"),INDEX(Fit_Matrix!$B:$B,MATCH(P1146,Fit_Matrix!$A:$A,0))),"CHECK KEY"))</f>
        <v/>
      </c>
    </row>
    <row r="1147" customFormat="false" ht="15" hidden="false" customHeight="true" outlineLevel="0" collapsed="false">
      <c r="P1147" s="1" t="str">
        <f aca="false">IF(OR(F1147="",H1147="",J1147=""),"",J1147&amp;"|"&amp;F1147&amp;"|"&amp;IF(H1147="W3","W3_"&amp;IF(I1147="","unknown",I1147),H1147))</f>
        <v/>
      </c>
      <c r="Q1147" s="1" t="str">
        <f aca="false">IF(P1147="","",IFERROR(IF(AND(H1147="W7",OR(F1147="causal",F1147="predictive")),IF(AND(K1147=1,L1147=1,M1147=1),"adequate","partial"),INDEX(Fit_Matrix!$B:$B,MATCH(P1147,Fit_Matrix!$A:$A,0))),"CHECK KEY"))</f>
        <v/>
      </c>
    </row>
    <row r="1148" customFormat="false" ht="15" hidden="false" customHeight="true" outlineLevel="0" collapsed="false">
      <c r="P1148" s="1" t="str">
        <f aca="false">IF(OR(F1148="",H1148="",J1148=""),"",J1148&amp;"|"&amp;F1148&amp;"|"&amp;IF(H1148="W3","W3_"&amp;IF(I1148="","unknown",I1148),H1148))</f>
        <v/>
      </c>
      <c r="Q1148" s="1" t="str">
        <f aca="false">IF(P1148="","",IFERROR(IF(AND(H1148="W7",OR(F1148="causal",F1148="predictive")),IF(AND(K1148=1,L1148=1,M1148=1),"adequate","partial"),INDEX(Fit_Matrix!$B:$B,MATCH(P1148,Fit_Matrix!$A:$A,0))),"CHECK KEY"))</f>
        <v/>
      </c>
    </row>
    <row r="1149" customFormat="false" ht="15" hidden="false" customHeight="true" outlineLevel="0" collapsed="false">
      <c r="P1149" s="1" t="str">
        <f aca="false">IF(OR(F1149="",H1149="",J1149=""),"",J1149&amp;"|"&amp;F1149&amp;"|"&amp;IF(H1149="W3","W3_"&amp;IF(I1149="","unknown",I1149),H1149))</f>
        <v/>
      </c>
      <c r="Q1149" s="1" t="str">
        <f aca="false">IF(P1149="","",IFERROR(IF(AND(H1149="W7",OR(F1149="causal",F1149="predictive")),IF(AND(K1149=1,L1149=1,M1149=1),"adequate","partial"),INDEX(Fit_Matrix!$B:$B,MATCH(P1149,Fit_Matrix!$A:$A,0))),"CHECK KEY"))</f>
        <v/>
      </c>
    </row>
    <row r="1150" customFormat="false" ht="15" hidden="false" customHeight="true" outlineLevel="0" collapsed="false">
      <c r="P1150" s="1" t="str">
        <f aca="false">IF(OR(F1150="",H1150="",J1150=""),"",J1150&amp;"|"&amp;F1150&amp;"|"&amp;IF(H1150="W3","W3_"&amp;IF(I1150="","unknown",I1150),H1150))</f>
        <v/>
      </c>
      <c r="Q1150" s="1" t="str">
        <f aca="false">IF(P1150="","",IFERROR(IF(AND(H1150="W7",OR(F1150="causal",F1150="predictive")),IF(AND(K1150=1,L1150=1,M1150=1),"adequate","partial"),INDEX(Fit_Matrix!$B:$B,MATCH(P1150,Fit_Matrix!$A:$A,0))),"CHECK KEY"))</f>
        <v/>
      </c>
    </row>
    <row r="1151" customFormat="false" ht="15" hidden="false" customHeight="true" outlineLevel="0" collapsed="false">
      <c r="P1151" s="1" t="str">
        <f aca="false">IF(OR(F1151="",H1151="",J1151=""),"",J1151&amp;"|"&amp;F1151&amp;"|"&amp;IF(H1151="W3","W3_"&amp;IF(I1151="","unknown",I1151),H1151))</f>
        <v/>
      </c>
      <c r="Q1151" s="1" t="str">
        <f aca="false">IF(P1151="","",IFERROR(IF(AND(H1151="W7",OR(F1151="causal",F1151="predictive")),IF(AND(K1151=1,L1151=1,M1151=1),"adequate","partial"),INDEX(Fit_Matrix!$B:$B,MATCH(P1151,Fit_Matrix!$A:$A,0))),"CHECK KEY"))</f>
        <v/>
      </c>
    </row>
    <row r="1152" customFormat="false" ht="15" hidden="false" customHeight="true" outlineLevel="0" collapsed="false">
      <c r="P1152" s="1" t="str">
        <f aca="false">IF(OR(F1152="",H1152="",J1152=""),"",J1152&amp;"|"&amp;F1152&amp;"|"&amp;IF(H1152="W3","W3_"&amp;IF(I1152="","unknown",I1152),H1152))</f>
        <v/>
      </c>
      <c r="Q1152" s="1" t="str">
        <f aca="false">IF(P1152="","",IFERROR(IF(AND(H1152="W7",OR(F1152="causal",F1152="predictive")),IF(AND(K1152=1,L1152=1,M1152=1),"adequate","partial"),INDEX(Fit_Matrix!$B:$B,MATCH(P1152,Fit_Matrix!$A:$A,0))),"CHECK KEY"))</f>
        <v/>
      </c>
    </row>
    <row r="1153" customFormat="false" ht="15" hidden="false" customHeight="true" outlineLevel="0" collapsed="false">
      <c r="P1153" s="1" t="str">
        <f aca="false">IF(OR(F1153="",H1153="",J1153=""),"",J1153&amp;"|"&amp;F1153&amp;"|"&amp;IF(H1153="W3","W3_"&amp;IF(I1153="","unknown",I1153),H1153))</f>
        <v/>
      </c>
      <c r="Q1153" s="1" t="str">
        <f aca="false">IF(P1153="","",IFERROR(IF(AND(H1153="W7",OR(F1153="causal",F1153="predictive")),IF(AND(K1153=1,L1153=1,M1153=1),"adequate","partial"),INDEX(Fit_Matrix!$B:$B,MATCH(P1153,Fit_Matrix!$A:$A,0))),"CHECK KEY"))</f>
        <v/>
      </c>
    </row>
    <row r="1154" customFormat="false" ht="15" hidden="false" customHeight="true" outlineLevel="0" collapsed="false">
      <c r="P1154" s="1" t="str">
        <f aca="false">IF(OR(F1154="",H1154="",J1154=""),"",J1154&amp;"|"&amp;F1154&amp;"|"&amp;IF(H1154="W3","W3_"&amp;IF(I1154="","unknown",I1154),H1154))</f>
        <v/>
      </c>
      <c r="Q1154" s="1" t="str">
        <f aca="false">IF(P1154="","",IFERROR(IF(AND(H1154="W7",OR(F1154="causal",F1154="predictive")),IF(AND(K1154=1,L1154=1,M1154=1),"adequate","partial"),INDEX(Fit_Matrix!$B:$B,MATCH(P1154,Fit_Matrix!$A:$A,0))),"CHECK KEY"))</f>
        <v/>
      </c>
    </row>
    <row r="1155" customFormat="false" ht="15" hidden="false" customHeight="true" outlineLevel="0" collapsed="false">
      <c r="P1155" s="1" t="str">
        <f aca="false">IF(OR(F1155="",H1155="",J1155=""),"",J1155&amp;"|"&amp;F1155&amp;"|"&amp;IF(H1155="W3","W3_"&amp;IF(I1155="","unknown",I1155),H1155))</f>
        <v/>
      </c>
      <c r="Q1155" s="1" t="str">
        <f aca="false">IF(P1155="","",IFERROR(IF(AND(H1155="W7",OR(F1155="causal",F1155="predictive")),IF(AND(K1155=1,L1155=1,M1155=1),"adequate","partial"),INDEX(Fit_Matrix!$B:$B,MATCH(P1155,Fit_Matrix!$A:$A,0))),"CHECK KEY"))</f>
        <v/>
      </c>
    </row>
    <row r="1156" customFormat="false" ht="15" hidden="false" customHeight="true" outlineLevel="0" collapsed="false">
      <c r="P1156" s="1" t="str">
        <f aca="false">IF(OR(F1156="",H1156="",J1156=""),"",J1156&amp;"|"&amp;F1156&amp;"|"&amp;IF(H1156="W3","W3_"&amp;IF(I1156="","unknown",I1156),H1156))</f>
        <v/>
      </c>
      <c r="Q1156" s="1" t="str">
        <f aca="false">IF(P1156="","",IFERROR(IF(AND(H1156="W7",OR(F1156="causal",F1156="predictive")),IF(AND(K1156=1,L1156=1,M1156=1),"adequate","partial"),INDEX(Fit_Matrix!$B:$B,MATCH(P1156,Fit_Matrix!$A:$A,0))),"CHECK KEY"))</f>
        <v/>
      </c>
    </row>
    <row r="1157" customFormat="false" ht="15" hidden="false" customHeight="true" outlineLevel="0" collapsed="false">
      <c r="P1157" s="1" t="str">
        <f aca="false">IF(OR(F1157="",H1157="",J1157=""),"",J1157&amp;"|"&amp;F1157&amp;"|"&amp;IF(H1157="W3","W3_"&amp;IF(I1157="","unknown",I1157),H1157))</f>
        <v/>
      </c>
      <c r="Q1157" s="1" t="str">
        <f aca="false">IF(P1157="","",IFERROR(IF(AND(H1157="W7",OR(F1157="causal",F1157="predictive")),IF(AND(K1157=1,L1157=1,M1157=1),"adequate","partial"),INDEX(Fit_Matrix!$B:$B,MATCH(P1157,Fit_Matrix!$A:$A,0))),"CHECK KEY"))</f>
        <v/>
      </c>
    </row>
    <row r="1158" customFormat="false" ht="15" hidden="false" customHeight="true" outlineLevel="0" collapsed="false">
      <c r="P1158" s="1" t="str">
        <f aca="false">IF(OR(F1158="",H1158="",J1158=""),"",J1158&amp;"|"&amp;F1158&amp;"|"&amp;IF(H1158="W3","W3_"&amp;IF(I1158="","unknown",I1158),H1158))</f>
        <v/>
      </c>
      <c r="Q1158" s="1" t="str">
        <f aca="false">IF(P1158="","",IFERROR(IF(AND(H1158="W7",OR(F1158="causal",F1158="predictive")),IF(AND(K1158=1,L1158=1,M1158=1),"adequate","partial"),INDEX(Fit_Matrix!$B:$B,MATCH(P1158,Fit_Matrix!$A:$A,0))),"CHECK KEY"))</f>
        <v/>
      </c>
    </row>
    <row r="1159" customFormat="false" ht="15" hidden="false" customHeight="true" outlineLevel="0" collapsed="false">
      <c r="P1159" s="1" t="str">
        <f aca="false">IF(OR(F1159="",H1159="",J1159=""),"",J1159&amp;"|"&amp;F1159&amp;"|"&amp;IF(H1159="W3","W3_"&amp;IF(I1159="","unknown",I1159),H1159))</f>
        <v/>
      </c>
      <c r="Q1159" s="1" t="str">
        <f aca="false">IF(P1159="","",IFERROR(IF(AND(H1159="W7",OR(F1159="causal",F1159="predictive")),IF(AND(K1159=1,L1159=1,M1159=1),"adequate","partial"),INDEX(Fit_Matrix!$B:$B,MATCH(P1159,Fit_Matrix!$A:$A,0))),"CHECK KEY"))</f>
        <v/>
      </c>
    </row>
    <row r="1160" customFormat="false" ht="15" hidden="false" customHeight="true" outlineLevel="0" collapsed="false">
      <c r="P1160" s="1" t="str">
        <f aca="false">IF(OR(F1160="",H1160="",J1160=""),"",J1160&amp;"|"&amp;F1160&amp;"|"&amp;IF(H1160="W3","W3_"&amp;IF(I1160="","unknown",I1160),H1160))</f>
        <v/>
      </c>
      <c r="Q1160" s="1" t="str">
        <f aca="false">IF(P1160="","",IFERROR(IF(AND(H1160="W7",OR(F1160="causal",F1160="predictive")),IF(AND(K1160=1,L1160=1,M1160=1),"adequate","partial"),INDEX(Fit_Matrix!$B:$B,MATCH(P1160,Fit_Matrix!$A:$A,0))),"CHECK KEY"))</f>
        <v/>
      </c>
    </row>
    <row r="1161" customFormat="false" ht="15" hidden="false" customHeight="true" outlineLevel="0" collapsed="false">
      <c r="P1161" s="1" t="str">
        <f aca="false">IF(OR(F1161="",H1161="",J1161=""),"",J1161&amp;"|"&amp;F1161&amp;"|"&amp;IF(H1161="W3","W3_"&amp;IF(I1161="","unknown",I1161),H1161))</f>
        <v/>
      </c>
      <c r="Q1161" s="1" t="str">
        <f aca="false">IF(P1161="","",IFERROR(IF(AND(H1161="W7",OR(F1161="causal",F1161="predictive")),IF(AND(K1161=1,L1161=1,M1161=1),"adequate","partial"),INDEX(Fit_Matrix!$B:$B,MATCH(P1161,Fit_Matrix!$A:$A,0))),"CHECK KEY"))</f>
        <v/>
      </c>
    </row>
    <row r="1162" customFormat="false" ht="15" hidden="false" customHeight="true" outlineLevel="0" collapsed="false">
      <c r="P1162" s="1" t="str">
        <f aca="false">IF(OR(F1162="",H1162="",J1162=""),"",J1162&amp;"|"&amp;F1162&amp;"|"&amp;IF(H1162="W3","W3_"&amp;IF(I1162="","unknown",I1162),H1162))</f>
        <v/>
      </c>
      <c r="Q1162" s="1" t="str">
        <f aca="false">IF(P1162="","",IFERROR(IF(AND(H1162="W7",OR(F1162="causal",F1162="predictive")),IF(AND(K1162=1,L1162=1,M1162=1),"adequate","partial"),INDEX(Fit_Matrix!$B:$B,MATCH(P1162,Fit_Matrix!$A:$A,0))),"CHECK KEY"))</f>
        <v/>
      </c>
    </row>
    <row r="1163" customFormat="false" ht="15" hidden="false" customHeight="true" outlineLevel="0" collapsed="false">
      <c r="P1163" s="1" t="str">
        <f aca="false">IF(OR(F1163="",H1163="",J1163=""),"",J1163&amp;"|"&amp;F1163&amp;"|"&amp;IF(H1163="W3","W3_"&amp;IF(I1163="","unknown",I1163),H1163))</f>
        <v/>
      </c>
      <c r="Q1163" s="1" t="str">
        <f aca="false">IF(P1163="","",IFERROR(IF(AND(H1163="W7",OR(F1163="causal",F1163="predictive")),IF(AND(K1163=1,L1163=1,M1163=1),"adequate","partial"),INDEX(Fit_Matrix!$B:$B,MATCH(P1163,Fit_Matrix!$A:$A,0))),"CHECK KEY"))</f>
        <v/>
      </c>
    </row>
    <row r="1164" customFormat="false" ht="15" hidden="false" customHeight="true" outlineLevel="0" collapsed="false">
      <c r="P1164" s="1" t="str">
        <f aca="false">IF(OR(F1164="",H1164="",J1164=""),"",J1164&amp;"|"&amp;F1164&amp;"|"&amp;IF(H1164="W3","W3_"&amp;IF(I1164="","unknown",I1164),H1164))</f>
        <v/>
      </c>
      <c r="Q1164" s="1" t="str">
        <f aca="false">IF(P1164="","",IFERROR(IF(AND(H1164="W7",OR(F1164="causal",F1164="predictive")),IF(AND(K1164=1,L1164=1,M1164=1),"adequate","partial"),INDEX(Fit_Matrix!$B:$B,MATCH(P1164,Fit_Matrix!$A:$A,0))),"CHECK KEY"))</f>
        <v/>
      </c>
    </row>
    <row r="1165" customFormat="false" ht="15" hidden="false" customHeight="true" outlineLevel="0" collapsed="false">
      <c r="P1165" s="1" t="str">
        <f aca="false">IF(OR(F1165="",H1165="",J1165=""),"",J1165&amp;"|"&amp;F1165&amp;"|"&amp;IF(H1165="W3","W3_"&amp;IF(I1165="","unknown",I1165),H1165))</f>
        <v/>
      </c>
      <c r="Q1165" s="1" t="str">
        <f aca="false">IF(P1165="","",IFERROR(IF(AND(H1165="W7",OR(F1165="causal",F1165="predictive")),IF(AND(K1165=1,L1165=1,M1165=1),"adequate","partial"),INDEX(Fit_Matrix!$B:$B,MATCH(P1165,Fit_Matrix!$A:$A,0))),"CHECK KEY"))</f>
        <v/>
      </c>
    </row>
    <row r="1166" customFormat="false" ht="15" hidden="false" customHeight="true" outlineLevel="0" collapsed="false">
      <c r="P1166" s="1" t="str">
        <f aca="false">IF(OR(F1166="",H1166="",J1166=""),"",J1166&amp;"|"&amp;F1166&amp;"|"&amp;IF(H1166="W3","W3_"&amp;IF(I1166="","unknown",I1166),H1166))</f>
        <v/>
      </c>
      <c r="Q1166" s="1" t="str">
        <f aca="false">IF(P1166="","",IFERROR(IF(AND(H1166="W7",OR(F1166="causal",F1166="predictive")),IF(AND(K1166=1,L1166=1,M1166=1),"adequate","partial"),INDEX(Fit_Matrix!$B:$B,MATCH(P1166,Fit_Matrix!$A:$A,0))),"CHECK KEY"))</f>
        <v/>
      </c>
    </row>
    <row r="1167" customFormat="false" ht="15" hidden="false" customHeight="true" outlineLevel="0" collapsed="false">
      <c r="P1167" s="1" t="str">
        <f aca="false">IF(OR(F1167="",H1167="",J1167=""),"",J1167&amp;"|"&amp;F1167&amp;"|"&amp;IF(H1167="W3","W3_"&amp;IF(I1167="","unknown",I1167),H1167))</f>
        <v/>
      </c>
      <c r="Q1167" s="1" t="str">
        <f aca="false">IF(P1167="","",IFERROR(IF(AND(H1167="W7",OR(F1167="causal",F1167="predictive")),IF(AND(K1167=1,L1167=1,M1167=1),"adequate","partial"),INDEX(Fit_Matrix!$B:$B,MATCH(P1167,Fit_Matrix!$A:$A,0))),"CHECK KEY"))</f>
        <v/>
      </c>
    </row>
    <row r="1168" customFormat="false" ht="15" hidden="false" customHeight="true" outlineLevel="0" collapsed="false">
      <c r="P1168" s="1" t="str">
        <f aca="false">IF(OR(F1168="",H1168="",J1168=""),"",J1168&amp;"|"&amp;F1168&amp;"|"&amp;IF(H1168="W3","W3_"&amp;IF(I1168="","unknown",I1168),H1168))</f>
        <v/>
      </c>
      <c r="Q1168" s="1" t="str">
        <f aca="false">IF(P1168="","",IFERROR(IF(AND(H1168="W7",OR(F1168="causal",F1168="predictive")),IF(AND(K1168=1,L1168=1,M1168=1),"adequate","partial"),INDEX(Fit_Matrix!$B:$B,MATCH(P1168,Fit_Matrix!$A:$A,0))),"CHECK KEY"))</f>
        <v/>
      </c>
    </row>
    <row r="1169" customFormat="false" ht="15" hidden="false" customHeight="true" outlineLevel="0" collapsed="false">
      <c r="P1169" s="1" t="str">
        <f aca="false">IF(OR(F1169="",H1169="",J1169=""),"",J1169&amp;"|"&amp;F1169&amp;"|"&amp;IF(H1169="W3","W3_"&amp;IF(I1169="","unknown",I1169),H1169))</f>
        <v/>
      </c>
      <c r="Q1169" s="1" t="str">
        <f aca="false">IF(P1169="","",IFERROR(IF(AND(H1169="W7",OR(F1169="causal",F1169="predictive")),IF(AND(K1169=1,L1169=1,M1169=1),"adequate","partial"),INDEX(Fit_Matrix!$B:$B,MATCH(P1169,Fit_Matrix!$A:$A,0))),"CHECK KEY"))</f>
        <v/>
      </c>
    </row>
    <row r="1170" customFormat="false" ht="15" hidden="false" customHeight="true" outlineLevel="0" collapsed="false">
      <c r="P1170" s="1" t="str">
        <f aca="false">IF(OR(F1170="",H1170="",J1170=""),"",J1170&amp;"|"&amp;F1170&amp;"|"&amp;IF(H1170="W3","W3_"&amp;IF(I1170="","unknown",I1170),H1170))</f>
        <v/>
      </c>
      <c r="Q1170" s="1" t="str">
        <f aca="false">IF(P1170="","",IFERROR(IF(AND(H1170="W7",OR(F1170="causal",F1170="predictive")),IF(AND(K1170=1,L1170=1,M1170=1),"adequate","partial"),INDEX(Fit_Matrix!$B:$B,MATCH(P1170,Fit_Matrix!$A:$A,0))),"CHECK KEY"))</f>
        <v/>
      </c>
    </row>
    <row r="1171" customFormat="false" ht="15" hidden="false" customHeight="true" outlineLevel="0" collapsed="false">
      <c r="P1171" s="1" t="str">
        <f aca="false">IF(OR(F1171="",H1171="",J1171=""),"",J1171&amp;"|"&amp;F1171&amp;"|"&amp;IF(H1171="W3","W3_"&amp;IF(I1171="","unknown",I1171),H1171))</f>
        <v/>
      </c>
      <c r="Q1171" s="1" t="str">
        <f aca="false">IF(P1171="","",IFERROR(IF(AND(H1171="W7",OR(F1171="causal",F1171="predictive")),IF(AND(K1171=1,L1171=1,M1171=1),"adequate","partial"),INDEX(Fit_Matrix!$B:$B,MATCH(P1171,Fit_Matrix!$A:$A,0))),"CHECK KEY"))</f>
        <v/>
      </c>
    </row>
    <row r="1172" customFormat="false" ht="15" hidden="false" customHeight="true" outlineLevel="0" collapsed="false">
      <c r="P1172" s="1" t="str">
        <f aca="false">IF(OR(F1172="",H1172="",J1172=""),"",J1172&amp;"|"&amp;F1172&amp;"|"&amp;IF(H1172="W3","W3_"&amp;IF(I1172="","unknown",I1172),H1172))</f>
        <v/>
      </c>
      <c r="Q1172" s="1" t="str">
        <f aca="false">IF(P1172="","",IFERROR(IF(AND(H1172="W7",OR(F1172="causal",F1172="predictive")),IF(AND(K1172=1,L1172=1,M1172=1),"adequate","partial"),INDEX(Fit_Matrix!$B:$B,MATCH(P1172,Fit_Matrix!$A:$A,0))),"CHECK KEY"))</f>
        <v/>
      </c>
    </row>
    <row r="1173" customFormat="false" ht="15" hidden="false" customHeight="true" outlineLevel="0" collapsed="false">
      <c r="P1173" s="1" t="str">
        <f aca="false">IF(OR(F1173="",H1173="",J1173=""),"",J1173&amp;"|"&amp;F1173&amp;"|"&amp;IF(H1173="W3","W3_"&amp;IF(I1173="","unknown",I1173),H1173))</f>
        <v/>
      </c>
      <c r="Q1173" s="1" t="str">
        <f aca="false">IF(P1173="","",IFERROR(IF(AND(H1173="W7",OR(F1173="causal",F1173="predictive")),IF(AND(K1173=1,L1173=1,M1173=1),"adequate","partial"),INDEX(Fit_Matrix!$B:$B,MATCH(P1173,Fit_Matrix!$A:$A,0))),"CHECK KEY"))</f>
        <v/>
      </c>
    </row>
    <row r="1174" customFormat="false" ht="15" hidden="false" customHeight="true" outlineLevel="0" collapsed="false">
      <c r="P1174" s="1" t="str">
        <f aca="false">IF(OR(F1174="",H1174="",J1174=""),"",J1174&amp;"|"&amp;F1174&amp;"|"&amp;IF(H1174="W3","W3_"&amp;IF(I1174="","unknown",I1174),H1174))</f>
        <v/>
      </c>
      <c r="Q1174" s="1" t="str">
        <f aca="false">IF(P1174="","",IFERROR(IF(AND(H1174="W7",OR(F1174="causal",F1174="predictive")),IF(AND(K1174=1,L1174=1,M1174=1),"adequate","partial"),INDEX(Fit_Matrix!$B:$B,MATCH(P1174,Fit_Matrix!$A:$A,0))),"CHECK KEY"))</f>
        <v/>
      </c>
    </row>
    <row r="1175" customFormat="false" ht="15" hidden="false" customHeight="true" outlineLevel="0" collapsed="false">
      <c r="P1175" s="1" t="str">
        <f aca="false">IF(OR(F1175="",H1175="",J1175=""),"",J1175&amp;"|"&amp;F1175&amp;"|"&amp;IF(H1175="W3","W3_"&amp;IF(I1175="","unknown",I1175),H1175))</f>
        <v/>
      </c>
      <c r="Q1175" s="1" t="str">
        <f aca="false">IF(P1175="","",IFERROR(IF(AND(H1175="W7",OR(F1175="causal",F1175="predictive")),IF(AND(K1175=1,L1175=1,M1175=1),"adequate","partial"),INDEX(Fit_Matrix!$B:$B,MATCH(P1175,Fit_Matrix!$A:$A,0))),"CHECK KEY"))</f>
        <v/>
      </c>
    </row>
    <row r="1176" customFormat="false" ht="15" hidden="false" customHeight="true" outlineLevel="0" collapsed="false">
      <c r="P1176" s="1" t="str">
        <f aca="false">IF(OR(F1176="",H1176="",J1176=""),"",J1176&amp;"|"&amp;F1176&amp;"|"&amp;IF(H1176="W3","W3_"&amp;IF(I1176="","unknown",I1176),H1176))</f>
        <v/>
      </c>
      <c r="Q1176" s="1" t="str">
        <f aca="false">IF(P1176="","",IFERROR(IF(AND(H1176="W7",OR(F1176="causal",F1176="predictive")),IF(AND(K1176=1,L1176=1,M1176=1),"adequate","partial"),INDEX(Fit_Matrix!$B:$B,MATCH(P1176,Fit_Matrix!$A:$A,0))),"CHECK KEY"))</f>
        <v/>
      </c>
    </row>
    <row r="1177" customFormat="false" ht="15" hidden="false" customHeight="true" outlineLevel="0" collapsed="false">
      <c r="P1177" s="1" t="str">
        <f aca="false">IF(OR(F1177="",H1177="",J1177=""),"",J1177&amp;"|"&amp;F1177&amp;"|"&amp;IF(H1177="W3","W3_"&amp;IF(I1177="","unknown",I1177),H1177))</f>
        <v/>
      </c>
      <c r="Q1177" s="1" t="str">
        <f aca="false">IF(P1177="","",IFERROR(IF(AND(H1177="W7",OR(F1177="causal",F1177="predictive")),IF(AND(K1177=1,L1177=1,M1177=1),"adequate","partial"),INDEX(Fit_Matrix!$B:$B,MATCH(P1177,Fit_Matrix!$A:$A,0))),"CHECK KEY"))</f>
        <v/>
      </c>
    </row>
    <row r="1178" customFormat="false" ht="15" hidden="false" customHeight="true" outlineLevel="0" collapsed="false">
      <c r="P1178" s="1" t="str">
        <f aca="false">IF(OR(F1178="",H1178="",J1178=""),"",J1178&amp;"|"&amp;F1178&amp;"|"&amp;IF(H1178="W3","W3_"&amp;IF(I1178="","unknown",I1178),H1178))</f>
        <v/>
      </c>
      <c r="Q1178" s="1" t="str">
        <f aca="false">IF(P1178="","",IFERROR(IF(AND(H1178="W7",OR(F1178="causal",F1178="predictive")),IF(AND(K1178=1,L1178=1,M1178=1),"adequate","partial"),INDEX(Fit_Matrix!$B:$B,MATCH(P1178,Fit_Matrix!$A:$A,0))),"CHECK KEY"))</f>
        <v/>
      </c>
    </row>
    <row r="1179" customFormat="false" ht="15" hidden="false" customHeight="true" outlineLevel="0" collapsed="false">
      <c r="P1179" s="1" t="str">
        <f aca="false">IF(OR(F1179="",H1179="",J1179=""),"",J1179&amp;"|"&amp;F1179&amp;"|"&amp;IF(H1179="W3","W3_"&amp;IF(I1179="","unknown",I1179),H1179))</f>
        <v/>
      </c>
      <c r="Q1179" s="1" t="str">
        <f aca="false">IF(P1179="","",IFERROR(IF(AND(H1179="W7",OR(F1179="causal",F1179="predictive")),IF(AND(K1179=1,L1179=1,M1179=1),"adequate","partial"),INDEX(Fit_Matrix!$B:$B,MATCH(P1179,Fit_Matrix!$A:$A,0))),"CHECK KEY"))</f>
        <v/>
      </c>
    </row>
    <row r="1180" customFormat="false" ht="15" hidden="false" customHeight="true" outlineLevel="0" collapsed="false">
      <c r="P1180" s="1" t="str">
        <f aca="false">IF(OR(F1180="",H1180="",J1180=""),"",J1180&amp;"|"&amp;F1180&amp;"|"&amp;IF(H1180="W3","W3_"&amp;IF(I1180="","unknown",I1180),H1180))</f>
        <v/>
      </c>
      <c r="Q1180" s="1" t="str">
        <f aca="false">IF(P1180="","",IFERROR(IF(AND(H1180="W7",OR(F1180="causal",F1180="predictive")),IF(AND(K1180=1,L1180=1,M1180=1),"adequate","partial"),INDEX(Fit_Matrix!$B:$B,MATCH(P1180,Fit_Matrix!$A:$A,0))),"CHECK KEY"))</f>
        <v/>
      </c>
    </row>
    <row r="1181" customFormat="false" ht="15" hidden="false" customHeight="true" outlineLevel="0" collapsed="false">
      <c r="P1181" s="1" t="str">
        <f aca="false">IF(OR(F1181="",H1181="",J1181=""),"",J1181&amp;"|"&amp;F1181&amp;"|"&amp;IF(H1181="W3","W3_"&amp;IF(I1181="","unknown",I1181),H1181))</f>
        <v/>
      </c>
      <c r="Q1181" s="1" t="str">
        <f aca="false">IF(P1181="","",IFERROR(IF(AND(H1181="W7",OR(F1181="causal",F1181="predictive")),IF(AND(K1181=1,L1181=1,M1181=1),"adequate","partial"),INDEX(Fit_Matrix!$B:$B,MATCH(P1181,Fit_Matrix!$A:$A,0))),"CHECK KEY"))</f>
        <v/>
      </c>
    </row>
    <row r="1182" customFormat="false" ht="15" hidden="false" customHeight="true" outlineLevel="0" collapsed="false">
      <c r="P1182" s="1" t="str">
        <f aca="false">IF(OR(F1182="",H1182="",J1182=""),"",J1182&amp;"|"&amp;F1182&amp;"|"&amp;IF(H1182="W3","W3_"&amp;IF(I1182="","unknown",I1182),H1182))</f>
        <v/>
      </c>
      <c r="Q1182" s="1" t="str">
        <f aca="false">IF(P1182="","",IFERROR(IF(AND(H1182="W7",OR(F1182="causal",F1182="predictive")),IF(AND(K1182=1,L1182=1,M1182=1),"adequate","partial"),INDEX(Fit_Matrix!$B:$B,MATCH(P1182,Fit_Matrix!$A:$A,0))),"CHECK KEY"))</f>
        <v/>
      </c>
    </row>
    <row r="1183" customFormat="false" ht="15" hidden="false" customHeight="true" outlineLevel="0" collapsed="false">
      <c r="P1183" s="1" t="str">
        <f aca="false">IF(OR(F1183="",H1183="",J1183=""),"",J1183&amp;"|"&amp;F1183&amp;"|"&amp;IF(H1183="W3","W3_"&amp;IF(I1183="","unknown",I1183),H1183))</f>
        <v/>
      </c>
      <c r="Q1183" s="1" t="str">
        <f aca="false">IF(P1183="","",IFERROR(IF(AND(H1183="W7",OR(F1183="causal",F1183="predictive")),IF(AND(K1183=1,L1183=1,M1183=1),"adequate","partial"),INDEX(Fit_Matrix!$B:$B,MATCH(P1183,Fit_Matrix!$A:$A,0))),"CHECK KEY"))</f>
        <v/>
      </c>
    </row>
    <row r="1184" customFormat="false" ht="15" hidden="false" customHeight="true" outlineLevel="0" collapsed="false">
      <c r="P1184" s="1" t="str">
        <f aca="false">IF(OR(F1184="",H1184="",J1184=""),"",J1184&amp;"|"&amp;F1184&amp;"|"&amp;IF(H1184="W3","W3_"&amp;IF(I1184="","unknown",I1184),H1184))</f>
        <v/>
      </c>
      <c r="Q1184" s="1" t="str">
        <f aca="false">IF(P1184="","",IFERROR(IF(AND(H1184="W7",OR(F1184="causal",F1184="predictive")),IF(AND(K1184=1,L1184=1,M1184=1),"adequate","partial"),INDEX(Fit_Matrix!$B:$B,MATCH(P1184,Fit_Matrix!$A:$A,0))),"CHECK KEY"))</f>
        <v/>
      </c>
    </row>
    <row r="1185" customFormat="false" ht="15" hidden="false" customHeight="true" outlineLevel="0" collapsed="false">
      <c r="P1185" s="1" t="str">
        <f aca="false">IF(OR(F1185="",H1185="",J1185=""),"",J1185&amp;"|"&amp;F1185&amp;"|"&amp;IF(H1185="W3","W3_"&amp;IF(I1185="","unknown",I1185),H1185))</f>
        <v/>
      </c>
      <c r="Q1185" s="1" t="str">
        <f aca="false">IF(P1185="","",IFERROR(IF(AND(H1185="W7",OR(F1185="causal",F1185="predictive")),IF(AND(K1185=1,L1185=1,M1185=1),"adequate","partial"),INDEX(Fit_Matrix!$B:$B,MATCH(P1185,Fit_Matrix!$A:$A,0))),"CHECK KEY"))</f>
        <v/>
      </c>
    </row>
    <row r="1186" customFormat="false" ht="15" hidden="false" customHeight="true" outlineLevel="0" collapsed="false">
      <c r="P1186" s="1" t="str">
        <f aca="false">IF(OR(F1186="",H1186="",J1186=""),"",J1186&amp;"|"&amp;F1186&amp;"|"&amp;IF(H1186="W3","W3_"&amp;IF(I1186="","unknown",I1186),H1186))</f>
        <v/>
      </c>
      <c r="Q1186" s="1" t="str">
        <f aca="false">IF(P1186="","",IFERROR(IF(AND(H1186="W7",OR(F1186="causal",F1186="predictive")),IF(AND(K1186=1,L1186=1,M1186=1),"adequate","partial"),INDEX(Fit_Matrix!$B:$B,MATCH(P1186,Fit_Matrix!$A:$A,0))),"CHECK KEY"))</f>
        <v/>
      </c>
    </row>
    <row r="1187" customFormat="false" ht="15" hidden="false" customHeight="true" outlineLevel="0" collapsed="false">
      <c r="P1187" s="1" t="str">
        <f aca="false">IF(OR(F1187="",H1187="",J1187=""),"",J1187&amp;"|"&amp;F1187&amp;"|"&amp;IF(H1187="W3","W3_"&amp;IF(I1187="","unknown",I1187),H1187))</f>
        <v/>
      </c>
      <c r="Q1187" s="1" t="str">
        <f aca="false">IF(P1187="","",IFERROR(IF(AND(H1187="W7",OR(F1187="causal",F1187="predictive")),IF(AND(K1187=1,L1187=1,M1187=1),"adequate","partial"),INDEX(Fit_Matrix!$B:$B,MATCH(P1187,Fit_Matrix!$A:$A,0))),"CHECK KEY"))</f>
        <v/>
      </c>
    </row>
    <row r="1188" customFormat="false" ht="15" hidden="false" customHeight="true" outlineLevel="0" collapsed="false">
      <c r="P1188" s="1" t="str">
        <f aca="false">IF(OR(F1188="",H1188="",J1188=""),"",J1188&amp;"|"&amp;F1188&amp;"|"&amp;IF(H1188="W3","W3_"&amp;IF(I1188="","unknown",I1188),H1188))</f>
        <v/>
      </c>
      <c r="Q1188" s="1" t="str">
        <f aca="false">IF(P1188="","",IFERROR(IF(AND(H1188="W7",OR(F1188="causal",F1188="predictive")),IF(AND(K1188=1,L1188=1,M1188=1),"adequate","partial"),INDEX(Fit_Matrix!$B:$B,MATCH(P1188,Fit_Matrix!$A:$A,0))),"CHECK KEY"))</f>
        <v/>
      </c>
    </row>
    <row r="1189" customFormat="false" ht="15" hidden="false" customHeight="true" outlineLevel="0" collapsed="false">
      <c r="P1189" s="1" t="str">
        <f aca="false">IF(OR(F1189="",H1189="",J1189=""),"",J1189&amp;"|"&amp;F1189&amp;"|"&amp;IF(H1189="W3","W3_"&amp;IF(I1189="","unknown",I1189),H1189))</f>
        <v/>
      </c>
      <c r="Q1189" s="1" t="str">
        <f aca="false">IF(P1189="","",IFERROR(IF(AND(H1189="W7",OR(F1189="causal",F1189="predictive")),IF(AND(K1189=1,L1189=1,M1189=1),"adequate","partial"),INDEX(Fit_Matrix!$B:$B,MATCH(P1189,Fit_Matrix!$A:$A,0))),"CHECK KEY"))</f>
        <v/>
      </c>
    </row>
    <row r="1190" customFormat="false" ht="15" hidden="false" customHeight="true" outlineLevel="0" collapsed="false">
      <c r="P1190" s="1" t="str">
        <f aca="false">IF(OR(F1190="",H1190="",J1190=""),"",J1190&amp;"|"&amp;F1190&amp;"|"&amp;IF(H1190="W3","W3_"&amp;IF(I1190="","unknown",I1190),H1190))</f>
        <v/>
      </c>
      <c r="Q1190" s="1" t="str">
        <f aca="false">IF(P1190="","",IFERROR(IF(AND(H1190="W7",OR(F1190="causal",F1190="predictive")),IF(AND(K1190=1,L1190=1,M1190=1),"adequate","partial"),INDEX(Fit_Matrix!$B:$B,MATCH(P1190,Fit_Matrix!$A:$A,0))),"CHECK KEY"))</f>
        <v/>
      </c>
    </row>
    <row r="1191" customFormat="false" ht="15" hidden="false" customHeight="true" outlineLevel="0" collapsed="false">
      <c r="P1191" s="1" t="str">
        <f aca="false">IF(OR(F1191="",H1191="",J1191=""),"",J1191&amp;"|"&amp;F1191&amp;"|"&amp;IF(H1191="W3","W3_"&amp;IF(I1191="","unknown",I1191),H1191))</f>
        <v/>
      </c>
      <c r="Q1191" s="1" t="str">
        <f aca="false">IF(P1191="","",IFERROR(IF(AND(H1191="W7",OR(F1191="causal",F1191="predictive")),IF(AND(K1191=1,L1191=1,M1191=1),"adequate","partial"),INDEX(Fit_Matrix!$B:$B,MATCH(P1191,Fit_Matrix!$A:$A,0))),"CHECK KEY"))</f>
        <v/>
      </c>
    </row>
    <row r="1192" customFormat="false" ht="15" hidden="false" customHeight="true" outlineLevel="0" collapsed="false">
      <c r="P1192" s="1" t="str">
        <f aca="false">IF(OR(F1192="",H1192="",J1192=""),"",J1192&amp;"|"&amp;F1192&amp;"|"&amp;IF(H1192="W3","W3_"&amp;IF(I1192="","unknown",I1192),H1192))</f>
        <v/>
      </c>
      <c r="Q1192" s="1" t="str">
        <f aca="false">IF(P1192="","",IFERROR(IF(AND(H1192="W7",OR(F1192="causal",F1192="predictive")),IF(AND(K1192=1,L1192=1,M1192=1),"adequate","partial"),INDEX(Fit_Matrix!$B:$B,MATCH(P1192,Fit_Matrix!$A:$A,0))),"CHECK KEY"))</f>
        <v/>
      </c>
    </row>
    <row r="1193" customFormat="false" ht="15" hidden="false" customHeight="true" outlineLevel="0" collapsed="false">
      <c r="P1193" s="1" t="str">
        <f aca="false">IF(OR(F1193="",H1193="",J1193=""),"",J1193&amp;"|"&amp;F1193&amp;"|"&amp;IF(H1193="W3","W3_"&amp;IF(I1193="","unknown",I1193),H1193))</f>
        <v/>
      </c>
      <c r="Q1193" s="1" t="str">
        <f aca="false">IF(P1193="","",IFERROR(IF(AND(H1193="W7",OR(F1193="causal",F1193="predictive")),IF(AND(K1193=1,L1193=1,M1193=1),"adequate","partial"),INDEX(Fit_Matrix!$B:$B,MATCH(P1193,Fit_Matrix!$A:$A,0))),"CHECK KEY"))</f>
        <v/>
      </c>
    </row>
    <row r="1194" customFormat="false" ht="15" hidden="false" customHeight="true" outlineLevel="0" collapsed="false">
      <c r="P1194" s="1" t="str">
        <f aca="false">IF(OR(F1194="",H1194="",J1194=""),"",J1194&amp;"|"&amp;F1194&amp;"|"&amp;IF(H1194="W3","W3_"&amp;IF(I1194="","unknown",I1194),H1194))</f>
        <v/>
      </c>
      <c r="Q1194" s="1" t="str">
        <f aca="false">IF(P1194="","",IFERROR(IF(AND(H1194="W7",OR(F1194="causal",F1194="predictive")),IF(AND(K1194=1,L1194=1,M1194=1),"adequate","partial"),INDEX(Fit_Matrix!$B:$B,MATCH(P1194,Fit_Matrix!$A:$A,0))),"CHECK KEY"))</f>
        <v/>
      </c>
    </row>
    <row r="1195" customFormat="false" ht="15" hidden="false" customHeight="true" outlineLevel="0" collapsed="false">
      <c r="P1195" s="1" t="str">
        <f aca="false">IF(OR(F1195="",H1195="",J1195=""),"",J1195&amp;"|"&amp;F1195&amp;"|"&amp;IF(H1195="W3","W3_"&amp;IF(I1195="","unknown",I1195),H1195))</f>
        <v/>
      </c>
      <c r="Q1195" s="1" t="str">
        <f aca="false">IF(P1195="","",IFERROR(IF(AND(H1195="W7",OR(F1195="causal",F1195="predictive")),IF(AND(K1195=1,L1195=1,M1195=1),"adequate","partial"),INDEX(Fit_Matrix!$B:$B,MATCH(P1195,Fit_Matrix!$A:$A,0))),"CHECK KEY"))</f>
        <v/>
      </c>
    </row>
    <row r="1196" customFormat="false" ht="15" hidden="false" customHeight="true" outlineLevel="0" collapsed="false">
      <c r="P1196" s="1" t="str">
        <f aca="false">IF(OR(F1196="",H1196="",J1196=""),"",J1196&amp;"|"&amp;F1196&amp;"|"&amp;IF(H1196="W3","W3_"&amp;IF(I1196="","unknown",I1196),H1196))</f>
        <v/>
      </c>
      <c r="Q1196" s="1" t="str">
        <f aca="false">IF(P1196="","",IFERROR(IF(AND(H1196="W7",OR(F1196="causal",F1196="predictive")),IF(AND(K1196=1,L1196=1,M1196=1),"adequate","partial"),INDEX(Fit_Matrix!$B:$B,MATCH(P1196,Fit_Matrix!$A:$A,0))),"CHECK KEY"))</f>
        <v/>
      </c>
    </row>
    <row r="1197" customFormat="false" ht="15" hidden="false" customHeight="true" outlineLevel="0" collapsed="false">
      <c r="P1197" s="1" t="str">
        <f aca="false">IF(OR(F1197="",H1197="",J1197=""),"",J1197&amp;"|"&amp;F1197&amp;"|"&amp;IF(H1197="W3","W3_"&amp;IF(I1197="","unknown",I1197),H1197))</f>
        <v/>
      </c>
      <c r="Q1197" s="1" t="str">
        <f aca="false">IF(P1197="","",IFERROR(IF(AND(H1197="W7",OR(F1197="causal",F1197="predictive")),IF(AND(K1197=1,L1197=1,M1197=1),"adequate","partial"),INDEX(Fit_Matrix!$B:$B,MATCH(P1197,Fit_Matrix!$A:$A,0))),"CHECK KEY"))</f>
        <v/>
      </c>
    </row>
    <row r="1198" customFormat="false" ht="15" hidden="false" customHeight="true" outlineLevel="0" collapsed="false">
      <c r="P1198" s="1" t="str">
        <f aca="false">IF(OR(F1198="",H1198="",J1198=""),"",J1198&amp;"|"&amp;F1198&amp;"|"&amp;IF(H1198="W3","W3_"&amp;IF(I1198="","unknown",I1198),H1198))</f>
        <v/>
      </c>
      <c r="Q1198" s="1" t="str">
        <f aca="false">IF(P1198="","",IFERROR(IF(AND(H1198="W7",OR(F1198="causal",F1198="predictive")),IF(AND(K1198=1,L1198=1,M1198=1),"adequate","partial"),INDEX(Fit_Matrix!$B:$B,MATCH(P1198,Fit_Matrix!$A:$A,0))),"CHECK KEY"))</f>
        <v/>
      </c>
    </row>
    <row r="1199" customFormat="false" ht="15" hidden="false" customHeight="true" outlineLevel="0" collapsed="false">
      <c r="P1199" s="1" t="str">
        <f aca="false">IF(OR(F1199="",H1199="",J1199=""),"",J1199&amp;"|"&amp;F1199&amp;"|"&amp;IF(H1199="W3","W3_"&amp;IF(I1199="","unknown",I1199),H1199))</f>
        <v/>
      </c>
      <c r="Q1199" s="1" t="str">
        <f aca="false">IF(P1199="","",IFERROR(IF(AND(H1199="W7",OR(F1199="causal",F1199="predictive")),IF(AND(K1199=1,L1199=1,M1199=1),"adequate","partial"),INDEX(Fit_Matrix!$B:$B,MATCH(P1199,Fit_Matrix!$A:$A,0))),"CHECK KEY"))</f>
        <v/>
      </c>
    </row>
    <row r="1200" customFormat="false" ht="15" hidden="false" customHeight="true" outlineLevel="0" collapsed="false">
      <c r="P1200" s="1" t="str">
        <f aca="false">IF(OR(F1200="",H1200="",J1200=""),"",J1200&amp;"|"&amp;F1200&amp;"|"&amp;IF(H1200="W3","W3_"&amp;IF(I1200="","unknown",I1200),H1200))</f>
        <v/>
      </c>
      <c r="Q1200" s="1" t="str">
        <f aca="false">IF(P1200="","",IFERROR(IF(AND(H1200="W7",OR(F1200="causal",F1200="predictive")),IF(AND(K1200=1,L1200=1,M1200=1),"adequate","partial"),INDEX(Fit_Matrix!$B:$B,MATCH(P1200,Fit_Matrix!$A:$A,0))),"CHECK KEY"))</f>
        <v/>
      </c>
    </row>
    <row r="1201" customFormat="false" ht="15" hidden="false" customHeight="true" outlineLevel="0" collapsed="false">
      <c r="P1201" s="1" t="str">
        <f aca="false">IF(OR(F1201="",H1201="",J1201=""),"",J1201&amp;"|"&amp;F1201&amp;"|"&amp;IF(H1201="W3","W3_"&amp;IF(I1201="","unknown",I1201),H1201))</f>
        <v/>
      </c>
      <c r="Q1201" s="1" t="str">
        <f aca="false">IF(P1201="","",IFERROR(IF(AND(H1201="W7",OR(F1201="causal",F1201="predictive")),IF(AND(K1201=1,L1201=1,M1201=1),"adequate","partial"),INDEX(Fit_Matrix!$B:$B,MATCH(P1201,Fit_Matrix!$A:$A,0))),"CHECK KEY"))</f>
        <v/>
      </c>
    </row>
    <row r="1202" customFormat="false" ht="15" hidden="false" customHeight="true" outlineLevel="0" collapsed="false">
      <c r="P1202" s="1" t="str">
        <f aca="false">IF(OR(F1202="",H1202="",J1202=""),"",J1202&amp;"|"&amp;F1202&amp;"|"&amp;IF(H1202="W3","W3_"&amp;IF(I1202="","unknown",I1202),H1202))</f>
        <v/>
      </c>
      <c r="Q1202" s="1" t="str">
        <f aca="false">IF(P1202="","",IFERROR(IF(AND(H1202="W7",OR(F1202="causal",F1202="predictive")),IF(AND(K1202=1,L1202=1,M1202=1),"adequate","partial"),INDEX(Fit_Matrix!$B:$B,MATCH(P1202,Fit_Matrix!$A:$A,0))),"CHECK KEY"))</f>
        <v/>
      </c>
    </row>
    <row r="1203" customFormat="false" ht="15" hidden="false" customHeight="true" outlineLevel="0" collapsed="false">
      <c r="P1203" s="1" t="str">
        <f aca="false">IF(OR(F1203="",H1203="",J1203=""),"",J1203&amp;"|"&amp;F1203&amp;"|"&amp;IF(H1203="W3","W3_"&amp;IF(I1203="","unknown",I1203),H1203))</f>
        <v/>
      </c>
      <c r="Q1203" s="1" t="str">
        <f aca="false">IF(P1203="","",IFERROR(IF(AND(H1203="W7",OR(F1203="causal",F1203="predictive")),IF(AND(K1203=1,L1203=1,M1203=1),"adequate","partial"),INDEX(Fit_Matrix!$B:$B,MATCH(P1203,Fit_Matrix!$A:$A,0))),"CHECK KEY"))</f>
        <v/>
      </c>
    </row>
    <row r="1204" customFormat="false" ht="15" hidden="false" customHeight="true" outlineLevel="0" collapsed="false">
      <c r="P1204" s="1" t="str">
        <f aca="false">IF(OR(F1204="",H1204="",J1204=""),"",J1204&amp;"|"&amp;F1204&amp;"|"&amp;IF(H1204="W3","W3_"&amp;IF(I1204="","unknown",I1204),H1204))</f>
        <v/>
      </c>
      <c r="Q1204" s="1" t="str">
        <f aca="false">IF(P1204="","",IFERROR(IF(AND(H1204="W7",OR(F1204="causal",F1204="predictive")),IF(AND(K1204=1,L1204=1,M1204=1),"adequate","partial"),INDEX(Fit_Matrix!$B:$B,MATCH(P1204,Fit_Matrix!$A:$A,0))),"CHECK KEY"))</f>
        <v/>
      </c>
    </row>
    <row r="1205" customFormat="false" ht="15" hidden="false" customHeight="true" outlineLevel="0" collapsed="false">
      <c r="P1205" s="1" t="str">
        <f aca="false">IF(OR(F1205="",H1205="",J1205=""),"",J1205&amp;"|"&amp;F1205&amp;"|"&amp;IF(H1205="W3","W3_"&amp;IF(I1205="","unknown",I1205),H1205))</f>
        <v/>
      </c>
      <c r="Q1205" s="1" t="str">
        <f aca="false">IF(P1205="","",IFERROR(IF(AND(H1205="W7",OR(F1205="causal",F1205="predictive")),IF(AND(K1205=1,L1205=1,M1205=1),"adequate","partial"),INDEX(Fit_Matrix!$B:$B,MATCH(P1205,Fit_Matrix!$A:$A,0))),"CHECK KEY"))</f>
        <v/>
      </c>
    </row>
    <row r="1206" customFormat="false" ht="15" hidden="false" customHeight="true" outlineLevel="0" collapsed="false">
      <c r="P1206" s="1" t="str">
        <f aca="false">IF(OR(F1206="",H1206="",J1206=""),"",J1206&amp;"|"&amp;F1206&amp;"|"&amp;IF(H1206="W3","W3_"&amp;IF(I1206="","unknown",I1206),H1206))</f>
        <v/>
      </c>
      <c r="Q1206" s="1" t="str">
        <f aca="false">IF(P1206="","",IFERROR(IF(AND(H1206="W7",OR(F1206="causal",F1206="predictive")),IF(AND(K1206=1,L1206=1,M1206=1),"adequate","partial"),INDEX(Fit_Matrix!$B:$B,MATCH(P1206,Fit_Matrix!$A:$A,0))),"CHECK KEY"))</f>
        <v/>
      </c>
    </row>
    <row r="1207" customFormat="false" ht="15" hidden="false" customHeight="true" outlineLevel="0" collapsed="false">
      <c r="P1207" s="1" t="str">
        <f aca="false">IF(OR(F1207="",H1207="",J1207=""),"",J1207&amp;"|"&amp;F1207&amp;"|"&amp;IF(H1207="W3","W3_"&amp;IF(I1207="","unknown",I1207),H1207))</f>
        <v/>
      </c>
      <c r="Q1207" s="1" t="str">
        <f aca="false">IF(P1207="","",IFERROR(IF(AND(H1207="W7",OR(F1207="causal",F1207="predictive")),IF(AND(K1207=1,L1207=1,M1207=1),"adequate","partial"),INDEX(Fit_Matrix!$B:$B,MATCH(P1207,Fit_Matrix!$A:$A,0))),"CHECK KEY"))</f>
        <v/>
      </c>
    </row>
    <row r="1208" customFormat="false" ht="15" hidden="false" customHeight="true" outlineLevel="0" collapsed="false">
      <c r="P1208" s="1" t="str">
        <f aca="false">IF(OR(F1208="",H1208="",J1208=""),"",J1208&amp;"|"&amp;F1208&amp;"|"&amp;IF(H1208="W3","W3_"&amp;IF(I1208="","unknown",I1208),H1208))</f>
        <v/>
      </c>
      <c r="Q1208" s="1" t="str">
        <f aca="false">IF(P1208="","",IFERROR(IF(AND(H1208="W7",OR(F1208="causal",F1208="predictive")),IF(AND(K1208=1,L1208=1,M1208=1),"adequate","partial"),INDEX(Fit_Matrix!$B:$B,MATCH(P1208,Fit_Matrix!$A:$A,0))),"CHECK KEY"))</f>
        <v/>
      </c>
    </row>
    <row r="1209" customFormat="false" ht="15" hidden="false" customHeight="true" outlineLevel="0" collapsed="false">
      <c r="P1209" s="1" t="str">
        <f aca="false">IF(OR(F1209="",H1209="",J1209=""),"",J1209&amp;"|"&amp;F1209&amp;"|"&amp;IF(H1209="W3","W3_"&amp;IF(I1209="","unknown",I1209),H1209))</f>
        <v/>
      </c>
      <c r="Q1209" s="1" t="str">
        <f aca="false">IF(P1209="","",IFERROR(IF(AND(H1209="W7",OR(F1209="causal",F1209="predictive")),IF(AND(K1209=1,L1209=1,M1209=1),"adequate","partial"),INDEX(Fit_Matrix!$B:$B,MATCH(P1209,Fit_Matrix!$A:$A,0))),"CHECK KEY"))</f>
        <v/>
      </c>
    </row>
    <row r="1210" customFormat="false" ht="15" hidden="false" customHeight="true" outlineLevel="0" collapsed="false">
      <c r="P1210" s="1" t="str">
        <f aca="false">IF(OR(F1210="",H1210="",J1210=""),"",J1210&amp;"|"&amp;F1210&amp;"|"&amp;IF(H1210="W3","W3_"&amp;IF(I1210="","unknown",I1210),H1210))</f>
        <v/>
      </c>
      <c r="Q1210" s="1" t="str">
        <f aca="false">IF(P1210="","",IFERROR(IF(AND(H1210="W7",OR(F1210="causal",F1210="predictive")),IF(AND(K1210=1,L1210=1,M1210=1),"adequate","partial"),INDEX(Fit_Matrix!$B:$B,MATCH(P1210,Fit_Matrix!$A:$A,0))),"CHECK KEY"))</f>
        <v/>
      </c>
    </row>
    <row r="1211" customFormat="false" ht="15" hidden="false" customHeight="true" outlineLevel="0" collapsed="false">
      <c r="P1211" s="1" t="str">
        <f aca="false">IF(OR(F1211="",H1211="",J1211=""),"",J1211&amp;"|"&amp;F1211&amp;"|"&amp;IF(H1211="W3","W3_"&amp;IF(I1211="","unknown",I1211),H1211))</f>
        <v/>
      </c>
      <c r="Q1211" s="1" t="str">
        <f aca="false">IF(P1211="","",IFERROR(IF(AND(H1211="W7",OR(F1211="causal",F1211="predictive")),IF(AND(K1211=1,L1211=1,M1211=1),"adequate","partial"),INDEX(Fit_Matrix!$B:$B,MATCH(P1211,Fit_Matrix!$A:$A,0))),"CHECK KEY"))</f>
        <v/>
      </c>
    </row>
    <row r="1212" customFormat="false" ht="15" hidden="false" customHeight="true" outlineLevel="0" collapsed="false">
      <c r="P1212" s="1" t="str">
        <f aca="false">IF(OR(F1212="",H1212="",J1212=""),"",J1212&amp;"|"&amp;F1212&amp;"|"&amp;IF(H1212="W3","W3_"&amp;IF(I1212="","unknown",I1212),H1212))</f>
        <v/>
      </c>
      <c r="Q1212" s="1" t="str">
        <f aca="false">IF(P1212="","",IFERROR(IF(AND(H1212="W7",OR(F1212="causal",F1212="predictive")),IF(AND(K1212=1,L1212=1,M1212=1),"adequate","partial"),INDEX(Fit_Matrix!$B:$B,MATCH(P1212,Fit_Matrix!$A:$A,0))),"CHECK KEY"))</f>
        <v/>
      </c>
    </row>
    <row r="1213" customFormat="false" ht="15" hidden="false" customHeight="true" outlineLevel="0" collapsed="false">
      <c r="P1213" s="1" t="str">
        <f aca="false">IF(OR(F1213="",H1213="",J1213=""),"",J1213&amp;"|"&amp;F1213&amp;"|"&amp;IF(H1213="W3","W3_"&amp;IF(I1213="","unknown",I1213),H1213))</f>
        <v/>
      </c>
      <c r="Q1213" s="1" t="str">
        <f aca="false">IF(P1213="","",IFERROR(IF(AND(H1213="W7",OR(F1213="causal",F1213="predictive")),IF(AND(K1213=1,L1213=1,M1213=1),"adequate","partial"),INDEX(Fit_Matrix!$B:$B,MATCH(P1213,Fit_Matrix!$A:$A,0))),"CHECK KEY"))</f>
        <v/>
      </c>
    </row>
    <row r="1214" customFormat="false" ht="15" hidden="false" customHeight="true" outlineLevel="0" collapsed="false">
      <c r="P1214" s="1" t="str">
        <f aca="false">IF(OR(F1214="",H1214="",J1214=""),"",J1214&amp;"|"&amp;F1214&amp;"|"&amp;IF(H1214="W3","W3_"&amp;IF(I1214="","unknown",I1214),H1214))</f>
        <v/>
      </c>
      <c r="Q1214" s="1" t="str">
        <f aca="false">IF(P1214="","",IFERROR(IF(AND(H1214="W7",OR(F1214="causal",F1214="predictive")),IF(AND(K1214=1,L1214=1,M1214=1),"adequate","partial"),INDEX(Fit_Matrix!$B:$B,MATCH(P1214,Fit_Matrix!$A:$A,0))),"CHECK KEY"))</f>
        <v/>
      </c>
    </row>
    <row r="1215" customFormat="false" ht="15" hidden="false" customHeight="true" outlineLevel="0" collapsed="false">
      <c r="P1215" s="1" t="str">
        <f aca="false">IF(OR(F1215="",H1215="",J1215=""),"",J1215&amp;"|"&amp;F1215&amp;"|"&amp;IF(H1215="W3","W3_"&amp;IF(I1215="","unknown",I1215),H1215))</f>
        <v/>
      </c>
      <c r="Q1215" s="1" t="str">
        <f aca="false">IF(P1215="","",IFERROR(IF(AND(H1215="W7",OR(F1215="causal",F1215="predictive")),IF(AND(K1215=1,L1215=1,M1215=1),"adequate","partial"),INDEX(Fit_Matrix!$B:$B,MATCH(P1215,Fit_Matrix!$A:$A,0))),"CHECK KEY"))</f>
        <v/>
      </c>
    </row>
    <row r="1216" customFormat="false" ht="15" hidden="false" customHeight="true" outlineLevel="0" collapsed="false">
      <c r="P1216" s="1" t="str">
        <f aca="false">IF(OR(F1216="",H1216="",J1216=""),"",J1216&amp;"|"&amp;F1216&amp;"|"&amp;IF(H1216="W3","W3_"&amp;IF(I1216="","unknown",I1216),H1216))</f>
        <v/>
      </c>
      <c r="Q1216" s="1" t="str">
        <f aca="false">IF(P1216="","",IFERROR(IF(AND(H1216="W7",OR(F1216="causal",F1216="predictive")),IF(AND(K1216=1,L1216=1,M1216=1),"adequate","partial"),INDEX(Fit_Matrix!$B:$B,MATCH(P1216,Fit_Matrix!$A:$A,0))),"CHECK KEY"))</f>
        <v/>
      </c>
    </row>
    <row r="1217" customFormat="false" ht="15" hidden="false" customHeight="true" outlineLevel="0" collapsed="false">
      <c r="P1217" s="1" t="str">
        <f aca="false">IF(OR(F1217="",H1217="",J1217=""),"",J1217&amp;"|"&amp;F1217&amp;"|"&amp;IF(H1217="W3","W3_"&amp;IF(I1217="","unknown",I1217),H1217))</f>
        <v/>
      </c>
      <c r="Q1217" s="1" t="str">
        <f aca="false">IF(P1217="","",IFERROR(IF(AND(H1217="W7",OR(F1217="causal",F1217="predictive")),IF(AND(K1217=1,L1217=1,M1217=1),"adequate","partial"),INDEX(Fit_Matrix!$B:$B,MATCH(P1217,Fit_Matrix!$A:$A,0))),"CHECK KEY"))</f>
        <v/>
      </c>
    </row>
    <row r="1218" customFormat="false" ht="15" hidden="false" customHeight="true" outlineLevel="0" collapsed="false">
      <c r="P1218" s="1" t="str">
        <f aca="false">IF(OR(F1218="",H1218="",J1218=""),"",J1218&amp;"|"&amp;F1218&amp;"|"&amp;IF(H1218="W3","W3_"&amp;IF(I1218="","unknown",I1218),H1218))</f>
        <v/>
      </c>
      <c r="Q1218" s="1" t="str">
        <f aca="false">IF(P1218="","",IFERROR(IF(AND(H1218="W7",OR(F1218="causal",F1218="predictive")),IF(AND(K1218=1,L1218=1,M1218=1),"adequate","partial"),INDEX(Fit_Matrix!$B:$B,MATCH(P1218,Fit_Matrix!$A:$A,0))),"CHECK KEY"))</f>
        <v/>
      </c>
    </row>
    <row r="1219" customFormat="false" ht="15" hidden="false" customHeight="true" outlineLevel="0" collapsed="false">
      <c r="P1219" s="1" t="str">
        <f aca="false">IF(OR(F1219="",H1219="",J1219=""),"",J1219&amp;"|"&amp;F1219&amp;"|"&amp;IF(H1219="W3","W3_"&amp;IF(I1219="","unknown",I1219),H1219))</f>
        <v/>
      </c>
      <c r="Q1219" s="1" t="str">
        <f aca="false">IF(P1219="","",IFERROR(IF(AND(H1219="W7",OR(F1219="causal",F1219="predictive")),IF(AND(K1219=1,L1219=1,M1219=1),"adequate","partial"),INDEX(Fit_Matrix!$B:$B,MATCH(P1219,Fit_Matrix!$A:$A,0))),"CHECK KEY"))</f>
        <v/>
      </c>
    </row>
    <row r="1220" customFormat="false" ht="15" hidden="false" customHeight="true" outlineLevel="0" collapsed="false">
      <c r="P1220" s="1" t="str">
        <f aca="false">IF(OR(F1220="",H1220="",J1220=""),"",J1220&amp;"|"&amp;F1220&amp;"|"&amp;IF(H1220="W3","W3_"&amp;IF(I1220="","unknown",I1220),H1220))</f>
        <v/>
      </c>
      <c r="Q1220" s="1" t="str">
        <f aca="false">IF(P1220="","",IFERROR(IF(AND(H1220="W7",OR(F1220="causal",F1220="predictive")),IF(AND(K1220=1,L1220=1,M1220=1),"adequate","partial"),INDEX(Fit_Matrix!$B:$B,MATCH(P1220,Fit_Matrix!$A:$A,0))),"CHECK KEY"))</f>
        <v/>
      </c>
    </row>
    <row r="1221" customFormat="false" ht="15" hidden="false" customHeight="true" outlineLevel="0" collapsed="false">
      <c r="P1221" s="1" t="str">
        <f aca="false">IF(OR(F1221="",H1221="",J1221=""),"",J1221&amp;"|"&amp;F1221&amp;"|"&amp;IF(H1221="W3","W3_"&amp;IF(I1221="","unknown",I1221),H1221))</f>
        <v/>
      </c>
      <c r="Q1221" s="1" t="str">
        <f aca="false">IF(P1221="","",IFERROR(IF(AND(H1221="W7",OR(F1221="causal",F1221="predictive")),IF(AND(K1221=1,L1221=1,M1221=1),"adequate","partial"),INDEX(Fit_Matrix!$B:$B,MATCH(P1221,Fit_Matrix!$A:$A,0))),"CHECK KEY"))</f>
        <v/>
      </c>
    </row>
    <row r="1222" customFormat="false" ht="15" hidden="false" customHeight="true" outlineLevel="0" collapsed="false">
      <c r="P1222" s="1" t="str">
        <f aca="false">IF(OR(F1222="",H1222="",J1222=""),"",J1222&amp;"|"&amp;F1222&amp;"|"&amp;IF(H1222="W3","W3_"&amp;IF(I1222="","unknown",I1222),H1222))</f>
        <v/>
      </c>
      <c r="Q1222" s="1" t="str">
        <f aca="false">IF(P1222="","",IFERROR(IF(AND(H1222="W7",OR(F1222="causal",F1222="predictive")),IF(AND(K1222=1,L1222=1,M1222=1),"adequate","partial"),INDEX(Fit_Matrix!$B:$B,MATCH(P1222,Fit_Matrix!$A:$A,0))),"CHECK KEY"))</f>
        <v/>
      </c>
    </row>
    <row r="1223" customFormat="false" ht="15" hidden="false" customHeight="true" outlineLevel="0" collapsed="false">
      <c r="P1223" s="1" t="str">
        <f aca="false">IF(OR(F1223="",H1223="",J1223=""),"",J1223&amp;"|"&amp;F1223&amp;"|"&amp;IF(H1223="W3","W3_"&amp;IF(I1223="","unknown",I1223),H1223))</f>
        <v/>
      </c>
      <c r="Q1223" s="1" t="str">
        <f aca="false">IF(P1223="","",IFERROR(IF(AND(H1223="W7",OR(F1223="causal",F1223="predictive")),IF(AND(K1223=1,L1223=1,M1223=1),"adequate","partial"),INDEX(Fit_Matrix!$B:$B,MATCH(P1223,Fit_Matrix!$A:$A,0))),"CHECK KEY"))</f>
        <v/>
      </c>
    </row>
    <row r="1224" customFormat="false" ht="15" hidden="false" customHeight="true" outlineLevel="0" collapsed="false">
      <c r="P1224" s="1" t="str">
        <f aca="false">IF(OR(F1224="",H1224="",J1224=""),"",J1224&amp;"|"&amp;F1224&amp;"|"&amp;IF(H1224="W3","W3_"&amp;IF(I1224="","unknown",I1224),H1224))</f>
        <v/>
      </c>
      <c r="Q1224" s="1" t="str">
        <f aca="false">IF(P1224="","",IFERROR(IF(AND(H1224="W7",OR(F1224="causal",F1224="predictive")),IF(AND(K1224=1,L1224=1,M1224=1),"adequate","partial"),INDEX(Fit_Matrix!$B:$B,MATCH(P1224,Fit_Matrix!$A:$A,0))),"CHECK KEY"))</f>
        <v/>
      </c>
    </row>
    <row r="1225" customFormat="false" ht="15" hidden="false" customHeight="true" outlineLevel="0" collapsed="false">
      <c r="P1225" s="1" t="str">
        <f aca="false">IF(OR(F1225="",H1225="",J1225=""),"",J1225&amp;"|"&amp;F1225&amp;"|"&amp;IF(H1225="W3","W3_"&amp;IF(I1225="","unknown",I1225),H1225))</f>
        <v/>
      </c>
      <c r="Q1225" s="1" t="str">
        <f aca="false">IF(P1225="","",IFERROR(IF(AND(H1225="W7",OR(F1225="causal",F1225="predictive")),IF(AND(K1225=1,L1225=1,M1225=1),"adequate","partial"),INDEX(Fit_Matrix!$B:$B,MATCH(P1225,Fit_Matrix!$A:$A,0))),"CHECK KEY"))</f>
        <v/>
      </c>
    </row>
    <row r="1226" customFormat="false" ht="15" hidden="false" customHeight="true" outlineLevel="0" collapsed="false">
      <c r="P1226" s="1" t="str">
        <f aca="false">IF(OR(F1226="",H1226="",J1226=""),"",J1226&amp;"|"&amp;F1226&amp;"|"&amp;IF(H1226="W3","W3_"&amp;IF(I1226="","unknown",I1226),H1226))</f>
        <v/>
      </c>
      <c r="Q1226" s="1" t="str">
        <f aca="false">IF(P1226="","",IFERROR(IF(AND(H1226="W7",OR(F1226="causal",F1226="predictive")),IF(AND(K1226=1,L1226=1,M1226=1),"adequate","partial"),INDEX(Fit_Matrix!$B:$B,MATCH(P1226,Fit_Matrix!$A:$A,0))),"CHECK KEY"))</f>
        <v/>
      </c>
    </row>
    <row r="1227" customFormat="false" ht="15" hidden="false" customHeight="true" outlineLevel="0" collapsed="false">
      <c r="P1227" s="1" t="str">
        <f aca="false">IF(OR(F1227="",H1227="",J1227=""),"",J1227&amp;"|"&amp;F1227&amp;"|"&amp;IF(H1227="W3","W3_"&amp;IF(I1227="","unknown",I1227),H1227))</f>
        <v/>
      </c>
      <c r="Q1227" s="1" t="str">
        <f aca="false">IF(P1227="","",IFERROR(IF(AND(H1227="W7",OR(F1227="causal",F1227="predictive")),IF(AND(K1227=1,L1227=1,M1227=1),"adequate","partial"),INDEX(Fit_Matrix!$B:$B,MATCH(P1227,Fit_Matrix!$A:$A,0))),"CHECK KEY"))</f>
        <v/>
      </c>
    </row>
    <row r="1228" customFormat="false" ht="15" hidden="false" customHeight="true" outlineLevel="0" collapsed="false">
      <c r="P1228" s="1" t="str">
        <f aca="false">IF(OR(F1228="",H1228="",J1228=""),"",J1228&amp;"|"&amp;F1228&amp;"|"&amp;IF(H1228="W3","W3_"&amp;IF(I1228="","unknown",I1228),H1228))</f>
        <v/>
      </c>
      <c r="Q1228" s="1" t="str">
        <f aca="false">IF(P1228="","",IFERROR(IF(AND(H1228="W7",OR(F1228="causal",F1228="predictive")),IF(AND(K1228=1,L1228=1,M1228=1),"adequate","partial"),INDEX(Fit_Matrix!$B:$B,MATCH(P1228,Fit_Matrix!$A:$A,0))),"CHECK KEY"))</f>
        <v/>
      </c>
    </row>
    <row r="1229" customFormat="false" ht="15" hidden="false" customHeight="true" outlineLevel="0" collapsed="false">
      <c r="P1229" s="1" t="str">
        <f aca="false">IF(OR(F1229="",H1229="",J1229=""),"",J1229&amp;"|"&amp;F1229&amp;"|"&amp;IF(H1229="W3","W3_"&amp;IF(I1229="","unknown",I1229),H1229))</f>
        <v/>
      </c>
      <c r="Q1229" s="1" t="str">
        <f aca="false">IF(P1229="","",IFERROR(IF(AND(H1229="W7",OR(F1229="causal",F1229="predictive")),IF(AND(K1229=1,L1229=1,M1229=1),"adequate","partial"),INDEX(Fit_Matrix!$B:$B,MATCH(P1229,Fit_Matrix!$A:$A,0))),"CHECK KEY"))</f>
        <v/>
      </c>
    </row>
    <row r="1230" customFormat="false" ht="15" hidden="false" customHeight="true" outlineLevel="0" collapsed="false">
      <c r="P1230" s="1" t="str">
        <f aca="false">IF(OR(F1230="",H1230="",J1230=""),"",J1230&amp;"|"&amp;F1230&amp;"|"&amp;IF(H1230="W3","W3_"&amp;IF(I1230="","unknown",I1230),H1230))</f>
        <v/>
      </c>
      <c r="Q1230" s="1" t="str">
        <f aca="false">IF(P1230="","",IFERROR(IF(AND(H1230="W7",OR(F1230="causal",F1230="predictive")),IF(AND(K1230=1,L1230=1,M1230=1),"adequate","partial"),INDEX(Fit_Matrix!$B:$B,MATCH(P1230,Fit_Matrix!$A:$A,0))),"CHECK KEY"))</f>
        <v/>
      </c>
    </row>
    <row r="1231" customFormat="false" ht="15" hidden="false" customHeight="true" outlineLevel="0" collapsed="false">
      <c r="P1231" s="1" t="str">
        <f aca="false">IF(OR(F1231="",H1231="",J1231=""),"",J1231&amp;"|"&amp;F1231&amp;"|"&amp;IF(H1231="W3","W3_"&amp;IF(I1231="","unknown",I1231),H1231))</f>
        <v/>
      </c>
      <c r="Q1231" s="1" t="str">
        <f aca="false">IF(P1231="","",IFERROR(IF(AND(H1231="W7",OR(F1231="causal",F1231="predictive")),IF(AND(K1231=1,L1231=1,M1231=1),"adequate","partial"),INDEX(Fit_Matrix!$B:$B,MATCH(P1231,Fit_Matrix!$A:$A,0))),"CHECK KEY"))</f>
        <v/>
      </c>
    </row>
    <row r="1232" customFormat="false" ht="15" hidden="false" customHeight="true" outlineLevel="0" collapsed="false">
      <c r="P1232" s="1" t="str">
        <f aca="false">IF(OR(F1232="",H1232="",J1232=""),"",J1232&amp;"|"&amp;F1232&amp;"|"&amp;IF(H1232="W3","W3_"&amp;IF(I1232="","unknown",I1232),H1232))</f>
        <v/>
      </c>
      <c r="Q1232" s="1" t="str">
        <f aca="false">IF(P1232="","",IFERROR(IF(AND(H1232="W7",OR(F1232="causal",F1232="predictive")),IF(AND(K1232=1,L1232=1,M1232=1),"adequate","partial"),INDEX(Fit_Matrix!$B:$B,MATCH(P1232,Fit_Matrix!$A:$A,0))),"CHECK KEY"))</f>
        <v/>
      </c>
    </row>
    <row r="1233" customFormat="false" ht="15" hidden="false" customHeight="true" outlineLevel="0" collapsed="false">
      <c r="P1233" s="1" t="str">
        <f aca="false">IF(OR(F1233="",H1233="",J1233=""),"",J1233&amp;"|"&amp;F1233&amp;"|"&amp;IF(H1233="W3","W3_"&amp;IF(I1233="","unknown",I1233),H1233))</f>
        <v/>
      </c>
      <c r="Q1233" s="1" t="str">
        <f aca="false">IF(P1233="","",IFERROR(IF(AND(H1233="W7",OR(F1233="causal",F1233="predictive")),IF(AND(K1233=1,L1233=1,M1233=1),"adequate","partial"),INDEX(Fit_Matrix!$B:$B,MATCH(P1233,Fit_Matrix!$A:$A,0))),"CHECK KEY"))</f>
        <v/>
      </c>
    </row>
    <row r="1234" customFormat="false" ht="15" hidden="false" customHeight="true" outlineLevel="0" collapsed="false">
      <c r="P1234" s="1" t="str">
        <f aca="false">IF(OR(F1234="",H1234="",J1234=""),"",J1234&amp;"|"&amp;F1234&amp;"|"&amp;IF(H1234="W3","W3_"&amp;IF(I1234="","unknown",I1234),H1234))</f>
        <v/>
      </c>
      <c r="Q1234" s="1" t="str">
        <f aca="false">IF(P1234="","",IFERROR(IF(AND(H1234="W7",OR(F1234="causal",F1234="predictive")),IF(AND(K1234=1,L1234=1,M1234=1),"adequate","partial"),INDEX(Fit_Matrix!$B:$B,MATCH(P1234,Fit_Matrix!$A:$A,0))),"CHECK KEY"))</f>
        <v/>
      </c>
    </row>
    <row r="1235" customFormat="false" ht="15" hidden="false" customHeight="true" outlineLevel="0" collapsed="false">
      <c r="P1235" s="1" t="str">
        <f aca="false">IF(OR(F1235="",H1235="",J1235=""),"",J1235&amp;"|"&amp;F1235&amp;"|"&amp;IF(H1235="W3","W3_"&amp;IF(I1235="","unknown",I1235),H1235))</f>
        <v/>
      </c>
      <c r="Q1235" s="1" t="str">
        <f aca="false">IF(P1235="","",IFERROR(IF(AND(H1235="W7",OR(F1235="causal",F1235="predictive")),IF(AND(K1235=1,L1235=1,M1235=1),"adequate","partial"),INDEX(Fit_Matrix!$B:$B,MATCH(P1235,Fit_Matrix!$A:$A,0))),"CHECK KEY"))</f>
        <v/>
      </c>
    </row>
    <row r="1236" customFormat="false" ht="15" hidden="false" customHeight="true" outlineLevel="0" collapsed="false">
      <c r="P1236" s="1" t="str">
        <f aca="false">IF(OR(F1236="",H1236="",J1236=""),"",J1236&amp;"|"&amp;F1236&amp;"|"&amp;IF(H1236="W3","W3_"&amp;IF(I1236="","unknown",I1236),H1236))</f>
        <v/>
      </c>
      <c r="Q1236" s="1" t="str">
        <f aca="false">IF(P1236="","",IFERROR(IF(AND(H1236="W7",OR(F1236="causal",F1236="predictive")),IF(AND(K1236=1,L1236=1,M1236=1),"adequate","partial"),INDEX(Fit_Matrix!$B:$B,MATCH(P1236,Fit_Matrix!$A:$A,0))),"CHECK KEY"))</f>
        <v/>
      </c>
    </row>
    <row r="1237" customFormat="false" ht="15" hidden="false" customHeight="true" outlineLevel="0" collapsed="false">
      <c r="P1237" s="1" t="str">
        <f aca="false">IF(OR(F1237="",H1237="",J1237=""),"",J1237&amp;"|"&amp;F1237&amp;"|"&amp;IF(H1237="W3","W3_"&amp;IF(I1237="","unknown",I1237),H1237))</f>
        <v/>
      </c>
      <c r="Q1237" s="1" t="str">
        <f aca="false">IF(P1237="","",IFERROR(IF(AND(H1237="W7",OR(F1237="causal",F1237="predictive")),IF(AND(K1237=1,L1237=1,M1237=1),"adequate","partial"),INDEX(Fit_Matrix!$B:$B,MATCH(P1237,Fit_Matrix!$A:$A,0))),"CHECK KEY"))</f>
        <v/>
      </c>
    </row>
    <row r="1238" customFormat="false" ht="15" hidden="false" customHeight="true" outlineLevel="0" collapsed="false">
      <c r="P1238" s="1" t="str">
        <f aca="false">IF(OR(F1238="",H1238="",J1238=""),"",J1238&amp;"|"&amp;F1238&amp;"|"&amp;IF(H1238="W3","W3_"&amp;IF(I1238="","unknown",I1238),H1238))</f>
        <v/>
      </c>
      <c r="Q1238" s="1" t="str">
        <f aca="false">IF(P1238="","",IFERROR(IF(AND(H1238="W7",OR(F1238="causal",F1238="predictive")),IF(AND(K1238=1,L1238=1,M1238=1),"adequate","partial"),INDEX(Fit_Matrix!$B:$B,MATCH(P1238,Fit_Matrix!$A:$A,0))),"CHECK KEY"))</f>
        <v/>
      </c>
    </row>
    <row r="1239" customFormat="false" ht="15" hidden="false" customHeight="true" outlineLevel="0" collapsed="false">
      <c r="P1239" s="1" t="str">
        <f aca="false">IF(OR(F1239="",H1239="",J1239=""),"",J1239&amp;"|"&amp;F1239&amp;"|"&amp;IF(H1239="W3","W3_"&amp;IF(I1239="","unknown",I1239),H1239))</f>
        <v/>
      </c>
      <c r="Q1239" s="1" t="str">
        <f aca="false">IF(P1239="","",IFERROR(IF(AND(H1239="W7",OR(F1239="causal",F1239="predictive")),IF(AND(K1239=1,L1239=1,M1239=1),"adequate","partial"),INDEX(Fit_Matrix!$B:$B,MATCH(P1239,Fit_Matrix!$A:$A,0))),"CHECK KEY"))</f>
        <v/>
      </c>
    </row>
    <row r="1240" customFormat="false" ht="15" hidden="false" customHeight="true" outlineLevel="0" collapsed="false">
      <c r="P1240" s="1" t="str">
        <f aca="false">IF(OR(F1240="",H1240="",J1240=""),"",J1240&amp;"|"&amp;F1240&amp;"|"&amp;IF(H1240="W3","W3_"&amp;IF(I1240="","unknown",I1240),H1240))</f>
        <v/>
      </c>
      <c r="Q1240" s="1" t="str">
        <f aca="false">IF(P1240="","",IFERROR(IF(AND(H1240="W7",OR(F1240="causal",F1240="predictive")),IF(AND(K1240=1,L1240=1,M1240=1),"adequate","partial"),INDEX(Fit_Matrix!$B:$B,MATCH(P1240,Fit_Matrix!$A:$A,0))),"CHECK KEY"))</f>
        <v/>
      </c>
    </row>
    <row r="1241" customFormat="false" ht="15" hidden="false" customHeight="true" outlineLevel="0" collapsed="false">
      <c r="P1241" s="1" t="str">
        <f aca="false">IF(OR(F1241="",H1241="",J1241=""),"",J1241&amp;"|"&amp;F1241&amp;"|"&amp;IF(H1241="W3","W3_"&amp;IF(I1241="","unknown",I1241),H1241))</f>
        <v/>
      </c>
      <c r="Q1241" s="1" t="str">
        <f aca="false">IF(P1241="","",IFERROR(IF(AND(H1241="W7",OR(F1241="causal",F1241="predictive")),IF(AND(K1241=1,L1241=1,M1241=1),"adequate","partial"),INDEX(Fit_Matrix!$B:$B,MATCH(P1241,Fit_Matrix!$A:$A,0))),"CHECK KEY"))</f>
        <v/>
      </c>
    </row>
    <row r="1242" customFormat="false" ht="15" hidden="false" customHeight="true" outlineLevel="0" collapsed="false">
      <c r="P1242" s="1" t="str">
        <f aca="false">IF(OR(F1242="",H1242="",J1242=""),"",J1242&amp;"|"&amp;F1242&amp;"|"&amp;IF(H1242="W3","W3_"&amp;IF(I1242="","unknown",I1242),H1242))</f>
        <v/>
      </c>
      <c r="Q1242" s="1" t="str">
        <f aca="false">IF(P1242="","",IFERROR(IF(AND(H1242="W7",OR(F1242="causal",F1242="predictive")),IF(AND(K1242=1,L1242=1,M1242=1),"adequate","partial"),INDEX(Fit_Matrix!$B:$B,MATCH(P1242,Fit_Matrix!$A:$A,0))),"CHECK KEY"))</f>
        <v/>
      </c>
    </row>
    <row r="1243" customFormat="false" ht="15" hidden="false" customHeight="true" outlineLevel="0" collapsed="false">
      <c r="P1243" s="1" t="str">
        <f aca="false">IF(OR(F1243="",H1243="",J1243=""),"",J1243&amp;"|"&amp;F1243&amp;"|"&amp;IF(H1243="W3","W3_"&amp;IF(I1243="","unknown",I1243),H1243))</f>
        <v/>
      </c>
      <c r="Q1243" s="1" t="str">
        <f aca="false">IF(P1243="","",IFERROR(IF(AND(H1243="W7",OR(F1243="causal",F1243="predictive")),IF(AND(K1243=1,L1243=1,M1243=1),"adequate","partial"),INDEX(Fit_Matrix!$B:$B,MATCH(P1243,Fit_Matrix!$A:$A,0))),"CHECK KEY"))</f>
        <v/>
      </c>
    </row>
    <row r="1244" customFormat="false" ht="15" hidden="false" customHeight="true" outlineLevel="0" collapsed="false">
      <c r="P1244" s="1" t="str">
        <f aca="false">IF(OR(F1244="",H1244="",J1244=""),"",J1244&amp;"|"&amp;F1244&amp;"|"&amp;IF(H1244="W3","W3_"&amp;IF(I1244="","unknown",I1244),H1244))</f>
        <v/>
      </c>
      <c r="Q1244" s="1" t="str">
        <f aca="false">IF(P1244="","",IFERROR(IF(AND(H1244="W7",OR(F1244="causal",F1244="predictive")),IF(AND(K1244=1,L1244=1,M1244=1),"adequate","partial"),INDEX(Fit_Matrix!$B:$B,MATCH(P1244,Fit_Matrix!$A:$A,0))),"CHECK KEY"))</f>
        <v/>
      </c>
    </row>
    <row r="1245" customFormat="false" ht="15" hidden="false" customHeight="true" outlineLevel="0" collapsed="false">
      <c r="P1245" s="1" t="str">
        <f aca="false">IF(OR(F1245="",H1245="",J1245=""),"",J1245&amp;"|"&amp;F1245&amp;"|"&amp;IF(H1245="W3","W3_"&amp;IF(I1245="","unknown",I1245),H1245))</f>
        <v/>
      </c>
      <c r="Q1245" s="1" t="str">
        <f aca="false">IF(P1245="","",IFERROR(IF(AND(H1245="W7",OR(F1245="causal",F1245="predictive")),IF(AND(K1245=1,L1245=1,M1245=1),"adequate","partial"),INDEX(Fit_Matrix!$B:$B,MATCH(P1245,Fit_Matrix!$A:$A,0))),"CHECK KEY"))</f>
        <v/>
      </c>
    </row>
    <row r="1246" customFormat="false" ht="15" hidden="false" customHeight="true" outlineLevel="0" collapsed="false">
      <c r="P1246" s="1" t="str">
        <f aca="false">IF(OR(F1246="",H1246="",J1246=""),"",J1246&amp;"|"&amp;F1246&amp;"|"&amp;IF(H1246="W3","W3_"&amp;IF(I1246="","unknown",I1246),H1246))</f>
        <v/>
      </c>
      <c r="Q1246" s="1" t="str">
        <f aca="false">IF(P1246="","",IFERROR(IF(AND(H1246="W7",OR(F1246="causal",F1246="predictive")),IF(AND(K1246=1,L1246=1,M1246=1),"adequate","partial"),INDEX(Fit_Matrix!$B:$B,MATCH(P1246,Fit_Matrix!$A:$A,0))),"CHECK KEY"))</f>
        <v/>
      </c>
    </row>
    <row r="1247" customFormat="false" ht="15" hidden="false" customHeight="true" outlineLevel="0" collapsed="false">
      <c r="P1247" s="1" t="str">
        <f aca="false">IF(OR(F1247="",H1247="",J1247=""),"",J1247&amp;"|"&amp;F1247&amp;"|"&amp;IF(H1247="W3","W3_"&amp;IF(I1247="","unknown",I1247),H1247))</f>
        <v/>
      </c>
      <c r="Q1247" s="1" t="str">
        <f aca="false">IF(P1247="","",IFERROR(IF(AND(H1247="W7",OR(F1247="causal",F1247="predictive")),IF(AND(K1247=1,L1247=1,M1247=1),"adequate","partial"),INDEX(Fit_Matrix!$B:$B,MATCH(P1247,Fit_Matrix!$A:$A,0))),"CHECK KEY"))</f>
        <v/>
      </c>
    </row>
    <row r="1248" customFormat="false" ht="15" hidden="false" customHeight="true" outlineLevel="0" collapsed="false">
      <c r="P1248" s="1" t="str">
        <f aca="false">IF(OR(F1248="",H1248="",J1248=""),"",J1248&amp;"|"&amp;F1248&amp;"|"&amp;IF(H1248="W3","W3_"&amp;IF(I1248="","unknown",I1248),H1248))</f>
        <v/>
      </c>
      <c r="Q1248" s="1" t="str">
        <f aca="false">IF(P1248="","",IFERROR(IF(AND(H1248="W7",OR(F1248="causal",F1248="predictive")),IF(AND(K1248=1,L1248=1,M1248=1),"adequate","partial"),INDEX(Fit_Matrix!$B:$B,MATCH(P1248,Fit_Matrix!$A:$A,0))),"CHECK KEY"))</f>
        <v/>
      </c>
    </row>
    <row r="1249" customFormat="false" ht="15" hidden="false" customHeight="true" outlineLevel="0" collapsed="false">
      <c r="P1249" s="1" t="str">
        <f aca="false">IF(OR(F1249="",H1249="",J1249=""),"",J1249&amp;"|"&amp;F1249&amp;"|"&amp;IF(H1249="W3","W3_"&amp;IF(I1249="","unknown",I1249),H1249))</f>
        <v/>
      </c>
      <c r="Q1249" s="1" t="str">
        <f aca="false">IF(P1249="","",IFERROR(IF(AND(H1249="W7",OR(F1249="causal",F1249="predictive")),IF(AND(K1249=1,L1249=1,M1249=1),"adequate","partial"),INDEX(Fit_Matrix!$B:$B,MATCH(P1249,Fit_Matrix!$A:$A,0))),"CHECK KEY"))</f>
        <v/>
      </c>
    </row>
    <row r="1250" customFormat="false" ht="15" hidden="false" customHeight="true" outlineLevel="0" collapsed="false">
      <c r="P1250" s="1" t="str">
        <f aca="false">IF(OR(F1250="",H1250="",J1250=""),"",J1250&amp;"|"&amp;F1250&amp;"|"&amp;IF(H1250="W3","W3_"&amp;IF(I1250="","unknown",I1250),H1250))</f>
        <v/>
      </c>
      <c r="Q1250" s="1" t="str">
        <f aca="false">IF(P1250="","",IFERROR(IF(AND(H1250="W7",OR(F1250="causal",F1250="predictive")),IF(AND(K1250=1,L1250=1,M1250=1),"adequate","partial"),INDEX(Fit_Matrix!$B:$B,MATCH(P1250,Fit_Matrix!$A:$A,0))),"CHECK KEY"))</f>
        <v/>
      </c>
    </row>
    <row r="1251" customFormat="false" ht="15" hidden="false" customHeight="true" outlineLevel="0" collapsed="false">
      <c r="P1251" s="1" t="str">
        <f aca="false">IF(OR(F1251="",H1251="",J1251=""),"",J1251&amp;"|"&amp;F1251&amp;"|"&amp;IF(H1251="W3","W3_"&amp;IF(I1251="","unknown",I1251),H1251))</f>
        <v/>
      </c>
      <c r="Q1251" s="1" t="str">
        <f aca="false">IF(P1251="","",IFERROR(IF(AND(H1251="W7",OR(F1251="causal",F1251="predictive")),IF(AND(K1251=1,L1251=1,M1251=1),"adequate","partial"),INDEX(Fit_Matrix!$B:$B,MATCH(P1251,Fit_Matrix!$A:$A,0))),"CHECK KEY"))</f>
        <v/>
      </c>
    </row>
    <row r="1252" customFormat="false" ht="15" hidden="false" customHeight="true" outlineLevel="0" collapsed="false">
      <c r="P1252" s="1" t="str">
        <f aca="false">IF(OR(F1252="",H1252="",J1252=""),"",J1252&amp;"|"&amp;F1252&amp;"|"&amp;IF(H1252="W3","W3_"&amp;IF(I1252="","unknown",I1252),H1252))</f>
        <v/>
      </c>
      <c r="Q1252" s="1" t="str">
        <f aca="false">IF(P1252="","",IFERROR(IF(AND(H1252="W7",OR(F1252="causal",F1252="predictive")),IF(AND(K1252=1,L1252=1,M1252=1),"adequate","partial"),INDEX(Fit_Matrix!$B:$B,MATCH(P1252,Fit_Matrix!$A:$A,0))),"CHECK KEY"))</f>
        <v/>
      </c>
    </row>
    <row r="1253" customFormat="false" ht="15" hidden="false" customHeight="true" outlineLevel="0" collapsed="false">
      <c r="P1253" s="1" t="str">
        <f aca="false">IF(OR(F1253="",H1253="",J1253=""),"",J1253&amp;"|"&amp;F1253&amp;"|"&amp;IF(H1253="W3","W3_"&amp;IF(I1253="","unknown",I1253),H1253))</f>
        <v/>
      </c>
      <c r="Q1253" s="1" t="str">
        <f aca="false">IF(P1253="","",IFERROR(IF(AND(H1253="W7",OR(F1253="causal",F1253="predictive")),IF(AND(K1253=1,L1253=1,M1253=1),"adequate","partial"),INDEX(Fit_Matrix!$B:$B,MATCH(P1253,Fit_Matrix!$A:$A,0))),"CHECK KEY"))</f>
        <v/>
      </c>
    </row>
    <row r="1254" customFormat="false" ht="15" hidden="false" customHeight="true" outlineLevel="0" collapsed="false">
      <c r="P1254" s="1" t="str">
        <f aca="false">IF(OR(F1254="",H1254="",J1254=""),"",J1254&amp;"|"&amp;F1254&amp;"|"&amp;IF(H1254="W3","W3_"&amp;IF(I1254="","unknown",I1254),H1254))</f>
        <v/>
      </c>
      <c r="Q1254" s="1" t="str">
        <f aca="false">IF(P1254="","",IFERROR(IF(AND(H1254="W7",OR(F1254="causal",F1254="predictive")),IF(AND(K1254=1,L1254=1,M1254=1),"adequate","partial"),INDEX(Fit_Matrix!$B:$B,MATCH(P1254,Fit_Matrix!$A:$A,0))),"CHECK KEY"))</f>
        <v/>
      </c>
    </row>
    <row r="1255" customFormat="false" ht="15" hidden="false" customHeight="true" outlineLevel="0" collapsed="false">
      <c r="P1255" s="1" t="str">
        <f aca="false">IF(OR(F1255="",H1255="",J1255=""),"",J1255&amp;"|"&amp;F1255&amp;"|"&amp;IF(H1255="W3","W3_"&amp;IF(I1255="","unknown",I1255),H1255))</f>
        <v/>
      </c>
      <c r="Q1255" s="1" t="str">
        <f aca="false">IF(P1255="","",IFERROR(IF(AND(H1255="W7",OR(F1255="causal",F1255="predictive")),IF(AND(K1255=1,L1255=1,M1255=1),"adequate","partial"),INDEX(Fit_Matrix!$B:$B,MATCH(P1255,Fit_Matrix!$A:$A,0))),"CHECK KEY"))</f>
        <v/>
      </c>
    </row>
    <row r="1256" customFormat="false" ht="15" hidden="false" customHeight="true" outlineLevel="0" collapsed="false">
      <c r="P1256" s="1" t="str">
        <f aca="false">IF(OR(F1256="",H1256="",J1256=""),"",J1256&amp;"|"&amp;F1256&amp;"|"&amp;IF(H1256="W3","W3_"&amp;IF(I1256="","unknown",I1256),H1256))</f>
        <v/>
      </c>
      <c r="Q1256" s="1" t="str">
        <f aca="false">IF(P1256="","",IFERROR(IF(AND(H1256="W7",OR(F1256="causal",F1256="predictive")),IF(AND(K1256=1,L1256=1,M1256=1),"adequate","partial"),INDEX(Fit_Matrix!$B:$B,MATCH(P1256,Fit_Matrix!$A:$A,0))),"CHECK KEY"))</f>
        <v/>
      </c>
    </row>
    <row r="1257" customFormat="false" ht="15" hidden="false" customHeight="true" outlineLevel="0" collapsed="false">
      <c r="P1257" s="1" t="str">
        <f aca="false">IF(OR(F1257="",H1257="",J1257=""),"",J1257&amp;"|"&amp;F1257&amp;"|"&amp;IF(H1257="W3","W3_"&amp;IF(I1257="","unknown",I1257),H1257))</f>
        <v/>
      </c>
      <c r="Q1257" s="1" t="str">
        <f aca="false">IF(P1257="","",IFERROR(IF(AND(H1257="W7",OR(F1257="causal",F1257="predictive")),IF(AND(K1257=1,L1257=1,M1257=1),"adequate","partial"),INDEX(Fit_Matrix!$B:$B,MATCH(P1257,Fit_Matrix!$A:$A,0))),"CHECK KEY"))</f>
        <v/>
      </c>
    </row>
    <row r="1258" customFormat="false" ht="15" hidden="false" customHeight="true" outlineLevel="0" collapsed="false">
      <c r="P1258" s="1" t="str">
        <f aca="false">IF(OR(F1258="",H1258="",J1258=""),"",J1258&amp;"|"&amp;F1258&amp;"|"&amp;IF(H1258="W3","W3_"&amp;IF(I1258="","unknown",I1258),H1258))</f>
        <v/>
      </c>
      <c r="Q1258" s="1" t="str">
        <f aca="false">IF(P1258="","",IFERROR(IF(AND(H1258="W7",OR(F1258="causal",F1258="predictive")),IF(AND(K1258=1,L1258=1,M1258=1),"adequate","partial"),INDEX(Fit_Matrix!$B:$B,MATCH(P1258,Fit_Matrix!$A:$A,0))),"CHECK KEY"))</f>
        <v/>
      </c>
    </row>
    <row r="1259" customFormat="false" ht="15" hidden="false" customHeight="true" outlineLevel="0" collapsed="false">
      <c r="P1259" s="1" t="str">
        <f aca="false">IF(OR(F1259="",H1259="",J1259=""),"",J1259&amp;"|"&amp;F1259&amp;"|"&amp;IF(H1259="W3","W3_"&amp;IF(I1259="","unknown",I1259),H1259))</f>
        <v/>
      </c>
      <c r="Q1259" s="1" t="str">
        <f aca="false">IF(P1259="","",IFERROR(IF(AND(H1259="W7",OR(F1259="causal",F1259="predictive")),IF(AND(K1259=1,L1259=1,M1259=1),"adequate","partial"),INDEX(Fit_Matrix!$B:$B,MATCH(P1259,Fit_Matrix!$A:$A,0))),"CHECK KEY"))</f>
        <v/>
      </c>
    </row>
    <row r="1260" customFormat="false" ht="15" hidden="false" customHeight="true" outlineLevel="0" collapsed="false">
      <c r="P1260" s="1" t="str">
        <f aca="false">IF(OR(F1260="",H1260="",J1260=""),"",J1260&amp;"|"&amp;F1260&amp;"|"&amp;IF(H1260="W3","W3_"&amp;IF(I1260="","unknown",I1260),H1260))</f>
        <v/>
      </c>
      <c r="Q1260" s="1" t="str">
        <f aca="false">IF(P1260="","",IFERROR(IF(AND(H1260="W7",OR(F1260="causal",F1260="predictive")),IF(AND(K1260=1,L1260=1,M1260=1),"adequate","partial"),INDEX(Fit_Matrix!$B:$B,MATCH(P1260,Fit_Matrix!$A:$A,0))),"CHECK KEY"))</f>
        <v/>
      </c>
    </row>
    <row r="1261" customFormat="false" ht="15" hidden="false" customHeight="true" outlineLevel="0" collapsed="false">
      <c r="P1261" s="1" t="str">
        <f aca="false">IF(OR(F1261="",H1261="",J1261=""),"",J1261&amp;"|"&amp;F1261&amp;"|"&amp;IF(H1261="W3","W3_"&amp;IF(I1261="","unknown",I1261),H1261))</f>
        <v/>
      </c>
      <c r="Q1261" s="1" t="str">
        <f aca="false">IF(P1261="","",IFERROR(IF(AND(H1261="W7",OR(F1261="causal",F1261="predictive")),IF(AND(K1261=1,L1261=1,M1261=1),"adequate","partial"),INDEX(Fit_Matrix!$B:$B,MATCH(P1261,Fit_Matrix!$A:$A,0))),"CHECK KEY"))</f>
        <v/>
      </c>
    </row>
    <row r="1262" customFormat="false" ht="15" hidden="false" customHeight="true" outlineLevel="0" collapsed="false">
      <c r="P1262" s="1" t="str">
        <f aca="false">IF(OR(F1262="",H1262="",J1262=""),"",J1262&amp;"|"&amp;F1262&amp;"|"&amp;IF(H1262="W3","W3_"&amp;IF(I1262="","unknown",I1262),H1262))</f>
        <v/>
      </c>
      <c r="Q1262" s="1" t="str">
        <f aca="false">IF(P1262="","",IFERROR(IF(AND(H1262="W7",OR(F1262="causal",F1262="predictive")),IF(AND(K1262=1,L1262=1,M1262=1),"adequate","partial"),INDEX(Fit_Matrix!$B:$B,MATCH(P1262,Fit_Matrix!$A:$A,0))),"CHECK KEY"))</f>
        <v/>
      </c>
    </row>
    <row r="1263" customFormat="false" ht="15" hidden="false" customHeight="true" outlineLevel="0" collapsed="false">
      <c r="P1263" s="1" t="str">
        <f aca="false">IF(OR(F1263="",H1263="",J1263=""),"",J1263&amp;"|"&amp;F1263&amp;"|"&amp;IF(H1263="W3","W3_"&amp;IF(I1263="","unknown",I1263),H1263))</f>
        <v/>
      </c>
      <c r="Q1263" s="1" t="str">
        <f aca="false">IF(P1263="","",IFERROR(IF(AND(H1263="W7",OR(F1263="causal",F1263="predictive")),IF(AND(K1263=1,L1263=1,M1263=1),"adequate","partial"),INDEX(Fit_Matrix!$B:$B,MATCH(P1263,Fit_Matrix!$A:$A,0))),"CHECK KEY"))</f>
        <v/>
      </c>
    </row>
    <row r="1264" customFormat="false" ht="15" hidden="false" customHeight="true" outlineLevel="0" collapsed="false">
      <c r="P1264" s="1" t="str">
        <f aca="false">IF(OR(F1264="",H1264="",J1264=""),"",J1264&amp;"|"&amp;F1264&amp;"|"&amp;IF(H1264="W3","W3_"&amp;IF(I1264="","unknown",I1264),H1264))</f>
        <v/>
      </c>
      <c r="Q1264" s="1" t="str">
        <f aca="false">IF(P1264="","",IFERROR(IF(AND(H1264="W7",OR(F1264="causal",F1264="predictive")),IF(AND(K1264=1,L1264=1,M1264=1),"adequate","partial"),INDEX(Fit_Matrix!$B:$B,MATCH(P1264,Fit_Matrix!$A:$A,0))),"CHECK KEY"))</f>
        <v/>
      </c>
    </row>
    <row r="1265" customFormat="false" ht="15" hidden="false" customHeight="true" outlineLevel="0" collapsed="false">
      <c r="P1265" s="1" t="str">
        <f aca="false">IF(OR(F1265="",H1265="",J1265=""),"",J1265&amp;"|"&amp;F1265&amp;"|"&amp;IF(H1265="W3","W3_"&amp;IF(I1265="","unknown",I1265),H1265))</f>
        <v/>
      </c>
      <c r="Q1265" s="1" t="str">
        <f aca="false">IF(P1265="","",IFERROR(IF(AND(H1265="W7",OR(F1265="causal",F1265="predictive")),IF(AND(K1265=1,L1265=1,M1265=1),"adequate","partial"),INDEX(Fit_Matrix!$B:$B,MATCH(P1265,Fit_Matrix!$A:$A,0))),"CHECK KEY"))</f>
        <v/>
      </c>
    </row>
    <row r="1266" customFormat="false" ht="15" hidden="false" customHeight="true" outlineLevel="0" collapsed="false">
      <c r="P1266" s="1" t="str">
        <f aca="false">IF(OR(F1266="",H1266="",J1266=""),"",J1266&amp;"|"&amp;F1266&amp;"|"&amp;IF(H1266="W3","W3_"&amp;IF(I1266="","unknown",I1266),H1266))</f>
        <v/>
      </c>
      <c r="Q1266" s="1" t="str">
        <f aca="false">IF(P1266="","",IFERROR(IF(AND(H1266="W7",OR(F1266="causal",F1266="predictive")),IF(AND(K1266=1,L1266=1,M1266=1),"adequate","partial"),INDEX(Fit_Matrix!$B:$B,MATCH(P1266,Fit_Matrix!$A:$A,0))),"CHECK KEY"))</f>
        <v/>
      </c>
    </row>
    <row r="1267" customFormat="false" ht="15" hidden="false" customHeight="true" outlineLevel="0" collapsed="false">
      <c r="P1267" s="1" t="str">
        <f aca="false">IF(OR(F1267="",H1267="",J1267=""),"",J1267&amp;"|"&amp;F1267&amp;"|"&amp;IF(H1267="W3","W3_"&amp;IF(I1267="","unknown",I1267),H1267))</f>
        <v/>
      </c>
      <c r="Q1267" s="1" t="str">
        <f aca="false">IF(P1267="","",IFERROR(IF(AND(H1267="W7",OR(F1267="causal",F1267="predictive")),IF(AND(K1267=1,L1267=1,M1267=1),"adequate","partial"),INDEX(Fit_Matrix!$B:$B,MATCH(P1267,Fit_Matrix!$A:$A,0))),"CHECK KEY"))</f>
        <v/>
      </c>
    </row>
    <row r="1268" customFormat="false" ht="15" hidden="false" customHeight="true" outlineLevel="0" collapsed="false">
      <c r="P1268" s="1" t="str">
        <f aca="false">IF(OR(F1268="",H1268="",J1268=""),"",J1268&amp;"|"&amp;F1268&amp;"|"&amp;IF(H1268="W3","W3_"&amp;IF(I1268="","unknown",I1268),H1268))</f>
        <v/>
      </c>
      <c r="Q1268" s="1" t="str">
        <f aca="false">IF(P1268="","",IFERROR(IF(AND(H1268="W7",OR(F1268="causal",F1268="predictive")),IF(AND(K1268=1,L1268=1,M1268=1),"adequate","partial"),INDEX(Fit_Matrix!$B:$B,MATCH(P1268,Fit_Matrix!$A:$A,0))),"CHECK KEY"))</f>
        <v/>
      </c>
    </row>
    <row r="1269" customFormat="false" ht="15" hidden="false" customHeight="true" outlineLevel="0" collapsed="false">
      <c r="P1269" s="1" t="str">
        <f aca="false">IF(OR(F1269="",H1269="",J1269=""),"",J1269&amp;"|"&amp;F1269&amp;"|"&amp;IF(H1269="W3","W3_"&amp;IF(I1269="","unknown",I1269),H1269))</f>
        <v/>
      </c>
      <c r="Q1269" s="1" t="str">
        <f aca="false">IF(P1269="","",IFERROR(IF(AND(H1269="W7",OR(F1269="causal",F1269="predictive")),IF(AND(K1269=1,L1269=1,M1269=1),"adequate","partial"),INDEX(Fit_Matrix!$B:$B,MATCH(P1269,Fit_Matrix!$A:$A,0))),"CHECK KEY"))</f>
        <v/>
      </c>
    </row>
    <row r="1270" customFormat="false" ht="15" hidden="false" customHeight="true" outlineLevel="0" collapsed="false">
      <c r="P1270" s="1" t="str">
        <f aca="false">IF(OR(F1270="",H1270="",J1270=""),"",J1270&amp;"|"&amp;F1270&amp;"|"&amp;IF(H1270="W3","W3_"&amp;IF(I1270="","unknown",I1270),H1270))</f>
        <v/>
      </c>
      <c r="Q1270" s="1" t="str">
        <f aca="false">IF(P1270="","",IFERROR(IF(AND(H1270="W7",OR(F1270="causal",F1270="predictive")),IF(AND(K1270=1,L1270=1,M1270=1),"adequate","partial"),INDEX(Fit_Matrix!$B:$B,MATCH(P1270,Fit_Matrix!$A:$A,0))),"CHECK KEY"))</f>
        <v/>
      </c>
    </row>
    <row r="1271" customFormat="false" ht="15" hidden="false" customHeight="true" outlineLevel="0" collapsed="false">
      <c r="P1271" s="1" t="str">
        <f aca="false">IF(OR(F1271="",H1271="",J1271=""),"",J1271&amp;"|"&amp;F1271&amp;"|"&amp;IF(H1271="W3","W3_"&amp;IF(I1271="","unknown",I1271),H1271))</f>
        <v/>
      </c>
      <c r="Q1271" s="1" t="str">
        <f aca="false">IF(P1271="","",IFERROR(IF(AND(H1271="W7",OR(F1271="causal",F1271="predictive")),IF(AND(K1271=1,L1271=1,M1271=1),"adequate","partial"),INDEX(Fit_Matrix!$B:$B,MATCH(P1271,Fit_Matrix!$A:$A,0))),"CHECK KEY"))</f>
        <v/>
      </c>
    </row>
    <row r="1272" customFormat="false" ht="15" hidden="false" customHeight="true" outlineLevel="0" collapsed="false">
      <c r="P1272" s="1" t="str">
        <f aca="false">IF(OR(F1272="",H1272="",J1272=""),"",J1272&amp;"|"&amp;F1272&amp;"|"&amp;IF(H1272="W3","W3_"&amp;IF(I1272="","unknown",I1272),H1272))</f>
        <v/>
      </c>
      <c r="Q1272" s="1" t="str">
        <f aca="false">IF(P1272="","",IFERROR(IF(AND(H1272="W7",OR(F1272="causal",F1272="predictive")),IF(AND(K1272=1,L1272=1,M1272=1),"adequate","partial"),INDEX(Fit_Matrix!$B:$B,MATCH(P1272,Fit_Matrix!$A:$A,0))),"CHECK KEY"))</f>
        <v/>
      </c>
    </row>
    <row r="1273" customFormat="false" ht="15" hidden="false" customHeight="true" outlineLevel="0" collapsed="false">
      <c r="P1273" s="1" t="str">
        <f aca="false">IF(OR(F1273="",H1273="",J1273=""),"",J1273&amp;"|"&amp;F1273&amp;"|"&amp;IF(H1273="W3","W3_"&amp;IF(I1273="","unknown",I1273),H1273))</f>
        <v/>
      </c>
      <c r="Q1273" s="1" t="str">
        <f aca="false">IF(P1273="","",IFERROR(IF(AND(H1273="W7",OR(F1273="causal",F1273="predictive")),IF(AND(K1273=1,L1273=1,M1273=1),"adequate","partial"),INDEX(Fit_Matrix!$B:$B,MATCH(P1273,Fit_Matrix!$A:$A,0))),"CHECK KEY"))</f>
        <v/>
      </c>
    </row>
    <row r="1274" customFormat="false" ht="15" hidden="false" customHeight="true" outlineLevel="0" collapsed="false">
      <c r="P1274" s="1" t="str">
        <f aca="false">IF(OR(F1274="",H1274="",J1274=""),"",J1274&amp;"|"&amp;F1274&amp;"|"&amp;IF(H1274="W3","W3_"&amp;IF(I1274="","unknown",I1274),H1274))</f>
        <v/>
      </c>
      <c r="Q1274" s="1" t="str">
        <f aca="false">IF(P1274="","",IFERROR(IF(AND(H1274="W7",OR(F1274="causal",F1274="predictive")),IF(AND(K1274=1,L1274=1,M1274=1),"adequate","partial"),INDEX(Fit_Matrix!$B:$B,MATCH(P1274,Fit_Matrix!$A:$A,0))),"CHECK KEY"))</f>
        <v/>
      </c>
    </row>
    <row r="1275" customFormat="false" ht="15" hidden="false" customHeight="true" outlineLevel="0" collapsed="false">
      <c r="P1275" s="1" t="str">
        <f aca="false">IF(OR(F1275="",H1275="",J1275=""),"",J1275&amp;"|"&amp;F1275&amp;"|"&amp;IF(H1275="W3","W3_"&amp;IF(I1275="","unknown",I1275),H1275))</f>
        <v/>
      </c>
      <c r="Q1275" s="1" t="str">
        <f aca="false">IF(P1275="","",IFERROR(IF(AND(H1275="W7",OR(F1275="causal",F1275="predictive")),IF(AND(K1275=1,L1275=1,M1275=1),"adequate","partial"),INDEX(Fit_Matrix!$B:$B,MATCH(P1275,Fit_Matrix!$A:$A,0))),"CHECK KEY"))</f>
        <v/>
      </c>
    </row>
    <row r="1276" customFormat="false" ht="15" hidden="false" customHeight="true" outlineLevel="0" collapsed="false">
      <c r="P1276" s="1" t="str">
        <f aca="false">IF(OR(F1276="",H1276="",J1276=""),"",J1276&amp;"|"&amp;F1276&amp;"|"&amp;IF(H1276="W3","W3_"&amp;IF(I1276="","unknown",I1276),H1276))</f>
        <v/>
      </c>
      <c r="Q1276" s="1" t="str">
        <f aca="false">IF(P1276="","",IFERROR(IF(AND(H1276="W7",OR(F1276="causal",F1276="predictive")),IF(AND(K1276=1,L1276=1,M1276=1),"adequate","partial"),INDEX(Fit_Matrix!$B:$B,MATCH(P1276,Fit_Matrix!$A:$A,0))),"CHECK KEY"))</f>
        <v/>
      </c>
    </row>
    <row r="1277" customFormat="false" ht="15" hidden="false" customHeight="true" outlineLevel="0" collapsed="false">
      <c r="P1277" s="1" t="str">
        <f aca="false">IF(OR(F1277="",H1277="",J1277=""),"",J1277&amp;"|"&amp;F1277&amp;"|"&amp;IF(H1277="W3","W3_"&amp;IF(I1277="","unknown",I1277),H1277))</f>
        <v/>
      </c>
      <c r="Q1277" s="1" t="str">
        <f aca="false">IF(P1277="","",IFERROR(IF(AND(H1277="W7",OR(F1277="causal",F1277="predictive")),IF(AND(K1277=1,L1277=1,M1277=1),"adequate","partial"),INDEX(Fit_Matrix!$B:$B,MATCH(P1277,Fit_Matrix!$A:$A,0))),"CHECK KEY"))</f>
        <v/>
      </c>
    </row>
    <row r="1278" customFormat="false" ht="15" hidden="false" customHeight="true" outlineLevel="0" collapsed="false">
      <c r="P1278" s="1" t="str">
        <f aca="false">IF(OR(F1278="",H1278="",J1278=""),"",J1278&amp;"|"&amp;F1278&amp;"|"&amp;IF(H1278="W3","W3_"&amp;IF(I1278="","unknown",I1278),H1278))</f>
        <v/>
      </c>
      <c r="Q1278" s="1" t="str">
        <f aca="false">IF(P1278="","",IFERROR(IF(AND(H1278="W7",OR(F1278="causal",F1278="predictive")),IF(AND(K1278=1,L1278=1,M1278=1),"adequate","partial"),INDEX(Fit_Matrix!$B:$B,MATCH(P1278,Fit_Matrix!$A:$A,0))),"CHECK KEY"))</f>
        <v/>
      </c>
    </row>
    <row r="1279" customFormat="false" ht="15" hidden="false" customHeight="true" outlineLevel="0" collapsed="false">
      <c r="P1279" s="1" t="str">
        <f aca="false">IF(OR(F1279="",H1279="",J1279=""),"",J1279&amp;"|"&amp;F1279&amp;"|"&amp;IF(H1279="W3","W3_"&amp;IF(I1279="","unknown",I1279),H1279))</f>
        <v/>
      </c>
      <c r="Q1279" s="1" t="str">
        <f aca="false">IF(P1279="","",IFERROR(IF(AND(H1279="W7",OR(F1279="causal",F1279="predictive")),IF(AND(K1279=1,L1279=1,M1279=1),"adequate","partial"),INDEX(Fit_Matrix!$B:$B,MATCH(P1279,Fit_Matrix!$A:$A,0))),"CHECK KEY"))</f>
        <v/>
      </c>
    </row>
    <row r="1280" customFormat="false" ht="15" hidden="false" customHeight="true" outlineLevel="0" collapsed="false">
      <c r="P1280" s="1" t="str">
        <f aca="false">IF(OR(F1280="",H1280="",J1280=""),"",J1280&amp;"|"&amp;F1280&amp;"|"&amp;IF(H1280="W3","W3_"&amp;IF(I1280="","unknown",I1280),H1280))</f>
        <v/>
      </c>
      <c r="Q1280" s="1" t="str">
        <f aca="false">IF(P1280="","",IFERROR(IF(AND(H1280="W7",OR(F1280="causal",F1280="predictive")),IF(AND(K1280=1,L1280=1,M1280=1),"adequate","partial"),INDEX(Fit_Matrix!$B:$B,MATCH(P1280,Fit_Matrix!$A:$A,0))),"CHECK KEY"))</f>
        <v/>
      </c>
    </row>
    <row r="1281" customFormat="false" ht="15" hidden="false" customHeight="true" outlineLevel="0" collapsed="false">
      <c r="P1281" s="1" t="str">
        <f aca="false">IF(OR(F1281="",H1281="",J1281=""),"",J1281&amp;"|"&amp;F1281&amp;"|"&amp;IF(H1281="W3","W3_"&amp;IF(I1281="","unknown",I1281),H1281))</f>
        <v/>
      </c>
      <c r="Q1281" s="1" t="str">
        <f aca="false">IF(P1281="","",IFERROR(IF(AND(H1281="W7",OR(F1281="causal",F1281="predictive")),IF(AND(K1281=1,L1281=1,M1281=1),"adequate","partial"),INDEX(Fit_Matrix!$B:$B,MATCH(P1281,Fit_Matrix!$A:$A,0))),"CHECK KEY"))</f>
        <v/>
      </c>
    </row>
    <row r="1282" customFormat="false" ht="15" hidden="false" customHeight="true" outlineLevel="0" collapsed="false">
      <c r="P1282" s="1" t="str">
        <f aca="false">IF(OR(F1282="",H1282="",J1282=""),"",J1282&amp;"|"&amp;F1282&amp;"|"&amp;IF(H1282="W3","W3_"&amp;IF(I1282="","unknown",I1282),H1282))</f>
        <v/>
      </c>
      <c r="Q1282" s="1" t="str">
        <f aca="false">IF(P1282="","",IFERROR(IF(AND(H1282="W7",OR(F1282="causal",F1282="predictive")),IF(AND(K1282=1,L1282=1,M1282=1),"adequate","partial"),INDEX(Fit_Matrix!$B:$B,MATCH(P1282,Fit_Matrix!$A:$A,0))),"CHECK KEY"))</f>
        <v/>
      </c>
    </row>
    <row r="1283" customFormat="false" ht="15" hidden="false" customHeight="true" outlineLevel="0" collapsed="false">
      <c r="P1283" s="1" t="str">
        <f aca="false">IF(OR(F1283="",H1283="",J1283=""),"",J1283&amp;"|"&amp;F1283&amp;"|"&amp;IF(H1283="W3","W3_"&amp;IF(I1283="","unknown",I1283),H1283))</f>
        <v/>
      </c>
      <c r="Q1283" s="1" t="str">
        <f aca="false">IF(P1283="","",IFERROR(IF(AND(H1283="W7",OR(F1283="causal",F1283="predictive")),IF(AND(K1283=1,L1283=1,M1283=1),"adequate","partial"),INDEX(Fit_Matrix!$B:$B,MATCH(P1283,Fit_Matrix!$A:$A,0))),"CHECK KEY"))</f>
        <v/>
      </c>
    </row>
    <row r="1284" customFormat="false" ht="15" hidden="false" customHeight="true" outlineLevel="0" collapsed="false">
      <c r="P1284" s="1" t="str">
        <f aca="false">IF(OR(F1284="",H1284="",J1284=""),"",J1284&amp;"|"&amp;F1284&amp;"|"&amp;IF(H1284="W3","W3_"&amp;IF(I1284="","unknown",I1284),H1284))</f>
        <v/>
      </c>
      <c r="Q1284" s="1" t="str">
        <f aca="false">IF(P1284="","",IFERROR(IF(AND(H1284="W7",OR(F1284="causal",F1284="predictive")),IF(AND(K1284=1,L1284=1,M1284=1),"adequate","partial"),INDEX(Fit_Matrix!$B:$B,MATCH(P1284,Fit_Matrix!$A:$A,0))),"CHECK KEY"))</f>
        <v/>
      </c>
    </row>
    <row r="1285" customFormat="false" ht="15" hidden="false" customHeight="true" outlineLevel="0" collapsed="false">
      <c r="P1285" s="1" t="str">
        <f aca="false">IF(OR(F1285="",H1285="",J1285=""),"",J1285&amp;"|"&amp;F1285&amp;"|"&amp;IF(H1285="W3","W3_"&amp;IF(I1285="","unknown",I1285),H1285))</f>
        <v/>
      </c>
      <c r="Q1285" s="1" t="str">
        <f aca="false">IF(P1285="","",IFERROR(IF(AND(H1285="W7",OR(F1285="causal",F1285="predictive")),IF(AND(K1285=1,L1285=1,M1285=1),"adequate","partial"),INDEX(Fit_Matrix!$B:$B,MATCH(P1285,Fit_Matrix!$A:$A,0))),"CHECK KEY"))</f>
        <v/>
      </c>
    </row>
    <row r="1286" customFormat="false" ht="15" hidden="false" customHeight="true" outlineLevel="0" collapsed="false">
      <c r="P1286" s="1" t="str">
        <f aca="false">IF(OR(F1286="",H1286="",J1286=""),"",J1286&amp;"|"&amp;F1286&amp;"|"&amp;IF(H1286="W3","W3_"&amp;IF(I1286="","unknown",I1286),H1286))</f>
        <v/>
      </c>
      <c r="Q1286" s="1" t="str">
        <f aca="false">IF(P1286="","",IFERROR(IF(AND(H1286="W7",OR(F1286="causal",F1286="predictive")),IF(AND(K1286=1,L1286=1,M1286=1),"adequate","partial"),INDEX(Fit_Matrix!$B:$B,MATCH(P1286,Fit_Matrix!$A:$A,0))),"CHECK KEY"))</f>
        <v/>
      </c>
    </row>
    <row r="1287" customFormat="false" ht="15" hidden="false" customHeight="true" outlineLevel="0" collapsed="false">
      <c r="P1287" s="1" t="str">
        <f aca="false">IF(OR(F1287="",H1287="",J1287=""),"",J1287&amp;"|"&amp;F1287&amp;"|"&amp;IF(H1287="W3","W3_"&amp;IF(I1287="","unknown",I1287),H1287))</f>
        <v/>
      </c>
      <c r="Q1287" s="1" t="str">
        <f aca="false">IF(P1287="","",IFERROR(IF(AND(H1287="W7",OR(F1287="causal",F1287="predictive")),IF(AND(K1287=1,L1287=1,M1287=1),"adequate","partial"),INDEX(Fit_Matrix!$B:$B,MATCH(P1287,Fit_Matrix!$A:$A,0))),"CHECK KEY"))</f>
        <v/>
      </c>
    </row>
    <row r="1288" customFormat="false" ht="15" hidden="false" customHeight="true" outlineLevel="0" collapsed="false">
      <c r="P1288" s="1" t="str">
        <f aca="false">IF(OR(F1288="",H1288="",J1288=""),"",J1288&amp;"|"&amp;F1288&amp;"|"&amp;IF(H1288="W3","W3_"&amp;IF(I1288="","unknown",I1288),H1288))</f>
        <v/>
      </c>
      <c r="Q1288" s="1" t="str">
        <f aca="false">IF(P1288="","",IFERROR(IF(AND(H1288="W7",OR(F1288="causal",F1288="predictive")),IF(AND(K1288=1,L1288=1,M1288=1),"adequate","partial"),INDEX(Fit_Matrix!$B:$B,MATCH(P1288,Fit_Matrix!$A:$A,0))),"CHECK KEY"))</f>
        <v/>
      </c>
    </row>
    <row r="1289" customFormat="false" ht="15" hidden="false" customHeight="true" outlineLevel="0" collapsed="false">
      <c r="P1289" s="1" t="str">
        <f aca="false">IF(OR(F1289="",H1289="",J1289=""),"",J1289&amp;"|"&amp;F1289&amp;"|"&amp;IF(H1289="W3","W3_"&amp;IF(I1289="","unknown",I1289),H1289))</f>
        <v/>
      </c>
      <c r="Q1289" s="1" t="str">
        <f aca="false">IF(P1289="","",IFERROR(IF(AND(H1289="W7",OR(F1289="causal",F1289="predictive")),IF(AND(K1289=1,L1289=1,M1289=1),"adequate","partial"),INDEX(Fit_Matrix!$B:$B,MATCH(P1289,Fit_Matrix!$A:$A,0))),"CHECK KEY"))</f>
        <v/>
      </c>
    </row>
    <row r="1290" customFormat="false" ht="15" hidden="false" customHeight="true" outlineLevel="0" collapsed="false">
      <c r="P1290" s="1" t="str">
        <f aca="false">IF(OR(F1290="",H1290="",J1290=""),"",J1290&amp;"|"&amp;F1290&amp;"|"&amp;IF(H1290="W3","W3_"&amp;IF(I1290="","unknown",I1290),H1290))</f>
        <v/>
      </c>
      <c r="Q1290" s="1" t="str">
        <f aca="false">IF(P1290="","",IFERROR(IF(AND(H1290="W7",OR(F1290="causal",F1290="predictive")),IF(AND(K1290=1,L1290=1,M1290=1),"adequate","partial"),INDEX(Fit_Matrix!$B:$B,MATCH(P1290,Fit_Matrix!$A:$A,0))),"CHECK KEY"))</f>
        <v/>
      </c>
    </row>
    <row r="1291" customFormat="false" ht="15" hidden="false" customHeight="true" outlineLevel="0" collapsed="false">
      <c r="P1291" s="1" t="str">
        <f aca="false">IF(OR(F1291="",H1291="",J1291=""),"",J1291&amp;"|"&amp;F1291&amp;"|"&amp;IF(H1291="W3","W3_"&amp;IF(I1291="","unknown",I1291),H1291))</f>
        <v/>
      </c>
      <c r="Q1291" s="1" t="str">
        <f aca="false">IF(P1291="","",IFERROR(IF(AND(H1291="W7",OR(F1291="causal",F1291="predictive")),IF(AND(K1291=1,L1291=1,M1291=1),"adequate","partial"),INDEX(Fit_Matrix!$B:$B,MATCH(P1291,Fit_Matrix!$A:$A,0))),"CHECK KEY"))</f>
        <v/>
      </c>
    </row>
    <row r="1292" customFormat="false" ht="15" hidden="false" customHeight="true" outlineLevel="0" collapsed="false">
      <c r="P1292" s="1" t="str">
        <f aca="false">IF(OR(F1292="",H1292="",J1292=""),"",J1292&amp;"|"&amp;F1292&amp;"|"&amp;IF(H1292="W3","W3_"&amp;IF(I1292="","unknown",I1292),H1292))</f>
        <v/>
      </c>
      <c r="Q1292" s="1" t="str">
        <f aca="false">IF(P1292="","",IFERROR(IF(AND(H1292="W7",OR(F1292="causal",F1292="predictive")),IF(AND(K1292=1,L1292=1,M1292=1),"adequate","partial"),INDEX(Fit_Matrix!$B:$B,MATCH(P1292,Fit_Matrix!$A:$A,0))),"CHECK KEY"))</f>
        <v/>
      </c>
    </row>
    <row r="1293" customFormat="false" ht="15" hidden="false" customHeight="true" outlineLevel="0" collapsed="false">
      <c r="P1293" s="1" t="str">
        <f aca="false">IF(OR(F1293="",H1293="",J1293=""),"",J1293&amp;"|"&amp;F1293&amp;"|"&amp;IF(H1293="W3","W3_"&amp;IF(I1293="","unknown",I1293),H1293))</f>
        <v/>
      </c>
      <c r="Q1293" s="1" t="str">
        <f aca="false">IF(P1293="","",IFERROR(IF(AND(H1293="W7",OR(F1293="causal",F1293="predictive")),IF(AND(K1293=1,L1293=1,M1293=1),"adequate","partial"),INDEX(Fit_Matrix!$B:$B,MATCH(P1293,Fit_Matrix!$A:$A,0))),"CHECK KEY"))</f>
        <v/>
      </c>
    </row>
    <row r="1294" customFormat="false" ht="15" hidden="false" customHeight="true" outlineLevel="0" collapsed="false">
      <c r="P1294" s="1" t="str">
        <f aca="false">IF(OR(F1294="",H1294="",J1294=""),"",J1294&amp;"|"&amp;F1294&amp;"|"&amp;IF(H1294="W3","W3_"&amp;IF(I1294="","unknown",I1294),H1294))</f>
        <v/>
      </c>
      <c r="Q1294" s="1" t="str">
        <f aca="false">IF(P1294="","",IFERROR(IF(AND(H1294="W7",OR(F1294="causal",F1294="predictive")),IF(AND(K1294=1,L1294=1,M1294=1),"adequate","partial"),INDEX(Fit_Matrix!$B:$B,MATCH(P1294,Fit_Matrix!$A:$A,0))),"CHECK KEY"))</f>
        <v/>
      </c>
    </row>
    <row r="1295" customFormat="false" ht="15" hidden="false" customHeight="true" outlineLevel="0" collapsed="false">
      <c r="P1295" s="1" t="str">
        <f aca="false">IF(OR(F1295="",H1295="",J1295=""),"",J1295&amp;"|"&amp;F1295&amp;"|"&amp;IF(H1295="W3","W3_"&amp;IF(I1295="","unknown",I1295),H1295))</f>
        <v/>
      </c>
      <c r="Q1295" s="1" t="str">
        <f aca="false">IF(P1295="","",IFERROR(IF(AND(H1295="W7",OR(F1295="causal",F1295="predictive")),IF(AND(K1295=1,L1295=1,M1295=1),"adequate","partial"),INDEX(Fit_Matrix!$B:$B,MATCH(P1295,Fit_Matrix!$A:$A,0))),"CHECK KEY"))</f>
        <v/>
      </c>
    </row>
    <row r="1296" customFormat="false" ht="15" hidden="false" customHeight="true" outlineLevel="0" collapsed="false">
      <c r="P1296" s="1" t="str">
        <f aca="false">IF(OR(F1296="",H1296="",J1296=""),"",J1296&amp;"|"&amp;F1296&amp;"|"&amp;IF(H1296="W3","W3_"&amp;IF(I1296="","unknown",I1296),H1296))</f>
        <v/>
      </c>
      <c r="Q1296" s="1" t="str">
        <f aca="false">IF(P1296="","",IFERROR(IF(AND(H1296="W7",OR(F1296="causal",F1296="predictive")),IF(AND(K1296=1,L1296=1,M1296=1),"adequate","partial"),INDEX(Fit_Matrix!$B:$B,MATCH(P1296,Fit_Matrix!$A:$A,0))),"CHECK KEY"))</f>
        <v/>
      </c>
    </row>
    <row r="1297" customFormat="false" ht="15" hidden="false" customHeight="true" outlineLevel="0" collapsed="false">
      <c r="P1297" s="1" t="str">
        <f aca="false">IF(OR(F1297="",H1297="",J1297=""),"",J1297&amp;"|"&amp;F1297&amp;"|"&amp;IF(H1297="W3","W3_"&amp;IF(I1297="","unknown",I1297),H1297))</f>
        <v/>
      </c>
      <c r="Q1297" s="1" t="str">
        <f aca="false">IF(P1297="","",IFERROR(IF(AND(H1297="W7",OR(F1297="causal",F1297="predictive")),IF(AND(K1297=1,L1297=1,M1297=1),"adequate","partial"),INDEX(Fit_Matrix!$B:$B,MATCH(P1297,Fit_Matrix!$A:$A,0))),"CHECK KEY"))</f>
        <v/>
      </c>
    </row>
    <row r="1298" customFormat="false" ht="15" hidden="false" customHeight="true" outlineLevel="0" collapsed="false">
      <c r="P1298" s="1" t="str">
        <f aca="false">IF(OR(F1298="",H1298="",J1298=""),"",J1298&amp;"|"&amp;F1298&amp;"|"&amp;IF(H1298="W3","W3_"&amp;IF(I1298="","unknown",I1298),H1298))</f>
        <v/>
      </c>
      <c r="Q1298" s="1" t="str">
        <f aca="false">IF(P1298="","",IFERROR(IF(AND(H1298="W7",OR(F1298="causal",F1298="predictive")),IF(AND(K1298=1,L1298=1,M1298=1),"adequate","partial"),INDEX(Fit_Matrix!$B:$B,MATCH(P1298,Fit_Matrix!$A:$A,0))),"CHECK KEY"))</f>
        <v/>
      </c>
    </row>
    <row r="1299" customFormat="false" ht="15" hidden="false" customHeight="true" outlineLevel="0" collapsed="false">
      <c r="P1299" s="1" t="str">
        <f aca="false">IF(OR(F1299="",H1299="",J1299=""),"",J1299&amp;"|"&amp;F1299&amp;"|"&amp;IF(H1299="W3","W3_"&amp;IF(I1299="","unknown",I1299),H1299))</f>
        <v/>
      </c>
      <c r="Q1299" s="1" t="str">
        <f aca="false">IF(P1299="","",IFERROR(IF(AND(H1299="W7",OR(F1299="causal",F1299="predictive")),IF(AND(K1299=1,L1299=1,M1299=1),"adequate","partial"),INDEX(Fit_Matrix!$B:$B,MATCH(P1299,Fit_Matrix!$A:$A,0))),"CHECK KEY"))</f>
        <v/>
      </c>
    </row>
    <row r="1300" customFormat="false" ht="15" hidden="false" customHeight="true" outlineLevel="0" collapsed="false">
      <c r="P1300" s="1" t="str">
        <f aca="false">IF(OR(F1300="",H1300="",J1300=""),"",J1300&amp;"|"&amp;F1300&amp;"|"&amp;IF(H1300="W3","W3_"&amp;IF(I1300="","unknown",I1300),H1300))</f>
        <v/>
      </c>
      <c r="Q1300" s="1" t="str">
        <f aca="false">IF(P1300="","",IFERROR(IF(AND(H1300="W7",OR(F1300="causal",F1300="predictive")),IF(AND(K1300=1,L1300=1,M1300=1),"adequate","partial"),INDEX(Fit_Matrix!$B:$B,MATCH(P1300,Fit_Matrix!$A:$A,0))),"CHECK KEY"))</f>
        <v/>
      </c>
    </row>
    <row r="1301" customFormat="false" ht="15" hidden="false" customHeight="true" outlineLevel="0" collapsed="false">
      <c r="P1301" s="1" t="str">
        <f aca="false">IF(OR(F1301="",H1301="",J1301=""),"",J1301&amp;"|"&amp;F1301&amp;"|"&amp;IF(H1301="W3","W3_"&amp;IF(I1301="","unknown",I1301),H1301))</f>
        <v/>
      </c>
      <c r="Q1301" s="1" t="str">
        <f aca="false">IF(P1301="","",IFERROR(IF(AND(H1301="W7",OR(F1301="causal",F1301="predictive")),IF(AND(K1301=1,L1301=1,M1301=1),"adequate","partial"),INDEX(Fit_Matrix!$B:$B,MATCH(P1301,Fit_Matrix!$A:$A,0))),"CHECK KEY"))</f>
        <v/>
      </c>
    </row>
    <row r="1302" customFormat="false" ht="15" hidden="false" customHeight="true" outlineLevel="0" collapsed="false">
      <c r="P1302" s="1" t="str">
        <f aca="false">IF(OR(F1302="",H1302="",J1302=""),"",J1302&amp;"|"&amp;F1302&amp;"|"&amp;IF(H1302="W3","W3_"&amp;IF(I1302="","unknown",I1302),H1302))</f>
        <v/>
      </c>
      <c r="Q1302" s="1" t="str">
        <f aca="false">IF(P1302="","",IFERROR(IF(AND(H1302="W7",OR(F1302="causal",F1302="predictive")),IF(AND(K1302=1,L1302=1,M1302=1),"adequate","partial"),INDEX(Fit_Matrix!$B:$B,MATCH(P1302,Fit_Matrix!$A:$A,0))),"CHECK KEY"))</f>
        <v/>
      </c>
    </row>
    <row r="1303" customFormat="false" ht="15" hidden="false" customHeight="true" outlineLevel="0" collapsed="false">
      <c r="P1303" s="1" t="str">
        <f aca="false">IF(OR(F1303="",H1303="",J1303=""),"",J1303&amp;"|"&amp;F1303&amp;"|"&amp;IF(H1303="W3","W3_"&amp;IF(I1303="","unknown",I1303),H1303))</f>
        <v/>
      </c>
      <c r="Q1303" s="1" t="str">
        <f aca="false">IF(P1303="","",IFERROR(IF(AND(H1303="W7",OR(F1303="causal",F1303="predictive")),IF(AND(K1303=1,L1303=1,M1303=1),"adequate","partial"),INDEX(Fit_Matrix!$B:$B,MATCH(P1303,Fit_Matrix!$A:$A,0))),"CHECK KEY"))</f>
        <v/>
      </c>
    </row>
    <row r="1304" customFormat="false" ht="15" hidden="false" customHeight="true" outlineLevel="0" collapsed="false">
      <c r="P1304" s="1" t="str">
        <f aca="false">IF(OR(F1304="",H1304="",J1304=""),"",J1304&amp;"|"&amp;F1304&amp;"|"&amp;IF(H1304="W3","W3_"&amp;IF(I1304="","unknown",I1304),H1304))</f>
        <v/>
      </c>
      <c r="Q1304" s="1" t="str">
        <f aca="false">IF(P1304="","",IFERROR(IF(AND(H1304="W7",OR(F1304="causal",F1304="predictive")),IF(AND(K1304=1,L1304=1,M1304=1),"adequate","partial"),INDEX(Fit_Matrix!$B:$B,MATCH(P1304,Fit_Matrix!$A:$A,0))),"CHECK KEY"))</f>
        <v/>
      </c>
    </row>
    <row r="1305" customFormat="false" ht="15" hidden="false" customHeight="true" outlineLevel="0" collapsed="false">
      <c r="P1305" s="1" t="str">
        <f aca="false">IF(OR(F1305="",H1305="",J1305=""),"",J1305&amp;"|"&amp;F1305&amp;"|"&amp;IF(H1305="W3","W3_"&amp;IF(I1305="","unknown",I1305),H1305))</f>
        <v/>
      </c>
      <c r="Q1305" s="1" t="str">
        <f aca="false">IF(P1305="","",IFERROR(IF(AND(H1305="W7",OR(F1305="causal",F1305="predictive")),IF(AND(K1305=1,L1305=1,M1305=1),"adequate","partial"),INDEX(Fit_Matrix!$B:$B,MATCH(P1305,Fit_Matrix!$A:$A,0))),"CHECK KEY"))</f>
        <v/>
      </c>
    </row>
    <row r="1306" customFormat="false" ht="15" hidden="false" customHeight="true" outlineLevel="0" collapsed="false">
      <c r="P1306" s="1" t="str">
        <f aca="false">IF(OR(F1306="",H1306="",J1306=""),"",J1306&amp;"|"&amp;F1306&amp;"|"&amp;IF(H1306="W3","W3_"&amp;IF(I1306="","unknown",I1306),H1306))</f>
        <v/>
      </c>
      <c r="Q1306" s="1" t="str">
        <f aca="false">IF(P1306="","",IFERROR(IF(AND(H1306="W7",OR(F1306="causal",F1306="predictive")),IF(AND(K1306=1,L1306=1,M1306=1),"adequate","partial"),INDEX(Fit_Matrix!$B:$B,MATCH(P1306,Fit_Matrix!$A:$A,0))),"CHECK KEY"))</f>
        <v/>
      </c>
    </row>
    <row r="1307" customFormat="false" ht="15" hidden="false" customHeight="true" outlineLevel="0" collapsed="false">
      <c r="P1307" s="1" t="str">
        <f aca="false">IF(OR(F1307="",H1307="",J1307=""),"",J1307&amp;"|"&amp;F1307&amp;"|"&amp;IF(H1307="W3","W3_"&amp;IF(I1307="","unknown",I1307),H1307))</f>
        <v/>
      </c>
      <c r="Q1307" s="1" t="str">
        <f aca="false">IF(P1307="","",IFERROR(IF(AND(H1307="W7",OR(F1307="causal",F1307="predictive")),IF(AND(K1307=1,L1307=1,M1307=1),"adequate","partial"),INDEX(Fit_Matrix!$B:$B,MATCH(P1307,Fit_Matrix!$A:$A,0))),"CHECK KEY"))</f>
        <v/>
      </c>
    </row>
    <row r="1308" customFormat="false" ht="15" hidden="false" customHeight="true" outlineLevel="0" collapsed="false">
      <c r="P1308" s="1" t="str">
        <f aca="false">IF(OR(F1308="",H1308="",J1308=""),"",J1308&amp;"|"&amp;F1308&amp;"|"&amp;IF(H1308="W3","W3_"&amp;IF(I1308="","unknown",I1308),H1308))</f>
        <v/>
      </c>
      <c r="Q1308" s="1" t="str">
        <f aca="false">IF(P1308="","",IFERROR(IF(AND(H1308="W7",OR(F1308="causal",F1308="predictive")),IF(AND(K1308=1,L1308=1,M1308=1),"adequate","partial"),INDEX(Fit_Matrix!$B:$B,MATCH(P1308,Fit_Matrix!$A:$A,0))),"CHECK KEY"))</f>
        <v/>
      </c>
    </row>
    <row r="1309" customFormat="false" ht="15" hidden="false" customHeight="true" outlineLevel="0" collapsed="false">
      <c r="P1309" s="1" t="str">
        <f aca="false">IF(OR(F1309="",H1309="",J1309=""),"",J1309&amp;"|"&amp;F1309&amp;"|"&amp;IF(H1309="W3","W3_"&amp;IF(I1309="","unknown",I1309),H1309))</f>
        <v/>
      </c>
      <c r="Q1309" s="1" t="str">
        <f aca="false">IF(P1309="","",IFERROR(IF(AND(H1309="W7",OR(F1309="causal",F1309="predictive")),IF(AND(K1309=1,L1309=1,M1309=1),"adequate","partial"),INDEX(Fit_Matrix!$B:$B,MATCH(P1309,Fit_Matrix!$A:$A,0))),"CHECK KEY"))</f>
        <v/>
      </c>
    </row>
    <row r="1310" customFormat="false" ht="15" hidden="false" customHeight="true" outlineLevel="0" collapsed="false">
      <c r="P1310" s="1" t="str">
        <f aca="false">IF(OR(F1310="",H1310="",J1310=""),"",J1310&amp;"|"&amp;F1310&amp;"|"&amp;IF(H1310="W3","W3_"&amp;IF(I1310="","unknown",I1310),H1310))</f>
        <v/>
      </c>
      <c r="Q1310" s="1" t="str">
        <f aca="false">IF(P1310="","",IFERROR(IF(AND(H1310="W7",OR(F1310="causal",F1310="predictive")),IF(AND(K1310=1,L1310=1,M1310=1),"adequate","partial"),INDEX(Fit_Matrix!$B:$B,MATCH(P1310,Fit_Matrix!$A:$A,0))),"CHECK KEY"))</f>
        <v/>
      </c>
    </row>
    <row r="1311" customFormat="false" ht="15" hidden="false" customHeight="true" outlineLevel="0" collapsed="false">
      <c r="P1311" s="1" t="str">
        <f aca="false">IF(OR(F1311="",H1311="",J1311=""),"",J1311&amp;"|"&amp;F1311&amp;"|"&amp;IF(H1311="W3","W3_"&amp;IF(I1311="","unknown",I1311),H1311))</f>
        <v/>
      </c>
      <c r="Q1311" s="1" t="str">
        <f aca="false">IF(P1311="","",IFERROR(IF(AND(H1311="W7",OR(F1311="causal",F1311="predictive")),IF(AND(K1311=1,L1311=1,M1311=1),"adequate","partial"),INDEX(Fit_Matrix!$B:$B,MATCH(P1311,Fit_Matrix!$A:$A,0))),"CHECK KEY"))</f>
        <v/>
      </c>
    </row>
    <row r="1312" customFormat="false" ht="15" hidden="false" customHeight="true" outlineLevel="0" collapsed="false">
      <c r="P1312" s="1" t="str">
        <f aca="false">IF(OR(F1312="",H1312="",J1312=""),"",J1312&amp;"|"&amp;F1312&amp;"|"&amp;IF(H1312="W3","W3_"&amp;IF(I1312="","unknown",I1312),H1312))</f>
        <v/>
      </c>
      <c r="Q1312" s="1" t="str">
        <f aca="false">IF(P1312="","",IFERROR(IF(AND(H1312="W7",OR(F1312="causal",F1312="predictive")),IF(AND(K1312=1,L1312=1,M1312=1),"adequate","partial"),INDEX(Fit_Matrix!$B:$B,MATCH(P1312,Fit_Matrix!$A:$A,0))),"CHECK KEY"))</f>
        <v/>
      </c>
    </row>
    <row r="1313" customFormat="false" ht="15" hidden="false" customHeight="true" outlineLevel="0" collapsed="false">
      <c r="P1313" s="1" t="str">
        <f aca="false">IF(OR(F1313="",H1313="",J1313=""),"",J1313&amp;"|"&amp;F1313&amp;"|"&amp;IF(H1313="W3","W3_"&amp;IF(I1313="","unknown",I1313),H1313))</f>
        <v/>
      </c>
      <c r="Q1313" s="1" t="str">
        <f aca="false">IF(P1313="","",IFERROR(IF(AND(H1313="W7",OR(F1313="causal",F1313="predictive")),IF(AND(K1313=1,L1313=1,M1313=1),"adequate","partial"),INDEX(Fit_Matrix!$B:$B,MATCH(P1313,Fit_Matrix!$A:$A,0))),"CHECK KEY"))</f>
        <v/>
      </c>
    </row>
    <row r="1314" customFormat="false" ht="15" hidden="false" customHeight="true" outlineLevel="0" collapsed="false">
      <c r="P1314" s="1" t="str">
        <f aca="false">IF(OR(F1314="",H1314="",J1314=""),"",J1314&amp;"|"&amp;F1314&amp;"|"&amp;IF(H1314="W3","W3_"&amp;IF(I1314="","unknown",I1314),H1314))</f>
        <v/>
      </c>
      <c r="Q1314" s="1" t="str">
        <f aca="false">IF(P1314="","",IFERROR(IF(AND(H1314="W7",OR(F1314="causal",F1314="predictive")),IF(AND(K1314=1,L1314=1,M1314=1),"adequate","partial"),INDEX(Fit_Matrix!$B:$B,MATCH(P1314,Fit_Matrix!$A:$A,0))),"CHECK KEY"))</f>
        <v/>
      </c>
    </row>
    <row r="1315" customFormat="false" ht="15" hidden="false" customHeight="true" outlineLevel="0" collapsed="false">
      <c r="P1315" s="1" t="str">
        <f aca="false">IF(OR(F1315="",H1315="",J1315=""),"",J1315&amp;"|"&amp;F1315&amp;"|"&amp;IF(H1315="W3","W3_"&amp;IF(I1315="","unknown",I1315),H1315))</f>
        <v/>
      </c>
      <c r="Q1315" s="1" t="str">
        <f aca="false">IF(P1315="","",IFERROR(IF(AND(H1315="W7",OR(F1315="causal",F1315="predictive")),IF(AND(K1315=1,L1315=1,M1315=1),"adequate","partial"),INDEX(Fit_Matrix!$B:$B,MATCH(P1315,Fit_Matrix!$A:$A,0))),"CHECK KEY"))</f>
        <v/>
      </c>
    </row>
    <row r="1316" customFormat="false" ht="15" hidden="false" customHeight="true" outlineLevel="0" collapsed="false">
      <c r="P1316" s="1" t="str">
        <f aca="false">IF(OR(F1316="",H1316="",J1316=""),"",J1316&amp;"|"&amp;F1316&amp;"|"&amp;IF(H1316="W3","W3_"&amp;IF(I1316="","unknown",I1316),H1316))</f>
        <v/>
      </c>
      <c r="Q1316" s="1" t="str">
        <f aca="false">IF(P1316="","",IFERROR(IF(AND(H1316="W7",OR(F1316="causal",F1316="predictive")),IF(AND(K1316=1,L1316=1,M1316=1),"adequate","partial"),INDEX(Fit_Matrix!$B:$B,MATCH(P1316,Fit_Matrix!$A:$A,0))),"CHECK KEY"))</f>
        <v/>
      </c>
    </row>
    <row r="1317" customFormat="false" ht="15" hidden="false" customHeight="true" outlineLevel="0" collapsed="false">
      <c r="P1317" s="1" t="str">
        <f aca="false">IF(OR(F1317="",H1317="",J1317=""),"",J1317&amp;"|"&amp;F1317&amp;"|"&amp;IF(H1317="W3","W3_"&amp;IF(I1317="","unknown",I1317),H1317))</f>
        <v/>
      </c>
      <c r="Q1317" s="1" t="str">
        <f aca="false">IF(P1317="","",IFERROR(IF(AND(H1317="W7",OR(F1317="causal",F1317="predictive")),IF(AND(K1317=1,L1317=1,M1317=1),"adequate","partial"),INDEX(Fit_Matrix!$B:$B,MATCH(P1317,Fit_Matrix!$A:$A,0))),"CHECK KEY"))</f>
        <v/>
      </c>
    </row>
    <row r="1318" customFormat="false" ht="15" hidden="false" customHeight="true" outlineLevel="0" collapsed="false">
      <c r="P1318" s="1" t="str">
        <f aca="false">IF(OR(F1318="",H1318="",J1318=""),"",J1318&amp;"|"&amp;F1318&amp;"|"&amp;IF(H1318="W3","W3_"&amp;IF(I1318="","unknown",I1318),H1318))</f>
        <v/>
      </c>
      <c r="Q1318" s="1" t="str">
        <f aca="false">IF(P1318="","",IFERROR(IF(AND(H1318="W7",OR(F1318="causal",F1318="predictive")),IF(AND(K1318=1,L1318=1,M1318=1),"adequate","partial"),INDEX(Fit_Matrix!$B:$B,MATCH(P1318,Fit_Matrix!$A:$A,0))),"CHECK KEY"))</f>
        <v/>
      </c>
    </row>
    <row r="1319" customFormat="false" ht="15" hidden="false" customHeight="true" outlineLevel="0" collapsed="false">
      <c r="P1319" s="1" t="str">
        <f aca="false">IF(OR(F1319="",H1319="",J1319=""),"",J1319&amp;"|"&amp;F1319&amp;"|"&amp;IF(H1319="W3","W3_"&amp;IF(I1319="","unknown",I1319),H1319))</f>
        <v/>
      </c>
      <c r="Q1319" s="1" t="str">
        <f aca="false">IF(P1319="","",IFERROR(IF(AND(H1319="W7",OR(F1319="causal",F1319="predictive")),IF(AND(K1319=1,L1319=1,M1319=1),"adequate","partial"),INDEX(Fit_Matrix!$B:$B,MATCH(P1319,Fit_Matrix!$A:$A,0))),"CHECK KEY"))</f>
        <v/>
      </c>
    </row>
    <row r="1320" customFormat="false" ht="15" hidden="false" customHeight="true" outlineLevel="0" collapsed="false">
      <c r="P1320" s="1" t="str">
        <f aca="false">IF(OR(F1320="",H1320="",J1320=""),"",J1320&amp;"|"&amp;F1320&amp;"|"&amp;IF(H1320="W3","W3_"&amp;IF(I1320="","unknown",I1320),H1320))</f>
        <v/>
      </c>
      <c r="Q1320" s="1" t="str">
        <f aca="false">IF(P1320="","",IFERROR(IF(AND(H1320="W7",OR(F1320="causal",F1320="predictive")),IF(AND(K1320=1,L1320=1,M1320=1),"adequate","partial"),INDEX(Fit_Matrix!$B:$B,MATCH(P1320,Fit_Matrix!$A:$A,0))),"CHECK KEY"))</f>
        <v/>
      </c>
    </row>
    <row r="1321" customFormat="false" ht="15" hidden="false" customHeight="true" outlineLevel="0" collapsed="false">
      <c r="P1321" s="1" t="str">
        <f aca="false">IF(OR(F1321="",H1321="",J1321=""),"",J1321&amp;"|"&amp;F1321&amp;"|"&amp;IF(H1321="W3","W3_"&amp;IF(I1321="","unknown",I1321),H1321))</f>
        <v/>
      </c>
      <c r="Q1321" s="1" t="str">
        <f aca="false">IF(P1321="","",IFERROR(IF(AND(H1321="W7",OR(F1321="causal",F1321="predictive")),IF(AND(K1321=1,L1321=1,M1321=1),"adequate","partial"),INDEX(Fit_Matrix!$B:$B,MATCH(P1321,Fit_Matrix!$A:$A,0))),"CHECK KEY"))</f>
        <v/>
      </c>
    </row>
    <row r="1322" customFormat="false" ht="15" hidden="false" customHeight="true" outlineLevel="0" collapsed="false">
      <c r="P1322" s="1" t="str">
        <f aca="false">IF(OR(F1322="",H1322="",J1322=""),"",J1322&amp;"|"&amp;F1322&amp;"|"&amp;IF(H1322="W3","W3_"&amp;IF(I1322="","unknown",I1322),H1322))</f>
        <v/>
      </c>
      <c r="Q1322" s="1" t="str">
        <f aca="false">IF(P1322="","",IFERROR(IF(AND(H1322="W7",OR(F1322="causal",F1322="predictive")),IF(AND(K1322=1,L1322=1,M1322=1),"adequate","partial"),INDEX(Fit_Matrix!$B:$B,MATCH(P1322,Fit_Matrix!$A:$A,0))),"CHECK KEY"))</f>
        <v/>
      </c>
    </row>
    <row r="1323" customFormat="false" ht="15" hidden="false" customHeight="true" outlineLevel="0" collapsed="false">
      <c r="P1323" s="1" t="str">
        <f aca="false">IF(OR(F1323="",H1323="",J1323=""),"",J1323&amp;"|"&amp;F1323&amp;"|"&amp;IF(H1323="W3","W3_"&amp;IF(I1323="","unknown",I1323),H1323))</f>
        <v/>
      </c>
      <c r="Q1323" s="1" t="str">
        <f aca="false">IF(P1323="","",IFERROR(IF(AND(H1323="W7",OR(F1323="causal",F1323="predictive")),IF(AND(K1323=1,L1323=1,M1323=1),"adequate","partial"),INDEX(Fit_Matrix!$B:$B,MATCH(P1323,Fit_Matrix!$A:$A,0))),"CHECK KEY"))</f>
        <v/>
      </c>
    </row>
    <row r="1324" customFormat="false" ht="15" hidden="false" customHeight="true" outlineLevel="0" collapsed="false">
      <c r="P1324" s="1" t="str">
        <f aca="false">IF(OR(F1324="",H1324="",J1324=""),"",J1324&amp;"|"&amp;F1324&amp;"|"&amp;IF(H1324="W3","W3_"&amp;IF(I1324="","unknown",I1324),H1324))</f>
        <v/>
      </c>
      <c r="Q1324" s="1" t="str">
        <f aca="false">IF(P1324="","",IFERROR(IF(AND(H1324="W7",OR(F1324="causal",F1324="predictive")),IF(AND(K1324=1,L1324=1,M1324=1),"adequate","partial"),INDEX(Fit_Matrix!$B:$B,MATCH(P1324,Fit_Matrix!$A:$A,0))),"CHECK KEY"))</f>
        <v/>
      </c>
    </row>
    <row r="1325" customFormat="false" ht="15" hidden="false" customHeight="true" outlineLevel="0" collapsed="false">
      <c r="P1325" s="1" t="str">
        <f aca="false">IF(OR(F1325="",H1325="",J1325=""),"",J1325&amp;"|"&amp;F1325&amp;"|"&amp;IF(H1325="W3","W3_"&amp;IF(I1325="","unknown",I1325),H1325))</f>
        <v/>
      </c>
      <c r="Q1325" s="1" t="str">
        <f aca="false">IF(P1325="","",IFERROR(IF(AND(H1325="W7",OR(F1325="causal",F1325="predictive")),IF(AND(K1325=1,L1325=1,M1325=1),"adequate","partial"),INDEX(Fit_Matrix!$B:$B,MATCH(P1325,Fit_Matrix!$A:$A,0))),"CHECK KEY"))</f>
        <v/>
      </c>
    </row>
    <row r="1326" customFormat="false" ht="15" hidden="false" customHeight="true" outlineLevel="0" collapsed="false">
      <c r="P1326" s="1" t="str">
        <f aca="false">IF(OR(F1326="",H1326="",J1326=""),"",J1326&amp;"|"&amp;F1326&amp;"|"&amp;IF(H1326="W3","W3_"&amp;IF(I1326="","unknown",I1326),H1326))</f>
        <v/>
      </c>
      <c r="Q1326" s="1" t="str">
        <f aca="false">IF(P1326="","",IFERROR(IF(AND(H1326="W7",OR(F1326="causal",F1326="predictive")),IF(AND(K1326=1,L1326=1,M1326=1),"adequate","partial"),INDEX(Fit_Matrix!$B:$B,MATCH(P1326,Fit_Matrix!$A:$A,0))),"CHECK KEY"))</f>
        <v/>
      </c>
    </row>
    <row r="1327" customFormat="false" ht="15" hidden="false" customHeight="true" outlineLevel="0" collapsed="false">
      <c r="P1327" s="1" t="str">
        <f aca="false">IF(OR(F1327="",H1327="",J1327=""),"",J1327&amp;"|"&amp;F1327&amp;"|"&amp;IF(H1327="W3","W3_"&amp;IF(I1327="","unknown",I1327),H1327))</f>
        <v/>
      </c>
      <c r="Q1327" s="1" t="str">
        <f aca="false">IF(P1327="","",IFERROR(IF(AND(H1327="W7",OR(F1327="causal",F1327="predictive")),IF(AND(K1327=1,L1327=1,M1327=1),"adequate","partial"),INDEX(Fit_Matrix!$B:$B,MATCH(P1327,Fit_Matrix!$A:$A,0))),"CHECK KEY"))</f>
        <v/>
      </c>
    </row>
    <row r="1328" customFormat="false" ht="15" hidden="false" customHeight="true" outlineLevel="0" collapsed="false">
      <c r="P1328" s="1" t="str">
        <f aca="false">IF(OR(F1328="",H1328="",J1328=""),"",J1328&amp;"|"&amp;F1328&amp;"|"&amp;IF(H1328="W3","W3_"&amp;IF(I1328="","unknown",I1328),H1328))</f>
        <v/>
      </c>
      <c r="Q1328" s="1" t="str">
        <f aca="false">IF(P1328="","",IFERROR(IF(AND(H1328="W7",OR(F1328="causal",F1328="predictive")),IF(AND(K1328=1,L1328=1,M1328=1),"adequate","partial"),INDEX(Fit_Matrix!$B:$B,MATCH(P1328,Fit_Matrix!$A:$A,0))),"CHECK KEY"))</f>
        <v/>
      </c>
    </row>
    <row r="1329" customFormat="false" ht="15" hidden="false" customHeight="true" outlineLevel="0" collapsed="false">
      <c r="P1329" s="1" t="str">
        <f aca="false">IF(OR(F1329="",H1329="",J1329=""),"",J1329&amp;"|"&amp;F1329&amp;"|"&amp;IF(H1329="W3","W3_"&amp;IF(I1329="","unknown",I1329),H1329))</f>
        <v/>
      </c>
      <c r="Q1329" s="1" t="str">
        <f aca="false">IF(P1329="","",IFERROR(IF(AND(H1329="W7",OR(F1329="causal",F1329="predictive")),IF(AND(K1329=1,L1329=1,M1329=1),"adequate","partial"),INDEX(Fit_Matrix!$B:$B,MATCH(P1329,Fit_Matrix!$A:$A,0))),"CHECK KEY"))</f>
        <v/>
      </c>
    </row>
    <row r="1330" customFormat="false" ht="15" hidden="false" customHeight="true" outlineLevel="0" collapsed="false">
      <c r="P1330" s="1" t="str">
        <f aca="false">IF(OR(F1330="",H1330="",J1330=""),"",J1330&amp;"|"&amp;F1330&amp;"|"&amp;IF(H1330="W3","W3_"&amp;IF(I1330="","unknown",I1330),H1330))</f>
        <v/>
      </c>
      <c r="Q1330" s="1" t="str">
        <f aca="false">IF(P1330="","",IFERROR(IF(AND(H1330="W7",OR(F1330="causal",F1330="predictive")),IF(AND(K1330=1,L1330=1,M1330=1),"adequate","partial"),INDEX(Fit_Matrix!$B:$B,MATCH(P1330,Fit_Matrix!$A:$A,0))),"CHECK KEY"))</f>
        <v/>
      </c>
    </row>
    <row r="1331" customFormat="false" ht="15" hidden="false" customHeight="true" outlineLevel="0" collapsed="false">
      <c r="P1331" s="1" t="str">
        <f aca="false">IF(OR(F1331="",H1331="",J1331=""),"",J1331&amp;"|"&amp;F1331&amp;"|"&amp;IF(H1331="W3","W3_"&amp;IF(I1331="","unknown",I1331),H1331))</f>
        <v/>
      </c>
      <c r="Q1331" s="1" t="str">
        <f aca="false">IF(P1331="","",IFERROR(IF(AND(H1331="W7",OR(F1331="causal",F1331="predictive")),IF(AND(K1331=1,L1331=1,M1331=1),"adequate","partial"),INDEX(Fit_Matrix!$B:$B,MATCH(P1331,Fit_Matrix!$A:$A,0))),"CHECK KEY"))</f>
        <v/>
      </c>
    </row>
    <row r="1332" customFormat="false" ht="15" hidden="false" customHeight="true" outlineLevel="0" collapsed="false">
      <c r="P1332" s="1" t="str">
        <f aca="false">IF(OR(F1332="",H1332="",J1332=""),"",J1332&amp;"|"&amp;F1332&amp;"|"&amp;IF(H1332="W3","W3_"&amp;IF(I1332="","unknown",I1332),H1332))</f>
        <v/>
      </c>
      <c r="Q1332" s="1" t="str">
        <f aca="false">IF(P1332="","",IFERROR(IF(AND(H1332="W7",OR(F1332="causal",F1332="predictive")),IF(AND(K1332=1,L1332=1,M1332=1),"adequate","partial"),INDEX(Fit_Matrix!$B:$B,MATCH(P1332,Fit_Matrix!$A:$A,0))),"CHECK KEY"))</f>
        <v/>
      </c>
    </row>
    <row r="1333" customFormat="false" ht="15" hidden="false" customHeight="true" outlineLevel="0" collapsed="false">
      <c r="P1333" s="1" t="str">
        <f aca="false">IF(OR(F1333="",H1333="",J1333=""),"",J1333&amp;"|"&amp;F1333&amp;"|"&amp;IF(H1333="W3","W3_"&amp;IF(I1333="","unknown",I1333),H1333))</f>
        <v/>
      </c>
      <c r="Q1333" s="1" t="str">
        <f aca="false">IF(P1333="","",IFERROR(IF(AND(H1333="W7",OR(F1333="causal",F1333="predictive")),IF(AND(K1333=1,L1333=1,M1333=1),"adequate","partial"),INDEX(Fit_Matrix!$B:$B,MATCH(P1333,Fit_Matrix!$A:$A,0))),"CHECK KEY"))</f>
        <v/>
      </c>
    </row>
    <row r="1334" customFormat="false" ht="15" hidden="false" customHeight="true" outlineLevel="0" collapsed="false">
      <c r="P1334" s="1" t="str">
        <f aca="false">IF(OR(F1334="",H1334="",J1334=""),"",J1334&amp;"|"&amp;F1334&amp;"|"&amp;IF(H1334="W3","W3_"&amp;IF(I1334="","unknown",I1334),H1334))</f>
        <v/>
      </c>
      <c r="Q1334" s="1" t="str">
        <f aca="false">IF(P1334="","",IFERROR(IF(AND(H1334="W7",OR(F1334="causal",F1334="predictive")),IF(AND(K1334=1,L1334=1,M1334=1),"adequate","partial"),INDEX(Fit_Matrix!$B:$B,MATCH(P1334,Fit_Matrix!$A:$A,0))),"CHECK KEY"))</f>
        <v/>
      </c>
    </row>
    <row r="1335" customFormat="false" ht="15" hidden="false" customHeight="true" outlineLevel="0" collapsed="false">
      <c r="P1335" s="1" t="str">
        <f aca="false">IF(OR(F1335="",H1335="",J1335=""),"",J1335&amp;"|"&amp;F1335&amp;"|"&amp;IF(H1335="W3","W3_"&amp;IF(I1335="","unknown",I1335),H1335))</f>
        <v/>
      </c>
      <c r="Q1335" s="1" t="str">
        <f aca="false">IF(P1335="","",IFERROR(IF(AND(H1335="W7",OR(F1335="causal",F1335="predictive")),IF(AND(K1335=1,L1335=1,M1335=1),"adequate","partial"),INDEX(Fit_Matrix!$B:$B,MATCH(P1335,Fit_Matrix!$A:$A,0))),"CHECK KEY"))</f>
        <v/>
      </c>
    </row>
    <row r="1336" customFormat="false" ht="15" hidden="false" customHeight="true" outlineLevel="0" collapsed="false">
      <c r="P1336" s="1" t="str">
        <f aca="false">IF(OR(F1336="",H1336="",J1336=""),"",J1336&amp;"|"&amp;F1336&amp;"|"&amp;IF(H1336="W3","W3_"&amp;IF(I1336="","unknown",I1336),H1336))</f>
        <v/>
      </c>
      <c r="Q1336" s="1" t="str">
        <f aca="false">IF(P1336="","",IFERROR(IF(AND(H1336="W7",OR(F1336="causal",F1336="predictive")),IF(AND(K1336=1,L1336=1,M1336=1),"adequate","partial"),INDEX(Fit_Matrix!$B:$B,MATCH(P1336,Fit_Matrix!$A:$A,0))),"CHECK KEY"))</f>
        <v/>
      </c>
    </row>
    <row r="1337" customFormat="false" ht="15" hidden="false" customHeight="true" outlineLevel="0" collapsed="false">
      <c r="P1337" s="1" t="str">
        <f aca="false">IF(OR(F1337="",H1337="",J1337=""),"",J1337&amp;"|"&amp;F1337&amp;"|"&amp;IF(H1337="W3","W3_"&amp;IF(I1337="","unknown",I1337),H1337))</f>
        <v/>
      </c>
      <c r="Q1337" s="1" t="str">
        <f aca="false">IF(P1337="","",IFERROR(IF(AND(H1337="W7",OR(F1337="causal",F1337="predictive")),IF(AND(K1337=1,L1337=1,M1337=1),"adequate","partial"),INDEX(Fit_Matrix!$B:$B,MATCH(P1337,Fit_Matrix!$A:$A,0))),"CHECK KEY"))</f>
        <v/>
      </c>
    </row>
    <row r="1338" customFormat="false" ht="15" hidden="false" customHeight="true" outlineLevel="0" collapsed="false">
      <c r="P1338" s="1" t="str">
        <f aca="false">IF(OR(F1338="",H1338="",J1338=""),"",J1338&amp;"|"&amp;F1338&amp;"|"&amp;IF(H1338="W3","W3_"&amp;IF(I1338="","unknown",I1338),H1338))</f>
        <v/>
      </c>
      <c r="Q1338" s="1" t="str">
        <f aca="false">IF(P1338="","",IFERROR(IF(AND(H1338="W7",OR(F1338="causal",F1338="predictive")),IF(AND(K1338=1,L1338=1,M1338=1),"adequate","partial"),INDEX(Fit_Matrix!$B:$B,MATCH(P1338,Fit_Matrix!$A:$A,0))),"CHECK KEY"))</f>
        <v/>
      </c>
    </row>
    <row r="1339" customFormat="false" ht="15" hidden="false" customHeight="true" outlineLevel="0" collapsed="false">
      <c r="P1339" s="1" t="str">
        <f aca="false">IF(OR(F1339="",H1339="",J1339=""),"",J1339&amp;"|"&amp;F1339&amp;"|"&amp;IF(H1339="W3","W3_"&amp;IF(I1339="","unknown",I1339),H1339))</f>
        <v/>
      </c>
      <c r="Q1339" s="1" t="str">
        <f aca="false">IF(P1339="","",IFERROR(IF(AND(H1339="W7",OR(F1339="causal",F1339="predictive")),IF(AND(K1339=1,L1339=1,M1339=1),"adequate","partial"),INDEX(Fit_Matrix!$B:$B,MATCH(P1339,Fit_Matrix!$A:$A,0))),"CHECK KEY"))</f>
        <v/>
      </c>
    </row>
    <row r="1340" customFormat="false" ht="15" hidden="false" customHeight="true" outlineLevel="0" collapsed="false">
      <c r="P1340" s="1" t="str">
        <f aca="false">IF(OR(F1340="",H1340="",J1340=""),"",J1340&amp;"|"&amp;F1340&amp;"|"&amp;IF(H1340="W3","W3_"&amp;IF(I1340="","unknown",I1340),H1340))</f>
        <v/>
      </c>
      <c r="Q1340" s="1" t="str">
        <f aca="false">IF(P1340="","",IFERROR(IF(AND(H1340="W7",OR(F1340="causal",F1340="predictive")),IF(AND(K1340=1,L1340=1,M1340=1),"adequate","partial"),INDEX(Fit_Matrix!$B:$B,MATCH(P1340,Fit_Matrix!$A:$A,0))),"CHECK KEY"))</f>
        <v/>
      </c>
    </row>
    <row r="1341" customFormat="false" ht="15" hidden="false" customHeight="true" outlineLevel="0" collapsed="false">
      <c r="P1341" s="1" t="str">
        <f aca="false">IF(OR(F1341="",H1341="",J1341=""),"",J1341&amp;"|"&amp;F1341&amp;"|"&amp;IF(H1341="W3","W3_"&amp;IF(I1341="","unknown",I1341),H1341))</f>
        <v/>
      </c>
      <c r="Q1341" s="1" t="str">
        <f aca="false">IF(P1341="","",IFERROR(IF(AND(H1341="W7",OR(F1341="causal",F1341="predictive")),IF(AND(K1341=1,L1341=1,M1341=1),"adequate","partial"),INDEX(Fit_Matrix!$B:$B,MATCH(P1341,Fit_Matrix!$A:$A,0))),"CHECK KEY"))</f>
        <v/>
      </c>
    </row>
    <row r="1342" customFormat="false" ht="15" hidden="false" customHeight="true" outlineLevel="0" collapsed="false">
      <c r="P1342" s="1" t="str">
        <f aca="false">IF(OR(F1342="",H1342="",J1342=""),"",J1342&amp;"|"&amp;F1342&amp;"|"&amp;IF(H1342="W3","W3_"&amp;IF(I1342="","unknown",I1342),H1342))</f>
        <v/>
      </c>
      <c r="Q1342" s="1" t="str">
        <f aca="false">IF(P1342="","",IFERROR(IF(AND(H1342="W7",OR(F1342="causal",F1342="predictive")),IF(AND(K1342=1,L1342=1,M1342=1),"adequate","partial"),INDEX(Fit_Matrix!$B:$B,MATCH(P1342,Fit_Matrix!$A:$A,0))),"CHECK KEY"))</f>
        <v/>
      </c>
    </row>
    <row r="1343" customFormat="false" ht="15" hidden="false" customHeight="true" outlineLevel="0" collapsed="false">
      <c r="P1343" s="1" t="str">
        <f aca="false">IF(OR(F1343="",H1343="",J1343=""),"",J1343&amp;"|"&amp;F1343&amp;"|"&amp;IF(H1343="W3","W3_"&amp;IF(I1343="","unknown",I1343),H1343))</f>
        <v/>
      </c>
      <c r="Q1343" s="1" t="str">
        <f aca="false">IF(P1343="","",IFERROR(IF(AND(H1343="W7",OR(F1343="causal",F1343="predictive")),IF(AND(K1343=1,L1343=1,M1343=1),"adequate","partial"),INDEX(Fit_Matrix!$B:$B,MATCH(P1343,Fit_Matrix!$A:$A,0))),"CHECK KEY"))</f>
        <v/>
      </c>
    </row>
    <row r="1344" customFormat="false" ht="15" hidden="false" customHeight="true" outlineLevel="0" collapsed="false">
      <c r="P1344" s="1" t="str">
        <f aca="false">IF(OR(F1344="",H1344="",J1344=""),"",J1344&amp;"|"&amp;F1344&amp;"|"&amp;IF(H1344="W3","W3_"&amp;IF(I1344="","unknown",I1344),H1344))</f>
        <v/>
      </c>
      <c r="Q1344" s="1" t="str">
        <f aca="false">IF(P1344="","",IFERROR(IF(AND(H1344="W7",OR(F1344="causal",F1344="predictive")),IF(AND(K1344=1,L1344=1,M1344=1),"adequate","partial"),INDEX(Fit_Matrix!$B:$B,MATCH(P1344,Fit_Matrix!$A:$A,0))),"CHECK KEY"))</f>
        <v/>
      </c>
    </row>
    <row r="1345" customFormat="false" ht="15" hidden="false" customHeight="true" outlineLevel="0" collapsed="false">
      <c r="P1345" s="1" t="str">
        <f aca="false">IF(OR(F1345="",H1345="",J1345=""),"",J1345&amp;"|"&amp;F1345&amp;"|"&amp;IF(H1345="W3","W3_"&amp;IF(I1345="","unknown",I1345),H1345))</f>
        <v/>
      </c>
      <c r="Q1345" s="1" t="str">
        <f aca="false">IF(P1345="","",IFERROR(IF(AND(H1345="W7",OR(F1345="causal",F1345="predictive")),IF(AND(K1345=1,L1345=1,M1345=1),"adequate","partial"),INDEX(Fit_Matrix!$B:$B,MATCH(P1345,Fit_Matrix!$A:$A,0))),"CHECK KEY"))</f>
        <v/>
      </c>
    </row>
    <row r="1346" customFormat="false" ht="15" hidden="false" customHeight="true" outlineLevel="0" collapsed="false">
      <c r="P1346" s="1" t="str">
        <f aca="false">IF(OR(F1346="",H1346="",J1346=""),"",J1346&amp;"|"&amp;F1346&amp;"|"&amp;IF(H1346="W3","W3_"&amp;IF(I1346="","unknown",I1346),H1346))</f>
        <v/>
      </c>
      <c r="Q1346" s="1" t="str">
        <f aca="false">IF(P1346="","",IFERROR(IF(AND(H1346="W7",OR(F1346="causal",F1346="predictive")),IF(AND(K1346=1,L1346=1,M1346=1),"adequate","partial"),INDEX(Fit_Matrix!$B:$B,MATCH(P1346,Fit_Matrix!$A:$A,0))),"CHECK KEY"))</f>
        <v/>
      </c>
    </row>
    <row r="1347" customFormat="false" ht="15" hidden="false" customHeight="true" outlineLevel="0" collapsed="false">
      <c r="P1347" s="1" t="str">
        <f aca="false">IF(OR(F1347="",H1347="",J1347=""),"",J1347&amp;"|"&amp;F1347&amp;"|"&amp;IF(H1347="W3","W3_"&amp;IF(I1347="","unknown",I1347),H1347))</f>
        <v/>
      </c>
      <c r="Q1347" s="1" t="str">
        <f aca="false">IF(P1347="","",IFERROR(IF(AND(H1347="W7",OR(F1347="causal",F1347="predictive")),IF(AND(K1347=1,L1347=1,M1347=1),"adequate","partial"),INDEX(Fit_Matrix!$B:$B,MATCH(P1347,Fit_Matrix!$A:$A,0))),"CHECK KEY"))</f>
        <v/>
      </c>
    </row>
    <row r="1348" customFormat="false" ht="15" hidden="false" customHeight="true" outlineLevel="0" collapsed="false">
      <c r="P1348" s="1" t="str">
        <f aca="false">IF(OR(F1348="",H1348="",J1348=""),"",J1348&amp;"|"&amp;F1348&amp;"|"&amp;IF(H1348="W3","W3_"&amp;IF(I1348="","unknown",I1348),H1348))</f>
        <v/>
      </c>
      <c r="Q1348" s="1" t="str">
        <f aca="false">IF(P1348="","",IFERROR(IF(AND(H1348="W7",OR(F1348="causal",F1348="predictive")),IF(AND(K1348=1,L1348=1,M1348=1),"adequate","partial"),INDEX(Fit_Matrix!$B:$B,MATCH(P1348,Fit_Matrix!$A:$A,0))),"CHECK KEY"))</f>
        <v/>
      </c>
    </row>
    <row r="1349" customFormat="false" ht="15" hidden="false" customHeight="true" outlineLevel="0" collapsed="false">
      <c r="P1349" s="1" t="str">
        <f aca="false">IF(OR(F1349="",H1349="",J1349=""),"",J1349&amp;"|"&amp;F1349&amp;"|"&amp;IF(H1349="W3","W3_"&amp;IF(I1349="","unknown",I1349),H1349))</f>
        <v/>
      </c>
      <c r="Q1349" s="1" t="str">
        <f aca="false">IF(P1349="","",IFERROR(IF(AND(H1349="W7",OR(F1349="causal",F1349="predictive")),IF(AND(K1349=1,L1349=1,M1349=1),"adequate","partial"),INDEX(Fit_Matrix!$B:$B,MATCH(P1349,Fit_Matrix!$A:$A,0))),"CHECK KEY"))</f>
        <v/>
      </c>
    </row>
    <row r="1350" customFormat="false" ht="15" hidden="false" customHeight="true" outlineLevel="0" collapsed="false">
      <c r="P1350" s="1" t="str">
        <f aca="false">IF(OR(F1350="",H1350="",J1350=""),"",J1350&amp;"|"&amp;F1350&amp;"|"&amp;IF(H1350="W3","W3_"&amp;IF(I1350="","unknown",I1350),H1350))</f>
        <v/>
      </c>
      <c r="Q1350" s="1" t="str">
        <f aca="false">IF(P1350="","",IFERROR(IF(AND(H1350="W7",OR(F1350="causal",F1350="predictive")),IF(AND(K1350=1,L1350=1,M1350=1),"adequate","partial"),INDEX(Fit_Matrix!$B:$B,MATCH(P1350,Fit_Matrix!$A:$A,0))),"CHECK KEY"))</f>
        <v/>
      </c>
    </row>
    <row r="1351" customFormat="false" ht="15" hidden="false" customHeight="true" outlineLevel="0" collapsed="false">
      <c r="P1351" s="1" t="str">
        <f aca="false">IF(OR(F1351="",H1351="",J1351=""),"",J1351&amp;"|"&amp;F1351&amp;"|"&amp;IF(H1351="W3","W3_"&amp;IF(I1351="","unknown",I1351),H1351))</f>
        <v/>
      </c>
      <c r="Q1351" s="1" t="str">
        <f aca="false">IF(P1351="","",IFERROR(IF(AND(H1351="W7",OR(F1351="causal",F1351="predictive")),IF(AND(K1351=1,L1351=1,M1351=1),"adequate","partial"),INDEX(Fit_Matrix!$B:$B,MATCH(P1351,Fit_Matrix!$A:$A,0))),"CHECK KEY"))</f>
        <v/>
      </c>
    </row>
    <row r="1352" customFormat="false" ht="15" hidden="false" customHeight="true" outlineLevel="0" collapsed="false">
      <c r="P1352" s="1" t="str">
        <f aca="false">IF(OR(F1352="",H1352="",J1352=""),"",J1352&amp;"|"&amp;F1352&amp;"|"&amp;IF(H1352="W3","W3_"&amp;IF(I1352="","unknown",I1352),H1352))</f>
        <v/>
      </c>
      <c r="Q1352" s="1" t="str">
        <f aca="false">IF(P1352="","",IFERROR(IF(AND(H1352="W7",OR(F1352="causal",F1352="predictive")),IF(AND(K1352=1,L1352=1,M1352=1),"adequate","partial"),INDEX(Fit_Matrix!$B:$B,MATCH(P1352,Fit_Matrix!$A:$A,0))),"CHECK KEY"))</f>
        <v/>
      </c>
    </row>
    <row r="1353" customFormat="false" ht="15" hidden="false" customHeight="true" outlineLevel="0" collapsed="false">
      <c r="P1353" s="1" t="str">
        <f aca="false">IF(OR(F1353="",H1353="",J1353=""),"",J1353&amp;"|"&amp;F1353&amp;"|"&amp;IF(H1353="W3","W3_"&amp;IF(I1353="","unknown",I1353),H1353))</f>
        <v/>
      </c>
      <c r="Q1353" s="1" t="str">
        <f aca="false">IF(P1353="","",IFERROR(IF(AND(H1353="W7",OR(F1353="causal",F1353="predictive")),IF(AND(K1353=1,L1353=1,M1353=1),"adequate","partial"),INDEX(Fit_Matrix!$B:$B,MATCH(P1353,Fit_Matrix!$A:$A,0))),"CHECK KEY"))</f>
        <v/>
      </c>
    </row>
    <row r="1354" customFormat="false" ht="15" hidden="false" customHeight="true" outlineLevel="0" collapsed="false">
      <c r="P1354" s="1" t="str">
        <f aca="false">IF(OR(F1354="",H1354="",J1354=""),"",J1354&amp;"|"&amp;F1354&amp;"|"&amp;IF(H1354="W3","W3_"&amp;IF(I1354="","unknown",I1354),H1354))</f>
        <v/>
      </c>
      <c r="Q1354" s="1" t="str">
        <f aca="false">IF(P1354="","",IFERROR(IF(AND(H1354="W7",OR(F1354="causal",F1354="predictive")),IF(AND(K1354=1,L1354=1,M1354=1),"adequate","partial"),INDEX(Fit_Matrix!$B:$B,MATCH(P1354,Fit_Matrix!$A:$A,0))),"CHECK KEY"))</f>
        <v/>
      </c>
    </row>
    <row r="1355" customFormat="false" ht="15" hidden="false" customHeight="true" outlineLevel="0" collapsed="false">
      <c r="P1355" s="1" t="str">
        <f aca="false">IF(OR(F1355="",H1355="",J1355=""),"",J1355&amp;"|"&amp;F1355&amp;"|"&amp;IF(H1355="W3","W3_"&amp;IF(I1355="","unknown",I1355),H1355))</f>
        <v/>
      </c>
      <c r="Q1355" s="1" t="str">
        <f aca="false">IF(P1355="","",IFERROR(IF(AND(H1355="W7",OR(F1355="causal",F1355="predictive")),IF(AND(K1355=1,L1355=1,M1355=1),"adequate","partial"),INDEX(Fit_Matrix!$B:$B,MATCH(P1355,Fit_Matrix!$A:$A,0))),"CHECK KEY"))</f>
        <v/>
      </c>
    </row>
    <row r="1356" customFormat="false" ht="15" hidden="false" customHeight="true" outlineLevel="0" collapsed="false">
      <c r="P1356" s="1" t="str">
        <f aca="false">IF(OR(F1356="",H1356="",J1356=""),"",J1356&amp;"|"&amp;F1356&amp;"|"&amp;IF(H1356="W3","W3_"&amp;IF(I1356="","unknown",I1356),H1356))</f>
        <v/>
      </c>
      <c r="Q1356" s="1" t="str">
        <f aca="false">IF(P1356="","",IFERROR(IF(AND(H1356="W7",OR(F1356="causal",F1356="predictive")),IF(AND(K1356=1,L1356=1,M1356=1),"adequate","partial"),INDEX(Fit_Matrix!$B:$B,MATCH(P1356,Fit_Matrix!$A:$A,0))),"CHECK KEY"))</f>
        <v/>
      </c>
    </row>
    <row r="1357" customFormat="false" ht="15" hidden="false" customHeight="true" outlineLevel="0" collapsed="false">
      <c r="P1357" s="1" t="str">
        <f aca="false">IF(OR(F1357="",H1357="",J1357=""),"",J1357&amp;"|"&amp;F1357&amp;"|"&amp;IF(H1357="W3","W3_"&amp;IF(I1357="","unknown",I1357),H1357))</f>
        <v/>
      </c>
      <c r="Q1357" s="1" t="str">
        <f aca="false">IF(P1357="","",IFERROR(IF(AND(H1357="W7",OR(F1357="causal",F1357="predictive")),IF(AND(K1357=1,L1357=1,M1357=1),"adequate","partial"),INDEX(Fit_Matrix!$B:$B,MATCH(P1357,Fit_Matrix!$A:$A,0))),"CHECK KEY"))</f>
        <v/>
      </c>
    </row>
    <row r="1358" customFormat="false" ht="15" hidden="false" customHeight="true" outlineLevel="0" collapsed="false">
      <c r="P1358" s="1" t="str">
        <f aca="false">IF(OR(F1358="",H1358="",J1358=""),"",J1358&amp;"|"&amp;F1358&amp;"|"&amp;IF(H1358="W3","W3_"&amp;IF(I1358="","unknown",I1358),H1358))</f>
        <v/>
      </c>
      <c r="Q1358" s="1" t="str">
        <f aca="false">IF(P1358="","",IFERROR(IF(AND(H1358="W7",OR(F1358="causal",F1358="predictive")),IF(AND(K1358=1,L1358=1,M1358=1),"adequate","partial"),INDEX(Fit_Matrix!$B:$B,MATCH(P1358,Fit_Matrix!$A:$A,0))),"CHECK KEY"))</f>
        <v/>
      </c>
    </row>
    <row r="1359" customFormat="false" ht="15" hidden="false" customHeight="true" outlineLevel="0" collapsed="false">
      <c r="P1359" s="1" t="str">
        <f aca="false">IF(OR(F1359="",H1359="",J1359=""),"",J1359&amp;"|"&amp;F1359&amp;"|"&amp;IF(H1359="W3","W3_"&amp;IF(I1359="","unknown",I1359),H1359))</f>
        <v/>
      </c>
      <c r="Q1359" s="1" t="str">
        <f aca="false">IF(P1359="","",IFERROR(IF(AND(H1359="W7",OR(F1359="causal",F1359="predictive")),IF(AND(K1359=1,L1359=1,M1359=1),"adequate","partial"),INDEX(Fit_Matrix!$B:$B,MATCH(P1359,Fit_Matrix!$A:$A,0))),"CHECK KEY"))</f>
        <v/>
      </c>
    </row>
    <row r="1360" customFormat="false" ht="15" hidden="false" customHeight="true" outlineLevel="0" collapsed="false">
      <c r="P1360" s="1" t="str">
        <f aca="false">IF(OR(F1360="",H1360="",J1360=""),"",J1360&amp;"|"&amp;F1360&amp;"|"&amp;IF(H1360="W3","W3_"&amp;IF(I1360="","unknown",I1360),H1360))</f>
        <v/>
      </c>
      <c r="Q1360" s="1" t="str">
        <f aca="false">IF(P1360="","",IFERROR(IF(AND(H1360="W7",OR(F1360="causal",F1360="predictive")),IF(AND(K1360=1,L1360=1,M1360=1),"adequate","partial"),INDEX(Fit_Matrix!$B:$B,MATCH(P1360,Fit_Matrix!$A:$A,0))),"CHECK KEY"))</f>
        <v/>
      </c>
    </row>
    <row r="1361" customFormat="false" ht="15" hidden="false" customHeight="true" outlineLevel="0" collapsed="false">
      <c r="P1361" s="1" t="str">
        <f aca="false">IF(OR(F1361="",H1361="",J1361=""),"",J1361&amp;"|"&amp;F1361&amp;"|"&amp;IF(H1361="W3","W3_"&amp;IF(I1361="","unknown",I1361),H1361))</f>
        <v/>
      </c>
      <c r="Q1361" s="1" t="str">
        <f aca="false">IF(P1361="","",IFERROR(IF(AND(H1361="W7",OR(F1361="causal",F1361="predictive")),IF(AND(K1361=1,L1361=1,M1361=1),"adequate","partial"),INDEX(Fit_Matrix!$B:$B,MATCH(P1361,Fit_Matrix!$A:$A,0))),"CHECK KEY"))</f>
        <v/>
      </c>
    </row>
    <row r="1362" customFormat="false" ht="15" hidden="false" customHeight="true" outlineLevel="0" collapsed="false">
      <c r="P1362" s="1" t="str">
        <f aca="false">IF(OR(F1362="",H1362="",J1362=""),"",J1362&amp;"|"&amp;F1362&amp;"|"&amp;IF(H1362="W3","W3_"&amp;IF(I1362="","unknown",I1362),H1362))</f>
        <v/>
      </c>
      <c r="Q1362" s="1" t="str">
        <f aca="false">IF(P1362="","",IFERROR(IF(AND(H1362="W7",OR(F1362="causal",F1362="predictive")),IF(AND(K1362=1,L1362=1,M1362=1),"adequate","partial"),INDEX(Fit_Matrix!$B:$B,MATCH(P1362,Fit_Matrix!$A:$A,0))),"CHECK KEY"))</f>
        <v/>
      </c>
    </row>
    <row r="1363" customFormat="false" ht="15" hidden="false" customHeight="true" outlineLevel="0" collapsed="false">
      <c r="P1363" s="1" t="str">
        <f aca="false">IF(OR(F1363="",H1363="",J1363=""),"",J1363&amp;"|"&amp;F1363&amp;"|"&amp;IF(H1363="W3","W3_"&amp;IF(I1363="","unknown",I1363),H1363))</f>
        <v/>
      </c>
      <c r="Q1363" s="1" t="str">
        <f aca="false">IF(P1363="","",IFERROR(IF(AND(H1363="W7",OR(F1363="causal",F1363="predictive")),IF(AND(K1363=1,L1363=1,M1363=1),"adequate","partial"),INDEX(Fit_Matrix!$B:$B,MATCH(P1363,Fit_Matrix!$A:$A,0))),"CHECK KEY"))</f>
        <v/>
      </c>
    </row>
    <row r="1364" customFormat="false" ht="15" hidden="false" customHeight="true" outlineLevel="0" collapsed="false">
      <c r="P1364" s="1" t="str">
        <f aca="false">IF(OR(F1364="",H1364="",J1364=""),"",J1364&amp;"|"&amp;F1364&amp;"|"&amp;IF(H1364="W3","W3_"&amp;IF(I1364="","unknown",I1364),H1364))</f>
        <v/>
      </c>
      <c r="Q1364" s="1" t="str">
        <f aca="false">IF(P1364="","",IFERROR(IF(AND(H1364="W7",OR(F1364="causal",F1364="predictive")),IF(AND(K1364=1,L1364=1,M1364=1),"adequate","partial"),INDEX(Fit_Matrix!$B:$B,MATCH(P1364,Fit_Matrix!$A:$A,0))),"CHECK KEY"))</f>
        <v/>
      </c>
    </row>
    <row r="1365" customFormat="false" ht="15" hidden="false" customHeight="true" outlineLevel="0" collapsed="false">
      <c r="P1365" s="1" t="str">
        <f aca="false">IF(OR(F1365="",H1365="",J1365=""),"",J1365&amp;"|"&amp;F1365&amp;"|"&amp;IF(H1365="W3","W3_"&amp;IF(I1365="","unknown",I1365),H1365))</f>
        <v/>
      </c>
      <c r="Q1365" s="1" t="str">
        <f aca="false">IF(P1365="","",IFERROR(IF(AND(H1365="W7",OR(F1365="causal",F1365="predictive")),IF(AND(K1365=1,L1365=1,M1365=1),"adequate","partial"),INDEX(Fit_Matrix!$B:$B,MATCH(P1365,Fit_Matrix!$A:$A,0))),"CHECK KEY"))</f>
        <v/>
      </c>
    </row>
    <row r="1366" customFormat="false" ht="15" hidden="false" customHeight="true" outlineLevel="0" collapsed="false">
      <c r="P1366" s="1" t="str">
        <f aca="false">IF(OR(F1366="",H1366="",J1366=""),"",J1366&amp;"|"&amp;F1366&amp;"|"&amp;IF(H1366="W3","W3_"&amp;IF(I1366="","unknown",I1366),H1366))</f>
        <v/>
      </c>
      <c r="Q1366" s="1" t="str">
        <f aca="false">IF(P1366="","",IFERROR(IF(AND(H1366="W7",OR(F1366="causal",F1366="predictive")),IF(AND(K1366=1,L1366=1,M1366=1),"adequate","partial"),INDEX(Fit_Matrix!$B:$B,MATCH(P1366,Fit_Matrix!$A:$A,0))),"CHECK KEY"))</f>
        <v/>
      </c>
    </row>
    <row r="1367" customFormat="false" ht="15" hidden="false" customHeight="true" outlineLevel="0" collapsed="false">
      <c r="P1367" s="1" t="str">
        <f aca="false">IF(OR(F1367="",H1367="",J1367=""),"",J1367&amp;"|"&amp;F1367&amp;"|"&amp;IF(H1367="W3","W3_"&amp;IF(I1367="","unknown",I1367),H1367))</f>
        <v/>
      </c>
      <c r="Q1367" s="1" t="str">
        <f aca="false">IF(P1367="","",IFERROR(IF(AND(H1367="W7",OR(F1367="causal",F1367="predictive")),IF(AND(K1367=1,L1367=1,M1367=1),"adequate","partial"),INDEX(Fit_Matrix!$B:$B,MATCH(P1367,Fit_Matrix!$A:$A,0))),"CHECK KEY"))</f>
        <v/>
      </c>
    </row>
    <row r="1368" customFormat="false" ht="15" hidden="false" customHeight="true" outlineLevel="0" collapsed="false">
      <c r="P1368" s="1" t="str">
        <f aca="false">IF(OR(F1368="",H1368="",J1368=""),"",J1368&amp;"|"&amp;F1368&amp;"|"&amp;IF(H1368="W3","W3_"&amp;IF(I1368="","unknown",I1368),H1368))</f>
        <v/>
      </c>
      <c r="Q1368" s="1" t="str">
        <f aca="false">IF(P1368="","",IFERROR(IF(AND(H1368="W7",OR(F1368="causal",F1368="predictive")),IF(AND(K1368=1,L1368=1,M1368=1),"adequate","partial"),INDEX(Fit_Matrix!$B:$B,MATCH(P1368,Fit_Matrix!$A:$A,0))),"CHECK KEY"))</f>
        <v/>
      </c>
    </row>
    <row r="1369" customFormat="false" ht="15" hidden="false" customHeight="true" outlineLevel="0" collapsed="false">
      <c r="P1369" s="1" t="str">
        <f aca="false">IF(OR(F1369="",H1369="",J1369=""),"",J1369&amp;"|"&amp;F1369&amp;"|"&amp;IF(H1369="W3","W3_"&amp;IF(I1369="","unknown",I1369),H1369))</f>
        <v/>
      </c>
      <c r="Q1369" s="1" t="str">
        <f aca="false">IF(P1369="","",IFERROR(IF(AND(H1369="W7",OR(F1369="causal",F1369="predictive")),IF(AND(K1369=1,L1369=1,M1369=1),"adequate","partial"),INDEX(Fit_Matrix!$B:$B,MATCH(P1369,Fit_Matrix!$A:$A,0))),"CHECK KEY"))</f>
        <v/>
      </c>
    </row>
    <row r="1370" customFormat="false" ht="15" hidden="false" customHeight="true" outlineLevel="0" collapsed="false">
      <c r="P1370" s="1" t="str">
        <f aca="false">IF(OR(F1370="",H1370="",J1370=""),"",J1370&amp;"|"&amp;F1370&amp;"|"&amp;IF(H1370="W3","W3_"&amp;IF(I1370="","unknown",I1370),H1370))</f>
        <v/>
      </c>
      <c r="Q1370" s="1" t="str">
        <f aca="false">IF(P1370="","",IFERROR(IF(AND(H1370="W7",OR(F1370="causal",F1370="predictive")),IF(AND(K1370=1,L1370=1,M1370=1),"adequate","partial"),INDEX(Fit_Matrix!$B:$B,MATCH(P1370,Fit_Matrix!$A:$A,0))),"CHECK KEY"))</f>
        <v/>
      </c>
    </row>
    <row r="1371" customFormat="false" ht="15" hidden="false" customHeight="true" outlineLevel="0" collapsed="false">
      <c r="P1371" s="1" t="str">
        <f aca="false">IF(OR(F1371="",H1371="",J1371=""),"",J1371&amp;"|"&amp;F1371&amp;"|"&amp;IF(H1371="W3","W3_"&amp;IF(I1371="","unknown",I1371),H1371))</f>
        <v/>
      </c>
      <c r="Q1371" s="1" t="str">
        <f aca="false">IF(P1371="","",IFERROR(IF(AND(H1371="W7",OR(F1371="causal",F1371="predictive")),IF(AND(K1371=1,L1371=1,M1371=1),"adequate","partial"),INDEX(Fit_Matrix!$B:$B,MATCH(P1371,Fit_Matrix!$A:$A,0))),"CHECK KEY"))</f>
        <v/>
      </c>
    </row>
    <row r="1372" customFormat="false" ht="15" hidden="false" customHeight="true" outlineLevel="0" collapsed="false">
      <c r="P1372" s="1" t="str">
        <f aca="false">IF(OR(F1372="",H1372="",J1372=""),"",J1372&amp;"|"&amp;F1372&amp;"|"&amp;IF(H1372="W3","W3_"&amp;IF(I1372="","unknown",I1372),H1372))</f>
        <v/>
      </c>
      <c r="Q1372" s="1" t="str">
        <f aca="false">IF(P1372="","",IFERROR(IF(AND(H1372="W7",OR(F1372="causal",F1372="predictive")),IF(AND(K1372=1,L1372=1,M1372=1),"adequate","partial"),INDEX(Fit_Matrix!$B:$B,MATCH(P1372,Fit_Matrix!$A:$A,0))),"CHECK KEY"))</f>
        <v/>
      </c>
    </row>
    <row r="1373" customFormat="false" ht="15" hidden="false" customHeight="true" outlineLevel="0" collapsed="false">
      <c r="P1373" s="1" t="str">
        <f aca="false">IF(OR(F1373="",H1373="",J1373=""),"",J1373&amp;"|"&amp;F1373&amp;"|"&amp;IF(H1373="W3","W3_"&amp;IF(I1373="","unknown",I1373),H1373))</f>
        <v/>
      </c>
      <c r="Q1373" s="1" t="str">
        <f aca="false">IF(P1373="","",IFERROR(IF(AND(H1373="W7",OR(F1373="causal",F1373="predictive")),IF(AND(K1373=1,L1373=1,M1373=1),"adequate","partial"),INDEX(Fit_Matrix!$B:$B,MATCH(P1373,Fit_Matrix!$A:$A,0))),"CHECK KEY"))</f>
        <v/>
      </c>
    </row>
    <row r="1374" customFormat="false" ht="15" hidden="false" customHeight="true" outlineLevel="0" collapsed="false">
      <c r="P1374" s="1" t="str">
        <f aca="false">IF(OR(F1374="",H1374="",J1374=""),"",J1374&amp;"|"&amp;F1374&amp;"|"&amp;IF(H1374="W3","W3_"&amp;IF(I1374="","unknown",I1374),H1374))</f>
        <v/>
      </c>
      <c r="Q1374" s="1" t="str">
        <f aca="false">IF(P1374="","",IFERROR(IF(AND(H1374="W7",OR(F1374="causal",F1374="predictive")),IF(AND(K1374=1,L1374=1,M1374=1),"adequate","partial"),INDEX(Fit_Matrix!$B:$B,MATCH(P1374,Fit_Matrix!$A:$A,0))),"CHECK KEY"))</f>
        <v/>
      </c>
    </row>
    <row r="1375" customFormat="false" ht="15" hidden="false" customHeight="true" outlineLevel="0" collapsed="false">
      <c r="P1375" s="1" t="str">
        <f aca="false">IF(OR(F1375="",H1375="",J1375=""),"",J1375&amp;"|"&amp;F1375&amp;"|"&amp;IF(H1375="W3","W3_"&amp;IF(I1375="","unknown",I1375),H1375))</f>
        <v/>
      </c>
      <c r="Q1375" s="1" t="str">
        <f aca="false">IF(P1375="","",IFERROR(IF(AND(H1375="W7",OR(F1375="causal",F1375="predictive")),IF(AND(K1375=1,L1375=1,M1375=1),"adequate","partial"),INDEX(Fit_Matrix!$B:$B,MATCH(P1375,Fit_Matrix!$A:$A,0))),"CHECK KEY"))</f>
        <v/>
      </c>
    </row>
    <row r="1376" customFormat="false" ht="15" hidden="false" customHeight="true" outlineLevel="0" collapsed="false">
      <c r="P1376" s="1" t="str">
        <f aca="false">IF(OR(F1376="",H1376="",J1376=""),"",J1376&amp;"|"&amp;F1376&amp;"|"&amp;IF(H1376="W3","W3_"&amp;IF(I1376="","unknown",I1376),H1376))</f>
        <v/>
      </c>
      <c r="Q1376" s="1" t="str">
        <f aca="false">IF(P1376="","",IFERROR(IF(AND(H1376="W7",OR(F1376="causal",F1376="predictive")),IF(AND(K1376=1,L1376=1,M1376=1),"adequate","partial"),INDEX(Fit_Matrix!$B:$B,MATCH(P1376,Fit_Matrix!$A:$A,0))),"CHECK KEY"))</f>
        <v/>
      </c>
    </row>
    <row r="1377" customFormat="false" ht="15" hidden="false" customHeight="true" outlineLevel="0" collapsed="false">
      <c r="P1377" s="1" t="str">
        <f aca="false">IF(OR(F1377="",H1377="",J1377=""),"",J1377&amp;"|"&amp;F1377&amp;"|"&amp;IF(H1377="W3","W3_"&amp;IF(I1377="","unknown",I1377),H1377))</f>
        <v/>
      </c>
      <c r="Q1377" s="1" t="str">
        <f aca="false">IF(P1377="","",IFERROR(IF(AND(H1377="W7",OR(F1377="causal",F1377="predictive")),IF(AND(K1377=1,L1377=1,M1377=1),"adequate","partial"),INDEX(Fit_Matrix!$B:$B,MATCH(P1377,Fit_Matrix!$A:$A,0))),"CHECK KEY"))</f>
        <v/>
      </c>
    </row>
    <row r="1378" customFormat="false" ht="15" hidden="false" customHeight="true" outlineLevel="0" collapsed="false">
      <c r="P1378" s="1" t="str">
        <f aca="false">IF(OR(F1378="",H1378="",J1378=""),"",J1378&amp;"|"&amp;F1378&amp;"|"&amp;IF(H1378="W3","W3_"&amp;IF(I1378="","unknown",I1378),H1378))</f>
        <v/>
      </c>
      <c r="Q1378" s="1" t="str">
        <f aca="false">IF(P1378="","",IFERROR(IF(AND(H1378="W7",OR(F1378="causal",F1378="predictive")),IF(AND(K1378=1,L1378=1,M1378=1),"adequate","partial"),INDEX(Fit_Matrix!$B:$B,MATCH(P1378,Fit_Matrix!$A:$A,0))),"CHECK KEY"))</f>
        <v/>
      </c>
    </row>
    <row r="1379" customFormat="false" ht="15" hidden="false" customHeight="true" outlineLevel="0" collapsed="false">
      <c r="P1379" s="1" t="str">
        <f aca="false">IF(OR(F1379="",H1379="",J1379=""),"",J1379&amp;"|"&amp;F1379&amp;"|"&amp;IF(H1379="W3","W3_"&amp;IF(I1379="","unknown",I1379),H1379))</f>
        <v/>
      </c>
      <c r="Q1379" s="1" t="str">
        <f aca="false">IF(P1379="","",IFERROR(IF(AND(H1379="W7",OR(F1379="causal",F1379="predictive")),IF(AND(K1379=1,L1379=1,M1379=1),"adequate","partial"),INDEX(Fit_Matrix!$B:$B,MATCH(P1379,Fit_Matrix!$A:$A,0))),"CHECK KEY"))</f>
        <v/>
      </c>
    </row>
    <row r="1380" customFormat="false" ht="15" hidden="false" customHeight="true" outlineLevel="0" collapsed="false">
      <c r="P1380" s="1" t="str">
        <f aca="false">IF(OR(F1380="",H1380="",J1380=""),"",J1380&amp;"|"&amp;F1380&amp;"|"&amp;IF(H1380="W3","W3_"&amp;IF(I1380="","unknown",I1380),H1380))</f>
        <v/>
      </c>
      <c r="Q1380" s="1" t="str">
        <f aca="false">IF(P1380="","",IFERROR(IF(AND(H1380="W7",OR(F1380="causal",F1380="predictive")),IF(AND(K1380=1,L1380=1,M1380=1),"adequate","partial"),INDEX(Fit_Matrix!$B:$B,MATCH(P1380,Fit_Matrix!$A:$A,0))),"CHECK KEY"))</f>
        <v/>
      </c>
    </row>
    <row r="1381" customFormat="false" ht="15" hidden="false" customHeight="true" outlineLevel="0" collapsed="false">
      <c r="P1381" s="1" t="str">
        <f aca="false">IF(OR(F1381="",H1381="",J1381=""),"",J1381&amp;"|"&amp;F1381&amp;"|"&amp;IF(H1381="W3","W3_"&amp;IF(I1381="","unknown",I1381),H1381))</f>
        <v/>
      </c>
      <c r="Q1381" s="1" t="str">
        <f aca="false">IF(P1381="","",IFERROR(IF(AND(H1381="W7",OR(F1381="causal",F1381="predictive")),IF(AND(K1381=1,L1381=1,M1381=1),"adequate","partial"),INDEX(Fit_Matrix!$B:$B,MATCH(P1381,Fit_Matrix!$A:$A,0))),"CHECK KEY"))</f>
        <v/>
      </c>
    </row>
    <row r="1382" customFormat="false" ht="15" hidden="false" customHeight="true" outlineLevel="0" collapsed="false">
      <c r="P1382" s="1" t="str">
        <f aca="false">IF(OR(F1382="",H1382="",J1382=""),"",J1382&amp;"|"&amp;F1382&amp;"|"&amp;IF(H1382="W3","W3_"&amp;IF(I1382="","unknown",I1382),H1382))</f>
        <v/>
      </c>
      <c r="Q1382" s="1" t="str">
        <f aca="false">IF(P1382="","",IFERROR(IF(AND(H1382="W7",OR(F1382="causal",F1382="predictive")),IF(AND(K1382=1,L1382=1,M1382=1),"adequate","partial"),INDEX(Fit_Matrix!$B:$B,MATCH(P1382,Fit_Matrix!$A:$A,0))),"CHECK KEY"))</f>
        <v/>
      </c>
    </row>
    <row r="1383" customFormat="false" ht="15" hidden="false" customHeight="true" outlineLevel="0" collapsed="false">
      <c r="P1383" s="1" t="str">
        <f aca="false">IF(OR(F1383="",H1383="",J1383=""),"",J1383&amp;"|"&amp;F1383&amp;"|"&amp;IF(H1383="W3","W3_"&amp;IF(I1383="","unknown",I1383),H1383))</f>
        <v/>
      </c>
      <c r="Q1383" s="1" t="str">
        <f aca="false">IF(P1383="","",IFERROR(IF(AND(H1383="W7",OR(F1383="causal",F1383="predictive")),IF(AND(K1383=1,L1383=1,M1383=1),"adequate","partial"),INDEX(Fit_Matrix!$B:$B,MATCH(P1383,Fit_Matrix!$A:$A,0))),"CHECK KEY"))</f>
        <v/>
      </c>
    </row>
    <row r="1384" customFormat="false" ht="15" hidden="false" customHeight="true" outlineLevel="0" collapsed="false">
      <c r="P1384" s="1" t="str">
        <f aca="false">IF(OR(F1384="",H1384="",J1384=""),"",J1384&amp;"|"&amp;F1384&amp;"|"&amp;IF(H1384="W3","W3_"&amp;IF(I1384="","unknown",I1384),H1384))</f>
        <v/>
      </c>
      <c r="Q1384" s="1" t="str">
        <f aca="false">IF(P1384="","",IFERROR(IF(AND(H1384="W7",OR(F1384="causal",F1384="predictive")),IF(AND(K1384=1,L1384=1,M1384=1),"adequate","partial"),INDEX(Fit_Matrix!$B:$B,MATCH(P1384,Fit_Matrix!$A:$A,0))),"CHECK KEY"))</f>
        <v/>
      </c>
    </row>
    <row r="1385" customFormat="false" ht="15" hidden="false" customHeight="true" outlineLevel="0" collapsed="false">
      <c r="P1385" s="1" t="str">
        <f aca="false">IF(OR(F1385="",H1385="",J1385=""),"",J1385&amp;"|"&amp;F1385&amp;"|"&amp;IF(H1385="W3","W3_"&amp;IF(I1385="","unknown",I1385),H1385))</f>
        <v/>
      </c>
      <c r="Q1385" s="1" t="str">
        <f aca="false">IF(P1385="","",IFERROR(IF(AND(H1385="W7",OR(F1385="causal",F1385="predictive")),IF(AND(K1385=1,L1385=1,M1385=1),"adequate","partial"),INDEX(Fit_Matrix!$B:$B,MATCH(P1385,Fit_Matrix!$A:$A,0))),"CHECK KEY"))</f>
        <v/>
      </c>
    </row>
    <row r="1386" customFormat="false" ht="15" hidden="false" customHeight="true" outlineLevel="0" collapsed="false">
      <c r="P1386" s="1" t="str">
        <f aca="false">IF(OR(F1386="",H1386="",J1386=""),"",J1386&amp;"|"&amp;F1386&amp;"|"&amp;IF(H1386="W3","W3_"&amp;IF(I1386="","unknown",I1386),H1386))</f>
        <v/>
      </c>
      <c r="Q1386" s="1" t="str">
        <f aca="false">IF(P1386="","",IFERROR(IF(AND(H1386="W7",OR(F1386="causal",F1386="predictive")),IF(AND(K1386=1,L1386=1,M1386=1),"adequate","partial"),INDEX(Fit_Matrix!$B:$B,MATCH(P1386,Fit_Matrix!$A:$A,0))),"CHECK KEY"))</f>
        <v/>
      </c>
    </row>
    <row r="1387" customFormat="false" ht="15" hidden="false" customHeight="true" outlineLevel="0" collapsed="false">
      <c r="P1387" s="1" t="str">
        <f aca="false">IF(OR(F1387="",H1387="",J1387=""),"",J1387&amp;"|"&amp;F1387&amp;"|"&amp;IF(H1387="W3","W3_"&amp;IF(I1387="","unknown",I1387),H1387))</f>
        <v/>
      </c>
      <c r="Q1387" s="1" t="str">
        <f aca="false">IF(P1387="","",IFERROR(IF(AND(H1387="W7",OR(F1387="causal",F1387="predictive")),IF(AND(K1387=1,L1387=1,M1387=1),"adequate","partial"),INDEX(Fit_Matrix!$B:$B,MATCH(P1387,Fit_Matrix!$A:$A,0))),"CHECK KEY"))</f>
        <v/>
      </c>
    </row>
    <row r="1388" customFormat="false" ht="15" hidden="false" customHeight="true" outlineLevel="0" collapsed="false">
      <c r="P1388" s="1" t="str">
        <f aca="false">IF(OR(F1388="",H1388="",J1388=""),"",J1388&amp;"|"&amp;F1388&amp;"|"&amp;IF(H1388="W3","W3_"&amp;IF(I1388="","unknown",I1388),H1388))</f>
        <v/>
      </c>
      <c r="Q1388" s="1" t="str">
        <f aca="false">IF(P1388="","",IFERROR(IF(AND(H1388="W7",OR(F1388="causal",F1388="predictive")),IF(AND(K1388=1,L1388=1,M1388=1),"adequate","partial"),INDEX(Fit_Matrix!$B:$B,MATCH(P1388,Fit_Matrix!$A:$A,0))),"CHECK KEY"))</f>
        <v/>
      </c>
    </row>
    <row r="1389" customFormat="false" ht="15" hidden="false" customHeight="true" outlineLevel="0" collapsed="false">
      <c r="P1389" s="1" t="str">
        <f aca="false">IF(OR(F1389="",H1389="",J1389=""),"",J1389&amp;"|"&amp;F1389&amp;"|"&amp;IF(H1389="W3","W3_"&amp;IF(I1389="","unknown",I1389),H1389))</f>
        <v/>
      </c>
      <c r="Q1389" s="1" t="str">
        <f aca="false">IF(P1389="","",IFERROR(IF(AND(H1389="W7",OR(F1389="causal",F1389="predictive")),IF(AND(K1389=1,L1389=1,M1389=1),"adequate","partial"),INDEX(Fit_Matrix!$B:$B,MATCH(P1389,Fit_Matrix!$A:$A,0))),"CHECK KEY"))</f>
        <v/>
      </c>
    </row>
    <row r="1390" customFormat="false" ht="15" hidden="false" customHeight="true" outlineLevel="0" collapsed="false">
      <c r="P1390" s="1" t="str">
        <f aca="false">IF(OR(F1390="",H1390="",J1390=""),"",J1390&amp;"|"&amp;F1390&amp;"|"&amp;IF(H1390="W3","W3_"&amp;IF(I1390="","unknown",I1390),H1390))</f>
        <v/>
      </c>
      <c r="Q1390" s="1" t="str">
        <f aca="false">IF(P1390="","",IFERROR(IF(AND(H1390="W7",OR(F1390="causal",F1390="predictive")),IF(AND(K1390=1,L1390=1,M1390=1),"adequate","partial"),INDEX(Fit_Matrix!$B:$B,MATCH(P1390,Fit_Matrix!$A:$A,0))),"CHECK KEY"))</f>
        <v/>
      </c>
    </row>
    <row r="1391" customFormat="false" ht="15" hidden="false" customHeight="true" outlineLevel="0" collapsed="false">
      <c r="P1391" s="1" t="str">
        <f aca="false">IF(OR(F1391="",H1391="",J1391=""),"",J1391&amp;"|"&amp;F1391&amp;"|"&amp;IF(H1391="W3","W3_"&amp;IF(I1391="","unknown",I1391),H1391))</f>
        <v/>
      </c>
      <c r="Q1391" s="1" t="str">
        <f aca="false">IF(P1391="","",IFERROR(IF(AND(H1391="W7",OR(F1391="causal",F1391="predictive")),IF(AND(K1391=1,L1391=1,M1391=1),"adequate","partial"),INDEX(Fit_Matrix!$B:$B,MATCH(P1391,Fit_Matrix!$A:$A,0))),"CHECK KEY"))</f>
        <v/>
      </c>
    </row>
    <row r="1392" customFormat="false" ht="15" hidden="false" customHeight="true" outlineLevel="0" collapsed="false">
      <c r="P1392" s="1" t="str">
        <f aca="false">IF(OR(F1392="",H1392="",J1392=""),"",J1392&amp;"|"&amp;F1392&amp;"|"&amp;IF(H1392="W3","W3_"&amp;IF(I1392="","unknown",I1392),H1392))</f>
        <v/>
      </c>
      <c r="Q1392" s="1" t="str">
        <f aca="false">IF(P1392="","",IFERROR(IF(AND(H1392="W7",OR(F1392="causal",F1392="predictive")),IF(AND(K1392=1,L1392=1,M1392=1),"adequate","partial"),INDEX(Fit_Matrix!$B:$B,MATCH(P1392,Fit_Matrix!$A:$A,0))),"CHECK KEY"))</f>
        <v/>
      </c>
    </row>
    <row r="1393" customFormat="false" ht="15" hidden="false" customHeight="true" outlineLevel="0" collapsed="false">
      <c r="P1393" s="1" t="str">
        <f aca="false">IF(OR(F1393="",H1393="",J1393=""),"",J1393&amp;"|"&amp;F1393&amp;"|"&amp;IF(H1393="W3","W3_"&amp;IF(I1393="","unknown",I1393),H1393))</f>
        <v/>
      </c>
      <c r="Q1393" s="1" t="str">
        <f aca="false">IF(P1393="","",IFERROR(IF(AND(H1393="W7",OR(F1393="causal",F1393="predictive")),IF(AND(K1393=1,L1393=1,M1393=1),"adequate","partial"),INDEX(Fit_Matrix!$B:$B,MATCH(P1393,Fit_Matrix!$A:$A,0))),"CHECK KEY"))</f>
        <v/>
      </c>
    </row>
    <row r="1394" customFormat="false" ht="15" hidden="false" customHeight="true" outlineLevel="0" collapsed="false">
      <c r="P1394" s="1" t="str">
        <f aca="false">IF(OR(F1394="",H1394="",J1394=""),"",J1394&amp;"|"&amp;F1394&amp;"|"&amp;IF(H1394="W3","W3_"&amp;IF(I1394="","unknown",I1394),H1394))</f>
        <v/>
      </c>
      <c r="Q1394" s="1" t="str">
        <f aca="false">IF(P1394="","",IFERROR(IF(AND(H1394="W7",OR(F1394="causal",F1394="predictive")),IF(AND(K1394=1,L1394=1,M1394=1),"adequate","partial"),INDEX(Fit_Matrix!$B:$B,MATCH(P1394,Fit_Matrix!$A:$A,0))),"CHECK KEY"))</f>
        <v/>
      </c>
    </row>
    <row r="1395" customFormat="false" ht="15" hidden="false" customHeight="true" outlineLevel="0" collapsed="false">
      <c r="P1395" s="1" t="str">
        <f aca="false">IF(OR(F1395="",H1395="",J1395=""),"",J1395&amp;"|"&amp;F1395&amp;"|"&amp;IF(H1395="W3","W3_"&amp;IF(I1395="","unknown",I1395),H1395))</f>
        <v/>
      </c>
      <c r="Q1395" s="1" t="str">
        <f aca="false">IF(P1395="","",IFERROR(IF(AND(H1395="W7",OR(F1395="causal",F1395="predictive")),IF(AND(K1395=1,L1395=1,M1395=1),"adequate","partial"),INDEX(Fit_Matrix!$B:$B,MATCH(P1395,Fit_Matrix!$A:$A,0))),"CHECK KEY"))</f>
        <v/>
      </c>
    </row>
    <row r="1396" customFormat="false" ht="15" hidden="false" customHeight="true" outlineLevel="0" collapsed="false">
      <c r="P1396" s="1" t="str">
        <f aca="false">IF(OR(F1396="",H1396="",J1396=""),"",J1396&amp;"|"&amp;F1396&amp;"|"&amp;IF(H1396="W3","W3_"&amp;IF(I1396="","unknown",I1396),H1396))</f>
        <v/>
      </c>
      <c r="Q1396" s="1" t="str">
        <f aca="false">IF(P1396="","",IFERROR(IF(AND(H1396="W7",OR(F1396="causal",F1396="predictive")),IF(AND(K1396=1,L1396=1,M1396=1),"adequate","partial"),INDEX(Fit_Matrix!$B:$B,MATCH(P1396,Fit_Matrix!$A:$A,0))),"CHECK KEY"))</f>
        <v/>
      </c>
    </row>
    <row r="1397" customFormat="false" ht="15" hidden="false" customHeight="true" outlineLevel="0" collapsed="false">
      <c r="P1397" s="1" t="str">
        <f aca="false">IF(OR(F1397="",H1397="",J1397=""),"",J1397&amp;"|"&amp;F1397&amp;"|"&amp;IF(H1397="W3","W3_"&amp;IF(I1397="","unknown",I1397),H1397))</f>
        <v/>
      </c>
      <c r="Q1397" s="1" t="str">
        <f aca="false">IF(P1397="","",IFERROR(IF(AND(H1397="W7",OR(F1397="causal",F1397="predictive")),IF(AND(K1397=1,L1397=1,M1397=1),"adequate","partial"),INDEX(Fit_Matrix!$B:$B,MATCH(P1397,Fit_Matrix!$A:$A,0))),"CHECK KEY"))</f>
        <v/>
      </c>
    </row>
    <row r="1398" customFormat="false" ht="15" hidden="false" customHeight="true" outlineLevel="0" collapsed="false">
      <c r="P1398" s="1" t="str">
        <f aca="false">IF(OR(F1398="",H1398="",J1398=""),"",J1398&amp;"|"&amp;F1398&amp;"|"&amp;IF(H1398="W3","W3_"&amp;IF(I1398="","unknown",I1398),H1398))</f>
        <v/>
      </c>
      <c r="Q1398" s="1" t="str">
        <f aca="false">IF(P1398="","",IFERROR(IF(AND(H1398="W7",OR(F1398="causal",F1398="predictive")),IF(AND(K1398=1,L1398=1,M1398=1),"adequate","partial"),INDEX(Fit_Matrix!$B:$B,MATCH(P1398,Fit_Matrix!$A:$A,0))),"CHECK KEY"))</f>
        <v/>
      </c>
    </row>
    <row r="1399" customFormat="false" ht="15" hidden="false" customHeight="true" outlineLevel="0" collapsed="false">
      <c r="P1399" s="1" t="str">
        <f aca="false">IF(OR(F1399="",H1399="",J1399=""),"",J1399&amp;"|"&amp;F1399&amp;"|"&amp;IF(H1399="W3","W3_"&amp;IF(I1399="","unknown",I1399),H1399))</f>
        <v/>
      </c>
      <c r="Q1399" s="1" t="str">
        <f aca="false">IF(P1399="","",IFERROR(IF(AND(H1399="W7",OR(F1399="causal",F1399="predictive")),IF(AND(K1399=1,L1399=1,M1399=1),"adequate","partial"),INDEX(Fit_Matrix!$B:$B,MATCH(P1399,Fit_Matrix!$A:$A,0))),"CHECK KEY"))</f>
        <v/>
      </c>
    </row>
    <row r="1400" customFormat="false" ht="15" hidden="false" customHeight="true" outlineLevel="0" collapsed="false">
      <c r="P1400" s="1" t="str">
        <f aca="false">IF(OR(F1400="",H1400="",J1400=""),"",J1400&amp;"|"&amp;F1400&amp;"|"&amp;IF(H1400="W3","W3_"&amp;IF(I1400="","unknown",I1400),H1400))</f>
        <v/>
      </c>
      <c r="Q1400" s="1" t="str">
        <f aca="false">IF(P1400="","",IFERROR(IF(AND(H1400="W7",OR(F1400="causal",F1400="predictive")),IF(AND(K1400=1,L1400=1,M1400=1),"adequate","partial"),INDEX(Fit_Matrix!$B:$B,MATCH(P1400,Fit_Matrix!$A:$A,0))),"CHECK KEY"))</f>
        <v/>
      </c>
    </row>
    <row r="1401" customFormat="false" ht="15" hidden="false" customHeight="true" outlineLevel="0" collapsed="false">
      <c r="P1401" s="1" t="str">
        <f aca="false">IF(OR(F1401="",H1401="",J1401=""),"",J1401&amp;"|"&amp;F1401&amp;"|"&amp;IF(H1401="W3","W3_"&amp;IF(I1401="","unknown",I1401),H1401))</f>
        <v/>
      </c>
      <c r="Q1401" s="1" t="str">
        <f aca="false">IF(P1401="","",IFERROR(IF(AND(H1401="W7",OR(F1401="causal",F1401="predictive")),IF(AND(K1401=1,L1401=1,M1401=1),"adequate","partial"),INDEX(Fit_Matrix!$B:$B,MATCH(P1401,Fit_Matrix!$A:$A,0))),"CHECK KEY"))</f>
        <v/>
      </c>
    </row>
    <row r="1402" customFormat="false" ht="15" hidden="false" customHeight="true" outlineLevel="0" collapsed="false">
      <c r="P1402" s="1" t="str">
        <f aca="false">IF(OR(F1402="",H1402="",J1402=""),"",J1402&amp;"|"&amp;F1402&amp;"|"&amp;IF(H1402="W3","W3_"&amp;IF(I1402="","unknown",I1402),H1402))</f>
        <v/>
      </c>
      <c r="Q1402" s="1" t="str">
        <f aca="false">IF(P1402="","",IFERROR(IF(AND(H1402="W7",OR(F1402="causal",F1402="predictive")),IF(AND(K1402=1,L1402=1,M1402=1),"adequate","partial"),INDEX(Fit_Matrix!$B:$B,MATCH(P1402,Fit_Matrix!$A:$A,0))),"CHECK KEY"))</f>
        <v/>
      </c>
    </row>
    <row r="1403" customFormat="false" ht="15" hidden="false" customHeight="true" outlineLevel="0" collapsed="false">
      <c r="P1403" s="1" t="str">
        <f aca="false">IF(OR(F1403="",H1403="",J1403=""),"",J1403&amp;"|"&amp;F1403&amp;"|"&amp;IF(H1403="W3","W3_"&amp;IF(I1403="","unknown",I1403),H1403))</f>
        <v/>
      </c>
      <c r="Q1403" s="1" t="str">
        <f aca="false">IF(P1403="","",IFERROR(IF(AND(H1403="W7",OR(F1403="causal",F1403="predictive")),IF(AND(K1403=1,L1403=1,M1403=1),"adequate","partial"),INDEX(Fit_Matrix!$B:$B,MATCH(P1403,Fit_Matrix!$A:$A,0))),"CHECK KEY"))</f>
        <v/>
      </c>
    </row>
    <row r="1404" customFormat="false" ht="15" hidden="false" customHeight="true" outlineLevel="0" collapsed="false">
      <c r="P1404" s="1" t="str">
        <f aca="false">IF(OR(F1404="",H1404="",J1404=""),"",J1404&amp;"|"&amp;F1404&amp;"|"&amp;IF(H1404="W3","W3_"&amp;IF(I1404="","unknown",I1404),H1404))</f>
        <v/>
      </c>
      <c r="Q1404" s="1" t="str">
        <f aca="false">IF(P1404="","",IFERROR(IF(AND(H1404="W7",OR(F1404="causal",F1404="predictive")),IF(AND(K1404=1,L1404=1,M1404=1),"adequate","partial"),INDEX(Fit_Matrix!$B:$B,MATCH(P1404,Fit_Matrix!$A:$A,0))),"CHECK KEY"))</f>
        <v/>
      </c>
    </row>
    <row r="1405" customFormat="false" ht="15" hidden="false" customHeight="true" outlineLevel="0" collapsed="false">
      <c r="P1405" s="1" t="str">
        <f aca="false">IF(OR(F1405="",H1405="",J1405=""),"",J1405&amp;"|"&amp;F1405&amp;"|"&amp;IF(H1405="W3","W3_"&amp;IF(I1405="","unknown",I1405),H1405))</f>
        <v/>
      </c>
      <c r="Q1405" s="1" t="str">
        <f aca="false">IF(P1405="","",IFERROR(IF(AND(H1405="W7",OR(F1405="causal",F1405="predictive")),IF(AND(K1405=1,L1405=1,M1405=1),"adequate","partial"),INDEX(Fit_Matrix!$B:$B,MATCH(P1405,Fit_Matrix!$A:$A,0))),"CHECK KEY"))</f>
        <v/>
      </c>
    </row>
    <row r="1406" customFormat="false" ht="15" hidden="false" customHeight="true" outlineLevel="0" collapsed="false">
      <c r="P1406" s="1" t="str">
        <f aca="false">IF(OR(F1406="",H1406="",J1406=""),"",J1406&amp;"|"&amp;F1406&amp;"|"&amp;IF(H1406="W3","W3_"&amp;IF(I1406="","unknown",I1406),H1406))</f>
        <v/>
      </c>
      <c r="Q1406" s="1" t="str">
        <f aca="false">IF(P1406="","",IFERROR(IF(AND(H1406="W7",OR(F1406="causal",F1406="predictive")),IF(AND(K1406=1,L1406=1,M1406=1),"adequate","partial"),INDEX(Fit_Matrix!$B:$B,MATCH(P1406,Fit_Matrix!$A:$A,0))),"CHECK KEY"))</f>
        <v/>
      </c>
    </row>
    <row r="1407" customFormat="false" ht="15" hidden="false" customHeight="true" outlineLevel="0" collapsed="false">
      <c r="P1407" s="1" t="str">
        <f aca="false">IF(OR(F1407="",H1407="",J1407=""),"",J1407&amp;"|"&amp;F1407&amp;"|"&amp;IF(H1407="W3","W3_"&amp;IF(I1407="","unknown",I1407),H1407))</f>
        <v/>
      </c>
      <c r="Q1407" s="1" t="str">
        <f aca="false">IF(P1407="","",IFERROR(IF(AND(H1407="W7",OR(F1407="causal",F1407="predictive")),IF(AND(K1407=1,L1407=1,M1407=1),"adequate","partial"),INDEX(Fit_Matrix!$B:$B,MATCH(P1407,Fit_Matrix!$A:$A,0))),"CHECK KEY"))</f>
        <v/>
      </c>
    </row>
    <row r="1408" customFormat="false" ht="15" hidden="false" customHeight="true" outlineLevel="0" collapsed="false">
      <c r="P1408" s="1" t="str">
        <f aca="false">IF(OR(F1408="",H1408="",J1408=""),"",J1408&amp;"|"&amp;F1408&amp;"|"&amp;IF(H1408="W3","W3_"&amp;IF(I1408="","unknown",I1408),H1408))</f>
        <v/>
      </c>
      <c r="Q1408" s="1" t="str">
        <f aca="false">IF(P1408="","",IFERROR(IF(AND(H1408="W7",OR(F1408="causal",F1408="predictive")),IF(AND(K1408=1,L1408=1,M1408=1),"adequate","partial"),INDEX(Fit_Matrix!$B:$B,MATCH(P1408,Fit_Matrix!$A:$A,0))),"CHECK KEY"))</f>
        <v/>
      </c>
    </row>
    <row r="1409" customFormat="false" ht="15" hidden="false" customHeight="true" outlineLevel="0" collapsed="false">
      <c r="P1409" s="1" t="str">
        <f aca="false">IF(OR(F1409="",H1409="",J1409=""),"",J1409&amp;"|"&amp;F1409&amp;"|"&amp;IF(H1409="W3","W3_"&amp;IF(I1409="","unknown",I1409),H1409))</f>
        <v/>
      </c>
      <c r="Q1409" s="1" t="str">
        <f aca="false">IF(P1409="","",IFERROR(IF(AND(H1409="W7",OR(F1409="causal",F1409="predictive")),IF(AND(K1409=1,L1409=1,M1409=1),"adequate","partial"),INDEX(Fit_Matrix!$B:$B,MATCH(P1409,Fit_Matrix!$A:$A,0))),"CHECK KEY"))</f>
        <v/>
      </c>
    </row>
    <row r="1410" customFormat="false" ht="15" hidden="false" customHeight="true" outlineLevel="0" collapsed="false">
      <c r="P1410" s="1" t="str">
        <f aca="false">IF(OR(F1410="",H1410="",J1410=""),"",J1410&amp;"|"&amp;F1410&amp;"|"&amp;IF(H1410="W3","W3_"&amp;IF(I1410="","unknown",I1410),H1410))</f>
        <v/>
      </c>
      <c r="Q1410" s="1" t="str">
        <f aca="false">IF(P1410="","",IFERROR(IF(AND(H1410="W7",OR(F1410="causal",F1410="predictive")),IF(AND(K1410=1,L1410=1,M1410=1),"adequate","partial"),INDEX(Fit_Matrix!$B:$B,MATCH(P1410,Fit_Matrix!$A:$A,0))),"CHECK KEY"))</f>
        <v/>
      </c>
    </row>
    <row r="1411" customFormat="false" ht="15" hidden="false" customHeight="true" outlineLevel="0" collapsed="false">
      <c r="P1411" s="1" t="str">
        <f aca="false">IF(OR(F1411="",H1411="",J1411=""),"",J1411&amp;"|"&amp;F1411&amp;"|"&amp;IF(H1411="W3","W3_"&amp;IF(I1411="","unknown",I1411),H1411))</f>
        <v/>
      </c>
      <c r="Q1411" s="1" t="str">
        <f aca="false">IF(P1411="","",IFERROR(IF(AND(H1411="W7",OR(F1411="causal",F1411="predictive")),IF(AND(K1411=1,L1411=1,M1411=1),"adequate","partial"),INDEX(Fit_Matrix!$B:$B,MATCH(P1411,Fit_Matrix!$A:$A,0))),"CHECK KEY"))</f>
        <v/>
      </c>
    </row>
    <row r="1412" customFormat="false" ht="15" hidden="false" customHeight="true" outlineLevel="0" collapsed="false">
      <c r="P1412" s="1" t="str">
        <f aca="false">IF(OR(F1412="",H1412="",J1412=""),"",J1412&amp;"|"&amp;F1412&amp;"|"&amp;IF(H1412="W3","W3_"&amp;IF(I1412="","unknown",I1412),H1412))</f>
        <v/>
      </c>
      <c r="Q1412" s="1" t="str">
        <f aca="false">IF(P1412="","",IFERROR(IF(AND(H1412="W7",OR(F1412="causal",F1412="predictive")),IF(AND(K1412=1,L1412=1,M1412=1),"adequate","partial"),INDEX(Fit_Matrix!$B:$B,MATCH(P1412,Fit_Matrix!$A:$A,0))),"CHECK KEY"))</f>
        <v/>
      </c>
    </row>
    <row r="1413" customFormat="false" ht="15" hidden="false" customHeight="true" outlineLevel="0" collapsed="false">
      <c r="P1413" s="1" t="str">
        <f aca="false">IF(OR(F1413="",H1413="",J1413=""),"",J1413&amp;"|"&amp;F1413&amp;"|"&amp;IF(H1413="W3","W3_"&amp;IF(I1413="","unknown",I1413),H1413))</f>
        <v/>
      </c>
      <c r="Q1413" s="1" t="str">
        <f aca="false">IF(P1413="","",IFERROR(IF(AND(H1413="W7",OR(F1413="causal",F1413="predictive")),IF(AND(K1413=1,L1413=1,M1413=1),"adequate","partial"),INDEX(Fit_Matrix!$B:$B,MATCH(P1413,Fit_Matrix!$A:$A,0))),"CHECK KEY"))</f>
        <v/>
      </c>
    </row>
    <row r="1414" customFormat="false" ht="15" hidden="false" customHeight="true" outlineLevel="0" collapsed="false">
      <c r="P1414" s="1" t="str">
        <f aca="false">IF(OR(F1414="",H1414="",J1414=""),"",J1414&amp;"|"&amp;F1414&amp;"|"&amp;IF(H1414="W3","W3_"&amp;IF(I1414="","unknown",I1414),H1414))</f>
        <v/>
      </c>
      <c r="Q1414" s="1" t="str">
        <f aca="false">IF(P1414="","",IFERROR(IF(AND(H1414="W7",OR(F1414="causal",F1414="predictive")),IF(AND(K1414=1,L1414=1,M1414=1),"adequate","partial"),INDEX(Fit_Matrix!$B:$B,MATCH(P1414,Fit_Matrix!$A:$A,0))),"CHECK KEY"))</f>
        <v/>
      </c>
    </row>
    <row r="1415" customFormat="false" ht="15" hidden="false" customHeight="true" outlineLevel="0" collapsed="false">
      <c r="P1415" s="1" t="str">
        <f aca="false">IF(OR(F1415="",H1415="",J1415=""),"",J1415&amp;"|"&amp;F1415&amp;"|"&amp;IF(H1415="W3","W3_"&amp;IF(I1415="","unknown",I1415),H1415))</f>
        <v/>
      </c>
      <c r="Q1415" s="1" t="str">
        <f aca="false">IF(P1415="","",IFERROR(IF(AND(H1415="W7",OR(F1415="causal",F1415="predictive")),IF(AND(K1415=1,L1415=1,M1415=1),"adequate","partial"),INDEX(Fit_Matrix!$B:$B,MATCH(P1415,Fit_Matrix!$A:$A,0))),"CHECK KEY"))</f>
        <v/>
      </c>
    </row>
    <row r="1416" customFormat="false" ht="15" hidden="false" customHeight="true" outlineLevel="0" collapsed="false">
      <c r="P1416" s="1" t="str">
        <f aca="false">IF(OR(F1416="",H1416="",J1416=""),"",J1416&amp;"|"&amp;F1416&amp;"|"&amp;IF(H1416="W3","W3_"&amp;IF(I1416="","unknown",I1416),H1416))</f>
        <v/>
      </c>
      <c r="Q1416" s="1" t="str">
        <f aca="false">IF(P1416="","",IFERROR(IF(AND(H1416="W7",OR(F1416="causal",F1416="predictive")),IF(AND(K1416=1,L1416=1,M1416=1),"adequate","partial"),INDEX(Fit_Matrix!$B:$B,MATCH(P1416,Fit_Matrix!$A:$A,0))),"CHECK KEY"))</f>
        <v/>
      </c>
    </row>
    <row r="1417" customFormat="false" ht="15" hidden="false" customHeight="true" outlineLevel="0" collapsed="false">
      <c r="P1417" s="1" t="str">
        <f aca="false">IF(OR(F1417="",H1417="",J1417=""),"",J1417&amp;"|"&amp;F1417&amp;"|"&amp;IF(H1417="W3","W3_"&amp;IF(I1417="","unknown",I1417),H1417))</f>
        <v/>
      </c>
      <c r="Q1417" s="1" t="str">
        <f aca="false">IF(P1417="","",IFERROR(IF(AND(H1417="W7",OR(F1417="causal",F1417="predictive")),IF(AND(K1417=1,L1417=1,M1417=1),"adequate","partial"),INDEX(Fit_Matrix!$B:$B,MATCH(P1417,Fit_Matrix!$A:$A,0))),"CHECK KEY"))</f>
        <v/>
      </c>
    </row>
    <row r="1418" customFormat="false" ht="15" hidden="false" customHeight="true" outlineLevel="0" collapsed="false">
      <c r="P1418" s="1" t="str">
        <f aca="false">IF(OR(F1418="",H1418="",J1418=""),"",J1418&amp;"|"&amp;F1418&amp;"|"&amp;IF(H1418="W3","W3_"&amp;IF(I1418="","unknown",I1418),H1418))</f>
        <v/>
      </c>
      <c r="Q1418" s="1" t="str">
        <f aca="false">IF(P1418="","",IFERROR(IF(AND(H1418="W7",OR(F1418="causal",F1418="predictive")),IF(AND(K1418=1,L1418=1,M1418=1),"adequate","partial"),INDEX(Fit_Matrix!$B:$B,MATCH(P1418,Fit_Matrix!$A:$A,0))),"CHECK KEY"))</f>
        <v/>
      </c>
    </row>
    <row r="1419" customFormat="false" ht="15" hidden="false" customHeight="true" outlineLevel="0" collapsed="false">
      <c r="P1419" s="1" t="str">
        <f aca="false">IF(OR(F1419="",H1419="",J1419=""),"",J1419&amp;"|"&amp;F1419&amp;"|"&amp;IF(H1419="W3","W3_"&amp;IF(I1419="","unknown",I1419),H1419))</f>
        <v/>
      </c>
      <c r="Q1419" s="1" t="str">
        <f aca="false">IF(P1419="","",IFERROR(IF(AND(H1419="W7",OR(F1419="causal",F1419="predictive")),IF(AND(K1419=1,L1419=1,M1419=1),"adequate","partial"),INDEX(Fit_Matrix!$B:$B,MATCH(P1419,Fit_Matrix!$A:$A,0))),"CHECK KEY"))</f>
        <v/>
      </c>
    </row>
    <row r="1420" customFormat="false" ht="15" hidden="false" customHeight="true" outlineLevel="0" collapsed="false">
      <c r="P1420" s="1" t="str">
        <f aca="false">IF(OR(F1420="",H1420="",J1420=""),"",J1420&amp;"|"&amp;F1420&amp;"|"&amp;IF(H1420="W3","W3_"&amp;IF(I1420="","unknown",I1420),H1420))</f>
        <v/>
      </c>
      <c r="Q1420" s="1" t="str">
        <f aca="false">IF(P1420="","",IFERROR(IF(AND(H1420="W7",OR(F1420="causal",F1420="predictive")),IF(AND(K1420=1,L1420=1,M1420=1),"adequate","partial"),INDEX(Fit_Matrix!$B:$B,MATCH(P1420,Fit_Matrix!$A:$A,0))),"CHECK KEY"))</f>
        <v/>
      </c>
    </row>
    <row r="1421" customFormat="false" ht="15" hidden="false" customHeight="true" outlineLevel="0" collapsed="false">
      <c r="P1421" s="1" t="str">
        <f aca="false">IF(OR(F1421="",H1421="",J1421=""),"",J1421&amp;"|"&amp;F1421&amp;"|"&amp;IF(H1421="W3","W3_"&amp;IF(I1421="","unknown",I1421),H1421))</f>
        <v/>
      </c>
      <c r="Q1421" s="1" t="str">
        <f aca="false">IF(P1421="","",IFERROR(IF(AND(H1421="W7",OR(F1421="causal",F1421="predictive")),IF(AND(K1421=1,L1421=1,M1421=1),"adequate","partial"),INDEX(Fit_Matrix!$B:$B,MATCH(P1421,Fit_Matrix!$A:$A,0))),"CHECK KEY"))</f>
        <v/>
      </c>
    </row>
    <row r="1422" customFormat="false" ht="15" hidden="false" customHeight="true" outlineLevel="0" collapsed="false">
      <c r="P1422" s="1" t="str">
        <f aca="false">IF(OR(F1422="",H1422="",J1422=""),"",J1422&amp;"|"&amp;F1422&amp;"|"&amp;IF(H1422="W3","W3_"&amp;IF(I1422="","unknown",I1422),H1422))</f>
        <v/>
      </c>
      <c r="Q1422" s="1" t="str">
        <f aca="false">IF(P1422="","",IFERROR(IF(AND(H1422="W7",OR(F1422="causal",F1422="predictive")),IF(AND(K1422=1,L1422=1,M1422=1),"adequate","partial"),INDEX(Fit_Matrix!$B:$B,MATCH(P1422,Fit_Matrix!$A:$A,0))),"CHECK KEY"))</f>
        <v/>
      </c>
    </row>
    <row r="1423" customFormat="false" ht="15" hidden="false" customHeight="true" outlineLevel="0" collapsed="false">
      <c r="P1423" s="1" t="str">
        <f aca="false">IF(OR(F1423="",H1423="",J1423=""),"",J1423&amp;"|"&amp;F1423&amp;"|"&amp;IF(H1423="W3","W3_"&amp;IF(I1423="","unknown",I1423),H1423))</f>
        <v/>
      </c>
      <c r="Q1423" s="1" t="str">
        <f aca="false">IF(P1423="","",IFERROR(IF(AND(H1423="W7",OR(F1423="causal",F1423="predictive")),IF(AND(K1423=1,L1423=1,M1423=1),"adequate","partial"),INDEX(Fit_Matrix!$B:$B,MATCH(P1423,Fit_Matrix!$A:$A,0))),"CHECK KEY"))</f>
        <v/>
      </c>
    </row>
    <row r="1424" customFormat="false" ht="15" hidden="false" customHeight="true" outlineLevel="0" collapsed="false">
      <c r="P1424" s="1" t="str">
        <f aca="false">IF(OR(F1424="",H1424="",J1424=""),"",J1424&amp;"|"&amp;F1424&amp;"|"&amp;IF(H1424="W3","W3_"&amp;IF(I1424="","unknown",I1424),H1424))</f>
        <v/>
      </c>
      <c r="Q1424" s="1" t="str">
        <f aca="false">IF(P1424="","",IFERROR(IF(AND(H1424="W7",OR(F1424="causal",F1424="predictive")),IF(AND(K1424=1,L1424=1,M1424=1),"adequate","partial"),INDEX(Fit_Matrix!$B:$B,MATCH(P1424,Fit_Matrix!$A:$A,0))),"CHECK KEY"))</f>
        <v/>
      </c>
    </row>
    <row r="1425" customFormat="false" ht="15" hidden="false" customHeight="true" outlineLevel="0" collapsed="false">
      <c r="P1425" s="1" t="str">
        <f aca="false">IF(OR(F1425="",H1425="",J1425=""),"",J1425&amp;"|"&amp;F1425&amp;"|"&amp;IF(H1425="W3","W3_"&amp;IF(I1425="","unknown",I1425),H1425))</f>
        <v/>
      </c>
      <c r="Q1425" s="1" t="str">
        <f aca="false">IF(P1425="","",IFERROR(IF(AND(H1425="W7",OR(F1425="causal",F1425="predictive")),IF(AND(K1425=1,L1425=1,M1425=1),"adequate","partial"),INDEX(Fit_Matrix!$B:$B,MATCH(P1425,Fit_Matrix!$A:$A,0))),"CHECK KEY"))</f>
        <v/>
      </c>
    </row>
    <row r="1426" customFormat="false" ht="15" hidden="false" customHeight="true" outlineLevel="0" collapsed="false">
      <c r="P1426" s="1" t="str">
        <f aca="false">IF(OR(F1426="",H1426="",J1426=""),"",J1426&amp;"|"&amp;F1426&amp;"|"&amp;IF(H1426="W3","W3_"&amp;IF(I1426="","unknown",I1426),H1426))</f>
        <v/>
      </c>
      <c r="Q1426" s="1" t="str">
        <f aca="false">IF(P1426="","",IFERROR(IF(AND(H1426="W7",OR(F1426="causal",F1426="predictive")),IF(AND(K1426=1,L1426=1,M1426=1),"adequate","partial"),INDEX(Fit_Matrix!$B:$B,MATCH(P1426,Fit_Matrix!$A:$A,0))),"CHECK KEY"))</f>
        <v/>
      </c>
    </row>
    <row r="1427" customFormat="false" ht="15" hidden="false" customHeight="true" outlineLevel="0" collapsed="false">
      <c r="P1427" s="1" t="str">
        <f aca="false">IF(OR(F1427="",H1427="",J1427=""),"",J1427&amp;"|"&amp;F1427&amp;"|"&amp;IF(H1427="W3","W3_"&amp;IF(I1427="","unknown",I1427),H1427))</f>
        <v/>
      </c>
      <c r="Q1427" s="1" t="str">
        <f aca="false">IF(P1427="","",IFERROR(IF(AND(H1427="W7",OR(F1427="causal",F1427="predictive")),IF(AND(K1427=1,L1427=1,M1427=1),"adequate","partial"),INDEX(Fit_Matrix!$B:$B,MATCH(P1427,Fit_Matrix!$A:$A,0))),"CHECK KEY"))</f>
        <v/>
      </c>
    </row>
    <row r="1428" customFormat="false" ht="15" hidden="false" customHeight="true" outlineLevel="0" collapsed="false">
      <c r="P1428" s="1" t="str">
        <f aca="false">IF(OR(F1428="",H1428="",J1428=""),"",J1428&amp;"|"&amp;F1428&amp;"|"&amp;IF(H1428="W3","W3_"&amp;IF(I1428="","unknown",I1428),H1428))</f>
        <v/>
      </c>
      <c r="Q1428" s="1" t="str">
        <f aca="false">IF(P1428="","",IFERROR(IF(AND(H1428="W7",OR(F1428="causal",F1428="predictive")),IF(AND(K1428=1,L1428=1,M1428=1),"adequate","partial"),INDEX(Fit_Matrix!$B:$B,MATCH(P1428,Fit_Matrix!$A:$A,0))),"CHECK KEY"))</f>
        <v/>
      </c>
    </row>
    <row r="1429" customFormat="false" ht="15" hidden="false" customHeight="true" outlineLevel="0" collapsed="false">
      <c r="P1429" s="1" t="str">
        <f aca="false">IF(OR(F1429="",H1429="",J1429=""),"",J1429&amp;"|"&amp;F1429&amp;"|"&amp;IF(H1429="W3","W3_"&amp;IF(I1429="","unknown",I1429),H1429))</f>
        <v/>
      </c>
      <c r="Q1429" s="1" t="str">
        <f aca="false">IF(P1429="","",IFERROR(IF(AND(H1429="W7",OR(F1429="causal",F1429="predictive")),IF(AND(K1429=1,L1429=1,M1429=1),"adequate","partial"),INDEX(Fit_Matrix!$B:$B,MATCH(P1429,Fit_Matrix!$A:$A,0))),"CHECK KEY"))</f>
        <v/>
      </c>
    </row>
    <row r="1430" customFormat="false" ht="15" hidden="false" customHeight="true" outlineLevel="0" collapsed="false">
      <c r="P1430" s="1" t="str">
        <f aca="false">IF(OR(F1430="",H1430="",J1430=""),"",J1430&amp;"|"&amp;F1430&amp;"|"&amp;IF(H1430="W3","W3_"&amp;IF(I1430="","unknown",I1430),H1430))</f>
        <v/>
      </c>
      <c r="Q1430" s="1" t="str">
        <f aca="false">IF(P1430="","",IFERROR(IF(AND(H1430="W7",OR(F1430="causal",F1430="predictive")),IF(AND(K1430=1,L1430=1,M1430=1),"adequate","partial"),INDEX(Fit_Matrix!$B:$B,MATCH(P1430,Fit_Matrix!$A:$A,0))),"CHECK KEY"))</f>
        <v/>
      </c>
    </row>
    <row r="1431" customFormat="false" ht="15" hidden="false" customHeight="true" outlineLevel="0" collapsed="false">
      <c r="P1431" s="1" t="str">
        <f aca="false">IF(OR(F1431="",H1431="",J1431=""),"",J1431&amp;"|"&amp;F1431&amp;"|"&amp;IF(H1431="W3","W3_"&amp;IF(I1431="","unknown",I1431),H1431))</f>
        <v/>
      </c>
      <c r="Q1431" s="1" t="str">
        <f aca="false">IF(P1431="","",IFERROR(IF(AND(H1431="W7",OR(F1431="causal",F1431="predictive")),IF(AND(K1431=1,L1431=1,M1431=1),"adequate","partial"),INDEX(Fit_Matrix!$B:$B,MATCH(P1431,Fit_Matrix!$A:$A,0))),"CHECK KEY"))</f>
        <v/>
      </c>
    </row>
    <row r="1432" customFormat="false" ht="15" hidden="false" customHeight="true" outlineLevel="0" collapsed="false">
      <c r="P1432" s="1" t="str">
        <f aca="false">IF(OR(F1432="",H1432="",J1432=""),"",J1432&amp;"|"&amp;F1432&amp;"|"&amp;IF(H1432="W3","W3_"&amp;IF(I1432="","unknown",I1432),H1432))</f>
        <v/>
      </c>
      <c r="Q1432" s="1" t="str">
        <f aca="false">IF(P1432="","",IFERROR(IF(AND(H1432="W7",OR(F1432="causal",F1432="predictive")),IF(AND(K1432=1,L1432=1,M1432=1),"adequate","partial"),INDEX(Fit_Matrix!$B:$B,MATCH(P1432,Fit_Matrix!$A:$A,0))),"CHECK KEY"))</f>
        <v/>
      </c>
    </row>
    <row r="1433" customFormat="false" ht="15" hidden="false" customHeight="true" outlineLevel="0" collapsed="false">
      <c r="P1433" s="1" t="str">
        <f aca="false">IF(OR(F1433="",H1433="",J1433=""),"",J1433&amp;"|"&amp;F1433&amp;"|"&amp;IF(H1433="W3","W3_"&amp;IF(I1433="","unknown",I1433),H1433))</f>
        <v/>
      </c>
      <c r="Q1433" s="1" t="str">
        <f aca="false">IF(P1433="","",IFERROR(IF(AND(H1433="W7",OR(F1433="causal",F1433="predictive")),IF(AND(K1433=1,L1433=1,M1433=1),"adequate","partial"),INDEX(Fit_Matrix!$B:$B,MATCH(P1433,Fit_Matrix!$A:$A,0))),"CHECK KEY"))</f>
        <v/>
      </c>
    </row>
    <row r="1434" customFormat="false" ht="15" hidden="false" customHeight="true" outlineLevel="0" collapsed="false">
      <c r="P1434" s="1" t="str">
        <f aca="false">IF(OR(F1434="",H1434="",J1434=""),"",J1434&amp;"|"&amp;F1434&amp;"|"&amp;IF(H1434="W3","W3_"&amp;IF(I1434="","unknown",I1434),H1434))</f>
        <v/>
      </c>
      <c r="Q1434" s="1" t="str">
        <f aca="false">IF(P1434="","",IFERROR(IF(AND(H1434="W7",OR(F1434="causal",F1434="predictive")),IF(AND(K1434=1,L1434=1,M1434=1),"adequate","partial"),INDEX(Fit_Matrix!$B:$B,MATCH(P1434,Fit_Matrix!$A:$A,0))),"CHECK KEY"))</f>
        <v/>
      </c>
    </row>
    <row r="1435" customFormat="false" ht="15" hidden="false" customHeight="true" outlineLevel="0" collapsed="false">
      <c r="P1435" s="1" t="str">
        <f aca="false">IF(OR(F1435="",H1435="",J1435=""),"",J1435&amp;"|"&amp;F1435&amp;"|"&amp;IF(H1435="W3","W3_"&amp;IF(I1435="","unknown",I1435),H1435))</f>
        <v/>
      </c>
      <c r="Q1435" s="1" t="str">
        <f aca="false">IF(P1435="","",IFERROR(IF(AND(H1435="W7",OR(F1435="causal",F1435="predictive")),IF(AND(K1435=1,L1435=1,M1435=1),"adequate","partial"),INDEX(Fit_Matrix!$B:$B,MATCH(P1435,Fit_Matrix!$A:$A,0))),"CHECK KEY"))</f>
        <v/>
      </c>
    </row>
    <row r="1436" customFormat="false" ht="15" hidden="false" customHeight="true" outlineLevel="0" collapsed="false">
      <c r="P1436" s="1" t="str">
        <f aca="false">IF(OR(F1436="",H1436="",J1436=""),"",J1436&amp;"|"&amp;F1436&amp;"|"&amp;IF(H1436="W3","W3_"&amp;IF(I1436="","unknown",I1436),H1436))</f>
        <v/>
      </c>
      <c r="Q1436" s="1" t="str">
        <f aca="false">IF(P1436="","",IFERROR(IF(AND(H1436="W7",OR(F1436="causal",F1436="predictive")),IF(AND(K1436=1,L1436=1,M1436=1),"adequate","partial"),INDEX(Fit_Matrix!$B:$B,MATCH(P1436,Fit_Matrix!$A:$A,0))),"CHECK KEY"))</f>
        <v/>
      </c>
    </row>
    <row r="1437" customFormat="false" ht="15" hidden="false" customHeight="true" outlineLevel="0" collapsed="false">
      <c r="P1437" s="1" t="str">
        <f aca="false">IF(OR(F1437="",H1437="",J1437=""),"",J1437&amp;"|"&amp;F1437&amp;"|"&amp;IF(H1437="W3","W3_"&amp;IF(I1437="","unknown",I1437),H1437))</f>
        <v/>
      </c>
      <c r="Q1437" s="1" t="str">
        <f aca="false">IF(P1437="","",IFERROR(IF(AND(H1437="W7",OR(F1437="causal",F1437="predictive")),IF(AND(K1437=1,L1437=1,M1437=1),"adequate","partial"),INDEX(Fit_Matrix!$B:$B,MATCH(P1437,Fit_Matrix!$A:$A,0))),"CHECK KEY"))</f>
        <v/>
      </c>
    </row>
    <row r="1438" customFormat="false" ht="15" hidden="false" customHeight="true" outlineLevel="0" collapsed="false">
      <c r="P1438" s="1" t="str">
        <f aca="false">IF(OR(F1438="",H1438="",J1438=""),"",J1438&amp;"|"&amp;F1438&amp;"|"&amp;IF(H1438="W3","W3_"&amp;IF(I1438="","unknown",I1438),H1438))</f>
        <v/>
      </c>
      <c r="Q1438" s="1" t="str">
        <f aca="false">IF(P1438="","",IFERROR(IF(AND(H1438="W7",OR(F1438="causal",F1438="predictive")),IF(AND(K1438=1,L1438=1,M1438=1),"adequate","partial"),INDEX(Fit_Matrix!$B:$B,MATCH(P1438,Fit_Matrix!$A:$A,0))),"CHECK KEY"))</f>
        <v/>
      </c>
    </row>
    <row r="1439" customFormat="false" ht="15" hidden="false" customHeight="true" outlineLevel="0" collapsed="false">
      <c r="P1439" s="1" t="str">
        <f aca="false">IF(OR(F1439="",H1439="",J1439=""),"",J1439&amp;"|"&amp;F1439&amp;"|"&amp;IF(H1439="W3","W3_"&amp;IF(I1439="","unknown",I1439),H1439))</f>
        <v/>
      </c>
      <c r="Q1439" s="1" t="str">
        <f aca="false">IF(P1439="","",IFERROR(IF(AND(H1439="W7",OR(F1439="causal",F1439="predictive")),IF(AND(K1439=1,L1439=1,M1439=1),"adequate","partial"),INDEX(Fit_Matrix!$B:$B,MATCH(P1439,Fit_Matrix!$A:$A,0))),"CHECK KEY"))</f>
        <v/>
      </c>
    </row>
    <row r="1440" customFormat="false" ht="15" hidden="false" customHeight="true" outlineLevel="0" collapsed="false">
      <c r="P1440" s="1" t="str">
        <f aca="false">IF(OR(F1440="",H1440="",J1440=""),"",J1440&amp;"|"&amp;F1440&amp;"|"&amp;IF(H1440="W3","W3_"&amp;IF(I1440="","unknown",I1440),H1440))</f>
        <v/>
      </c>
      <c r="Q1440" s="1" t="str">
        <f aca="false">IF(P1440="","",IFERROR(IF(AND(H1440="W7",OR(F1440="causal",F1440="predictive")),IF(AND(K1440=1,L1440=1,M1440=1),"adequate","partial"),INDEX(Fit_Matrix!$B:$B,MATCH(P1440,Fit_Matrix!$A:$A,0))),"CHECK KEY"))</f>
        <v/>
      </c>
    </row>
    <row r="1441" customFormat="false" ht="15" hidden="false" customHeight="true" outlineLevel="0" collapsed="false">
      <c r="P1441" s="1" t="str">
        <f aca="false">IF(OR(F1441="",H1441="",J1441=""),"",J1441&amp;"|"&amp;F1441&amp;"|"&amp;IF(H1441="W3","W3_"&amp;IF(I1441="","unknown",I1441),H1441))</f>
        <v/>
      </c>
      <c r="Q1441" s="1" t="str">
        <f aca="false">IF(P1441="","",IFERROR(IF(AND(H1441="W7",OR(F1441="causal",F1441="predictive")),IF(AND(K1441=1,L1441=1,M1441=1),"adequate","partial"),INDEX(Fit_Matrix!$B:$B,MATCH(P1441,Fit_Matrix!$A:$A,0))),"CHECK KEY"))</f>
        <v/>
      </c>
    </row>
    <row r="1442" customFormat="false" ht="15" hidden="false" customHeight="true" outlineLevel="0" collapsed="false">
      <c r="P1442" s="1" t="str">
        <f aca="false">IF(OR(F1442="",H1442="",J1442=""),"",J1442&amp;"|"&amp;F1442&amp;"|"&amp;IF(H1442="W3","W3_"&amp;IF(I1442="","unknown",I1442),H1442))</f>
        <v/>
      </c>
      <c r="Q1442" s="1" t="str">
        <f aca="false">IF(P1442="","",IFERROR(IF(AND(H1442="W7",OR(F1442="causal",F1442="predictive")),IF(AND(K1442=1,L1442=1,M1442=1),"adequate","partial"),INDEX(Fit_Matrix!$B:$B,MATCH(P1442,Fit_Matrix!$A:$A,0))),"CHECK KEY"))</f>
        <v/>
      </c>
    </row>
    <row r="1443" customFormat="false" ht="15" hidden="false" customHeight="true" outlineLevel="0" collapsed="false">
      <c r="P1443" s="1" t="str">
        <f aca="false">IF(OR(F1443="",H1443="",J1443=""),"",J1443&amp;"|"&amp;F1443&amp;"|"&amp;IF(H1443="W3","W3_"&amp;IF(I1443="","unknown",I1443),H1443))</f>
        <v/>
      </c>
      <c r="Q1443" s="1" t="str">
        <f aca="false">IF(P1443="","",IFERROR(IF(AND(H1443="W7",OR(F1443="causal",F1443="predictive")),IF(AND(K1443=1,L1443=1,M1443=1),"adequate","partial"),INDEX(Fit_Matrix!$B:$B,MATCH(P1443,Fit_Matrix!$A:$A,0))),"CHECK KEY"))</f>
        <v/>
      </c>
    </row>
    <row r="1444" customFormat="false" ht="15" hidden="false" customHeight="true" outlineLevel="0" collapsed="false">
      <c r="P1444" s="1" t="str">
        <f aca="false">IF(OR(F1444="",H1444="",J1444=""),"",J1444&amp;"|"&amp;F1444&amp;"|"&amp;IF(H1444="W3","W3_"&amp;IF(I1444="","unknown",I1444),H1444))</f>
        <v/>
      </c>
      <c r="Q1444" s="1" t="str">
        <f aca="false">IF(P1444="","",IFERROR(IF(AND(H1444="W7",OR(F1444="causal",F1444="predictive")),IF(AND(K1444=1,L1444=1,M1444=1),"adequate","partial"),INDEX(Fit_Matrix!$B:$B,MATCH(P1444,Fit_Matrix!$A:$A,0))),"CHECK KEY"))</f>
        <v/>
      </c>
    </row>
    <row r="1445" customFormat="false" ht="15" hidden="false" customHeight="true" outlineLevel="0" collapsed="false">
      <c r="P1445" s="1" t="str">
        <f aca="false">IF(OR(F1445="",H1445="",J1445=""),"",J1445&amp;"|"&amp;F1445&amp;"|"&amp;IF(H1445="W3","W3_"&amp;IF(I1445="","unknown",I1445),H1445))</f>
        <v/>
      </c>
      <c r="Q1445" s="1" t="str">
        <f aca="false">IF(P1445="","",IFERROR(IF(AND(H1445="W7",OR(F1445="causal",F1445="predictive")),IF(AND(K1445=1,L1445=1,M1445=1),"adequate","partial"),INDEX(Fit_Matrix!$B:$B,MATCH(P1445,Fit_Matrix!$A:$A,0))),"CHECK KEY"))</f>
        <v/>
      </c>
    </row>
    <row r="1446" customFormat="false" ht="15" hidden="false" customHeight="true" outlineLevel="0" collapsed="false">
      <c r="P1446" s="1" t="str">
        <f aca="false">IF(OR(F1446="",H1446="",J1446=""),"",J1446&amp;"|"&amp;F1446&amp;"|"&amp;IF(H1446="W3","W3_"&amp;IF(I1446="","unknown",I1446),H1446))</f>
        <v/>
      </c>
      <c r="Q1446" s="1" t="str">
        <f aca="false">IF(P1446="","",IFERROR(IF(AND(H1446="W7",OR(F1446="causal",F1446="predictive")),IF(AND(K1446=1,L1446=1,M1446=1),"adequate","partial"),INDEX(Fit_Matrix!$B:$B,MATCH(P1446,Fit_Matrix!$A:$A,0))),"CHECK KEY"))</f>
        <v/>
      </c>
    </row>
    <row r="1447" customFormat="false" ht="15" hidden="false" customHeight="true" outlineLevel="0" collapsed="false">
      <c r="P1447" s="1" t="str">
        <f aca="false">IF(OR(F1447="",H1447="",J1447=""),"",J1447&amp;"|"&amp;F1447&amp;"|"&amp;IF(H1447="W3","W3_"&amp;IF(I1447="","unknown",I1447),H1447))</f>
        <v/>
      </c>
      <c r="Q1447" s="1" t="str">
        <f aca="false">IF(P1447="","",IFERROR(IF(AND(H1447="W7",OR(F1447="causal",F1447="predictive")),IF(AND(K1447=1,L1447=1,M1447=1),"adequate","partial"),INDEX(Fit_Matrix!$B:$B,MATCH(P1447,Fit_Matrix!$A:$A,0))),"CHECK KEY"))</f>
        <v/>
      </c>
    </row>
    <row r="1448" customFormat="false" ht="15" hidden="false" customHeight="true" outlineLevel="0" collapsed="false">
      <c r="P1448" s="1" t="str">
        <f aca="false">IF(OR(F1448="",H1448="",J1448=""),"",J1448&amp;"|"&amp;F1448&amp;"|"&amp;IF(H1448="W3","W3_"&amp;IF(I1448="","unknown",I1448),H1448))</f>
        <v/>
      </c>
      <c r="Q1448" s="1" t="str">
        <f aca="false">IF(P1448="","",IFERROR(IF(AND(H1448="W7",OR(F1448="causal",F1448="predictive")),IF(AND(K1448=1,L1448=1,M1448=1),"adequate","partial"),INDEX(Fit_Matrix!$B:$B,MATCH(P1448,Fit_Matrix!$A:$A,0))),"CHECK KEY"))</f>
        <v/>
      </c>
    </row>
    <row r="1449" customFormat="false" ht="15" hidden="false" customHeight="true" outlineLevel="0" collapsed="false">
      <c r="P1449" s="1" t="str">
        <f aca="false">IF(OR(F1449="",H1449="",J1449=""),"",J1449&amp;"|"&amp;F1449&amp;"|"&amp;IF(H1449="W3","W3_"&amp;IF(I1449="","unknown",I1449),H1449))</f>
        <v/>
      </c>
      <c r="Q1449" s="1" t="str">
        <f aca="false">IF(P1449="","",IFERROR(IF(AND(H1449="W7",OR(F1449="causal",F1449="predictive")),IF(AND(K1449=1,L1449=1,M1449=1),"adequate","partial"),INDEX(Fit_Matrix!$B:$B,MATCH(P1449,Fit_Matrix!$A:$A,0))),"CHECK KEY"))</f>
        <v/>
      </c>
    </row>
    <row r="1450" customFormat="false" ht="15" hidden="false" customHeight="true" outlineLevel="0" collapsed="false">
      <c r="P1450" s="1" t="str">
        <f aca="false">IF(OR(F1450="",H1450="",J1450=""),"",J1450&amp;"|"&amp;F1450&amp;"|"&amp;IF(H1450="W3","W3_"&amp;IF(I1450="","unknown",I1450),H1450))</f>
        <v/>
      </c>
      <c r="Q1450" s="1" t="str">
        <f aca="false">IF(P1450="","",IFERROR(IF(AND(H1450="W7",OR(F1450="causal",F1450="predictive")),IF(AND(K1450=1,L1450=1,M1450=1),"adequate","partial"),INDEX(Fit_Matrix!$B:$B,MATCH(P1450,Fit_Matrix!$A:$A,0))),"CHECK KEY"))</f>
        <v/>
      </c>
    </row>
    <row r="1451" customFormat="false" ht="15" hidden="false" customHeight="true" outlineLevel="0" collapsed="false">
      <c r="P1451" s="1" t="str">
        <f aca="false">IF(OR(F1451="",H1451="",J1451=""),"",J1451&amp;"|"&amp;F1451&amp;"|"&amp;IF(H1451="W3","W3_"&amp;IF(I1451="","unknown",I1451),H1451))</f>
        <v/>
      </c>
      <c r="Q1451" s="1" t="str">
        <f aca="false">IF(P1451="","",IFERROR(IF(AND(H1451="W7",OR(F1451="causal",F1451="predictive")),IF(AND(K1451=1,L1451=1,M1451=1),"adequate","partial"),INDEX(Fit_Matrix!$B:$B,MATCH(P1451,Fit_Matrix!$A:$A,0))),"CHECK KEY"))</f>
        <v/>
      </c>
    </row>
    <row r="1452" customFormat="false" ht="15" hidden="false" customHeight="true" outlineLevel="0" collapsed="false">
      <c r="P1452" s="1" t="str">
        <f aca="false">IF(OR(F1452="",H1452="",J1452=""),"",J1452&amp;"|"&amp;F1452&amp;"|"&amp;IF(H1452="W3","W3_"&amp;IF(I1452="","unknown",I1452),H1452))</f>
        <v/>
      </c>
      <c r="Q1452" s="1" t="str">
        <f aca="false">IF(P1452="","",IFERROR(IF(AND(H1452="W7",OR(F1452="causal",F1452="predictive")),IF(AND(K1452=1,L1452=1,M1452=1),"adequate","partial"),INDEX(Fit_Matrix!$B:$B,MATCH(P1452,Fit_Matrix!$A:$A,0))),"CHECK KEY"))</f>
        <v/>
      </c>
    </row>
    <row r="1453" customFormat="false" ht="15" hidden="false" customHeight="true" outlineLevel="0" collapsed="false">
      <c r="P1453" s="1" t="str">
        <f aca="false">IF(OR(F1453="",H1453="",J1453=""),"",J1453&amp;"|"&amp;F1453&amp;"|"&amp;IF(H1453="W3","W3_"&amp;IF(I1453="","unknown",I1453),H1453))</f>
        <v/>
      </c>
      <c r="Q1453" s="1" t="str">
        <f aca="false">IF(P1453="","",IFERROR(IF(AND(H1453="W7",OR(F1453="causal",F1453="predictive")),IF(AND(K1453=1,L1453=1,M1453=1),"adequate","partial"),INDEX(Fit_Matrix!$B:$B,MATCH(P1453,Fit_Matrix!$A:$A,0))),"CHECK KEY"))</f>
        <v/>
      </c>
    </row>
    <row r="1454" customFormat="false" ht="15" hidden="false" customHeight="true" outlineLevel="0" collapsed="false">
      <c r="P1454" s="1" t="str">
        <f aca="false">IF(OR(F1454="",H1454="",J1454=""),"",J1454&amp;"|"&amp;F1454&amp;"|"&amp;IF(H1454="W3","W3_"&amp;IF(I1454="","unknown",I1454),H1454))</f>
        <v/>
      </c>
      <c r="Q1454" s="1" t="str">
        <f aca="false">IF(P1454="","",IFERROR(IF(AND(H1454="W7",OR(F1454="causal",F1454="predictive")),IF(AND(K1454=1,L1454=1,M1454=1),"adequate","partial"),INDEX(Fit_Matrix!$B:$B,MATCH(P1454,Fit_Matrix!$A:$A,0))),"CHECK KEY"))</f>
        <v/>
      </c>
    </row>
    <row r="1455" customFormat="false" ht="15" hidden="false" customHeight="true" outlineLevel="0" collapsed="false">
      <c r="P1455" s="1" t="str">
        <f aca="false">IF(OR(F1455="",H1455="",J1455=""),"",J1455&amp;"|"&amp;F1455&amp;"|"&amp;IF(H1455="W3","W3_"&amp;IF(I1455="","unknown",I1455),H1455))</f>
        <v/>
      </c>
      <c r="Q1455" s="1" t="str">
        <f aca="false">IF(P1455="","",IFERROR(IF(AND(H1455="W7",OR(F1455="causal",F1455="predictive")),IF(AND(K1455=1,L1455=1,M1455=1),"adequate","partial"),INDEX(Fit_Matrix!$B:$B,MATCH(P1455,Fit_Matrix!$A:$A,0))),"CHECK KEY"))</f>
        <v/>
      </c>
    </row>
    <row r="1456" customFormat="false" ht="15" hidden="false" customHeight="true" outlineLevel="0" collapsed="false">
      <c r="P1456" s="1" t="str">
        <f aca="false">IF(OR(F1456="",H1456="",J1456=""),"",J1456&amp;"|"&amp;F1456&amp;"|"&amp;IF(H1456="W3","W3_"&amp;IF(I1456="","unknown",I1456),H1456))</f>
        <v/>
      </c>
      <c r="Q1456" s="1" t="str">
        <f aca="false">IF(P1456="","",IFERROR(IF(AND(H1456="W7",OR(F1456="causal",F1456="predictive")),IF(AND(K1456=1,L1456=1,M1456=1),"adequate","partial"),INDEX(Fit_Matrix!$B:$B,MATCH(P1456,Fit_Matrix!$A:$A,0))),"CHECK KEY"))</f>
        <v/>
      </c>
    </row>
    <row r="1457" customFormat="false" ht="15" hidden="false" customHeight="true" outlineLevel="0" collapsed="false">
      <c r="P1457" s="1" t="str">
        <f aca="false">IF(OR(F1457="",H1457="",J1457=""),"",J1457&amp;"|"&amp;F1457&amp;"|"&amp;IF(H1457="W3","W3_"&amp;IF(I1457="","unknown",I1457),H1457))</f>
        <v/>
      </c>
      <c r="Q1457" s="1" t="str">
        <f aca="false">IF(P1457="","",IFERROR(IF(AND(H1457="W7",OR(F1457="causal",F1457="predictive")),IF(AND(K1457=1,L1457=1,M1457=1),"adequate","partial"),INDEX(Fit_Matrix!$B:$B,MATCH(P1457,Fit_Matrix!$A:$A,0))),"CHECK KEY"))</f>
        <v/>
      </c>
    </row>
    <row r="1458" customFormat="false" ht="15" hidden="false" customHeight="true" outlineLevel="0" collapsed="false">
      <c r="P1458" s="1" t="str">
        <f aca="false">IF(OR(F1458="",H1458="",J1458=""),"",J1458&amp;"|"&amp;F1458&amp;"|"&amp;IF(H1458="W3","W3_"&amp;IF(I1458="","unknown",I1458),H1458))</f>
        <v/>
      </c>
      <c r="Q1458" s="1" t="str">
        <f aca="false">IF(P1458="","",IFERROR(IF(AND(H1458="W7",OR(F1458="causal",F1458="predictive")),IF(AND(K1458=1,L1458=1,M1458=1),"adequate","partial"),INDEX(Fit_Matrix!$B:$B,MATCH(P1458,Fit_Matrix!$A:$A,0))),"CHECK KEY"))</f>
        <v/>
      </c>
    </row>
    <row r="1459" customFormat="false" ht="15" hidden="false" customHeight="true" outlineLevel="0" collapsed="false">
      <c r="P1459" s="1" t="str">
        <f aca="false">IF(OR(F1459="",H1459="",J1459=""),"",J1459&amp;"|"&amp;F1459&amp;"|"&amp;IF(H1459="W3","W3_"&amp;IF(I1459="","unknown",I1459),H1459))</f>
        <v/>
      </c>
      <c r="Q1459" s="1" t="str">
        <f aca="false">IF(P1459="","",IFERROR(IF(AND(H1459="W7",OR(F1459="causal",F1459="predictive")),IF(AND(K1459=1,L1459=1,M1459=1),"adequate","partial"),INDEX(Fit_Matrix!$B:$B,MATCH(P1459,Fit_Matrix!$A:$A,0))),"CHECK KEY"))</f>
        <v/>
      </c>
    </row>
    <row r="1460" customFormat="false" ht="15" hidden="false" customHeight="true" outlineLevel="0" collapsed="false">
      <c r="P1460" s="1" t="str">
        <f aca="false">IF(OR(F1460="",H1460="",J1460=""),"",J1460&amp;"|"&amp;F1460&amp;"|"&amp;IF(H1460="W3","W3_"&amp;IF(I1460="","unknown",I1460),H1460))</f>
        <v/>
      </c>
      <c r="Q1460" s="1" t="str">
        <f aca="false">IF(P1460="","",IFERROR(IF(AND(H1460="W7",OR(F1460="causal",F1460="predictive")),IF(AND(K1460=1,L1460=1,M1460=1),"adequate","partial"),INDEX(Fit_Matrix!$B:$B,MATCH(P1460,Fit_Matrix!$A:$A,0))),"CHECK KEY"))</f>
        <v/>
      </c>
    </row>
    <row r="1461" customFormat="false" ht="15" hidden="false" customHeight="true" outlineLevel="0" collapsed="false">
      <c r="P1461" s="1" t="str">
        <f aca="false">IF(OR(F1461="",H1461="",J1461=""),"",J1461&amp;"|"&amp;F1461&amp;"|"&amp;IF(H1461="W3","W3_"&amp;IF(I1461="","unknown",I1461),H1461))</f>
        <v/>
      </c>
      <c r="Q1461" s="1" t="str">
        <f aca="false">IF(P1461="","",IFERROR(IF(AND(H1461="W7",OR(F1461="causal",F1461="predictive")),IF(AND(K1461=1,L1461=1,M1461=1),"adequate","partial"),INDEX(Fit_Matrix!$B:$B,MATCH(P1461,Fit_Matrix!$A:$A,0))),"CHECK KEY"))</f>
        <v/>
      </c>
    </row>
    <row r="1462" customFormat="false" ht="15" hidden="false" customHeight="true" outlineLevel="0" collapsed="false">
      <c r="P1462" s="1" t="str">
        <f aca="false">IF(OR(F1462="",H1462="",J1462=""),"",J1462&amp;"|"&amp;F1462&amp;"|"&amp;IF(H1462="W3","W3_"&amp;IF(I1462="","unknown",I1462),H1462))</f>
        <v/>
      </c>
      <c r="Q1462" s="1" t="str">
        <f aca="false">IF(P1462="","",IFERROR(IF(AND(H1462="W7",OR(F1462="causal",F1462="predictive")),IF(AND(K1462=1,L1462=1,M1462=1),"adequate","partial"),INDEX(Fit_Matrix!$B:$B,MATCH(P1462,Fit_Matrix!$A:$A,0))),"CHECK KEY"))</f>
        <v/>
      </c>
    </row>
    <row r="1463" customFormat="false" ht="15" hidden="false" customHeight="true" outlineLevel="0" collapsed="false">
      <c r="P1463" s="1" t="str">
        <f aca="false">IF(OR(F1463="",H1463="",J1463=""),"",J1463&amp;"|"&amp;F1463&amp;"|"&amp;IF(H1463="W3","W3_"&amp;IF(I1463="","unknown",I1463),H1463))</f>
        <v/>
      </c>
      <c r="Q1463" s="1" t="str">
        <f aca="false">IF(P1463="","",IFERROR(IF(AND(H1463="W7",OR(F1463="causal",F1463="predictive")),IF(AND(K1463=1,L1463=1,M1463=1),"adequate","partial"),INDEX(Fit_Matrix!$B:$B,MATCH(P1463,Fit_Matrix!$A:$A,0))),"CHECK KEY"))</f>
        <v/>
      </c>
    </row>
    <row r="1464" customFormat="false" ht="15" hidden="false" customHeight="true" outlineLevel="0" collapsed="false">
      <c r="P1464" s="1" t="str">
        <f aca="false">IF(OR(F1464="",H1464="",J1464=""),"",J1464&amp;"|"&amp;F1464&amp;"|"&amp;IF(H1464="W3","W3_"&amp;IF(I1464="","unknown",I1464),H1464))</f>
        <v/>
      </c>
      <c r="Q1464" s="1" t="str">
        <f aca="false">IF(P1464="","",IFERROR(IF(AND(H1464="W7",OR(F1464="causal",F1464="predictive")),IF(AND(K1464=1,L1464=1,M1464=1),"adequate","partial"),INDEX(Fit_Matrix!$B:$B,MATCH(P1464,Fit_Matrix!$A:$A,0))),"CHECK KEY"))</f>
        <v/>
      </c>
    </row>
    <row r="1465" customFormat="false" ht="15" hidden="false" customHeight="true" outlineLevel="0" collapsed="false">
      <c r="P1465" s="1" t="str">
        <f aca="false">IF(OR(F1465="",H1465="",J1465=""),"",J1465&amp;"|"&amp;F1465&amp;"|"&amp;IF(H1465="W3","W3_"&amp;IF(I1465="","unknown",I1465),H1465))</f>
        <v/>
      </c>
      <c r="Q1465" s="1" t="str">
        <f aca="false">IF(P1465="","",IFERROR(IF(AND(H1465="W7",OR(F1465="causal",F1465="predictive")),IF(AND(K1465=1,L1465=1,M1465=1),"adequate","partial"),INDEX(Fit_Matrix!$B:$B,MATCH(P1465,Fit_Matrix!$A:$A,0))),"CHECK KEY"))</f>
        <v/>
      </c>
    </row>
    <row r="1466" customFormat="false" ht="15" hidden="false" customHeight="true" outlineLevel="0" collapsed="false">
      <c r="P1466" s="1" t="str">
        <f aca="false">IF(OR(F1466="",H1466="",J1466=""),"",J1466&amp;"|"&amp;F1466&amp;"|"&amp;IF(H1466="W3","W3_"&amp;IF(I1466="","unknown",I1466),H1466))</f>
        <v/>
      </c>
      <c r="Q1466" s="1" t="str">
        <f aca="false">IF(P1466="","",IFERROR(IF(AND(H1466="W7",OR(F1466="causal",F1466="predictive")),IF(AND(K1466=1,L1466=1,M1466=1),"adequate","partial"),INDEX(Fit_Matrix!$B:$B,MATCH(P1466,Fit_Matrix!$A:$A,0))),"CHECK KEY"))</f>
        <v/>
      </c>
    </row>
    <row r="1467" customFormat="false" ht="15" hidden="false" customHeight="true" outlineLevel="0" collapsed="false">
      <c r="P1467" s="1" t="str">
        <f aca="false">IF(OR(F1467="",H1467="",J1467=""),"",J1467&amp;"|"&amp;F1467&amp;"|"&amp;IF(H1467="W3","W3_"&amp;IF(I1467="","unknown",I1467),H1467))</f>
        <v/>
      </c>
      <c r="Q1467" s="1" t="str">
        <f aca="false">IF(P1467="","",IFERROR(IF(AND(H1467="W7",OR(F1467="causal",F1467="predictive")),IF(AND(K1467=1,L1467=1,M1467=1),"adequate","partial"),INDEX(Fit_Matrix!$B:$B,MATCH(P1467,Fit_Matrix!$A:$A,0))),"CHECK KEY"))</f>
        <v/>
      </c>
    </row>
    <row r="1468" customFormat="false" ht="15" hidden="false" customHeight="true" outlineLevel="0" collapsed="false">
      <c r="P1468" s="1" t="str">
        <f aca="false">IF(OR(F1468="",H1468="",J1468=""),"",J1468&amp;"|"&amp;F1468&amp;"|"&amp;IF(H1468="W3","W3_"&amp;IF(I1468="","unknown",I1468),H1468))</f>
        <v/>
      </c>
      <c r="Q1468" s="1" t="str">
        <f aca="false">IF(P1468="","",IFERROR(IF(AND(H1468="W7",OR(F1468="causal",F1468="predictive")),IF(AND(K1468=1,L1468=1,M1468=1),"adequate","partial"),INDEX(Fit_Matrix!$B:$B,MATCH(P1468,Fit_Matrix!$A:$A,0))),"CHECK KEY"))</f>
        <v/>
      </c>
    </row>
    <row r="1469" customFormat="false" ht="15" hidden="false" customHeight="true" outlineLevel="0" collapsed="false">
      <c r="P1469" s="1" t="str">
        <f aca="false">IF(OR(F1469="",H1469="",J1469=""),"",J1469&amp;"|"&amp;F1469&amp;"|"&amp;IF(H1469="W3","W3_"&amp;IF(I1469="","unknown",I1469),H1469))</f>
        <v/>
      </c>
      <c r="Q1469" s="1" t="str">
        <f aca="false">IF(P1469="","",IFERROR(IF(AND(H1469="W7",OR(F1469="causal",F1469="predictive")),IF(AND(K1469=1,L1469=1,M1469=1),"adequate","partial"),INDEX(Fit_Matrix!$B:$B,MATCH(P1469,Fit_Matrix!$A:$A,0))),"CHECK KEY"))</f>
        <v/>
      </c>
    </row>
    <row r="1470" customFormat="false" ht="15" hidden="false" customHeight="true" outlineLevel="0" collapsed="false">
      <c r="P1470" s="1" t="str">
        <f aca="false">IF(OR(F1470="",H1470="",J1470=""),"",J1470&amp;"|"&amp;F1470&amp;"|"&amp;IF(H1470="W3","W3_"&amp;IF(I1470="","unknown",I1470),H1470))</f>
        <v/>
      </c>
      <c r="Q1470" s="1" t="str">
        <f aca="false">IF(P1470="","",IFERROR(IF(AND(H1470="W7",OR(F1470="causal",F1470="predictive")),IF(AND(K1470=1,L1470=1,M1470=1),"adequate","partial"),INDEX(Fit_Matrix!$B:$B,MATCH(P1470,Fit_Matrix!$A:$A,0))),"CHECK KEY"))</f>
        <v/>
      </c>
    </row>
    <row r="1471" customFormat="false" ht="15" hidden="false" customHeight="true" outlineLevel="0" collapsed="false">
      <c r="P1471" s="1" t="str">
        <f aca="false">IF(OR(F1471="",H1471="",J1471=""),"",J1471&amp;"|"&amp;F1471&amp;"|"&amp;IF(H1471="W3","W3_"&amp;IF(I1471="","unknown",I1471),H1471))</f>
        <v/>
      </c>
      <c r="Q1471" s="1" t="str">
        <f aca="false">IF(P1471="","",IFERROR(IF(AND(H1471="W7",OR(F1471="causal",F1471="predictive")),IF(AND(K1471=1,L1471=1,M1471=1),"adequate","partial"),INDEX(Fit_Matrix!$B:$B,MATCH(P1471,Fit_Matrix!$A:$A,0))),"CHECK KEY"))</f>
        <v/>
      </c>
    </row>
    <row r="1472" customFormat="false" ht="15" hidden="false" customHeight="true" outlineLevel="0" collapsed="false">
      <c r="P1472" s="1" t="str">
        <f aca="false">IF(OR(F1472="",H1472="",J1472=""),"",J1472&amp;"|"&amp;F1472&amp;"|"&amp;IF(H1472="W3","W3_"&amp;IF(I1472="","unknown",I1472),H1472))</f>
        <v/>
      </c>
      <c r="Q1472" s="1" t="str">
        <f aca="false">IF(P1472="","",IFERROR(IF(AND(H1472="W7",OR(F1472="causal",F1472="predictive")),IF(AND(K1472=1,L1472=1,M1472=1),"adequate","partial"),INDEX(Fit_Matrix!$B:$B,MATCH(P1472,Fit_Matrix!$A:$A,0))),"CHECK KEY"))</f>
        <v/>
      </c>
    </row>
    <row r="1473" customFormat="false" ht="15" hidden="false" customHeight="true" outlineLevel="0" collapsed="false">
      <c r="P1473" s="1" t="str">
        <f aca="false">IF(OR(F1473="",H1473="",J1473=""),"",J1473&amp;"|"&amp;F1473&amp;"|"&amp;IF(H1473="W3","W3_"&amp;IF(I1473="","unknown",I1473),H1473))</f>
        <v/>
      </c>
      <c r="Q1473" s="1" t="str">
        <f aca="false">IF(P1473="","",IFERROR(IF(AND(H1473="W7",OR(F1473="causal",F1473="predictive")),IF(AND(K1473=1,L1473=1,M1473=1),"adequate","partial"),INDEX(Fit_Matrix!$B:$B,MATCH(P1473,Fit_Matrix!$A:$A,0))),"CHECK KEY"))</f>
        <v/>
      </c>
    </row>
    <row r="1474" customFormat="false" ht="15" hidden="false" customHeight="true" outlineLevel="0" collapsed="false">
      <c r="P1474" s="1" t="str">
        <f aca="false">IF(OR(F1474="",H1474="",J1474=""),"",J1474&amp;"|"&amp;F1474&amp;"|"&amp;IF(H1474="W3","W3_"&amp;IF(I1474="","unknown",I1474),H1474))</f>
        <v/>
      </c>
      <c r="Q1474" s="1" t="str">
        <f aca="false">IF(P1474="","",IFERROR(IF(AND(H1474="W7",OR(F1474="causal",F1474="predictive")),IF(AND(K1474=1,L1474=1,M1474=1),"adequate","partial"),INDEX(Fit_Matrix!$B:$B,MATCH(P1474,Fit_Matrix!$A:$A,0))),"CHECK KEY"))</f>
        <v/>
      </c>
    </row>
    <row r="1475" customFormat="false" ht="15" hidden="false" customHeight="true" outlineLevel="0" collapsed="false">
      <c r="P1475" s="1" t="str">
        <f aca="false">IF(OR(F1475="",H1475="",J1475=""),"",J1475&amp;"|"&amp;F1475&amp;"|"&amp;IF(H1475="W3","W3_"&amp;IF(I1475="","unknown",I1475),H1475))</f>
        <v/>
      </c>
      <c r="Q1475" s="1" t="str">
        <f aca="false">IF(P1475="","",IFERROR(IF(AND(H1475="W7",OR(F1475="causal",F1475="predictive")),IF(AND(K1475=1,L1475=1,M1475=1),"adequate","partial"),INDEX(Fit_Matrix!$B:$B,MATCH(P1475,Fit_Matrix!$A:$A,0))),"CHECK KEY"))</f>
        <v/>
      </c>
    </row>
    <row r="1476" customFormat="false" ht="15" hidden="false" customHeight="true" outlineLevel="0" collapsed="false">
      <c r="P1476" s="1" t="str">
        <f aca="false">IF(OR(F1476="",H1476="",J1476=""),"",J1476&amp;"|"&amp;F1476&amp;"|"&amp;IF(H1476="W3","W3_"&amp;IF(I1476="","unknown",I1476),H1476))</f>
        <v/>
      </c>
      <c r="Q1476" s="1" t="str">
        <f aca="false">IF(P1476="","",IFERROR(IF(AND(H1476="W7",OR(F1476="causal",F1476="predictive")),IF(AND(K1476=1,L1476=1,M1476=1),"adequate","partial"),INDEX(Fit_Matrix!$B:$B,MATCH(P1476,Fit_Matrix!$A:$A,0))),"CHECK KEY"))</f>
        <v/>
      </c>
    </row>
    <row r="1477" customFormat="false" ht="15" hidden="false" customHeight="true" outlineLevel="0" collapsed="false">
      <c r="P1477" s="1" t="str">
        <f aca="false">IF(OR(F1477="",H1477="",J1477=""),"",J1477&amp;"|"&amp;F1477&amp;"|"&amp;IF(H1477="W3","W3_"&amp;IF(I1477="","unknown",I1477),H1477))</f>
        <v/>
      </c>
      <c r="Q1477" s="1" t="str">
        <f aca="false">IF(P1477="","",IFERROR(IF(AND(H1477="W7",OR(F1477="causal",F1477="predictive")),IF(AND(K1477=1,L1477=1,M1477=1),"adequate","partial"),INDEX(Fit_Matrix!$B:$B,MATCH(P1477,Fit_Matrix!$A:$A,0))),"CHECK KEY"))</f>
        <v/>
      </c>
    </row>
    <row r="1478" customFormat="false" ht="15" hidden="false" customHeight="true" outlineLevel="0" collapsed="false">
      <c r="P1478" s="1" t="str">
        <f aca="false">IF(OR(F1478="",H1478="",J1478=""),"",J1478&amp;"|"&amp;F1478&amp;"|"&amp;IF(H1478="W3","W3_"&amp;IF(I1478="","unknown",I1478),H1478))</f>
        <v/>
      </c>
      <c r="Q1478" s="1" t="str">
        <f aca="false">IF(P1478="","",IFERROR(IF(AND(H1478="W7",OR(F1478="causal",F1478="predictive")),IF(AND(K1478=1,L1478=1,M1478=1),"adequate","partial"),INDEX(Fit_Matrix!$B:$B,MATCH(P1478,Fit_Matrix!$A:$A,0))),"CHECK KEY"))</f>
        <v/>
      </c>
    </row>
    <row r="1479" customFormat="false" ht="15" hidden="false" customHeight="true" outlineLevel="0" collapsed="false">
      <c r="P1479" s="1" t="str">
        <f aca="false">IF(OR(F1479="",H1479="",J1479=""),"",J1479&amp;"|"&amp;F1479&amp;"|"&amp;IF(H1479="W3","W3_"&amp;IF(I1479="","unknown",I1479),H1479))</f>
        <v/>
      </c>
      <c r="Q1479" s="1" t="str">
        <f aca="false">IF(P1479="","",IFERROR(IF(AND(H1479="W7",OR(F1479="causal",F1479="predictive")),IF(AND(K1479=1,L1479=1,M1479=1),"adequate","partial"),INDEX(Fit_Matrix!$B:$B,MATCH(P1479,Fit_Matrix!$A:$A,0))),"CHECK KEY"))</f>
        <v/>
      </c>
    </row>
    <row r="1480" customFormat="false" ht="15" hidden="false" customHeight="true" outlineLevel="0" collapsed="false">
      <c r="P1480" s="1" t="str">
        <f aca="false">IF(OR(F1480="",H1480="",J1480=""),"",J1480&amp;"|"&amp;F1480&amp;"|"&amp;IF(H1480="W3","W3_"&amp;IF(I1480="","unknown",I1480),H1480))</f>
        <v/>
      </c>
      <c r="Q1480" s="1" t="str">
        <f aca="false">IF(P1480="","",IFERROR(IF(AND(H1480="W7",OR(F1480="causal",F1480="predictive")),IF(AND(K1480=1,L1480=1,M1480=1),"adequate","partial"),INDEX(Fit_Matrix!$B:$B,MATCH(P1480,Fit_Matrix!$A:$A,0))),"CHECK KEY"))</f>
        <v/>
      </c>
    </row>
    <row r="1481" customFormat="false" ht="15" hidden="false" customHeight="true" outlineLevel="0" collapsed="false">
      <c r="P1481" s="1" t="str">
        <f aca="false">IF(OR(F1481="",H1481="",J1481=""),"",J1481&amp;"|"&amp;F1481&amp;"|"&amp;IF(H1481="W3","W3_"&amp;IF(I1481="","unknown",I1481),H1481))</f>
        <v/>
      </c>
      <c r="Q1481" s="1" t="str">
        <f aca="false">IF(P1481="","",IFERROR(IF(AND(H1481="W7",OR(F1481="causal",F1481="predictive")),IF(AND(K1481=1,L1481=1,M1481=1),"adequate","partial"),INDEX(Fit_Matrix!$B:$B,MATCH(P1481,Fit_Matrix!$A:$A,0))),"CHECK KEY"))</f>
        <v/>
      </c>
    </row>
    <row r="1482" customFormat="false" ht="15" hidden="false" customHeight="true" outlineLevel="0" collapsed="false">
      <c r="P1482" s="1" t="str">
        <f aca="false">IF(OR(F1482="",H1482="",J1482=""),"",J1482&amp;"|"&amp;F1482&amp;"|"&amp;IF(H1482="W3","W3_"&amp;IF(I1482="","unknown",I1482),H1482))</f>
        <v/>
      </c>
      <c r="Q1482" s="1" t="str">
        <f aca="false">IF(P1482="","",IFERROR(IF(AND(H1482="W7",OR(F1482="causal",F1482="predictive")),IF(AND(K1482=1,L1482=1,M1482=1),"adequate","partial"),INDEX(Fit_Matrix!$B:$B,MATCH(P1482,Fit_Matrix!$A:$A,0))),"CHECK KEY"))</f>
        <v/>
      </c>
    </row>
    <row r="1483" customFormat="false" ht="15" hidden="false" customHeight="true" outlineLevel="0" collapsed="false">
      <c r="P1483" s="1" t="str">
        <f aca="false">IF(OR(F1483="",H1483="",J1483=""),"",J1483&amp;"|"&amp;F1483&amp;"|"&amp;IF(H1483="W3","W3_"&amp;IF(I1483="","unknown",I1483),H1483))</f>
        <v/>
      </c>
      <c r="Q1483" s="1" t="str">
        <f aca="false">IF(P1483="","",IFERROR(IF(AND(H1483="W7",OR(F1483="causal",F1483="predictive")),IF(AND(K1483=1,L1483=1,M1483=1),"adequate","partial"),INDEX(Fit_Matrix!$B:$B,MATCH(P1483,Fit_Matrix!$A:$A,0))),"CHECK KEY"))</f>
        <v/>
      </c>
    </row>
    <row r="1484" customFormat="false" ht="15" hidden="false" customHeight="true" outlineLevel="0" collapsed="false">
      <c r="P1484" s="1" t="str">
        <f aca="false">IF(OR(F1484="",H1484="",J1484=""),"",J1484&amp;"|"&amp;F1484&amp;"|"&amp;IF(H1484="W3","W3_"&amp;IF(I1484="","unknown",I1484),H1484))</f>
        <v/>
      </c>
      <c r="Q1484" s="1" t="str">
        <f aca="false">IF(P1484="","",IFERROR(IF(AND(H1484="W7",OR(F1484="causal",F1484="predictive")),IF(AND(K1484=1,L1484=1,M1484=1),"adequate","partial"),INDEX(Fit_Matrix!$B:$B,MATCH(P1484,Fit_Matrix!$A:$A,0))),"CHECK KEY"))</f>
        <v/>
      </c>
    </row>
    <row r="1485" customFormat="false" ht="15" hidden="false" customHeight="true" outlineLevel="0" collapsed="false">
      <c r="P1485" s="1" t="str">
        <f aca="false">IF(OR(F1485="",H1485="",J1485=""),"",J1485&amp;"|"&amp;F1485&amp;"|"&amp;IF(H1485="W3","W3_"&amp;IF(I1485="","unknown",I1485),H1485))</f>
        <v/>
      </c>
      <c r="Q1485" s="1" t="str">
        <f aca="false">IF(P1485="","",IFERROR(IF(AND(H1485="W7",OR(F1485="causal",F1485="predictive")),IF(AND(K1485=1,L1485=1,M1485=1),"adequate","partial"),INDEX(Fit_Matrix!$B:$B,MATCH(P1485,Fit_Matrix!$A:$A,0))),"CHECK KEY"))</f>
        <v/>
      </c>
    </row>
    <row r="1486" customFormat="false" ht="15" hidden="false" customHeight="true" outlineLevel="0" collapsed="false">
      <c r="P1486" s="1" t="str">
        <f aca="false">IF(OR(F1486="",H1486="",J1486=""),"",J1486&amp;"|"&amp;F1486&amp;"|"&amp;IF(H1486="W3","W3_"&amp;IF(I1486="","unknown",I1486),H1486))</f>
        <v/>
      </c>
      <c r="Q1486" s="1" t="str">
        <f aca="false">IF(P1486="","",IFERROR(IF(AND(H1486="W7",OR(F1486="causal",F1486="predictive")),IF(AND(K1486=1,L1486=1,M1486=1),"adequate","partial"),INDEX(Fit_Matrix!$B:$B,MATCH(P1486,Fit_Matrix!$A:$A,0))),"CHECK KEY"))</f>
        <v/>
      </c>
    </row>
    <row r="1487" customFormat="false" ht="15" hidden="false" customHeight="true" outlineLevel="0" collapsed="false">
      <c r="P1487" s="1" t="str">
        <f aca="false">IF(OR(F1487="",H1487="",J1487=""),"",J1487&amp;"|"&amp;F1487&amp;"|"&amp;IF(H1487="W3","W3_"&amp;IF(I1487="","unknown",I1487),H1487))</f>
        <v/>
      </c>
      <c r="Q1487" s="1" t="str">
        <f aca="false">IF(P1487="","",IFERROR(IF(AND(H1487="W7",OR(F1487="causal",F1487="predictive")),IF(AND(K1487=1,L1487=1,M1487=1),"adequate","partial"),INDEX(Fit_Matrix!$B:$B,MATCH(P1487,Fit_Matrix!$A:$A,0))),"CHECK KEY"))</f>
        <v/>
      </c>
    </row>
    <row r="1488" customFormat="false" ht="15" hidden="false" customHeight="true" outlineLevel="0" collapsed="false">
      <c r="P1488" s="1" t="str">
        <f aca="false">IF(OR(F1488="",H1488="",J1488=""),"",J1488&amp;"|"&amp;F1488&amp;"|"&amp;IF(H1488="W3","W3_"&amp;IF(I1488="","unknown",I1488),H1488))</f>
        <v/>
      </c>
      <c r="Q1488" s="1" t="str">
        <f aca="false">IF(P1488="","",IFERROR(IF(AND(H1488="W7",OR(F1488="causal",F1488="predictive")),IF(AND(K1488=1,L1488=1,M1488=1),"adequate","partial"),INDEX(Fit_Matrix!$B:$B,MATCH(P1488,Fit_Matrix!$A:$A,0))),"CHECK KEY"))</f>
        <v/>
      </c>
    </row>
    <row r="1489" customFormat="false" ht="15" hidden="false" customHeight="true" outlineLevel="0" collapsed="false">
      <c r="P1489" s="1" t="str">
        <f aca="false">IF(OR(F1489="",H1489="",J1489=""),"",J1489&amp;"|"&amp;F1489&amp;"|"&amp;IF(H1489="W3","W3_"&amp;IF(I1489="","unknown",I1489),H1489))</f>
        <v/>
      </c>
      <c r="Q1489" s="1" t="str">
        <f aca="false">IF(P1489="","",IFERROR(IF(AND(H1489="W7",OR(F1489="causal",F1489="predictive")),IF(AND(K1489=1,L1489=1,M1489=1),"adequate","partial"),INDEX(Fit_Matrix!$B:$B,MATCH(P1489,Fit_Matrix!$A:$A,0))),"CHECK KEY"))</f>
        <v/>
      </c>
    </row>
    <row r="1490" customFormat="false" ht="15" hidden="false" customHeight="true" outlineLevel="0" collapsed="false">
      <c r="P1490" s="1" t="str">
        <f aca="false">IF(OR(F1490="",H1490="",J1490=""),"",J1490&amp;"|"&amp;F1490&amp;"|"&amp;IF(H1490="W3","W3_"&amp;IF(I1490="","unknown",I1490),H1490))</f>
        <v/>
      </c>
      <c r="Q1490" s="1" t="str">
        <f aca="false">IF(P1490="","",IFERROR(IF(AND(H1490="W7",OR(F1490="causal",F1490="predictive")),IF(AND(K1490=1,L1490=1,M1490=1),"adequate","partial"),INDEX(Fit_Matrix!$B:$B,MATCH(P1490,Fit_Matrix!$A:$A,0))),"CHECK KEY"))</f>
        <v/>
      </c>
    </row>
    <row r="1491" customFormat="false" ht="15" hidden="false" customHeight="true" outlineLevel="0" collapsed="false">
      <c r="P1491" s="1" t="str">
        <f aca="false">IF(OR(F1491="",H1491="",J1491=""),"",J1491&amp;"|"&amp;F1491&amp;"|"&amp;IF(H1491="W3","W3_"&amp;IF(I1491="","unknown",I1491),H1491))</f>
        <v/>
      </c>
      <c r="Q1491" s="1" t="str">
        <f aca="false">IF(P1491="","",IFERROR(IF(AND(H1491="W7",OR(F1491="causal",F1491="predictive")),IF(AND(K1491=1,L1491=1,M1491=1),"adequate","partial"),INDEX(Fit_Matrix!$B:$B,MATCH(P1491,Fit_Matrix!$A:$A,0))),"CHECK KEY"))</f>
        <v/>
      </c>
    </row>
    <row r="1492" customFormat="false" ht="15" hidden="false" customHeight="true" outlineLevel="0" collapsed="false">
      <c r="P1492" s="1" t="str">
        <f aca="false">IF(OR(F1492="",H1492="",J1492=""),"",J1492&amp;"|"&amp;F1492&amp;"|"&amp;IF(H1492="W3","W3_"&amp;IF(I1492="","unknown",I1492),H1492))</f>
        <v/>
      </c>
      <c r="Q1492" s="1" t="str">
        <f aca="false">IF(P1492="","",IFERROR(IF(AND(H1492="W7",OR(F1492="causal",F1492="predictive")),IF(AND(K1492=1,L1492=1,M1492=1),"adequate","partial"),INDEX(Fit_Matrix!$B:$B,MATCH(P1492,Fit_Matrix!$A:$A,0))),"CHECK KEY"))</f>
        <v/>
      </c>
    </row>
    <row r="1493" customFormat="false" ht="15" hidden="false" customHeight="true" outlineLevel="0" collapsed="false">
      <c r="P1493" s="1" t="str">
        <f aca="false">IF(OR(F1493="",H1493="",J1493=""),"",J1493&amp;"|"&amp;F1493&amp;"|"&amp;IF(H1493="W3","W3_"&amp;IF(I1493="","unknown",I1493),H1493))</f>
        <v/>
      </c>
      <c r="Q1493" s="1" t="str">
        <f aca="false">IF(P1493="","",IFERROR(IF(AND(H1493="W7",OR(F1493="causal",F1493="predictive")),IF(AND(K1493=1,L1493=1,M1493=1),"adequate","partial"),INDEX(Fit_Matrix!$B:$B,MATCH(P1493,Fit_Matrix!$A:$A,0))),"CHECK KEY"))</f>
        <v/>
      </c>
    </row>
    <row r="1494" customFormat="false" ht="15" hidden="false" customHeight="true" outlineLevel="0" collapsed="false">
      <c r="P1494" s="1" t="str">
        <f aca="false">IF(OR(F1494="",H1494="",J1494=""),"",J1494&amp;"|"&amp;F1494&amp;"|"&amp;IF(H1494="W3","W3_"&amp;IF(I1494="","unknown",I1494),H1494))</f>
        <v/>
      </c>
      <c r="Q1494" s="1" t="str">
        <f aca="false">IF(P1494="","",IFERROR(IF(AND(H1494="W7",OR(F1494="causal",F1494="predictive")),IF(AND(K1494=1,L1494=1,M1494=1),"adequate","partial"),INDEX(Fit_Matrix!$B:$B,MATCH(P1494,Fit_Matrix!$A:$A,0))),"CHECK KEY"))</f>
        <v/>
      </c>
    </row>
    <row r="1495" customFormat="false" ht="15" hidden="false" customHeight="true" outlineLevel="0" collapsed="false">
      <c r="P1495" s="1" t="str">
        <f aca="false">IF(OR(F1495="",H1495="",J1495=""),"",J1495&amp;"|"&amp;F1495&amp;"|"&amp;IF(H1495="W3","W3_"&amp;IF(I1495="","unknown",I1495),H1495))</f>
        <v/>
      </c>
      <c r="Q1495" s="1" t="str">
        <f aca="false">IF(P1495="","",IFERROR(IF(AND(H1495="W7",OR(F1495="causal",F1495="predictive")),IF(AND(K1495=1,L1495=1,M1495=1),"adequate","partial"),INDEX(Fit_Matrix!$B:$B,MATCH(P1495,Fit_Matrix!$A:$A,0))),"CHECK KEY"))</f>
        <v/>
      </c>
    </row>
    <row r="1496" customFormat="false" ht="15" hidden="false" customHeight="true" outlineLevel="0" collapsed="false">
      <c r="P1496" s="1" t="str">
        <f aca="false">IF(OR(F1496="",H1496="",J1496=""),"",J1496&amp;"|"&amp;F1496&amp;"|"&amp;IF(H1496="W3","W3_"&amp;IF(I1496="","unknown",I1496),H1496))</f>
        <v/>
      </c>
      <c r="Q1496" s="1" t="str">
        <f aca="false">IF(P1496="","",IFERROR(IF(AND(H1496="W7",OR(F1496="causal",F1496="predictive")),IF(AND(K1496=1,L1496=1,M1496=1),"adequate","partial"),INDEX(Fit_Matrix!$B:$B,MATCH(P1496,Fit_Matrix!$A:$A,0))),"CHECK KEY"))</f>
        <v/>
      </c>
    </row>
    <row r="1497" customFormat="false" ht="15" hidden="false" customHeight="true" outlineLevel="0" collapsed="false">
      <c r="P1497" s="1" t="str">
        <f aca="false">IF(OR(F1497="",H1497="",J1497=""),"",J1497&amp;"|"&amp;F1497&amp;"|"&amp;IF(H1497="W3","W3_"&amp;IF(I1497="","unknown",I1497),H1497))</f>
        <v/>
      </c>
      <c r="Q1497" s="1" t="str">
        <f aca="false">IF(P1497="","",IFERROR(IF(AND(H1497="W7",OR(F1497="causal",F1497="predictive")),IF(AND(K1497=1,L1497=1,M1497=1),"adequate","partial"),INDEX(Fit_Matrix!$B:$B,MATCH(P1497,Fit_Matrix!$A:$A,0))),"CHECK KEY"))</f>
        <v/>
      </c>
    </row>
    <row r="1498" customFormat="false" ht="15" hidden="false" customHeight="true" outlineLevel="0" collapsed="false">
      <c r="P1498" s="1" t="str">
        <f aca="false">IF(OR(F1498="",H1498="",J1498=""),"",J1498&amp;"|"&amp;F1498&amp;"|"&amp;IF(H1498="W3","W3_"&amp;IF(I1498="","unknown",I1498),H1498))</f>
        <v/>
      </c>
      <c r="Q1498" s="1" t="str">
        <f aca="false">IF(P1498="","",IFERROR(IF(AND(H1498="W7",OR(F1498="causal",F1498="predictive")),IF(AND(K1498=1,L1498=1,M1498=1),"adequate","partial"),INDEX(Fit_Matrix!$B:$B,MATCH(P1498,Fit_Matrix!$A:$A,0))),"CHECK KEY"))</f>
        <v/>
      </c>
    </row>
    <row r="1499" customFormat="false" ht="15" hidden="false" customHeight="true" outlineLevel="0" collapsed="false">
      <c r="P1499" s="1" t="str">
        <f aca="false">IF(OR(F1499="",H1499="",J1499=""),"",J1499&amp;"|"&amp;F1499&amp;"|"&amp;IF(H1499="W3","W3_"&amp;IF(I1499="","unknown",I1499),H1499))</f>
        <v/>
      </c>
      <c r="Q1499" s="1" t="str">
        <f aca="false">IF(P1499="","",IFERROR(IF(AND(H1499="W7",OR(F1499="causal",F1499="predictive")),IF(AND(K1499=1,L1499=1,M1499=1),"adequate","partial"),INDEX(Fit_Matrix!$B:$B,MATCH(P1499,Fit_Matrix!$A:$A,0))),"CHECK KEY"))</f>
        <v/>
      </c>
    </row>
    <row r="1500" customFormat="false" ht="15" hidden="false" customHeight="true" outlineLevel="0" collapsed="false">
      <c r="P1500" s="1" t="str">
        <f aca="false">IF(OR(F1500="",H1500="",J1500=""),"",J1500&amp;"|"&amp;F1500&amp;"|"&amp;IF(H1500="W3","W3_"&amp;IF(I1500="","unknown",I1500),H1500))</f>
        <v/>
      </c>
      <c r="Q1500" s="1" t="str">
        <f aca="false">IF(P1500="","",IFERROR(IF(AND(H1500="W7",OR(F1500="causal",F1500="predictive")),IF(AND(K1500=1,L1500=1,M1500=1),"adequate","partial"),INDEX(Fit_Matrix!$B:$B,MATCH(P1500,Fit_Matrix!$A:$A,0))),"CHECK KEY"))</f>
        <v/>
      </c>
    </row>
    <row r="1501" customFormat="false" ht="15" hidden="false" customHeight="true" outlineLevel="0" collapsed="false">
      <c r="P1501" s="1" t="str">
        <f aca="false">IF(OR(F1501="",H1501="",J1501=""),"",J1501&amp;"|"&amp;F1501&amp;"|"&amp;IF(H1501="W3","W3_"&amp;IF(I1501="","unknown",I1501),H1501))</f>
        <v/>
      </c>
      <c r="Q1501" s="1" t="str">
        <f aca="false">IF(P1501="","",IFERROR(IF(AND(H1501="W7",OR(F1501="causal",F1501="predictive")),IF(AND(K1501=1,L1501=1,M1501=1),"adequate","partial"),INDEX(Fit_Matrix!$B:$B,MATCH(P1501,Fit_Matrix!$A:$A,0))),"CHECK KEY"))</f>
        <v/>
      </c>
    </row>
    <row r="1502" customFormat="false" ht="15" hidden="false" customHeight="true" outlineLevel="0" collapsed="false">
      <c r="P1502" s="1" t="str">
        <f aca="false">IF(OR(F1502="",H1502="",J1502=""),"",J1502&amp;"|"&amp;F1502&amp;"|"&amp;IF(H1502="W3","W3_"&amp;IF(I1502="","unknown",I1502),H1502))</f>
        <v/>
      </c>
      <c r="Q1502" s="1" t="str">
        <f aca="false">IF(P1502="","",IFERROR(IF(AND(H1502="W7",OR(F1502="causal",F1502="predictive")),IF(AND(K1502=1,L1502=1,M1502=1),"adequate","partial"),INDEX(Fit_Matrix!$B:$B,MATCH(P1502,Fit_Matrix!$A:$A,0))),"CHECK KEY"))</f>
        <v/>
      </c>
    </row>
    <row r="1503" customFormat="false" ht="15" hidden="false" customHeight="true" outlineLevel="0" collapsed="false">
      <c r="P1503" s="1" t="str">
        <f aca="false">IF(OR(F1503="",H1503="",J1503=""),"",J1503&amp;"|"&amp;F1503&amp;"|"&amp;IF(H1503="W3","W3_"&amp;IF(I1503="","unknown",I1503),H1503))</f>
        <v/>
      </c>
      <c r="Q1503" s="1" t="str">
        <f aca="false">IF(P1503="","",IFERROR(IF(AND(H1503="W7",OR(F1503="causal",F1503="predictive")),IF(AND(K1503=1,L1503=1,M1503=1),"adequate","partial"),INDEX(Fit_Matrix!$B:$B,MATCH(P1503,Fit_Matrix!$A:$A,0))),"CHECK KEY"))</f>
        <v/>
      </c>
    </row>
    <row r="1504" customFormat="false" ht="15" hidden="false" customHeight="true" outlineLevel="0" collapsed="false">
      <c r="P1504" s="1" t="str">
        <f aca="false">IF(OR(F1504="",H1504="",J1504=""),"",J1504&amp;"|"&amp;F1504&amp;"|"&amp;IF(H1504="W3","W3_"&amp;IF(I1504="","unknown",I1504),H1504))</f>
        <v/>
      </c>
      <c r="Q1504" s="1" t="str">
        <f aca="false">IF(P1504="","",IFERROR(IF(AND(H1504="W7",OR(F1504="causal",F1504="predictive")),IF(AND(K1504=1,L1504=1,M1504=1),"adequate","partial"),INDEX(Fit_Matrix!$B:$B,MATCH(P1504,Fit_Matrix!$A:$A,0))),"CHECK KEY"))</f>
        <v/>
      </c>
    </row>
    <row r="1505" customFormat="false" ht="15" hidden="false" customHeight="true" outlineLevel="0" collapsed="false">
      <c r="P1505" s="1" t="str">
        <f aca="false">IF(OR(F1505="",H1505="",J1505=""),"",J1505&amp;"|"&amp;F1505&amp;"|"&amp;IF(H1505="W3","W3_"&amp;IF(I1505="","unknown",I1505),H1505))</f>
        <v/>
      </c>
      <c r="Q1505" s="1" t="str">
        <f aca="false">IF(P1505="","",IFERROR(IF(AND(H1505="W7",OR(F1505="causal",F1505="predictive")),IF(AND(K1505=1,L1505=1,M1505=1),"adequate","partial"),INDEX(Fit_Matrix!$B:$B,MATCH(P1505,Fit_Matrix!$A:$A,0))),"CHECK KEY"))</f>
        <v/>
      </c>
    </row>
    <row r="1506" customFormat="false" ht="15" hidden="false" customHeight="true" outlineLevel="0" collapsed="false">
      <c r="P1506" s="1" t="str">
        <f aca="false">IF(OR(F1506="",H1506="",J1506=""),"",J1506&amp;"|"&amp;F1506&amp;"|"&amp;IF(H1506="W3","W3_"&amp;IF(I1506="","unknown",I1506),H1506))</f>
        <v/>
      </c>
      <c r="Q1506" s="1" t="str">
        <f aca="false">IF(P1506="","",IFERROR(IF(AND(H1506="W7",OR(F1506="causal",F1506="predictive")),IF(AND(K1506=1,L1506=1,M1506=1),"adequate","partial"),INDEX(Fit_Matrix!$B:$B,MATCH(P1506,Fit_Matrix!$A:$A,0))),"CHECK KEY"))</f>
        <v/>
      </c>
    </row>
    <row r="1507" customFormat="false" ht="15" hidden="false" customHeight="true" outlineLevel="0" collapsed="false">
      <c r="P1507" s="1" t="str">
        <f aca="false">IF(OR(F1507="",H1507="",J1507=""),"",J1507&amp;"|"&amp;F1507&amp;"|"&amp;IF(H1507="W3","W3_"&amp;IF(I1507="","unknown",I1507),H1507))</f>
        <v/>
      </c>
      <c r="Q1507" s="1" t="str">
        <f aca="false">IF(P1507="","",IFERROR(IF(AND(H1507="W7",OR(F1507="causal",F1507="predictive")),IF(AND(K1507=1,L1507=1,M1507=1),"adequate","partial"),INDEX(Fit_Matrix!$B:$B,MATCH(P1507,Fit_Matrix!$A:$A,0))),"CHECK KEY"))</f>
        <v/>
      </c>
    </row>
    <row r="1508" customFormat="false" ht="15" hidden="false" customHeight="true" outlineLevel="0" collapsed="false">
      <c r="P1508" s="1" t="str">
        <f aca="false">IF(OR(F1508="",H1508="",J1508=""),"",J1508&amp;"|"&amp;F1508&amp;"|"&amp;IF(H1508="W3","W3_"&amp;IF(I1508="","unknown",I1508),H1508))</f>
        <v/>
      </c>
      <c r="Q1508" s="1" t="str">
        <f aca="false">IF(P1508="","",IFERROR(IF(AND(H1508="W7",OR(F1508="causal",F1508="predictive")),IF(AND(K1508=1,L1508=1,M1508=1),"adequate","partial"),INDEX(Fit_Matrix!$B:$B,MATCH(P1508,Fit_Matrix!$A:$A,0))),"CHECK KEY"))</f>
        <v/>
      </c>
    </row>
    <row r="1509" customFormat="false" ht="15" hidden="false" customHeight="true" outlineLevel="0" collapsed="false">
      <c r="P1509" s="1" t="str">
        <f aca="false">IF(OR(F1509="",H1509="",J1509=""),"",J1509&amp;"|"&amp;F1509&amp;"|"&amp;IF(H1509="W3","W3_"&amp;IF(I1509="","unknown",I1509),H1509))</f>
        <v/>
      </c>
      <c r="Q1509" s="1" t="str">
        <f aca="false">IF(P1509="","",IFERROR(IF(AND(H1509="W7",OR(F1509="causal",F1509="predictive")),IF(AND(K1509=1,L1509=1,M1509=1),"adequate","partial"),INDEX(Fit_Matrix!$B:$B,MATCH(P1509,Fit_Matrix!$A:$A,0))),"CHECK KEY"))</f>
        <v/>
      </c>
    </row>
    <row r="1510" customFormat="false" ht="15" hidden="false" customHeight="true" outlineLevel="0" collapsed="false">
      <c r="P1510" s="1" t="str">
        <f aca="false">IF(OR(F1510="",H1510="",J1510=""),"",J1510&amp;"|"&amp;F1510&amp;"|"&amp;IF(H1510="W3","W3_"&amp;IF(I1510="","unknown",I1510),H1510))</f>
        <v/>
      </c>
      <c r="Q1510" s="1" t="str">
        <f aca="false">IF(P1510="","",IFERROR(IF(AND(H1510="W7",OR(F1510="causal",F1510="predictive")),IF(AND(K1510=1,L1510=1,M1510=1),"adequate","partial"),INDEX(Fit_Matrix!$B:$B,MATCH(P1510,Fit_Matrix!$A:$A,0))),"CHECK KEY"))</f>
        <v/>
      </c>
    </row>
    <row r="1511" customFormat="false" ht="15" hidden="false" customHeight="true" outlineLevel="0" collapsed="false">
      <c r="P1511" s="1" t="str">
        <f aca="false">IF(OR(F1511="",H1511="",J1511=""),"",J1511&amp;"|"&amp;F1511&amp;"|"&amp;IF(H1511="W3","W3_"&amp;IF(I1511="","unknown",I1511),H1511))</f>
        <v/>
      </c>
      <c r="Q1511" s="1" t="str">
        <f aca="false">IF(P1511="","",IFERROR(IF(AND(H1511="W7",OR(F1511="causal",F1511="predictive")),IF(AND(K1511=1,L1511=1,M1511=1),"adequate","partial"),INDEX(Fit_Matrix!$B:$B,MATCH(P1511,Fit_Matrix!$A:$A,0))),"CHECK KEY"))</f>
        <v/>
      </c>
    </row>
    <row r="1512" customFormat="false" ht="15" hidden="false" customHeight="true" outlineLevel="0" collapsed="false">
      <c r="P1512" s="1" t="str">
        <f aca="false">IF(OR(F1512="",H1512="",J1512=""),"",J1512&amp;"|"&amp;F1512&amp;"|"&amp;IF(H1512="W3","W3_"&amp;IF(I1512="","unknown",I1512),H1512))</f>
        <v/>
      </c>
      <c r="Q1512" s="1" t="str">
        <f aca="false">IF(P1512="","",IFERROR(IF(AND(H1512="W7",OR(F1512="causal",F1512="predictive")),IF(AND(K1512=1,L1512=1,M1512=1),"adequate","partial"),INDEX(Fit_Matrix!$B:$B,MATCH(P1512,Fit_Matrix!$A:$A,0))),"CHECK KEY"))</f>
        <v/>
      </c>
    </row>
    <row r="1513" customFormat="false" ht="15" hidden="false" customHeight="true" outlineLevel="0" collapsed="false">
      <c r="P1513" s="1" t="str">
        <f aca="false">IF(OR(F1513="",H1513="",J1513=""),"",J1513&amp;"|"&amp;F1513&amp;"|"&amp;IF(H1513="W3","W3_"&amp;IF(I1513="","unknown",I1513),H1513))</f>
        <v/>
      </c>
      <c r="Q1513" s="1" t="str">
        <f aca="false">IF(P1513="","",IFERROR(IF(AND(H1513="W7",OR(F1513="causal",F1513="predictive")),IF(AND(K1513=1,L1513=1,M1513=1),"adequate","partial"),INDEX(Fit_Matrix!$B:$B,MATCH(P1513,Fit_Matrix!$A:$A,0))),"CHECK KEY"))</f>
        <v/>
      </c>
    </row>
    <row r="1514" customFormat="false" ht="15" hidden="false" customHeight="true" outlineLevel="0" collapsed="false">
      <c r="P1514" s="1" t="str">
        <f aca="false">IF(OR(F1514="",H1514="",J1514=""),"",J1514&amp;"|"&amp;F1514&amp;"|"&amp;IF(H1514="W3","W3_"&amp;IF(I1514="","unknown",I1514),H1514))</f>
        <v/>
      </c>
      <c r="Q1514" s="1" t="str">
        <f aca="false">IF(P1514="","",IFERROR(IF(AND(H1514="W7",OR(F1514="causal",F1514="predictive")),IF(AND(K1514=1,L1514=1,M1514=1),"adequate","partial"),INDEX(Fit_Matrix!$B:$B,MATCH(P1514,Fit_Matrix!$A:$A,0))),"CHECK KEY"))</f>
        <v/>
      </c>
    </row>
    <row r="1515" customFormat="false" ht="15" hidden="false" customHeight="true" outlineLevel="0" collapsed="false">
      <c r="P1515" s="1" t="str">
        <f aca="false">IF(OR(F1515="",H1515="",J1515=""),"",J1515&amp;"|"&amp;F1515&amp;"|"&amp;IF(H1515="W3","W3_"&amp;IF(I1515="","unknown",I1515),H1515))</f>
        <v/>
      </c>
      <c r="Q1515" s="1" t="str">
        <f aca="false">IF(P1515="","",IFERROR(IF(AND(H1515="W7",OR(F1515="causal",F1515="predictive")),IF(AND(K1515=1,L1515=1,M1515=1),"adequate","partial"),INDEX(Fit_Matrix!$B:$B,MATCH(P1515,Fit_Matrix!$A:$A,0))),"CHECK KEY"))</f>
        <v/>
      </c>
    </row>
    <row r="1516" customFormat="false" ht="15" hidden="false" customHeight="true" outlineLevel="0" collapsed="false">
      <c r="P1516" s="1" t="str">
        <f aca="false">IF(OR(F1516="",H1516="",J1516=""),"",J1516&amp;"|"&amp;F1516&amp;"|"&amp;IF(H1516="W3","W3_"&amp;IF(I1516="","unknown",I1516),H1516))</f>
        <v/>
      </c>
      <c r="Q1516" s="1" t="str">
        <f aca="false">IF(P1516="","",IFERROR(IF(AND(H1516="W7",OR(F1516="causal",F1516="predictive")),IF(AND(K1516=1,L1516=1,M1516=1),"adequate","partial"),INDEX(Fit_Matrix!$B:$B,MATCH(P1516,Fit_Matrix!$A:$A,0))),"CHECK KEY"))</f>
        <v/>
      </c>
    </row>
    <row r="1517" customFormat="false" ht="15" hidden="false" customHeight="true" outlineLevel="0" collapsed="false">
      <c r="P1517" s="1" t="str">
        <f aca="false">IF(OR(F1517="",H1517="",J1517=""),"",J1517&amp;"|"&amp;F1517&amp;"|"&amp;IF(H1517="W3","W3_"&amp;IF(I1517="","unknown",I1517),H1517))</f>
        <v/>
      </c>
      <c r="Q1517" s="1" t="str">
        <f aca="false">IF(P1517="","",IFERROR(IF(AND(H1517="W7",OR(F1517="causal",F1517="predictive")),IF(AND(K1517=1,L1517=1,M1517=1),"adequate","partial"),INDEX(Fit_Matrix!$B:$B,MATCH(P1517,Fit_Matrix!$A:$A,0))),"CHECK KEY"))</f>
        <v/>
      </c>
    </row>
    <row r="1518" customFormat="false" ht="15" hidden="false" customHeight="true" outlineLevel="0" collapsed="false">
      <c r="P1518" s="1" t="str">
        <f aca="false">IF(OR(F1518="",H1518="",J1518=""),"",J1518&amp;"|"&amp;F1518&amp;"|"&amp;IF(H1518="W3","W3_"&amp;IF(I1518="","unknown",I1518),H1518))</f>
        <v/>
      </c>
      <c r="Q1518" s="1" t="str">
        <f aca="false">IF(P1518="","",IFERROR(IF(AND(H1518="W7",OR(F1518="causal",F1518="predictive")),IF(AND(K1518=1,L1518=1,M1518=1),"adequate","partial"),INDEX(Fit_Matrix!$B:$B,MATCH(P1518,Fit_Matrix!$A:$A,0))),"CHECK KEY"))</f>
        <v/>
      </c>
    </row>
    <row r="1519" customFormat="false" ht="15" hidden="false" customHeight="true" outlineLevel="0" collapsed="false">
      <c r="P1519" s="1" t="str">
        <f aca="false">IF(OR(F1519="",H1519="",J1519=""),"",J1519&amp;"|"&amp;F1519&amp;"|"&amp;IF(H1519="W3","W3_"&amp;IF(I1519="","unknown",I1519),H1519))</f>
        <v/>
      </c>
      <c r="Q1519" s="1" t="str">
        <f aca="false">IF(P1519="","",IFERROR(IF(AND(H1519="W7",OR(F1519="causal",F1519="predictive")),IF(AND(K1519=1,L1519=1,M1519=1),"adequate","partial"),INDEX(Fit_Matrix!$B:$B,MATCH(P1519,Fit_Matrix!$A:$A,0))),"CHECK KEY"))</f>
        <v/>
      </c>
    </row>
    <row r="1520" customFormat="false" ht="15" hidden="false" customHeight="true" outlineLevel="0" collapsed="false">
      <c r="P1520" s="1" t="str">
        <f aca="false">IF(OR(F1520="",H1520="",J1520=""),"",J1520&amp;"|"&amp;F1520&amp;"|"&amp;IF(H1520="W3","W3_"&amp;IF(I1520="","unknown",I1520),H1520))</f>
        <v/>
      </c>
      <c r="Q1520" s="1" t="str">
        <f aca="false">IF(P1520="","",IFERROR(IF(AND(H1520="W7",OR(F1520="causal",F1520="predictive")),IF(AND(K1520=1,L1520=1,M1520=1),"adequate","partial"),INDEX(Fit_Matrix!$B:$B,MATCH(P1520,Fit_Matrix!$A:$A,0))),"CHECK KEY"))</f>
        <v/>
      </c>
    </row>
    <row r="1521" customFormat="false" ht="15" hidden="false" customHeight="true" outlineLevel="0" collapsed="false">
      <c r="P1521" s="1" t="str">
        <f aca="false">IF(OR(F1521="",H1521="",J1521=""),"",J1521&amp;"|"&amp;F1521&amp;"|"&amp;IF(H1521="W3","W3_"&amp;IF(I1521="","unknown",I1521),H1521))</f>
        <v/>
      </c>
      <c r="Q1521" s="1" t="str">
        <f aca="false">IF(P1521="","",IFERROR(IF(AND(H1521="W7",OR(F1521="causal",F1521="predictive")),IF(AND(K1521=1,L1521=1,M1521=1),"adequate","partial"),INDEX(Fit_Matrix!$B:$B,MATCH(P1521,Fit_Matrix!$A:$A,0))),"CHECK KEY"))</f>
        <v/>
      </c>
    </row>
    <row r="1522" customFormat="false" ht="15" hidden="false" customHeight="true" outlineLevel="0" collapsed="false">
      <c r="P1522" s="1" t="str">
        <f aca="false">IF(OR(F1522="",H1522="",J1522=""),"",J1522&amp;"|"&amp;F1522&amp;"|"&amp;IF(H1522="W3","W3_"&amp;IF(I1522="","unknown",I1522),H1522))</f>
        <v/>
      </c>
      <c r="Q1522" s="1" t="str">
        <f aca="false">IF(P1522="","",IFERROR(IF(AND(H1522="W7",OR(F1522="causal",F1522="predictive")),IF(AND(K1522=1,L1522=1,M1522=1),"adequate","partial"),INDEX(Fit_Matrix!$B:$B,MATCH(P1522,Fit_Matrix!$A:$A,0))),"CHECK KEY"))</f>
        <v/>
      </c>
    </row>
    <row r="1523" customFormat="false" ht="15" hidden="false" customHeight="true" outlineLevel="0" collapsed="false">
      <c r="P1523" s="1" t="str">
        <f aca="false">IF(OR(F1523="",H1523="",J1523=""),"",J1523&amp;"|"&amp;F1523&amp;"|"&amp;IF(H1523="W3","W3_"&amp;IF(I1523="","unknown",I1523),H1523))</f>
        <v/>
      </c>
      <c r="Q1523" s="1" t="str">
        <f aca="false">IF(P1523="","",IFERROR(IF(AND(H1523="W7",OR(F1523="causal",F1523="predictive")),IF(AND(K1523=1,L1523=1,M1523=1),"adequate","partial"),INDEX(Fit_Matrix!$B:$B,MATCH(P1523,Fit_Matrix!$A:$A,0))),"CHECK KEY"))</f>
        <v/>
      </c>
    </row>
    <row r="1524" customFormat="false" ht="15" hidden="false" customHeight="true" outlineLevel="0" collapsed="false">
      <c r="P1524" s="1" t="str">
        <f aca="false">IF(OR(F1524="",H1524="",J1524=""),"",J1524&amp;"|"&amp;F1524&amp;"|"&amp;IF(H1524="W3","W3_"&amp;IF(I1524="","unknown",I1524),H1524))</f>
        <v/>
      </c>
      <c r="Q1524" s="1" t="str">
        <f aca="false">IF(P1524="","",IFERROR(IF(AND(H1524="W7",OR(F1524="causal",F1524="predictive")),IF(AND(K1524=1,L1524=1,M1524=1),"adequate","partial"),INDEX(Fit_Matrix!$B:$B,MATCH(P1524,Fit_Matrix!$A:$A,0))),"CHECK KEY"))</f>
        <v/>
      </c>
    </row>
    <row r="1525" customFormat="false" ht="15" hidden="false" customHeight="true" outlineLevel="0" collapsed="false">
      <c r="P1525" s="1" t="str">
        <f aca="false">IF(OR(F1525="",H1525="",J1525=""),"",J1525&amp;"|"&amp;F1525&amp;"|"&amp;IF(H1525="W3","W3_"&amp;IF(I1525="","unknown",I1525),H1525))</f>
        <v/>
      </c>
      <c r="Q1525" s="1" t="str">
        <f aca="false">IF(P1525="","",IFERROR(IF(AND(H1525="W7",OR(F1525="causal",F1525="predictive")),IF(AND(K1525=1,L1525=1,M1525=1),"adequate","partial"),INDEX(Fit_Matrix!$B:$B,MATCH(P1525,Fit_Matrix!$A:$A,0))),"CHECK KEY"))</f>
        <v/>
      </c>
    </row>
    <row r="1526" customFormat="false" ht="15" hidden="false" customHeight="true" outlineLevel="0" collapsed="false">
      <c r="P1526" s="1" t="str">
        <f aca="false">IF(OR(F1526="",H1526="",J1526=""),"",J1526&amp;"|"&amp;F1526&amp;"|"&amp;IF(H1526="W3","W3_"&amp;IF(I1526="","unknown",I1526),H1526))</f>
        <v/>
      </c>
      <c r="Q1526" s="1" t="str">
        <f aca="false">IF(P1526="","",IFERROR(IF(AND(H1526="W7",OR(F1526="causal",F1526="predictive")),IF(AND(K1526=1,L1526=1,M1526=1),"adequate","partial"),INDEX(Fit_Matrix!$B:$B,MATCH(P1526,Fit_Matrix!$A:$A,0))),"CHECK KEY"))</f>
        <v/>
      </c>
    </row>
    <row r="1527" customFormat="false" ht="15" hidden="false" customHeight="true" outlineLevel="0" collapsed="false">
      <c r="P1527" s="1" t="str">
        <f aca="false">IF(OR(F1527="",H1527="",J1527=""),"",J1527&amp;"|"&amp;F1527&amp;"|"&amp;IF(H1527="W3","W3_"&amp;IF(I1527="","unknown",I1527),H1527))</f>
        <v/>
      </c>
      <c r="Q1527" s="1" t="str">
        <f aca="false">IF(P1527="","",IFERROR(IF(AND(H1527="W7",OR(F1527="causal",F1527="predictive")),IF(AND(K1527=1,L1527=1,M1527=1),"adequate","partial"),INDEX(Fit_Matrix!$B:$B,MATCH(P1527,Fit_Matrix!$A:$A,0))),"CHECK KEY"))</f>
        <v/>
      </c>
    </row>
    <row r="1528" customFormat="false" ht="15" hidden="false" customHeight="true" outlineLevel="0" collapsed="false">
      <c r="P1528" s="1" t="str">
        <f aca="false">IF(OR(F1528="",H1528="",J1528=""),"",J1528&amp;"|"&amp;F1528&amp;"|"&amp;IF(H1528="W3","W3_"&amp;IF(I1528="","unknown",I1528),H1528))</f>
        <v/>
      </c>
      <c r="Q1528" s="1" t="str">
        <f aca="false">IF(P1528="","",IFERROR(IF(AND(H1528="W7",OR(F1528="causal",F1528="predictive")),IF(AND(K1528=1,L1528=1,M1528=1),"adequate","partial"),INDEX(Fit_Matrix!$B:$B,MATCH(P1528,Fit_Matrix!$A:$A,0))),"CHECK KEY"))</f>
        <v/>
      </c>
    </row>
    <row r="1529" customFormat="false" ht="15" hidden="false" customHeight="true" outlineLevel="0" collapsed="false">
      <c r="P1529" s="1" t="str">
        <f aca="false">IF(OR(F1529="",H1529="",J1529=""),"",J1529&amp;"|"&amp;F1529&amp;"|"&amp;IF(H1529="W3","W3_"&amp;IF(I1529="","unknown",I1529),H1529))</f>
        <v/>
      </c>
      <c r="Q1529" s="1" t="str">
        <f aca="false">IF(P1529="","",IFERROR(IF(AND(H1529="W7",OR(F1529="causal",F1529="predictive")),IF(AND(K1529=1,L1529=1,M1529=1),"adequate","partial"),INDEX(Fit_Matrix!$B:$B,MATCH(P1529,Fit_Matrix!$A:$A,0))),"CHECK KEY"))</f>
        <v/>
      </c>
    </row>
    <row r="1530" customFormat="false" ht="15" hidden="false" customHeight="true" outlineLevel="0" collapsed="false">
      <c r="P1530" s="1" t="str">
        <f aca="false">IF(OR(F1530="",H1530="",J1530=""),"",J1530&amp;"|"&amp;F1530&amp;"|"&amp;IF(H1530="W3","W3_"&amp;IF(I1530="","unknown",I1530),H1530))</f>
        <v/>
      </c>
      <c r="Q1530" s="1" t="str">
        <f aca="false">IF(P1530="","",IFERROR(IF(AND(H1530="W7",OR(F1530="causal",F1530="predictive")),IF(AND(K1530=1,L1530=1,M1530=1),"adequate","partial"),INDEX(Fit_Matrix!$B:$B,MATCH(P1530,Fit_Matrix!$A:$A,0))),"CHECK KEY"))</f>
        <v/>
      </c>
    </row>
    <row r="1531" customFormat="false" ht="15" hidden="false" customHeight="true" outlineLevel="0" collapsed="false">
      <c r="P1531" s="1" t="str">
        <f aca="false">IF(OR(F1531="",H1531="",J1531=""),"",J1531&amp;"|"&amp;F1531&amp;"|"&amp;IF(H1531="W3","W3_"&amp;IF(I1531="","unknown",I1531),H1531))</f>
        <v/>
      </c>
      <c r="Q1531" s="1" t="str">
        <f aca="false">IF(P1531="","",IFERROR(IF(AND(H1531="W7",OR(F1531="causal",F1531="predictive")),IF(AND(K1531=1,L1531=1,M1531=1),"adequate","partial"),INDEX(Fit_Matrix!$B:$B,MATCH(P1531,Fit_Matrix!$A:$A,0))),"CHECK KEY"))</f>
        <v/>
      </c>
    </row>
    <row r="1532" customFormat="false" ht="15" hidden="false" customHeight="true" outlineLevel="0" collapsed="false">
      <c r="P1532" s="1" t="str">
        <f aca="false">IF(OR(F1532="",H1532="",J1532=""),"",J1532&amp;"|"&amp;F1532&amp;"|"&amp;IF(H1532="W3","W3_"&amp;IF(I1532="","unknown",I1532),H1532))</f>
        <v/>
      </c>
      <c r="Q1532" s="1" t="str">
        <f aca="false">IF(P1532="","",IFERROR(IF(AND(H1532="W7",OR(F1532="causal",F1532="predictive")),IF(AND(K1532=1,L1532=1,M1532=1),"adequate","partial"),INDEX(Fit_Matrix!$B:$B,MATCH(P1532,Fit_Matrix!$A:$A,0))),"CHECK KEY"))</f>
        <v/>
      </c>
    </row>
    <row r="1533" customFormat="false" ht="15" hidden="false" customHeight="true" outlineLevel="0" collapsed="false">
      <c r="P1533" s="1" t="str">
        <f aca="false">IF(OR(F1533="",H1533="",J1533=""),"",J1533&amp;"|"&amp;F1533&amp;"|"&amp;IF(H1533="W3","W3_"&amp;IF(I1533="","unknown",I1533),H1533))</f>
        <v/>
      </c>
      <c r="Q1533" s="1" t="str">
        <f aca="false">IF(P1533="","",IFERROR(IF(AND(H1533="W7",OR(F1533="causal",F1533="predictive")),IF(AND(K1533=1,L1533=1,M1533=1),"adequate","partial"),INDEX(Fit_Matrix!$B:$B,MATCH(P1533,Fit_Matrix!$A:$A,0))),"CHECK KEY"))</f>
        <v/>
      </c>
    </row>
    <row r="1534" customFormat="false" ht="15" hidden="false" customHeight="true" outlineLevel="0" collapsed="false">
      <c r="P1534" s="1" t="str">
        <f aca="false">IF(OR(F1534="",H1534="",J1534=""),"",J1534&amp;"|"&amp;F1534&amp;"|"&amp;IF(H1534="W3","W3_"&amp;IF(I1534="","unknown",I1534),H1534))</f>
        <v/>
      </c>
      <c r="Q1534" s="1" t="str">
        <f aca="false">IF(P1534="","",IFERROR(IF(AND(H1534="W7",OR(F1534="causal",F1534="predictive")),IF(AND(K1534=1,L1534=1,M1534=1),"adequate","partial"),INDEX(Fit_Matrix!$B:$B,MATCH(P1534,Fit_Matrix!$A:$A,0))),"CHECK KEY"))</f>
        <v/>
      </c>
    </row>
    <row r="1535" customFormat="false" ht="15" hidden="false" customHeight="true" outlineLevel="0" collapsed="false">
      <c r="P1535" s="1" t="str">
        <f aca="false">IF(OR(F1535="",H1535="",J1535=""),"",J1535&amp;"|"&amp;F1535&amp;"|"&amp;IF(H1535="W3","W3_"&amp;IF(I1535="","unknown",I1535),H1535))</f>
        <v/>
      </c>
      <c r="Q1535" s="1" t="str">
        <f aca="false">IF(P1535="","",IFERROR(IF(AND(H1535="W7",OR(F1535="causal",F1535="predictive")),IF(AND(K1535=1,L1535=1,M1535=1),"adequate","partial"),INDEX(Fit_Matrix!$B:$B,MATCH(P1535,Fit_Matrix!$A:$A,0))),"CHECK KEY"))</f>
        <v/>
      </c>
    </row>
    <row r="1536" customFormat="false" ht="15" hidden="false" customHeight="true" outlineLevel="0" collapsed="false">
      <c r="P1536" s="1" t="str">
        <f aca="false">IF(OR(F1536="",H1536="",J1536=""),"",J1536&amp;"|"&amp;F1536&amp;"|"&amp;IF(H1536="W3","W3_"&amp;IF(I1536="","unknown",I1536),H1536))</f>
        <v/>
      </c>
      <c r="Q1536" s="1" t="str">
        <f aca="false">IF(P1536="","",IFERROR(IF(AND(H1536="W7",OR(F1536="causal",F1536="predictive")),IF(AND(K1536=1,L1536=1,M1536=1),"adequate","partial"),INDEX(Fit_Matrix!$B:$B,MATCH(P1536,Fit_Matrix!$A:$A,0))),"CHECK KEY"))</f>
        <v/>
      </c>
    </row>
    <row r="1537" customFormat="false" ht="15" hidden="false" customHeight="true" outlineLevel="0" collapsed="false">
      <c r="P1537" s="1" t="str">
        <f aca="false">IF(OR(F1537="",H1537="",J1537=""),"",J1537&amp;"|"&amp;F1537&amp;"|"&amp;IF(H1537="W3","W3_"&amp;IF(I1537="","unknown",I1537),H1537))</f>
        <v/>
      </c>
      <c r="Q1537" s="1" t="str">
        <f aca="false">IF(P1537="","",IFERROR(IF(AND(H1537="W7",OR(F1537="causal",F1537="predictive")),IF(AND(K1537=1,L1537=1,M1537=1),"adequate","partial"),INDEX(Fit_Matrix!$B:$B,MATCH(P1537,Fit_Matrix!$A:$A,0))),"CHECK KEY"))</f>
        <v/>
      </c>
    </row>
    <row r="1538" customFormat="false" ht="15" hidden="false" customHeight="true" outlineLevel="0" collapsed="false">
      <c r="P1538" s="1" t="str">
        <f aca="false">IF(OR(F1538="",H1538="",J1538=""),"",J1538&amp;"|"&amp;F1538&amp;"|"&amp;IF(H1538="W3","W3_"&amp;IF(I1538="","unknown",I1538),H1538))</f>
        <v/>
      </c>
      <c r="Q1538" s="1" t="str">
        <f aca="false">IF(P1538="","",IFERROR(IF(AND(H1538="W7",OR(F1538="causal",F1538="predictive")),IF(AND(K1538=1,L1538=1,M1538=1),"adequate","partial"),INDEX(Fit_Matrix!$B:$B,MATCH(P1538,Fit_Matrix!$A:$A,0))),"CHECK KEY"))</f>
        <v/>
      </c>
    </row>
    <row r="1539" customFormat="false" ht="15" hidden="false" customHeight="true" outlineLevel="0" collapsed="false">
      <c r="P1539" s="1" t="str">
        <f aca="false">IF(OR(F1539="",H1539="",J1539=""),"",J1539&amp;"|"&amp;F1539&amp;"|"&amp;IF(H1539="W3","W3_"&amp;IF(I1539="","unknown",I1539),H1539))</f>
        <v/>
      </c>
      <c r="Q1539" s="1" t="str">
        <f aca="false">IF(P1539="","",IFERROR(IF(AND(H1539="W7",OR(F1539="causal",F1539="predictive")),IF(AND(K1539=1,L1539=1,M1539=1),"adequate","partial"),INDEX(Fit_Matrix!$B:$B,MATCH(P1539,Fit_Matrix!$A:$A,0))),"CHECK KEY"))</f>
        <v/>
      </c>
    </row>
    <row r="1540" customFormat="false" ht="15" hidden="false" customHeight="true" outlineLevel="0" collapsed="false">
      <c r="P1540" s="1" t="str">
        <f aca="false">IF(OR(F1540="",H1540="",J1540=""),"",J1540&amp;"|"&amp;F1540&amp;"|"&amp;IF(H1540="W3","W3_"&amp;IF(I1540="","unknown",I1540),H1540))</f>
        <v/>
      </c>
      <c r="Q1540" s="1" t="str">
        <f aca="false">IF(P1540="","",IFERROR(IF(AND(H1540="W7",OR(F1540="causal",F1540="predictive")),IF(AND(K1540=1,L1540=1,M1540=1),"adequate","partial"),INDEX(Fit_Matrix!$B:$B,MATCH(P1540,Fit_Matrix!$A:$A,0))),"CHECK KEY"))</f>
        <v/>
      </c>
    </row>
    <row r="1541" customFormat="false" ht="15" hidden="false" customHeight="true" outlineLevel="0" collapsed="false">
      <c r="P1541" s="1" t="str">
        <f aca="false">IF(OR(F1541="",H1541="",J1541=""),"",J1541&amp;"|"&amp;F1541&amp;"|"&amp;IF(H1541="W3","W3_"&amp;IF(I1541="","unknown",I1541),H1541))</f>
        <v/>
      </c>
      <c r="Q1541" s="1" t="str">
        <f aca="false">IF(P1541="","",IFERROR(IF(AND(H1541="W7",OR(F1541="causal",F1541="predictive")),IF(AND(K1541=1,L1541=1,M1541=1),"adequate","partial"),INDEX(Fit_Matrix!$B:$B,MATCH(P1541,Fit_Matrix!$A:$A,0))),"CHECK KEY"))</f>
        <v/>
      </c>
    </row>
    <row r="1542" customFormat="false" ht="15" hidden="false" customHeight="true" outlineLevel="0" collapsed="false">
      <c r="P1542" s="1" t="str">
        <f aca="false">IF(OR(F1542="",H1542="",J1542=""),"",J1542&amp;"|"&amp;F1542&amp;"|"&amp;IF(H1542="W3","W3_"&amp;IF(I1542="","unknown",I1542),H1542))</f>
        <v/>
      </c>
      <c r="Q1542" s="1" t="str">
        <f aca="false">IF(P1542="","",IFERROR(IF(AND(H1542="W7",OR(F1542="causal",F1542="predictive")),IF(AND(K1542=1,L1542=1,M1542=1),"adequate","partial"),INDEX(Fit_Matrix!$B:$B,MATCH(P1542,Fit_Matrix!$A:$A,0))),"CHECK KEY"))</f>
        <v/>
      </c>
    </row>
    <row r="1543" customFormat="false" ht="15" hidden="false" customHeight="true" outlineLevel="0" collapsed="false">
      <c r="P1543" s="1" t="str">
        <f aca="false">IF(OR(F1543="",H1543="",J1543=""),"",J1543&amp;"|"&amp;F1543&amp;"|"&amp;IF(H1543="W3","W3_"&amp;IF(I1543="","unknown",I1543),H1543))</f>
        <v/>
      </c>
      <c r="Q1543" s="1" t="str">
        <f aca="false">IF(P1543="","",IFERROR(IF(AND(H1543="W7",OR(F1543="causal",F1543="predictive")),IF(AND(K1543=1,L1543=1,M1543=1),"adequate","partial"),INDEX(Fit_Matrix!$B:$B,MATCH(P1543,Fit_Matrix!$A:$A,0))),"CHECK KEY"))</f>
        <v/>
      </c>
    </row>
    <row r="1544" customFormat="false" ht="15" hidden="false" customHeight="true" outlineLevel="0" collapsed="false">
      <c r="P1544" s="1" t="str">
        <f aca="false">IF(OR(F1544="",H1544="",J1544=""),"",J1544&amp;"|"&amp;F1544&amp;"|"&amp;IF(H1544="W3","W3_"&amp;IF(I1544="","unknown",I1544),H1544))</f>
        <v/>
      </c>
      <c r="Q1544" s="1" t="str">
        <f aca="false">IF(P1544="","",IFERROR(IF(AND(H1544="W7",OR(F1544="causal",F1544="predictive")),IF(AND(K1544=1,L1544=1,M1544=1),"adequate","partial"),INDEX(Fit_Matrix!$B:$B,MATCH(P1544,Fit_Matrix!$A:$A,0))),"CHECK KEY"))</f>
        <v/>
      </c>
    </row>
    <row r="1545" customFormat="false" ht="15" hidden="false" customHeight="true" outlineLevel="0" collapsed="false">
      <c r="P1545" s="1" t="str">
        <f aca="false">IF(OR(F1545="",H1545="",J1545=""),"",J1545&amp;"|"&amp;F1545&amp;"|"&amp;IF(H1545="W3","W3_"&amp;IF(I1545="","unknown",I1545),H1545))</f>
        <v/>
      </c>
      <c r="Q1545" s="1" t="str">
        <f aca="false">IF(P1545="","",IFERROR(IF(AND(H1545="W7",OR(F1545="causal",F1545="predictive")),IF(AND(K1545=1,L1545=1,M1545=1),"adequate","partial"),INDEX(Fit_Matrix!$B:$B,MATCH(P1545,Fit_Matrix!$A:$A,0))),"CHECK KEY"))</f>
        <v/>
      </c>
    </row>
    <row r="1546" customFormat="false" ht="15" hidden="false" customHeight="true" outlineLevel="0" collapsed="false">
      <c r="P1546" s="1" t="str">
        <f aca="false">IF(OR(F1546="",H1546="",J1546=""),"",J1546&amp;"|"&amp;F1546&amp;"|"&amp;IF(H1546="W3","W3_"&amp;IF(I1546="","unknown",I1546),H1546))</f>
        <v/>
      </c>
      <c r="Q1546" s="1" t="str">
        <f aca="false">IF(P1546="","",IFERROR(IF(AND(H1546="W7",OR(F1546="causal",F1546="predictive")),IF(AND(K1546=1,L1546=1,M1546=1),"adequate","partial"),INDEX(Fit_Matrix!$B:$B,MATCH(P1546,Fit_Matrix!$A:$A,0))),"CHECK KEY"))</f>
        <v/>
      </c>
    </row>
    <row r="1547" customFormat="false" ht="15" hidden="false" customHeight="true" outlineLevel="0" collapsed="false">
      <c r="P1547" s="1" t="str">
        <f aca="false">IF(OR(F1547="",H1547="",J1547=""),"",J1547&amp;"|"&amp;F1547&amp;"|"&amp;IF(H1547="W3","W3_"&amp;IF(I1547="","unknown",I1547),H1547))</f>
        <v/>
      </c>
      <c r="Q1547" s="1" t="str">
        <f aca="false">IF(P1547="","",IFERROR(IF(AND(H1547="W7",OR(F1547="causal",F1547="predictive")),IF(AND(K1547=1,L1547=1,M1547=1),"adequate","partial"),INDEX(Fit_Matrix!$B:$B,MATCH(P1547,Fit_Matrix!$A:$A,0))),"CHECK KEY"))</f>
        <v/>
      </c>
    </row>
    <row r="1548" customFormat="false" ht="15" hidden="false" customHeight="true" outlineLevel="0" collapsed="false">
      <c r="P1548" s="1" t="str">
        <f aca="false">IF(OR(F1548="",H1548="",J1548=""),"",J1548&amp;"|"&amp;F1548&amp;"|"&amp;IF(H1548="W3","W3_"&amp;IF(I1548="","unknown",I1548),H1548))</f>
        <v/>
      </c>
      <c r="Q1548" s="1" t="str">
        <f aca="false">IF(P1548="","",IFERROR(IF(AND(H1548="W7",OR(F1548="causal",F1548="predictive")),IF(AND(K1548=1,L1548=1,M1548=1),"adequate","partial"),INDEX(Fit_Matrix!$B:$B,MATCH(P1548,Fit_Matrix!$A:$A,0))),"CHECK KEY"))</f>
        <v/>
      </c>
    </row>
    <row r="1549" customFormat="false" ht="15" hidden="false" customHeight="true" outlineLevel="0" collapsed="false">
      <c r="P1549" s="1" t="str">
        <f aca="false">IF(OR(F1549="",H1549="",J1549=""),"",J1549&amp;"|"&amp;F1549&amp;"|"&amp;IF(H1549="W3","W3_"&amp;IF(I1549="","unknown",I1549),H1549))</f>
        <v/>
      </c>
      <c r="Q1549" s="1" t="str">
        <f aca="false">IF(P1549="","",IFERROR(IF(AND(H1549="W7",OR(F1549="causal",F1549="predictive")),IF(AND(K1549=1,L1549=1,M1549=1),"adequate","partial"),INDEX(Fit_Matrix!$B:$B,MATCH(P1549,Fit_Matrix!$A:$A,0))),"CHECK KEY"))</f>
        <v/>
      </c>
    </row>
    <row r="1550" customFormat="false" ht="15" hidden="false" customHeight="true" outlineLevel="0" collapsed="false">
      <c r="P1550" s="1" t="str">
        <f aca="false">IF(OR(F1550="",H1550="",J1550=""),"",J1550&amp;"|"&amp;F1550&amp;"|"&amp;IF(H1550="W3","W3_"&amp;IF(I1550="","unknown",I1550),H1550))</f>
        <v/>
      </c>
      <c r="Q1550" s="1" t="str">
        <f aca="false">IF(P1550="","",IFERROR(IF(AND(H1550="W7",OR(F1550="causal",F1550="predictive")),IF(AND(K1550=1,L1550=1,M1550=1),"adequate","partial"),INDEX(Fit_Matrix!$B:$B,MATCH(P1550,Fit_Matrix!$A:$A,0))),"CHECK KEY"))</f>
        <v/>
      </c>
    </row>
    <row r="1551" customFormat="false" ht="15" hidden="false" customHeight="true" outlineLevel="0" collapsed="false">
      <c r="P1551" s="1" t="str">
        <f aca="false">IF(OR(F1551="",H1551="",J1551=""),"",J1551&amp;"|"&amp;F1551&amp;"|"&amp;IF(H1551="W3","W3_"&amp;IF(I1551="","unknown",I1551),H1551))</f>
        <v/>
      </c>
      <c r="Q1551" s="1" t="str">
        <f aca="false">IF(P1551="","",IFERROR(IF(AND(H1551="W7",OR(F1551="causal",F1551="predictive")),IF(AND(K1551=1,L1551=1,M1551=1),"adequate","partial"),INDEX(Fit_Matrix!$B:$B,MATCH(P1551,Fit_Matrix!$A:$A,0))),"CHECK KEY"))</f>
        <v/>
      </c>
    </row>
    <row r="1552" customFormat="false" ht="15" hidden="false" customHeight="true" outlineLevel="0" collapsed="false">
      <c r="P1552" s="1" t="str">
        <f aca="false">IF(OR(F1552="",H1552="",J1552=""),"",J1552&amp;"|"&amp;F1552&amp;"|"&amp;IF(H1552="W3","W3_"&amp;IF(I1552="","unknown",I1552),H1552))</f>
        <v/>
      </c>
      <c r="Q1552" s="1" t="str">
        <f aca="false">IF(P1552="","",IFERROR(IF(AND(H1552="W7",OR(F1552="causal",F1552="predictive")),IF(AND(K1552=1,L1552=1,M1552=1),"adequate","partial"),INDEX(Fit_Matrix!$B:$B,MATCH(P1552,Fit_Matrix!$A:$A,0))),"CHECK KEY"))</f>
        <v/>
      </c>
    </row>
    <row r="1553" customFormat="false" ht="15" hidden="false" customHeight="true" outlineLevel="0" collapsed="false">
      <c r="P1553" s="1" t="str">
        <f aca="false">IF(OR(F1553="",H1553="",J1553=""),"",J1553&amp;"|"&amp;F1553&amp;"|"&amp;IF(H1553="W3","W3_"&amp;IF(I1553="","unknown",I1553),H1553))</f>
        <v/>
      </c>
      <c r="Q1553" s="1" t="str">
        <f aca="false">IF(P1553="","",IFERROR(IF(AND(H1553="W7",OR(F1553="causal",F1553="predictive")),IF(AND(K1553=1,L1553=1,M1553=1),"adequate","partial"),INDEX(Fit_Matrix!$B:$B,MATCH(P1553,Fit_Matrix!$A:$A,0))),"CHECK KEY"))</f>
        <v/>
      </c>
    </row>
    <row r="1554" customFormat="false" ht="15" hidden="false" customHeight="true" outlineLevel="0" collapsed="false">
      <c r="P1554" s="1" t="str">
        <f aca="false">IF(OR(F1554="",H1554="",J1554=""),"",J1554&amp;"|"&amp;F1554&amp;"|"&amp;IF(H1554="W3","W3_"&amp;IF(I1554="","unknown",I1554),H1554))</f>
        <v/>
      </c>
      <c r="Q1554" s="1" t="str">
        <f aca="false">IF(P1554="","",IFERROR(IF(AND(H1554="W7",OR(F1554="causal",F1554="predictive")),IF(AND(K1554=1,L1554=1,M1554=1),"adequate","partial"),INDEX(Fit_Matrix!$B:$B,MATCH(P1554,Fit_Matrix!$A:$A,0))),"CHECK KEY"))</f>
        <v/>
      </c>
    </row>
    <row r="1555" customFormat="false" ht="15" hidden="false" customHeight="true" outlineLevel="0" collapsed="false">
      <c r="P1555" s="1" t="str">
        <f aca="false">IF(OR(F1555="",H1555="",J1555=""),"",J1555&amp;"|"&amp;F1555&amp;"|"&amp;IF(H1555="W3","W3_"&amp;IF(I1555="","unknown",I1555),H1555))</f>
        <v/>
      </c>
      <c r="Q1555" s="1" t="str">
        <f aca="false">IF(P1555="","",IFERROR(IF(AND(H1555="W7",OR(F1555="causal",F1555="predictive")),IF(AND(K1555=1,L1555=1,M1555=1),"adequate","partial"),INDEX(Fit_Matrix!$B:$B,MATCH(P1555,Fit_Matrix!$A:$A,0))),"CHECK KEY"))</f>
        <v/>
      </c>
    </row>
    <row r="1556" customFormat="false" ht="15" hidden="false" customHeight="true" outlineLevel="0" collapsed="false">
      <c r="P1556" s="1" t="str">
        <f aca="false">IF(OR(F1556="",H1556="",J1556=""),"",J1556&amp;"|"&amp;F1556&amp;"|"&amp;IF(H1556="W3","W3_"&amp;IF(I1556="","unknown",I1556),H1556))</f>
        <v/>
      </c>
      <c r="Q1556" s="1" t="str">
        <f aca="false">IF(P1556="","",IFERROR(IF(AND(H1556="W7",OR(F1556="causal",F1556="predictive")),IF(AND(K1556=1,L1556=1,M1556=1),"adequate","partial"),INDEX(Fit_Matrix!$B:$B,MATCH(P1556,Fit_Matrix!$A:$A,0))),"CHECK KEY"))</f>
        <v/>
      </c>
    </row>
    <row r="1557" customFormat="false" ht="15" hidden="false" customHeight="true" outlineLevel="0" collapsed="false">
      <c r="P1557" s="1" t="str">
        <f aca="false">IF(OR(F1557="",H1557="",J1557=""),"",J1557&amp;"|"&amp;F1557&amp;"|"&amp;IF(H1557="W3","W3_"&amp;IF(I1557="","unknown",I1557),H1557))</f>
        <v/>
      </c>
      <c r="Q1557" s="1" t="str">
        <f aca="false">IF(P1557="","",IFERROR(IF(AND(H1557="W7",OR(F1557="causal",F1557="predictive")),IF(AND(K1557=1,L1557=1,M1557=1),"adequate","partial"),INDEX(Fit_Matrix!$B:$B,MATCH(P1557,Fit_Matrix!$A:$A,0))),"CHECK KEY"))</f>
        <v/>
      </c>
    </row>
    <row r="1558" customFormat="false" ht="15" hidden="false" customHeight="true" outlineLevel="0" collapsed="false">
      <c r="P1558" s="1" t="str">
        <f aca="false">IF(OR(F1558="",H1558="",J1558=""),"",J1558&amp;"|"&amp;F1558&amp;"|"&amp;IF(H1558="W3","W3_"&amp;IF(I1558="","unknown",I1558),H1558))</f>
        <v/>
      </c>
      <c r="Q1558" s="1" t="str">
        <f aca="false">IF(P1558="","",IFERROR(IF(AND(H1558="W7",OR(F1558="causal",F1558="predictive")),IF(AND(K1558=1,L1558=1,M1558=1),"adequate","partial"),INDEX(Fit_Matrix!$B:$B,MATCH(P1558,Fit_Matrix!$A:$A,0))),"CHECK KEY"))</f>
        <v/>
      </c>
    </row>
    <row r="1559" customFormat="false" ht="15" hidden="false" customHeight="true" outlineLevel="0" collapsed="false">
      <c r="P1559" s="1" t="str">
        <f aca="false">IF(OR(F1559="",H1559="",J1559=""),"",J1559&amp;"|"&amp;F1559&amp;"|"&amp;IF(H1559="W3","W3_"&amp;IF(I1559="","unknown",I1559),H1559))</f>
        <v/>
      </c>
      <c r="Q1559" s="1" t="str">
        <f aca="false">IF(P1559="","",IFERROR(IF(AND(H1559="W7",OR(F1559="causal",F1559="predictive")),IF(AND(K1559=1,L1559=1,M1559=1),"adequate","partial"),INDEX(Fit_Matrix!$B:$B,MATCH(P1559,Fit_Matrix!$A:$A,0))),"CHECK KEY"))</f>
        <v/>
      </c>
    </row>
    <row r="1560" customFormat="false" ht="15" hidden="false" customHeight="true" outlineLevel="0" collapsed="false">
      <c r="P1560" s="1" t="str">
        <f aca="false">IF(OR(F1560="",H1560="",J1560=""),"",J1560&amp;"|"&amp;F1560&amp;"|"&amp;IF(H1560="W3","W3_"&amp;IF(I1560="","unknown",I1560),H1560))</f>
        <v/>
      </c>
      <c r="Q1560" s="1" t="str">
        <f aca="false">IF(P1560="","",IFERROR(IF(AND(H1560="W7",OR(F1560="causal",F1560="predictive")),IF(AND(K1560=1,L1560=1,M1560=1),"adequate","partial"),INDEX(Fit_Matrix!$B:$B,MATCH(P1560,Fit_Matrix!$A:$A,0))),"CHECK KEY"))</f>
        <v/>
      </c>
    </row>
    <row r="1561" customFormat="false" ht="15" hidden="false" customHeight="true" outlineLevel="0" collapsed="false">
      <c r="P1561" s="1" t="str">
        <f aca="false">IF(OR(F1561="",H1561="",J1561=""),"",J1561&amp;"|"&amp;F1561&amp;"|"&amp;IF(H1561="W3","W3_"&amp;IF(I1561="","unknown",I1561),H1561))</f>
        <v/>
      </c>
      <c r="Q1561" s="1" t="str">
        <f aca="false">IF(P1561="","",IFERROR(IF(AND(H1561="W7",OR(F1561="causal",F1561="predictive")),IF(AND(K1561=1,L1561=1,M1561=1),"adequate","partial"),INDEX(Fit_Matrix!$B:$B,MATCH(P1561,Fit_Matrix!$A:$A,0))),"CHECK KEY"))</f>
        <v/>
      </c>
    </row>
    <row r="1562" customFormat="false" ht="15" hidden="false" customHeight="true" outlineLevel="0" collapsed="false">
      <c r="P1562" s="1" t="str">
        <f aca="false">IF(OR(F1562="",H1562="",J1562=""),"",J1562&amp;"|"&amp;F1562&amp;"|"&amp;IF(H1562="W3","W3_"&amp;IF(I1562="","unknown",I1562),H1562))</f>
        <v/>
      </c>
      <c r="Q1562" s="1" t="str">
        <f aca="false">IF(P1562="","",IFERROR(IF(AND(H1562="W7",OR(F1562="causal",F1562="predictive")),IF(AND(K1562=1,L1562=1,M1562=1),"adequate","partial"),INDEX(Fit_Matrix!$B:$B,MATCH(P1562,Fit_Matrix!$A:$A,0))),"CHECK KEY"))</f>
        <v/>
      </c>
    </row>
    <row r="1563" customFormat="false" ht="15" hidden="false" customHeight="true" outlineLevel="0" collapsed="false">
      <c r="P1563" s="1" t="str">
        <f aca="false">IF(OR(F1563="",H1563="",J1563=""),"",J1563&amp;"|"&amp;F1563&amp;"|"&amp;IF(H1563="W3","W3_"&amp;IF(I1563="","unknown",I1563),H1563))</f>
        <v/>
      </c>
      <c r="Q1563" s="1" t="str">
        <f aca="false">IF(P1563="","",IFERROR(IF(AND(H1563="W7",OR(F1563="causal",F1563="predictive")),IF(AND(K1563=1,L1563=1,M1563=1),"adequate","partial"),INDEX(Fit_Matrix!$B:$B,MATCH(P1563,Fit_Matrix!$A:$A,0))),"CHECK KEY"))</f>
        <v/>
      </c>
    </row>
    <row r="1564" customFormat="false" ht="15" hidden="false" customHeight="true" outlineLevel="0" collapsed="false">
      <c r="P1564" s="1" t="str">
        <f aca="false">IF(OR(F1564="",H1564="",J1564=""),"",J1564&amp;"|"&amp;F1564&amp;"|"&amp;IF(H1564="W3","W3_"&amp;IF(I1564="","unknown",I1564),H1564))</f>
        <v/>
      </c>
      <c r="Q1564" s="1" t="str">
        <f aca="false">IF(P1564="","",IFERROR(IF(AND(H1564="W7",OR(F1564="causal",F1564="predictive")),IF(AND(K1564=1,L1564=1,M1564=1),"adequate","partial"),INDEX(Fit_Matrix!$B:$B,MATCH(P1564,Fit_Matrix!$A:$A,0))),"CHECK KEY"))</f>
        <v/>
      </c>
    </row>
    <row r="1565" customFormat="false" ht="15" hidden="false" customHeight="true" outlineLevel="0" collapsed="false">
      <c r="P1565" s="1" t="str">
        <f aca="false">IF(OR(F1565="",H1565="",J1565=""),"",J1565&amp;"|"&amp;F1565&amp;"|"&amp;IF(H1565="W3","W3_"&amp;IF(I1565="","unknown",I1565),H1565))</f>
        <v/>
      </c>
      <c r="Q1565" s="1" t="str">
        <f aca="false">IF(P1565="","",IFERROR(IF(AND(H1565="W7",OR(F1565="causal",F1565="predictive")),IF(AND(K1565=1,L1565=1,M1565=1),"adequate","partial"),INDEX(Fit_Matrix!$B:$B,MATCH(P1565,Fit_Matrix!$A:$A,0))),"CHECK KEY"))</f>
        <v/>
      </c>
    </row>
    <row r="1566" customFormat="false" ht="15" hidden="false" customHeight="true" outlineLevel="0" collapsed="false">
      <c r="P1566" s="1" t="str">
        <f aca="false">IF(OR(F1566="",H1566="",J1566=""),"",J1566&amp;"|"&amp;F1566&amp;"|"&amp;IF(H1566="W3","W3_"&amp;IF(I1566="","unknown",I1566),H1566))</f>
        <v/>
      </c>
      <c r="Q1566" s="1" t="str">
        <f aca="false">IF(P1566="","",IFERROR(IF(AND(H1566="W7",OR(F1566="causal",F1566="predictive")),IF(AND(K1566=1,L1566=1,M1566=1),"adequate","partial"),INDEX(Fit_Matrix!$B:$B,MATCH(P1566,Fit_Matrix!$A:$A,0))),"CHECK KEY"))</f>
        <v/>
      </c>
    </row>
    <row r="1567" customFormat="false" ht="15" hidden="false" customHeight="true" outlineLevel="0" collapsed="false">
      <c r="P1567" s="1" t="str">
        <f aca="false">IF(OR(F1567="",H1567="",J1567=""),"",J1567&amp;"|"&amp;F1567&amp;"|"&amp;IF(H1567="W3","W3_"&amp;IF(I1567="","unknown",I1567),H1567))</f>
        <v/>
      </c>
      <c r="Q1567" s="1" t="str">
        <f aca="false">IF(P1567="","",IFERROR(IF(AND(H1567="W7",OR(F1567="causal",F1567="predictive")),IF(AND(K1567=1,L1567=1,M1567=1),"adequate","partial"),INDEX(Fit_Matrix!$B:$B,MATCH(P1567,Fit_Matrix!$A:$A,0))),"CHECK KEY"))</f>
        <v/>
      </c>
    </row>
    <row r="1568" customFormat="false" ht="15" hidden="false" customHeight="true" outlineLevel="0" collapsed="false">
      <c r="P1568" s="1" t="str">
        <f aca="false">IF(OR(F1568="",H1568="",J1568=""),"",J1568&amp;"|"&amp;F1568&amp;"|"&amp;IF(H1568="W3","W3_"&amp;IF(I1568="","unknown",I1568),H1568))</f>
        <v/>
      </c>
      <c r="Q1568" s="1" t="str">
        <f aca="false">IF(P1568="","",IFERROR(IF(AND(H1568="W7",OR(F1568="causal",F1568="predictive")),IF(AND(K1568=1,L1568=1,M1568=1),"adequate","partial"),INDEX(Fit_Matrix!$B:$B,MATCH(P1568,Fit_Matrix!$A:$A,0))),"CHECK KEY"))</f>
        <v/>
      </c>
    </row>
    <row r="1569" customFormat="false" ht="15" hidden="false" customHeight="true" outlineLevel="0" collapsed="false">
      <c r="P1569" s="1" t="str">
        <f aca="false">IF(OR(F1569="",H1569="",J1569=""),"",J1569&amp;"|"&amp;F1569&amp;"|"&amp;IF(H1569="W3","W3_"&amp;IF(I1569="","unknown",I1569),H1569))</f>
        <v/>
      </c>
      <c r="Q1569" s="1" t="str">
        <f aca="false">IF(P1569="","",IFERROR(IF(AND(H1569="W7",OR(F1569="causal",F1569="predictive")),IF(AND(K1569=1,L1569=1,M1569=1),"adequate","partial"),INDEX(Fit_Matrix!$B:$B,MATCH(P1569,Fit_Matrix!$A:$A,0))),"CHECK KEY"))</f>
        <v/>
      </c>
    </row>
    <row r="1570" customFormat="false" ht="15" hidden="false" customHeight="true" outlineLevel="0" collapsed="false">
      <c r="P1570" s="1" t="str">
        <f aca="false">IF(OR(F1570="",H1570="",J1570=""),"",J1570&amp;"|"&amp;F1570&amp;"|"&amp;IF(H1570="W3","W3_"&amp;IF(I1570="","unknown",I1570),H1570))</f>
        <v/>
      </c>
      <c r="Q1570" s="1" t="str">
        <f aca="false">IF(P1570="","",IFERROR(IF(AND(H1570="W7",OR(F1570="causal",F1570="predictive")),IF(AND(K1570=1,L1570=1,M1570=1),"adequate","partial"),INDEX(Fit_Matrix!$B:$B,MATCH(P1570,Fit_Matrix!$A:$A,0))),"CHECK KEY"))</f>
        <v/>
      </c>
    </row>
    <row r="1571" customFormat="false" ht="15" hidden="false" customHeight="true" outlineLevel="0" collapsed="false">
      <c r="P1571" s="1" t="str">
        <f aca="false">IF(OR(F1571="",H1571="",J1571=""),"",J1571&amp;"|"&amp;F1571&amp;"|"&amp;IF(H1571="W3","W3_"&amp;IF(I1571="","unknown",I1571),H1571))</f>
        <v/>
      </c>
      <c r="Q1571" s="1" t="str">
        <f aca="false">IF(P1571="","",IFERROR(IF(AND(H1571="W7",OR(F1571="causal",F1571="predictive")),IF(AND(K1571=1,L1571=1,M1571=1),"adequate","partial"),INDEX(Fit_Matrix!$B:$B,MATCH(P1571,Fit_Matrix!$A:$A,0))),"CHECK KEY"))</f>
        <v/>
      </c>
    </row>
    <row r="1572" customFormat="false" ht="15" hidden="false" customHeight="true" outlineLevel="0" collapsed="false">
      <c r="P1572" s="1" t="str">
        <f aca="false">IF(OR(F1572="",H1572="",J1572=""),"",J1572&amp;"|"&amp;F1572&amp;"|"&amp;IF(H1572="W3","W3_"&amp;IF(I1572="","unknown",I1572),H1572))</f>
        <v/>
      </c>
      <c r="Q1572" s="1" t="str">
        <f aca="false">IF(P1572="","",IFERROR(IF(AND(H1572="W7",OR(F1572="causal",F1572="predictive")),IF(AND(K1572=1,L1572=1,M1572=1),"adequate","partial"),INDEX(Fit_Matrix!$B:$B,MATCH(P1572,Fit_Matrix!$A:$A,0))),"CHECK KEY"))</f>
        <v/>
      </c>
    </row>
    <row r="1573" customFormat="false" ht="15" hidden="false" customHeight="true" outlineLevel="0" collapsed="false">
      <c r="P1573" s="1" t="str">
        <f aca="false">IF(OR(F1573="",H1573="",J1573=""),"",J1573&amp;"|"&amp;F1573&amp;"|"&amp;IF(H1573="W3","W3_"&amp;IF(I1573="","unknown",I1573),H1573))</f>
        <v/>
      </c>
      <c r="Q1573" s="1" t="str">
        <f aca="false">IF(P1573="","",IFERROR(IF(AND(H1573="W7",OR(F1573="causal",F1573="predictive")),IF(AND(K1573=1,L1573=1,M1573=1),"adequate","partial"),INDEX(Fit_Matrix!$B:$B,MATCH(P1573,Fit_Matrix!$A:$A,0))),"CHECK KEY"))</f>
        <v/>
      </c>
    </row>
    <row r="1574" customFormat="false" ht="15" hidden="false" customHeight="true" outlineLevel="0" collapsed="false">
      <c r="P1574" s="1" t="str">
        <f aca="false">IF(OR(F1574="",H1574="",J1574=""),"",J1574&amp;"|"&amp;F1574&amp;"|"&amp;IF(H1574="W3","W3_"&amp;IF(I1574="","unknown",I1574),H1574))</f>
        <v/>
      </c>
      <c r="Q1574" s="1" t="str">
        <f aca="false">IF(P1574="","",IFERROR(IF(AND(H1574="W7",OR(F1574="causal",F1574="predictive")),IF(AND(K1574=1,L1574=1,M1574=1),"adequate","partial"),INDEX(Fit_Matrix!$B:$B,MATCH(P1574,Fit_Matrix!$A:$A,0))),"CHECK KEY"))</f>
        <v/>
      </c>
    </row>
    <row r="1575" customFormat="false" ht="15" hidden="false" customHeight="true" outlineLevel="0" collapsed="false">
      <c r="P1575" s="1" t="str">
        <f aca="false">IF(OR(F1575="",H1575="",J1575=""),"",J1575&amp;"|"&amp;F1575&amp;"|"&amp;IF(H1575="W3","W3_"&amp;IF(I1575="","unknown",I1575),H1575))</f>
        <v/>
      </c>
      <c r="Q1575" s="1" t="str">
        <f aca="false">IF(P1575="","",IFERROR(IF(AND(H1575="W7",OR(F1575="causal",F1575="predictive")),IF(AND(K1575=1,L1575=1,M1575=1),"adequate","partial"),INDEX(Fit_Matrix!$B:$B,MATCH(P1575,Fit_Matrix!$A:$A,0))),"CHECK KEY"))</f>
        <v/>
      </c>
    </row>
    <row r="1576" customFormat="false" ht="15" hidden="false" customHeight="true" outlineLevel="0" collapsed="false">
      <c r="P1576" s="1" t="str">
        <f aca="false">IF(OR(F1576="",H1576="",J1576=""),"",J1576&amp;"|"&amp;F1576&amp;"|"&amp;IF(H1576="W3","W3_"&amp;IF(I1576="","unknown",I1576),H1576))</f>
        <v/>
      </c>
      <c r="Q1576" s="1" t="str">
        <f aca="false">IF(P1576="","",IFERROR(IF(AND(H1576="W7",OR(F1576="causal",F1576="predictive")),IF(AND(K1576=1,L1576=1,M1576=1),"adequate","partial"),INDEX(Fit_Matrix!$B:$B,MATCH(P1576,Fit_Matrix!$A:$A,0))),"CHECK KEY"))</f>
        <v/>
      </c>
    </row>
    <row r="1577" customFormat="false" ht="15" hidden="false" customHeight="true" outlineLevel="0" collapsed="false">
      <c r="P1577" s="1" t="str">
        <f aca="false">IF(OR(F1577="",H1577="",J1577=""),"",J1577&amp;"|"&amp;F1577&amp;"|"&amp;IF(H1577="W3","W3_"&amp;IF(I1577="","unknown",I1577),H1577))</f>
        <v/>
      </c>
      <c r="Q1577" s="1" t="str">
        <f aca="false">IF(P1577="","",IFERROR(IF(AND(H1577="W7",OR(F1577="causal",F1577="predictive")),IF(AND(K1577=1,L1577=1,M1577=1),"adequate","partial"),INDEX(Fit_Matrix!$B:$B,MATCH(P1577,Fit_Matrix!$A:$A,0))),"CHECK KEY"))</f>
        <v/>
      </c>
    </row>
    <row r="1578" customFormat="false" ht="15" hidden="false" customHeight="true" outlineLevel="0" collapsed="false">
      <c r="P1578" s="1" t="str">
        <f aca="false">IF(OR(F1578="",H1578="",J1578=""),"",J1578&amp;"|"&amp;F1578&amp;"|"&amp;IF(H1578="W3","W3_"&amp;IF(I1578="","unknown",I1578),H1578))</f>
        <v/>
      </c>
      <c r="Q1578" s="1" t="str">
        <f aca="false">IF(P1578="","",IFERROR(IF(AND(H1578="W7",OR(F1578="causal",F1578="predictive")),IF(AND(K1578=1,L1578=1,M1578=1),"adequate","partial"),INDEX(Fit_Matrix!$B:$B,MATCH(P1578,Fit_Matrix!$A:$A,0))),"CHECK KEY"))</f>
        <v/>
      </c>
    </row>
    <row r="1579" customFormat="false" ht="15" hidden="false" customHeight="true" outlineLevel="0" collapsed="false">
      <c r="P1579" s="1" t="str">
        <f aca="false">IF(OR(F1579="",H1579="",J1579=""),"",J1579&amp;"|"&amp;F1579&amp;"|"&amp;IF(H1579="W3","W3_"&amp;IF(I1579="","unknown",I1579),H1579))</f>
        <v/>
      </c>
      <c r="Q1579" s="1" t="str">
        <f aca="false">IF(P1579="","",IFERROR(IF(AND(H1579="W7",OR(F1579="causal",F1579="predictive")),IF(AND(K1579=1,L1579=1,M1579=1),"adequate","partial"),INDEX(Fit_Matrix!$B:$B,MATCH(P1579,Fit_Matrix!$A:$A,0))),"CHECK KEY"))</f>
        <v/>
      </c>
    </row>
    <row r="1580" customFormat="false" ht="15" hidden="false" customHeight="true" outlineLevel="0" collapsed="false">
      <c r="P1580" s="1" t="str">
        <f aca="false">IF(OR(F1580="",H1580="",J1580=""),"",J1580&amp;"|"&amp;F1580&amp;"|"&amp;IF(H1580="W3","W3_"&amp;IF(I1580="","unknown",I1580),H1580))</f>
        <v/>
      </c>
      <c r="Q1580" s="1" t="str">
        <f aca="false">IF(P1580="","",IFERROR(IF(AND(H1580="W7",OR(F1580="causal",F1580="predictive")),IF(AND(K1580=1,L1580=1,M1580=1),"adequate","partial"),INDEX(Fit_Matrix!$B:$B,MATCH(P1580,Fit_Matrix!$A:$A,0))),"CHECK KEY"))</f>
        <v/>
      </c>
    </row>
    <row r="1581" customFormat="false" ht="15" hidden="false" customHeight="true" outlineLevel="0" collapsed="false">
      <c r="P1581" s="1" t="str">
        <f aca="false">IF(OR(F1581="",H1581="",J1581=""),"",J1581&amp;"|"&amp;F1581&amp;"|"&amp;IF(H1581="W3","W3_"&amp;IF(I1581="","unknown",I1581),H1581))</f>
        <v/>
      </c>
      <c r="Q1581" s="1" t="str">
        <f aca="false">IF(P1581="","",IFERROR(IF(AND(H1581="W7",OR(F1581="causal",F1581="predictive")),IF(AND(K1581=1,L1581=1,M1581=1),"adequate","partial"),INDEX(Fit_Matrix!$B:$B,MATCH(P1581,Fit_Matrix!$A:$A,0))),"CHECK KEY"))</f>
        <v/>
      </c>
    </row>
    <row r="1582" customFormat="false" ht="15" hidden="false" customHeight="true" outlineLevel="0" collapsed="false">
      <c r="P1582" s="1" t="str">
        <f aca="false">IF(OR(F1582="",H1582="",J1582=""),"",J1582&amp;"|"&amp;F1582&amp;"|"&amp;IF(H1582="W3","W3_"&amp;IF(I1582="","unknown",I1582),H1582))</f>
        <v/>
      </c>
      <c r="Q1582" s="1" t="str">
        <f aca="false">IF(P1582="","",IFERROR(IF(AND(H1582="W7",OR(F1582="causal",F1582="predictive")),IF(AND(K1582=1,L1582=1,M1582=1),"adequate","partial"),INDEX(Fit_Matrix!$B:$B,MATCH(P1582,Fit_Matrix!$A:$A,0))),"CHECK KEY"))</f>
        <v/>
      </c>
    </row>
    <row r="1583" customFormat="false" ht="15" hidden="false" customHeight="true" outlineLevel="0" collapsed="false">
      <c r="P1583" s="1" t="str">
        <f aca="false">IF(OR(F1583="",H1583="",J1583=""),"",J1583&amp;"|"&amp;F1583&amp;"|"&amp;IF(H1583="W3","W3_"&amp;IF(I1583="","unknown",I1583),H1583))</f>
        <v/>
      </c>
      <c r="Q1583" s="1" t="str">
        <f aca="false">IF(P1583="","",IFERROR(IF(AND(H1583="W7",OR(F1583="causal",F1583="predictive")),IF(AND(K1583=1,L1583=1,M1583=1),"adequate","partial"),INDEX(Fit_Matrix!$B:$B,MATCH(P1583,Fit_Matrix!$A:$A,0))),"CHECK KEY"))</f>
        <v/>
      </c>
    </row>
    <row r="1584" customFormat="false" ht="15" hidden="false" customHeight="true" outlineLevel="0" collapsed="false">
      <c r="P1584" s="1" t="str">
        <f aca="false">IF(OR(F1584="",H1584="",J1584=""),"",J1584&amp;"|"&amp;F1584&amp;"|"&amp;IF(H1584="W3","W3_"&amp;IF(I1584="","unknown",I1584),H1584))</f>
        <v/>
      </c>
      <c r="Q1584" s="1" t="str">
        <f aca="false">IF(P1584="","",IFERROR(IF(AND(H1584="W7",OR(F1584="causal",F1584="predictive")),IF(AND(K1584=1,L1584=1,M1584=1),"adequate","partial"),INDEX(Fit_Matrix!$B:$B,MATCH(P1584,Fit_Matrix!$A:$A,0))),"CHECK KEY"))</f>
        <v/>
      </c>
    </row>
    <row r="1585" customFormat="false" ht="15" hidden="false" customHeight="true" outlineLevel="0" collapsed="false">
      <c r="P1585" s="1" t="str">
        <f aca="false">IF(OR(F1585="",H1585="",J1585=""),"",J1585&amp;"|"&amp;F1585&amp;"|"&amp;IF(H1585="W3","W3_"&amp;IF(I1585="","unknown",I1585),H1585))</f>
        <v/>
      </c>
      <c r="Q1585" s="1" t="str">
        <f aca="false">IF(P1585="","",IFERROR(IF(AND(H1585="W7",OR(F1585="causal",F1585="predictive")),IF(AND(K1585=1,L1585=1,M1585=1),"adequate","partial"),INDEX(Fit_Matrix!$B:$B,MATCH(P1585,Fit_Matrix!$A:$A,0))),"CHECK KEY"))</f>
        <v/>
      </c>
    </row>
    <row r="1586" customFormat="false" ht="15" hidden="false" customHeight="true" outlineLevel="0" collapsed="false">
      <c r="P1586" s="1" t="str">
        <f aca="false">IF(OR(F1586="",H1586="",J1586=""),"",J1586&amp;"|"&amp;F1586&amp;"|"&amp;IF(H1586="W3","W3_"&amp;IF(I1586="","unknown",I1586),H1586))</f>
        <v/>
      </c>
      <c r="Q1586" s="1" t="str">
        <f aca="false">IF(P1586="","",IFERROR(IF(AND(H1586="W7",OR(F1586="causal",F1586="predictive")),IF(AND(K1586=1,L1586=1,M1586=1),"adequate","partial"),INDEX(Fit_Matrix!$B:$B,MATCH(P1586,Fit_Matrix!$A:$A,0))),"CHECK KEY"))</f>
        <v/>
      </c>
    </row>
    <row r="1587" customFormat="false" ht="15" hidden="false" customHeight="true" outlineLevel="0" collapsed="false">
      <c r="P1587" s="1" t="str">
        <f aca="false">IF(OR(F1587="",H1587="",J1587=""),"",J1587&amp;"|"&amp;F1587&amp;"|"&amp;IF(H1587="W3","W3_"&amp;IF(I1587="","unknown",I1587),H1587))</f>
        <v/>
      </c>
      <c r="Q1587" s="1" t="str">
        <f aca="false">IF(P1587="","",IFERROR(IF(AND(H1587="W7",OR(F1587="causal",F1587="predictive")),IF(AND(K1587=1,L1587=1,M1587=1),"adequate","partial"),INDEX(Fit_Matrix!$B:$B,MATCH(P1587,Fit_Matrix!$A:$A,0))),"CHECK KEY"))</f>
        <v/>
      </c>
    </row>
    <row r="1588" customFormat="false" ht="15" hidden="false" customHeight="true" outlineLevel="0" collapsed="false">
      <c r="P1588" s="1" t="str">
        <f aca="false">IF(OR(F1588="",H1588="",J1588=""),"",J1588&amp;"|"&amp;F1588&amp;"|"&amp;IF(H1588="W3","W3_"&amp;IF(I1588="","unknown",I1588),H1588))</f>
        <v/>
      </c>
      <c r="Q1588" s="1" t="str">
        <f aca="false">IF(P1588="","",IFERROR(IF(AND(H1588="W7",OR(F1588="causal",F1588="predictive")),IF(AND(K1588=1,L1588=1,M1588=1),"adequate","partial"),INDEX(Fit_Matrix!$B:$B,MATCH(P1588,Fit_Matrix!$A:$A,0))),"CHECK KEY"))</f>
        <v/>
      </c>
    </row>
    <row r="1589" customFormat="false" ht="15" hidden="false" customHeight="true" outlineLevel="0" collapsed="false">
      <c r="P1589" s="1" t="str">
        <f aca="false">IF(OR(F1589="",H1589="",J1589=""),"",J1589&amp;"|"&amp;F1589&amp;"|"&amp;IF(H1589="W3","W3_"&amp;IF(I1589="","unknown",I1589),H1589))</f>
        <v/>
      </c>
      <c r="Q1589" s="1" t="str">
        <f aca="false">IF(P1589="","",IFERROR(IF(AND(H1589="W7",OR(F1589="causal",F1589="predictive")),IF(AND(K1589=1,L1589=1,M1589=1),"adequate","partial"),INDEX(Fit_Matrix!$B:$B,MATCH(P1589,Fit_Matrix!$A:$A,0))),"CHECK KEY"))</f>
        <v/>
      </c>
    </row>
    <row r="1590" customFormat="false" ht="15" hidden="false" customHeight="true" outlineLevel="0" collapsed="false">
      <c r="P1590" s="1" t="str">
        <f aca="false">IF(OR(F1590="",H1590="",J1590=""),"",J1590&amp;"|"&amp;F1590&amp;"|"&amp;IF(H1590="W3","W3_"&amp;IF(I1590="","unknown",I1590),H1590))</f>
        <v/>
      </c>
      <c r="Q1590" s="1" t="str">
        <f aca="false">IF(P1590="","",IFERROR(IF(AND(H1590="W7",OR(F1590="causal",F1590="predictive")),IF(AND(K1590=1,L1590=1,M1590=1),"adequate","partial"),INDEX(Fit_Matrix!$B:$B,MATCH(P1590,Fit_Matrix!$A:$A,0))),"CHECK KEY"))</f>
        <v/>
      </c>
    </row>
    <row r="1591" customFormat="false" ht="15" hidden="false" customHeight="true" outlineLevel="0" collapsed="false">
      <c r="P1591" s="1" t="str">
        <f aca="false">IF(OR(F1591="",H1591="",J1591=""),"",J1591&amp;"|"&amp;F1591&amp;"|"&amp;IF(H1591="W3","W3_"&amp;IF(I1591="","unknown",I1591),H1591))</f>
        <v/>
      </c>
      <c r="Q1591" s="1" t="str">
        <f aca="false">IF(P1591="","",IFERROR(IF(AND(H1591="W7",OR(F1591="causal",F1591="predictive")),IF(AND(K1591=1,L1591=1,M1591=1),"adequate","partial"),INDEX(Fit_Matrix!$B:$B,MATCH(P1591,Fit_Matrix!$A:$A,0))),"CHECK KEY"))</f>
        <v/>
      </c>
    </row>
    <row r="1592" customFormat="false" ht="15" hidden="false" customHeight="true" outlineLevel="0" collapsed="false">
      <c r="P1592" s="1" t="str">
        <f aca="false">IF(OR(F1592="",H1592="",J1592=""),"",J1592&amp;"|"&amp;F1592&amp;"|"&amp;IF(H1592="W3","W3_"&amp;IF(I1592="","unknown",I1592),H1592))</f>
        <v/>
      </c>
      <c r="Q1592" s="1" t="str">
        <f aca="false">IF(P1592="","",IFERROR(IF(AND(H1592="W7",OR(F1592="causal",F1592="predictive")),IF(AND(K1592=1,L1592=1,M1592=1),"adequate","partial"),INDEX(Fit_Matrix!$B:$B,MATCH(P1592,Fit_Matrix!$A:$A,0))),"CHECK KEY"))</f>
        <v/>
      </c>
    </row>
    <row r="1593" customFormat="false" ht="15" hidden="false" customHeight="true" outlineLevel="0" collapsed="false">
      <c r="P1593" s="1" t="str">
        <f aca="false">IF(OR(F1593="",H1593="",J1593=""),"",J1593&amp;"|"&amp;F1593&amp;"|"&amp;IF(H1593="W3","W3_"&amp;IF(I1593="","unknown",I1593),H1593))</f>
        <v/>
      </c>
      <c r="Q1593" s="1" t="str">
        <f aca="false">IF(P1593="","",IFERROR(IF(AND(H1593="W7",OR(F1593="causal",F1593="predictive")),IF(AND(K1593=1,L1593=1,M1593=1),"adequate","partial"),INDEX(Fit_Matrix!$B:$B,MATCH(P1593,Fit_Matrix!$A:$A,0))),"CHECK KEY"))</f>
        <v/>
      </c>
    </row>
    <row r="1594" customFormat="false" ht="15" hidden="false" customHeight="true" outlineLevel="0" collapsed="false">
      <c r="P1594" s="1" t="str">
        <f aca="false">IF(OR(F1594="",H1594="",J1594=""),"",J1594&amp;"|"&amp;F1594&amp;"|"&amp;IF(H1594="W3","W3_"&amp;IF(I1594="","unknown",I1594),H1594))</f>
        <v/>
      </c>
      <c r="Q1594" s="1" t="str">
        <f aca="false">IF(P1594="","",IFERROR(IF(AND(H1594="W7",OR(F1594="causal",F1594="predictive")),IF(AND(K1594=1,L1594=1,M1594=1),"adequate","partial"),INDEX(Fit_Matrix!$B:$B,MATCH(P1594,Fit_Matrix!$A:$A,0))),"CHECK KEY"))</f>
        <v/>
      </c>
    </row>
    <row r="1595" customFormat="false" ht="15" hidden="false" customHeight="true" outlineLevel="0" collapsed="false">
      <c r="P1595" s="1" t="str">
        <f aca="false">IF(OR(F1595="",H1595="",J1595=""),"",J1595&amp;"|"&amp;F1595&amp;"|"&amp;IF(H1595="W3","W3_"&amp;IF(I1595="","unknown",I1595),H1595))</f>
        <v/>
      </c>
      <c r="Q1595" s="1" t="str">
        <f aca="false">IF(P1595="","",IFERROR(IF(AND(H1595="W7",OR(F1595="causal",F1595="predictive")),IF(AND(K1595=1,L1595=1,M1595=1),"adequate","partial"),INDEX(Fit_Matrix!$B:$B,MATCH(P1595,Fit_Matrix!$A:$A,0))),"CHECK KEY"))</f>
        <v/>
      </c>
    </row>
    <row r="1596" customFormat="false" ht="15" hidden="false" customHeight="true" outlineLevel="0" collapsed="false">
      <c r="P1596" s="1" t="str">
        <f aca="false">IF(OR(F1596="",H1596="",J1596=""),"",J1596&amp;"|"&amp;F1596&amp;"|"&amp;IF(H1596="W3","W3_"&amp;IF(I1596="","unknown",I1596),H1596))</f>
        <v/>
      </c>
      <c r="Q1596" s="1" t="str">
        <f aca="false">IF(P1596="","",IFERROR(IF(AND(H1596="W7",OR(F1596="causal",F1596="predictive")),IF(AND(K1596=1,L1596=1,M1596=1),"adequate","partial"),INDEX(Fit_Matrix!$B:$B,MATCH(P1596,Fit_Matrix!$A:$A,0))),"CHECK KEY"))</f>
        <v/>
      </c>
    </row>
    <row r="1597" customFormat="false" ht="15" hidden="false" customHeight="true" outlineLevel="0" collapsed="false">
      <c r="P1597" s="1" t="str">
        <f aca="false">IF(OR(F1597="",H1597="",J1597=""),"",J1597&amp;"|"&amp;F1597&amp;"|"&amp;IF(H1597="W3","W3_"&amp;IF(I1597="","unknown",I1597),H1597))</f>
        <v/>
      </c>
      <c r="Q1597" s="1" t="str">
        <f aca="false">IF(P1597="","",IFERROR(IF(AND(H1597="W7",OR(F1597="causal",F1597="predictive")),IF(AND(K1597=1,L1597=1,M1597=1),"adequate","partial"),INDEX(Fit_Matrix!$B:$B,MATCH(P1597,Fit_Matrix!$A:$A,0))),"CHECK KEY"))</f>
        <v/>
      </c>
    </row>
    <row r="1598" customFormat="false" ht="15" hidden="false" customHeight="true" outlineLevel="0" collapsed="false">
      <c r="P1598" s="1" t="str">
        <f aca="false">IF(OR(F1598="",H1598="",J1598=""),"",J1598&amp;"|"&amp;F1598&amp;"|"&amp;IF(H1598="W3","W3_"&amp;IF(I1598="","unknown",I1598),H1598))</f>
        <v/>
      </c>
      <c r="Q1598" s="1" t="str">
        <f aca="false">IF(P1598="","",IFERROR(IF(AND(H1598="W7",OR(F1598="causal",F1598="predictive")),IF(AND(K1598=1,L1598=1,M1598=1),"adequate","partial"),INDEX(Fit_Matrix!$B:$B,MATCH(P1598,Fit_Matrix!$A:$A,0))),"CHECK KEY"))</f>
        <v/>
      </c>
    </row>
    <row r="1599" customFormat="false" ht="15" hidden="false" customHeight="true" outlineLevel="0" collapsed="false">
      <c r="P1599" s="1" t="str">
        <f aca="false">IF(OR(F1599="",H1599="",J1599=""),"",J1599&amp;"|"&amp;F1599&amp;"|"&amp;IF(H1599="W3","W3_"&amp;IF(I1599="","unknown",I1599),H1599))</f>
        <v/>
      </c>
      <c r="Q1599" s="1" t="str">
        <f aca="false">IF(P1599="","",IFERROR(IF(AND(H1599="W7",OR(F1599="causal",F1599="predictive")),IF(AND(K1599=1,L1599=1,M1599=1),"adequate","partial"),INDEX(Fit_Matrix!$B:$B,MATCH(P1599,Fit_Matrix!$A:$A,0))),"CHECK KEY"))</f>
        <v/>
      </c>
    </row>
    <row r="1600" customFormat="false" ht="15" hidden="false" customHeight="true" outlineLevel="0" collapsed="false">
      <c r="P1600" s="1" t="str">
        <f aca="false">IF(OR(F1600="",H1600="",J1600=""),"",J1600&amp;"|"&amp;F1600&amp;"|"&amp;IF(H1600="W3","W3_"&amp;IF(I1600="","unknown",I1600),H1600))</f>
        <v/>
      </c>
      <c r="Q1600" s="1" t="str">
        <f aca="false">IF(P1600="","",IFERROR(IF(AND(H1600="W7",OR(F1600="causal",F1600="predictive")),IF(AND(K1600=1,L1600=1,M1600=1),"adequate","partial"),INDEX(Fit_Matrix!$B:$B,MATCH(P1600,Fit_Matrix!$A:$A,0))),"CHECK KEY"))</f>
        <v/>
      </c>
    </row>
    <row r="1601" customFormat="false" ht="15" hidden="false" customHeight="true" outlineLevel="0" collapsed="false">
      <c r="P1601" s="1" t="str">
        <f aca="false">IF(OR(F1601="",H1601="",J1601=""),"",J1601&amp;"|"&amp;F1601&amp;"|"&amp;IF(H1601="W3","W3_"&amp;IF(I1601="","unknown",I1601),H1601))</f>
        <v/>
      </c>
      <c r="Q1601" s="1" t="str">
        <f aca="false">IF(P1601="","",IFERROR(IF(AND(H1601="W7",OR(F1601="causal",F1601="predictive")),IF(AND(K1601=1,L1601=1,M1601=1),"adequate","partial"),INDEX(Fit_Matrix!$B:$B,MATCH(P1601,Fit_Matrix!$A:$A,0))),"CHECK KEY"))</f>
        <v/>
      </c>
    </row>
    <row r="1602" customFormat="false" ht="15" hidden="false" customHeight="true" outlineLevel="0" collapsed="false">
      <c r="P1602" s="1" t="str">
        <f aca="false">IF(OR(F1602="",H1602="",J1602=""),"",J1602&amp;"|"&amp;F1602&amp;"|"&amp;IF(H1602="W3","W3_"&amp;IF(I1602="","unknown",I1602),H1602))</f>
        <v/>
      </c>
      <c r="Q1602" s="1" t="str">
        <f aca="false">IF(P1602="","",IFERROR(IF(AND(H1602="W7",OR(F1602="causal",F1602="predictive")),IF(AND(K1602=1,L1602=1,M1602=1),"adequate","partial"),INDEX(Fit_Matrix!$B:$B,MATCH(P1602,Fit_Matrix!$A:$A,0))),"CHECK KEY"))</f>
        <v/>
      </c>
    </row>
    <row r="1603" customFormat="false" ht="15" hidden="false" customHeight="true" outlineLevel="0" collapsed="false">
      <c r="P1603" s="1" t="str">
        <f aca="false">IF(OR(F1603="",H1603="",J1603=""),"",J1603&amp;"|"&amp;F1603&amp;"|"&amp;IF(H1603="W3","W3_"&amp;IF(I1603="","unknown",I1603),H1603))</f>
        <v/>
      </c>
      <c r="Q1603" s="1" t="str">
        <f aca="false">IF(P1603="","",IFERROR(IF(AND(H1603="W7",OR(F1603="causal",F1603="predictive")),IF(AND(K1603=1,L1603=1,M1603=1),"adequate","partial"),INDEX(Fit_Matrix!$B:$B,MATCH(P1603,Fit_Matrix!$A:$A,0))),"CHECK KEY"))</f>
        <v/>
      </c>
    </row>
    <row r="1604" customFormat="false" ht="15" hidden="false" customHeight="true" outlineLevel="0" collapsed="false">
      <c r="P1604" s="1" t="str">
        <f aca="false">IF(OR(F1604="",H1604="",J1604=""),"",J1604&amp;"|"&amp;F1604&amp;"|"&amp;IF(H1604="W3","W3_"&amp;IF(I1604="","unknown",I1604),H1604))</f>
        <v/>
      </c>
      <c r="Q1604" s="1" t="str">
        <f aca="false">IF(P1604="","",IFERROR(IF(AND(H1604="W7",OR(F1604="causal",F1604="predictive")),IF(AND(K1604=1,L1604=1,M1604=1),"adequate","partial"),INDEX(Fit_Matrix!$B:$B,MATCH(P1604,Fit_Matrix!$A:$A,0))),"CHECK KEY"))</f>
        <v/>
      </c>
    </row>
    <row r="1605" customFormat="false" ht="15" hidden="false" customHeight="true" outlineLevel="0" collapsed="false">
      <c r="P1605" s="1" t="str">
        <f aca="false">IF(OR(F1605="",H1605="",J1605=""),"",J1605&amp;"|"&amp;F1605&amp;"|"&amp;IF(H1605="W3","W3_"&amp;IF(I1605="","unknown",I1605),H1605))</f>
        <v/>
      </c>
      <c r="Q1605" s="1" t="str">
        <f aca="false">IF(P1605="","",IFERROR(IF(AND(H1605="W7",OR(F1605="causal",F1605="predictive")),IF(AND(K1605=1,L1605=1,M1605=1),"adequate","partial"),INDEX(Fit_Matrix!$B:$B,MATCH(P1605,Fit_Matrix!$A:$A,0))),"CHECK KEY"))</f>
        <v/>
      </c>
    </row>
    <row r="1606" customFormat="false" ht="15" hidden="false" customHeight="true" outlineLevel="0" collapsed="false">
      <c r="P1606" s="1" t="str">
        <f aca="false">IF(OR(F1606="",H1606="",J1606=""),"",J1606&amp;"|"&amp;F1606&amp;"|"&amp;IF(H1606="W3","W3_"&amp;IF(I1606="","unknown",I1606),H1606))</f>
        <v/>
      </c>
      <c r="Q1606" s="1" t="str">
        <f aca="false">IF(P1606="","",IFERROR(IF(AND(H1606="W7",OR(F1606="causal",F1606="predictive")),IF(AND(K1606=1,L1606=1,M1606=1),"adequate","partial"),INDEX(Fit_Matrix!$B:$B,MATCH(P1606,Fit_Matrix!$A:$A,0))),"CHECK KEY"))</f>
        <v/>
      </c>
    </row>
    <row r="1607" customFormat="false" ht="15" hidden="false" customHeight="true" outlineLevel="0" collapsed="false">
      <c r="P1607" s="1" t="str">
        <f aca="false">IF(OR(F1607="",H1607="",J1607=""),"",J1607&amp;"|"&amp;F1607&amp;"|"&amp;IF(H1607="W3","W3_"&amp;IF(I1607="","unknown",I1607),H1607))</f>
        <v/>
      </c>
      <c r="Q1607" s="1" t="str">
        <f aca="false">IF(P1607="","",IFERROR(IF(AND(H1607="W7",OR(F1607="causal",F1607="predictive")),IF(AND(K1607=1,L1607=1,M1607=1),"adequate","partial"),INDEX(Fit_Matrix!$B:$B,MATCH(P1607,Fit_Matrix!$A:$A,0))),"CHECK KEY"))</f>
        <v/>
      </c>
    </row>
    <row r="1608" customFormat="false" ht="15" hidden="false" customHeight="true" outlineLevel="0" collapsed="false">
      <c r="P1608" s="1" t="str">
        <f aca="false">IF(OR(F1608="",H1608="",J1608=""),"",J1608&amp;"|"&amp;F1608&amp;"|"&amp;IF(H1608="W3","W3_"&amp;IF(I1608="","unknown",I1608),H1608))</f>
        <v/>
      </c>
      <c r="Q1608" s="1" t="str">
        <f aca="false">IF(P1608="","",IFERROR(IF(AND(H1608="W7",OR(F1608="causal",F1608="predictive")),IF(AND(K1608=1,L1608=1,M1608=1),"adequate","partial"),INDEX(Fit_Matrix!$B:$B,MATCH(P1608,Fit_Matrix!$A:$A,0))),"CHECK KEY"))</f>
        <v/>
      </c>
    </row>
    <row r="1609" customFormat="false" ht="15" hidden="false" customHeight="true" outlineLevel="0" collapsed="false">
      <c r="P1609" s="1" t="str">
        <f aca="false">IF(OR(F1609="",H1609="",J1609=""),"",J1609&amp;"|"&amp;F1609&amp;"|"&amp;IF(H1609="W3","W3_"&amp;IF(I1609="","unknown",I1609),H1609))</f>
        <v/>
      </c>
      <c r="Q1609" s="1" t="str">
        <f aca="false">IF(P1609="","",IFERROR(IF(AND(H1609="W7",OR(F1609="causal",F1609="predictive")),IF(AND(K1609=1,L1609=1,M1609=1),"adequate","partial"),INDEX(Fit_Matrix!$B:$B,MATCH(P1609,Fit_Matrix!$A:$A,0))),"CHECK KEY"))</f>
        <v/>
      </c>
    </row>
    <row r="1610" customFormat="false" ht="15" hidden="false" customHeight="true" outlineLevel="0" collapsed="false">
      <c r="P1610" s="1" t="str">
        <f aca="false">IF(OR(F1610="",H1610="",J1610=""),"",J1610&amp;"|"&amp;F1610&amp;"|"&amp;IF(H1610="W3","W3_"&amp;IF(I1610="","unknown",I1610),H1610))</f>
        <v/>
      </c>
      <c r="Q1610" s="1" t="str">
        <f aca="false">IF(P1610="","",IFERROR(IF(AND(H1610="W7",OR(F1610="causal",F1610="predictive")),IF(AND(K1610=1,L1610=1,M1610=1),"adequate","partial"),INDEX(Fit_Matrix!$B:$B,MATCH(P1610,Fit_Matrix!$A:$A,0))),"CHECK KEY"))</f>
        <v/>
      </c>
    </row>
    <row r="1611" customFormat="false" ht="15" hidden="false" customHeight="true" outlineLevel="0" collapsed="false">
      <c r="P1611" s="1" t="str">
        <f aca="false">IF(OR(F1611="",H1611="",J1611=""),"",J1611&amp;"|"&amp;F1611&amp;"|"&amp;IF(H1611="W3","W3_"&amp;IF(I1611="","unknown",I1611),H1611))</f>
        <v/>
      </c>
      <c r="Q1611" s="1" t="str">
        <f aca="false">IF(P1611="","",IFERROR(IF(AND(H1611="W7",OR(F1611="causal",F1611="predictive")),IF(AND(K1611=1,L1611=1,M1611=1),"adequate","partial"),INDEX(Fit_Matrix!$B:$B,MATCH(P1611,Fit_Matrix!$A:$A,0))),"CHECK KEY"))</f>
        <v/>
      </c>
    </row>
    <row r="1612" customFormat="false" ht="15" hidden="false" customHeight="true" outlineLevel="0" collapsed="false">
      <c r="P1612" s="1" t="str">
        <f aca="false">IF(OR(F1612="",H1612="",J1612=""),"",J1612&amp;"|"&amp;F1612&amp;"|"&amp;IF(H1612="W3","W3_"&amp;IF(I1612="","unknown",I1612),H1612))</f>
        <v/>
      </c>
      <c r="Q1612" s="1" t="str">
        <f aca="false">IF(P1612="","",IFERROR(IF(AND(H1612="W7",OR(F1612="causal",F1612="predictive")),IF(AND(K1612=1,L1612=1,M1612=1),"adequate","partial"),INDEX(Fit_Matrix!$B:$B,MATCH(P1612,Fit_Matrix!$A:$A,0))),"CHECK KEY"))</f>
        <v/>
      </c>
    </row>
    <row r="1613" customFormat="false" ht="15" hidden="false" customHeight="true" outlineLevel="0" collapsed="false">
      <c r="P1613" s="1" t="str">
        <f aca="false">IF(OR(F1613="",H1613="",J1613=""),"",J1613&amp;"|"&amp;F1613&amp;"|"&amp;IF(H1613="W3","W3_"&amp;IF(I1613="","unknown",I1613),H1613))</f>
        <v/>
      </c>
      <c r="Q1613" s="1" t="str">
        <f aca="false">IF(P1613="","",IFERROR(IF(AND(H1613="W7",OR(F1613="causal",F1613="predictive")),IF(AND(K1613=1,L1613=1,M1613=1),"adequate","partial"),INDEX(Fit_Matrix!$B:$B,MATCH(P1613,Fit_Matrix!$A:$A,0))),"CHECK KEY"))</f>
        <v/>
      </c>
    </row>
    <row r="1614" customFormat="false" ht="15" hidden="false" customHeight="true" outlineLevel="0" collapsed="false">
      <c r="P1614" s="1" t="str">
        <f aca="false">IF(OR(F1614="",H1614="",J1614=""),"",J1614&amp;"|"&amp;F1614&amp;"|"&amp;IF(H1614="W3","W3_"&amp;IF(I1614="","unknown",I1614),H1614))</f>
        <v/>
      </c>
      <c r="Q1614" s="1" t="str">
        <f aca="false">IF(P1614="","",IFERROR(IF(AND(H1614="W7",OR(F1614="causal",F1614="predictive")),IF(AND(K1614=1,L1614=1,M1614=1),"adequate","partial"),INDEX(Fit_Matrix!$B:$B,MATCH(P1614,Fit_Matrix!$A:$A,0))),"CHECK KEY"))</f>
        <v/>
      </c>
    </row>
    <row r="1615" customFormat="false" ht="15" hidden="false" customHeight="true" outlineLevel="0" collapsed="false">
      <c r="P1615" s="1" t="str">
        <f aca="false">IF(OR(F1615="",H1615="",J1615=""),"",J1615&amp;"|"&amp;F1615&amp;"|"&amp;IF(H1615="W3","W3_"&amp;IF(I1615="","unknown",I1615),H1615))</f>
        <v/>
      </c>
      <c r="Q1615" s="1" t="str">
        <f aca="false">IF(P1615="","",IFERROR(IF(AND(H1615="W7",OR(F1615="causal",F1615="predictive")),IF(AND(K1615=1,L1615=1,M1615=1),"adequate","partial"),INDEX(Fit_Matrix!$B:$B,MATCH(P1615,Fit_Matrix!$A:$A,0))),"CHECK KEY"))</f>
        <v/>
      </c>
    </row>
    <row r="1616" customFormat="false" ht="15" hidden="false" customHeight="true" outlineLevel="0" collapsed="false">
      <c r="P1616" s="1" t="str">
        <f aca="false">IF(OR(F1616="",H1616="",J1616=""),"",J1616&amp;"|"&amp;F1616&amp;"|"&amp;IF(H1616="W3","W3_"&amp;IF(I1616="","unknown",I1616),H1616))</f>
        <v/>
      </c>
      <c r="Q1616" s="1" t="str">
        <f aca="false">IF(P1616="","",IFERROR(IF(AND(H1616="W7",OR(F1616="causal",F1616="predictive")),IF(AND(K1616=1,L1616=1,M1616=1),"adequate","partial"),INDEX(Fit_Matrix!$B:$B,MATCH(P1616,Fit_Matrix!$A:$A,0))),"CHECK KEY"))</f>
        <v/>
      </c>
    </row>
    <row r="1617" customFormat="false" ht="15" hidden="false" customHeight="true" outlineLevel="0" collapsed="false">
      <c r="P1617" s="1" t="str">
        <f aca="false">IF(OR(F1617="",H1617="",J1617=""),"",J1617&amp;"|"&amp;F1617&amp;"|"&amp;IF(H1617="W3","W3_"&amp;IF(I1617="","unknown",I1617),H1617))</f>
        <v/>
      </c>
      <c r="Q1617" s="1" t="str">
        <f aca="false">IF(P1617="","",IFERROR(IF(AND(H1617="W7",OR(F1617="causal",F1617="predictive")),IF(AND(K1617=1,L1617=1,M1617=1),"adequate","partial"),INDEX(Fit_Matrix!$B:$B,MATCH(P1617,Fit_Matrix!$A:$A,0))),"CHECK KEY"))</f>
        <v/>
      </c>
    </row>
    <row r="1618" customFormat="false" ht="15" hidden="false" customHeight="true" outlineLevel="0" collapsed="false">
      <c r="P1618" s="1" t="str">
        <f aca="false">IF(OR(F1618="",H1618="",J1618=""),"",J1618&amp;"|"&amp;F1618&amp;"|"&amp;IF(H1618="W3","W3_"&amp;IF(I1618="","unknown",I1618),H1618))</f>
        <v/>
      </c>
      <c r="Q1618" s="1" t="str">
        <f aca="false">IF(P1618="","",IFERROR(IF(AND(H1618="W7",OR(F1618="causal",F1618="predictive")),IF(AND(K1618=1,L1618=1,M1618=1),"adequate","partial"),INDEX(Fit_Matrix!$B:$B,MATCH(P1618,Fit_Matrix!$A:$A,0))),"CHECK KEY"))</f>
        <v/>
      </c>
    </row>
    <row r="1619" customFormat="false" ht="15" hidden="false" customHeight="true" outlineLevel="0" collapsed="false">
      <c r="P1619" s="1" t="str">
        <f aca="false">IF(OR(F1619="",H1619="",J1619=""),"",J1619&amp;"|"&amp;F1619&amp;"|"&amp;IF(H1619="W3","W3_"&amp;IF(I1619="","unknown",I1619),H1619))</f>
        <v/>
      </c>
      <c r="Q1619" s="1" t="str">
        <f aca="false">IF(P1619="","",IFERROR(IF(AND(H1619="W7",OR(F1619="causal",F1619="predictive")),IF(AND(K1619=1,L1619=1,M1619=1),"adequate","partial"),INDEX(Fit_Matrix!$B:$B,MATCH(P1619,Fit_Matrix!$A:$A,0))),"CHECK KEY"))</f>
        <v/>
      </c>
    </row>
    <row r="1620" customFormat="false" ht="15" hidden="false" customHeight="true" outlineLevel="0" collapsed="false">
      <c r="P1620" s="1" t="str">
        <f aca="false">IF(OR(F1620="",H1620="",J1620=""),"",J1620&amp;"|"&amp;F1620&amp;"|"&amp;IF(H1620="W3","W3_"&amp;IF(I1620="","unknown",I1620),H1620))</f>
        <v/>
      </c>
      <c r="Q1620" s="1" t="str">
        <f aca="false">IF(P1620="","",IFERROR(IF(AND(H1620="W7",OR(F1620="causal",F1620="predictive")),IF(AND(K1620=1,L1620=1,M1620=1),"adequate","partial"),INDEX(Fit_Matrix!$B:$B,MATCH(P1620,Fit_Matrix!$A:$A,0))),"CHECK KEY"))</f>
        <v/>
      </c>
    </row>
    <row r="1621" customFormat="false" ht="15" hidden="false" customHeight="true" outlineLevel="0" collapsed="false">
      <c r="P1621" s="1" t="str">
        <f aca="false">IF(OR(F1621="",H1621="",J1621=""),"",J1621&amp;"|"&amp;F1621&amp;"|"&amp;IF(H1621="W3","W3_"&amp;IF(I1621="","unknown",I1621),H1621))</f>
        <v/>
      </c>
      <c r="Q1621" s="1" t="str">
        <f aca="false">IF(P1621="","",IFERROR(IF(AND(H1621="W7",OR(F1621="causal",F1621="predictive")),IF(AND(K1621=1,L1621=1,M1621=1),"adequate","partial"),INDEX(Fit_Matrix!$B:$B,MATCH(P1621,Fit_Matrix!$A:$A,0))),"CHECK KEY"))</f>
        <v/>
      </c>
    </row>
    <row r="1622" customFormat="false" ht="15" hidden="false" customHeight="true" outlineLevel="0" collapsed="false">
      <c r="P1622" s="1" t="str">
        <f aca="false">IF(OR(F1622="",H1622="",J1622=""),"",J1622&amp;"|"&amp;F1622&amp;"|"&amp;IF(H1622="W3","W3_"&amp;IF(I1622="","unknown",I1622),H1622))</f>
        <v/>
      </c>
      <c r="Q1622" s="1" t="str">
        <f aca="false">IF(P1622="","",IFERROR(IF(AND(H1622="W7",OR(F1622="causal",F1622="predictive")),IF(AND(K1622=1,L1622=1,M1622=1),"adequate","partial"),INDEX(Fit_Matrix!$B:$B,MATCH(P1622,Fit_Matrix!$A:$A,0))),"CHECK KEY"))</f>
        <v/>
      </c>
    </row>
    <row r="1623" customFormat="false" ht="15" hidden="false" customHeight="true" outlineLevel="0" collapsed="false">
      <c r="P1623" s="1" t="str">
        <f aca="false">IF(OR(F1623="",H1623="",J1623=""),"",J1623&amp;"|"&amp;F1623&amp;"|"&amp;IF(H1623="W3","W3_"&amp;IF(I1623="","unknown",I1623),H1623))</f>
        <v/>
      </c>
      <c r="Q1623" s="1" t="str">
        <f aca="false">IF(P1623="","",IFERROR(IF(AND(H1623="W7",OR(F1623="causal",F1623="predictive")),IF(AND(K1623=1,L1623=1,M1623=1),"adequate","partial"),INDEX(Fit_Matrix!$B:$B,MATCH(P1623,Fit_Matrix!$A:$A,0))),"CHECK KEY"))</f>
        <v/>
      </c>
    </row>
    <row r="1624" customFormat="false" ht="15" hidden="false" customHeight="true" outlineLevel="0" collapsed="false">
      <c r="P1624" s="1" t="str">
        <f aca="false">IF(OR(F1624="",H1624="",J1624=""),"",J1624&amp;"|"&amp;F1624&amp;"|"&amp;IF(H1624="W3","W3_"&amp;IF(I1624="","unknown",I1624),H1624))</f>
        <v/>
      </c>
      <c r="Q1624" s="1" t="str">
        <f aca="false">IF(P1624="","",IFERROR(IF(AND(H1624="W7",OR(F1624="causal",F1624="predictive")),IF(AND(K1624=1,L1624=1,M1624=1),"adequate","partial"),INDEX(Fit_Matrix!$B:$B,MATCH(P1624,Fit_Matrix!$A:$A,0))),"CHECK KEY"))</f>
        <v/>
      </c>
    </row>
    <row r="1625" customFormat="false" ht="15" hidden="false" customHeight="true" outlineLevel="0" collapsed="false">
      <c r="P1625" s="1" t="str">
        <f aca="false">IF(OR(F1625="",H1625="",J1625=""),"",J1625&amp;"|"&amp;F1625&amp;"|"&amp;IF(H1625="W3","W3_"&amp;IF(I1625="","unknown",I1625),H1625))</f>
        <v/>
      </c>
      <c r="Q1625" s="1" t="str">
        <f aca="false">IF(P1625="","",IFERROR(IF(AND(H1625="W7",OR(F1625="causal",F1625="predictive")),IF(AND(K1625=1,L1625=1,M1625=1),"adequate","partial"),INDEX(Fit_Matrix!$B:$B,MATCH(P1625,Fit_Matrix!$A:$A,0))),"CHECK KEY"))</f>
        <v/>
      </c>
    </row>
    <row r="1626" customFormat="false" ht="15" hidden="false" customHeight="true" outlineLevel="0" collapsed="false">
      <c r="P1626" s="1" t="str">
        <f aca="false">IF(OR(F1626="",H1626="",J1626=""),"",J1626&amp;"|"&amp;F1626&amp;"|"&amp;IF(H1626="W3","W3_"&amp;IF(I1626="","unknown",I1626),H1626))</f>
        <v/>
      </c>
      <c r="Q1626" s="1" t="str">
        <f aca="false">IF(P1626="","",IFERROR(IF(AND(H1626="W7",OR(F1626="causal",F1626="predictive")),IF(AND(K1626=1,L1626=1,M1626=1),"adequate","partial"),INDEX(Fit_Matrix!$B:$B,MATCH(P1626,Fit_Matrix!$A:$A,0))),"CHECK KEY"))</f>
        <v/>
      </c>
    </row>
    <row r="1627" customFormat="false" ht="15" hidden="false" customHeight="true" outlineLevel="0" collapsed="false">
      <c r="P1627" s="1" t="str">
        <f aca="false">IF(OR(F1627="",H1627="",J1627=""),"",J1627&amp;"|"&amp;F1627&amp;"|"&amp;IF(H1627="W3","W3_"&amp;IF(I1627="","unknown",I1627),H1627))</f>
        <v/>
      </c>
      <c r="Q1627" s="1" t="str">
        <f aca="false">IF(P1627="","",IFERROR(IF(AND(H1627="W7",OR(F1627="causal",F1627="predictive")),IF(AND(K1627=1,L1627=1,M1627=1),"adequate","partial"),INDEX(Fit_Matrix!$B:$B,MATCH(P1627,Fit_Matrix!$A:$A,0))),"CHECK KEY"))</f>
        <v/>
      </c>
    </row>
    <row r="1628" customFormat="false" ht="15" hidden="false" customHeight="true" outlineLevel="0" collapsed="false">
      <c r="P1628" s="1" t="str">
        <f aca="false">IF(OR(F1628="",H1628="",J1628=""),"",J1628&amp;"|"&amp;F1628&amp;"|"&amp;IF(H1628="W3","W3_"&amp;IF(I1628="","unknown",I1628),H1628))</f>
        <v/>
      </c>
      <c r="Q1628" s="1" t="str">
        <f aca="false">IF(P1628="","",IFERROR(IF(AND(H1628="W7",OR(F1628="causal",F1628="predictive")),IF(AND(K1628=1,L1628=1,M1628=1),"adequate","partial"),INDEX(Fit_Matrix!$B:$B,MATCH(P1628,Fit_Matrix!$A:$A,0))),"CHECK KEY"))</f>
        <v/>
      </c>
    </row>
    <row r="1629" customFormat="false" ht="15" hidden="false" customHeight="true" outlineLevel="0" collapsed="false">
      <c r="P1629" s="1" t="str">
        <f aca="false">IF(OR(F1629="",H1629="",J1629=""),"",J1629&amp;"|"&amp;F1629&amp;"|"&amp;IF(H1629="W3","W3_"&amp;IF(I1629="","unknown",I1629),H1629))</f>
        <v/>
      </c>
      <c r="Q1629" s="1" t="str">
        <f aca="false">IF(P1629="","",IFERROR(IF(AND(H1629="W7",OR(F1629="causal",F1629="predictive")),IF(AND(K1629=1,L1629=1,M1629=1),"adequate","partial"),INDEX(Fit_Matrix!$B:$B,MATCH(P1629,Fit_Matrix!$A:$A,0))),"CHECK KEY"))</f>
        <v/>
      </c>
    </row>
    <row r="1630" customFormat="false" ht="15" hidden="false" customHeight="true" outlineLevel="0" collapsed="false">
      <c r="P1630" s="1" t="str">
        <f aca="false">IF(OR(F1630="",H1630="",J1630=""),"",J1630&amp;"|"&amp;F1630&amp;"|"&amp;IF(H1630="W3","W3_"&amp;IF(I1630="","unknown",I1630),H1630))</f>
        <v/>
      </c>
      <c r="Q1630" s="1" t="str">
        <f aca="false">IF(P1630="","",IFERROR(IF(AND(H1630="W7",OR(F1630="causal",F1630="predictive")),IF(AND(K1630=1,L1630=1,M1630=1),"adequate","partial"),INDEX(Fit_Matrix!$B:$B,MATCH(P1630,Fit_Matrix!$A:$A,0))),"CHECK KEY"))</f>
        <v/>
      </c>
    </row>
    <row r="1631" customFormat="false" ht="15" hidden="false" customHeight="true" outlineLevel="0" collapsed="false">
      <c r="P1631" s="1" t="str">
        <f aca="false">IF(OR(F1631="",H1631="",J1631=""),"",J1631&amp;"|"&amp;F1631&amp;"|"&amp;IF(H1631="W3","W3_"&amp;IF(I1631="","unknown",I1631),H1631))</f>
        <v/>
      </c>
      <c r="Q1631" s="1" t="str">
        <f aca="false">IF(P1631="","",IFERROR(IF(AND(H1631="W7",OR(F1631="causal",F1631="predictive")),IF(AND(K1631=1,L1631=1,M1631=1),"adequate","partial"),INDEX(Fit_Matrix!$B:$B,MATCH(P1631,Fit_Matrix!$A:$A,0))),"CHECK KEY"))</f>
        <v/>
      </c>
    </row>
    <row r="1632" customFormat="false" ht="15" hidden="false" customHeight="true" outlineLevel="0" collapsed="false">
      <c r="P1632" s="1" t="str">
        <f aca="false">IF(OR(F1632="",H1632="",J1632=""),"",J1632&amp;"|"&amp;F1632&amp;"|"&amp;IF(H1632="W3","W3_"&amp;IF(I1632="","unknown",I1632),H1632))</f>
        <v/>
      </c>
      <c r="Q1632" s="1" t="str">
        <f aca="false">IF(P1632="","",IFERROR(IF(AND(H1632="W7",OR(F1632="causal",F1632="predictive")),IF(AND(K1632=1,L1632=1,M1632=1),"adequate","partial"),INDEX(Fit_Matrix!$B:$B,MATCH(P1632,Fit_Matrix!$A:$A,0))),"CHECK KEY"))</f>
        <v/>
      </c>
    </row>
    <row r="1633" customFormat="false" ht="15" hidden="false" customHeight="true" outlineLevel="0" collapsed="false">
      <c r="P1633" s="1" t="str">
        <f aca="false">IF(OR(F1633="",H1633="",J1633=""),"",J1633&amp;"|"&amp;F1633&amp;"|"&amp;IF(H1633="W3","W3_"&amp;IF(I1633="","unknown",I1633),H1633))</f>
        <v/>
      </c>
      <c r="Q1633" s="1" t="str">
        <f aca="false">IF(P1633="","",IFERROR(IF(AND(H1633="W7",OR(F1633="causal",F1633="predictive")),IF(AND(K1633=1,L1633=1,M1633=1),"adequate","partial"),INDEX(Fit_Matrix!$B:$B,MATCH(P1633,Fit_Matrix!$A:$A,0))),"CHECK KEY"))</f>
        <v/>
      </c>
    </row>
    <row r="1634" customFormat="false" ht="15" hidden="false" customHeight="true" outlineLevel="0" collapsed="false">
      <c r="P1634" s="1" t="str">
        <f aca="false">IF(OR(F1634="",H1634="",J1634=""),"",J1634&amp;"|"&amp;F1634&amp;"|"&amp;IF(H1634="W3","W3_"&amp;IF(I1634="","unknown",I1634),H1634))</f>
        <v/>
      </c>
      <c r="Q1634" s="1" t="str">
        <f aca="false">IF(P1634="","",IFERROR(IF(AND(H1634="W7",OR(F1634="causal",F1634="predictive")),IF(AND(K1634=1,L1634=1,M1634=1),"adequate","partial"),INDEX(Fit_Matrix!$B:$B,MATCH(P1634,Fit_Matrix!$A:$A,0))),"CHECK KEY"))</f>
        <v/>
      </c>
    </row>
    <row r="1635" customFormat="false" ht="15" hidden="false" customHeight="true" outlineLevel="0" collapsed="false">
      <c r="P1635" s="1" t="str">
        <f aca="false">IF(OR(F1635="",H1635="",J1635=""),"",J1635&amp;"|"&amp;F1635&amp;"|"&amp;IF(H1635="W3","W3_"&amp;IF(I1635="","unknown",I1635),H1635))</f>
        <v/>
      </c>
      <c r="Q1635" s="1" t="str">
        <f aca="false">IF(P1635="","",IFERROR(IF(AND(H1635="W7",OR(F1635="causal",F1635="predictive")),IF(AND(K1635=1,L1635=1,M1635=1),"adequate","partial"),INDEX(Fit_Matrix!$B:$B,MATCH(P1635,Fit_Matrix!$A:$A,0))),"CHECK KEY"))</f>
        <v/>
      </c>
    </row>
    <row r="1636" customFormat="false" ht="15" hidden="false" customHeight="true" outlineLevel="0" collapsed="false">
      <c r="P1636" s="1" t="str">
        <f aca="false">IF(OR(F1636="",H1636="",J1636=""),"",J1636&amp;"|"&amp;F1636&amp;"|"&amp;IF(H1636="W3","W3_"&amp;IF(I1636="","unknown",I1636),H1636))</f>
        <v/>
      </c>
      <c r="Q1636" s="1" t="str">
        <f aca="false">IF(P1636="","",IFERROR(IF(AND(H1636="W7",OR(F1636="causal",F1636="predictive")),IF(AND(K1636=1,L1636=1,M1636=1),"adequate","partial"),INDEX(Fit_Matrix!$B:$B,MATCH(P1636,Fit_Matrix!$A:$A,0))),"CHECK KEY"))</f>
        <v/>
      </c>
    </row>
    <row r="1637" customFormat="false" ht="15" hidden="false" customHeight="true" outlineLevel="0" collapsed="false">
      <c r="P1637" s="1" t="str">
        <f aca="false">IF(OR(F1637="",H1637="",J1637=""),"",J1637&amp;"|"&amp;F1637&amp;"|"&amp;IF(H1637="W3","W3_"&amp;IF(I1637="","unknown",I1637),H1637))</f>
        <v/>
      </c>
      <c r="Q1637" s="1" t="str">
        <f aca="false">IF(P1637="","",IFERROR(IF(AND(H1637="W7",OR(F1637="causal",F1637="predictive")),IF(AND(K1637=1,L1637=1,M1637=1),"adequate","partial"),INDEX(Fit_Matrix!$B:$B,MATCH(P1637,Fit_Matrix!$A:$A,0))),"CHECK KEY"))</f>
        <v/>
      </c>
    </row>
    <row r="1638" customFormat="false" ht="15" hidden="false" customHeight="true" outlineLevel="0" collapsed="false">
      <c r="P1638" s="1" t="str">
        <f aca="false">IF(OR(F1638="",H1638="",J1638=""),"",J1638&amp;"|"&amp;F1638&amp;"|"&amp;IF(H1638="W3","W3_"&amp;IF(I1638="","unknown",I1638),H1638))</f>
        <v/>
      </c>
      <c r="Q1638" s="1" t="str">
        <f aca="false">IF(P1638="","",IFERROR(IF(AND(H1638="W7",OR(F1638="causal",F1638="predictive")),IF(AND(K1638=1,L1638=1,M1638=1),"adequate","partial"),INDEX(Fit_Matrix!$B:$B,MATCH(P1638,Fit_Matrix!$A:$A,0))),"CHECK KEY"))</f>
        <v/>
      </c>
    </row>
    <row r="1639" customFormat="false" ht="15" hidden="false" customHeight="true" outlineLevel="0" collapsed="false">
      <c r="P1639" s="1" t="str">
        <f aca="false">IF(OR(F1639="",H1639="",J1639=""),"",J1639&amp;"|"&amp;F1639&amp;"|"&amp;IF(H1639="W3","W3_"&amp;IF(I1639="","unknown",I1639),H1639))</f>
        <v/>
      </c>
      <c r="Q1639" s="1" t="str">
        <f aca="false">IF(P1639="","",IFERROR(IF(AND(H1639="W7",OR(F1639="causal",F1639="predictive")),IF(AND(K1639=1,L1639=1,M1639=1),"adequate","partial"),INDEX(Fit_Matrix!$B:$B,MATCH(P1639,Fit_Matrix!$A:$A,0))),"CHECK KEY"))</f>
        <v/>
      </c>
    </row>
    <row r="1640" customFormat="false" ht="15" hidden="false" customHeight="true" outlineLevel="0" collapsed="false">
      <c r="P1640" s="1" t="str">
        <f aca="false">IF(OR(F1640="",H1640="",J1640=""),"",J1640&amp;"|"&amp;F1640&amp;"|"&amp;IF(H1640="W3","W3_"&amp;IF(I1640="","unknown",I1640),H1640))</f>
        <v/>
      </c>
      <c r="Q1640" s="1" t="str">
        <f aca="false">IF(P1640="","",IFERROR(IF(AND(H1640="W7",OR(F1640="causal",F1640="predictive")),IF(AND(K1640=1,L1640=1,M1640=1),"adequate","partial"),INDEX(Fit_Matrix!$B:$B,MATCH(P1640,Fit_Matrix!$A:$A,0))),"CHECK KEY"))</f>
        <v/>
      </c>
    </row>
    <row r="1641" customFormat="false" ht="15" hidden="false" customHeight="true" outlineLevel="0" collapsed="false">
      <c r="P1641" s="1" t="str">
        <f aca="false">IF(OR(F1641="",H1641="",J1641=""),"",J1641&amp;"|"&amp;F1641&amp;"|"&amp;IF(H1641="W3","W3_"&amp;IF(I1641="","unknown",I1641),H1641))</f>
        <v/>
      </c>
      <c r="Q1641" s="1" t="str">
        <f aca="false">IF(P1641="","",IFERROR(IF(AND(H1641="W7",OR(F1641="causal",F1641="predictive")),IF(AND(K1641=1,L1641=1,M1641=1),"adequate","partial"),INDEX(Fit_Matrix!$B:$B,MATCH(P1641,Fit_Matrix!$A:$A,0))),"CHECK KEY"))</f>
        <v/>
      </c>
    </row>
    <row r="1642" customFormat="false" ht="15" hidden="false" customHeight="true" outlineLevel="0" collapsed="false">
      <c r="P1642" s="1" t="str">
        <f aca="false">IF(OR(F1642="",H1642="",J1642=""),"",J1642&amp;"|"&amp;F1642&amp;"|"&amp;IF(H1642="W3","W3_"&amp;IF(I1642="","unknown",I1642),H1642))</f>
        <v/>
      </c>
      <c r="Q1642" s="1" t="str">
        <f aca="false">IF(P1642="","",IFERROR(IF(AND(H1642="W7",OR(F1642="causal",F1642="predictive")),IF(AND(K1642=1,L1642=1,M1642=1),"adequate","partial"),INDEX(Fit_Matrix!$B:$B,MATCH(P1642,Fit_Matrix!$A:$A,0))),"CHECK KEY"))</f>
        <v/>
      </c>
    </row>
    <row r="1643" customFormat="false" ht="15" hidden="false" customHeight="true" outlineLevel="0" collapsed="false">
      <c r="P1643" s="1" t="str">
        <f aca="false">IF(OR(F1643="",H1643="",J1643=""),"",J1643&amp;"|"&amp;F1643&amp;"|"&amp;IF(H1643="W3","W3_"&amp;IF(I1643="","unknown",I1643),H1643))</f>
        <v/>
      </c>
      <c r="Q1643" s="1" t="str">
        <f aca="false">IF(P1643="","",IFERROR(IF(AND(H1643="W7",OR(F1643="causal",F1643="predictive")),IF(AND(K1643=1,L1643=1,M1643=1),"adequate","partial"),INDEX(Fit_Matrix!$B:$B,MATCH(P1643,Fit_Matrix!$A:$A,0))),"CHECK KEY"))</f>
        <v/>
      </c>
    </row>
    <row r="1644" customFormat="false" ht="15" hidden="false" customHeight="true" outlineLevel="0" collapsed="false">
      <c r="P1644" s="1" t="str">
        <f aca="false">IF(OR(F1644="",H1644="",J1644=""),"",J1644&amp;"|"&amp;F1644&amp;"|"&amp;IF(H1644="W3","W3_"&amp;IF(I1644="","unknown",I1644),H1644))</f>
        <v/>
      </c>
      <c r="Q1644" s="1" t="str">
        <f aca="false">IF(P1644="","",IFERROR(IF(AND(H1644="W7",OR(F1644="causal",F1644="predictive")),IF(AND(K1644=1,L1644=1,M1644=1),"adequate","partial"),INDEX(Fit_Matrix!$B:$B,MATCH(P1644,Fit_Matrix!$A:$A,0))),"CHECK KEY"))</f>
        <v/>
      </c>
    </row>
    <row r="1645" customFormat="false" ht="15" hidden="false" customHeight="true" outlineLevel="0" collapsed="false">
      <c r="P1645" s="1" t="str">
        <f aca="false">IF(OR(F1645="",H1645="",J1645=""),"",J1645&amp;"|"&amp;F1645&amp;"|"&amp;IF(H1645="W3","W3_"&amp;IF(I1645="","unknown",I1645),H1645))</f>
        <v/>
      </c>
      <c r="Q1645" s="1" t="str">
        <f aca="false">IF(P1645="","",IFERROR(IF(AND(H1645="W7",OR(F1645="causal",F1645="predictive")),IF(AND(K1645=1,L1645=1,M1645=1),"adequate","partial"),INDEX(Fit_Matrix!$B:$B,MATCH(P1645,Fit_Matrix!$A:$A,0))),"CHECK KEY"))</f>
        <v/>
      </c>
    </row>
    <row r="1646" customFormat="false" ht="15" hidden="false" customHeight="true" outlineLevel="0" collapsed="false">
      <c r="P1646" s="1" t="str">
        <f aca="false">IF(OR(F1646="",H1646="",J1646=""),"",J1646&amp;"|"&amp;F1646&amp;"|"&amp;IF(H1646="W3","W3_"&amp;IF(I1646="","unknown",I1646),H1646))</f>
        <v/>
      </c>
      <c r="Q1646" s="1" t="str">
        <f aca="false">IF(P1646="","",IFERROR(IF(AND(H1646="W7",OR(F1646="causal",F1646="predictive")),IF(AND(K1646=1,L1646=1,M1646=1),"adequate","partial"),INDEX(Fit_Matrix!$B:$B,MATCH(P1646,Fit_Matrix!$A:$A,0))),"CHECK KEY"))</f>
        <v/>
      </c>
    </row>
    <row r="1647" customFormat="false" ht="15" hidden="false" customHeight="true" outlineLevel="0" collapsed="false">
      <c r="P1647" s="1" t="str">
        <f aca="false">IF(OR(F1647="",H1647="",J1647=""),"",J1647&amp;"|"&amp;F1647&amp;"|"&amp;IF(H1647="W3","W3_"&amp;IF(I1647="","unknown",I1647),H1647))</f>
        <v/>
      </c>
      <c r="Q1647" s="1" t="str">
        <f aca="false">IF(P1647="","",IFERROR(IF(AND(H1647="W7",OR(F1647="causal",F1647="predictive")),IF(AND(K1647=1,L1647=1,M1647=1),"adequate","partial"),INDEX(Fit_Matrix!$B:$B,MATCH(P1647,Fit_Matrix!$A:$A,0))),"CHECK KEY"))</f>
        <v/>
      </c>
    </row>
    <row r="1648" customFormat="false" ht="15" hidden="false" customHeight="true" outlineLevel="0" collapsed="false">
      <c r="P1648" s="1" t="str">
        <f aca="false">IF(OR(F1648="",H1648="",J1648=""),"",J1648&amp;"|"&amp;F1648&amp;"|"&amp;IF(H1648="W3","W3_"&amp;IF(I1648="","unknown",I1648),H1648))</f>
        <v/>
      </c>
      <c r="Q1648" s="1" t="str">
        <f aca="false">IF(P1648="","",IFERROR(IF(AND(H1648="W7",OR(F1648="causal",F1648="predictive")),IF(AND(K1648=1,L1648=1,M1648=1),"adequate","partial"),INDEX(Fit_Matrix!$B:$B,MATCH(P1648,Fit_Matrix!$A:$A,0))),"CHECK KEY"))</f>
        <v/>
      </c>
    </row>
    <row r="1649" customFormat="false" ht="15" hidden="false" customHeight="true" outlineLevel="0" collapsed="false">
      <c r="P1649" s="1" t="str">
        <f aca="false">IF(OR(F1649="",H1649="",J1649=""),"",J1649&amp;"|"&amp;F1649&amp;"|"&amp;IF(H1649="W3","W3_"&amp;IF(I1649="","unknown",I1649),H1649))</f>
        <v/>
      </c>
      <c r="Q1649" s="1" t="str">
        <f aca="false">IF(P1649="","",IFERROR(IF(AND(H1649="W7",OR(F1649="causal",F1649="predictive")),IF(AND(K1649=1,L1649=1,M1649=1),"adequate","partial"),INDEX(Fit_Matrix!$B:$B,MATCH(P1649,Fit_Matrix!$A:$A,0))),"CHECK KEY"))</f>
        <v/>
      </c>
    </row>
    <row r="1650" customFormat="false" ht="15" hidden="false" customHeight="true" outlineLevel="0" collapsed="false">
      <c r="P1650" s="1" t="str">
        <f aca="false">IF(OR(F1650="",H1650="",J1650=""),"",J1650&amp;"|"&amp;F1650&amp;"|"&amp;IF(H1650="W3","W3_"&amp;IF(I1650="","unknown",I1650),H1650))</f>
        <v/>
      </c>
      <c r="Q1650" s="1" t="str">
        <f aca="false">IF(P1650="","",IFERROR(IF(AND(H1650="W7",OR(F1650="causal",F1650="predictive")),IF(AND(K1650=1,L1650=1,M1650=1),"adequate","partial"),INDEX(Fit_Matrix!$B:$B,MATCH(P1650,Fit_Matrix!$A:$A,0))),"CHECK KEY"))</f>
        <v/>
      </c>
    </row>
    <row r="1651" customFormat="false" ht="15" hidden="false" customHeight="true" outlineLevel="0" collapsed="false">
      <c r="P1651" s="1" t="str">
        <f aca="false">IF(OR(F1651="",H1651="",J1651=""),"",J1651&amp;"|"&amp;F1651&amp;"|"&amp;IF(H1651="W3","W3_"&amp;IF(I1651="","unknown",I1651),H1651))</f>
        <v/>
      </c>
      <c r="Q1651" s="1" t="str">
        <f aca="false">IF(P1651="","",IFERROR(IF(AND(H1651="W7",OR(F1651="causal",F1651="predictive")),IF(AND(K1651=1,L1651=1,M1651=1),"adequate","partial"),INDEX(Fit_Matrix!$B:$B,MATCH(P1651,Fit_Matrix!$A:$A,0))),"CHECK KEY"))</f>
        <v/>
      </c>
    </row>
    <row r="1652" customFormat="false" ht="15" hidden="false" customHeight="true" outlineLevel="0" collapsed="false">
      <c r="P1652" s="1" t="str">
        <f aca="false">IF(OR(F1652="",H1652="",J1652=""),"",J1652&amp;"|"&amp;F1652&amp;"|"&amp;IF(H1652="W3","W3_"&amp;IF(I1652="","unknown",I1652),H1652))</f>
        <v/>
      </c>
      <c r="Q1652" s="1" t="str">
        <f aca="false">IF(P1652="","",IFERROR(IF(AND(H1652="W7",OR(F1652="causal",F1652="predictive")),IF(AND(K1652=1,L1652=1,M1652=1),"adequate","partial"),INDEX(Fit_Matrix!$B:$B,MATCH(P1652,Fit_Matrix!$A:$A,0))),"CHECK KEY"))</f>
        <v/>
      </c>
    </row>
    <row r="1653" customFormat="false" ht="15" hidden="false" customHeight="true" outlineLevel="0" collapsed="false">
      <c r="P1653" s="1" t="str">
        <f aca="false">IF(OR(F1653="",H1653="",J1653=""),"",J1653&amp;"|"&amp;F1653&amp;"|"&amp;IF(H1653="W3","W3_"&amp;IF(I1653="","unknown",I1653),H1653))</f>
        <v/>
      </c>
      <c r="Q1653" s="1" t="str">
        <f aca="false">IF(P1653="","",IFERROR(IF(AND(H1653="W7",OR(F1653="causal",F1653="predictive")),IF(AND(K1653=1,L1653=1,M1653=1),"adequate","partial"),INDEX(Fit_Matrix!$B:$B,MATCH(P1653,Fit_Matrix!$A:$A,0))),"CHECK KEY"))</f>
        <v/>
      </c>
    </row>
    <row r="1654" customFormat="false" ht="15" hidden="false" customHeight="true" outlineLevel="0" collapsed="false">
      <c r="P1654" s="1" t="str">
        <f aca="false">IF(OR(F1654="",H1654="",J1654=""),"",J1654&amp;"|"&amp;F1654&amp;"|"&amp;IF(H1654="W3","W3_"&amp;IF(I1654="","unknown",I1654),H1654))</f>
        <v/>
      </c>
      <c r="Q1654" s="1" t="str">
        <f aca="false">IF(P1654="","",IFERROR(IF(AND(H1654="W7",OR(F1654="causal",F1654="predictive")),IF(AND(K1654=1,L1654=1,M1654=1),"adequate","partial"),INDEX(Fit_Matrix!$B:$B,MATCH(P1654,Fit_Matrix!$A:$A,0))),"CHECK KEY"))</f>
        <v/>
      </c>
    </row>
    <row r="1655" customFormat="false" ht="15" hidden="false" customHeight="true" outlineLevel="0" collapsed="false">
      <c r="P1655" s="1" t="str">
        <f aca="false">IF(OR(F1655="",H1655="",J1655=""),"",J1655&amp;"|"&amp;F1655&amp;"|"&amp;IF(H1655="W3","W3_"&amp;IF(I1655="","unknown",I1655),H1655))</f>
        <v/>
      </c>
      <c r="Q1655" s="1" t="str">
        <f aca="false">IF(P1655="","",IFERROR(IF(AND(H1655="W7",OR(F1655="causal",F1655="predictive")),IF(AND(K1655=1,L1655=1,M1655=1),"adequate","partial"),INDEX(Fit_Matrix!$B:$B,MATCH(P1655,Fit_Matrix!$A:$A,0))),"CHECK KEY"))</f>
        <v/>
      </c>
    </row>
    <row r="1656" customFormat="false" ht="15" hidden="false" customHeight="true" outlineLevel="0" collapsed="false">
      <c r="P1656" s="1" t="str">
        <f aca="false">IF(OR(F1656="",H1656="",J1656=""),"",J1656&amp;"|"&amp;F1656&amp;"|"&amp;IF(H1656="W3","W3_"&amp;IF(I1656="","unknown",I1656),H1656))</f>
        <v/>
      </c>
      <c r="Q1656" s="1" t="str">
        <f aca="false">IF(P1656="","",IFERROR(IF(AND(H1656="W7",OR(F1656="causal",F1656="predictive")),IF(AND(K1656=1,L1656=1,M1656=1),"adequate","partial"),INDEX(Fit_Matrix!$B:$B,MATCH(P1656,Fit_Matrix!$A:$A,0))),"CHECK KEY"))</f>
        <v/>
      </c>
    </row>
    <row r="1657" customFormat="false" ht="15" hidden="false" customHeight="true" outlineLevel="0" collapsed="false">
      <c r="P1657" s="1" t="str">
        <f aca="false">IF(OR(F1657="",H1657="",J1657=""),"",J1657&amp;"|"&amp;F1657&amp;"|"&amp;IF(H1657="W3","W3_"&amp;IF(I1657="","unknown",I1657),H1657))</f>
        <v/>
      </c>
      <c r="Q1657" s="1" t="str">
        <f aca="false">IF(P1657="","",IFERROR(IF(AND(H1657="W7",OR(F1657="causal",F1657="predictive")),IF(AND(K1657=1,L1657=1,M1657=1),"adequate","partial"),INDEX(Fit_Matrix!$B:$B,MATCH(P1657,Fit_Matrix!$A:$A,0))),"CHECK KEY"))</f>
        <v/>
      </c>
    </row>
    <row r="1658" customFormat="false" ht="15" hidden="false" customHeight="true" outlineLevel="0" collapsed="false">
      <c r="P1658" s="1" t="str">
        <f aca="false">IF(OR(F1658="",H1658="",J1658=""),"",J1658&amp;"|"&amp;F1658&amp;"|"&amp;IF(H1658="W3","W3_"&amp;IF(I1658="","unknown",I1658),H1658))</f>
        <v/>
      </c>
      <c r="Q1658" s="1" t="str">
        <f aca="false">IF(P1658="","",IFERROR(IF(AND(H1658="W7",OR(F1658="causal",F1658="predictive")),IF(AND(K1658=1,L1658=1,M1658=1),"adequate","partial"),INDEX(Fit_Matrix!$B:$B,MATCH(P1658,Fit_Matrix!$A:$A,0))),"CHECK KEY"))</f>
        <v/>
      </c>
    </row>
    <row r="1659" customFormat="false" ht="15" hidden="false" customHeight="true" outlineLevel="0" collapsed="false">
      <c r="P1659" s="1" t="str">
        <f aca="false">IF(OR(F1659="",H1659="",J1659=""),"",J1659&amp;"|"&amp;F1659&amp;"|"&amp;IF(H1659="W3","W3_"&amp;IF(I1659="","unknown",I1659),H1659))</f>
        <v/>
      </c>
      <c r="Q1659" s="1" t="str">
        <f aca="false">IF(P1659="","",IFERROR(IF(AND(H1659="W7",OR(F1659="causal",F1659="predictive")),IF(AND(K1659=1,L1659=1,M1659=1),"adequate","partial"),INDEX(Fit_Matrix!$B:$B,MATCH(P1659,Fit_Matrix!$A:$A,0))),"CHECK KEY"))</f>
        <v/>
      </c>
    </row>
    <row r="1660" customFormat="false" ht="15" hidden="false" customHeight="true" outlineLevel="0" collapsed="false">
      <c r="P1660" s="1" t="str">
        <f aca="false">IF(OR(F1660="",H1660="",J1660=""),"",J1660&amp;"|"&amp;F1660&amp;"|"&amp;IF(H1660="W3","W3_"&amp;IF(I1660="","unknown",I1660),H1660))</f>
        <v/>
      </c>
      <c r="Q1660" s="1" t="str">
        <f aca="false">IF(P1660="","",IFERROR(IF(AND(H1660="W7",OR(F1660="causal",F1660="predictive")),IF(AND(K1660=1,L1660=1,M1660=1),"adequate","partial"),INDEX(Fit_Matrix!$B:$B,MATCH(P1660,Fit_Matrix!$A:$A,0))),"CHECK KEY"))</f>
        <v/>
      </c>
    </row>
    <row r="1661" customFormat="false" ht="15" hidden="false" customHeight="true" outlineLevel="0" collapsed="false">
      <c r="P1661" s="1" t="str">
        <f aca="false">IF(OR(F1661="",H1661="",J1661=""),"",J1661&amp;"|"&amp;F1661&amp;"|"&amp;IF(H1661="W3","W3_"&amp;IF(I1661="","unknown",I1661),H1661))</f>
        <v/>
      </c>
      <c r="Q1661" s="1" t="str">
        <f aca="false">IF(P1661="","",IFERROR(IF(AND(H1661="W7",OR(F1661="causal",F1661="predictive")),IF(AND(K1661=1,L1661=1,M1661=1),"adequate","partial"),INDEX(Fit_Matrix!$B:$B,MATCH(P1661,Fit_Matrix!$A:$A,0))),"CHECK KEY"))</f>
        <v/>
      </c>
    </row>
    <row r="1662" customFormat="false" ht="15" hidden="false" customHeight="true" outlineLevel="0" collapsed="false">
      <c r="P1662" s="1" t="str">
        <f aca="false">IF(OR(F1662="",H1662="",J1662=""),"",J1662&amp;"|"&amp;F1662&amp;"|"&amp;IF(H1662="W3","W3_"&amp;IF(I1662="","unknown",I1662),H1662))</f>
        <v/>
      </c>
      <c r="Q1662" s="1" t="str">
        <f aca="false">IF(P1662="","",IFERROR(IF(AND(H1662="W7",OR(F1662="causal",F1662="predictive")),IF(AND(K1662=1,L1662=1,M1662=1),"adequate","partial"),INDEX(Fit_Matrix!$B:$B,MATCH(P1662,Fit_Matrix!$A:$A,0))),"CHECK KEY"))</f>
        <v/>
      </c>
    </row>
    <row r="1663" customFormat="false" ht="15" hidden="false" customHeight="true" outlineLevel="0" collapsed="false">
      <c r="P1663" s="1" t="str">
        <f aca="false">IF(OR(F1663="",H1663="",J1663=""),"",J1663&amp;"|"&amp;F1663&amp;"|"&amp;IF(H1663="W3","W3_"&amp;IF(I1663="","unknown",I1663),H1663))</f>
        <v/>
      </c>
      <c r="Q1663" s="1" t="str">
        <f aca="false">IF(P1663="","",IFERROR(IF(AND(H1663="W7",OR(F1663="causal",F1663="predictive")),IF(AND(K1663=1,L1663=1,M1663=1),"adequate","partial"),INDEX(Fit_Matrix!$B:$B,MATCH(P1663,Fit_Matrix!$A:$A,0))),"CHECK KEY"))</f>
        <v/>
      </c>
    </row>
    <row r="1664" customFormat="false" ht="15" hidden="false" customHeight="true" outlineLevel="0" collapsed="false">
      <c r="P1664" s="1" t="str">
        <f aca="false">IF(OR(F1664="",H1664="",J1664=""),"",J1664&amp;"|"&amp;F1664&amp;"|"&amp;IF(H1664="W3","W3_"&amp;IF(I1664="","unknown",I1664),H1664))</f>
        <v/>
      </c>
      <c r="Q1664" s="1" t="str">
        <f aca="false">IF(P1664="","",IFERROR(IF(AND(H1664="W7",OR(F1664="causal",F1664="predictive")),IF(AND(K1664=1,L1664=1,M1664=1),"adequate","partial"),INDEX(Fit_Matrix!$B:$B,MATCH(P1664,Fit_Matrix!$A:$A,0))),"CHECK KEY"))</f>
        <v/>
      </c>
    </row>
    <row r="1665" customFormat="false" ht="15" hidden="false" customHeight="true" outlineLevel="0" collapsed="false">
      <c r="P1665" s="1" t="str">
        <f aca="false">IF(OR(F1665="",H1665="",J1665=""),"",J1665&amp;"|"&amp;F1665&amp;"|"&amp;IF(H1665="W3","W3_"&amp;IF(I1665="","unknown",I1665),H1665))</f>
        <v/>
      </c>
      <c r="Q1665" s="1" t="str">
        <f aca="false">IF(P1665="","",IFERROR(IF(AND(H1665="W7",OR(F1665="causal",F1665="predictive")),IF(AND(K1665=1,L1665=1,M1665=1),"adequate","partial"),INDEX(Fit_Matrix!$B:$B,MATCH(P1665,Fit_Matrix!$A:$A,0))),"CHECK KEY"))</f>
        <v/>
      </c>
    </row>
    <row r="1666" customFormat="false" ht="15" hidden="false" customHeight="true" outlineLevel="0" collapsed="false">
      <c r="P1666" s="1" t="str">
        <f aca="false">IF(OR(F1666="",H1666="",J1666=""),"",J1666&amp;"|"&amp;F1666&amp;"|"&amp;IF(H1666="W3","W3_"&amp;IF(I1666="","unknown",I1666),H1666))</f>
        <v/>
      </c>
      <c r="Q1666" s="1" t="str">
        <f aca="false">IF(P1666="","",IFERROR(IF(AND(H1666="W7",OR(F1666="causal",F1666="predictive")),IF(AND(K1666=1,L1666=1,M1666=1),"adequate","partial"),INDEX(Fit_Matrix!$B:$B,MATCH(P1666,Fit_Matrix!$A:$A,0))),"CHECK KEY"))</f>
        <v/>
      </c>
    </row>
    <row r="1667" customFormat="false" ht="15" hidden="false" customHeight="true" outlineLevel="0" collapsed="false">
      <c r="P1667" s="1" t="str">
        <f aca="false">IF(OR(F1667="",H1667="",J1667=""),"",J1667&amp;"|"&amp;F1667&amp;"|"&amp;IF(H1667="W3","W3_"&amp;IF(I1667="","unknown",I1667),H1667))</f>
        <v/>
      </c>
      <c r="Q1667" s="1" t="str">
        <f aca="false">IF(P1667="","",IFERROR(IF(AND(H1667="W7",OR(F1667="causal",F1667="predictive")),IF(AND(K1667=1,L1667=1,M1667=1),"adequate","partial"),INDEX(Fit_Matrix!$B:$B,MATCH(P1667,Fit_Matrix!$A:$A,0))),"CHECK KEY"))</f>
        <v/>
      </c>
    </row>
    <row r="1668" customFormat="false" ht="15" hidden="false" customHeight="true" outlineLevel="0" collapsed="false">
      <c r="P1668" s="1" t="str">
        <f aca="false">IF(OR(F1668="",H1668="",J1668=""),"",J1668&amp;"|"&amp;F1668&amp;"|"&amp;IF(H1668="W3","W3_"&amp;IF(I1668="","unknown",I1668),H1668))</f>
        <v/>
      </c>
      <c r="Q1668" s="1" t="str">
        <f aca="false">IF(P1668="","",IFERROR(IF(AND(H1668="W7",OR(F1668="causal",F1668="predictive")),IF(AND(K1668=1,L1668=1,M1668=1),"adequate","partial"),INDEX(Fit_Matrix!$B:$B,MATCH(P1668,Fit_Matrix!$A:$A,0))),"CHECK KEY"))</f>
        <v/>
      </c>
    </row>
    <row r="1669" customFormat="false" ht="15" hidden="false" customHeight="true" outlineLevel="0" collapsed="false">
      <c r="P1669" s="1" t="str">
        <f aca="false">IF(OR(F1669="",H1669="",J1669=""),"",J1669&amp;"|"&amp;F1669&amp;"|"&amp;IF(H1669="W3","W3_"&amp;IF(I1669="","unknown",I1669),H1669))</f>
        <v/>
      </c>
      <c r="Q1669" s="1" t="str">
        <f aca="false">IF(P1669="","",IFERROR(IF(AND(H1669="W7",OR(F1669="causal",F1669="predictive")),IF(AND(K1669=1,L1669=1,M1669=1),"adequate","partial"),INDEX(Fit_Matrix!$B:$B,MATCH(P1669,Fit_Matrix!$A:$A,0))),"CHECK KEY"))</f>
        <v/>
      </c>
    </row>
    <row r="1670" customFormat="false" ht="15" hidden="false" customHeight="true" outlineLevel="0" collapsed="false">
      <c r="P1670" s="1" t="str">
        <f aca="false">IF(OR(F1670="",H1670="",J1670=""),"",J1670&amp;"|"&amp;F1670&amp;"|"&amp;IF(H1670="W3","W3_"&amp;IF(I1670="","unknown",I1670),H1670))</f>
        <v/>
      </c>
      <c r="Q1670" s="1" t="str">
        <f aca="false">IF(P1670="","",IFERROR(IF(AND(H1670="W7",OR(F1670="causal",F1670="predictive")),IF(AND(K1670=1,L1670=1,M1670=1),"adequate","partial"),INDEX(Fit_Matrix!$B:$B,MATCH(P1670,Fit_Matrix!$A:$A,0))),"CHECK KEY"))</f>
        <v/>
      </c>
    </row>
    <row r="1671" customFormat="false" ht="15" hidden="false" customHeight="true" outlineLevel="0" collapsed="false">
      <c r="P1671" s="1" t="str">
        <f aca="false">IF(OR(F1671="",H1671="",J1671=""),"",J1671&amp;"|"&amp;F1671&amp;"|"&amp;IF(H1671="W3","W3_"&amp;IF(I1671="","unknown",I1671),H1671))</f>
        <v/>
      </c>
      <c r="Q1671" s="1" t="str">
        <f aca="false">IF(P1671="","",IFERROR(IF(AND(H1671="W7",OR(F1671="causal",F1671="predictive")),IF(AND(K1671=1,L1671=1,M1671=1),"adequate","partial"),INDEX(Fit_Matrix!$B:$B,MATCH(P1671,Fit_Matrix!$A:$A,0))),"CHECK KEY"))</f>
        <v/>
      </c>
    </row>
    <row r="1672" customFormat="false" ht="15" hidden="false" customHeight="true" outlineLevel="0" collapsed="false">
      <c r="P1672" s="1" t="str">
        <f aca="false">IF(OR(F1672="",H1672="",J1672=""),"",J1672&amp;"|"&amp;F1672&amp;"|"&amp;IF(H1672="W3","W3_"&amp;IF(I1672="","unknown",I1672),H1672))</f>
        <v/>
      </c>
      <c r="Q1672" s="1" t="str">
        <f aca="false">IF(P1672="","",IFERROR(IF(AND(H1672="W7",OR(F1672="causal",F1672="predictive")),IF(AND(K1672=1,L1672=1,M1672=1),"adequate","partial"),INDEX(Fit_Matrix!$B:$B,MATCH(P1672,Fit_Matrix!$A:$A,0))),"CHECK KEY"))</f>
        <v/>
      </c>
    </row>
    <row r="1673" customFormat="false" ht="15" hidden="false" customHeight="true" outlineLevel="0" collapsed="false">
      <c r="P1673" s="1" t="str">
        <f aca="false">IF(OR(F1673="",H1673="",J1673=""),"",J1673&amp;"|"&amp;F1673&amp;"|"&amp;IF(H1673="W3","W3_"&amp;IF(I1673="","unknown",I1673),H1673))</f>
        <v/>
      </c>
      <c r="Q1673" s="1" t="str">
        <f aca="false">IF(P1673="","",IFERROR(IF(AND(H1673="W7",OR(F1673="causal",F1673="predictive")),IF(AND(K1673=1,L1673=1,M1673=1),"adequate","partial"),INDEX(Fit_Matrix!$B:$B,MATCH(P1673,Fit_Matrix!$A:$A,0))),"CHECK KEY"))</f>
        <v/>
      </c>
    </row>
    <row r="1674" customFormat="false" ht="15" hidden="false" customHeight="true" outlineLevel="0" collapsed="false">
      <c r="P1674" s="1" t="str">
        <f aca="false">IF(OR(F1674="",H1674="",J1674=""),"",J1674&amp;"|"&amp;F1674&amp;"|"&amp;IF(H1674="W3","W3_"&amp;IF(I1674="","unknown",I1674),H1674))</f>
        <v/>
      </c>
      <c r="Q1674" s="1" t="str">
        <f aca="false">IF(P1674="","",IFERROR(IF(AND(H1674="W7",OR(F1674="causal",F1674="predictive")),IF(AND(K1674=1,L1674=1,M1674=1),"adequate","partial"),INDEX(Fit_Matrix!$B:$B,MATCH(P1674,Fit_Matrix!$A:$A,0))),"CHECK KEY"))</f>
        <v/>
      </c>
    </row>
    <row r="1675" customFormat="false" ht="15" hidden="false" customHeight="true" outlineLevel="0" collapsed="false">
      <c r="P1675" s="1" t="str">
        <f aca="false">IF(OR(F1675="",H1675="",J1675=""),"",J1675&amp;"|"&amp;F1675&amp;"|"&amp;IF(H1675="W3","W3_"&amp;IF(I1675="","unknown",I1675),H1675))</f>
        <v/>
      </c>
      <c r="Q1675" s="1" t="str">
        <f aca="false">IF(P1675="","",IFERROR(IF(AND(H1675="W7",OR(F1675="causal",F1675="predictive")),IF(AND(K1675=1,L1675=1,M1675=1),"adequate","partial"),INDEX(Fit_Matrix!$B:$B,MATCH(P1675,Fit_Matrix!$A:$A,0))),"CHECK KEY"))</f>
        <v/>
      </c>
    </row>
    <row r="1676" customFormat="false" ht="15" hidden="false" customHeight="true" outlineLevel="0" collapsed="false">
      <c r="P1676" s="1" t="str">
        <f aca="false">IF(OR(F1676="",H1676="",J1676=""),"",J1676&amp;"|"&amp;F1676&amp;"|"&amp;IF(H1676="W3","W3_"&amp;IF(I1676="","unknown",I1676),H1676))</f>
        <v/>
      </c>
      <c r="Q1676" s="1" t="str">
        <f aca="false">IF(P1676="","",IFERROR(IF(AND(H1676="W7",OR(F1676="causal",F1676="predictive")),IF(AND(K1676=1,L1676=1,M1676=1),"adequate","partial"),INDEX(Fit_Matrix!$B:$B,MATCH(P1676,Fit_Matrix!$A:$A,0))),"CHECK KEY"))</f>
        <v/>
      </c>
    </row>
    <row r="1677" customFormat="false" ht="15" hidden="false" customHeight="true" outlineLevel="0" collapsed="false">
      <c r="P1677" s="1" t="str">
        <f aca="false">IF(OR(F1677="",H1677="",J1677=""),"",J1677&amp;"|"&amp;F1677&amp;"|"&amp;IF(H1677="W3","W3_"&amp;IF(I1677="","unknown",I1677),H1677))</f>
        <v/>
      </c>
      <c r="Q1677" s="1" t="str">
        <f aca="false">IF(P1677="","",IFERROR(IF(AND(H1677="W7",OR(F1677="causal",F1677="predictive")),IF(AND(K1677=1,L1677=1,M1677=1),"adequate","partial"),INDEX(Fit_Matrix!$B:$B,MATCH(P1677,Fit_Matrix!$A:$A,0))),"CHECK KEY"))</f>
        <v/>
      </c>
    </row>
    <row r="1678" customFormat="false" ht="15" hidden="false" customHeight="true" outlineLevel="0" collapsed="false">
      <c r="P1678" s="1" t="str">
        <f aca="false">IF(OR(F1678="",H1678="",J1678=""),"",J1678&amp;"|"&amp;F1678&amp;"|"&amp;IF(H1678="W3","W3_"&amp;IF(I1678="","unknown",I1678),H1678))</f>
        <v/>
      </c>
      <c r="Q1678" s="1" t="str">
        <f aca="false">IF(P1678="","",IFERROR(IF(AND(H1678="W7",OR(F1678="causal",F1678="predictive")),IF(AND(K1678=1,L1678=1,M1678=1),"adequate","partial"),INDEX(Fit_Matrix!$B:$B,MATCH(P1678,Fit_Matrix!$A:$A,0))),"CHECK KEY"))</f>
        <v/>
      </c>
    </row>
    <row r="1679" customFormat="false" ht="15" hidden="false" customHeight="true" outlineLevel="0" collapsed="false">
      <c r="P1679" s="1" t="str">
        <f aca="false">IF(OR(F1679="",H1679="",J1679=""),"",J1679&amp;"|"&amp;F1679&amp;"|"&amp;IF(H1679="W3","W3_"&amp;IF(I1679="","unknown",I1679),H1679))</f>
        <v/>
      </c>
      <c r="Q1679" s="1" t="str">
        <f aca="false">IF(P1679="","",IFERROR(IF(AND(H1679="W7",OR(F1679="causal",F1679="predictive")),IF(AND(K1679=1,L1679=1,M1679=1),"adequate","partial"),INDEX(Fit_Matrix!$B:$B,MATCH(P1679,Fit_Matrix!$A:$A,0))),"CHECK KEY"))</f>
        <v/>
      </c>
    </row>
    <row r="1680" customFormat="false" ht="15" hidden="false" customHeight="true" outlineLevel="0" collapsed="false">
      <c r="P1680" s="1" t="str">
        <f aca="false">IF(OR(F1680="",H1680="",J1680=""),"",J1680&amp;"|"&amp;F1680&amp;"|"&amp;IF(H1680="W3","W3_"&amp;IF(I1680="","unknown",I1680),H1680))</f>
        <v/>
      </c>
      <c r="Q1680" s="1" t="str">
        <f aca="false">IF(P1680="","",IFERROR(IF(AND(H1680="W7",OR(F1680="causal",F1680="predictive")),IF(AND(K1680=1,L1680=1,M1680=1),"adequate","partial"),INDEX(Fit_Matrix!$B:$B,MATCH(P1680,Fit_Matrix!$A:$A,0))),"CHECK KEY"))</f>
        <v/>
      </c>
    </row>
    <row r="1681" customFormat="false" ht="15" hidden="false" customHeight="true" outlineLevel="0" collapsed="false">
      <c r="P1681" s="1" t="str">
        <f aca="false">IF(OR(F1681="",H1681="",J1681=""),"",J1681&amp;"|"&amp;F1681&amp;"|"&amp;IF(H1681="W3","W3_"&amp;IF(I1681="","unknown",I1681),H1681))</f>
        <v/>
      </c>
      <c r="Q1681" s="1" t="str">
        <f aca="false">IF(P1681="","",IFERROR(IF(AND(H1681="W7",OR(F1681="causal",F1681="predictive")),IF(AND(K1681=1,L1681=1,M1681=1),"adequate","partial"),INDEX(Fit_Matrix!$B:$B,MATCH(P1681,Fit_Matrix!$A:$A,0))),"CHECK KEY"))</f>
        <v/>
      </c>
    </row>
    <row r="1682" customFormat="false" ht="15" hidden="false" customHeight="true" outlineLevel="0" collapsed="false">
      <c r="P1682" s="1" t="str">
        <f aca="false">IF(OR(F1682="",H1682="",J1682=""),"",J1682&amp;"|"&amp;F1682&amp;"|"&amp;IF(H1682="W3","W3_"&amp;IF(I1682="","unknown",I1682),H1682))</f>
        <v/>
      </c>
      <c r="Q1682" s="1" t="str">
        <f aca="false">IF(P1682="","",IFERROR(IF(AND(H1682="W7",OR(F1682="causal",F1682="predictive")),IF(AND(K1682=1,L1682=1,M1682=1),"adequate","partial"),INDEX(Fit_Matrix!$B:$B,MATCH(P1682,Fit_Matrix!$A:$A,0))),"CHECK KEY"))</f>
        <v/>
      </c>
    </row>
    <row r="1683" customFormat="false" ht="15" hidden="false" customHeight="true" outlineLevel="0" collapsed="false">
      <c r="P1683" s="1" t="str">
        <f aca="false">IF(OR(F1683="",H1683="",J1683=""),"",J1683&amp;"|"&amp;F1683&amp;"|"&amp;IF(H1683="W3","W3_"&amp;IF(I1683="","unknown",I1683),H1683))</f>
        <v/>
      </c>
      <c r="Q1683" s="1" t="str">
        <f aca="false">IF(P1683="","",IFERROR(IF(AND(H1683="W7",OR(F1683="causal",F1683="predictive")),IF(AND(K1683=1,L1683=1,M1683=1),"adequate","partial"),INDEX(Fit_Matrix!$B:$B,MATCH(P1683,Fit_Matrix!$A:$A,0))),"CHECK KEY"))</f>
        <v/>
      </c>
    </row>
    <row r="1684" customFormat="false" ht="15" hidden="false" customHeight="true" outlineLevel="0" collapsed="false">
      <c r="P1684" s="1" t="str">
        <f aca="false">IF(OR(F1684="",H1684="",J1684=""),"",J1684&amp;"|"&amp;F1684&amp;"|"&amp;IF(H1684="W3","W3_"&amp;IF(I1684="","unknown",I1684),H1684))</f>
        <v/>
      </c>
      <c r="Q1684" s="1" t="str">
        <f aca="false">IF(P1684="","",IFERROR(IF(AND(H1684="W7",OR(F1684="causal",F1684="predictive")),IF(AND(K1684=1,L1684=1,M1684=1),"adequate","partial"),INDEX(Fit_Matrix!$B:$B,MATCH(P1684,Fit_Matrix!$A:$A,0))),"CHECK KEY"))</f>
        <v/>
      </c>
    </row>
    <row r="1685" customFormat="false" ht="15" hidden="false" customHeight="true" outlineLevel="0" collapsed="false">
      <c r="P1685" s="1" t="str">
        <f aca="false">IF(OR(F1685="",H1685="",J1685=""),"",J1685&amp;"|"&amp;F1685&amp;"|"&amp;IF(H1685="W3","W3_"&amp;IF(I1685="","unknown",I1685),H1685))</f>
        <v/>
      </c>
      <c r="Q1685" s="1" t="str">
        <f aca="false">IF(P1685="","",IFERROR(IF(AND(H1685="W7",OR(F1685="causal",F1685="predictive")),IF(AND(K1685=1,L1685=1,M1685=1),"adequate","partial"),INDEX(Fit_Matrix!$B:$B,MATCH(P1685,Fit_Matrix!$A:$A,0))),"CHECK KEY"))</f>
        <v/>
      </c>
    </row>
    <row r="1686" customFormat="false" ht="15" hidden="false" customHeight="true" outlineLevel="0" collapsed="false">
      <c r="P1686" s="1" t="str">
        <f aca="false">IF(OR(F1686="",H1686="",J1686=""),"",J1686&amp;"|"&amp;F1686&amp;"|"&amp;IF(H1686="W3","W3_"&amp;IF(I1686="","unknown",I1686),H1686))</f>
        <v/>
      </c>
      <c r="Q1686" s="1" t="str">
        <f aca="false">IF(P1686="","",IFERROR(IF(AND(H1686="W7",OR(F1686="causal",F1686="predictive")),IF(AND(K1686=1,L1686=1,M1686=1),"adequate","partial"),INDEX(Fit_Matrix!$B:$B,MATCH(P1686,Fit_Matrix!$A:$A,0))),"CHECK KEY"))</f>
        <v/>
      </c>
    </row>
    <row r="1687" customFormat="false" ht="15" hidden="false" customHeight="true" outlineLevel="0" collapsed="false">
      <c r="P1687" s="1" t="str">
        <f aca="false">IF(OR(F1687="",H1687="",J1687=""),"",J1687&amp;"|"&amp;F1687&amp;"|"&amp;IF(H1687="W3","W3_"&amp;IF(I1687="","unknown",I1687),H1687))</f>
        <v/>
      </c>
      <c r="Q1687" s="1" t="str">
        <f aca="false">IF(P1687="","",IFERROR(IF(AND(H1687="W7",OR(F1687="causal",F1687="predictive")),IF(AND(K1687=1,L1687=1,M1687=1),"adequate","partial"),INDEX(Fit_Matrix!$B:$B,MATCH(P1687,Fit_Matrix!$A:$A,0))),"CHECK KEY"))</f>
        <v/>
      </c>
    </row>
    <row r="1688" customFormat="false" ht="15" hidden="false" customHeight="true" outlineLevel="0" collapsed="false">
      <c r="P1688" s="1" t="str">
        <f aca="false">IF(OR(F1688="",H1688="",J1688=""),"",J1688&amp;"|"&amp;F1688&amp;"|"&amp;IF(H1688="W3","W3_"&amp;IF(I1688="","unknown",I1688),H1688))</f>
        <v/>
      </c>
      <c r="Q1688" s="1" t="str">
        <f aca="false">IF(P1688="","",IFERROR(IF(AND(H1688="W7",OR(F1688="causal",F1688="predictive")),IF(AND(K1688=1,L1688=1,M1688=1),"adequate","partial"),INDEX(Fit_Matrix!$B:$B,MATCH(P1688,Fit_Matrix!$A:$A,0))),"CHECK KEY"))</f>
        <v/>
      </c>
    </row>
    <row r="1689" customFormat="false" ht="15" hidden="false" customHeight="true" outlineLevel="0" collapsed="false">
      <c r="P1689" s="1" t="str">
        <f aca="false">IF(OR(F1689="",H1689="",J1689=""),"",J1689&amp;"|"&amp;F1689&amp;"|"&amp;IF(H1689="W3","W3_"&amp;IF(I1689="","unknown",I1689),H1689))</f>
        <v/>
      </c>
      <c r="Q1689" s="1" t="str">
        <f aca="false">IF(P1689="","",IFERROR(IF(AND(H1689="W7",OR(F1689="causal",F1689="predictive")),IF(AND(K1689=1,L1689=1,M1689=1),"adequate","partial"),INDEX(Fit_Matrix!$B:$B,MATCH(P1689,Fit_Matrix!$A:$A,0))),"CHECK KEY"))</f>
        <v/>
      </c>
    </row>
    <row r="1690" customFormat="false" ht="15" hidden="false" customHeight="true" outlineLevel="0" collapsed="false">
      <c r="P1690" s="1" t="str">
        <f aca="false">IF(OR(F1690="",H1690="",J1690=""),"",J1690&amp;"|"&amp;F1690&amp;"|"&amp;IF(H1690="W3","W3_"&amp;IF(I1690="","unknown",I1690),H1690))</f>
        <v/>
      </c>
      <c r="Q1690" s="1" t="str">
        <f aca="false">IF(P1690="","",IFERROR(IF(AND(H1690="W7",OR(F1690="causal",F1690="predictive")),IF(AND(K1690=1,L1690=1,M1690=1),"adequate","partial"),INDEX(Fit_Matrix!$B:$B,MATCH(P1690,Fit_Matrix!$A:$A,0))),"CHECK KEY"))</f>
        <v/>
      </c>
    </row>
    <row r="1691" customFormat="false" ht="15" hidden="false" customHeight="true" outlineLevel="0" collapsed="false">
      <c r="P1691" s="1" t="str">
        <f aca="false">IF(OR(F1691="",H1691="",J1691=""),"",J1691&amp;"|"&amp;F1691&amp;"|"&amp;IF(H1691="W3","W3_"&amp;IF(I1691="","unknown",I1691),H1691))</f>
        <v/>
      </c>
      <c r="Q1691" s="1" t="str">
        <f aca="false">IF(P1691="","",IFERROR(IF(AND(H1691="W7",OR(F1691="causal",F1691="predictive")),IF(AND(K1691=1,L1691=1,M1691=1),"adequate","partial"),INDEX(Fit_Matrix!$B:$B,MATCH(P1691,Fit_Matrix!$A:$A,0))),"CHECK KEY"))</f>
        <v/>
      </c>
    </row>
    <row r="1692" customFormat="false" ht="15" hidden="false" customHeight="true" outlineLevel="0" collapsed="false">
      <c r="P1692" s="1" t="str">
        <f aca="false">IF(OR(F1692="",H1692="",J1692=""),"",J1692&amp;"|"&amp;F1692&amp;"|"&amp;IF(H1692="W3","W3_"&amp;IF(I1692="","unknown",I1692),H1692))</f>
        <v/>
      </c>
      <c r="Q1692" s="1" t="str">
        <f aca="false">IF(P1692="","",IFERROR(IF(AND(H1692="W7",OR(F1692="causal",F1692="predictive")),IF(AND(K1692=1,L1692=1,M1692=1),"adequate","partial"),INDEX(Fit_Matrix!$B:$B,MATCH(P1692,Fit_Matrix!$A:$A,0))),"CHECK KEY"))</f>
        <v/>
      </c>
    </row>
    <row r="1693" customFormat="false" ht="15" hidden="false" customHeight="true" outlineLevel="0" collapsed="false">
      <c r="P1693" s="1" t="str">
        <f aca="false">IF(OR(F1693="",H1693="",J1693=""),"",J1693&amp;"|"&amp;F1693&amp;"|"&amp;IF(H1693="W3","W3_"&amp;IF(I1693="","unknown",I1693),H1693))</f>
        <v/>
      </c>
      <c r="Q1693" s="1" t="str">
        <f aca="false">IF(P1693="","",IFERROR(IF(AND(H1693="W7",OR(F1693="causal",F1693="predictive")),IF(AND(K1693=1,L1693=1,M1693=1),"adequate","partial"),INDEX(Fit_Matrix!$B:$B,MATCH(P1693,Fit_Matrix!$A:$A,0))),"CHECK KEY"))</f>
        <v/>
      </c>
    </row>
    <row r="1694" customFormat="false" ht="15" hidden="false" customHeight="true" outlineLevel="0" collapsed="false">
      <c r="P1694" s="1" t="str">
        <f aca="false">IF(OR(F1694="",H1694="",J1694=""),"",J1694&amp;"|"&amp;F1694&amp;"|"&amp;IF(H1694="W3","W3_"&amp;IF(I1694="","unknown",I1694),H1694))</f>
        <v/>
      </c>
      <c r="Q1694" s="1" t="str">
        <f aca="false">IF(P1694="","",IFERROR(IF(AND(H1694="W7",OR(F1694="causal",F1694="predictive")),IF(AND(K1694=1,L1694=1,M1694=1),"adequate","partial"),INDEX(Fit_Matrix!$B:$B,MATCH(P1694,Fit_Matrix!$A:$A,0))),"CHECK KEY"))</f>
        <v/>
      </c>
    </row>
    <row r="1695" customFormat="false" ht="15" hidden="false" customHeight="true" outlineLevel="0" collapsed="false">
      <c r="P1695" s="1" t="str">
        <f aca="false">IF(OR(F1695="",H1695="",J1695=""),"",J1695&amp;"|"&amp;F1695&amp;"|"&amp;IF(H1695="W3","W3_"&amp;IF(I1695="","unknown",I1695),H1695))</f>
        <v/>
      </c>
      <c r="Q1695" s="1" t="str">
        <f aca="false">IF(P1695="","",IFERROR(IF(AND(H1695="W7",OR(F1695="causal",F1695="predictive")),IF(AND(K1695=1,L1695=1,M1695=1),"adequate","partial"),INDEX(Fit_Matrix!$B:$B,MATCH(P1695,Fit_Matrix!$A:$A,0))),"CHECK KEY"))</f>
        <v/>
      </c>
    </row>
    <row r="1696" customFormat="false" ht="15" hidden="false" customHeight="true" outlineLevel="0" collapsed="false">
      <c r="P1696" s="1" t="str">
        <f aca="false">IF(OR(F1696="",H1696="",J1696=""),"",J1696&amp;"|"&amp;F1696&amp;"|"&amp;IF(H1696="W3","W3_"&amp;IF(I1696="","unknown",I1696),H1696))</f>
        <v/>
      </c>
      <c r="Q1696" s="1" t="str">
        <f aca="false">IF(P1696="","",IFERROR(IF(AND(H1696="W7",OR(F1696="causal",F1696="predictive")),IF(AND(K1696=1,L1696=1,M1696=1),"adequate","partial"),INDEX(Fit_Matrix!$B:$B,MATCH(P1696,Fit_Matrix!$A:$A,0))),"CHECK KEY"))</f>
        <v/>
      </c>
    </row>
    <row r="1697" customFormat="false" ht="15" hidden="false" customHeight="true" outlineLevel="0" collapsed="false">
      <c r="P1697" s="1" t="str">
        <f aca="false">IF(OR(F1697="",H1697="",J1697=""),"",J1697&amp;"|"&amp;F1697&amp;"|"&amp;IF(H1697="W3","W3_"&amp;IF(I1697="","unknown",I1697),H1697))</f>
        <v/>
      </c>
      <c r="Q1697" s="1" t="str">
        <f aca="false">IF(P1697="","",IFERROR(IF(AND(H1697="W7",OR(F1697="causal",F1697="predictive")),IF(AND(K1697=1,L1697=1,M1697=1),"adequate","partial"),INDEX(Fit_Matrix!$B:$B,MATCH(P1697,Fit_Matrix!$A:$A,0))),"CHECK KEY"))</f>
        <v/>
      </c>
    </row>
    <row r="1698" customFormat="false" ht="15" hidden="false" customHeight="true" outlineLevel="0" collapsed="false">
      <c r="P1698" s="1" t="str">
        <f aca="false">IF(OR(F1698="",H1698="",J1698=""),"",J1698&amp;"|"&amp;F1698&amp;"|"&amp;IF(H1698="W3","W3_"&amp;IF(I1698="","unknown",I1698),H1698))</f>
        <v/>
      </c>
      <c r="Q1698" s="1" t="str">
        <f aca="false">IF(P1698="","",IFERROR(IF(AND(H1698="W7",OR(F1698="causal",F1698="predictive")),IF(AND(K1698=1,L1698=1,M1698=1),"adequate","partial"),INDEX(Fit_Matrix!$B:$B,MATCH(P1698,Fit_Matrix!$A:$A,0))),"CHECK KEY"))</f>
        <v/>
      </c>
    </row>
    <row r="1699" customFormat="false" ht="15" hidden="false" customHeight="true" outlineLevel="0" collapsed="false">
      <c r="P1699" s="1" t="str">
        <f aca="false">IF(OR(F1699="",H1699="",J1699=""),"",J1699&amp;"|"&amp;F1699&amp;"|"&amp;IF(H1699="W3","W3_"&amp;IF(I1699="","unknown",I1699),H1699))</f>
        <v/>
      </c>
      <c r="Q1699" s="1" t="str">
        <f aca="false">IF(P1699="","",IFERROR(IF(AND(H1699="W7",OR(F1699="causal",F1699="predictive")),IF(AND(K1699=1,L1699=1,M1699=1),"adequate","partial"),INDEX(Fit_Matrix!$B:$B,MATCH(P1699,Fit_Matrix!$A:$A,0))),"CHECK KEY"))</f>
        <v/>
      </c>
    </row>
    <row r="1700" customFormat="false" ht="15" hidden="false" customHeight="true" outlineLevel="0" collapsed="false">
      <c r="P1700" s="1" t="str">
        <f aca="false">IF(OR(F1700="",H1700="",J1700=""),"",J1700&amp;"|"&amp;F1700&amp;"|"&amp;IF(H1700="W3","W3_"&amp;IF(I1700="","unknown",I1700),H1700))</f>
        <v/>
      </c>
      <c r="Q1700" s="1" t="str">
        <f aca="false">IF(P1700="","",IFERROR(IF(AND(H1700="W7",OR(F1700="causal",F1700="predictive")),IF(AND(K1700=1,L1700=1,M1700=1),"adequate","partial"),INDEX(Fit_Matrix!$B:$B,MATCH(P1700,Fit_Matrix!$A:$A,0))),"CHECK KEY"))</f>
        <v/>
      </c>
    </row>
    <row r="1701" customFormat="false" ht="15" hidden="false" customHeight="true" outlineLevel="0" collapsed="false">
      <c r="P1701" s="1" t="str">
        <f aca="false">IF(OR(F1701="",H1701="",J1701=""),"",J1701&amp;"|"&amp;F1701&amp;"|"&amp;IF(H1701="W3","W3_"&amp;IF(I1701="","unknown",I1701),H1701))</f>
        <v/>
      </c>
      <c r="Q1701" s="1" t="str">
        <f aca="false">IF(P1701="","",IFERROR(IF(AND(H1701="W7",OR(F1701="causal",F1701="predictive")),IF(AND(K1701=1,L1701=1,M1701=1),"adequate","partial"),INDEX(Fit_Matrix!$B:$B,MATCH(P1701,Fit_Matrix!$A:$A,0))),"CHECK KEY"))</f>
        <v/>
      </c>
    </row>
    <row r="1702" customFormat="false" ht="15" hidden="false" customHeight="true" outlineLevel="0" collapsed="false">
      <c r="P1702" s="1" t="str">
        <f aca="false">IF(OR(F1702="",H1702="",J1702=""),"",J1702&amp;"|"&amp;F1702&amp;"|"&amp;IF(H1702="W3","W3_"&amp;IF(I1702="","unknown",I1702),H1702))</f>
        <v/>
      </c>
      <c r="Q1702" s="1" t="str">
        <f aca="false">IF(P1702="","",IFERROR(IF(AND(H1702="W7",OR(F1702="causal",F1702="predictive")),IF(AND(K1702=1,L1702=1,M1702=1),"adequate","partial"),INDEX(Fit_Matrix!$B:$B,MATCH(P1702,Fit_Matrix!$A:$A,0))),"CHECK KEY"))</f>
        <v/>
      </c>
    </row>
    <row r="1703" customFormat="false" ht="15" hidden="false" customHeight="true" outlineLevel="0" collapsed="false">
      <c r="P1703" s="1" t="str">
        <f aca="false">IF(OR(F1703="",H1703="",J1703=""),"",J1703&amp;"|"&amp;F1703&amp;"|"&amp;IF(H1703="W3","W3_"&amp;IF(I1703="","unknown",I1703),H1703))</f>
        <v/>
      </c>
      <c r="Q1703" s="1" t="str">
        <f aca="false">IF(P1703="","",IFERROR(IF(AND(H1703="W7",OR(F1703="causal",F1703="predictive")),IF(AND(K1703=1,L1703=1,M1703=1),"adequate","partial"),INDEX(Fit_Matrix!$B:$B,MATCH(P1703,Fit_Matrix!$A:$A,0))),"CHECK KEY"))</f>
        <v/>
      </c>
    </row>
    <row r="1704" customFormat="false" ht="15" hidden="false" customHeight="true" outlineLevel="0" collapsed="false">
      <c r="P1704" s="1" t="str">
        <f aca="false">IF(OR(F1704="",H1704="",J1704=""),"",J1704&amp;"|"&amp;F1704&amp;"|"&amp;IF(H1704="W3","W3_"&amp;IF(I1704="","unknown",I1704),H1704))</f>
        <v/>
      </c>
      <c r="Q1704" s="1" t="str">
        <f aca="false">IF(P1704="","",IFERROR(IF(AND(H1704="W7",OR(F1704="causal",F1704="predictive")),IF(AND(K1704=1,L1704=1,M1704=1),"adequate","partial"),INDEX(Fit_Matrix!$B:$B,MATCH(P1704,Fit_Matrix!$A:$A,0))),"CHECK KEY"))</f>
        <v/>
      </c>
    </row>
    <row r="1705" customFormat="false" ht="15" hidden="false" customHeight="true" outlineLevel="0" collapsed="false">
      <c r="P1705" s="1" t="str">
        <f aca="false">IF(OR(F1705="",H1705="",J1705=""),"",J1705&amp;"|"&amp;F1705&amp;"|"&amp;IF(H1705="W3","W3_"&amp;IF(I1705="","unknown",I1705),H1705))</f>
        <v/>
      </c>
      <c r="Q1705" s="1" t="str">
        <f aca="false">IF(P1705="","",IFERROR(IF(AND(H1705="W7",OR(F1705="causal",F1705="predictive")),IF(AND(K1705=1,L1705=1,M1705=1),"adequate","partial"),INDEX(Fit_Matrix!$B:$B,MATCH(P1705,Fit_Matrix!$A:$A,0))),"CHECK KEY"))</f>
        <v/>
      </c>
    </row>
    <row r="1706" customFormat="false" ht="15" hidden="false" customHeight="true" outlineLevel="0" collapsed="false">
      <c r="P1706" s="1" t="str">
        <f aca="false">IF(OR(F1706="",H1706="",J1706=""),"",J1706&amp;"|"&amp;F1706&amp;"|"&amp;IF(H1706="W3","W3_"&amp;IF(I1706="","unknown",I1706),H1706))</f>
        <v/>
      </c>
      <c r="Q1706" s="1" t="str">
        <f aca="false">IF(P1706="","",IFERROR(IF(AND(H1706="W7",OR(F1706="causal",F1706="predictive")),IF(AND(K1706=1,L1706=1,M1706=1),"adequate","partial"),INDEX(Fit_Matrix!$B:$B,MATCH(P1706,Fit_Matrix!$A:$A,0))),"CHECK KEY"))</f>
        <v/>
      </c>
    </row>
    <row r="1707" customFormat="false" ht="15" hidden="false" customHeight="true" outlineLevel="0" collapsed="false">
      <c r="P1707" s="1" t="str">
        <f aca="false">IF(OR(F1707="",H1707="",J1707=""),"",J1707&amp;"|"&amp;F1707&amp;"|"&amp;IF(H1707="W3","W3_"&amp;IF(I1707="","unknown",I1707),H1707))</f>
        <v/>
      </c>
      <c r="Q1707" s="1" t="str">
        <f aca="false">IF(P1707="","",IFERROR(IF(AND(H1707="W7",OR(F1707="causal",F1707="predictive")),IF(AND(K1707=1,L1707=1,M1707=1),"adequate","partial"),INDEX(Fit_Matrix!$B:$B,MATCH(P1707,Fit_Matrix!$A:$A,0))),"CHECK KEY"))</f>
        <v/>
      </c>
    </row>
    <row r="1708" customFormat="false" ht="15" hidden="false" customHeight="true" outlineLevel="0" collapsed="false">
      <c r="P1708" s="1" t="str">
        <f aca="false">IF(OR(F1708="",H1708="",J1708=""),"",J1708&amp;"|"&amp;F1708&amp;"|"&amp;IF(H1708="W3","W3_"&amp;IF(I1708="","unknown",I1708),H1708))</f>
        <v/>
      </c>
      <c r="Q1708" s="1" t="str">
        <f aca="false">IF(P1708="","",IFERROR(IF(AND(H1708="W7",OR(F1708="causal",F1708="predictive")),IF(AND(K1708=1,L1708=1,M1708=1),"adequate","partial"),INDEX(Fit_Matrix!$B:$B,MATCH(P1708,Fit_Matrix!$A:$A,0))),"CHECK KEY"))</f>
        <v/>
      </c>
    </row>
    <row r="1709" customFormat="false" ht="15" hidden="false" customHeight="true" outlineLevel="0" collapsed="false">
      <c r="P1709" s="1" t="str">
        <f aca="false">IF(OR(F1709="",H1709="",J1709=""),"",J1709&amp;"|"&amp;F1709&amp;"|"&amp;IF(H1709="W3","W3_"&amp;IF(I1709="","unknown",I1709),H1709))</f>
        <v/>
      </c>
      <c r="Q1709" s="1" t="str">
        <f aca="false">IF(P1709="","",IFERROR(IF(AND(H1709="W7",OR(F1709="causal",F1709="predictive")),IF(AND(K1709=1,L1709=1,M1709=1),"adequate","partial"),INDEX(Fit_Matrix!$B:$B,MATCH(P1709,Fit_Matrix!$A:$A,0))),"CHECK KEY"))</f>
        <v/>
      </c>
    </row>
    <row r="1710" customFormat="false" ht="15" hidden="false" customHeight="true" outlineLevel="0" collapsed="false">
      <c r="P1710" s="1" t="str">
        <f aca="false">IF(OR(F1710="",H1710="",J1710=""),"",J1710&amp;"|"&amp;F1710&amp;"|"&amp;IF(H1710="W3","W3_"&amp;IF(I1710="","unknown",I1710),H1710))</f>
        <v/>
      </c>
      <c r="Q1710" s="1" t="str">
        <f aca="false">IF(P1710="","",IFERROR(IF(AND(H1710="W7",OR(F1710="causal",F1710="predictive")),IF(AND(K1710=1,L1710=1,M1710=1),"adequate","partial"),INDEX(Fit_Matrix!$B:$B,MATCH(P1710,Fit_Matrix!$A:$A,0))),"CHECK KEY"))</f>
        <v/>
      </c>
    </row>
    <row r="1711" customFormat="false" ht="15" hidden="false" customHeight="true" outlineLevel="0" collapsed="false">
      <c r="P1711" s="1" t="str">
        <f aca="false">IF(OR(F1711="",H1711="",J1711=""),"",J1711&amp;"|"&amp;F1711&amp;"|"&amp;IF(H1711="W3","W3_"&amp;IF(I1711="","unknown",I1711),H1711))</f>
        <v/>
      </c>
      <c r="Q1711" s="1" t="str">
        <f aca="false">IF(P1711="","",IFERROR(IF(AND(H1711="W7",OR(F1711="causal",F1711="predictive")),IF(AND(K1711=1,L1711=1,M1711=1),"adequate","partial"),INDEX(Fit_Matrix!$B:$B,MATCH(P1711,Fit_Matrix!$A:$A,0))),"CHECK KEY"))</f>
        <v/>
      </c>
    </row>
    <row r="1712" customFormat="false" ht="15" hidden="false" customHeight="true" outlineLevel="0" collapsed="false">
      <c r="P1712" s="1" t="str">
        <f aca="false">IF(OR(F1712="",H1712="",J1712=""),"",J1712&amp;"|"&amp;F1712&amp;"|"&amp;IF(H1712="W3","W3_"&amp;IF(I1712="","unknown",I1712),H1712))</f>
        <v/>
      </c>
      <c r="Q1712" s="1" t="str">
        <f aca="false">IF(P1712="","",IFERROR(IF(AND(H1712="W7",OR(F1712="causal",F1712="predictive")),IF(AND(K1712=1,L1712=1,M1712=1),"adequate","partial"),INDEX(Fit_Matrix!$B:$B,MATCH(P1712,Fit_Matrix!$A:$A,0))),"CHECK KEY"))</f>
        <v/>
      </c>
    </row>
    <row r="1713" customFormat="false" ht="15" hidden="false" customHeight="true" outlineLevel="0" collapsed="false">
      <c r="P1713" s="1" t="str">
        <f aca="false">IF(OR(F1713="",H1713="",J1713=""),"",J1713&amp;"|"&amp;F1713&amp;"|"&amp;IF(H1713="W3","W3_"&amp;IF(I1713="","unknown",I1713),H1713))</f>
        <v/>
      </c>
      <c r="Q1713" s="1" t="str">
        <f aca="false">IF(P1713="","",IFERROR(IF(AND(H1713="W7",OR(F1713="causal",F1713="predictive")),IF(AND(K1713=1,L1713=1,M1713=1),"adequate","partial"),INDEX(Fit_Matrix!$B:$B,MATCH(P1713,Fit_Matrix!$A:$A,0))),"CHECK KEY"))</f>
        <v/>
      </c>
    </row>
    <row r="1714" customFormat="false" ht="15" hidden="false" customHeight="true" outlineLevel="0" collapsed="false">
      <c r="P1714" s="1" t="str">
        <f aca="false">IF(OR(F1714="",H1714="",J1714=""),"",J1714&amp;"|"&amp;F1714&amp;"|"&amp;IF(H1714="W3","W3_"&amp;IF(I1714="","unknown",I1714),H1714))</f>
        <v/>
      </c>
      <c r="Q1714" s="1" t="str">
        <f aca="false">IF(P1714="","",IFERROR(IF(AND(H1714="W7",OR(F1714="causal",F1714="predictive")),IF(AND(K1714=1,L1714=1,M1714=1),"adequate","partial"),INDEX(Fit_Matrix!$B:$B,MATCH(P1714,Fit_Matrix!$A:$A,0))),"CHECK KEY"))</f>
        <v/>
      </c>
    </row>
    <row r="1715" customFormat="false" ht="15" hidden="false" customHeight="true" outlineLevel="0" collapsed="false">
      <c r="P1715" s="1" t="str">
        <f aca="false">IF(OR(F1715="",H1715="",J1715=""),"",J1715&amp;"|"&amp;F1715&amp;"|"&amp;IF(H1715="W3","W3_"&amp;IF(I1715="","unknown",I1715),H1715))</f>
        <v/>
      </c>
      <c r="Q1715" s="1" t="str">
        <f aca="false">IF(P1715="","",IFERROR(IF(AND(H1715="W7",OR(F1715="causal",F1715="predictive")),IF(AND(K1715=1,L1715=1,M1715=1),"adequate","partial"),INDEX(Fit_Matrix!$B:$B,MATCH(P1715,Fit_Matrix!$A:$A,0))),"CHECK KEY"))</f>
        <v/>
      </c>
    </row>
    <row r="1716" customFormat="false" ht="15" hidden="false" customHeight="true" outlineLevel="0" collapsed="false">
      <c r="P1716" s="1" t="str">
        <f aca="false">IF(OR(F1716="",H1716="",J1716=""),"",J1716&amp;"|"&amp;F1716&amp;"|"&amp;IF(H1716="W3","W3_"&amp;IF(I1716="","unknown",I1716),H1716))</f>
        <v/>
      </c>
      <c r="Q1716" s="1" t="str">
        <f aca="false">IF(P1716="","",IFERROR(IF(AND(H1716="W7",OR(F1716="causal",F1716="predictive")),IF(AND(K1716=1,L1716=1,M1716=1),"adequate","partial"),INDEX(Fit_Matrix!$B:$B,MATCH(P1716,Fit_Matrix!$A:$A,0))),"CHECK KEY"))</f>
        <v/>
      </c>
    </row>
    <row r="1717" customFormat="false" ht="15" hidden="false" customHeight="true" outlineLevel="0" collapsed="false">
      <c r="P1717" s="1" t="str">
        <f aca="false">IF(OR(F1717="",H1717="",J1717=""),"",J1717&amp;"|"&amp;F1717&amp;"|"&amp;IF(H1717="W3","W3_"&amp;IF(I1717="","unknown",I1717),H1717))</f>
        <v/>
      </c>
      <c r="Q1717" s="1" t="str">
        <f aca="false">IF(P1717="","",IFERROR(IF(AND(H1717="W7",OR(F1717="causal",F1717="predictive")),IF(AND(K1717=1,L1717=1,M1717=1),"adequate","partial"),INDEX(Fit_Matrix!$B:$B,MATCH(P1717,Fit_Matrix!$A:$A,0))),"CHECK KEY"))</f>
        <v/>
      </c>
    </row>
    <row r="1718" customFormat="false" ht="15" hidden="false" customHeight="true" outlineLevel="0" collapsed="false">
      <c r="P1718" s="1" t="str">
        <f aca="false">IF(OR(F1718="",H1718="",J1718=""),"",J1718&amp;"|"&amp;F1718&amp;"|"&amp;IF(H1718="W3","W3_"&amp;IF(I1718="","unknown",I1718),H1718))</f>
        <v/>
      </c>
      <c r="Q1718" s="1" t="str">
        <f aca="false">IF(P1718="","",IFERROR(IF(AND(H1718="W7",OR(F1718="causal",F1718="predictive")),IF(AND(K1718=1,L1718=1,M1718=1),"adequate","partial"),INDEX(Fit_Matrix!$B:$B,MATCH(P1718,Fit_Matrix!$A:$A,0))),"CHECK KEY"))</f>
        <v/>
      </c>
    </row>
    <row r="1719" customFormat="false" ht="15" hidden="false" customHeight="true" outlineLevel="0" collapsed="false">
      <c r="P1719" s="1" t="str">
        <f aca="false">IF(OR(F1719="",H1719="",J1719=""),"",J1719&amp;"|"&amp;F1719&amp;"|"&amp;IF(H1719="W3","W3_"&amp;IF(I1719="","unknown",I1719),H1719))</f>
        <v/>
      </c>
      <c r="Q1719" s="1" t="str">
        <f aca="false">IF(P1719="","",IFERROR(IF(AND(H1719="W7",OR(F1719="causal",F1719="predictive")),IF(AND(K1719=1,L1719=1,M1719=1),"adequate","partial"),INDEX(Fit_Matrix!$B:$B,MATCH(P1719,Fit_Matrix!$A:$A,0))),"CHECK KEY"))</f>
        <v/>
      </c>
    </row>
    <row r="1720" customFormat="false" ht="15" hidden="false" customHeight="true" outlineLevel="0" collapsed="false">
      <c r="P1720" s="1" t="str">
        <f aca="false">IF(OR(F1720="",H1720="",J1720=""),"",J1720&amp;"|"&amp;F1720&amp;"|"&amp;IF(H1720="W3","W3_"&amp;IF(I1720="","unknown",I1720),H1720))</f>
        <v/>
      </c>
      <c r="Q1720" s="1" t="str">
        <f aca="false">IF(P1720="","",IFERROR(IF(AND(H1720="W7",OR(F1720="causal",F1720="predictive")),IF(AND(K1720=1,L1720=1,M1720=1),"adequate","partial"),INDEX(Fit_Matrix!$B:$B,MATCH(P1720,Fit_Matrix!$A:$A,0))),"CHECK KEY"))</f>
        <v/>
      </c>
    </row>
    <row r="1721" customFormat="false" ht="15" hidden="false" customHeight="true" outlineLevel="0" collapsed="false">
      <c r="P1721" s="1" t="str">
        <f aca="false">IF(OR(F1721="",H1721="",J1721=""),"",J1721&amp;"|"&amp;F1721&amp;"|"&amp;IF(H1721="W3","W3_"&amp;IF(I1721="","unknown",I1721),H1721))</f>
        <v/>
      </c>
      <c r="Q1721" s="1" t="str">
        <f aca="false">IF(P1721="","",IFERROR(IF(AND(H1721="W7",OR(F1721="causal",F1721="predictive")),IF(AND(K1721=1,L1721=1,M1721=1),"adequate","partial"),INDEX(Fit_Matrix!$B:$B,MATCH(P1721,Fit_Matrix!$A:$A,0))),"CHECK KEY"))</f>
        <v/>
      </c>
    </row>
    <row r="1722" customFormat="false" ht="15" hidden="false" customHeight="true" outlineLevel="0" collapsed="false">
      <c r="P1722" s="1" t="str">
        <f aca="false">IF(OR(F1722="",H1722="",J1722=""),"",J1722&amp;"|"&amp;F1722&amp;"|"&amp;IF(H1722="W3","W3_"&amp;IF(I1722="","unknown",I1722),H1722))</f>
        <v/>
      </c>
      <c r="Q1722" s="1" t="str">
        <f aca="false">IF(P1722="","",IFERROR(IF(AND(H1722="W7",OR(F1722="causal",F1722="predictive")),IF(AND(K1722=1,L1722=1,M1722=1),"adequate","partial"),INDEX(Fit_Matrix!$B:$B,MATCH(P1722,Fit_Matrix!$A:$A,0))),"CHECK KEY"))</f>
        <v/>
      </c>
    </row>
    <row r="1723" customFormat="false" ht="15" hidden="false" customHeight="true" outlineLevel="0" collapsed="false">
      <c r="P1723" s="1" t="str">
        <f aca="false">IF(OR(F1723="",H1723="",J1723=""),"",J1723&amp;"|"&amp;F1723&amp;"|"&amp;IF(H1723="W3","W3_"&amp;IF(I1723="","unknown",I1723),H1723))</f>
        <v/>
      </c>
      <c r="Q1723" s="1" t="str">
        <f aca="false">IF(P1723="","",IFERROR(IF(AND(H1723="W7",OR(F1723="causal",F1723="predictive")),IF(AND(K1723=1,L1723=1,M1723=1),"adequate","partial"),INDEX(Fit_Matrix!$B:$B,MATCH(P1723,Fit_Matrix!$A:$A,0))),"CHECK KEY"))</f>
        <v/>
      </c>
    </row>
    <row r="1724" customFormat="false" ht="15" hidden="false" customHeight="true" outlineLevel="0" collapsed="false">
      <c r="P1724" s="1" t="str">
        <f aca="false">IF(OR(F1724="",H1724="",J1724=""),"",J1724&amp;"|"&amp;F1724&amp;"|"&amp;IF(H1724="W3","W3_"&amp;IF(I1724="","unknown",I1724),H1724))</f>
        <v/>
      </c>
      <c r="Q1724" s="1" t="str">
        <f aca="false">IF(P1724="","",IFERROR(IF(AND(H1724="W7",OR(F1724="causal",F1724="predictive")),IF(AND(K1724=1,L1724=1,M1724=1),"adequate","partial"),INDEX(Fit_Matrix!$B:$B,MATCH(P1724,Fit_Matrix!$A:$A,0))),"CHECK KEY"))</f>
        <v/>
      </c>
    </row>
    <row r="1725" customFormat="false" ht="15" hidden="false" customHeight="true" outlineLevel="0" collapsed="false">
      <c r="P1725" s="1" t="str">
        <f aca="false">IF(OR(F1725="",H1725="",J1725=""),"",J1725&amp;"|"&amp;F1725&amp;"|"&amp;IF(H1725="W3","W3_"&amp;IF(I1725="","unknown",I1725),H1725))</f>
        <v/>
      </c>
      <c r="Q1725" s="1" t="str">
        <f aca="false">IF(P1725="","",IFERROR(IF(AND(H1725="W7",OR(F1725="causal",F1725="predictive")),IF(AND(K1725=1,L1725=1,M1725=1),"adequate","partial"),INDEX(Fit_Matrix!$B:$B,MATCH(P1725,Fit_Matrix!$A:$A,0))),"CHECK KEY"))</f>
        <v/>
      </c>
    </row>
    <row r="1726" customFormat="false" ht="15" hidden="false" customHeight="true" outlineLevel="0" collapsed="false">
      <c r="P1726" s="1" t="str">
        <f aca="false">IF(OR(F1726="",H1726="",J1726=""),"",J1726&amp;"|"&amp;F1726&amp;"|"&amp;IF(H1726="W3","W3_"&amp;IF(I1726="","unknown",I1726),H1726))</f>
        <v/>
      </c>
      <c r="Q1726" s="1" t="str">
        <f aca="false">IF(P1726="","",IFERROR(IF(AND(H1726="W7",OR(F1726="causal",F1726="predictive")),IF(AND(K1726=1,L1726=1,M1726=1),"adequate","partial"),INDEX(Fit_Matrix!$B:$B,MATCH(P1726,Fit_Matrix!$A:$A,0))),"CHECK KEY"))</f>
        <v/>
      </c>
    </row>
    <row r="1727" customFormat="false" ht="15" hidden="false" customHeight="true" outlineLevel="0" collapsed="false">
      <c r="P1727" s="1" t="str">
        <f aca="false">IF(OR(F1727="",H1727="",J1727=""),"",J1727&amp;"|"&amp;F1727&amp;"|"&amp;IF(H1727="W3","W3_"&amp;IF(I1727="","unknown",I1727),H1727))</f>
        <v/>
      </c>
      <c r="Q1727" s="1" t="str">
        <f aca="false">IF(P1727="","",IFERROR(IF(AND(H1727="W7",OR(F1727="causal",F1727="predictive")),IF(AND(K1727=1,L1727=1,M1727=1),"adequate","partial"),INDEX(Fit_Matrix!$B:$B,MATCH(P1727,Fit_Matrix!$A:$A,0))),"CHECK KEY"))</f>
        <v/>
      </c>
    </row>
    <row r="1728" customFormat="false" ht="15" hidden="false" customHeight="true" outlineLevel="0" collapsed="false">
      <c r="P1728" s="1" t="str">
        <f aca="false">IF(OR(F1728="",H1728="",J1728=""),"",J1728&amp;"|"&amp;F1728&amp;"|"&amp;IF(H1728="W3","W3_"&amp;IF(I1728="","unknown",I1728),H1728))</f>
        <v/>
      </c>
      <c r="Q1728" s="1" t="str">
        <f aca="false">IF(P1728="","",IFERROR(IF(AND(H1728="W7",OR(F1728="causal",F1728="predictive")),IF(AND(K1728=1,L1728=1,M1728=1),"adequate","partial"),INDEX(Fit_Matrix!$B:$B,MATCH(P1728,Fit_Matrix!$A:$A,0))),"CHECK KEY"))</f>
        <v/>
      </c>
    </row>
    <row r="1729" customFormat="false" ht="15" hidden="false" customHeight="true" outlineLevel="0" collapsed="false">
      <c r="P1729" s="1" t="str">
        <f aca="false">IF(OR(F1729="",H1729="",J1729=""),"",J1729&amp;"|"&amp;F1729&amp;"|"&amp;IF(H1729="W3","W3_"&amp;IF(I1729="","unknown",I1729),H1729))</f>
        <v/>
      </c>
      <c r="Q1729" s="1" t="str">
        <f aca="false">IF(P1729="","",IFERROR(IF(AND(H1729="W7",OR(F1729="causal",F1729="predictive")),IF(AND(K1729=1,L1729=1,M1729=1),"adequate","partial"),INDEX(Fit_Matrix!$B:$B,MATCH(P1729,Fit_Matrix!$A:$A,0))),"CHECK KEY"))</f>
        <v/>
      </c>
    </row>
    <row r="1730" customFormat="false" ht="15" hidden="false" customHeight="true" outlineLevel="0" collapsed="false">
      <c r="P1730" s="1" t="str">
        <f aca="false">IF(OR(F1730="",H1730="",J1730=""),"",J1730&amp;"|"&amp;F1730&amp;"|"&amp;IF(H1730="W3","W3_"&amp;IF(I1730="","unknown",I1730),H1730))</f>
        <v/>
      </c>
      <c r="Q1730" s="1" t="str">
        <f aca="false">IF(P1730="","",IFERROR(IF(AND(H1730="W7",OR(F1730="causal",F1730="predictive")),IF(AND(K1730=1,L1730=1,M1730=1),"adequate","partial"),INDEX(Fit_Matrix!$B:$B,MATCH(P1730,Fit_Matrix!$A:$A,0))),"CHECK KEY"))</f>
        <v/>
      </c>
    </row>
    <row r="1731" customFormat="false" ht="15" hidden="false" customHeight="true" outlineLevel="0" collapsed="false">
      <c r="P1731" s="1" t="str">
        <f aca="false">IF(OR(F1731="",H1731="",J1731=""),"",J1731&amp;"|"&amp;F1731&amp;"|"&amp;IF(H1731="W3","W3_"&amp;IF(I1731="","unknown",I1731),H1731))</f>
        <v/>
      </c>
      <c r="Q1731" s="1" t="str">
        <f aca="false">IF(P1731="","",IFERROR(IF(AND(H1731="W7",OR(F1731="causal",F1731="predictive")),IF(AND(K1731=1,L1731=1,M1731=1),"adequate","partial"),INDEX(Fit_Matrix!$B:$B,MATCH(P1731,Fit_Matrix!$A:$A,0))),"CHECK KEY"))</f>
        <v/>
      </c>
    </row>
    <row r="1732" customFormat="false" ht="15" hidden="false" customHeight="true" outlineLevel="0" collapsed="false">
      <c r="P1732" s="1" t="str">
        <f aca="false">IF(OR(F1732="",H1732="",J1732=""),"",J1732&amp;"|"&amp;F1732&amp;"|"&amp;IF(H1732="W3","W3_"&amp;IF(I1732="","unknown",I1732),H1732))</f>
        <v/>
      </c>
      <c r="Q1732" s="1" t="str">
        <f aca="false">IF(P1732="","",IFERROR(IF(AND(H1732="W7",OR(F1732="causal",F1732="predictive")),IF(AND(K1732=1,L1732=1,M1732=1),"adequate","partial"),INDEX(Fit_Matrix!$B:$B,MATCH(P1732,Fit_Matrix!$A:$A,0))),"CHECK KEY"))</f>
        <v/>
      </c>
    </row>
    <row r="1733" customFormat="false" ht="15" hidden="false" customHeight="true" outlineLevel="0" collapsed="false">
      <c r="P1733" s="1" t="str">
        <f aca="false">IF(OR(F1733="",H1733="",J1733=""),"",J1733&amp;"|"&amp;F1733&amp;"|"&amp;IF(H1733="W3","W3_"&amp;IF(I1733="","unknown",I1733),H1733))</f>
        <v/>
      </c>
      <c r="Q1733" s="1" t="str">
        <f aca="false">IF(P1733="","",IFERROR(IF(AND(H1733="W7",OR(F1733="causal",F1733="predictive")),IF(AND(K1733=1,L1733=1,M1733=1),"adequate","partial"),INDEX(Fit_Matrix!$B:$B,MATCH(P1733,Fit_Matrix!$A:$A,0))),"CHECK KEY"))</f>
        <v/>
      </c>
    </row>
    <row r="1734" customFormat="false" ht="15" hidden="false" customHeight="true" outlineLevel="0" collapsed="false">
      <c r="P1734" s="1" t="str">
        <f aca="false">IF(OR(F1734="",H1734="",J1734=""),"",J1734&amp;"|"&amp;F1734&amp;"|"&amp;IF(H1734="W3","W3_"&amp;IF(I1734="","unknown",I1734),H1734))</f>
        <v/>
      </c>
      <c r="Q1734" s="1" t="str">
        <f aca="false">IF(P1734="","",IFERROR(IF(AND(H1734="W7",OR(F1734="causal",F1734="predictive")),IF(AND(K1734=1,L1734=1,M1734=1),"adequate","partial"),INDEX(Fit_Matrix!$B:$B,MATCH(P1734,Fit_Matrix!$A:$A,0))),"CHECK KEY"))</f>
        <v/>
      </c>
    </row>
    <row r="1735" customFormat="false" ht="15" hidden="false" customHeight="true" outlineLevel="0" collapsed="false">
      <c r="P1735" s="1" t="str">
        <f aca="false">IF(OR(F1735="",H1735="",J1735=""),"",J1735&amp;"|"&amp;F1735&amp;"|"&amp;IF(H1735="W3","W3_"&amp;IF(I1735="","unknown",I1735),H1735))</f>
        <v/>
      </c>
      <c r="Q1735" s="1" t="str">
        <f aca="false">IF(P1735="","",IFERROR(IF(AND(H1735="W7",OR(F1735="causal",F1735="predictive")),IF(AND(K1735=1,L1735=1,M1735=1),"adequate","partial"),INDEX(Fit_Matrix!$B:$B,MATCH(P1735,Fit_Matrix!$A:$A,0))),"CHECK KEY"))</f>
        <v/>
      </c>
    </row>
    <row r="1736" customFormat="false" ht="15" hidden="false" customHeight="true" outlineLevel="0" collapsed="false">
      <c r="P1736" s="1" t="str">
        <f aca="false">IF(OR(F1736="",H1736="",J1736=""),"",J1736&amp;"|"&amp;F1736&amp;"|"&amp;IF(H1736="W3","W3_"&amp;IF(I1736="","unknown",I1736),H1736))</f>
        <v/>
      </c>
      <c r="Q1736" s="1" t="str">
        <f aca="false">IF(P1736="","",IFERROR(IF(AND(H1736="W7",OR(F1736="causal",F1736="predictive")),IF(AND(K1736=1,L1736=1,M1736=1),"adequate","partial"),INDEX(Fit_Matrix!$B:$B,MATCH(P1736,Fit_Matrix!$A:$A,0))),"CHECK KEY"))</f>
        <v/>
      </c>
    </row>
    <row r="1737" customFormat="false" ht="15" hidden="false" customHeight="true" outlineLevel="0" collapsed="false">
      <c r="P1737" s="1" t="str">
        <f aca="false">IF(OR(F1737="",H1737="",J1737=""),"",J1737&amp;"|"&amp;F1737&amp;"|"&amp;IF(H1737="W3","W3_"&amp;IF(I1737="","unknown",I1737),H1737))</f>
        <v/>
      </c>
      <c r="Q1737" s="1" t="str">
        <f aca="false">IF(P1737="","",IFERROR(IF(AND(H1737="W7",OR(F1737="causal",F1737="predictive")),IF(AND(K1737=1,L1737=1,M1737=1),"adequate","partial"),INDEX(Fit_Matrix!$B:$B,MATCH(P1737,Fit_Matrix!$A:$A,0))),"CHECK KEY"))</f>
        <v/>
      </c>
    </row>
    <row r="1738" customFormat="false" ht="15" hidden="false" customHeight="true" outlineLevel="0" collapsed="false">
      <c r="P1738" s="1" t="str">
        <f aca="false">IF(OR(F1738="",H1738="",J1738=""),"",J1738&amp;"|"&amp;F1738&amp;"|"&amp;IF(H1738="W3","W3_"&amp;IF(I1738="","unknown",I1738),H1738))</f>
        <v/>
      </c>
      <c r="Q1738" s="1" t="str">
        <f aca="false">IF(P1738="","",IFERROR(IF(AND(H1738="W7",OR(F1738="causal",F1738="predictive")),IF(AND(K1738=1,L1738=1,M1738=1),"adequate","partial"),INDEX(Fit_Matrix!$B:$B,MATCH(P1738,Fit_Matrix!$A:$A,0))),"CHECK KEY"))</f>
        <v/>
      </c>
    </row>
    <row r="1739" customFormat="false" ht="15" hidden="false" customHeight="true" outlineLevel="0" collapsed="false">
      <c r="P1739" s="1" t="str">
        <f aca="false">IF(OR(F1739="",H1739="",J1739=""),"",J1739&amp;"|"&amp;F1739&amp;"|"&amp;IF(H1739="W3","W3_"&amp;IF(I1739="","unknown",I1739),H1739))</f>
        <v/>
      </c>
      <c r="Q1739" s="1" t="str">
        <f aca="false">IF(P1739="","",IFERROR(IF(AND(H1739="W7",OR(F1739="causal",F1739="predictive")),IF(AND(K1739=1,L1739=1,M1739=1),"adequate","partial"),INDEX(Fit_Matrix!$B:$B,MATCH(P1739,Fit_Matrix!$A:$A,0))),"CHECK KEY"))</f>
        <v/>
      </c>
    </row>
    <row r="1740" customFormat="false" ht="15" hidden="false" customHeight="true" outlineLevel="0" collapsed="false">
      <c r="P1740" s="1" t="str">
        <f aca="false">IF(OR(F1740="",H1740="",J1740=""),"",J1740&amp;"|"&amp;F1740&amp;"|"&amp;IF(H1740="W3","W3_"&amp;IF(I1740="","unknown",I1740),H1740))</f>
        <v/>
      </c>
      <c r="Q1740" s="1" t="str">
        <f aca="false">IF(P1740="","",IFERROR(IF(AND(H1740="W7",OR(F1740="causal",F1740="predictive")),IF(AND(K1740=1,L1740=1,M1740=1),"adequate","partial"),INDEX(Fit_Matrix!$B:$B,MATCH(P1740,Fit_Matrix!$A:$A,0))),"CHECK KEY"))</f>
        <v/>
      </c>
    </row>
    <row r="1741" customFormat="false" ht="15" hidden="false" customHeight="true" outlineLevel="0" collapsed="false">
      <c r="P1741" s="1" t="str">
        <f aca="false">IF(OR(F1741="",H1741="",J1741=""),"",J1741&amp;"|"&amp;F1741&amp;"|"&amp;IF(H1741="W3","W3_"&amp;IF(I1741="","unknown",I1741),H1741))</f>
        <v/>
      </c>
      <c r="Q1741" s="1" t="str">
        <f aca="false">IF(P1741="","",IFERROR(IF(AND(H1741="W7",OR(F1741="causal",F1741="predictive")),IF(AND(K1741=1,L1741=1,M1741=1),"adequate","partial"),INDEX(Fit_Matrix!$B:$B,MATCH(P1741,Fit_Matrix!$A:$A,0))),"CHECK KEY"))</f>
        <v/>
      </c>
    </row>
    <row r="1742" customFormat="false" ht="15" hidden="false" customHeight="true" outlineLevel="0" collapsed="false">
      <c r="P1742" s="1" t="str">
        <f aca="false">IF(OR(F1742="",H1742="",J1742=""),"",J1742&amp;"|"&amp;F1742&amp;"|"&amp;IF(H1742="W3","W3_"&amp;IF(I1742="","unknown",I1742),H1742))</f>
        <v/>
      </c>
      <c r="Q1742" s="1" t="str">
        <f aca="false">IF(P1742="","",IFERROR(IF(AND(H1742="W7",OR(F1742="causal",F1742="predictive")),IF(AND(K1742=1,L1742=1,M1742=1),"adequate","partial"),INDEX(Fit_Matrix!$B:$B,MATCH(P1742,Fit_Matrix!$A:$A,0))),"CHECK KEY"))</f>
        <v/>
      </c>
    </row>
    <row r="1743" customFormat="false" ht="15" hidden="false" customHeight="true" outlineLevel="0" collapsed="false">
      <c r="P1743" s="1" t="str">
        <f aca="false">IF(OR(F1743="",H1743="",J1743=""),"",J1743&amp;"|"&amp;F1743&amp;"|"&amp;IF(H1743="W3","W3_"&amp;IF(I1743="","unknown",I1743),H1743))</f>
        <v/>
      </c>
      <c r="Q1743" s="1" t="str">
        <f aca="false">IF(P1743="","",IFERROR(IF(AND(H1743="W7",OR(F1743="causal",F1743="predictive")),IF(AND(K1743=1,L1743=1,M1743=1),"adequate","partial"),INDEX(Fit_Matrix!$B:$B,MATCH(P1743,Fit_Matrix!$A:$A,0))),"CHECK KEY"))</f>
        <v/>
      </c>
    </row>
    <row r="1744" customFormat="false" ht="15" hidden="false" customHeight="true" outlineLevel="0" collapsed="false">
      <c r="P1744" s="1" t="str">
        <f aca="false">IF(OR(F1744="",H1744="",J1744=""),"",J1744&amp;"|"&amp;F1744&amp;"|"&amp;IF(H1744="W3","W3_"&amp;IF(I1744="","unknown",I1744),H1744))</f>
        <v/>
      </c>
      <c r="Q1744" s="1" t="str">
        <f aca="false">IF(P1744="","",IFERROR(IF(AND(H1744="W7",OR(F1744="causal",F1744="predictive")),IF(AND(K1744=1,L1744=1,M1744=1),"adequate","partial"),INDEX(Fit_Matrix!$B:$B,MATCH(P1744,Fit_Matrix!$A:$A,0))),"CHECK KEY"))</f>
        <v/>
      </c>
    </row>
    <row r="1745" customFormat="false" ht="15" hidden="false" customHeight="true" outlineLevel="0" collapsed="false">
      <c r="P1745" s="1" t="str">
        <f aca="false">IF(OR(F1745="",H1745="",J1745=""),"",J1745&amp;"|"&amp;F1745&amp;"|"&amp;IF(H1745="W3","W3_"&amp;IF(I1745="","unknown",I1745),H1745))</f>
        <v/>
      </c>
      <c r="Q1745" s="1" t="str">
        <f aca="false">IF(P1745="","",IFERROR(IF(AND(H1745="W7",OR(F1745="causal",F1745="predictive")),IF(AND(K1745=1,L1745=1,M1745=1),"adequate","partial"),INDEX(Fit_Matrix!$B:$B,MATCH(P1745,Fit_Matrix!$A:$A,0))),"CHECK KEY"))</f>
        <v/>
      </c>
    </row>
    <row r="1746" customFormat="false" ht="15" hidden="false" customHeight="true" outlineLevel="0" collapsed="false">
      <c r="P1746" s="1" t="str">
        <f aca="false">IF(OR(F1746="",H1746="",J1746=""),"",J1746&amp;"|"&amp;F1746&amp;"|"&amp;IF(H1746="W3","W3_"&amp;IF(I1746="","unknown",I1746),H1746))</f>
        <v/>
      </c>
      <c r="Q1746" s="1" t="str">
        <f aca="false">IF(P1746="","",IFERROR(IF(AND(H1746="W7",OR(F1746="causal",F1746="predictive")),IF(AND(K1746=1,L1746=1,M1746=1),"adequate","partial"),INDEX(Fit_Matrix!$B:$B,MATCH(P1746,Fit_Matrix!$A:$A,0))),"CHECK KEY"))</f>
        <v/>
      </c>
    </row>
    <row r="1747" customFormat="false" ht="15" hidden="false" customHeight="true" outlineLevel="0" collapsed="false">
      <c r="P1747" s="1" t="str">
        <f aca="false">IF(OR(F1747="",H1747="",J1747=""),"",J1747&amp;"|"&amp;F1747&amp;"|"&amp;IF(H1747="W3","W3_"&amp;IF(I1747="","unknown",I1747),H1747))</f>
        <v/>
      </c>
      <c r="Q1747" s="1" t="str">
        <f aca="false">IF(P1747="","",IFERROR(IF(AND(H1747="W7",OR(F1747="causal",F1747="predictive")),IF(AND(K1747=1,L1747=1,M1747=1),"adequate","partial"),INDEX(Fit_Matrix!$B:$B,MATCH(P1747,Fit_Matrix!$A:$A,0))),"CHECK KEY"))</f>
        <v/>
      </c>
    </row>
    <row r="1748" customFormat="false" ht="15" hidden="false" customHeight="true" outlineLevel="0" collapsed="false">
      <c r="P1748" s="1" t="str">
        <f aca="false">IF(OR(F1748="",H1748="",J1748=""),"",J1748&amp;"|"&amp;F1748&amp;"|"&amp;IF(H1748="W3","W3_"&amp;IF(I1748="","unknown",I1748),H1748))</f>
        <v/>
      </c>
      <c r="Q1748" s="1" t="str">
        <f aca="false">IF(P1748="","",IFERROR(IF(AND(H1748="W7",OR(F1748="causal",F1748="predictive")),IF(AND(K1748=1,L1748=1,M1748=1),"adequate","partial"),INDEX(Fit_Matrix!$B:$B,MATCH(P1748,Fit_Matrix!$A:$A,0))),"CHECK KEY"))</f>
        <v/>
      </c>
    </row>
    <row r="1749" customFormat="false" ht="15" hidden="false" customHeight="true" outlineLevel="0" collapsed="false">
      <c r="P1749" s="1" t="str">
        <f aca="false">IF(OR(F1749="",H1749="",J1749=""),"",J1749&amp;"|"&amp;F1749&amp;"|"&amp;IF(H1749="W3","W3_"&amp;IF(I1749="","unknown",I1749),H1749))</f>
        <v/>
      </c>
      <c r="Q1749" s="1" t="str">
        <f aca="false">IF(P1749="","",IFERROR(IF(AND(H1749="W7",OR(F1749="causal",F1749="predictive")),IF(AND(K1749=1,L1749=1,M1749=1),"adequate","partial"),INDEX(Fit_Matrix!$B:$B,MATCH(P1749,Fit_Matrix!$A:$A,0))),"CHECK KEY"))</f>
        <v/>
      </c>
    </row>
    <row r="1750" customFormat="false" ht="15" hidden="false" customHeight="true" outlineLevel="0" collapsed="false">
      <c r="P1750" s="1" t="str">
        <f aca="false">IF(OR(F1750="",H1750="",J1750=""),"",J1750&amp;"|"&amp;F1750&amp;"|"&amp;IF(H1750="W3","W3_"&amp;IF(I1750="","unknown",I1750),H1750))</f>
        <v/>
      </c>
      <c r="Q1750" s="1" t="str">
        <f aca="false">IF(P1750="","",IFERROR(IF(AND(H1750="W7",OR(F1750="causal",F1750="predictive")),IF(AND(K1750=1,L1750=1,M1750=1),"adequate","partial"),INDEX(Fit_Matrix!$B:$B,MATCH(P1750,Fit_Matrix!$A:$A,0))),"CHECK KEY"))</f>
        <v/>
      </c>
    </row>
    <row r="1751" customFormat="false" ht="15" hidden="false" customHeight="true" outlineLevel="0" collapsed="false">
      <c r="P1751" s="1" t="str">
        <f aca="false">IF(OR(F1751="",H1751="",J1751=""),"",J1751&amp;"|"&amp;F1751&amp;"|"&amp;IF(H1751="W3","W3_"&amp;IF(I1751="","unknown",I1751),H1751))</f>
        <v/>
      </c>
      <c r="Q1751" s="1" t="str">
        <f aca="false">IF(P1751="","",IFERROR(IF(AND(H1751="W7",OR(F1751="causal",F1751="predictive")),IF(AND(K1751=1,L1751=1,M1751=1),"adequate","partial"),INDEX(Fit_Matrix!$B:$B,MATCH(P1751,Fit_Matrix!$A:$A,0))),"CHECK KEY"))</f>
        <v/>
      </c>
    </row>
    <row r="1752" customFormat="false" ht="15" hidden="false" customHeight="true" outlineLevel="0" collapsed="false">
      <c r="P1752" s="1" t="str">
        <f aca="false">IF(OR(F1752="",H1752="",J1752=""),"",J1752&amp;"|"&amp;F1752&amp;"|"&amp;IF(H1752="W3","W3_"&amp;IF(I1752="","unknown",I1752),H1752))</f>
        <v/>
      </c>
      <c r="Q1752" s="1" t="str">
        <f aca="false">IF(P1752="","",IFERROR(IF(AND(H1752="W7",OR(F1752="causal",F1752="predictive")),IF(AND(K1752=1,L1752=1,M1752=1),"adequate","partial"),INDEX(Fit_Matrix!$B:$B,MATCH(P1752,Fit_Matrix!$A:$A,0))),"CHECK KEY"))</f>
        <v/>
      </c>
    </row>
    <row r="1753" customFormat="false" ht="15" hidden="false" customHeight="true" outlineLevel="0" collapsed="false">
      <c r="P1753" s="1" t="str">
        <f aca="false">IF(OR(F1753="",H1753="",J1753=""),"",J1753&amp;"|"&amp;F1753&amp;"|"&amp;IF(H1753="W3","W3_"&amp;IF(I1753="","unknown",I1753),H1753))</f>
        <v/>
      </c>
      <c r="Q1753" s="1" t="str">
        <f aca="false">IF(P1753="","",IFERROR(IF(AND(H1753="W7",OR(F1753="causal",F1753="predictive")),IF(AND(K1753=1,L1753=1,M1753=1),"adequate","partial"),INDEX(Fit_Matrix!$B:$B,MATCH(P1753,Fit_Matrix!$A:$A,0))),"CHECK KEY"))</f>
        <v/>
      </c>
    </row>
    <row r="1754" customFormat="false" ht="15" hidden="false" customHeight="true" outlineLevel="0" collapsed="false">
      <c r="P1754" s="1" t="str">
        <f aca="false">IF(OR(F1754="",H1754="",J1754=""),"",J1754&amp;"|"&amp;F1754&amp;"|"&amp;IF(H1754="W3","W3_"&amp;IF(I1754="","unknown",I1754),H1754))</f>
        <v/>
      </c>
      <c r="Q1754" s="1" t="str">
        <f aca="false">IF(P1754="","",IFERROR(IF(AND(H1754="W7",OR(F1754="causal",F1754="predictive")),IF(AND(K1754=1,L1754=1,M1754=1),"adequate","partial"),INDEX(Fit_Matrix!$B:$B,MATCH(P1754,Fit_Matrix!$A:$A,0))),"CHECK KEY"))</f>
        <v/>
      </c>
    </row>
    <row r="1755" customFormat="false" ht="15" hidden="false" customHeight="true" outlineLevel="0" collapsed="false">
      <c r="P1755" s="1" t="str">
        <f aca="false">IF(OR(F1755="",H1755="",J1755=""),"",J1755&amp;"|"&amp;F1755&amp;"|"&amp;IF(H1755="W3","W3_"&amp;IF(I1755="","unknown",I1755),H1755))</f>
        <v/>
      </c>
      <c r="Q1755" s="1" t="str">
        <f aca="false">IF(P1755="","",IFERROR(IF(AND(H1755="W7",OR(F1755="causal",F1755="predictive")),IF(AND(K1755=1,L1755=1,M1755=1),"adequate","partial"),INDEX(Fit_Matrix!$B:$B,MATCH(P1755,Fit_Matrix!$A:$A,0))),"CHECK KEY"))</f>
        <v/>
      </c>
    </row>
    <row r="1756" customFormat="false" ht="15" hidden="false" customHeight="true" outlineLevel="0" collapsed="false">
      <c r="P1756" s="1" t="str">
        <f aca="false">IF(OR(F1756="",H1756="",J1756=""),"",J1756&amp;"|"&amp;F1756&amp;"|"&amp;IF(H1756="W3","W3_"&amp;IF(I1756="","unknown",I1756),H1756))</f>
        <v/>
      </c>
      <c r="Q1756" s="1" t="str">
        <f aca="false">IF(P1756="","",IFERROR(IF(AND(H1756="W7",OR(F1756="causal",F1756="predictive")),IF(AND(K1756=1,L1756=1,M1756=1),"adequate","partial"),INDEX(Fit_Matrix!$B:$B,MATCH(P1756,Fit_Matrix!$A:$A,0))),"CHECK KEY"))</f>
        <v/>
      </c>
    </row>
    <row r="1757" customFormat="false" ht="15" hidden="false" customHeight="true" outlineLevel="0" collapsed="false">
      <c r="P1757" s="1" t="str">
        <f aca="false">IF(OR(F1757="",H1757="",J1757=""),"",J1757&amp;"|"&amp;F1757&amp;"|"&amp;IF(H1757="W3","W3_"&amp;IF(I1757="","unknown",I1757),H1757))</f>
        <v/>
      </c>
      <c r="Q1757" s="1" t="str">
        <f aca="false">IF(P1757="","",IFERROR(IF(AND(H1757="W7",OR(F1757="causal",F1757="predictive")),IF(AND(K1757=1,L1757=1,M1757=1),"adequate","partial"),INDEX(Fit_Matrix!$B:$B,MATCH(P1757,Fit_Matrix!$A:$A,0))),"CHECK KEY"))</f>
        <v/>
      </c>
    </row>
    <row r="1758" customFormat="false" ht="15" hidden="false" customHeight="true" outlineLevel="0" collapsed="false">
      <c r="P1758" s="1" t="str">
        <f aca="false">IF(OR(F1758="",H1758="",J1758=""),"",J1758&amp;"|"&amp;F1758&amp;"|"&amp;IF(H1758="W3","W3_"&amp;IF(I1758="","unknown",I1758),H1758))</f>
        <v/>
      </c>
      <c r="Q1758" s="1" t="str">
        <f aca="false">IF(P1758="","",IFERROR(IF(AND(H1758="W7",OR(F1758="causal",F1758="predictive")),IF(AND(K1758=1,L1758=1,M1758=1),"adequate","partial"),INDEX(Fit_Matrix!$B:$B,MATCH(P1758,Fit_Matrix!$A:$A,0))),"CHECK KEY"))</f>
        <v/>
      </c>
    </row>
    <row r="1759" customFormat="false" ht="15" hidden="false" customHeight="true" outlineLevel="0" collapsed="false">
      <c r="P1759" s="1" t="str">
        <f aca="false">IF(OR(F1759="",H1759="",J1759=""),"",J1759&amp;"|"&amp;F1759&amp;"|"&amp;IF(H1759="W3","W3_"&amp;IF(I1759="","unknown",I1759),H1759))</f>
        <v/>
      </c>
      <c r="Q1759" s="1" t="str">
        <f aca="false">IF(P1759="","",IFERROR(IF(AND(H1759="W7",OR(F1759="causal",F1759="predictive")),IF(AND(K1759=1,L1759=1,M1759=1),"adequate","partial"),INDEX(Fit_Matrix!$B:$B,MATCH(P1759,Fit_Matrix!$A:$A,0))),"CHECK KEY"))</f>
        <v/>
      </c>
    </row>
    <row r="1760" customFormat="false" ht="15" hidden="false" customHeight="true" outlineLevel="0" collapsed="false">
      <c r="P1760" s="1" t="str">
        <f aca="false">IF(OR(F1760="",H1760="",J1760=""),"",J1760&amp;"|"&amp;F1760&amp;"|"&amp;IF(H1760="W3","W3_"&amp;IF(I1760="","unknown",I1760),H1760))</f>
        <v/>
      </c>
      <c r="Q1760" s="1" t="str">
        <f aca="false">IF(P1760="","",IFERROR(IF(AND(H1760="W7",OR(F1760="causal",F1760="predictive")),IF(AND(K1760=1,L1760=1,M1760=1),"adequate","partial"),INDEX(Fit_Matrix!$B:$B,MATCH(P1760,Fit_Matrix!$A:$A,0))),"CHECK KEY"))</f>
        <v/>
      </c>
    </row>
    <row r="1761" customFormat="false" ht="15" hidden="false" customHeight="true" outlineLevel="0" collapsed="false">
      <c r="P1761" s="1" t="str">
        <f aca="false">IF(OR(F1761="",H1761="",J1761=""),"",J1761&amp;"|"&amp;F1761&amp;"|"&amp;IF(H1761="W3","W3_"&amp;IF(I1761="","unknown",I1761),H1761))</f>
        <v/>
      </c>
      <c r="Q1761" s="1" t="str">
        <f aca="false">IF(P1761="","",IFERROR(IF(AND(H1761="W7",OR(F1761="causal",F1761="predictive")),IF(AND(K1761=1,L1761=1,M1761=1),"adequate","partial"),INDEX(Fit_Matrix!$B:$B,MATCH(P1761,Fit_Matrix!$A:$A,0))),"CHECK KEY"))</f>
        <v/>
      </c>
    </row>
    <row r="1762" customFormat="false" ht="15" hidden="false" customHeight="true" outlineLevel="0" collapsed="false">
      <c r="P1762" s="1" t="str">
        <f aca="false">IF(OR(F1762="",H1762="",J1762=""),"",J1762&amp;"|"&amp;F1762&amp;"|"&amp;IF(H1762="W3","W3_"&amp;IF(I1762="","unknown",I1762),H1762))</f>
        <v/>
      </c>
      <c r="Q1762" s="1" t="str">
        <f aca="false">IF(P1762="","",IFERROR(IF(AND(H1762="W7",OR(F1762="causal",F1762="predictive")),IF(AND(K1762=1,L1762=1,M1762=1),"adequate","partial"),INDEX(Fit_Matrix!$B:$B,MATCH(P1762,Fit_Matrix!$A:$A,0))),"CHECK KEY"))</f>
        <v/>
      </c>
    </row>
    <row r="1763" customFormat="false" ht="15" hidden="false" customHeight="true" outlineLevel="0" collapsed="false">
      <c r="P1763" s="1" t="str">
        <f aca="false">IF(OR(F1763="",H1763="",J1763=""),"",J1763&amp;"|"&amp;F1763&amp;"|"&amp;IF(H1763="W3","W3_"&amp;IF(I1763="","unknown",I1763),H1763))</f>
        <v/>
      </c>
      <c r="Q1763" s="1" t="str">
        <f aca="false">IF(P1763="","",IFERROR(IF(AND(H1763="W7",OR(F1763="causal",F1763="predictive")),IF(AND(K1763=1,L1763=1,M1763=1),"adequate","partial"),INDEX(Fit_Matrix!$B:$B,MATCH(P1763,Fit_Matrix!$A:$A,0))),"CHECK KEY"))</f>
        <v/>
      </c>
    </row>
    <row r="1764" customFormat="false" ht="15" hidden="false" customHeight="true" outlineLevel="0" collapsed="false">
      <c r="P1764" s="1" t="str">
        <f aca="false">IF(OR(F1764="",H1764="",J1764=""),"",J1764&amp;"|"&amp;F1764&amp;"|"&amp;IF(H1764="W3","W3_"&amp;IF(I1764="","unknown",I1764),H1764))</f>
        <v/>
      </c>
      <c r="Q1764" s="1" t="str">
        <f aca="false">IF(P1764="","",IFERROR(IF(AND(H1764="W7",OR(F1764="causal",F1764="predictive")),IF(AND(K1764=1,L1764=1,M1764=1),"adequate","partial"),INDEX(Fit_Matrix!$B:$B,MATCH(P1764,Fit_Matrix!$A:$A,0))),"CHECK KEY"))</f>
        <v/>
      </c>
    </row>
    <row r="1765" customFormat="false" ht="15" hidden="false" customHeight="true" outlineLevel="0" collapsed="false">
      <c r="P1765" s="1" t="str">
        <f aca="false">IF(OR(F1765="",H1765="",J1765=""),"",J1765&amp;"|"&amp;F1765&amp;"|"&amp;IF(H1765="W3","W3_"&amp;IF(I1765="","unknown",I1765),H1765))</f>
        <v/>
      </c>
      <c r="Q1765" s="1" t="str">
        <f aca="false">IF(P1765="","",IFERROR(IF(AND(H1765="W7",OR(F1765="causal",F1765="predictive")),IF(AND(K1765=1,L1765=1,M1765=1),"adequate","partial"),INDEX(Fit_Matrix!$B:$B,MATCH(P1765,Fit_Matrix!$A:$A,0))),"CHECK KEY"))</f>
        <v/>
      </c>
    </row>
    <row r="1766" customFormat="false" ht="15" hidden="false" customHeight="true" outlineLevel="0" collapsed="false">
      <c r="P1766" s="1" t="str">
        <f aca="false">IF(OR(F1766="",H1766="",J1766=""),"",J1766&amp;"|"&amp;F1766&amp;"|"&amp;IF(H1766="W3","W3_"&amp;IF(I1766="","unknown",I1766),H1766))</f>
        <v/>
      </c>
      <c r="Q1766" s="1" t="str">
        <f aca="false">IF(P1766="","",IFERROR(IF(AND(H1766="W7",OR(F1766="causal",F1766="predictive")),IF(AND(K1766=1,L1766=1,M1766=1),"adequate","partial"),INDEX(Fit_Matrix!$B:$B,MATCH(P1766,Fit_Matrix!$A:$A,0))),"CHECK KEY"))</f>
        <v/>
      </c>
    </row>
    <row r="1767" customFormat="false" ht="15" hidden="false" customHeight="true" outlineLevel="0" collapsed="false">
      <c r="P1767" s="1" t="str">
        <f aca="false">IF(OR(F1767="",H1767="",J1767=""),"",J1767&amp;"|"&amp;F1767&amp;"|"&amp;IF(H1767="W3","W3_"&amp;IF(I1767="","unknown",I1767),H1767))</f>
        <v/>
      </c>
      <c r="Q1767" s="1" t="str">
        <f aca="false">IF(P1767="","",IFERROR(IF(AND(H1767="W7",OR(F1767="causal",F1767="predictive")),IF(AND(K1767=1,L1767=1,M1767=1),"adequate","partial"),INDEX(Fit_Matrix!$B:$B,MATCH(P1767,Fit_Matrix!$A:$A,0))),"CHECK KEY"))</f>
        <v/>
      </c>
    </row>
    <row r="1768" customFormat="false" ht="15" hidden="false" customHeight="true" outlineLevel="0" collapsed="false">
      <c r="P1768" s="1" t="str">
        <f aca="false">IF(OR(F1768="",H1768="",J1768=""),"",J1768&amp;"|"&amp;F1768&amp;"|"&amp;IF(H1768="W3","W3_"&amp;IF(I1768="","unknown",I1768),H1768))</f>
        <v/>
      </c>
      <c r="Q1768" s="1" t="str">
        <f aca="false">IF(P1768="","",IFERROR(IF(AND(H1768="W7",OR(F1768="causal",F1768="predictive")),IF(AND(K1768=1,L1768=1,M1768=1),"adequate","partial"),INDEX(Fit_Matrix!$B:$B,MATCH(P1768,Fit_Matrix!$A:$A,0))),"CHECK KEY"))</f>
        <v/>
      </c>
    </row>
    <row r="1769" customFormat="false" ht="15" hidden="false" customHeight="true" outlineLevel="0" collapsed="false">
      <c r="P1769" s="1" t="str">
        <f aca="false">IF(OR(F1769="",H1769="",J1769=""),"",J1769&amp;"|"&amp;F1769&amp;"|"&amp;IF(H1769="W3","W3_"&amp;IF(I1769="","unknown",I1769),H1769))</f>
        <v/>
      </c>
      <c r="Q1769" s="1" t="str">
        <f aca="false">IF(P1769="","",IFERROR(IF(AND(H1769="W7",OR(F1769="causal",F1769="predictive")),IF(AND(K1769=1,L1769=1,M1769=1),"adequate","partial"),INDEX(Fit_Matrix!$B:$B,MATCH(P1769,Fit_Matrix!$A:$A,0))),"CHECK KEY"))</f>
        <v/>
      </c>
    </row>
    <row r="1770" customFormat="false" ht="15" hidden="false" customHeight="true" outlineLevel="0" collapsed="false">
      <c r="P1770" s="1" t="str">
        <f aca="false">IF(OR(F1770="",H1770="",J1770=""),"",J1770&amp;"|"&amp;F1770&amp;"|"&amp;IF(H1770="W3","W3_"&amp;IF(I1770="","unknown",I1770),H1770))</f>
        <v/>
      </c>
      <c r="Q1770" s="1" t="str">
        <f aca="false">IF(P1770="","",IFERROR(IF(AND(H1770="W7",OR(F1770="causal",F1770="predictive")),IF(AND(K1770=1,L1770=1,M1770=1),"adequate","partial"),INDEX(Fit_Matrix!$B:$B,MATCH(P1770,Fit_Matrix!$A:$A,0))),"CHECK KEY"))</f>
        <v/>
      </c>
    </row>
    <row r="1771" customFormat="false" ht="15" hidden="false" customHeight="true" outlineLevel="0" collapsed="false">
      <c r="P1771" s="1" t="str">
        <f aca="false">IF(OR(F1771="",H1771="",J1771=""),"",J1771&amp;"|"&amp;F1771&amp;"|"&amp;IF(H1771="W3","W3_"&amp;IF(I1771="","unknown",I1771),H1771))</f>
        <v/>
      </c>
      <c r="Q1771" s="1" t="str">
        <f aca="false">IF(P1771="","",IFERROR(IF(AND(H1771="W7",OR(F1771="causal",F1771="predictive")),IF(AND(K1771=1,L1771=1,M1771=1),"adequate","partial"),INDEX(Fit_Matrix!$B:$B,MATCH(P1771,Fit_Matrix!$A:$A,0))),"CHECK KEY"))</f>
        <v/>
      </c>
    </row>
    <row r="1772" customFormat="false" ht="15" hidden="false" customHeight="true" outlineLevel="0" collapsed="false">
      <c r="P1772" s="1" t="str">
        <f aca="false">IF(OR(F1772="",H1772="",J1772=""),"",J1772&amp;"|"&amp;F1772&amp;"|"&amp;IF(H1772="W3","W3_"&amp;IF(I1772="","unknown",I1772),H1772))</f>
        <v/>
      </c>
      <c r="Q1772" s="1" t="str">
        <f aca="false">IF(P1772="","",IFERROR(IF(AND(H1772="W7",OR(F1772="causal",F1772="predictive")),IF(AND(K1772=1,L1772=1,M1772=1),"adequate","partial"),INDEX(Fit_Matrix!$B:$B,MATCH(P1772,Fit_Matrix!$A:$A,0))),"CHECK KEY"))</f>
        <v/>
      </c>
    </row>
    <row r="1773" customFormat="false" ht="15" hidden="false" customHeight="true" outlineLevel="0" collapsed="false">
      <c r="P1773" s="1" t="str">
        <f aca="false">IF(OR(F1773="",H1773="",J1773=""),"",J1773&amp;"|"&amp;F1773&amp;"|"&amp;IF(H1773="W3","W3_"&amp;IF(I1773="","unknown",I1773),H1773))</f>
        <v/>
      </c>
      <c r="Q1773" s="1" t="str">
        <f aca="false">IF(P1773="","",IFERROR(IF(AND(H1773="W7",OR(F1773="causal",F1773="predictive")),IF(AND(K1773=1,L1773=1,M1773=1),"adequate","partial"),INDEX(Fit_Matrix!$B:$B,MATCH(P1773,Fit_Matrix!$A:$A,0))),"CHECK KEY"))</f>
        <v/>
      </c>
    </row>
    <row r="1774" customFormat="false" ht="15" hidden="false" customHeight="true" outlineLevel="0" collapsed="false">
      <c r="P1774" s="1" t="str">
        <f aca="false">IF(OR(F1774="",H1774="",J1774=""),"",J1774&amp;"|"&amp;F1774&amp;"|"&amp;IF(H1774="W3","W3_"&amp;IF(I1774="","unknown",I1774),H1774))</f>
        <v/>
      </c>
      <c r="Q1774" s="1" t="str">
        <f aca="false">IF(P1774="","",IFERROR(IF(AND(H1774="W7",OR(F1774="causal",F1774="predictive")),IF(AND(K1774=1,L1774=1,M1774=1),"adequate","partial"),INDEX(Fit_Matrix!$B:$B,MATCH(P1774,Fit_Matrix!$A:$A,0))),"CHECK KEY"))</f>
        <v/>
      </c>
    </row>
    <row r="1775" customFormat="false" ht="15" hidden="false" customHeight="true" outlineLevel="0" collapsed="false">
      <c r="P1775" s="1" t="str">
        <f aca="false">IF(OR(F1775="",H1775="",J1775=""),"",J1775&amp;"|"&amp;F1775&amp;"|"&amp;IF(H1775="W3","W3_"&amp;IF(I1775="","unknown",I1775),H1775))</f>
        <v/>
      </c>
      <c r="Q1775" s="1" t="str">
        <f aca="false">IF(P1775="","",IFERROR(IF(AND(H1775="W7",OR(F1775="causal",F1775="predictive")),IF(AND(K1775=1,L1775=1,M1775=1),"adequate","partial"),INDEX(Fit_Matrix!$B:$B,MATCH(P1775,Fit_Matrix!$A:$A,0))),"CHECK KEY"))</f>
        <v/>
      </c>
    </row>
    <row r="1776" customFormat="false" ht="15" hidden="false" customHeight="true" outlineLevel="0" collapsed="false">
      <c r="P1776" s="1" t="str">
        <f aca="false">IF(OR(F1776="",H1776="",J1776=""),"",J1776&amp;"|"&amp;F1776&amp;"|"&amp;IF(H1776="W3","W3_"&amp;IF(I1776="","unknown",I1776),H1776))</f>
        <v/>
      </c>
      <c r="Q1776" s="1" t="str">
        <f aca="false">IF(P1776="","",IFERROR(IF(AND(H1776="W7",OR(F1776="causal",F1776="predictive")),IF(AND(K1776=1,L1776=1,M1776=1),"adequate","partial"),INDEX(Fit_Matrix!$B:$B,MATCH(P1776,Fit_Matrix!$A:$A,0))),"CHECK KEY"))</f>
        <v/>
      </c>
    </row>
    <row r="1777" customFormat="false" ht="15" hidden="false" customHeight="true" outlineLevel="0" collapsed="false">
      <c r="P1777" s="1" t="str">
        <f aca="false">IF(OR(F1777="",H1777="",J1777=""),"",J1777&amp;"|"&amp;F1777&amp;"|"&amp;IF(H1777="W3","W3_"&amp;IF(I1777="","unknown",I1777),H1777))</f>
        <v/>
      </c>
      <c r="Q1777" s="1" t="str">
        <f aca="false">IF(P1777="","",IFERROR(IF(AND(H1777="W7",OR(F1777="causal",F1777="predictive")),IF(AND(K1777=1,L1777=1,M1777=1),"adequate","partial"),INDEX(Fit_Matrix!$B:$B,MATCH(P1777,Fit_Matrix!$A:$A,0))),"CHECK KEY"))</f>
        <v/>
      </c>
    </row>
    <row r="1778" customFormat="false" ht="15" hidden="false" customHeight="true" outlineLevel="0" collapsed="false">
      <c r="P1778" s="1" t="str">
        <f aca="false">IF(OR(F1778="",H1778="",J1778=""),"",J1778&amp;"|"&amp;F1778&amp;"|"&amp;IF(H1778="W3","W3_"&amp;IF(I1778="","unknown",I1778),H1778))</f>
        <v/>
      </c>
      <c r="Q1778" s="1" t="str">
        <f aca="false">IF(P1778="","",IFERROR(IF(AND(H1778="W7",OR(F1778="causal",F1778="predictive")),IF(AND(K1778=1,L1778=1,M1778=1),"adequate","partial"),INDEX(Fit_Matrix!$B:$B,MATCH(P1778,Fit_Matrix!$A:$A,0))),"CHECK KEY"))</f>
        <v/>
      </c>
    </row>
    <row r="1779" customFormat="false" ht="15" hidden="false" customHeight="true" outlineLevel="0" collapsed="false">
      <c r="P1779" s="1" t="str">
        <f aca="false">IF(OR(F1779="",H1779="",J1779=""),"",J1779&amp;"|"&amp;F1779&amp;"|"&amp;IF(H1779="W3","W3_"&amp;IF(I1779="","unknown",I1779),H1779))</f>
        <v/>
      </c>
      <c r="Q1779" s="1" t="str">
        <f aca="false">IF(P1779="","",IFERROR(IF(AND(H1779="W7",OR(F1779="causal",F1779="predictive")),IF(AND(K1779=1,L1779=1,M1779=1),"adequate","partial"),INDEX(Fit_Matrix!$B:$B,MATCH(P1779,Fit_Matrix!$A:$A,0))),"CHECK KEY"))</f>
        <v/>
      </c>
    </row>
    <row r="1780" customFormat="false" ht="15" hidden="false" customHeight="true" outlineLevel="0" collapsed="false">
      <c r="P1780" s="1" t="str">
        <f aca="false">IF(OR(F1780="",H1780="",J1780=""),"",J1780&amp;"|"&amp;F1780&amp;"|"&amp;IF(H1780="W3","W3_"&amp;IF(I1780="","unknown",I1780),H1780))</f>
        <v/>
      </c>
      <c r="Q1780" s="1" t="str">
        <f aca="false">IF(P1780="","",IFERROR(IF(AND(H1780="W7",OR(F1780="causal",F1780="predictive")),IF(AND(K1780=1,L1780=1,M1780=1),"adequate","partial"),INDEX(Fit_Matrix!$B:$B,MATCH(P1780,Fit_Matrix!$A:$A,0))),"CHECK KEY"))</f>
        <v/>
      </c>
    </row>
    <row r="1781" customFormat="false" ht="15" hidden="false" customHeight="true" outlineLevel="0" collapsed="false">
      <c r="P1781" s="1" t="str">
        <f aca="false">IF(OR(F1781="",H1781="",J1781=""),"",J1781&amp;"|"&amp;F1781&amp;"|"&amp;IF(H1781="W3","W3_"&amp;IF(I1781="","unknown",I1781),H1781))</f>
        <v/>
      </c>
      <c r="Q1781" s="1" t="str">
        <f aca="false">IF(P1781="","",IFERROR(IF(AND(H1781="W7",OR(F1781="causal",F1781="predictive")),IF(AND(K1781=1,L1781=1,M1781=1),"adequate","partial"),INDEX(Fit_Matrix!$B:$B,MATCH(P1781,Fit_Matrix!$A:$A,0))),"CHECK KEY"))</f>
        <v/>
      </c>
    </row>
    <row r="1782" customFormat="false" ht="15" hidden="false" customHeight="true" outlineLevel="0" collapsed="false">
      <c r="P1782" s="1" t="str">
        <f aca="false">IF(OR(F1782="",H1782="",J1782=""),"",J1782&amp;"|"&amp;F1782&amp;"|"&amp;IF(H1782="W3","W3_"&amp;IF(I1782="","unknown",I1782),H1782))</f>
        <v/>
      </c>
      <c r="Q1782" s="1" t="str">
        <f aca="false">IF(P1782="","",IFERROR(IF(AND(H1782="W7",OR(F1782="causal",F1782="predictive")),IF(AND(K1782=1,L1782=1,M1782=1),"adequate","partial"),INDEX(Fit_Matrix!$B:$B,MATCH(P1782,Fit_Matrix!$A:$A,0))),"CHECK KEY"))</f>
        <v/>
      </c>
    </row>
    <row r="1783" customFormat="false" ht="15" hidden="false" customHeight="true" outlineLevel="0" collapsed="false">
      <c r="P1783" s="1" t="str">
        <f aca="false">IF(OR(F1783="",H1783="",J1783=""),"",J1783&amp;"|"&amp;F1783&amp;"|"&amp;IF(H1783="W3","W3_"&amp;IF(I1783="","unknown",I1783),H1783))</f>
        <v/>
      </c>
      <c r="Q1783" s="1" t="str">
        <f aca="false">IF(P1783="","",IFERROR(IF(AND(H1783="W7",OR(F1783="causal",F1783="predictive")),IF(AND(K1783=1,L1783=1,M1783=1),"adequate","partial"),INDEX(Fit_Matrix!$B:$B,MATCH(P1783,Fit_Matrix!$A:$A,0))),"CHECK KEY"))</f>
        <v/>
      </c>
    </row>
    <row r="1784" customFormat="false" ht="15" hidden="false" customHeight="true" outlineLevel="0" collapsed="false">
      <c r="P1784" s="1" t="str">
        <f aca="false">IF(OR(F1784="",H1784="",J1784=""),"",J1784&amp;"|"&amp;F1784&amp;"|"&amp;IF(H1784="W3","W3_"&amp;IF(I1784="","unknown",I1784),H1784))</f>
        <v/>
      </c>
      <c r="Q1784" s="1" t="str">
        <f aca="false">IF(P1784="","",IFERROR(IF(AND(H1784="W7",OR(F1784="causal",F1784="predictive")),IF(AND(K1784=1,L1784=1,M1784=1),"adequate","partial"),INDEX(Fit_Matrix!$B:$B,MATCH(P1784,Fit_Matrix!$A:$A,0))),"CHECK KEY"))</f>
        <v/>
      </c>
    </row>
    <row r="1785" customFormat="false" ht="15" hidden="false" customHeight="true" outlineLevel="0" collapsed="false">
      <c r="P1785" s="1" t="str">
        <f aca="false">IF(OR(F1785="",H1785="",J1785=""),"",J1785&amp;"|"&amp;F1785&amp;"|"&amp;IF(H1785="W3","W3_"&amp;IF(I1785="","unknown",I1785),H1785))</f>
        <v/>
      </c>
      <c r="Q1785" s="1" t="str">
        <f aca="false">IF(P1785="","",IFERROR(IF(AND(H1785="W7",OR(F1785="causal",F1785="predictive")),IF(AND(K1785=1,L1785=1,M1785=1),"adequate","partial"),INDEX(Fit_Matrix!$B:$B,MATCH(P1785,Fit_Matrix!$A:$A,0))),"CHECK KEY"))</f>
        <v/>
      </c>
    </row>
    <row r="1786" customFormat="false" ht="15" hidden="false" customHeight="true" outlineLevel="0" collapsed="false">
      <c r="P1786" s="1" t="str">
        <f aca="false">IF(OR(F1786="",H1786="",J1786=""),"",J1786&amp;"|"&amp;F1786&amp;"|"&amp;IF(H1786="W3","W3_"&amp;IF(I1786="","unknown",I1786),H1786))</f>
        <v/>
      </c>
      <c r="Q1786" s="1" t="str">
        <f aca="false">IF(P1786="","",IFERROR(IF(AND(H1786="W7",OR(F1786="causal",F1786="predictive")),IF(AND(K1786=1,L1786=1,M1786=1),"adequate","partial"),INDEX(Fit_Matrix!$B:$B,MATCH(P1786,Fit_Matrix!$A:$A,0))),"CHECK KEY"))</f>
        <v/>
      </c>
    </row>
    <row r="1787" customFormat="false" ht="15" hidden="false" customHeight="true" outlineLevel="0" collapsed="false">
      <c r="P1787" s="1" t="str">
        <f aca="false">IF(OR(F1787="",H1787="",J1787=""),"",J1787&amp;"|"&amp;F1787&amp;"|"&amp;IF(H1787="W3","W3_"&amp;IF(I1787="","unknown",I1787),H1787))</f>
        <v/>
      </c>
      <c r="Q1787" s="1" t="str">
        <f aca="false">IF(P1787="","",IFERROR(IF(AND(H1787="W7",OR(F1787="causal",F1787="predictive")),IF(AND(K1787=1,L1787=1,M1787=1),"adequate","partial"),INDEX(Fit_Matrix!$B:$B,MATCH(P1787,Fit_Matrix!$A:$A,0))),"CHECK KEY"))</f>
        <v/>
      </c>
    </row>
    <row r="1788" customFormat="false" ht="15" hidden="false" customHeight="true" outlineLevel="0" collapsed="false">
      <c r="P1788" s="1" t="str">
        <f aca="false">IF(OR(F1788="",H1788="",J1788=""),"",J1788&amp;"|"&amp;F1788&amp;"|"&amp;IF(H1788="W3","W3_"&amp;IF(I1788="","unknown",I1788),H1788))</f>
        <v/>
      </c>
      <c r="Q1788" s="1" t="str">
        <f aca="false">IF(P1788="","",IFERROR(IF(AND(H1788="W7",OR(F1788="causal",F1788="predictive")),IF(AND(K1788=1,L1788=1,M1788=1),"adequate","partial"),INDEX(Fit_Matrix!$B:$B,MATCH(P1788,Fit_Matrix!$A:$A,0))),"CHECK KEY"))</f>
        <v/>
      </c>
    </row>
    <row r="1789" customFormat="false" ht="15" hidden="false" customHeight="true" outlineLevel="0" collapsed="false">
      <c r="P1789" s="1" t="str">
        <f aca="false">IF(OR(F1789="",H1789="",J1789=""),"",J1789&amp;"|"&amp;F1789&amp;"|"&amp;IF(H1789="W3","W3_"&amp;IF(I1789="","unknown",I1789),H1789))</f>
        <v/>
      </c>
      <c r="Q1789" s="1" t="str">
        <f aca="false">IF(P1789="","",IFERROR(IF(AND(H1789="W7",OR(F1789="causal",F1789="predictive")),IF(AND(K1789=1,L1789=1,M1789=1),"adequate","partial"),INDEX(Fit_Matrix!$B:$B,MATCH(P1789,Fit_Matrix!$A:$A,0))),"CHECK KEY"))</f>
        <v/>
      </c>
    </row>
    <row r="1790" customFormat="false" ht="15" hidden="false" customHeight="true" outlineLevel="0" collapsed="false">
      <c r="P1790" s="1" t="str">
        <f aca="false">IF(OR(F1790="",H1790="",J1790=""),"",J1790&amp;"|"&amp;F1790&amp;"|"&amp;IF(H1790="W3","W3_"&amp;IF(I1790="","unknown",I1790),H1790))</f>
        <v/>
      </c>
      <c r="Q1790" s="1" t="str">
        <f aca="false">IF(P1790="","",IFERROR(IF(AND(H1790="W7",OR(F1790="causal",F1790="predictive")),IF(AND(K1790=1,L1790=1,M1790=1),"adequate","partial"),INDEX(Fit_Matrix!$B:$B,MATCH(P1790,Fit_Matrix!$A:$A,0))),"CHECK KEY"))</f>
        <v/>
      </c>
    </row>
    <row r="1791" customFormat="false" ht="15" hidden="false" customHeight="true" outlineLevel="0" collapsed="false">
      <c r="P1791" s="1" t="str">
        <f aca="false">IF(OR(F1791="",H1791="",J1791=""),"",J1791&amp;"|"&amp;F1791&amp;"|"&amp;IF(H1791="W3","W3_"&amp;IF(I1791="","unknown",I1791),H1791))</f>
        <v/>
      </c>
      <c r="Q1791" s="1" t="str">
        <f aca="false">IF(P1791="","",IFERROR(IF(AND(H1791="W7",OR(F1791="causal",F1791="predictive")),IF(AND(K1791=1,L1791=1,M1791=1),"adequate","partial"),INDEX(Fit_Matrix!$B:$B,MATCH(P1791,Fit_Matrix!$A:$A,0))),"CHECK KEY"))</f>
        <v/>
      </c>
    </row>
    <row r="1792" customFormat="false" ht="15" hidden="false" customHeight="true" outlineLevel="0" collapsed="false">
      <c r="P1792" s="1" t="str">
        <f aca="false">IF(OR(F1792="",H1792="",J1792=""),"",J1792&amp;"|"&amp;F1792&amp;"|"&amp;IF(H1792="W3","W3_"&amp;IF(I1792="","unknown",I1792),H1792))</f>
        <v/>
      </c>
      <c r="Q1792" s="1" t="str">
        <f aca="false">IF(P1792="","",IFERROR(IF(AND(H1792="W7",OR(F1792="causal",F1792="predictive")),IF(AND(K1792=1,L1792=1,M1792=1),"adequate","partial"),INDEX(Fit_Matrix!$B:$B,MATCH(P1792,Fit_Matrix!$A:$A,0))),"CHECK KEY"))</f>
        <v/>
      </c>
    </row>
    <row r="1793" customFormat="false" ht="15" hidden="false" customHeight="true" outlineLevel="0" collapsed="false">
      <c r="P1793" s="1" t="str">
        <f aca="false">IF(OR(F1793="",H1793="",J1793=""),"",J1793&amp;"|"&amp;F1793&amp;"|"&amp;IF(H1793="W3","W3_"&amp;IF(I1793="","unknown",I1793),H1793))</f>
        <v/>
      </c>
      <c r="Q1793" s="1" t="str">
        <f aca="false">IF(P1793="","",IFERROR(IF(AND(H1793="W7",OR(F1793="causal",F1793="predictive")),IF(AND(K1793=1,L1793=1,M1793=1),"adequate","partial"),INDEX(Fit_Matrix!$B:$B,MATCH(P1793,Fit_Matrix!$A:$A,0))),"CHECK KEY"))</f>
        <v/>
      </c>
    </row>
    <row r="1794" customFormat="false" ht="15" hidden="false" customHeight="true" outlineLevel="0" collapsed="false">
      <c r="P1794" s="1" t="str">
        <f aca="false">IF(OR(F1794="",H1794="",J1794=""),"",J1794&amp;"|"&amp;F1794&amp;"|"&amp;IF(H1794="W3","W3_"&amp;IF(I1794="","unknown",I1794),H1794))</f>
        <v/>
      </c>
      <c r="Q1794" s="1" t="str">
        <f aca="false">IF(P1794="","",IFERROR(IF(AND(H1794="W7",OR(F1794="causal",F1794="predictive")),IF(AND(K1794=1,L1794=1,M1794=1),"adequate","partial"),INDEX(Fit_Matrix!$B:$B,MATCH(P1794,Fit_Matrix!$A:$A,0))),"CHECK KEY"))</f>
        <v/>
      </c>
    </row>
    <row r="1795" customFormat="false" ht="15" hidden="false" customHeight="true" outlineLevel="0" collapsed="false">
      <c r="P1795" s="1" t="str">
        <f aca="false">IF(OR(F1795="",H1795="",J1795=""),"",J1795&amp;"|"&amp;F1795&amp;"|"&amp;IF(H1795="W3","W3_"&amp;IF(I1795="","unknown",I1795),H1795))</f>
        <v/>
      </c>
      <c r="Q1795" s="1" t="str">
        <f aca="false">IF(P1795="","",IFERROR(IF(AND(H1795="W7",OR(F1795="causal",F1795="predictive")),IF(AND(K1795=1,L1795=1,M1795=1),"adequate","partial"),INDEX(Fit_Matrix!$B:$B,MATCH(P1795,Fit_Matrix!$A:$A,0))),"CHECK KEY"))</f>
        <v/>
      </c>
    </row>
    <row r="1796" customFormat="false" ht="15" hidden="false" customHeight="true" outlineLevel="0" collapsed="false">
      <c r="P1796" s="1" t="str">
        <f aca="false">IF(OR(F1796="",H1796="",J1796=""),"",J1796&amp;"|"&amp;F1796&amp;"|"&amp;IF(H1796="W3","W3_"&amp;IF(I1796="","unknown",I1796),H1796))</f>
        <v/>
      </c>
      <c r="Q1796" s="1" t="str">
        <f aca="false">IF(P1796="","",IFERROR(IF(AND(H1796="W7",OR(F1796="causal",F1796="predictive")),IF(AND(K1796=1,L1796=1,M1796=1),"adequate","partial"),INDEX(Fit_Matrix!$B:$B,MATCH(P1796,Fit_Matrix!$A:$A,0))),"CHECK KEY"))</f>
        <v/>
      </c>
    </row>
    <row r="1797" customFormat="false" ht="15" hidden="false" customHeight="true" outlineLevel="0" collapsed="false">
      <c r="P1797" s="1" t="str">
        <f aca="false">IF(OR(F1797="",H1797="",J1797=""),"",J1797&amp;"|"&amp;F1797&amp;"|"&amp;IF(H1797="W3","W3_"&amp;IF(I1797="","unknown",I1797),H1797))</f>
        <v/>
      </c>
      <c r="Q1797" s="1" t="str">
        <f aca="false">IF(P1797="","",IFERROR(IF(AND(H1797="W7",OR(F1797="causal",F1797="predictive")),IF(AND(K1797=1,L1797=1,M1797=1),"adequate","partial"),INDEX(Fit_Matrix!$B:$B,MATCH(P1797,Fit_Matrix!$A:$A,0))),"CHECK KEY"))</f>
        <v/>
      </c>
    </row>
    <row r="1798" customFormat="false" ht="15" hidden="false" customHeight="true" outlineLevel="0" collapsed="false">
      <c r="P1798" s="1" t="str">
        <f aca="false">IF(OR(F1798="",H1798="",J1798=""),"",J1798&amp;"|"&amp;F1798&amp;"|"&amp;IF(H1798="W3","W3_"&amp;IF(I1798="","unknown",I1798),H1798))</f>
        <v/>
      </c>
      <c r="Q1798" s="1" t="str">
        <f aca="false">IF(P1798="","",IFERROR(IF(AND(H1798="W7",OR(F1798="causal",F1798="predictive")),IF(AND(K1798=1,L1798=1,M1798=1),"adequate","partial"),INDEX(Fit_Matrix!$B:$B,MATCH(P1798,Fit_Matrix!$A:$A,0))),"CHECK KEY"))</f>
        <v/>
      </c>
    </row>
    <row r="1799" customFormat="false" ht="15" hidden="false" customHeight="true" outlineLevel="0" collapsed="false">
      <c r="P1799" s="1" t="str">
        <f aca="false">IF(OR(F1799="",H1799="",J1799=""),"",J1799&amp;"|"&amp;F1799&amp;"|"&amp;IF(H1799="W3","W3_"&amp;IF(I1799="","unknown",I1799),H1799))</f>
        <v/>
      </c>
      <c r="Q1799" s="1" t="str">
        <f aca="false">IF(P1799="","",IFERROR(IF(AND(H1799="W7",OR(F1799="causal",F1799="predictive")),IF(AND(K1799=1,L1799=1,M1799=1),"adequate","partial"),INDEX(Fit_Matrix!$B:$B,MATCH(P1799,Fit_Matrix!$A:$A,0))),"CHECK KEY"))</f>
        <v/>
      </c>
    </row>
    <row r="1800" customFormat="false" ht="15" hidden="false" customHeight="true" outlineLevel="0" collapsed="false">
      <c r="P1800" s="1" t="str">
        <f aca="false">IF(OR(F1800="",H1800="",J1800=""),"",J1800&amp;"|"&amp;F1800&amp;"|"&amp;IF(H1800="W3","W3_"&amp;IF(I1800="","unknown",I1800),H1800))</f>
        <v/>
      </c>
      <c r="Q1800" s="1" t="str">
        <f aca="false">IF(P1800="","",IFERROR(IF(AND(H1800="W7",OR(F1800="causal",F1800="predictive")),IF(AND(K1800=1,L1800=1,M1800=1),"adequate","partial"),INDEX(Fit_Matrix!$B:$B,MATCH(P1800,Fit_Matrix!$A:$A,0))),"CHECK KEY"))</f>
        <v/>
      </c>
    </row>
    <row r="1801" customFormat="false" ht="15" hidden="false" customHeight="true" outlineLevel="0" collapsed="false">
      <c r="P1801" s="1" t="str">
        <f aca="false">IF(OR(F1801="",H1801="",J1801=""),"",J1801&amp;"|"&amp;F1801&amp;"|"&amp;IF(H1801="W3","W3_"&amp;IF(I1801="","unknown",I1801),H1801))</f>
        <v/>
      </c>
      <c r="Q1801" s="1" t="str">
        <f aca="false">IF(P1801="","",IFERROR(IF(AND(H1801="W7",OR(F1801="causal",F1801="predictive")),IF(AND(K1801=1,L1801=1,M1801=1),"adequate","partial"),INDEX(Fit_Matrix!$B:$B,MATCH(P1801,Fit_Matrix!$A:$A,0))),"CHECK KEY"))</f>
        <v/>
      </c>
    </row>
    <row r="1802" customFormat="false" ht="15" hidden="false" customHeight="true" outlineLevel="0" collapsed="false">
      <c r="P1802" s="1" t="str">
        <f aca="false">IF(OR(F1802="",H1802="",J1802=""),"",J1802&amp;"|"&amp;F1802&amp;"|"&amp;IF(H1802="W3","W3_"&amp;IF(I1802="","unknown",I1802),H1802))</f>
        <v/>
      </c>
      <c r="Q1802" s="1" t="str">
        <f aca="false">IF(P1802="","",IFERROR(IF(AND(H1802="W7",OR(F1802="causal",F1802="predictive")),IF(AND(K1802=1,L1802=1,M1802=1),"adequate","partial"),INDEX(Fit_Matrix!$B:$B,MATCH(P1802,Fit_Matrix!$A:$A,0))),"CHECK KEY"))</f>
        <v/>
      </c>
    </row>
    <row r="1803" customFormat="false" ht="15" hidden="false" customHeight="true" outlineLevel="0" collapsed="false">
      <c r="P1803" s="1" t="str">
        <f aca="false">IF(OR(F1803="",H1803="",J1803=""),"",J1803&amp;"|"&amp;F1803&amp;"|"&amp;IF(H1803="W3","W3_"&amp;IF(I1803="","unknown",I1803),H1803))</f>
        <v/>
      </c>
      <c r="Q1803" s="1" t="str">
        <f aca="false">IF(P1803="","",IFERROR(IF(AND(H1803="W7",OR(F1803="causal",F1803="predictive")),IF(AND(K1803=1,L1803=1,M1803=1),"adequate","partial"),INDEX(Fit_Matrix!$B:$B,MATCH(P1803,Fit_Matrix!$A:$A,0))),"CHECK KEY"))</f>
        <v/>
      </c>
    </row>
    <row r="1804" customFormat="false" ht="15" hidden="false" customHeight="true" outlineLevel="0" collapsed="false">
      <c r="P1804" s="1" t="str">
        <f aca="false">IF(OR(F1804="",H1804="",J1804=""),"",J1804&amp;"|"&amp;F1804&amp;"|"&amp;IF(H1804="W3","W3_"&amp;IF(I1804="","unknown",I1804),H1804))</f>
        <v/>
      </c>
      <c r="Q1804" s="1" t="str">
        <f aca="false">IF(P1804="","",IFERROR(IF(AND(H1804="W7",OR(F1804="causal",F1804="predictive")),IF(AND(K1804=1,L1804=1,M1804=1),"adequate","partial"),INDEX(Fit_Matrix!$B:$B,MATCH(P1804,Fit_Matrix!$A:$A,0))),"CHECK KEY"))</f>
        <v/>
      </c>
    </row>
    <row r="1805" customFormat="false" ht="15" hidden="false" customHeight="true" outlineLevel="0" collapsed="false">
      <c r="P1805" s="1" t="str">
        <f aca="false">IF(OR(F1805="",H1805="",J1805=""),"",J1805&amp;"|"&amp;F1805&amp;"|"&amp;IF(H1805="W3","W3_"&amp;IF(I1805="","unknown",I1805),H1805))</f>
        <v/>
      </c>
      <c r="Q1805" s="1" t="str">
        <f aca="false">IF(P1805="","",IFERROR(IF(AND(H1805="W7",OR(F1805="causal",F1805="predictive")),IF(AND(K1805=1,L1805=1,M1805=1),"adequate","partial"),INDEX(Fit_Matrix!$B:$B,MATCH(P1805,Fit_Matrix!$A:$A,0))),"CHECK KEY"))</f>
        <v/>
      </c>
    </row>
    <row r="1806" customFormat="false" ht="15" hidden="false" customHeight="true" outlineLevel="0" collapsed="false">
      <c r="P1806" s="1" t="str">
        <f aca="false">IF(OR(F1806="",H1806="",J1806=""),"",J1806&amp;"|"&amp;F1806&amp;"|"&amp;IF(H1806="W3","W3_"&amp;IF(I1806="","unknown",I1806),H1806))</f>
        <v/>
      </c>
      <c r="Q1806" s="1" t="str">
        <f aca="false">IF(P1806="","",IFERROR(IF(AND(H1806="W7",OR(F1806="causal",F1806="predictive")),IF(AND(K1806=1,L1806=1,M1806=1),"adequate","partial"),INDEX(Fit_Matrix!$B:$B,MATCH(P1806,Fit_Matrix!$A:$A,0))),"CHECK KEY"))</f>
        <v/>
      </c>
    </row>
    <row r="1807" customFormat="false" ht="15" hidden="false" customHeight="true" outlineLevel="0" collapsed="false">
      <c r="P1807" s="1" t="str">
        <f aca="false">IF(OR(F1807="",H1807="",J1807=""),"",J1807&amp;"|"&amp;F1807&amp;"|"&amp;IF(H1807="W3","W3_"&amp;IF(I1807="","unknown",I1807),H1807))</f>
        <v/>
      </c>
      <c r="Q1807" s="1" t="str">
        <f aca="false">IF(P1807="","",IFERROR(IF(AND(H1807="W7",OR(F1807="causal",F1807="predictive")),IF(AND(K1807=1,L1807=1,M1807=1),"adequate","partial"),INDEX(Fit_Matrix!$B:$B,MATCH(P1807,Fit_Matrix!$A:$A,0))),"CHECK KEY"))</f>
        <v/>
      </c>
    </row>
    <row r="1808" customFormat="false" ht="15" hidden="false" customHeight="true" outlineLevel="0" collapsed="false">
      <c r="P1808" s="1" t="str">
        <f aca="false">IF(OR(F1808="",H1808="",J1808=""),"",J1808&amp;"|"&amp;F1808&amp;"|"&amp;IF(H1808="W3","W3_"&amp;IF(I1808="","unknown",I1808),H1808))</f>
        <v/>
      </c>
      <c r="Q1808" s="1" t="str">
        <f aca="false">IF(P1808="","",IFERROR(IF(AND(H1808="W7",OR(F1808="causal",F1808="predictive")),IF(AND(K1808=1,L1808=1,M1808=1),"adequate","partial"),INDEX(Fit_Matrix!$B:$B,MATCH(P1808,Fit_Matrix!$A:$A,0))),"CHECK KEY"))</f>
        <v/>
      </c>
    </row>
    <row r="1809" customFormat="false" ht="15" hidden="false" customHeight="true" outlineLevel="0" collapsed="false">
      <c r="P1809" s="1" t="str">
        <f aca="false">IF(OR(F1809="",H1809="",J1809=""),"",J1809&amp;"|"&amp;F1809&amp;"|"&amp;IF(H1809="W3","W3_"&amp;IF(I1809="","unknown",I1809),H1809))</f>
        <v/>
      </c>
      <c r="Q1809" s="1" t="str">
        <f aca="false">IF(P1809="","",IFERROR(IF(AND(H1809="W7",OR(F1809="causal",F1809="predictive")),IF(AND(K1809=1,L1809=1,M1809=1),"adequate","partial"),INDEX(Fit_Matrix!$B:$B,MATCH(P1809,Fit_Matrix!$A:$A,0))),"CHECK KEY"))</f>
        <v/>
      </c>
    </row>
    <row r="1810" customFormat="false" ht="15" hidden="false" customHeight="true" outlineLevel="0" collapsed="false">
      <c r="P1810" s="1" t="str">
        <f aca="false">IF(OR(F1810="",H1810="",J1810=""),"",J1810&amp;"|"&amp;F1810&amp;"|"&amp;IF(H1810="W3","W3_"&amp;IF(I1810="","unknown",I1810),H1810))</f>
        <v/>
      </c>
      <c r="Q1810" s="1" t="str">
        <f aca="false">IF(P1810="","",IFERROR(IF(AND(H1810="W7",OR(F1810="causal",F1810="predictive")),IF(AND(K1810=1,L1810=1,M1810=1),"adequate","partial"),INDEX(Fit_Matrix!$B:$B,MATCH(P1810,Fit_Matrix!$A:$A,0))),"CHECK KEY"))</f>
        <v/>
      </c>
    </row>
    <row r="1811" customFormat="false" ht="15" hidden="false" customHeight="true" outlineLevel="0" collapsed="false">
      <c r="P1811" s="1" t="str">
        <f aca="false">IF(OR(F1811="",H1811="",J1811=""),"",J1811&amp;"|"&amp;F1811&amp;"|"&amp;IF(H1811="W3","W3_"&amp;IF(I1811="","unknown",I1811),H1811))</f>
        <v/>
      </c>
      <c r="Q1811" s="1" t="str">
        <f aca="false">IF(P1811="","",IFERROR(IF(AND(H1811="W7",OR(F1811="causal",F1811="predictive")),IF(AND(K1811=1,L1811=1,M1811=1),"adequate","partial"),INDEX(Fit_Matrix!$B:$B,MATCH(P1811,Fit_Matrix!$A:$A,0))),"CHECK KEY"))</f>
        <v/>
      </c>
    </row>
    <row r="1812" customFormat="false" ht="15" hidden="false" customHeight="true" outlineLevel="0" collapsed="false">
      <c r="P1812" s="1" t="str">
        <f aca="false">IF(OR(F1812="",H1812="",J1812=""),"",J1812&amp;"|"&amp;F1812&amp;"|"&amp;IF(H1812="W3","W3_"&amp;IF(I1812="","unknown",I1812),H1812))</f>
        <v/>
      </c>
      <c r="Q1812" s="1" t="str">
        <f aca="false">IF(P1812="","",IFERROR(IF(AND(H1812="W7",OR(F1812="causal",F1812="predictive")),IF(AND(K1812=1,L1812=1,M1812=1),"adequate","partial"),INDEX(Fit_Matrix!$B:$B,MATCH(P1812,Fit_Matrix!$A:$A,0))),"CHECK KEY"))</f>
        <v/>
      </c>
    </row>
    <row r="1813" customFormat="false" ht="15" hidden="false" customHeight="true" outlineLevel="0" collapsed="false">
      <c r="P1813" s="1" t="str">
        <f aca="false">IF(OR(F1813="",H1813="",J1813=""),"",J1813&amp;"|"&amp;F1813&amp;"|"&amp;IF(H1813="W3","W3_"&amp;IF(I1813="","unknown",I1813),H1813))</f>
        <v/>
      </c>
      <c r="Q1813" s="1" t="str">
        <f aca="false">IF(P1813="","",IFERROR(IF(AND(H1813="W7",OR(F1813="causal",F1813="predictive")),IF(AND(K1813=1,L1813=1,M1813=1),"adequate","partial"),INDEX(Fit_Matrix!$B:$B,MATCH(P1813,Fit_Matrix!$A:$A,0))),"CHECK KEY"))</f>
        <v/>
      </c>
    </row>
    <row r="1814" customFormat="false" ht="15" hidden="false" customHeight="true" outlineLevel="0" collapsed="false">
      <c r="P1814" s="1" t="str">
        <f aca="false">IF(OR(F1814="",H1814="",J1814=""),"",J1814&amp;"|"&amp;F1814&amp;"|"&amp;IF(H1814="W3","W3_"&amp;IF(I1814="","unknown",I1814),H1814))</f>
        <v/>
      </c>
      <c r="Q1814" s="1" t="str">
        <f aca="false">IF(P1814="","",IFERROR(IF(AND(H1814="W7",OR(F1814="causal",F1814="predictive")),IF(AND(K1814=1,L1814=1,M1814=1),"adequate","partial"),INDEX(Fit_Matrix!$B:$B,MATCH(P1814,Fit_Matrix!$A:$A,0))),"CHECK KEY"))</f>
        <v/>
      </c>
    </row>
    <row r="1815" customFormat="false" ht="15" hidden="false" customHeight="true" outlineLevel="0" collapsed="false">
      <c r="P1815" s="1" t="str">
        <f aca="false">IF(OR(F1815="",H1815="",J1815=""),"",J1815&amp;"|"&amp;F1815&amp;"|"&amp;IF(H1815="W3","W3_"&amp;IF(I1815="","unknown",I1815),H1815))</f>
        <v/>
      </c>
      <c r="Q1815" s="1" t="str">
        <f aca="false">IF(P1815="","",IFERROR(IF(AND(H1815="W7",OR(F1815="causal",F1815="predictive")),IF(AND(K1815=1,L1815=1,M1815=1),"adequate","partial"),INDEX(Fit_Matrix!$B:$B,MATCH(P1815,Fit_Matrix!$A:$A,0))),"CHECK KEY"))</f>
        <v/>
      </c>
    </row>
    <row r="1816" customFormat="false" ht="15" hidden="false" customHeight="true" outlineLevel="0" collapsed="false">
      <c r="P1816" s="1" t="str">
        <f aca="false">IF(OR(F1816="",H1816="",J1816=""),"",J1816&amp;"|"&amp;F1816&amp;"|"&amp;IF(H1816="W3","W3_"&amp;IF(I1816="","unknown",I1816),H1816))</f>
        <v/>
      </c>
      <c r="Q1816" s="1" t="str">
        <f aca="false">IF(P1816="","",IFERROR(IF(AND(H1816="W7",OR(F1816="causal",F1816="predictive")),IF(AND(K1816=1,L1816=1,M1816=1),"adequate","partial"),INDEX(Fit_Matrix!$B:$B,MATCH(P1816,Fit_Matrix!$A:$A,0))),"CHECK KEY"))</f>
        <v/>
      </c>
    </row>
    <row r="1817" customFormat="false" ht="15" hidden="false" customHeight="true" outlineLevel="0" collapsed="false">
      <c r="P1817" s="1" t="str">
        <f aca="false">IF(OR(F1817="",H1817="",J1817=""),"",J1817&amp;"|"&amp;F1817&amp;"|"&amp;IF(H1817="W3","W3_"&amp;IF(I1817="","unknown",I1817),H1817))</f>
        <v/>
      </c>
      <c r="Q1817" s="1" t="str">
        <f aca="false">IF(P1817="","",IFERROR(IF(AND(H1817="W7",OR(F1817="causal",F1817="predictive")),IF(AND(K1817=1,L1817=1,M1817=1),"adequate","partial"),INDEX(Fit_Matrix!$B:$B,MATCH(P1817,Fit_Matrix!$A:$A,0))),"CHECK KEY"))</f>
        <v/>
      </c>
    </row>
    <row r="1818" customFormat="false" ht="15" hidden="false" customHeight="true" outlineLevel="0" collapsed="false">
      <c r="P1818" s="1" t="str">
        <f aca="false">IF(OR(F1818="",H1818="",J1818=""),"",J1818&amp;"|"&amp;F1818&amp;"|"&amp;IF(H1818="W3","W3_"&amp;IF(I1818="","unknown",I1818),H1818))</f>
        <v/>
      </c>
      <c r="Q1818" s="1" t="str">
        <f aca="false">IF(P1818="","",IFERROR(IF(AND(H1818="W7",OR(F1818="causal",F1818="predictive")),IF(AND(K1818=1,L1818=1,M1818=1),"adequate","partial"),INDEX(Fit_Matrix!$B:$B,MATCH(P1818,Fit_Matrix!$A:$A,0))),"CHECK KEY"))</f>
        <v/>
      </c>
    </row>
    <row r="1819" customFormat="false" ht="15" hidden="false" customHeight="true" outlineLevel="0" collapsed="false">
      <c r="P1819" s="1" t="str">
        <f aca="false">IF(OR(F1819="",H1819="",J1819=""),"",J1819&amp;"|"&amp;F1819&amp;"|"&amp;IF(H1819="W3","W3_"&amp;IF(I1819="","unknown",I1819),H1819))</f>
        <v/>
      </c>
      <c r="Q1819" s="1" t="str">
        <f aca="false">IF(P1819="","",IFERROR(IF(AND(H1819="W7",OR(F1819="causal",F1819="predictive")),IF(AND(K1819=1,L1819=1,M1819=1),"adequate","partial"),INDEX(Fit_Matrix!$B:$B,MATCH(P1819,Fit_Matrix!$A:$A,0))),"CHECK KEY"))</f>
        <v/>
      </c>
    </row>
    <row r="1820" customFormat="false" ht="15" hidden="false" customHeight="true" outlineLevel="0" collapsed="false">
      <c r="P1820" s="1" t="str">
        <f aca="false">IF(OR(F1820="",H1820="",J1820=""),"",J1820&amp;"|"&amp;F1820&amp;"|"&amp;IF(H1820="W3","W3_"&amp;IF(I1820="","unknown",I1820),H1820))</f>
        <v/>
      </c>
      <c r="Q1820" s="1" t="str">
        <f aca="false">IF(P1820="","",IFERROR(IF(AND(H1820="W7",OR(F1820="causal",F1820="predictive")),IF(AND(K1820=1,L1820=1,M1820=1),"adequate","partial"),INDEX(Fit_Matrix!$B:$B,MATCH(P1820,Fit_Matrix!$A:$A,0))),"CHECK KEY"))</f>
        <v/>
      </c>
    </row>
    <row r="1821" customFormat="false" ht="15" hidden="false" customHeight="true" outlineLevel="0" collapsed="false">
      <c r="P1821" s="1" t="str">
        <f aca="false">IF(OR(F1821="",H1821="",J1821=""),"",J1821&amp;"|"&amp;F1821&amp;"|"&amp;IF(H1821="W3","W3_"&amp;IF(I1821="","unknown",I1821),H1821))</f>
        <v/>
      </c>
      <c r="Q1821" s="1" t="str">
        <f aca="false">IF(P1821="","",IFERROR(IF(AND(H1821="W7",OR(F1821="causal",F1821="predictive")),IF(AND(K1821=1,L1821=1,M1821=1),"adequate","partial"),INDEX(Fit_Matrix!$B:$B,MATCH(P1821,Fit_Matrix!$A:$A,0))),"CHECK KEY"))</f>
        <v/>
      </c>
    </row>
    <row r="1822" customFormat="false" ht="15" hidden="false" customHeight="true" outlineLevel="0" collapsed="false">
      <c r="P1822" s="1" t="str">
        <f aca="false">IF(OR(F1822="",H1822="",J1822=""),"",J1822&amp;"|"&amp;F1822&amp;"|"&amp;IF(H1822="W3","W3_"&amp;IF(I1822="","unknown",I1822),H1822))</f>
        <v/>
      </c>
      <c r="Q1822" s="1" t="str">
        <f aca="false">IF(P1822="","",IFERROR(IF(AND(H1822="W7",OR(F1822="causal",F1822="predictive")),IF(AND(K1822=1,L1822=1,M1822=1),"adequate","partial"),INDEX(Fit_Matrix!$B:$B,MATCH(P1822,Fit_Matrix!$A:$A,0))),"CHECK KEY"))</f>
        <v/>
      </c>
    </row>
    <row r="1823" customFormat="false" ht="15" hidden="false" customHeight="true" outlineLevel="0" collapsed="false">
      <c r="P1823" s="1" t="str">
        <f aca="false">IF(OR(F1823="",H1823="",J1823=""),"",J1823&amp;"|"&amp;F1823&amp;"|"&amp;IF(H1823="W3","W3_"&amp;IF(I1823="","unknown",I1823),H1823))</f>
        <v/>
      </c>
      <c r="Q1823" s="1" t="str">
        <f aca="false">IF(P1823="","",IFERROR(IF(AND(H1823="W7",OR(F1823="causal",F1823="predictive")),IF(AND(K1823=1,L1823=1,M1823=1),"adequate","partial"),INDEX(Fit_Matrix!$B:$B,MATCH(P1823,Fit_Matrix!$A:$A,0))),"CHECK KEY"))</f>
        <v/>
      </c>
    </row>
    <row r="1824" customFormat="false" ht="15" hidden="false" customHeight="true" outlineLevel="0" collapsed="false">
      <c r="P1824" s="1" t="str">
        <f aca="false">IF(OR(F1824="",H1824="",J1824=""),"",J1824&amp;"|"&amp;F1824&amp;"|"&amp;IF(H1824="W3","W3_"&amp;IF(I1824="","unknown",I1824),H1824))</f>
        <v/>
      </c>
      <c r="Q1824" s="1" t="str">
        <f aca="false">IF(P1824="","",IFERROR(IF(AND(H1824="W7",OR(F1824="causal",F1824="predictive")),IF(AND(K1824=1,L1824=1,M1824=1),"adequate","partial"),INDEX(Fit_Matrix!$B:$B,MATCH(P1824,Fit_Matrix!$A:$A,0))),"CHECK KEY"))</f>
        <v/>
      </c>
    </row>
    <row r="1825" customFormat="false" ht="15" hidden="false" customHeight="true" outlineLevel="0" collapsed="false">
      <c r="P1825" s="1" t="str">
        <f aca="false">IF(OR(F1825="",H1825="",J1825=""),"",J1825&amp;"|"&amp;F1825&amp;"|"&amp;IF(H1825="W3","W3_"&amp;IF(I1825="","unknown",I1825),H1825))</f>
        <v/>
      </c>
      <c r="Q1825" s="1" t="str">
        <f aca="false">IF(P1825="","",IFERROR(IF(AND(H1825="W7",OR(F1825="causal",F1825="predictive")),IF(AND(K1825=1,L1825=1,M1825=1),"adequate","partial"),INDEX(Fit_Matrix!$B:$B,MATCH(P1825,Fit_Matrix!$A:$A,0))),"CHECK KEY"))</f>
        <v/>
      </c>
    </row>
    <row r="1826" customFormat="false" ht="15" hidden="false" customHeight="true" outlineLevel="0" collapsed="false">
      <c r="P1826" s="1" t="str">
        <f aca="false">IF(OR(F1826="",H1826="",J1826=""),"",J1826&amp;"|"&amp;F1826&amp;"|"&amp;IF(H1826="W3","W3_"&amp;IF(I1826="","unknown",I1826),H1826))</f>
        <v/>
      </c>
      <c r="Q1826" s="1" t="str">
        <f aca="false">IF(P1826="","",IFERROR(IF(AND(H1826="W7",OR(F1826="causal",F1826="predictive")),IF(AND(K1826=1,L1826=1,M1826=1),"adequate","partial"),INDEX(Fit_Matrix!$B:$B,MATCH(P1826,Fit_Matrix!$A:$A,0))),"CHECK KEY"))</f>
        <v/>
      </c>
    </row>
    <row r="1827" customFormat="false" ht="15" hidden="false" customHeight="true" outlineLevel="0" collapsed="false">
      <c r="P1827" s="1" t="str">
        <f aca="false">IF(OR(F1827="",H1827="",J1827=""),"",J1827&amp;"|"&amp;F1827&amp;"|"&amp;IF(H1827="W3","W3_"&amp;IF(I1827="","unknown",I1827),H1827))</f>
        <v/>
      </c>
      <c r="Q1827" s="1" t="str">
        <f aca="false">IF(P1827="","",IFERROR(IF(AND(H1827="W7",OR(F1827="causal",F1827="predictive")),IF(AND(K1827=1,L1827=1,M1827=1),"adequate","partial"),INDEX(Fit_Matrix!$B:$B,MATCH(P1827,Fit_Matrix!$A:$A,0))),"CHECK KEY"))</f>
        <v/>
      </c>
    </row>
    <row r="1828" customFormat="false" ht="15" hidden="false" customHeight="true" outlineLevel="0" collapsed="false">
      <c r="P1828" s="1" t="str">
        <f aca="false">IF(OR(F1828="",H1828="",J1828=""),"",J1828&amp;"|"&amp;F1828&amp;"|"&amp;IF(H1828="W3","W3_"&amp;IF(I1828="","unknown",I1828),H1828))</f>
        <v/>
      </c>
      <c r="Q1828" s="1" t="str">
        <f aca="false">IF(P1828="","",IFERROR(IF(AND(H1828="W7",OR(F1828="causal",F1828="predictive")),IF(AND(K1828=1,L1828=1,M1828=1),"adequate","partial"),INDEX(Fit_Matrix!$B:$B,MATCH(P1828,Fit_Matrix!$A:$A,0))),"CHECK KEY"))</f>
        <v/>
      </c>
    </row>
    <row r="1829" customFormat="false" ht="15" hidden="false" customHeight="true" outlineLevel="0" collapsed="false">
      <c r="P1829" s="1" t="str">
        <f aca="false">IF(OR(F1829="",H1829="",J1829=""),"",J1829&amp;"|"&amp;F1829&amp;"|"&amp;IF(H1829="W3","W3_"&amp;IF(I1829="","unknown",I1829),H1829))</f>
        <v/>
      </c>
      <c r="Q1829" s="1" t="str">
        <f aca="false">IF(P1829="","",IFERROR(IF(AND(H1829="W7",OR(F1829="causal",F1829="predictive")),IF(AND(K1829=1,L1829=1,M1829=1),"adequate","partial"),INDEX(Fit_Matrix!$B:$B,MATCH(P1829,Fit_Matrix!$A:$A,0))),"CHECK KEY"))</f>
        <v/>
      </c>
    </row>
    <row r="1830" customFormat="false" ht="15" hidden="false" customHeight="true" outlineLevel="0" collapsed="false">
      <c r="P1830" s="1" t="str">
        <f aca="false">IF(OR(F1830="",H1830="",J1830=""),"",J1830&amp;"|"&amp;F1830&amp;"|"&amp;IF(H1830="W3","W3_"&amp;IF(I1830="","unknown",I1830),H1830))</f>
        <v/>
      </c>
      <c r="Q1830" s="1" t="str">
        <f aca="false">IF(P1830="","",IFERROR(IF(AND(H1830="W7",OR(F1830="causal",F1830="predictive")),IF(AND(K1830=1,L1830=1,M1830=1),"adequate","partial"),INDEX(Fit_Matrix!$B:$B,MATCH(P1830,Fit_Matrix!$A:$A,0))),"CHECK KEY"))</f>
        <v/>
      </c>
    </row>
    <row r="1831" customFormat="false" ht="15" hidden="false" customHeight="true" outlineLevel="0" collapsed="false">
      <c r="P1831" s="1" t="str">
        <f aca="false">IF(OR(F1831="",H1831="",J1831=""),"",J1831&amp;"|"&amp;F1831&amp;"|"&amp;IF(H1831="W3","W3_"&amp;IF(I1831="","unknown",I1831),H1831))</f>
        <v/>
      </c>
      <c r="Q1831" s="1" t="str">
        <f aca="false">IF(P1831="","",IFERROR(IF(AND(H1831="W7",OR(F1831="causal",F1831="predictive")),IF(AND(K1831=1,L1831=1,M1831=1),"adequate","partial"),INDEX(Fit_Matrix!$B:$B,MATCH(P1831,Fit_Matrix!$A:$A,0))),"CHECK KEY"))</f>
        <v/>
      </c>
    </row>
    <row r="1832" customFormat="false" ht="15" hidden="false" customHeight="true" outlineLevel="0" collapsed="false">
      <c r="P1832" s="1" t="str">
        <f aca="false">IF(OR(F1832="",H1832="",J1832=""),"",J1832&amp;"|"&amp;F1832&amp;"|"&amp;IF(H1832="W3","W3_"&amp;IF(I1832="","unknown",I1832),H1832))</f>
        <v/>
      </c>
      <c r="Q1832" s="1" t="str">
        <f aca="false">IF(P1832="","",IFERROR(IF(AND(H1832="W7",OR(F1832="causal",F1832="predictive")),IF(AND(K1832=1,L1832=1,M1832=1),"adequate","partial"),INDEX(Fit_Matrix!$B:$B,MATCH(P1832,Fit_Matrix!$A:$A,0))),"CHECK KEY"))</f>
        <v/>
      </c>
    </row>
    <row r="1833" customFormat="false" ht="15" hidden="false" customHeight="true" outlineLevel="0" collapsed="false">
      <c r="P1833" s="1" t="str">
        <f aca="false">IF(OR(F1833="",H1833="",J1833=""),"",J1833&amp;"|"&amp;F1833&amp;"|"&amp;IF(H1833="W3","W3_"&amp;IF(I1833="","unknown",I1833),H1833))</f>
        <v/>
      </c>
      <c r="Q1833" s="1" t="str">
        <f aca="false">IF(P1833="","",IFERROR(IF(AND(H1833="W7",OR(F1833="causal",F1833="predictive")),IF(AND(K1833=1,L1833=1,M1833=1),"adequate","partial"),INDEX(Fit_Matrix!$B:$B,MATCH(P1833,Fit_Matrix!$A:$A,0))),"CHECK KEY"))</f>
        <v/>
      </c>
    </row>
    <row r="1834" customFormat="false" ht="15" hidden="false" customHeight="true" outlineLevel="0" collapsed="false">
      <c r="P1834" s="1" t="str">
        <f aca="false">IF(OR(F1834="",H1834="",J1834=""),"",J1834&amp;"|"&amp;F1834&amp;"|"&amp;IF(H1834="W3","W3_"&amp;IF(I1834="","unknown",I1834),H1834))</f>
        <v/>
      </c>
      <c r="Q1834" s="1" t="str">
        <f aca="false">IF(P1834="","",IFERROR(IF(AND(H1834="W7",OR(F1834="causal",F1834="predictive")),IF(AND(K1834=1,L1834=1,M1834=1),"adequate","partial"),INDEX(Fit_Matrix!$B:$B,MATCH(P1834,Fit_Matrix!$A:$A,0))),"CHECK KEY"))</f>
        <v/>
      </c>
    </row>
    <row r="1835" customFormat="false" ht="15" hidden="false" customHeight="true" outlineLevel="0" collapsed="false">
      <c r="P1835" s="1" t="str">
        <f aca="false">IF(OR(F1835="",H1835="",J1835=""),"",J1835&amp;"|"&amp;F1835&amp;"|"&amp;IF(H1835="W3","W3_"&amp;IF(I1835="","unknown",I1835),H1835))</f>
        <v/>
      </c>
      <c r="Q1835" s="1" t="str">
        <f aca="false">IF(P1835="","",IFERROR(IF(AND(H1835="W7",OR(F1835="causal",F1835="predictive")),IF(AND(K1835=1,L1835=1,M1835=1),"adequate","partial"),INDEX(Fit_Matrix!$B:$B,MATCH(P1835,Fit_Matrix!$A:$A,0))),"CHECK KEY"))</f>
        <v/>
      </c>
    </row>
    <row r="1836" customFormat="false" ht="15" hidden="false" customHeight="true" outlineLevel="0" collapsed="false">
      <c r="P1836" s="1" t="str">
        <f aca="false">IF(OR(F1836="",H1836="",J1836=""),"",J1836&amp;"|"&amp;F1836&amp;"|"&amp;IF(H1836="W3","W3_"&amp;IF(I1836="","unknown",I1836),H1836))</f>
        <v/>
      </c>
      <c r="Q1836" s="1" t="str">
        <f aca="false">IF(P1836="","",IFERROR(IF(AND(H1836="W7",OR(F1836="causal",F1836="predictive")),IF(AND(K1836=1,L1836=1,M1836=1),"adequate","partial"),INDEX(Fit_Matrix!$B:$B,MATCH(P1836,Fit_Matrix!$A:$A,0))),"CHECK KEY"))</f>
        <v/>
      </c>
    </row>
    <row r="1837" customFormat="false" ht="15" hidden="false" customHeight="true" outlineLevel="0" collapsed="false">
      <c r="P1837" s="1" t="str">
        <f aca="false">IF(OR(F1837="",H1837="",J1837=""),"",J1837&amp;"|"&amp;F1837&amp;"|"&amp;IF(H1837="W3","W3_"&amp;IF(I1837="","unknown",I1837),H1837))</f>
        <v/>
      </c>
      <c r="Q1837" s="1" t="str">
        <f aca="false">IF(P1837="","",IFERROR(IF(AND(H1837="W7",OR(F1837="causal",F1837="predictive")),IF(AND(K1837=1,L1837=1,M1837=1),"adequate","partial"),INDEX(Fit_Matrix!$B:$B,MATCH(P1837,Fit_Matrix!$A:$A,0))),"CHECK KEY"))</f>
        <v/>
      </c>
    </row>
    <row r="1838" customFormat="false" ht="15" hidden="false" customHeight="true" outlineLevel="0" collapsed="false">
      <c r="P1838" s="1" t="str">
        <f aca="false">IF(OR(F1838="",H1838="",J1838=""),"",J1838&amp;"|"&amp;F1838&amp;"|"&amp;IF(H1838="W3","W3_"&amp;IF(I1838="","unknown",I1838),H1838))</f>
        <v/>
      </c>
      <c r="Q1838" s="1" t="str">
        <f aca="false">IF(P1838="","",IFERROR(IF(AND(H1838="W7",OR(F1838="causal",F1838="predictive")),IF(AND(K1838=1,L1838=1,M1838=1),"adequate","partial"),INDEX(Fit_Matrix!$B:$B,MATCH(P1838,Fit_Matrix!$A:$A,0))),"CHECK KEY"))</f>
        <v/>
      </c>
    </row>
    <row r="1839" customFormat="false" ht="15" hidden="false" customHeight="true" outlineLevel="0" collapsed="false">
      <c r="P1839" s="1" t="str">
        <f aca="false">IF(OR(F1839="",H1839="",J1839=""),"",J1839&amp;"|"&amp;F1839&amp;"|"&amp;IF(H1839="W3","W3_"&amp;IF(I1839="","unknown",I1839),H1839))</f>
        <v/>
      </c>
      <c r="Q1839" s="1" t="str">
        <f aca="false">IF(P1839="","",IFERROR(IF(AND(H1839="W7",OR(F1839="causal",F1839="predictive")),IF(AND(K1839=1,L1839=1,M1839=1),"adequate","partial"),INDEX(Fit_Matrix!$B:$B,MATCH(P1839,Fit_Matrix!$A:$A,0))),"CHECK KEY"))</f>
        <v/>
      </c>
    </row>
    <row r="1840" customFormat="false" ht="15" hidden="false" customHeight="true" outlineLevel="0" collapsed="false">
      <c r="P1840" s="1" t="str">
        <f aca="false">IF(OR(F1840="",H1840="",J1840=""),"",J1840&amp;"|"&amp;F1840&amp;"|"&amp;IF(H1840="W3","W3_"&amp;IF(I1840="","unknown",I1840),H1840))</f>
        <v/>
      </c>
      <c r="Q1840" s="1" t="str">
        <f aca="false">IF(P1840="","",IFERROR(IF(AND(H1840="W7",OR(F1840="causal",F1840="predictive")),IF(AND(K1840=1,L1840=1,M1840=1),"adequate","partial"),INDEX(Fit_Matrix!$B:$B,MATCH(P1840,Fit_Matrix!$A:$A,0))),"CHECK KEY"))</f>
        <v/>
      </c>
    </row>
    <row r="1841" customFormat="false" ht="15" hidden="false" customHeight="true" outlineLevel="0" collapsed="false">
      <c r="P1841" s="1" t="str">
        <f aca="false">IF(OR(F1841="",H1841="",J1841=""),"",J1841&amp;"|"&amp;F1841&amp;"|"&amp;IF(H1841="W3","W3_"&amp;IF(I1841="","unknown",I1841),H1841))</f>
        <v/>
      </c>
      <c r="Q1841" s="1" t="str">
        <f aca="false">IF(P1841="","",IFERROR(IF(AND(H1841="W7",OR(F1841="causal",F1841="predictive")),IF(AND(K1841=1,L1841=1,M1841=1),"adequate","partial"),INDEX(Fit_Matrix!$B:$B,MATCH(P1841,Fit_Matrix!$A:$A,0))),"CHECK KEY"))</f>
        <v/>
      </c>
    </row>
    <row r="1842" customFormat="false" ht="15" hidden="false" customHeight="true" outlineLevel="0" collapsed="false">
      <c r="P1842" s="1" t="str">
        <f aca="false">IF(OR(F1842="",H1842="",J1842=""),"",J1842&amp;"|"&amp;F1842&amp;"|"&amp;IF(H1842="W3","W3_"&amp;IF(I1842="","unknown",I1842),H1842))</f>
        <v/>
      </c>
      <c r="Q1842" s="1" t="str">
        <f aca="false">IF(P1842="","",IFERROR(IF(AND(H1842="W7",OR(F1842="causal",F1842="predictive")),IF(AND(K1842=1,L1842=1,M1842=1),"adequate","partial"),INDEX(Fit_Matrix!$B:$B,MATCH(P1842,Fit_Matrix!$A:$A,0))),"CHECK KEY"))</f>
        <v/>
      </c>
    </row>
    <row r="1843" customFormat="false" ht="15" hidden="false" customHeight="true" outlineLevel="0" collapsed="false">
      <c r="P1843" s="1" t="str">
        <f aca="false">IF(OR(F1843="",H1843="",J1843=""),"",J1843&amp;"|"&amp;F1843&amp;"|"&amp;IF(H1843="W3","W3_"&amp;IF(I1843="","unknown",I1843),H1843))</f>
        <v/>
      </c>
      <c r="Q1843" s="1" t="str">
        <f aca="false">IF(P1843="","",IFERROR(IF(AND(H1843="W7",OR(F1843="causal",F1843="predictive")),IF(AND(K1843=1,L1843=1,M1843=1),"adequate","partial"),INDEX(Fit_Matrix!$B:$B,MATCH(P1843,Fit_Matrix!$A:$A,0))),"CHECK KEY"))</f>
        <v/>
      </c>
    </row>
    <row r="1844" customFormat="false" ht="15" hidden="false" customHeight="true" outlineLevel="0" collapsed="false">
      <c r="P1844" s="1" t="str">
        <f aca="false">IF(OR(F1844="",H1844="",J1844=""),"",J1844&amp;"|"&amp;F1844&amp;"|"&amp;IF(H1844="W3","W3_"&amp;IF(I1844="","unknown",I1844),H1844))</f>
        <v/>
      </c>
      <c r="Q1844" s="1" t="str">
        <f aca="false">IF(P1844="","",IFERROR(IF(AND(H1844="W7",OR(F1844="causal",F1844="predictive")),IF(AND(K1844=1,L1844=1,M1844=1),"adequate","partial"),INDEX(Fit_Matrix!$B:$B,MATCH(P1844,Fit_Matrix!$A:$A,0))),"CHECK KEY"))</f>
        <v/>
      </c>
    </row>
    <row r="1845" customFormat="false" ht="15" hidden="false" customHeight="true" outlineLevel="0" collapsed="false">
      <c r="P1845" s="1" t="str">
        <f aca="false">IF(OR(F1845="",H1845="",J1845=""),"",J1845&amp;"|"&amp;F1845&amp;"|"&amp;IF(H1845="W3","W3_"&amp;IF(I1845="","unknown",I1845),H1845))</f>
        <v/>
      </c>
      <c r="Q1845" s="1" t="str">
        <f aca="false">IF(P1845="","",IFERROR(IF(AND(H1845="W7",OR(F1845="causal",F1845="predictive")),IF(AND(K1845=1,L1845=1,M1845=1),"adequate","partial"),INDEX(Fit_Matrix!$B:$B,MATCH(P1845,Fit_Matrix!$A:$A,0))),"CHECK KEY"))</f>
        <v/>
      </c>
    </row>
    <row r="1846" customFormat="false" ht="15" hidden="false" customHeight="true" outlineLevel="0" collapsed="false">
      <c r="P1846" s="1" t="str">
        <f aca="false">IF(OR(F1846="",H1846="",J1846=""),"",J1846&amp;"|"&amp;F1846&amp;"|"&amp;IF(H1846="W3","W3_"&amp;IF(I1846="","unknown",I1846),H1846))</f>
        <v/>
      </c>
      <c r="Q1846" s="1" t="str">
        <f aca="false">IF(P1846="","",IFERROR(IF(AND(H1846="W7",OR(F1846="causal",F1846="predictive")),IF(AND(K1846=1,L1846=1,M1846=1),"adequate","partial"),INDEX(Fit_Matrix!$B:$B,MATCH(P1846,Fit_Matrix!$A:$A,0))),"CHECK KEY"))</f>
        <v/>
      </c>
    </row>
    <row r="1847" customFormat="false" ht="15" hidden="false" customHeight="true" outlineLevel="0" collapsed="false">
      <c r="P1847" s="1" t="str">
        <f aca="false">IF(OR(F1847="",H1847="",J1847=""),"",J1847&amp;"|"&amp;F1847&amp;"|"&amp;IF(H1847="W3","W3_"&amp;IF(I1847="","unknown",I1847),H1847))</f>
        <v/>
      </c>
      <c r="Q1847" s="1" t="str">
        <f aca="false">IF(P1847="","",IFERROR(IF(AND(H1847="W7",OR(F1847="causal",F1847="predictive")),IF(AND(K1847=1,L1847=1,M1847=1),"adequate","partial"),INDEX(Fit_Matrix!$B:$B,MATCH(P1847,Fit_Matrix!$A:$A,0))),"CHECK KEY"))</f>
        <v/>
      </c>
    </row>
    <row r="1848" customFormat="false" ht="15" hidden="false" customHeight="true" outlineLevel="0" collapsed="false">
      <c r="P1848" s="1" t="str">
        <f aca="false">IF(OR(F1848="",H1848="",J1848=""),"",J1848&amp;"|"&amp;F1848&amp;"|"&amp;IF(H1848="W3","W3_"&amp;IF(I1848="","unknown",I1848),H1848))</f>
        <v/>
      </c>
      <c r="Q1848" s="1" t="str">
        <f aca="false">IF(P1848="","",IFERROR(IF(AND(H1848="W7",OR(F1848="causal",F1848="predictive")),IF(AND(K1848=1,L1848=1,M1848=1),"adequate","partial"),INDEX(Fit_Matrix!$B:$B,MATCH(P1848,Fit_Matrix!$A:$A,0))),"CHECK KEY"))</f>
        <v/>
      </c>
    </row>
    <row r="1849" customFormat="false" ht="15" hidden="false" customHeight="true" outlineLevel="0" collapsed="false">
      <c r="P1849" s="1" t="str">
        <f aca="false">IF(OR(F1849="",H1849="",J1849=""),"",J1849&amp;"|"&amp;F1849&amp;"|"&amp;IF(H1849="W3","W3_"&amp;IF(I1849="","unknown",I1849),H1849))</f>
        <v/>
      </c>
      <c r="Q1849" s="1" t="str">
        <f aca="false">IF(P1849="","",IFERROR(IF(AND(H1849="W7",OR(F1849="causal",F1849="predictive")),IF(AND(K1849=1,L1849=1,M1849=1),"adequate","partial"),INDEX(Fit_Matrix!$B:$B,MATCH(P1849,Fit_Matrix!$A:$A,0))),"CHECK KEY"))</f>
        <v/>
      </c>
    </row>
    <row r="1850" customFormat="false" ht="15" hidden="false" customHeight="true" outlineLevel="0" collapsed="false">
      <c r="P1850" s="1" t="str">
        <f aca="false">IF(OR(F1850="",H1850="",J1850=""),"",J1850&amp;"|"&amp;F1850&amp;"|"&amp;IF(H1850="W3","W3_"&amp;IF(I1850="","unknown",I1850),H1850))</f>
        <v/>
      </c>
      <c r="Q1850" s="1" t="str">
        <f aca="false">IF(P1850="","",IFERROR(IF(AND(H1850="W7",OR(F1850="causal",F1850="predictive")),IF(AND(K1850=1,L1850=1,M1850=1),"adequate","partial"),INDEX(Fit_Matrix!$B:$B,MATCH(P1850,Fit_Matrix!$A:$A,0))),"CHECK KEY"))</f>
        <v/>
      </c>
    </row>
    <row r="1851" customFormat="false" ht="15" hidden="false" customHeight="true" outlineLevel="0" collapsed="false">
      <c r="P1851" s="1" t="str">
        <f aca="false">IF(OR(F1851="",H1851="",J1851=""),"",J1851&amp;"|"&amp;F1851&amp;"|"&amp;IF(H1851="W3","W3_"&amp;IF(I1851="","unknown",I1851),H1851))</f>
        <v/>
      </c>
      <c r="Q1851" s="1" t="str">
        <f aca="false">IF(P1851="","",IFERROR(IF(AND(H1851="W7",OR(F1851="causal",F1851="predictive")),IF(AND(K1851=1,L1851=1,M1851=1),"adequate","partial"),INDEX(Fit_Matrix!$B:$B,MATCH(P1851,Fit_Matrix!$A:$A,0))),"CHECK KEY"))</f>
        <v/>
      </c>
    </row>
    <row r="1852" customFormat="false" ht="15" hidden="false" customHeight="true" outlineLevel="0" collapsed="false">
      <c r="P1852" s="1" t="str">
        <f aca="false">IF(OR(F1852="",H1852="",J1852=""),"",J1852&amp;"|"&amp;F1852&amp;"|"&amp;IF(H1852="W3","W3_"&amp;IF(I1852="","unknown",I1852),H1852))</f>
        <v/>
      </c>
      <c r="Q1852" s="1" t="str">
        <f aca="false">IF(P1852="","",IFERROR(IF(AND(H1852="W7",OR(F1852="causal",F1852="predictive")),IF(AND(K1852=1,L1852=1,M1852=1),"adequate","partial"),INDEX(Fit_Matrix!$B:$B,MATCH(P1852,Fit_Matrix!$A:$A,0))),"CHECK KEY"))</f>
        <v/>
      </c>
    </row>
    <row r="1853" customFormat="false" ht="15" hidden="false" customHeight="true" outlineLevel="0" collapsed="false">
      <c r="P1853" s="1" t="str">
        <f aca="false">IF(OR(F1853="",H1853="",J1853=""),"",J1853&amp;"|"&amp;F1853&amp;"|"&amp;IF(H1853="W3","W3_"&amp;IF(I1853="","unknown",I1853),H1853))</f>
        <v/>
      </c>
      <c r="Q1853" s="1" t="str">
        <f aca="false">IF(P1853="","",IFERROR(IF(AND(H1853="W7",OR(F1853="causal",F1853="predictive")),IF(AND(K1853=1,L1853=1,M1853=1),"adequate","partial"),INDEX(Fit_Matrix!$B:$B,MATCH(P1853,Fit_Matrix!$A:$A,0))),"CHECK KEY"))</f>
        <v/>
      </c>
    </row>
    <row r="1854" customFormat="false" ht="15" hidden="false" customHeight="true" outlineLevel="0" collapsed="false">
      <c r="P1854" s="1" t="str">
        <f aca="false">IF(OR(F1854="",H1854="",J1854=""),"",J1854&amp;"|"&amp;F1854&amp;"|"&amp;IF(H1854="W3","W3_"&amp;IF(I1854="","unknown",I1854),H1854))</f>
        <v/>
      </c>
      <c r="Q1854" s="1" t="str">
        <f aca="false">IF(P1854="","",IFERROR(IF(AND(H1854="W7",OR(F1854="causal",F1854="predictive")),IF(AND(K1854=1,L1854=1,M1854=1),"adequate","partial"),INDEX(Fit_Matrix!$B:$B,MATCH(P1854,Fit_Matrix!$A:$A,0))),"CHECK KEY"))</f>
        <v/>
      </c>
    </row>
    <row r="1855" customFormat="false" ht="15" hidden="false" customHeight="true" outlineLevel="0" collapsed="false">
      <c r="P1855" s="1" t="str">
        <f aca="false">IF(OR(F1855="",H1855="",J1855=""),"",J1855&amp;"|"&amp;F1855&amp;"|"&amp;IF(H1855="W3","W3_"&amp;IF(I1855="","unknown",I1855),H1855))</f>
        <v/>
      </c>
      <c r="Q1855" s="1" t="str">
        <f aca="false">IF(P1855="","",IFERROR(IF(AND(H1855="W7",OR(F1855="causal",F1855="predictive")),IF(AND(K1855=1,L1855=1,M1855=1),"adequate","partial"),INDEX(Fit_Matrix!$B:$B,MATCH(P1855,Fit_Matrix!$A:$A,0))),"CHECK KEY"))</f>
        <v/>
      </c>
    </row>
    <row r="1856" customFormat="false" ht="15" hidden="false" customHeight="true" outlineLevel="0" collapsed="false">
      <c r="P1856" s="1" t="str">
        <f aca="false">IF(OR(F1856="",H1856="",J1856=""),"",J1856&amp;"|"&amp;F1856&amp;"|"&amp;IF(H1856="W3","W3_"&amp;IF(I1856="","unknown",I1856),H1856))</f>
        <v/>
      </c>
      <c r="Q1856" s="1" t="str">
        <f aca="false">IF(P1856="","",IFERROR(IF(AND(H1856="W7",OR(F1856="causal",F1856="predictive")),IF(AND(K1856=1,L1856=1,M1856=1),"adequate","partial"),INDEX(Fit_Matrix!$B:$B,MATCH(P1856,Fit_Matrix!$A:$A,0))),"CHECK KEY"))</f>
        <v/>
      </c>
    </row>
    <row r="1857" customFormat="false" ht="15" hidden="false" customHeight="true" outlineLevel="0" collapsed="false">
      <c r="P1857" s="1" t="str">
        <f aca="false">IF(OR(F1857="",H1857="",J1857=""),"",J1857&amp;"|"&amp;F1857&amp;"|"&amp;IF(H1857="W3","W3_"&amp;IF(I1857="","unknown",I1857),H1857))</f>
        <v/>
      </c>
      <c r="Q1857" s="1" t="str">
        <f aca="false">IF(P1857="","",IFERROR(IF(AND(H1857="W7",OR(F1857="causal",F1857="predictive")),IF(AND(K1857=1,L1857=1,M1857=1),"adequate","partial"),INDEX(Fit_Matrix!$B:$B,MATCH(P1857,Fit_Matrix!$A:$A,0))),"CHECK KEY"))</f>
        <v/>
      </c>
    </row>
    <row r="1858" customFormat="false" ht="15" hidden="false" customHeight="true" outlineLevel="0" collapsed="false">
      <c r="P1858" s="1" t="str">
        <f aca="false">IF(OR(F1858="",H1858="",J1858=""),"",J1858&amp;"|"&amp;F1858&amp;"|"&amp;IF(H1858="W3","W3_"&amp;IF(I1858="","unknown",I1858),H1858))</f>
        <v/>
      </c>
      <c r="Q1858" s="1" t="str">
        <f aca="false">IF(P1858="","",IFERROR(IF(AND(H1858="W7",OR(F1858="causal",F1858="predictive")),IF(AND(K1858=1,L1858=1,M1858=1),"adequate","partial"),INDEX(Fit_Matrix!$B:$B,MATCH(P1858,Fit_Matrix!$A:$A,0))),"CHECK KEY"))</f>
        <v/>
      </c>
    </row>
    <row r="1859" customFormat="false" ht="15" hidden="false" customHeight="true" outlineLevel="0" collapsed="false">
      <c r="P1859" s="1" t="str">
        <f aca="false">IF(OR(F1859="",H1859="",J1859=""),"",J1859&amp;"|"&amp;F1859&amp;"|"&amp;IF(H1859="W3","W3_"&amp;IF(I1859="","unknown",I1859),H1859))</f>
        <v/>
      </c>
      <c r="Q1859" s="1" t="str">
        <f aca="false">IF(P1859="","",IFERROR(IF(AND(H1859="W7",OR(F1859="causal",F1859="predictive")),IF(AND(K1859=1,L1859=1,M1859=1),"adequate","partial"),INDEX(Fit_Matrix!$B:$B,MATCH(P1859,Fit_Matrix!$A:$A,0))),"CHECK KEY"))</f>
        <v/>
      </c>
    </row>
    <row r="1860" customFormat="false" ht="15" hidden="false" customHeight="true" outlineLevel="0" collapsed="false">
      <c r="P1860" s="1" t="str">
        <f aca="false">IF(OR(F1860="",H1860="",J1860=""),"",J1860&amp;"|"&amp;F1860&amp;"|"&amp;IF(H1860="W3","W3_"&amp;IF(I1860="","unknown",I1860),H1860))</f>
        <v/>
      </c>
      <c r="Q1860" s="1" t="str">
        <f aca="false">IF(P1860="","",IFERROR(IF(AND(H1860="W7",OR(F1860="causal",F1860="predictive")),IF(AND(K1860=1,L1860=1,M1860=1),"adequate","partial"),INDEX(Fit_Matrix!$B:$B,MATCH(P1860,Fit_Matrix!$A:$A,0))),"CHECK KEY"))</f>
        <v/>
      </c>
    </row>
    <row r="1861" customFormat="false" ht="15" hidden="false" customHeight="true" outlineLevel="0" collapsed="false">
      <c r="P1861" s="1" t="str">
        <f aca="false">IF(OR(F1861="",H1861="",J1861=""),"",J1861&amp;"|"&amp;F1861&amp;"|"&amp;IF(H1861="W3","W3_"&amp;IF(I1861="","unknown",I1861),H1861))</f>
        <v/>
      </c>
      <c r="Q1861" s="1" t="str">
        <f aca="false">IF(P1861="","",IFERROR(IF(AND(H1861="W7",OR(F1861="causal",F1861="predictive")),IF(AND(K1861=1,L1861=1,M1861=1),"adequate","partial"),INDEX(Fit_Matrix!$B:$B,MATCH(P1861,Fit_Matrix!$A:$A,0))),"CHECK KEY"))</f>
        <v/>
      </c>
    </row>
    <row r="1862" customFormat="false" ht="15" hidden="false" customHeight="true" outlineLevel="0" collapsed="false">
      <c r="P1862" s="1" t="str">
        <f aca="false">IF(OR(F1862="",H1862="",J1862=""),"",J1862&amp;"|"&amp;F1862&amp;"|"&amp;IF(H1862="W3","W3_"&amp;IF(I1862="","unknown",I1862),H1862))</f>
        <v/>
      </c>
      <c r="Q1862" s="1" t="str">
        <f aca="false">IF(P1862="","",IFERROR(IF(AND(H1862="W7",OR(F1862="causal",F1862="predictive")),IF(AND(K1862=1,L1862=1,M1862=1),"adequate","partial"),INDEX(Fit_Matrix!$B:$B,MATCH(P1862,Fit_Matrix!$A:$A,0))),"CHECK KEY"))</f>
        <v/>
      </c>
    </row>
    <row r="1863" customFormat="false" ht="15" hidden="false" customHeight="true" outlineLevel="0" collapsed="false">
      <c r="P1863" s="1" t="str">
        <f aca="false">IF(OR(F1863="",H1863="",J1863=""),"",J1863&amp;"|"&amp;F1863&amp;"|"&amp;IF(H1863="W3","W3_"&amp;IF(I1863="","unknown",I1863),H1863))</f>
        <v/>
      </c>
      <c r="Q1863" s="1" t="str">
        <f aca="false">IF(P1863="","",IFERROR(IF(AND(H1863="W7",OR(F1863="causal",F1863="predictive")),IF(AND(K1863=1,L1863=1,M1863=1),"adequate","partial"),INDEX(Fit_Matrix!$B:$B,MATCH(P1863,Fit_Matrix!$A:$A,0))),"CHECK KEY"))</f>
        <v/>
      </c>
    </row>
    <row r="1864" customFormat="false" ht="15" hidden="false" customHeight="true" outlineLevel="0" collapsed="false">
      <c r="P1864" s="1" t="str">
        <f aca="false">IF(OR(F1864="",H1864="",J1864=""),"",J1864&amp;"|"&amp;F1864&amp;"|"&amp;IF(H1864="W3","W3_"&amp;IF(I1864="","unknown",I1864),H1864))</f>
        <v/>
      </c>
      <c r="Q1864" s="1" t="str">
        <f aca="false">IF(P1864="","",IFERROR(IF(AND(H1864="W7",OR(F1864="causal",F1864="predictive")),IF(AND(K1864=1,L1864=1,M1864=1),"adequate","partial"),INDEX(Fit_Matrix!$B:$B,MATCH(P1864,Fit_Matrix!$A:$A,0))),"CHECK KEY"))</f>
        <v/>
      </c>
    </row>
    <row r="1865" customFormat="false" ht="15" hidden="false" customHeight="true" outlineLevel="0" collapsed="false">
      <c r="P1865" s="1" t="str">
        <f aca="false">IF(OR(F1865="",H1865="",J1865=""),"",J1865&amp;"|"&amp;F1865&amp;"|"&amp;IF(H1865="W3","W3_"&amp;IF(I1865="","unknown",I1865),H1865))</f>
        <v/>
      </c>
      <c r="Q1865" s="1" t="str">
        <f aca="false">IF(P1865="","",IFERROR(IF(AND(H1865="W7",OR(F1865="causal",F1865="predictive")),IF(AND(K1865=1,L1865=1,M1865=1),"adequate","partial"),INDEX(Fit_Matrix!$B:$B,MATCH(P1865,Fit_Matrix!$A:$A,0))),"CHECK KEY"))</f>
        <v/>
      </c>
    </row>
    <row r="1866" customFormat="false" ht="15" hidden="false" customHeight="true" outlineLevel="0" collapsed="false">
      <c r="P1866" s="1" t="str">
        <f aca="false">IF(OR(F1866="",H1866="",J1866=""),"",J1866&amp;"|"&amp;F1866&amp;"|"&amp;IF(H1866="W3","W3_"&amp;IF(I1866="","unknown",I1866),H1866))</f>
        <v/>
      </c>
      <c r="Q1866" s="1" t="str">
        <f aca="false">IF(P1866="","",IFERROR(IF(AND(H1866="W7",OR(F1866="causal",F1866="predictive")),IF(AND(K1866=1,L1866=1,M1866=1),"adequate","partial"),INDEX(Fit_Matrix!$B:$B,MATCH(P1866,Fit_Matrix!$A:$A,0))),"CHECK KEY"))</f>
        <v/>
      </c>
    </row>
    <row r="1867" customFormat="false" ht="15" hidden="false" customHeight="true" outlineLevel="0" collapsed="false">
      <c r="P1867" s="1" t="str">
        <f aca="false">IF(OR(F1867="",H1867="",J1867=""),"",J1867&amp;"|"&amp;F1867&amp;"|"&amp;IF(H1867="W3","W3_"&amp;IF(I1867="","unknown",I1867),H1867))</f>
        <v/>
      </c>
      <c r="Q1867" s="1" t="str">
        <f aca="false">IF(P1867="","",IFERROR(IF(AND(H1867="W7",OR(F1867="causal",F1867="predictive")),IF(AND(K1867=1,L1867=1,M1867=1),"adequate","partial"),INDEX(Fit_Matrix!$B:$B,MATCH(P1867,Fit_Matrix!$A:$A,0))),"CHECK KEY"))</f>
        <v/>
      </c>
    </row>
    <row r="1868" customFormat="false" ht="15" hidden="false" customHeight="true" outlineLevel="0" collapsed="false">
      <c r="P1868" s="1" t="str">
        <f aca="false">IF(OR(F1868="",H1868="",J1868=""),"",J1868&amp;"|"&amp;F1868&amp;"|"&amp;IF(H1868="W3","W3_"&amp;IF(I1868="","unknown",I1868),H1868))</f>
        <v/>
      </c>
      <c r="Q1868" s="1" t="str">
        <f aca="false">IF(P1868="","",IFERROR(IF(AND(H1868="W7",OR(F1868="causal",F1868="predictive")),IF(AND(K1868=1,L1868=1,M1868=1),"adequate","partial"),INDEX(Fit_Matrix!$B:$B,MATCH(P1868,Fit_Matrix!$A:$A,0))),"CHECK KEY"))</f>
        <v/>
      </c>
    </row>
    <row r="1869" customFormat="false" ht="15" hidden="false" customHeight="true" outlineLevel="0" collapsed="false">
      <c r="P1869" s="1" t="str">
        <f aca="false">IF(OR(F1869="",H1869="",J1869=""),"",J1869&amp;"|"&amp;F1869&amp;"|"&amp;IF(H1869="W3","W3_"&amp;IF(I1869="","unknown",I1869),H1869))</f>
        <v/>
      </c>
      <c r="Q1869" s="1" t="str">
        <f aca="false">IF(P1869="","",IFERROR(IF(AND(H1869="W7",OR(F1869="causal",F1869="predictive")),IF(AND(K1869=1,L1869=1,M1869=1),"adequate","partial"),INDEX(Fit_Matrix!$B:$B,MATCH(P1869,Fit_Matrix!$A:$A,0))),"CHECK KEY"))</f>
        <v/>
      </c>
    </row>
    <row r="1870" customFormat="false" ht="15" hidden="false" customHeight="true" outlineLevel="0" collapsed="false">
      <c r="P1870" s="1" t="str">
        <f aca="false">IF(OR(F1870="",H1870="",J1870=""),"",J1870&amp;"|"&amp;F1870&amp;"|"&amp;IF(H1870="W3","W3_"&amp;IF(I1870="","unknown",I1870),H1870))</f>
        <v/>
      </c>
      <c r="Q1870" s="1" t="str">
        <f aca="false">IF(P1870="","",IFERROR(IF(AND(H1870="W7",OR(F1870="causal",F1870="predictive")),IF(AND(K1870=1,L1870=1,M1870=1),"adequate","partial"),INDEX(Fit_Matrix!$B:$B,MATCH(P1870,Fit_Matrix!$A:$A,0))),"CHECK KEY"))</f>
        <v/>
      </c>
    </row>
    <row r="1871" customFormat="false" ht="15" hidden="false" customHeight="true" outlineLevel="0" collapsed="false">
      <c r="P1871" s="1" t="str">
        <f aca="false">IF(OR(F1871="",H1871="",J1871=""),"",J1871&amp;"|"&amp;F1871&amp;"|"&amp;IF(H1871="W3","W3_"&amp;IF(I1871="","unknown",I1871),H1871))</f>
        <v/>
      </c>
      <c r="Q1871" s="1" t="str">
        <f aca="false">IF(P1871="","",IFERROR(IF(AND(H1871="W7",OR(F1871="causal",F1871="predictive")),IF(AND(K1871=1,L1871=1,M1871=1),"adequate","partial"),INDEX(Fit_Matrix!$B:$B,MATCH(P1871,Fit_Matrix!$A:$A,0))),"CHECK KEY"))</f>
        <v/>
      </c>
    </row>
    <row r="1872" customFormat="false" ht="15" hidden="false" customHeight="true" outlineLevel="0" collapsed="false">
      <c r="P1872" s="1" t="str">
        <f aca="false">IF(OR(F1872="",H1872="",J1872=""),"",J1872&amp;"|"&amp;F1872&amp;"|"&amp;IF(H1872="W3","W3_"&amp;IF(I1872="","unknown",I1872),H1872))</f>
        <v/>
      </c>
      <c r="Q1872" s="1" t="str">
        <f aca="false">IF(P1872="","",IFERROR(IF(AND(H1872="W7",OR(F1872="causal",F1872="predictive")),IF(AND(K1872=1,L1872=1,M1872=1),"adequate","partial"),INDEX(Fit_Matrix!$B:$B,MATCH(P1872,Fit_Matrix!$A:$A,0))),"CHECK KEY"))</f>
        <v/>
      </c>
    </row>
    <row r="1873" customFormat="false" ht="15" hidden="false" customHeight="true" outlineLevel="0" collapsed="false">
      <c r="P1873" s="1" t="str">
        <f aca="false">IF(OR(F1873="",H1873="",J1873=""),"",J1873&amp;"|"&amp;F1873&amp;"|"&amp;IF(H1873="W3","W3_"&amp;IF(I1873="","unknown",I1873),H1873))</f>
        <v/>
      </c>
      <c r="Q1873" s="1" t="str">
        <f aca="false">IF(P1873="","",IFERROR(IF(AND(H1873="W7",OR(F1873="causal",F1873="predictive")),IF(AND(K1873=1,L1873=1,M1873=1),"adequate","partial"),INDEX(Fit_Matrix!$B:$B,MATCH(P1873,Fit_Matrix!$A:$A,0))),"CHECK KEY"))</f>
        <v/>
      </c>
    </row>
    <row r="1874" customFormat="false" ht="15" hidden="false" customHeight="true" outlineLevel="0" collapsed="false">
      <c r="P1874" s="1" t="str">
        <f aca="false">IF(OR(F1874="",H1874="",J1874=""),"",J1874&amp;"|"&amp;F1874&amp;"|"&amp;IF(H1874="W3","W3_"&amp;IF(I1874="","unknown",I1874),H1874))</f>
        <v/>
      </c>
      <c r="Q1874" s="1" t="str">
        <f aca="false">IF(P1874="","",IFERROR(IF(AND(H1874="W7",OR(F1874="causal",F1874="predictive")),IF(AND(K1874=1,L1874=1,M1874=1),"adequate","partial"),INDEX(Fit_Matrix!$B:$B,MATCH(P1874,Fit_Matrix!$A:$A,0))),"CHECK KEY"))</f>
        <v/>
      </c>
    </row>
    <row r="1875" customFormat="false" ht="15" hidden="false" customHeight="true" outlineLevel="0" collapsed="false">
      <c r="P1875" s="1" t="str">
        <f aca="false">IF(OR(F1875="",H1875="",J1875=""),"",J1875&amp;"|"&amp;F1875&amp;"|"&amp;IF(H1875="W3","W3_"&amp;IF(I1875="","unknown",I1875),H1875))</f>
        <v/>
      </c>
      <c r="Q1875" s="1" t="str">
        <f aca="false">IF(P1875="","",IFERROR(IF(AND(H1875="W7",OR(F1875="causal",F1875="predictive")),IF(AND(K1875=1,L1875=1,M1875=1),"adequate","partial"),INDEX(Fit_Matrix!$B:$B,MATCH(P1875,Fit_Matrix!$A:$A,0))),"CHECK KEY"))</f>
        <v/>
      </c>
    </row>
    <row r="1876" customFormat="false" ht="15" hidden="false" customHeight="true" outlineLevel="0" collapsed="false">
      <c r="P1876" s="1" t="str">
        <f aca="false">IF(OR(F1876="",H1876="",J1876=""),"",J1876&amp;"|"&amp;F1876&amp;"|"&amp;IF(H1876="W3","W3_"&amp;IF(I1876="","unknown",I1876),H1876))</f>
        <v/>
      </c>
      <c r="Q1876" s="1" t="str">
        <f aca="false">IF(P1876="","",IFERROR(IF(AND(H1876="W7",OR(F1876="causal",F1876="predictive")),IF(AND(K1876=1,L1876=1,M1876=1),"adequate","partial"),INDEX(Fit_Matrix!$B:$B,MATCH(P1876,Fit_Matrix!$A:$A,0))),"CHECK KEY"))</f>
        <v/>
      </c>
    </row>
    <row r="1877" customFormat="false" ht="15" hidden="false" customHeight="true" outlineLevel="0" collapsed="false">
      <c r="P1877" s="1" t="str">
        <f aca="false">IF(OR(F1877="",H1877="",J1877=""),"",J1877&amp;"|"&amp;F1877&amp;"|"&amp;IF(H1877="W3","W3_"&amp;IF(I1877="","unknown",I1877),H1877))</f>
        <v/>
      </c>
      <c r="Q1877" s="1" t="str">
        <f aca="false">IF(P1877="","",IFERROR(IF(AND(H1877="W7",OR(F1877="causal",F1877="predictive")),IF(AND(K1877=1,L1877=1,M1877=1),"adequate","partial"),INDEX(Fit_Matrix!$B:$B,MATCH(P1877,Fit_Matrix!$A:$A,0))),"CHECK KEY"))</f>
        <v/>
      </c>
    </row>
    <row r="1878" customFormat="false" ht="15" hidden="false" customHeight="true" outlineLevel="0" collapsed="false">
      <c r="P1878" s="1" t="str">
        <f aca="false">IF(OR(F1878="",H1878="",J1878=""),"",J1878&amp;"|"&amp;F1878&amp;"|"&amp;IF(H1878="W3","W3_"&amp;IF(I1878="","unknown",I1878),H1878))</f>
        <v/>
      </c>
      <c r="Q1878" s="1" t="str">
        <f aca="false">IF(P1878="","",IFERROR(IF(AND(H1878="W7",OR(F1878="causal",F1878="predictive")),IF(AND(K1878=1,L1878=1,M1878=1),"adequate","partial"),INDEX(Fit_Matrix!$B:$B,MATCH(P1878,Fit_Matrix!$A:$A,0))),"CHECK KEY"))</f>
        <v/>
      </c>
    </row>
    <row r="1879" customFormat="false" ht="15" hidden="false" customHeight="true" outlineLevel="0" collapsed="false">
      <c r="P1879" s="1" t="str">
        <f aca="false">IF(OR(F1879="",H1879="",J1879=""),"",J1879&amp;"|"&amp;F1879&amp;"|"&amp;IF(H1879="W3","W3_"&amp;IF(I1879="","unknown",I1879),H1879))</f>
        <v/>
      </c>
      <c r="Q1879" s="1" t="str">
        <f aca="false">IF(P1879="","",IFERROR(IF(AND(H1879="W7",OR(F1879="causal",F1879="predictive")),IF(AND(K1879=1,L1879=1,M1879=1),"adequate","partial"),INDEX(Fit_Matrix!$B:$B,MATCH(P1879,Fit_Matrix!$A:$A,0))),"CHECK KEY"))</f>
        <v/>
      </c>
    </row>
    <row r="1880" customFormat="false" ht="15" hidden="false" customHeight="true" outlineLevel="0" collapsed="false">
      <c r="P1880" s="1" t="str">
        <f aca="false">IF(OR(F1880="",H1880="",J1880=""),"",J1880&amp;"|"&amp;F1880&amp;"|"&amp;IF(H1880="W3","W3_"&amp;IF(I1880="","unknown",I1880),H1880))</f>
        <v/>
      </c>
      <c r="Q1880" s="1" t="str">
        <f aca="false">IF(P1880="","",IFERROR(IF(AND(H1880="W7",OR(F1880="causal",F1880="predictive")),IF(AND(K1880=1,L1880=1,M1880=1),"adequate","partial"),INDEX(Fit_Matrix!$B:$B,MATCH(P1880,Fit_Matrix!$A:$A,0))),"CHECK KEY"))</f>
        <v/>
      </c>
    </row>
    <row r="1881" customFormat="false" ht="15" hidden="false" customHeight="true" outlineLevel="0" collapsed="false">
      <c r="P1881" s="1" t="str">
        <f aca="false">IF(OR(F1881="",H1881="",J1881=""),"",J1881&amp;"|"&amp;F1881&amp;"|"&amp;IF(H1881="W3","W3_"&amp;IF(I1881="","unknown",I1881),H1881))</f>
        <v/>
      </c>
      <c r="Q1881" s="1" t="str">
        <f aca="false">IF(P1881="","",IFERROR(IF(AND(H1881="W7",OR(F1881="causal",F1881="predictive")),IF(AND(K1881=1,L1881=1,M1881=1),"adequate","partial"),INDEX(Fit_Matrix!$B:$B,MATCH(P1881,Fit_Matrix!$A:$A,0))),"CHECK KEY"))</f>
        <v/>
      </c>
    </row>
    <row r="1882" customFormat="false" ht="15" hidden="false" customHeight="true" outlineLevel="0" collapsed="false">
      <c r="P1882" s="1" t="str">
        <f aca="false">IF(OR(F1882="",H1882="",J1882=""),"",J1882&amp;"|"&amp;F1882&amp;"|"&amp;IF(H1882="W3","W3_"&amp;IF(I1882="","unknown",I1882),H1882))</f>
        <v/>
      </c>
      <c r="Q1882" s="1" t="str">
        <f aca="false">IF(P1882="","",IFERROR(IF(AND(H1882="W7",OR(F1882="causal",F1882="predictive")),IF(AND(K1882=1,L1882=1,M1882=1),"adequate","partial"),INDEX(Fit_Matrix!$B:$B,MATCH(P1882,Fit_Matrix!$A:$A,0))),"CHECK KEY"))</f>
        <v/>
      </c>
    </row>
    <row r="1883" customFormat="false" ht="15" hidden="false" customHeight="true" outlineLevel="0" collapsed="false">
      <c r="P1883" s="1" t="str">
        <f aca="false">IF(OR(F1883="",H1883="",J1883=""),"",J1883&amp;"|"&amp;F1883&amp;"|"&amp;IF(H1883="W3","W3_"&amp;IF(I1883="","unknown",I1883),H1883))</f>
        <v/>
      </c>
      <c r="Q1883" s="1" t="str">
        <f aca="false">IF(P1883="","",IFERROR(IF(AND(H1883="W7",OR(F1883="causal",F1883="predictive")),IF(AND(K1883=1,L1883=1,M1883=1),"adequate","partial"),INDEX(Fit_Matrix!$B:$B,MATCH(P1883,Fit_Matrix!$A:$A,0))),"CHECK KEY"))</f>
        <v/>
      </c>
    </row>
    <row r="1884" customFormat="false" ht="15" hidden="false" customHeight="true" outlineLevel="0" collapsed="false">
      <c r="P1884" s="1" t="str">
        <f aca="false">IF(OR(F1884="",H1884="",J1884=""),"",J1884&amp;"|"&amp;F1884&amp;"|"&amp;IF(H1884="W3","W3_"&amp;IF(I1884="","unknown",I1884),H1884))</f>
        <v/>
      </c>
      <c r="Q1884" s="1" t="str">
        <f aca="false">IF(P1884="","",IFERROR(IF(AND(H1884="W7",OR(F1884="causal",F1884="predictive")),IF(AND(K1884=1,L1884=1,M1884=1),"adequate","partial"),INDEX(Fit_Matrix!$B:$B,MATCH(P1884,Fit_Matrix!$A:$A,0))),"CHECK KEY"))</f>
        <v/>
      </c>
    </row>
    <row r="1885" customFormat="false" ht="15" hidden="false" customHeight="true" outlineLevel="0" collapsed="false">
      <c r="P1885" s="1" t="str">
        <f aca="false">IF(OR(F1885="",H1885="",J1885=""),"",J1885&amp;"|"&amp;F1885&amp;"|"&amp;IF(H1885="W3","W3_"&amp;IF(I1885="","unknown",I1885),H1885))</f>
        <v/>
      </c>
      <c r="Q1885" s="1" t="str">
        <f aca="false">IF(P1885="","",IFERROR(IF(AND(H1885="W7",OR(F1885="causal",F1885="predictive")),IF(AND(K1885=1,L1885=1,M1885=1),"adequate","partial"),INDEX(Fit_Matrix!$B:$B,MATCH(P1885,Fit_Matrix!$A:$A,0))),"CHECK KEY"))</f>
        <v/>
      </c>
    </row>
    <row r="1886" customFormat="false" ht="15" hidden="false" customHeight="true" outlineLevel="0" collapsed="false">
      <c r="P1886" s="1" t="str">
        <f aca="false">IF(OR(F1886="",H1886="",J1886=""),"",J1886&amp;"|"&amp;F1886&amp;"|"&amp;IF(H1886="W3","W3_"&amp;IF(I1886="","unknown",I1886),H1886))</f>
        <v/>
      </c>
      <c r="Q1886" s="1" t="str">
        <f aca="false">IF(P1886="","",IFERROR(IF(AND(H1886="W7",OR(F1886="causal",F1886="predictive")),IF(AND(K1886=1,L1886=1,M1886=1),"adequate","partial"),INDEX(Fit_Matrix!$B:$B,MATCH(P1886,Fit_Matrix!$A:$A,0))),"CHECK KEY"))</f>
        <v/>
      </c>
    </row>
    <row r="1887" customFormat="false" ht="15" hidden="false" customHeight="true" outlineLevel="0" collapsed="false">
      <c r="P1887" s="1" t="str">
        <f aca="false">IF(OR(F1887="",H1887="",J1887=""),"",J1887&amp;"|"&amp;F1887&amp;"|"&amp;IF(H1887="W3","W3_"&amp;IF(I1887="","unknown",I1887),H1887))</f>
        <v/>
      </c>
      <c r="Q1887" s="1" t="str">
        <f aca="false">IF(P1887="","",IFERROR(IF(AND(H1887="W7",OR(F1887="causal",F1887="predictive")),IF(AND(K1887=1,L1887=1,M1887=1),"adequate","partial"),INDEX(Fit_Matrix!$B:$B,MATCH(P1887,Fit_Matrix!$A:$A,0))),"CHECK KEY"))</f>
        <v/>
      </c>
    </row>
    <row r="1888" customFormat="false" ht="15" hidden="false" customHeight="true" outlineLevel="0" collapsed="false">
      <c r="P1888" s="1" t="str">
        <f aca="false">IF(OR(F1888="",H1888="",J1888=""),"",J1888&amp;"|"&amp;F1888&amp;"|"&amp;IF(H1888="W3","W3_"&amp;IF(I1888="","unknown",I1888),H1888))</f>
        <v/>
      </c>
      <c r="Q1888" s="1" t="str">
        <f aca="false">IF(P1888="","",IFERROR(IF(AND(H1888="W7",OR(F1888="causal",F1888="predictive")),IF(AND(K1888=1,L1888=1,M1888=1),"adequate","partial"),INDEX(Fit_Matrix!$B:$B,MATCH(P1888,Fit_Matrix!$A:$A,0))),"CHECK KEY"))</f>
        <v/>
      </c>
    </row>
    <row r="1889" customFormat="false" ht="15" hidden="false" customHeight="true" outlineLevel="0" collapsed="false">
      <c r="P1889" s="1" t="str">
        <f aca="false">IF(OR(F1889="",H1889="",J1889=""),"",J1889&amp;"|"&amp;F1889&amp;"|"&amp;IF(H1889="W3","W3_"&amp;IF(I1889="","unknown",I1889),H1889))</f>
        <v/>
      </c>
      <c r="Q1889" s="1" t="str">
        <f aca="false">IF(P1889="","",IFERROR(IF(AND(H1889="W7",OR(F1889="causal",F1889="predictive")),IF(AND(K1889=1,L1889=1,M1889=1),"adequate","partial"),INDEX(Fit_Matrix!$B:$B,MATCH(P1889,Fit_Matrix!$A:$A,0))),"CHECK KEY"))</f>
        <v/>
      </c>
    </row>
    <row r="1890" customFormat="false" ht="15" hidden="false" customHeight="true" outlineLevel="0" collapsed="false">
      <c r="P1890" s="1" t="str">
        <f aca="false">IF(OR(F1890="",H1890="",J1890=""),"",J1890&amp;"|"&amp;F1890&amp;"|"&amp;IF(H1890="W3","W3_"&amp;IF(I1890="","unknown",I1890),H1890))</f>
        <v/>
      </c>
      <c r="Q1890" s="1" t="str">
        <f aca="false">IF(P1890="","",IFERROR(IF(AND(H1890="W7",OR(F1890="causal",F1890="predictive")),IF(AND(K1890=1,L1890=1,M1890=1),"adequate","partial"),INDEX(Fit_Matrix!$B:$B,MATCH(P1890,Fit_Matrix!$A:$A,0))),"CHECK KEY"))</f>
        <v/>
      </c>
    </row>
    <row r="1891" customFormat="false" ht="15" hidden="false" customHeight="true" outlineLevel="0" collapsed="false">
      <c r="P1891" s="1" t="str">
        <f aca="false">IF(OR(F1891="",H1891="",J1891=""),"",J1891&amp;"|"&amp;F1891&amp;"|"&amp;IF(H1891="W3","W3_"&amp;IF(I1891="","unknown",I1891),H1891))</f>
        <v/>
      </c>
      <c r="Q1891" s="1" t="str">
        <f aca="false">IF(P1891="","",IFERROR(IF(AND(H1891="W7",OR(F1891="causal",F1891="predictive")),IF(AND(K1891=1,L1891=1,M1891=1),"adequate","partial"),INDEX(Fit_Matrix!$B:$B,MATCH(P1891,Fit_Matrix!$A:$A,0))),"CHECK KEY"))</f>
        <v/>
      </c>
    </row>
    <row r="1892" customFormat="false" ht="15" hidden="false" customHeight="true" outlineLevel="0" collapsed="false">
      <c r="P1892" s="1" t="str">
        <f aca="false">IF(OR(F1892="",H1892="",J1892=""),"",J1892&amp;"|"&amp;F1892&amp;"|"&amp;IF(H1892="W3","W3_"&amp;IF(I1892="","unknown",I1892),H1892))</f>
        <v/>
      </c>
      <c r="Q1892" s="1" t="str">
        <f aca="false">IF(P1892="","",IFERROR(IF(AND(H1892="W7",OR(F1892="causal",F1892="predictive")),IF(AND(K1892=1,L1892=1,M1892=1),"adequate","partial"),INDEX(Fit_Matrix!$B:$B,MATCH(P1892,Fit_Matrix!$A:$A,0))),"CHECK KEY"))</f>
        <v/>
      </c>
    </row>
    <row r="1893" customFormat="false" ht="15" hidden="false" customHeight="true" outlineLevel="0" collapsed="false">
      <c r="P1893" s="1" t="str">
        <f aca="false">IF(OR(F1893="",H1893="",J1893=""),"",J1893&amp;"|"&amp;F1893&amp;"|"&amp;IF(H1893="W3","W3_"&amp;IF(I1893="","unknown",I1893),H1893))</f>
        <v/>
      </c>
      <c r="Q1893" s="1" t="str">
        <f aca="false">IF(P1893="","",IFERROR(IF(AND(H1893="W7",OR(F1893="causal",F1893="predictive")),IF(AND(K1893=1,L1893=1,M1893=1),"adequate","partial"),INDEX(Fit_Matrix!$B:$B,MATCH(P1893,Fit_Matrix!$A:$A,0))),"CHECK KEY"))</f>
        <v/>
      </c>
    </row>
    <row r="1894" customFormat="false" ht="15" hidden="false" customHeight="true" outlineLevel="0" collapsed="false">
      <c r="P1894" s="1" t="str">
        <f aca="false">IF(OR(F1894="",H1894="",J1894=""),"",J1894&amp;"|"&amp;F1894&amp;"|"&amp;IF(H1894="W3","W3_"&amp;IF(I1894="","unknown",I1894),H1894))</f>
        <v/>
      </c>
      <c r="Q1894" s="1" t="str">
        <f aca="false">IF(P1894="","",IFERROR(IF(AND(H1894="W7",OR(F1894="causal",F1894="predictive")),IF(AND(K1894=1,L1894=1,M1894=1),"adequate","partial"),INDEX(Fit_Matrix!$B:$B,MATCH(P1894,Fit_Matrix!$A:$A,0))),"CHECK KEY"))</f>
        <v/>
      </c>
    </row>
    <row r="1895" customFormat="false" ht="15" hidden="false" customHeight="true" outlineLevel="0" collapsed="false">
      <c r="P1895" s="1" t="str">
        <f aca="false">IF(OR(F1895="",H1895="",J1895=""),"",J1895&amp;"|"&amp;F1895&amp;"|"&amp;IF(H1895="W3","W3_"&amp;IF(I1895="","unknown",I1895),H1895))</f>
        <v/>
      </c>
      <c r="Q1895" s="1" t="str">
        <f aca="false">IF(P1895="","",IFERROR(IF(AND(H1895="W7",OR(F1895="causal",F1895="predictive")),IF(AND(K1895=1,L1895=1,M1895=1),"adequate","partial"),INDEX(Fit_Matrix!$B:$B,MATCH(P1895,Fit_Matrix!$A:$A,0))),"CHECK KEY"))</f>
        <v/>
      </c>
    </row>
    <row r="1896" customFormat="false" ht="15" hidden="false" customHeight="true" outlineLevel="0" collapsed="false">
      <c r="P1896" s="1" t="str">
        <f aca="false">IF(OR(F1896="",H1896="",J1896=""),"",J1896&amp;"|"&amp;F1896&amp;"|"&amp;IF(H1896="W3","W3_"&amp;IF(I1896="","unknown",I1896),H1896))</f>
        <v/>
      </c>
      <c r="Q1896" s="1" t="str">
        <f aca="false">IF(P1896="","",IFERROR(IF(AND(H1896="W7",OR(F1896="causal",F1896="predictive")),IF(AND(K1896=1,L1896=1,M1896=1),"adequate","partial"),INDEX(Fit_Matrix!$B:$B,MATCH(P1896,Fit_Matrix!$A:$A,0))),"CHECK KEY"))</f>
        <v/>
      </c>
    </row>
    <row r="1897" customFormat="false" ht="15" hidden="false" customHeight="true" outlineLevel="0" collapsed="false">
      <c r="P1897" s="1" t="str">
        <f aca="false">IF(OR(F1897="",H1897="",J1897=""),"",J1897&amp;"|"&amp;F1897&amp;"|"&amp;IF(H1897="W3","W3_"&amp;IF(I1897="","unknown",I1897),H1897))</f>
        <v/>
      </c>
      <c r="Q1897" s="1" t="str">
        <f aca="false">IF(P1897="","",IFERROR(IF(AND(H1897="W7",OR(F1897="causal",F1897="predictive")),IF(AND(K1897=1,L1897=1,M1897=1),"adequate","partial"),INDEX(Fit_Matrix!$B:$B,MATCH(P1897,Fit_Matrix!$A:$A,0))),"CHECK KEY"))</f>
        <v/>
      </c>
    </row>
    <row r="1898" customFormat="false" ht="15" hidden="false" customHeight="true" outlineLevel="0" collapsed="false">
      <c r="P1898" s="1" t="str">
        <f aca="false">IF(OR(F1898="",H1898="",J1898=""),"",J1898&amp;"|"&amp;F1898&amp;"|"&amp;IF(H1898="W3","W3_"&amp;IF(I1898="","unknown",I1898),H1898))</f>
        <v/>
      </c>
      <c r="Q1898" s="1" t="str">
        <f aca="false">IF(P1898="","",IFERROR(IF(AND(H1898="W7",OR(F1898="causal",F1898="predictive")),IF(AND(K1898=1,L1898=1,M1898=1),"adequate","partial"),INDEX(Fit_Matrix!$B:$B,MATCH(P1898,Fit_Matrix!$A:$A,0))),"CHECK KEY"))</f>
        <v/>
      </c>
    </row>
    <row r="1899" customFormat="false" ht="15" hidden="false" customHeight="true" outlineLevel="0" collapsed="false">
      <c r="P1899" s="1" t="str">
        <f aca="false">IF(OR(F1899="",H1899="",J1899=""),"",J1899&amp;"|"&amp;F1899&amp;"|"&amp;IF(H1899="W3","W3_"&amp;IF(I1899="","unknown",I1899),H1899))</f>
        <v/>
      </c>
      <c r="Q1899" s="1" t="str">
        <f aca="false">IF(P1899="","",IFERROR(IF(AND(H1899="W7",OR(F1899="causal",F1899="predictive")),IF(AND(K1899=1,L1899=1,M1899=1),"adequate","partial"),INDEX(Fit_Matrix!$B:$B,MATCH(P1899,Fit_Matrix!$A:$A,0))),"CHECK KEY"))</f>
        <v/>
      </c>
    </row>
    <row r="1900" customFormat="false" ht="15" hidden="false" customHeight="true" outlineLevel="0" collapsed="false">
      <c r="P1900" s="1" t="str">
        <f aca="false">IF(OR(F1900="",H1900="",J1900=""),"",J1900&amp;"|"&amp;F1900&amp;"|"&amp;IF(H1900="W3","W3_"&amp;IF(I1900="","unknown",I1900),H1900))</f>
        <v/>
      </c>
      <c r="Q1900" s="1" t="str">
        <f aca="false">IF(P1900="","",IFERROR(IF(AND(H1900="W7",OR(F1900="causal",F1900="predictive")),IF(AND(K1900=1,L1900=1,M1900=1),"adequate","partial"),INDEX(Fit_Matrix!$B:$B,MATCH(P1900,Fit_Matrix!$A:$A,0))),"CHECK KEY"))</f>
        <v/>
      </c>
    </row>
    <row r="1901" customFormat="false" ht="15" hidden="false" customHeight="true" outlineLevel="0" collapsed="false">
      <c r="P1901" s="1" t="str">
        <f aca="false">IF(OR(F1901="",H1901="",J1901=""),"",J1901&amp;"|"&amp;F1901&amp;"|"&amp;IF(H1901="W3","W3_"&amp;IF(I1901="","unknown",I1901),H1901))</f>
        <v/>
      </c>
      <c r="Q1901" s="1" t="str">
        <f aca="false">IF(P1901="","",IFERROR(IF(AND(H1901="W7",OR(F1901="causal",F1901="predictive")),IF(AND(K1901=1,L1901=1,M1901=1),"adequate","partial"),INDEX(Fit_Matrix!$B:$B,MATCH(P1901,Fit_Matrix!$A:$A,0))),"CHECK KEY"))</f>
        <v/>
      </c>
    </row>
    <row r="1902" customFormat="false" ht="15" hidden="false" customHeight="true" outlineLevel="0" collapsed="false">
      <c r="P1902" s="1" t="str">
        <f aca="false">IF(OR(F1902="",H1902="",J1902=""),"",J1902&amp;"|"&amp;F1902&amp;"|"&amp;IF(H1902="W3","W3_"&amp;IF(I1902="","unknown",I1902),H1902))</f>
        <v/>
      </c>
      <c r="Q1902" s="1" t="str">
        <f aca="false">IF(P1902="","",IFERROR(IF(AND(H1902="W7",OR(F1902="causal",F1902="predictive")),IF(AND(K1902=1,L1902=1,M1902=1),"adequate","partial"),INDEX(Fit_Matrix!$B:$B,MATCH(P1902,Fit_Matrix!$A:$A,0))),"CHECK KEY"))</f>
        <v/>
      </c>
    </row>
    <row r="1903" customFormat="false" ht="15" hidden="false" customHeight="true" outlineLevel="0" collapsed="false">
      <c r="P1903" s="1" t="str">
        <f aca="false">IF(OR(F1903="",H1903="",J1903=""),"",J1903&amp;"|"&amp;F1903&amp;"|"&amp;IF(H1903="W3","W3_"&amp;IF(I1903="","unknown",I1903),H1903))</f>
        <v/>
      </c>
      <c r="Q1903" s="1" t="str">
        <f aca="false">IF(P1903="","",IFERROR(IF(AND(H1903="W7",OR(F1903="causal",F1903="predictive")),IF(AND(K1903=1,L1903=1,M1903=1),"adequate","partial"),INDEX(Fit_Matrix!$B:$B,MATCH(P1903,Fit_Matrix!$A:$A,0))),"CHECK KEY"))</f>
        <v/>
      </c>
    </row>
    <row r="1904" customFormat="false" ht="15" hidden="false" customHeight="true" outlineLevel="0" collapsed="false">
      <c r="P1904" s="1" t="str">
        <f aca="false">IF(OR(F1904="",H1904="",J1904=""),"",J1904&amp;"|"&amp;F1904&amp;"|"&amp;IF(H1904="W3","W3_"&amp;IF(I1904="","unknown",I1904),H1904))</f>
        <v/>
      </c>
      <c r="Q1904" s="1" t="str">
        <f aca="false">IF(P1904="","",IFERROR(IF(AND(H1904="W7",OR(F1904="causal",F1904="predictive")),IF(AND(K1904=1,L1904=1,M1904=1),"adequate","partial"),INDEX(Fit_Matrix!$B:$B,MATCH(P1904,Fit_Matrix!$A:$A,0))),"CHECK KEY"))</f>
        <v/>
      </c>
    </row>
    <row r="1905" customFormat="false" ht="15" hidden="false" customHeight="true" outlineLevel="0" collapsed="false">
      <c r="P1905" s="1" t="str">
        <f aca="false">IF(OR(F1905="",H1905="",J1905=""),"",J1905&amp;"|"&amp;F1905&amp;"|"&amp;IF(H1905="W3","W3_"&amp;IF(I1905="","unknown",I1905),H1905))</f>
        <v/>
      </c>
      <c r="Q1905" s="1" t="str">
        <f aca="false">IF(P1905="","",IFERROR(IF(AND(H1905="W7",OR(F1905="causal",F1905="predictive")),IF(AND(K1905=1,L1905=1,M1905=1),"adequate","partial"),INDEX(Fit_Matrix!$B:$B,MATCH(P1905,Fit_Matrix!$A:$A,0))),"CHECK KEY"))</f>
        <v/>
      </c>
    </row>
    <row r="1906" customFormat="false" ht="15" hidden="false" customHeight="true" outlineLevel="0" collapsed="false">
      <c r="P1906" s="1" t="str">
        <f aca="false">IF(OR(F1906="",H1906="",J1906=""),"",J1906&amp;"|"&amp;F1906&amp;"|"&amp;IF(H1906="W3","W3_"&amp;IF(I1906="","unknown",I1906),H1906))</f>
        <v/>
      </c>
      <c r="Q1906" s="1" t="str">
        <f aca="false">IF(P1906="","",IFERROR(IF(AND(H1906="W7",OR(F1906="causal",F1906="predictive")),IF(AND(K1906=1,L1906=1,M1906=1),"adequate","partial"),INDEX(Fit_Matrix!$B:$B,MATCH(P1906,Fit_Matrix!$A:$A,0))),"CHECK KEY"))</f>
        <v/>
      </c>
    </row>
    <row r="1907" customFormat="false" ht="15" hidden="false" customHeight="true" outlineLevel="0" collapsed="false">
      <c r="P1907" s="1" t="str">
        <f aca="false">IF(OR(F1907="",H1907="",J1907=""),"",J1907&amp;"|"&amp;F1907&amp;"|"&amp;IF(H1907="W3","W3_"&amp;IF(I1907="","unknown",I1907),H1907))</f>
        <v/>
      </c>
      <c r="Q1907" s="1" t="str">
        <f aca="false">IF(P1907="","",IFERROR(IF(AND(H1907="W7",OR(F1907="causal",F1907="predictive")),IF(AND(K1907=1,L1907=1,M1907=1),"adequate","partial"),INDEX(Fit_Matrix!$B:$B,MATCH(P1907,Fit_Matrix!$A:$A,0))),"CHECK KEY"))</f>
        <v/>
      </c>
    </row>
    <row r="1908" customFormat="false" ht="15" hidden="false" customHeight="true" outlineLevel="0" collapsed="false">
      <c r="P1908" s="1" t="str">
        <f aca="false">IF(OR(F1908="",H1908="",J1908=""),"",J1908&amp;"|"&amp;F1908&amp;"|"&amp;IF(H1908="W3","W3_"&amp;IF(I1908="","unknown",I1908),H1908))</f>
        <v/>
      </c>
      <c r="Q1908" s="1" t="str">
        <f aca="false">IF(P1908="","",IFERROR(IF(AND(H1908="W7",OR(F1908="causal",F1908="predictive")),IF(AND(K1908=1,L1908=1,M1908=1),"adequate","partial"),INDEX(Fit_Matrix!$B:$B,MATCH(P1908,Fit_Matrix!$A:$A,0))),"CHECK KEY"))</f>
        <v/>
      </c>
    </row>
    <row r="1909" customFormat="false" ht="15" hidden="false" customHeight="true" outlineLevel="0" collapsed="false">
      <c r="P1909" s="1" t="str">
        <f aca="false">IF(OR(F1909="",H1909="",J1909=""),"",J1909&amp;"|"&amp;F1909&amp;"|"&amp;IF(H1909="W3","W3_"&amp;IF(I1909="","unknown",I1909),H1909))</f>
        <v/>
      </c>
      <c r="Q1909" s="1" t="str">
        <f aca="false">IF(P1909="","",IFERROR(IF(AND(H1909="W7",OR(F1909="causal",F1909="predictive")),IF(AND(K1909=1,L1909=1,M1909=1),"adequate","partial"),INDEX(Fit_Matrix!$B:$B,MATCH(P1909,Fit_Matrix!$A:$A,0))),"CHECK KEY"))</f>
        <v/>
      </c>
    </row>
    <row r="1910" customFormat="false" ht="15" hidden="false" customHeight="true" outlineLevel="0" collapsed="false">
      <c r="P1910" s="1" t="str">
        <f aca="false">IF(OR(F1910="",H1910="",J1910=""),"",J1910&amp;"|"&amp;F1910&amp;"|"&amp;IF(H1910="W3","W3_"&amp;IF(I1910="","unknown",I1910),H1910))</f>
        <v/>
      </c>
      <c r="Q1910" s="1" t="str">
        <f aca="false">IF(P1910="","",IFERROR(IF(AND(H1910="W7",OR(F1910="causal",F1910="predictive")),IF(AND(K1910=1,L1910=1,M1910=1),"adequate","partial"),INDEX(Fit_Matrix!$B:$B,MATCH(P1910,Fit_Matrix!$A:$A,0))),"CHECK KEY"))</f>
        <v/>
      </c>
    </row>
    <row r="1911" customFormat="false" ht="15" hidden="false" customHeight="true" outlineLevel="0" collapsed="false">
      <c r="P1911" s="1" t="str">
        <f aca="false">IF(OR(F1911="",H1911="",J1911=""),"",J1911&amp;"|"&amp;F1911&amp;"|"&amp;IF(H1911="W3","W3_"&amp;IF(I1911="","unknown",I1911),H1911))</f>
        <v/>
      </c>
      <c r="Q1911" s="1" t="str">
        <f aca="false">IF(P1911="","",IFERROR(IF(AND(H1911="W7",OR(F1911="causal",F1911="predictive")),IF(AND(K1911=1,L1911=1,M1911=1),"adequate","partial"),INDEX(Fit_Matrix!$B:$B,MATCH(P1911,Fit_Matrix!$A:$A,0))),"CHECK KEY"))</f>
        <v/>
      </c>
    </row>
    <row r="1912" customFormat="false" ht="15" hidden="false" customHeight="true" outlineLevel="0" collapsed="false">
      <c r="P1912" s="1" t="str">
        <f aca="false">IF(OR(F1912="",H1912="",J1912=""),"",J1912&amp;"|"&amp;F1912&amp;"|"&amp;IF(H1912="W3","W3_"&amp;IF(I1912="","unknown",I1912),H1912))</f>
        <v/>
      </c>
      <c r="Q1912" s="1" t="str">
        <f aca="false">IF(P1912="","",IFERROR(IF(AND(H1912="W7",OR(F1912="causal",F1912="predictive")),IF(AND(K1912=1,L1912=1,M1912=1),"adequate","partial"),INDEX(Fit_Matrix!$B:$B,MATCH(P1912,Fit_Matrix!$A:$A,0))),"CHECK KEY"))</f>
        <v/>
      </c>
    </row>
    <row r="1913" customFormat="false" ht="15" hidden="false" customHeight="true" outlineLevel="0" collapsed="false">
      <c r="P1913" s="1" t="str">
        <f aca="false">IF(OR(F1913="",H1913="",J1913=""),"",J1913&amp;"|"&amp;F1913&amp;"|"&amp;IF(H1913="W3","W3_"&amp;IF(I1913="","unknown",I1913),H1913))</f>
        <v/>
      </c>
      <c r="Q1913" s="1" t="str">
        <f aca="false">IF(P1913="","",IFERROR(IF(AND(H1913="W7",OR(F1913="causal",F1913="predictive")),IF(AND(K1913=1,L1913=1,M1913=1),"adequate","partial"),INDEX(Fit_Matrix!$B:$B,MATCH(P1913,Fit_Matrix!$A:$A,0))),"CHECK KEY"))</f>
        <v/>
      </c>
    </row>
    <row r="1914" customFormat="false" ht="15" hidden="false" customHeight="true" outlineLevel="0" collapsed="false">
      <c r="P1914" s="1" t="str">
        <f aca="false">IF(OR(F1914="",H1914="",J1914=""),"",J1914&amp;"|"&amp;F1914&amp;"|"&amp;IF(H1914="W3","W3_"&amp;IF(I1914="","unknown",I1914),H1914))</f>
        <v/>
      </c>
      <c r="Q1914" s="1" t="str">
        <f aca="false">IF(P1914="","",IFERROR(IF(AND(H1914="W7",OR(F1914="causal",F1914="predictive")),IF(AND(K1914=1,L1914=1,M1914=1),"adequate","partial"),INDEX(Fit_Matrix!$B:$B,MATCH(P1914,Fit_Matrix!$A:$A,0))),"CHECK KEY"))</f>
        <v/>
      </c>
    </row>
    <row r="1915" customFormat="false" ht="15" hidden="false" customHeight="true" outlineLevel="0" collapsed="false">
      <c r="P1915" s="1" t="str">
        <f aca="false">IF(OR(F1915="",H1915="",J1915=""),"",J1915&amp;"|"&amp;F1915&amp;"|"&amp;IF(H1915="W3","W3_"&amp;IF(I1915="","unknown",I1915),H1915))</f>
        <v/>
      </c>
      <c r="Q1915" s="1" t="str">
        <f aca="false">IF(P1915="","",IFERROR(IF(AND(H1915="W7",OR(F1915="causal",F1915="predictive")),IF(AND(K1915=1,L1915=1,M1915=1),"adequate","partial"),INDEX(Fit_Matrix!$B:$B,MATCH(P1915,Fit_Matrix!$A:$A,0))),"CHECK KEY"))</f>
        <v/>
      </c>
    </row>
    <row r="1916" customFormat="false" ht="15" hidden="false" customHeight="true" outlineLevel="0" collapsed="false">
      <c r="P1916" s="1" t="str">
        <f aca="false">IF(OR(F1916="",H1916="",J1916=""),"",J1916&amp;"|"&amp;F1916&amp;"|"&amp;IF(H1916="W3","W3_"&amp;IF(I1916="","unknown",I1916),H1916))</f>
        <v/>
      </c>
      <c r="Q1916" s="1" t="str">
        <f aca="false">IF(P1916="","",IFERROR(IF(AND(H1916="W7",OR(F1916="causal",F1916="predictive")),IF(AND(K1916=1,L1916=1,M1916=1),"adequate","partial"),INDEX(Fit_Matrix!$B:$B,MATCH(P1916,Fit_Matrix!$A:$A,0))),"CHECK KEY"))</f>
        <v/>
      </c>
    </row>
    <row r="1917" customFormat="false" ht="15" hidden="false" customHeight="true" outlineLevel="0" collapsed="false">
      <c r="P1917" s="1" t="str">
        <f aca="false">IF(OR(F1917="",H1917="",J1917=""),"",J1917&amp;"|"&amp;F1917&amp;"|"&amp;IF(H1917="W3","W3_"&amp;IF(I1917="","unknown",I1917),H1917))</f>
        <v/>
      </c>
      <c r="Q1917" s="1" t="str">
        <f aca="false">IF(P1917="","",IFERROR(IF(AND(H1917="W7",OR(F1917="causal",F1917="predictive")),IF(AND(K1917=1,L1917=1,M1917=1),"adequate","partial"),INDEX(Fit_Matrix!$B:$B,MATCH(P1917,Fit_Matrix!$A:$A,0))),"CHECK KEY"))</f>
        <v/>
      </c>
    </row>
    <row r="1918" customFormat="false" ht="15" hidden="false" customHeight="true" outlineLevel="0" collapsed="false">
      <c r="P1918" s="1" t="str">
        <f aca="false">IF(OR(F1918="",H1918="",J1918=""),"",J1918&amp;"|"&amp;F1918&amp;"|"&amp;IF(H1918="W3","W3_"&amp;IF(I1918="","unknown",I1918),H1918))</f>
        <v/>
      </c>
      <c r="Q1918" s="1" t="str">
        <f aca="false">IF(P1918="","",IFERROR(IF(AND(H1918="W7",OR(F1918="causal",F1918="predictive")),IF(AND(K1918=1,L1918=1,M1918=1),"adequate","partial"),INDEX(Fit_Matrix!$B:$B,MATCH(P1918,Fit_Matrix!$A:$A,0))),"CHECK KEY"))</f>
        <v/>
      </c>
    </row>
    <row r="1919" customFormat="false" ht="15" hidden="false" customHeight="true" outlineLevel="0" collapsed="false">
      <c r="P1919" s="1" t="str">
        <f aca="false">IF(OR(F1919="",H1919="",J1919=""),"",J1919&amp;"|"&amp;F1919&amp;"|"&amp;IF(H1919="W3","W3_"&amp;IF(I1919="","unknown",I1919),H1919))</f>
        <v/>
      </c>
      <c r="Q1919" s="1" t="str">
        <f aca="false">IF(P1919="","",IFERROR(IF(AND(H1919="W7",OR(F1919="causal",F1919="predictive")),IF(AND(K1919=1,L1919=1,M1919=1),"adequate","partial"),INDEX(Fit_Matrix!$B:$B,MATCH(P1919,Fit_Matrix!$A:$A,0))),"CHECK KEY"))</f>
        <v/>
      </c>
    </row>
    <row r="1920" customFormat="false" ht="15" hidden="false" customHeight="true" outlineLevel="0" collapsed="false">
      <c r="P1920" s="1" t="str">
        <f aca="false">IF(OR(F1920="",H1920="",J1920=""),"",J1920&amp;"|"&amp;F1920&amp;"|"&amp;IF(H1920="W3","W3_"&amp;IF(I1920="","unknown",I1920),H1920))</f>
        <v/>
      </c>
      <c r="Q1920" s="1" t="str">
        <f aca="false">IF(P1920="","",IFERROR(IF(AND(H1920="W7",OR(F1920="causal",F1920="predictive")),IF(AND(K1920=1,L1920=1,M1920=1),"adequate","partial"),INDEX(Fit_Matrix!$B:$B,MATCH(P1920,Fit_Matrix!$A:$A,0))),"CHECK KEY"))</f>
        <v/>
      </c>
    </row>
    <row r="1921" customFormat="false" ht="15" hidden="false" customHeight="true" outlineLevel="0" collapsed="false">
      <c r="P1921" s="1" t="str">
        <f aca="false">IF(OR(F1921="",H1921="",J1921=""),"",J1921&amp;"|"&amp;F1921&amp;"|"&amp;IF(H1921="W3","W3_"&amp;IF(I1921="","unknown",I1921),H1921))</f>
        <v/>
      </c>
      <c r="Q1921" s="1" t="str">
        <f aca="false">IF(P1921="","",IFERROR(IF(AND(H1921="W7",OR(F1921="causal",F1921="predictive")),IF(AND(K1921=1,L1921=1,M1921=1),"adequate","partial"),INDEX(Fit_Matrix!$B:$B,MATCH(P1921,Fit_Matrix!$A:$A,0))),"CHECK KEY"))</f>
        <v/>
      </c>
    </row>
    <row r="1922" customFormat="false" ht="15" hidden="false" customHeight="true" outlineLevel="0" collapsed="false">
      <c r="P1922" s="1" t="str">
        <f aca="false">IF(OR(F1922="",H1922="",J1922=""),"",J1922&amp;"|"&amp;F1922&amp;"|"&amp;IF(H1922="W3","W3_"&amp;IF(I1922="","unknown",I1922),H1922))</f>
        <v/>
      </c>
      <c r="Q1922" s="1" t="str">
        <f aca="false">IF(P1922="","",IFERROR(IF(AND(H1922="W7",OR(F1922="causal",F1922="predictive")),IF(AND(K1922=1,L1922=1,M1922=1),"adequate","partial"),INDEX(Fit_Matrix!$B:$B,MATCH(P1922,Fit_Matrix!$A:$A,0))),"CHECK KEY"))</f>
        <v/>
      </c>
    </row>
    <row r="1923" customFormat="false" ht="15" hidden="false" customHeight="true" outlineLevel="0" collapsed="false">
      <c r="P1923" s="1" t="str">
        <f aca="false">IF(OR(F1923="",H1923="",J1923=""),"",J1923&amp;"|"&amp;F1923&amp;"|"&amp;IF(H1923="W3","W3_"&amp;IF(I1923="","unknown",I1923),H1923))</f>
        <v/>
      </c>
      <c r="Q1923" s="1" t="str">
        <f aca="false">IF(P1923="","",IFERROR(IF(AND(H1923="W7",OR(F1923="causal",F1923="predictive")),IF(AND(K1923=1,L1923=1,M1923=1),"adequate","partial"),INDEX(Fit_Matrix!$B:$B,MATCH(P1923,Fit_Matrix!$A:$A,0))),"CHECK KEY"))</f>
        <v/>
      </c>
    </row>
    <row r="1924" customFormat="false" ht="15" hidden="false" customHeight="true" outlineLevel="0" collapsed="false">
      <c r="P1924" s="1" t="str">
        <f aca="false">IF(OR(F1924="",H1924="",J1924=""),"",J1924&amp;"|"&amp;F1924&amp;"|"&amp;IF(H1924="W3","W3_"&amp;IF(I1924="","unknown",I1924),H1924))</f>
        <v/>
      </c>
      <c r="Q1924" s="1" t="str">
        <f aca="false">IF(P1924="","",IFERROR(IF(AND(H1924="W7",OR(F1924="causal",F1924="predictive")),IF(AND(K1924=1,L1924=1,M1924=1),"adequate","partial"),INDEX(Fit_Matrix!$B:$B,MATCH(P1924,Fit_Matrix!$A:$A,0))),"CHECK KEY"))</f>
        <v/>
      </c>
    </row>
    <row r="1925" customFormat="false" ht="15" hidden="false" customHeight="true" outlineLevel="0" collapsed="false">
      <c r="P1925" s="1" t="str">
        <f aca="false">IF(OR(F1925="",H1925="",J1925=""),"",J1925&amp;"|"&amp;F1925&amp;"|"&amp;IF(H1925="W3","W3_"&amp;IF(I1925="","unknown",I1925),H1925))</f>
        <v/>
      </c>
      <c r="Q1925" s="1" t="str">
        <f aca="false">IF(P1925="","",IFERROR(IF(AND(H1925="W7",OR(F1925="causal",F1925="predictive")),IF(AND(K1925=1,L1925=1,M1925=1),"adequate","partial"),INDEX(Fit_Matrix!$B:$B,MATCH(P1925,Fit_Matrix!$A:$A,0))),"CHECK KEY"))</f>
        <v/>
      </c>
    </row>
    <row r="1926" customFormat="false" ht="15" hidden="false" customHeight="true" outlineLevel="0" collapsed="false">
      <c r="P1926" s="1" t="str">
        <f aca="false">IF(OR(F1926="",H1926="",J1926=""),"",J1926&amp;"|"&amp;F1926&amp;"|"&amp;IF(H1926="W3","W3_"&amp;IF(I1926="","unknown",I1926),H1926))</f>
        <v/>
      </c>
      <c r="Q1926" s="1" t="str">
        <f aca="false">IF(P1926="","",IFERROR(IF(AND(H1926="W7",OR(F1926="causal",F1926="predictive")),IF(AND(K1926=1,L1926=1,M1926=1),"adequate","partial"),INDEX(Fit_Matrix!$B:$B,MATCH(P1926,Fit_Matrix!$A:$A,0))),"CHECK KEY"))</f>
        <v/>
      </c>
    </row>
    <row r="1927" customFormat="false" ht="15" hidden="false" customHeight="true" outlineLevel="0" collapsed="false">
      <c r="P1927" s="1" t="str">
        <f aca="false">IF(OR(F1927="",H1927="",J1927=""),"",J1927&amp;"|"&amp;F1927&amp;"|"&amp;IF(H1927="W3","W3_"&amp;IF(I1927="","unknown",I1927),H1927))</f>
        <v/>
      </c>
      <c r="Q1927" s="1" t="str">
        <f aca="false">IF(P1927="","",IFERROR(IF(AND(H1927="W7",OR(F1927="causal",F1927="predictive")),IF(AND(K1927=1,L1927=1,M1927=1),"adequate","partial"),INDEX(Fit_Matrix!$B:$B,MATCH(P1927,Fit_Matrix!$A:$A,0))),"CHECK KEY"))</f>
        <v/>
      </c>
    </row>
    <row r="1928" customFormat="false" ht="15" hidden="false" customHeight="true" outlineLevel="0" collapsed="false">
      <c r="P1928" s="1" t="str">
        <f aca="false">IF(OR(F1928="",H1928="",J1928=""),"",J1928&amp;"|"&amp;F1928&amp;"|"&amp;IF(H1928="W3","W3_"&amp;IF(I1928="","unknown",I1928),H1928))</f>
        <v/>
      </c>
      <c r="Q1928" s="1" t="str">
        <f aca="false">IF(P1928="","",IFERROR(IF(AND(H1928="W7",OR(F1928="causal",F1928="predictive")),IF(AND(K1928=1,L1928=1,M1928=1),"adequate","partial"),INDEX(Fit_Matrix!$B:$B,MATCH(P1928,Fit_Matrix!$A:$A,0))),"CHECK KEY"))</f>
        <v/>
      </c>
    </row>
    <row r="1929" customFormat="false" ht="15" hidden="false" customHeight="true" outlineLevel="0" collapsed="false">
      <c r="P1929" s="1" t="str">
        <f aca="false">IF(OR(F1929="",H1929="",J1929=""),"",J1929&amp;"|"&amp;F1929&amp;"|"&amp;IF(H1929="W3","W3_"&amp;IF(I1929="","unknown",I1929),H1929))</f>
        <v/>
      </c>
      <c r="Q1929" s="1" t="str">
        <f aca="false">IF(P1929="","",IFERROR(IF(AND(H1929="W7",OR(F1929="causal",F1929="predictive")),IF(AND(K1929=1,L1929=1,M1929=1),"adequate","partial"),INDEX(Fit_Matrix!$B:$B,MATCH(P1929,Fit_Matrix!$A:$A,0))),"CHECK KEY"))</f>
        <v/>
      </c>
    </row>
    <row r="1930" customFormat="false" ht="15" hidden="false" customHeight="true" outlineLevel="0" collapsed="false">
      <c r="P1930" s="1" t="str">
        <f aca="false">IF(OR(F1930="",H1930="",J1930=""),"",J1930&amp;"|"&amp;F1930&amp;"|"&amp;IF(H1930="W3","W3_"&amp;IF(I1930="","unknown",I1930),H1930))</f>
        <v/>
      </c>
      <c r="Q1930" s="1" t="str">
        <f aca="false">IF(P1930="","",IFERROR(IF(AND(H1930="W7",OR(F1930="causal",F1930="predictive")),IF(AND(K1930=1,L1930=1,M1930=1),"adequate","partial"),INDEX(Fit_Matrix!$B:$B,MATCH(P1930,Fit_Matrix!$A:$A,0))),"CHECK KEY"))</f>
        <v/>
      </c>
    </row>
    <row r="1931" customFormat="false" ht="15" hidden="false" customHeight="true" outlineLevel="0" collapsed="false">
      <c r="P1931" s="1" t="str">
        <f aca="false">IF(OR(F1931="",H1931="",J1931=""),"",J1931&amp;"|"&amp;F1931&amp;"|"&amp;IF(H1931="W3","W3_"&amp;IF(I1931="","unknown",I1931),H1931))</f>
        <v/>
      </c>
      <c r="Q1931" s="1" t="str">
        <f aca="false">IF(P1931="","",IFERROR(IF(AND(H1931="W7",OR(F1931="causal",F1931="predictive")),IF(AND(K1931=1,L1931=1,M1931=1),"adequate","partial"),INDEX(Fit_Matrix!$B:$B,MATCH(P1931,Fit_Matrix!$A:$A,0))),"CHECK KEY"))</f>
        <v/>
      </c>
    </row>
    <row r="1932" customFormat="false" ht="15" hidden="false" customHeight="true" outlineLevel="0" collapsed="false">
      <c r="P1932" s="1" t="str">
        <f aca="false">IF(OR(F1932="",H1932="",J1932=""),"",J1932&amp;"|"&amp;F1932&amp;"|"&amp;IF(H1932="W3","W3_"&amp;IF(I1932="","unknown",I1932),H1932))</f>
        <v/>
      </c>
      <c r="Q1932" s="1" t="str">
        <f aca="false">IF(P1932="","",IFERROR(IF(AND(H1932="W7",OR(F1932="causal",F1932="predictive")),IF(AND(K1932=1,L1932=1,M1932=1),"adequate","partial"),INDEX(Fit_Matrix!$B:$B,MATCH(P1932,Fit_Matrix!$A:$A,0))),"CHECK KEY"))</f>
        <v/>
      </c>
    </row>
    <row r="1933" customFormat="false" ht="15" hidden="false" customHeight="true" outlineLevel="0" collapsed="false">
      <c r="P1933" s="1" t="str">
        <f aca="false">IF(OR(F1933="",H1933="",J1933=""),"",J1933&amp;"|"&amp;F1933&amp;"|"&amp;IF(H1933="W3","W3_"&amp;IF(I1933="","unknown",I1933),H1933))</f>
        <v/>
      </c>
      <c r="Q1933" s="1" t="str">
        <f aca="false">IF(P1933="","",IFERROR(IF(AND(H1933="W7",OR(F1933="causal",F1933="predictive")),IF(AND(K1933=1,L1933=1,M1933=1),"adequate","partial"),INDEX(Fit_Matrix!$B:$B,MATCH(P1933,Fit_Matrix!$A:$A,0))),"CHECK KEY"))</f>
        <v/>
      </c>
    </row>
    <row r="1934" customFormat="false" ht="15" hidden="false" customHeight="true" outlineLevel="0" collapsed="false">
      <c r="P1934" s="1" t="str">
        <f aca="false">IF(OR(F1934="",H1934="",J1934=""),"",J1934&amp;"|"&amp;F1934&amp;"|"&amp;IF(H1934="W3","W3_"&amp;IF(I1934="","unknown",I1934),H1934))</f>
        <v/>
      </c>
      <c r="Q1934" s="1" t="str">
        <f aca="false">IF(P1934="","",IFERROR(IF(AND(H1934="W7",OR(F1934="causal",F1934="predictive")),IF(AND(K1934=1,L1934=1,M1934=1),"adequate","partial"),INDEX(Fit_Matrix!$B:$B,MATCH(P1934,Fit_Matrix!$A:$A,0))),"CHECK KEY"))</f>
        <v/>
      </c>
    </row>
    <row r="1935" customFormat="false" ht="15" hidden="false" customHeight="true" outlineLevel="0" collapsed="false">
      <c r="P1935" s="1" t="str">
        <f aca="false">IF(OR(F1935="",H1935="",J1935=""),"",J1935&amp;"|"&amp;F1935&amp;"|"&amp;IF(H1935="W3","W3_"&amp;IF(I1935="","unknown",I1935),H1935))</f>
        <v/>
      </c>
      <c r="Q1935" s="1" t="str">
        <f aca="false">IF(P1935="","",IFERROR(IF(AND(H1935="W7",OR(F1935="causal",F1935="predictive")),IF(AND(K1935=1,L1935=1,M1935=1),"adequate","partial"),INDEX(Fit_Matrix!$B:$B,MATCH(P1935,Fit_Matrix!$A:$A,0))),"CHECK KEY"))</f>
        <v/>
      </c>
    </row>
    <row r="1936" customFormat="false" ht="15" hidden="false" customHeight="true" outlineLevel="0" collapsed="false">
      <c r="P1936" s="1" t="str">
        <f aca="false">IF(OR(F1936="",H1936="",J1936=""),"",J1936&amp;"|"&amp;F1936&amp;"|"&amp;IF(H1936="W3","W3_"&amp;IF(I1936="","unknown",I1936),H1936))</f>
        <v/>
      </c>
      <c r="Q1936" s="1" t="str">
        <f aca="false">IF(P1936="","",IFERROR(IF(AND(H1936="W7",OR(F1936="causal",F1936="predictive")),IF(AND(K1936=1,L1936=1,M1936=1),"adequate","partial"),INDEX(Fit_Matrix!$B:$B,MATCH(P1936,Fit_Matrix!$A:$A,0))),"CHECK KEY"))</f>
        <v/>
      </c>
    </row>
    <row r="1937" customFormat="false" ht="15" hidden="false" customHeight="true" outlineLevel="0" collapsed="false">
      <c r="P1937" s="1" t="str">
        <f aca="false">IF(OR(F1937="",H1937="",J1937=""),"",J1937&amp;"|"&amp;F1937&amp;"|"&amp;IF(H1937="W3","W3_"&amp;IF(I1937="","unknown",I1937),H1937))</f>
        <v/>
      </c>
      <c r="Q1937" s="1" t="str">
        <f aca="false">IF(P1937="","",IFERROR(IF(AND(H1937="W7",OR(F1937="causal",F1937="predictive")),IF(AND(K1937=1,L1937=1,M1937=1),"adequate","partial"),INDEX(Fit_Matrix!$B:$B,MATCH(P1937,Fit_Matrix!$A:$A,0))),"CHECK KEY"))</f>
        <v/>
      </c>
    </row>
    <row r="1938" customFormat="false" ht="15" hidden="false" customHeight="true" outlineLevel="0" collapsed="false">
      <c r="P1938" s="1" t="str">
        <f aca="false">IF(OR(F1938="",H1938="",J1938=""),"",J1938&amp;"|"&amp;F1938&amp;"|"&amp;IF(H1938="W3","W3_"&amp;IF(I1938="","unknown",I1938),H1938))</f>
        <v/>
      </c>
      <c r="Q1938" s="1" t="str">
        <f aca="false">IF(P1938="","",IFERROR(IF(AND(H1938="W7",OR(F1938="causal",F1938="predictive")),IF(AND(K1938=1,L1938=1,M1938=1),"adequate","partial"),INDEX(Fit_Matrix!$B:$B,MATCH(P1938,Fit_Matrix!$A:$A,0))),"CHECK KEY"))</f>
        <v/>
      </c>
    </row>
    <row r="1939" customFormat="false" ht="15" hidden="false" customHeight="true" outlineLevel="0" collapsed="false">
      <c r="P1939" s="1" t="str">
        <f aca="false">IF(OR(F1939="",H1939="",J1939=""),"",J1939&amp;"|"&amp;F1939&amp;"|"&amp;IF(H1939="W3","W3_"&amp;IF(I1939="","unknown",I1939),H1939))</f>
        <v/>
      </c>
      <c r="Q1939" s="1" t="str">
        <f aca="false">IF(P1939="","",IFERROR(IF(AND(H1939="W7",OR(F1939="causal",F1939="predictive")),IF(AND(K1939=1,L1939=1,M1939=1),"adequate","partial"),INDEX(Fit_Matrix!$B:$B,MATCH(P1939,Fit_Matrix!$A:$A,0))),"CHECK KEY"))</f>
        <v/>
      </c>
    </row>
    <row r="1940" customFormat="false" ht="15" hidden="false" customHeight="true" outlineLevel="0" collapsed="false">
      <c r="P1940" s="1" t="str">
        <f aca="false">IF(OR(F1940="",H1940="",J1940=""),"",J1940&amp;"|"&amp;F1940&amp;"|"&amp;IF(H1940="W3","W3_"&amp;IF(I1940="","unknown",I1940),H1940))</f>
        <v/>
      </c>
      <c r="Q1940" s="1" t="str">
        <f aca="false">IF(P1940="","",IFERROR(IF(AND(H1940="W7",OR(F1940="causal",F1940="predictive")),IF(AND(K1940=1,L1940=1,M1940=1),"adequate","partial"),INDEX(Fit_Matrix!$B:$B,MATCH(P1940,Fit_Matrix!$A:$A,0))),"CHECK KEY"))</f>
        <v/>
      </c>
    </row>
    <row r="1941" customFormat="false" ht="15" hidden="false" customHeight="true" outlineLevel="0" collapsed="false">
      <c r="P1941" s="1" t="str">
        <f aca="false">IF(OR(F1941="",H1941="",J1941=""),"",J1941&amp;"|"&amp;F1941&amp;"|"&amp;IF(H1941="W3","W3_"&amp;IF(I1941="","unknown",I1941),H1941))</f>
        <v/>
      </c>
      <c r="Q1941" s="1" t="str">
        <f aca="false">IF(P1941="","",IFERROR(IF(AND(H1941="W7",OR(F1941="causal",F1941="predictive")),IF(AND(K1941=1,L1941=1,M1941=1),"adequate","partial"),INDEX(Fit_Matrix!$B:$B,MATCH(P1941,Fit_Matrix!$A:$A,0))),"CHECK KEY"))</f>
        <v/>
      </c>
    </row>
    <row r="1942" customFormat="false" ht="15" hidden="false" customHeight="true" outlineLevel="0" collapsed="false">
      <c r="P1942" s="1" t="str">
        <f aca="false">IF(OR(F1942="",H1942="",J1942=""),"",J1942&amp;"|"&amp;F1942&amp;"|"&amp;IF(H1942="W3","W3_"&amp;IF(I1942="","unknown",I1942),H1942))</f>
        <v/>
      </c>
      <c r="Q1942" s="1" t="str">
        <f aca="false">IF(P1942="","",IFERROR(IF(AND(H1942="W7",OR(F1942="causal",F1942="predictive")),IF(AND(K1942=1,L1942=1,M1942=1),"adequate","partial"),INDEX(Fit_Matrix!$B:$B,MATCH(P1942,Fit_Matrix!$A:$A,0))),"CHECK KEY"))</f>
        <v/>
      </c>
    </row>
    <row r="1943" customFormat="false" ht="15" hidden="false" customHeight="true" outlineLevel="0" collapsed="false">
      <c r="P1943" s="1" t="str">
        <f aca="false">IF(OR(F1943="",H1943="",J1943=""),"",J1943&amp;"|"&amp;F1943&amp;"|"&amp;IF(H1943="W3","W3_"&amp;IF(I1943="","unknown",I1943),H1943))</f>
        <v/>
      </c>
      <c r="Q1943" s="1" t="str">
        <f aca="false">IF(P1943="","",IFERROR(IF(AND(H1943="W7",OR(F1943="causal",F1943="predictive")),IF(AND(K1943=1,L1943=1,M1943=1),"adequate","partial"),INDEX(Fit_Matrix!$B:$B,MATCH(P1943,Fit_Matrix!$A:$A,0))),"CHECK KEY"))</f>
        <v/>
      </c>
    </row>
    <row r="1944" customFormat="false" ht="15" hidden="false" customHeight="true" outlineLevel="0" collapsed="false">
      <c r="P1944" s="1" t="str">
        <f aca="false">IF(OR(F1944="",H1944="",J1944=""),"",J1944&amp;"|"&amp;F1944&amp;"|"&amp;IF(H1944="W3","W3_"&amp;IF(I1944="","unknown",I1944),H1944))</f>
        <v/>
      </c>
      <c r="Q1944" s="1" t="str">
        <f aca="false">IF(P1944="","",IFERROR(IF(AND(H1944="W7",OR(F1944="causal",F1944="predictive")),IF(AND(K1944=1,L1944=1,M1944=1),"adequate","partial"),INDEX(Fit_Matrix!$B:$B,MATCH(P1944,Fit_Matrix!$A:$A,0))),"CHECK KEY"))</f>
        <v/>
      </c>
    </row>
    <row r="1945" customFormat="false" ht="15" hidden="false" customHeight="true" outlineLevel="0" collapsed="false">
      <c r="P1945" s="1" t="str">
        <f aca="false">IF(OR(F1945="",H1945="",J1945=""),"",J1945&amp;"|"&amp;F1945&amp;"|"&amp;IF(H1945="W3","W3_"&amp;IF(I1945="","unknown",I1945),H1945))</f>
        <v/>
      </c>
      <c r="Q1945" s="1" t="str">
        <f aca="false">IF(P1945="","",IFERROR(IF(AND(H1945="W7",OR(F1945="causal",F1945="predictive")),IF(AND(K1945=1,L1945=1,M1945=1),"adequate","partial"),INDEX(Fit_Matrix!$B:$B,MATCH(P1945,Fit_Matrix!$A:$A,0))),"CHECK KEY"))</f>
        <v/>
      </c>
    </row>
    <row r="1946" customFormat="false" ht="15" hidden="false" customHeight="true" outlineLevel="0" collapsed="false">
      <c r="P1946" s="1" t="str">
        <f aca="false">IF(OR(F1946="",H1946="",J1946=""),"",J1946&amp;"|"&amp;F1946&amp;"|"&amp;IF(H1946="W3","W3_"&amp;IF(I1946="","unknown",I1946),H1946))</f>
        <v/>
      </c>
      <c r="Q1946" s="1" t="str">
        <f aca="false">IF(P1946="","",IFERROR(IF(AND(H1946="W7",OR(F1946="causal",F1946="predictive")),IF(AND(K1946=1,L1946=1,M1946=1),"adequate","partial"),INDEX(Fit_Matrix!$B:$B,MATCH(P1946,Fit_Matrix!$A:$A,0))),"CHECK KEY"))</f>
        <v/>
      </c>
    </row>
    <row r="1947" customFormat="false" ht="15" hidden="false" customHeight="true" outlineLevel="0" collapsed="false">
      <c r="P1947" s="1" t="str">
        <f aca="false">IF(OR(F1947="",H1947="",J1947=""),"",J1947&amp;"|"&amp;F1947&amp;"|"&amp;IF(H1947="W3","W3_"&amp;IF(I1947="","unknown",I1947),H1947))</f>
        <v/>
      </c>
      <c r="Q1947" s="1" t="str">
        <f aca="false">IF(P1947="","",IFERROR(IF(AND(H1947="W7",OR(F1947="causal",F1947="predictive")),IF(AND(K1947=1,L1947=1,M1947=1),"adequate","partial"),INDEX(Fit_Matrix!$B:$B,MATCH(P1947,Fit_Matrix!$A:$A,0))),"CHECK KEY"))</f>
        <v/>
      </c>
    </row>
    <row r="1948" customFormat="false" ht="15" hidden="false" customHeight="true" outlineLevel="0" collapsed="false">
      <c r="P1948" s="1" t="str">
        <f aca="false">IF(OR(F1948="",H1948="",J1948=""),"",J1948&amp;"|"&amp;F1948&amp;"|"&amp;IF(H1948="W3","W3_"&amp;IF(I1948="","unknown",I1948),H1948))</f>
        <v/>
      </c>
      <c r="Q1948" s="1" t="str">
        <f aca="false">IF(P1948="","",IFERROR(IF(AND(H1948="W7",OR(F1948="causal",F1948="predictive")),IF(AND(K1948=1,L1948=1,M1948=1),"adequate","partial"),INDEX(Fit_Matrix!$B:$B,MATCH(P1948,Fit_Matrix!$A:$A,0))),"CHECK KEY"))</f>
        <v/>
      </c>
    </row>
    <row r="1949" customFormat="false" ht="15" hidden="false" customHeight="true" outlineLevel="0" collapsed="false">
      <c r="P1949" s="1" t="str">
        <f aca="false">IF(OR(F1949="",H1949="",J1949=""),"",J1949&amp;"|"&amp;F1949&amp;"|"&amp;IF(H1949="W3","W3_"&amp;IF(I1949="","unknown",I1949),H1949))</f>
        <v/>
      </c>
      <c r="Q1949" s="1" t="str">
        <f aca="false">IF(P1949="","",IFERROR(IF(AND(H1949="W7",OR(F1949="causal",F1949="predictive")),IF(AND(K1949=1,L1949=1,M1949=1),"adequate","partial"),INDEX(Fit_Matrix!$B:$B,MATCH(P1949,Fit_Matrix!$A:$A,0))),"CHECK KEY"))</f>
        <v/>
      </c>
    </row>
    <row r="1950" customFormat="false" ht="15" hidden="false" customHeight="true" outlineLevel="0" collapsed="false">
      <c r="P1950" s="1" t="str">
        <f aca="false">IF(OR(F1950="",H1950="",J1950=""),"",J1950&amp;"|"&amp;F1950&amp;"|"&amp;IF(H1950="W3","W3_"&amp;IF(I1950="","unknown",I1950),H1950))</f>
        <v/>
      </c>
      <c r="Q1950" s="1" t="str">
        <f aca="false">IF(P1950="","",IFERROR(IF(AND(H1950="W7",OR(F1950="causal",F1950="predictive")),IF(AND(K1950=1,L1950=1,M1950=1),"adequate","partial"),INDEX(Fit_Matrix!$B:$B,MATCH(P1950,Fit_Matrix!$A:$A,0))),"CHECK KEY"))</f>
        <v/>
      </c>
    </row>
    <row r="1951" customFormat="false" ht="15" hidden="false" customHeight="true" outlineLevel="0" collapsed="false">
      <c r="P1951" s="1" t="str">
        <f aca="false">IF(OR(F1951="",H1951="",J1951=""),"",J1951&amp;"|"&amp;F1951&amp;"|"&amp;IF(H1951="W3","W3_"&amp;IF(I1951="","unknown",I1951),H1951))</f>
        <v/>
      </c>
      <c r="Q1951" s="1" t="str">
        <f aca="false">IF(P1951="","",IFERROR(IF(AND(H1951="W7",OR(F1951="causal",F1951="predictive")),IF(AND(K1951=1,L1951=1,M1951=1),"adequate","partial"),INDEX(Fit_Matrix!$B:$B,MATCH(P1951,Fit_Matrix!$A:$A,0))),"CHECK KEY"))</f>
        <v/>
      </c>
    </row>
    <row r="1952" customFormat="false" ht="15" hidden="false" customHeight="true" outlineLevel="0" collapsed="false">
      <c r="P1952" s="1" t="str">
        <f aca="false">IF(OR(F1952="",H1952="",J1952=""),"",J1952&amp;"|"&amp;F1952&amp;"|"&amp;IF(H1952="W3","W3_"&amp;IF(I1952="","unknown",I1952),H1952))</f>
        <v/>
      </c>
      <c r="Q1952" s="1" t="str">
        <f aca="false">IF(P1952="","",IFERROR(IF(AND(H1952="W7",OR(F1952="causal",F1952="predictive")),IF(AND(K1952=1,L1952=1,M1952=1),"adequate","partial"),INDEX(Fit_Matrix!$B:$B,MATCH(P1952,Fit_Matrix!$A:$A,0))),"CHECK KEY"))</f>
        <v/>
      </c>
    </row>
    <row r="1953" customFormat="false" ht="15" hidden="false" customHeight="true" outlineLevel="0" collapsed="false">
      <c r="P1953" s="1" t="str">
        <f aca="false">IF(OR(F1953="",H1953="",J1953=""),"",J1953&amp;"|"&amp;F1953&amp;"|"&amp;IF(H1953="W3","W3_"&amp;IF(I1953="","unknown",I1953),H1953))</f>
        <v/>
      </c>
      <c r="Q1953" s="1" t="str">
        <f aca="false">IF(P1953="","",IFERROR(IF(AND(H1953="W7",OR(F1953="causal",F1953="predictive")),IF(AND(K1953=1,L1953=1,M1953=1),"adequate","partial"),INDEX(Fit_Matrix!$B:$B,MATCH(P1953,Fit_Matrix!$A:$A,0))),"CHECK KEY"))</f>
        <v/>
      </c>
    </row>
    <row r="1954" customFormat="false" ht="15" hidden="false" customHeight="true" outlineLevel="0" collapsed="false">
      <c r="P1954" s="1" t="str">
        <f aca="false">IF(OR(F1954="",H1954="",J1954=""),"",J1954&amp;"|"&amp;F1954&amp;"|"&amp;IF(H1954="W3","W3_"&amp;IF(I1954="","unknown",I1954),H1954))</f>
        <v/>
      </c>
      <c r="Q1954" s="1" t="str">
        <f aca="false">IF(P1954="","",IFERROR(IF(AND(H1954="W7",OR(F1954="causal",F1954="predictive")),IF(AND(K1954=1,L1954=1,M1954=1),"adequate","partial"),INDEX(Fit_Matrix!$B:$B,MATCH(P1954,Fit_Matrix!$A:$A,0))),"CHECK KEY"))</f>
        <v/>
      </c>
    </row>
    <row r="1955" customFormat="false" ht="15" hidden="false" customHeight="true" outlineLevel="0" collapsed="false">
      <c r="P1955" s="1" t="str">
        <f aca="false">IF(OR(F1955="",H1955="",J1955=""),"",J1955&amp;"|"&amp;F1955&amp;"|"&amp;IF(H1955="W3","W3_"&amp;IF(I1955="","unknown",I1955),H1955))</f>
        <v/>
      </c>
      <c r="Q1955" s="1" t="str">
        <f aca="false">IF(P1955="","",IFERROR(IF(AND(H1955="W7",OR(F1955="causal",F1955="predictive")),IF(AND(K1955=1,L1955=1,M1955=1),"adequate","partial"),INDEX(Fit_Matrix!$B:$B,MATCH(P1955,Fit_Matrix!$A:$A,0))),"CHECK KEY"))</f>
        <v/>
      </c>
    </row>
    <row r="1956" customFormat="false" ht="15" hidden="false" customHeight="true" outlineLevel="0" collapsed="false">
      <c r="P1956" s="1" t="str">
        <f aca="false">IF(OR(F1956="",H1956="",J1956=""),"",J1956&amp;"|"&amp;F1956&amp;"|"&amp;IF(H1956="W3","W3_"&amp;IF(I1956="","unknown",I1956),H1956))</f>
        <v/>
      </c>
      <c r="Q1956" s="1" t="str">
        <f aca="false">IF(P1956="","",IFERROR(IF(AND(H1956="W7",OR(F1956="causal",F1956="predictive")),IF(AND(K1956=1,L1956=1,M1956=1),"adequate","partial"),INDEX(Fit_Matrix!$B:$B,MATCH(P1956,Fit_Matrix!$A:$A,0))),"CHECK KEY"))</f>
        <v/>
      </c>
    </row>
    <row r="1957" customFormat="false" ht="15" hidden="false" customHeight="true" outlineLevel="0" collapsed="false">
      <c r="P1957" s="1" t="str">
        <f aca="false">IF(OR(F1957="",H1957="",J1957=""),"",J1957&amp;"|"&amp;F1957&amp;"|"&amp;IF(H1957="W3","W3_"&amp;IF(I1957="","unknown",I1957),H1957))</f>
        <v/>
      </c>
      <c r="Q1957" s="1" t="str">
        <f aca="false">IF(P1957="","",IFERROR(IF(AND(H1957="W7",OR(F1957="causal",F1957="predictive")),IF(AND(K1957=1,L1957=1,M1957=1),"adequate","partial"),INDEX(Fit_Matrix!$B:$B,MATCH(P1957,Fit_Matrix!$A:$A,0))),"CHECK KEY"))</f>
        <v/>
      </c>
    </row>
    <row r="1958" customFormat="false" ht="15" hidden="false" customHeight="true" outlineLevel="0" collapsed="false">
      <c r="P1958" s="1" t="str">
        <f aca="false">IF(OR(F1958="",H1958="",J1958=""),"",J1958&amp;"|"&amp;F1958&amp;"|"&amp;IF(H1958="W3","W3_"&amp;IF(I1958="","unknown",I1958),H1958))</f>
        <v/>
      </c>
      <c r="Q1958" s="1" t="str">
        <f aca="false">IF(P1958="","",IFERROR(IF(AND(H1958="W7",OR(F1958="causal",F1958="predictive")),IF(AND(K1958=1,L1958=1,M1958=1),"adequate","partial"),INDEX(Fit_Matrix!$B:$B,MATCH(P1958,Fit_Matrix!$A:$A,0))),"CHECK KEY"))</f>
        <v/>
      </c>
    </row>
    <row r="1959" customFormat="false" ht="15" hidden="false" customHeight="true" outlineLevel="0" collapsed="false">
      <c r="P1959" s="1" t="str">
        <f aca="false">IF(OR(F1959="",H1959="",J1959=""),"",J1959&amp;"|"&amp;F1959&amp;"|"&amp;IF(H1959="W3","W3_"&amp;IF(I1959="","unknown",I1959),H1959))</f>
        <v/>
      </c>
      <c r="Q1959" s="1" t="str">
        <f aca="false">IF(P1959="","",IFERROR(IF(AND(H1959="W7",OR(F1959="causal",F1959="predictive")),IF(AND(K1959=1,L1959=1,M1959=1),"adequate","partial"),INDEX(Fit_Matrix!$B:$B,MATCH(P1959,Fit_Matrix!$A:$A,0))),"CHECK KEY"))</f>
        <v/>
      </c>
    </row>
    <row r="1960" customFormat="false" ht="15" hidden="false" customHeight="true" outlineLevel="0" collapsed="false">
      <c r="P1960" s="1" t="str">
        <f aca="false">IF(OR(F1960="",H1960="",J1960=""),"",J1960&amp;"|"&amp;F1960&amp;"|"&amp;IF(H1960="W3","W3_"&amp;IF(I1960="","unknown",I1960),H1960))</f>
        <v/>
      </c>
      <c r="Q1960" s="1" t="str">
        <f aca="false">IF(P1960="","",IFERROR(IF(AND(H1960="W7",OR(F1960="causal",F1960="predictive")),IF(AND(K1960=1,L1960=1,M1960=1),"adequate","partial"),INDEX(Fit_Matrix!$B:$B,MATCH(P1960,Fit_Matrix!$A:$A,0))),"CHECK KEY"))</f>
        <v/>
      </c>
    </row>
    <row r="1961" customFormat="false" ht="15" hidden="false" customHeight="true" outlineLevel="0" collapsed="false">
      <c r="P1961" s="1" t="str">
        <f aca="false">IF(OR(F1961="",H1961="",J1961=""),"",J1961&amp;"|"&amp;F1961&amp;"|"&amp;IF(H1961="W3","W3_"&amp;IF(I1961="","unknown",I1961),H1961))</f>
        <v/>
      </c>
      <c r="Q1961" s="1" t="str">
        <f aca="false">IF(P1961="","",IFERROR(IF(AND(H1961="W7",OR(F1961="causal",F1961="predictive")),IF(AND(K1961=1,L1961=1,M1961=1),"adequate","partial"),INDEX(Fit_Matrix!$B:$B,MATCH(P1961,Fit_Matrix!$A:$A,0))),"CHECK KEY"))</f>
        <v/>
      </c>
    </row>
    <row r="1962" customFormat="false" ht="15" hidden="false" customHeight="true" outlineLevel="0" collapsed="false">
      <c r="P1962" s="1" t="str">
        <f aca="false">IF(OR(F1962="",H1962="",J1962=""),"",J1962&amp;"|"&amp;F1962&amp;"|"&amp;IF(H1962="W3","W3_"&amp;IF(I1962="","unknown",I1962),H1962))</f>
        <v/>
      </c>
      <c r="Q1962" s="1" t="str">
        <f aca="false">IF(P1962="","",IFERROR(IF(AND(H1962="W7",OR(F1962="causal",F1962="predictive")),IF(AND(K1962=1,L1962=1,M1962=1),"adequate","partial"),INDEX(Fit_Matrix!$B:$B,MATCH(P1962,Fit_Matrix!$A:$A,0))),"CHECK KEY"))</f>
        <v/>
      </c>
    </row>
    <row r="1963" customFormat="false" ht="15" hidden="false" customHeight="true" outlineLevel="0" collapsed="false">
      <c r="P1963" s="1" t="str">
        <f aca="false">IF(OR(F1963="",H1963="",J1963=""),"",J1963&amp;"|"&amp;F1963&amp;"|"&amp;IF(H1963="W3","W3_"&amp;IF(I1963="","unknown",I1963),H1963))</f>
        <v/>
      </c>
      <c r="Q1963" s="1" t="str">
        <f aca="false">IF(P1963="","",IFERROR(IF(AND(H1963="W7",OR(F1963="causal",F1963="predictive")),IF(AND(K1963=1,L1963=1,M1963=1),"adequate","partial"),INDEX(Fit_Matrix!$B:$B,MATCH(P1963,Fit_Matrix!$A:$A,0))),"CHECK KEY"))</f>
        <v/>
      </c>
    </row>
    <row r="1964" customFormat="false" ht="15" hidden="false" customHeight="true" outlineLevel="0" collapsed="false">
      <c r="P1964" s="1" t="str">
        <f aca="false">IF(OR(F1964="",H1964="",J1964=""),"",J1964&amp;"|"&amp;F1964&amp;"|"&amp;IF(H1964="W3","W3_"&amp;IF(I1964="","unknown",I1964),H1964))</f>
        <v/>
      </c>
      <c r="Q1964" s="1" t="str">
        <f aca="false">IF(P1964="","",IFERROR(IF(AND(H1964="W7",OR(F1964="causal",F1964="predictive")),IF(AND(K1964=1,L1964=1,M1964=1),"adequate","partial"),INDEX(Fit_Matrix!$B:$B,MATCH(P1964,Fit_Matrix!$A:$A,0))),"CHECK KEY"))</f>
        <v/>
      </c>
    </row>
    <row r="1965" customFormat="false" ht="15" hidden="false" customHeight="true" outlineLevel="0" collapsed="false">
      <c r="P1965" s="1" t="str">
        <f aca="false">IF(OR(F1965="",H1965="",J1965=""),"",J1965&amp;"|"&amp;F1965&amp;"|"&amp;IF(H1965="W3","W3_"&amp;IF(I1965="","unknown",I1965),H1965))</f>
        <v/>
      </c>
      <c r="Q1965" s="1" t="str">
        <f aca="false">IF(P1965="","",IFERROR(IF(AND(H1965="W7",OR(F1965="causal",F1965="predictive")),IF(AND(K1965=1,L1965=1,M1965=1),"adequate","partial"),INDEX(Fit_Matrix!$B:$B,MATCH(P1965,Fit_Matrix!$A:$A,0))),"CHECK KEY"))</f>
        <v/>
      </c>
    </row>
    <row r="1966" customFormat="false" ht="15" hidden="false" customHeight="true" outlineLevel="0" collapsed="false">
      <c r="P1966" s="1" t="str">
        <f aca="false">IF(OR(F1966="",H1966="",J1966=""),"",J1966&amp;"|"&amp;F1966&amp;"|"&amp;IF(H1966="W3","W3_"&amp;IF(I1966="","unknown",I1966),H1966))</f>
        <v/>
      </c>
      <c r="Q1966" s="1" t="str">
        <f aca="false">IF(P1966="","",IFERROR(IF(AND(H1966="W7",OR(F1966="causal",F1966="predictive")),IF(AND(K1966=1,L1966=1,M1966=1),"adequate","partial"),INDEX(Fit_Matrix!$B:$B,MATCH(P1966,Fit_Matrix!$A:$A,0))),"CHECK KEY"))</f>
        <v/>
      </c>
    </row>
    <row r="1967" customFormat="false" ht="15" hidden="false" customHeight="true" outlineLevel="0" collapsed="false">
      <c r="P1967" s="1" t="str">
        <f aca="false">IF(OR(F1967="",H1967="",J1967=""),"",J1967&amp;"|"&amp;F1967&amp;"|"&amp;IF(H1967="W3","W3_"&amp;IF(I1967="","unknown",I1967),H1967))</f>
        <v/>
      </c>
      <c r="Q1967" s="1" t="str">
        <f aca="false">IF(P1967="","",IFERROR(IF(AND(H1967="W7",OR(F1967="causal",F1967="predictive")),IF(AND(K1967=1,L1967=1,M1967=1),"adequate","partial"),INDEX(Fit_Matrix!$B:$B,MATCH(P1967,Fit_Matrix!$A:$A,0))),"CHECK KEY"))</f>
        <v/>
      </c>
    </row>
    <row r="1968" customFormat="false" ht="15" hidden="false" customHeight="true" outlineLevel="0" collapsed="false">
      <c r="P1968" s="1" t="str">
        <f aca="false">IF(OR(F1968="",H1968="",J1968=""),"",J1968&amp;"|"&amp;F1968&amp;"|"&amp;IF(H1968="W3","W3_"&amp;IF(I1968="","unknown",I1968),H1968))</f>
        <v/>
      </c>
      <c r="Q1968" s="1" t="str">
        <f aca="false">IF(P1968="","",IFERROR(IF(AND(H1968="W7",OR(F1968="causal",F1968="predictive")),IF(AND(K1968=1,L1968=1,M1968=1),"adequate","partial"),INDEX(Fit_Matrix!$B:$B,MATCH(P1968,Fit_Matrix!$A:$A,0))),"CHECK KEY"))</f>
        <v/>
      </c>
    </row>
    <row r="1969" customFormat="false" ht="15" hidden="false" customHeight="true" outlineLevel="0" collapsed="false">
      <c r="P1969" s="1" t="str">
        <f aca="false">IF(OR(F1969="",H1969="",J1969=""),"",J1969&amp;"|"&amp;F1969&amp;"|"&amp;IF(H1969="W3","W3_"&amp;IF(I1969="","unknown",I1969),H1969))</f>
        <v/>
      </c>
      <c r="Q1969" s="1" t="str">
        <f aca="false">IF(P1969="","",IFERROR(IF(AND(H1969="W7",OR(F1969="causal",F1969="predictive")),IF(AND(K1969=1,L1969=1,M1969=1),"adequate","partial"),INDEX(Fit_Matrix!$B:$B,MATCH(P1969,Fit_Matrix!$A:$A,0))),"CHECK KEY"))</f>
        <v/>
      </c>
    </row>
    <row r="1970" customFormat="false" ht="15" hidden="false" customHeight="true" outlineLevel="0" collapsed="false">
      <c r="P1970" s="1" t="str">
        <f aca="false">IF(OR(F1970="",H1970="",J1970=""),"",J1970&amp;"|"&amp;F1970&amp;"|"&amp;IF(H1970="W3","W3_"&amp;IF(I1970="","unknown",I1970),H1970))</f>
        <v/>
      </c>
      <c r="Q1970" s="1" t="str">
        <f aca="false">IF(P1970="","",IFERROR(IF(AND(H1970="W7",OR(F1970="causal",F1970="predictive")),IF(AND(K1970=1,L1970=1,M1970=1),"adequate","partial"),INDEX(Fit_Matrix!$B:$B,MATCH(P1970,Fit_Matrix!$A:$A,0))),"CHECK KEY"))</f>
        <v/>
      </c>
    </row>
    <row r="1971" customFormat="false" ht="15" hidden="false" customHeight="true" outlineLevel="0" collapsed="false">
      <c r="P1971" s="1" t="str">
        <f aca="false">IF(OR(F1971="",H1971="",J1971=""),"",J1971&amp;"|"&amp;F1971&amp;"|"&amp;IF(H1971="W3","W3_"&amp;IF(I1971="","unknown",I1971),H1971))</f>
        <v/>
      </c>
      <c r="Q1971" s="1" t="str">
        <f aca="false">IF(P1971="","",IFERROR(IF(AND(H1971="W7",OR(F1971="causal",F1971="predictive")),IF(AND(K1971=1,L1971=1,M1971=1),"adequate","partial"),INDEX(Fit_Matrix!$B:$B,MATCH(P1971,Fit_Matrix!$A:$A,0))),"CHECK KEY"))</f>
        <v/>
      </c>
    </row>
    <row r="1972" customFormat="false" ht="15" hidden="false" customHeight="true" outlineLevel="0" collapsed="false">
      <c r="P1972" s="1" t="str">
        <f aca="false">IF(OR(F1972="",H1972="",J1972=""),"",J1972&amp;"|"&amp;F1972&amp;"|"&amp;IF(H1972="W3","W3_"&amp;IF(I1972="","unknown",I1972),H1972))</f>
        <v/>
      </c>
      <c r="Q1972" s="1" t="str">
        <f aca="false">IF(P1972="","",IFERROR(IF(AND(H1972="W7",OR(F1972="causal",F1972="predictive")),IF(AND(K1972=1,L1972=1,M1972=1),"adequate","partial"),INDEX(Fit_Matrix!$B:$B,MATCH(P1972,Fit_Matrix!$A:$A,0))),"CHECK KEY"))</f>
        <v/>
      </c>
    </row>
    <row r="1973" customFormat="false" ht="15" hidden="false" customHeight="true" outlineLevel="0" collapsed="false">
      <c r="P1973" s="1" t="str">
        <f aca="false">IF(OR(F1973="",H1973="",J1973=""),"",J1973&amp;"|"&amp;F1973&amp;"|"&amp;IF(H1973="W3","W3_"&amp;IF(I1973="","unknown",I1973),H1973))</f>
        <v/>
      </c>
      <c r="Q1973" s="1" t="str">
        <f aca="false">IF(P1973="","",IFERROR(IF(AND(H1973="W7",OR(F1973="causal",F1973="predictive")),IF(AND(K1973=1,L1973=1,M1973=1),"adequate","partial"),INDEX(Fit_Matrix!$B:$B,MATCH(P1973,Fit_Matrix!$A:$A,0))),"CHECK KEY"))</f>
        <v/>
      </c>
    </row>
    <row r="1974" customFormat="false" ht="15" hidden="false" customHeight="true" outlineLevel="0" collapsed="false">
      <c r="P1974" s="1" t="str">
        <f aca="false">IF(OR(F1974="",H1974="",J1974=""),"",J1974&amp;"|"&amp;F1974&amp;"|"&amp;IF(H1974="W3","W3_"&amp;IF(I1974="","unknown",I1974),H1974))</f>
        <v/>
      </c>
      <c r="Q1974" s="1" t="str">
        <f aca="false">IF(P1974="","",IFERROR(IF(AND(H1974="W7",OR(F1974="causal",F1974="predictive")),IF(AND(K1974=1,L1974=1,M1974=1),"adequate","partial"),INDEX(Fit_Matrix!$B:$B,MATCH(P1974,Fit_Matrix!$A:$A,0))),"CHECK KEY"))</f>
        <v/>
      </c>
    </row>
    <row r="1975" customFormat="false" ht="15" hidden="false" customHeight="true" outlineLevel="0" collapsed="false">
      <c r="P1975" s="1" t="str">
        <f aca="false">IF(OR(F1975="",H1975="",J1975=""),"",J1975&amp;"|"&amp;F1975&amp;"|"&amp;IF(H1975="W3","W3_"&amp;IF(I1975="","unknown",I1975),H1975))</f>
        <v/>
      </c>
      <c r="Q1975" s="1" t="str">
        <f aca="false">IF(P1975="","",IFERROR(IF(AND(H1975="W7",OR(F1975="causal",F1975="predictive")),IF(AND(K1975=1,L1975=1,M1975=1),"adequate","partial"),INDEX(Fit_Matrix!$B:$B,MATCH(P1975,Fit_Matrix!$A:$A,0))),"CHECK KEY"))</f>
        <v/>
      </c>
    </row>
    <row r="1976" customFormat="false" ht="15" hidden="false" customHeight="true" outlineLevel="0" collapsed="false">
      <c r="P1976" s="1" t="str">
        <f aca="false">IF(OR(F1976="",H1976="",J1976=""),"",J1976&amp;"|"&amp;F1976&amp;"|"&amp;IF(H1976="W3","W3_"&amp;IF(I1976="","unknown",I1976),H1976))</f>
        <v/>
      </c>
      <c r="Q1976" s="1" t="str">
        <f aca="false">IF(P1976="","",IFERROR(IF(AND(H1976="W7",OR(F1976="causal",F1976="predictive")),IF(AND(K1976=1,L1976=1,M1976=1),"adequate","partial"),INDEX(Fit_Matrix!$B:$B,MATCH(P1976,Fit_Matrix!$A:$A,0))),"CHECK KEY"))</f>
        <v/>
      </c>
    </row>
    <row r="1977" customFormat="false" ht="15" hidden="false" customHeight="true" outlineLevel="0" collapsed="false">
      <c r="P1977" s="1" t="str">
        <f aca="false">IF(OR(F1977="",H1977="",J1977=""),"",J1977&amp;"|"&amp;F1977&amp;"|"&amp;IF(H1977="W3","W3_"&amp;IF(I1977="","unknown",I1977),H1977))</f>
        <v/>
      </c>
      <c r="Q1977" s="1" t="str">
        <f aca="false">IF(P1977="","",IFERROR(IF(AND(H1977="W7",OR(F1977="causal",F1977="predictive")),IF(AND(K1977=1,L1977=1,M1977=1),"adequate","partial"),INDEX(Fit_Matrix!$B:$B,MATCH(P1977,Fit_Matrix!$A:$A,0))),"CHECK KEY"))</f>
        <v/>
      </c>
    </row>
    <row r="1978" customFormat="false" ht="15" hidden="false" customHeight="true" outlineLevel="0" collapsed="false">
      <c r="P1978" s="1" t="str">
        <f aca="false">IF(OR(F1978="",H1978="",J1978=""),"",J1978&amp;"|"&amp;F1978&amp;"|"&amp;IF(H1978="W3","W3_"&amp;IF(I1978="","unknown",I1978),H1978))</f>
        <v/>
      </c>
      <c r="Q1978" s="1" t="str">
        <f aca="false">IF(P1978="","",IFERROR(IF(AND(H1978="W7",OR(F1978="causal",F1978="predictive")),IF(AND(K1978=1,L1978=1,M1978=1),"adequate","partial"),INDEX(Fit_Matrix!$B:$B,MATCH(P1978,Fit_Matrix!$A:$A,0))),"CHECK KEY"))</f>
        <v/>
      </c>
    </row>
    <row r="1979" customFormat="false" ht="15" hidden="false" customHeight="true" outlineLevel="0" collapsed="false">
      <c r="P1979" s="1" t="str">
        <f aca="false">IF(OR(F1979="",H1979="",J1979=""),"",J1979&amp;"|"&amp;F1979&amp;"|"&amp;IF(H1979="W3","W3_"&amp;IF(I1979="","unknown",I1979),H1979))</f>
        <v/>
      </c>
      <c r="Q1979" s="1" t="str">
        <f aca="false">IF(P1979="","",IFERROR(IF(AND(H1979="W7",OR(F1979="causal",F1979="predictive")),IF(AND(K1979=1,L1979=1,M1979=1),"adequate","partial"),INDEX(Fit_Matrix!$B:$B,MATCH(P1979,Fit_Matrix!$A:$A,0))),"CHECK KEY"))</f>
        <v/>
      </c>
    </row>
    <row r="1980" customFormat="false" ht="15" hidden="false" customHeight="true" outlineLevel="0" collapsed="false">
      <c r="P1980" s="1" t="str">
        <f aca="false">IF(OR(F1980="",H1980="",J1980=""),"",J1980&amp;"|"&amp;F1980&amp;"|"&amp;IF(H1980="W3","W3_"&amp;IF(I1980="","unknown",I1980),H1980))</f>
        <v/>
      </c>
      <c r="Q1980" s="1" t="str">
        <f aca="false">IF(P1980="","",IFERROR(IF(AND(H1980="W7",OR(F1980="causal",F1980="predictive")),IF(AND(K1980=1,L1980=1,M1980=1),"adequate","partial"),INDEX(Fit_Matrix!$B:$B,MATCH(P1980,Fit_Matrix!$A:$A,0))),"CHECK KEY"))</f>
        <v/>
      </c>
    </row>
    <row r="1981" customFormat="false" ht="15" hidden="false" customHeight="true" outlineLevel="0" collapsed="false">
      <c r="P1981" s="1" t="str">
        <f aca="false">IF(OR(F1981="",H1981="",J1981=""),"",J1981&amp;"|"&amp;F1981&amp;"|"&amp;IF(H1981="W3","W3_"&amp;IF(I1981="","unknown",I1981),H1981))</f>
        <v/>
      </c>
      <c r="Q1981" s="1" t="str">
        <f aca="false">IF(P1981="","",IFERROR(IF(AND(H1981="W7",OR(F1981="causal",F1981="predictive")),IF(AND(K1981=1,L1981=1,M1981=1),"adequate","partial"),INDEX(Fit_Matrix!$B:$B,MATCH(P1981,Fit_Matrix!$A:$A,0))),"CHECK KEY"))</f>
        <v/>
      </c>
    </row>
    <row r="1982" customFormat="false" ht="15" hidden="false" customHeight="true" outlineLevel="0" collapsed="false">
      <c r="P1982" s="1" t="str">
        <f aca="false">IF(OR(F1982="",H1982="",J1982=""),"",J1982&amp;"|"&amp;F1982&amp;"|"&amp;IF(H1982="W3","W3_"&amp;IF(I1982="","unknown",I1982),H1982))</f>
        <v/>
      </c>
      <c r="Q1982" s="1" t="str">
        <f aca="false">IF(P1982="","",IFERROR(IF(AND(H1982="W7",OR(F1982="causal",F1982="predictive")),IF(AND(K1982=1,L1982=1,M1982=1),"adequate","partial"),INDEX(Fit_Matrix!$B:$B,MATCH(P1982,Fit_Matrix!$A:$A,0))),"CHECK KEY"))</f>
        <v/>
      </c>
    </row>
    <row r="1983" customFormat="false" ht="15" hidden="false" customHeight="true" outlineLevel="0" collapsed="false">
      <c r="P1983" s="1" t="str">
        <f aca="false">IF(OR(F1983="",H1983="",J1983=""),"",J1983&amp;"|"&amp;F1983&amp;"|"&amp;IF(H1983="W3","W3_"&amp;IF(I1983="","unknown",I1983),H1983))</f>
        <v/>
      </c>
      <c r="Q1983" s="1" t="str">
        <f aca="false">IF(P1983="","",IFERROR(IF(AND(H1983="W7",OR(F1983="causal",F1983="predictive")),IF(AND(K1983=1,L1983=1,M1983=1),"adequate","partial"),INDEX(Fit_Matrix!$B:$B,MATCH(P1983,Fit_Matrix!$A:$A,0))),"CHECK KEY"))</f>
        <v/>
      </c>
    </row>
    <row r="1984" customFormat="false" ht="15" hidden="false" customHeight="true" outlineLevel="0" collapsed="false">
      <c r="P1984" s="1" t="str">
        <f aca="false">IF(OR(F1984="",H1984="",J1984=""),"",J1984&amp;"|"&amp;F1984&amp;"|"&amp;IF(H1984="W3","W3_"&amp;IF(I1984="","unknown",I1984),H1984))</f>
        <v/>
      </c>
      <c r="Q1984" s="1" t="str">
        <f aca="false">IF(P1984="","",IFERROR(IF(AND(H1984="W7",OR(F1984="causal",F1984="predictive")),IF(AND(K1984=1,L1984=1,M1984=1),"adequate","partial"),INDEX(Fit_Matrix!$B:$B,MATCH(P1984,Fit_Matrix!$A:$A,0))),"CHECK KEY"))</f>
        <v/>
      </c>
    </row>
    <row r="1985" customFormat="false" ht="15" hidden="false" customHeight="true" outlineLevel="0" collapsed="false">
      <c r="P1985" s="1" t="str">
        <f aca="false">IF(OR(F1985="",H1985="",J1985=""),"",J1985&amp;"|"&amp;F1985&amp;"|"&amp;IF(H1985="W3","W3_"&amp;IF(I1985="","unknown",I1985),H1985))</f>
        <v/>
      </c>
      <c r="Q1985" s="1" t="str">
        <f aca="false">IF(P1985="","",IFERROR(IF(AND(H1985="W7",OR(F1985="causal",F1985="predictive")),IF(AND(K1985=1,L1985=1,M1985=1),"adequate","partial"),INDEX(Fit_Matrix!$B:$B,MATCH(P1985,Fit_Matrix!$A:$A,0))),"CHECK KEY"))</f>
        <v/>
      </c>
    </row>
    <row r="1986" customFormat="false" ht="15" hidden="false" customHeight="true" outlineLevel="0" collapsed="false">
      <c r="P1986" s="1" t="str">
        <f aca="false">IF(OR(F1986="",H1986="",J1986=""),"",J1986&amp;"|"&amp;F1986&amp;"|"&amp;IF(H1986="W3","W3_"&amp;IF(I1986="","unknown",I1986),H1986))</f>
        <v/>
      </c>
      <c r="Q1986" s="1" t="str">
        <f aca="false">IF(P1986="","",IFERROR(IF(AND(H1986="W7",OR(F1986="causal",F1986="predictive")),IF(AND(K1986=1,L1986=1,M1986=1),"adequate","partial"),INDEX(Fit_Matrix!$B:$B,MATCH(P1986,Fit_Matrix!$A:$A,0))),"CHECK KEY"))</f>
        <v/>
      </c>
    </row>
    <row r="1987" customFormat="false" ht="15" hidden="false" customHeight="true" outlineLevel="0" collapsed="false">
      <c r="P1987" s="1" t="str">
        <f aca="false">IF(OR(F1987="",H1987="",J1987=""),"",J1987&amp;"|"&amp;F1987&amp;"|"&amp;IF(H1987="W3","W3_"&amp;IF(I1987="","unknown",I1987),H1987))</f>
        <v/>
      </c>
      <c r="Q1987" s="1" t="str">
        <f aca="false">IF(P1987="","",IFERROR(IF(AND(H1987="W7",OR(F1987="causal",F1987="predictive")),IF(AND(K1987=1,L1987=1,M1987=1),"adequate","partial"),INDEX(Fit_Matrix!$B:$B,MATCH(P1987,Fit_Matrix!$A:$A,0))),"CHECK KEY"))</f>
        <v/>
      </c>
    </row>
    <row r="1988" customFormat="false" ht="15" hidden="false" customHeight="true" outlineLevel="0" collapsed="false">
      <c r="P1988" s="1" t="str">
        <f aca="false">IF(OR(F1988="",H1988="",J1988=""),"",J1988&amp;"|"&amp;F1988&amp;"|"&amp;IF(H1988="W3","W3_"&amp;IF(I1988="","unknown",I1988),H1988))</f>
        <v/>
      </c>
      <c r="Q1988" s="1" t="str">
        <f aca="false">IF(P1988="","",IFERROR(IF(AND(H1988="W7",OR(F1988="causal",F1988="predictive")),IF(AND(K1988=1,L1988=1,M1988=1),"adequate","partial"),INDEX(Fit_Matrix!$B:$B,MATCH(P1988,Fit_Matrix!$A:$A,0))),"CHECK KEY"))</f>
        <v/>
      </c>
    </row>
    <row r="1989" customFormat="false" ht="15" hidden="false" customHeight="true" outlineLevel="0" collapsed="false">
      <c r="P1989" s="1" t="str">
        <f aca="false">IF(OR(F1989="",H1989="",J1989=""),"",J1989&amp;"|"&amp;F1989&amp;"|"&amp;IF(H1989="W3","W3_"&amp;IF(I1989="","unknown",I1989),H1989))</f>
        <v/>
      </c>
      <c r="Q1989" s="1" t="str">
        <f aca="false">IF(P1989="","",IFERROR(IF(AND(H1989="W7",OR(F1989="causal",F1989="predictive")),IF(AND(K1989=1,L1989=1,M1989=1),"adequate","partial"),INDEX(Fit_Matrix!$B:$B,MATCH(P1989,Fit_Matrix!$A:$A,0))),"CHECK KEY"))</f>
        <v/>
      </c>
    </row>
    <row r="1990" customFormat="false" ht="15" hidden="false" customHeight="true" outlineLevel="0" collapsed="false">
      <c r="P1990" s="1" t="str">
        <f aca="false">IF(OR(F1990="",H1990="",J1990=""),"",J1990&amp;"|"&amp;F1990&amp;"|"&amp;IF(H1990="W3","W3_"&amp;IF(I1990="","unknown",I1990),H1990))</f>
        <v/>
      </c>
      <c r="Q1990" s="1" t="str">
        <f aca="false">IF(P1990="","",IFERROR(IF(AND(H1990="W7",OR(F1990="causal",F1990="predictive")),IF(AND(K1990=1,L1990=1,M1990=1),"adequate","partial"),INDEX(Fit_Matrix!$B:$B,MATCH(P1990,Fit_Matrix!$A:$A,0))),"CHECK KEY"))</f>
        <v/>
      </c>
    </row>
    <row r="1991" customFormat="false" ht="15" hidden="false" customHeight="true" outlineLevel="0" collapsed="false">
      <c r="P1991" s="1" t="str">
        <f aca="false">IF(OR(F1991="",H1991="",J1991=""),"",J1991&amp;"|"&amp;F1991&amp;"|"&amp;IF(H1991="W3","W3_"&amp;IF(I1991="","unknown",I1991),H1991))</f>
        <v/>
      </c>
      <c r="Q1991" s="1" t="str">
        <f aca="false">IF(P1991="","",IFERROR(IF(AND(H1991="W7",OR(F1991="causal",F1991="predictive")),IF(AND(K1991=1,L1991=1,M1991=1),"adequate","partial"),INDEX(Fit_Matrix!$B:$B,MATCH(P1991,Fit_Matrix!$A:$A,0))),"CHECK KEY"))</f>
        <v/>
      </c>
    </row>
    <row r="1992" customFormat="false" ht="15" hidden="false" customHeight="true" outlineLevel="0" collapsed="false">
      <c r="P1992" s="1" t="str">
        <f aca="false">IF(OR(F1992="",H1992="",J1992=""),"",J1992&amp;"|"&amp;F1992&amp;"|"&amp;IF(H1992="W3","W3_"&amp;IF(I1992="","unknown",I1992),H1992))</f>
        <v/>
      </c>
      <c r="Q1992" s="1" t="str">
        <f aca="false">IF(P1992="","",IFERROR(IF(AND(H1992="W7",OR(F1992="causal",F1992="predictive")),IF(AND(K1992=1,L1992=1,M1992=1),"adequate","partial"),INDEX(Fit_Matrix!$B:$B,MATCH(P1992,Fit_Matrix!$A:$A,0))),"CHECK KEY"))</f>
        <v/>
      </c>
    </row>
    <row r="1993" customFormat="false" ht="15" hidden="false" customHeight="true" outlineLevel="0" collapsed="false">
      <c r="P1993" s="1" t="str">
        <f aca="false">IF(OR(F1993="",H1993="",J1993=""),"",J1993&amp;"|"&amp;F1993&amp;"|"&amp;IF(H1993="W3","W3_"&amp;IF(I1993="","unknown",I1993),H1993))</f>
        <v/>
      </c>
      <c r="Q1993" s="1" t="str">
        <f aca="false">IF(P1993="","",IFERROR(IF(AND(H1993="W7",OR(F1993="causal",F1993="predictive")),IF(AND(K1993=1,L1993=1,M1993=1),"adequate","partial"),INDEX(Fit_Matrix!$B:$B,MATCH(P1993,Fit_Matrix!$A:$A,0))),"CHECK KEY"))</f>
        <v/>
      </c>
    </row>
    <row r="1994" customFormat="false" ht="15" hidden="false" customHeight="true" outlineLevel="0" collapsed="false">
      <c r="P1994" s="1" t="str">
        <f aca="false">IF(OR(F1994="",H1994="",J1994=""),"",J1994&amp;"|"&amp;F1994&amp;"|"&amp;IF(H1994="W3","W3_"&amp;IF(I1994="","unknown",I1994),H1994))</f>
        <v/>
      </c>
      <c r="Q1994" s="1" t="str">
        <f aca="false">IF(P1994="","",IFERROR(IF(AND(H1994="W7",OR(F1994="causal",F1994="predictive")),IF(AND(K1994=1,L1994=1,M1994=1),"adequate","partial"),INDEX(Fit_Matrix!$B:$B,MATCH(P1994,Fit_Matrix!$A:$A,0))),"CHECK KEY"))</f>
        <v/>
      </c>
    </row>
    <row r="1995" customFormat="false" ht="15" hidden="false" customHeight="true" outlineLevel="0" collapsed="false">
      <c r="P1995" s="1" t="str">
        <f aca="false">IF(OR(F1995="",H1995="",J1995=""),"",J1995&amp;"|"&amp;F1995&amp;"|"&amp;IF(H1995="W3","W3_"&amp;IF(I1995="","unknown",I1995),H1995))</f>
        <v/>
      </c>
      <c r="Q1995" s="1" t="str">
        <f aca="false">IF(P1995="","",IFERROR(IF(AND(H1995="W7",OR(F1995="causal",F1995="predictive")),IF(AND(K1995=1,L1995=1,M1995=1),"adequate","partial"),INDEX(Fit_Matrix!$B:$B,MATCH(P1995,Fit_Matrix!$A:$A,0))),"CHECK KEY"))</f>
        <v/>
      </c>
    </row>
    <row r="1996" customFormat="false" ht="15" hidden="false" customHeight="true" outlineLevel="0" collapsed="false">
      <c r="P1996" s="1" t="str">
        <f aca="false">IF(OR(F1996="",H1996="",J1996=""),"",J1996&amp;"|"&amp;F1996&amp;"|"&amp;IF(H1996="W3","W3_"&amp;IF(I1996="","unknown",I1996),H1996))</f>
        <v/>
      </c>
      <c r="Q1996" s="1" t="str">
        <f aca="false">IF(P1996="","",IFERROR(IF(AND(H1996="W7",OR(F1996="causal",F1996="predictive")),IF(AND(K1996=1,L1996=1,M1996=1),"adequate","partial"),INDEX(Fit_Matrix!$B:$B,MATCH(P1996,Fit_Matrix!$A:$A,0))),"CHECK KEY"))</f>
        <v/>
      </c>
    </row>
    <row r="1997" customFormat="false" ht="15" hidden="false" customHeight="true" outlineLevel="0" collapsed="false">
      <c r="P1997" s="1" t="str">
        <f aca="false">IF(OR(F1997="",H1997="",J1997=""),"",J1997&amp;"|"&amp;F1997&amp;"|"&amp;IF(H1997="W3","W3_"&amp;IF(I1997="","unknown",I1997),H1997))</f>
        <v/>
      </c>
      <c r="Q1997" s="1" t="str">
        <f aca="false">IF(P1997="","",IFERROR(IF(AND(H1997="W7",OR(F1997="causal",F1997="predictive")),IF(AND(K1997=1,L1997=1,M1997=1),"adequate","partial"),INDEX(Fit_Matrix!$B:$B,MATCH(P1997,Fit_Matrix!$A:$A,0))),"CHECK KEY"))</f>
        <v/>
      </c>
    </row>
    <row r="1998" customFormat="false" ht="15" hidden="false" customHeight="true" outlineLevel="0" collapsed="false">
      <c r="P1998" s="1" t="str">
        <f aca="false">IF(OR(F1998="",H1998="",J1998=""),"",J1998&amp;"|"&amp;F1998&amp;"|"&amp;IF(H1998="W3","W3_"&amp;IF(I1998="","unknown",I1998),H1998))</f>
        <v/>
      </c>
      <c r="Q1998" s="1" t="str">
        <f aca="false">IF(P1998="","",IFERROR(IF(AND(H1998="W7",OR(F1998="causal",F1998="predictive")),IF(AND(K1998=1,L1998=1,M1998=1),"adequate","partial"),INDEX(Fit_Matrix!$B:$B,MATCH(P1998,Fit_Matrix!$A:$A,0))),"CHECK KEY"))</f>
        <v/>
      </c>
    </row>
    <row r="1999" customFormat="false" ht="15" hidden="false" customHeight="true" outlineLevel="0" collapsed="false">
      <c r="P1999" s="1" t="str">
        <f aca="false">IF(OR(F1999="",H1999="",J1999=""),"",J1999&amp;"|"&amp;F1999&amp;"|"&amp;IF(H1999="W3","W3_"&amp;IF(I1999="","unknown",I1999),H1999))</f>
        <v/>
      </c>
      <c r="Q1999" s="1" t="str">
        <f aca="false">IF(P1999="","",IFERROR(IF(AND(H1999="W7",OR(F1999="causal",F1999="predictive")),IF(AND(K1999=1,L1999=1,M1999=1),"adequate","partial"),INDEX(Fit_Matrix!$B:$B,MATCH(P1999,Fit_Matrix!$A:$A,0))),"CHECK KEY"))</f>
        <v/>
      </c>
    </row>
    <row r="2000" customFormat="false" ht="15" hidden="false" customHeight="true" outlineLevel="0" collapsed="false">
      <c r="P2000" s="1" t="str">
        <f aca="false">IF(OR(F2000="",H2000="",J2000=""),"",J2000&amp;"|"&amp;F2000&amp;"|"&amp;IF(H2000="W3","W3_"&amp;IF(I2000="","unknown",I2000),H2000))</f>
        <v/>
      </c>
      <c r="Q2000" s="1" t="str">
        <f aca="false">IF(P2000="","",IFERROR(IF(AND(H2000="W7",OR(F2000="causal",F2000="predictive")),IF(AND(K2000=1,L2000=1,M2000=1),"adequate","partial"),INDEX(Fit_Matrix!$B:$B,MATCH(P2000,Fit_Matrix!$A:$A,0))),"CHECK KEY"))</f>
        <v/>
      </c>
    </row>
    <row r="2001" customFormat="false" ht="15" hidden="false" customHeight="true" outlineLevel="0" collapsed="false">
      <c r="P2001" s="1" t="str">
        <f aca="false">IF(OR(F2001="",H2001="",J2001=""),"",J2001&amp;"|"&amp;F2001&amp;"|"&amp;IF(H2001="W3","W3_"&amp;IF(I2001="","unknown",I2001),H2001))</f>
        <v/>
      </c>
      <c r="Q2001" s="1" t="str">
        <f aca="false">IF(P2001="","",IFERROR(IF(AND(H2001="W7",OR(F2001="causal",F2001="predictive")),IF(AND(K2001=1,L2001=1,M2001=1),"adequate","partial"),INDEX(Fit_Matrix!$B:$B,MATCH(P2001,Fit_Matrix!$A:$A,0))),"CHECK KEY"))</f>
        <v/>
      </c>
    </row>
    <row r="2002" customFormat="false" ht="15" hidden="false" customHeight="true" outlineLevel="0" collapsed="false">
      <c r="P2002" s="1" t="str">
        <f aca="false">IF(OR(F2002="",H2002="",J2002=""),"",J2002&amp;"|"&amp;F2002&amp;"|"&amp;IF(H2002="W3","W3_"&amp;IF(I2002="","unknown",I2002),H2002))</f>
        <v/>
      </c>
      <c r="Q2002" s="1" t="str">
        <f aca="false">IF(P2002="","",IFERROR(IF(AND(H2002="W7",OR(F2002="causal",F2002="predictive")),IF(AND(K2002=1,L2002=1,M2002=1),"adequate","partial"),INDEX(Fit_Matrix!$B:$B,MATCH(P2002,Fit_Matrix!$A:$A,0))),"CHECK KEY"))</f>
        <v/>
      </c>
    </row>
    <row r="2003" customFormat="false" ht="15" hidden="false" customHeight="true" outlineLevel="0" collapsed="false">
      <c r="P2003" s="1" t="str">
        <f aca="false">IF(OR(F2003="",H2003="",J2003=""),"",J2003&amp;"|"&amp;F2003&amp;"|"&amp;IF(H2003="W3","W3_"&amp;IF(I2003="","unknown",I2003),H2003))</f>
        <v/>
      </c>
      <c r="Q2003" s="1" t="str">
        <f aca="false">IF(P2003="","",IFERROR(IF(AND(H2003="W7",OR(F2003="causal",F2003="predictive")),IF(AND(K2003=1,L2003=1,M2003=1),"adequate","partial"),INDEX(Fit_Matrix!$B:$B,MATCH(P2003,Fit_Matrix!$A:$A,0))),"CHECK KEY"))</f>
        <v/>
      </c>
    </row>
    <row r="2004" customFormat="false" ht="15" hidden="false" customHeight="true" outlineLevel="0" collapsed="false">
      <c r="P2004" s="1" t="str">
        <f aca="false">IF(OR(F2004="",H2004="",J2004=""),"",J2004&amp;"|"&amp;F2004&amp;"|"&amp;IF(H2004="W3","W3_"&amp;IF(I2004="","unknown",I2004),H2004))</f>
        <v/>
      </c>
      <c r="Q2004" s="1" t="str">
        <f aca="false">IF(P2004="","",IFERROR(IF(AND(H2004="W7",OR(F2004="causal",F2004="predictive")),IF(AND(K2004=1,L2004=1,M2004=1),"adequate","partial"),INDEX(Fit_Matrix!$B:$B,MATCH(P2004,Fit_Matrix!$A:$A,0))),"CHECK KEY"))</f>
        <v/>
      </c>
    </row>
    <row r="2005" customFormat="false" ht="15" hidden="false" customHeight="true" outlineLevel="0" collapsed="false">
      <c r="P2005" s="1" t="str">
        <f aca="false">IF(OR(F2005="",H2005="",J2005=""),"",J2005&amp;"|"&amp;F2005&amp;"|"&amp;IF(H2005="W3","W3_"&amp;IF(I2005="","unknown",I2005),H2005))</f>
        <v/>
      </c>
      <c r="Q2005" s="1" t="str">
        <f aca="false">IF(P2005="","",IFERROR(IF(AND(H2005="W7",OR(F2005="causal",F2005="predictive")),IF(AND(K2005=1,L2005=1,M2005=1),"adequate","partial"),INDEX(Fit_Matrix!$B:$B,MATCH(P2005,Fit_Matrix!$A:$A,0))),"CHECK KEY"))</f>
        <v/>
      </c>
    </row>
    <row r="2006" customFormat="false" ht="15" hidden="false" customHeight="true" outlineLevel="0" collapsed="false">
      <c r="P2006" s="1" t="str">
        <f aca="false">IF(OR(F2006="",H2006="",J2006=""),"",J2006&amp;"|"&amp;F2006&amp;"|"&amp;IF(H2006="W3","W3_"&amp;IF(I2006="","unknown",I2006),H2006))</f>
        <v/>
      </c>
      <c r="Q2006" s="1" t="str">
        <f aca="false">IF(P2006="","",IFERROR(IF(AND(H2006="W7",OR(F2006="causal",F2006="predictive")),IF(AND(K2006=1,L2006=1,M2006=1),"adequate","partial"),INDEX(Fit_Matrix!$B:$B,MATCH(P2006,Fit_Matrix!$A:$A,0))),"CHECK KEY"))</f>
        <v/>
      </c>
    </row>
    <row r="2007" customFormat="false" ht="15" hidden="false" customHeight="true" outlineLevel="0" collapsed="false">
      <c r="P2007" s="1" t="str">
        <f aca="false">IF(OR(F2007="",H2007="",J2007=""),"",J2007&amp;"|"&amp;F2007&amp;"|"&amp;IF(H2007="W3","W3_"&amp;IF(I2007="","unknown",I2007),H2007))</f>
        <v/>
      </c>
      <c r="Q2007" s="1" t="str">
        <f aca="false">IF(P2007="","",IFERROR(IF(AND(H2007="W7",OR(F2007="causal",F2007="predictive")),IF(AND(K2007=1,L2007=1,M2007=1),"adequate","partial"),INDEX(Fit_Matrix!$B:$B,MATCH(P2007,Fit_Matrix!$A:$A,0))),"CHECK KEY"))</f>
        <v/>
      </c>
    </row>
    <row r="2008" customFormat="false" ht="15" hidden="false" customHeight="true" outlineLevel="0" collapsed="false">
      <c r="P2008" s="1" t="str">
        <f aca="false">IF(OR(F2008="",H2008="",J2008=""),"",J2008&amp;"|"&amp;F2008&amp;"|"&amp;IF(H2008="W3","W3_"&amp;IF(I2008="","unknown",I2008),H2008))</f>
        <v/>
      </c>
      <c r="Q2008" s="1" t="str">
        <f aca="false">IF(P2008="","",IFERROR(IF(AND(H2008="W7",OR(F2008="causal",F2008="predictive")),IF(AND(K2008=1,L2008=1,M2008=1),"adequate","partial"),INDEX(Fit_Matrix!$B:$B,MATCH(P2008,Fit_Matrix!$A:$A,0))),"CHECK KEY"))</f>
        <v/>
      </c>
    </row>
    <row r="2009" customFormat="false" ht="15" hidden="false" customHeight="true" outlineLevel="0" collapsed="false">
      <c r="P2009" s="1" t="str">
        <f aca="false">IF(OR(F2009="",H2009="",J2009=""),"",J2009&amp;"|"&amp;F2009&amp;"|"&amp;IF(H2009="W3","W3_"&amp;IF(I2009="","unknown",I2009),H2009))</f>
        <v/>
      </c>
      <c r="Q2009" s="1" t="str">
        <f aca="false">IF(P2009="","",IFERROR(IF(AND(H2009="W7",OR(F2009="causal",F2009="predictive")),IF(AND(K2009=1,L2009=1,M2009=1),"adequate","partial"),INDEX(Fit_Matrix!$B:$B,MATCH(P2009,Fit_Matrix!$A:$A,0))),"CHECK KEY"))</f>
        <v/>
      </c>
    </row>
    <row r="2010" customFormat="false" ht="15" hidden="false" customHeight="true" outlineLevel="0" collapsed="false">
      <c r="P2010" s="1" t="str">
        <f aca="false">IF(OR(F2010="",H2010="",J2010=""),"",J2010&amp;"|"&amp;F2010&amp;"|"&amp;IF(H2010="W3","W3_"&amp;IF(I2010="","unknown",I2010),H2010))</f>
        <v/>
      </c>
      <c r="Q2010" s="1" t="str">
        <f aca="false">IF(P2010="","",IFERROR(IF(AND(H2010="W7",OR(F2010="causal",F2010="predictive")),IF(AND(K2010=1,L2010=1,M2010=1),"adequate","partial"),INDEX(Fit_Matrix!$B:$B,MATCH(P2010,Fit_Matrix!$A:$A,0))),"CHECK KEY"))</f>
        <v/>
      </c>
    </row>
    <row r="2011" customFormat="false" ht="15" hidden="false" customHeight="true" outlineLevel="0" collapsed="false">
      <c r="P2011" s="1" t="str">
        <f aca="false">IF(OR(F2011="",H2011="",J2011=""),"",J2011&amp;"|"&amp;F2011&amp;"|"&amp;IF(H2011="W3","W3_"&amp;IF(I2011="","unknown",I2011),H2011))</f>
        <v/>
      </c>
      <c r="Q2011" s="1" t="str">
        <f aca="false">IF(P2011="","",IFERROR(IF(AND(H2011="W7",OR(F2011="causal",F2011="predictive")),IF(AND(K2011=1,L2011=1,M2011=1),"adequate","partial"),INDEX(Fit_Matrix!$B:$B,MATCH(P2011,Fit_Matrix!$A:$A,0))),"CHECK KEY"))</f>
        <v/>
      </c>
    </row>
    <row r="2012" customFormat="false" ht="15" hidden="false" customHeight="true" outlineLevel="0" collapsed="false">
      <c r="P2012" s="1" t="str">
        <f aca="false">IF(OR(F2012="",H2012="",J2012=""),"",J2012&amp;"|"&amp;F2012&amp;"|"&amp;IF(H2012="W3","W3_"&amp;IF(I2012="","unknown",I2012),H2012))</f>
        <v/>
      </c>
      <c r="Q2012" s="1" t="str">
        <f aca="false">IF(P2012="","",IFERROR(IF(AND(H2012="W7",OR(F2012="causal",F2012="predictive")),IF(AND(K2012=1,L2012=1,M2012=1),"adequate","partial"),INDEX(Fit_Matrix!$B:$B,MATCH(P2012,Fit_Matrix!$A:$A,0))),"CHECK KEY"))</f>
        <v/>
      </c>
    </row>
    <row r="2013" customFormat="false" ht="15" hidden="false" customHeight="true" outlineLevel="0" collapsed="false">
      <c r="P2013" s="1" t="str">
        <f aca="false">IF(OR(F2013="",H2013="",J2013=""),"",J2013&amp;"|"&amp;F2013&amp;"|"&amp;IF(H2013="W3","W3_"&amp;IF(I2013="","unknown",I2013),H2013))</f>
        <v/>
      </c>
      <c r="Q2013" s="1" t="str">
        <f aca="false">IF(P2013="","",IFERROR(IF(AND(H2013="W7",OR(F2013="causal",F2013="predictive")),IF(AND(K2013=1,L2013=1,M2013=1),"adequate","partial"),INDEX(Fit_Matrix!$B:$B,MATCH(P2013,Fit_Matrix!$A:$A,0))),"CHECK KEY"))</f>
        <v/>
      </c>
    </row>
    <row r="2014" customFormat="false" ht="15" hidden="false" customHeight="true" outlineLevel="0" collapsed="false">
      <c r="P2014" s="1" t="str">
        <f aca="false">IF(OR(F2014="",H2014="",J2014=""),"",J2014&amp;"|"&amp;F2014&amp;"|"&amp;IF(H2014="W3","W3_"&amp;IF(I2014="","unknown",I2014),H2014))</f>
        <v/>
      </c>
      <c r="Q2014" s="1" t="str">
        <f aca="false">IF(P2014="","",IFERROR(IF(AND(H2014="W7",OR(F2014="causal",F2014="predictive")),IF(AND(K2014=1,L2014=1,M2014=1),"adequate","partial"),INDEX(Fit_Matrix!$B:$B,MATCH(P2014,Fit_Matrix!$A:$A,0))),"CHECK KEY"))</f>
        <v/>
      </c>
    </row>
    <row r="2015" customFormat="false" ht="15" hidden="false" customHeight="true" outlineLevel="0" collapsed="false">
      <c r="P2015" s="1" t="str">
        <f aca="false">IF(OR(F2015="",H2015="",J2015=""),"",J2015&amp;"|"&amp;F2015&amp;"|"&amp;IF(H2015="W3","W3_"&amp;IF(I2015="","unknown",I2015),H2015))</f>
        <v/>
      </c>
      <c r="Q2015" s="1" t="str">
        <f aca="false">IF(P2015="","",IFERROR(IF(AND(H2015="W7",OR(F2015="causal",F2015="predictive")),IF(AND(K2015=1,L2015=1,M2015=1),"adequate","partial"),INDEX(Fit_Matrix!$B:$B,MATCH(P2015,Fit_Matrix!$A:$A,0))),"CHECK KEY"))</f>
        <v/>
      </c>
    </row>
    <row r="2016" customFormat="false" ht="15" hidden="false" customHeight="true" outlineLevel="0" collapsed="false">
      <c r="P2016" s="1" t="str">
        <f aca="false">IF(OR(F2016="",H2016="",J2016=""),"",J2016&amp;"|"&amp;F2016&amp;"|"&amp;IF(H2016="W3","W3_"&amp;IF(I2016="","unknown",I2016),H2016))</f>
        <v/>
      </c>
      <c r="Q2016" s="1" t="str">
        <f aca="false">IF(P2016="","",IFERROR(IF(AND(H2016="W7",OR(F2016="causal",F2016="predictive")),IF(AND(K2016=1,L2016=1,M2016=1),"adequate","partial"),INDEX(Fit_Matrix!$B:$B,MATCH(P2016,Fit_Matrix!$A:$A,0))),"CHECK KEY"))</f>
        <v/>
      </c>
    </row>
    <row r="2017" customFormat="false" ht="15" hidden="false" customHeight="true" outlineLevel="0" collapsed="false">
      <c r="P2017" s="1" t="str">
        <f aca="false">IF(OR(F2017="",H2017="",J2017=""),"",J2017&amp;"|"&amp;F2017&amp;"|"&amp;IF(H2017="W3","W3_"&amp;IF(I2017="","unknown",I2017),H2017))</f>
        <v/>
      </c>
      <c r="Q2017" s="1" t="str">
        <f aca="false">IF(P2017="","",IFERROR(IF(AND(H2017="W7",OR(F2017="causal",F2017="predictive")),IF(AND(K2017=1,L2017=1,M2017=1),"adequate","partial"),INDEX(Fit_Matrix!$B:$B,MATCH(P2017,Fit_Matrix!$A:$A,0))),"CHECK KEY"))</f>
        <v/>
      </c>
    </row>
    <row r="2018" customFormat="false" ht="15" hidden="false" customHeight="true" outlineLevel="0" collapsed="false">
      <c r="P2018" s="1" t="str">
        <f aca="false">IF(OR(F2018="",H2018="",J2018=""),"",J2018&amp;"|"&amp;F2018&amp;"|"&amp;IF(H2018="W3","W3_"&amp;IF(I2018="","unknown",I2018),H2018))</f>
        <v/>
      </c>
      <c r="Q2018" s="1" t="str">
        <f aca="false">IF(P2018="","",IFERROR(IF(AND(H2018="W7",OR(F2018="causal",F2018="predictive")),IF(AND(K2018=1,L2018=1,M2018=1),"adequate","partial"),INDEX(Fit_Matrix!$B:$B,MATCH(P2018,Fit_Matrix!$A:$A,0))),"CHECK KEY"))</f>
        <v/>
      </c>
    </row>
    <row r="2019" customFormat="false" ht="15" hidden="false" customHeight="true" outlineLevel="0" collapsed="false">
      <c r="P2019" s="1" t="str">
        <f aca="false">IF(OR(F2019="",H2019="",J2019=""),"",J2019&amp;"|"&amp;F2019&amp;"|"&amp;IF(H2019="W3","W3_"&amp;IF(I2019="","unknown",I2019),H2019))</f>
        <v/>
      </c>
      <c r="Q2019" s="1" t="str">
        <f aca="false">IF(P2019="","",IFERROR(IF(AND(H2019="W7",OR(F2019="causal",F2019="predictive")),IF(AND(K2019=1,L2019=1,M2019=1),"adequate","partial"),INDEX(Fit_Matrix!$B:$B,MATCH(P2019,Fit_Matrix!$A:$A,0))),"CHECK KEY"))</f>
        <v/>
      </c>
    </row>
    <row r="2020" customFormat="false" ht="15" hidden="false" customHeight="true" outlineLevel="0" collapsed="false">
      <c r="P2020" s="1" t="str">
        <f aca="false">IF(OR(F2020="",H2020="",J2020=""),"",J2020&amp;"|"&amp;F2020&amp;"|"&amp;IF(H2020="W3","W3_"&amp;IF(I2020="","unknown",I2020),H2020))</f>
        <v/>
      </c>
      <c r="Q2020" s="1" t="str">
        <f aca="false">IF(P2020="","",IFERROR(IF(AND(H2020="W7",OR(F2020="causal",F2020="predictive")),IF(AND(K2020=1,L2020=1,M2020=1),"adequate","partial"),INDEX(Fit_Matrix!$B:$B,MATCH(P2020,Fit_Matrix!$A:$A,0))),"CHECK KEY"))</f>
        <v/>
      </c>
    </row>
    <row r="2021" customFormat="false" ht="15" hidden="false" customHeight="true" outlineLevel="0" collapsed="false">
      <c r="P2021" s="1" t="str">
        <f aca="false">IF(OR(F2021="",H2021="",J2021=""),"",J2021&amp;"|"&amp;F2021&amp;"|"&amp;IF(H2021="W3","W3_"&amp;IF(I2021="","unknown",I2021),H2021))</f>
        <v/>
      </c>
      <c r="Q2021" s="1" t="str">
        <f aca="false">IF(P2021="","",IFERROR(IF(AND(H2021="W7",OR(F2021="causal",F2021="predictive")),IF(AND(K2021=1,L2021=1,M2021=1),"adequate","partial"),INDEX(Fit_Matrix!$B:$B,MATCH(P2021,Fit_Matrix!$A:$A,0))),"CHECK KEY"))</f>
        <v/>
      </c>
    </row>
    <row r="2022" customFormat="false" ht="15" hidden="false" customHeight="true" outlineLevel="0" collapsed="false">
      <c r="P2022" s="1" t="str">
        <f aca="false">IF(OR(F2022="",H2022="",J2022=""),"",J2022&amp;"|"&amp;F2022&amp;"|"&amp;IF(H2022="W3","W3_"&amp;IF(I2022="","unknown",I2022),H2022))</f>
        <v/>
      </c>
      <c r="Q2022" s="1" t="str">
        <f aca="false">IF(P2022="","",IFERROR(IF(AND(H2022="W7",OR(F2022="causal",F2022="predictive")),IF(AND(K2022=1,L2022=1,M2022=1),"adequate","partial"),INDEX(Fit_Matrix!$B:$B,MATCH(P2022,Fit_Matrix!$A:$A,0))),"CHECK KEY"))</f>
        <v/>
      </c>
    </row>
    <row r="2023" customFormat="false" ht="15" hidden="false" customHeight="true" outlineLevel="0" collapsed="false">
      <c r="P2023" s="1" t="str">
        <f aca="false">IF(OR(F2023="",H2023="",J2023=""),"",J2023&amp;"|"&amp;F2023&amp;"|"&amp;IF(H2023="W3","W3_"&amp;IF(I2023="","unknown",I2023),H2023))</f>
        <v/>
      </c>
      <c r="Q2023" s="1" t="str">
        <f aca="false">IF(P2023="","",IFERROR(IF(AND(H2023="W7",OR(F2023="causal",F2023="predictive")),IF(AND(K2023=1,L2023=1,M2023=1),"adequate","partial"),INDEX(Fit_Matrix!$B:$B,MATCH(P2023,Fit_Matrix!$A:$A,0))),"CHECK KEY"))</f>
        <v/>
      </c>
    </row>
    <row r="2024" customFormat="false" ht="15" hidden="false" customHeight="true" outlineLevel="0" collapsed="false">
      <c r="P2024" s="1" t="str">
        <f aca="false">IF(OR(F2024="",H2024="",J2024=""),"",J2024&amp;"|"&amp;F2024&amp;"|"&amp;IF(H2024="W3","W3_"&amp;IF(I2024="","unknown",I2024),H2024))</f>
        <v/>
      </c>
      <c r="Q2024" s="1" t="str">
        <f aca="false">IF(P2024="","",IFERROR(IF(AND(H2024="W7",OR(F2024="causal",F2024="predictive")),IF(AND(K2024=1,L2024=1,M2024=1),"adequate","partial"),INDEX(Fit_Matrix!$B:$B,MATCH(P2024,Fit_Matrix!$A:$A,0))),"CHECK KEY"))</f>
        <v/>
      </c>
    </row>
    <row r="2025" customFormat="false" ht="15" hidden="false" customHeight="true" outlineLevel="0" collapsed="false">
      <c r="P2025" s="1" t="str">
        <f aca="false">IF(OR(F2025="",H2025="",J2025=""),"",J2025&amp;"|"&amp;F2025&amp;"|"&amp;IF(H2025="W3","W3_"&amp;IF(I2025="","unknown",I2025),H2025))</f>
        <v/>
      </c>
      <c r="Q2025" s="1" t="str">
        <f aca="false">IF(P2025="","",IFERROR(IF(AND(H2025="W7",OR(F2025="causal",F2025="predictive")),IF(AND(K2025=1,L2025=1,M2025=1),"adequate","partial"),INDEX(Fit_Matrix!$B:$B,MATCH(P2025,Fit_Matrix!$A:$A,0))),"CHECK KEY"))</f>
        <v/>
      </c>
    </row>
    <row r="2026" customFormat="false" ht="15" hidden="false" customHeight="true" outlineLevel="0" collapsed="false">
      <c r="P2026" s="1" t="str">
        <f aca="false">IF(OR(F2026="",H2026="",J2026=""),"",J2026&amp;"|"&amp;F2026&amp;"|"&amp;IF(H2026="W3","W3_"&amp;IF(I2026="","unknown",I2026),H2026))</f>
        <v/>
      </c>
      <c r="Q2026" s="1" t="str">
        <f aca="false">IF(P2026="","",IFERROR(IF(AND(H2026="W7",OR(F2026="causal",F2026="predictive")),IF(AND(K2026=1,L2026=1,M2026=1),"adequate","partial"),INDEX(Fit_Matrix!$B:$B,MATCH(P2026,Fit_Matrix!$A:$A,0))),"CHECK KEY"))</f>
        <v/>
      </c>
    </row>
    <row r="2027" customFormat="false" ht="15" hidden="false" customHeight="true" outlineLevel="0" collapsed="false">
      <c r="P2027" s="1" t="str">
        <f aca="false">IF(OR(F2027="",H2027="",J2027=""),"",J2027&amp;"|"&amp;F2027&amp;"|"&amp;IF(H2027="W3","W3_"&amp;IF(I2027="","unknown",I2027),H2027))</f>
        <v/>
      </c>
      <c r="Q2027" s="1" t="str">
        <f aca="false">IF(P2027="","",IFERROR(IF(AND(H2027="W7",OR(F2027="causal",F2027="predictive")),IF(AND(K2027=1,L2027=1,M2027=1),"adequate","partial"),INDEX(Fit_Matrix!$B:$B,MATCH(P2027,Fit_Matrix!$A:$A,0))),"CHECK KEY"))</f>
        <v/>
      </c>
    </row>
    <row r="2028" customFormat="false" ht="15" hidden="false" customHeight="true" outlineLevel="0" collapsed="false">
      <c r="P2028" s="1" t="str">
        <f aca="false">IF(OR(F2028="",H2028="",J2028=""),"",J2028&amp;"|"&amp;F2028&amp;"|"&amp;IF(H2028="W3","W3_"&amp;IF(I2028="","unknown",I2028),H2028))</f>
        <v/>
      </c>
      <c r="Q2028" s="1" t="str">
        <f aca="false">IF(P2028="","",IFERROR(IF(AND(H2028="W7",OR(F2028="causal",F2028="predictive")),IF(AND(K2028=1,L2028=1,M2028=1),"adequate","partial"),INDEX(Fit_Matrix!$B:$B,MATCH(P2028,Fit_Matrix!$A:$A,0))),"CHECK KEY"))</f>
        <v/>
      </c>
    </row>
    <row r="2029" customFormat="false" ht="15" hidden="false" customHeight="true" outlineLevel="0" collapsed="false">
      <c r="P2029" s="1" t="str">
        <f aca="false">IF(OR(F2029="",H2029="",J2029=""),"",J2029&amp;"|"&amp;F2029&amp;"|"&amp;IF(H2029="W3","W3_"&amp;IF(I2029="","unknown",I2029),H2029))</f>
        <v/>
      </c>
      <c r="Q2029" s="1" t="str">
        <f aca="false">IF(P2029="","",IFERROR(IF(AND(H2029="W7",OR(F2029="causal",F2029="predictive")),IF(AND(K2029=1,L2029=1,M2029=1),"adequate","partial"),INDEX(Fit_Matrix!$B:$B,MATCH(P2029,Fit_Matrix!$A:$A,0))),"CHECK KEY"))</f>
        <v/>
      </c>
    </row>
    <row r="2030" customFormat="false" ht="15" hidden="false" customHeight="true" outlineLevel="0" collapsed="false">
      <c r="P2030" s="1" t="str">
        <f aca="false">IF(OR(F2030="",H2030="",J2030=""),"",J2030&amp;"|"&amp;F2030&amp;"|"&amp;IF(H2030="W3","W3_"&amp;IF(I2030="","unknown",I2030),H2030))</f>
        <v/>
      </c>
      <c r="Q2030" s="1" t="str">
        <f aca="false">IF(P2030="","",IFERROR(IF(AND(H2030="W7",OR(F2030="causal",F2030="predictive")),IF(AND(K2030=1,L2030=1,M2030=1),"adequate","partial"),INDEX(Fit_Matrix!$B:$B,MATCH(P2030,Fit_Matrix!$A:$A,0))),"CHECK KEY"))</f>
        <v/>
      </c>
    </row>
    <row r="2031" customFormat="false" ht="15" hidden="false" customHeight="true" outlineLevel="0" collapsed="false">
      <c r="P2031" s="1" t="str">
        <f aca="false">IF(OR(F2031="",H2031="",J2031=""),"",J2031&amp;"|"&amp;F2031&amp;"|"&amp;IF(H2031="W3","W3_"&amp;IF(I2031="","unknown",I2031),H2031))</f>
        <v/>
      </c>
      <c r="Q2031" s="1" t="str">
        <f aca="false">IF(P2031="","",IFERROR(IF(AND(H2031="W7",OR(F2031="causal",F2031="predictive")),IF(AND(K2031=1,L2031=1,M2031=1),"adequate","partial"),INDEX(Fit_Matrix!$B:$B,MATCH(P2031,Fit_Matrix!$A:$A,0))),"CHECK KEY"))</f>
        <v/>
      </c>
    </row>
    <row r="2032" customFormat="false" ht="15" hidden="false" customHeight="true" outlineLevel="0" collapsed="false">
      <c r="P2032" s="1" t="str">
        <f aca="false">IF(OR(F2032="",H2032="",J2032=""),"",J2032&amp;"|"&amp;F2032&amp;"|"&amp;IF(H2032="W3","W3_"&amp;IF(I2032="","unknown",I2032),H2032))</f>
        <v/>
      </c>
      <c r="Q2032" s="1" t="str">
        <f aca="false">IF(P2032="","",IFERROR(IF(AND(H2032="W7",OR(F2032="causal",F2032="predictive")),IF(AND(K2032=1,L2032=1,M2032=1),"adequate","partial"),INDEX(Fit_Matrix!$B:$B,MATCH(P2032,Fit_Matrix!$A:$A,0))),"CHECK KEY"))</f>
        <v/>
      </c>
    </row>
    <row r="2033" customFormat="false" ht="15" hidden="false" customHeight="true" outlineLevel="0" collapsed="false">
      <c r="P2033" s="1" t="str">
        <f aca="false">IF(OR(F2033="",H2033="",J2033=""),"",J2033&amp;"|"&amp;F2033&amp;"|"&amp;IF(H2033="W3","W3_"&amp;IF(I2033="","unknown",I2033),H2033))</f>
        <v/>
      </c>
      <c r="Q2033" s="1" t="str">
        <f aca="false">IF(P2033="","",IFERROR(IF(AND(H2033="W7",OR(F2033="causal",F2033="predictive")),IF(AND(K2033=1,L2033=1,M2033=1),"adequate","partial"),INDEX(Fit_Matrix!$B:$B,MATCH(P2033,Fit_Matrix!$A:$A,0))),"CHECK KEY"))</f>
        <v/>
      </c>
    </row>
    <row r="2034" customFormat="false" ht="15" hidden="false" customHeight="true" outlineLevel="0" collapsed="false">
      <c r="P2034" s="1" t="str">
        <f aca="false">IF(OR(F2034="",H2034="",J2034=""),"",J2034&amp;"|"&amp;F2034&amp;"|"&amp;IF(H2034="W3","W3_"&amp;IF(I2034="","unknown",I2034),H2034))</f>
        <v/>
      </c>
      <c r="Q2034" s="1" t="str">
        <f aca="false">IF(P2034="","",IFERROR(IF(AND(H2034="W7",OR(F2034="causal",F2034="predictive")),IF(AND(K2034=1,L2034=1,M2034=1),"adequate","partial"),INDEX(Fit_Matrix!$B:$B,MATCH(P2034,Fit_Matrix!$A:$A,0))),"CHECK KEY"))</f>
        <v/>
      </c>
    </row>
    <row r="2035" customFormat="false" ht="15" hidden="false" customHeight="true" outlineLevel="0" collapsed="false">
      <c r="P2035" s="1" t="str">
        <f aca="false">IF(OR(F2035="",H2035="",J2035=""),"",J2035&amp;"|"&amp;F2035&amp;"|"&amp;IF(H2035="W3","W3_"&amp;IF(I2035="","unknown",I2035),H2035))</f>
        <v/>
      </c>
      <c r="Q2035" s="1" t="str">
        <f aca="false">IF(P2035="","",IFERROR(IF(AND(H2035="W7",OR(F2035="causal",F2035="predictive")),IF(AND(K2035=1,L2035=1,M2035=1),"adequate","partial"),INDEX(Fit_Matrix!$B:$B,MATCH(P2035,Fit_Matrix!$A:$A,0))),"CHECK KEY"))</f>
        <v/>
      </c>
    </row>
    <row r="2036" customFormat="false" ht="15" hidden="false" customHeight="true" outlineLevel="0" collapsed="false">
      <c r="P2036" s="1" t="str">
        <f aca="false">IF(OR(F2036="",H2036="",J2036=""),"",J2036&amp;"|"&amp;F2036&amp;"|"&amp;IF(H2036="W3","W3_"&amp;IF(I2036="","unknown",I2036),H2036))</f>
        <v/>
      </c>
      <c r="Q2036" s="1" t="str">
        <f aca="false">IF(P2036="","",IFERROR(IF(AND(H2036="W7",OR(F2036="causal",F2036="predictive")),IF(AND(K2036=1,L2036=1,M2036=1),"adequate","partial"),INDEX(Fit_Matrix!$B:$B,MATCH(P2036,Fit_Matrix!$A:$A,0))),"CHECK KEY"))</f>
        <v/>
      </c>
    </row>
    <row r="2037" customFormat="false" ht="15" hidden="false" customHeight="true" outlineLevel="0" collapsed="false">
      <c r="P2037" s="1" t="str">
        <f aca="false">IF(OR(F2037="",H2037="",J2037=""),"",J2037&amp;"|"&amp;F2037&amp;"|"&amp;IF(H2037="W3","W3_"&amp;IF(I2037="","unknown",I2037),H2037))</f>
        <v/>
      </c>
      <c r="Q2037" s="1" t="str">
        <f aca="false">IF(P2037="","",IFERROR(IF(AND(H2037="W7",OR(F2037="causal",F2037="predictive")),IF(AND(K2037=1,L2037=1,M2037=1),"adequate","partial"),INDEX(Fit_Matrix!$B:$B,MATCH(P2037,Fit_Matrix!$A:$A,0))),"CHECK KEY"))</f>
        <v/>
      </c>
    </row>
    <row r="2038" customFormat="false" ht="15" hidden="false" customHeight="true" outlineLevel="0" collapsed="false">
      <c r="P2038" s="1" t="str">
        <f aca="false">IF(OR(F2038="",H2038="",J2038=""),"",J2038&amp;"|"&amp;F2038&amp;"|"&amp;IF(H2038="W3","W3_"&amp;IF(I2038="","unknown",I2038),H2038))</f>
        <v/>
      </c>
      <c r="Q2038" s="1" t="str">
        <f aca="false">IF(P2038="","",IFERROR(IF(AND(H2038="W7",OR(F2038="causal",F2038="predictive")),IF(AND(K2038=1,L2038=1,M2038=1),"adequate","partial"),INDEX(Fit_Matrix!$B:$B,MATCH(P2038,Fit_Matrix!$A:$A,0))),"CHECK KEY"))</f>
        <v/>
      </c>
    </row>
    <row r="2039" customFormat="false" ht="15" hidden="false" customHeight="true" outlineLevel="0" collapsed="false">
      <c r="P2039" s="1" t="str">
        <f aca="false">IF(OR(F2039="",H2039="",J2039=""),"",J2039&amp;"|"&amp;F2039&amp;"|"&amp;IF(H2039="W3","W3_"&amp;IF(I2039="","unknown",I2039),H2039))</f>
        <v/>
      </c>
      <c r="Q2039" s="1" t="str">
        <f aca="false">IF(P2039="","",IFERROR(IF(AND(H2039="W7",OR(F2039="causal",F2039="predictive")),IF(AND(K2039=1,L2039=1,M2039=1),"adequate","partial"),INDEX(Fit_Matrix!$B:$B,MATCH(P2039,Fit_Matrix!$A:$A,0))),"CHECK KEY"))</f>
        <v/>
      </c>
    </row>
    <row r="2040" customFormat="false" ht="15" hidden="false" customHeight="true" outlineLevel="0" collapsed="false">
      <c r="P2040" s="1" t="str">
        <f aca="false">IF(OR(F2040="",H2040="",J2040=""),"",J2040&amp;"|"&amp;F2040&amp;"|"&amp;IF(H2040="W3","W3_"&amp;IF(I2040="","unknown",I2040),H2040))</f>
        <v/>
      </c>
      <c r="Q2040" s="1" t="str">
        <f aca="false">IF(P2040="","",IFERROR(IF(AND(H2040="W7",OR(F2040="causal",F2040="predictive")),IF(AND(K2040=1,L2040=1,M2040=1),"adequate","partial"),INDEX(Fit_Matrix!$B:$B,MATCH(P2040,Fit_Matrix!$A:$A,0))),"CHECK KEY"))</f>
        <v/>
      </c>
    </row>
    <row r="2041" customFormat="false" ht="15" hidden="false" customHeight="true" outlineLevel="0" collapsed="false">
      <c r="P2041" s="1" t="str">
        <f aca="false">IF(OR(F2041="",H2041="",J2041=""),"",J2041&amp;"|"&amp;F2041&amp;"|"&amp;IF(H2041="W3","W3_"&amp;IF(I2041="","unknown",I2041),H2041))</f>
        <v/>
      </c>
      <c r="Q2041" s="1" t="str">
        <f aca="false">IF(P2041="","",IFERROR(IF(AND(H2041="W7",OR(F2041="causal",F2041="predictive")),IF(AND(K2041=1,L2041=1,M2041=1),"adequate","partial"),INDEX(Fit_Matrix!$B:$B,MATCH(P2041,Fit_Matrix!$A:$A,0))),"CHECK KEY"))</f>
        <v/>
      </c>
    </row>
    <row r="2042" customFormat="false" ht="15" hidden="false" customHeight="true" outlineLevel="0" collapsed="false">
      <c r="P2042" s="1" t="str">
        <f aca="false">IF(OR(F2042="",H2042="",J2042=""),"",J2042&amp;"|"&amp;F2042&amp;"|"&amp;IF(H2042="W3","W3_"&amp;IF(I2042="","unknown",I2042),H2042))</f>
        <v/>
      </c>
      <c r="Q2042" s="1" t="str">
        <f aca="false">IF(P2042="","",IFERROR(IF(AND(H2042="W7",OR(F2042="causal",F2042="predictive")),IF(AND(K2042=1,L2042=1,M2042=1),"adequate","partial"),INDEX(Fit_Matrix!$B:$B,MATCH(P2042,Fit_Matrix!$A:$A,0))),"CHECK KEY"))</f>
        <v/>
      </c>
    </row>
    <row r="2043" customFormat="false" ht="15" hidden="false" customHeight="true" outlineLevel="0" collapsed="false">
      <c r="P2043" s="1" t="str">
        <f aca="false">IF(OR(F2043="",H2043="",J2043=""),"",J2043&amp;"|"&amp;F2043&amp;"|"&amp;IF(H2043="W3","W3_"&amp;IF(I2043="","unknown",I2043),H2043))</f>
        <v/>
      </c>
      <c r="Q2043" s="1" t="str">
        <f aca="false">IF(P2043="","",IFERROR(IF(AND(H2043="W7",OR(F2043="causal",F2043="predictive")),IF(AND(K2043=1,L2043=1,M2043=1),"adequate","partial"),INDEX(Fit_Matrix!$B:$B,MATCH(P2043,Fit_Matrix!$A:$A,0))),"CHECK KEY"))</f>
        <v/>
      </c>
    </row>
    <row r="2044" customFormat="false" ht="15" hidden="false" customHeight="true" outlineLevel="0" collapsed="false">
      <c r="P2044" s="1" t="str">
        <f aca="false">IF(OR(F2044="",H2044="",J2044=""),"",J2044&amp;"|"&amp;F2044&amp;"|"&amp;IF(H2044="W3","W3_"&amp;IF(I2044="","unknown",I2044),H2044))</f>
        <v/>
      </c>
      <c r="Q2044" s="1" t="str">
        <f aca="false">IF(P2044="","",IFERROR(IF(AND(H2044="W7",OR(F2044="causal",F2044="predictive")),IF(AND(K2044=1,L2044=1,M2044=1),"adequate","partial"),INDEX(Fit_Matrix!$B:$B,MATCH(P2044,Fit_Matrix!$A:$A,0))),"CHECK KEY"))</f>
        <v/>
      </c>
    </row>
    <row r="2045" customFormat="false" ht="15" hidden="false" customHeight="true" outlineLevel="0" collapsed="false">
      <c r="P2045" s="1" t="str">
        <f aca="false">IF(OR(F2045="",H2045="",J2045=""),"",J2045&amp;"|"&amp;F2045&amp;"|"&amp;IF(H2045="W3","W3_"&amp;IF(I2045="","unknown",I2045),H2045))</f>
        <v/>
      </c>
      <c r="Q2045" s="1" t="str">
        <f aca="false">IF(P2045="","",IFERROR(IF(AND(H2045="W7",OR(F2045="causal",F2045="predictive")),IF(AND(K2045=1,L2045=1,M2045=1),"adequate","partial"),INDEX(Fit_Matrix!$B:$B,MATCH(P2045,Fit_Matrix!$A:$A,0))),"CHECK KEY"))</f>
        <v/>
      </c>
    </row>
    <row r="2046" customFormat="false" ht="15" hidden="false" customHeight="true" outlineLevel="0" collapsed="false">
      <c r="P2046" s="1" t="str">
        <f aca="false">IF(OR(F2046="",H2046="",J2046=""),"",J2046&amp;"|"&amp;F2046&amp;"|"&amp;IF(H2046="W3","W3_"&amp;IF(I2046="","unknown",I2046),H2046))</f>
        <v/>
      </c>
      <c r="Q2046" s="1" t="str">
        <f aca="false">IF(P2046="","",IFERROR(IF(AND(H2046="W7",OR(F2046="causal",F2046="predictive")),IF(AND(K2046=1,L2046=1,M2046=1),"adequate","partial"),INDEX(Fit_Matrix!$B:$B,MATCH(P2046,Fit_Matrix!$A:$A,0))),"CHECK KEY"))</f>
        <v/>
      </c>
    </row>
    <row r="2047" customFormat="false" ht="15" hidden="false" customHeight="true" outlineLevel="0" collapsed="false">
      <c r="P2047" s="1" t="str">
        <f aca="false">IF(OR(F2047="",H2047="",J2047=""),"",J2047&amp;"|"&amp;F2047&amp;"|"&amp;IF(H2047="W3","W3_"&amp;IF(I2047="","unknown",I2047),H2047))</f>
        <v/>
      </c>
      <c r="Q2047" s="1" t="str">
        <f aca="false">IF(P2047="","",IFERROR(IF(AND(H2047="W7",OR(F2047="causal",F2047="predictive")),IF(AND(K2047=1,L2047=1,M2047=1),"adequate","partial"),INDEX(Fit_Matrix!$B:$B,MATCH(P2047,Fit_Matrix!$A:$A,0))),"CHECK KEY"))</f>
        <v/>
      </c>
    </row>
    <row r="2048" customFormat="false" ht="15" hidden="false" customHeight="true" outlineLevel="0" collapsed="false">
      <c r="P2048" s="1" t="str">
        <f aca="false">IF(OR(F2048="",H2048="",J2048=""),"",J2048&amp;"|"&amp;F2048&amp;"|"&amp;IF(H2048="W3","W3_"&amp;IF(I2048="","unknown",I2048),H2048))</f>
        <v/>
      </c>
      <c r="Q2048" s="1" t="str">
        <f aca="false">IF(P2048="","",IFERROR(IF(AND(H2048="W7",OR(F2048="causal",F2048="predictive")),IF(AND(K2048=1,L2048=1,M2048=1),"adequate","partial"),INDEX(Fit_Matrix!$B:$B,MATCH(P2048,Fit_Matrix!$A:$A,0))),"CHECK KEY"))</f>
        <v/>
      </c>
    </row>
    <row r="2049" customFormat="false" ht="15" hidden="false" customHeight="true" outlineLevel="0" collapsed="false">
      <c r="P2049" s="1" t="str">
        <f aca="false">IF(OR(F2049="",H2049="",J2049=""),"",J2049&amp;"|"&amp;F2049&amp;"|"&amp;IF(H2049="W3","W3_"&amp;IF(I2049="","unknown",I2049),H2049))</f>
        <v/>
      </c>
      <c r="Q2049" s="1" t="str">
        <f aca="false">IF(P2049="","",IFERROR(IF(AND(H2049="W7",OR(F2049="causal",F2049="predictive")),IF(AND(K2049=1,L2049=1,M2049=1),"adequate","partial"),INDEX(Fit_Matrix!$B:$B,MATCH(P2049,Fit_Matrix!$A:$A,0))),"CHECK KEY"))</f>
        <v/>
      </c>
    </row>
    <row r="2050" customFormat="false" ht="15" hidden="false" customHeight="true" outlineLevel="0" collapsed="false">
      <c r="P2050" s="1" t="str">
        <f aca="false">IF(OR(F2050="",H2050="",J2050=""),"",J2050&amp;"|"&amp;F2050&amp;"|"&amp;IF(H2050="W3","W3_"&amp;IF(I2050="","unknown",I2050),H2050))</f>
        <v/>
      </c>
      <c r="Q2050" s="1" t="str">
        <f aca="false">IF(P2050="","",IFERROR(IF(AND(H2050="W7",OR(F2050="causal",F2050="predictive")),IF(AND(K2050=1,L2050=1,M2050=1),"adequate","partial"),INDEX(Fit_Matrix!$B:$B,MATCH(P2050,Fit_Matrix!$A:$A,0))),"CHECK KEY"))</f>
        <v/>
      </c>
    </row>
    <row r="2051" customFormat="false" ht="15" hidden="false" customHeight="true" outlineLevel="0" collapsed="false">
      <c r="P2051" s="1" t="str">
        <f aca="false">IF(OR(F2051="",H2051="",J2051=""),"",J2051&amp;"|"&amp;F2051&amp;"|"&amp;IF(H2051="W3","W3_"&amp;IF(I2051="","unknown",I2051),H2051))</f>
        <v/>
      </c>
      <c r="Q2051" s="1" t="str">
        <f aca="false">IF(P2051="","",IFERROR(IF(AND(H2051="W7",OR(F2051="causal",F2051="predictive")),IF(AND(K2051=1,L2051=1,M2051=1),"adequate","partial"),INDEX(Fit_Matrix!$B:$B,MATCH(P2051,Fit_Matrix!$A:$A,0))),"CHECK KEY"))</f>
        <v/>
      </c>
    </row>
    <row r="2052" customFormat="false" ht="15" hidden="false" customHeight="true" outlineLevel="0" collapsed="false">
      <c r="P2052" s="1" t="str">
        <f aca="false">IF(OR(F2052="",H2052="",J2052=""),"",J2052&amp;"|"&amp;F2052&amp;"|"&amp;IF(H2052="W3","W3_"&amp;IF(I2052="","unknown",I2052),H2052))</f>
        <v/>
      </c>
      <c r="Q2052" s="1" t="str">
        <f aca="false">IF(P2052="","",IFERROR(IF(AND(H2052="W7",OR(F2052="causal",F2052="predictive")),IF(AND(K2052=1,L2052=1,M2052=1),"adequate","partial"),INDEX(Fit_Matrix!$B:$B,MATCH(P2052,Fit_Matrix!$A:$A,0))),"CHECK KEY"))</f>
        <v/>
      </c>
    </row>
    <row r="2053" customFormat="false" ht="15" hidden="false" customHeight="true" outlineLevel="0" collapsed="false">
      <c r="P2053" s="1" t="str">
        <f aca="false">IF(OR(F2053="",H2053="",J2053=""),"",J2053&amp;"|"&amp;F2053&amp;"|"&amp;IF(H2053="W3","W3_"&amp;IF(I2053="","unknown",I2053),H2053))</f>
        <v/>
      </c>
      <c r="Q2053" s="1" t="str">
        <f aca="false">IF(P2053="","",IFERROR(IF(AND(H2053="W7",OR(F2053="causal",F2053="predictive")),IF(AND(K2053=1,L2053=1,M2053=1),"adequate","partial"),INDEX(Fit_Matrix!$B:$B,MATCH(P2053,Fit_Matrix!$A:$A,0))),"CHECK KEY"))</f>
        <v/>
      </c>
    </row>
    <row r="2054" customFormat="false" ht="15" hidden="false" customHeight="true" outlineLevel="0" collapsed="false">
      <c r="P2054" s="1" t="str">
        <f aca="false">IF(OR(F2054="",H2054="",J2054=""),"",J2054&amp;"|"&amp;F2054&amp;"|"&amp;IF(H2054="W3","W3_"&amp;IF(I2054="","unknown",I2054),H2054))</f>
        <v/>
      </c>
      <c r="Q2054" s="1" t="str">
        <f aca="false">IF(P2054="","",IFERROR(IF(AND(H2054="W7",OR(F2054="causal",F2054="predictive")),IF(AND(K2054=1,L2054=1,M2054=1),"adequate","partial"),INDEX(Fit_Matrix!$B:$B,MATCH(P2054,Fit_Matrix!$A:$A,0))),"CHECK KEY"))</f>
        <v/>
      </c>
    </row>
    <row r="2055" customFormat="false" ht="15" hidden="false" customHeight="true" outlineLevel="0" collapsed="false">
      <c r="P2055" s="1" t="str">
        <f aca="false">IF(OR(F2055="",H2055="",J2055=""),"",J2055&amp;"|"&amp;F2055&amp;"|"&amp;IF(H2055="W3","W3_"&amp;IF(I2055="","unknown",I2055),H2055))</f>
        <v/>
      </c>
      <c r="Q2055" s="1" t="str">
        <f aca="false">IF(P2055="","",IFERROR(IF(AND(H2055="W7",OR(F2055="causal",F2055="predictive")),IF(AND(K2055=1,L2055=1,M2055=1),"adequate","partial"),INDEX(Fit_Matrix!$B:$B,MATCH(P2055,Fit_Matrix!$A:$A,0))),"CHECK KEY"))</f>
        <v/>
      </c>
    </row>
    <row r="2056" customFormat="false" ht="15" hidden="false" customHeight="true" outlineLevel="0" collapsed="false">
      <c r="P2056" s="1" t="str">
        <f aca="false">IF(OR(F2056="",H2056="",J2056=""),"",J2056&amp;"|"&amp;F2056&amp;"|"&amp;IF(H2056="W3","W3_"&amp;IF(I2056="","unknown",I2056),H2056))</f>
        <v/>
      </c>
      <c r="Q2056" s="1" t="str">
        <f aca="false">IF(P2056="","",IFERROR(IF(AND(H2056="W7",OR(F2056="causal",F2056="predictive")),IF(AND(K2056=1,L2056=1,M2056=1),"adequate","partial"),INDEX(Fit_Matrix!$B:$B,MATCH(P2056,Fit_Matrix!$A:$A,0))),"CHECK KEY"))</f>
        <v/>
      </c>
    </row>
    <row r="2057" customFormat="false" ht="15" hidden="false" customHeight="true" outlineLevel="0" collapsed="false">
      <c r="P2057" s="1" t="str">
        <f aca="false">IF(OR(F2057="",H2057="",J2057=""),"",J2057&amp;"|"&amp;F2057&amp;"|"&amp;IF(H2057="W3","W3_"&amp;IF(I2057="","unknown",I2057),H2057))</f>
        <v/>
      </c>
      <c r="Q2057" s="1" t="str">
        <f aca="false">IF(P2057="","",IFERROR(IF(AND(H2057="W7",OR(F2057="causal",F2057="predictive")),IF(AND(K2057=1,L2057=1,M2057=1),"adequate","partial"),INDEX(Fit_Matrix!$B:$B,MATCH(P2057,Fit_Matrix!$A:$A,0))),"CHECK KEY"))</f>
        <v/>
      </c>
    </row>
    <row r="2058" customFormat="false" ht="15" hidden="false" customHeight="true" outlineLevel="0" collapsed="false">
      <c r="P2058" s="1" t="str">
        <f aca="false">IF(OR(F2058="",H2058="",J2058=""),"",J2058&amp;"|"&amp;F2058&amp;"|"&amp;IF(H2058="W3","W3_"&amp;IF(I2058="","unknown",I2058),H2058))</f>
        <v/>
      </c>
      <c r="Q2058" s="1" t="str">
        <f aca="false">IF(P2058="","",IFERROR(IF(AND(H2058="W7",OR(F2058="causal",F2058="predictive")),IF(AND(K2058=1,L2058=1,M2058=1),"adequate","partial"),INDEX(Fit_Matrix!$B:$B,MATCH(P2058,Fit_Matrix!$A:$A,0))),"CHECK KEY"))</f>
        <v/>
      </c>
    </row>
    <row r="2059" customFormat="false" ht="15" hidden="false" customHeight="true" outlineLevel="0" collapsed="false">
      <c r="P2059" s="1" t="str">
        <f aca="false">IF(OR(F2059="",H2059="",J2059=""),"",J2059&amp;"|"&amp;F2059&amp;"|"&amp;IF(H2059="W3","W3_"&amp;IF(I2059="","unknown",I2059),H2059))</f>
        <v/>
      </c>
      <c r="Q2059" s="1" t="str">
        <f aca="false">IF(P2059="","",IFERROR(IF(AND(H2059="W7",OR(F2059="causal",F2059="predictive")),IF(AND(K2059=1,L2059=1,M2059=1),"adequate","partial"),INDEX(Fit_Matrix!$B:$B,MATCH(P2059,Fit_Matrix!$A:$A,0))),"CHECK KEY"))</f>
        <v/>
      </c>
    </row>
    <row r="2060" customFormat="false" ht="15" hidden="false" customHeight="true" outlineLevel="0" collapsed="false">
      <c r="P2060" s="1" t="str">
        <f aca="false">IF(OR(F2060="",H2060="",J2060=""),"",J2060&amp;"|"&amp;F2060&amp;"|"&amp;IF(H2060="W3","W3_"&amp;IF(I2060="","unknown",I2060),H2060))</f>
        <v/>
      </c>
      <c r="Q2060" s="1" t="str">
        <f aca="false">IF(P2060="","",IFERROR(IF(AND(H2060="W7",OR(F2060="causal",F2060="predictive")),IF(AND(K2060=1,L2060=1,M2060=1),"adequate","partial"),INDEX(Fit_Matrix!$B:$B,MATCH(P2060,Fit_Matrix!$A:$A,0))),"CHECK KEY"))</f>
        <v/>
      </c>
    </row>
    <row r="2061" customFormat="false" ht="15" hidden="false" customHeight="true" outlineLevel="0" collapsed="false">
      <c r="P2061" s="1" t="str">
        <f aca="false">IF(OR(F2061="",H2061="",J2061=""),"",J2061&amp;"|"&amp;F2061&amp;"|"&amp;IF(H2061="W3","W3_"&amp;IF(I2061="","unknown",I2061),H2061))</f>
        <v/>
      </c>
      <c r="Q2061" s="1" t="str">
        <f aca="false">IF(P2061="","",IFERROR(IF(AND(H2061="W7",OR(F2061="causal",F2061="predictive")),IF(AND(K2061=1,L2061=1,M2061=1),"adequate","partial"),INDEX(Fit_Matrix!$B:$B,MATCH(P2061,Fit_Matrix!$A:$A,0))),"CHECK KEY"))</f>
        <v/>
      </c>
    </row>
    <row r="2062" customFormat="false" ht="15" hidden="false" customHeight="true" outlineLevel="0" collapsed="false">
      <c r="P2062" s="1" t="str">
        <f aca="false">IF(OR(F2062="",H2062="",J2062=""),"",J2062&amp;"|"&amp;F2062&amp;"|"&amp;IF(H2062="W3","W3_"&amp;IF(I2062="","unknown",I2062),H2062))</f>
        <v/>
      </c>
      <c r="Q2062" s="1" t="str">
        <f aca="false">IF(P2062="","",IFERROR(IF(AND(H2062="W7",OR(F2062="causal",F2062="predictive")),IF(AND(K2062=1,L2062=1,M2062=1),"adequate","partial"),INDEX(Fit_Matrix!$B:$B,MATCH(P2062,Fit_Matrix!$A:$A,0))),"CHECK KEY"))</f>
        <v/>
      </c>
    </row>
    <row r="2063" customFormat="false" ht="15" hidden="false" customHeight="true" outlineLevel="0" collapsed="false">
      <c r="P2063" s="1" t="str">
        <f aca="false">IF(OR(F2063="",H2063="",J2063=""),"",J2063&amp;"|"&amp;F2063&amp;"|"&amp;IF(H2063="W3","W3_"&amp;IF(I2063="","unknown",I2063),H2063))</f>
        <v/>
      </c>
      <c r="Q2063" s="1" t="str">
        <f aca="false">IF(P2063="","",IFERROR(IF(AND(H2063="W7",OR(F2063="causal",F2063="predictive")),IF(AND(K2063=1,L2063=1,M2063=1),"adequate","partial"),INDEX(Fit_Matrix!$B:$B,MATCH(P2063,Fit_Matrix!$A:$A,0))),"CHECK KEY"))</f>
        <v/>
      </c>
    </row>
    <row r="2064" customFormat="false" ht="15" hidden="false" customHeight="true" outlineLevel="0" collapsed="false">
      <c r="P2064" s="1" t="str">
        <f aca="false">IF(OR(F2064="",H2064="",J2064=""),"",J2064&amp;"|"&amp;F2064&amp;"|"&amp;IF(H2064="W3","W3_"&amp;IF(I2064="","unknown",I2064),H2064))</f>
        <v/>
      </c>
      <c r="Q2064" s="1" t="str">
        <f aca="false">IF(P2064="","",IFERROR(IF(AND(H2064="W7",OR(F2064="causal",F2064="predictive")),IF(AND(K2064=1,L2064=1,M2064=1),"adequate","partial"),INDEX(Fit_Matrix!$B:$B,MATCH(P2064,Fit_Matrix!$A:$A,0))),"CHECK KEY"))</f>
        <v/>
      </c>
    </row>
    <row r="2065" customFormat="false" ht="15" hidden="false" customHeight="true" outlineLevel="0" collapsed="false">
      <c r="P2065" s="1" t="str">
        <f aca="false">IF(OR(F2065="",H2065="",J2065=""),"",J2065&amp;"|"&amp;F2065&amp;"|"&amp;IF(H2065="W3","W3_"&amp;IF(I2065="","unknown",I2065),H2065))</f>
        <v/>
      </c>
      <c r="Q2065" s="1" t="str">
        <f aca="false">IF(P2065="","",IFERROR(IF(AND(H2065="W7",OR(F2065="causal",F2065="predictive")),IF(AND(K2065=1,L2065=1,M2065=1),"adequate","partial"),INDEX(Fit_Matrix!$B:$B,MATCH(P2065,Fit_Matrix!$A:$A,0))),"CHECK KEY"))</f>
        <v/>
      </c>
    </row>
    <row r="2066" customFormat="false" ht="15" hidden="false" customHeight="true" outlineLevel="0" collapsed="false">
      <c r="P2066" s="1" t="str">
        <f aca="false">IF(OR(F2066="",H2066="",J2066=""),"",J2066&amp;"|"&amp;F2066&amp;"|"&amp;IF(H2066="W3","W3_"&amp;IF(I2066="","unknown",I2066),H2066))</f>
        <v/>
      </c>
      <c r="Q2066" s="1" t="str">
        <f aca="false">IF(P2066="","",IFERROR(IF(AND(H2066="W7",OR(F2066="causal",F2066="predictive")),IF(AND(K2066=1,L2066=1,M2066=1),"adequate","partial"),INDEX(Fit_Matrix!$B:$B,MATCH(P2066,Fit_Matrix!$A:$A,0))),"CHECK KEY"))</f>
        <v/>
      </c>
    </row>
    <row r="2067" customFormat="false" ht="15" hidden="false" customHeight="true" outlineLevel="0" collapsed="false">
      <c r="P2067" s="1" t="str">
        <f aca="false">IF(OR(F2067="",H2067="",J2067=""),"",J2067&amp;"|"&amp;F2067&amp;"|"&amp;IF(H2067="W3","W3_"&amp;IF(I2067="","unknown",I2067),H2067))</f>
        <v/>
      </c>
      <c r="Q2067" s="1" t="str">
        <f aca="false">IF(P2067="","",IFERROR(IF(AND(H2067="W7",OR(F2067="causal",F2067="predictive")),IF(AND(K2067=1,L2067=1,M2067=1),"adequate","partial"),INDEX(Fit_Matrix!$B:$B,MATCH(P2067,Fit_Matrix!$A:$A,0))),"CHECK KEY"))</f>
        <v/>
      </c>
    </row>
    <row r="2068" customFormat="false" ht="15" hidden="false" customHeight="true" outlineLevel="0" collapsed="false">
      <c r="P2068" s="1" t="str">
        <f aca="false">IF(OR(F2068="",H2068="",J2068=""),"",J2068&amp;"|"&amp;F2068&amp;"|"&amp;IF(H2068="W3","W3_"&amp;IF(I2068="","unknown",I2068),H2068))</f>
        <v/>
      </c>
      <c r="Q2068" s="1" t="str">
        <f aca="false">IF(P2068="","",IFERROR(IF(AND(H2068="W7",OR(F2068="causal",F2068="predictive")),IF(AND(K2068=1,L2068=1,M2068=1),"adequate","partial"),INDEX(Fit_Matrix!$B:$B,MATCH(P2068,Fit_Matrix!$A:$A,0))),"CHECK KEY"))</f>
        <v/>
      </c>
    </row>
    <row r="2069" customFormat="false" ht="15" hidden="false" customHeight="true" outlineLevel="0" collapsed="false">
      <c r="P2069" s="1" t="str">
        <f aca="false">IF(OR(F2069="",H2069="",J2069=""),"",J2069&amp;"|"&amp;F2069&amp;"|"&amp;IF(H2069="W3","W3_"&amp;IF(I2069="","unknown",I2069),H2069))</f>
        <v/>
      </c>
      <c r="Q2069" s="1" t="str">
        <f aca="false">IF(P2069="","",IFERROR(IF(AND(H2069="W7",OR(F2069="causal",F2069="predictive")),IF(AND(K2069=1,L2069=1,M2069=1),"adequate","partial"),INDEX(Fit_Matrix!$B:$B,MATCH(P2069,Fit_Matrix!$A:$A,0))),"CHECK KEY"))</f>
        <v/>
      </c>
    </row>
    <row r="2070" customFormat="false" ht="15" hidden="false" customHeight="true" outlineLevel="0" collapsed="false">
      <c r="P2070" s="1" t="str">
        <f aca="false">IF(OR(F2070="",H2070="",J2070=""),"",J2070&amp;"|"&amp;F2070&amp;"|"&amp;IF(H2070="W3","W3_"&amp;IF(I2070="","unknown",I2070),H2070))</f>
        <v/>
      </c>
      <c r="Q2070" s="1" t="str">
        <f aca="false">IF(P2070="","",IFERROR(IF(AND(H2070="W7",OR(F2070="causal",F2070="predictive")),IF(AND(K2070=1,L2070=1,M2070=1),"adequate","partial"),INDEX(Fit_Matrix!$B:$B,MATCH(P2070,Fit_Matrix!$A:$A,0))),"CHECK KEY"))</f>
        <v/>
      </c>
    </row>
    <row r="2071" customFormat="false" ht="15" hidden="false" customHeight="true" outlineLevel="0" collapsed="false">
      <c r="P2071" s="1" t="str">
        <f aca="false">IF(OR(F2071="",H2071="",J2071=""),"",J2071&amp;"|"&amp;F2071&amp;"|"&amp;IF(H2071="W3","W3_"&amp;IF(I2071="","unknown",I2071),H2071))</f>
        <v/>
      </c>
      <c r="Q2071" s="1" t="str">
        <f aca="false">IF(P2071="","",IFERROR(IF(AND(H2071="W7",OR(F2071="causal",F2071="predictive")),IF(AND(K2071=1,L2071=1,M2071=1),"adequate","partial"),INDEX(Fit_Matrix!$B:$B,MATCH(P2071,Fit_Matrix!$A:$A,0))),"CHECK KEY"))</f>
        <v/>
      </c>
    </row>
    <row r="2072" customFormat="false" ht="15" hidden="false" customHeight="true" outlineLevel="0" collapsed="false">
      <c r="P2072" s="1" t="str">
        <f aca="false">IF(OR(F2072="",H2072="",J2072=""),"",J2072&amp;"|"&amp;F2072&amp;"|"&amp;IF(H2072="W3","W3_"&amp;IF(I2072="","unknown",I2072),H2072))</f>
        <v/>
      </c>
      <c r="Q2072" s="1" t="str">
        <f aca="false">IF(P2072="","",IFERROR(IF(AND(H2072="W7",OR(F2072="causal",F2072="predictive")),IF(AND(K2072=1,L2072=1,M2072=1),"adequate","partial"),INDEX(Fit_Matrix!$B:$B,MATCH(P2072,Fit_Matrix!$A:$A,0))),"CHECK KEY"))</f>
        <v/>
      </c>
    </row>
    <row r="2073" customFormat="false" ht="15" hidden="false" customHeight="true" outlineLevel="0" collapsed="false">
      <c r="P2073" s="1" t="str">
        <f aca="false">IF(OR(F2073="",H2073="",J2073=""),"",J2073&amp;"|"&amp;F2073&amp;"|"&amp;IF(H2073="W3","W3_"&amp;IF(I2073="","unknown",I2073),H2073))</f>
        <v/>
      </c>
      <c r="Q2073" s="1" t="str">
        <f aca="false">IF(P2073="","",IFERROR(IF(AND(H2073="W7",OR(F2073="causal",F2073="predictive")),IF(AND(K2073=1,L2073=1,M2073=1),"adequate","partial"),INDEX(Fit_Matrix!$B:$B,MATCH(P2073,Fit_Matrix!$A:$A,0))),"CHECK KEY"))</f>
        <v/>
      </c>
    </row>
    <row r="2074" customFormat="false" ht="15" hidden="false" customHeight="true" outlineLevel="0" collapsed="false">
      <c r="P2074" s="1" t="str">
        <f aca="false">IF(OR(F2074="",H2074="",J2074=""),"",J2074&amp;"|"&amp;F2074&amp;"|"&amp;IF(H2074="W3","W3_"&amp;IF(I2074="","unknown",I2074),H2074))</f>
        <v/>
      </c>
      <c r="Q2074" s="1" t="str">
        <f aca="false">IF(P2074="","",IFERROR(IF(AND(H2074="W7",OR(F2074="causal",F2074="predictive")),IF(AND(K2074=1,L2074=1,M2074=1),"adequate","partial"),INDEX(Fit_Matrix!$B:$B,MATCH(P2074,Fit_Matrix!$A:$A,0))),"CHECK KEY"))</f>
        <v/>
      </c>
    </row>
    <row r="2075" customFormat="false" ht="15" hidden="false" customHeight="true" outlineLevel="0" collapsed="false">
      <c r="P2075" s="1" t="str">
        <f aca="false">IF(OR(F2075="",H2075="",J2075=""),"",J2075&amp;"|"&amp;F2075&amp;"|"&amp;IF(H2075="W3","W3_"&amp;IF(I2075="","unknown",I2075),H2075))</f>
        <v/>
      </c>
      <c r="Q2075" s="1" t="str">
        <f aca="false">IF(P2075="","",IFERROR(IF(AND(H2075="W7",OR(F2075="causal",F2075="predictive")),IF(AND(K2075=1,L2075=1,M2075=1),"adequate","partial"),INDEX(Fit_Matrix!$B:$B,MATCH(P2075,Fit_Matrix!$A:$A,0))),"CHECK KEY"))</f>
        <v/>
      </c>
    </row>
    <row r="2076" customFormat="false" ht="15" hidden="false" customHeight="true" outlineLevel="0" collapsed="false">
      <c r="P2076" s="1" t="str">
        <f aca="false">IF(OR(F2076="",H2076="",J2076=""),"",J2076&amp;"|"&amp;F2076&amp;"|"&amp;IF(H2076="W3","W3_"&amp;IF(I2076="","unknown",I2076),H2076))</f>
        <v/>
      </c>
      <c r="Q2076" s="1" t="str">
        <f aca="false">IF(P2076="","",IFERROR(IF(AND(H2076="W7",OR(F2076="causal",F2076="predictive")),IF(AND(K2076=1,L2076=1,M2076=1),"adequate","partial"),INDEX(Fit_Matrix!$B:$B,MATCH(P2076,Fit_Matrix!$A:$A,0))),"CHECK KEY"))</f>
        <v/>
      </c>
    </row>
    <row r="2077" customFormat="false" ht="15" hidden="false" customHeight="true" outlineLevel="0" collapsed="false">
      <c r="P2077" s="1" t="str">
        <f aca="false">IF(OR(F2077="",H2077="",J2077=""),"",J2077&amp;"|"&amp;F2077&amp;"|"&amp;IF(H2077="W3","W3_"&amp;IF(I2077="","unknown",I2077),H2077))</f>
        <v/>
      </c>
      <c r="Q2077" s="1" t="str">
        <f aca="false">IF(P2077="","",IFERROR(IF(AND(H2077="W7",OR(F2077="causal",F2077="predictive")),IF(AND(K2077=1,L2077=1,M2077=1),"adequate","partial"),INDEX(Fit_Matrix!$B:$B,MATCH(P2077,Fit_Matrix!$A:$A,0))),"CHECK KEY"))</f>
        <v/>
      </c>
    </row>
    <row r="2078" customFormat="false" ht="15" hidden="false" customHeight="true" outlineLevel="0" collapsed="false">
      <c r="P2078" s="1" t="str">
        <f aca="false">IF(OR(F2078="",H2078="",J2078=""),"",J2078&amp;"|"&amp;F2078&amp;"|"&amp;IF(H2078="W3","W3_"&amp;IF(I2078="","unknown",I2078),H2078))</f>
        <v/>
      </c>
      <c r="Q2078" s="1" t="str">
        <f aca="false">IF(P2078="","",IFERROR(IF(AND(H2078="W7",OR(F2078="causal",F2078="predictive")),IF(AND(K2078=1,L2078=1,M2078=1),"adequate","partial"),INDEX(Fit_Matrix!$B:$B,MATCH(P2078,Fit_Matrix!$A:$A,0))),"CHECK KEY"))</f>
        <v/>
      </c>
    </row>
    <row r="2079" customFormat="false" ht="15" hidden="false" customHeight="true" outlineLevel="0" collapsed="false">
      <c r="P2079" s="1" t="str">
        <f aca="false">IF(OR(F2079="",H2079="",J2079=""),"",J2079&amp;"|"&amp;F2079&amp;"|"&amp;IF(H2079="W3","W3_"&amp;IF(I2079="","unknown",I2079),H2079))</f>
        <v/>
      </c>
      <c r="Q2079" s="1" t="str">
        <f aca="false">IF(P2079="","",IFERROR(IF(AND(H2079="W7",OR(F2079="causal",F2079="predictive")),IF(AND(K2079=1,L2079=1,M2079=1),"adequate","partial"),INDEX(Fit_Matrix!$B:$B,MATCH(P2079,Fit_Matrix!$A:$A,0))),"CHECK KEY"))</f>
        <v/>
      </c>
    </row>
    <row r="2080" customFormat="false" ht="15" hidden="false" customHeight="true" outlineLevel="0" collapsed="false">
      <c r="P2080" s="1" t="str">
        <f aca="false">IF(OR(F2080="",H2080="",J2080=""),"",J2080&amp;"|"&amp;F2080&amp;"|"&amp;IF(H2080="W3","W3_"&amp;IF(I2080="","unknown",I2080),H2080))</f>
        <v/>
      </c>
      <c r="Q2080" s="1" t="str">
        <f aca="false">IF(P2080="","",IFERROR(IF(AND(H2080="W7",OR(F2080="causal",F2080="predictive")),IF(AND(K2080=1,L2080=1,M2080=1),"adequate","partial"),INDEX(Fit_Matrix!$B:$B,MATCH(P2080,Fit_Matrix!$A:$A,0))),"CHECK KEY"))</f>
        <v/>
      </c>
    </row>
    <row r="2081" customFormat="false" ht="15" hidden="false" customHeight="true" outlineLevel="0" collapsed="false">
      <c r="P2081" s="1" t="str">
        <f aca="false">IF(OR(F2081="",H2081="",J2081=""),"",J2081&amp;"|"&amp;F2081&amp;"|"&amp;IF(H2081="W3","W3_"&amp;IF(I2081="","unknown",I2081),H2081))</f>
        <v/>
      </c>
      <c r="Q2081" s="1" t="str">
        <f aca="false">IF(P2081="","",IFERROR(IF(AND(H2081="W7",OR(F2081="causal",F2081="predictive")),IF(AND(K2081=1,L2081=1,M2081=1),"adequate","partial"),INDEX(Fit_Matrix!$B:$B,MATCH(P2081,Fit_Matrix!$A:$A,0))),"CHECK KEY"))</f>
        <v/>
      </c>
    </row>
    <row r="2082" customFormat="false" ht="15" hidden="false" customHeight="true" outlineLevel="0" collapsed="false">
      <c r="P2082" s="1" t="str">
        <f aca="false">IF(OR(F2082="",H2082="",J2082=""),"",J2082&amp;"|"&amp;F2082&amp;"|"&amp;IF(H2082="W3","W3_"&amp;IF(I2082="","unknown",I2082),H2082))</f>
        <v/>
      </c>
      <c r="Q2082" s="1" t="str">
        <f aca="false">IF(P2082="","",IFERROR(IF(AND(H2082="W7",OR(F2082="causal",F2082="predictive")),IF(AND(K2082=1,L2082=1,M2082=1),"adequate","partial"),INDEX(Fit_Matrix!$B:$B,MATCH(P2082,Fit_Matrix!$A:$A,0))),"CHECK KEY"))</f>
        <v/>
      </c>
    </row>
    <row r="2083" customFormat="false" ht="15" hidden="false" customHeight="true" outlineLevel="0" collapsed="false">
      <c r="P2083" s="1" t="str">
        <f aca="false">IF(OR(F2083="",H2083="",J2083=""),"",J2083&amp;"|"&amp;F2083&amp;"|"&amp;IF(H2083="W3","W3_"&amp;IF(I2083="","unknown",I2083),H2083))</f>
        <v/>
      </c>
      <c r="Q2083" s="1" t="str">
        <f aca="false">IF(P2083="","",IFERROR(IF(AND(H2083="W7",OR(F2083="causal",F2083="predictive")),IF(AND(K2083=1,L2083=1,M2083=1),"adequate","partial"),INDEX(Fit_Matrix!$B:$B,MATCH(P2083,Fit_Matrix!$A:$A,0))),"CHECK KEY"))</f>
        <v/>
      </c>
    </row>
    <row r="2084" customFormat="false" ht="15" hidden="false" customHeight="true" outlineLevel="0" collapsed="false">
      <c r="P2084" s="1" t="str">
        <f aca="false">IF(OR(F2084="",H2084="",J2084=""),"",J2084&amp;"|"&amp;F2084&amp;"|"&amp;IF(H2084="W3","W3_"&amp;IF(I2084="","unknown",I2084),H2084))</f>
        <v/>
      </c>
      <c r="Q2084" s="1" t="str">
        <f aca="false">IF(P2084="","",IFERROR(IF(AND(H2084="W7",OR(F2084="causal",F2084="predictive")),IF(AND(K2084=1,L2084=1,M2084=1),"adequate","partial"),INDEX(Fit_Matrix!$B:$B,MATCH(P2084,Fit_Matrix!$A:$A,0))),"CHECK KEY"))</f>
        <v/>
      </c>
    </row>
    <row r="2085" customFormat="false" ht="15" hidden="false" customHeight="true" outlineLevel="0" collapsed="false">
      <c r="P2085" s="1" t="str">
        <f aca="false">IF(OR(F2085="",H2085="",J2085=""),"",J2085&amp;"|"&amp;F2085&amp;"|"&amp;IF(H2085="W3","W3_"&amp;IF(I2085="","unknown",I2085),H2085))</f>
        <v/>
      </c>
      <c r="Q2085" s="1" t="str">
        <f aca="false">IF(P2085="","",IFERROR(IF(AND(H2085="W7",OR(F2085="causal",F2085="predictive")),IF(AND(K2085=1,L2085=1,M2085=1),"adequate","partial"),INDEX(Fit_Matrix!$B:$B,MATCH(P2085,Fit_Matrix!$A:$A,0))),"CHECK KEY"))</f>
        <v/>
      </c>
    </row>
    <row r="2086" customFormat="false" ht="15" hidden="false" customHeight="true" outlineLevel="0" collapsed="false">
      <c r="P2086" s="1" t="str">
        <f aca="false">IF(OR(F2086="",H2086="",J2086=""),"",J2086&amp;"|"&amp;F2086&amp;"|"&amp;IF(H2086="W3","W3_"&amp;IF(I2086="","unknown",I2086),H2086))</f>
        <v/>
      </c>
      <c r="Q2086" s="1" t="str">
        <f aca="false">IF(P2086="","",IFERROR(IF(AND(H2086="W7",OR(F2086="causal",F2086="predictive")),IF(AND(K2086=1,L2086=1,M2086=1),"adequate","partial"),INDEX(Fit_Matrix!$B:$B,MATCH(P2086,Fit_Matrix!$A:$A,0))),"CHECK KEY"))</f>
        <v/>
      </c>
    </row>
    <row r="2087" customFormat="false" ht="15" hidden="false" customHeight="true" outlineLevel="0" collapsed="false">
      <c r="P2087" s="1" t="str">
        <f aca="false">IF(OR(F2087="",H2087="",J2087=""),"",J2087&amp;"|"&amp;F2087&amp;"|"&amp;IF(H2087="W3","W3_"&amp;IF(I2087="","unknown",I2087),H2087))</f>
        <v/>
      </c>
      <c r="Q2087" s="1" t="str">
        <f aca="false">IF(P2087="","",IFERROR(IF(AND(H2087="W7",OR(F2087="causal",F2087="predictive")),IF(AND(K2087=1,L2087=1,M2087=1),"adequate","partial"),INDEX(Fit_Matrix!$B:$B,MATCH(P2087,Fit_Matrix!$A:$A,0))),"CHECK KEY"))</f>
        <v/>
      </c>
    </row>
    <row r="2088" customFormat="false" ht="15" hidden="false" customHeight="true" outlineLevel="0" collapsed="false">
      <c r="P2088" s="1" t="str">
        <f aca="false">IF(OR(F2088="",H2088="",J2088=""),"",J2088&amp;"|"&amp;F2088&amp;"|"&amp;IF(H2088="W3","W3_"&amp;IF(I2088="","unknown",I2088),H2088))</f>
        <v/>
      </c>
      <c r="Q2088" s="1" t="str">
        <f aca="false">IF(P2088="","",IFERROR(IF(AND(H2088="W7",OR(F2088="causal",F2088="predictive")),IF(AND(K2088=1,L2088=1,M2088=1),"adequate","partial"),INDEX(Fit_Matrix!$B:$B,MATCH(P2088,Fit_Matrix!$A:$A,0))),"CHECK KEY"))</f>
        <v/>
      </c>
    </row>
    <row r="2089" customFormat="false" ht="15" hidden="false" customHeight="true" outlineLevel="0" collapsed="false">
      <c r="P2089" s="1" t="str">
        <f aca="false">IF(OR(F2089="",H2089="",J2089=""),"",J2089&amp;"|"&amp;F2089&amp;"|"&amp;IF(H2089="W3","W3_"&amp;IF(I2089="","unknown",I2089),H2089))</f>
        <v/>
      </c>
      <c r="Q2089" s="1" t="str">
        <f aca="false">IF(P2089="","",IFERROR(IF(AND(H2089="W7",OR(F2089="causal",F2089="predictive")),IF(AND(K2089=1,L2089=1,M2089=1),"adequate","partial"),INDEX(Fit_Matrix!$B:$B,MATCH(P2089,Fit_Matrix!$A:$A,0))),"CHECK KEY"))</f>
        <v/>
      </c>
    </row>
    <row r="2090" customFormat="false" ht="15" hidden="false" customHeight="true" outlineLevel="0" collapsed="false">
      <c r="P2090" s="1" t="str">
        <f aca="false">IF(OR(F2090="",H2090="",J2090=""),"",J2090&amp;"|"&amp;F2090&amp;"|"&amp;IF(H2090="W3","W3_"&amp;IF(I2090="","unknown",I2090),H2090))</f>
        <v/>
      </c>
      <c r="Q2090" s="1" t="str">
        <f aca="false">IF(P2090="","",IFERROR(IF(AND(H2090="W7",OR(F2090="causal",F2090="predictive")),IF(AND(K2090=1,L2090=1,M2090=1),"adequate","partial"),INDEX(Fit_Matrix!$B:$B,MATCH(P2090,Fit_Matrix!$A:$A,0))),"CHECK KEY"))</f>
        <v/>
      </c>
    </row>
    <row r="2091" customFormat="false" ht="15" hidden="false" customHeight="true" outlineLevel="0" collapsed="false">
      <c r="P2091" s="1" t="str">
        <f aca="false">IF(OR(F2091="",H2091="",J2091=""),"",J2091&amp;"|"&amp;F2091&amp;"|"&amp;IF(H2091="W3","W3_"&amp;IF(I2091="","unknown",I2091),H2091))</f>
        <v/>
      </c>
      <c r="Q2091" s="1" t="str">
        <f aca="false">IF(P2091="","",IFERROR(IF(AND(H2091="W7",OR(F2091="causal",F2091="predictive")),IF(AND(K2091=1,L2091=1,M2091=1),"adequate","partial"),INDEX(Fit_Matrix!$B:$B,MATCH(P2091,Fit_Matrix!$A:$A,0))),"CHECK KEY"))</f>
        <v/>
      </c>
    </row>
    <row r="2092" customFormat="false" ht="15" hidden="false" customHeight="true" outlineLevel="0" collapsed="false">
      <c r="P2092" s="1" t="str">
        <f aca="false">IF(OR(F2092="",H2092="",J2092=""),"",J2092&amp;"|"&amp;F2092&amp;"|"&amp;IF(H2092="W3","W3_"&amp;IF(I2092="","unknown",I2092),H2092))</f>
        <v/>
      </c>
      <c r="Q2092" s="1" t="str">
        <f aca="false">IF(P2092="","",IFERROR(IF(AND(H2092="W7",OR(F2092="causal",F2092="predictive")),IF(AND(K2092=1,L2092=1,M2092=1),"adequate","partial"),INDEX(Fit_Matrix!$B:$B,MATCH(P2092,Fit_Matrix!$A:$A,0))),"CHECK KEY"))</f>
        <v/>
      </c>
    </row>
    <row r="2093" customFormat="false" ht="15" hidden="false" customHeight="true" outlineLevel="0" collapsed="false">
      <c r="P2093" s="1" t="str">
        <f aca="false">IF(OR(F2093="",H2093="",J2093=""),"",J2093&amp;"|"&amp;F2093&amp;"|"&amp;IF(H2093="W3","W3_"&amp;IF(I2093="","unknown",I2093),H2093))</f>
        <v/>
      </c>
      <c r="Q2093" s="1" t="str">
        <f aca="false">IF(P2093="","",IFERROR(IF(AND(H2093="W7",OR(F2093="causal",F2093="predictive")),IF(AND(K2093=1,L2093=1,M2093=1),"adequate","partial"),INDEX(Fit_Matrix!$B:$B,MATCH(P2093,Fit_Matrix!$A:$A,0))),"CHECK KEY"))</f>
        <v/>
      </c>
    </row>
    <row r="2094" customFormat="false" ht="15" hidden="false" customHeight="true" outlineLevel="0" collapsed="false">
      <c r="P2094" s="1" t="str">
        <f aca="false">IF(OR(F2094="",H2094="",J2094=""),"",J2094&amp;"|"&amp;F2094&amp;"|"&amp;IF(H2094="W3","W3_"&amp;IF(I2094="","unknown",I2094),H2094))</f>
        <v/>
      </c>
      <c r="Q2094" s="1" t="str">
        <f aca="false">IF(P2094="","",IFERROR(IF(AND(H2094="W7",OR(F2094="causal",F2094="predictive")),IF(AND(K2094=1,L2094=1,M2094=1),"adequate","partial"),INDEX(Fit_Matrix!$B:$B,MATCH(P2094,Fit_Matrix!$A:$A,0))),"CHECK KEY"))</f>
        <v/>
      </c>
    </row>
    <row r="2095" customFormat="false" ht="15" hidden="false" customHeight="true" outlineLevel="0" collapsed="false">
      <c r="P2095" s="1" t="str">
        <f aca="false">IF(OR(F2095="",H2095="",J2095=""),"",J2095&amp;"|"&amp;F2095&amp;"|"&amp;IF(H2095="W3","W3_"&amp;IF(I2095="","unknown",I2095),H2095))</f>
        <v/>
      </c>
      <c r="Q2095" s="1" t="str">
        <f aca="false">IF(P2095="","",IFERROR(IF(AND(H2095="W7",OR(F2095="causal",F2095="predictive")),IF(AND(K2095=1,L2095=1,M2095=1),"adequate","partial"),INDEX(Fit_Matrix!$B:$B,MATCH(P2095,Fit_Matrix!$A:$A,0))),"CHECK KEY"))</f>
        <v/>
      </c>
    </row>
    <row r="2096" customFormat="false" ht="15" hidden="false" customHeight="true" outlineLevel="0" collapsed="false">
      <c r="P2096" s="1" t="str">
        <f aca="false">IF(OR(F2096="",H2096="",J2096=""),"",J2096&amp;"|"&amp;F2096&amp;"|"&amp;IF(H2096="W3","W3_"&amp;IF(I2096="","unknown",I2096),H2096))</f>
        <v/>
      </c>
      <c r="Q2096" s="1" t="str">
        <f aca="false">IF(P2096="","",IFERROR(IF(AND(H2096="W7",OR(F2096="causal",F2096="predictive")),IF(AND(K2096=1,L2096=1,M2096=1),"adequate","partial"),INDEX(Fit_Matrix!$B:$B,MATCH(P2096,Fit_Matrix!$A:$A,0))),"CHECK KEY"))</f>
        <v/>
      </c>
    </row>
    <row r="2097" customFormat="false" ht="15" hidden="false" customHeight="true" outlineLevel="0" collapsed="false">
      <c r="P2097" s="1" t="str">
        <f aca="false">IF(OR(F2097="",H2097="",J2097=""),"",J2097&amp;"|"&amp;F2097&amp;"|"&amp;IF(H2097="W3","W3_"&amp;IF(I2097="","unknown",I2097),H2097))</f>
        <v/>
      </c>
      <c r="Q2097" s="1" t="str">
        <f aca="false">IF(P2097="","",IFERROR(IF(AND(H2097="W7",OR(F2097="causal",F2097="predictive")),IF(AND(K2097=1,L2097=1,M2097=1),"adequate","partial"),INDEX(Fit_Matrix!$B:$B,MATCH(P2097,Fit_Matrix!$A:$A,0))),"CHECK KEY"))</f>
        <v/>
      </c>
    </row>
    <row r="2098" customFormat="false" ht="15" hidden="false" customHeight="true" outlineLevel="0" collapsed="false">
      <c r="P2098" s="1" t="str">
        <f aca="false">IF(OR(F2098="",H2098="",J2098=""),"",J2098&amp;"|"&amp;F2098&amp;"|"&amp;IF(H2098="W3","W3_"&amp;IF(I2098="","unknown",I2098),H2098))</f>
        <v/>
      </c>
      <c r="Q2098" s="1" t="str">
        <f aca="false">IF(P2098="","",IFERROR(IF(AND(H2098="W7",OR(F2098="causal",F2098="predictive")),IF(AND(K2098=1,L2098=1,M2098=1),"adequate","partial"),INDEX(Fit_Matrix!$B:$B,MATCH(P2098,Fit_Matrix!$A:$A,0))),"CHECK KEY"))</f>
        <v/>
      </c>
    </row>
    <row r="2099" customFormat="false" ht="15" hidden="false" customHeight="true" outlineLevel="0" collapsed="false">
      <c r="P2099" s="1" t="str">
        <f aca="false">IF(OR(F2099="",H2099="",J2099=""),"",J2099&amp;"|"&amp;F2099&amp;"|"&amp;IF(H2099="W3","W3_"&amp;IF(I2099="","unknown",I2099),H2099))</f>
        <v/>
      </c>
      <c r="Q2099" s="1" t="str">
        <f aca="false">IF(P2099="","",IFERROR(IF(AND(H2099="W7",OR(F2099="causal",F2099="predictive")),IF(AND(K2099=1,L2099=1,M2099=1),"adequate","partial"),INDEX(Fit_Matrix!$B:$B,MATCH(P2099,Fit_Matrix!$A:$A,0))),"CHECK KEY"))</f>
        <v/>
      </c>
    </row>
    <row r="2100" customFormat="false" ht="15" hidden="false" customHeight="true" outlineLevel="0" collapsed="false">
      <c r="P2100" s="1" t="str">
        <f aca="false">IF(OR(F2100="",H2100="",J2100=""),"",J2100&amp;"|"&amp;F2100&amp;"|"&amp;IF(H2100="W3","W3_"&amp;IF(I2100="","unknown",I2100),H2100))</f>
        <v/>
      </c>
      <c r="Q2100" s="1" t="str">
        <f aca="false">IF(P2100="","",IFERROR(IF(AND(H2100="W7",OR(F2100="causal",F2100="predictive")),IF(AND(K2100=1,L2100=1,M2100=1),"adequate","partial"),INDEX(Fit_Matrix!$B:$B,MATCH(P2100,Fit_Matrix!$A:$A,0))),"CHECK KEY"))</f>
        <v/>
      </c>
    </row>
    <row r="2101" customFormat="false" ht="15" hidden="false" customHeight="true" outlineLevel="0" collapsed="false">
      <c r="P2101" s="1" t="str">
        <f aca="false">IF(OR(F2101="",H2101="",J2101=""),"",J2101&amp;"|"&amp;F2101&amp;"|"&amp;IF(H2101="W3","W3_"&amp;IF(I2101="","unknown",I2101),H2101))</f>
        <v/>
      </c>
      <c r="Q2101" s="1" t="str">
        <f aca="false">IF(P2101="","",IFERROR(IF(AND(H2101="W7",OR(F2101="causal",F2101="predictive")),IF(AND(K2101=1,L2101=1,M2101=1),"adequate","partial"),INDEX(Fit_Matrix!$B:$B,MATCH(P2101,Fit_Matrix!$A:$A,0))),"CHECK KEY"))</f>
        <v/>
      </c>
    </row>
    <row r="2102" customFormat="false" ht="15" hidden="false" customHeight="true" outlineLevel="0" collapsed="false">
      <c r="P2102" s="1" t="str">
        <f aca="false">IF(OR(F2102="",H2102="",J2102=""),"",J2102&amp;"|"&amp;F2102&amp;"|"&amp;IF(H2102="W3","W3_"&amp;IF(I2102="","unknown",I2102),H2102))</f>
        <v/>
      </c>
      <c r="Q2102" s="1" t="str">
        <f aca="false">IF(P2102="","",IFERROR(IF(AND(H2102="W7",OR(F2102="causal",F2102="predictive")),IF(AND(K2102=1,L2102=1,M2102=1),"adequate","partial"),INDEX(Fit_Matrix!$B:$B,MATCH(P2102,Fit_Matrix!$A:$A,0))),"CHECK KEY"))</f>
        <v/>
      </c>
    </row>
    <row r="2103" customFormat="false" ht="15" hidden="false" customHeight="true" outlineLevel="0" collapsed="false">
      <c r="P2103" s="1" t="str">
        <f aca="false">IF(OR(F2103="",H2103="",J2103=""),"",J2103&amp;"|"&amp;F2103&amp;"|"&amp;IF(H2103="W3","W3_"&amp;IF(I2103="","unknown",I2103),H2103))</f>
        <v/>
      </c>
      <c r="Q2103" s="1" t="str">
        <f aca="false">IF(P2103="","",IFERROR(IF(AND(H2103="W7",OR(F2103="causal",F2103="predictive")),IF(AND(K2103=1,L2103=1,M2103=1),"adequate","partial"),INDEX(Fit_Matrix!$B:$B,MATCH(P2103,Fit_Matrix!$A:$A,0))),"CHECK KEY"))</f>
        <v/>
      </c>
    </row>
    <row r="2104" customFormat="false" ht="15" hidden="false" customHeight="true" outlineLevel="0" collapsed="false">
      <c r="P2104" s="1" t="str">
        <f aca="false">IF(OR(F2104="",H2104="",J2104=""),"",J2104&amp;"|"&amp;F2104&amp;"|"&amp;IF(H2104="W3","W3_"&amp;IF(I2104="","unknown",I2104),H2104))</f>
        <v/>
      </c>
      <c r="Q2104" s="1" t="str">
        <f aca="false">IF(P2104="","",IFERROR(IF(AND(H2104="W7",OR(F2104="causal",F2104="predictive")),IF(AND(K2104=1,L2104=1,M2104=1),"adequate","partial"),INDEX(Fit_Matrix!$B:$B,MATCH(P2104,Fit_Matrix!$A:$A,0))),"CHECK KEY"))</f>
        <v/>
      </c>
    </row>
    <row r="2105" customFormat="false" ht="15" hidden="false" customHeight="true" outlineLevel="0" collapsed="false">
      <c r="P2105" s="1" t="str">
        <f aca="false">IF(OR(F2105="",H2105="",J2105=""),"",J2105&amp;"|"&amp;F2105&amp;"|"&amp;IF(H2105="W3","W3_"&amp;IF(I2105="","unknown",I2105),H2105))</f>
        <v/>
      </c>
      <c r="Q2105" s="1" t="str">
        <f aca="false">IF(P2105="","",IFERROR(IF(AND(H2105="W7",OR(F2105="causal",F2105="predictive")),IF(AND(K2105=1,L2105=1,M2105=1),"adequate","partial"),INDEX(Fit_Matrix!$B:$B,MATCH(P2105,Fit_Matrix!$A:$A,0))),"CHECK KEY"))</f>
        <v/>
      </c>
    </row>
    <row r="2106" customFormat="false" ht="15" hidden="false" customHeight="true" outlineLevel="0" collapsed="false">
      <c r="P2106" s="1" t="str">
        <f aca="false">IF(OR(F2106="",H2106="",J2106=""),"",J2106&amp;"|"&amp;F2106&amp;"|"&amp;IF(H2106="W3","W3_"&amp;IF(I2106="","unknown",I2106),H2106))</f>
        <v/>
      </c>
      <c r="Q2106" s="1" t="str">
        <f aca="false">IF(P2106="","",IFERROR(IF(AND(H2106="W7",OR(F2106="causal",F2106="predictive")),IF(AND(K2106=1,L2106=1,M2106=1),"adequate","partial"),INDEX(Fit_Matrix!$B:$B,MATCH(P2106,Fit_Matrix!$A:$A,0))),"CHECK KEY"))</f>
        <v/>
      </c>
    </row>
    <row r="2107" customFormat="false" ht="15" hidden="false" customHeight="true" outlineLevel="0" collapsed="false">
      <c r="P2107" s="1" t="str">
        <f aca="false">IF(OR(F2107="",H2107="",J2107=""),"",J2107&amp;"|"&amp;F2107&amp;"|"&amp;IF(H2107="W3","W3_"&amp;IF(I2107="","unknown",I2107),H2107))</f>
        <v/>
      </c>
      <c r="Q2107" s="1" t="str">
        <f aca="false">IF(P2107="","",IFERROR(IF(AND(H2107="W7",OR(F2107="causal",F2107="predictive")),IF(AND(K2107=1,L2107=1,M2107=1),"adequate","partial"),INDEX(Fit_Matrix!$B:$B,MATCH(P2107,Fit_Matrix!$A:$A,0))),"CHECK KEY"))</f>
        <v/>
      </c>
    </row>
    <row r="2108" customFormat="false" ht="15" hidden="false" customHeight="true" outlineLevel="0" collapsed="false">
      <c r="P2108" s="1" t="str">
        <f aca="false">IF(OR(F2108="",H2108="",J2108=""),"",J2108&amp;"|"&amp;F2108&amp;"|"&amp;IF(H2108="W3","W3_"&amp;IF(I2108="","unknown",I2108),H2108))</f>
        <v/>
      </c>
      <c r="Q2108" s="1" t="str">
        <f aca="false">IF(P2108="","",IFERROR(IF(AND(H2108="W7",OR(F2108="causal",F2108="predictive")),IF(AND(K2108=1,L2108=1,M2108=1),"adequate","partial"),INDEX(Fit_Matrix!$B:$B,MATCH(P2108,Fit_Matrix!$A:$A,0))),"CHECK KEY"))</f>
        <v/>
      </c>
    </row>
    <row r="2109" customFormat="false" ht="15" hidden="false" customHeight="true" outlineLevel="0" collapsed="false">
      <c r="P2109" s="1" t="str">
        <f aca="false">IF(OR(F2109="",H2109="",J2109=""),"",J2109&amp;"|"&amp;F2109&amp;"|"&amp;IF(H2109="W3","W3_"&amp;IF(I2109="","unknown",I2109),H2109))</f>
        <v/>
      </c>
      <c r="Q2109" s="1" t="str">
        <f aca="false">IF(P2109="","",IFERROR(IF(AND(H2109="W7",OR(F2109="causal",F2109="predictive")),IF(AND(K2109=1,L2109=1,M2109=1),"adequate","partial"),INDEX(Fit_Matrix!$B:$B,MATCH(P2109,Fit_Matrix!$A:$A,0))),"CHECK KEY"))</f>
        <v/>
      </c>
    </row>
    <row r="2110" customFormat="false" ht="15" hidden="false" customHeight="true" outlineLevel="0" collapsed="false">
      <c r="P2110" s="1" t="str">
        <f aca="false">IF(OR(F2110="",H2110="",J2110=""),"",J2110&amp;"|"&amp;F2110&amp;"|"&amp;IF(H2110="W3","W3_"&amp;IF(I2110="","unknown",I2110),H2110))</f>
        <v/>
      </c>
      <c r="Q2110" s="1" t="str">
        <f aca="false">IF(P2110="","",IFERROR(IF(AND(H2110="W7",OR(F2110="causal",F2110="predictive")),IF(AND(K2110=1,L2110=1,M2110=1),"adequate","partial"),INDEX(Fit_Matrix!$B:$B,MATCH(P2110,Fit_Matrix!$A:$A,0))),"CHECK KEY"))</f>
        <v/>
      </c>
    </row>
    <row r="2111" customFormat="false" ht="15" hidden="false" customHeight="true" outlineLevel="0" collapsed="false">
      <c r="P2111" s="1" t="str">
        <f aca="false">IF(OR(F2111="",H2111="",J2111=""),"",J2111&amp;"|"&amp;F2111&amp;"|"&amp;IF(H2111="W3","W3_"&amp;IF(I2111="","unknown",I2111),H2111))</f>
        <v/>
      </c>
      <c r="Q2111" s="1" t="str">
        <f aca="false">IF(P2111="","",IFERROR(IF(AND(H2111="W7",OR(F2111="causal",F2111="predictive")),IF(AND(K2111=1,L2111=1,M2111=1),"adequate","partial"),INDEX(Fit_Matrix!$B:$B,MATCH(P2111,Fit_Matrix!$A:$A,0))),"CHECK KEY"))</f>
        <v/>
      </c>
    </row>
    <row r="2112" customFormat="false" ht="15" hidden="false" customHeight="true" outlineLevel="0" collapsed="false">
      <c r="P2112" s="1" t="str">
        <f aca="false">IF(OR(F2112="",H2112="",J2112=""),"",J2112&amp;"|"&amp;F2112&amp;"|"&amp;IF(H2112="W3","W3_"&amp;IF(I2112="","unknown",I2112),H2112))</f>
        <v/>
      </c>
      <c r="Q2112" s="1" t="str">
        <f aca="false">IF(P2112="","",IFERROR(IF(AND(H2112="W7",OR(F2112="causal",F2112="predictive")),IF(AND(K2112=1,L2112=1,M2112=1),"adequate","partial"),INDEX(Fit_Matrix!$B:$B,MATCH(P2112,Fit_Matrix!$A:$A,0))),"CHECK KEY"))</f>
        <v/>
      </c>
    </row>
    <row r="2113" customFormat="false" ht="15" hidden="false" customHeight="true" outlineLevel="0" collapsed="false">
      <c r="P2113" s="1" t="str">
        <f aca="false">IF(OR(F2113="",H2113="",J2113=""),"",J2113&amp;"|"&amp;F2113&amp;"|"&amp;IF(H2113="W3","W3_"&amp;IF(I2113="","unknown",I2113),H2113))</f>
        <v/>
      </c>
      <c r="Q2113" s="1" t="str">
        <f aca="false">IF(P2113="","",IFERROR(IF(AND(H2113="W7",OR(F2113="causal",F2113="predictive")),IF(AND(K2113=1,L2113=1,M2113=1),"adequate","partial"),INDEX(Fit_Matrix!$B:$B,MATCH(P2113,Fit_Matrix!$A:$A,0))),"CHECK KEY"))</f>
        <v/>
      </c>
    </row>
    <row r="2114" customFormat="false" ht="15" hidden="false" customHeight="true" outlineLevel="0" collapsed="false">
      <c r="P2114" s="1" t="str">
        <f aca="false">IF(OR(F2114="",H2114="",J2114=""),"",J2114&amp;"|"&amp;F2114&amp;"|"&amp;IF(H2114="W3","W3_"&amp;IF(I2114="","unknown",I2114),H2114))</f>
        <v/>
      </c>
      <c r="Q2114" s="1" t="str">
        <f aca="false">IF(P2114="","",IFERROR(IF(AND(H2114="W7",OR(F2114="causal",F2114="predictive")),IF(AND(K2114=1,L2114=1,M2114=1),"adequate","partial"),INDEX(Fit_Matrix!$B:$B,MATCH(P2114,Fit_Matrix!$A:$A,0))),"CHECK KEY"))</f>
        <v/>
      </c>
    </row>
    <row r="2115" customFormat="false" ht="15" hidden="false" customHeight="true" outlineLevel="0" collapsed="false">
      <c r="P2115" s="1" t="str">
        <f aca="false">IF(OR(F2115="",H2115="",J2115=""),"",J2115&amp;"|"&amp;F2115&amp;"|"&amp;IF(H2115="W3","W3_"&amp;IF(I2115="","unknown",I2115),H2115))</f>
        <v/>
      </c>
      <c r="Q2115" s="1" t="str">
        <f aca="false">IF(P2115="","",IFERROR(IF(AND(H2115="W7",OR(F2115="causal",F2115="predictive")),IF(AND(K2115=1,L2115=1,M2115=1),"adequate","partial"),INDEX(Fit_Matrix!$B:$B,MATCH(P2115,Fit_Matrix!$A:$A,0))),"CHECK KEY"))</f>
        <v/>
      </c>
    </row>
    <row r="2116" customFormat="false" ht="15" hidden="false" customHeight="true" outlineLevel="0" collapsed="false">
      <c r="P2116" s="1" t="str">
        <f aca="false">IF(OR(F2116="",H2116="",J2116=""),"",J2116&amp;"|"&amp;F2116&amp;"|"&amp;IF(H2116="W3","W3_"&amp;IF(I2116="","unknown",I2116),H2116))</f>
        <v/>
      </c>
      <c r="Q2116" s="1" t="str">
        <f aca="false">IF(P2116="","",IFERROR(IF(AND(H2116="W7",OR(F2116="causal",F2116="predictive")),IF(AND(K2116=1,L2116=1,M2116=1),"adequate","partial"),INDEX(Fit_Matrix!$B:$B,MATCH(P2116,Fit_Matrix!$A:$A,0))),"CHECK KEY"))</f>
        <v/>
      </c>
    </row>
    <row r="2117" customFormat="false" ht="15" hidden="false" customHeight="true" outlineLevel="0" collapsed="false">
      <c r="P2117" s="1" t="str">
        <f aca="false">IF(OR(F2117="",H2117="",J2117=""),"",J2117&amp;"|"&amp;F2117&amp;"|"&amp;IF(H2117="W3","W3_"&amp;IF(I2117="","unknown",I2117),H2117))</f>
        <v/>
      </c>
      <c r="Q2117" s="1" t="str">
        <f aca="false">IF(P2117="","",IFERROR(IF(AND(H2117="W7",OR(F2117="causal",F2117="predictive")),IF(AND(K2117=1,L2117=1,M2117=1),"adequate","partial"),INDEX(Fit_Matrix!$B:$B,MATCH(P2117,Fit_Matrix!$A:$A,0))),"CHECK KEY"))</f>
        <v/>
      </c>
    </row>
    <row r="2118" customFormat="false" ht="15" hidden="false" customHeight="true" outlineLevel="0" collapsed="false">
      <c r="P2118" s="1" t="str">
        <f aca="false">IF(OR(F2118="",H2118="",J2118=""),"",J2118&amp;"|"&amp;F2118&amp;"|"&amp;IF(H2118="W3","W3_"&amp;IF(I2118="","unknown",I2118),H2118))</f>
        <v/>
      </c>
      <c r="Q2118" s="1" t="str">
        <f aca="false">IF(P2118="","",IFERROR(IF(AND(H2118="W7",OR(F2118="causal",F2118="predictive")),IF(AND(K2118=1,L2118=1,M2118=1),"adequate","partial"),INDEX(Fit_Matrix!$B:$B,MATCH(P2118,Fit_Matrix!$A:$A,0))),"CHECK KEY"))</f>
        <v/>
      </c>
    </row>
    <row r="2119" customFormat="false" ht="15" hidden="false" customHeight="true" outlineLevel="0" collapsed="false">
      <c r="P2119" s="1" t="str">
        <f aca="false">IF(OR(F2119="",H2119="",J2119=""),"",J2119&amp;"|"&amp;F2119&amp;"|"&amp;IF(H2119="W3","W3_"&amp;IF(I2119="","unknown",I2119),H2119))</f>
        <v/>
      </c>
      <c r="Q2119" s="1" t="str">
        <f aca="false">IF(P2119="","",IFERROR(IF(AND(H2119="W7",OR(F2119="causal",F2119="predictive")),IF(AND(K2119=1,L2119=1,M2119=1),"adequate","partial"),INDEX(Fit_Matrix!$B:$B,MATCH(P2119,Fit_Matrix!$A:$A,0))),"CHECK KEY"))</f>
        <v/>
      </c>
    </row>
    <row r="2120" customFormat="false" ht="15" hidden="false" customHeight="true" outlineLevel="0" collapsed="false">
      <c r="P2120" s="1" t="str">
        <f aca="false">IF(OR(F2120="",H2120="",J2120=""),"",J2120&amp;"|"&amp;F2120&amp;"|"&amp;IF(H2120="W3","W3_"&amp;IF(I2120="","unknown",I2120),H2120))</f>
        <v/>
      </c>
      <c r="Q2120" s="1" t="str">
        <f aca="false">IF(P2120="","",IFERROR(IF(AND(H2120="W7",OR(F2120="causal",F2120="predictive")),IF(AND(K2120=1,L2120=1,M2120=1),"adequate","partial"),INDEX(Fit_Matrix!$B:$B,MATCH(P2120,Fit_Matrix!$A:$A,0))),"CHECK KEY"))</f>
        <v/>
      </c>
    </row>
    <row r="2121" customFormat="false" ht="15" hidden="false" customHeight="true" outlineLevel="0" collapsed="false">
      <c r="P2121" s="1" t="str">
        <f aca="false">IF(OR(F2121="",H2121="",J2121=""),"",J2121&amp;"|"&amp;F2121&amp;"|"&amp;IF(H2121="W3","W3_"&amp;IF(I2121="","unknown",I2121),H2121))</f>
        <v/>
      </c>
      <c r="Q2121" s="1" t="str">
        <f aca="false">IF(P2121="","",IFERROR(IF(AND(H2121="W7",OR(F2121="causal",F2121="predictive")),IF(AND(K2121=1,L2121=1,M2121=1),"adequate","partial"),INDEX(Fit_Matrix!$B:$B,MATCH(P2121,Fit_Matrix!$A:$A,0))),"CHECK KEY"))</f>
        <v/>
      </c>
    </row>
    <row r="2122" customFormat="false" ht="15" hidden="false" customHeight="true" outlineLevel="0" collapsed="false">
      <c r="P2122" s="1" t="str">
        <f aca="false">IF(OR(F2122="",H2122="",J2122=""),"",J2122&amp;"|"&amp;F2122&amp;"|"&amp;IF(H2122="W3","W3_"&amp;IF(I2122="","unknown",I2122),H2122))</f>
        <v/>
      </c>
      <c r="Q2122" s="1" t="str">
        <f aca="false">IF(P2122="","",IFERROR(IF(AND(H2122="W7",OR(F2122="causal",F2122="predictive")),IF(AND(K2122=1,L2122=1,M2122=1),"adequate","partial"),INDEX(Fit_Matrix!$B:$B,MATCH(P2122,Fit_Matrix!$A:$A,0))),"CHECK KEY"))</f>
        <v/>
      </c>
    </row>
    <row r="2123" customFormat="false" ht="15" hidden="false" customHeight="true" outlineLevel="0" collapsed="false">
      <c r="P2123" s="1" t="str">
        <f aca="false">IF(OR(F2123="",H2123="",J2123=""),"",J2123&amp;"|"&amp;F2123&amp;"|"&amp;IF(H2123="W3","W3_"&amp;IF(I2123="","unknown",I2123),H2123))</f>
        <v/>
      </c>
      <c r="Q2123" s="1" t="str">
        <f aca="false">IF(P2123="","",IFERROR(IF(AND(H2123="W7",OR(F2123="causal",F2123="predictive")),IF(AND(K2123=1,L2123=1,M2123=1),"adequate","partial"),INDEX(Fit_Matrix!$B:$B,MATCH(P2123,Fit_Matrix!$A:$A,0))),"CHECK KEY"))</f>
        <v/>
      </c>
    </row>
    <row r="2124" customFormat="false" ht="15" hidden="false" customHeight="true" outlineLevel="0" collapsed="false">
      <c r="P2124" s="1" t="str">
        <f aca="false">IF(OR(F2124="",H2124="",J2124=""),"",J2124&amp;"|"&amp;F2124&amp;"|"&amp;IF(H2124="W3","W3_"&amp;IF(I2124="","unknown",I2124),H2124))</f>
        <v/>
      </c>
      <c r="Q2124" s="1" t="str">
        <f aca="false">IF(P2124="","",IFERROR(IF(AND(H2124="W7",OR(F2124="causal",F2124="predictive")),IF(AND(K2124=1,L2124=1,M2124=1),"adequate","partial"),INDEX(Fit_Matrix!$B:$B,MATCH(P2124,Fit_Matrix!$A:$A,0))),"CHECK KEY"))</f>
        <v/>
      </c>
    </row>
    <row r="2125" customFormat="false" ht="15" hidden="false" customHeight="true" outlineLevel="0" collapsed="false">
      <c r="P2125" s="1" t="str">
        <f aca="false">IF(OR(F2125="",H2125="",J2125=""),"",J2125&amp;"|"&amp;F2125&amp;"|"&amp;IF(H2125="W3","W3_"&amp;IF(I2125="","unknown",I2125),H2125))</f>
        <v/>
      </c>
      <c r="Q2125" s="1" t="str">
        <f aca="false">IF(P2125="","",IFERROR(IF(AND(H2125="W7",OR(F2125="causal",F2125="predictive")),IF(AND(K2125=1,L2125=1,M2125=1),"adequate","partial"),INDEX(Fit_Matrix!$B:$B,MATCH(P2125,Fit_Matrix!$A:$A,0))),"CHECK KEY"))</f>
        <v/>
      </c>
    </row>
    <row r="2126" customFormat="false" ht="15" hidden="false" customHeight="true" outlineLevel="0" collapsed="false">
      <c r="P2126" s="1" t="str">
        <f aca="false">IF(OR(F2126="",H2126="",J2126=""),"",J2126&amp;"|"&amp;F2126&amp;"|"&amp;IF(H2126="W3","W3_"&amp;IF(I2126="","unknown",I2126),H2126))</f>
        <v/>
      </c>
      <c r="Q2126" s="1" t="str">
        <f aca="false">IF(P2126="","",IFERROR(IF(AND(H2126="W7",OR(F2126="causal",F2126="predictive")),IF(AND(K2126=1,L2126=1,M2126=1),"adequate","partial"),INDEX(Fit_Matrix!$B:$B,MATCH(P2126,Fit_Matrix!$A:$A,0))),"CHECK KEY"))</f>
        <v/>
      </c>
    </row>
    <row r="2127" customFormat="false" ht="15" hidden="false" customHeight="true" outlineLevel="0" collapsed="false">
      <c r="P2127" s="1" t="str">
        <f aca="false">IF(OR(F2127="",H2127="",J2127=""),"",J2127&amp;"|"&amp;F2127&amp;"|"&amp;IF(H2127="W3","W3_"&amp;IF(I2127="","unknown",I2127),H2127))</f>
        <v/>
      </c>
      <c r="Q2127" s="1" t="str">
        <f aca="false">IF(P2127="","",IFERROR(IF(AND(H2127="W7",OR(F2127="causal",F2127="predictive")),IF(AND(K2127=1,L2127=1,M2127=1),"adequate","partial"),INDEX(Fit_Matrix!$B:$B,MATCH(P2127,Fit_Matrix!$A:$A,0))),"CHECK KEY"))</f>
        <v/>
      </c>
    </row>
    <row r="2128" customFormat="false" ht="15" hidden="false" customHeight="true" outlineLevel="0" collapsed="false">
      <c r="P2128" s="1" t="str">
        <f aca="false">IF(OR(F2128="",H2128="",J2128=""),"",J2128&amp;"|"&amp;F2128&amp;"|"&amp;IF(H2128="W3","W3_"&amp;IF(I2128="","unknown",I2128),H2128))</f>
        <v/>
      </c>
      <c r="Q2128" s="1" t="str">
        <f aca="false">IF(P2128="","",IFERROR(IF(AND(H2128="W7",OR(F2128="causal",F2128="predictive")),IF(AND(K2128=1,L2128=1,M2128=1),"adequate","partial"),INDEX(Fit_Matrix!$B:$B,MATCH(P2128,Fit_Matrix!$A:$A,0))),"CHECK KEY"))</f>
        <v/>
      </c>
    </row>
    <row r="2129" customFormat="false" ht="15" hidden="false" customHeight="true" outlineLevel="0" collapsed="false">
      <c r="P2129" s="1" t="str">
        <f aca="false">IF(OR(F2129="",H2129="",J2129=""),"",J2129&amp;"|"&amp;F2129&amp;"|"&amp;IF(H2129="W3","W3_"&amp;IF(I2129="","unknown",I2129),H2129))</f>
        <v/>
      </c>
      <c r="Q2129" s="1" t="str">
        <f aca="false">IF(P2129="","",IFERROR(IF(AND(H2129="W7",OR(F2129="causal",F2129="predictive")),IF(AND(K2129=1,L2129=1,M2129=1),"adequate","partial"),INDEX(Fit_Matrix!$B:$B,MATCH(P2129,Fit_Matrix!$A:$A,0))),"CHECK KEY"))</f>
        <v/>
      </c>
    </row>
    <row r="2130" customFormat="false" ht="15" hidden="false" customHeight="true" outlineLevel="0" collapsed="false">
      <c r="P2130" s="1" t="str">
        <f aca="false">IF(OR(F2130="",H2130="",J2130=""),"",J2130&amp;"|"&amp;F2130&amp;"|"&amp;IF(H2130="W3","W3_"&amp;IF(I2130="","unknown",I2130),H2130))</f>
        <v/>
      </c>
      <c r="Q2130" s="1" t="str">
        <f aca="false">IF(P2130="","",IFERROR(IF(AND(H2130="W7",OR(F2130="causal",F2130="predictive")),IF(AND(K2130=1,L2130=1,M2130=1),"adequate","partial"),INDEX(Fit_Matrix!$B:$B,MATCH(P2130,Fit_Matrix!$A:$A,0))),"CHECK KEY"))</f>
        <v/>
      </c>
    </row>
    <row r="2131" customFormat="false" ht="15" hidden="false" customHeight="true" outlineLevel="0" collapsed="false">
      <c r="P2131" s="1" t="str">
        <f aca="false">IF(OR(F2131="",H2131="",J2131=""),"",J2131&amp;"|"&amp;F2131&amp;"|"&amp;IF(H2131="W3","W3_"&amp;IF(I2131="","unknown",I2131),H2131))</f>
        <v/>
      </c>
      <c r="Q2131" s="1" t="str">
        <f aca="false">IF(P2131="","",IFERROR(IF(AND(H2131="W7",OR(F2131="causal",F2131="predictive")),IF(AND(K2131=1,L2131=1,M2131=1),"adequate","partial"),INDEX(Fit_Matrix!$B:$B,MATCH(P2131,Fit_Matrix!$A:$A,0))),"CHECK KEY"))</f>
        <v/>
      </c>
    </row>
    <row r="2132" customFormat="false" ht="15" hidden="false" customHeight="true" outlineLevel="0" collapsed="false">
      <c r="P2132" s="1" t="str">
        <f aca="false">IF(OR(F2132="",H2132="",J2132=""),"",J2132&amp;"|"&amp;F2132&amp;"|"&amp;IF(H2132="W3","W3_"&amp;IF(I2132="","unknown",I2132),H2132))</f>
        <v/>
      </c>
      <c r="Q2132" s="1" t="str">
        <f aca="false">IF(P2132="","",IFERROR(IF(AND(H2132="W7",OR(F2132="causal",F2132="predictive")),IF(AND(K2132=1,L2132=1,M2132=1),"adequate","partial"),INDEX(Fit_Matrix!$B:$B,MATCH(P2132,Fit_Matrix!$A:$A,0))),"CHECK KEY"))</f>
        <v/>
      </c>
    </row>
    <row r="2133" customFormat="false" ht="15" hidden="false" customHeight="true" outlineLevel="0" collapsed="false">
      <c r="P2133" s="1" t="str">
        <f aca="false">IF(OR(F2133="",H2133="",J2133=""),"",J2133&amp;"|"&amp;F2133&amp;"|"&amp;IF(H2133="W3","W3_"&amp;IF(I2133="","unknown",I2133),H2133))</f>
        <v/>
      </c>
      <c r="Q2133" s="1" t="str">
        <f aca="false">IF(P2133="","",IFERROR(IF(AND(H2133="W7",OR(F2133="causal",F2133="predictive")),IF(AND(K2133=1,L2133=1,M2133=1),"adequate","partial"),INDEX(Fit_Matrix!$B:$B,MATCH(P2133,Fit_Matrix!$A:$A,0))),"CHECK KEY"))</f>
        <v/>
      </c>
    </row>
    <row r="2134" customFormat="false" ht="15" hidden="false" customHeight="true" outlineLevel="0" collapsed="false">
      <c r="P2134" s="1" t="str">
        <f aca="false">IF(OR(F2134="",H2134="",J2134=""),"",J2134&amp;"|"&amp;F2134&amp;"|"&amp;IF(H2134="W3","W3_"&amp;IF(I2134="","unknown",I2134),H2134))</f>
        <v/>
      </c>
      <c r="Q2134" s="1" t="str">
        <f aca="false">IF(P2134="","",IFERROR(IF(AND(H2134="W7",OR(F2134="causal",F2134="predictive")),IF(AND(K2134=1,L2134=1,M2134=1),"adequate","partial"),INDEX(Fit_Matrix!$B:$B,MATCH(P2134,Fit_Matrix!$A:$A,0))),"CHECK KEY"))</f>
        <v/>
      </c>
    </row>
    <row r="2135" customFormat="false" ht="15" hidden="false" customHeight="true" outlineLevel="0" collapsed="false">
      <c r="P2135" s="1" t="str">
        <f aca="false">IF(OR(F2135="",H2135="",J2135=""),"",J2135&amp;"|"&amp;F2135&amp;"|"&amp;IF(H2135="W3","W3_"&amp;IF(I2135="","unknown",I2135),H2135))</f>
        <v/>
      </c>
      <c r="Q2135" s="1" t="str">
        <f aca="false">IF(P2135="","",IFERROR(IF(AND(H2135="W7",OR(F2135="causal",F2135="predictive")),IF(AND(K2135=1,L2135=1,M2135=1),"adequate","partial"),INDEX(Fit_Matrix!$B:$B,MATCH(P2135,Fit_Matrix!$A:$A,0))),"CHECK KEY"))</f>
        <v/>
      </c>
    </row>
    <row r="2136" customFormat="false" ht="15" hidden="false" customHeight="true" outlineLevel="0" collapsed="false">
      <c r="P2136" s="1" t="str">
        <f aca="false">IF(OR(F2136="",H2136="",J2136=""),"",J2136&amp;"|"&amp;F2136&amp;"|"&amp;IF(H2136="W3","W3_"&amp;IF(I2136="","unknown",I2136),H2136))</f>
        <v/>
      </c>
      <c r="Q2136" s="1" t="str">
        <f aca="false">IF(P2136="","",IFERROR(IF(AND(H2136="W7",OR(F2136="causal",F2136="predictive")),IF(AND(K2136=1,L2136=1,M2136=1),"adequate","partial"),INDEX(Fit_Matrix!$B:$B,MATCH(P2136,Fit_Matrix!$A:$A,0))),"CHECK KEY"))</f>
        <v/>
      </c>
    </row>
    <row r="2137" customFormat="false" ht="15" hidden="false" customHeight="true" outlineLevel="0" collapsed="false">
      <c r="P2137" s="1" t="str">
        <f aca="false">IF(OR(F2137="",H2137="",J2137=""),"",J2137&amp;"|"&amp;F2137&amp;"|"&amp;IF(H2137="W3","W3_"&amp;IF(I2137="","unknown",I2137),H2137))</f>
        <v/>
      </c>
      <c r="Q2137" s="1" t="str">
        <f aca="false">IF(P2137="","",IFERROR(IF(AND(H2137="W7",OR(F2137="causal",F2137="predictive")),IF(AND(K2137=1,L2137=1,M2137=1),"adequate","partial"),INDEX(Fit_Matrix!$B:$B,MATCH(P2137,Fit_Matrix!$A:$A,0))),"CHECK KEY"))</f>
        <v/>
      </c>
    </row>
    <row r="2138" customFormat="false" ht="15" hidden="false" customHeight="true" outlineLevel="0" collapsed="false">
      <c r="P2138" s="1" t="str">
        <f aca="false">IF(OR(F2138="",H2138="",J2138=""),"",J2138&amp;"|"&amp;F2138&amp;"|"&amp;IF(H2138="W3","W3_"&amp;IF(I2138="","unknown",I2138),H2138))</f>
        <v/>
      </c>
      <c r="Q2138" s="1" t="str">
        <f aca="false">IF(P2138="","",IFERROR(IF(AND(H2138="W7",OR(F2138="causal",F2138="predictive")),IF(AND(K2138=1,L2138=1,M2138=1),"adequate","partial"),INDEX(Fit_Matrix!$B:$B,MATCH(P2138,Fit_Matrix!$A:$A,0))),"CHECK KEY"))</f>
        <v/>
      </c>
    </row>
    <row r="2139" customFormat="false" ht="15" hidden="false" customHeight="true" outlineLevel="0" collapsed="false">
      <c r="P2139" s="1" t="str">
        <f aca="false">IF(OR(F2139="",H2139="",J2139=""),"",J2139&amp;"|"&amp;F2139&amp;"|"&amp;IF(H2139="W3","W3_"&amp;IF(I2139="","unknown",I2139),H2139))</f>
        <v/>
      </c>
      <c r="Q2139" s="1" t="str">
        <f aca="false">IF(P2139="","",IFERROR(IF(AND(H2139="W7",OR(F2139="causal",F2139="predictive")),IF(AND(K2139=1,L2139=1,M2139=1),"adequate","partial"),INDEX(Fit_Matrix!$B:$B,MATCH(P2139,Fit_Matrix!$A:$A,0))),"CHECK KEY"))</f>
        <v/>
      </c>
    </row>
    <row r="2140" customFormat="false" ht="15" hidden="false" customHeight="true" outlineLevel="0" collapsed="false">
      <c r="P2140" s="1" t="str">
        <f aca="false">IF(OR(F2140="",H2140="",J2140=""),"",J2140&amp;"|"&amp;F2140&amp;"|"&amp;IF(H2140="W3","W3_"&amp;IF(I2140="","unknown",I2140),H2140))</f>
        <v/>
      </c>
      <c r="Q2140" s="1" t="str">
        <f aca="false">IF(P2140="","",IFERROR(IF(AND(H2140="W7",OR(F2140="causal",F2140="predictive")),IF(AND(K2140=1,L2140=1,M2140=1),"adequate","partial"),INDEX(Fit_Matrix!$B:$B,MATCH(P2140,Fit_Matrix!$A:$A,0))),"CHECK KEY"))</f>
        <v/>
      </c>
    </row>
    <row r="2141" customFormat="false" ht="15" hidden="false" customHeight="true" outlineLevel="0" collapsed="false">
      <c r="P2141" s="1" t="str">
        <f aca="false">IF(OR(F2141="",H2141="",J2141=""),"",J2141&amp;"|"&amp;F2141&amp;"|"&amp;IF(H2141="W3","W3_"&amp;IF(I2141="","unknown",I2141),H2141))</f>
        <v/>
      </c>
      <c r="Q2141" s="1" t="str">
        <f aca="false">IF(P2141="","",IFERROR(IF(AND(H2141="W7",OR(F2141="causal",F2141="predictive")),IF(AND(K2141=1,L2141=1,M2141=1),"adequate","partial"),INDEX(Fit_Matrix!$B:$B,MATCH(P2141,Fit_Matrix!$A:$A,0))),"CHECK KEY"))</f>
        <v/>
      </c>
    </row>
    <row r="2142" customFormat="false" ht="15" hidden="false" customHeight="true" outlineLevel="0" collapsed="false">
      <c r="P2142" s="1" t="str">
        <f aca="false">IF(OR(F2142="",H2142="",J2142=""),"",J2142&amp;"|"&amp;F2142&amp;"|"&amp;IF(H2142="W3","W3_"&amp;IF(I2142="","unknown",I2142),H2142))</f>
        <v/>
      </c>
      <c r="Q2142" s="1" t="str">
        <f aca="false">IF(P2142="","",IFERROR(IF(AND(H2142="W7",OR(F2142="causal",F2142="predictive")),IF(AND(K2142=1,L2142=1,M2142=1),"adequate","partial"),INDEX(Fit_Matrix!$B:$B,MATCH(P2142,Fit_Matrix!$A:$A,0))),"CHECK KEY"))</f>
        <v/>
      </c>
    </row>
    <row r="2143" customFormat="false" ht="15" hidden="false" customHeight="true" outlineLevel="0" collapsed="false">
      <c r="P2143" s="1" t="str">
        <f aca="false">IF(OR(F2143="",H2143="",J2143=""),"",J2143&amp;"|"&amp;F2143&amp;"|"&amp;IF(H2143="W3","W3_"&amp;IF(I2143="","unknown",I2143),H2143))</f>
        <v/>
      </c>
      <c r="Q2143" s="1" t="str">
        <f aca="false">IF(P2143="","",IFERROR(IF(AND(H2143="W7",OR(F2143="causal",F2143="predictive")),IF(AND(K2143=1,L2143=1,M2143=1),"adequate","partial"),INDEX(Fit_Matrix!$B:$B,MATCH(P2143,Fit_Matrix!$A:$A,0))),"CHECK KEY"))</f>
        <v/>
      </c>
    </row>
    <row r="2144" customFormat="false" ht="15" hidden="false" customHeight="true" outlineLevel="0" collapsed="false">
      <c r="P2144" s="1" t="str">
        <f aca="false">IF(OR(F2144="",H2144="",J2144=""),"",J2144&amp;"|"&amp;F2144&amp;"|"&amp;IF(H2144="W3","W3_"&amp;IF(I2144="","unknown",I2144),H2144))</f>
        <v/>
      </c>
      <c r="Q2144" s="1" t="str">
        <f aca="false">IF(P2144="","",IFERROR(IF(AND(H2144="W7",OR(F2144="causal",F2144="predictive")),IF(AND(K2144=1,L2144=1,M2144=1),"adequate","partial"),INDEX(Fit_Matrix!$B:$B,MATCH(P2144,Fit_Matrix!$A:$A,0))),"CHECK KEY"))</f>
        <v/>
      </c>
    </row>
    <row r="2145" customFormat="false" ht="15" hidden="false" customHeight="true" outlineLevel="0" collapsed="false">
      <c r="P2145" s="1" t="str">
        <f aca="false">IF(OR(F2145="",H2145="",J2145=""),"",J2145&amp;"|"&amp;F2145&amp;"|"&amp;IF(H2145="W3","W3_"&amp;IF(I2145="","unknown",I2145),H2145))</f>
        <v/>
      </c>
      <c r="Q2145" s="1" t="str">
        <f aca="false">IF(P2145="","",IFERROR(IF(AND(H2145="W7",OR(F2145="causal",F2145="predictive")),IF(AND(K2145=1,L2145=1,M2145=1),"adequate","partial"),INDEX(Fit_Matrix!$B:$B,MATCH(P2145,Fit_Matrix!$A:$A,0))),"CHECK KEY"))</f>
        <v/>
      </c>
    </row>
    <row r="2146" customFormat="false" ht="15" hidden="false" customHeight="true" outlineLevel="0" collapsed="false">
      <c r="P2146" s="1" t="str">
        <f aca="false">IF(OR(F2146="",H2146="",J2146=""),"",J2146&amp;"|"&amp;F2146&amp;"|"&amp;IF(H2146="W3","W3_"&amp;IF(I2146="","unknown",I2146),H2146))</f>
        <v/>
      </c>
      <c r="Q2146" s="1" t="str">
        <f aca="false">IF(P2146="","",IFERROR(IF(AND(H2146="W7",OR(F2146="causal",F2146="predictive")),IF(AND(K2146=1,L2146=1,M2146=1),"adequate","partial"),INDEX(Fit_Matrix!$B:$B,MATCH(P2146,Fit_Matrix!$A:$A,0))),"CHECK KEY"))</f>
        <v/>
      </c>
    </row>
    <row r="2147" customFormat="false" ht="15" hidden="false" customHeight="true" outlineLevel="0" collapsed="false">
      <c r="P2147" s="1" t="str">
        <f aca="false">IF(OR(F2147="",H2147="",J2147=""),"",J2147&amp;"|"&amp;F2147&amp;"|"&amp;IF(H2147="W3","W3_"&amp;IF(I2147="","unknown",I2147),H2147))</f>
        <v/>
      </c>
      <c r="Q2147" s="1" t="str">
        <f aca="false">IF(P2147="","",IFERROR(IF(AND(H2147="W7",OR(F2147="causal",F2147="predictive")),IF(AND(K2147=1,L2147=1,M2147=1),"adequate","partial"),INDEX(Fit_Matrix!$B:$B,MATCH(P2147,Fit_Matrix!$A:$A,0))),"CHECK KEY"))</f>
        <v/>
      </c>
    </row>
    <row r="2148" customFormat="false" ht="15" hidden="false" customHeight="true" outlineLevel="0" collapsed="false">
      <c r="P2148" s="1" t="str">
        <f aca="false">IF(OR(F2148="",H2148="",J2148=""),"",J2148&amp;"|"&amp;F2148&amp;"|"&amp;IF(H2148="W3","W3_"&amp;IF(I2148="","unknown",I2148),H2148))</f>
        <v/>
      </c>
      <c r="Q2148" s="1" t="str">
        <f aca="false">IF(P2148="","",IFERROR(IF(AND(H2148="W7",OR(F2148="causal",F2148="predictive")),IF(AND(K2148=1,L2148=1,M2148=1),"adequate","partial"),INDEX(Fit_Matrix!$B:$B,MATCH(P2148,Fit_Matrix!$A:$A,0))),"CHECK KEY"))</f>
        <v/>
      </c>
    </row>
    <row r="2149" customFormat="false" ht="15" hidden="false" customHeight="true" outlineLevel="0" collapsed="false">
      <c r="P2149" s="1" t="str">
        <f aca="false">IF(OR(F2149="",H2149="",J2149=""),"",J2149&amp;"|"&amp;F2149&amp;"|"&amp;IF(H2149="W3","W3_"&amp;IF(I2149="","unknown",I2149),H2149))</f>
        <v/>
      </c>
      <c r="Q2149" s="1" t="str">
        <f aca="false">IF(P2149="","",IFERROR(IF(AND(H2149="W7",OR(F2149="causal",F2149="predictive")),IF(AND(K2149=1,L2149=1,M2149=1),"adequate","partial"),INDEX(Fit_Matrix!$B:$B,MATCH(P2149,Fit_Matrix!$A:$A,0))),"CHECK KEY"))</f>
        <v/>
      </c>
    </row>
    <row r="2150" customFormat="false" ht="15" hidden="false" customHeight="true" outlineLevel="0" collapsed="false">
      <c r="P2150" s="1" t="str">
        <f aca="false">IF(OR(F2150="",H2150="",J2150=""),"",J2150&amp;"|"&amp;F2150&amp;"|"&amp;IF(H2150="W3","W3_"&amp;IF(I2150="","unknown",I2150),H2150))</f>
        <v/>
      </c>
      <c r="Q2150" s="1" t="str">
        <f aca="false">IF(P2150="","",IFERROR(IF(AND(H2150="W7",OR(F2150="causal",F2150="predictive")),IF(AND(K2150=1,L2150=1,M2150=1),"adequate","partial"),INDEX(Fit_Matrix!$B:$B,MATCH(P2150,Fit_Matrix!$A:$A,0))),"CHECK KEY"))</f>
        <v/>
      </c>
    </row>
    <row r="2151" customFormat="false" ht="15" hidden="false" customHeight="true" outlineLevel="0" collapsed="false">
      <c r="P2151" s="1" t="str">
        <f aca="false">IF(OR(F2151="",H2151="",J2151=""),"",J2151&amp;"|"&amp;F2151&amp;"|"&amp;IF(H2151="W3","W3_"&amp;IF(I2151="","unknown",I2151),H2151))</f>
        <v/>
      </c>
      <c r="Q2151" s="1" t="str">
        <f aca="false">IF(P2151="","",IFERROR(IF(AND(H2151="W7",OR(F2151="causal",F2151="predictive")),IF(AND(K2151=1,L2151=1,M2151=1),"adequate","partial"),INDEX(Fit_Matrix!$B:$B,MATCH(P2151,Fit_Matrix!$A:$A,0))),"CHECK KEY"))</f>
        <v/>
      </c>
    </row>
    <row r="2152" customFormat="false" ht="15" hidden="false" customHeight="true" outlineLevel="0" collapsed="false">
      <c r="P2152" s="1" t="str">
        <f aca="false">IF(OR(F2152="",H2152="",J2152=""),"",J2152&amp;"|"&amp;F2152&amp;"|"&amp;IF(H2152="W3","W3_"&amp;IF(I2152="","unknown",I2152),H2152))</f>
        <v/>
      </c>
      <c r="Q2152" s="1" t="str">
        <f aca="false">IF(P2152="","",IFERROR(IF(AND(H2152="W7",OR(F2152="causal",F2152="predictive")),IF(AND(K2152=1,L2152=1,M2152=1),"adequate","partial"),INDEX(Fit_Matrix!$B:$B,MATCH(P2152,Fit_Matrix!$A:$A,0))),"CHECK KEY"))</f>
        <v/>
      </c>
    </row>
    <row r="2153" customFormat="false" ht="15" hidden="false" customHeight="true" outlineLevel="0" collapsed="false">
      <c r="P2153" s="1" t="str">
        <f aca="false">IF(OR(F2153="",H2153="",J2153=""),"",J2153&amp;"|"&amp;F2153&amp;"|"&amp;IF(H2153="W3","W3_"&amp;IF(I2153="","unknown",I2153),H2153))</f>
        <v/>
      </c>
      <c r="Q2153" s="1" t="str">
        <f aca="false">IF(P2153="","",IFERROR(IF(AND(H2153="W7",OR(F2153="causal",F2153="predictive")),IF(AND(K2153=1,L2153=1,M2153=1),"adequate","partial"),INDEX(Fit_Matrix!$B:$B,MATCH(P2153,Fit_Matrix!$A:$A,0))),"CHECK KEY"))</f>
        <v/>
      </c>
    </row>
    <row r="2154" customFormat="false" ht="15" hidden="false" customHeight="true" outlineLevel="0" collapsed="false">
      <c r="P2154" s="1" t="str">
        <f aca="false">IF(OR(F2154="",H2154="",J2154=""),"",J2154&amp;"|"&amp;F2154&amp;"|"&amp;IF(H2154="W3","W3_"&amp;IF(I2154="","unknown",I2154),H2154))</f>
        <v/>
      </c>
      <c r="Q2154" s="1" t="str">
        <f aca="false">IF(P2154="","",IFERROR(IF(AND(H2154="W7",OR(F2154="causal",F2154="predictive")),IF(AND(K2154=1,L2154=1,M2154=1),"adequate","partial"),INDEX(Fit_Matrix!$B:$B,MATCH(P2154,Fit_Matrix!$A:$A,0))),"CHECK KEY"))</f>
        <v/>
      </c>
    </row>
    <row r="2155" customFormat="false" ht="15" hidden="false" customHeight="true" outlineLevel="0" collapsed="false">
      <c r="P2155" s="1" t="str">
        <f aca="false">IF(OR(F2155="",H2155="",J2155=""),"",J2155&amp;"|"&amp;F2155&amp;"|"&amp;IF(H2155="W3","W3_"&amp;IF(I2155="","unknown",I2155),H2155))</f>
        <v/>
      </c>
      <c r="Q2155" s="1" t="str">
        <f aca="false">IF(P2155="","",IFERROR(IF(AND(H2155="W7",OR(F2155="causal",F2155="predictive")),IF(AND(K2155=1,L2155=1,M2155=1),"adequate","partial"),INDEX(Fit_Matrix!$B:$B,MATCH(P2155,Fit_Matrix!$A:$A,0))),"CHECK KEY"))</f>
        <v/>
      </c>
    </row>
    <row r="2156" customFormat="false" ht="15" hidden="false" customHeight="true" outlineLevel="0" collapsed="false">
      <c r="P2156" s="1" t="str">
        <f aca="false">IF(OR(F2156="",H2156="",J2156=""),"",J2156&amp;"|"&amp;F2156&amp;"|"&amp;IF(H2156="W3","W3_"&amp;IF(I2156="","unknown",I2156),H2156))</f>
        <v/>
      </c>
      <c r="Q2156" s="1" t="str">
        <f aca="false">IF(P2156="","",IFERROR(IF(AND(H2156="W7",OR(F2156="causal",F2156="predictive")),IF(AND(K2156=1,L2156=1,M2156=1),"adequate","partial"),INDEX(Fit_Matrix!$B:$B,MATCH(P2156,Fit_Matrix!$A:$A,0))),"CHECK KEY"))</f>
        <v/>
      </c>
    </row>
    <row r="2157" customFormat="false" ht="15" hidden="false" customHeight="true" outlineLevel="0" collapsed="false">
      <c r="P2157" s="1" t="str">
        <f aca="false">IF(OR(F2157="",H2157="",J2157=""),"",J2157&amp;"|"&amp;F2157&amp;"|"&amp;IF(H2157="W3","W3_"&amp;IF(I2157="","unknown",I2157),H2157))</f>
        <v/>
      </c>
      <c r="Q2157" s="1" t="str">
        <f aca="false">IF(P2157="","",IFERROR(IF(AND(H2157="W7",OR(F2157="causal",F2157="predictive")),IF(AND(K2157=1,L2157=1,M2157=1),"adequate","partial"),INDEX(Fit_Matrix!$B:$B,MATCH(P2157,Fit_Matrix!$A:$A,0))),"CHECK KEY"))</f>
        <v/>
      </c>
    </row>
    <row r="2158" customFormat="false" ht="15" hidden="false" customHeight="true" outlineLevel="0" collapsed="false">
      <c r="P2158" s="1" t="str">
        <f aca="false">IF(OR(F2158="",H2158="",J2158=""),"",J2158&amp;"|"&amp;F2158&amp;"|"&amp;IF(H2158="W3","W3_"&amp;IF(I2158="","unknown",I2158),H2158))</f>
        <v/>
      </c>
      <c r="Q2158" s="1" t="str">
        <f aca="false">IF(P2158="","",IFERROR(IF(AND(H2158="W7",OR(F2158="causal",F2158="predictive")),IF(AND(K2158=1,L2158=1,M2158=1),"adequate","partial"),INDEX(Fit_Matrix!$B:$B,MATCH(P2158,Fit_Matrix!$A:$A,0))),"CHECK KEY"))</f>
        <v/>
      </c>
    </row>
    <row r="2159" customFormat="false" ht="15" hidden="false" customHeight="true" outlineLevel="0" collapsed="false">
      <c r="P2159" s="1" t="str">
        <f aca="false">IF(OR(F2159="",H2159="",J2159=""),"",J2159&amp;"|"&amp;F2159&amp;"|"&amp;IF(H2159="W3","W3_"&amp;IF(I2159="","unknown",I2159),H2159))</f>
        <v/>
      </c>
      <c r="Q2159" s="1" t="str">
        <f aca="false">IF(P2159="","",IFERROR(IF(AND(H2159="W7",OR(F2159="causal",F2159="predictive")),IF(AND(K2159=1,L2159=1,M2159=1),"adequate","partial"),INDEX(Fit_Matrix!$B:$B,MATCH(P2159,Fit_Matrix!$A:$A,0))),"CHECK KEY"))</f>
        <v/>
      </c>
    </row>
    <row r="2160" customFormat="false" ht="15" hidden="false" customHeight="true" outlineLevel="0" collapsed="false">
      <c r="P2160" s="1" t="str">
        <f aca="false">IF(OR(F2160="",H2160="",J2160=""),"",J2160&amp;"|"&amp;F2160&amp;"|"&amp;IF(H2160="W3","W3_"&amp;IF(I2160="","unknown",I2160),H2160))</f>
        <v/>
      </c>
      <c r="Q2160" s="1" t="str">
        <f aca="false">IF(P2160="","",IFERROR(IF(AND(H2160="W7",OR(F2160="causal",F2160="predictive")),IF(AND(K2160=1,L2160=1,M2160=1),"adequate","partial"),INDEX(Fit_Matrix!$B:$B,MATCH(P2160,Fit_Matrix!$A:$A,0))),"CHECK KEY"))</f>
        <v/>
      </c>
    </row>
    <row r="2161" customFormat="false" ht="15" hidden="false" customHeight="true" outlineLevel="0" collapsed="false">
      <c r="P2161" s="1" t="str">
        <f aca="false">IF(OR(F2161="",H2161="",J2161=""),"",J2161&amp;"|"&amp;F2161&amp;"|"&amp;IF(H2161="W3","W3_"&amp;IF(I2161="","unknown",I2161),H2161))</f>
        <v/>
      </c>
      <c r="Q2161" s="1" t="str">
        <f aca="false">IF(P2161="","",IFERROR(IF(AND(H2161="W7",OR(F2161="causal",F2161="predictive")),IF(AND(K2161=1,L2161=1,M2161=1),"adequate","partial"),INDEX(Fit_Matrix!$B:$B,MATCH(P2161,Fit_Matrix!$A:$A,0))),"CHECK KEY"))</f>
        <v/>
      </c>
    </row>
    <row r="2162" customFormat="false" ht="15" hidden="false" customHeight="true" outlineLevel="0" collapsed="false">
      <c r="P2162" s="1" t="str">
        <f aca="false">IF(OR(F2162="",H2162="",J2162=""),"",J2162&amp;"|"&amp;F2162&amp;"|"&amp;IF(H2162="W3","W3_"&amp;IF(I2162="","unknown",I2162),H2162))</f>
        <v/>
      </c>
      <c r="Q2162" s="1" t="str">
        <f aca="false">IF(P2162="","",IFERROR(IF(AND(H2162="W7",OR(F2162="causal",F2162="predictive")),IF(AND(K2162=1,L2162=1,M2162=1),"adequate","partial"),INDEX(Fit_Matrix!$B:$B,MATCH(P2162,Fit_Matrix!$A:$A,0))),"CHECK KEY"))</f>
        <v/>
      </c>
    </row>
    <row r="2163" customFormat="false" ht="15" hidden="false" customHeight="true" outlineLevel="0" collapsed="false">
      <c r="P2163" s="1" t="str">
        <f aca="false">IF(OR(F2163="",H2163="",J2163=""),"",J2163&amp;"|"&amp;F2163&amp;"|"&amp;IF(H2163="W3","W3_"&amp;IF(I2163="","unknown",I2163),H2163))</f>
        <v/>
      </c>
      <c r="Q2163" s="1" t="str">
        <f aca="false">IF(P2163="","",IFERROR(IF(AND(H2163="W7",OR(F2163="causal",F2163="predictive")),IF(AND(K2163=1,L2163=1,M2163=1),"adequate","partial"),INDEX(Fit_Matrix!$B:$B,MATCH(P2163,Fit_Matrix!$A:$A,0))),"CHECK KEY"))</f>
        <v/>
      </c>
    </row>
    <row r="2164" customFormat="false" ht="15" hidden="false" customHeight="true" outlineLevel="0" collapsed="false">
      <c r="P2164" s="1" t="str">
        <f aca="false">IF(OR(F2164="",H2164="",J2164=""),"",J2164&amp;"|"&amp;F2164&amp;"|"&amp;IF(H2164="W3","W3_"&amp;IF(I2164="","unknown",I2164),H2164))</f>
        <v/>
      </c>
      <c r="Q2164" s="1" t="str">
        <f aca="false">IF(P2164="","",IFERROR(IF(AND(H2164="W7",OR(F2164="causal",F2164="predictive")),IF(AND(K2164=1,L2164=1,M2164=1),"adequate","partial"),INDEX(Fit_Matrix!$B:$B,MATCH(P2164,Fit_Matrix!$A:$A,0))),"CHECK KEY"))</f>
        <v/>
      </c>
    </row>
    <row r="2165" customFormat="false" ht="15" hidden="false" customHeight="true" outlineLevel="0" collapsed="false">
      <c r="P2165" s="1" t="str">
        <f aca="false">IF(OR(F2165="",H2165="",J2165=""),"",J2165&amp;"|"&amp;F2165&amp;"|"&amp;IF(H2165="W3","W3_"&amp;IF(I2165="","unknown",I2165),H2165))</f>
        <v/>
      </c>
      <c r="Q2165" s="1" t="str">
        <f aca="false">IF(P2165="","",IFERROR(IF(AND(H2165="W7",OR(F2165="causal",F2165="predictive")),IF(AND(K2165=1,L2165=1,M2165=1),"adequate","partial"),INDEX(Fit_Matrix!$B:$B,MATCH(P2165,Fit_Matrix!$A:$A,0))),"CHECK KEY"))</f>
        <v/>
      </c>
    </row>
    <row r="2166" customFormat="false" ht="15" hidden="false" customHeight="true" outlineLevel="0" collapsed="false">
      <c r="P2166" s="1" t="str">
        <f aca="false">IF(OR(F2166="",H2166="",J2166=""),"",J2166&amp;"|"&amp;F2166&amp;"|"&amp;IF(H2166="W3","W3_"&amp;IF(I2166="","unknown",I2166),H2166))</f>
        <v/>
      </c>
      <c r="Q2166" s="1" t="str">
        <f aca="false">IF(P2166="","",IFERROR(IF(AND(H2166="W7",OR(F2166="causal",F2166="predictive")),IF(AND(K2166=1,L2166=1,M2166=1),"adequate","partial"),INDEX(Fit_Matrix!$B:$B,MATCH(P2166,Fit_Matrix!$A:$A,0))),"CHECK KEY"))</f>
        <v/>
      </c>
    </row>
    <row r="2167" customFormat="false" ht="15" hidden="false" customHeight="true" outlineLevel="0" collapsed="false">
      <c r="P2167" s="1" t="str">
        <f aca="false">IF(OR(F2167="",H2167="",J2167=""),"",J2167&amp;"|"&amp;F2167&amp;"|"&amp;IF(H2167="W3","W3_"&amp;IF(I2167="","unknown",I2167),H2167))</f>
        <v/>
      </c>
      <c r="Q2167" s="1" t="str">
        <f aca="false">IF(P2167="","",IFERROR(IF(AND(H2167="W7",OR(F2167="causal",F2167="predictive")),IF(AND(K2167=1,L2167=1,M2167=1),"adequate","partial"),INDEX(Fit_Matrix!$B:$B,MATCH(P2167,Fit_Matrix!$A:$A,0))),"CHECK KEY"))</f>
        <v/>
      </c>
    </row>
    <row r="2168" customFormat="false" ht="15" hidden="false" customHeight="true" outlineLevel="0" collapsed="false">
      <c r="P2168" s="1" t="str">
        <f aca="false">IF(OR(F2168="",H2168="",J2168=""),"",J2168&amp;"|"&amp;F2168&amp;"|"&amp;IF(H2168="W3","W3_"&amp;IF(I2168="","unknown",I2168),H2168))</f>
        <v/>
      </c>
      <c r="Q2168" s="1" t="str">
        <f aca="false">IF(P2168="","",IFERROR(IF(AND(H2168="W7",OR(F2168="causal",F2168="predictive")),IF(AND(K2168=1,L2168=1,M2168=1),"adequate","partial"),INDEX(Fit_Matrix!$B:$B,MATCH(P2168,Fit_Matrix!$A:$A,0))),"CHECK KEY"))</f>
        <v/>
      </c>
    </row>
    <row r="2169" customFormat="false" ht="15" hidden="false" customHeight="true" outlineLevel="0" collapsed="false">
      <c r="P2169" s="1" t="str">
        <f aca="false">IF(OR(F2169="",H2169="",J2169=""),"",J2169&amp;"|"&amp;F2169&amp;"|"&amp;IF(H2169="W3","W3_"&amp;IF(I2169="","unknown",I2169),H2169))</f>
        <v/>
      </c>
      <c r="Q2169" s="1" t="str">
        <f aca="false">IF(P2169="","",IFERROR(IF(AND(H2169="W7",OR(F2169="causal",F2169="predictive")),IF(AND(K2169=1,L2169=1,M2169=1),"adequate","partial"),INDEX(Fit_Matrix!$B:$B,MATCH(P2169,Fit_Matrix!$A:$A,0))),"CHECK KEY"))</f>
        <v/>
      </c>
    </row>
    <row r="2170" customFormat="false" ht="15" hidden="false" customHeight="true" outlineLevel="0" collapsed="false">
      <c r="P2170" s="1" t="str">
        <f aca="false">IF(OR(F2170="",H2170="",J2170=""),"",J2170&amp;"|"&amp;F2170&amp;"|"&amp;IF(H2170="W3","W3_"&amp;IF(I2170="","unknown",I2170),H2170))</f>
        <v/>
      </c>
      <c r="Q2170" s="1" t="str">
        <f aca="false">IF(P2170="","",IFERROR(IF(AND(H2170="W7",OR(F2170="causal",F2170="predictive")),IF(AND(K2170=1,L2170=1,M2170=1),"adequate","partial"),INDEX(Fit_Matrix!$B:$B,MATCH(P2170,Fit_Matrix!$A:$A,0))),"CHECK KEY"))</f>
        <v/>
      </c>
    </row>
    <row r="2171" customFormat="false" ht="15" hidden="false" customHeight="true" outlineLevel="0" collapsed="false">
      <c r="P2171" s="1" t="str">
        <f aca="false">IF(OR(F2171="",H2171="",J2171=""),"",J2171&amp;"|"&amp;F2171&amp;"|"&amp;IF(H2171="W3","W3_"&amp;IF(I2171="","unknown",I2171),H2171))</f>
        <v/>
      </c>
      <c r="Q2171" s="1" t="str">
        <f aca="false">IF(P2171="","",IFERROR(IF(AND(H2171="W7",OR(F2171="causal",F2171="predictive")),IF(AND(K2171=1,L2171=1,M2171=1),"adequate","partial"),INDEX(Fit_Matrix!$B:$B,MATCH(P2171,Fit_Matrix!$A:$A,0))),"CHECK KEY"))</f>
        <v/>
      </c>
    </row>
    <row r="2172" customFormat="false" ht="15" hidden="false" customHeight="true" outlineLevel="0" collapsed="false">
      <c r="P2172" s="1" t="str">
        <f aca="false">IF(OR(F2172="",H2172="",J2172=""),"",J2172&amp;"|"&amp;F2172&amp;"|"&amp;IF(H2172="W3","W3_"&amp;IF(I2172="","unknown",I2172),H2172))</f>
        <v/>
      </c>
      <c r="Q2172" s="1" t="str">
        <f aca="false">IF(P2172="","",IFERROR(IF(AND(H2172="W7",OR(F2172="causal",F2172="predictive")),IF(AND(K2172=1,L2172=1,M2172=1),"adequate","partial"),INDEX(Fit_Matrix!$B:$B,MATCH(P2172,Fit_Matrix!$A:$A,0))),"CHECK KEY"))</f>
        <v/>
      </c>
    </row>
    <row r="2173" customFormat="false" ht="15" hidden="false" customHeight="true" outlineLevel="0" collapsed="false">
      <c r="P2173" s="1" t="str">
        <f aca="false">IF(OR(F2173="",H2173="",J2173=""),"",J2173&amp;"|"&amp;F2173&amp;"|"&amp;IF(H2173="W3","W3_"&amp;IF(I2173="","unknown",I2173),H2173))</f>
        <v/>
      </c>
      <c r="Q2173" s="1" t="str">
        <f aca="false">IF(P2173="","",IFERROR(IF(AND(H2173="W7",OR(F2173="causal",F2173="predictive")),IF(AND(K2173=1,L2173=1,M2173=1),"adequate","partial"),INDEX(Fit_Matrix!$B:$B,MATCH(P2173,Fit_Matrix!$A:$A,0))),"CHECK KEY"))</f>
        <v/>
      </c>
    </row>
    <row r="2174" customFormat="false" ht="15" hidden="false" customHeight="true" outlineLevel="0" collapsed="false">
      <c r="P2174" s="1" t="str">
        <f aca="false">IF(OR(F2174="",H2174="",J2174=""),"",J2174&amp;"|"&amp;F2174&amp;"|"&amp;IF(H2174="W3","W3_"&amp;IF(I2174="","unknown",I2174),H2174))</f>
        <v/>
      </c>
      <c r="Q2174" s="1" t="str">
        <f aca="false">IF(P2174="","",IFERROR(IF(AND(H2174="W7",OR(F2174="causal",F2174="predictive")),IF(AND(K2174=1,L2174=1,M2174=1),"adequate","partial"),INDEX(Fit_Matrix!$B:$B,MATCH(P2174,Fit_Matrix!$A:$A,0))),"CHECK KEY"))</f>
        <v/>
      </c>
    </row>
    <row r="2175" customFormat="false" ht="15" hidden="false" customHeight="true" outlineLevel="0" collapsed="false">
      <c r="P2175" s="1" t="str">
        <f aca="false">IF(OR(F2175="",H2175="",J2175=""),"",J2175&amp;"|"&amp;F2175&amp;"|"&amp;IF(H2175="W3","W3_"&amp;IF(I2175="","unknown",I2175),H2175))</f>
        <v/>
      </c>
      <c r="Q2175" s="1" t="str">
        <f aca="false">IF(P2175="","",IFERROR(IF(AND(H2175="W7",OR(F2175="causal",F2175="predictive")),IF(AND(K2175=1,L2175=1,M2175=1),"adequate","partial"),INDEX(Fit_Matrix!$B:$B,MATCH(P2175,Fit_Matrix!$A:$A,0))),"CHECK KEY"))</f>
        <v/>
      </c>
    </row>
    <row r="2176" customFormat="false" ht="15" hidden="false" customHeight="true" outlineLevel="0" collapsed="false">
      <c r="P2176" s="1" t="str">
        <f aca="false">IF(OR(F2176="",H2176="",J2176=""),"",J2176&amp;"|"&amp;F2176&amp;"|"&amp;IF(H2176="W3","W3_"&amp;IF(I2176="","unknown",I2176),H2176))</f>
        <v/>
      </c>
      <c r="Q2176" s="1" t="str">
        <f aca="false">IF(P2176="","",IFERROR(IF(AND(H2176="W7",OR(F2176="causal",F2176="predictive")),IF(AND(K2176=1,L2176=1,M2176=1),"adequate","partial"),INDEX(Fit_Matrix!$B:$B,MATCH(P2176,Fit_Matrix!$A:$A,0))),"CHECK KEY"))</f>
        <v/>
      </c>
    </row>
    <row r="2177" customFormat="false" ht="15" hidden="false" customHeight="true" outlineLevel="0" collapsed="false">
      <c r="P2177" s="1" t="str">
        <f aca="false">IF(OR(F2177="",H2177="",J2177=""),"",J2177&amp;"|"&amp;F2177&amp;"|"&amp;IF(H2177="W3","W3_"&amp;IF(I2177="","unknown",I2177),H2177))</f>
        <v/>
      </c>
      <c r="Q2177" s="1" t="str">
        <f aca="false">IF(P2177="","",IFERROR(IF(AND(H2177="W7",OR(F2177="causal",F2177="predictive")),IF(AND(K2177=1,L2177=1,M2177=1),"adequate","partial"),INDEX(Fit_Matrix!$B:$B,MATCH(P2177,Fit_Matrix!$A:$A,0))),"CHECK KEY"))</f>
        <v/>
      </c>
    </row>
    <row r="2178" customFormat="false" ht="15" hidden="false" customHeight="true" outlineLevel="0" collapsed="false">
      <c r="P2178" s="1" t="str">
        <f aca="false">IF(OR(F2178="",H2178="",J2178=""),"",J2178&amp;"|"&amp;F2178&amp;"|"&amp;IF(H2178="W3","W3_"&amp;IF(I2178="","unknown",I2178),H2178))</f>
        <v/>
      </c>
      <c r="Q2178" s="1" t="str">
        <f aca="false">IF(P2178="","",IFERROR(IF(AND(H2178="W7",OR(F2178="causal",F2178="predictive")),IF(AND(K2178=1,L2178=1,M2178=1),"adequate","partial"),INDEX(Fit_Matrix!$B:$B,MATCH(P2178,Fit_Matrix!$A:$A,0))),"CHECK KEY"))</f>
        <v/>
      </c>
    </row>
    <row r="2179" customFormat="false" ht="15" hidden="false" customHeight="true" outlineLevel="0" collapsed="false">
      <c r="P2179" s="1" t="str">
        <f aca="false">IF(OR(F2179="",H2179="",J2179=""),"",J2179&amp;"|"&amp;F2179&amp;"|"&amp;IF(H2179="W3","W3_"&amp;IF(I2179="","unknown",I2179),H2179))</f>
        <v/>
      </c>
      <c r="Q2179" s="1" t="str">
        <f aca="false">IF(P2179="","",IFERROR(IF(AND(H2179="W7",OR(F2179="causal",F2179="predictive")),IF(AND(K2179=1,L2179=1,M2179=1),"adequate","partial"),INDEX(Fit_Matrix!$B:$B,MATCH(P2179,Fit_Matrix!$A:$A,0))),"CHECK KEY"))</f>
        <v/>
      </c>
    </row>
    <row r="2180" customFormat="false" ht="15" hidden="false" customHeight="true" outlineLevel="0" collapsed="false">
      <c r="P2180" s="1" t="str">
        <f aca="false">IF(OR(F2180="",H2180="",J2180=""),"",J2180&amp;"|"&amp;F2180&amp;"|"&amp;IF(H2180="W3","W3_"&amp;IF(I2180="","unknown",I2180),H2180))</f>
        <v/>
      </c>
      <c r="Q2180" s="1" t="str">
        <f aca="false">IF(P2180="","",IFERROR(IF(AND(H2180="W7",OR(F2180="causal",F2180="predictive")),IF(AND(K2180=1,L2180=1,M2180=1),"adequate","partial"),INDEX(Fit_Matrix!$B:$B,MATCH(P2180,Fit_Matrix!$A:$A,0))),"CHECK KEY"))</f>
        <v/>
      </c>
    </row>
    <row r="2181" customFormat="false" ht="15" hidden="false" customHeight="true" outlineLevel="0" collapsed="false">
      <c r="P2181" s="1" t="str">
        <f aca="false">IF(OR(F2181="",H2181="",J2181=""),"",J2181&amp;"|"&amp;F2181&amp;"|"&amp;IF(H2181="W3","W3_"&amp;IF(I2181="","unknown",I2181),H2181))</f>
        <v/>
      </c>
      <c r="Q2181" s="1" t="str">
        <f aca="false">IF(P2181="","",IFERROR(IF(AND(H2181="W7",OR(F2181="causal",F2181="predictive")),IF(AND(K2181=1,L2181=1,M2181=1),"adequate","partial"),INDEX(Fit_Matrix!$B:$B,MATCH(P2181,Fit_Matrix!$A:$A,0))),"CHECK KEY"))</f>
        <v/>
      </c>
    </row>
    <row r="2182" customFormat="false" ht="15" hidden="false" customHeight="true" outlineLevel="0" collapsed="false">
      <c r="P2182" s="1" t="str">
        <f aca="false">IF(OR(F2182="",H2182="",J2182=""),"",J2182&amp;"|"&amp;F2182&amp;"|"&amp;IF(H2182="W3","W3_"&amp;IF(I2182="","unknown",I2182),H2182))</f>
        <v/>
      </c>
      <c r="Q2182" s="1" t="str">
        <f aca="false">IF(P2182="","",IFERROR(IF(AND(H2182="W7",OR(F2182="causal",F2182="predictive")),IF(AND(K2182=1,L2182=1,M2182=1),"adequate","partial"),INDEX(Fit_Matrix!$B:$B,MATCH(P2182,Fit_Matrix!$A:$A,0))),"CHECK KEY"))</f>
        <v/>
      </c>
    </row>
    <row r="2183" customFormat="false" ht="15" hidden="false" customHeight="true" outlineLevel="0" collapsed="false">
      <c r="P2183" s="1" t="str">
        <f aca="false">IF(OR(F2183="",H2183="",J2183=""),"",J2183&amp;"|"&amp;F2183&amp;"|"&amp;IF(H2183="W3","W3_"&amp;IF(I2183="","unknown",I2183),H2183))</f>
        <v/>
      </c>
      <c r="Q2183" s="1" t="str">
        <f aca="false">IF(P2183="","",IFERROR(IF(AND(H2183="W7",OR(F2183="causal",F2183="predictive")),IF(AND(K2183=1,L2183=1,M2183=1),"adequate","partial"),INDEX(Fit_Matrix!$B:$B,MATCH(P2183,Fit_Matrix!$A:$A,0))),"CHECK KEY"))</f>
        <v/>
      </c>
    </row>
    <row r="2184" customFormat="false" ht="15" hidden="false" customHeight="true" outlineLevel="0" collapsed="false">
      <c r="P2184" s="1" t="str">
        <f aca="false">IF(OR(F2184="",H2184="",J2184=""),"",J2184&amp;"|"&amp;F2184&amp;"|"&amp;IF(H2184="W3","W3_"&amp;IF(I2184="","unknown",I2184),H2184))</f>
        <v/>
      </c>
      <c r="Q2184" s="1" t="str">
        <f aca="false">IF(P2184="","",IFERROR(IF(AND(H2184="W7",OR(F2184="causal",F2184="predictive")),IF(AND(K2184=1,L2184=1,M2184=1),"adequate","partial"),INDEX(Fit_Matrix!$B:$B,MATCH(P2184,Fit_Matrix!$A:$A,0))),"CHECK KEY"))</f>
        <v/>
      </c>
    </row>
    <row r="2185" customFormat="false" ht="15" hidden="false" customHeight="true" outlineLevel="0" collapsed="false">
      <c r="P2185" s="1" t="str">
        <f aca="false">IF(OR(F2185="",H2185="",J2185=""),"",J2185&amp;"|"&amp;F2185&amp;"|"&amp;IF(H2185="W3","W3_"&amp;IF(I2185="","unknown",I2185),H2185))</f>
        <v/>
      </c>
      <c r="Q2185" s="1" t="str">
        <f aca="false">IF(P2185="","",IFERROR(IF(AND(H2185="W7",OR(F2185="causal",F2185="predictive")),IF(AND(K2185=1,L2185=1,M2185=1),"adequate","partial"),INDEX(Fit_Matrix!$B:$B,MATCH(P2185,Fit_Matrix!$A:$A,0))),"CHECK KEY"))</f>
        <v/>
      </c>
    </row>
    <row r="2186" customFormat="false" ht="15" hidden="false" customHeight="true" outlineLevel="0" collapsed="false">
      <c r="P2186" s="1" t="str">
        <f aca="false">IF(OR(F2186="",H2186="",J2186=""),"",J2186&amp;"|"&amp;F2186&amp;"|"&amp;IF(H2186="W3","W3_"&amp;IF(I2186="","unknown",I2186),H2186))</f>
        <v/>
      </c>
      <c r="Q2186" s="1" t="str">
        <f aca="false">IF(P2186="","",IFERROR(IF(AND(H2186="W7",OR(F2186="causal",F2186="predictive")),IF(AND(K2186=1,L2186=1,M2186=1),"adequate","partial"),INDEX(Fit_Matrix!$B:$B,MATCH(P2186,Fit_Matrix!$A:$A,0))),"CHECK KEY"))</f>
        <v/>
      </c>
    </row>
    <row r="2187" customFormat="false" ht="15" hidden="false" customHeight="true" outlineLevel="0" collapsed="false">
      <c r="P2187" s="1" t="str">
        <f aca="false">IF(OR(F2187="",H2187="",J2187=""),"",J2187&amp;"|"&amp;F2187&amp;"|"&amp;IF(H2187="W3","W3_"&amp;IF(I2187="","unknown",I2187),H2187))</f>
        <v/>
      </c>
      <c r="Q2187" s="1" t="str">
        <f aca="false">IF(P2187="","",IFERROR(IF(AND(H2187="W7",OR(F2187="causal",F2187="predictive")),IF(AND(K2187=1,L2187=1,M2187=1),"adequate","partial"),INDEX(Fit_Matrix!$B:$B,MATCH(P2187,Fit_Matrix!$A:$A,0))),"CHECK KEY"))</f>
        <v/>
      </c>
    </row>
    <row r="2188" customFormat="false" ht="15" hidden="false" customHeight="true" outlineLevel="0" collapsed="false">
      <c r="P2188" s="1" t="str">
        <f aca="false">IF(OR(F2188="",H2188="",J2188=""),"",J2188&amp;"|"&amp;F2188&amp;"|"&amp;IF(H2188="W3","W3_"&amp;IF(I2188="","unknown",I2188),H2188))</f>
        <v/>
      </c>
      <c r="Q2188" s="1" t="str">
        <f aca="false">IF(P2188="","",IFERROR(IF(AND(H2188="W7",OR(F2188="causal",F2188="predictive")),IF(AND(K2188=1,L2188=1,M2188=1),"adequate","partial"),INDEX(Fit_Matrix!$B:$B,MATCH(P2188,Fit_Matrix!$A:$A,0))),"CHECK KEY"))</f>
        <v/>
      </c>
    </row>
    <row r="2189" customFormat="false" ht="15" hidden="false" customHeight="true" outlineLevel="0" collapsed="false">
      <c r="P2189" s="1" t="str">
        <f aca="false">IF(OR(F2189="",H2189="",J2189=""),"",J2189&amp;"|"&amp;F2189&amp;"|"&amp;IF(H2189="W3","W3_"&amp;IF(I2189="","unknown",I2189),H2189))</f>
        <v/>
      </c>
      <c r="Q2189" s="1" t="str">
        <f aca="false">IF(P2189="","",IFERROR(IF(AND(H2189="W7",OR(F2189="causal",F2189="predictive")),IF(AND(K2189=1,L2189=1,M2189=1),"adequate","partial"),INDEX(Fit_Matrix!$B:$B,MATCH(P2189,Fit_Matrix!$A:$A,0))),"CHECK KEY"))</f>
        <v/>
      </c>
    </row>
    <row r="2190" customFormat="false" ht="15" hidden="false" customHeight="true" outlineLevel="0" collapsed="false">
      <c r="P2190" s="1" t="str">
        <f aca="false">IF(OR(F2190="",H2190="",J2190=""),"",J2190&amp;"|"&amp;F2190&amp;"|"&amp;IF(H2190="W3","W3_"&amp;IF(I2190="","unknown",I2190),H2190))</f>
        <v/>
      </c>
      <c r="Q2190" s="1" t="str">
        <f aca="false">IF(P2190="","",IFERROR(IF(AND(H2190="W7",OR(F2190="causal",F2190="predictive")),IF(AND(K2190=1,L2190=1,M2190=1),"adequate","partial"),INDEX(Fit_Matrix!$B:$B,MATCH(P2190,Fit_Matrix!$A:$A,0))),"CHECK KEY"))</f>
        <v/>
      </c>
    </row>
    <row r="2191" customFormat="false" ht="15" hidden="false" customHeight="true" outlineLevel="0" collapsed="false">
      <c r="P2191" s="1" t="str">
        <f aca="false">IF(OR(F2191="",H2191="",J2191=""),"",J2191&amp;"|"&amp;F2191&amp;"|"&amp;IF(H2191="W3","W3_"&amp;IF(I2191="","unknown",I2191),H2191))</f>
        <v/>
      </c>
      <c r="Q2191" s="1" t="str">
        <f aca="false">IF(P2191="","",IFERROR(IF(AND(H2191="W7",OR(F2191="causal",F2191="predictive")),IF(AND(K2191=1,L2191=1,M2191=1),"adequate","partial"),INDEX(Fit_Matrix!$B:$B,MATCH(P2191,Fit_Matrix!$A:$A,0))),"CHECK KEY"))</f>
        <v/>
      </c>
    </row>
    <row r="2192" customFormat="false" ht="15" hidden="false" customHeight="true" outlineLevel="0" collapsed="false">
      <c r="P2192" s="1" t="str">
        <f aca="false">IF(OR(F2192="",H2192="",J2192=""),"",J2192&amp;"|"&amp;F2192&amp;"|"&amp;IF(H2192="W3","W3_"&amp;IF(I2192="","unknown",I2192),H2192))</f>
        <v/>
      </c>
      <c r="Q2192" s="1" t="str">
        <f aca="false">IF(P2192="","",IFERROR(IF(AND(H2192="W7",OR(F2192="causal",F2192="predictive")),IF(AND(K2192=1,L2192=1,M2192=1),"adequate","partial"),INDEX(Fit_Matrix!$B:$B,MATCH(P2192,Fit_Matrix!$A:$A,0))),"CHECK KEY"))</f>
        <v/>
      </c>
    </row>
    <row r="2193" customFormat="false" ht="15" hidden="false" customHeight="true" outlineLevel="0" collapsed="false">
      <c r="P2193" s="1" t="str">
        <f aca="false">IF(OR(F2193="",H2193="",J2193=""),"",J2193&amp;"|"&amp;F2193&amp;"|"&amp;IF(H2193="W3","W3_"&amp;IF(I2193="","unknown",I2193),H2193))</f>
        <v/>
      </c>
      <c r="Q2193" s="1" t="str">
        <f aca="false">IF(P2193="","",IFERROR(IF(AND(H2193="W7",OR(F2193="causal",F2193="predictive")),IF(AND(K2193=1,L2193=1,M2193=1),"adequate","partial"),INDEX(Fit_Matrix!$B:$B,MATCH(P2193,Fit_Matrix!$A:$A,0))),"CHECK KEY"))</f>
        <v/>
      </c>
    </row>
    <row r="2194" customFormat="false" ht="15" hidden="false" customHeight="true" outlineLevel="0" collapsed="false">
      <c r="P2194" s="1" t="str">
        <f aca="false">IF(OR(F2194="",H2194="",J2194=""),"",J2194&amp;"|"&amp;F2194&amp;"|"&amp;IF(H2194="W3","W3_"&amp;IF(I2194="","unknown",I2194),H2194))</f>
        <v/>
      </c>
      <c r="Q2194" s="1" t="str">
        <f aca="false">IF(P2194="","",IFERROR(IF(AND(H2194="W7",OR(F2194="causal",F2194="predictive")),IF(AND(K2194=1,L2194=1,M2194=1),"adequate","partial"),INDEX(Fit_Matrix!$B:$B,MATCH(P2194,Fit_Matrix!$A:$A,0))),"CHECK KEY"))</f>
        <v/>
      </c>
    </row>
    <row r="2195" customFormat="false" ht="15" hidden="false" customHeight="true" outlineLevel="0" collapsed="false">
      <c r="P2195" s="1" t="str">
        <f aca="false">IF(OR(F2195="",H2195="",J2195=""),"",J2195&amp;"|"&amp;F2195&amp;"|"&amp;IF(H2195="W3","W3_"&amp;IF(I2195="","unknown",I2195),H2195))</f>
        <v/>
      </c>
      <c r="Q2195" s="1" t="str">
        <f aca="false">IF(P2195="","",IFERROR(IF(AND(H2195="W7",OR(F2195="causal",F2195="predictive")),IF(AND(K2195=1,L2195=1,M2195=1),"adequate","partial"),INDEX(Fit_Matrix!$B:$B,MATCH(P2195,Fit_Matrix!$A:$A,0))),"CHECK KEY"))</f>
        <v/>
      </c>
    </row>
    <row r="2196" customFormat="false" ht="15" hidden="false" customHeight="true" outlineLevel="0" collapsed="false">
      <c r="P2196" s="1" t="str">
        <f aca="false">IF(OR(F2196="",H2196="",J2196=""),"",J2196&amp;"|"&amp;F2196&amp;"|"&amp;IF(H2196="W3","W3_"&amp;IF(I2196="","unknown",I2196),H2196))</f>
        <v/>
      </c>
      <c r="Q2196" s="1" t="str">
        <f aca="false">IF(P2196="","",IFERROR(IF(AND(H2196="W7",OR(F2196="causal",F2196="predictive")),IF(AND(K2196=1,L2196=1,M2196=1),"adequate","partial"),INDEX(Fit_Matrix!$B:$B,MATCH(P2196,Fit_Matrix!$A:$A,0))),"CHECK KEY"))</f>
        <v/>
      </c>
    </row>
    <row r="2197" customFormat="false" ht="15" hidden="false" customHeight="true" outlineLevel="0" collapsed="false">
      <c r="P2197" s="1" t="str">
        <f aca="false">IF(OR(F2197="",H2197="",J2197=""),"",J2197&amp;"|"&amp;F2197&amp;"|"&amp;IF(H2197="W3","W3_"&amp;IF(I2197="","unknown",I2197),H2197))</f>
        <v/>
      </c>
      <c r="Q2197" s="1" t="str">
        <f aca="false">IF(P2197="","",IFERROR(IF(AND(H2197="W7",OR(F2197="causal",F2197="predictive")),IF(AND(K2197=1,L2197=1,M2197=1),"adequate","partial"),INDEX(Fit_Matrix!$B:$B,MATCH(P2197,Fit_Matrix!$A:$A,0))),"CHECK KEY"))</f>
        <v/>
      </c>
    </row>
    <row r="2198" customFormat="false" ht="15" hidden="false" customHeight="true" outlineLevel="0" collapsed="false">
      <c r="P2198" s="1" t="str">
        <f aca="false">IF(OR(F2198="",H2198="",J2198=""),"",J2198&amp;"|"&amp;F2198&amp;"|"&amp;IF(H2198="W3","W3_"&amp;IF(I2198="","unknown",I2198),H2198))</f>
        <v/>
      </c>
      <c r="Q2198" s="1" t="str">
        <f aca="false">IF(P2198="","",IFERROR(IF(AND(H2198="W7",OR(F2198="causal",F2198="predictive")),IF(AND(K2198=1,L2198=1,M2198=1),"adequate","partial"),INDEX(Fit_Matrix!$B:$B,MATCH(P2198,Fit_Matrix!$A:$A,0))),"CHECK KEY"))</f>
        <v/>
      </c>
    </row>
    <row r="2199" customFormat="false" ht="15" hidden="false" customHeight="true" outlineLevel="0" collapsed="false">
      <c r="P2199" s="1" t="str">
        <f aca="false">IF(OR(F2199="",H2199="",J2199=""),"",J2199&amp;"|"&amp;F2199&amp;"|"&amp;IF(H2199="W3","W3_"&amp;IF(I2199="","unknown",I2199),H2199))</f>
        <v/>
      </c>
      <c r="Q2199" s="1" t="str">
        <f aca="false">IF(P2199="","",IFERROR(IF(AND(H2199="W7",OR(F2199="causal",F2199="predictive")),IF(AND(K2199=1,L2199=1,M2199=1),"adequate","partial"),INDEX(Fit_Matrix!$B:$B,MATCH(P2199,Fit_Matrix!$A:$A,0))),"CHECK KEY"))</f>
        <v/>
      </c>
    </row>
    <row r="2200" customFormat="false" ht="15" hidden="false" customHeight="true" outlineLevel="0" collapsed="false">
      <c r="P2200" s="1" t="str">
        <f aca="false">IF(OR(F2200="",H2200="",J2200=""),"",J2200&amp;"|"&amp;F2200&amp;"|"&amp;IF(H2200="W3","W3_"&amp;IF(I2200="","unknown",I2200),H2200))</f>
        <v/>
      </c>
      <c r="Q2200" s="1" t="str">
        <f aca="false">IF(P2200="","",IFERROR(IF(AND(H2200="W7",OR(F2200="causal",F2200="predictive")),IF(AND(K2200=1,L2200=1,M2200=1),"adequate","partial"),INDEX(Fit_Matrix!$B:$B,MATCH(P2200,Fit_Matrix!$A:$A,0))),"CHECK KEY"))</f>
        <v/>
      </c>
    </row>
    <row r="2201" customFormat="false" ht="15" hidden="false" customHeight="true" outlineLevel="0" collapsed="false">
      <c r="P2201" s="1" t="str">
        <f aca="false">IF(OR(F2201="",H2201="",J2201=""),"",J2201&amp;"|"&amp;F2201&amp;"|"&amp;IF(H2201="W3","W3_"&amp;IF(I2201="","unknown",I2201),H2201))</f>
        <v/>
      </c>
      <c r="Q2201" s="1" t="str">
        <f aca="false">IF(P2201="","",IFERROR(IF(AND(H2201="W7",OR(F2201="causal",F2201="predictive")),IF(AND(K2201=1,L2201=1,M2201=1),"adequate","partial"),INDEX(Fit_Matrix!$B:$B,MATCH(P2201,Fit_Matrix!$A:$A,0))),"CHECK KEY"))</f>
        <v/>
      </c>
    </row>
    <row r="2202" customFormat="false" ht="15" hidden="false" customHeight="true" outlineLevel="0" collapsed="false">
      <c r="P2202" s="1" t="str">
        <f aca="false">IF(OR(F2202="",H2202="",J2202=""),"",J2202&amp;"|"&amp;F2202&amp;"|"&amp;IF(H2202="W3","W3_"&amp;IF(I2202="","unknown",I2202),H2202))</f>
        <v/>
      </c>
      <c r="Q2202" s="1" t="str">
        <f aca="false">IF(P2202="","",IFERROR(IF(AND(H2202="W7",OR(F2202="causal",F2202="predictive")),IF(AND(K2202=1,L2202=1,M2202=1),"adequate","partial"),INDEX(Fit_Matrix!$B:$B,MATCH(P2202,Fit_Matrix!$A:$A,0))),"CHECK KEY"))</f>
        <v/>
      </c>
    </row>
    <row r="2203" customFormat="false" ht="15" hidden="false" customHeight="true" outlineLevel="0" collapsed="false">
      <c r="P2203" s="1" t="str">
        <f aca="false">IF(OR(F2203="",H2203="",J2203=""),"",J2203&amp;"|"&amp;F2203&amp;"|"&amp;IF(H2203="W3","W3_"&amp;IF(I2203="","unknown",I2203),H2203))</f>
        <v/>
      </c>
      <c r="Q2203" s="1" t="str">
        <f aca="false">IF(P2203="","",IFERROR(IF(AND(H2203="W7",OR(F2203="causal",F2203="predictive")),IF(AND(K2203=1,L2203=1,M2203=1),"adequate","partial"),INDEX(Fit_Matrix!$B:$B,MATCH(P2203,Fit_Matrix!$A:$A,0))),"CHECK KEY"))</f>
        <v/>
      </c>
    </row>
    <row r="2204" customFormat="false" ht="15" hidden="false" customHeight="true" outlineLevel="0" collapsed="false">
      <c r="P2204" s="1" t="str">
        <f aca="false">IF(OR(F2204="",H2204="",J2204=""),"",J2204&amp;"|"&amp;F2204&amp;"|"&amp;IF(H2204="W3","W3_"&amp;IF(I2204="","unknown",I2204),H2204))</f>
        <v/>
      </c>
      <c r="Q2204" s="1" t="str">
        <f aca="false">IF(P2204="","",IFERROR(IF(AND(H2204="W7",OR(F2204="causal",F2204="predictive")),IF(AND(K2204=1,L2204=1,M2204=1),"adequate","partial"),INDEX(Fit_Matrix!$B:$B,MATCH(P2204,Fit_Matrix!$A:$A,0))),"CHECK KEY"))</f>
        <v/>
      </c>
    </row>
    <row r="2205" customFormat="false" ht="15" hidden="false" customHeight="true" outlineLevel="0" collapsed="false">
      <c r="P2205" s="1" t="str">
        <f aca="false">IF(OR(F2205="",H2205="",J2205=""),"",J2205&amp;"|"&amp;F2205&amp;"|"&amp;IF(H2205="W3","W3_"&amp;IF(I2205="","unknown",I2205),H2205))</f>
        <v/>
      </c>
      <c r="Q2205" s="1" t="str">
        <f aca="false">IF(P2205="","",IFERROR(IF(AND(H2205="W7",OR(F2205="causal",F2205="predictive")),IF(AND(K2205=1,L2205=1,M2205=1),"adequate","partial"),INDEX(Fit_Matrix!$B:$B,MATCH(P2205,Fit_Matrix!$A:$A,0))),"CHECK KEY"))</f>
        <v/>
      </c>
    </row>
    <row r="2206" customFormat="false" ht="15" hidden="false" customHeight="true" outlineLevel="0" collapsed="false">
      <c r="P2206" s="1" t="str">
        <f aca="false">IF(OR(F2206="",H2206="",J2206=""),"",J2206&amp;"|"&amp;F2206&amp;"|"&amp;IF(H2206="W3","W3_"&amp;IF(I2206="","unknown",I2206),H2206))</f>
        <v/>
      </c>
      <c r="Q2206" s="1" t="str">
        <f aca="false">IF(P2206="","",IFERROR(IF(AND(H2206="W7",OR(F2206="causal",F2206="predictive")),IF(AND(K2206=1,L2206=1,M2206=1),"adequate","partial"),INDEX(Fit_Matrix!$B:$B,MATCH(P2206,Fit_Matrix!$A:$A,0))),"CHECK KEY"))</f>
        <v/>
      </c>
    </row>
    <row r="2207" customFormat="false" ht="15" hidden="false" customHeight="true" outlineLevel="0" collapsed="false">
      <c r="P2207" s="1" t="str">
        <f aca="false">IF(OR(F2207="",H2207="",J2207=""),"",J2207&amp;"|"&amp;F2207&amp;"|"&amp;IF(H2207="W3","W3_"&amp;IF(I2207="","unknown",I2207),H2207))</f>
        <v/>
      </c>
      <c r="Q2207" s="1" t="str">
        <f aca="false">IF(P2207="","",IFERROR(IF(AND(H2207="W7",OR(F2207="causal",F2207="predictive")),IF(AND(K2207=1,L2207=1,M2207=1),"adequate","partial"),INDEX(Fit_Matrix!$B:$B,MATCH(P2207,Fit_Matrix!$A:$A,0))),"CHECK KEY"))</f>
        <v/>
      </c>
    </row>
    <row r="2208" customFormat="false" ht="15" hidden="false" customHeight="true" outlineLevel="0" collapsed="false">
      <c r="P2208" s="1" t="str">
        <f aca="false">IF(OR(F2208="",H2208="",J2208=""),"",J2208&amp;"|"&amp;F2208&amp;"|"&amp;IF(H2208="W3","W3_"&amp;IF(I2208="","unknown",I2208),H2208))</f>
        <v/>
      </c>
      <c r="Q2208" s="1" t="str">
        <f aca="false">IF(P2208="","",IFERROR(IF(AND(H2208="W7",OR(F2208="causal",F2208="predictive")),IF(AND(K2208=1,L2208=1,M2208=1),"adequate","partial"),INDEX(Fit_Matrix!$B:$B,MATCH(P2208,Fit_Matrix!$A:$A,0))),"CHECK KEY"))</f>
        <v/>
      </c>
    </row>
    <row r="2209" customFormat="false" ht="15" hidden="false" customHeight="true" outlineLevel="0" collapsed="false">
      <c r="P2209" s="1" t="str">
        <f aca="false">IF(OR(F2209="",H2209="",J2209=""),"",J2209&amp;"|"&amp;F2209&amp;"|"&amp;IF(H2209="W3","W3_"&amp;IF(I2209="","unknown",I2209),H2209))</f>
        <v/>
      </c>
      <c r="Q2209" s="1" t="str">
        <f aca="false">IF(P2209="","",IFERROR(IF(AND(H2209="W7",OR(F2209="causal",F2209="predictive")),IF(AND(K2209=1,L2209=1,M2209=1),"adequate","partial"),INDEX(Fit_Matrix!$B:$B,MATCH(P2209,Fit_Matrix!$A:$A,0))),"CHECK KEY"))</f>
        <v/>
      </c>
    </row>
    <row r="2210" customFormat="false" ht="15" hidden="false" customHeight="true" outlineLevel="0" collapsed="false">
      <c r="P2210" s="1" t="str">
        <f aca="false">IF(OR(F2210="",H2210="",J2210=""),"",J2210&amp;"|"&amp;F2210&amp;"|"&amp;IF(H2210="W3","W3_"&amp;IF(I2210="","unknown",I2210),H2210))</f>
        <v/>
      </c>
      <c r="Q2210" s="1" t="str">
        <f aca="false">IF(P2210="","",IFERROR(IF(AND(H2210="W7",OR(F2210="causal",F2210="predictive")),IF(AND(K2210=1,L2210=1,M2210=1),"adequate","partial"),INDEX(Fit_Matrix!$B:$B,MATCH(P2210,Fit_Matrix!$A:$A,0))),"CHECK KEY"))</f>
        <v/>
      </c>
    </row>
    <row r="2211" customFormat="false" ht="15" hidden="false" customHeight="true" outlineLevel="0" collapsed="false">
      <c r="P2211" s="1" t="str">
        <f aca="false">IF(OR(F2211="",H2211="",J2211=""),"",J2211&amp;"|"&amp;F2211&amp;"|"&amp;IF(H2211="W3","W3_"&amp;IF(I2211="","unknown",I2211),H2211))</f>
        <v/>
      </c>
      <c r="Q2211" s="1" t="str">
        <f aca="false">IF(P2211="","",IFERROR(IF(AND(H2211="W7",OR(F2211="causal",F2211="predictive")),IF(AND(K2211=1,L2211=1,M2211=1),"adequate","partial"),INDEX(Fit_Matrix!$B:$B,MATCH(P2211,Fit_Matrix!$A:$A,0))),"CHECK KEY"))</f>
        <v/>
      </c>
    </row>
    <row r="2212" customFormat="false" ht="15" hidden="false" customHeight="true" outlineLevel="0" collapsed="false">
      <c r="P2212" s="1" t="str">
        <f aca="false">IF(OR(F2212="",H2212="",J2212=""),"",J2212&amp;"|"&amp;F2212&amp;"|"&amp;IF(H2212="W3","W3_"&amp;IF(I2212="","unknown",I2212),H2212))</f>
        <v/>
      </c>
      <c r="Q2212" s="1" t="str">
        <f aca="false">IF(P2212="","",IFERROR(IF(AND(H2212="W7",OR(F2212="causal",F2212="predictive")),IF(AND(K2212=1,L2212=1,M2212=1),"adequate","partial"),INDEX(Fit_Matrix!$B:$B,MATCH(P2212,Fit_Matrix!$A:$A,0))),"CHECK KEY"))</f>
        <v/>
      </c>
    </row>
    <row r="2213" customFormat="false" ht="15" hidden="false" customHeight="true" outlineLevel="0" collapsed="false">
      <c r="P2213" s="1" t="str">
        <f aca="false">IF(OR(F2213="",H2213="",J2213=""),"",J2213&amp;"|"&amp;F2213&amp;"|"&amp;IF(H2213="W3","W3_"&amp;IF(I2213="","unknown",I2213),H2213))</f>
        <v/>
      </c>
      <c r="Q2213" s="1" t="str">
        <f aca="false">IF(P2213="","",IFERROR(IF(AND(H2213="W7",OR(F2213="causal",F2213="predictive")),IF(AND(K2213=1,L2213=1,M2213=1),"adequate","partial"),INDEX(Fit_Matrix!$B:$B,MATCH(P2213,Fit_Matrix!$A:$A,0))),"CHECK KEY"))</f>
        <v/>
      </c>
    </row>
    <row r="2214" customFormat="false" ht="15" hidden="false" customHeight="true" outlineLevel="0" collapsed="false">
      <c r="P2214" s="1" t="str">
        <f aca="false">IF(OR(F2214="",H2214="",J2214=""),"",J2214&amp;"|"&amp;F2214&amp;"|"&amp;IF(H2214="W3","W3_"&amp;IF(I2214="","unknown",I2214),H2214))</f>
        <v/>
      </c>
      <c r="Q2214" s="1" t="str">
        <f aca="false">IF(P2214="","",IFERROR(IF(AND(H2214="W7",OR(F2214="causal",F2214="predictive")),IF(AND(K2214=1,L2214=1,M2214=1),"adequate","partial"),INDEX(Fit_Matrix!$B:$B,MATCH(P2214,Fit_Matrix!$A:$A,0))),"CHECK KEY"))</f>
        <v/>
      </c>
    </row>
    <row r="2215" customFormat="false" ht="15" hidden="false" customHeight="true" outlineLevel="0" collapsed="false">
      <c r="P2215" s="1" t="str">
        <f aca="false">IF(OR(F2215="",H2215="",J2215=""),"",J2215&amp;"|"&amp;F2215&amp;"|"&amp;IF(H2215="W3","W3_"&amp;IF(I2215="","unknown",I2215),H2215))</f>
        <v/>
      </c>
      <c r="Q2215" s="1" t="str">
        <f aca="false">IF(P2215="","",IFERROR(IF(AND(H2215="W7",OR(F2215="causal",F2215="predictive")),IF(AND(K2215=1,L2215=1,M2215=1),"adequate","partial"),INDEX(Fit_Matrix!$B:$B,MATCH(P2215,Fit_Matrix!$A:$A,0))),"CHECK KEY"))</f>
        <v/>
      </c>
    </row>
    <row r="2216" customFormat="false" ht="15" hidden="false" customHeight="true" outlineLevel="0" collapsed="false">
      <c r="P2216" s="1" t="str">
        <f aca="false">IF(OR(F2216="",H2216="",J2216=""),"",J2216&amp;"|"&amp;F2216&amp;"|"&amp;IF(H2216="W3","W3_"&amp;IF(I2216="","unknown",I2216),H2216))</f>
        <v/>
      </c>
      <c r="Q2216" s="1" t="str">
        <f aca="false">IF(P2216="","",IFERROR(IF(AND(H2216="W7",OR(F2216="causal",F2216="predictive")),IF(AND(K2216=1,L2216=1,M2216=1),"adequate","partial"),INDEX(Fit_Matrix!$B:$B,MATCH(P2216,Fit_Matrix!$A:$A,0))),"CHECK KEY"))</f>
        <v/>
      </c>
    </row>
    <row r="2217" customFormat="false" ht="15" hidden="false" customHeight="true" outlineLevel="0" collapsed="false">
      <c r="P2217" s="1" t="str">
        <f aca="false">IF(OR(F2217="",H2217="",J2217=""),"",J2217&amp;"|"&amp;F2217&amp;"|"&amp;IF(H2217="W3","W3_"&amp;IF(I2217="","unknown",I2217),H2217))</f>
        <v/>
      </c>
      <c r="Q2217" s="1" t="str">
        <f aca="false">IF(P2217="","",IFERROR(IF(AND(H2217="W7",OR(F2217="causal",F2217="predictive")),IF(AND(K2217=1,L2217=1,M2217=1),"adequate","partial"),INDEX(Fit_Matrix!$B:$B,MATCH(P2217,Fit_Matrix!$A:$A,0))),"CHECK KEY"))</f>
        <v/>
      </c>
    </row>
    <row r="2218" customFormat="false" ht="15" hidden="false" customHeight="true" outlineLevel="0" collapsed="false">
      <c r="P2218" s="1" t="str">
        <f aca="false">IF(OR(F2218="",H2218="",J2218=""),"",J2218&amp;"|"&amp;F2218&amp;"|"&amp;IF(H2218="W3","W3_"&amp;IF(I2218="","unknown",I2218),H2218))</f>
        <v/>
      </c>
      <c r="Q2218" s="1" t="str">
        <f aca="false">IF(P2218="","",IFERROR(IF(AND(H2218="W7",OR(F2218="causal",F2218="predictive")),IF(AND(K2218=1,L2218=1,M2218=1),"adequate","partial"),INDEX(Fit_Matrix!$B:$B,MATCH(P2218,Fit_Matrix!$A:$A,0))),"CHECK KEY"))</f>
        <v/>
      </c>
    </row>
    <row r="2219" customFormat="false" ht="15" hidden="false" customHeight="true" outlineLevel="0" collapsed="false">
      <c r="P2219" s="1" t="str">
        <f aca="false">IF(OR(F2219="",H2219="",J2219=""),"",J2219&amp;"|"&amp;F2219&amp;"|"&amp;IF(H2219="W3","W3_"&amp;IF(I2219="","unknown",I2219),H2219))</f>
        <v/>
      </c>
      <c r="Q2219" s="1" t="str">
        <f aca="false">IF(P2219="","",IFERROR(IF(AND(H2219="W7",OR(F2219="causal",F2219="predictive")),IF(AND(K2219=1,L2219=1,M2219=1),"adequate","partial"),INDEX(Fit_Matrix!$B:$B,MATCH(P2219,Fit_Matrix!$A:$A,0))),"CHECK KEY"))</f>
        <v/>
      </c>
    </row>
    <row r="2220" customFormat="false" ht="15" hidden="false" customHeight="true" outlineLevel="0" collapsed="false">
      <c r="P2220" s="1" t="str">
        <f aca="false">IF(OR(F2220="",H2220="",J2220=""),"",J2220&amp;"|"&amp;F2220&amp;"|"&amp;IF(H2220="W3","W3_"&amp;IF(I2220="","unknown",I2220),H2220))</f>
        <v/>
      </c>
      <c r="Q2220" s="1" t="str">
        <f aca="false">IF(P2220="","",IFERROR(IF(AND(H2220="W7",OR(F2220="causal",F2220="predictive")),IF(AND(K2220=1,L2220=1,M2220=1),"adequate","partial"),INDEX(Fit_Matrix!$B:$B,MATCH(P2220,Fit_Matrix!$A:$A,0))),"CHECK KEY"))</f>
        <v/>
      </c>
    </row>
    <row r="2221" customFormat="false" ht="15" hidden="false" customHeight="true" outlineLevel="0" collapsed="false">
      <c r="P2221" s="1" t="str">
        <f aca="false">IF(OR(F2221="",H2221="",J2221=""),"",J2221&amp;"|"&amp;F2221&amp;"|"&amp;IF(H2221="W3","W3_"&amp;IF(I2221="","unknown",I2221),H2221))</f>
        <v/>
      </c>
      <c r="Q2221" s="1" t="str">
        <f aca="false">IF(P2221="","",IFERROR(IF(AND(H2221="W7",OR(F2221="causal",F2221="predictive")),IF(AND(K2221=1,L2221=1,M2221=1),"adequate","partial"),INDEX(Fit_Matrix!$B:$B,MATCH(P2221,Fit_Matrix!$A:$A,0))),"CHECK KEY"))</f>
        <v/>
      </c>
    </row>
    <row r="2222" customFormat="false" ht="15" hidden="false" customHeight="true" outlineLevel="0" collapsed="false">
      <c r="P2222" s="1" t="str">
        <f aca="false">IF(OR(F2222="",H2222="",J2222=""),"",J2222&amp;"|"&amp;F2222&amp;"|"&amp;IF(H2222="W3","W3_"&amp;IF(I2222="","unknown",I2222),H2222))</f>
        <v/>
      </c>
      <c r="Q2222" s="1" t="str">
        <f aca="false">IF(P2222="","",IFERROR(IF(AND(H2222="W7",OR(F2222="causal",F2222="predictive")),IF(AND(K2222=1,L2222=1,M2222=1),"adequate","partial"),INDEX(Fit_Matrix!$B:$B,MATCH(P2222,Fit_Matrix!$A:$A,0))),"CHECK KEY"))</f>
        <v/>
      </c>
    </row>
    <row r="2223" customFormat="false" ht="15" hidden="false" customHeight="true" outlineLevel="0" collapsed="false">
      <c r="P2223" s="1" t="str">
        <f aca="false">IF(OR(F2223="",H2223="",J2223=""),"",J2223&amp;"|"&amp;F2223&amp;"|"&amp;IF(H2223="W3","W3_"&amp;IF(I2223="","unknown",I2223),H2223))</f>
        <v/>
      </c>
      <c r="Q2223" s="1" t="str">
        <f aca="false">IF(P2223="","",IFERROR(IF(AND(H2223="W7",OR(F2223="causal",F2223="predictive")),IF(AND(K2223=1,L2223=1,M2223=1),"adequate","partial"),INDEX(Fit_Matrix!$B:$B,MATCH(P2223,Fit_Matrix!$A:$A,0))),"CHECK KEY"))</f>
        <v/>
      </c>
    </row>
    <row r="2224" customFormat="false" ht="15" hidden="false" customHeight="true" outlineLevel="0" collapsed="false">
      <c r="P2224" s="1" t="str">
        <f aca="false">IF(OR(F2224="",H2224="",J2224=""),"",J2224&amp;"|"&amp;F2224&amp;"|"&amp;IF(H2224="W3","W3_"&amp;IF(I2224="","unknown",I2224),H2224))</f>
        <v/>
      </c>
      <c r="Q2224" s="1" t="str">
        <f aca="false">IF(P2224="","",IFERROR(IF(AND(H2224="W7",OR(F2224="causal",F2224="predictive")),IF(AND(K2224=1,L2224=1,M2224=1),"adequate","partial"),INDEX(Fit_Matrix!$B:$B,MATCH(P2224,Fit_Matrix!$A:$A,0))),"CHECK KEY"))</f>
        <v/>
      </c>
    </row>
    <row r="2225" customFormat="false" ht="15" hidden="false" customHeight="true" outlineLevel="0" collapsed="false">
      <c r="P2225" s="1" t="str">
        <f aca="false">IF(OR(F2225="",H2225="",J2225=""),"",J2225&amp;"|"&amp;F2225&amp;"|"&amp;IF(H2225="W3","W3_"&amp;IF(I2225="","unknown",I2225),H2225))</f>
        <v/>
      </c>
      <c r="Q2225" s="1" t="str">
        <f aca="false">IF(P2225="","",IFERROR(IF(AND(H2225="W7",OR(F2225="causal",F2225="predictive")),IF(AND(K2225=1,L2225=1,M2225=1),"adequate","partial"),INDEX(Fit_Matrix!$B:$B,MATCH(P2225,Fit_Matrix!$A:$A,0))),"CHECK KEY"))</f>
        <v/>
      </c>
    </row>
    <row r="2226" customFormat="false" ht="15" hidden="false" customHeight="true" outlineLevel="0" collapsed="false">
      <c r="P2226" s="1" t="str">
        <f aca="false">IF(OR(F2226="",H2226="",J2226=""),"",J2226&amp;"|"&amp;F2226&amp;"|"&amp;IF(H2226="W3","W3_"&amp;IF(I2226="","unknown",I2226),H2226))</f>
        <v/>
      </c>
      <c r="Q2226" s="1" t="str">
        <f aca="false">IF(P2226="","",IFERROR(IF(AND(H2226="W7",OR(F2226="causal",F2226="predictive")),IF(AND(K2226=1,L2226=1,M2226=1),"adequate","partial"),INDEX(Fit_Matrix!$B:$B,MATCH(P2226,Fit_Matrix!$A:$A,0))),"CHECK KEY"))</f>
        <v/>
      </c>
    </row>
    <row r="2227" customFormat="false" ht="15" hidden="false" customHeight="true" outlineLevel="0" collapsed="false">
      <c r="P2227" s="1" t="str">
        <f aca="false">IF(OR(F2227="",H2227="",J2227=""),"",J2227&amp;"|"&amp;F2227&amp;"|"&amp;IF(H2227="W3","W3_"&amp;IF(I2227="","unknown",I2227),H2227))</f>
        <v/>
      </c>
      <c r="Q2227" s="1" t="str">
        <f aca="false">IF(P2227="","",IFERROR(IF(AND(H2227="W7",OR(F2227="causal",F2227="predictive")),IF(AND(K2227=1,L2227=1,M2227=1),"adequate","partial"),INDEX(Fit_Matrix!$B:$B,MATCH(P2227,Fit_Matrix!$A:$A,0))),"CHECK KEY"))</f>
        <v/>
      </c>
    </row>
    <row r="2228" customFormat="false" ht="15" hidden="false" customHeight="true" outlineLevel="0" collapsed="false">
      <c r="P2228" s="1" t="str">
        <f aca="false">IF(OR(F2228="",H2228="",J2228=""),"",J2228&amp;"|"&amp;F2228&amp;"|"&amp;IF(H2228="W3","W3_"&amp;IF(I2228="","unknown",I2228),H2228))</f>
        <v/>
      </c>
      <c r="Q2228" s="1" t="str">
        <f aca="false">IF(P2228="","",IFERROR(IF(AND(H2228="W7",OR(F2228="causal",F2228="predictive")),IF(AND(K2228=1,L2228=1,M2228=1),"adequate","partial"),INDEX(Fit_Matrix!$B:$B,MATCH(P2228,Fit_Matrix!$A:$A,0))),"CHECK KEY"))</f>
        <v/>
      </c>
    </row>
    <row r="2229" customFormat="false" ht="15" hidden="false" customHeight="true" outlineLevel="0" collapsed="false">
      <c r="P2229" s="1" t="str">
        <f aca="false">IF(OR(F2229="",H2229="",J2229=""),"",J2229&amp;"|"&amp;F2229&amp;"|"&amp;IF(H2229="W3","W3_"&amp;IF(I2229="","unknown",I2229),H2229))</f>
        <v/>
      </c>
      <c r="Q2229" s="1" t="str">
        <f aca="false">IF(P2229="","",IFERROR(IF(AND(H2229="W7",OR(F2229="causal",F2229="predictive")),IF(AND(K2229=1,L2229=1,M2229=1),"adequate","partial"),INDEX(Fit_Matrix!$B:$B,MATCH(P2229,Fit_Matrix!$A:$A,0))),"CHECK KEY"))</f>
        <v/>
      </c>
    </row>
    <row r="2230" customFormat="false" ht="15" hidden="false" customHeight="true" outlineLevel="0" collapsed="false">
      <c r="P2230" s="1" t="str">
        <f aca="false">IF(OR(F2230="",H2230="",J2230=""),"",J2230&amp;"|"&amp;F2230&amp;"|"&amp;IF(H2230="W3","W3_"&amp;IF(I2230="","unknown",I2230),H2230))</f>
        <v/>
      </c>
      <c r="Q2230" s="1" t="str">
        <f aca="false">IF(P2230="","",IFERROR(IF(AND(H2230="W7",OR(F2230="causal",F2230="predictive")),IF(AND(K2230=1,L2230=1,M2230=1),"adequate","partial"),INDEX(Fit_Matrix!$B:$B,MATCH(P2230,Fit_Matrix!$A:$A,0))),"CHECK KEY"))</f>
        <v/>
      </c>
    </row>
    <row r="2231" customFormat="false" ht="15" hidden="false" customHeight="true" outlineLevel="0" collapsed="false">
      <c r="P2231" s="1" t="str">
        <f aca="false">IF(OR(F2231="",H2231="",J2231=""),"",J2231&amp;"|"&amp;F2231&amp;"|"&amp;IF(H2231="W3","W3_"&amp;IF(I2231="","unknown",I2231),H2231))</f>
        <v/>
      </c>
      <c r="Q2231" s="1" t="str">
        <f aca="false">IF(P2231="","",IFERROR(IF(AND(H2231="W7",OR(F2231="causal",F2231="predictive")),IF(AND(K2231=1,L2231=1,M2231=1),"adequate","partial"),INDEX(Fit_Matrix!$B:$B,MATCH(P2231,Fit_Matrix!$A:$A,0))),"CHECK KEY"))</f>
        <v/>
      </c>
    </row>
    <row r="2232" customFormat="false" ht="15" hidden="false" customHeight="true" outlineLevel="0" collapsed="false">
      <c r="P2232" s="1" t="str">
        <f aca="false">IF(OR(F2232="",H2232="",J2232=""),"",J2232&amp;"|"&amp;F2232&amp;"|"&amp;IF(H2232="W3","W3_"&amp;IF(I2232="","unknown",I2232),H2232))</f>
        <v/>
      </c>
      <c r="Q2232" s="1" t="str">
        <f aca="false">IF(P2232="","",IFERROR(IF(AND(H2232="W7",OR(F2232="causal",F2232="predictive")),IF(AND(K2232=1,L2232=1,M2232=1),"adequate","partial"),INDEX(Fit_Matrix!$B:$B,MATCH(P2232,Fit_Matrix!$A:$A,0))),"CHECK KEY"))</f>
        <v/>
      </c>
    </row>
    <row r="2233" customFormat="false" ht="15" hidden="false" customHeight="true" outlineLevel="0" collapsed="false">
      <c r="P2233" s="1" t="str">
        <f aca="false">IF(OR(F2233="",H2233="",J2233=""),"",J2233&amp;"|"&amp;F2233&amp;"|"&amp;IF(H2233="W3","W3_"&amp;IF(I2233="","unknown",I2233),H2233))</f>
        <v/>
      </c>
      <c r="Q2233" s="1" t="str">
        <f aca="false">IF(P2233="","",IFERROR(IF(AND(H2233="W7",OR(F2233="causal",F2233="predictive")),IF(AND(K2233=1,L2233=1,M2233=1),"adequate","partial"),INDEX(Fit_Matrix!$B:$B,MATCH(P2233,Fit_Matrix!$A:$A,0))),"CHECK KEY"))</f>
        <v/>
      </c>
    </row>
    <row r="2234" customFormat="false" ht="15" hidden="false" customHeight="true" outlineLevel="0" collapsed="false">
      <c r="P2234" s="1" t="str">
        <f aca="false">IF(OR(F2234="",H2234="",J2234=""),"",J2234&amp;"|"&amp;F2234&amp;"|"&amp;IF(H2234="W3","W3_"&amp;IF(I2234="","unknown",I2234),H2234))</f>
        <v/>
      </c>
      <c r="Q2234" s="1" t="str">
        <f aca="false">IF(P2234="","",IFERROR(IF(AND(H2234="W7",OR(F2234="causal",F2234="predictive")),IF(AND(K2234=1,L2234=1,M2234=1),"adequate","partial"),INDEX(Fit_Matrix!$B:$B,MATCH(P2234,Fit_Matrix!$A:$A,0))),"CHECK KEY"))</f>
        <v/>
      </c>
    </row>
    <row r="2235" customFormat="false" ht="15" hidden="false" customHeight="true" outlineLevel="0" collapsed="false">
      <c r="P2235" s="1" t="str">
        <f aca="false">IF(OR(F2235="",H2235="",J2235=""),"",J2235&amp;"|"&amp;F2235&amp;"|"&amp;IF(H2235="W3","W3_"&amp;IF(I2235="","unknown",I2235),H2235))</f>
        <v/>
      </c>
      <c r="Q2235" s="1" t="str">
        <f aca="false">IF(P2235="","",IFERROR(IF(AND(H2235="W7",OR(F2235="causal",F2235="predictive")),IF(AND(K2235=1,L2235=1,M2235=1),"adequate","partial"),INDEX(Fit_Matrix!$B:$B,MATCH(P2235,Fit_Matrix!$A:$A,0))),"CHECK KEY"))</f>
        <v/>
      </c>
    </row>
    <row r="2236" customFormat="false" ht="15" hidden="false" customHeight="true" outlineLevel="0" collapsed="false">
      <c r="P2236" s="1" t="str">
        <f aca="false">IF(OR(F2236="",H2236="",J2236=""),"",J2236&amp;"|"&amp;F2236&amp;"|"&amp;IF(H2236="W3","W3_"&amp;IF(I2236="","unknown",I2236),H2236))</f>
        <v/>
      </c>
      <c r="Q2236" s="1" t="str">
        <f aca="false">IF(P2236="","",IFERROR(IF(AND(H2236="W7",OR(F2236="causal",F2236="predictive")),IF(AND(K2236=1,L2236=1,M2236=1),"adequate","partial"),INDEX(Fit_Matrix!$B:$B,MATCH(P2236,Fit_Matrix!$A:$A,0))),"CHECK KEY"))</f>
        <v/>
      </c>
    </row>
    <row r="2237" customFormat="false" ht="15" hidden="false" customHeight="true" outlineLevel="0" collapsed="false">
      <c r="P2237" s="1" t="str">
        <f aca="false">IF(OR(F2237="",H2237="",J2237=""),"",J2237&amp;"|"&amp;F2237&amp;"|"&amp;IF(H2237="W3","W3_"&amp;IF(I2237="","unknown",I2237),H2237))</f>
        <v/>
      </c>
      <c r="Q2237" s="1" t="str">
        <f aca="false">IF(P2237="","",IFERROR(IF(AND(H2237="W7",OR(F2237="causal",F2237="predictive")),IF(AND(K2237=1,L2237=1,M2237=1),"adequate","partial"),INDEX(Fit_Matrix!$B:$B,MATCH(P2237,Fit_Matrix!$A:$A,0))),"CHECK KEY"))</f>
        <v/>
      </c>
    </row>
    <row r="2238" customFormat="false" ht="15" hidden="false" customHeight="true" outlineLevel="0" collapsed="false">
      <c r="P2238" s="1" t="str">
        <f aca="false">IF(OR(F2238="",H2238="",J2238=""),"",J2238&amp;"|"&amp;F2238&amp;"|"&amp;IF(H2238="W3","W3_"&amp;IF(I2238="","unknown",I2238),H2238))</f>
        <v/>
      </c>
      <c r="Q2238" s="1" t="str">
        <f aca="false">IF(P2238="","",IFERROR(IF(AND(H2238="W7",OR(F2238="causal",F2238="predictive")),IF(AND(K2238=1,L2238=1,M2238=1),"adequate","partial"),INDEX(Fit_Matrix!$B:$B,MATCH(P2238,Fit_Matrix!$A:$A,0))),"CHECK KEY"))</f>
        <v/>
      </c>
    </row>
    <row r="2239" customFormat="false" ht="15" hidden="false" customHeight="true" outlineLevel="0" collapsed="false">
      <c r="P2239" s="1" t="str">
        <f aca="false">IF(OR(F2239="",H2239="",J2239=""),"",J2239&amp;"|"&amp;F2239&amp;"|"&amp;IF(H2239="W3","W3_"&amp;IF(I2239="","unknown",I2239),H2239))</f>
        <v/>
      </c>
      <c r="Q2239" s="1" t="str">
        <f aca="false">IF(P2239="","",IFERROR(IF(AND(H2239="W7",OR(F2239="causal",F2239="predictive")),IF(AND(K2239=1,L2239=1,M2239=1),"adequate","partial"),INDEX(Fit_Matrix!$B:$B,MATCH(P2239,Fit_Matrix!$A:$A,0))),"CHECK KEY"))</f>
        <v/>
      </c>
    </row>
    <row r="2240" customFormat="false" ht="15" hidden="false" customHeight="true" outlineLevel="0" collapsed="false">
      <c r="P2240" s="1" t="str">
        <f aca="false">IF(OR(F2240="",H2240="",J2240=""),"",J2240&amp;"|"&amp;F2240&amp;"|"&amp;IF(H2240="W3","W3_"&amp;IF(I2240="","unknown",I2240),H2240))</f>
        <v/>
      </c>
      <c r="Q2240" s="1" t="str">
        <f aca="false">IF(P2240="","",IFERROR(IF(AND(H2240="W7",OR(F2240="causal",F2240="predictive")),IF(AND(K2240=1,L2240=1,M2240=1),"adequate","partial"),INDEX(Fit_Matrix!$B:$B,MATCH(P2240,Fit_Matrix!$A:$A,0))),"CHECK KEY"))</f>
        <v/>
      </c>
    </row>
    <row r="2241" customFormat="false" ht="15" hidden="false" customHeight="true" outlineLevel="0" collapsed="false">
      <c r="P2241" s="1" t="str">
        <f aca="false">IF(OR(F2241="",H2241="",J2241=""),"",J2241&amp;"|"&amp;F2241&amp;"|"&amp;IF(H2241="W3","W3_"&amp;IF(I2241="","unknown",I2241),H2241))</f>
        <v/>
      </c>
      <c r="Q2241" s="1" t="str">
        <f aca="false">IF(P2241="","",IFERROR(IF(AND(H2241="W7",OR(F2241="causal",F2241="predictive")),IF(AND(K2241=1,L2241=1,M2241=1),"adequate","partial"),INDEX(Fit_Matrix!$B:$B,MATCH(P2241,Fit_Matrix!$A:$A,0))),"CHECK KEY"))</f>
        <v/>
      </c>
    </row>
    <row r="2242" customFormat="false" ht="15" hidden="false" customHeight="true" outlineLevel="0" collapsed="false">
      <c r="P2242" s="1" t="str">
        <f aca="false">IF(OR(F2242="",H2242="",J2242=""),"",J2242&amp;"|"&amp;F2242&amp;"|"&amp;IF(H2242="W3","W3_"&amp;IF(I2242="","unknown",I2242),H2242))</f>
        <v/>
      </c>
      <c r="Q2242" s="1" t="str">
        <f aca="false">IF(P2242="","",IFERROR(IF(AND(H2242="W7",OR(F2242="causal",F2242="predictive")),IF(AND(K2242=1,L2242=1,M2242=1),"adequate","partial"),INDEX(Fit_Matrix!$B:$B,MATCH(P2242,Fit_Matrix!$A:$A,0))),"CHECK KEY"))</f>
        <v/>
      </c>
    </row>
    <row r="2243" customFormat="false" ht="15" hidden="false" customHeight="true" outlineLevel="0" collapsed="false">
      <c r="P2243" s="1" t="str">
        <f aca="false">IF(OR(F2243="",H2243="",J2243=""),"",J2243&amp;"|"&amp;F2243&amp;"|"&amp;IF(H2243="W3","W3_"&amp;IF(I2243="","unknown",I2243),H2243))</f>
        <v/>
      </c>
      <c r="Q2243" s="1" t="str">
        <f aca="false">IF(P2243="","",IFERROR(IF(AND(H2243="W7",OR(F2243="causal",F2243="predictive")),IF(AND(K2243=1,L2243=1,M2243=1),"adequate","partial"),INDEX(Fit_Matrix!$B:$B,MATCH(P2243,Fit_Matrix!$A:$A,0))),"CHECK KEY"))</f>
        <v/>
      </c>
    </row>
    <row r="2244" customFormat="false" ht="15" hidden="false" customHeight="true" outlineLevel="0" collapsed="false">
      <c r="P2244" s="1" t="str">
        <f aca="false">IF(OR(F2244="",H2244="",J2244=""),"",J2244&amp;"|"&amp;F2244&amp;"|"&amp;IF(H2244="W3","W3_"&amp;IF(I2244="","unknown",I2244),H2244))</f>
        <v/>
      </c>
      <c r="Q2244" s="1" t="str">
        <f aca="false">IF(P2244="","",IFERROR(IF(AND(H2244="W7",OR(F2244="causal",F2244="predictive")),IF(AND(K2244=1,L2244=1,M2244=1),"adequate","partial"),INDEX(Fit_Matrix!$B:$B,MATCH(P2244,Fit_Matrix!$A:$A,0))),"CHECK KEY"))</f>
        <v/>
      </c>
    </row>
    <row r="2245" customFormat="false" ht="15" hidden="false" customHeight="true" outlineLevel="0" collapsed="false">
      <c r="P2245" s="1" t="str">
        <f aca="false">IF(OR(F2245="",H2245="",J2245=""),"",J2245&amp;"|"&amp;F2245&amp;"|"&amp;IF(H2245="W3","W3_"&amp;IF(I2245="","unknown",I2245),H2245))</f>
        <v/>
      </c>
      <c r="Q2245" s="1" t="str">
        <f aca="false">IF(P2245="","",IFERROR(IF(AND(H2245="W7",OR(F2245="causal",F2245="predictive")),IF(AND(K2245=1,L2245=1,M2245=1),"adequate","partial"),INDEX(Fit_Matrix!$B:$B,MATCH(P2245,Fit_Matrix!$A:$A,0))),"CHECK KEY"))</f>
        <v/>
      </c>
    </row>
    <row r="2246" customFormat="false" ht="15" hidden="false" customHeight="true" outlineLevel="0" collapsed="false">
      <c r="P2246" s="1" t="str">
        <f aca="false">IF(OR(F2246="",H2246="",J2246=""),"",J2246&amp;"|"&amp;F2246&amp;"|"&amp;IF(H2246="W3","W3_"&amp;IF(I2246="","unknown",I2246),H2246))</f>
        <v/>
      </c>
      <c r="Q2246" s="1" t="str">
        <f aca="false">IF(P2246="","",IFERROR(IF(AND(H2246="W7",OR(F2246="causal",F2246="predictive")),IF(AND(K2246=1,L2246=1,M2246=1),"adequate","partial"),INDEX(Fit_Matrix!$B:$B,MATCH(P2246,Fit_Matrix!$A:$A,0))),"CHECK KEY"))</f>
        <v/>
      </c>
    </row>
    <row r="2247" customFormat="false" ht="15" hidden="false" customHeight="true" outlineLevel="0" collapsed="false">
      <c r="P2247" s="1" t="str">
        <f aca="false">IF(OR(F2247="",H2247="",J2247=""),"",J2247&amp;"|"&amp;F2247&amp;"|"&amp;IF(H2247="W3","W3_"&amp;IF(I2247="","unknown",I2247),H2247))</f>
        <v/>
      </c>
      <c r="Q2247" s="1" t="str">
        <f aca="false">IF(P2247="","",IFERROR(IF(AND(H2247="W7",OR(F2247="causal",F2247="predictive")),IF(AND(K2247=1,L2247=1,M2247=1),"adequate","partial"),INDEX(Fit_Matrix!$B:$B,MATCH(P2247,Fit_Matrix!$A:$A,0))),"CHECK KEY"))</f>
        <v/>
      </c>
    </row>
    <row r="2248" customFormat="false" ht="15" hidden="false" customHeight="true" outlineLevel="0" collapsed="false">
      <c r="P2248" s="1" t="str">
        <f aca="false">IF(OR(F2248="",H2248="",J2248=""),"",J2248&amp;"|"&amp;F2248&amp;"|"&amp;IF(H2248="W3","W3_"&amp;IF(I2248="","unknown",I2248),H2248))</f>
        <v/>
      </c>
      <c r="Q2248" s="1" t="str">
        <f aca="false">IF(P2248="","",IFERROR(IF(AND(H2248="W7",OR(F2248="causal",F2248="predictive")),IF(AND(K2248=1,L2248=1,M2248=1),"adequate","partial"),INDEX(Fit_Matrix!$B:$B,MATCH(P2248,Fit_Matrix!$A:$A,0))),"CHECK KEY"))</f>
        <v/>
      </c>
    </row>
    <row r="2249" customFormat="false" ht="15" hidden="false" customHeight="true" outlineLevel="0" collapsed="false">
      <c r="P2249" s="1" t="str">
        <f aca="false">IF(OR(F2249="",H2249="",J2249=""),"",J2249&amp;"|"&amp;F2249&amp;"|"&amp;IF(H2249="W3","W3_"&amp;IF(I2249="","unknown",I2249),H2249))</f>
        <v/>
      </c>
      <c r="Q2249" s="1" t="str">
        <f aca="false">IF(P2249="","",IFERROR(IF(AND(H2249="W7",OR(F2249="causal",F2249="predictive")),IF(AND(K2249=1,L2249=1,M2249=1),"adequate","partial"),INDEX(Fit_Matrix!$B:$B,MATCH(P2249,Fit_Matrix!$A:$A,0))),"CHECK KEY"))</f>
        <v/>
      </c>
    </row>
    <row r="2250" customFormat="false" ht="15" hidden="false" customHeight="true" outlineLevel="0" collapsed="false">
      <c r="P2250" s="1" t="str">
        <f aca="false">IF(OR(F2250="",H2250="",J2250=""),"",J2250&amp;"|"&amp;F2250&amp;"|"&amp;IF(H2250="W3","W3_"&amp;IF(I2250="","unknown",I2250),H2250))</f>
        <v/>
      </c>
      <c r="Q2250" s="1" t="str">
        <f aca="false">IF(P2250="","",IFERROR(IF(AND(H2250="W7",OR(F2250="causal",F2250="predictive")),IF(AND(K2250=1,L2250=1,M2250=1),"adequate","partial"),INDEX(Fit_Matrix!$B:$B,MATCH(P2250,Fit_Matrix!$A:$A,0))),"CHECK KEY"))</f>
        <v/>
      </c>
    </row>
    <row r="2251" customFormat="false" ht="15" hidden="false" customHeight="true" outlineLevel="0" collapsed="false">
      <c r="P2251" s="1" t="str">
        <f aca="false">IF(OR(F2251="",H2251="",J2251=""),"",J2251&amp;"|"&amp;F2251&amp;"|"&amp;IF(H2251="W3","W3_"&amp;IF(I2251="","unknown",I2251),H2251))</f>
        <v/>
      </c>
      <c r="Q2251" s="1" t="str">
        <f aca="false">IF(P2251="","",IFERROR(IF(AND(H2251="W7",OR(F2251="causal",F2251="predictive")),IF(AND(K2251=1,L2251=1,M2251=1),"adequate","partial"),INDEX(Fit_Matrix!$B:$B,MATCH(P2251,Fit_Matrix!$A:$A,0))),"CHECK KEY"))</f>
        <v/>
      </c>
    </row>
    <row r="2252" customFormat="false" ht="15" hidden="false" customHeight="true" outlineLevel="0" collapsed="false">
      <c r="P2252" s="1" t="str">
        <f aca="false">IF(OR(F2252="",H2252="",J2252=""),"",J2252&amp;"|"&amp;F2252&amp;"|"&amp;IF(H2252="W3","W3_"&amp;IF(I2252="","unknown",I2252),H2252))</f>
        <v/>
      </c>
      <c r="Q2252" s="1" t="str">
        <f aca="false">IF(P2252="","",IFERROR(IF(AND(H2252="W7",OR(F2252="causal",F2252="predictive")),IF(AND(K2252=1,L2252=1,M2252=1),"adequate","partial"),INDEX(Fit_Matrix!$B:$B,MATCH(P2252,Fit_Matrix!$A:$A,0))),"CHECK KEY"))</f>
        <v/>
      </c>
    </row>
    <row r="2253" customFormat="false" ht="15" hidden="false" customHeight="true" outlineLevel="0" collapsed="false">
      <c r="P2253" s="1" t="str">
        <f aca="false">IF(OR(F2253="",H2253="",J2253=""),"",J2253&amp;"|"&amp;F2253&amp;"|"&amp;IF(H2253="W3","W3_"&amp;IF(I2253="","unknown",I2253),H2253))</f>
        <v/>
      </c>
      <c r="Q2253" s="1" t="str">
        <f aca="false">IF(P2253="","",IFERROR(IF(AND(H2253="W7",OR(F2253="causal",F2253="predictive")),IF(AND(K2253=1,L2253=1,M2253=1),"adequate","partial"),INDEX(Fit_Matrix!$B:$B,MATCH(P2253,Fit_Matrix!$A:$A,0))),"CHECK KEY"))</f>
        <v/>
      </c>
    </row>
    <row r="2254" customFormat="false" ht="15" hidden="false" customHeight="true" outlineLevel="0" collapsed="false">
      <c r="P2254" s="1" t="str">
        <f aca="false">IF(OR(F2254="",H2254="",J2254=""),"",J2254&amp;"|"&amp;F2254&amp;"|"&amp;IF(H2254="W3","W3_"&amp;IF(I2254="","unknown",I2254),H2254))</f>
        <v/>
      </c>
      <c r="Q2254" s="1" t="str">
        <f aca="false">IF(P2254="","",IFERROR(IF(AND(H2254="W7",OR(F2254="causal",F2254="predictive")),IF(AND(K2254=1,L2254=1,M2254=1),"adequate","partial"),INDEX(Fit_Matrix!$B:$B,MATCH(P2254,Fit_Matrix!$A:$A,0))),"CHECK KEY"))</f>
        <v/>
      </c>
    </row>
    <row r="2255" customFormat="false" ht="15" hidden="false" customHeight="true" outlineLevel="0" collapsed="false">
      <c r="P2255" s="1" t="str">
        <f aca="false">IF(OR(F2255="",H2255="",J2255=""),"",J2255&amp;"|"&amp;F2255&amp;"|"&amp;IF(H2255="W3","W3_"&amp;IF(I2255="","unknown",I2255),H2255))</f>
        <v/>
      </c>
      <c r="Q2255" s="1" t="str">
        <f aca="false">IF(P2255="","",IFERROR(IF(AND(H2255="W7",OR(F2255="causal",F2255="predictive")),IF(AND(K2255=1,L2255=1,M2255=1),"adequate","partial"),INDEX(Fit_Matrix!$B:$B,MATCH(P2255,Fit_Matrix!$A:$A,0))),"CHECK KEY"))</f>
        <v/>
      </c>
    </row>
    <row r="2256" customFormat="false" ht="15" hidden="false" customHeight="true" outlineLevel="0" collapsed="false">
      <c r="P2256" s="1" t="str">
        <f aca="false">IF(OR(F2256="",H2256="",J2256=""),"",J2256&amp;"|"&amp;F2256&amp;"|"&amp;IF(H2256="W3","W3_"&amp;IF(I2256="","unknown",I2256),H2256))</f>
        <v/>
      </c>
      <c r="Q2256" s="1" t="str">
        <f aca="false">IF(P2256="","",IFERROR(IF(AND(H2256="W7",OR(F2256="causal",F2256="predictive")),IF(AND(K2256=1,L2256=1,M2256=1),"adequate","partial"),INDEX(Fit_Matrix!$B:$B,MATCH(P2256,Fit_Matrix!$A:$A,0))),"CHECK KEY"))</f>
        <v/>
      </c>
    </row>
    <row r="2257" customFormat="false" ht="15" hidden="false" customHeight="true" outlineLevel="0" collapsed="false">
      <c r="P2257" s="1" t="str">
        <f aca="false">IF(OR(F2257="",H2257="",J2257=""),"",J2257&amp;"|"&amp;F2257&amp;"|"&amp;IF(H2257="W3","W3_"&amp;IF(I2257="","unknown",I2257),H2257))</f>
        <v/>
      </c>
      <c r="Q2257" s="1" t="str">
        <f aca="false">IF(P2257="","",IFERROR(IF(AND(H2257="W7",OR(F2257="causal",F2257="predictive")),IF(AND(K2257=1,L2257=1,M2257=1),"adequate","partial"),INDEX(Fit_Matrix!$B:$B,MATCH(P2257,Fit_Matrix!$A:$A,0))),"CHECK KEY"))</f>
        <v/>
      </c>
    </row>
    <row r="2258" customFormat="false" ht="15" hidden="false" customHeight="true" outlineLevel="0" collapsed="false">
      <c r="P2258" s="1" t="str">
        <f aca="false">IF(OR(F2258="",H2258="",J2258=""),"",J2258&amp;"|"&amp;F2258&amp;"|"&amp;IF(H2258="W3","W3_"&amp;IF(I2258="","unknown",I2258),H2258))</f>
        <v/>
      </c>
      <c r="Q2258" s="1" t="str">
        <f aca="false">IF(P2258="","",IFERROR(IF(AND(H2258="W7",OR(F2258="causal",F2258="predictive")),IF(AND(K2258=1,L2258=1,M2258=1),"adequate","partial"),INDEX(Fit_Matrix!$B:$B,MATCH(P2258,Fit_Matrix!$A:$A,0))),"CHECK KEY"))</f>
        <v/>
      </c>
    </row>
    <row r="2259" customFormat="false" ht="15" hidden="false" customHeight="true" outlineLevel="0" collapsed="false">
      <c r="P2259" s="1" t="str">
        <f aca="false">IF(OR(F2259="",H2259="",J2259=""),"",J2259&amp;"|"&amp;F2259&amp;"|"&amp;IF(H2259="W3","W3_"&amp;IF(I2259="","unknown",I2259),H2259))</f>
        <v/>
      </c>
      <c r="Q2259" s="1" t="str">
        <f aca="false">IF(P2259="","",IFERROR(IF(AND(H2259="W7",OR(F2259="causal",F2259="predictive")),IF(AND(K2259=1,L2259=1,M2259=1),"adequate","partial"),INDEX(Fit_Matrix!$B:$B,MATCH(P2259,Fit_Matrix!$A:$A,0))),"CHECK KEY"))</f>
        <v/>
      </c>
    </row>
    <row r="2260" customFormat="false" ht="15" hidden="false" customHeight="true" outlineLevel="0" collapsed="false">
      <c r="P2260" s="1" t="str">
        <f aca="false">IF(OR(F2260="",H2260="",J2260=""),"",J2260&amp;"|"&amp;F2260&amp;"|"&amp;IF(H2260="W3","W3_"&amp;IF(I2260="","unknown",I2260),H2260))</f>
        <v/>
      </c>
      <c r="Q2260" s="1" t="str">
        <f aca="false">IF(P2260="","",IFERROR(IF(AND(H2260="W7",OR(F2260="causal",F2260="predictive")),IF(AND(K2260=1,L2260=1,M2260=1),"adequate","partial"),INDEX(Fit_Matrix!$B:$B,MATCH(P2260,Fit_Matrix!$A:$A,0))),"CHECK KEY"))</f>
        <v/>
      </c>
    </row>
    <row r="2261" customFormat="false" ht="15" hidden="false" customHeight="true" outlineLevel="0" collapsed="false">
      <c r="P2261" s="1" t="str">
        <f aca="false">IF(OR(F2261="",H2261="",J2261=""),"",J2261&amp;"|"&amp;F2261&amp;"|"&amp;IF(H2261="W3","W3_"&amp;IF(I2261="","unknown",I2261),H2261))</f>
        <v/>
      </c>
      <c r="Q2261" s="1" t="str">
        <f aca="false">IF(P2261="","",IFERROR(IF(AND(H2261="W7",OR(F2261="causal",F2261="predictive")),IF(AND(K2261=1,L2261=1,M2261=1),"adequate","partial"),INDEX(Fit_Matrix!$B:$B,MATCH(P2261,Fit_Matrix!$A:$A,0))),"CHECK KEY"))</f>
        <v/>
      </c>
    </row>
    <row r="2262" customFormat="false" ht="15" hidden="false" customHeight="true" outlineLevel="0" collapsed="false">
      <c r="P2262" s="1" t="str">
        <f aca="false">IF(OR(F2262="",H2262="",J2262=""),"",J2262&amp;"|"&amp;F2262&amp;"|"&amp;IF(H2262="W3","W3_"&amp;IF(I2262="","unknown",I2262),H2262))</f>
        <v/>
      </c>
      <c r="Q2262" s="1" t="str">
        <f aca="false">IF(P2262="","",IFERROR(IF(AND(H2262="W7",OR(F2262="causal",F2262="predictive")),IF(AND(K2262=1,L2262=1,M2262=1),"adequate","partial"),INDEX(Fit_Matrix!$B:$B,MATCH(P2262,Fit_Matrix!$A:$A,0))),"CHECK KEY"))</f>
        <v/>
      </c>
    </row>
    <row r="2263" customFormat="false" ht="15" hidden="false" customHeight="true" outlineLevel="0" collapsed="false">
      <c r="P2263" s="1" t="str">
        <f aca="false">IF(OR(F2263="",H2263="",J2263=""),"",J2263&amp;"|"&amp;F2263&amp;"|"&amp;IF(H2263="W3","W3_"&amp;IF(I2263="","unknown",I2263),H2263))</f>
        <v/>
      </c>
      <c r="Q2263" s="1" t="str">
        <f aca="false">IF(P2263="","",IFERROR(IF(AND(H2263="W7",OR(F2263="causal",F2263="predictive")),IF(AND(K2263=1,L2263=1,M2263=1),"adequate","partial"),INDEX(Fit_Matrix!$B:$B,MATCH(P2263,Fit_Matrix!$A:$A,0))),"CHECK KEY"))</f>
        <v/>
      </c>
    </row>
    <row r="2264" customFormat="false" ht="15" hidden="false" customHeight="true" outlineLevel="0" collapsed="false">
      <c r="P2264" s="1" t="str">
        <f aca="false">IF(OR(F2264="",H2264="",J2264=""),"",J2264&amp;"|"&amp;F2264&amp;"|"&amp;IF(H2264="W3","W3_"&amp;IF(I2264="","unknown",I2264),H2264))</f>
        <v/>
      </c>
      <c r="Q2264" s="1" t="str">
        <f aca="false">IF(P2264="","",IFERROR(IF(AND(H2264="W7",OR(F2264="causal",F2264="predictive")),IF(AND(K2264=1,L2264=1,M2264=1),"adequate","partial"),INDEX(Fit_Matrix!$B:$B,MATCH(P2264,Fit_Matrix!$A:$A,0))),"CHECK KEY"))</f>
        <v/>
      </c>
    </row>
    <row r="2265" customFormat="false" ht="15" hidden="false" customHeight="true" outlineLevel="0" collapsed="false">
      <c r="P2265" s="1" t="str">
        <f aca="false">IF(OR(F2265="",H2265="",J2265=""),"",J2265&amp;"|"&amp;F2265&amp;"|"&amp;IF(H2265="W3","W3_"&amp;IF(I2265="","unknown",I2265),H2265))</f>
        <v/>
      </c>
      <c r="Q2265" s="1" t="str">
        <f aca="false">IF(P2265="","",IFERROR(IF(AND(H2265="W7",OR(F2265="causal",F2265="predictive")),IF(AND(K2265=1,L2265=1,M2265=1),"adequate","partial"),INDEX(Fit_Matrix!$B:$B,MATCH(P2265,Fit_Matrix!$A:$A,0))),"CHECK KEY"))</f>
        <v/>
      </c>
    </row>
    <row r="2266" customFormat="false" ht="15" hidden="false" customHeight="true" outlineLevel="0" collapsed="false">
      <c r="P2266" s="1" t="str">
        <f aca="false">IF(OR(F2266="",H2266="",J2266=""),"",J2266&amp;"|"&amp;F2266&amp;"|"&amp;IF(H2266="W3","W3_"&amp;IF(I2266="","unknown",I2266),H2266))</f>
        <v/>
      </c>
      <c r="Q2266" s="1" t="str">
        <f aca="false">IF(P2266="","",IFERROR(IF(AND(H2266="W7",OR(F2266="causal",F2266="predictive")),IF(AND(K2266=1,L2266=1,M2266=1),"adequate","partial"),INDEX(Fit_Matrix!$B:$B,MATCH(P2266,Fit_Matrix!$A:$A,0))),"CHECK KEY"))</f>
        <v/>
      </c>
    </row>
    <row r="2267" customFormat="false" ht="15" hidden="false" customHeight="true" outlineLevel="0" collapsed="false">
      <c r="P2267" s="1" t="str">
        <f aca="false">IF(OR(F2267="",H2267="",J2267=""),"",J2267&amp;"|"&amp;F2267&amp;"|"&amp;IF(H2267="W3","W3_"&amp;IF(I2267="","unknown",I2267),H2267))</f>
        <v/>
      </c>
      <c r="Q2267" s="1" t="str">
        <f aca="false">IF(P2267="","",IFERROR(IF(AND(H2267="W7",OR(F2267="causal",F2267="predictive")),IF(AND(K2267=1,L2267=1,M2267=1),"adequate","partial"),INDEX(Fit_Matrix!$B:$B,MATCH(P2267,Fit_Matrix!$A:$A,0))),"CHECK KEY"))</f>
        <v/>
      </c>
    </row>
    <row r="2268" customFormat="false" ht="15" hidden="false" customHeight="true" outlineLevel="0" collapsed="false">
      <c r="P2268" s="1" t="str">
        <f aca="false">IF(OR(F2268="",H2268="",J2268=""),"",J2268&amp;"|"&amp;F2268&amp;"|"&amp;IF(H2268="W3","W3_"&amp;IF(I2268="","unknown",I2268),H2268))</f>
        <v/>
      </c>
      <c r="Q2268" s="1" t="str">
        <f aca="false">IF(P2268="","",IFERROR(IF(AND(H2268="W7",OR(F2268="causal",F2268="predictive")),IF(AND(K2268=1,L2268=1,M2268=1),"adequate","partial"),INDEX(Fit_Matrix!$B:$B,MATCH(P2268,Fit_Matrix!$A:$A,0))),"CHECK KEY"))</f>
        <v/>
      </c>
    </row>
    <row r="2269" customFormat="false" ht="15" hidden="false" customHeight="true" outlineLevel="0" collapsed="false">
      <c r="P2269" s="1" t="str">
        <f aca="false">IF(OR(F2269="",H2269="",J2269=""),"",J2269&amp;"|"&amp;F2269&amp;"|"&amp;IF(H2269="W3","W3_"&amp;IF(I2269="","unknown",I2269),H2269))</f>
        <v/>
      </c>
      <c r="Q2269" s="1" t="str">
        <f aca="false">IF(P2269="","",IFERROR(IF(AND(H2269="W7",OR(F2269="causal",F2269="predictive")),IF(AND(K2269=1,L2269=1,M2269=1),"adequate","partial"),INDEX(Fit_Matrix!$B:$B,MATCH(P2269,Fit_Matrix!$A:$A,0))),"CHECK KEY"))</f>
        <v/>
      </c>
    </row>
    <row r="2270" customFormat="false" ht="15" hidden="false" customHeight="true" outlineLevel="0" collapsed="false">
      <c r="P2270" s="1" t="str">
        <f aca="false">IF(OR(F2270="",H2270="",J2270=""),"",J2270&amp;"|"&amp;F2270&amp;"|"&amp;IF(H2270="W3","W3_"&amp;IF(I2270="","unknown",I2270),H2270))</f>
        <v/>
      </c>
      <c r="Q2270" s="1" t="str">
        <f aca="false">IF(P2270="","",IFERROR(IF(AND(H2270="W7",OR(F2270="causal",F2270="predictive")),IF(AND(K2270=1,L2270=1,M2270=1),"adequate","partial"),INDEX(Fit_Matrix!$B:$B,MATCH(P2270,Fit_Matrix!$A:$A,0))),"CHECK KEY"))</f>
        <v/>
      </c>
    </row>
    <row r="2271" customFormat="false" ht="15" hidden="false" customHeight="true" outlineLevel="0" collapsed="false">
      <c r="P2271" s="1" t="str">
        <f aca="false">IF(OR(F2271="",H2271="",J2271=""),"",J2271&amp;"|"&amp;F2271&amp;"|"&amp;IF(H2271="W3","W3_"&amp;IF(I2271="","unknown",I2271),H2271))</f>
        <v/>
      </c>
      <c r="Q2271" s="1" t="str">
        <f aca="false">IF(P2271="","",IFERROR(IF(AND(H2271="W7",OR(F2271="causal",F2271="predictive")),IF(AND(K2271=1,L2271=1,M2271=1),"adequate","partial"),INDEX(Fit_Matrix!$B:$B,MATCH(P2271,Fit_Matrix!$A:$A,0))),"CHECK KEY"))</f>
        <v/>
      </c>
    </row>
    <row r="2272" customFormat="false" ht="15" hidden="false" customHeight="true" outlineLevel="0" collapsed="false">
      <c r="P2272" s="1" t="str">
        <f aca="false">IF(OR(F2272="",H2272="",J2272=""),"",J2272&amp;"|"&amp;F2272&amp;"|"&amp;IF(H2272="W3","W3_"&amp;IF(I2272="","unknown",I2272),H2272))</f>
        <v/>
      </c>
      <c r="Q2272" s="1" t="str">
        <f aca="false">IF(P2272="","",IFERROR(IF(AND(H2272="W7",OR(F2272="causal",F2272="predictive")),IF(AND(K2272=1,L2272=1,M2272=1),"adequate","partial"),INDEX(Fit_Matrix!$B:$B,MATCH(P2272,Fit_Matrix!$A:$A,0))),"CHECK KEY"))</f>
        <v/>
      </c>
    </row>
    <row r="2273" customFormat="false" ht="15" hidden="false" customHeight="true" outlineLevel="0" collapsed="false">
      <c r="P2273" s="1" t="str">
        <f aca="false">IF(OR(F2273="",H2273="",J2273=""),"",J2273&amp;"|"&amp;F2273&amp;"|"&amp;IF(H2273="W3","W3_"&amp;IF(I2273="","unknown",I2273),H2273))</f>
        <v/>
      </c>
      <c r="Q2273" s="1" t="str">
        <f aca="false">IF(P2273="","",IFERROR(IF(AND(H2273="W7",OR(F2273="causal",F2273="predictive")),IF(AND(K2273=1,L2273=1,M2273=1),"adequate","partial"),INDEX(Fit_Matrix!$B:$B,MATCH(P2273,Fit_Matrix!$A:$A,0))),"CHECK KEY"))</f>
        <v/>
      </c>
    </row>
    <row r="2274" customFormat="false" ht="15" hidden="false" customHeight="true" outlineLevel="0" collapsed="false">
      <c r="P2274" s="1" t="str">
        <f aca="false">IF(OR(F2274="",H2274="",J2274=""),"",J2274&amp;"|"&amp;F2274&amp;"|"&amp;IF(H2274="W3","W3_"&amp;IF(I2274="","unknown",I2274),H2274))</f>
        <v/>
      </c>
      <c r="Q2274" s="1" t="str">
        <f aca="false">IF(P2274="","",IFERROR(IF(AND(H2274="W7",OR(F2274="causal",F2274="predictive")),IF(AND(K2274=1,L2274=1,M2274=1),"adequate","partial"),INDEX(Fit_Matrix!$B:$B,MATCH(P2274,Fit_Matrix!$A:$A,0))),"CHECK KEY"))</f>
        <v/>
      </c>
    </row>
    <row r="2275" customFormat="false" ht="15" hidden="false" customHeight="true" outlineLevel="0" collapsed="false">
      <c r="P2275" s="1" t="str">
        <f aca="false">IF(OR(F2275="",H2275="",J2275=""),"",J2275&amp;"|"&amp;F2275&amp;"|"&amp;IF(H2275="W3","W3_"&amp;IF(I2275="","unknown",I2275),H2275))</f>
        <v/>
      </c>
      <c r="Q2275" s="1" t="str">
        <f aca="false">IF(P2275="","",IFERROR(IF(AND(H2275="W7",OR(F2275="causal",F2275="predictive")),IF(AND(K2275=1,L2275=1,M2275=1),"adequate","partial"),INDEX(Fit_Matrix!$B:$B,MATCH(P2275,Fit_Matrix!$A:$A,0))),"CHECK KEY"))</f>
        <v/>
      </c>
    </row>
    <row r="2276" customFormat="false" ht="15" hidden="false" customHeight="true" outlineLevel="0" collapsed="false">
      <c r="P2276" s="1" t="str">
        <f aca="false">IF(OR(F2276="",H2276="",J2276=""),"",J2276&amp;"|"&amp;F2276&amp;"|"&amp;IF(H2276="W3","W3_"&amp;IF(I2276="","unknown",I2276),H2276))</f>
        <v/>
      </c>
      <c r="Q2276" s="1" t="str">
        <f aca="false">IF(P2276="","",IFERROR(IF(AND(H2276="W7",OR(F2276="causal",F2276="predictive")),IF(AND(K2276=1,L2276=1,M2276=1),"adequate","partial"),INDEX(Fit_Matrix!$B:$B,MATCH(P2276,Fit_Matrix!$A:$A,0))),"CHECK KEY"))</f>
        <v/>
      </c>
    </row>
    <row r="2277" customFormat="false" ht="15" hidden="false" customHeight="true" outlineLevel="0" collapsed="false">
      <c r="P2277" s="1" t="str">
        <f aca="false">IF(OR(F2277="",H2277="",J2277=""),"",J2277&amp;"|"&amp;F2277&amp;"|"&amp;IF(H2277="W3","W3_"&amp;IF(I2277="","unknown",I2277),H2277))</f>
        <v/>
      </c>
      <c r="Q2277" s="1" t="str">
        <f aca="false">IF(P2277="","",IFERROR(IF(AND(H2277="W7",OR(F2277="causal",F2277="predictive")),IF(AND(K2277=1,L2277=1,M2277=1),"adequate","partial"),INDEX(Fit_Matrix!$B:$B,MATCH(P2277,Fit_Matrix!$A:$A,0))),"CHECK KEY"))</f>
        <v/>
      </c>
    </row>
    <row r="2278" customFormat="false" ht="15" hidden="false" customHeight="true" outlineLevel="0" collapsed="false">
      <c r="P2278" s="1" t="str">
        <f aca="false">IF(OR(F2278="",H2278="",J2278=""),"",J2278&amp;"|"&amp;F2278&amp;"|"&amp;IF(H2278="W3","W3_"&amp;IF(I2278="","unknown",I2278),H2278))</f>
        <v/>
      </c>
      <c r="Q2278" s="1" t="str">
        <f aca="false">IF(P2278="","",IFERROR(IF(AND(H2278="W7",OR(F2278="causal",F2278="predictive")),IF(AND(K2278=1,L2278=1,M2278=1),"adequate","partial"),INDEX(Fit_Matrix!$B:$B,MATCH(P2278,Fit_Matrix!$A:$A,0))),"CHECK KEY"))</f>
        <v/>
      </c>
    </row>
    <row r="2279" customFormat="false" ht="15" hidden="false" customHeight="true" outlineLevel="0" collapsed="false">
      <c r="P2279" s="1" t="str">
        <f aca="false">IF(OR(F2279="",H2279="",J2279=""),"",J2279&amp;"|"&amp;F2279&amp;"|"&amp;IF(H2279="W3","W3_"&amp;IF(I2279="","unknown",I2279),H2279))</f>
        <v/>
      </c>
      <c r="Q2279" s="1" t="str">
        <f aca="false">IF(P2279="","",IFERROR(IF(AND(H2279="W7",OR(F2279="causal",F2279="predictive")),IF(AND(K2279=1,L2279=1,M2279=1),"adequate","partial"),INDEX(Fit_Matrix!$B:$B,MATCH(P2279,Fit_Matrix!$A:$A,0))),"CHECK KEY"))</f>
        <v/>
      </c>
    </row>
    <row r="2280" customFormat="false" ht="15" hidden="false" customHeight="true" outlineLevel="0" collapsed="false">
      <c r="P2280" s="1" t="str">
        <f aca="false">IF(OR(F2280="",H2280="",J2280=""),"",J2280&amp;"|"&amp;F2280&amp;"|"&amp;IF(H2280="W3","W3_"&amp;IF(I2280="","unknown",I2280),H2280))</f>
        <v/>
      </c>
      <c r="Q2280" s="1" t="str">
        <f aca="false">IF(P2280="","",IFERROR(IF(AND(H2280="W7",OR(F2280="causal",F2280="predictive")),IF(AND(K2280=1,L2280=1,M2280=1),"adequate","partial"),INDEX(Fit_Matrix!$B:$B,MATCH(P2280,Fit_Matrix!$A:$A,0))),"CHECK KEY"))</f>
        <v/>
      </c>
    </row>
    <row r="2281" customFormat="false" ht="15" hidden="false" customHeight="true" outlineLevel="0" collapsed="false">
      <c r="P2281" s="1" t="str">
        <f aca="false">IF(OR(F2281="",H2281="",J2281=""),"",J2281&amp;"|"&amp;F2281&amp;"|"&amp;IF(H2281="W3","W3_"&amp;IF(I2281="","unknown",I2281),H2281))</f>
        <v/>
      </c>
      <c r="Q2281" s="1" t="str">
        <f aca="false">IF(P2281="","",IFERROR(IF(AND(H2281="W7",OR(F2281="causal",F2281="predictive")),IF(AND(K2281=1,L2281=1,M2281=1),"adequate","partial"),INDEX(Fit_Matrix!$B:$B,MATCH(P2281,Fit_Matrix!$A:$A,0))),"CHECK KEY"))</f>
        <v/>
      </c>
    </row>
    <row r="2282" customFormat="false" ht="15" hidden="false" customHeight="true" outlineLevel="0" collapsed="false">
      <c r="P2282" s="1" t="str">
        <f aca="false">IF(OR(F2282="",H2282="",J2282=""),"",J2282&amp;"|"&amp;F2282&amp;"|"&amp;IF(H2282="W3","W3_"&amp;IF(I2282="","unknown",I2282),H2282))</f>
        <v/>
      </c>
      <c r="Q2282" s="1" t="str">
        <f aca="false">IF(P2282="","",IFERROR(IF(AND(H2282="W7",OR(F2282="causal",F2282="predictive")),IF(AND(K2282=1,L2282=1,M2282=1),"adequate","partial"),INDEX(Fit_Matrix!$B:$B,MATCH(P2282,Fit_Matrix!$A:$A,0))),"CHECK KEY"))</f>
        <v/>
      </c>
    </row>
    <row r="2283" customFormat="false" ht="15" hidden="false" customHeight="true" outlineLevel="0" collapsed="false">
      <c r="P2283" s="1" t="str">
        <f aca="false">IF(OR(F2283="",H2283="",J2283=""),"",J2283&amp;"|"&amp;F2283&amp;"|"&amp;IF(H2283="W3","W3_"&amp;IF(I2283="","unknown",I2283),H2283))</f>
        <v/>
      </c>
      <c r="Q2283" s="1" t="str">
        <f aca="false">IF(P2283="","",IFERROR(IF(AND(H2283="W7",OR(F2283="causal",F2283="predictive")),IF(AND(K2283=1,L2283=1,M2283=1),"adequate","partial"),INDEX(Fit_Matrix!$B:$B,MATCH(P2283,Fit_Matrix!$A:$A,0))),"CHECK KEY"))</f>
        <v/>
      </c>
    </row>
    <row r="2284" customFormat="false" ht="15" hidden="false" customHeight="true" outlineLevel="0" collapsed="false">
      <c r="P2284" s="1" t="str">
        <f aca="false">IF(OR(F2284="",H2284="",J2284=""),"",J2284&amp;"|"&amp;F2284&amp;"|"&amp;IF(H2284="W3","W3_"&amp;IF(I2284="","unknown",I2284),H2284))</f>
        <v/>
      </c>
      <c r="Q2284" s="1" t="str">
        <f aca="false">IF(P2284="","",IFERROR(IF(AND(H2284="W7",OR(F2284="causal",F2284="predictive")),IF(AND(K2284=1,L2284=1,M2284=1),"adequate","partial"),INDEX(Fit_Matrix!$B:$B,MATCH(P2284,Fit_Matrix!$A:$A,0))),"CHECK KEY"))</f>
        <v/>
      </c>
    </row>
    <row r="2285" customFormat="false" ht="15" hidden="false" customHeight="true" outlineLevel="0" collapsed="false">
      <c r="P2285" s="1" t="str">
        <f aca="false">IF(OR(F2285="",H2285="",J2285=""),"",J2285&amp;"|"&amp;F2285&amp;"|"&amp;IF(H2285="W3","W3_"&amp;IF(I2285="","unknown",I2285),H2285))</f>
        <v/>
      </c>
      <c r="Q2285" s="1" t="str">
        <f aca="false">IF(P2285="","",IFERROR(IF(AND(H2285="W7",OR(F2285="causal",F2285="predictive")),IF(AND(K2285=1,L2285=1,M2285=1),"adequate","partial"),INDEX(Fit_Matrix!$B:$B,MATCH(P2285,Fit_Matrix!$A:$A,0))),"CHECK KEY"))</f>
        <v/>
      </c>
    </row>
    <row r="2286" customFormat="false" ht="15" hidden="false" customHeight="true" outlineLevel="0" collapsed="false">
      <c r="P2286" s="1" t="str">
        <f aca="false">IF(OR(F2286="",H2286="",J2286=""),"",J2286&amp;"|"&amp;F2286&amp;"|"&amp;IF(H2286="W3","W3_"&amp;IF(I2286="","unknown",I2286),H2286))</f>
        <v/>
      </c>
      <c r="Q2286" s="1" t="str">
        <f aca="false">IF(P2286="","",IFERROR(IF(AND(H2286="W7",OR(F2286="causal",F2286="predictive")),IF(AND(K2286=1,L2286=1,M2286=1),"adequate","partial"),INDEX(Fit_Matrix!$B:$B,MATCH(P2286,Fit_Matrix!$A:$A,0))),"CHECK KEY"))</f>
        <v/>
      </c>
    </row>
    <row r="2287" customFormat="false" ht="15" hidden="false" customHeight="true" outlineLevel="0" collapsed="false">
      <c r="P2287" s="1" t="str">
        <f aca="false">IF(OR(F2287="",H2287="",J2287=""),"",J2287&amp;"|"&amp;F2287&amp;"|"&amp;IF(H2287="W3","W3_"&amp;IF(I2287="","unknown",I2287),H2287))</f>
        <v/>
      </c>
      <c r="Q2287" s="1" t="str">
        <f aca="false">IF(P2287="","",IFERROR(IF(AND(H2287="W7",OR(F2287="causal",F2287="predictive")),IF(AND(K2287=1,L2287=1,M2287=1),"adequate","partial"),INDEX(Fit_Matrix!$B:$B,MATCH(P2287,Fit_Matrix!$A:$A,0))),"CHECK KEY"))</f>
        <v/>
      </c>
    </row>
    <row r="2288" customFormat="false" ht="15" hidden="false" customHeight="true" outlineLevel="0" collapsed="false">
      <c r="P2288" s="1" t="str">
        <f aca="false">IF(OR(F2288="",H2288="",J2288=""),"",J2288&amp;"|"&amp;F2288&amp;"|"&amp;IF(H2288="W3","W3_"&amp;IF(I2288="","unknown",I2288),H2288))</f>
        <v/>
      </c>
      <c r="Q2288" s="1" t="str">
        <f aca="false">IF(P2288="","",IFERROR(IF(AND(H2288="W7",OR(F2288="causal",F2288="predictive")),IF(AND(K2288=1,L2288=1,M2288=1),"adequate","partial"),INDEX(Fit_Matrix!$B:$B,MATCH(P2288,Fit_Matrix!$A:$A,0))),"CHECK KEY"))</f>
        <v/>
      </c>
    </row>
    <row r="2289" customFormat="false" ht="15" hidden="false" customHeight="true" outlineLevel="0" collapsed="false">
      <c r="P2289" s="1" t="str">
        <f aca="false">IF(OR(F2289="",H2289="",J2289=""),"",J2289&amp;"|"&amp;F2289&amp;"|"&amp;IF(H2289="W3","W3_"&amp;IF(I2289="","unknown",I2289),H2289))</f>
        <v/>
      </c>
      <c r="Q2289" s="1" t="str">
        <f aca="false">IF(P2289="","",IFERROR(IF(AND(H2289="W7",OR(F2289="causal",F2289="predictive")),IF(AND(K2289=1,L2289=1,M2289=1),"adequate","partial"),INDEX(Fit_Matrix!$B:$B,MATCH(P2289,Fit_Matrix!$A:$A,0))),"CHECK KEY"))</f>
        <v/>
      </c>
    </row>
    <row r="2290" customFormat="false" ht="15" hidden="false" customHeight="true" outlineLevel="0" collapsed="false">
      <c r="P2290" s="1" t="str">
        <f aca="false">IF(OR(F2290="",H2290="",J2290=""),"",J2290&amp;"|"&amp;F2290&amp;"|"&amp;IF(H2290="W3","W3_"&amp;IF(I2290="","unknown",I2290),H2290))</f>
        <v/>
      </c>
      <c r="Q2290" s="1" t="str">
        <f aca="false">IF(P2290="","",IFERROR(IF(AND(H2290="W7",OR(F2290="causal",F2290="predictive")),IF(AND(K2290=1,L2290=1,M2290=1),"adequate","partial"),INDEX(Fit_Matrix!$B:$B,MATCH(P2290,Fit_Matrix!$A:$A,0))),"CHECK KEY"))</f>
        <v/>
      </c>
    </row>
    <row r="2291" customFormat="false" ht="15" hidden="false" customHeight="true" outlineLevel="0" collapsed="false">
      <c r="P2291" s="1" t="str">
        <f aca="false">IF(OR(F2291="",H2291="",J2291=""),"",J2291&amp;"|"&amp;F2291&amp;"|"&amp;IF(H2291="W3","W3_"&amp;IF(I2291="","unknown",I2291),H2291))</f>
        <v/>
      </c>
      <c r="Q2291" s="1" t="str">
        <f aca="false">IF(P2291="","",IFERROR(IF(AND(H2291="W7",OR(F2291="causal",F2291="predictive")),IF(AND(K2291=1,L2291=1,M2291=1),"adequate","partial"),INDEX(Fit_Matrix!$B:$B,MATCH(P2291,Fit_Matrix!$A:$A,0))),"CHECK KEY"))</f>
        <v/>
      </c>
    </row>
    <row r="2292" customFormat="false" ht="15" hidden="false" customHeight="true" outlineLevel="0" collapsed="false">
      <c r="P2292" s="1" t="str">
        <f aca="false">IF(OR(F2292="",H2292="",J2292=""),"",J2292&amp;"|"&amp;F2292&amp;"|"&amp;IF(H2292="W3","W3_"&amp;IF(I2292="","unknown",I2292),H2292))</f>
        <v/>
      </c>
      <c r="Q2292" s="1" t="str">
        <f aca="false">IF(P2292="","",IFERROR(IF(AND(H2292="W7",OR(F2292="causal",F2292="predictive")),IF(AND(K2292=1,L2292=1,M2292=1),"adequate","partial"),INDEX(Fit_Matrix!$B:$B,MATCH(P2292,Fit_Matrix!$A:$A,0))),"CHECK KEY"))</f>
        <v/>
      </c>
    </row>
    <row r="2293" customFormat="false" ht="15" hidden="false" customHeight="true" outlineLevel="0" collapsed="false">
      <c r="P2293" s="1" t="str">
        <f aca="false">IF(OR(F2293="",H2293="",J2293=""),"",J2293&amp;"|"&amp;F2293&amp;"|"&amp;IF(H2293="W3","W3_"&amp;IF(I2293="","unknown",I2293),H2293))</f>
        <v/>
      </c>
      <c r="Q2293" s="1" t="str">
        <f aca="false">IF(P2293="","",IFERROR(IF(AND(H2293="W7",OR(F2293="causal",F2293="predictive")),IF(AND(K2293=1,L2293=1,M2293=1),"adequate","partial"),INDEX(Fit_Matrix!$B:$B,MATCH(P2293,Fit_Matrix!$A:$A,0))),"CHECK KEY"))</f>
        <v/>
      </c>
    </row>
    <row r="2294" customFormat="false" ht="15" hidden="false" customHeight="true" outlineLevel="0" collapsed="false">
      <c r="P2294" s="1" t="str">
        <f aca="false">IF(OR(F2294="",H2294="",J2294=""),"",J2294&amp;"|"&amp;F2294&amp;"|"&amp;IF(H2294="W3","W3_"&amp;IF(I2294="","unknown",I2294),H2294))</f>
        <v/>
      </c>
      <c r="Q2294" s="1" t="str">
        <f aca="false">IF(P2294="","",IFERROR(IF(AND(H2294="W7",OR(F2294="causal",F2294="predictive")),IF(AND(K2294=1,L2294=1,M2294=1),"adequate","partial"),INDEX(Fit_Matrix!$B:$B,MATCH(P2294,Fit_Matrix!$A:$A,0))),"CHECK KEY"))</f>
        <v/>
      </c>
    </row>
    <row r="2295" customFormat="false" ht="15" hidden="false" customHeight="true" outlineLevel="0" collapsed="false">
      <c r="P2295" s="1" t="str">
        <f aca="false">IF(OR(F2295="",H2295="",J2295=""),"",J2295&amp;"|"&amp;F2295&amp;"|"&amp;IF(H2295="W3","W3_"&amp;IF(I2295="","unknown",I2295),H2295))</f>
        <v/>
      </c>
      <c r="Q2295" s="1" t="str">
        <f aca="false">IF(P2295="","",IFERROR(IF(AND(H2295="W7",OR(F2295="causal",F2295="predictive")),IF(AND(K2295=1,L2295=1,M2295=1),"adequate","partial"),INDEX(Fit_Matrix!$B:$B,MATCH(P2295,Fit_Matrix!$A:$A,0))),"CHECK KEY"))</f>
        <v/>
      </c>
    </row>
    <row r="2296" customFormat="false" ht="15" hidden="false" customHeight="true" outlineLevel="0" collapsed="false">
      <c r="P2296" s="1" t="str">
        <f aca="false">IF(OR(F2296="",H2296="",J2296=""),"",J2296&amp;"|"&amp;F2296&amp;"|"&amp;IF(H2296="W3","W3_"&amp;IF(I2296="","unknown",I2296),H2296))</f>
        <v/>
      </c>
      <c r="Q2296" s="1" t="str">
        <f aca="false">IF(P2296="","",IFERROR(IF(AND(H2296="W7",OR(F2296="causal",F2296="predictive")),IF(AND(K2296=1,L2296=1,M2296=1),"adequate","partial"),INDEX(Fit_Matrix!$B:$B,MATCH(P2296,Fit_Matrix!$A:$A,0))),"CHECK KEY"))</f>
        <v/>
      </c>
    </row>
    <row r="2297" customFormat="false" ht="15" hidden="false" customHeight="true" outlineLevel="0" collapsed="false">
      <c r="P2297" s="1" t="str">
        <f aca="false">IF(OR(F2297="",H2297="",J2297=""),"",J2297&amp;"|"&amp;F2297&amp;"|"&amp;IF(H2297="W3","W3_"&amp;IF(I2297="","unknown",I2297),H2297))</f>
        <v/>
      </c>
      <c r="Q2297" s="1" t="str">
        <f aca="false">IF(P2297="","",IFERROR(IF(AND(H2297="W7",OR(F2297="causal",F2297="predictive")),IF(AND(K2297=1,L2297=1,M2297=1),"adequate","partial"),INDEX(Fit_Matrix!$B:$B,MATCH(P2297,Fit_Matrix!$A:$A,0))),"CHECK KEY"))</f>
        <v/>
      </c>
    </row>
    <row r="2298" customFormat="false" ht="15" hidden="false" customHeight="true" outlineLevel="0" collapsed="false">
      <c r="P2298" s="1" t="str">
        <f aca="false">IF(OR(F2298="",H2298="",J2298=""),"",J2298&amp;"|"&amp;F2298&amp;"|"&amp;IF(H2298="W3","W3_"&amp;IF(I2298="","unknown",I2298),H2298))</f>
        <v/>
      </c>
      <c r="Q2298" s="1" t="str">
        <f aca="false">IF(P2298="","",IFERROR(IF(AND(H2298="W7",OR(F2298="causal",F2298="predictive")),IF(AND(K2298=1,L2298=1,M2298=1),"adequate","partial"),INDEX(Fit_Matrix!$B:$B,MATCH(P2298,Fit_Matrix!$A:$A,0))),"CHECK KEY"))</f>
        <v/>
      </c>
    </row>
    <row r="2299" customFormat="false" ht="15" hidden="false" customHeight="true" outlineLevel="0" collapsed="false">
      <c r="P2299" s="1" t="str">
        <f aca="false">IF(OR(F2299="",H2299="",J2299=""),"",J2299&amp;"|"&amp;F2299&amp;"|"&amp;IF(H2299="W3","W3_"&amp;IF(I2299="","unknown",I2299),H2299))</f>
        <v/>
      </c>
      <c r="Q2299" s="1" t="str">
        <f aca="false">IF(P2299="","",IFERROR(IF(AND(H2299="W7",OR(F2299="causal",F2299="predictive")),IF(AND(K2299=1,L2299=1,M2299=1),"adequate","partial"),INDEX(Fit_Matrix!$B:$B,MATCH(P2299,Fit_Matrix!$A:$A,0))),"CHECK KEY"))</f>
        <v/>
      </c>
    </row>
    <row r="2300" customFormat="false" ht="15" hidden="false" customHeight="true" outlineLevel="0" collapsed="false">
      <c r="P2300" s="1" t="str">
        <f aca="false">IF(OR(F2300="",H2300="",J2300=""),"",J2300&amp;"|"&amp;F2300&amp;"|"&amp;IF(H2300="W3","W3_"&amp;IF(I2300="","unknown",I2300),H2300))</f>
        <v/>
      </c>
      <c r="Q2300" s="1" t="str">
        <f aca="false">IF(P2300="","",IFERROR(IF(AND(H2300="W7",OR(F2300="causal",F2300="predictive")),IF(AND(K2300=1,L2300=1,M2300=1),"adequate","partial"),INDEX(Fit_Matrix!$B:$B,MATCH(P2300,Fit_Matrix!$A:$A,0))),"CHECK KEY"))</f>
        <v/>
      </c>
    </row>
    <row r="2301" customFormat="false" ht="15" hidden="false" customHeight="true" outlineLevel="0" collapsed="false">
      <c r="P2301" s="1" t="str">
        <f aca="false">IF(OR(F2301="",H2301="",J2301=""),"",J2301&amp;"|"&amp;F2301&amp;"|"&amp;IF(H2301="W3","W3_"&amp;IF(I2301="","unknown",I2301),H2301))</f>
        <v/>
      </c>
      <c r="Q2301" s="1" t="str">
        <f aca="false">IF(P2301="","",IFERROR(IF(AND(H2301="W7",OR(F2301="causal",F2301="predictive")),IF(AND(K2301=1,L2301=1,M2301=1),"adequate","partial"),INDEX(Fit_Matrix!$B:$B,MATCH(P2301,Fit_Matrix!$A:$A,0))),"CHECK KEY"))</f>
        <v/>
      </c>
    </row>
    <row r="2302" customFormat="false" ht="15" hidden="false" customHeight="true" outlineLevel="0" collapsed="false">
      <c r="P2302" s="1" t="str">
        <f aca="false">IF(OR(F2302="",H2302="",J2302=""),"",J2302&amp;"|"&amp;F2302&amp;"|"&amp;IF(H2302="W3","W3_"&amp;IF(I2302="","unknown",I2302),H2302))</f>
        <v/>
      </c>
      <c r="Q2302" s="1" t="str">
        <f aca="false">IF(P2302="","",IFERROR(IF(AND(H2302="W7",OR(F2302="causal",F2302="predictive")),IF(AND(K2302=1,L2302=1,M2302=1),"adequate","partial"),INDEX(Fit_Matrix!$B:$B,MATCH(P2302,Fit_Matrix!$A:$A,0))),"CHECK KEY"))</f>
        <v/>
      </c>
    </row>
    <row r="2303" customFormat="false" ht="15" hidden="false" customHeight="true" outlineLevel="0" collapsed="false">
      <c r="P2303" s="1" t="str">
        <f aca="false">IF(OR(F2303="",H2303="",J2303=""),"",J2303&amp;"|"&amp;F2303&amp;"|"&amp;IF(H2303="W3","W3_"&amp;IF(I2303="","unknown",I2303),H2303))</f>
        <v/>
      </c>
      <c r="Q2303" s="1" t="str">
        <f aca="false">IF(P2303="","",IFERROR(IF(AND(H2303="W7",OR(F2303="causal",F2303="predictive")),IF(AND(K2303=1,L2303=1,M2303=1),"adequate","partial"),INDEX(Fit_Matrix!$B:$B,MATCH(P2303,Fit_Matrix!$A:$A,0))),"CHECK KEY"))</f>
        <v/>
      </c>
    </row>
    <row r="2304" customFormat="false" ht="15" hidden="false" customHeight="true" outlineLevel="0" collapsed="false">
      <c r="P2304" s="1" t="str">
        <f aca="false">IF(OR(F2304="",H2304="",J2304=""),"",J2304&amp;"|"&amp;F2304&amp;"|"&amp;IF(H2304="W3","W3_"&amp;IF(I2304="","unknown",I2304),H2304))</f>
        <v/>
      </c>
      <c r="Q2304" s="1" t="str">
        <f aca="false">IF(P2304="","",IFERROR(IF(AND(H2304="W7",OR(F2304="causal",F2304="predictive")),IF(AND(K2304=1,L2304=1,M2304=1),"adequate","partial"),INDEX(Fit_Matrix!$B:$B,MATCH(P2304,Fit_Matrix!$A:$A,0))),"CHECK KEY"))</f>
        <v/>
      </c>
    </row>
    <row r="2305" customFormat="false" ht="15" hidden="false" customHeight="true" outlineLevel="0" collapsed="false">
      <c r="P2305" s="1" t="str">
        <f aca="false">IF(OR(F2305="",H2305="",J2305=""),"",J2305&amp;"|"&amp;F2305&amp;"|"&amp;IF(H2305="W3","W3_"&amp;IF(I2305="","unknown",I2305),H2305))</f>
        <v/>
      </c>
      <c r="Q2305" s="1" t="str">
        <f aca="false">IF(P2305="","",IFERROR(IF(AND(H2305="W7",OR(F2305="causal",F2305="predictive")),IF(AND(K2305=1,L2305=1,M2305=1),"adequate","partial"),INDEX(Fit_Matrix!$B:$B,MATCH(P2305,Fit_Matrix!$A:$A,0))),"CHECK KEY"))</f>
        <v/>
      </c>
    </row>
    <row r="2306" customFormat="false" ht="15" hidden="false" customHeight="true" outlineLevel="0" collapsed="false">
      <c r="P2306" s="1" t="str">
        <f aca="false">IF(OR(F2306="",H2306="",J2306=""),"",J2306&amp;"|"&amp;F2306&amp;"|"&amp;IF(H2306="W3","W3_"&amp;IF(I2306="","unknown",I2306),H2306))</f>
        <v/>
      </c>
      <c r="Q2306" s="1" t="str">
        <f aca="false">IF(P2306="","",IFERROR(IF(AND(H2306="W7",OR(F2306="causal",F2306="predictive")),IF(AND(K2306=1,L2306=1,M2306=1),"adequate","partial"),INDEX(Fit_Matrix!$B:$B,MATCH(P2306,Fit_Matrix!$A:$A,0))),"CHECK KEY"))</f>
        <v/>
      </c>
    </row>
    <row r="2307" customFormat="false" ht="15" hidden="false" customHeight="true" outlineLevel="0" collapsed="false">
      <c r="P2307" s="1" t="str">
        <f aca="false">IF(OR(F2307="",H2307="",J2307=""),"",J2307&amp;"|"&amp;F2307&amp;"|"&amp;IF(H2307="W3","W3_"&amp;IF(I2307="","unknown",I2307),H2307))</f>
        <v/>
      </c>
      <c r="Q2307" s="1" t="str">
        <f aca="false">IF(P2307="","",IFERROR(IF(AND(H2307="W7",OR(F2307="causal",F2307="predictive")),IF(AND(K2307=1,L2307=1,M2307=1),"adequate","partial"),INDEX(Fit_Matrix!$B:$B,MATCH(P2307,Fit_Matrix!$A:$A,0))),"CHECK KEY"))</f>
        <v/>
      </c>
    </row>
    <row r="2308" customFormat="false" ht="15" hidden="false" customHeight="true" outlineLevel="0" collapsed="false">
      <c r="P2308" s="1" t="str">
        <f aca="false">IF(OR(F2308="",H2308="",J2308=""),"",J2308&amp;"|"&amp;F2308&amp;"|"&amp;IF(H2308="W3","W3_"&amp;IF(I2308="","unknown",I2308),H2308))</f>
        <v/>
      </c>
      <c r="Q2308" s="1" t="str">
        <f aca="false">IF(P2308="","",IFERROR(IF(AND(H2308="W7",OR(F2308="causal",F2308="predictive")),IF(AND(K2308=1,L2308=1,M2308=1),"adequate","partial"),INDEX(Fit_Matrix!$B:$B,MATCH(P2308,Fit_Matrix!$A:$A,0))),"CHECK KEY"))</f>
        <v/>
      </c>
    </row>
    <row r="2309" customFormat="false" ht="15" hidden="false" customHeight="true" outlineLevel="0" collapsed="false">
      <c r="P2309" s="1" t="str">
        <f aca="false">IF(OR(F2309="",H2309="",J2309=""),"",J2309&amp;"|"&amp;F2309&amp;"|"&amp;IF(H2309="W3","W3_"&amp;IF(I2309="","unknown",I2309),H2309))</f>
        <v/>
      </c>
      <c r="Q2309" s="1" t="str">
        <f aca="false">IF(P2309="","",IFERROR(IF(AND(H2309="W7",OR(F2309="causal",F2309="predictive")),IF(AND(K2309=1,L2309=1,M2309=1),"adequate","partial"),INDEX(Fit_Matrix!$B:$B,MATCH(P2309,Fit_Matrix!$A:$A,0))),"CHECK KEY"))</f>
        <v/>
      </c>
    </row>
    <row r="2310" customFormat="false" ht="15" hidden="false" customHeight="true" outlineLevel="0" collapsed="false">
      <c r="P2310" s="1" t="str">
        <f aca="false">IF(OR(F2310="",H2310="",J2310=""),"",J2310&amp;"|"&amp;F2310&amp;"|"&amp;IF(H2310="W3","W3_"&amp;IF(I2310="","unknown",I2310),H2310))</f>
        <v/>
      </c>
      <c r="Q2310" s="1" t="str">
        <f aca="false">IF(P2310="","",IFERROR(IF(AND(H2310="W7",OR(F2310="causal",F2310="predictive")),IF(AND(K2310=1,L2310=1,M2310=1),"adequate","partial"),INDEX(Fit_Matrix!$B:$B,MATCH(P2310,Fit_Matrix!$A:$A,0))),"CHECK KEY"))</f>
        <v/>
      </c>
    </row>
    <row r="2311" customFormat="false" ht="15" hidden="false" customHeight="true" outlineLevel="0" collapsed="false">
      <c r="P2311" s="1" t="str">
        <f aca="false">IF(OR(F2311="",H2311="",J2311=""),"",J2311&amp;"|"&amp;F2311&amp;"|"&amp;IF(H2311="W3","W3_"&amp;IF(I2311="","unknown",I2311),H2311))</f>
        <v/>
      </c>
      <c r="Q2311" s="1" t="str">
        <f aca="false">IF(P2311="","",IFERROR(IF(AND(H2311="W7",OR(F2311="causal",F2311="predictive")),IF(AND(K2311=1,L2311=1,M2311=1),"adequate","partial"),INDEX(Fit_Matrix!$B:$B,MATCH(P2311,Fit_Matrix!$A:$A,0))),"CHECK KEY"))</f>
        <v/>
      </c>
    </row>
    <row r="2312" customFormat="false" ht="15" hidden="false" customHeight="true" outlineLevel="0" collapsed="false">
      <c r="P2312" s="1" t="str">
        <f aca="false">IF(OR(F2312="",H2312="",J2312=""),"",J2312&amp;"|"&amp;F2312&amp;"|"&amp;IF(H2312="W3","W3_"&amp;IF(I2312="","unknown",I2312),H2312))</f>
        <v/>
      </c>
      <c r="Q2312" s="1" t="str">
        <f aca="false">IF(P2312="","",IFERROR(IF(AND(H2312="W7",OR(F2312="causal",F2312="predictive")),IF(AND(K2312=1,L2312=1,M2312=1),"adequate","partial"),INDEX(Fit_Matrix!$B:$B,MATCH(P2312,Fit_Matrix!$A:$A,0))),"CHECK KEY"))</f>
        <v/>
      </c>
    </row>
    <row r="2313" customFormat="false" ht="15" hidden="false" customHeight="true" outlineLevel="0" collapsed="false">
      <c r="P2313" s="1" t="str">
        <f aca="false">IF(OR(F2313="",H2313="",J2313=""),"",J2313&amp;"|"&amp;F2313&amp;"|"&amp;IF(H2313="W3","W3_"&amp;IF(I2313="","unknown",I2313),H2313))</f>
        <v/>
      </c>
      <c r="Q2313" s="1" t="str">
        <f aca="false">IF(P2313="","",IFERROR(IF(AND(H2313="W7",OR(F2313="causal",F2313="predictive")),IF(AND(K2313=1,L2313=1,M2313=1),"adequate","partial"),INDEX(Fit_Matrix!$B:$B,MATCH(P2313,Fit_Matrix!$A:$A,0))),"CHECK KEY"))</f>
        <v/>
      </c>
    </row>
    <row r="2314" customFormat="false" ht="15" hidden="false" customHeight="true" outlineLevel="0" collapsed="false">
      <c r="P2314" s="1" t="str">
        <f aca="false">IF(OR(F2314="",H2314="",J2314=""),"",J2314&amp;"|"&amp;F2314&amp;"|"&amp;IF(H2314="W3","W3_"&amp;IF(I2314="","unknown",I2314),H2314))</f>
        <v/>
      </c>
      <c r="Q2314" s="1" t="str">
        <f aca="false">IF(P2314="","",IFERROR(IF(AND(H2314="W7",OR(F2314="causal",F2314="predictive")),IF(AND(K2314=1,L2314=1,M2314=1),"adequate","partial"),INDEX(Fit_Matrix!$B:$B,MATCH(P2314,Fit_Matrix!$A:$A,0))),"CHECK KEY"))</f>
        <v/>
      </c>
    </row>
    <row r="2315" customFormat="false" ht="15" hidden="false" customHeight="true" outlineLevel="0" collapsed="false">
      <c r="P2315" s="1" t="str">
        <f aca="false">IF(OR(F2315="",H2315="",J2315=""),"",J2315&amp;"|"&amp;F2315&amp;"|"&amp;IF(H2315="W3","W3_"&amp;IF(I2315="","unknown",I2315),H2315))</f>
        <v/>
      </c>
      <c r="Q2315" s="1" t="str">
        <f aca="false">IF(P2315="","",IFERROR(IF(AND(H2315="W7",OR(F2315="causal",F2315="predictive")),IF(AND(K2315=1,L2315=1,M2315=1),"adequate","partial"),INDEX(Fit_Matrix!$B:$B,MATCH(P2315,Fit_Matrix!$A:$A,0))),"CHECK KEY"))</f>
        <v/>
      </c>
    </row>
    <row r="2316" customFormat="false" ht="15" hidden="false" customHeight="true" outlineLevel="0" collapsed="false">
      <c r="P2316" s="1" t="str">
        <f aca="false">IF(OR(F2316="",H2316="",J2316=""),"",J2316&amp;"|"&amp;F2316&amp;"|"&amp;IF(H2316="W3","W3_"&amp;IF(I2316="","unknown",I2316),H2316))</f>
        <v/>
      </c>
      <c r="Q2316" s="1" t="str">
        <f aca="false">IF(P2316="","",IFERROR(IF(AND(H2316="W7",OR(F2316="causal",F2316="predictive")),IF(AND(K2316=1,L2316=1,M2316=1),"adequate","partial"),INDEX(Fit_Matrix!$B:$B,MATCH(P2316,Fit_Matrix!$A:$A,0))),"CHECK KEY"))</f>
        <v/>
      </c>
    </row>
    <row r="2317" customFormat="false" ht="15" hidden="false" customHeight="true" outlineLevel="0" collapsed="false">
      <c r="P2317" s="1" t="str">
        <f aca="false">IF(OR(F2317="",H2317="",J2317=""),"",J2317&amp;"|"&amp;F2317&amp;"|"&amp;IF(H2317="W3","W3_"&amp;IF(I2317="","unknown",I2317),H2317))</f>
        <v/>
      </c>
      <c r="Q2317" s="1" t="str">
        <f aca="false">IF(P2317="","",IFERROR(IF(AND(H2317="W7",OR(F2317="causal",F2317="predictive")),IF(AND(K2317=1,L2317=1,M2317=1),"adequate","partial"),INDEX(Fit_Matrix!$B:$B,MATCH(P2317,Fit_Matrix!$A:$A,0))),"CHECK KEY"))</f>
        <v/>
      </c>
    </row>
    <row r="2318" customFormat="false" ht="15" hidden="false" customHeight="true" outlineLevel="0" collapsed="false">
      <c r="P2318" s="1" t="str">
        <f aca="false">IF(OR(F2318="",H2318="",J2318=""),"",J2318&amp;"|"&amp;F2318&amp;"|"&amp;IF(H2318="W3","W3_"&amp;IF(I2318="","unknown",I2318),H2318))</f>
        <v/>
      </c>
      <c r="Q2318" s="1" t="str">
        <f aca="false">IF(P2318="","",IFERROR(IF(AND(H2318="W7",OR(F2318="causal",F2318="predictive")),IF(AND(K2318=1,L2318=1,M2318=1),"adequate","partial"),INDEX(Fit_Matrix!$B:$B,MATCH(P2318,Fit_Matrix!$A:$A,0))),"CHECK KEY"))</f>
        <v/>
      </c>
    </row>
    <row r="2319" customFormat="false" ht="15" hidden="false" customHeight="true" outlineLevel="0" collapsed="false">
      <c r="P2319" s="1" t="str">
        <f aca="false">IF(OR(F2319="",H2319="",J2319=""),"",J2319&amp;"|"&amp;F2319&amp;"|"&amp;IF(H2319="W3","W3_"&amp;IF(I2319="","unknown",I2319),H2319))</f>
        <v/>
      </c>
      <c r="Q2319" s="1" t="str">
        <f aca="false">IF(P2319="","",IFERROR(IF(AND(H2319="W7",OR(F2319="causal",F2319="predictive")),IF(AND(K2319=1,L2319=1,M2319=1),"adequate","partial"),INDEX(Fit_Matrix!$B:$B,MATCH(P2319,Fit_Matrix!$A:$A,0))),"CHECK KEY"))</f>
        <v/>
      </c>
    </row>
    <row r="2320" customFormat="false" ht="15" hidden="false" customHeight="true" outlineLevel="0" collapsed="false">
      <c r="P2320" s="1" t="str">
        <f aca="false">IF(OR(F2320="",H2320="",J2320=""),"",J2320&amp;"|"&amp;F2320&amp;"|"&amp;IF(H2320="W3","W3_"&amp;IF(I2320="","unknown",I2320),H2320))</f>
        <v/>
      </c>
      <c r="Q2320" s="1" t="str">
        <f aca="false">IF(P2320="","",IFERROR(IF(AND(H2320="W7",OR(F2320="causal",F2320="predictive")),IF(AND(K2320=1,L2320=1,M2320=1),"adequate","partial"),INDEX(Fit_Matrix!$B:$B,MATCH(P2320,Fit_Matrix!$A:$A,0))),"CHECK KEY"))</f>
        <v/>
      </c>
    </row>
    <row r="2321" customFormat="false" ht="15" hidden="false" customHeight="true" outlineLevel="0" collapsed="false">
      <c r="P2321" s="1" t="str">
        <f aca="false">IF(OR(F2321="",H2321="",J2321=""),"",J2321&amp;"|"&amp;F2321&amp;"|"&amp;IF(H2321="W3","W3_"&amp;IF(I2321="","unknown",I2321),H2321))</f>
        <v/>
      </c>
      <c r="Q2321" s="1" t="str">
        <f aca="false">IF(P2321="","",IFERROR(IF(AND(H2321="W7",OR(F2321="causal",F2321="predictive")),IF(AND(K2321=1,L2321=1,M2321=1),"adequate","partial"),INDEX(Fit_Matrix!$B:$B,MATCH(P2321,Fit_Matrix!$A:$A,0))),"CHECK KEY"))</f>
        <v/>
      </c>
    </row>
    <row r="2322" customFormat="false" ht="15" hidden="false" customHeight="true" outlineLevel="0" collapsed="false">
      <c r="P2322" s="1" t="str">
        <f aca="false">IF(OR(F2322="",H2322="",J2322=""),"",J2322&amp;"|"&amp;F2322&amp;"|"&amp;IF(H2322="W3","W3_"&amp;IF(I2322="","unknown",I2322),H2322))</f>
        <v/>
      </c>
      <c r="Q2322" s="1" t="str">
        <f aca="false">IF(P2322="","",IFERROR(IF(AND(H2322="W7",OR(F2322="causal",F2322="predictive")),IF(AND(K2322=1,L2322=1,M2322=1),"adequate","partial"),INDEX(Fit_Matrix!$B:$B,MATCH(P2322,Fit_Matrix!$A:$A,0))),"CHECK KEY"))</f>
        <v/>
      </c>
    </row>
    <row r="2323" customFormat="false" ht="15" hidden="false" customHeight="true" outlineLevel="0" collapsed="false">
      <c r="P2323" s="1" t="str">
        <f aca="false">IF(OR(F2323="",H2323="",J2323=""),"",J2323&amp;"|"&amp;F2323&amp;"|"&amp;IF(H2323="W3","W3_"&amp;IF(I2323="","unknown",I2323),H2323))</f>
        <v/>
      </c>
      <c r="Q2323" s="1" t="str">
        <f aca="false">IF(P2323="","",IFERROR(IF(AND(H2323="W7",OR(F2323="causal",F2323="predictive")),IF(AND(K2323=1,L2323=1,M2323=1),"adequate","partial"),INDEX(Fit_Matrix!$B:$B,MATCH(P2323,Fit_Matrix!$A:$A,0))),"CHECK KEY"))</f>
        <v/>
      </c>
    </row>
    <row r="2324" customFormat="false" ht="15" hidden="false" customHeight="true" outlineLevel="0" collapsed="false">
      <c r="P2324" s="1" t="str">
        <f aca="false">IF(OR(F2324="",H2324="",J2324=""),"",J2324&amp;"|"&amp;F2324&amp;"|"&amp;IF(H2324="W3","W3_"&amp;IF(I2324="","unknown",I2324),H2324))</f>
        <v/>
      </c>
      <c r="Q2324" s="1" t="str">
        <f aca="false">IF(P2324="","",IFERROR(IF(AND(H2324="W7",OR(F2324="causal",F2324="predictive")),IF(AND(K2324=1,L2324=1,M2324=1),"adequate","partial"),INDEX(Fit_Matrix!$B:$B,MATCH(P2324,Fit_Matrix!$A:$A,0))),"CHECK KEY"))</f>
        <v/>
      </c>
    </row>
    <row r="2325" customFormat="false" ht="15" hidden="false" customHeight="true" outlineLevel="0" collapsed="false">
      <c r="P2325" s="1" t="str">
        <f aca="false">IF(OR(F2325="",H2325="",J2325=""),"",J2325&amp;"|"&amp;F2325&amp;"|"&amp;IF(H2325="W3","W3_"&amp;IF(I2325="","unknown",I2325),H2325))</f>
        <v/>
      </c>
      <c r="Q2325" s="1" t="str">
        <f aca="false">IF(P2325="","",IFERROR(IF(AND(H2325="W7",OR(F2325="causal",F2325="predictive")),IF(AND(K2325=1,L2325=1,M2325=1),"adequate","partial"),INDEX(Fit_Matrix!$B:$B,MATCH(P2325,Fit_Matrix!$A:$A,0))),"CHECK KEY"))</f>
        <v/>
      </c>
    </row>
    <row r="2326" customFormat="false" ht="15" hidden="false" customHeight="true" outlineLevel="0" collapsed="false">
      <c r="P2326" s="1" t="str">
        <f aca="false">IF(OR(F2326="",H2326="",J2326=""),"",J2326&amp;"|"&amp;F2326&amp;"|"&amp;IF(H2326="W3","W3_"&amp;IF(I2326="","unknown",I2326),H2326))</f>
        <v/>
      </c>
      <c r="Q2326" s="1" t="str">
        <f aca="false">IF(P2326="","",IFERROR(IF(AND(H2326="W7",OR(F2326="causal",F2326="predictive")),IF(AND(K2326=1,L2326=1,M2326=1),"adequate","partial"),INDEX(Fit_Matrix!$B:$B,MATCH(P2326,Fit_Matrix!$A:$A,0))),"CHECK KEY"))</f>
        <v/>
      </c>
    </row>
    <row r="2327" customFormat="false" ht="15" hidden="false" customHeight="true" outlineLevel="0" collapsed="false">
      <c r="P2327" s="1" t="str">
        <f aca="false">IF(OR(F2327="",H2327="",J2327=""),"",J2327&amp;"|"&amp;F2327&amp;"|"&amp;IF(H2327="W3","W3_"&amp;IF(I2327="","unknown",I2327),H2327))</f>
        <v/>
      </c>
      <c r="Q2327" s="1" t="str">
        <f aca="false">IF(P2327="","",IFERROR(IF(AND(H2327="W7",OR(F2327="causal",F2327="predictive")),IF(AND(K2327=1,L2327=1,M2327=1),"adequate","partial"),INDEX(Fit_Matrix!$B:$B,MATCH(P2327,Fit_Matrix!$A:$A,0))),"CHECK KEY"))</f>
        <v/>
      </c>
    </row>
    <row r="2328" customFormat="false" ht="15" hidden="false" customHeight="true" outlineLevel="0" collapsed="false">
      <c r="P2328" s="1" t="str">
        <f aca="false">IF(OR(F2328="",H2328="",J2328=""),"",J2328&amp;"|"&amp;F2328&amp;"|"&amp;IF(H2328="W3","W3_"&amp;IF(I2328="","unknown",I2328),H2328))</f>
        <v/>
      </c>
      <c r="Q2328" s="1" t="str">
        <f aca="false">IF(P2328="","",IFERROR(IF(AND(H2328="W7",OR(F2328="causal",F2328="predictive")),IF(AND(K2328=1,L2328=1,M2328=1),"adequate","partial"),INDEX(Fit_Matrix!$B:$B,MATCH(P2328,Fit_Matrix!$A:$A,0))),"CHECK KEY"))</f>
        <v/>
      </c>
    </row>
    <row r="2329" customFormat="false" ht="15" hidden="false" customHeight="true" outlineLevel="0" collapsed="false">
      <c r="P2329" s="1" t="str">
        <f aca="false">IF(OR(F2329="",H2329="",J2329=""),"",J2329&amp;"|"&amp;F2329&amp;"|"&amp;IF(H2329="W3","W3_"&amp;IF(I2329="","unknown",I2329),H2329))</f>
        <v/>
      </c>
      <c r="Q2329" s="1" t="str">
        <f aca="false">IF(P2329="","",IFERROR(IF(AND(H2329="W7",OR(F2329="causal",F2329="predictive")),IF(AND(K2329=1,L2329=1,M2329=1),"adequate","partial"),INDEX(Fit_Matrix!$B:$B,MATCH(P2329,Fit_Matrix!$A:$A,0))),"CHECK KEY"))</f>
        <v/>
      </c>
    </row>
    <row r="2330" customFormat="false" ht="15" hidden="false" customHeight="true" outlineLevel="0" collapsed="false">
      <c r="P2330" s="1" t="str">
        <f aca="false">IF(OR(F2330="",H2330="",J2330=""),"",J2330&amp;"|"&amp;F2330&amp;"|"&amp;IF(H2330="W3","W3_"&amp;IF(I2330="","unknown",I2330),H2330))</f>
        <v/>
      </c>
      <c r="Q2330" s="1" t="str">
        <f aca="false">IF(P2330="","",IFERROR(IF(AND(H2330="W7",OR(F2330="causal",F2330="predictive")),IF(AND(K2330=1,L2330=1,M2330=1),"adequate","partial"),INDEX(Fit_Matrix!$B:$B,MATCH(P2330,Fit_Matrix!$A:$A,0))),"CHECK KEY"))</f>
        <v/>
      </c>
    </row>
    <row r="2331" customFormat="false" ht="15" hidden="false" customHeight="true" outlineLevel="0" collapsed="false">
      <c r="P2331" s="1" t="str">
        <f aca="false">IF(OR(F2331="",H2331="",J2331=""),"",J2331&amp;"|"&amp;F2331&amp;"|"&amp;IF(H2331="W3","W3_"&amp;IF(I2331="","unknown",I2331),H2331))</f>
        <v/>
      </c>
      <c r="Q2331" s="1" t="str">
        <f aca="false">IF(P2331="","",IFERROR(IF(AND(H2331="W7",OR(F2331="causal",F2331="predictive")),IF(AND(K2331=1,L2331=1,M2331=1),"adequate","partial"),INDEX(Fit_Matrix!$B:$B,MATCH(P2331,Fit_Matrix!$A:$A,0))),"CHECK KEY"))</f>
        <v/>
      </c>
    </row>
    <row r="2332" customFormat="false" ht="15" hidden="false" customHeight="true" outlineLevel="0" collapsed="false">
      <c r="P2332" s="1" t="str">
        <f aca="false">IF(OR(F2332="",H2332="",J2332=""),"",J2332&amp;"|"&amp;F2332&amp;"|"&amp;IF(H2332="W3","W3_"&amp;IF(I2332="","unknown",I2332),H2332))</f>
        <v/>
      </c>
      <c r="Q2332" s="1" t="str">
        <f aca="false">IF(P2332="","",IFERROR(IF(AND(H2332="W7",OR(F2332="causal",F2332="predictive")),IF(AND(K2332=1,L2332=1,M2332=1),"adequate","partial"),INDEX(Fit_Matrix!$B:$B,MATCH(P2332,Fit_Matrix!$A:$A,0))),"CHECK KEY"))</f>
        <v/>
      </c>
    </row>
    <row r="2333" customFormat="false" ht="15" hidden="false" customHeight="true" outlineLevel="0" collapsed="false">
      <c r="P2333" s="1" t="str">
        <f aca="false">IF(OR(F2333="",H2333="",J2333=""),"",J2333&amp;"|"&amp;F2333&amp;"|"&amp;IF(H2333="W3","W3_"&amp;IF(I2333="","unknown",I2333),H2333))</f>
        <v/>
      </c>
      <c r="Q2333" s="1" t="str">
        <f aca="false">IF(P2333="","",IFERROR(IF(AND(H2333="W7",OR(F2333="causal",F2333="predictive")),IF(AND(K2333=1,L2333=1,M2333=1),"adequate","partial"),INDEX(Fit_Matrix!$B:$B,MATCH(P2333,Fit_Matrix!$A:$A,0))),"CHECK KEY"))</f>
        <v/>
      </c>
    </row>
    <row r="2334" customFormat="false" ht="15" hidden="false" customHeight="true" outlineLevel="0" collapsed="false">
      <c r="P2334" s="1" t="str">
        <f aca="false">IF(OR(F2334="",H2334="",J2334=""),"",J2334&amp;"|"&amp;F2334&amp;"|"&amp;IF(H2334="W3","W3_"&amp;IF(I2334="","unknown",I2334),H2334))</f>
        <v/>
      </c>
      <c r="Q2334" s="1" t="str">
        <f aca="false">IF(P2334="","",IFERROR(IF(AND(H2334="W7",OR(F2334="causal",F2334="predictive")),IF(AND(K2334=1,L2334=1,M2334=1),"adequate","partial"),INDEX(Fit_Matrix!$B:$B,MATCH(P2334,Fit_Matrix!$A:$A,0))),"CHECK KEY"))</f>
        <v/>
      </c>
    </row>
    <row r="2335" customFormat="false" ht="15" hidden="false" customHeight="true" outlineLevel="0" collapsed="false">
      <c r="P2335" s="1" t="str">
        <f aca="false">IF(OR(F2335="",H2335="",J2335=""),"",J2335&amp;"|"&amp;F2335&amp;"|"&amp;IF(H2335="W3","W3_"&amp;IF(I2335="","unknown",I2335),H2335))</f>
        <v/>
      </c>
      <c r="Q2335" s="1" t="str">
        <f aca="false">IF(P2335="","",IFERROR(IF(AND(H2335="W7",OR(F2335="causal",F2335="predictive")),IF(AND(K2335=1,L2335=1,M2335=1),"adequate","partial"),INDEX(Fit_Matrix!$B:$B,MATCH(P2335,Fit_Matrix!$A:$A,0))),"CHECK KEY"))</f>
        <v/>
      </c>
    </row>
    <row r="2336" customFormat="false" ht="15" hidden="false" customHeight="true" outlineLevel="0" collapsed="false">
      <c r="P2336" s="1" t="str">
        <f aca="false">IF(OR(F2336="",H2336="",J2336=""),"",J2336&amp;"|"&amp;F2336&amp;"|"&amp;IF(H2336="W3","W3_"&amp;IF(I2336="","unknown",I2336),H2336))</f>
        <v/>
      </c>
      <c r="Q2336" s="1" t="str">
        <f aca="false">IF(P2336="","",IFERROR(IF(AND(H2336="W7",OR(F2336="causal",F2336="predictive")),IF(AND(K2336=1,L2336=1,M2336=1),"adequate","partial"),INDEX(Fit_Matrix!$B:$B,MATCH(P2336,Fit_Matrix!$A:$A,0))),"CHECK KEY"))</f>
        <v/>
      </c>
    </row>
    <row r="2337" customFormat="false" ht="15" hidden="false" customHeight="true" outlineLevel="0" collapsed="false">
      <c r="P2337" s="1" t="str">
        <f aca="false">IF(OR(F2337="",H2337="",J2337=""),"",J2337&amp;"|"&amp;F2337&amp;"|"&amp;IF(H2337="W3","W3_"&amp;IF(I2337="","unknown",I2337),H2337))</f>
        <v/>
      </c>
      <c r="Q2337" s="1" t="str">
        <f aca="false">IF(P2337="","",IFERROR(IF(AND(H2337="W7",OR(F2337="causal",F2337="predictive")),IF(AND(K2337=1,L2337=1,M2337=1),"adequate","partial"),INDEX(Fit_Matrix!$B:$B,MATCH(P2337,Fit_Matrix!$A:$A,0))),"CHECK KEY"))</f>
        <v/>
      </c>
    </row>
    <row r="2338" customFormat="false" ht="15" hidden="false" customHeight="true" outlineLevel="0" collapsed="false">
      <c r="P2338" s="1" t="str">
        <f aca="false">IF(OR(F2338="",H2338="",J2338=""),"",J2338&amp;"|"&amp;F2338&amp;"|"&amp;IF(H2338="W3","W3_"&amp;IF(I2338="","unknown",I2338),H2338))</f>
        <v/>
      </c>
      <c r="Q2338" s="1" t="str">
        <f aca="false">IF(P2338="","",IFERROR(IF(AND(H2338="W7",OR(F2338="causal",F2338="predictive")),IF(AND(K2338=1,L2338=1,M2338=1),"adequate","partial"),INDEX(Fit_Matrix!$B:$B,MATCH(P2338,Fit_Matrix!$A:$A,0))),"CHECK KEY"))</f>
        <v/>
      </c>
    </row>
    <row r="2339" customFormat="false" ht="15" hidden="false" customHeight="true" outlineLevel="0" collapsed="false">
      <c r="P2339" s="1" t="str">
        <f aca="false">IF(OR(F2339="",H2339="",J2339=""),"",J2339&amp;"|"&amp;F2339&amp;"|"&amp;IF(H2339="W3","W3_"&amp;IF(I2339="","unknown",I2339),H2339))</f>
        <v/>
      </c>
      <c r="Q2339" s="1" t="str">
        <f aca="false">IF(P2339="","",IFERROR(IF(AND(H2339="W7",OR(F2339="causal",F2339="predictive")),IF(AND(K2339=1,L2339=1,M2339=1),"adequate","partial"),INDEX(Fit_Matrix!$B:$B,MATCH(P2339,Fit_Matrix!$A:$A,0))),"CHECK KEY"))</f>
        <v/>
      </c>
    </row>
    <row r="2340" customFormat="false" ht="15" hidden="false" customHeight="true" outlineLevel="0" collapsed="false">
      <c r="P2340" s="1" t="str">
        <f aca="false">IF(OR(F2340="",H2340="",J2340=""),"",J2340&amp;"|"&amp;F2340&amp;"|"&amp;IF(H2340="W3","W3_"&amp;IF(I2340="","unknown",I2340),H2340))</f>
        <v/>
      </c>
      <c r="Q2340" s="1" t="str">
        <f aca="false">IF(P2340="","",IFERROR(IF(AND(H2340="W7",OR(F2340="causal",F2340="predictive")),IF(AND(K2340=1,L2340=1,M2340=1),"adequate","partial"),INDEX(Fit_Matrix!$B:$B,MATCH(P2340,Fit_Matrix!$A:$A,0))),"CHECK KEY"))</f>
        <v/>
      </c>
    </row>
    <row r="2341" customFormat="false" ht="15" hidden="false" customHeight="true" outlineLevel="0" collapsed="false">
      <c r="P2341" s="1" t="str">
        <f aca="false">IF(OR(F2341="",H2341="",J2341=""),"",J2341&amp;"|"&amp;F2341&amp;"|"&amp;IF(H2341="W3","W3_"&amp;IF(I2341="","unknown",I2341),H2341))</f>
        <v/>
      </c>
      <c r="Q2341" s="1" t="str">
        <f aca="false">IF(P2341="","",IFERROR(IF(AND(H2341="W7",OR(F2341="causal",F2341="predictive")),IF(AND(K2341=1,L2341=1,M2341=1),"adequate","partial"),INDEX(Fit_Matrix!$B:$B,MATCH(P2341,Fit_Matrix!$A:$A,0))),"CHECK KEY"))</f>
        <v/>
      </c>
    </row>
    <row r="2342" customFormat="false" ht="15" hidden="false" customHeight="true" outlineLevel="0" collapsed="false">
      <c r="P2342" s="1" t="str">
        <f aca="false">IF(OR(F2342="",H2342="",J2342=""),"",J2342&amp;"|"&amp;F2342&amp;"|"&amp;IF(H2342="W3","W3_"&amp;IF(I2342="","unknown",I2342),H2342))</f>
        <v/>
      </c>
      <c r="Q2342" s="1" t="str">
        <f aca="false">IF(P2342="","",IFERROR(IF(AND(H2342="W7",OR(F2342="causal",F2342="predictive")),IF(AND(K2342=1,L2342=1,M2342=1),"adequate","partial"),INDEX(Fit_Matrix!$B:$B,MATCH(P2342,Fit_Matrix!$A:$A,0))),"CHECK KEY"))</f>
        <v/>
      </c>
    </row>
    <row r="2343" customFormat="false" ht="15" hidden="false" customHeight="true" outlineLevel="0" collapsed="false">
      <c r="P2343" s="1" t="str">
        <f aca="false">IF(OR(F2343="",H2343="",J2343=""),"",J2343&amp;"|"&amp;F2343&amp;"|"&amp;IF(H2343="W3","W3_"&amp;IF(I2343="","unknown",I2343),H2343))</f>
        <v/>
      </c>
      <c r="Q2343" s="1" t="str">
        <f aca="false">IF(P2343="","",IFERROR(IF(AND(H2343="W7",OR(F2343="causal",F2343="predictive")),IF(AND(K2343=1,L2343=1,M2343=1),"adequate","partial"),INDEX(Fit_Matrix!$B:$B,MATCH(P2343,Fit_Matrix!$A:$A,0))),"CHECK KEY"))</f>
        <v/>
      </c>
    </row>
    <row r="2344" customFormat="false" ht="15" hidden="false" customHeight="true" outlineLevel="0" collapsed="false">
      <c r="P2344" s="1" t="str">
        <f aca="false">IF(OR(F2344="",H2344="",J2344=""),"",J2344&amp;"|"&amp;F2344&amp;"|"&amp;IF(H2344="W3","W3_"&amp;IF(I2344="","unknown",I2344),H2344))</f>
        <v/>
      </c>
      <c r="Q2344" s="1" t="str">
        <f aca="false">IF(P2344="","",IFERROR(IF(AND(H2344="W7",OR(F2344="causal",F2344="predictive")),IF(AND(K2344=1,L2344=1,M2344=1),"adequate","partial"),INDEX(Fit_Matrix!$B:$B,MATCH(P2344,Fit_Matrix!$A:$A,0))),"CHECK KEY"))</f>
        <v/>
      </c>
    </row>
    <row r="2345" customFormat="false" ht="15" hidden="false" customHeight="true" outlineLevel="0" collapsed="false">
      <c r="P2345" s="1" t="str">
        <f aca="false">IF(OR(F2345="",H2345="",J2345=""),"",J2345&amp;"|"&amp;F2345&amp;"|"&amp;IF(H2345="W3","W3_"&amp;IF(I2345="","unknown",I2345),H2345))</f>
        <v/>
      </c>
      <c r="Q2345" s="1" t="str">
        <f aca="false">IF(P2345="","",IFERROR(IF(AND(H2345="W7",OR(F2345="causal",F2345="predictive")),IF(AND(K2345=1,L2345=1,M2345=1),"adequate","partial"),INDEX(Fit_Matrix!$B:$B,MATCH(P2345,Fit_Matrix!$A:$A,0))),"CHECK KEY"))</f>
        <v/>
      </c>
    </row>
    <row r="2346" customFormat="false" ht="15" hidden="false" customHeight="true" outlineLevel="0" collapsed="false">
      <c r="P2346" s="1" t="str">
        <f aca="false">IF(OR(F2346="",H2346="",J2346=""),"",J2346&amp;"|"&amp;F2346&amp;"|"&amp;IF(H2346="W3","W3_"&amp;IF(I2346="","unknown",I2346),H2346))</f>
        <v/>
      </c>
      <c r="Q2346" s="1" t="str">
        <f aca="false">IF(P2346="","",IFERROR(IF(AND(H2346="W7",OR(F2346="causal",F2346="predictive")),IF(AND(K2346=1,L2346=1,M2346=1),"adequate","partial"),INDEX(Fit_Matrix!$B:$B,MATCH(P2346,Fit_Matrix!$A:$A,0))),"CHECK KEY"))</f>
        <v/>
      </c>
    </row>
    <row r="2347" customFormat="false" ht="15" hidden="false" customHeight="true" outlineLevel="0" collapsed="false">
      <c r="P2347" s="1" t="str">
        <f aca="false">IF(OR(F2347="",H2347="",J2347=""),"",J2347&amp;"|"&amp;F2347&amp;"|"&amp;IF(H2347="W3","W3_"&amp;IF(I2347="","unknown",I2347),H2347))</f>
        <v/>
      </c>
      <c r="Q2347" s="1" t="str">
        <f aca="false">IF(P2347="","",IFERROR(IF(AND(H2347="W7",OR(F2347="causal",F2347="predictive")),IF(AND(K2347=1,L2347=1,M2347=1),"adequate","partial"),INDEX(Fit_Matrix!$B:$B,MATCH(P2347,Fit_Matrix!$A:$A,0))),"CHECK KEY"))</f>
        <v/>
      </c>
    </row>
    <row r="2348" customFormat="false" ht="15" hidden="false" customHeight="true" outlineLevel="0" collapsed="false">
      <c r="P2348" s="1" t="str">
        <f aca="false">IF(OR(F2348="",H2348="",J2348=""),"",J2348&amp;"|"&amp;F2348&amp;"|"&amp;IF(H2348="W3","W3_"&amp;IF(I2348="","unknown",I2348),H2348))</f>
        <v/>
      </c>
      <c r="Q2348" s="1" t="str">
        <f aca="false">IF(P2348="","",IFERROR(IF(AND(H2348="W7",OR(F2348="causal",F2348="predictive")),IF(AND(K2348=1,L2348=1,M2348=1),"adequate","partial"),INDEX(Fit_Matrix!$B:$B,MATCH(P2348,Fit_Matrix!$A:$A,0))),"CHECK KEY"))</f>
        <v/>
      </c>
    </row>
    <row r="2349" customFormat="false" ht="15" hidden="false" customHeight="true" outlineLevel="0" collapsed="false">
      <c r="P2349" s="1" t="str">
        <f aca="false">IF(OR(F2349="",H2349="",J2349=""),"",J2349&amp;"|"&amp;F2349&amp;"|"&amp;IF(H2349="W3","W3_"&amp;IF(I2349="","unknown",I2349),H2349))</f>
        <v/>
      </c>
      <c r="Q2349" s="1" t="str">
        <f aca="false">IF(P2349="","",IFERROR(IF(AND(H2349="W7",OR(F2349="causal",F2349="predictive")),IF(AND(K2349=1,L2349=1,M2349=1),"adequate","partial"),INDEX(Fit_Matrix!$B:$B,MATCH(P2349,Fit_Matrix!$A:$A,0))),"CHECK KEY"))</f>
        <v/>
      </c>
    </row>
    <row r="2350" customFormat="false" ht="15" hidden="false" customHeight="true" outlineLevel="0" collapsed="false">
      <c r="P2350" s="1" t="str">
        <f aca="false">IF(OR(F2350="",H2350="",J2350=""),"",J2350&amp;"|"&amp;F2350&amp;"|"&amp;IF(H2350="W3","W3_"&amp;IF(I2350="","unknown",I2350),H2350))</f>
        <v/>
      </c>
      <c r="Q2350" s="1" t="str">
        <f aca="false">IF(P2350="","",IFERROR(IF(AND(H2350="W7",OR(F2350="causal",F2350="predictive")),IF(AND(K2350=1,L2350=1,M2350=1),"adequate","partial"),INDEX(Fit_Matrix!$B:$B,MATCH(P2350,Fit_Matrix!$A:$A,0))),"CHECK KEY"))</f>
        <v/>
      </c>
    </row>
    <row r="2351" customFormat="false" ht="15" hidden="false" customHeight="true" outlineLevel="0" collapsed="false">
      <c r="P2351" s="1" t="str">
        <f aca="false">IF(OR(F2351="",H2351="",J2351=""),"",J2351&amp;"|"&amp;F2351&amp;"|"&amp;IF(H2351="W3","W3_"&amp;IF(I2351="","unknown",I2351),H2351))</f>
        <v/>
      </c>
      <c r="Q2351" s="1" t="str">
        <f aca="false">IF(P2351="","",IFERROR(IF(AND(H2351="W7",OR(F2351="causal",F2351="predictive")),IF(AND(K2351=1,L2351=1,M2351=1),"adequate","partial"),INDEX(Fit_Matrix!$B:$B,MATCH(P2351,Fit_Matrix!$A:$A,0))),"CHECK KEY"))</f>
        <v/>
      </c>
    </row>
    <row r="2352" customFormat="false" ht="15" hidden="false" customHeight="true" outlineLevel="0" collapsed="false">
      <c r="P2352" s="1" t="str">
        <f aca="false">IF(OR(F2352="",H2352="",J2352=""),"",J2352&amp;"|"&amp;F2352&amp;"|"&amp;IF(H2352="W3","W3_"&amp;IF(I2352="","unknown",I2352),H2352))</f>
        <v/>
      </c>
      <c r="Q2352" s="1" t="str">
        <f aca="false">IF(P2352="","",IFERROR(IF(AND(H2352="W7",OR(F2352="causal",F2352="predictive")),IF(AND(K2352=1,L2352=1,M2352=1),"adequate","partial"),INDEX(Fit_Matrix!$B:$B,MATCH(P2352,Fit_Matrix!$A:$A,0))),"CHECK KEY"))</f>
        <v/>
      </c>
    </row>
    <row r="2353" customFormat="false" ht="15" hidden="false" customHeight="true" outlineLevel="0" collapsed="false">
      <c r="P2353" s="1" t="str">
        <f aca="false">IF(OR(F2353="",H2353="",J2353=""),"",J2353&amp;"|"&amp;F2353&amp;"|"&amp;IF(H2353="W3","W3_"&amp;IF(I2353="","unknown",I2353),H2353))</f>
        <v/>
      </c>
      <c r="Q2353" s="1" t="str">
        <f aca="false">IF(P2353="","",IFERROR(IF(AND(H2353="W7",OR(F2353="causal",F2353="predictive")),IF(AND(K2353=1,L2353=1,M2353=1),"adequate","partial"),INDEX(Fit_Matrix!$B:$B,MATCH(P2353,Fit_Matrix!$A:$A,0))),"CHECK KEY"))</f>
        <v/>
      </c>
    </row>
    <row r="2354" customFormat="false" ht="15" hidden="false" customHeight="true" outlineLevel="0" collapsed="false">
      <c r="P2354" s="1" t="str">
        <f aca="false">IF(OR(F2354="",H2354="",J2354=""),"",J2354&amp;"|"&amp;F2354&amp;"|"&amp;IF(H2354="W3","W3_"&amp;IF(I2354="","unknown",I2354),H2354))</f>
        <v/>
      </c>
      <c r="Q2354" s="1" t="str">
        <f aca="false">IF(P2354="","",IFERROR(IF(AND(H2354="W7",OR(F2354="causal",F2354="predictive")),IF(AND(K2354=1,L2354=1,M2354=1),"adequate","partial"),INDEX(Fit_Matrix!$B:$B,MATCH(P2354,Fit_Matrix!$A:$A,0))),"CHECK KEY"))</f>
        <v/>
      </c>
    </row>
    <row r="2355" customFormat="false" ht="15" hidden="false" customHeight="true" outlineLevel="0" collapsed="false">
      <c r="P2355" s="1" t="str">
        <f aca="false">IF(OR(F2355="",H2355="",J2355=""),"",J2355&amp;"|"&amp;F2355&amp;"|"&amp;IF(H2355="W3","W3_"&amp;IF(I2355="","unknown",I2355),H2355))</f>
        <v/>
      </c>
      <c r="Q2355" s="1" t="str">
        <f aca="false">IF(P2355="","",IFERROR(IF(AND(H2355="W7",OR(F2355="causal",F2355="predictive")),IF(AND(K2355=1,L2355=1,M2355=1),"adequate","partial"),INDEX(Fit_Matrix!$B:$B,MATCH(P2355,Fit_Matrix!$A:$A,0))),"CHECK KEY"))</f>
        <v/>
      </c>
    </row>
    <row r="2356" customFormat="false" ht="15" hidden="false" customHeight="true" outlineLevel="0" collapsed="false">
      <c r="P2356" s="1" t="str">
        <f aca="false">IF(OR(F2356="",H2356="",J2356=""),"",J2356&amp;"|"&amp;F2356&amp;"|"&amp;IF(H2356="W3","W3_"&amp;IF(I2356="","unknown",I2356),H2356))</f>
        <v/>
      </c>
      <c r="Q2356" s="1" t="str">
        <f aca="false">IF(P2356="","",IFERROR(IF(AND(H2356="W7",OR(F2356="causal",F2356="predictive")),IF(AND(K2356=1,L2356=1,M2356=1),"adequate","partial"),INDEX(Fit_Matrix!$B:$B,MATCH(P2356,Fit_Matrix!$A:$A,0))),"CHECK KEY"))</f>
        <v/>
      </c>
    </row>
    <row r="2357" customFormat="false" ht="15" hidden="false" customHeight="true" outlineLevel="0" collapsed="false">
      <c r="P2357" s="1" t="str">
        <f aca="false">IF(OR(F2357="",H2357="",J2357=""),"",J2357&amp;"|"&amp;F2357&amp;"|"&amp;IF(H2357="W3","W3_"&amp;IF(I2357="","unknown",I2357),H2357))</f>
        <v/>
      </c>
      <c r="Q2357" s="1" t="str">
        <f aca="false">IF(P2357="","",IFERROR(IF(AND(H2357="W7",OR(F2357="causal",F2357="predictive")),IF(AND(K2357=1,L2357=1,M2357=1),"adequate","partial"),INDEX(Fit_Matrix!$B:$B,MATCH(P2357,Fit_Matrix!$A:$A,0))),"CHECK KEY"))</f>
        <v/>
      </c>
    </row>
    <row r="2358" customFormat="false" ht="15" hidden="false" customHeight="true" outlineLevel="0" collapsed="false">
      <c r="P2358" s="1" t="str">
        <f aca="false">IF(OR(F2358="",H2358="",J2358=""),"",J2358&amp;"|"&amp;F2358&amp;"|"&amp;IF(H2358="W3","W3_"&amp;IF(I2358="","unknown",I2358),H2358))</f>
        <v/>
      </c>
      <c r="Q2358" s="1" t="str">
        <f aca="false">IF(P2358="","",IFERROR(IF(AND(H2358="W7",OR(F2358="causal",F2358="predictive")),IF(AND(K2358=1,L2358=1,M2358=1),"adequate","partial"),INDEX(Fit_Matrix!$B:$B,MATCH(P2358,Fit_Matrix!$A:$A,0))),"CHECK KEY"))</f>
        <v/>
      </c>
    </row>
    <row r="2359" customFormat="false" ht="15" hidden="false" customHeight="true" outlineLevel="0" collapsed="false">
      <c r="P2359" s="1" t="str">
        <f aca="false">IF(OR(F2359="",H2359="",J2359=""),"",J2359&amp;"|"&amp;F2359&amp;"|"&amp;IF(H2359="W3","W3_"&amp;IF(I2359="","unknown",I2359),H2359))</f>
        <v/>
      </c>
      <c r="Q2359" s="1" t="str">
        <f aca="false">IF(P2359="","",IFERROR(IF(AND(H2359="W7",OR(F2359="causal",F2359="predictive")),IF(AND(K2359=1,L2359=1,M2359=1),"adequate","partial"),INDEX(Fit_Matrix!$B:$B,MATCH(P2359,Fit_Matrix!$A:$A,0))),"CHECK KEY"))</f>
        <v/>
      </c>
    </row>
    <row r="2360" customFormat="false" ht="15" hidden="false" customHeight="true" outlineLevel="0" collapsed="false">
      <c r="P2360" s="1" t="str">
        <f aca="false">IF(OR(F2360="",H2360="",J2360=""),"",J2360&amp;"|"&amp;F2360&amp;"|"&amp;IF(H2360="W3","W3_"&amp;IF(I2360="","unknown",I2360),H2360))</f>
        <v/>
      </c>
      <c r="Q2360" s="1" t="str">
        <f aca="false">IF(P2360="","",IFERROR(IF(AND(H2360="W7",OR(F2360="causal",F2360="predictive")),IF(AND(K2360=1,L2360=1,M2360=1),"adequate","partial"),INDEX(Fit_Matrix!$B:$B,MATCH(P2360,Fit_Matrix!$A:$A,0))),"CHECK KEY"))</f>
        <v/>
      </c>
    </row>
    <row r="2361" customFormat="false" ht="15" hidden="false" customHeight="true" outlineLevel="0" collapsed="false">
      <c r="P2361" s="1" t="str">
        <f aca="false">IF(OR(F2361="",H2361="",J2361=""),"",J2361&amp;"|"&amp;F2361&amp;"|"&amp;IF(H2361="W3","W3_"&amp;IF(I2361="","unknown",I2361),H2361))</f>
        <v/>
      </c>
      <c r="Q2361" s="1" t="str">
        <f aca="false">IF(P2361="","",IFERROR(IF(AND(H2361="W7",OR(F2361="causal",F2361="predictive")),IF(AND(K2361=1,L2361=1,M2361=1),"adequate","partial"),INDEX(Fit_Matrix!$B:$B,MATCH(P2361,Fit_Matrix!$A:$A,0))),"CHECK KEY"))</f>
        <v/>
      </c>
    </row>
    <row r="2362" customFormat="false" ht="15" hidden="false" customHeight="true" outlineLevel="0" collapsed="false">
      <c r="P2362" s="1" t="str">
        <f aca="false">IF(OR(F2362="",H2362="",J2362=""),"",J2362&amp;"|"&amp;F2362&amp;"|"&amp;IF(H2362="W3","W3_"&amp;IF(I2362="","unknown",I2362),H2362))</f>
        <v/>
      </c>
      <c r="Q2362" s="1" t="str">
        <f aca="false">IF(P2362="","",IFERROR(IF(AND(H2362="W7",OR(F2362="causal",F2362="predictive")),IF(AND(K2362=1,L2362=1,M2362=1),"adequate","partial"),INDEX(Fit_Matrix!$B:$B,MATCH(P2362,Fit_Matrix!$A:$A,0))),"CHECK KEY"))</f>
        <v/>
      </c>
    </row>
    <row r="2363" customFormat="false" ht="15" hidden="false" customHeight="true" outlineLevel="0" collapsed="false">
      <c r="P2363" s="1" t="str">
        <f aca="false">IF(OR(F2363="",H2363="",J2363=""),"",J2363&amp;"|"&amp;F2363&amp;"|"&amp;IF(H2363="W3","W3_"&amp;IF(I2363="","unknown",I2363),H2363))</f>
        <v/>
      </c>
      <c r="Q2363" s="1" t="str">
        <f aca="false">IF(P2363="","",IFERROR(IF(AND(H2363="W7",OR(F2363="causal",F2363="predictive")),IF(AND(K2363=1,L2363=1,M2363=1),"adequate","partial"),INDEX(Fit_Matrix!$B:$B,MATCH(P2363,Fit_Matrix!$A:$A,0))),"CHECK KEY"))</f>
        <v/>
      </c>
    </row>
    <row r="2364" customFormat="false" ht="15" hidden="false" customHeight="true" outlineLevel="0" collapsed="false">
      <c r="P2364" s="1" t="str">
        <f aca="false">IF(OR(F2364="",H2364="",J2364=""),"",J2364&amp;"|"&amp;F2364&amp;"|"&amp;IF(H2364="W3","W3_"&amp;IF(I2364="","unknown",I2364),H2364))</f>
        <v/>
      </c>
      <c r="Q2364" s="1" t="str">
        <f aca="false">IF(P2364="","",IFERROR(IF(AND(H2364="W7",OR(F2364="causal",F2364="predictive")),IF(AND(K2364=1,L2364=1,M2364=1),"adequate","partial"),INDEX(Fit_Matrix!$B:$B,MATCH(P2364,Fit_Matrix!$A:$A,0))),"CHECK KEY"))</f>
        <v/>
      </c>
    </row>
    <row r="2365" customFormat="false" ht="15" hidden="false" customHeight="true" outlineLevel="0" collapsed="false">
      <c r="P2365" s="1" t="str">
        <f aca="false">IF(OR(F2365="",H2365="",J2365=""),"",J2365&amp;"|"&amp;F2365&amp;"|"&amp;IF(H2365="W3","W3_"&amp;IF(I2365="","unknown",I2365),H2365))</f>
        <v/>
      </c>
      <c r="Q2365" s="1" t="str">
        <f aca="false">IF(P2365="","",IFERROR(IF(AND(H2365="W7",OR(F2365="causal",F2365="predictive")),IF(AND(K2365=1,L2365=1,M2365=1),"adequate","partial"),INDEX(Fit_Matrix!$B:$B,MATCH(P2365,Fit_Matrix!$A:$A,0))),"CHECK KEY"))</f>
        <v/>
      </c>
    </row>
    <row r="2366" customFormat="false" ht="15" hidden="false" customHeight="true" outlineLevel="0" collapsed="false">
      <c r="P2366" s="1" t="str">
        <f aca="false">IF(OR(F2366="",H2366="",J2366=""),"",J2366&amp;"|"&amp;F2366&amp;"|"&amp;IF(H2366="W3","W3_"&amp;IF(I2366="","unknown",I2366),H2366))</f>
        <v/>
      </c>
      <c r="Q2366" s="1" t="str">
        <f aca="false">IF(P2366="","",IFERROR(IF(AND(H2366="W7",OR(F2366="causal",F2366="predictive")),IF(AND(K2366=1,L2366=1,M2366=1),"adequate","partial"),INDEX(Fit_Matrix!$B:$B,MATCH(P2366,Fit_Matrix!$A:$A,0))),"CHECK KEY"))</f>
        <v/>
      </c>
    </row>
    <row r="2367" customFormat="false" ht="15" hidden="false" customHeight="true" outlineLevel="0" collapsed="false">
      <c r="P2367" s="1" t="str">
        <f aca="false">IF(OR(F2367="",H2367="",J2367=""),"",J2367&amp;"|"&amp;F2367&amp;"|"&amp;IF(H2367="W3","W3_"&amp;IF(I2367="","unknown",I2367),H2367))</f>
        <v/>
      </c>
      <c r="Q2367" s="1" t="str">
        <f aca="false">IF(P2367="","",IFERROR(IF(AND(H2367="W7",OR(F2367="causal",F2367="predictive")),IF(AND(K2367=1,L2367=1,M2367=1),"adequate","partial"),INDEX(Fit_Matrix!$B:$B,MATCH(P2367,Fit_Matrix!$A:$A,0))),"CHECK KEY"))</f>
        <v/>
      </c>
    </row>
    <row r="2368" customFormat="false" ht="15" hidden="false" customHeight="true" outlineLevel="0" collapsed="false">
      <c r="P2368" s="1" t="str">
        <f aca="false">IF(OR(F2368="",H2368="",J2368=""),"",J2368&amp;"|"&amp;F2368&amp;"|"&amp;IF(H2368="W3","W3_"&amp;IF(I2368="","unknown",I2368),H2368))</f>
        <v/>
      </c>
      <c r="Q2368" s="1" t="str">
        <f aca="false">IF(P2368="","",IFERROR(IF(AND(H2368="W7",OR(F2368="causal",F2368="predictive")),IF(AND(K2368=1,L2368=1,M2368=1),"adequate","partial"),INDEX(Fit_Matrix!$B:$B,MATCH(P2368,Fit_Matrix!$A:$A,0))),"CHECK KEY"))</f>
        <v/>
      </c>
    </row>
    <row r="2369" customFormat="false" ht="15" hidden="false" customHeight="true" outlineLevel="0" collapsed="false">
      <c r="P2369" s="1" t="str">
        <f aca="false">IF(OR(F2369="",H2369="",J2369=""),"",J2369&amp;"|"&amp;F2369&amp;"|"&amp;IF(H2369="W3","W3_"&amp;IF(I2369="","unknown",I2369),H2369))</f>
        <v/>
      </c>
      <c r="Q2369" s="1" t="str">
        <f aca="false">IF(P2369="","",IFERROR(IF(AND(H2369="W7",OR(F2369="causal",F2369="predictive")),IF(AND(K2369=1,L2369=1,M2369=1),"adequate","partial"),INDEX(Fit_Matrix!$B:$B,MATCH(P2369,Fit_Matrix!$A:$A,0))),"CHECK KEY"))</f>
        <v/>
      </c>
    </row>
    <row r="2370" customFormat="false" ht="15" hidden="false" customHeight="true" outlineLevel="0" collapsed="false">
      <c r="P2370" s="1" t="str">
        <f aca="false">IF(OR(F2370="",H2370="",J2370=""),"",J2370&amp;"|"&amp;F2370&amp;"|"&amp;IF(H2370="W3","W3_"&amp;IF(I2370="","unknown",I2370),H2370))</f>
        <v/>
      </c>
      <c r="Q2370" s="1" t="str">
        <f aca="false">IF(P2370="","",IFERROR(IF(AND(H2370="W7",OR(F2370="causal",F2370="predictive")),IF(AND(K2370=1,L2370=1,M2370=1),"adequate","partial"),INDEX(Fit_Matrix!$B:$B,MATCH(P2370,Fit_Matrix!$A:$A,0))),"CHECK KEY"))</f>
        <v/>
      </c>
    </row>
    <row r="2371" customFormat="false" ht="15" hidden="false" customHeight="true" outlineLevel="0" collapsed="false">
      <c r="P2371" s="1" t="str">
        <f aca="false">IF(OR(F2371="",H2371="",J2371=""),"",J2371&amp;"|"&amp;F2371&amp;"|"&amp;IF(H2371="W3","W3_"&amp;IF(I2371="","unknown",I2371),H2371))</f>
        <v/>
      </c>
      <c r="Q2371" s="1" t="str">
        <f aca="false">IF(P2371="","",IFERROR(IF(AND(H2371="W7",OR(F2371="causal",F2371="predictive")),IF(AND(K2371=1,L2371=1,M2371=1),"adequate","partial"),INDEX(Fit_Matrix!$B:$B,MATCH(P2371,Fit_Matrix!$A:$A,0))),"CHECK KEY"))</f>
        <v/>
      </c>
    </row>
    <row r="2372" customFormat="false" ht="15" hidden="false" customHeight="true" outlineLevel="0" collapsed="false">
      <c r="P2372" s="1" t="str">
        <f aca="false">IF(OR(F2372="",H2372="",J2372=""),"",J2372&amp;"|"&amp;F2372&amp;"|"&amp;IF(H2372="W3","W3_"&amp;IF(I2372="","unknown",I2372),H2372))</f>
        <v/>
      </c>
      <c r="Q2372" s="1" t="str">
        <f aca="false">IF(P2372="","",IFERROR(IF(AND(H2372="W7",OR(F2372="causal",F2372="predictive")),IF(AND(K2372=1,L2372=1,M2372=1),"adequate","partial"),INDEX(Fit_Matrix!$B:$B,MATCH(P2372,Fit_Matrix!$A:$A,0))),"CHECK KEY"))</f>
        <v/>
      </c>
    </row>
    <row r="2373" customFormat="false" ht="15" hidden="false" customHeight="true" outlineLevel="0" collapsed="false">
      <c r="P2373" s="1" t="str">
        <f aca="false">IF(OR(F2373="",H2373="",J2373=""),"",J2373&amp;"|"&amp;F2373&amp;"|"&amp;IF(H2373="W3","W3_"&amp;IF(I2373="","unknown",I2373),H2373))</f>
        <v/>
      </c>
      <c r="Q2373" s="1" t="str">
        <f aca="false">IF(P2373="","",IFERROR(IF(AND(H2373="W7",OR(F2373="causal",F2373="predictive")),IF(AND(K2373=1,L2373=1,M2373=1),"adequate","partial"),INDEX(Fit_Matrix!$B:$B,MATCH(P2373,Fit_Matrix!$A:$A,0))),"CHECK KEY"))</f>
        <v/>
      </c>
    </row>
    <row r="2374" customFormat="false" ht="15" hidden="false" customHeight="true" outlineLevel="0" collapsed="false">
      <c r="P2374" s="1" t="str">
        <f aca="false">IF(OR(F2374="",H2374="",J2374=""),"",J2374&amp;"|"&amp;F2374&amp;"|"&amp;IF(H2374="W3","W3_"&amp;IF(I2374="","unknown",I2374),H2374))</f>
        <v/>
      </c>
      <c r="Q2374" s="1" t="str">
        <f aca="false">IF(P2374="","",IFERROR(IF(AND(H2374="W7",OR(F2374="causal",F2374="predictive")),IF(AND(K2374=1,L2374=1,M2374=1),"adequate","partial"),INDEX(Fit_Matrix!$B:$B,MATCH(P2374,Fit_Matrix!$A:$A,0))),"CHECK KEY"))</f>
        <v/>
      </c>
    </row>
    <row r="2375" customFormat="false" ht="15" hidden="false" customHeight="true" outlineLevel="0" collapsed="false">
      <c r="P2375" s="1" t="str">
        <f aca="false">IF(OR(F2375="",H2375="",J2375=""),"",J2375&amp;"|"&amp;F2375&amp;"|"&amp;IF(H2375="W3","W3_"&amp;IF(I2375="","unknown",I2375),H2375))</f>
        <v/>
      </c>
      <c r="Q2375" s="1" t="str">
        <f aca="false">IF(P2375="","",IFERROR(IF(AND(H2375="W7",OR(F2375="causal",F2375="predictive")),IF(AND(K2375=1,L2375=1,M2375=1),"adequate","partial"),INDEX(Fit_Matrix!$B:$B,MATCH(P2375,Fit_Matrix!$A:$A,0))),"CHECK KEY"))</f>
        <v/>
      </c>
    </row>
    <row r="2376" customFormat="false" ht="15" hidden="false" customHeight="true" outlineLevel="0" collapsed="false">
      <c r="P2376" s="1" t="str">
        <f aca="false">IF(OR(F2376="",H2376="",J2376=""),"",J2376&amp;"|"&amp;F2376&amp;"|"&amp;IF(H2376="W3","W3_"&amp;IF(I2376="","unknown",I2376),H2376))</f>
        <v/>
      </c>
      <c r="Q2376" s="1" t="str">
        <f aca="false">IF(P2376="","",IFERROR(IF(AND(H2376="W7",OR(F2376="causal",F2376="predictive")),IF(AND(K2376=1,L2376=1,M2376=1),"adequate","partial"),INDEX(Fit_Matrix!$B:$B,MATCH(P2376,Fit_Matrix!$A:$A,0))),"CHECK KEY"))</f>
        <v/>
      </c>
    </row>
    <row r="2377" customFormat="false" ht="15" hidden="false" customHeight="true" outlineLevel="0" collapsed="false">
      <c r="P2377" s="1" t="str">
        <f aca="false">IF(OR(F2377="",H2377="",J2377=""),"",J2377&amp;"|"&amp;F2377&amp;"|"&amp;IF(H2377="W3","W3_"&amp;IF(I2377="","unknown",I2377),H2377))</f>
        <v/>
      </c>
      <c r="Q2377" s="1" t="str">
        <f aca="false">IF(P2377="","",IFERROR(IF(AND(H2377="W7",OR(F2377="causal",F2377="predictive")),IF(AND(K2377=1,L2377=1,M2377=1),"adequate","partial"),INDEX(Fit_Matrix!$B:$B,MATCH(P2377,Fit_Matrix!$A:$A,0))),"CHECK KEY"))</f>
        <v/>
      </c>
    </row>
    <row r="2378" customFormat="false" ht="15" hidden="false" customHeight="true" outlineLevel="0" collapsed="false">
      <c r="P2378" s="1" t="str">
        <f aca="false">IF(OR(F2378="",H2378="",J2378=""),"",J2378&amp;"|"&amp;F2378&amp;"|"&amp;IF(H2378="W3","W3_"&amp;IF(I2378="","unknown",I2378),H2378))</f>
        <v/>
      </c>
      <c r="Q2378" s="1" t="str">
        <f aca="false">IF(P2378="","",IFERROR(IF(AND(H2378="W7",OR(F2378="causal",F2378="predictive")),IF(AND(K2378=1,L2378=1,M2378=1),"adequate","partial"),INDEX(Fit_Matrix!$B:$B,MATCH(P2378,Fit_Matrix!$A:$A,0))),"CHECK KEY"))</f>
        <v/>
      </c>
    </row>
    <row r="2379" customFormat="false" ht="15" hidden="false" customHeight="true" outlineLevel="0" collapsed="false">
      <c r="P2379" s="1" t="str">
        <f aca="false">IF(OR(F2379="",H2379="",J2379=""),"",J2379&amp;"|"&amp;F2379&amp;"|"&amp;IF(H2379="W3","W3_"&amp;IF(I2379="","unknown",I2379),H2379))</f>
        <v/>
      </c>
      <c r="Q2379" s="1" t="str">
        <f aca="false">IF(P2379="","",IFERROR(IF(AND(H2379="W7",OR(F2379="causal",F2379="predictive")),IF(AND(K2379=1,L2379=1,M2379=1),"adequate","partial"),INDEX(Fit_Matrix!$B:$B,MATCH(P2379,Fit_Matrix!$A:$A,0))),"CHECK KEY"))</f>
        <v/>
      </c>
    </row>
    <row r="2380" customFormat="false" ht="15" hidden="false" customHeight="true" outlineLevel="0" collapsed="false">
      <c r="P2380" s="1" t="str">
        <f aca="false">IF(OR(F2380="",H2380="",J2380=""),"",J2380&amp;"|"&amp;F2380&amp;"|"&amp;IF(H2380="W3","W3_"&amp;IF(I2380="","unknown",I2380),H2380))</f>
        <v/>
      </c>
      <c r="Q2380" s="1" t="str">
        <f aca="false">IF(P2380="","",IFERROR(IF(AND(H2380="W7",OR(F2380="causal",F2380="predictive")),IF(AND(K2380=1,L2380=1,M2380=1),"adequate","partial"),INDEX(Fit_Matrix!$B:$B,MATCH(P2380,Fit_Matrix!$A:$A,0))),"CHECK KEY"))</f>
        <v/>
      </c>
    </row>
    <row r="2381" customFormat="false" ht="15" hidden="false" customHeight="true" outlineLevel="0" collapsed="false">
      <c r="P2381" s="1" t="str">
        <f aca="false">IF(OR(F2381="",H2381="",J2381=""),"",J2381&amp;"|"&amp;F2381&amp;"|"&amp;IF(H2381="W3","W3_"&amp;IF(I2381="","unknown",I2381),H2381))</f>
        <v/>
      </c>
      <c r="Q2381" s="1" t="str">
        <f aca="false">IF(P2381="","",IFERROR(IF(AND(H2381="W7",OR(F2381="causal",F2381="predictive")),IF(AND(K2381=1,L2381=1,M2381=1),"adequate","partial"),INDEX(Fit_Matrix!$B:$B,MATCH(P2381,Fit_Matrix!$A:$A,0))),"CHECK KEY"))</f>
        <v/>
      </c>
    </row>
    <row r="2382" customFormat="false" ht="15" hidden="false" customHeight="true" outlineLevel="0" collapsed="false">
      <c r="P2382" s="1" t="str">
        <f aca="false">IF(OR(F2382="",H2382="",J2382=""),"",J2382&amp;"|"&amp;F2382&amp;"|"&amp;IF(H2382="W3","W3_"&amp;IF(I2382="","unknown",I2382),H2382))</f>
        <v/>
      </c>
      <c r="Q2382" s="1" t="str">
        <f aca="false">IF(P2382="","",IFERROR(IF(AND(H2382="W7",OR(F2382="causal",F2382="predictive")),IF(AND(K2382=1,L2382=1,M2382=1),"adequate","partial"),INDEX(Fit_Matrix!$B:$B,MATCH(P2382,Fit_Matrix!$A:$A,0))),"CHECK KEY"))</f>
        <v/>
      </c>
    </row>
    <row r="2383" customFormat="false" ht="15" hidden="false" customHeight="true" outlineLevel="0" collapsed="false">
      <c r="P2383" s="1" t="str">
        <f aca="false">IF(OR(F2383="",H2383="",J2383=""),"",J2383&amp;"|"&amp;F2383&amp;"|"&amp;IF(H2383="W3","W3_"&amp;IF(I2383="","unknown",I2383),H2383))</f>
        <v/>
      </c>
      <c r="Q2383" s="1" t="str">
        <f aca="false">IF(P2383="","",IFERROR(IF(AND(H2383="W7",OR(F2383="causal",F2383="predictive")),IF(AND(K2383=1,L2383=1,M2383=1),"adequate","partial"),INDEX(Fit_Matrix!$B:$B,MATCH(P2383,Fit_Matrix!$A:$A,0))),"CHECK KEY"))</f>
        <v/>
      </c>
    </row>
    <row r="2384" customFormat="false" ht="15" hidden="false" customHeight="true" outlineLevel="0" collapsed="false">
      <c r="P2384" s="1" t="str">
        <f aca="false">IF(OR(F2384="",H2384="",J2384=""),"",J2384&amp;"|"&amp;F2384&amp;"|"&amp;IF(H2384="W3","W3_"&amp;IF(I2384="","unknown",I2384),H2384))</f>
        <v/>
      </c>
      <c r="Q2384" s="1" t="str">
        <f aca="false">IF(P2384="","",IFERROR(IF(AND(H2384="W7",OR(F2384="causal",F2384="predictive")),IF(AND(K2384=1,L2384=1,M2384=1),"adequate","partial"),INDEX(Fit_Matrix!$B:$B,MATCH(P2384,Fit_Matrix!$A:$A,0))),"CHECK KEY"))</f>
        <v/>
      </c>
    </row>
    <row r="2385" customFormat="false" ht="15" hidden="false" customHeight="true" outlineLevel="0" collapsed="false">
      <c r="P2385" s="1" t="str">
        <f aca="false">IF(OR(F2385="",H2385="",J2385=""),"",J2385&amp;"|"&amp;F2385&amp;"|"&amp;IF(H2385="W3","W3_"&amp;IF(I2385="","unknown",I2385),H2385))</f>
        <v/>
      </c>
      <c r="Q2385" s="1" t="str">
        <f aca="false">IF(P2385="","",IFERROR(IF(AND(H2385="W7",OR(F2385="causal",F2385="predictive")),IF(AND(K2385=1,L2385=1,M2385=1),"adequate","partial"),INDEX(Fit_Matrix!$B:$B,MATCH(P2385,Fit_Matrix!$A:$A,0))),"CHECK KEY"))</f>
        <v/>
      </c>
    </row>
    <row r="2386" customFormat="false" ht="15" hidden="false" customHeight="true" outlineLevel="0" collapsed="false">
      <c r="P2386" s="1" t="str">
        <f aca="false">IF(OR(F2386="",H2386="",J2386=""),"",J2386&amp;"|"&amp;F2386&amp;"|"&amp;IF(H2386="W3","W3_"&amp;IF(I2386="","unknown",I2386),H2386))</f>
        <v/>
      </c>
      <c r="Q2386" s="1" t="str">
        <f aca="false">IF(P2386="","",IFERROR(IF(AND(H2386="W7",OR(F2386="causal",F2386="predictive")),IF(AND(K2386=1,L2386=1,M2386=1),"adequate","partial"),INDEX(Fit_Matrix!$B:$B,MATCH(P2386,Fit_Matrix!$A:$A,0))),"CHECK KEY"))</f>
        <v/>
      </c>
    </row>
    <row r="2387" customFormat="false" ht="15" hidden="false" customHeight="true" outlineLevel="0" collapsed="false">
      <c r="P2387" s="1" t="str">
        <f aca="false">IF(OR(F2387="",H2387="",J2387=""),"",J2387&amp;"|"&amp;F2387&amp;"|"&amp;IF(H2387="W3","W3_"&amp;IF(I2387="","unknown",I2387),H2387))</f>
        <v/>
      </c>
      <c r="Q2387" s="1" t="str">
        <f aca="false">IF(P2387="","",IFERROR(IF(AND(H2387="W7",OR(F2387="causal",F2387="predictive")),IF(AND(K2387=1,L2387=1,M2387=1),"adequate","partial"),INDEX(Fit_Matrix!$B:$B,MATCH(P2387,Fit_Matrix!$A:$A,0))),"CHECK KEY"))</f>
        <v/>
      </c>
    </row>
    <row r="2388" customFormat="false" ht="15" hidden="false" customHeight="true" outlineLevel="0" collapsed="false">
      <c r="P2388" s="1" t="str">
        <f aca="false">IF(OR(F2388="",H2388="",J2388=""),"",J2388&amp;"|"&amp;F2388&amp;"|"&amp;IF(H2388="W3","W3_"&amp;IF(I2388="","unknown",I2388),H2388))</f>
        <v/>
      </c>
      <c r="Q2388" s="1" t="str">
        <f aca="false">IF(P2388="","",IFERROR(IF(AND(H2388="W7",OR(F2388="causal",F2388="predictive")),IF(AND(K2388=1,L2388=1,M2388=1),"adequate","partial"),INDEX(Fit_Matrix!$B:$B,MATCH(P2388,Fit_Matrix!$A:$A,0))),"CHECK KEY"))</f>
        <v/>
      </c>
    </row>
    <row r="2389" customFormat="false" ht="15" hidden="false" customHeight="true" outlineLevel="0" collapsed="false">
      <c r="P2389" s="1" t="str">
        <f aca="false">IF(OR(F2389="",H2389="",J2389=""),"",J2389&amp;"|"&amp;F2389&amp;"|"&amp;IF(H2389="W3","W3_"&amp;IF(I2389="","unknown",I2389),H2389))</f>
        <v/>
      </c>
      <c r="Q2389" s="1" t="str">
        <f aca="false">IF(P2389="","",IFERROR(IF(AND(H2389="W7",OR(F2389="causal",F2389="predictive")),IF(AND(K2389=1,L2389=1,M2389=1),"adequate","partial"),INDEX(Fit_Matrix!$B:$B,MATCH(P2389,Fit_Matrix!$A:$A,0))),"CHECK KEY"))</f>
        <v/>
      </c>
    </row>
    <row r="2390" customFormat="false" ht="15" hidden="false" customHeight="true" outlineLevel="0" collapsed="false">
      <c r="P2390" s="1" t="str">
        <f aca="false">IF(OR(F2390="",H2390="",J2390=""),"",J2390&amp;"|"&amp;F2390&amp;"|"&amp;IF(H2390="W3","W3_"&amp;IF(I2390="","unknown",I2390),H2390))</f>
        <v/>
      </c>
      <c r="Q2390" s="1" t="str">
        <f aca="false">IF(P2390="","",IFERROR(IF(AND(H2390="W7",OR(F2390="causal",F2390="predictive")),IF(AND(K2390=1,L2390=1,M2390=1),"adequate","partial"),INDEX(Fit_Matrix!$B:$B,MATCH(P2390,Fit_Matrix!$A:$A,0))),"CHECK KEY"))</f>
        <v/>
      </c>
    </row>
    <row r="2391" customFormat="false" ht="15" hidden="false" customHeight="true" outlineLevel="0" collapsed="false">
      <c r="P2391" s="1" t="str">
        <f aca="false">IF(OR(F2391="",H2391="",J2391=""),"",J2391&amp;"|"&amp;F2391&amp;"|"&amp;IF(H2391="W3","W3_"&amp;IF(I2391="","unknown",I2391),H2391))</f>
        <v/>
      </c>
      <c r="Q2391" s="1" t="str">
        <f aca="false">IF(P2391="","",IFERROR(IF(AND(H2391="W7",OR(F2391="causal",F2391="predictive")),IF(AND(K2391=1,L2391=1,M2391=1),"adequate","partial"),INDEX(Fit_Matrix!$B:$B,MATCH(P2391,Fit_Matrix!$A:$A,0))),"CHECK KEY"))</f>
        <v/>
      </c>
    </row>
    <row r="2392" customFormat="false" ht="15" hidden="false" customHeight="true" outlineLevel="0" collapsed="false">
      <c r="P2392" s="1" t="str">
        <f aca="false">IF(OR(F2392="",H2392="",J2392=""),"",J2392&amp;"|"&amp;F2392&amp;"|"&amp;IF(H2392="W3","W3_"&amp;IF(I2392="","unknown",I2392),H2392))</f>
        <v/>
      </c>
      <c r="Q2392" s="1" t="str">
        <f aca="false">IF(P2392="","",IFERROR(IF(AND(H2392="W7",OR(F2392="causal",F2392="predictive")),IF(AND(K2392=1,L2392=1,M2392=1),"adequate","partial"),INDEX(Fit_Matrix!$B:$B,MATCH(P2392,Fit_Matrix!$A:$A,0))),"CHECK KEY"))</f>
        <v/>
      </c>
    </row>
    <row r="2393" customFormat="false" ht="15" hidden="false" customHeight="true" outlineLevel="0" collapsed="false">
      <c r="P2393" s="1" t="str">
        <f aca="false">IF(OR(F2393="",H2393="",J2393=""),"",J2393&amp;"|"&amp;F2393&amp;"|"&amp;IF(H2393="W3","W3_"&amp;IF(I2393="","unknown",I2393),H2393))</f>
        <v/>
      </c>
      <c r="Q2393" s="1" t="str">
        <f aca="false">IF(P2393="","",IFERROR(IF(AND(H2393="W7",OR(F2393="causal",F2393="predictive")),IF(AND(K2393=1,L2393=1,M2393=1),"adequate","partial"),INDEX(Fit_Matrix!$B:$B,MATCH(P2393,Fit_Matrix!$A:$A,0))),"CHECK KEY"))</f>
        <v/>
      </c>
    </row>
    <row r="2394" customFormat="false" ht="15" hidden="false" customHeight="true" outlineLevel="0" collapsed="false">
      <c r="P2394" s="1" t="str">
        <f aca="false">IF(OR(F2394="",H2394="",J2394=""),"",J2394&amp;"|"&amp;F2394&amp;"|"&amp;IF(H2394="W3","W3_"&amp;IF(I2394="","unknown",I2394),H2394))</f>
        <v/>
      </c>
      <c r="Q2394" s="1" t="str">
        <f aca="false">IF(P2394="","",IFERROR(IF(AND(H2394="W7",OR(F2394="causal",F2394="predictive")),IF(AND(K2394=1,L2394=1,M2394=1),"adequate","partial"),INDEX(Fit_Matrix!$B:$B,MATCH(P2394,Fit_Matrix!$A:$A,0))),"CHECK KEY"))</f>
        <v/>
      </c>
    </row>
    <row r="2395" customFormat="false" ht="15" hidden="false" customHeight="true" outlineLevel="0" collapsed="false">
      <c r="P2395" s="1" t="str">
        <f aca="false">IF(OR(F2395="",H2395="",J2395=""),"",J2395&amp;"|"&amp;F2395&amp;"|"&amp;IF(H2395="W3","W3_"&amp;IF(I2395="","unknown",I2395),H2395))</f>
        <v/>
      </c>
      <c r="Q2395" s="1" t="str">
        <f aca="false">IF(P2395="","",IFERROR(IF(AND(H2395="W7",OR(F2395="causal",F2395="predictive")),IF(AND(K2395=1,L2395=1,M2395=1),"adequate","partial"),INDEX(Fit_Matrix!$B:$B,MATCH(P2395,Fit_Matrix!$A:$A,0))),"CHECK KEY"))</f>
        <v/>
      </c>
    </row>
    <row r="2396" customFormat="false" ht="15" hidden="false" customHeight="true" outlineLevel="0" collapsed="false">
      <c r="P2396" s="1" t="str">
        <f aca="false">IF(OR(F2396="",H2396="",J2396=""),"",J2396&amp;"|"&amp;F2396&amp;"|"&amp;IF(H2396="W3","W3_"&amp;IF(I2396="","unknown",I2396),H2396))</f>
        <v/>
      </c>
      <c r="Q2396" s="1" t="str">
        <f aca="false">IF(P2396="","",IFERROR(IF(AND(H2396="W7",OR(F2396="causal",F2396="predictive")),IF(AND(K2396=1,L2396=1,M2396=1),"adequate","partial"),INDEX(Fit_Matrix!$B:$B,MATCH(P2396,Fit_Matrix!$A:$A,0))),"CHECK KEY"))</f>
        <v/>
      </c>
    </row>
    <row r="2397" customFormat="false" ht="15" hidden="false" customHeight="true" outlineLevel="0" collapsed="false">
      <c r="P2397" s="1" t="str">
        <f aca="false">IF(OR(F2397="",H2397="",J2397=""),"",J2397&amp;"|"&amp;F2397&amp;"|"&amp;IF(H2397="W3","W3_"&amp;IF(I2397="","unknown",I2397),H2397))</f>
        <v/>
      </c>
      <c r="Q2397" s="1" t="str">
        <f aca="false">IF(P2397="","",IFERROR(IF(AND(H2397="W7",OR(F2397="causal",F2397="predictive")),IF(AND(K2397=1,L2397=1,M2397=1),"adequate","partial"),INDEX(Fit_Matrix!$B:$B,MATCH(P2397,Fit_Matrix!$A:$A,0))),"CHECK KEY"))</f>
        <v/>
      </c>
    </row>
    <row r="2398" customFormat="false" ht="15" hidden="false" customHeight="true" outlineLevel="0" collapsed="false">
      <c r="P2398" s="1" t="str">
        <f aca="false">IF(OR(F2398="",H2398="",J2398=""),"",J2398&amp;"|"&amp;F2398&amp;"|"&amp;IF(H2398="W3","W3_"&amp;IF(I2398="","unknown",I2398),H2398))</f>
        <v/>
      </c>
      <c r="Q2398" s="1" t="str">
        <f aca="false">IF(P2398="","",IFERROR(IF(AND(H2398="W7",OR(F2398="causal",F2398="predictive")),IF(AND(K2398=1,L2398=1,M2398=1),"adequate","partial"),INDEX(Fit_Matrix!$B:$B,MATCH(P2398,Fit_Matrix!$A:$A,0))),"CHECK KEY"))</f>
        <v/>
      </c>
    </row>
    <row r="2399" customFormat="false" ht="15" hidden="false" customHeight="true" outlineLevel="0" collapsed="false">
      <c r="P2399" s="1" t="str">
        <f aca="false">IF(OR(F2399="",H2399="",J2399=""),"",J2399&amp;"|"&amp;F2399&amp;"|"&amp;IF(H2399="W3","W3_"&amp;IF(I2399="","unknown",I2399),H2399))</f>
        <v/>
      </c>
      <c r="Q2399" s="1" t="str">
        <f aca="false">IF(P2399="","",IFERROR(IF(AND(H2399="W7",OR(F2399="causal",F2399="predictive")),IF(AND(K2399=1,L2399=1,M2399=1),"adequate","partial"),INDEX(Fit_Matrix!$B:$B,MATCH(P2399,Fit_Matrix!$A:$A,0))),"CHECK KEY"))</f>
        <v/>
      </c>
    </row>
    <row r="2400" customFormat="false" ht="15" hidden="false" customHeight="true" outlineLevel="0" collapsed="false">
      <c r="P2400" s="1" t="str">
        <f aca="false">IF(OR(F2400="",H2400="",J2400=""),"",J2400&amp;"|"&amp;F2400&amp;"|"&amp;IF(H2400="W3","W3_"&amp;IF(I2400="","unknown",I2400),H2400))</f>
        <v/>
      </c>
      <c r="Q2400" s="1" t="str">
        <f aca="false">IF(P2400="","",IFERROR(IF(AND(H2400="W7",OR(F2400="causal",F2400="predictive")),IF(AND(K2400=1,L2400=1,M2400=1),"adequate","partial"),INDEX(Fit_Matrix!$B:$B,MATCH(P2400,Fit_Matrix!$A:$A,0))),"CHECK KEY"))</f>
        <v/>
      </c>
    </row>
    <row r="2401" customFormat="false" ht="15" hidden="false" customHeight="true" outlineLevel="0" collapsed="false">
      <c r="P2401" s="1" t="str">
        <f aca="false">IF(OR(F2401="",H2401="",J2401=""),"",J2401&amp;"|"&amp;F2401&amp;"|"&amp;IF(H2401="W3","W3_"&amp;IF(I2401="","unknown",I2401),H2401))</f>
        <v/>
      </c>
      <c r="Q2401" s="1" t="str">
        <f aca="false">IF(P2401="","",IFERROR(IF(AND(H2401="W7",OR(F2401="causal",F2401="predictive")),IF(AND(K2401=1,L2401=1,M2401=1),"adequate","partial"),INDEX(Fit_Matrix!$B:$B,MATCH(P2401,Fit_Matrix!$A:$A,0))),"CHECK KEY"))</f>
        <v/>
      </c>
    </row>
    <row r="2402" customFormat="false" ht="15" hidden="false" customHeight="true" outlineLevel="0" collapsed="false">
      <c r="P2402" s="1" t="str">
        <f aca="false">IF(OR(F2402="",H2402="",J2402=""),"",J2402&amp;"|"&amp;F2402&amp;"|"&amp;IF(H2402="W3","W3_"&amp;IF(I2402="","unknown",I2402),H2402))</f>
        <v/>
      </c>
      <c r="Q2402" s="1" t="str">
        <f aca="false">IF(P2402="","",IFERROR(IF(AND(H2402="W7",OR(F2402="causal",F2402="predictive")),IF(AND(K2402=1,L2402=1,M2402=1),"adequate","partial"),INDEX(Fit_Matrix!$B:$B,MATCH(P2402,Fit_Matrix!$A:$A,0))),"CHECK KEY"))</f>
        <v/>
      </c>
    </row>
    <row r="2403" customFormat="false" ht="15" hidden="false" customHeight="true" outlineLevel="0" collapsed="false">
      <c r="P2403" s="1" t="str">
        <f aca="false">IF(OR(F2403="",H2403="",J2403=""),"",J2403&amp;"|"&amp;F2403&amp;"|"&amp;IF(H2403="W3","W3_"&amp;IF(I2403="","unknown",I2403),H2403))</f>
        <v/>
      </c>
      <c r="Q2403" s="1" t="str">
        <f aca="false">IF(P2403="","",IFERROR(IF(AND(H2403="W7",OR(F2403="causal",F2403="predictive")),IF(AND(K2403=1,L2403=1,M2403=1),"adequate","partial"),INDEX(Fit_Matrix!$B:$B,MATCH(P2403,Fit_Matrix!$A:$A,0))),"CHECK KEY"))</f>
        <v/>
      </c>
    </row>
    <row r="2404" customFormat="false" ht="15" hidden="false" customHeight="true" outlineLevel="0" collapsed="false">
      <c r="P2404" s="1" t="str">
        <f aca="false">IF(OR(F2404="",H2404="",J2404=""),"",J2404&amp;"|"&amp;F2404&amp;"|"&amp;IF(H2404="W3","W3_"&amp;IF(I2404="","unknown",I2404),H2404))</f>
        <v/>
      </c>
      <c r="Q2404" s="1" t="str">
        <f aca="false">IF(P2404="","",IFERROR(IF(AND(H2404="W7",OR(F2404="causal",F2404="predictive")),IF(AND(K2404=1,L2404=1,M2404=1),"adequate","partial"),INDEX(Fit_Matrix!$B:$B,MATCH(P2404,Fit_Matrix!$A:$A,0))),"CHECK KEY"))</f>
        <v/>
      </c>
    </row>
    <row r="2405" customFormat="false" ht="15" hidden="false" customHeight="true" outlineLevel="0" collapsed="false">
      <c r="P2405" s="1" t="str">
        <f aca="false">IF(OR(F2405="",H2405="",J2405=""),"",J2405&amp;"|"&amp;F2405&amp;"|"&amp;IF(H2405="W3","W3_"&amp;IF(I2405="","unknown",I2405),H2405))</f>
        <v/>
      </c>
      <c r="Q2405" s="1" t="str">
        <f aca="false">IF(P2405="","",IFERROR(IF(AND(H2405="W7",OR(F2405="causal",F2405="predictive")),IF(AND(K2405=1,L2405=1,M2405=1),"adequate","partial"),INDEX(Fit_Matrix!$B:$B,MATCH(P2405,Fit_Matrix!$A:$A,0))),"CHECK KEY"))</f>
        <v/>
      </c>
    </row>
    <row r="2406" customFormat="false" ht="15" hidden="false" customHeight="true" outlineLevel="0" collapsed="false">
      <c r="P2406" s="1" t="str">
        <f aca="false">IF(OR(F2406="",H2406="",J2406=""),"",J2406&amp;"|"&amp;F2406&amp;"|"&amp;IF(H2406="W3","W3_"&amp;IF(I2406="","unknown",I2406),H2406))</f>
        <v/>
      </c>
      <c r="Q2406" s="1" t="str">
        <f aca="false">IF(P2406="","",IFERROR(IF(AND(H2406="W7",OR(F2406="causal",F2406="predictive")),IF(AND(K2406=1,L2406=1,M2406=1),"adequate","partial"),INDEX(Fit_Matrix!$B:$B,MATCH(P2406,Fit_Matrix!$A:$A,0))),"CHECK KEY"))</f>
        <v/>
      </c>
    </row>
    <row r="2407" customFormat="false" ht="15" hidden="false" customHeight="true" outlineLevel="0" collapsed="false">
      <c r="P2407" s="1" t="str">
        <f aca="false">IF(OR(F2407="",H2407="",J2407=""),"",J2407&amp;"|"&amp;F2407&amp;"|"&amp;IF(H2407="W3","W3_"&amp;IF(I2407="","unknown",I2407),H2407))</f>
        <v/>
      </c>
      <c r="Q2407" s="1" t="str">
        <f aca="false">IF(P2407="","",IFERROR(IF(AND(H2407="W7",OR(F2407="causal",F2407="predictive")),IF(AND(K2407=1,L2407=1,M2407=1),"adequate","partial"),INDEX(Fit_Matrix!$B:$B,MATCH(P2407,Fit_Matrix!$A:$A,0))),"CHECK KEY"))</f>
        <v/>
      </c>
    </row>
    <row r="2408" customFormat="false" ht="15" hidden="false" customHeight="true" outlineLevel="0" collapsed="false">
      <c r="P2408" s="1" t="str">
        <f aca="false">IF(OR(F2408="",H2408="",J2408=""),"",J2408&amp;"|"&amp;F2408&amp;"|"&amp;IF(H2408="W3","W3_"&amp;IF(I2408="","unknown",I2408),H2408))</f>
        <v/>
      </c>
      <c r="Q2408" s="1" t="str">
        <f aca="false">IF(P2408="","",IFERROR(IF(AND(H2408="W7",OR(F2408="causal",F2408="predictive")),IF(AND(K2408=1,L2408=1,M2408=1),"adequate","partial"),INDEX(Fit_Matrix!$B:$B,MATCH(P2408,Fit_Matrix!$A:$A,0))),"CHECK KEY"))</f>
        <v/>
      </c>
    </row>
    <row r="2409" customFormat="false" ht="15" hidden="false" customHeight="true" outlineLevel="0" collapsed="false">
      <c r="P2409" s="1" t="str">
        <f aca="false">IF(OR(F2409="",H2409="",J2409=""),"",J2409&amp;"|"&amp;F2409&amp;"|"&amp;IF(H2409="W3","W3_"&amp;IF(I2409="","unknown",I2409),H2409))</f>
        <v/>
      </c>
      <c r="Q2409" s="1" t="str">
        <f aca="false">IF(P2409="","",IFERROR(IF(AND(H2409="W7",OR(F2409="causal",F2409="predictive")),IF(AND(K2409=1,L2409=1,M2409=1),"adequate","partial"),INDEX(Fit_Matrix!$B:$B,MATCH(P2409,Fit_Matrix!$A:$A,0))),"CHECK KEY"))</f>
        <v/>
      </c>
    </row>
    <row r="2410" customFormat="false" ht="15" hidden="false" customHeight="true" outlineLevel="0" collapsed="false">
      <c r="P2410" s="1" t="str">
        <f aca="false">IF(OR(F2410="",H2410="",J2410=""),"",J2410&amp;"|"&amp;F2410&amp;"|"&amp;IF(H2410="W3","W3_"&amp;IF(I2410="","unknown",I2410),H2410))</f>
        <v/>
      </c>
      <c r="Q2410" s="1" t="str">
        <f aca="false">IF(P2410="","",IFERROR(IF(AND(H2410="W7",OR(F2410="causal",F2410="predictive")),IF(AND(K2410=1,L2410=1,M2410=1),"adequate","partial"),INDEX(Fit_Matrix!$B:$B,MATCH(P2410,Fit_Matrix!$A:$A,0))),"CHECK KEY"))</f>
        <v/>
      </c>
    </row>
    <row r="2411" customFormat="false" ht="15" hidden="false" customHeight="true" outlineLevel="0" collapsed="false">
      <c r="P2411" s="1" t="str">
        <f aca="false">IF(OR(F2411="",H2411="",J2411=""),"",J2411&amp;"|"&amp;F2411&amp;"|"&amp;IF(H2411="W3","W3_"&amp;IF(I2411="","unknown",I2411),H2411))</f>
        <v/>
      </c>
      <c r="Q2411" s="1" t="str">
        <f aca="false">IF(P2411="","",IFERROR(IF(AND(H2411="W7",OR(F2411="causal",F2411="predictive")),IF(AND(K2411=1,L2411=1,M2411=1),"adequate","partial"),INDEX(Fit_Matrix!$B:$B,MATCH(P2411,Fit_Matrix!$A:$A,0))),"CHECK KEY"))</f>
        <v/>
      </c>
    </row>
    <row r="2412" customFormat="false" ht="15" hidden="false" customHeight="true" outlineLevel="0" collapsed="false">
      <c r="P2412" s="1" t="str">
        <f aca="false">IF(OR(F2412="",H2412="",J2412=""),"",J2412&amp;"|"&amp;F2412&amp;"|"&amp;IF(H2412="W3","W3_"&amp;IF(I2412="","unknown",I2412),H2412))</f>
        <v/>
      </c>
      <c r="Q2412" s="1" t="str">
        <f aca="false">IF(P2412="","",IFERROR(IF(AND(H2412="W7",OR(F2412="causal",F2412="predictive")),IF(AND(K2412=1,L2412=1,M2412=1),"adequate","partial"),INDEX(Fit_Matrix!$B:$B,MATCH(P2412,Fit_Matrix!$A:$A,0))),"CHECK KEY"))</f>
        <v/>
      </c>
    </row>
    <row r="2413" customFormat="false" ht="15" hidden="false" customHeight="true" outlineLevel="0" collapsed="false">
      <c r="P2413" s="1" t="str">
        <f aca="false">IF(OR(F2413="",H2413="",J2413=""),"",J2413&amp;"|"&amp;F2413&amp;"|"&amp;IF(H2413="W3","W3_"&amp;IF(I2413="","unknown",I2413),H2413))</f>
        <v/>
      </c>
      <c r="Q2413" s="1" t="str">
        <f aca="false">IF(P2413="","",IFERROR(IF(AND(H2413="W7",OR(F2413="causal",F2413="predictive")),IF(AND(K2413=1,L2413=1,M2413=1),"adequate","partial"),INDEX(Fit_Matrix!$B:$B,MATCH(P2413,Fit_Matrix!$A:$A,0))),"CHECK KEY"))</f>
        <v/>
      </c>
    </row>
    <row r="2414" customFormat="false" ht="15" hidden="false" customHeight="true" outlineLevel="0" collapsed="false">
      <c r="P2414" s="1" t="str">
        <f aca="false">IF(OR(F2414="",H2414="",J2414=""),"",J2414&amp;"|"&amp;F2414&amp;"|"&amp;IF(H2414="W3","W3_"&amp;IF(I2414="","unknown",I2414),H2414))</f>
        <v/>
      </c>
      <c r="Q2414" s="1" t="str">
        <f aca="false">IF(P2414="","",IFERROR(IF(AND(H2414="W7",OR(F2414="causal",F2414="predictive")),IF(AND(K2414=1,L2414=1,M2414=1),"adequate","partial"),INDEX(Fit_Matrix!$B:$B,MATCH(P2414,Fit_Matrix!$A:$A,0))),"CHECK KEY"))</f>
        <v/>
      </c>
    </row>
    <row r="2415" customFormat="false" ht="15" hidden="false" customHeight="true" outlineLevel="0" collapsed="false">
      <c r="P2415" s="1" t="str">
        <f aca="false">IF(OR(F2415="",H2415="",J2415=""),"",J2415&amp;"|"&amp;F2415&amp;"|"&amp;IF(H2415="W3","W3_"&amp;IF(I2415="","unknown",I2415),H2415))</f>
        <v/>
      </c>
      <c r="Q2415" s="1" t="str">
        <f aca="false">IF(P2415="","",IFERROR(IF(AND(H2415="W7",OR(F2415="causal",F2415="predictive")),IF(AND(K2415=1,L2415=1,M2415=1),"adequate","partial"),INDEX(Fit_Matrix!$B:$B,MATCH(P2415,Fit_Matrix!$A:$A,0))),"CHECK KEY"))</f>
        <v/>
      </c>
    </row>
    <row r="2416" customFormat="false" ht="15" hidden="false" customHeight="true" outlineLevel="0" collapsed="false">
      <c r="P2416" s="1" t="str">
        <f aca="false">IF(OR(F2416="",H2416="",J2416=""),"",J2416&amp;"|"&amp;F2416&amp;"|"&amp;IF(H2416="W3","W3_"&amp;IF(I2416="","unknown",I2416),H2416))</f>
        <v/>
      </c>
      <c r="Q2416" s="1" t="str">
        <f aca="false">IF(P2416="","",IFERROR(IF(AND(H2416="W7",OR(F2416="causal",F2416="predictive")),IF(AND(K2416=1,L2416=1,M2416=1),"adequate","partial"),INDEX(Fit_Matrix!$B:$B,MATCH(P2416,Fit_Matrix!$A:$A,0))),"CHECK KEY"))</f>
        <v/>
      </c>
    </row>
    <row r="2417" customFormat="false" ht="15" hidden="false" customHeight="true" outlineLevel="0" collapsed="false">
      <c r="P2417" s="1" t="str">
        <f aca="false">IF(OR(F2417="",H2417="",J2417=""),"",J2417&amp;"|"&amp;F2417&amp;"|"&amp;IF(H2417="W3","W3_"&amp;IF(I2417="","unknown",I2417),H2417))</f>
        <v/>
      </c>
      <c r="Q2417" s="1" t="str">
        <f aca="false">IF(P2417="","",IFERROR(IF(AND(H2417="W7",OR(F2417="causal",F2417="predictive")),IF(AND(K2417=1,L2417=1,M2417=1),"adequate","partial"),INDEX(Fit_Matrix!$B:$B,MATCH(P2417,Fit_Matrix!$A:$A,0))),"CHECK KEY"))</f>
        <v/>
      </c>
    </row>
    <row r="2418" customFormat="false" ht="15" hidden="false" customHeight="true" outlineLevel="0" collapsed="false">
      <c r="P2418" s="1" t="str">
        <f aca="false">IF(OR(F2418="",H2418="",J2418=""),"",J2418&amp;"|"&amp;F2418&amp;"|"&amp;IF(H2418="W3","W3_"&amp;IF(I2418="","unknown",I2418),H2418))</f>
        <v/>
      </c>
      <c r="Q2418" s="1" t="str">
        <f aca="false">IF(P2418="","",IFERROR(IF(AND(H2418="W7",OR(F2418="causal",F2418="predictive")),IF(AND(K2418=1,L2418=1,M2418=1),"adequate","partial"),INDEX(Fit_Matrix!$B:$B,MATCH(P2418,Fit_Matrix!$A:$A,0))),"CHECK KEY"))</f>
        <v/>
      </c>
    </row>
    <row r="2419" customFormat="false" ht="15" hidden="false" customHeight="true" outlineLevel="0" collapsed="false">
      <c r="P2419" s="1" t="str">
        <f aca="false">IF(OR(F2419="",H2419="",J2419=""),"",J2419&amp;"|"&amp;F2419&amp;"|"&amp;IF(H2419="W3","W3_"&amp;IF(I2419="","unknown",I2419),H2419))</f>
        <v/>
      </c>
      <c r="Q2419" s="1" t="str">
        <f aca="false">IF(P2419="","",IFERROR(IF(AND(H2419="W7",OR(F2419="causal",F2419="predictive")),IF(AND(K2419=1,L2419=1,M2419=1),"adequate","partial"),INDEX(Fit_Matrix!$B:$B,MATCH(P2419,Fit_Matrix!$A:$A,0))),"CHECK KEY"))</f>
        <v/>
      </c>
    </row>
    <row r="2420" customFormat="false" ht="15" hidden="false" customHeight="true" outlineLevel="0" collapsed="false">
      <c r="P2420" s="1" t="str">
        <f aca="false">IF(OR(F2420="",H2420="",J2420=""),"",J2420&amp;"|"&amp;F2420&amp;"|"&amp;IF(H2420="W3","W3_"&amp;IF(I2420="","unknown",I2420),H2420))</f>
        <v/>
      </c>
      <c r="Q2420" s="1" t="str">
        <f aca="false">IF(P2420="","",IFERROR(IF(AND(H2420="W7",OR(F2420="causal",F2420="predictive")),IF(AND(K2420=1,L2420=1,M2420=1),"adequate","partial"),INDEX(Fit_Matrix!$B:$B,MATCH(P2420,Fit_Matrix!$A:$A,0))),"CHECK KEY"))</f>
        <v/>
      </c>
    </row>
    <row r="2421" customFormat="false" ht="15" hidden="false" customHeight="true" outlineLevel="0" collapsed="false">
      <c r="P2421" s="1" t="str">
        <f aca="false">IF(OR(F2421="",H2421="",J2421=""),"",J2421&amp;"|"&amp;F2421&amp;"|"&amp;IF(H2421="W3","W3_"&amp;IF(I2421="","unknown",I2421),H2421))</f>
        <v/>
      </c>
      <c r="Q2421" s="1" t="str">
        <f aca="false">IF(P2421="","",IFERROR(IF(AND(H2421="W7",OR(F2421="causal",F2421="predictive")),IF(AND(K2421=1,L2421=1,M2421=1),"adequate","partial"),INDEX(Fit_Matrix!$B:$B,MATCH(P2421,Fit_Matrix!$A:$A,0))),"CHECK KEY"))</f>
        <v/>
      </c>
    </row>
    <row r="2422" customFormat="false" ht="15" hidden="false" customHeight="true" outlineLevel="0" collapsed="false">
      <c r="P2422" s="1" t="str">
        <f aca="false">IF(OR(F2422="",H2422="",J2422=""),"",J2422&amp;"|"&amp;F2422&amp;"|"&amp;IF(H2422="W3","W3_"&amp;IF(I2422="","unknown",I2422),H2422))</f>
        <v/>
      </c>
      <c r="Q2422" s="1" t="str">
        <f aca="false">IF(P2422="","",IFERROR(IF(AND(H2422="W7",OR(F2422="causal",F2422="predictive")),IF(AND(K2422=1,L2422=1,M2422=1),"adequate","partial"),INDEX(Fit_Matrix!$B:$B,MATCH(P2422,Fit_Matrix!$A:$A,0))),"CHECK KEY"))</f>
        <v/>
      </c>
    </row>
    <row r="2423" customFormat="false" ht="15" hidden="false" customHeight="true" outlineLevel="0" collapsed="false">
      <c r="P2423" s="1" t="str">
        <f aca="false">IF(OR(F2423="",H2423="",J2423=""),"",J2423&amp;"|"&amp;F2423&amp;"|"&amp;IF(H2423="W3","W3_"&amp;IF(I2423="","unknown",I2423),H2423))</f>
        <v/>
      </c>
      <c r="Q2423" s="1" t="str">
        <f aca="false">IF(P2423="","",IFERROR(IF(AND(H2423="W7",OR(F2423="causal",F2423="predictive")),IF(AND(K2423=1,L2423=1,M2423=1),"adequate","partial"),INDEX(Fit_Matrix!$B:$B,MATCH(P2423,Fit_Matrix!$A:$A,0))),"CHECK KEY"))</f>
        <v/>
      </c>
    </row>
    <row r="2424" customFormat="false" ht="15" hidden="false" customHeight="true" outlineLevel="0" collapsed="false">
      <c r="P2424" s="1" t="str">
        <f aca="false">IF(OR(F2424="",H2424="",J2424=""),"",J2424&amp;"|"&amp;F2424&amp;"|"&amp;IF(H2424="W3","W3_"&amp;IF(I2424="","unknown",I2424),H2424))</f>
        <v/>
      </c>
      <c r="Q2424" s="1" t="str">
        <f aca="false">IF(P2424="","",IFERROR(IF(AND(H2424="W7",OR(F2424="causal",F2424="predictive")),IF(AND(K2424=1,L2424=1,M2424=1),"adequate","partial"),INDEX(Fit_Matrix!$B:$B,MATCH(P2424,Fit_Matrix!$A:$A,0))),"CHECK KEY"))</f>
        <v/>
      </c>
    </row>
    <row r="2425" customFormat="false" ht="15" hidden="false" customHeight="true" outlineLevel="0" collapsed="false">
      <c r="P2425" s="1" t="str">
        <f aca="false">IF(OR(F2425="",H2425="",J2425=""),"",J2425&amp;"|"&amp;F2425&amp;"|"&amp;IF(H2425="W3","W3_"&amp;IF(I2425="","unknown",I2425),H2425))</f>
        <v/>
      </c>
      <c r="Q2425" s="1" t="str">
        <f aca="false">IF(P2425="","",IFERROR(IF(AND(H2425="W7",OR(F2425="causal",F2425="predictive")),IF(AND(K2425=1,L2425=1,M2425=1),"adequate","partial"),INDEX(Fit_Matrix!$B:$B,MATCH(P2425,Fit_Matrix!$A:$A,0))),"CHECK KEY"))</f>
        <v/>
      </c>
    </row>
    <row r="2426" customFormat="false" ht="15" hidden="false" customHeight="true" outlineLevel="0" collapsed="false">
      <c r="P2426" s="1" t="str">
        <f aca="false">IF(OR(F2426="",H2426="",J2426=""),"",J2426&amp;"|"&amp;F2426&amp;"|"&amp;IF(H2426="W3","W3_"&amp;IF(I2426="","unknown",I2426),H2426))</f>
        <v/>
      </c>
      <c r="Q2426" s="1" t="str">
        <f aca="false">IF(P2426="","",IFERROR(IF(AND(H2426="W7",OR(F2426="causal",F2426="predictive")),IF(AND(K2426=1,L2426=1,M2426=1),"adequate","partial"),INDEX(Fit_Matrix!$B:$B,MATCH(P2426,Fit_Matrix!$A:$A,0))),"CHECK KEY"))</f>
        <v/>
      </c>
    </row>
    <row r="2427" customFormat="false" ht="15" hidden="false" customHeight="true" outlineLevel="0" collapsed="false">
      <c r="P2427" s="1" t="str">
        <f aca="false">IF(OR(F2427="",H2427="",J2427=""),"",J2427&amp;"|"&amp;F2427&amp;"|"&amp;IF(H2427="W3","W3_"&amp;IF(I2427="","unknown",I2427),H2427))</f>
        <v/>
      </c>
      <c r="Q2427" s="1" t="str">
        <f aca="false">IF(P2427="","",IFERROR(IF(AND(H2427="W7",OR(F2427="causal",F2427="predictive")),IF(AND(K2427=1,L2427=1,M2427=1),"adequate","partial"),INDEX(Fit_Matrix!$B:$B,MATCH(P2427,Fit_Matrix!$A:$A,0))),"CHECK KEY"))</f>
        <v/>
      </c>
    </row>
    <row r="2428" customFormat="false" ht="15" hidden="false" customHeight="true" outlineLevel="0" collapsed="false">
      <c r="P2428" s="1" t="str">
        <f aca="false">IF(OR(F2428="",H2428="",J2428=""),"",J2428&amp;"|"&amp;F2428&amp;"|"&amp;IF(H2428="W3","W3_"&amp;IF(I2428="","unknown",I2428),H2428))</f>
        <v/>
      </c>
      <c r="Q2428" s="1" t="str">
        <f aca="false">IF(P2428="","",IFERROR(IF(AND(H2428="W7",OR(F2428="causal",F2428="predictive")),IF(AND(K2428=1,L2428=1,M2428=1),"adequate","partial"),INDEX(Fit_Matrix!$B:$B,MATCH(P2428,Fit_Matrix!$A:$A,0))),"CHECK KEY"))</f>
        <v/>
      </c>
    </row>
    <row r="2429" customFormat="false" ht="15" hidden="false" customHeight="true" outlineLevel="0" collapsed="false">
      <c r="P2429" s="1" t="str">
        <f aca="false">IF(OR(F2429="",H2429="",J2429=""),"",J2429&amp;"|"&amp;F2429&amp;"|"&amp;IF(H2429="W3","W3_"&amp;IF(I2429="","unknown",I2429),H2429))</f>
        <v/>
      </c>
      <c r="Q2429" s="1" t="str">
        <f aca="false">IF(P2429="","",IFERROR(IF(AND(H2429="W7",OR(F2429="causal",F2429="predictive")),IF(AND(K2429=1,L2429=1,M2429=1),"adequate","partial"),INDEX(Fit_Matrix!$B:$B,MATCH(P2429,Fit_Matrix!$A:$A,0))),"CHECK KEY"))</f>
        <v/>
      </c>
    </row>
    <row r="2430" customFormat="false" ht="15" hidden="false" customHeight="true" outlineLevel="0" collapsed="false">
      <c r="P2430" s="1" t="str">
        <f aca="false">IF(OR(F2430="",H2430="",J2430=""),"",J2430&amp;"|"&amp;F2430&amp;"|"&amp;IF(H2430="W3","W3_"&amp;IF(I2430="","unknown",I2430),H2430))</f>
        <v/>
      </c>
      <c r="Q2430" s="1" t="str">
        <f aca="false">IF(P2430="","",IFERROR(IF(AND(H2430="W7",OR(F2430="causal",F2430="predictive")),IF(AND(K2430=1,L2430=1,M2430=1),"adequate","partial"),INDEX(Fit_Matrix!$B:$B,MATCH(P2430,Fit_Matrix!$A:$A,0))),"CHECK KEY"))</f>
        <v/>
      </c>
    </row>
    <row r="2431" customFormat="false" ht="15" hidden="false" customHeight="true" outlineLevel="0" collapsed="false">
      <c r="P2431" s="1" t="str">
        <f aca="false">IF(OR(F2431="",H2431="",J2431=""),"",J2431&amp;"|"&amp;F2431&amp;"|"&amp;IF(H2431="W3","W3_"&amp;IF(I2431="","unknown",I2431),H2431))</f>
        <v/>
      </c>
      <c r="Q2431" s="1" t="str">
        <f aca="false">IF(P2431="","",IFERROR(IF(AND(H2431="W7",OR(F2431="causal",F2431="predictive")),IF(AND(K2431=1,L2431=1,M2431=1),"adequate","partial"),INDEX(Fit_Matrix!$B:$B,MATCH(P2431,Fit_Matrix!$A:$A,0))),"CHECK KEY"))</f>
        <v/>
      </c>
    </row>
    <row r="2432" customFormat="false" ht="15" hidden="false" customHeight="true" outlineLevel="0" collapsed="false">
      <c r="P2432" s="1" t="str">
        <f aca="false">IF(OR(F2432="",H2432="",J2432=""),"",J2432&amp;"|"&amp;F2432&amp;"|"&amp;IF(H2432="W3","W3_"&amp;IF(I2432="","unknown",I2432),H2432))</f>
        <v/>
      </c>
      <c r="Q2432" s="1" t="str">
        <f aca="false">IF(P2432="","",IFERROR(IF(AND(H2432="W7",OR(F2432="causal",F2432="predictive")),IF(AND(K2432=1,L2432=1,M2432=1),"adequate","partial"),INDEX(Fit_Matrix!$B:$B,MATCH(P2432,Fit_Matrix!$A:$A,0))),"CHECK KEY"))</f>
        <v/>
      </c>
    </row>
    <row r="2433" customFormat="false" ht="15" hidden="false" customHeight="true" outlineLevel="0" collapsed="false">
      <c r="P2433" s="1" t="str">
        <f aca="false">IF(OR(F2433="",H2433="",J2433=""),"",J2433&amp;"|"&amp;F2433&amp;"|"&amp;IF(H2433="W3","W3_"&amp;IF(I2433="","unknown",I2433),H2433))</f>
        <v/>
      </c>
      <c r="Q2433" s="1" t="str">
        <f aca="false">IF(P2433="","",IFERROR(IF(AND(H2433="W7",OR(F2433="causal",F2433="predictive")),IF(AND(K2433=1,L2433=1,M2433=1),"adequate","partial"),INDEX(Fit_Matrix!$B:$B,MATCH(P2433,Fit_Matrix!$A:$A,0))),"CHECK KEY"))</f>
        <v/>
      </c>
    </row>
    <row r="2434" customFormat="false" ht="15" hidden="false" customHeight="true" outlineLevel="0" collapsed="false">
      <c r="P2434" s="1" t="str">
        <f aca="false">IF(OR(F2434="",H2434="",J2434=""),"",J2434&amp;"|"&amp;F2434&amp;"|"&amp;IF(H2434="W3","W3_"&amp;IF(I2434="","unknown",I2434),H2434))</f>
        <v/>
      </c>
      <c r="Q2434" s="1" t="str">
        <f aca="false">IF(P2434="","",IFERROR(IF(AND(H2434="W7",OR(F2434="causal",F2434="predictive")),IF(AND(K2434=1,L2434=1,M2434=1),"adequate","partial"),INDEX(Fit_Matrix!$B:$B,MATCH(P2434,Fit_Matrix!$A:$A,0))),"CHECK KEY"))</f>
        <v/>
      </c>
    </row>
    <row r="2435" customFormat="false" ht="15" hidden="false" customHeight="true" outlineLevel="0" collapsed="false">
      <c r="P2435" s="1" t="str">
        <f aca="false">IF(OR(F2435="",H2435="",J2435=""),"",J2435&amp;"|"&amp;F2435&amp;"|"&amp;IF(H2435="W3","W3_"&amp;IF(I2435="","unknown",I2435),H2435))</f>
        <v/>
      </c>
      <c r="Q2435" s="1" t="str">
        <f aca="false">IF(P2435="","",IFERROR(IF(AND(H2435="W7",OR(F2435="causal",F2435="predictive")),IF(AND(K2435=1,L2435=1,M2435=1),"adequate","partial"),INDEX(Fit_Matrix!$B:$B,MATCH(P2435,Fit_Matrix!$A:$A,0))),"CHECK KEY"))</f>
        <v/>
      </c>
    </row>
    <row r="2436" customFormat="false" ht="15" hidden="false" customHeight="true" outlineLevel="0" collapsed="false">
      <c r="P2436" s="1" t="str">
        <f aca="false">IF(OR(F2436="",H2436="",J2436=""),"",J2436&amp;"|"&amp;F2436&amp;"|"&amp;IF(H2436="W3","W3_"&amp;IF(I2436="","unknown",I2436),H2436))</f>
        <v/>
      </c>
      <c r="Q2436" s="1" t="str">
        <f aca="false">IF(P2436="","",IFERROR(IF(AND(H2436="W7",OR(F2436="causal",F2436="predictive")),IF(AND(K2436=1,L2436=1,M2436=1),"adequate","partial"),INDEX(Fit_Matrix!$B:$B,MATCH(P2436,Fit_Matrix!$A:$A,0))),"CHECK KEY"))</f>
        <v/>
      </c>
    </row>
    <row r="2437" customFormat="false" ht="15" hidden="false" customHeight="true" outlineLevel="0" collapsed="false">
      <c r="P2437" s="1" t="str">
        <f aca="false">IF(OR(F2437="",H2437="",J2437=""),"",J2437&amp;"|"&amp;F2437&amp;"|"&amp;IF(H2437="W3","W3_"&amp;IF(I2437="","unknown",I2437),H2437))</f>
        <v/>
      </c>
      <c r="Q2437" s="1" t="str">
        <f aca="false">IF(P2437="","",IFERROR(IF(AND(H2437="W7",OR(F2437="causal",F2437="predictive")),IF(AND(K2437=1,L2437=1,M2437=1),"adequate","partial"),INDEX(Fit_Matrix!$B:$B,MATCH(P2437,Fit_Matrix!$A:$A,0))),"CHECK KEY"))</f>
        <v/>
      </c>
    </row>
    <row r="2438" customFormat="false" ht="15" hidden="false" customHeight="true" outlineLevel="0" collapsed="false">
      <c r="P2438" s="1" t="str">
        <f aca="false">IF(OR(F2438="",H2438="",J2438=""),"",J2438&amp;"|"&amp;F2438&amp;"|"&amp;IF(H2438="W3","W3_"&amp;IF(I2438="","unknown",I2438),H2438))</f>
        <v/>
      </c>
      <c r="Q2438" s="1" t="str">
        <f aca="false">IF(P2438="","",IFERROR(IF(AND(H2438="W7",OR(F2438="causal",F2438="predictive")),IF(AND(K2438=1,L2438=1,M2438=1),"adequate","partial"),INDEX(Fit_Matrix!$B:$B,MATCH(P2438,Fit_Matrix!$A:$A,0))),"CHECK KEY"))</f>
        <v/>
      </c>
    </row>
    <row r="2439" customFormat="false" ht="15" hidden="false" customHeight="true" outlineLevel="0" collapsed="false">
      <c r="P2439" s="1" t="str">
        <f aca="false">IF(OR(F2439="",H2439="",J2439=""),"",J2439&amp;"|"&amp;F2439&amp;"|"&amp;IF(H2439="W3","W3_"&amp;IF(I2439="","unknown",I2439),H2439))</f>
        <v/>
      </c>
      <c r="Q2439" s="1" t="str">
        <f aca="false">IF(P2439="","",IFERROR(IF(AND(H2439="W7",OR(F2439="causal",F2439="predictive")),IF(AND(K2439=1,L2439=1,M2439=1),"adequate","partial"),INDEX(Fit_Matrix!$B:$B,MATCH(P2439,Fit_Matrix!$A:$A,0))),"CHECK KEY"))</f>
        <v/>
      </c>
    </row>
    <row r="2440" customFormat="false" ht="15" hidden="false" customHeight="true" outlineLevel="0" collapsed="false">
      <c r="P2440" s="1" t="str">
        <f aca="false">IF(OR(F2440="",H2440="",J2440=""),"",J2440&amp;"|"&amp;F2440&amp;"|"&amp;IF(H2440="W3","W3_"&amp;IF(I2440="","unknown",I2440),H2440))</f>
        <v/>
      </c>
      <c r="Q2440" s="1" t="str">
        <f aca="false">IF(P2440="","",IFERROR(IF(AND(H2440="W7",OR(F2440="causal",F2440="predictive")),IF(AND(K2440=1,L2440=1,M2440=1),"adequate","partial"),INDEX(Fit_Matrix!$B:$B,MATCH(P2440,Fit_Matrix!$A:$A,0))),"CHECK KEY"))</f>
        <v/>
      </c>
    </row>
    <row r="2441" customFormat="false" ht="15" hidden="false" customHeight="true" outlineLevel="0" collapsed="false">
      <c r="P2441" s="1" t="str">
        <f aca="false">IF(OR(F2441="",H2441="",J2441=""),"",J2441&amp;"|"&amp;F2441&amp;"|"&amp;IF(H2441="W3","W3_"&amp;IF(I2441="","unknown",I2441),H2441))</f>
        <v/>
      </c>
      <c r="Q2441" s="1" t="str">
        <f aca="false">IF(P2441="","",IFERROR(IF(AND(H2441="W7",OR(F2441="causal",F2441="predictive")),IF(AND(K2441=1,L2441=1,M2441=1),"adequate","partial"),INDEX(Fit_Matrix!$B:$B,MATCH(P2441,Fit_Matrix!$A:$A,0))),"CHECK KEY"))</f>
        <v/>
      </c>
    </row>
    <row r="2442" customFormat="false" ht="15" hidden="false" customHeight="true" outlineLevel="0" collapsed="false">
      <c r="P2442" s="1" t="str">
        <f aca="false">IF(OR(F2442="",H2442="",J2442=""),"",J2442&amp;"|"&amp;F2442&amp;"|"&amp;IF(H2442="W3","W3_"&amp;IF(I2442="","unknown",I2442),H2442))</f>
        <v/>
      </c>
      <c r="Q2442" s="1" t="str">
        <f aca="false">IF(P2442="","",IFERROR(IF(AND(H2442="W7",OR(F2442="causal",F2442="predictive")),IF(AND(K2442=1,L2442=1,M2442=1),"adequate","partial"),INDEX(Fit_Matrix!$B:$B,MATCH(P2442,Fit_Matrix!$A:$A,0))),"CHECK KEY"))</f>
        <v/>
      </c>
    </row>
    <row r="2443" customFormat="false" ht="15" hidden="false" customHeight="true" outlineLevel="0" collapsed="false">
      <c r="P2443" s="1" t="str">
        <f aca="false">IF(OR(F2443="",H2443="",J2443=""),"",J2443&amp;"|"&amp;F2443&amp;"|"&amp;IF(H2443="W3","W3_"&amp;IF(I2443="","unknown",I2443),H2443))</f>
        <v/>
      </c>
      <c r="Q2443" s="1" t="str">
        <f aca="false">IF(P2443="","",IFERROR(IF(AND(H2443="W7",OR(F2443="causal",F2443="predictive")),IF(AND(K2443=1,L2443=1,M2443=1),"adequate","partial"),INDEX(Fit_Matrix!$B:$B,MATCH(P2443,Fit_Matrix!$A:$A,0))),"CHECK KEY"))</f>
        <v/>
      </c>
    </row>
    <row r="2444" customFormat="false" ht="15" hidden="false" customHeight="true" outlineLevel="0" collapsed="false">
      <c r="P2444" s="1" t="str">
        <f aca="false">IF(OR(F2444="",H2444="",J2444=""),"",J2444&amp;"|"&amp;F2444&amp;"|"&amp;IF(H2444="W3","W3_"&amp;IF(I2444="","unknown",I2444),H2444))</f>
        <v/>
      </c>
      <c r="Q2444" s="1" t="str">
        <f aca="false">IF(P2444="","",IFERROR(IF(AND(H2444="W7",OR(F2444="causal",F2444="predictive")),IF(AND(K2444=1,L2444=1,M2444=1),"adequate","partial"),INDEX(Fit_Matrix!$B:$B,MATCH(P2444,Fit_Matrix!$A:$A,0))),"CHECK KEY"))</f>
        <v/>
      </c>
    </row>
    <row r="2445" customFormat="false" ht="15" hidden="false" customHeight="true" outlineLevel="0" collapsed="false">
      <c r="P2445" s="1" t="str">
        <f aca="false">IF(OR(F2445="",H2445="",J2445=""),"",J2445&amp;"|"&amp;F2445&amp;"|"&amp;IF(H2445="W3","W3_"&amp;IF(I2445="","unknown",I2445),H2445))</f>
        <v/>
      </c>
      <c r="Q2445" s="1" t="str">
        <f aca="false">IF(P2445="","",IFERROR(IF(AND(H2445="W7",OR(F2445="causal",F2445="predictive")),IF(AND(K2445=1,L2445=1,M2445=1),"adequate","partial"),INDEX(Fit_Matrix!$B:$B,MATCH(P2445,Fit_Matrix!$A:$A,0))),"CHECK KEY"))</f>
        <v/>
      </c>
    </row>
    <row r="2446" customFormat="false" ht="15" hidden="false" customHeight="true" outlineLevel="0" collapsed="false">
      <c r="P2446" s="1" t="str">
        <f aca="false">IF(OR(F2446="",H2446="",J2446=""),"",J2446&amp;"|"&amp;F2446&amp;"|"&amp;IF(H2446="W3","W3_"&amp;IF(I2446="","unknown",I2446),H2446))</f>
        <v/>
      </c>
      <c r="Q2446" s="1" t="str">
        <f aca="false">IF(P2446="","",IFERROR(IF(AND(H2446="W7",OR(F2446="causal",F2446="predictive")),IF(AND(K2446=1,L2446=1,M2446=1),"adequate","partial"),INDEX(Fit_Matrix!$B:$B,MATCH(P2446,Fit_Matrix!$A:$A,0))),"CHECK KEY"))</f>
        <v/>
      </c>
    </row>
    <row r="2447" customFormat="false" ht="15" hidden="false" customHeight="true" outlineLevel="0" collapsed="false">
      <c r="P2447" s="1" t="str">
        <f aca="false">IF(OR(F2447="",H2447="",J2447=""),"",J2447&amp;"|"&amp;F2447&amp;"|"&amp;IF(H2447="W3","W3_"&amp;IF(I2447="","unknown",I2447),H2447))</f>
        <v/>
      </c>
      <c r="Q2447" s="1" t="str">
        <f aca="false">IF(P2447="","",IFERROR(IF(AND(H2447="W7",OR(F2447="causal",F2447="predictive")),IF(AND(K2447=1,L2447=1,M2447=1),"adequate","partial"),INDEX(Fit_Matrix!$B:$B,MATCH(P2447,Fit_Matrix!$A:$A,0))),"CHECK KEY"))</f>
        <v/>
      </c>
    </row>
    <row r="2448" customFormat="false" ht="15" hidden="false" customHeight="true" outlineLevel="0" collapsed="false">
      <c r="P2448" s="1" t="str">
        <f aca="false">IF(OR(F2448="",H2448="",J2448=""),"",J2448&amp;"|"&amp;F2448&amp;"|"&amp;IF(H2448="W3","W3_"&amp;IF(I2448="","unknown",I2448),H2448))</f>
        <v/>
      </c>
      <c r="Q2448" s="1" t="str">
        <f aca="false">IF(P2448="","",IFERROR(IF(AND(H2448="W7",OR(F2448="causal",F2448="predictive")),IF(AND(K2448=1,L2448=1,M2448=1),"adequate","partial"),INDEX(Fit_Matrix!$B:$B,MATCH(P2448,Fit_Matrix!$A:$A,0))),"CHECK KEY"))</f>
        <v/>
      </c>
    </row>
    <row r="2449" customFormat="false" ht="15" hidden="false" customHeight="true" outlineLevel="0" collapsed="false">
      <c r="P2449" s="1" t="str">
        <f aca="false">IF(OR(F2449="",H2449="",J2449=""),"",J2449&amp;"|"&amp;F2449&amp;"|"&amp;IF(H2449="W3","W3_"&amp;IF(I2449="","unknown",I2449),H2449))</f>
        <v/>
      </c>
      <c r="Q2449" s="1" t="str">
        <f aca="false">IF(P2449="","",IFERROR(IF(AND(H2449="W7",OR(F2449="causal",F2449="predictive")),IF(AND(K2449=1,L2449=1,M2449=1),"adequate","partial"),INDEX(Fit_Matrix!$B:$B,MATCH(P2449,Fit_Matrix!$A:$A,0))),"CHECK KEY"))</f>
        <v/>
      </c>
    </row>
    <row r="2450" customFormat="false" ht="15" hidden="false" customHeight="true" outlineLevel="0" collapsed="false">
      <c r="P2450" s="1" t="str">
        <f aca="false">IF(OR(F2450="",H2450="",J2450=""),"",J2450&amp;"|"&amp;F2450&amp;"|"&amp;IF(H2450="W3","W3_"&amp;IF(I2450="","unknown",I2450),H2450))</f>
        <v/>
      </c>
      <c r="Q2450" s="1" t="str">
        <f aca="false">IF(P2450="","",IFERROR(IF(AND(H2450="W7",OR(F2450="causal",F2450="predictive")),IF(AND(K2450=1,L2450=1,M2450=1),"adequate","partial"),INDEX(Fit_Matrix!$B:$B,MATCH(P2450,Fit_Matrix!$A:$A,0))),"CHECK KEY"))</f>
        <v/>
      </c>
    </row>
    <row r="2451" customFormat="false" ht="15" hidden="false" customHeight="true" outlineLevel="0" collapsed="false">
      <c r="P2451" s="1" t="str">
        <f aca="false">IF(OR(F2451="",H2451="",J2451=""),"",J2451&amp;"|"&amp;F2451&amp;"|"&amp;IF(H2451="W3","W3_"&amp;IF(I2451="","unknown",I2451),H2451))</f>
        <v/>
      </c>
      <c r="Q2451" s="1" t="str">
        <f aca="false">IF(P2451="","",IFERROR(IF(AND(H2451="W7",OR(F2451="causal",F2451="predictive")),IF(AND(K2451=1,L2451=1,M2451=1),"adequate","partial"),INDEX(Fit_Matrix!$B:$B,MATCH(P2451,Fit_Matrix!$A:$A,0))),"CHECK KEY"))</f>
        <v/>
      </c>
    </row>
    <row r="2452" customFormat="false" ht="15" hidden="false" customHeight="true" outlineLevel="0" collapsed="false">
      <c r="P2452" s="1" t="str">
        <f aca="false">IF(OR(F2452="",H2452="",J2452=""),"",J2452&amp;"|"&amp;F2452&amp;"|"&amp;IF(H2452="W3","W3_"&amp;IF(I2452="","unknown",I2452),H2452))</f>
        <v/>
      </c>
      <c r="Q2452" s="1" t="str">
        <f aca="false">IF(P2452="","",IFERROR(IF(AND(H2452="W7",OR(F2452="causal",F2452="predictive")),IF(AND(K2452=1,L2452=1,M2452=1),"adequate","partial"),INDEX(Fit_Matrix!$B:$B,MATCH(P2452,Fit_Matrix!$A:$A,0))),"CHECK KEY"))</f>
        <v/>
      </c>
    </row>
    <row r="2453" customFormat="false" ht="15" hidden="false" customHeight="true" outlineLevel="0" collapsed="false">
      <c r="P2453" s="1" t="str">
        <f aca="false">IF(OR(F2453="",H2453="",J2453=""),"",J2453&amp;"|"&amp;F2453&amp;"|"&amp;IF(H2453="W3","W3_"&amp;IF(I2453="","unknown",I2453),H2453))</f>
        <v/>
      </c>
      <c r="Q2453" s="1" t="str">
        <f aca="false">IF(P2453="","",IFERROR(IF(AND(H2453="W7",OR(F2453="causal",F2453="predictive")),IF(AND(K2453=1,L2453=1,M2453=1),"adequate","partial"),INDEX(Fit_Matrix!$B:$B,MATCH(P2453,Fit_Matrix!$A:$A,0))),"CHECK KEY"))</f>
        <v/>
      </c>
    </row>
    <row r="2454" customFormat="false" ht="15" hidden="false" customHeight="true" outlineLevel="0" collapsed="false">
      <c r="P2454" s="1" t="str">
        <f aca="false">IF(OR(F2454="",H2454="",J2454=""),"",J2454&amp;"|"&amp;F2454&amp;"|"&amp;IF(H2454="W3","W3_"&amp;IF(I2454="","unknown",I2454),H2454))</f>
        <v/>
      </c>
      <c r="Q2454" s="1" t="str">
        <f aca="false">IF(P2454="","",IFERROR(IF(AND(H2454="W7",OR(F2454="causal",F2454="predictive")),IF(AND(K2454=1,L2454=1,M2454=1),"adequate","partial"),INDEX(Fit_Matrix!$B:$B,MATCH(P2454,Fit_Matrix!$A:$A,0))),"CHECK KEY"))</f>
        <v/>
      </c>
    </row>
    <row r="2455" customFormat="false" ht="15" hidden="false" customHeight="true" outlineLevel="0" collapsed="false">
      <c r="P2455" s="1" t="str">
        <f aca="false">IF(OR(F2455="",H2455="",J2455=""),"",J2455&amp;"|"&amp;F2455&amp;"|"&amp;IF(H2455="W3","W3_"&amp;IF(I2455="","unknown",I2455),H2455))</f>
        <v/>
      </c>
      <c r="Q2455" s="1" t="str">
        <f aca="false">IF(P2455="","",IFERROR(IF(AND(H2455="W7",OR(F2455="causal",F2455="predictive")),IF(AND(K2455=1,L2455=1,M2455=1),"adequate","partial"),INDEX(Fit_Matrix!$B:$B,MATCH(P2455,Fit_Matrix!$A:$A,0))),"CHECK KEY"))</f>
        <v/>
      </c>
    </row>
    <row r="2456" customFormat="false" ht="15" hidden="false" customHeight="true" outlineLevel="0" collapsed="false">
      <c r="P2456" s="1" t="str">
        <f aca="false">IF(OR(F2456="",H2456="",J2456=""),"",J2456&amp;"|"&amp;F2456&amp;"|"&amp;IF(H2456="W3","W3_"&amp;IF(I2456="","unknown",I2456),H2456))</f>
        <v/>
      </c>
      <c r="Q2456" s="1" t="str">
        <f aca="false">IF(P2456="","",IFERROR(IF(AND(H2456="W7",OR(F2456="causal",F2456="predictive")),IF(AND(K2456=1,L2456=1,M2456=1),"adequate","partial"),INDEX(Fit_Matrix!$B:$B,MATCH(P2456,Fit_Matrix!$A:$A,0))),"CHECK KEY"))</f>
        <v/>
      </c>
    </row>
    <row r="2457" customFormat="false" ht="15" hidden="false" customHeight="true" outlineLevel="0" collapsed="false">
      <c r="P2457" s="1" t="str">
        <f aca="false">IF(OR(F2457="",H2457="",J2457=""),"",J2457&amp;"|"&amp;F2457&amp;"|"&amp;IF(H2457="W3","W3_"&amp;IF(I2457="","unknown",I2457),H2457))</f>
        <v/>
      </c>
      <c r="Q2457" s="1" t="str">
        <f aca="false">IF(P2457="","",IFERROR(IF(AND(H2457="W7",OR(F2457="causal",F2457="predictive")),IF(AND(K2457=1,L2457=1,M2457=1),"adequate","partial"),INDEX(Fit_Matrix!$B:$B,MATCH(P2457,Fit_Matrix!$A:$A,0))),"CHECK KEY"))</f>
        <v/>
      </c>
    </row>
    <row r="2458" customFormat="false" ht="15" hidden="false" customHeight="true" outlineLevel="0" collapsed="false">
      <c r="P2458" s="1" t="str">
        <f aca="false">IF(OR(F2458="",H2458="",J2458=""),"",J2458&amp;"|"&amp;F2458&amp;"|"&amp;IF(H2458="W3","W3_"&amp;IF(I2458="","unknown",I2458),H2458))</f>
        <v/>
      </c>
      <c r="Q2458" s="1" t="str">
        <f aca="false">IF(P2458="","",IFERROR(IF(AND(H2458="W7",OR(F2458="causal",F2458="predictive")),IF(AND(K2458=1,L2458=1,M2458=1),"adequate","partial"),INDEX(Fit_Matrix!$B:$B,MATCH(P2458,Fit_Matrix!$A:$A,0))),"CHECK KEY"))</f>
        <v/>
      </c>
    </row>
    <row r="2459" customFormat="false" ht="15" hidden="false" customHeight="true" outlineLevel="0" collapsed="false">
      <c r="P2459" s="1" t="str">
        <f aca="false">IF(OR(F2459="",H2459="",J2459=""),"",J2459&amp;"|"&amp;F2459&amp;"|"&amp;IF(H2459="W3","W3_"&amp;IF(I2459="","unknown",I2459),H2459))</f>
        <v/>
      </c>
      <c r="Q2459" s="1" t="str">
        <f aca="false">IF(P2459="","",IFERROR(IF(AND(H2459="W7",OR(F2459="causal",F2459="predictive")),IF(AND(K2459=1,L2459=1,M2459=1),"adequate","partial"),INDEX(Fit_Matrix!$B:$B,MATCH(P2459,Fit_Matrix!$A:$A,0))),"CHECK KEY"))</f>
        <v/>
      </c>
    </row>
    <row r="2460" customFormat="false" ht="15" hidden="false" customHeight="true" outlineLevel="0" collapsed="false">
      <c r="P2460" s="1" t="str">
        <f aca="false">IF(OR(F2460="",H2460="",J2460=""),"",J2460&amp;"|"&amp;F2460&amp;"|"&amp;IF(H2460="W3","W3_"&amp;IF(I2460="","unknown",I2460),H2460))</f>
        <v/>
      </c>
      <c r="Q2460" s="1" t="str">
        <f aca="false">IF(P2460="","",IFERROR(IF(AND(H2460="W7",OR(F2460="causal",F2460="predictive")),IF(AND(K2460=1,L2460=1,M2460=1),"adequate","partial"),INDEX(Fit_Matrix!$B:$B,MATCH(P2460,Fit_Matrix!$A:$A,0))),"CHECK KEY"))</f>
        <v/>
      </c>
    </row>
    <row r="2461" customFormat="false" ht="15" hidden="false" customHeight="true" outlineLevel="0" collapsed="false">
      <c r="P2461" s="1" t="str">
        <f aca="false">IF(OR(F2461="",H2461="",J2461=""),"",J2461&amp;"|"&amp;F2461&amp;"|"&amp;IF(H2461="W3","W3_"&amp;IF(I2461="","unknown",I2461),H2461))</f>
        <v/>
      </c>
      <c r="Q2461" s="1" t="str">
        <f aca="false">IF(P2461="","",IFERROR(IF(AND(H2461="W7",OR(F2461="causal",F2461="predictive")),IF(AND(K2461=1,L2461=1,M2461=1),"adequate","partial"),INDEX(Fit_Matrix!$B:$B,MATCH(P2461,Fit_Matrix!$A:$A,0))),"CHECK KEY"))</f>
        <v/>
      </c>
    </row>
    <row r="2462" customFormat="false" ht="15" hidden="false" customHeight="true" outlineLevel="0" collapsed="false">
      <c r="P2462" s="1" t="str">
        <f aca="false">IF(OR(F2462="",H2462="",J2462=""),"",J2462&amp;"|"&amp;F2462&amp;"|"&amp;IF(H2462="W3","W3_"&amp;IF(I2462="","unknown",I2462),H2462))</f>
        <v/>
      </c>
      <c r="Q2462" s="1" t="str">
        <f aca="false">IF(P2462="","",IFERROR(IF(AND(H2462="W7",OR(F2462="causal",F2462="predictive")),IF(AND(K2462=1,L2462=1,M2462=1),"adequate","partial"),INDEX(Fit_Matrix!$B:$B,MATCH(P2462,Fit_Matrix!$A:$A,0))),"CHECK KEY"))</f>
        <v/>
      </c>
    </row>
    <row r="2463" customFormat="false" ht="15" hidden="false" customHeight="true" outlineLevel="0" collapsed="false">
      <c r="P2463" s="1" t="str">
        <f aca="false">IF(OR(F2463="",H2463="",J2463=""),"",J2463&amp;"|"&amp;F2463&amp;"|"&amp;IF(H2463="W3","W3_"&amp;IF(I2463="","unknown",I2463),H2463))</f>
        <v/>
      </c>
      <c r="Q2463" s="1" t="str">
        <f aca="false">IF(P2463="","",IFERROR(IF(AND(H2463="W7",OR(F2463="causal",F2463="predictive")),IF(AND(K2463=1,L2463=1,M2463=1),"adequate","partial"),INDEX(Fit_Matrix!$B:$B,MATCH(P2463,Fit_Matrix!$A:$A,0))),"CHECK KEY"))</f>
        <v/>
      </c>
    </row>
    <row r="2464" customFormat="false" ht="15" hidden="false" customHeight="true" outlineLevel="0" collapsed="false">
      <c r="P2464" s="1" t="str">
        <f aca="false">IF(OR(F2464="",H2464="",J2464=""),"",J2464&amp;"|"&amp;F2464&amp;"|"&amp;IF(H2464="W3","W3_"&amp;IF(I2464="","unknown",I2464),H2464))</f>
        <v/>
      </c>
      <c r="Q2464" s="1" t="str">
        <f aca="false">IF(P2464="","",IFERROR(IF(AND(H2464="W7",OR(F2464="causal",F2464="predictive")),IF(AND(K2464=1,L2464=1,M2464=1),"adequate","partial"),INDEX(Fit_Matrix!$B:$B,MATCH(P2464,Fit_Matrix!$A:$A,0))),"CHECK KEY"))</f>
        <v/>
      </c>
    </row>
    <row r="2465" customFormat="false" ht="15" hidden="false" customHeight="true" outlineLevel="0" collapsed="false">
      <c r="P2465" s="1" t="str">
        <f aca="false">IF(OR(F2465="",H2465="",J2465=""),"",J2465&amp;"|"&amp;F2465&amp;"|"&amp;IF(H2465="W3","W3_"&amp;IF(I2465="","unknown",I2465),H2465))</f>
        <v/>
      </c>
      <c r="Q2465" s="1" t="str">
        <f aca="false">IF(P2465="","",IFERROR(IF(AND(H2465="W7",OR(F2465="causal",F2465="predictive")),IF(AND(K2465=1,L2465=1,M2465=1),"adequate","partial"),INDEX(Fit_Matrix!$B:$B,MATCH(P2465,Fit_Matrix!$A:$A,0))),"CHECK KEY"))</f>
        <v/>
      </c>
    </row>
    <row r="2466" customFormat="false" ht="15" hidden="false" customHeight="true" outlineLevel="0" collapsed="false">
      <c r="P2466" s="1" t="str">
        <f aca="false">IF(OR(F2466="",H2466="",J2466=""),"",J2466&amp;"|"&amp;F2466&amp;"|"&amp;IF(H2466="W3","W3_"&amp;IF(I2466="","unknown",I2466),H2466))</f>
        <v/>
      </c>
      <c r="Q2466" s="1" t="str">
        <f aca="false">IF(P2466="","",IFERROR(IF(AND(H2466="W7",OR(F2466="causal",F2466="predictive")),IF(AND(K2466=1,L2466=1,M2466=1),"adequate","partial"),INDEX(Fit_Matrix!$B:$B,MATCH(P2466,Fit_Matrix!$A:$A,0))),"CHECK KEY"))</f>
        <v/>
      </c>
    </row>
    <row r="2467" customFormat="false" ht="15" hidden="false" customHeight="true" outlineLevel="0" collapsed="false">
      <c r="P2467" s="1" t="str">
        <f aca="false">IF(OR(F2467="",H2467="",J2467=""),"",J2467&amp;"|"&amp;F2467&amp;"|"&amp;IF(H2467="W3","W3_"&amp;IF(I2467="","unknown",I2467),H2467))</f>
        <v/>
      </c>
      <c r="Q2467" s="1" t="str">
        <f aca="false">IF(P2467="","",IFERROR(IF(AND(H2467="W7",OR(F2467="causal",F2467="predictive")),IF(AND(K2467=1,L2467=1,M2467=1),"adequate","partial"),INDEX(Fit_Matrix!$B:$B,MATCH(P2467,Fit_Matrix!$A:$A,0))),"CHECK KEY"))</f>
        <v/>
      </c>
    </row>
    <row r="2468" customFormat="false" ht="15" hidden="false" customHeight="true" outlineLevel="0" collapsed="false">
      <c r="P2468" s="1" t="str">
        <f aca="false">IF(OR(F2468="",H2468="",J2468=""),"",J2468&amp;"|"&amp;F2468&amp;"|"&amp;IF(H2468="W3","W3_"&amp;IF(I2468="","unknown",I2468),H2468))</f>
        <v/>
      </c>
      <c r="Q2468" s="1" t="str">
        <f aca="false">IF(P2468="","",IFERROR(IF(AND(H2468="W7",OR(F2468="causal",F2468="predictive")),IF(AND(K2468=1,L2468=1,M2468=1),"adequate","partial"),INDEX(Fit_Matrix!$B:$B,MATCH(P2468,Fit_Matrix!$A:$A,0))),"CHECK KEY"))</f>
        <v/>
      </c>
    </row>
    <row r="2469" customFormat="false" ht="15" hidden="false" customHeight="true" outlineLevel="0" collapsed="false">
      <c r="P2469" s="1" t="str">
        <f aca="false">IF(OR(F2469="",H2469="",J2469=""),"",J2469&amp;"|"&amp;F2469&amp;"|"&amp;IF(H2469="W3","W3_"&amp;IF(I2469="","unknown",I2469),H2469))</f>
        <v/>
      </c>
      <c r="Q2469" s="1" t="str">
        <f aca="false">IF(P2469="","",IFERROR(IF(AND(H2469="W7",OR(F2469="causal",F2469="predictive")),IF(AND(K2469=1,L2469=1,M2469=1),"adequate","partial"),INDEX(Fit_Matrix!$B:$B,MATCH(P2469,Fit_Matrix!$A:$A,0))),"CHECK KEY"))</f>
        <v/>
      </c>
    </row>
    <row r="2470" customFormat="false" ht="15" hidden="false" customHeight="true" outlineLevel="0" collapsed="false">
      <c r="P2470" s="1" t="str">
        <f aca="false">IF(OR(F2470="",H2470="",J2470=""),"",J2470&amp;"|"&amp;F2470&amp;"|"&amp;IF(H2470="W3","W3_"&amp;IF(I2470="","unknown",I2470),H2470))</f>
        <v/>
      </c>
      <c r="Q2470" s="1" t="str">
        <f aca="false">IF(P2470="","",IFERROR(IF(AND(H2470="W7",OR(F2470="causal",F2470="predictive")),IF(AND(K2470=1,L2470=1,M2470=1),"adequate","partial"),INDEX(Fit_Matrix!$B:$B,MATCH(P2470,Fit_Matrix!$A:$A,0))),"CHECK KEY"))</f>
        <v/>
      </c>
    </row>
    <row r="2471" customFormat="false" ht="15" hidden="false" customHeight="true" outlineLevel="0" collapsed="false">
      <c r="P2471" s="1" t="str">
        <f aca="false">IF(OR(F2471="",H2471="",J2471=""),"",J2471&amp;"|"&amp;F2471&amp;"|"&amp;IF(H2471="W3","W3_"&amp;IF(I2471="","unknown",I2471),H2471))</f>
        <v/>
      </c>
      <c r="Q2471" s="1" t="str">
        <f aca="false">IF(P2471="","",IFERROR(IF(AND(H2471="W7",OR(F2471="causal",F2471="predictive")),IF(AND(K2471=1,L2471=1,M2471=1),"adequate","partial"),INDEX(Fit_Matrix!$B:$B,MATCH(P2471,Fit_Matrix!$A:$A,0))),"CHECK KEY"))</f>
        <v/>
      </c>
    </row>
    <row r="2472" customFormat="false" ht="15" hidden="false" customHeight="true" outlineLevel="0" collapsed="false">
      <c r="P2472" s="1" t="str">
        <f aca="false">IF(OR(F2472="",H2472="",J2472=""),"",J2472&amp;"|"&amp;F2472&amp;"|"&amp;IF(H2472="W3","W3_"&amp;IF(I2472="","unknown",I2472),H2472))</f>
        <v/>
      </c>
      <c r="Q2472" s="1" t="str">
        <f aca="false">IF(P2472="","",IFERROR(IF(AND(H2472="W7",OR(F2472="causal",F2472="predictive")),IF(AND(K2472=1,L2472=1,M2472=1),"adequate","partial"),INDEX(Fit_Matrix!$B:$B,MATCH(P2472,Fit_Matrix!$A:$A,0))),"CHECK KEY"))</f>
        <v/>
      </c>
    </row>
    <row r="2473" customFormat="false" ht="15" hidden="false" customHeight="true" outlineLevel="0" collapsed="false">
      <c r="P2473" s="1" t="str">
        <f aca="false">IF(OR(F2473="",H2473="",J2473=""),"",J2473&amp;"|"&amp;F2473&amp;"|"&amp;IF(H2473="W3","W3_"&amp;IF(I2473="","unknown",I2473),H2473))</f>
        <v/>
      </c>
      <c r="Q2473" s="1" t="str">
        <f aca="false">IF(P2473="","",IFERROR(IF(AND(H2473="W7",OR(F2473="causal",F2473="predictive")),IF(AND(K2473=1,L2473=1,M2473=1),"adequate","partial"),INDEX(Fit_Matrix!$B:$B,MATCH(P2473,Fit_Matrix!$A:$A,0))),"CHECK KEY"))</f>
        <v/>
      </c>
    </row>
    <row r="2474" customFormat="false" ht="15" hidden="false" customHeight="true" outlineLevel="0" collapsed="false">
      <c r="P2474" s="1" t="str">
        <f aca="false">IF(OR(F2474="",H2474="",J2474=""),"",J2474&amp;"|"&amp;F2474&amp;"|"&amp;IF(H2474="W3","W3_"&amp;IF(I2474="","unknown",I2474),H2474))</f>
        <v/>
      </c>
      <c r="Q2474" s="1" t="str">
        <f aca="false">IF(P2474="","",IFERROR(IF(AND(H2474="W7",OR(F2474="causal",F2474="predictive")),IF(AND(K2474=1,L2474=1,M2474=1),"adequate","partial"),INDEX(Fit_Matrix!$B:$B,MATCH(P2474,Fit_Matrix!$A:$A,0))),"CHECK KEY"))</f>
        <v/>
      </c>
    </row>
    <row r="2475" customFormat="false" ht="15" hidden="false" customHeight="true" outlineLevel="0" collapsed="false">
      <c r="P2475" s="1" t="str">
        <f aca="false">IF(OR(F2475="",H2475="",J2475=""),"",J2475&amp;"|"&amp;F2475&amp;"|"&amp;IF(H2475="W3","W3_"&amp;IF(I2475="","unknown",I2475),H2475))</f>
        <v/>
      </c>
      <c r="Q2475" s="1" t="str">
        <f aca="false">IF(P2475="","",IFERROR(IF(AND(H2475="W7",OR(F2475="causal",F2475="predictive")),IF(AND(K2475=1,L2475=1,M2475=1),"adequate","partial"),INDEX(Fit_Matrix!$B:$B,MATCH(P2475,Fit_Matrix!$A:$A,0))),"CHECK KEY"))</f>
        <v/>
      </c>
    </row>
    <row r="2476" customFormat="false" ht="15" hidden="false" customHeight="true" outlineLevel="0" collapsed="false">
      <c r="P2476" s="1" t="str">
        <f aca="false">IF(OR(F2476="",H2476="",J2476=""),"",J2476&amp;"|"&amp;F2476&amp;"|"&amp;IF(H2476="W3","W3_"&amp;IF(I2476="","unknown",I2476),H2476))</f>
        <v/>
      </c>
      <c r="Q2476" s="1" t="str">
        <f aca="false">IF(P2476="","",IFERROR(IF(AND(H2476="W7",OR(F2476="causal",F2476="predictive")),IF(AND(K2476=1,L2476=1,M2476=1),"adequate","partial"),INDEX(Fit_Matrix!$B:$B,MATCH(P2476,Fit_Matrix!$A:$A,0))),"CHECK KEY"))</f>
        <v/>
      </c>
    </row>
    <row r="2477" customFormat="false" ht="15" hidden="false" customHeight="true" outlineLevel="0" collapsed="false">
      <c r="P2477" s="1" t="str">
        <f aca="false">IF(OR(F2477="",H2477="",J2477=""),"",J2477&amp;"|"&amp;F2477&amp;"|"&amp;IF(H2477="W3","W3_"&amp;IF(I2477="","unknown",I2477),H2477))</f>
        <v/>
      </c>
      <c r="Q2477" s="1" t="str">
        <f aca="false">IF(P2477="","",IFERROR(IF(AND(H2477="W7",OR(F2477="causal",F2477="predictive")),IF(AND(K2477=1,L2477=1,M2477=1),"adequate","partial"),INDEX(Fit_Matrix!$B:$B,MATCH(P2477,Fit_Matrix!$A:$A,0))),"CHECK KEY"))</f>
        <v/>
      </c>
    </row>
    <row r="2478" customFormat="false" ht="15" hidden="false" customHeight="true" outlineLevel="0" collapsed="false">
      <c r="P2478" s="1" t="str">
        <f aca="false">IF(OR(F2478="",H2478="",J2478=""),"",J2478&amp;"|"&amp;F2478&amp;"|"&amp;IF(H2478="W3","W3_"&amp;IF(I2478="","unknown",I2478),H2478))</f>
        <v/>
      </c>
      <c r="Q2478" s="1" t="str">
        <f aca="false">IF(P2478="","",IFERROR(IF(AND(H2478="W7",OR(F2478="causal",F2478="predictive")),IF(AND(K2478=1,L2478=1,M2478=1),"adequate","partial"),INDEX(Fit_Matrix!$B:$B,MATCH(P2478,Fit_Matrix!$A:$A,0))),"CHECK KEY"))</f>
        <v/>
      </c>
    </row>
    <row r="2479" customFormat="false" ht="15" hidden="false" customHeight="true" outlineLevel="0" collapsed="false">
      <c r="P2479" s="1" t="str">
        <f aca="false">IF(OR(F2479="",H2479="",J2479=""),"",J2479&amp;"|"&amp;F2479&amp;"|"&amp;IF(H2479="W3","W3_"&amp;IF(I2479="","unknown",I2479),H2479))</f>
        <v/>
      </c>
      <c r="Q2479" s="1" t="str">
        <f aca="false">IF(P2479="","",IFERROR(IF(AND(H2479="W7",OR(F2479="causal",F2479="predictive")),IF(AND(K2479=1,L2479=1,M2479=1),"adequate","partial"),INDEX(Fit_Matrix!$B:$B,MATCH(P2479,Fit_Matrix!$A:$A,0))),"CHECK KEY"))</f>
        <v/>
      </c>
    </row>
    <row r="2480" customFormat="false" ht="15" hidden="false" customHeight="true" outlineLevel="0" collapsed="false">
      <c r="P2480" s="1" t="str">
        <f aca="false">IF(OR(F2480="",H2480="",J2480=""),"",J2480&amp;"|"&amp;F2480&amp;"|"&amp;IF(H2480="W3","W3_"&amp;IF(I2480="","unknown",I2480),H2480))</f>
        <v/>
      </c>
      <c r="Q2480" s="1" t="str">
        <f aca="false">IF(P2480="","",IFERROR(IF(AND(H2480="W7",OR(F2480="causal",F2480="predictive")),IF(AND(K2480=1,L2480=1,M2480=1),"adequate","partial"),INDEX(Fit_Matrix!$B:$B,MATCH(P2480,Fit_Matrix!$A:$A,0))),"CHECK KEY"))</f>
        <v/>
      </c>
    </row>
    <row r="2481" customFormat="false" ht="15" hidden="false" customHeight="true" outlineLevel="0" collapsed="false">
      <c r="P2481" s="1" t="str">
        <f aca="false">IF(OR(F2481="",H2481="",J2481=""),"",J2481&amp;"|"&amp;F2481&amp;"|"&amp;IF(H2481="W3","W3_"&amp;IF(I2481="","unknown",I2481),H2481))</f>
        <v/>
      </c>
      <c r="Q2481" s="1" t="str">
        <f aca="false">IF(P2481="","",IFERROR(IF(AND(H2481="W7",OR(F2481="causal",F2481="predictive")),IF(AND(K2481=1,L2481=1,M2481=1),"adequate","partial"),INDEX(Fit_Matrix!$B:$B,MATCH(P2481,Fit_Matrix!$A:$A,0))),"CHECK KEY"))</f>
        <v/>
      </c>
    </row>
    <row r="2482" customFormat="false" ht="15" hidden="false" customHeight="true" outlineLevel="0" collapsed="false">
      <c r="P2482" s="1" t="str">
        <f aca="false">IF(OR(F2482="",H2482="",J2482=""),"",J2482&amp;"|"&amp;F2482&amp;"|"&amp;IF(H2482="W3","W3_"&amp;IF(I2482="","unknown",I2482),H2482))</f>
        <v/>
      </c>
      <c r="Q2482" s="1" t="str">
        <f aca="false">IF(P2482="","",IFERROR(IF(AND(H2482="W7",OR(F2482="causal",F2482="predictive")),IF(AND(K2482=1,L2482=1,M2482=1),"adequate","partial"),INDEX(Fit_Matrix!$B:$B,MATCH(P2482,Fit_Matrix!$A:$A,0))),"CHECK KEY"))</f>
        <v/>
      </c>
    </row>
    <row r="2483" customFormat="false" ht="15" hidden="false" customHeight="true" outlineLevel="0" collapsed="false">
      <c r="P2483" s="1" t="str">
        <f aca="false">IF(OR(F2483="",H2483="",J2483=""),"",J2483&amp;"|"&amp;F2483&amp;"|"&amp;IF(H2483="W3","W3_"&amp;IF(I2483="","unknown",I2483),H2483))</f>
        <v/>
      </c>
      <c r="Q2483" s="1" t="str">
        <f aca="false">IF(P2483="","",IFERROR(IF(AND(H2483="W7",OR(F2483="causal",F2483="predictive")),IF(AND(K2483=1,L2483=1,M2483=1),"adequate","partial"),INDEX(Fit_Matrix!$B:$B,MATCH(P2483,Fit_Matrix!$A:$A,0))),"CHECK KEY"))</f>
        <v/>
      </c>
    </row>
    <row r="2484" customFormat="false" ht="15" hidden="false" customHeight="true" outlineLevel="0" collapsed="false">
      <c r="P2484" s="1" t="str">
        <f aca="false">IF(OR(F2484="",H2484="",J2484=""),"",J2484&amp;"|"&amp;F2484&amp;"|"&amp;IF(H2484="W3","W3_"&amp;IF(I2484="","unknown",I2484),H2484))</f>
        <v/>
      </c>
      <c r="Q2484" s="1" t="str">
        <f aca="false">IF(P2484="","",IFERROR(IF(AND(H2484="W7",OR(F2484="causal",F2484="predictive")),IF(AND(K2484=1,L2484=1,M2484=1),"adequate","partial"),INDEX(Fit_Matrix!$B:$B,MATCH(P2484,Fit_Matrix!$A:$A,0))),"CHECK KEY"))</f>
        <v/>
      </c>
    </row>
    <row r="2485" customFormat="false" ht="15" hidden="false" customHeight="true" outlineLevel="0" collapsed="false">
      <c r="P2485" s="1" t="str">
        <f aca="false">IF(OR(F2485="",H2485="",J2485=""),"",J2485&amp;"|"&amp;F2485&amp;"|"&amp;IF(H2485="W3","W3_"&amp;IF(I2485="","unknown",I2485),H2485))</f>
        <v/>
      </c>
      <c r="Q2485" s="1" t="str">
        <f aca="false">IF(P2485="","",IFERROR(IF(AND(H2485="W7",OR(F2485="causal",F2485="predictive")),IF(AND(K2485=1,L2485=1,M2485=1),"adequate","partial"),INDEX(Fit_Matrix!$B:$B,MATCH(P2485,Fit_Matrix!$A:$A,0))),"CHECK KEY"))</f>
        <v/>
      </c>
    </row>
    <row r="2486" customFormat="false" ht="15" hidden="false" customHeight="true" outlineLevel="0" collapsed="false">
      <c r="P2486" s="1" t="str">
        <f aca="false">IF(OR(F2486="",H2486="",J2486=""),"",J2486&amp;"|"&amp;F2486&amp;"|"&amp;IF(H2486="W3","W3_"&amp;IF(I2486="","unknown",I2486),H2486))</f>
        <v/>
      </c>
      <c r="Q2486" s="1" t="str">
        <f aca="false">IF(P2486="","",IFERROR(IF(AND(H2486="W7",OR(F2486="causal",F2486="predictive")),IF(AND(K2486=1,L2486=1,M2486=1),"adequate","partial"),INDEX(Fit_Matrix!$B:$B,MATCH(P2486,Fit_Matrix!$A:$A,0))),"CHECK KEY"))</f>
        <v/>
      </c>
    </row>
    <row r="2487" customFormat="false" ht="15" hidden="false" customHeight="true" outlineLevel="0" collapsed="false">
      <c r="P2487" s="1" t="str">
        <f aca="false">IF(OR(F2487="",H2487="",J2487=""),"",J2487&amp;"|"&amp;F2487&amp;"|"&amp;IF(H2487="W3","W3_"&amp;IF(I2487="","unknown",I2487),H2487))</f>
        <v/>
      </c>
      <c r="Q2487" s="1" t="str">
        <f aca="false">IF(P2487="","",IFERROR(IF(AND(H2487="W7",OR(F2487="causal",F2487="predictive")),IF(AND(K2487=1,L2487=1,M2487=1),"adequate","partial"),INDEX(Fit_Matrix!$B:$B,MATCH(P2487,Fit_Matrix!$A:$A,0))),"CHECK KEY"))</f>
        <v/>
      </c>
    </row>
    <row r="2488" customFormat="false" ht="15" hidden="false" customHeight="true" outlineLevel="0" collapsed="false">
      <c r="P2488" s="1" t="str">
        <f aca="false">IF(OR(F2488="",H2488="",J2488=""),"",J2488&amp;"|"&amp;F2488&amp;"|"&amp;IF(H2488="W3","W3_"&amp;IF(I2488="","unknown",I2488),H2488))</f>
        <v/>
      </c>
      <c r="Q2488" s="1" t="str">
        <f aca="false">IF(P2488="","",IFERROR(IF(AND(H2488="W7",OR(F2488="causal",F2488="predictive")),IF(AND(K2488=1,L2488=1,M2488=1),"adequate","partial"),INDEX(Fit_Matrix!$B:$B,MATCH(P2488,Fit_Matrix!$A:$A,0))),"CHECK KEY"))</f>
        <v/>
      </c>
    </row>
    <row r="2489" customFormat="false" ht="15" hidden="false" customHeight="true" outlineLevel="0" collapsed="false">
      <c r="P2489" s="1" t="str">
        <f aca="false">IF(OR(F2489="",H2489="",J2489=""),"",J2489&amp;"|"&amp;F2489&amp;"|"&amp;IF(H2489="W3","W3_"&amp;IF(I2489="","unknown",I2489),H2489))</f>
        <v/>
      </c>
      <c r="Q2489" s="1" t="str">
        <f aca="false">IF(P2489="","",IFERROR(IF(AND(H2489="W7",OR(F2489="causal",F2489="predictive")),IF(AND(K2489=1,L2489=1,M2489=1),"adequate","partial"),INDEX(Fit_Matrix!$B:$B,MATCH(P2489,Fit_Matrix!$A:$A,0))),"CHECK KEY"))</f>
        <v/>
      </c>
    </row>
    <row r="2490" customFormat="false" ht="15" hidden="false" customHeight="true" outlineLevel="0" collapsed="false">
      <c r="P2490" s="1" t="str">
        <f aca="false">IF(OR(F2490="",H2490="",J2490=""),"",J2490&amp;"|"&amp;F2490&amp;"|"&amp;IF(H2490="W3","W3_"&amp;IF(I2490="","unknown",I2490),H2490))</f>
        <v/>
      </c>
      <c r="Q2490" s="1" t="str">
        <f aca="false">IF(P2490="","",IFERROR(IF(AND(H2490="W7",OR(F2490="causal",F2490="predictive")),IF(AND(K2490=1,L2490=1,M2490=1),"adequate","partial"),INDEX(Fit_Matrix!$B:$B,MATCH(P2490,Fit_Matrix!$A:$A,0))),"CHECK KEY"))</f>
        <v/>
      </c>
    </row>
    <row r="2491" customFormat="false" ht="15" hidden="false" customHeight="true" outlineLevel="0" collapsed="false">
      <c r="P2491" s="1" t="str">
        <f aca="false">IF(OR(F2491="",H2491="",J2491=""),"",J2491&amp;"|"&amp;F2491&amp;"|"&amp;IF(H2491="W3","W3_"&amp;IF(I2491="","unknown",I2491),H2491))</f>
        <v/>
      </c>
      <c r="Q2491" s="1" t="str">
        <f aca="false">IF(P2491="","",IFERROR(IF(AND(H2491="W7",OR(F2491="causal",F2491="predictive")),IF(AND(K2491=1,L2491=1,M2491=1),"adequate","partial"),INDEX(Fit_Matrix!$B:$B,MATCH(P2491,Fit_Matrix!$A:$A,0))),"CHECK KEY"))</f>
        <v/>
      </c>
    </row>
    <row r="2492" customFormat="false" ht="15" hidden="false" customHeight="true" outlineLevel="0" collapsed="false">
      <c r="P2492" s="1" t="str">
        <f aca="false">IF(OR(F2492="",H2492="",J2492=""),"",J2492&amp;"|"&amp;F2492&amp;"|"&amp;IF(H2492="W3","W3_"&amp;IF(I2492="","unknown",I2492),H2492))</f>
        <v/>
      </c>
      <c r="Q2492" s="1" t="str">
        <f aca="false">IF(P2492="","",IFERROR(IF(AND(H2492="W7",OR(F2492="causal",F2492="predictive")),IF(AND(K2492=1,L2492=1,M2492=1),"adequate","partial"),INDEX(Fit_Matrix!$B:$B,MATCH(P2492,Fit_Matrix!$A:$A,0))),"CHECK KEY"))</f>
        <v/>
      </c>
    </row>
    <row r="2493" customFormat="false" ht="15" hidden="false" customHeight="true" outlineLevel="0" collapsed="false">
      <c r="P2493" s="1" t="str">
        <f aca="false">IF(OR(F2493="",H2493="",J2493=""),"",J2493&amp;"|"&amp;F2493&amp;"|"&amp;IF(H2493="W3","W3_"&amp;IF(I2493="","unknown",I2493),H2493))</f>
        <v/>
      </c>
      <c r="Q2493" s="1" t="str">
        <f aca="false">IF(P2493="","",IFERROR(IF(AND(H2493="W7",OR(F2493="causal",F2493="predictive")),IF(AND(K2493=1,L2493=1,M2493=1),"adequate","partial"),INDEX(Fit_Matrix!$B:$B,MATCH(P2493,Fit_Matrix!$A:$A,0))),"CHECK KEY"))</f>
        <v/>
      </c>
    </row>
    <row r="2494" customFormat="false" ht="15" hidden="false" customHeight="true" outlineLevel="0" collapsed="false">
      <c r="P2494" s="1" t="str">
        <f aca="false">IF(OR(F2494="",H2494="",J2494=""),"",J2494&amp;"|"&amp;F2494&amp;"|"&amp;IF(H2494="W3","W3_"&amp;IF(I2494="","unknown",I2494),H2494))</f>
        <v/>
      </c>
      <c r="Q2494" s="1" t="str">
        <f aca="false">IF(P2494="","",IFERROR(IF(AND(H2494="W7",OR(F2494="causal",F2494="predictive")),IF(AND(K2494=1,L2494=1,M2494=1),"adequate","partial"),INDEX(Fit_Matrix!$B:$B,MATCH(P2494,Fit_Matrix!$A:$A,0))),"CHECK KEY"))</f>
        <v/>
      </c>
    </row>
    <row r="2495" customFormat="false" ht="15" hidden="false" customHeight="true" outlineLevel="0" collapsed="false">
      <c r="P2495" s="1" t="str">
        <f aca="false">IF(OR(F2495="",H2495="",J2495=""),"",J2495&amp;"|"&amp;F2495&amp;"|"&amp;IF(H2495="W3","W3_"&amp;IF(I2495="","unknown",I2495),H2495))</f>
        <v/>
      </c>
      <c r="Q2495" s="1" t="str">
        <f aca="false">IF(P2495="","",IFERROR(IF(AND(H2495="W7",OR(F2495="causal",F2495="predictive")),IF(AND(K2495=1,L2495=1,M2495=1),"adequate","partial"),INDEX(Fit_Matrix!$B:$B,MATCH(P2495,Fit_Matrix!$A:$A,0))),"CHECK KEY"))</f>
        <v/>
      </c>
    </row>
    <row r="2496" customFormat="false" ht="15" hidden="false" customHeight="true" outlineLevel="0" collapsed="false">
      <c r="P2496" s="1" t="str">
        <f aca="false">IF(OR(F2496="",H2496="",J2496=""),"",J2496&amp;"|"&amp;F2496&amp;"|"&amp;IF(H2496="W3","W3_"&amp;IF(I2496="","unknown",I2496),H2496))</f>
        <v/>
      </c>
      <c r="Q2496" s="1" t="str">
        <f aca="false">IF(P2496="","",IFERROR(IF(AND(H2496="W7",OR(F2496="causal",F2496="predictive")),IF(AND(K2496=1,L2496=1,M2496=1),"adequate","partial"),INDEX(Fit_Matrix!$B:$B,MATCH(P2496,Fit_Matrix!$A:$A,0))),"CHECK KEY"))</f>
        <v/>
      </c>
    </row>
    <row r="2497" customFormat="false" ht="15" hidden="false" customHeight="true" outlineLevel="0" collapsed="false">
      <c r="P2497" s="1" t="str">
        <f aca="false">IF(OR(F2497="",H2497="",J2497=""),"",J2497&amp;"|"&amp;F2497&amp;"|"&amp;IF(H2497="W3","W3_"&amp;IF(I2497="","unknown",I2497),H2497))</f>
        <v/>
      </c>
      <c r="Q2497" s="1" t="str">
        <f aca="false">IF(P2497="","",IFERROR(IF(AND(H2497="W7",OR(F2497="causal",F2497="predictive")),IF(AND(K2497=1,L2497=1,M2497=1),"adequate","partial"),INDEX(Fit_Matrix!$B:$B,MATCH(P2497,Fit_Matrix!$A:$A,0))),"CHECK KEY"))</f>
        <v/>
      </c>
    </row>
    <row r="2498" customFormat="false" ht="15" hidden="false" customHeight="true" outlineLevel="0" collapsed="false">
      <c r="P2498" s="1" t="str">
        <f aca="false">IF(OR(F2498="",H2498="",J2498=""),"",J2498&amp;"|"&amp;F2498&amp;"|"&amp;IF(H2498="W3","W3_"&amp;IF(I2498="","unknown",I2498),H2498))</f>
        <v/>
      </c>
      <c r="Q2498" s="1" t="str">
        <f aca="false">IF(P2498="","",IFERROR(IF(AND(H2498="W7",OR(F2498="causal",F2498="predictive")),IF(AND(K2498=1,L2498=1,M2498=1),"adequate","partial"),INDEX(Fit_Matrix!$B:$B,MATCH(P2498,Fit_Matrix!$A:$A,0))),"CHECK KEY"))</f>
        <v/>
      </c>
    </row>
    <row r="2499" customFormat="false" ht="15" hidden="false" customHeight="true" outlineLevel="0" collapsed="false">
      <c r="P2499" s="1" t="str">
        <f aca="false">IF(OR(F2499="",H2499="",J2499=""),"",J2499&amp;"|"&amp;F2499&amp;"|"&amp;IF(H2499="W3","W3_"&amp;IF(I2499="","unknown",I2499),H2499))</f>
        <v/>
      </c>
      <c r="Q2499" s="1" t="str">
        <f aca="false">IF(P2499="","",IFERROR(IF(AND(H2499="W7",OR(F2499="causal",F2499="predictive")),IF(AND(K2499=1,L2499=1,M2499=1),"adequate","partial"),INDEX(Fit_Matrix!$B:$B,MATCH(P2499,Fit_Matrix!$A:$A,0))),"CHECK KEY"))</f>
        <v/>
      </c>
    </row>
    <row r="2500" customFormat="false" ht="15" hidden="false" customHeight="true" outlineLevel="0" collapsed="false">
      <c r="P2500" s="1" t="str">
        <f aca="false">IF(OR(F2500="",H2500="",J2500=""),"",J2500&amp;"|"&amp;F2500&amp;"|"&amp;IF(H2500="W3","W3_"&amp;IF(I2500="","unknown",I2500),H2500))</f>
        <v/>
      </c>
      <c r="Q2500" s="1" t="str">
        <f aca="false">IF(P2500="","",IFERROR(IF(AND(H2500="W7",OR(F2500="causal",F2500="predictive")),IF(AND(K2500=1,L2500=1,M2500=1),"adequate","partial"),INDEX(Fit_Matrix!$B:$B,MATCH(P2500,Fit_Matrix!$A:$A,0))),"CHECK KEY"))</f>
        <v/>
      </c>
    </row>
    <row r="2501" customFormat="false" ht="15" hidden="false" customHeight="true" outlineLevel="0" collapsed="false">
      <c r="P2501" s="1" t="str">
        <f aca="false">IF(OR(F2501="",H2501="",J2501=""),"",J2501&amp;"|"&amp;F2501&amp;"|"&amp;IF(H2501="W3","W3_"&amp;IF(I2501="","unknown",I2501),H2501))</f>
        <v/>
      </c>
      <c r="Q2501" s="1" t="str">
        <f aca="false">IF(P2501="","",IFERROR(IF(AND(H2501="W7",OR(F2501="causal",F2501="predictive")),IF(AND(K2501=1,L2501=1,M2501=1),"adequate","partial"),INDEX(Fit_Matrix!$B:$B,MATCH(P2501,Fit_Matrix!$A:$A,0))),"CHECK KEY"))</f>
        <v/>
      </c>
    </row>
    <row r="2502" customFormat="false" ht="15" hidden="false" customHeight="true" outlineLevel="0" collapsed="false">
      <c r="P2502" s="1" t="str">
        <f aca="false">IF(OR(F2502="",H2502="",J2502=""),"",J2502&amp;"|"&amp;F2502&amp;"|"&amp;IF(H2502="W3","W3_"&amp;IF(I2502="","unknown",I2502),H2502))</f>
        <v/>
      </c>
      <c r="Q2502" s="1" t="str">
        <f aca="false">IF(P2502="","",IFERROR(IF(AND(H2502="W7",OR(F2502="causal",F2502="predictive")),IF(AND(K2502=1,L2502=1,M2502=1),"adequate","partial"),INDEX(Fit_Matrix!$B:$B,MATCH(P2502,Fit_Matrix!$A:$A,0))),"CHECK KEY"))</f>
        <v/>
      </c>
    </row>
    <row r="2503" customFormat="false" ht="15" hidden="false" customHeight="true" outlineLevel="0" collapsed="false">
      <c r="P2503" s="1" t="str">
        <f aca="false">IF(OR(F2503="",H2503="",J2503=""),"",J2503&amp;"|"&amp;F2503&amp;"|"&amp;IF(H2503="W3","W3_"&amp;IF(I2503="","unknown",I2503),H2503))</f>
        <v/>
      </c>
      <c r="Q2503" s="1" t="str">
        <f aca="false">IF(P2503="","",IFERROR(IF(AND(H2503="W7",OR(F2503="causal",F2503="predictive")),IF(AND(K2503=1,L2503=1,M2503=1),"adequate","partial"),INDEX(Fit_Matrix!$B:$B,MATCH(P2503,Fit_Matrix!$A:$A,0))),"CHECK KEY"))</f>
        <v/>
      </c>
    </row>
    <row r="2504" customFormat="false" ht="15" hidden="false" customHeight="true" outlineLevel="0" collapsed="false">
      <c r="P2504" s="1" t="str">
        <f aca="false">IF(OR(F2504="",H2504="",J2504=""),"",J2504&amp;"|"&amp;F2504&amp;"|"&amp;IF(H2504="W3","W3_"&amp;IF(I2504="","unknown",I2504),H2504))</f>
        <v/>
      </c>
      <c r="Q2504" s="1" t="str">
        <f aca="false">IF(P2504="","",IFERROR(IF(AND(H2504="W7",OR(F2504="causal",F2504="predictive")),IF(AND(K2504=1,L2504=1,M2504=1),"adequate","partial"),INDEX(Fit_Matrix!$B:$B,MATCH(P2504,Fit_Matrix!$A:$A,0))),"CHECK KEY"))</f>
        <v/>
      </c>
    </row>
    <row r="2505" customFormat="false" ht="15" hidden="false" customHeight="true" outlineLevel="0" collapsed="false">
      <c r="P2505" s="1" t="str">
        <f aca="false">IF(OR(F2505="",H2505="",J2505=""),"",J2505&amp;"|"&amp;F2505&amp;"|"&amp;IF(H2505="W3","W3_"&amp;IF(I2505="","unknown",I2505),H2505))</f>
        <v/>
      </c>
      <c r="Q2505" s="1" t="str">
        <f aca="false">IF(P2505="","",IFERROR(IF(AND(H2505="W7",OR(F2505="causal",F2505="predictive")),IF(AND(K2505=1,L2505=1,M2505=1),"adequate","partial"),INDEX(Fit_Matrix!$B:$B,MATCH(P2505,Fit_Matrix!$A:$A,0))),"CHECK KEY"))</f>
        <v/>
      </c>
    </row>
    <row r="2506" customFormat="false" ht="15" hidden="false" customHeight="true" outlineLevel="0" collapsed="false">
      <c r="P2506" s="1" t="str">
        <f aca="false">IF(OR(F2506="",H2506="",J2506=""),"",J2506&amp;"|"&amp;F2506&amp;"|"&amp;IF(H2506="W3","W3_"&amp;IF(I2506="","unknown",I2506),H2506))</f>
        <v/>
      </c>
      <c r="Q2506" s="1" t="str">
        <f aca="false">IF(P2506="","",IFERROR(IF(AND(H2506="W7",OR(F2506="causal",F2506="predictive")),IF(AND(K2506=1,L2506=1,M2506=1),"adequate","partial"),INDEX(Fit_Matrix!$B:$B,MATCH(P2506,Fit_Matrix!$A:$A,0))),"CHECK KEY"))</f>
        <v/>
      </c>
    </row>
    <row r="2507" customFormat="false" ht="15" hidden="false" customHeight="true" outlineLevel="0" collapsed="false">
      <c r="P2507" s="1" t="str">
        <f aca="false">IF(OR(F2507="",H2507="",J2507=""),"",J2507&amp;"|"&amp;F2507&amp;"|"&amp;IF(H2507="W3","W3_"&amp;IF(I2507="","unknown",I2507),H2507))</f>
        <v/>
      </c>
      <c r="Q2507" s="1" t="str">
        <f aca="false">IF(P2507="","",IFERROR(IF(AND(H2507="W7",OR(F2507="causal",F2507="predictive")),IF(AND(K2507=1,L2507=1,M2507=1),"adequate","partial"),INDEX(Fit_Matrix!$B:$B,MATCH(P2507,Fit_Matrix!$A:$A,0))),"CHECK KEY"))</f>
        <v/>
      </c>
    </row>
    <row r="2508" customFormat="false" ht="15" hidden="false" customHeight="true" outlineLevel="0" collapsed="false">
      <c r="P2508" s="1" t="str">
        <f aca="false">IF(OR(F2508="",H2508="",J2508=""),"",J2508&amp;"|"&amp;F2508&amp;"|"&amp;IF(H2508="W3","W3_"&amp;IF(I2508="","unknown",I2508),H2508))</f>
        <v/>
      </c>
      <c r="Q2508" s="1" t="str">
        <f aca="false">IF(P2508="","",IFERROR(IF(AND(H2508="W7",OR(F2508="causal",F2508="predictive")),IF(AND(K2508=1,L2508=1,M2508=1),"adequate","partial"),INDEX(Fit_Matrix!$B:$B,MATCH(P2508,Fit_Matrix!$A:$A,0))),"CHECK KEY"))</f>
        <v/>
      </c>
    </row>
    <row r="2509" customFormat="false" ht="15" hidden="false" customHeight="true" outlineLevel="0" collapsed="false">
      <c r="P2509" s="1" t="str">
        <f aca="false">IF(OR(F2509="",H2509="",J2509=""),"",J2509&amp;"|"&amp;F2509&amp;"|"&amp;IF(H2509="W3","W3_"&amp;IF(I2509="","unknown",I2509),H2509))</f>
        <v/>
      </c>
      <c r="Q2509" s="1" t="str">
        <f aca="false">IF(P2509="","",IFERROR(IF(AND(H2509="W7",OR(F2509="causal",F2509="predictive")),IF(AND(K2509=1,L2509=1,M2509=1),"adequate","partial"),INDEX(Fit_Matrix!$B:$B,MATCH(P2509,Fit_Matrix!$A:$A,0))),"CHECK KEY"))</f>
        <v/>
      </c>
    </row>
    <row r="2510" customFormat="false" ht="15" hidden="false" customHeight="true" outlineLevel="0" collapsed="false">
      <c r="P2510" s="1" t="str">
        <f aca="false">IF(OR(F2510="",H2510="",J2510=""),"",J2510&amp;"|"&amp;F2510&amp;"|"&amp;IF(H2510="W3","W3_"&amp;IF(I2510="","unknown",I2510),H2510))</f>
        <v/>
      </c>
      <c r="Q2510" s="1" t="str">
        <f aca="false">IF(P2510="","",IFERROR(IF(AND(H2510="W7",OR(F2510="causal",F2510="predictive")),IF(AND(K2510=1,L2510=1,M2510=1),"adequate","partial"),INDEX(Fit_Matrix!$B:$B,MATCH(P2510,Fit_Matrix!$A:$A,0))),"CHECK KEY"))</f>
        <v/>
      </c>
    </row>
    <row r="2511" customFormat="false" ht="15" hidden="false" customHeight="true" outlineLevel="0" collapsed="false">
      <c r="P2511" s="1" t="str">
        <f aca="false">IF(OR(F2511="",H2511="",J2511=""),"",J2511&amp;"|"&amp;F2511&amp;"|"&amp;IF(H2511="W3","W3_"&amp;IF(I2511="","unknown",I2511),H2511))</f>
        <v/>
      </c>
      <c r="Q2511" s="1" t="str">
        <f aca="false">IF(P2511="","",IFERROR(IF(AND(H2511="W7",OR(F2511="causal",F2511="predictive")),IF(AND(K2511=1,L2511=1,M2511=1),"adequate","partial"),INDEX(Fit_Matrix!$B:$B,MATCH(P2511,Fit_Matrix!$A:$A,0))),"CHECK KEY"))</f>
        <v/>
      </c>
    </row>
    <row r="2512" customFormat="false" ht="15" hidden="false" customHeight="true" outlineLevel="0" collapsed="false">
      <c r="P2512" s="1" t="str">
        <f aca="false">IF(OR(F2512="",H2512="",J2512=""),"",J2512&amp;"|"&amp;F2512&amp;"|"&amp;IF(H2512="W3","W3_"&amp;IF(I2512="","unknown",I2512),H2512))</f>
        <v/>
      </c>
      <c r="Q2512" s="1" t="str">
        <f aca="false">IF(P2512="","",IFERROR(IF(AND(H2512="W7",OR(F2512="causal",F2512="predictive")),IF(AND(K2512=1,L2512=1,M2512=1),"adequate","partial"),INDEX(Fit_Matrix!$B:$B,MATCH(P2512,Fit_Matrix!$A:$A,0))),"CHECK KEY"))</f>
        <v/>
      </c>
    </row>
    <row r="2513" customFormat="false" ht="15" hidden="false" customHeight="true" outlineLevel="0" collapsed="false">
      <c r="P2513" s="1" t="str">
        <f aca="false">IF(OR(F2513="",H2513="",J2513=""),"",J2513&amp;"|"&amp;F2513&amp;"|"&amp;IF(H2513="W3","W3_"&amp;IF(I2513="","unknown",I2513),H2513))</f>
        <v/>
      </c>
      <c r="Q2513" s="1" t="str">
        <f aca="false">IF(P2513="","",IFERROR(IF(AND(H2513="W7",OR(F2513="causal",F2513="predictive")),IF(AND(K2513=1,L2513=1,M2513=1),"adequate","partial"),INDEX(Fit_Matrix!$B:$B,MATCH(P2513,Fit_Matrix!$A:$A,0))),"CHECK KEY"))</f>
        <v/>
      </c>
    </row>
    <row r="2514" customFormat="false" ht="15" hidden="false" customHeight="true" outlineLevel="0" collapsed="false">
      <c r="P2514" s="1" t="str">
        <f aca="false">IF(OR(F2514="",H2514="",J2514=""),"",J2514&amp;"|"&amp;F2514&amp;"|"&amp;IF(H2514="W3","W3_"&amp;IF(I2514="","unknown",I2514),H2514))</f>
        <v/>
      </c>
      <c r="Q2514" s="1" t="str">
        <f aca="false">IF(P2514="","",IFERROR(IF(AND(H2514="W7",OR(F2514="causal",F2514="predictive")),IF(AND(K2514=1,L2514=1,M2514=1),"adequate","partial"),INDEX(Fit_Matrix!$B:$B,MATCH(P2514,Fit_Matrix!$A:$A,0))),"CHECK KEY"))</f>
        <v/>
      </c>
    </row>
    <row r="2515" customFormat="false" ht="15" hidden="false" customHeight="true" outlineLevel="0" collapsed="false">
      <c r="P2515" s="1" t="str">
        <f aca="false">IF(OR(F2515="",H2515="",J2515=""),"",J2515&amp;"|"&amp;F2515&amp;"|"&amp;IF(H2515="W3","W3_"&amp;IF(I2515="","unknown",I2515),H2515))</f>
        <v/>
      </c>
      <c r="Q2515" s="1" t="str">
        <f aca="false">IF(P2515="","",IFERROR(IF(AND(H2515="W7",OR(F2515="causal",F2515="predictive")),IF(AND(K2515=1,L2515=1,M2515=1),"adequate","partial"),INDEX(Fit_Matrix!$B:$B,MATCH(P2515,Fit_Matrix!$A:$A,0))),"CHECK KEY"))</f>
        <v/>
      </c>
    </row>
    <row r="2516" customFormat="false" ht="15" hidden="false" customHeight="true" outlineLevel="0" collapsed="false">
      <c r="P2516" s="1" t="str">
        <f aca="false">IF(OR(F2516="",H2516="",J2516=""),"",J2516&amp;"|"&amp;F2516&amp;"|"&amp;IF(H2516="W3","W3_"&amp;IF(I2516="","unknown",I2516),H2516))</f>
        <v/>
      </c>
      <c r="Q2516" s="1" t="str">
        <f aca="false">IF(P2516="","",IFERROR(IF(AND(H2516="W7",OR(F2516="causal",F2516="predictive")),IF(AND(K2516=1,L2516=1,M2516=1),"adequate","partial"),INDEX(Fit_Matrix!$B:$B,MATCH(P2516,Fit_Matrix!$A:$A,0))),"CHECK KEY"))</f>
        <v/>
      </c>
    </row>
    <row r="2517" customFormat="false" ht="15" hidden="false" customHeight="true" outlineLevel="0" collapsed="false">
      <c r="P2517" s="1" t="str">
        <f aca="false">IF(OR(F2517="",H2517="",J2517=""),"",J2517&amp;"|"&amp;F2517&amp;"|"&amp;IF(H2517="W3","W3_"&amp;IF(I2517="","unknown",I2517),H2517))</f>
        <v/>
      </c>
      <c r="Q2517" s="1" t="str">
        <f aca="false">IF(P2517="","",IFERROR(IF(AND(H2517="W7",OR(F2517="causal",F2517="predictive")),IF(AND(K2517=1,L2517=1,M2517=1),"adequate","partial"),INDEX(Fit_Matrix!$B:$B,MATCH(P2517,Fit_Matrix!$A:$A,0))),"CHECK KEY"))</f>
        <v/>
      </c>
    </row>
    <row r="2518" customFormat="false" ht="15" hidden="false" customHeight="true" outlineLevel="0" collapsed="false">
      <c r="P2518" s="1" t="str">
        <f aca="false">IF(OR(F2518="",H2518="",J2518=""),"",J2518&amp;"|"&amp;F2518&amp;"|"&amp;IF(H2518="W3","W3_"&amp;IF(I2518="","unknown",I2518),H2518))</f>
        <v/>
      </c>
      <c r="Q2518" s="1" t="str">
        <f aca="false">IF(P2518="","",IFERROR(IF(AND(H2518="W7",OR(F2518="causal",F2518="predictive")),IF(AND(K2518=1,L2518=1,M2518=1),"adequate","partial"),INDEX(Fit_Matrix!$B:$B,MATCH(P2518,Fit_Matrix!$A:$A,0))),"CHECK KEY"))</f>
        <v/>
      </c>
    </row>
    <row r="2519" customFormat="false" ht="15" hidden="false" customHeight="true" outlineLevel="0" collapsed="false">
      <c r="P2519" s="1" t="str">
        <f aca="false">IF(OR(F2519="",H2519="",J2519=""),"",J2519&amp;"|"&amp;F2519&amp;"|"&amp;IF(H2519="W3","W3_"&amp;IF(I2519="","unknown",I2519),H2519))</f>
        <v/>
      </c>
      <c r="Q2519" s="1" t="str">
        <f aca="false">IF(P2519="","",IFERROR(IF(AND(H2519="W7",OR(F2519="causal",F2519="predictive")),IF(AND(K2519=1,L2519=1,M2519=1),"adequate","partial"),INDEX(Fit_Matrix!$B:$B,MATCH(P2519,Fit_Matrix!$A:$A,0))),"CHECK KEY"))</f>
        <v/>
      </c>
    </row>
    <row r="2520" customFormat="false" ht="15" hidden="false" customHeight="true" outlineLevel="0" collapsed="false">
      <c r="P2520" s="1" t="str">
        <f aca="false">IF(OR(F2520="",H2520="",J2520=""),"",J2520&amp;"|"&amp;F2520&amp;"|"&amp;IF(H2520="W3","W3_"&amp;IF(I2520="","unknown",I2520),H2520))</f>
        <v/>
      </c>
      <c r="Q2520" s="1" t="str">
        <f aca="false">IF(P2520="","",IFERROR(IF(AND(H2520="W7",OR(F2520="causal",F2520="predictive")),IF(AND(K2520=1,L2520=1,M2520=1),"adequate","partial"),INDEX(Fit_Matrix!$B:$B,MATCH(P2520,Fit_Matrix!$A:$A,0))),"CHECK KEY"))</f>
        <v/>
      </c>
    </row>
    <row r="2521" customFormat="false" ht="15" hidden="false" customHeight="true" outlineLevel="0" collapsed="false">
      <c r="P2521" s="1" t="str">
        <f aca="false">IF(OR(F2521="",H2521="",J2521=""),"",J2521&amp;"|"&amp;F2521&amp;"|"&amp;IF(H2521="W3","W3_"&amp;IF(I2521="","unknown",I2521),H2521))</f>
        <v/>
      </c>
      <c r="Q2521" s="1" t="str">
        <f aca="false">IF(P2521="","",IFERROR(IF(AND(H2521="W7",OR(F2521="causal",F2521="predictive")),IF(AND(K2521=1,L2521=1,M2521=1),"adequate","partial"),INDEX(Fit_Matrix!$B:$B,MATCH(P2521,Fit_Matrix!$A:$A,0))),"CHECK KEY"))</f>
        <v/>
      </c>
    </row>
    <row r="2522" customFormat="false" ht="15" hidden="false" customHeight="true" outlineLevel="0" collapsed="false">
      <c r="P2522" s="1" t="str">
        <f aca="false">IF(OR(F2522="",H2522="",J2522=""),"",J2522&amp;"|"&amp;F2522&amp;"|"&amp;IF(H2522="W3","W3_"&amp;IF(I2522="","unknown",I2522),H2522))</f>
        <v/>
      </c>
      <c r="Q2522" s="1" t="str">
        <f aca="false">IF(P2522="","",IFERROR(IF(AND(H2522="W7",OR(F2522="causal",F2522="predictive")),IF(AND(K2522=1,L2522=1,M2522=1),"adequate","partial"),INDEX(Fit_Matrix!$B:$B,MATCH(P2522,Fit_Matrix!$A:$A,0))),"CHECK KEY"))</f>
        <v/>
      </c>
    </row>
    <row r="2523" customFormat="false" ht="15" hidden="false" customHeight="true" outlineLevel="0" collapsed="false">
      <c r="P2523" s="1" t="str">
        <f aca="false">IF(OR(F2523="",H2523="",J2523=""),"",J2523&amp;"|"&amp;F2523&amp;"|"&amp;IF(H2523="W3","W3_"&amp;IF(I2523="","unknown",I2523),H2523))</f>
        <v/>
      </c>
      <c r="Q2523" s="1" t="str">
        <f aca="false">IF(P2523="","",IFERROR(IF(AND(H2523="W7",OR(F2523="causal",F2523="predictive")),IF(AND(K2523=1,L2523=1,M2523=1),"adequate","partial"),INDEX(Fit_Matrix!$B:$B,MATCH(P2523,Fit_Matrix!$A:$A,0))),"CHECK KEY"))</f>
        <v/>
      </c>
    </row>
    <row r="2524" customFormat="false" ht="15" hidden="false" customHeight="true" outlineLevel="0" collapsed="false">
      <c r="P2524" s="1" t="str">
        <f aca="false">IF(OR(F2524="",H2524="",J2524=""),"",J2524&amp;"|"&amp;F2524&amp;"|"&amp;IF(H2524="W3","W3_"&amp;IF(I2524="","unknown",I2524),H2524))</f>
        <v/>
      </c>
      <c r="Q2524" s="1" t="str">
        <f aca="false">IF(P2524="","",IFERROR(IF(AND(H2524="W7",OR(F2524="causal",F2524="predictive")),IF(AND(K2524=1,L2524=1,M2524=1),"adequate","partial"),INDEX(Fit_Matrix!$B:$B,MATCH(P2524,Fit_Matrix!$A:$A,0))),"CHECK KEY"))</f>
        <v/>
      </c>
    </row>
    <row r="2525" customFormat="false" ht="15" hidden="false" customHeight="true" outlineLevel="0" collapsed="false">
      <c r="P2525" s="1" t="str">
        <f aca="false">IF(OR(F2525="",H2525="",J2525=""),"",J2525&amp;"|"&amp;F2525&amp;"|"&amp;IF(H2525="W3","W3_"&amp;IF(I2525="","unknown",I2525),H2525))</f>
        <v/>
      </c>
      <c r="Q2525" s="1" t="str">
        <f aca="false">IF(P2525="","",IFERROR(IF(AND(H2525="W7",OR(F2525="causal",F2525="predictive")),IF(AND(K2525=1,L2525=1,M2525=1),"adequate","partial"),INDEX(Fit_Matrix!$B:$B,MATCH(P2525,Fit_Matrix!$A:$A,0))),"CHECK KEY"))</f>
        <v/>
      </c>
    </row>
    <row r="2526" customFormat="false" ht="15" hidden="false" customHeight="true" outlineLevel="0" collapsed="false">
      <c r="P2526" s="1" t="str">
        <f aca="false">IF(OR(F2526="",H2526="",J2526=""),"",J2526&amp;"|"&amp;F2526&amp;"|"&amp;IF(H2526="W3","W3_"&amp;IF(I2526="","unknown",I2526),H2526))</f>
        <v/>
      </c>
      <c r="Q2526" s="1" t="str">
        <f aca="false">IF(P2526="","",IFERROR(IF(AND(H2526="W7",OR(F2526="causal",F2526="predictive")),IF(AND(K2526=1,L2526=1,M2526=1),"adequate","partial"),INDEX(Fit_Matrix!$B:$B,MATCH(P2526,Fit_Matrix!$A:$A,0))),"CHECK KEY"))</f>
        <v/>
      </c>
    </row>
    <row r="2527" customFormat="false" ht="15" hidden="false" customHeight="true" outlineLevel="0" collapsed="false">
      <c r="P2527" s="1" t="str">
        <f aca="false">IF(OR(F2527="",H2527="",J2527=""),"",J2527&amp;"|"&amp;F2527&amp;"|"&amp;IF(H2527="W3","W3_"&amp;IF(I2527="","unknown",I2527),H2527))</f>
        <v/>
      </c>
      <c r="Q2527" s="1" t="str">
        <f aca="false">IF(P2527="","",IFERROR(IF(AND(H2527="W7",OR(F2527="causal",F2527="predictive")),IF(AND(K2527=1,L2527=1,M2527=1),"adequate","partial"),INDEX(Fit_Matrix!$B:$B,MATCH(P2527,Fit_Matrix!$A:$A,0))),"CHECK KEY"))</f>
        <v/>
      </c>
    </row>
    <row r="2528" customFormat="false" ht="15" hidden="false" customHeight="true" outlineLevel="0" collapsed="false">
      <c r="P2528" s="1" t="str">
        <f aca="false">IF(OR(F2528="",H2528="",J2528=""),"",J2528&amp;"|"&amp;F2528&amp;"|"&amp;IF(H2528="W3","W3_"&amp;IF(I2528="","unknown",I2528),H2528))</f>
        <v/>
      </c>
      <c r="Q2528" s="1" t="str">
        <f aca="false">IF(P2528="","",IFERROR(IF(AND(H2528="W7",OR(F2528="causal",F2528="predictive")),IF(AND(K2528=1,L2528=1,M2528=1),"adequate","partial"),INDEX(Fit_Matrix!$B:$B,MATCH(P2528,Fit_Matrix!$A:$A,0))),"CHECK KEY"))</f>
        <v/>
      </c>
    </row>
    <row r="2529" customFormat="false" ht="15" hidden="false" customHeight="true" outlineLevel="0" collapsed="false">
      <c r="P2529" s="1" t="str">
        <f aca="false">IF(OR(F2529="",H2529="",J2529=""),"",J2529&amp;"|"&amp;F2529&amp;"|"&amp;IF(H2529="W3","W3_"&amp;IF(I2529="","unknown",I2529),H2529))</f>
        <v/>
      </c>
      <c r="Q2529" s="1" t="str">
        <f aca="false">IF(P2529="","",IFERROR(IF(AND(H2529="W7",OR(F2529="causal",F2529="predictive")),IF(AND(K2529=1,L2529=1,M2529=1),"adequate","partial"),INDEX(Fit_Matrix!$B:$B,MATCH(P2529,Fit_Matrix!$A:$A,0))),"CHECK KEY"))</f>
        <v/>
      </c>
    </row>
    <row r="2530" customFormat="false" ht="15" hidden="false" customHeight="true" outlineLevel="0" collapsed="false">
      <c r="P2530" s="1" t="str">
        <f aca="false">IF(OR(F2530="",H2530="",J2530=""),"",J2530&amp;"|"&amp;F2530&amp;"|"&amp;IF(H2530="W3","W3_"&amp;IF(I2530="","unknown",I2530),H2530))</f>
        <v/>
      </c>
      <c r="Q2530" s="1" t="str">
        <f aca="false">IF(P2530="","",IFERROR(IF(AND(H2530="W7",OR(F2530="causal",F2530="predictive")),IF(AND(K2530=1,L2530=1,M2530=1),"adequate","partial"),INDEX(Fit_Matrix!$B:$B,MATCH(P2530,Fit_Matrix!$A:$A,0))),"CHECK KEY"))</f>
        <v/>
      </c>
    </row>
    <row r="2531" customFormat="false" ht="15" hidden="false" customHeight="true" outlineLevel="0" collapsed="false">
      <c r="P2531" s="1" t="str">
        <f aca="false">IF(OR(F2531="",H2531="",J2531=""),"",J2531&amp;"|"&amp;F2531&amp;"|"&amp;IF(H2531="W3","W3_"&amp;IF(I2531="","unknown",I2531),H2531))</f>
        <v/>
      </c>
      <c r="Q2531" s="1" t="str">
        <f aca="false">IF(P2531="","",IFERROR(IF(AND(H2531="W7",OR(F2531="causal",F2531="predictive")),IF(AND(K2531=1,L2531=1,M2531=1),"adequate","partial"),INDEX(Fit_Matrix!$B:$B,MATCH(P2531,Fit_Matrix!$A:$A,0))),"CHECK KEY"))</f>
        <v/>
      </c>
    </row>
    <row r="2532" customFormat="false" ht="15" hidden="false" customHeight="true" outlineLevel="0" collapsed="false">
      <c r="P2532" s="1" t="str">
        <f aca="false">IF(OR(F2532="",H2532="",J2532=""),"",J2532&amp;"|"&amp;F2532&amp;"|"&amp;IF(H2532="W3","W3_"&amp;IF(I2532="","unknown",I2532),H2532))</f>
        <v/>
      </c>
      <c r="Q2532" s="1" t="str">
        <f aca="false">IF(P2532="","",IFERROR(IF(AND(H2532="W7",OR(F2532="causal",F2532="predictive")),IF(AND(K2532=1,L2532=1,M2532=1),"adequate","partial"),INDEX(Fit_Matrix!$B:$B,MATCH(P2532,Fit_Matrix!$A:$A,0))),"CHECK KEY"))</f>
        <v/>
      </c>
    </row>
    <row r="2533" customFormat="false" ht="15" hidden="false" customHeight="true" outlineLevel="0" collapsed="false">
      <c r="P2533" s="1" t="str">
        <f aca="false">IF(OR(F2533="",H2533="",J2533=""),"",J2533&amp;"|"&amp;F2533&amp;"|"&amp;IF(H2533="W3","W3_"&amp;IF(I2533="","unknown",I2533),H2533))</f>
        <v/>
      </c>
      <c r="Q2533" s="1" t="str">
        <f aca="false">IF(P2533="","",IFERROR(IF(AND(H2533="W7",OR(F2533="causal",F2533="predictive")),IF(AND(K2533=1,L2533=1,M2533=1),"adequate","partial"),INDEX(Fit_Matrix!$B:$B,MATCH(P2533,Fit_Matrix!$A:$A,0))),"CHECK KEY"))</f>
        <v/>
      </c>
    </row>
    <row r="2534" customFormat="false" ht="15" hidden="false" customHeight="true" outlineLevel="0" collapsed="false">
      <c r="P2534" s="1" t="str">
        <f aca="false">IF(OR(F2534="",H2534="",J2534=""),"",J2534&amp;"|"&amp;F2534&amp;"|"&amp;IF(H2534="W3","W3_"&amp;IF(I2534="","unknown",I2534),H2534))</f>
        <v/>
      </c>
      <c r="Q2534" s="1" t="str">
        <f aca="false">IF(P2534="","",IFERROR(IF(AND(H2534="W7",OR(F2534="causal",F2534="predictive")),IF(AND(K2534=1,L2534=1,M2534=1),"adequate","partial"),INDEX(Fit_Matrix!$B:$B,MATCH(P2534,Fit_Matrix!$A:$A,0))),"CHECK KEY"))</f>
        <v/>
      </c>
    </row>
    <row r="2535" customFormat="false" ht="15" hidden="false" customHeight="true" outlineLevel="0" collapsed="false">
      <c r="P2535" s="1" t="str">
        <f aca="false">IF(OR(F2535="",H2535="",J2535=""),"",J2535&amp;"|"&amp;F2535&amp;"|"&amp;IF(H2535="W3","W3_"&amp;IF(I2535="","unknown",I2535),H2535))</f>
        <v/>
      </c>
      <c r="Q2535" s="1" t="str">
        <f aca="false">IF(P2535="","",IFERROR(IF(AND(H2535="W7",OR(F2535="causal",F2535="predictive")),IF(AND(K2535=1,L2535=1,M2535=1),"adequate","partial"),INDEX(Fit_Matrix!$B:$B,MATCH(P2535,Fit_Matrix!$A:$A,0))),"CHECK KEY"))</f>
        <v/>
      </c>
    </row>
    <row r="2536" customFormat="false" ht="15" hidden="false" customHeight="true" outlineLevel="0" collapsed="false">
      <c r="P2536" s="1" t="str">
        <f aca="false">IF(OR(F2536="",H2536="",J2536=""),"",J2536&amp;"|"&amp;F2536&amp;"|"&amp;IF(H2536="W3","W3_"&amp;IF(I2536="","unknown",I2536),H2536))</f>
        <v/>
      </c>
      <c r="Q2536" s="1" t="str">
        <f aca="false">IF(P2536="","",IFERROR(IF(AND(H2536="W7",OR(F2536="causal",F2536="predictive")),IF(AND(K2536=1,L2536=1,M2536=1),"adequate","partial"),INDEX(Fit_Matrix!$B:$B,MATCH(P2536,Fit_Matrix!$A:$A,0))),"CHECK KEY"))</f>
        <v/>
      </c>
    </row>
    <row r="2537" customFormat="false" ht="15" hidden="false" customHeight="true" outlineLevel="0" collapsed="false">
      <c r="P2537" s="1" t="str">
        <f aca="false">IF(OR(F2537="",H2537="",J2537=""),"",J2537&amp;"|"&amp;F2537&amp;"|"&amp;IF(H2537="W3","W3_"&amp;IF(I2537="","unknown",I2537),H2537))</f>
        <v/>
      </c>
      <c r="Q2537" s="1" t="str">
        <f aca="false">IF(P2537="","",IFERROR(IF(AND(H2537="W7",OR(F2537="causal",F2537="predictive")),IF(AND(K2537=1,L2537=1,M2537=1),"adequate","partial"),INDEX(Fit_Matrix!$B:$B,MATCH(P2537,Fit_Matrix!$A:$A,0))),"CHECK KEY"))</f>
        <v/>
      </c>
    </row>
    <row r="2538" customFormat="false" ht="15" hidden="false" customHeight="true" outlineLevel="0" collapsed="false">
      <c r="P2538" s="1" t="str">
        <f aca="false">IF(OR(F2538="",H2538="",J2538=""),"",J2538&amp;"|"&amp;F2538&amp;"|"&amp;IF(H2538="W3","W3_"&amp;IF(I2538="","unknown",I2538),H2538))</f>
        <v/>
      </c>
      <c r="Q2538" s="1" t="str">
        <f aca="false">IF(P2538="","",IFERROR(IF(AND(H2538="W7",OR(F2538="causal",F2538="predictive")),IF(AND(K2538=1,L2538=1,M2538=1),"adequate","partial"),INDEX(Fit_Matrix!$B:$B,MATCH(P2538,Fit_Matrix!$A:$A,0))),"CHECK KEY"))</f>
        <v/>
      </c>
    </row>
    <row r="2539" customFormat="false" ht="15" hidden="false" customHeight="true" outlineLevel="0" collapsed="false">
      <c r="P2539" s="1" t="str">
        <f aca="false">IF(OR(F2539="",H2539="",J2539=""),"",J2539&amp;"|"&amp;F2539&amp;"|"&amp;IF(H2539="W3","W3_"&amp;IF(I2539="","unknown",I2539),H2539))</f>
        <v/>
      </c>
      <c r="Q2539" s="1" t="str">
        <f aca="false">IF(P2539="","",IFERROR(IF(AND(H2539="W7",OR(F2539="causal",F2539="predictive")),IF(AND(K2539=1,L2539=1,M2539=1),"adequate","partial"),INDEX(Fit_Matrix!$B:$B,MATCH(P2539,Fit_Matrix!$A:$A,0))),"CHECK KEY"))</f>
        <v/>
      </c>
    </row>
    <row r="2540" customFormat="false" ht="15" hidden="false" customHeight="true" outlineLevel="0" collapsed="false">
      <c r="P2540" s="1" t="str">
        <f aca="false">IF(OR(F2540="",H2540="",J2540=""),"",J2540&amp;"|"&amp;F2540&amp;"|"&amp;IF(H2540="W3","W3_"&amp;IF(I2540="","unknown",I2540),H2540))</f>
        <v/>
      </c>
      <c r="Q2540" s="1" t="str">
        <f aca="false">IF(P2540="","",IFERROR(IF(AND(H2540="W7",OR(F2540="causal",F2540="predictive")),IF(AND(K2540=1,L2540=1,M2540=1),"adequate","partial"),INDEX(Fit_Matrix!$B:$B,MATCH(P2540,Fit_Matrix!$A:$A,0))),"CHECK KEY"))</f>
        <v/>
      </c>
    </row>
    <row r="2541" customFormat="false" ht="15" hidden="false" customHeight="true" outlineLevel="0" collapsed="false">
      <c r="P2541" s="1" t="str">
        <f aca="false">IF(OR(F2541="",H2541="",J2541=""),"",J2541&amp;"|"&amp;F2541&amp;"|"&amp;IF(H2541="W3","W3_"&amp;IF(I2541="","unknown",I2541),H2541))</f>
        <v/>
      </c>
      <c r="Q2541" s="1" t="str">
        <f aca="false">IF(P2541="","",IFERROR(IF(AND(H2541="W7",OR(F2541="causal",F2541="predictive")),IF(AND(K2541=1,L2541=1,M2541=1),"adequate","partial"),INDEX(Fit_Matrix!$B:$B,MATCH(P2541,Fit_Matrix!$A:$A,0))),"CHECK KEY"))</f>
        <v/>
      </c>
    </row>
    <row r="2542" customFormat="false" ht="15" hidden="false" customHeight="true" outlineLevel="0" collapsed="false">
      <c r="P2542" s="1" t="str">
        <f aca="false">IF(OR(F2542="",H2542="",J2542=""),"",J2542&amp;"|"&amp;F2542&amp;"|"&amp;IF(H2542="W3","W3_"&amp;IF(I2542="","unknown",I2542),H2542))</f>
        <v/>
      </c>
      <c r="Q2542" s="1" t="str">
        <f aca="false">IF(P2542="","",IFERROR(IF(AND(H2542="W7",OR(F2542="causal",F2542="predictive")),IF(AND(K2542=1,L2542=1,M2542=1),"adequate","partial"),INDEX(Fit_Matrix!$B:$B,MATCH(P2542,Fit_Matrix!$A:$A,0))),"CHECK KEY"))</f>
        <v/>
      </c>
    </row>
    <row r="2543" customFormat="false" ht="15" hidden="false" customHeight="true" outlineLevel="0" collapsed="false">
      <c r="P2543" s="1" t="str">
        <f aca="false">IF(OR(F2543="",H2543="",J2543=""),"",J2543&amp;"|"&amp;F2543&amp;"|"&amp;IF(H2543="W3","W3_"&amp;IF(I2543="","unknown",I2543),H2543))</f>
        <v/>
      </c>
      <c r="Q2543" s="1" t="str">
        <f aca="false">IF(P2543="","",IFERROR(IF(AND(H2543="W7",OR(F2543="causal",F2543="predictive")),IF(AND(K2543=1,L2543=1,M2543=1),"adequate","partial"),INDEX(Fit_Matrix!$B:$B,MATCH(P2543,Fit_Matrix!$A:$A,0))),"CHECK KEY"))</f>
        <v/>
      </c>
    </row>
    <row r="2544" customFormat="false" ht="15" hidden="false" customHeight="true" outlineLevel="0" collapsed="false">
      <c r="P2544" s="1" t="str">
        <f aca="false">IF(OR(F2544="",H2544="",J2544=""),"",J2544&amp;"|"&amp;F2544&amp;"|"&amp;IF(H2544="W3","W3_"&amp;IF(I2544="","unknown",I2544),H2544))</f>
        <v/>
      </c>
      <c r="Q2544" s="1" t="str">
        <f aca="false">IF(P2544="","",IFERROR(IF(AND(H2544="W7",OR(F2544="causal",F2544="predictive")),IF(AND(K2544=1,L2544=1,M2544=1),"adequate","partial"),INDEX(Fit_Matrix!$B:$B,MATCH(P2544,Fit_Matrix!$A:$A,0))),"CHECK KEY"))</f>
        <v/>
      </c>
    </row>
    <row r="2545" customFormat="false" ht="15" hidden="false" customHeight="true" outlineLevel="0" collapsed="false">
      <c r="P2545" s="1" t="str">
        <f aca="false">IF(OR(F2545="",H2545="",J2545=""),"",J2545&amp;"|"&amp;F2545&amp;"|"&amp;IF(H2545="W3","W3_"&amp;IF(I2545="","unknown",I2545),H2545))</f>
        <v/>
      </c>
      <c r="Q2545" s="1" t="str">
        <f aca="false">IF(P2545="","",IFERROR(IF(AND(H2545="W7",OR(F2545="causal",F2545="predictive")),IF(AND(K2545=1,L2545=1,M2545=1),"adequate","partial"),INDEX(Fit_Matrix!$B:$B,MATCH(P2545,Fit_Matrix!$A:$A,0))),"CHECK KEY"))</f>
        <v/>
      </c>
    </row>
    <row r="2546" customFormat="false" ht="15" hidden="false" customHeight="true" outlineLevel="0" collapsed="false">
      <c r="P2546" s="1" t="str">
        <f aca="false">IF(OR(F2546="",H2546="",J2546=""),"",J2546&amp;"|"&amp;F2546&amp;"|"&amp;IF(H2546="W3","W3_"&amp;IF(I2546="","unknown",I2546),H2546))</f>
        <v/>
      </c>
      <c r="Q2546" s="1" t="str">
        <f aca="false">IF(P2546="","",IFERROR(IF(AND(H2546="W7",OR(F2546="causal",F2546="predictive")),IF(AND(K2546=1,L2546=1,M2546=1),"adequate","partial"),INDEX(Fit_Matrix!$B:$B,MATCH(P2546,Fit_Matrix!$A:$A,0))),"CHECK KEY"))</f>
        <v/>
      </c>
    </row>
    <row r="2547" customFormat="false" ht="15" hidden="false" customHeight="true" outlineLevel="0" collapsed="false">
      <c r="P2547" s="1" t="str">
        <f aca="false">IF(OR(F2547="",H2547="",J2547=""),"",J2547&amp;"|"&amp;F2547&amp;"|"&amp;IF(H2547="W3","W3_"&amp;IF(I2547="","unknown",I2547),H2547))</f>
        <v/>
      </c>
      <c r="Q2547" s="1" t="str">
        <f aca="false">IF(P2547="","",IFERROR(IF(AND(H2547="W7",OR(F2547="causal",F2547="predictive")),IF(AND(K2547=1,L2547=1,M2547=1),"adequate","partial"),INDEX(Fit_Matrix!$B:$B,MATCH(P2547,Fit_Matrix!$A:$A,0))),"CHECK KEY"))</f>
        <v/>
      </c>
    </row>
    <row r="2548" customFormat="false" ht="15" hidden="false" customHeight="true" outlineLevel="0" collapsed="false">
      <c r="P2548" s="1" t="str">
        <f aca="false">IF(OR(F2548="",H2548="",J2548=""),"",J2548&amp;"|"&amp;F2548&amp;"|"&amp;IF(H2548="W3","W3_"&amp;IF(I2548="","unknown",I2548),H2548))</f>
        <v/>
      </c>
      <c r="Q2548" s="1" t="str">
        <f aca="false">IF(P2548="","",IFERROR(IF(AND(H2548="W7",OR(F2548="causal",F2548="predictive")),IF(AND(K2548=1,L2548=1,M2548=1),"adequate","partial"),INDEX(Fit_Matrix!$B:$B,MATCH(P2548,Fit_Matrix!$A:$A,0))),"CHECK KEY"))</f>
        <v/>
      </c>
    </row>
    <row r="2549" customFormat="false" ht="15" hidden="false" customHeight="true" outlineLevel="0" collapsed="false">
      <c r="P2549" s="1" t="str">
        <f aca="false">IF(OR(F2549="",H2549="",J2549=""),"",J2549&amp;"|"&amp;F2549&amp;"|"&amp;IF(H2549="W3","W3_"&amp;IF(I2549="","unknown",I2549),H2549))</f>
        <v/>
      </c>
      <c r="Q2549" s="1" t="str">
        <f aca="false">IF(P2549="","",IFERROR(IF(AND(H2549="W7",OR(F2549="causal",F2549="predictive")),IF(AND(K2549=1,L2549=1,M2549=1),"adequate","partial"),INDEX(Fit_Matrix!$B:$B,MATCH(P2549,Fit_Matrix!$A:$A,0))),"CHECK KEY"))</f>
        <v/>
      </c>
    </row>
    <row r="2550" customFormat="false" ht="15" hidden="false" customHeight="true" outlineLevel="0" collapsed="false">
      <c r="P2550" s="1" t="str">
        <f aca="false">IF(OR(F2550="",H2550="",J2550=""),"",J2550&amp;"|"&amp;F2550&amp;"|"&amp;IF(H2550="W3","W3_"&amp;IF(I2550="","unknown",I2550),H2550))</f>
        <v/>
      </c>
      <c r="Q2550" s="1" t="str">
        <f aca="false">IF(P2550="","",IFERROR(IF(AND(H2550="W7",OR(F2550="causal",F2550="predictive")),IF(AND(K2550=1,L2550=1,M2550=1),"adequate","partial"),INDEX(Fit_Matrix!$B:$B,MATCH(P2550,Fit_Matrix!$A:$A,0))),"CHECK KEY"))</f>
        <v/>
      </c>
    </row>
    <row r="2551" customFormat="false" ht="15" hidden="false" customHeight="true" outlineLevel="0" collapsed="false">
      <c r="P2551" s="1" t="str">
        <f aca="false">IF(OR(F2551="",H2551="",J2551=""),"",J2551&amp;"|"&amp;F2551&amp;"|"&amp;IF(H2551="W3","W3_"&amp;IF(I2551="","unknown",I2551),H2551))</f>
        <v/>
      </c>
      <c r="Q2551" s="1" t="str">
        <f aca="false">IF(P2551="","",IFERROR(IF(AND(H2551="W7",OR(F2551="causal",F2551="predictive")),IF(AND(K2551=1,L2551=1,M2551=1),"adequate","partial"),INDEX(Fit_Matrix!$B:$B,MATCH(P2551,Fit_Matrix!$A:$A,0))),"CHECK KEY"))</f>
        <v/>
      </c>
    </row>
    <row r="2552" customFormat="false" ht="15" hidden="false" customHeight="true" outlineLevel="0" collapsed="false">
      <c r="P2552" s="1" t="str">
        <f aca="false">IF(OR(F2552="",H2552="",J2552=""),"",J2552&amp;"|"&amp;F2552&amp;"|"&amp;IF(H2552="W3","W3_"&amp;IF(I2552="","unknown",I2552),H2552))</f>
        <v/>
      </c>
      <c r="Q2552" s="1" t="str">
        <f aca="false">IF(P2552="","",IFERROR(IF(AND(H2552="W7",OR(F2552="causal",F2552="predictive")),IF(AND(K2552=1,L2552=1,M2552=1),"adequate","partial"),INDEX(Fit_Matrix!$B:$B,MATCH(P2552,Fit_Matrix!$A:$A,0))),"CHECK KEY"))</f>
        <v/>
      </c>
    </row>
    <row r="2553" customFormat="false" ht="15" hidden="false" customHeight="true" outlineLevel="0" collapsed="false">
      <c r="P2553" s="1" t="str">
        <f aca="false">IF(OR(F2553="",H2553="",J2553=""),"",J2553&amp;"|"&amp;F2553&amp;"|"&amp;IF(H2553="W3","W3_"&amp;IF(I2553="","unknown",I2553),H2553))</f>
        <v/>
      </c>
      <c r="Q2553" s="1" t="str">
        <f aca="false">IF(P2553="","",IFERROR(IF(AND(H2553="W7",OR(F2553="causal",F2553="predictive")),IF(AND(K2553=1,L2553=1,M2553=1),"adequate","partial"),INDEX(Fit_Matrix!$B:$B,MATCH(P2553,Fit_Matrix!$A:$A,0))),"CHECK KEY"))</f>
        <v/>
      </c>
    </row>
    <row r="2554" customFormat="false" ht="15" hidden="false" customHeight="true" outlineLevel="0" collapsed="false">
      <c r="P2554" s="1" t="str">
        <f aca="false">IF(OR(F2554="",H2554="",J2554=""),"",J2554&amp;"|"&amp;F2554&amp;"|"&amp;IF(H2554="W3","W3_"&amp;IF(I2554="","unknown",I2554),H2554))</f>
        <v/>
      </c>
      <c r="Q2554" s="1" t="str">
        <f aca="false">IF(P2554="","",IFERROR(IF(AND(H2554="W7",OR(F2554="causal",F2554="predictive")),IF(AND(K2554=1,L2554=1,M2554=1),"adequate","partial"),INDEX(Fit_Matrix!$B:$B,MATCH(P2554,Fit_Matrix!$A:$A,0))),"CHECK KEY"))</f>
        <v/>
      </c>
    </row>
    <row r="2555" customFormat="false" ht="15" hidden="false" customHeight="true" outlineLevel="0" collapsed="false">
      <c r="P2555" s="1" t="str">
        <f aca="false">IF(OR(F2555="",H2555="",J2555=""),"",J2555&amp;"|"&amp;F2555&amp;"|"&amp;IF(H2555="W3","W3_"&amp;IF(I2555="","unknown",I2555),H2555))</f>
        <v/>
      </c>
      <c r="Q2555" s="1" t="str">
        <f aca="false">IF(P2555="","",IFERROR(IF(AND(H2555="W7",OR(F2555="causal",F2555="predictive")),IF(AND(K2555=1,L2555=1,M2555=1),"adequate","partial"),INDEX(Fit_Matrix!$B:$B,MATCH(P2555,Fit_Matrix!$A:$A,0))),"CHECK KEY"))</f>
        <v/>
      </c>
    </row>
    <row r="2556" customFormat="false" ht="15" hidden="false" customHeight="true" outlineLevel="0" collapsed="false">
      <c r="P2556" s="1" t="str">
        <f aca="false">IF(OR(F2556="",H2556="",J2556=""),"",J2556&amp;"|"&amp;F2556&amp;"|"&amp;IF(H2556="W3","W3_"&amp;IF(I2556="","unknown",I2556),H2556))</f>
        <v/>
      </c>
      <c r="Q2556" s="1" t="str">
        <f aca="false">IF(P2556="","",IFERROR(IF(AND(H2556="W7",OR(F2556="causal",F2556="predictive")),IF(AND(K2556=1,L2556=1,M2556=1),"adequate","partial"),INDEX(Fit_Matrix!$B:$B,MATCH(P2556,Fit_Matrix!$A:$A,0))),"CHECK KEY"))</f>
        <v/>
      </c>
    </row>
    <row r="2557" customFormat="false" ht="15" hidden="false" customHeight="true" outlineLevel="0" collapsed="false">
      <c r="P2557" s="1" t="str">
        <f aca="false">IF(OR(F2557="",H2557="",J2557=""),"",J2557&amp;"|"&amp;F2557&amp;"|"&amp;IF(H2557="W3","W3_"&amp;IF(I2557="","unknown",I2557),H2557))</f>
        <v/>
      </c>
      <c r="Q2557" s="1" t="str">
        <f aca="false">IF(P2557="","",IFERROR(IF(AND(H2557="W7",OR(F2557="causal",F2557="predictive")),IF(AND(K2557=1,L2557=1,M2557=1),"adequate","partial"),INDEX(Fit_Matrix!$B:$B,MATCH(P2557,Fit_Matrix!$A:$A,0))),"CHECK KEY"))</f>
        <v/>
      </c>
    </row>
    <row r="2558" customFormat="false" ht="15" hidden="false" customHeight="true" outlineLevel="0" collapsed="false">
      <c r="P2558" s="1" t="str">
        <f aca="false">IF(OR(F2558="",H2558="",J2558=""),"",J2558&amp;"|"&amp;F2558&amp;"|"&amp;IF(H2558="W3","W3_"&amp;IF(I2558="","unknown",I2558),H2558))</f>
        <v/>
      </c>
      <c r="Q2558" s="1" t="str">
        <f aca="false">IF(P2558="","",IFERROR(IF(AND(H2558="W7",OR(F2558="causal",F2558="predictive")),IF(AND(K2558=1,L2558=1,M2558=1),"adequate","partial"),INDEX(Fit_Matrix!$B:$B,MATCH(P2558,Fit_Matrix!$A:$A,0))),"CHECK KEY"))</f>
        <v/>
      </c>
    </row>
    <row r="2559" customFormat="false" ht="15" hidden="false" customHeight="true" outlineLevel="0" collapsed="false">
      <c r="P2559" s="1" t="str">
        <f aca="false">IF(OR(F2559="",H2559="",J2559=""),"",J2559&amp;"|"&amp;F2559&amp;"|"&amp;IF(H2559="W3","W3_"&amp;IF(I2559="","unknown",I2559),H2559))</f>
        <v/>
      </c>
      <c r="Q2559" s="1" t="str">
        <f aca="false">IF(P2559="","",IFERROR(IF(AND(H2559="W7",OR(F2559="causal",F2559="predictive")),IF(AND(K2559=1,L2559=1,M2559=1),"adequate","partial"),INDEX(Fit_Matrix!$B:$B,MATCH(P2559,Fit_Matrix!$A:$A,0))),"CHECK KEY"))</f>
        <v/>
      </c>
    </row>
    <row r="2560" customFormat="false" ht="15" hidden="false" customHeight="true" outlineLevel="0" collapsed="false">
      <c r="P2560" s="1" t="str">
        <f aca="false">IF(OR(F2560="",H2560="",J2560=""),"",J2560&amp;"|"&amp;F2560&amp;"|"&amp;IF(H2560="W3","W3_"&amp;IF(I2560="","unknown",I2560),H2560))</f>
        <v/>
      </c>
      <c r="Q2560" s="1" t="str">
        <f aca="false">IF(P2560="","",IFERROR(IF(AND(H2560="W7",OR(F2560="causal",F2560="predictive")),IF(AND(K2560=1,L2560=1,M2560=1),"adequate","partial"),INDEX(Fit_Matrix!$B:$B,MATCH(P2560,Fit_Matrix!$A:$A,0))),"CHECK KEY"))</f>
        <v/>
      </c>
    </row>
    <row r="2561" customFormat="false" ht="15" hidden="false" customHeight="true" outlineLevel="0" collapsed="false">
      <c r="P2561" s="1" t="str">
        <f aca="false">IF(OR(F2561="",H2561="",J2561=""),"",J2561&amp;"|"&amp;F2561&amp;"|"&amp;IF(H2561="W3","W3_"&amp;IF(I2561="","unknown",I2561),H2561))</f>
        <v/>
      </c>
      <c r="Q2561" s="1" t="str">
        <f aca="false">IF(P2561="","",IFERROR(IF(AND(H2561="W7",OR(F2561="causal",F2561="predictive")),IF(AND(K2561=1,L2561=1,M2561=1),"adequate","partial"),INDEX(Fit_Matrix!$B:$B,MATCH(P2561,Fit_Matrix!$A:$A,0))),"CHECK KEY"))</f>
        <v/>
      </c>
    </row>
    <row r="2562" customFormat="false" ht="15" hidden="false" customHeight="true" outlineLevel="0" collapsed="false">
      <c r="P2562" s="1" t="str">
        <f aca="false">IF(OR(F2562="",H2562="",J2562=""),"",J2562&amp;"|"&amp;F2562&amp;"|"&amp;IF(H2562="W3","W3_"&amp;IF(I2562="","unknown",I2562),H2562))</f>
        <v/>
      </c>
      <c r="Q2562" s="1" t="str">
        <f aca="false">IF(P2562="","",IFERROR(IF(AND(H2562="W7",OR(F2562="causal",F2562="predictive")),IF(AND(K2562=1,L2562=1,M2562=1),"adequate","partial"),INDEX(Fit_Matrix!$B:$B,MATCH(P2562,Fit_Matrix!$A:$A,0))),"CHECK KEY"))</f>
        <v/>
      </c>
    </row>
    <row r="2563" customFormat="false" ht="15" hidden="false" customHeight="true" outlineLevel="0" collapsed="false">
      <c r="P2563" s="1" t="str">
        <f aca="false">IF(OR(F2563="",H2563="",J2563=""),"",J2563&amp;"|"&amp;F2563&amp;"|"&amp;IF(H2563="W3","W3_"&amp;IF(I2563="","unknown",I2563),H2563))</f>
        <v/>
      </c>
      <c r="Q2563" s="1" t="str">
        <f aca="false">IF(P2563="","",IFERROR(IF(AND(H2563="W7",OR(F2563="causal",F2563="predictive")),IF(AND(K2563=1,L2563=1,M2563=1),"adequate","partial"),INDEX(Fit_Matrix!$B:$B,MATCH(P2563,Fit_Matrix!$A:$A,0))),"CHECK KEY"))</f>
        <v/>
      </c>
    </row>
    <row r="2564" customFormat="false" ht="15" hidden="false" customHeight="true" outlineLevel="0" collapsed="false">
      <c r="P2564" s="1" t="str">
        <f aca="false">IF(OR(F2564="",H2564="",J2564=""),"",J2564&amp;"|"&amp;F2564&amp;"|"&amp;IF(H2564="W3","W3_"&amp;IF(I2564="","unknown",I2564),H2564))</f>
        <v/>
      </c>
      <c r="Q2564" s="1" t="str">
        <f aca="false">IF(P2564="","",IFERROR(IF(AND(H2564="W7",OR(F2564="causal",F2564="predictive")),IF(AND(K2564=1,L2564=1,M2564=1),"adequate","partial"),INDEX(Fit_Matrix!$B:$B,MATCH(P2564,Fit_Matrix!$A:$A,0))),"CHECK KEY"))</f>
        <v/>
      </c>
    </row>
    <row r="2565" customFormat="false" ht="15" hidden="false" customHeight="true" outlineLevel="0" collapsed="false">
      <c r="P2565" s="1" t="str">
        <f aca="false">IF(OR(F2565="",H2565="",J2565=""),"",J2565&amp;"|"&amp;F2565&amp;"|"&amp;IF(H2565="W3","W3_"&amp;IF(I2565="","unknown",I2565),H2565))</f>
        <v/>
      </c>
      <c r="Q2565" s="1" t="str">
        <f aca="false">IF(P2565="","",IFERROR(IF(AND(H2565="W7",OR(F2565="causal",F2565="predictive")),IF(AND(K2565=1,L2565=1,M2565=1),"adequate","partial"),INDEX(Fit_Matrix!$B:$B,MATCH(P2565,Fit_Matrix!$A:$A,0))),"CHECK KEY"))</f>
        <v/>
      </c>
    </row>
    <row r="2566" customFormat="false" ht="15" hidden="false" customHeight="true" outlineLevel="0" collapsed="false">
      <c r="P2566" s="1" t="str">
        <f aca="false">IF(OR(F2566="",H2566="",J2566=""),"",J2566&amp;"|"&amp;F2566&amp;"|"&amp;IF(H2566="W3","W3_"&amp;IF(I2566="","unknown",I2566),H2566))</f>
        <v/>
      </c>
      <c r="Q2566" s="1" t="str">
        <f aca="false">IF(P2566="","",IFERROR(IF(AND(H2566="W7",OR(F2566="causal",F2566="predictive")),IF(AND(K2566=1,L2566=1,M2566=1),"adequate","partial"),INDEX(Fit_Matrix!$B:$B,MATCH(P2566,Fit_Matrix!$A:$A,0))),"CHECK KEY"))</f>
        <v/>
      </c>
    </row>
    <row r="2567" customFormat="false" ht="15" hidden="false" customHeight="true" outlineLevel="0" collapsed="false">
      <c r="P2567" s="1" t="str">
        <f aca="false">IF(OR(F2567="",H2567="",J2567=""),"",J2567&amp;"|"&amp;F2567&amp;"|"&amp;IF(H2567="W3","W3_"&amp;IF(I2567="","unknown",I2567),H2567))</f>
        <v/>
      </c>
      <c r="Q2567" s="1" t="str">
        <f aca="false">IF(P2567="","",IFERROR(IF(AND(H2567="W7",OR(F2567="causal",F2567="predictive")),IF(AND(K2567=1,L2567=1,M2567=1),"adequate","partial"),INDEX(Fit_Matrix!$B:$B,MATCH(P2567,Fit_Matrix!$A:$A,0))),"CHECK KEY"))</f>
        <v/>
      </c>
    </row>
    <row r="2568" customFormat="false" ht="15" hidden="false" customHeight="true" outlineLevel="0" collapsed="false">
      <c r="P2568" s="1" t="str">
        <f aca="false">IF(OR(F2568="",H2568="",J2568=""),"",J2568&amp;"|"&amp;F2568&amp;"|"&amp;IF(H2568="W3","W3_"&amp;IF(I2568="","unknown",I2568),H2568))</f>
        <v/>
      </c>
      <c r="Q2568" s="1" t="str">
        <f aca="false">IF(P2568="","",IFERROR(IF(AND(H2568="W7",OR(F2568="causal",F2568="predictive")),IF(AND(K2568=1,L2568=1,M2568=1),"adequate","partial"),INDEX(Fit_Matrix!$B:$B,MATCH(P2568,Fit_Matrix!$A:$A,0))),"CHECK KEY"))</f>
        <v/>
      </c>
    </row>
    <row r="2569" customFormat="false" ht="15" hidden="false" customHeight="true" outlineLevel="0" collapsed="false">
      <c r="P2569" s="1" t="str">
        <f aca="false">IF(OR(F2569="",H2569="",J2569=""),"",J2569&amp;"|"&amp;F2569&amp;"|"&amp;IF(H2569="W3","W3_"&amp;IF(I2569="","unknown",I2569),H2569))</f>
        <v/>
      </c>
      <c r="Q2569" s="1" t="str">
        <f aca="false">IF(P2569="","",IFERROR(IF(AND(H2569="W7",OR(F2569="causal",F2569="predictive")),IF(AND(K2569=1,L2569=1,M2569=1),"adequate","partial"),INDEX(Fit_Matrix!$B:$B,MATCH(P2569,Fit_Matrix!$A:$A,0))),"CHECK KEY"))</f>
        <v/>
      </c>
    </row>
    <row r="2570" customFormat="false" ht="15" hidden="false" customHeight="true" outlineLevel="0" collapsed="false">
      <c r="P2570" s="1" t="str">
        <f aca="false">IF(OR(F2570="",H2570="",J2570=""),"",J2570&amp;"|"&amp;F2570&amp;"|"&amp;IF(H2570="W3","W3_"&amp;IF(I2570="","unknown",I2570),H2570))</f>
        <v/>
      </c>
      <c r="Q2570" s="1" t="str">
        <f aca="false">IF(P2570="","",IFERROR(IF(AND(H2570="W7",OR(F2570="causal",F2570="predictive")),IF(AND(K2570=1,L2570=1,M2570=1),"adequate","partial"),INDEX(Fit_Matrix!$B:$B,MATCH(P2570,Fit_Matrix!$A:$A,0))),"CHECK KEY"))</f>
        <v/>
      </c>
    </row>
    <row r="2571" customFormat="false" ht="15" hidden="false" customHeight="true" outlineLevel="0" collapsed="false">
      <c r="P2571" s="1" t="str">
        <f aca="false">IF(OR(F2571="",H2571="",J2571=""),"",J2571&amp;"|"&amp;F2571&amp;"|"&amp;IF(H2571="W3","W3_"&amp;IF(I2571="","unknown",I2571),H2571))</f>
        <v/>
      </c>
      <c r="Q2571" s="1" t="str">
        <f aca="false">IF(P2571="","",IFERROR(IF(AND(H2571="W7",OR(F2571="causal",F2571="predictive")),IF(AND(K2571=1,L2571=1,M2571=1),"adequate","partial"),INDEX(Fit_Matrix!$B:$B,MATCH(P2571,Fit_Matrix!$A:$A,0))),"CHECK KEY"))</f>
        <v/>
      </c>
    </row>
    <row r="2572" customFormat="false" ht="15" hidden="false" customHeight="true" outlineLevel="0" collapsed="false">
      <c r="P2572" s="1" t="str">
        <f aca="false">IF(OR(F2572="",H2572="",J2572=""),"",J2572&amp;"|"&amp;F2572&amp;"|"&amp;IF(H2572="W3","W3_"&amp;IF(I2572="","unknown",I2572),H2572))</f>
        <v/>
      </c>
      <c r="Q2572" s="1" t="str">
        <f aca="false">IF(P2572="","",IFERROR(IF(AND(H2572="W7",OR(F2572="causal",F2572="predictive")),IF(AND(K2572=1,L2572=1,M2572=1),"adequate","partial"),INDEX(Fit_Matrix!$B:$B,MATCH(P2572,Fit_Matrix!$A:$A,0))),"CHECK KEY"))</f>
        <v/>
      </c>
    </row>
    <row r="2573" customFormat="false" ht="15" hidden="false" customHeight="true" outlineLevel="0" collapsed="false">
      <c r="P2573" s="1" t="str">
        <f aca="false">IF(OR(F2573="",H2573="",J2573=""),"",J2573&amp;"|"&amp;F2573&amp;"|"&amp;IF(H2573="W3","W3_"&amp;IF(I2573="","unknown",I2573),H2573))</f>
        <v/>
      </c>
      <c r="Q2573" s="1" t="str">
        <f aca="false">IF(P2573="","",IFERROR(IF(AND(H2573="W7",OR(F2573="causal",F2573="predictive")),IF(AND(K2573=1,L2573=1,M2573=1),"adequate","partial"),INDEX(Fit_Matrix!$B:$B,MATCH(P2573,Fit_Matrix!$A:$A,0))),"CHECK KEY"))</f>
        <v/>
      </c>
    </row>
    <row r="2574" customFormat="false" ht="15" hidden="false" customHeight="true" outlineLevel="0" collapsed="false">
      <c r="P2574" s="1" t="str">
        <f aca="false">IF(OR(F2574="",H2574="",J2574=""),"",J2574&amp;"|"&amp;F2574&amp;"|"&amp;IF(H2574="W3","W3_"&amp;IF(I2574="","unknown",I2574),H2574))</f>
        <v/>
      </c>
      <c r="Q2574" s="1" t="str">
        <f aca="false">IF(P2574="","",IFERROR(IF(AND(H2574="W7",OR(F2574="causal",F2574="predictive")),IF(AND(K2574=1,L2574=1,M2574=1),"adequate","partial"),INDEX(Fit_Matrix!$B:$B,MATCH(P2574,Fit_Matrix!$A:$A,0))),"CHECK KEY"))</f>
        <v/>
      </c>
    </row>
    <row r="2575" customFormat="false" ht="15" hidden="false" customHeight="true" outlineLevel="0" collapsed="false">
      <c r="P2575" s="1" t="str">
        <f aca="false">IF(OR(F2575="",H2575="",J2575=""),"",J2575&amp;"|"&amp;F2575&amp;"|"&amp;IF(H2575="W3","W3_"&amp;IF(I2575="","unknown",I2575),H2575))</f>
        <v/>
      </c>
      <c r="Q2575" s="1" t="str">
        <f aca="false">IF(P2575="","",IFERROR(IF(AND(H2575="W7",OR(F2575="causal",F2575="predictive")),IF(AND(K2575=1,L2575=1,M2575=1),"adequate","partial"),INDEX(Fit_Matrix!$B:$B,MATCH(P2575,Fit_Matrix!$A:$A,0))),"CHECK KEY"))</f>
        <v/>
      </c>
    </row>
    <row r="2576" customFormat="false" ht="15" hidden="false" customHeight="true" outlineLevel="0" collapsed="false">
      <c r="P2576" s="1" t="str">
        <f aca="false">IF(OR(F2576="",H2576="",J2576=""),"",J2576&amp;"|"&amp;F2576&amp;"|"&amp;IF(H2576="W3","W3_"&amp;IF(I2576="","unknown",I2576),H2576))</f>
        <v/>
      </c>
      <c r="Q2576" s="1" t="str">
        <f aca="false">IF(P2576="","",IFERROR(IF(AND(H2576="W7",OR(F2576="causal",F2576="predictive")),IF(AND(K2576=1,L2576=1,M2576=1),"adequate","partial"),INDEX(Fit_Matrix!$B:$B,MATCH(P2576,Fit_Matrix!$A:$A,0))),"CHECK KEY"))</f>
        <v/>
      </c>
    </row>
    <row r="2577" customFormat="false" ht="15" hidden="false" customHeight="true" outlineLevel="0" collapsed="false">
      <c r="P2577" s="1" t="str">
        <f aca="false">IF(OR(F2577="",H2577="",J2577=""),"",J2577&amp;"|"&amp;F2577&amp;"|"&amp;IF(H2577="W3","W3_"&amp;IF(I2577="","unknown",I2577),H2577))</f>
        <v/>
      </c>
      <c r="Q2577" s="1" t="str">
        <f aca="false">IF(P2577="","",IFERROR(IF(AND(H2577="W7",OR(F2577="causal",F2577="predictive")),IF(AND(K2577=1,L2577=1,M2577=1),"adequate","partial"),INDEX(Fit_Matrix!$B:$B,MATCH(P2577,Fit_Matrix!$A:$A,0))),"CHECK KEY"))</f>
        <v/>
      </c>
    </row>
    <row r="2578" customFormat="false" ht="15" hidden="false" customHeight="true" outlineLevel="0" collapsed="false">
      <c r="P2578" s="1" t="str">
        <f aca="false">IF(OR(F2578="",H2578="",J2578=""),"",J2578&amp;"|"&amp;F2578&amp;"|"&amp;IF(H2578="W3","W3_"&amp;IF(I2578="","unknown",I2578),H2578))</f>
        <v/>
      </c>
      <c r="Q2578" s="1" t="str">
        <f aca="false">IF(P2578="","",IFERROR(IF(AND(H2578="W7",OR(F2578="causal",F2578="predictive")),IF(AND(K2578=1,L2578=1,M2578=1),"adequate","partial"),INDEX(Fit_Matrix!$B:$B,MATCH(P2578,Fit_Matrix!$A:$A,0))),"CHECK KEY"))</f>
        <v/>
      </c>
    </row>
    <row r="2579" customFormat="false" ht="15" hidden="false" customHeight="true" outlineLevel="0" collapsed="false">
      <c r="P2579" s="1" t="str">
        <f aca="false">IF(OR(F2579="",H2579="",J2579=""),"",J2579&amp;"|"&amp;F2579&amp;"|"&amp;IF(H2579="W3","W3_"&amp;IF(I2579="","unknown",I2579),H2579))</f>
        <v/>
      </c>
      <c r="Q2579" s="1" t="str">
        <f aca="false">IF(P2579="","",IFERROR(IF(AND(H2579="W7",OR(F2579="causal",F2579="predictive")),IF(AND(K2579=1,L2579=1,M2579=1),"adequate","partial"),INDEX(Fit_Matrix!$B:$B,MATCH(P2579,Fit_Matrix!$A:$A,0))),"CHECK KEY"))</f>
        <v/>
      </c>
    </row>
    <row r="2580" customFormat="false" ht="15" hidden="false" customHeight="true" outlineLevel="0" collapsed="false">
      <c r="P2580" s="1" t="str">
        <f aca="false">IF(OR(F2580="",H2580="",J2580=""),"",J2580&amp;"|"&amp;F2580&amp;"|"&amp;IF(H2580="W3","W3_"&amp;IF(I2580="","unknown",I2580),H2580))</f>
        <v/>
      </c>
      <c r="Q2580" s="1" t="str">
        <f aca="false">IF(P2580="","",IFERROR(IF(AND(H2580="W7",OR(F2580="causal",F2580="predictive")),IF(AND(K2580=1,L2580=1,M2580=1),"adequate","partial"),INDEX(Fit_Matrix!$B:$B,MATCH(P2580,Fit_Matrix!$A:$A,0))),"CHECK KEY"))</f>
        <v/>
      </c>
    </row>
    <row r="2581" customFormat="false" ht="15" hidden="false" customHeight="true" outlineLevel="0" collapsed="false">
      <c r="P2581" s="1" t="str">
        <f aca="false">IF(OR(F2581="",H2581="",J2581=""),"",J2581&amp;"|"&amp;F2581&amp;"|"&amp;IF(H2581="W3","W3_"&amp;IF(I2581="","unknown",I2581),H2581))</f>
        <v/>
      </c>
      <c r="Q2581" s="1" t="str">
        <f aca="false">IF(P2581="","",IFERROR(IF(AND(H2581="W7",OR(F2581="causal",F2581="predictive")),IF(AND(K2581=1,L2581=1,M2581=1),"adequate","partial"),INDEX(Fit_Matrix!$B:$B,MATCH(P2581,Fit_Matrix!$A:$A,0))),"CHECK KEY"))</f>
        <v/>
      </c>
    </row>
    <row r="2582" customFormat="false" ht="15" hidden="false" customHeight="true" outlineLevel="0" collapsed="false">
      <c r="P2582" s="1" t="str">
        <f aca="false">IF(OR(F2582="",H2582="",J2582=""),"",J2582&amp;"|"&amp;F2582&amp;"|"&amp;IF(H2582="W3","W3_"&amp;IF(I2582="","unknown",I2582),H2582))</f>
        <v/>
      </c>
      <c r="Q2582" s="1" t="str">
        <f aca="false">IF(P2582="","",IFERROR(IF(AND(H2582="W7",OR(F2582="causal",F2582="predictive")),IF(AND(K2582=1,L2582=1,M2582=1),"adequate","partial"),INDEX(Fit_Matrix!$B:$B,MATCH(P2582,Fit_Matrix!$A:$A,0))),"CHECK KEY"))</f>
        <v/>
      </c>
    </row>
    <row r="2583" customFormat="false" ht="15" hidden="false" customHeight="true" outlineLevel="0" collapsed="false">
      <c r="P2583" s="1" t="str">
        <f aca="false">IF(OR(F2583="",H2583="",J2583=""),"",J2583&amp;"|"&amp;F2583&amp;"|"&amp;IF(H2583="W3","W3_"&amp;IF(I2583="","unknown",I2583),H2583))</f>
        <v/>
      </c>
      <c r="Q2583" s="1" t="str">
        <f aca="false">IF(P2583="","",IFERROR(IF(AND(H2583="W7",OR(F2583="causal",F2583="predictive")),IF(AND(K2583=1,L2583=1,M2583=1),"adequate","partial"),INDEX(Fit_Matrix!$B:$B,MATCH(P2583,Fit_Matrix!$A:$A,0))),"CHECK KEY"))</f>
        <v/>
      </c>
    </row>
    <row r="2584" customFormat="false" ht="15" hidden="false" customHeight="true" outlineLevel="0" collapsed="false">
      <c r="P2584" s="1" t="str">
        <f aca="false">IF(OR(F2584="",H2584="",J2584=""),"",J2584&amp;"|"&amp;F2584&amp;"|"&amp;IF(H2584="W3","W3_"&amp;IF(I2584="","unknown",I2584),H2584))</f>
        <v/>
      </c>
      <c r="Q2584" s="1" t="str">
        <f aca="false">IF(P2584="","",IFERROR(IF(AND(H2584="W7",OR(F2584="causal",F2584="predictive")),IF(AND(K2584=1,L2584=1,M2584=1),"adequate","partial"),INDEX(Fit_Matrix!$B:$B,MATCH(P2584,Fit_Matrix!$A:$A,0))),"CHECK KEY"))</f>
        <v/>
      </c>
    </row>
    <row r="2585" customFormat="false" ht="15" hidden="false" customHeight="true" outlineLevel="0" collapsed="false">
      <c r="P2585" s="1" t="str">
        <f aca="false">IF(OR(F2585="",H2585="",J2585=""),"",J2585&amp;"|"&amp;F2585&amp;"|"&amp;IF(H2585="W3","W3_"&amp;IF(I2585="","unknown",I2585),H2585))</f>
        <v/>
      </c>
      <c r="Q2585" s="1" t="str">
        <f aca="false">IF(P2585="","",IFERROR(IF(AND(H2585="W7",OR(F2585="causal",F2585="predictive")),IF(AND(K2585=1,L2585=1,M2585=1),"adequate","partial"),INDEX(Fit_Matrix!$B:$B,MATCH(P2585,Fit_Matrix!$A:$A,0))),"CHECK KEY"))</f>
        <v/>
      </c>
    </row>
    <row r="2586" customFormat="false" ht="15" hidden="false" customHeight="true" outlineLevel="0" collapsed="false">
      <c r="P2586" s="1" t="str">
        <f aca="false">IF(OR(F2586="",H2586="",J2586=""),"",J2586&amp;"|"&amp;F2586&amp;"|"&amp;IF(H2586="W3","W3_"&amp;IF(I2586="","unknown",I2586),H2586))</f>
        <v/>
      </c>
      <c r="Q2586" s="1" t="str">
        <f aca="false">IF(P2586="","",IFERROR(IF(AND(H2586="W7",OR(F2586="causal",F2586="predictive")),IF(AND(K2586=1,L2586=1,M2586=1),"adequate","partial"),INDEX(Fit_Matrix!$B:$B,MATCH(P2586,Fit_Matrix!$A:$A,0))),"CHECK KEY"))</f>
        <v/>
      </c>
    </row>
    <row r="2587" customFormat="false" ht="15" hidden="false" customHeight="true" outlineLevel="0" collapsed="false">
      <c r="P2587" s="1" t="str">
        <f aca="false">IF(OR(F2587="",H2587="",J2587=""),"",J2587&amp;"|"&amp;F2587&amp;"|"&amp;IF(H2587="W3","W3_"&amp;IF(I2587="","unknown",I2587),H2587))</f>
        <v/>
      </c>
      <c r="Q2587" s="1" t="str">
        <f aca="false">IF(P2587="","",IFERROR(IF(AND(H2587="W7",OR(F2587="causal",F2587="predictive")),IF(AND(K2587=1,L2587=1,M2587=1),"adequate","partial"),INDEX(Fit_Matrix!$B:$B,MATCH(P2587,Fit_Matrix!$A:$A,0))),"CHECK KEY"))</f>
        <v/>
      </c>
    </row>
    <row r="2588" customFormat="false" ht="15" hidden="false" customHeight="true" outlineLevel="0" collapsed="false">
      <c r="P2588" s="1" t="str">
        <f aca="false">IF(OR(F2588="",H2588="",J2588=""),"",J2588&amp;"|"&amp;F2588&amp;"|"&amp;IF(H2588="W3","W3_"&amp;IF(I2588="","unknown",I2588),H2588))</f>
        <v/>
      </c>
      <c r="Q2588" s="1" t="str">
        <f aca="false">IF(P2588="","",IFERROR(IF(AND(H2588="W7",OR(F2588="causal",F2588="predictive")),IF(AND(K2588=1,L2588=1,M2588=1),"adequate","partial"),INDEX(Fit_Matrix!$B:$B,MATCH(P2588,Fit_Matrix!$A:$A,0))),"CHECK KEY"))</f>
        <v/>
      </c>
    </row>
    <row r="2589" customFormat="false" ht="15" hidden="false" customHeight="true" outlineLevel="0" collapsed="false">
      <c r="P2589" s="1" t="str">
        <f aca="false">IF(OR(F2589="",H2589="",J2589=""),"",J2589&amp;"|"&amp;F2589&amp;"|"&amp;IF(H2589="W3","W3_"&amp;IF(I2589="","unknown",I2589),H2589))</f>
        <v/>
      </c>
      <c r="Q2589" s="1" t="str">
        <f aca="false">IF(P2589="","",IFERROR(IF(AND(H2589="W7",OR(F2589="causal",F2589="predictive")),IF(AND(K2589=1,L2589=1,M2589=1),"adequate","partial"),INDEX(Fit_Matrix!$B:$B,MATCH(P2589,Fit_Matrix!$A:$A,0))),"CHECK KEY"))</f>
        <v/>
      </c>
    </row>
    <row r="2590" customFormat="false" ht="15" hidden="false" customHeight="true" outlineLevel="0" collapsed="false">
      <c r="P2590" s="1" t="str">
        <f aca="false">IF(OR(F2590="",H2590="",J2590=""),"",J2590&amp;"|"&amp;F2590&amp;"|"&amp;IF(H2590="W3","W3_"&amp;IF(I2590="","unknown",I2590),H2590))</f>
        <v/>
      </c>
      <c r="Q2590" s="1" t="str">
        <f aca="false">IF(P2590="","",IFERROR(IF(AND(H2590="W7",OR(F2590="causal",F2590="predictive")),IF(AND(K2590=1,L2590=1,M2590=1),"adequate","partial"),INDEX(Fit_Matrix!$B:$B,MATCH(P2590,Fit_Matrix!$A:$A,0))),"CHECK KEY"))</f>
        <v/>
      </c>
    </row>
    <row r="2591" customFormat="false" ht="15" hidden="false" customHeight="true" outlineLevel="0" collapsed="false">
      <c r="P2591" s="1" t="str">
        <f aca="false">IF(OR(F2591="",H2591="",J2591=""),"",J2591&amp;"|"&amp;F2591&amp;"|"&amp;IF(H2591="W3","W3_"&amp;IF(I2591="","unknown",I2591),H2591))</f>
        <v/>
      </c>
      <c r="Q2591" s="1" t="str">
        <f aca="false">IF(P2591="","",IFERROR(IF(AND(H2591="W7",OR(F2591="causal",F2591="predictive")),IF(AND(K2591=1,L2591=1,M2591=1),"adequate","partial"),INDEX(Fit_Matrix!$B:$B,MATCH(P2591,Fit_Matrix!$A:$A,0))),"CHECK KEY"))</f>
        <v/>
      </c>
    </row>
    <row r="2592" customFormat="false" ht="15" hidden="false" customHeight="true" outlineLevel="0" collapsed="false">
      <c r="P2592" s="1" t="str">
        <f aca="false">IF(OR(F2592="",H2592="",J2592=""),"",J2592&amp;"|"&amp;F2592&amp;"|"&amp;IF(H2592="W3","W3_"&amp;IF(I2592="","unknown",I2592),H2592))</f>
        <v/>
      </c>
      <c r="Q2592" s="1" t="str">
        <f aca="false">IF(P2592="","",IFERROR(IF(AND(H2592="W7",OR(F2592="causal",F2592="predictive")),IF(AND(K2592=1,L2592=1,M2592=1),"adequate","partial"),INDEX(Fit_Matrix!$B:$B,MATCH(P2592,Fit_Matrix!$A:$A,0))),"CHECK KEY"))</f>
        <v/>
      </c>
    </row>
    <row r="2593" customFormat="false" ht="15" hidden="false" customHeight="true" outlineLevel="0" collapsed="false">
      <c r="P2593" s="1" t="str">
        <f aca="false">IF(OR(F2593="",H2593="",J2593=""),"",J2593&amp;"|"&amp;F2593&amp;"|"&amp;IF(H2593="W3","W3_"&amp;IF(I2593="","unknown",I2593),H2593))</f>
        <v/>
      </c>
      <c r="Q2593" s="1" t="str">
        <f aca="false">IF(P2593="","",IFERROR(IF(AND(H2593="W7",OR(F2593="causal",F2593="predictive")),IF(AND(K2593=1,L2593=1,M2593=1),"adequate","partial"),INDEX(Fit_Matrix!$B:$B,MATCH(P2593,Fit_Matrix!$A:$A,0))),"CHECK KEY"))</f>
        <v/>
      </c>
    </row>
    <row r="2594" customFormat="false" ht="15" hidden="false" customHeight="true" outlineLevel="0" collapsed="false">
      <c r="P2594" s="1" t="str">
        <f aca="false">IF(OR(F2594="",H2594="",J2594=""),"",J2594&amp;"|"&amp;F2594&amp;"|"&amp;IF(H2594="W3","W3_"&amp;IF(I2594="","unknown",I2594),H2594))</f>
        <v/>
      </c>
      <c r="Q2594" s="1" t="str">
        <f aca="false">IF(P2594="","",IFERROR(IF(AND(H2594="W7",OR(F2594="causal",F2594="predictive")),IF(AND(K2594=1,L2594=1,M2594=1),"adequate","partial"),INDEX(Fit_Matrix!$B:$B,MATCH(P2594,Fit_Matrix!$A:$A,0))),"CHECK KEY"))</f>
        <v/>
      </c>
    </row>
    <row r="2595" customFormat="false" ht="15" hidden="false" customHeight="true" outlineLevel="0" collapsed="false">
      <c r="P2595" s="1" t="str">
        <f aca="false">IF(OR(F2595="",H2595="",J2595=""),"",J2595&amp;"|"&amp;F2595&amp;"|"&amp;IF(H2595="W3","W3_"&amp;IF(I2595="","unknown",I2595),H2595))</f>
        <v/>
      </c>
      <c r="Q2595" s="1" t="str">
        <f aca="false">IF(P2595="","",IFERROR(IF(AND(H2595="W7",OR(F2595="causal",F2595="predictive")),IF(AND(K2595=1,L2595=1,M2595=1),"adequate","partial"),INDEX(Fit_Matrix!$B:$B,MATCH(P2595,Fit_Matrix!$A:$A,0))),"CHECK KEY"))</f>
        <v/>
      </c>
    </row>
    <row r="2596" customFormat="false" ht="15" hidden="false" customHeight="true" outlineLevel="0" collapsed="false">
      <c r="P2596" s="1" t="str">
        <f aca="false">IF(OR(F2596="",H2596="",J2596=""),"",J2596&amp;"|"&amp;F2596&amp;"|"&amp;IF(H2596="W3","W3_"&amp;IF(I2596="","unknown",I2596),H2596))</f>
        <v/>
      </c>
      <c r="Q2596" s="1" t="str">
        <f aca="false">IF(P2596="","",IFERROR(IF(AND(H2596="W7",OR(F2596="causal",F2596="predictive")),IF(AND(K2596=1,L2596=1,M2596=1),"adequate","partial"),INDEX(Fit_Matrix!$B:$B,MATCH(P2596,Fit_Matrix!$A:$A,0))),"CHECK KEY"))</f>
        <v/>
      </c>
    </row>
    <row r="2597" customFormat="false" ht="15" hidden="false" customHeight="true" outlineLevel="0" collapsed="false">
      <c r="P2597" s="1" t="str">
        <f aca="false">IF(OR(F2597="",H2597="",J2597=""),"",J2597&amp;"|"&amp;F2597&amp;"|"&amp;IF(H2597="W3","W3_"&amp;IF(I2597="","unknown",I2597),H2597))</f>
        <v/>
      </c>
      <c r="Q2597" s="1" t="str">
        <f aca="false">IF(P2597="","",IFERROR(IF(AND(H2597="W7",OR(F2597="causal",F2597="predictive")),IF(AND(K2597=1,L2597=1,M2597=1),"adequate","partial"),INDEX(Fit_Matrix!$B:$B,MATCH(P2597,Fit_Matrix!$A:$A,0))),"CHECK KEY"))</f>
        <v/>
      </c>
    </row>
    <row r="2598" customFormat="false" ht="15" hidden="false" customHeight="true" outlineLevel="0" collapsed="false">
      <c r="P2598" s="1" t="str">
        <f aca="false">IF(OR(F2598="",H2598="",J2598=""),"",J2598&amp;"|"&amp;F2598&amp;"|"&amp;IF(H2598="W3","W3_"&amp;IF(I2598="","unknown",I2598),H2598))</f>
        <v/>
      </c>
      <c r="Q2598" s="1" t="str">
        <f aca="false">IF(P2598="","",IFERROR(IF(AND(H2598="W7",OR(F2598="causal",F2598="predictive")),IF(AND(K2598=1,L2598=1,M2598=1),"adequate","partial"),INDEX(Fit_Matrix!$B:$B,MATCH(P2598,Fit_Matrix!$A:$A,0))),"CHECK KEY"))</f>
        <v/>
      </c>
    </row>
    <row r="2599" customFormat="false" ht="15" hidden="false" customHeight="true" outlineLevel="0" collapsed="false">
      <c r="P2599" s="1" t="str">
        <f aca="false">IF(OR(F2599="",H2599="",J2599=""),"",J2599&amp;"|"&amp;F2599&amp;"|"&amp;IF(H2599="W3","W3_"&amp;IF(I2599="","unknown",I2599),H2599))</f>
        <v/>
      </c>
      <c r="Q2599" s="1" t="str">
        <f aca="false">IF(P2599="","",IFERROR(IF(AND(H2599="W7",OR(F2599="causal",F2599="predictive")),IF(AND(K2599=1,L2599=1,M2599=1),"adequate","partial"),INDEX(Fit_Matrix!$B:$B,MATCH(P2599,Fit_Matrix!$A:$A,0))),"CHECK KEY"))</f>
        <v/>
      </c>
    </row>
    <row r="2600" customFormat="false" ht="15" hidden="false" customHeight="true" outlineLevel="0" collapsed="false">
      <c r="P2600" s="1" t="str">
        <f aca="false">IF(OR(F2600="",H2600="",J2600=""),"",J2600&amp;"|"&amp;F2600&amp;"|"&amp;IF(H2600="W3","W3_"&amp;IF(I2600="","unknown",I2600),H2600))</f>
        <v/>
      </c>
      <c r="Q2600" s="1" t="str">
        <f aca="false">IF(P2600="","",IFERROR(IF(AND(H2600="W7",OR(F2600="causal",F2600="predictive")),IF(AND(K2600=1,L2600=1,M2600=1),"adequate","partial"),INDEX(Fit_Matrix!$B:$B,MATCH(P2600,Fit_Matrix!$A:$A,0))),"CHECK KEY"))</f>
        <v/>
      </c>
    </row>
    <row r="2601" customFormat="false" ht="15" hidden="false" customHeight="true" outlineLevel="0" collapsed="false">
      <c r="P2601" s="1" t="str">
        <f aca="false">IF(OR(F2601="",H2601="",J2601=""),"",J2601&amp;"|"&amp;F2601&amp;"|"&amp;IF(H2601="W3","W3_"&amp;IF(I2601="","unknown",I2601),H2601))</f>
        <v/>
      </c>
      <c r="Q2601" s="1" t="str">
        <f aca="false">IF(P2601="","",IFERROR(IF(AND(H2601="W7",OR(F2601="causal",F2601="predictive")),IF(AND(K2601=1,L2601=1,M2601=1),"adequate","partial"),INDEX(Fit_Matrix!$B:$B,MATCH(P2601,Fit_Matrix!$A:$A,0))),"CHECK KEY"))</f>
        <v/>
      </c>
    </row>
    <row r="2602" customFormat="false" ht="15" hidden="false" customHeight="true" outlineLevel="0" collapsed="false">
      <c r="P2602" s="1" t="str">
        <f aca="false">IF(OR(F2602="",H2602="",J2602=""),"",J2602&amp;"|"&amp;F2602&amp;"|"&amp;IF(H2602="W3","W3_"&amp;IF(I2602="","unknown",I2602),H2602))</f>
        <v/>
      </c>
      <c r="Q2602" s="1" t="str">
        <f aca="false">IF(P2602="","",IFERROR(IF(AND(H2602="W7",OR(F2602="causal",F2602="predictive")),IF(AND(K2602=1,L2602=1,M2602=1),"adequate","partial"),INDEX(Fit_Matrix!$B:$B,MATCH(P2602,Fit_Matrix!$A:$A,0))),"CHECK KEY"))</f>
        <v/>
      </c>
    </row>
    <row r="2603" customFormat="false" ht="15" hidden="false" customHeight="true" outlineLevel="0" collapsed="false">
      <c r="P2603" s="1" t="str">
        <f aca="false">IF(OR(F2603="",H2603="",J2603=""),"",J2603&amp;"|"&amp;F2603&amp;"|"&amp;IF(H2603="W3","W3_"&amp;IF(I2603="","unknown",I2603),H2603))</f>
        <v/>
      </c>
      <c r="Q2603" s="1" t="str">
        <f aca="false">IF(P2603="","",IFERROR(IF(AND(H2603="W7",OR(F2603="causal",F2603="predictive")),IF(AND(K2603=1,L2603=1,M2603=1),"adequate","partial"),INDEX(Fit_Matrix!$B:$B,MATCH(P2603,Fit_Matrix!$A:$A,0))),"CHECK KEY"))</f>
        <v/>
      </c>
    </row>
    <row r="2604" customFormat="false" ht="15" hidden="false" customHeight="true" outlineLevel="0" collapsed="false">
      <c r="P2604" s="1" t="str">
        <f aca="false">IF(OR(F2604="",H2604="",J2604=""),"",J2604&amp;"|"&amp;F2604&amp;"|"&amp;IF(H2604="W3","W3_"&amp;IF(I2604="","unknown",I2604),H2604))</f>
        <v/>
      </c>
      <c r="Q2604" s="1" t="str">
        <f aca="false">IF(P2604="","",IFERROR(IF(AND(H2604="W7",OR(F2604="causal",F2604="predictive")),IF(AND(K2604=1,L2604=1,M2604=1),"adequate","partial"),INDEX(Fit_Matrix!$B:$B,MATCH(P2604,Fit_Matrix!$A:$A,0))),"CHECK KEY"))</f>
        <v/>
      </c>
    </row>
    <row r="2605" customFormat="false" ht="15" hidden="false" customHeight="true" outlineLevel="0" collapsed="false">
      <c r="P2605" s="1" t="str">
        <f aca="false">IF(OR(F2605="",H2605="",J2605=""),"",J2605&amp;"|"&amp;F2605&amp;"|"&amp;IF(H2605="W3","W3_"&amp;IF(I2605="","unknown",I2605),H2605))</f>
        <v/>
      </c>
      <c r="Q2605" s="1" t="str">
        <f aca="false">IF(P2605="","",IFERROR(IF(AND(H2605="W7",OR(F2605="causal",F2605="predictive")),IF(AND(K2605=1,L2605=1,M2605=1),"adequate","partial"),INDEX(Fit_Matrix!$B:$B,MATCH(P2605,Fit_Matrix!$A:$A,0))),"CHECK KEY"))</f>
        <v/>
      </c>
    </row>
    <row r="2606" customFormat="false" ht="15" hidden="false" customHeight="true" outlineLevel="0" collapsed="false">
      <c r="P2606" s="1" t="str">
        <f aca="false">IF(OR(F2606="",H2606="",J2606=""),"",J2606&amp;"|"&amp;F2606&amp;"|"&amp;IF(H2606="W3","W3_"&amp;IF(I2606="","unknown",I2606),H2606))</f>
        <v/>
      </c>
      <c r="Q2606" s="1" t="str">
        <f aca="false">IF(P2606="","",IFERROR(IF(AND(H2606="W7",OR(F2606="causal",F2606="predictive")),IF(AND(K2606=1,L2606=1,M2606=1),"adequate","partial"),INDEX(Fit_Matrix!$B:$B,MATCH(P2606,Fit_Matrix!$A:$A,0))),"CHECK KEY"))</f>
        <v/>
      </c>
    </row>
    <row r="2607" customFormat="false" ht="15" hidden="false" customHeight="true" outlineLevel="0" collapsed="false">
      <c r="P2607" s="1" t="str">
        <f aca="false">IF(OR(F2607="",H2607="",J2607=""),"",J2607&amp;"|"&amp;F2607&amp;"|"&amp;IF(H2607="W3","W3_"&amp;IF(I2607="","unknown",I2607),H2607))</f>
        <v/>
      </c>
      <c r="Q2607" s="1" t="str">
        <f aca="false">IF(P2607="","",IFERROR(IF(AND(H2607="W7",OR(F2607="causal",F2607="predictive")),IF(AND(K2607=1,L2607=1,M2607=1),"adequate","partial"),INDEX(Fit_Matrix!$B:$B,MATCH(P2607,Fit_Matrix!$A:$A,0))),"CHECK KEY"))</f>
        <v/>
      </c>
    </row>
    <row r="2608" customFormat="false" ht="15" hidden="false" customHeight="true" outlineLevel="0" collapsed="false">
      <c r="P2608" s="1" t="str">
        <f aca="false">IF(OR(F2608="",H2608="",J2608=""),"",J2608&amp;"|"&amp;F2608&amp;"|"&amp;IF(H2608="W3","W3_"&amp;IF(I2608="","unknown",I2608),H2608))</f>
        <v/>
      </c>
      <c r="Q2608" s="1" t="str">
        <f aca="false">IF(P2608="","",IFERROR(IF(AND(H2608="W7",OR(F2608="causal",F2608="predictive")),IF(AND(K2608=1,L2608=1,M2608=1),"adequate","partial"),INDEX(Fit_Matrix!$B:$B,MATCH(P2608,Fit_Matrix!$A:$A,0))),"CHECK KEY"))</f>
        <v/>
      </c>
    </row>
    <row r="2609" customFormat="false" ht="15" hidden="false" customHeight="true" outlineLevel="0" collapsed="false">
      <c r="P2609" s="1" t="str">
        <f aca="false">IF(OR(F2609="",H2609="",J2609=""),"",J2609&amp;"|"&amp;F2609&amp;"|"&amp;IF(H2609="W3","W3_"&amp;IF(I2609="","unknown",I2609),H2609))</f>
        <v/>
      </c>
      <c r="Q2609" s="1" t="str">
        <f aca="false">IF(P2609="","",IFERROR(IF(AND(H2609="W7",OR(F2609="causal",F2609="predictive")),IF(AND(K2609=1,L2609=1,M2609=1),"adequate","partial"),INDEX(Fit_Matrix!$B:$B,MATCH(P2609,Fit_Matrix!$A:$A,0))),"CHECK KEY"))</f>
        <v/>
      </c>
    </row>
    <row r="2610" customFormat="false" ht="15" hidden="false" customHeight="true" outlineLevel="0" collapsed="false">
      <c r="P2610" s="1" t="str">
        <f aca="false">IF(OR(F2610="",H2610="",J2610=""),"",J2610&amp;"|"&amp;F2610&amp;"|"&amp;IF(H2610="W3","W3_"&amp;IF(I2610="","unknown",I2610),H2610))</f>
        <v/>
      </c>
      <c r="Q2610" s="1" t="str">
        <f aca="false">IF(P2610="","",IFERROR(IF(AND(H2610="W7",OR(F2610="causal",F2610="predictive")),IF(AND(K2610=1,L2610=1,M2610=1),"adequate","partial"),INDEX(Fit_Matrix!$B:$B,MATCH(P2610,Fit_Matrix!$A:$A,0))),"CHECK KEY"))</f>
        <v/>
      </c>
    </row>
    <row r="2611" customFormat="false" ht="15" hidden="false" customHeight="true" outlineLevel="0" collapsed="false">
      <c r="P2611" s="1" t="str">
        <f aca="false">IF(OR(F2611="",H2611="",J2611=""),"",J2611&amp;"|"&amp;F2611&amp;"|"&amp;IF(H2611="W3","W3_"&amp;IF(I2611="","unknown",I2611),H2611))</f>
        <v/>
      </c>
      <c r="Q2611" s="1" t="str">
        <f aca="false">IF(P2611="","",IFERROR(IF(AND(H2611="W7",OR(F2611="causal",F2611="predictive")),IF(AND(K2611=1,L2611=1,M2611=1),"adequate","partial"),INDEX(Fit_Matrix!$B:$B,MATCH(P2611,Fit_Matrix!$A:$A,0))),"CHECK KEY"))</f>
        <v/>
      </c>
    </row>
    <row r="2612" customFormat="false" ht="15" hidden="false" customHeight="true" outlineLevel="0" collapsed="false">
      <c r="P2612" s="1" t="str">
        <f aca="false">IF(OR(F2612="",H2612="",J2612=""),"",J2612&amp;"|"&amp;F2612&amp;"|"&amp;IF(H2612="W3","W3_"&amp;IF(I2612="","unknown",I2612),H2612))</f>
        <v/>
      </c>
      <c r="Q2612" s="1" t="str">
        <f aca="false">IF(P2612="","",IFERROR(IF(AND(H2612="W7",OR(F2612="causal",F2612="predictive")),IF(AND(K2612=1,L2612=1,M2612=1),"adequate","partial"),INDEX(Fit_Matrix!$B:$B,MATCH(P2612,Fit_Matrix!$A:$A,0))),"CHECK KEY"))</f>
        <v/>
      </c>
    </row>
    <row r="2613" customFormat="false" ht="15" hidden="false" customHeight="true" outlineLevel="0" collapsed="false">
      <c r="P2613" s="1" t="str">
        <f aca="false">IF(OR(F2613="",H2613="",J2613=""),"",J2613&amp;"|"&amp;F2613&amp;"|"&amp;IF(H2613="W3","W3_"&amp;IF(I2613="","unknown",I2613),H2613))</f>
        <v/>
      </c>
      <c r="Q2613" s="1" t="str">
        <f aca="false">IF(P2613="","",IFERROR(IF(AND(H2613="W7",OR(F2613="causal",F2613="predictive")),IF(AND(K2613=1,L2613=1,M2613=1),"adequate","partial"),INDEX(Fit_Matrix!$B:$B,MATCH(P2613,Fit_Matrix!$A:$A,0))),"CHECK KEY"))</f>
        <v/>
      </c>
    </row>
    <row r="2614" customFormat="false" ht="15" hidden="false" customHeight="true" outlineLevel="0" collapsed="false">
      <c r="P2614" s="1" t="str">
        <f aca="false">IF(OR(F2614="",H2614="",J2614=""),"",J2614&amp;"|"&amp;F2614&amp;"|"&amp;IF(H2614="W3","W3_"&amp;IF(I2614="","unknown",I2614),H2614))</f>
        <v/>
      </c>
      <c r="Q2614" s="1" t="str">
        <f aca="false">IF(P2614="","",IFERROR(IF(AND(H2614="W7",OR(F2614="causal",F2614="predictive")),IF(AND(K2614=1,L2614=1,M2614=1),"adequate","partial"),INDEX(Fit_Matrix!$B:$B,MATCH(P2614,Fit_Matrix!$A:$A,0))),"CHECK KEY"))</f>
        <v/>
      </c>
    </row>
    <row r="2615" customFormat="false" ht="15" hidden="false" customHeight="true" outlineLevel="0" collapsed="false">
      <c r="P2615" s="1" t="str">
        <f aca="false">IF(OR(F2615="",H2615="",J2615=""),"",J2615&amp;"|"&amp;F2615&amp;"|"&amp;IF(H2615="W3","W3_"&amp;IF(I2615="","unknown",I2615),H2615))</f>
        <v/>
      </c>
      <c r="Q2615" s="1" t="str">
        <f aca="false">IF(P2615="","",IFERROR(IF(AND(H2615="W7",OR(F2615="causal",F2615="predictive")),IF(AND(K2615=1,L2615=1,M2615=1),"adequate","partial"),INDEX(Fit_Matrix!$B:$B,MATCH(P2615,Fit_Matrix!$A:$A,0))),"CHECK KEY"))</f>
        <v/>
      </c>
    </row>
    <row r="2616" customFormat="false" ht="15" hidden="false" customHeight="true" outlineLevel="0" collapsed="false">
      <c r="P2616" s="1" t="str">
        <f aca="false">IF(OR(F2616="",H2616="",J2616=""),"",J2616&amp;"|"&amp;F2616&amp;"|"&amp;IF(H2616="W3","W3_"&amp;IF(I2616="","unknown",I2616),H2616))</f>
        <v/>
      </c>
      <c r="Q2616" s="1" t="str">
        <f aca="false">IF(P2616="","",IFERROR(IF(AND(H2616="W7",OR(F2616="causal",F2616="predictive")),IF(AND(K2616=1,L2616=1,M2616=1),"adequate","partial"),INDEX(Fit_Matrix!$B:$B,MATCH(P2616,Fit_Matrix!$A:$A,0))),"CHECK KEY"))</f>
        <v/>
      </c>
    </row>
    <row r="2617" customFormat="false" ht="15" hidden="false" customHeight="true" outlineLevel="0" collapsed="false">
      <c r="P2617" s="1" t="str">
        <f aca="false">IF(OR(F2617="",H2617="",J2617=""),"",J2617&amp;"|"&amp;F2617&amp;"|"&amp;IF(H2617="W3","W3_"&amp;IF(I2617="","unknown",I2617),H2617))</f>
        <v/>
      </c>
      <c r="Q2617" s="1" t="str">
        <f aca="false">IF(P2617="","",IFERROR(IF(AND(H2617="W7",OR(F2617="causal",F2617="predictive")),IF(AND(K2617=1,L2617=1,M2617=1),"adequate","partial"),INDEX(Fit_Matrix!$B:$B,MATCH(P2617,Fit_Matrix!$A:$A,0))),"CHECK KEY"))</f>
        <v/>
      </c>
    </row>
    <row r="2618" customFormat="false" ht="15" hidden="false" customHeight="true" outlineLevel="0" collapsed="false">
      <c r="P2618" s="1" t="str">
        <f aca="false">IF(OR(F2618="",H2618="",J2618=""),"",J2618&amp;"|"&amp;F2618&amp;"|"&amp;IF(H2618="W3","W3_"&amp;IF(I2618="","unknown",I2618),H2618))</f>
        <v/>
      </c>
      <c r="Q2618" s="1" t="str">
        <f aca="false">IF(P2618="","",IFERROR(IF(AND(H2618="W7",OR(F2618="causal",F2618="predictive")),IF(AND(K2618=1,L2618=1,M2618=1),"adequate","partial"),INDEX(Fit_Matrix!$B:$B,MATCH(P2618,Fit_Matrix!$A:$A,0))),"CHECK KEY"))</f>
        <v/>
      </c>
    </row>
    <row r="2619" customFormat="false" ht="15" hidden="false" customHeight="true" outlineLevel="0" collapsed="false">
      <c r="P2619" s="1" t="str">
        <f aca="false">IF(OR(F2619="",H2619="",J2619=""),"",J2619&amp;"|"&amp;F2619&amp;"|"&amp;IF(H2619="W3","W3_"&amp;IF(I2619="","unknown",I2619),H2619))</f>
        <v/>
      </c>
      <c r="Q2619" s="1" t="str">
        <f aca="false">IF(P2619="","",IFERROR(IF(AND(H2619="W7",OR(F2619="causal",F2619="predictive")),IF(AND(K2619=1,L2619=1,M2619=1),"adequate","partial"),INDEX(Fit_Matrix!$B:$B,MATCH(P2619,Fit_Matrix!$A:$A,0))),"CHECK KEY"))</f>
        <v/>
      </c>
    </row>
    <row r="2620" customFormat="false" ht="15" hidden="false" customHeight="true" outlineLevel="0" collapsed="false">
      <c r="P2620" s="1" t="str">
        <f aca="false">IF(OR(F2620="",H2620="",J2620=""),"",J2620&amp;"|"&amp;F2620&amp;"|"&amp;IF(H2620="W3","W3_"&amp;IF(I2620="","unknown",I2620),H2620))</f>
        <v/>
      </c>
      <c r="Q2620" s="1" t="str">
        <f aca="false">IF(P2620="","",IFERROR(IF(AND(H2620="W7",OR(F2620="causal",F2620="predictive")),IF(AND(K2620=1,L2620=1,M2620=1),"adequate","partial"),INDEX(Fit_Matrix!$B:$B,MATCH(P2620,Fit_Matrix!$A:$A,0))),"CHECK KEY"))</f>
        <v/>
      </c>
    </row>
    <row r="2621" customFormat="false" ht="15" hidden="false" customHeight="true" outlineLevel="0" collapsed="false">
      <c r="P2621" s="1" t="str">
        <f aca="false">IF(OR(F2621="",H2621="",J2621=""),"",J2621&amp;"|"&amp;F2621&amp;"|"&amp;IF(H2621="W3","W3_"&amp;IF(I2621="","unknown",I2621),H2621))</f>
        <v/>
      </c>
      <c r="Q2621" s="1" t="str">
        <f aca="false">IF(P2621="","",IFERROR(IF(AND(H2621="W7",OR(F2621="causal",F2621="predictive")),IF(AND(K2621=1,L2621=1,M2621=1),"adequate","partial"),INDEX(Fit_Matrix!$B:$B,MATCH(P2621,Fit_Matrix!$A:$A,0))),"CHECK KEY"))</f>
        <v/>
      </c>
    </row>
    <row r="2622" customFormat="false" ht="15" hidden="false" customHeight="true" outlineLevel="0" collapsed="false">
      <c r="P2622" s="1" t="str">
        <f aca="false">IF(OR(F2622="",H2622="",J2622=""),"",J2622&amp;"|"&amp;F2622&amp;"|"&amp;IF(H2622="W3","W3_"&amp;IF(I2622="","unknown",I2622),H2622))</f>
        <v/>
      </c>
      <c r="Q2622" s="1" t="str">
        <f aca="false">IF(P2622="","",IFERROR(IF(AND(H2622="W7",OR(F2622="causal",F2622="predictive")),IF(AND(K2622=1,L2622=1,M2622=1),"adequate","partial"),INDEX(Fit_Matrix!$B:$B,MATCH(P2622,Fit_Matrix!$A:$A,0))),"CHECK KEY"))</f>
        <v/>
      </c>
    </row>
    <row r="2623" customFormat="false" ht="15" hidden="false" customHeight="true" outlineLevel="0" collapsed="false">
      <c r="P2623" s="1" t="str">
        <f aca="false">IF(OR(F2623="",H2623="",J2623=""),"",J2623&amp;"|"&amp;F2623&amp;"|"&amp;IF(H2623="W3","W3_"&amp;IF(I2623="","unknown",I2623),H2623))</f>
        <v/>
      </c>
      <c r="Q2623" s="1" t="str">
        <f aca="false">IF(P2623="","",IFERROR(IF(AND(H2623="W7",OR(F2623="causal",F2623="predictive")),IF(AND(K2623=1,L2623=1,M2623=1),"adequate","partial"),INDEX(Fit_Matrix!$B:$B,MATCH(P2623,Fit_Matrix!$A:$A,0))),"CHECK KEY"))</f>
        <v/>
      </c>
    </row>
    <row r="2624" customFormat="false" ht="15" hidden="false" customHeight="true" outlineLevel="0" collapsed="false">
      <c r="P2624" s="1" t="str">
        <f aca="false">IF(OR(F2624="",H2624="",J2624=""),"",J2624&amp;"|"&amp;F2624&amp;"|"&amp;IF(H2624="W3","W3_"&amp;IF(I2624="","unknown",I2624),H2624))</f>
        <v/>
      </c>
      <c r="Q2624" s="1" t="str">
        <f aca="false">IF(P2624="","",IFERROR(IF(AND(H2624="W7",OR(F2624="causal",F2624="predictive")),IF(AND(K2624=1,L2624=1,M2624=1),"adequate","partial"),INDEX(Fit_Matrix!$B:$B,MATCH(P2624,Fit_Matrix!$A:$A,0))),"CHECK KEY"))</f>
        <v/>
      </c>
    </row>
    <row r="2625" customFormat="false" ht="15" hidden="false" customHeight="true" outlineLevel="0" collapsed="false">
      <c r="P2625" s="1" t="str">
        <f aca="false">IF(OR(F2625="",H2625="",J2625=""),"",J2625&amp;"|"&amp;F2625&amp;"|"&amp;IF(H2625="W3","W3_"&amp;IF(I2625="","unknown",I2625),H2625))</f>
        <v/>
      </c>
      <c r="Q2625" s="1" t="str">
        <f aca="false">IF(P2625="","",IFERROR(IF(AND(H2625="W7",OR(F2625="causal",F2625="predictive")),IF(AND(K2625=1,L2625=1,M2625=1),"adequate","partial"),INDEX(Fit_Matrix!$B:$B,MATCH(P2625,Fit_Matrix!$A:$A,0))),"CHECK KEY"))</f>
        <v/>
      </c>
    </row>
    <row r="2626" customFormat="false" ht="15" hidden="false" customHeight="true" outlineLevel="0" collapsed="false">
      <c r="P2626" s="1" t="str">
        <f aca="false">IF(OR(F2626="",H2626="",J2626=""),"",J2626&amp;"|"&amp;F2626&amp;"|"&amp;IF(H2626="W3","W3_"&amp;IF(I2626="","unknown",I2626),H2626))</f>
        <v/>
      </c>
      <c r="Q2626" s="1" t="str">
        <f aca="false">IF(P2626="","",IFERROR(IF(AND(H2626="W7",OR(F2626="causal",F2626="predictive")),IF(AND(K2626=1,L2626=1,M2626=1),"adequate","partial"),INDEX(Fit_Matrix!$B:$B,MATCH(P2626,Fit_Matrix!$A:$A,0))),"CHECK KEY"))</f>
        <v/>
      </c>
    </row>
    <row r="2627" customFormat="false" ht="15" hidden="false" customHeight="true" outlineLevel="0" collapsed="false">
      <c r="P2627" s="1" t="str">
        <f aca="false">IF(OR(F2627="",H2627="",J2627=""),"",J2627&amp;"|"&amp;F2627&amp;"|"&amp;IF(H2627="W3","W3_"&amp;IF(I2627="","unknown",I2627),H2627))</f>
        <v/>
      </c>
      <c r="Q2627" s="1" t="str">
        <f aca="false">IF(P2627="","",IFERROR(IF(AND(H2627="W7",OR(F2627="causal",F2627="predictive")),IF(AND(K2627=1,L2627=1,M2627=1),"adequate","partial"),INDEX(Fit_Matrix!$B:$B,MATCH(P2627,Fit_Matrix!$A:$A,0))),"CHECK KEY"))</f>
        <v/>
      </c>
    </row>
    <row r="2628" customFormat="false" ht="15" hidden="false" customHeight="true" outlineLevel="0" collapsed="false">
      <c r="P2628" s="1" t="str">
        <f aca="false">IF(OR(F2628="",H2628="",J2628=""),"",J2628&amp;"|"&amp;F2628&amp;"|"&amp;IF(H2628="W3","W3_"&amp;IF(I2628="","unknown",I2628),H2628))</f>
        <v/>
      </c>
      <c r="Q2628" s="1" t="str">
        <f aca="false">IF(P2628="","",IFERROR(IF(AND(H2628="W7",OR(F2628="causal",F2628="predictive")),IF(AND(K2628=1,L2628=1,M2628=1),"adequate","partial"),INDEX(Fit_Matrix!$B:$B,MATCH(P2628,Fit_Matrix!$A:$A,0))),"CHECK KEY"))</f>
        <v/>
      </c>
    </row>
    <row r="2629" customFormat="false" ht="15" hidden="false" customHeight="true" outlineLevel="0" collapsed="false">
      <c r="P2629" s="1" t="str">
        <f aca="false">IF(OR(F2629="",H2629="",J2629=""),"",J2629&amp;"|"&amp;F2629&amp;"|"&amp;IF(H2629="W3","W3_"&amp;IF(I2629="","unknown",I2629),H2629))</f>
        <v/>
      </c>
      <c r="Q2629" s="1" t="str">
        <f aca="false">IF(P2629="","",IFERROR(IF(AND(H2629="W7",OR(F2629="causal",F2629="predictive")),IF(AND(K2629=1,L2629=1,M2629=1),"adequate","partial"),INDEX(Fit_Matrix!$B:$B,MATCH(P2629,Fit_Matrix!$A:$A,0))),"CHECK KEY"))</f>
        <v/>
      </c>
    </row>
    <row r="2630" customFormat="false" ht="15" hidden="false" customHeight="true" outlineLevel="0" collapsed="false">
      <c r="P2630" s="1" t="str">
        <f aca="false">IF(OR(F2630="",H2630="",J2630=""),"",J2630&amp;"|"&amp;F2630&amp;"|"&amp;IF(H2630="W3","W3_"&amp;IF(I2630="","unknown",I2630),H2630))</f>
        <v/>
      </c>
      <c r="Q2630" s="1" t="str">
        <f aca="false">IF(P2630="","",IFERROR(IF(AND(H2630="W7",OR(F2630="causal",F2630="predictive")),IF(AND(K2630=1,L2630=1,M2630=1),"adequate","partial"),INDEX(Fit_Matrix!$B:$B,MATCH(P2630,Fit_Matrix!$A:$A,0))),"CHECK KEY"))</f>
        <v/>
      </c>
    </row>
    <row r="2631" customFormat="false" ht="15" hidden="false" customHeight="true" outlineLevel="0" collapsed="false">
      <c r="P2631" s="1" t="str">
        <f aca="false">IF(OR(F2631="",H2631="",J2631=""),"",J2631&amp;"|"&amp;F2631&amp;"|"&amp;IF(H2631="W3","W3_"&amp;IF(I2631="","unknown",I2631),H2631))</f>
        <v/>
      </c>
      <c r="Q2631" s="1" t="str">
        <f aca="false">IF(P2631="","",IFERROR(IF(AND(H2631="W7",OR(F2631="causal",F2631="predictive")),IF(AND(K2631=1,L2631=1,M2631=1),"adequate","partial"),INDEX(Fit_Matrix!$B:$B,MATCH(P2631,Fit_Matrix!$A:$A,0))),"CHECK KEY"))</f>
        <v/>
      </c>
    </row>
    <row r="2632" customFormat="false" ht="15" hidden="false" customHeight="true" outlineLevel="0" collapsed="false">
      <c r="P2632" s="1" t="str">
        <f aca="false">IF(OR(F2632="",H2632="",J2632=""),"",J2632&amp;"|"&amp;F2632&amp;"|"&amp;IF(H2632="W3","W3_"&amp;IF(I2632="","unknown",I2632),H2632))</f>
        <v/>
      </c>
      <c r="Q2632" s="1" t="str">
        <f aca="false">IF(P2632="","",IFERROR(IF(AND(H2632="W7",OR(F2632="causal",F2632="predictive")),IF(AND(K2632=1,L2632=1,M2632=1),"adequate","partial"),INDEX(Fit_Matrix!$B:$B,MATCH(P2632,Fit_Matrix!$A:$A,0))),"CHECK KEY"))</f>
        <v/>
      </c>
    </row>
    <row r="2633" customFormat="false" ht="15" hidden="false" customHeight="true" outlineLevel="0" collapsed="false">
      <c r="P2633" s="1" t="str">
        <f aca="false">IF(OR(F2633="",H2633="",J2633=""),"",J2633&amp;"|"&amp;F2633&amp;"|"&amp;IF(H2633="W3","W3_"&amp;IF(I2633="","unknown",I2633),H2633))</f>
        <v/>
      </c>
      <c r="Q2633" s="1" t="str">
        <f aca="false">IF(P2633="","",IFERROR(IF(AND(H2633="W7",OR(F2633="causal",F2633="predictive")),IF(AND(K2633=1,L2633=1,M2633=1),"adequate","partial"),INDEX(Fit_Matrix!$B:$B,MATCH(P2633,Fit_Matrix!$A:$A,0))),"CHECK KEY"))</f>
        <v/>
      </c>
    </row>
    <row r="2634" customFormat="false" ht="15" hidden="false" customHeight="true" outlineLevel="0" collapsed="false">
      <c r="P2634" s="1" t="str">
        <f aca="false">IF(OR(F2634="",H2634="",J2634=""),"",J2634&amp;"|"&amp;F2634&amp;"|"&amp;IF(H2634="W3","W3_"&amp;IF(I2634="","unknown",I2634),H2634))</f>
        <v/>
      </c>
      <c r="Q2634" s="1" t="str">
        <f aca="false">IF(P2634="","",IFERROR(IF(AND(H2634="W7",OR(F2634="causal",F2634="predictive")),IF(AND(K2634=1,L2634=1,M2634=1),"adequate","partial"),INDEX(Fit_Matrix!$B:$B,MATCH(P2634,Fit_Matrix!$A:$A,0))),"CHECK KEY"))</f>
        <v/>
      </c>
    </row>
    <row r="2635" customFormat="false" ht="15" hidden="false" customHeight="true" outlineLevel="0" collapsed="false">
      <c r="P2635" s="1" t="str">
        <f aca="false">IF(OR(F2635="",H2635="",J2635=""),"",J2635&amp;"|"&amp;F2635&amp;"|"&amp;IF(H2635="W3","W3_"&amp;IF(I2635="","unknown",I2635),H2635))</f>
        <v/>
      </c>
      <c r="Q2635" s="1" t="str">
        <f aca="false">IF(P2635="","",IFERROR(IF(AND(H2635="W7",OR(F2635="causal",F2635="predictive")),IF(AND(K2635=1,L2635=1,M2635=1),"adequate","partial"),INDEX(Fit_Matrix!$B:$B,MATCH(P2635,Fit_Matrix!$A:$A,0))),"CHECK KEY"))</f>
        <v/>
      </c>
    </row>
    <row r="2636" customFormat="false" ht="15" hidden="false" customHeight="true" outlineLevel="0" collapsed="false">
      <c r="P2636" s="1" t="str">
        <f aca="false">IF(OR(F2636="",H2636="",J2636=""),"",J2636&amp;"|"&amp;F2636&amp;"|"&amp;IF(H2636="W3","W3_"&amp;IF(I2636="","unknown",I2636),H2636))</f>
        <v/>
      </c>
      <c r="Q2636" s="1" t="str">
        <f aca="false">IF(P2636="","",IFERROR(IF(AND(H2636="W7",OR(F2636="causal",F2636="predictive")),IF(AND(K2636=1,L2636=1,M2636=1),"adequate","partial"),INDEX(Fit_Matrix!$B:$B,MATCH(P2636,Fit_Matrix!$A:$A,0))),"CHECK KEY"))</f>
        <v/>
      </c>
    </row>
    <row r="2637" customFormat="false" ht="15" hidden="false" customHeight="true" outlineLevel="0" collapsed="false">
      <c r="P2637" s="1" t="str">
        <f aca="false">IF(OR(F2637="",H2637="",J2637=""),"",J2637&amp;"|"&amp;F2637&amp;"|"&amp;IF(H2637="W3","W3_"&amp;IF(I2637="","unknown",I2637),H2637))</f>
        <v/>
      </c>
      <c r="Q2637" s="1" t="str">
        <f aca="false">IF(P2637="","",IFERROR(IF(AND(H2637="W7",OR(F2637="causal",F2637="predictive")),IF(AND(K2637=1,L2637=1,M2637=1),"adequate","partial"),INDEX(Fit_Matrix!$B:$B,MATCH(P2637,Fit_Matrix!$A:$A,0))),"CHECK KEY"))</f>
        <v/>
      </c>
    </row>
    <row r="2638" customFormat="false" ht="15" hidden="false" customHeight="true" outlineLevel="0" collapsed="false">
      <c r="P2638" s="1" t="str">
        <f aca="false">IF(OR(F2638="",H2638="",J2638=""),"",J2638&amp;"|"&amp;F2638&amp;"|"&amp;IF(H2638="W3","W3_"&amp;IF(I2638="","unknown",I2638),H2638))</f>
        <v/>
      </c>
      <c r="Q2638" s="1" t="str">
        <f aca="false">IF(P2638="","",IFERROR(IF(AND(H2638="W7",OR(F2638="causal",F2638="predictive")),IF(AND(K2638=1,L2638=1,M2638=1),"adequate","partial"),INDEX(Fit_Matrix!$B:$B,MATCH(P2638,Fit_Matrix!$A:$A,0))),"CHECK KEY"))</f>
        <v/>
      </c>
    </row>
    <row r="2639" customFormat="false" ht="15" hidden="false" customHeight="true" outlineLevel="0" collapsed="false">
      <c r="P2639" s="1" t="str">
        <f aca="false">IF(OR(F2639="",H2639="",J2639=""),"",J2639&amp;"|"&amp;F2639&amp;"|"&amp;IF(H2639="W3","W3_"&amp;IF(I2639="","unknown",I2639),H2639))</f>
        <v/>
      </c>
      <c r="Q2639" s="1" t="str">
        <f aca="false">IF(P2639="","",IFERROR(IF(AND(H2639="W7",OR(F2639="causal",F2639="predictive")),IF(AND(K2639=1,L2639=1,M2639=1),"adequate","partial"),INDEX(Fit_Matrix!$B:$B,MATCH(P2639,Fit_Matrix!$A:$A,0))),"CHECK KEY"))</f>
        <v/>
      </c>
    </row>
    <row r="2640" customFormat="false" ht="15" hidden="false" customHeight="true" outlineLevel="0" collapsed="false">
      <c r="P2640" s="1" t="str">
        <f aca="false">IF(OR(F2640="",H2640="",J2640=""),"",J2640&amp;"|"&amp;F2640&amp;"|"&amp;IF(H2640="W3","W3_"&amp;IF(I2640="","unknown",I2640),H2640))</f>
        <v/>
      </c>
      <c r="Q2640" s="1" t="str">
        <f aca="false">IF(P2640="","",IFERROR(IF(AND(H2640="W7",OR(F2640="causal",F2640="predictive")),IF(AND(K2640=1,L2640=1,M2640=1),"adequate","partial"),INDEX(Fit_Matrix!$B:$B,MATCH(P2640,Fit_Matrix!$A:$A,0))),"CHECK KEY"))</f>
        <v/>
      </c>
    </row>
    <row r="2641" customFormat="false" ht="15" hidden="false" customHeight="true" outlineLevel="0" collapsed="false">
      <c r="P2641" s="1" t="str">
        <f aca="false">IF(OR(F2641="",H2641="",J2641=""),"",J2641&amp;"|"&amp;F2641&amp;"|"&amp;IF(H2641="W3","W3_"&amp;IF(I2641="","unknown",I2641),H2641))</f>
        <v/>
      </c>
      <c r="Q2641" s="1" t="str">
        <f aca="false">IF(P2641="","",IFERROR(IF(AND(H2641="W7",OR(F2641="causal",F2641="predictive")),IF(AND(K2641=1,L2641=1,M2641=1),"adequate","partial"),INDEX(Fit_Matrix!$B:$B,MATCH(P2641,Fit_Matrix!$A:$A,0))),"CHECK KEY"))</f>
        <v/>
      </c>
    </row>
    <row r="2642" customFormat="false" ht="15" hidden="false" customHeight="true" outlineLevel="0" collapsed="false">
      <c r="P2642" s="1" t="str">
        <f aca="false">IF(OR(F2642="",H2642="",J2642=""),"",J2642&amp;"|"&amp;F2642&amp;"|"&amp;IF(H2642="W3","W3_"&amp;IF(I2642="","unknown",I2642),H2642))</f>
        <v/>
      </c>
      <c r="Q2642" s="1" t="str">
        <f aca="false">IF(P2642="","",IFERROR(IF(AND(H2642="W7",OR(F2642="causal",F2642="predictive")),IF(AND(K2642=1,L2642=1,M2642=1),"adequate","partial"),INDEX(Fit_Matrix!$B:$B,MATCH(P2642,Fit_Matrix!$A:$A,0))),"CHECK KEY"))</f>
        <v/>
      </c>
    </row>
    <row r="2643" customFormat="false" ht="15" hidden="false" customHeight="true" outlineLevel="0" collapsed="false">
      <c r="P2643" s="1" t="str">
        <f aca="false">IF(OR(F2643="",H2643="",J2643=""),"",J2643&amp;"|"&amp;F2643&amp;"|"&amp;IF(H2643="W3","W3_"&amp;IF(I2643="","unknown",I2643),H2643))</f>
        <v/>
      </c>
      <c r="Q2643" s="1" t="str">
        <f aca="false">IF(P2643="","",IFERROR(IF(AND(H2643="W7",OR(F2643="causal",F2643="predictive")),IF(AND(K2643=1,L2643=1,M2643=1),"adequate","partial"),INDEX(Fit_Matrix!$B:$B,MATCH(P2643,Fit_Matrix!$A:$A,0))),"CHECK KEY"))</f>
        <v/>
      </c>
    </row>
    <row r="2644" customFormat="false" ht="15" hidden="false" customHeight="true" outlineLevel="0" collapsed="false">
      <c r="P2644" s="1" t="str">
        <f aca="false">IF(OR(F2644="",H2644="",J2644=""),"",J2644&amp;"|"&amp;F2644&amp;"|"&amp;IF(H2644="W3","W3_"&amp;IF(I2644="","unknown",I2644),H2644))</f>
        <v/>
      </c>
      <c r="Q2644" s="1" t="str">
        <f aca="false">IF(P2644="","",IFERROR(IF(AND(H2644="W7",OR(F2644="causal",F2644="predictive")),IF(AND(K2644=1,L2644=1,M2644=1),"adequate","partial"),INDEX(Fit_Matrix!$B:$B,MATCH(P2644,Fit_Matrix!$A:$A,0))),"CHECK KEY"))</f>
        <v/>
      </c>
    </row>
    <row r="2645" customFormat="false" ht="15" hidden="false" customHeight="true" outlineLevel="0" collapsed="false">
      <c r="P2645" s="1" t="str">
        <f aca="false">IF(OR(F2645="",H2645="",J2645=""),"",J2645&amp;"|"&amp;F2645&amp;"|"&amp;IF(H2645="W3","W3_"&amp;IF(I2645="","unknown",I2645),H2645))</f>
        <v/>
      </c>
      <c r="Q2645" s="1" t="str">
        <f aca="false">IF(P2645="","",IFERROR(IF(AND(H2645="W7",OR(F2645="causal",F2645="predictive")),IF(AND(K2645=1,L2645=1,M2645=1),"adequate","partial"),INDEX(Fit_Matrix!$B:$B,MATCH(P2645,Fit_Matrix!$A:$A,0))),"CHECK KEY"))</f>
        <v/>
      </c>
    </row>
    <row r="2646" customFormat="false" ht="15" hidden="false" customHeight="true" outlineLevel="0" collapsed="false">
      <c r="P2646" s="1" t="str">
        <f aca="false">IF(OR(F2646="",H2646="",J2646=""),"",J2646&amp;"|"&amp;F2646&amp;"|"&amp;IF(H2646="W3","W3_"&amp;IF(I2646="","unknown",I2646),H2646))</f>
        <v/>
      </c>
      <c r="Q2646" s="1" t="str">
        <f aca="false">IF(P2646="","",IFERROR(IF(AND(H2646="W7",OR(F2646="causal",F2646="predictive")),IF(AND(K2646=1,L2646=1,M2646=1),"adequate","partial"),INDEX(Fit_Matrix!$B:$B,MATCH(P2646,Fit_Matrix!$A:$A,0))),"CHECK KEY"))</f>
        <v/>
      </c>
    </row>
    <row r="2647" customFormat="false" ht="15" hidden="false" customHeight="true" outlineLevel="0" collapsed="false">
      <c r="P2647" s="1" t="str">
        <f aca="false">IF(OR(F2647="",H2647="",J2647=""),"",J2647&amp;"|"&amp;F2647&amp;"|"&amp;IF(H2647="W3","W3_"&amp;IF(I2647="","unknown",I2647),H2647))</f>
        <v/>
      </c>
      <c r="Q2647" s="1" t="str">
        <f aca="false">IF(P2647="","",IFERROR(IF(AND(H2647="W7",OR(F2647="causal",F2647="predictive")),IF(AND(K2647=1,L2647=1,M2647=1),"adequate","partial"),INDEX(Fit_Matrix!$B:$B,MATCH(P2647,Fit_Matrix!$A:$A,0))),"CHECK KEY"))</f>
        <v/>
      </c>
    </row>
    <row r="2648" customFormat="false" ht="15" hidden="false" customHeight="true" outlineLevel="0" collapsed="false">
      <c r="P2648" s="1" t="str">
        <f aca="false">IF(OR(F2648="",H2648="",J2648=""),"",J2648&amp;"|"&amp;F2648&amp;"|"&amp;IF(H2648="W3","W3_"&amp;IF(I2648="","unknown",I2648),H2648))</f>
        <v/>
      </c>
      <c r="Q2648" s="1" t="str">
        <f aca="false">IF(P2648="","",IFERROR(IF(AND(H2648="W7",OR(F2648="causal",F2648="predictive")),IF(AND(K2648=1,L2648=1,M2648=1),"adequate","partial"),INDEX(Fit_Matrix!$B:$B,MATCH(P2648,Fit_Matrix!$A:$A,0))),"CHECK KEY"))</f>
        <v/>
      </c>
    </row>
    <row r="2649" customFormat="false" ht="15" hidden="false" customHeight="true" outlineLevel="0" collapsed="false">
      <c r="P2649" s="1" t="str">
        <f aca="false">IF(OR(F2649="",H2649="",J2649=""),"",J2649&amp;"|"&amp;F2649&amp;"|"&amp;IF(H2649="W3","W3_"&amp;IF(I2649="","unknown",I2649),H2649))</f>
        <v/>
      </c>
      <c r="Q2649" s="1" t="str">
        <f aca="false">IF(P2649="","",IFERROR(IF(AND(H2649="W7",OR(F2649="causal",F2649="predictive")),IF(AND(K2649=1,L2649=1,M2649=1),"adequate","partial"),INDEX(Fit_Matrix!$B:$B,MATCH(P2649,Fit_Matrix!$A:$A,0))),"CHECK KEY"))</f>
        <v/>
      </c>
    </row>
    <row r="2650" customFormat="false" ht="15" hidden="false" customHeight="true" outlineLevel="0" collapsed="false">
      <c r="P2650" s="1" t="str">
        <f aca="false">IF(OR(F2650="",H2650="",J2650=""),"",J2650&amp;"|"&amp;F2650&amp;"|"&amp;IF(H2650="W3","W3_"&amp;IF(I2650="","unknown",I2650),H2650))</f>
        <v/>
      </c>
      <c r="Q2650" s="1" t="str">
        <f aca="false">IF(P2650="","",IFERROR(IF(AND(H2650="W7",OR(F2650="causal",F2650="predictive")),IF(AND(K2650=1,L2650=1,M2650=1),"adequate","partial"),INDEX(Fit_Matrix!$B:$B,MATCH(P2650,Fit_Matrix!$A:$A,0))),"CHECK KEY"))</f>
        <v/>
      </c>
    </row>
    <row r="2651" customFormat="false" ht="15" hidden="false" customHeight="true" outlineLevel="0" collapsed="false">
      <c r="P2651" s="1" t="str">
        <f aca="false">IF(OR(F2651="",H2651="",J2651=""),"",J2651&amp;"|"&amp;F2651&amp;"|"&amp;IF(H2651="W3","W3_"&amp;IF(I2651="","unknown",I2651),H2651))</f>
        <v/>
      </c>
      <c r="Q2651" s="1" t="str">
        <f aca="false">IF(P2651="","",IFERROR(IF(AND(H2651="W7",OR(F2651="causal",F2651="predictive")),IF(AND(K2651=1,L2651=1,M2651=1),"adequate","partial"),INDEX(Fit_Matrix!$B:$B,MATCH(P2651,Fit_Matrix!$A:$A,0))),"CHECK KEY"))</f>
        <v/>
      </c>
    </row>
    <row r="2652" customFormat="false" ht="15" hidden="false" customHeight="true" outlineLevel="0" collapsed="false">
      <c r="P2652" s="1" t="str">
        <f aca="false">IF(OR(F2652="",H2652="",J2652=""),"",J2652&amp;"|"&amp;F2652&amp;"|"&amp;IF(H2652="W3","W3_"&amp;IF(I2652="","unknown",I2652),H2652))</f>
        <v/>
      </c>
      <c r="Q2652" s="1" t="str">
        <f aca="false">IF(P2652="","",IFERROR(IF(AND(H2652="W7",OR(F2652="causal",F2652="predictive")),IF(AND(K2652=1,L2652=1,M2652=1),"adequate","partial"),INDEX(Fit_Matrix!$B:$B,MATCH(P2652,Fit_Matrix!$A:$A,0))),"CHECK KEY"))</f>
        <v/>
      </c>
    </row>
    <row r="2653" customFormat="false" ht="15" hidden="false" customHeight="true" outlineLevel="0" collapsed="false">
      <c r="P2653" s="1" t="str">
        <f aca="false">IF(OR(F2653="",H2653="",J2653=""),"",J2653&amp;"|"&amp;F2653&amp;"|"&amp;IF(H2653="W3","W3_"&amp;IF(I2653="","unknown",I2653),H2653))</f>
        <v/>
      </c>
      <c r="Q2653" s="1" t="str">
        <f aca="false">IF(P2653="","",IFERROR(IF(AND(H2653="W7",OR(F2653="causal",F2653="predictive")),IF(AND(K2653=1,L2653=1,M2653=1),"adequate","partial"),INDEX(Fit_Matrix!$B:$B,MATCH(P2653,Fit_Matrix!$A:$A,0))),"CHECK KEY"))</f>
        <v/>
      </c>
    </row>
    <row r="2654" customFormat="false" ht="15" hidden="false" customHeight="true" outlineLevel="0" collapsed="false">
      <c r="P2654" s="1" t="str">
        <f aca="false">IF(OR(F2654="",H2654="",J2654=""),"",J2654&amp;"|"&amp;F2654&amp;"|"&amp;IF(H2654="W3","W3_"&amp;IF(I2654="","unknown",I2654),H2654))</f>
        <v/>
      </c>
      <c r="Q2654" s="1" t="str">
        <f aca="false">IF(P2654="","",IFERROR(IF(AND(H2654="W7",OR(F2654="causal",F2654="predictive")),IF(AND(K2654=1,L2654=1,M2654=1),"adequate","partial"),INDEX(Fit_Matrix!$B:$B,MATCH(P2654,Fit_Matrix!$A:$A,0))),"CHECK KEY"))</f>
        <v/>
      </c>
    </row>
    <row r="2655" customFormat="false" ht="15" hidden="false" customHeight="true" outlineLevel="0" collapsed="false">
      <c r="P2655" s="1" t="str">
        <f aca="false">IF(OR(F2655="",H2655="",J2655=""),"",J2655&amp;"|"&amp;F2655&amp;"|"&amp;IF(H2655="W3","W3_"&amp;IF(I2655="","unknown",I2655),H2655))</f>
        <v/>
      </c>
      <c r="Q2655" s="1" t="str">
        <f aca="false">IF(P2655="","",IFERROR(IF(AND(H2655="W7",OR(F2655="causal",F2655="predictive")),IF(AND(K2655=1,L2655=1,M2655=1),"adequate","partial"),INDEX(Fit_Matrix!$B:$B,MATCH(P2655,Fit_Matrix!$A:$A,0))),"CHECK KEY"))</f>
        <v/>
      </c>
    </row>
    <row r="2656" customFormat="false" ht="15" hidden="false" customHeight="true" outlineLevel="0" collapsed="false">
      <c r="P2656" s="1" t="str">
        <f aca="false">IF(OR(F2656="",H2656="",J2656=""),"",J2656&amp;"|"&amp;F2656&amp;"|"&amp;IF(H2656="W3","W3_"&amp;IF(I2656="","unknown",I2656),H2656))</f>
        <v/>
      </c>
      <c r="Q2656" s="1" t="str">
        <f aca="false">IF(P2656="","",IFERROR(IF(AND(H2656="W7",OR(F2656="causal",F2656="predictive")),IF(AND(K2656=1,L2656=1,M2656=1),"adequate","partial"),INDEX(Fit_Matrix!$B:$B,MATCH(P2656,Fit_Matrix!$A:$A,0))),"CHECK KEY"))</f>
        <v/>
      </c>
    </row>
    <row r="2657" customFormat="false" ht="15" hidden="false" customHeight="true" outlineLevel="0" collapsed="false">
      <c r="P2657" s="1" t="str">
        <f aca="false">IF(OR(F2657="",H2657="",J2657=""),"",J2657&amp;"|"&amp;F2657&amp;"|"&amp;IF(H2657="W3","W3_"&amp;IF(I2657="","unknown",I2657),H2657))</f>
        <v/>
      </c>
      <c r="Q2657" s="1" t="str">
        <f aca="false">IF(P2657="","",IFERROR(IF(AND(H2657="W7",OR(F2657="causal",F2657="predictive")),IF(AND(K2657=1,L2657=1,M2657=1),"adequate","partial"),INDEX(Fit_Matrix!$B:$B,MATCH(P2657,Fit_Matrix!$A:$A,0))),"CHECK KEY"))</f>
        <v/>
      </c>
    </row>
    <row r="2658" customFormat="false" ht="15" hidden="false" customHeight="true" outlineLevel="0" collapsed="false">
      <c r="P2658" s="1" t="str">
        <f aca="false">IF(OR(F2658="",H2658="",J2658=""),"",J2658&amp;"|"&amp;F2658&amp;"|"&amp;IF(H2658="W3","W3_"&amp;IF(I2658="","unknown",I2658),H2658))</f>
        <v/>
      </c>
      <c r="Q2658" s="1" t="str">
        <f aca="false">IF(P2658="","",IFERROR(IF(AND(H2658="W7",OR(F2658="causal",F2658="predictive")),IF(AND(K2658=1,L2658=1,M2658=1),"adequate","partial"),INDEX(Fit_Matrix!$B:$B,MATCH(P2658,Fit_Matrix!$A:$A,0))),"CHECK KEY"))</f>
        <v/>
      </c>
    </row>
    <row r="2659" customFormat="false" ht="15" hidden="false" customHeight="true" outlineLevel="0" collapsed="false">
      <c r="P2659" s="1" t="str">
        <f aca="false">IF(OR(F2659="",H2659="",J2659=""),"",J2659&amp;"|"&amp;F2659&amp;"|"&amp;IF(H2659="W3","W3_"&amp;IF(I2659="","unknown",I2659),H2659))</f>
        <v/>
      </c>
      <c r="Q2659" s="1" t="str">
        <f aca="false">IF(P2659="","",IFERROR(IF(AND(H2659="W7",OR(F2659="causal",F2659="predictive")),IF(AND(K2659=1,L2659=1,M2659=1),"adequate","partial"),INDEX(Fit_Matrix!$B:$B,MATCH(P2659,Fit_Matrix!$A:$A,0))),"CHECK KEY"))</f>
        <v/>
      </c>
    </row>
    <row r="2660" customFormat="false" ht="15" hidden="false" customHeight="true" outlineLevel="0" collapsed="false">
      <c r="P2660" s="1" t="str">
        <f aca="false">IF(OR(F2660="",H2660="",J2660=""),"",J2660&amp;"|"&amp;F2660&amp;"|"&amp;IF(H2660="W3","W3_"&amp;IF(I2660="","unknown",I2660),H2660))</f>
        <v/>
      </c>
      <c r="Q2660" s="1" t="str">
        <f aca="false">IF(P2660="","",IFERROR(IF(AND(H2660="W7",OR(F2660="causal",F2660="predictive")),IF(AND(K2660=1,L2660=1,M2660=1),"adequate","partial"),INDEX(Fit_Matrix!$B:$B,MATCH(P2660,Fit_Matrix!$A:$A,0))),"CHECK KEY"))</f>
        <v/>
      </c>
    </row>
    <row r="2661" customFormat="false" ht="15" hidden="false" customHeight="true" outlineLevel="0" collapsed="false">
      <c r="P2661" s="1" t="str">
        <f aca="false">IF(OR(F2661="",H2661="",J2661=""),"",J2661&amp;"|"&amp;F2661&amp;"|"&amp;IF(H2661="W3","W3_"&amp;IF(I2661="","unknown",I2661),H2661))</f>
        <v/>
      </c>
      <c r="Q2661" s="1" t="str">
        <f aca="false">IF(P2661="","",IFERROR(IF(AND(H2661="W7",OR(F2661="causal",F2661="predictive")),IF(AND(K2661=1,L2661=1,M2661=1),"adequate","partial"),INDEX(Fit_Matrix!$B:$B,MATCH(P2661,Fit_Matrix!$A:$A,0))),"CHECK KEY"))</f>
        <v/>
      </c>
    </row>
    <row r="2662" customFormat="false" ht="15" hidden="false" customHeight="true" outlineLevel="0" collapsed="false">
      <c r="P2662" s="1" t="str">
        <f aca="false">IF(OR(F2662="",H2662="",J2662=""),"",J2662&amp;"|"&amp;F2662&amp;"|"&amp;IF(H2662="W3","W3_"&amp;IF(I2662="","unknown",I2662),H2662))</f>
        <v/>
      </c>
      <c r="Q2662" s="1" t="str">
        <f aca="false">IF(P2662="","",IFERROR(IF(AND(H2662="W7",OR(F2662="causal",F2662="predictive")),IF(AND(K2662=1,L2662=1,M2662=1),"adequate","partial"),INDEX(Fit_Matrix!$B:$B,MATCH(P2662,Fit_Matrix!$A:$A,0))),"CHECK KEY"))</f>
        <v/>
      </c>
    </row>
    <row r="2663" customFormat="false" ht="15" hidden="false" customHeight="true" outlineLevel="0" collapsed="false">
      <c r="P2663" s="1" t="str">
        <f aca="false">IF(OR(F2663="",H2663="",J2663=""),"",J2663&amp;"|"&amp;F2663&amp;"|"&amp;IF(H2663="W3","W3_"&amp;IF(I2663="","unknown",I2663),H2663))</f>
        <v/>
      </c>
      <c r="Q2663" s="1" t="str">
        <f aca="false">IF(P2663="","",IFERROR(IF(AND(H2663="W7",OR(F2663="causal",F2663="predictive")),IF(AND(K2663=1,L2663=1,M2663=1),"adequate","partial"),INDEX(Fit_Matrix!$B:$B,MATCH(P2663,Fit_Matrix!$A:$A,0))),"CHECK KEY"))</f>
        <v/>
      </c>
    </row>
    <row r="2664" customFormat="false" ht="15" hidden="false" customHeight="true" outlineLevel="0" collapsed="false">
      <c r="P2664" s="1" t="str">
        <f aca="false">IF(OR(F2664="",H2664="",J2664=""),"",J2664&amp;"|"&amp;F2664&amp;"|"&amp;IF(H2664="W3","W3_"&amp;IF(I2664="","unknown",I2664),H2664))</f>
        <v/>
      </c>
      <c r="Q2664" s="1" t="str">
        <f aca="false">IF(P2664="","",IFERROR(IF(AND(H2664="W7",OR(F2664="causal",F2664="predictive")),IF(AND(K2664=1,L2664=1,M2664=1),"adequate","partial"),INDEX(Fit_Matrix!$B:$B,MATCH(P2664,Fit_Matrix!$A:$A,0))),"CHECK KEY"))</f>
        <v/>
      </c>
    </row>
    <row r="2665" customFormat="false" ht="15" hidden="false" customHeight="true" outlineLevel="0" collapsed="false">
      <c r="P2665" s="1" t="str">
        <f aca="false">IF(OR(F2665="",H2665="",J2665=""),"",J2665&amp;"|"&amp;F2665&amp;"|"&amp;IF(H2665="W3","W3_"&amp;IF(I2665="","unknown",I2665),H2665))</f>
        <v/>
      </c>
      <c r="Q2665" s="1" t="str">
        <f aca="false">IF(P2665="","",IFERROR(IF(AND(H2665="W7",OR(F2665="causal",F2665="predictive")),IF(AND(K2665=1,L2665=1,M2665=1),"adequate","partial"),INDEX(Fit_Matrix!$B:$B,MATCH(P2665,Fit_Matrix!$A:$A,0))),"CHECK KEY"))</f>
        <v/>
      </c>
    </row>
    <row r="2666" customFormat="false" ht="15" hidden="false" customHeight="true" outlineLevel="0" collapsed="false">
      <c r="P2666" s="1" t="str">
        <f aca="false">IF(OR(F2666="",H2666="",J2666=""),"",J2666&amp;"|"&amp;F2666&amp;"|"&amp;IF(H2666="W3","W3_"&amp;IF(I2666="","unknown",I2666),H2666))</f>
        <v/>
      </c>
      <c r="Q2666" s="1" t="str">
        <f aca="false">IF(P2666="","",IFERROR(IF(AND(H2666="W7",OR(F2666="causal",F2666="predictive")),IF(AND(K2666=1,L2666=1,M2666=1),"adequate","partial"),INDEX(Fit_Matrix!$B:$B,MATCH(P2666,Fit_Matrix!$A:$A,0))),"CHECK KEY"))</f>
        <v/>
      </c>
    </row>
    <row r="2667" customFormat="false" ht="15" hidden="false" customHeight="true" outlineLevel="0" collapsed="false">
      <c r="P2667" s="1" t="str">
        <f aca="false">IF(OR(F2667="",H2667="",J2667=""),"",J2667&amp;"|"&amp;F2667&amp;"|"&amp;IF(H2667="W3","W3_"&amp;IF(I2667="","unknown",I2667),H2667))</f>
        <v/>
      </c>
      <c r="Q2667" s="1" t="str">
        <f aca="false">IF(P2667="","",IFERROR(IF(AND(H2667="W7",OR(F2667="causal",F2667="predictive")),IF(AND(K2667=1,L2667=1,M2667=1),"adequate","partial"),INDEX(Fit_Matrix!$B:$B,MATCH(P2667,Fit_Matrix!$A:$A,0))),"CHECK KEY"))</f>
        <v/>
      </c>
    </row>
    <row r="2668" customFormat="false" ht="15" hidden="false" customHeight="true" outlineLevel="0" collapsed="false">
      <c r="P2668" s="1" t="str">
        <f aca="false">IF(OR(F2668="",H2668="",J2668=""),"",J2668&amp;"|"&amp;F2668&amp;"|"&amp;IF(H2668="W3","W3_"&amp;IF(I2668="","unknown",I2668),H2668))</f>
        <v/>
      </c>
      <c r="Q2668" s="1" t="str">
        <f aca="false">IF(P2668="","",IFERROR(IF(AND(H2668="W7",OR(F2668="causal",F2668="predictive")),IF(AND(K2668=1,L2668=1,M2668=1),"adequate","partial"),INDEX(Fit_Matrix!$B:$B,MATCH(P2668,Fit_Matrix!$A:$A,0))),"CHECK KEY"))</f>
        <v/>
      </c>
    </row>
    <row r="2669" customFormat="false" ht="15" hidden="false" customHeight="true" outlineLevel="0" collapsed="false">
      <c r="P2669" s="1" t="str">
        <f aca="false">IF(OR(F2669="",H2669="",J2669=""),"",J2669&amp;"|"&amp;F2669&amp;"|"&amp;IF(H2669="W3","W3_"&amp;IF(I2669="","unknown",I2669),H2669))</f>
        <v/>
      </c>
      <c r="Q2669" s="1" t="str">
        <f aca="false">IF(P2669="","",IFERROR(IF(AND(H2669="W7",OR(F2669="causal",F2669="predictive")),IF(AND(K2669=1,L2669=1,M2669=1),"adequate","partial"),INDEX(Fit_Matrix!$B:$B,MATCH(P2669,Fit_Matrix!$A:$A,0))),"CHECK KEY"))</f>
        <v/>
      </c>
    </row>
    <row r="2670" customFormat="false" ht="15" hidden="false" customHeight="true" outlineLevel="0" collapsed="false">
      <c r="P2670" s="1" t="str">
        <f aca="false">IF(OR(F2670="",H2670="",J2670=""),"",J2670&amp;"|"&amp;F2670&amp;"|"&amp;IF(H2670="W3","W3_"&amp;IF(I2670="","unknown",I2670),H2670))</f>
        <v/>
      </c>
      <c r="Q2670" s="1" t="str">
        <f aca="false">IF(P2670="","",IFERROR(IF(AND(H2670="W7",OR(F2670="causal",F2670="predictive")),IF(AND(K2670=1,L2670=1,M2670=1),"adequate","partial"),INDEX(Fit_Matrix!$B:$B,MATCH(P2670,Fit_Matrix!$A:$A,0))),"CHECK KEY"))</f>
        <v/>
      </c>
    </row>
    <row r="2671" customFormat="false" ht="15" hidden="false" customHeight="true" outlineLevel="0" collapsed="false">
      <c r="P2671" s="1" t="str">
        <f aca="false">IF(OR(F2671="",H2671="",J2671=""),"",J2671&amp;"|"&amp;F2671&amp;"|"&amp;IF(H2671="W3","W3_"&amp;IF(I2671="","unknown",I2671),H2671))</f>
        <v/>
      </c>
      <c r="Q2671" s="1" t="str">
        <f aca="false">IF(P2671="","",IFERROR(IF(AND(H2671="W7",OR(F2671="causal",F2671="predictive")),IF(AND(K2671=1,L2671=1,M2671=1),"adequate","partial"),INDEX(Fit_Matrix!$B:$B,MATCH(P2671,Fit_Matrix!$A:$A,0))),"CHECK KEY"))</f>
        <v/>
      </c>
    </row>
    <row r="2672" customFormat="false" ht="15" hidden="false" customHeight="true" outlineLevel="0" collapsed="false">
      <c r="P2672" s="1" t="str">
        <f aca="false">IF(OR(F2672="",H2672="",J2672=""),"",J2672&amp;"|"&amp;F2672&amp;"|"&amp;IF(H2672="W3","W3_"&amp;IF(I2672="","unknown",I2672),H2672))</f>
        <v/>
      </c>
      <c r="Q2672" s="1" t="str">
        <f aca="false">IF(P2672="","",IFERROR(IF(AND(H2672="W7",OR(F2672="causal",F2672="predictive")),IF(AND(K2672=1,L2672=1,M2672=1),"adequate","partial"),INDEX(Fit_Matrix!$B:$B,MATCH(P2672,Fit_Matrix!$A:$A,0))),"CHECK KEY"))</f>
        <v/>
      </c>
    </row>
    <row r="2673" customFormat="false" ht="15" hidden="false" customHeight="true" outlineLevel="0" collapsed="false">
      <c r="P2673" s="1" t="str">
        <f aca="false">IF(OR(F2673="",H2673="",J2673=""),"",J2673&amp;"|"&amp;F2673&amp;"|"&amp;IF(H2673="W3","W3_"&amp;IF(I2673="","unknown",I2673),H2673))</f>
        <v/>
      </c>
      <c r="Q2673" s="1" t="str">
        <f aca="false">IF(P2673="","",IFERROR(IF(AND(H2673="W7",OR(F2673="causal",F2673="predictive")),IF(AND(K2673=1,L2673=1,M2673=1),"adequate","partial"),INDEX(Fit_Matrix!$B:$B,MATCH(P2673,Fit_Matrix!$A:$A,0))),"CHECK KEY"))</f>
        <v/>
      </c>
    </row>
    <row r="2674" customFormat="false" ht="15" hidden="false" customHeight="true" outlineLevel="0" collapsed="false">
      <c r="P2674" s="1" t="str">
        <f aca="false">IF(OR(F2674="",H2674="",J2674=""),"",J2674&amp;"|"&amp;F2674&amp;"|"&amp;IF(H2674="W3","W3_"&amp;IF(I2674="","unknown",I2674),H2674))</f>
        <v/>
      </c>
      <c r="Q2674" s="1" t="str">
        <f aca="false">IF(P2674="","",IFERROR(IF(AND(H2674="W7",OR(F2674="causal",F2674="predictive")),IF(AND(K2674=1,L2674=1,M2674=1),"adequate","partial"),INDEX(Fit_Matrix!$B:$B,MATCH(P2674,Fit_Matrix!$A:$A,0))),"CHECK KEY"))</f>
        <v/>
      </c>
    </row>
    <row r="2675" customFormat="false" ht="15" hidden="false" customHeight="true" outlineLevel="0" collapsed="false">
      <c r="P2675" s="1" t="str">
        <f aca="false">IF(OR(F2675="",H2675="",J2675=""),"",J2675&amp;"|"&amp;F2675&amp;"|"&amp;IF(H2675="W3","W3_"&amp;IF(I2675="","unknown",I2675),H2675))</f>
        <v/>
      </c>
      <c r="Q2675" s="1" t="str">
        <f aca="false">IF(P2675="","",IFERROR(IF(AND(H2675="W7",OR(F2675="causal",F2675="predictive")),IF(AND(K2675=1,L2675=1,M2675=1),"adequate","partial"),INDEX(Fit_Matrix!$B:$B,MATCH(P2675,Fit_Matrix!$A:$A,0))),"CHECK KEY"))</f>
        <v/>
      </c>
    </row>
    <row r="2676" customFormat="false" ht="15" hidden="false" customHeight="true" outlineLevel="0" collapsed="false">
      <c r="P2676" s="1" t="str">
        <f aca="false">IF(OR(F2676="",H2676="",J2676=""),"",J2676&amp;"|"&amp;F2676&amp;"|"&amp;IF(H2676="W3","W3_"&amp;IF(I2676="","unknown",I2676),H2676))</f>
        <v/>
      </c>
      <c r="Q2676" s="1" t="str">
        <f aca="false">IF(P2676="","",IFERROR(IF(AND(H2676="W7",OR(F2676="causal",F2676="predictive")),IF(AND(K2676=1,L2676=1,M2676=1),"adequate","partial"),INDEX(Fit_Matrix!$B:$B,MATCH(P2676,Fit_Matrix!$A:$A,0))),"CHECK KEY"))</f>
        <v/>
      </c>
    </row>
    <row r="2677" customFormat="false" ht="15" hidden="false" customHeight="true" outlineLevel="0" collapsed="false">
      <c r="P2677" s="1" t="str">
        <f aca="false">IF(OR(F2677="",H2677="",J2677=""),"",J2677&amp;"|"&amp;F2677&amp;"|"&amp;IF(H2677="W3","W3_"&amp;IF(I2677="","unknown",I2677),H2677))</f>
        <v/>
      </c>
      <c r="Q2677" s="1" t="str">
        <f aca="false">IF(P2677="","",IFERROR(IF(AND(H2677="W7",OR(F2677="causal",F2677="predictive")),IF(AND(K2677=1,L2677=1,M2677=1),"adequate","partial"),INDEX(Fit_Matrix!$B:$B,MATCH(P2677,Fit_Matrix!$A:$A,0))),"CHECK KEY"))</f>
        <v/>
      </c>
    </row>
    <row r="2678" customFormat="false" ht="15" hidden="false" customHeight="true" outlineLevel="0" collapsed="false">
      <c r="P2678" s="1" t="str">
        <f aca="false">IF(OR(F2678="",H2678="",J2678=""),"",J2678&amp;"|"&amp;F2678&amp;"|"&amp;IF(H2678="W3","W3_"&amp;IF(I2678="","unknown",I2678),H2678))</f>
        <v/>
      </c>
      <c r="Q2678" s="1" t="str">
        <f aca="false">IF(P2678="","",IFERROR(IF(AND(H2678="W7",OR(F2678="causal",F2678="predictive")),IF(AND(K2678=1,L2678=1,M2678=1),"adequate","partial"),INDEX(Fit_Matrix!$B:$B,MATCH(P2678,Fit_Matrix!$A:$A,0))),"CHECK KEY"))</f>
        <v/>
      </c>
    </row>
    <row r="2679" customFormat="false" ht="15" hidden="false" customHeight="true" outlineLevel="0" collapsed="false">
      <c r="P2679" s="1" t="str">
        <f aca="false">IF(OR(F2679="",H2679="",J2679=""),"",J2679&amp;"|"&amp;F2679&amp;"|"&amp;IF(H2679="W3","W3_"&amp;IF(I2679="","unknown",I2679),H2679))</f>
        <v/>
      </c>
      <c r="Q2679" s="1" t="str">
        <f aca="false">IF(P2679="","",IFERROR(IF(AND(H2679="W7",OR(F2679="causal",F2679="predictive")),IF(AND(K2679=1,L2679=1,M2679=1),"adequate","partial"),INDEX(Fit_Matrix!$B:$B,MATCH(P2679,Fit_Matrix!$A:$A,0))),"CHECK KEY"))</f>
        <v/>
      </c>
    </row>
    <row r="2680" customFormat="false" ht="15" hidden="false" customHeight="true" outlineLevel="0" collapsed="false">
      <c r="P2680" s="1" t="str">
        <f aca="false">IF(OR(F2680="",H2680="",J2680=""),"",J2680&amp;"|"&amp;F2680&amp;"|"&amp;IF(H2680="W3","W3_"&amp;IF(I2680="","unknown",I2680),H2680))</f>
        <v/>
      </c>
      <c r="Q2680" s="1" t="str">
        <f aca="false">IF(P2680="","",IFERROR(IF(AND(H2680="W7",OR(F2680="causal",F2680="predictive")),IF(AND(K2680=1,L2680=1,M2680=1),"adequate","partial"),INDEX(Fit_Matrix!$B:$B,MATCH(P2680,Fit_Matrix!$A:$A,0))),"CHECK KEY"))</f>
        <v/>
      </c>
    </row>
    <row r="2681" customFormat="false" ht="15" hidden="false" customHeight="true" outlineLevel="0" collapsed="false">
      <c r="P2681" s="1" t="str">
        <f aca="false">IF(OR(F2681="",H2681="",J2681=""),"",J2681&amp;"|"&amp;F2681&amp;"|"&amp;IF(H2681="W3","W3_"&amp;IF(I2681="","unknown",I2681),H2681))</f>
        <v/>
      </c>
      <c r="Q2681" s="1" t="str">
        <f aca="false">IF(P2681="","",IFERROR(IF(AND(H2681="W7",OR(F2681="causal",F2681="predictive")),IF(AND(K2681=1,L2681=1,M2681=1),"adequate","partial"),INDEX(Fit_Matrix!$B:$B,MATCH(P2681,Fit_Matrix!$A:$A,0))),"CHECK KEY"))</f>
        <v/>
      </c>
    </row>
    <row r="2682" customFormat="false" ht="15" hidden="false" customHeight="true" outlineLevel="0" collapsed="false">
      <c r="P2682" s="1" t="str">
        <f aca="false">IF(OR(F2682="",H2682="",J2682=""),"",J2682&amp;"|"&amp;F2682&amp;"|"&amp;IF(H2682="W3","W3_"&amp;IF(I2682="","unknown",I2682),H2682))</f>
        <v/>
      </c>
      <c r="Q2682" s="1" t="str">
        <f aca="false">IF(P2682="","",IFERROR(IF(AND(H2682="W7",OR(F2682="causal",F2682="predictive")),IF(AND(K2682=1,L2682=1,M2682=1),"adequate","partial"),INDEX(Fit_Matrix!$B:$B,MATCH(P2682,Fit_Matrix!$A:$A,0))),"CHECK KEY"))</f>
        <v/>
      </c>
    </row>
    <row r="2683" customFormat="false" ht="15" hidden="false" customHeight="true" outlineLevel="0" collapsed="false">
      <c r="P2683" s="1" t="str">
        <f aca="false">IF(OR(F2683="",H2683="",J2683=""),"",J2683&amp;"|"&amp;F2683&amp;"|"&amp;IF(H2683="W3","W3_"&amp;IF(I2683="","unknown",I2683),H2683))</f>
        <v/>
      </c>
      <c r="Q2683" s="1" t="str">
        <f aca="false">IF(P2683="","",IFERROR(IF(AND(H2683="W7",OR(F2683="causal",F2683="predictive")),IF(AND(K2683=1,L2683=1,M2683=1),"adequate","partial"),INDEX(Fit_Matrix!$B:$B,MATCH(P2683,Fit_Matrix!$A:$A,0))),"CHECK KEY"))</f>
        <v/>
      </c>
    </row>
    <row r="2684" customFormat="false" ht="15" hidden="false" customHeight="true" outlineLevel="0" collapsed="false">
      <c r="P2684" s="1" t="str">
        <f aca="false">IF(OR(F2684="",H2684="",J2684=""),"",J2684&amp;"|"&amp;F2684&amp;"|"&amp;IF(H2684="W3","W3_"&amp;IF(I2684="","unknown",I2684),H2684))</f>
        <v/>
      </c>
      <c r="Q2684" s="1" t="str">
        <f aca="false">IF(P2684="","",IFERROR(IF(AND(H2684="W7",OR(F2684="causal",F2684="predictive")),IF(AND(K2684=1,L2684=1,M2684=1),"adequate","partial"),INDEX(Fit_Matrix!$B:$B,MATCH(P2684,Fit_Matrix!$A:$A,0))),"CHECK KEY"))</f>
        <v/>
      </c>
    </row>
    <row r="2685" customFormat="false" ht="15" hidden="false" customHeight="true" outlineLevel="0" collapsed="false">
      <c r="P2685" s="1" t="str">
        <f aca="false">IF(OR(F2685="",H2685="",J2685=""),"",J2685&amp;"|"&amp;F2685&amp;"|"&amp;IF(H2685="W3","W3_"&amp;IF(I2685="","unknown",I2685),H2685))</f>
        <v/>
      </c>
      <c r="Q2685" s="1" t="str">
        <f aca="false">IF(P2685="","",IFERROR(IF(AND(H2685="W7",OR(F2685="causal",F2685="predictive")),IF(AND(K2685=1,L2685=1,M2685=1),"adequate","partial"),INDEX(Fit_Matrix!$B:$B,MATCH(P2685,Fit_Matrix!$A:$A,0))),"CHECK KEY"))</f>
        <v/>
      </c>
    </row>
    <row r="2686" customFormat="false" ht="15" hidden="false" customHeight="true" outlineLevel="0" collapsed="false">
      <c r="P2686" s="1" t="str">
        <f aca="false">IF(OR(F2686="",H2686="",J2686=""),"",J2686&amp;"|"&amp;F2686&amp;"|"&amp;IF(H2686="W3","W3_"&amp;IF(I2686="","unknown",I2686),H2686))</f>
        <v/>
      </c>
      <c r="Q2686" s="1" t="str">
        <f aca="false">IF(P2686="","",IFERROR(IF(AND(H2686="W7",OR(F2686="causal",F2686="predictive")),IF(AND(K2686=1,L2686=1,M2686=1),"adequate","partial"),INDEX(Fit_Matrix!$B:$B,MATCH(P2686,Fit_Matrix!$A:$A,0))),"CHECK KEY"))</f>
        <v/>
      </c>
    </row>
    <row r="2687" customFormat="false" ht="15" hidden="false" customHeight="true" outlineLevel="0" collapsed="false">
      <c r="P2687" s="1" t="str">
        <f aca="false">IF(OR(F2687="",H2687="",J2687=""),"",J2687&amp;"|"&amp;F2687&amp;"|"&amp;IF(H2687="W3","W3_"&amp;IF(I2687="","unknown",I2687),H2687))</f>
        <v/>
      </c>
      <c r="Q2687" s="1" t="str">
        <f aca="false">IF(P2687="","",IFERROR(IF(AND(H2687="W7",OR(F2687="causal",F2687="predictive")),IF(AND(K2687=1,L2687=1,M2687=1),"adequate","partial"),INDEX(Fit_Matrix!$B:$B,MATCH(P2687,Fit_Matrix!$A:$A,0))),"CHECK KEY"))</f>
        <v/>
      </c>
    </row>
    <row r="2688" customFormat="false" ht="15" hidden="false" customHeight="true" outlineLevel="0" collapsed="false">
      <c r="P2688" s="1" t="str">
        <f aca="false">IF(OR(F2688="",H2688="",J2688=""),"",J2688&amp;"|"&amp;F2688&amp;"|"&amp;IF(H2688="W3","W3_"&amp;IF(I2688="","unknown",I2688),H2688))</f>
        <v/>
      </c>
      <c r="Q2688" s="1" t="str">
        <f aca="false">IF(P2688="","",IFERROR(IF(AND(H2688="W7",OR(F2688="causal",F2688="predictive")),IF(AND(K2688=1,L2688=1,M2688=1),"adequate","partial"),INDEX(Fit_Matrix!$B:$B,MATCH(P2688,Fit_Matrix!$A:$A,0))),"CHECK KEY"))</f>
        <v/>
      </c>
    </row>
    <row r="2689" customFormat="false" ht="15" hidden="false" customHeight="true" outlineLevel="0" collapsed="false">
      <c r="P2689" s="1" t="str">
        <f aca="false">IF(OR(F2689="",H2689="",J2689=""),"",J2689&amp;"|"&amp;F2689&amp;"|"&amp;IF(H2689="W3","W3_"&amp;IF(I2689="","unknown",I2689),H2689))</f>
        <v/>
      </c>
      <c r="Q2689" s="1" t="str">
        <f aca="false">IF(P2689="","",IFERROR(IF(AND(H2689="W7",OR(F2689="causal",F2689="predictive")),IF(AND(K2689=1,L2689=1,M2689=1),"adequate","partial"),INDEX(Fit_Matrix!$B:$B,MATCH(P2689,Fit_Matrix!$A:$A,0))),"CHECK KEY"))</f>
        <v/>
      </c>
    </row>
    <row r="2690" customFormat="false" ht="15" hidden="false" customHeight="true" outlineLevel="0" collapsed="false">
      <c r="P2690" s="1" t="str">
        <f aca="false">IF(OR(F2690="",H2690="",J2690=""),"",J2690&amp;"|"&amp;F2690&amp;"|"&amp;IF(H2690="W3","W3_"&amp;IF(I2690="","unknown",I2690),H2690))</f>
        <v/>
      </c>
      <c r="Q2690" s="1" t="str">
        <f aca="false">IF(P2690="","",IFERROR(IF(AND(H2690="W7",OR(F2690="causal",F2690="predictive")),IF(AND(K2690=1,L2690=1,M2690=1),"adequate","partial"),INDEX(Fit_Matrix!$B:$B,MATCH(P2690,Fit_Matrix!$A:$A,0))),"CHECK KEY"))</f>
        <v/>
      </c>
    </row>
    <row r="2691" customFormat="false" ht="15" hidden="false" customHeight="true" outlineLevel="0" collapsed="false">
      <c r="P2691" s="1" t="str">
        <f aca="false">IF(OR(F2691="",H2691="",J2691=""),"",J2691&amp;"|"&amp;F2691&amp;"|"&amp;IF(H2691="W3","W3_"&amp;IF(I2691="","unknown",I2691),H2691))</f>
        <v/>
      </c>
      <c r="Q2691" s="1" t="str">
        <f aca="false">IF(P2691="","",IFERROR(IF(AND(H2691="W7",OR(F2691="causal",F2691="predictive")),IF(AND(K2691=1,L2691=1,M2691=1),"adequate","partial"),INDEX(Fit_Matrix!$B:$B,MATCH(P2691,Fit_Matrix!$A:$A,0))),"CHECK KEY"))</f>
        <v/>
      </c>
    </row>
    <row r="2692" customFormat="false" ht="15" hidden="false" customHeight="true" outlineLevel="0" collapsed="false">
      <c r="P2692" s="1" t="str">
        <f aca="false">IF(OR(F2692="",H2692="",J2692=""),"",J2692&amp;"|"&amp;F2692&amp;"|"&amp;IF(H2692="W3","W3_"&amp;IF(I2692="","unknown",I2692),H2692))</f>
        <v/>
      </c>
      <c r="Q2692" s="1" t="str">
        <f aca="false">IF(P2692="","",IFERROR(IF(AND(H2692="W7",OR(F2692="causal",F2692="predictive")),IF(AND(K2692=1,L2692=1,M2692=1),"adequate","partial"),INDEX(Fit_Matrix!$B:$B,MATCH(P2692,Fit_Matrix!$A:$A,0))),"CHECK KEY"))</f>
        <v/>
      </c>
    </row>
    <row r="2693" customFormat="false" ht="15" hidden="false" customHeight="true" outlineLevel="0" collapsed="false">
      <c r="P2693" s="1" t="str">
        <f aca="false">IF(OR(F2693="",H2693="",J2693=""),"",J2693&amp;"|"&amp;F2693&amp;"|"&amp;IF(H2693="W3","W3_"&amp;IF(I2693="","unknown",I2693),H2693))</f>
        <v/>
      </c>
      <c r="Q2693" s="1" t="str">
        <f aca="false">IF(P2693="","",IFERROR(IF(AND(H2693="W7",OR(F2693="causal",F2693="predictive")),IF(AND(K2693=1,L2693=1,M2693=1),"adequate","partial"),INDEX(Fit_Matrix!$B:$B,MATCH(P2693,Fit_Matrix!$A:$A,0))),"CHECK KEY"))</f>
        <v/>
      </c>
    </row>
    <row r="2694" customFormat="false" ht="15" hidden="false" customHeight="true" outlineLevel="0" collapsed="false">
      <c r="P2694" s="1" t="str">
        <f aca="false">IF(OR(F2694="",H2694="",J2694=""),"",J2694&amp;"|"&amp;F2694&amp;"|"&amp;IF(H2694="W3","W3_"&amp;IF(I2694="","unknown",I2694),H2694))</f>
        <v/>
      </c>
      <c r="Q2694" s="1" t="str">
        <f aca="false">IF(P2694="","",IFERROR(IF(AND(H2694="W7",OR(F2694="causal",F2694="predictive")),IF(AND(K2694=1,L2694=1,M2694=1),"adequate","partial"),INDEX(Fit_Matrix!$B:$B,MATCH(P2694,Fit_Matrix!$A:$A,0))),"CHECK KEY"))</f>
        <v/>
      </c>
    </row>
    <row r="2695" customFormat="false" ht="15" hidden="false" customHeight="true" outlineLevel="0" collapsed="false">
      <c r="P2695" s="1" t="str">
        <f aca="false">IF(OR(F2695="",H2695="",J2695=""),"",J2695&amp;"|"&amp;F2695&amp;"|"&amp;IF(H2695="W3","W3_"&amp;IF(I2695="","unknown",I2695),H2695))</f>
        <v/>
      </c>
      <c r="Q2695" s="1" t="str">
        <f aca="false">IF(P2695="","",IFERROR(IF(AND(H2695="W7",OR(F2695="causal",F2695="predictive")),IF(AND(K2695=1,L2695=1,M2695=1),"adequate","partial"),INDEX(Fit_Matrix!$B:$B,MATCH(P2695,Fit_Matrix!$A:$A,0))),"CHECK KEY"))</f>
        <v/>
      </c>
    </row>
    <row r="2696" customFormat="false" ht="15" hidden="false" customHeight="true" outlineLevel="0" collapsed="false">
      <c r="P2696" s="1" t="str">
        <f aca="false">IF(OR(F2696="",H2696="",J2696=""),"",J2696&amp;"|"&amp;F2696&amp;"|"&amp;IF(H2696="W3","W3_"&amp;IF(I2696="","unknown",I2696),H2696))</f>
        <v/>
      </c>
      <c r="Q2696" s="1" t="str">
        <f aca="false">IF(P2696="","",IFERROR(IF(AND(H2696="W7",OR(F2696="causal",F2696="predictive")),IF(AND(K2696=1,L2696=1,M2696=1),"adequate","partial"),INDEX(Fit_Matrix!$B:$B,MATCH(P2696,Fit_Matrix!$A:$A,0))),"CHECK KEY"))</f>
        <v/>
      </c>
    </row>
    <row r="2697" customFormat="false" ht="15" hidden="false" customHeight="true" outlineLevel="0" collapsed="false">
      <c r="P2697" s="1" t="str">
        <f aca="false">IF(OR(F2697="",H2697="",J2697=""),"",J2697&amp;"|"&amp;F2697&amp;"|"&amp;IF(H2697="W3","W3_"&amp;IF(I2697="","unknown",I2697),H2697))</f>
        <v/>
      </c>
      <c r="Q2697" s="1" t="str">
        <f aca="false">IF(P2697="","",IFERROR(IF(AND(H2697="W7",OR(F2697="causal",F2697="predictive")),IF(AND(K2697=1,L2697=1,M2697=1),"adequate","partial"),INDEX(Fit_Matrix!$B:$B,MATCH(P2697,Fit_Matrix!$A:$A,0))),"CHECK KEY"))</f>
        <v/>
      </c>
    </row>
    <row r="2698" customFormat="false" ht="15" hidden="false" customHeight="true" outlineLevel="0" collapsed="false">
      <c r="P2698" s="1" t="str">
        <f aca="false">IF(OR(F2698="",H2698="",J2698=""),"",J2698&amp;"|"&amp;F2698&amp;"|"&amp;IF(H2698="W3","W3_"&amp;IF(I2698="","unknown",I2698),H2698))</f>
        <v/>
      </c>
      <c r="Q2698" s="1" t="str">
        <f aca="false">IF(P2698="","",IFERROR(IF(AND(H2698="W7",OR(F2698="causal",F2698="predictive")),IF(AND(K2698=1,L2698=1,M2698=1),"adequate","partial"),INDEX(Fit_Matrix!$B:$B,MATCH(P2698,Fit_Matrix!$A:$A,0))),"CHECK KEY"))</f>
        <v/>
      </c>
    </row>
    <row r="2699" customFormat="false" ht="15" hidden="false" customHeight="true" outlineLevel="0" collapsed="false">
      <c r="P2699" s="1" t="str">
        <f aca="false">IF(OR(F2699="",H2699="",J2699=""),"",J2699&amp;"|"&amp;F2699&amp;"|"&amp;IF(H2699="W3","W3_"&amp;IF(I2699="","unknown",I2699),H2699))</f>
        <v/>
      </c>
      <c r="Q2699" s="1" t="str">
        <f aca="false">IF(P2699="","",IFERROR(IF(AND(H2699="W7",OR(F2699="causal",F2699="predictive")),IF(AND(K2699=1,L2699=1,M2699=1),"adequate","partial"),INDEX(Fit_Matrix!$B:$B,MATCH(P2699,Fit_Matrix!$A:$A,0))),"CHECK KEY"))</f>
        <v/>
      </c>
    </row>
    <row r="2700" customFormat="false" ht="15" hidden="false" customHeight="true" outlineLevel="0" collapsed="false">
      <c r="P2700" s="1" t="str">
        <f aca="false">IF(OR(F2700="",H2700="",J2700=""),"",J2700&amp;"|"&amp;F2700&amp;"|"&amp;IF(H2700="W3","W3_"&amp;IF(I2700="","unknown",I2700),H2700))</f>
        <v/>
      </c>
      <c r="Q2700" s="1" t="str">
        <f aca="false">IF(P2700="","",IFERROR(IF(AND(H2700="W7",OR(F2700="causal",F2700="predictive")),IF(AND(K2700=1,L2700=1,M2700=1),"adequate","partial"),INDEX(Fit_Matrix!$B:$B,MATCH(P2700,Fit_Matrix!$A:$A,0))),"CHECK KEY"))</f>
        <v/>
      </c>
    </row>
    <row r="2701" customFormat="false" ht="15" hidden="false" customHeight="true" outlineLevel="0" collapsed="false">
      <c r="P2701" s="1" t="str">
        <f aca="false">IF(OR(F2701="",H2701="",J2701=""),"",J2701&amp;"|"&amp;F2701&amp;"|"&amp;IF(H2701="W3","W3_"&amp;IF(I2701="","unknown",I2701),H2701))</f>
        <v/>
      </c>
      <c r="Q2701" s="1" t="str">
        <f aca="false">IF(P2701="","",IFERROR(IF(AND(H2701="W7",OR(F2701="causal",F2701="predictive")),IF(AND(K2701=1,L2701=1,M2701=1),"adequate","partial"),INDEX(Fit_Matrix!$B:$B,MATCH(P2701,Fit_Matrix!$A:$A,0))),"CHECK KEY"))</f>
        <v/>
      </c>
    </row>
    <row r="2702" customFormat="false" ht="15" hidden="false" customHeight="true" outlineLevel="0" collapsed="false">
      <c r="P2702" s="1" t="str">
        <f aca="false">IF(OR(F2702="",H2702="",J2702=""),"",J2702&amp;"|"&amp;F2702&amp;"|"&amp;IF(H2702="W3","W3_"&amp;IF(I2702="","unknown",I2702),H2702))</f>
        <v/>
      </c>
      <c r="Q2702" s="1" t="str">
        <f aca="false">IF(P2702="","",IFERROR(IF(AND(H2702="W7",OR(F2702="causal",F2702="predictive")),IF(AND(K2702=1,L2702=1,M2702=1),"adequate","partial"),INDEX(Fit_Matrix!$B:$B,MATCH(P2702,Fit_Matrix!$A:$A,0))),"CHECK KEY"))</f>
        <v/>
      </c>
    </row>
    <row r="2703" customFormat="false" ht="15" hidden="false" customHeight="true" outlineLevel="0" collapsed="false">
      <c r="P2703" s="1" t="str">
        <f aca="false">IF(OR(F2703="",H2703="",J2703=""),"",J2703&amp;"|"&amp;F2703&amp;"|"&amp;IF(H2703="W3","W3_"&amp;IF(I2703="","unknown",I2703),H2703))</f>
        <v/>
      </c>
      <c r="Q2703" s="1" t="str">
        <f aca="false">IF(P2703="","",IFERROR(IF(AND(H2703="W7",OR(F2703="causal",F2703="predictive")),IF(AND(K2703=1,L2703=1,M2703=1),"adequate","partial"),INDEX(Fit_Matrix!$B:$B,MATCH(P2703,Fit_Matrix!$A:$A,0))),"CHECK KEY"))</f>
        <v/>
      </c>
    </row>
    <row r="2704" customFormat="false" ht="15" hidden="false" customHeight="true" outlineLevel="0" collapsed="false">
      <c r="P2704" s="1" t="str">
        <f aca="false">IF(OR(F2704="",H2704="",J2704=""),"",J2704&amp;"|"&amp;F2704&amp;"|"&amp;IF(H2704="W3","W3_"&amp;IF(I2704="","unknown",I2704),H2704))</f>
        <v/>
      </c>
      <c r="Q2704" s="1" t="str">
        <f aca="false">IF(P2704="","",IFERROR(IF(AND(H2704="W7",OR(F2704="causal",F2704="predictive")),IF(AND(K2704=1,L2704=1,M2704=1),"adequate","partial"),INDEX(Fit_Matrix!$B:$B,MATCH(P2704,Fit_Matrix!$A:$A,0))),"CHECK KEY"))</f>
        <v/>
      </c>
    </row>
    <row r="2705" customFormat="false" ht="15" hidden="false" customHeight="true" outlineLevel="0" collapsed="false">
      <c r="P2705" s="1" t="str">
        <f aca="false">IF(OR(F2705="",H2705="",J2705=""),"",J2705&amp;"|"&amp;F2705&amp;"|"&amp;IF(H2705="W3","W3_"&amp;IF(I2705="","unknown",I2705),H2705))</f>
        <v/>
      </c>
      <c r="Q2705" s="1" t="str">
        <f aca="false">IF(P2705="","",IFERROR(IF(AND(H2705="W7",OR(F2705="causal",F2705="predictive")),IF(AND(K2705=1,L2705=1,M2705=1),"adequate","partial"),INDEX(Fit_Matrix!$B:$B,MATCH(P2705,Fit_Matrix!$A:$A,0))),"CHECK KEY"))</f>
        <v/>
      </c>
    </row>
    <row r="2706" customFormat="false" ht="15" hidden="false" customHeight="true" outlineLevel="0" collapsed="false">
      <c r="P2706" s="1" t="str">
        <f aca="false">IF(OR(F2706="",H2706="",J2706=""),"",J2706&amp;"|"&amp;F2706&amp;"|"&amp;IF(H2706="W3","W3_"&amp;IF(I2706="","unknown",I2706),H2706))</f>
        <v/>
      </c>
      <c r="Q2706" s="1" t="str">
        <f aca="false">IF(P2706="","",IFERROR(IF(AND(H2706="W7",OR(F2706="causal",F2706="predictive")),IF(AND(K2706=1,L2706=1,M2706=1),"adequate","partial"),INDEX(Fit_Matrix!$B:$B,MATCH(P2706,Fit_Matrix!$A:$A,0))),"CHECK KEY"))</f>
        <v/>
      </c>
    </row>
    <row r="2707" customFormat="false" ht="15" hidden="false" customHeight="true" outlineLevel="0" collapsed="false">
      <c r="P2707" s="1" t="str">
        <f aca="false">IF(OR(F2707="",H2707="",J2707=""),"",J2707&amp;"|"&amp;F2707&amp;"|"&amp;IF(H2707="W3","W3_"&amp;IF(I2707="","unknown",I2707),H2707))</f>
        <v/>
      </c>
      <c r="Q2707" s="1" t="str">
        <f aca="false">IF(P2707="","",IFERROR(IF(AND(H2707="W7",OR(F2707="causal",F2707="predictive")),IF(AND(K2707=1,L2707=1,M2707=1),"adequate","partial"),INDEX(Fit_Matrix!$B:$B,MATCH(P2707,Fit_Matrix!$A:$A,0))),"CHECK KEY"))</f>
        <v/>
      </c>
    </row>
    <row r="2708" customFormat="false" ht="15" hidden="false" customHeight="true" outlineLevel="0" collapsed="false">
      <c r="P2708" s="1" t="str">
        <f aca="false">IF(OR(F2708="",H2708="",J2708=""),"",J2708&amp;"|"&amp;F2708&amp;"|"&amp;IF(H2708="W3","W3_"&amp;IF(I2708="","unknown",I2708),H2708))</f>
        <v/>
      </c>
      <c r="Q2708" s="1" t="str">
        <f aca="false">IF(P2708="","",IFERROR(IF(AND(H2708="W7",OR(F2708="causal",F2708="predictive")),IF(AND(K2708=1,L2708=1,M2708=1),"adequate","partial"),INDEX(Fit_Matrix!$B:$B,MATCH(P2708,Fit_Matrix!$A:$A,0))),"CHECK KEY"))</f>
        <v/>
      </c>
    </row>
    <row r="2709" customFormat="false" ht="15" hidden="false" customHeight="true" outlineLevel="0" collapsed="false">
      <c r="P2709" s="1" t="str">
        <f aca="false">IF(OR(F2709="",H2709="",J2709=""),"",J2709&amp;"|"&amp;F2709&amp;"|"&amp;IF(H2709="W3","W3_"&amp;IF(I2709="","unknown",I2709),H2709))</f>
        <v/>
      </c>
      <c r="Q2709" s="1" t="str">
        <f aca="false">IF(P2709="","",IFERROR(IF(AND(H2709="W7",OR(F2709="causal",F2709="predictive")),IF(AND(K2709=1,L2709=1,M2709=1),"adequate","partial"),INDEX(Fit_Matrix!$B:$B,MATCH(P2709,Fit_Matrix!$A:$A,0))),"CHECK KEY"))</f>
        <v/>
      </c>
    </row>
    <row r="2710" customFormat="false" ht="15" hidden="false" customHeight="true" outlineLevel="0" collapsed="false">
      <c r="P2710" s="1" t="str">
        <f aca="false">IF(OR(F2710="",H2710="",J2710=""),"",J2710&amp;"|"&amp;F2710&amp;"|"&amp;IF(H2710="W3","W3_"&amp;IF(I2710="","unknown",I2710),H2710))</f>
        <v/>
      </c>
      <c r="Q2710" s="1" t="str">
        <f aca="false">IF(P2710="","",IFERROR(IF(AND(H2710="W7",OR(F2710="causal",F2710="predictive")),IF(AND(K2710=1,L2710=1,M2710=1),"adequate","partial"),INDEX(Fit_Matrix!$B:$B,MATCH(P2710,Fit_Matrix!$A:$A,0))),"CHECK KEY"))</f>
        <v/>
      </c>
    </row>
    <row r="2711" customFormat="false" ht="15" hidden="false" customHeight="true" outlineLevel="0" collapsed="false">
      <c r="P2711" s="1" t="str">
        <f aca="false">IF(OR(F2711="",H2711="",J2711=""),"",J2711&amp;"|"&amp;F2711&amp;"|"&amp;IF(H2711="W3","W3_"&amp;IF(I2711="","unknown",I2711),H2711))</f>
        <v/>
      </c>
      <c r="Q2711" s="1" t="str">
        <f aca="false">IF(P2711="","",IFERROR(IF(AND(H2711="W7",OR(F2711="causal",F2711="predictive")),IF(AND(K2711=1,L2711=1,M2711=1),"adequate","partial"),INDEX(Fit_Matrix!$B:$B,MATCH(P2711,Fit_Matrix!$A:$A,0))),"CHECK KEY"))</f>
        <v/>
      </c>
    </row>
    <row r="2712" customFormat="false" ht="15" hidden="false" customHeight="true" outlineLevel="0" collapsed="false">
      <c r="P2712" s="1" t="str">
        <f aca="false">IF(OR(F2712="",H2712="",J2712=""),"",J2712&amp;"|"&amp;F2712&amp;"|"&amp;IF(H2712="W3","W3_"&amp;IF(I2712="","unknown",I2712),H2712))</f>
        <v/>
      </c>
      <c r="Q2712" s="1" t="str">
        <f aca="false">IF(P2712="","",IFERROR(IF(AND(H2712="W7",OR(F2712="causal",F2712="predictive")),IF(AND(K2712=1,L2712=1,M2712=1),"adequate","partial"),INDEX(Fit_Matrix!$B:$B,MATCH(P2712,Fit_Matrix!$A:$A,0))),"CHECK KEY"))</f>
        <v/>
      </c>
    </row>
    <row r="2713" customFormat="false" ht="15" hidden="false" customHeight="true" outlineLevel="0" collapsed="false">
      <c r="P2713" s="1" t="str">
        <f aca="false">IF(OR(F2713="",H2713="",J2713=""),"",J2713&amp;"|"&amp;F2713&amp;"|"&amp;IF(H2713="W3","W3_"&amp;IF(I2713="","unknown",I2713),H2713))</f>
        <v/>
      </c>
      <c r="Q2713" s="1" t="str">
        <f aca="false">IF(P2713="","",IFERROR(IF(AND(H2713="W7",OR(F2713="causal",F2713="predictive")),IF(AND(K2713=1,L2713=1,M2713=1),"adequate","partial"),INDEX(Fit_Matrix!$B:$B,MATCH(P2713,Fit_Matrix!$A:$A,0))),"CHECK KEY"))</f>
        <v/>
      </c>
    </row>
    <row r="2714" customFormat="false" ht="15" hidden="false" customHeight="true" outlineLevel="0" collapsed="false">
      <c r="P2714" s="1" t="str">
        <f aca="false">IF(OR(F2714="",H2714="",J2714=""),"",J2714&amp;"|"&amp;F2714&amp;"|"&amp;IF(H2714="W3","W3_"&amp;IF(I2714="","unknown",I2714),H2714))</f>
        <v/>
      </c>
      <c r="Q2714" s="1" t="str">
        <f aca="false">IF(P2714="","",IFERROR(IF(AND(H2714="W7",OR(F2714="causal",F2714="predictive")),IF(AND(K2714=1,L2714=1,M2714=1),"adequate","partial"),INDEX(Fit_Matrix!$B:$B,MATCH(P2714,Fit_Matrix!$A:$A,0))),"CHECK KEY"))</f>
        <v/>
      </c>
    </row>
    <row r="2715" customFormat="false" ht="15" hidden="false" customHeight="true" outlineLevel="0" collapsed="false">
      <c r="P2715" s="1" t="str">
        <f aca="false">IF(OR(F2715="",H2715="",J2715=""),"",J2715&amp;"|"&amp;F2715&amp;"|"&amp;IF(H2715="W3","W3_"&amp;IF(I2715="","unknown",I2715),H2715))</f>
        <v/>
      </c>
      <c r="Q2715" s="1" t="str">
        <f aca="false">IF(P2715="","",IFERROR(IF(AND(H2715="W7",OR(F2715="causal",F2715="predictive")),IF(AND(K2715=1,L2715=1,M2715=1),"adequate","partial"),INDEX(Fit_Matrix!$B:$B,MATCH(P2715,Fit_Matrix!$A:$A,0))),"CHECK KEY"))</f>
        <v/>
      </c>
    </row>
    <row r="2716" customFormat="false" ht="15" hidden="false" customHeight="true" outlineLevel="0" collapsed="false">
      <c r="P2716" s="1" t="str">
        <f aca="false">IF(OR(F2716="",H2716="",J2716=""),"",J2716&amp;"|"&amp;F2716&amp;"|"&amp;IF(H2716="W3","W3_"&amp;IF(I2716="","unknown",I2716),H2716))</f>
        <v/>
      </c>
      <c r="Q2716" s="1" t="str">
        <f aca="false">IF(P2716="","",IFERROR(IF(AND(H2716="W7",OR(F2716="causal",F2716="predictive")),IF(AND(K2716=1,L2716=1,M2716=1),"adequate","partial"),INDEX(Fit_Matrix!$B:$B,MATCH(P2716,Fit_Matrix!$A:$A,0))),"CHECK KEY"))</f>
        <v/>
      </c>
    </row>
    <row r="2717" customFormat="false" ht="15" hidden="false" customHeight="true" outlineLevel="0" collapsed="false">
      <c r="P2717" s="1" t="str">
        <f aca="false">IF(OR(F2717="",H2717="",J2717=""),"",J2717&amp;"|"&amp;F2717&amp;"|"&amp;IF(H2717="W3","W3_"&amp;IF(I2717="","unknown",I2717),H2717))</f>
        <v/>
      </c>
      <c r="Q2717" s="1" t="str">
        <f aca="false">IF(P2717="","",IFERROR(IF(AND(H2717="W7",OR(F2717="causal",F2717="predictive")),IF(AND(K2717=1,L2717=1,M2717=1),"adequate","partial"),INDEX(Fit_Matrix!$B:$B,MATCH(P2717,Fit_Matrix!$A:$A,0))),"CHECK KEY"))</f>
        <v/>
      </c>
    </row>
    <row r="2718" customFormat="false" ht="15" hidden="false" customHeight="true" outlineLevel="0" collapsed="false">
      <c r="P2718" s="1" t="str">
        <f aca="false">IF(OR(F2718="",H2718="",J2718=""),"",J2718&amp;"|"&amp;F2718&amp;"|"&amp;IF(H2718="W3","W3_"&amp;IF(I2718="","unknown",I2718),H2718))</f>
        <v/>
      </c>
      <c r="Q2718" s="1" t="str">
        <f aca="false">IF(P2718="","",IFERROR(IF(AND(H2718="W7",OR(F2718="causal",F2718="predictive")),IF(AND(K2718=1,L2718=1,M2718=1),"adequate","partial"),INDEX(Fit_Matrix!$B:$B,MATCH(P2718,Fit_Matrix!$A:$A,0))),"CHECK KEY"))</f>
        <v/>
      </c>
    </row>
    <row r="2719" customFormat="false" ht="15" hidden="false" customHeight="true" outlineLevel="0" collapsed="false">
      <c r="P2719" s="1" t="str">
        <f aca="false">IF(OR(F2719="",H2719="",J2719=""),"",J2719&amp;"|"&amp;F2719&amp;"|"&amp;IF(H2719="W3","W3_"&amp;IF(I2719="","unknown",I2719),H2719))</f>
        <v/>
      </c>
      <c r="Q2719" s="1" t="str">
        <f aca="false">IF(P2719="","",IFERROR(IF(AND(H2719="W7",OR(F2719="causal",F2719="predictive")),IF(AND(K2719=1,L2719=1,M2719=1),"adequate","partial"),INDEX(Fit_Matrix!$B:$B,MATCH(P2719,Fit_Matrix!$A:$A,0))),"CHECK KEY"))</f>
        <v/>
      </c>
    </row>
    <row r="2720" customFormat="false" ht="15" hidden="false" customHeight="true" outlineLevel="0" collapsed="false">
      <c r="P2720" s="1" t="str">
        <f aca="false">IF(OR(F2720="",H2720="",J2720=""),"",J2720&amp;"|"&amp;F2720&amp;"|"&amp;IF(H2720="W3","W3_"&amp;IF(I2720="","unknown",I2720),H2720))</f>
        <v/>
      </c>
      <c r="Q2720" s="1" t="str">
        <f aca="false">IF(P2720="","",IFERROR(IF(AND(H2720="W7",OR(F2720="causal",F2720="predictive")),IF(AND(K2720=1,L2720=1,M2720=1),"adequate","partial"),INDEX(Fit_Matrix!$B:$B,MATCH(P2720,Fit_Matrix!$A:$A,0))),"CHECK KEY"))</f>
        <v/>
      </c>
    </row>
    <row r="2721" customFormat="false" ht="15" hidden="false" customHeight="true" outlineLevel="0" collapsed="false">
      <c r="P2721" s="1" t="str">
        <f aca="false">IF(OR(F2721="",H2721="",J2721=""),"",J2721&amp;"|"&amp;F2721&amp;"|"&amp;IF(H2721="W3","W3_"&amp;IF(I2721="","unknown",I2721),H2721))</f>
        <v/>
      </c>
      <c r="Q2721" s="1" t="str">
        <f aca="false">IF(P2721="","",IFERROR(IF(AND(H2721="W7",OR(F2721="causal",F2721="predictive")),IF(AND(K2721=1,L2721=1,M2721=1),"adequate","partial"),INDEX(Fit_Matrix!$B:$B,MATCH(P2721,Fit_Matrix!$A:$A,0))),"CHECK KEY"))</f>
        <v/>
      </c>
    </row>
    <row r="2722" customFormat="false" ht="15" hidden="false" customHeight="true" outlineLevel="0" collapsed="false">
      <c r="P2722" s="1" t="str">
        <f aca="false">IF(OR(F2722="",H2722="",J2722=""),"",J2722&amp;"|"&amp;F2722&amp;"|"&amp;IF(H2722="W3","W3_"&amp;IF(I2722="","unknown",I2722),H2722))</f>
        <v/>
      </c>
      <c r="Q2722" s="1" t="str">
        <f aca="false">IF(P2722="","",IFERROR(IF(AND(H2722="W7",OR(F2722="causal",F2722="predictive")),IF(AND(K2722=1,L2722=1,M2722=1),"adequate","partial"),INDEX(Fit_Matrix!$B:$B,MATCH(P2722,Fit_Matrix!$A:$A,0))),"CHECK KEY"))</f>
        <v/>
      </c>
    </row>
    <row r="2723" customFormat="false" ht="15" hidden="false" customHeight="true" outlineLevel="0" collapsed="false">
      <c r="P2723" s="1" t="str">
        <f aca="false">IF(OR(F2723="",H2723="",J2723=""),"",J2723&amp;"|"&amp;F2723&amp;"|"&amp;IF(H2723="W3","W3_"&amp;IF(I2723="","unknown",I2723),H2723))</f>
        <v/>
      </c>
      <c r="Q2723" s="1" t="str">
        <f aca="false">IF(P2723="","",IFERROR(IF(AND(H2723="W7",OR(F2723="causal",F2723="predictive")),IF(AND(K2723=1,L2723=1,M2723=1),"adequate","partial"),INDEX(Fit_Matrix!$B:$B,MATCH(P2723,Fit_Matrix!$A:$A,0))),"CHECK KEY"))</f>
        <v/>
      </c>
    </row>
    <row r="2724" customFormat="false" ht="15" hidden="false" customHeight="true" outlineLevel="0" collapsed="false">
      <c r="P2724" s="1" t="str">
        <f aca="false">IF(OR(F2724="",H2724="",J2724=""),"",J2724&amp;"|"&amp;F2724&amp;"|"&amp;IF(H2724="W3","W3_"&amp;IF(I2724="","unknown",I2724),H2724))</f>
        <v/>
      </c>
      <c r="Q2724" s="1" t="str">
        <f aca="false">IF(P2724="","",IFERROR(IF(AND(H2724="W7",OR(F2724="causal",F2724="predictive")),IF(AND(K2724=1,L2724=1,M2724=1),"adequate","partial"),INDEX(Fit_Matrix!$B:$B,MATCH(P2724,Fit_Matrix!$A:$A,0))),"CHECK KEY"))</f>
        <v/>
      </c>
    </row>
    <row r="2725" customFormat="false" ht="15" hidden="false" customHeight="true" outlineLevel="0" collapsed="false">
      <c r="P2725" s="1" t="str">
        <f aca="false">IF(OR(F2725="",H2725="",J2725=""),"",J2725&amp;"|"&amp;F2725&amp;"|"&amp;IF(H2725="W3","W3_"&amp;IF(I2725="","unknown",I2725),H2725))</f>
        <v/>
      </c>
      <c r="Q2725" s="1" t="str">
        <f aca="false">IF(P2725="","",IFERROR(IF(AND(H2725="W7",OR(F2725="causal",F2725="predictive")),IF(AND(K2725=1,L2725=1,M2725=1),"adequate","partial"),INDEX(Fit_Matrix!$B:$B,MATCH(P2725,Fit_Matrix!$A:$A,0))),"CHECK KEY"))</f>
        <v/>
      </c>
    </row>
    <row r="2726" customFormat="false" ht="15" hidden="false" customHeight="true" outlineLevel="0" collapsed="false">
      <c r="P2726" s="1" t="str">
        <f aca="false">IF(OR(F2726="",H2726="",J2726=""),"",J2726&amp;"|"&amp;F2726&amp;"|"&amp;IF(H2726="W3","W3_"&amp;IF(I2726="","unknown",I2726),H2726))</f>
        <v/>
      </c>
      <c r="Q2726" s="1" t="str">
        <f aca="false">IF(P2726="","",IFERROR(IF(AND(H2726="W7",OR(F2726="causal",F2726="predictive")),IF(AND(K2726=1,L2726=1,M2726=1),"adequate","partial"),INDEX(Fit_Matrix!$B:$B,MATCH(P2726,Fit_Matrix!$A:$A,0))),"CHECK KEY"))</f>
        <v/>
      </c>
    </row>
    <row r="2727" customFormat="false" ht="15" hidden="false" customHeight="true" outlineLevel="0" collapsed="false">
      <c r="P2727" s="1" t="str">
        <f aca="false">IF(OR(F2727="",H2727="",J2727=""),"",J2727&amp;"|"&amp;F2727&amp;"|"&amp;IF(H2727="W3","W3_"&amp;IF(I2727="","unknown",I2727),H2727))</f>
        <v/>
      </c>
      <c r="Q2727" s="1" t="str">
        <f aca="false">IF(P2727="","",IFERROR(IF(AND(H2727="W7",OR(F2727="causal",F2727="predictive")),IF(AND(K2727=1,L2727=1,M2727=1),"adequate","partial"),INDEX(Fit_Matrix!$B:$B,MATCH(P2727,Fit_Matrix!$A:$A,0))),"CHECK KEY"))</f>
        <v/>
      </c>
    </row>
    <row r="2728" customFormat="false" ht="15" hidden="false" customHeight="true" outlineLevel="0" collapsed="false">
      <c r="P2728" s="1" t="str">
        <f aca="false">IF(OR(F2728="",H2728="",J2728=""),"",J2728&amp;"|"&amp;F2728&amp;"|"&amp;IF(H2728="W3","W3_"&amp;IF(I2728="","unknown",I2728),H2728))</f>
        <v/>
      </c>
      <c r="Q2728" s="1" t="str">
        <f aca="false">IF(P2728="","",IFERROR(IF(AND(H2728="W7",OR(F2728="causal",F2728="predictive")),IF(AND(K2728=1,L2728=1,M2728=1),"adequate","partial"),INDEX(Fit_Matrix!$B:$B,MATCH(P2728,Fit_Matrix!$A:$A,0))),"CHECK KEY"))</f>
        <v/>
      </c>
    </row>
    <row r="2729" customFormat="false" ht="15" hidden="false" customHeight="true" outlineLevel="0" collapsed="false">
      <c r="P2729" s="1" t="str">
        <f aca="false">IF(OR(F2729="",H2729="",J2729=""),"",J2729&amp;"|"&amp;F2729&amp;"|"&amp;IF(H2729="W3","W3_"&amp;IF(I2729="","unknown",I2729),H2729))</f>
        <v/>
      </c>
      <c r="Q2729" s="1" t="str">
        <f aca="false">IF(P2729="","",IFERROR(IF(AND(H2729="W7",OR(F2729="causal",F2729="predictive")),IF(AND(K2729=1,L2729=1,M2729=1),"adequate","partial"),INDEX(Fit_Matrix!$B:$B,MATCH(P2729,Fit_Matrix!$A:$A,0))),"CHECK KEY"))</f>
        <v/>
      </c>
    </row>
    <row r="2730" customFormat="false" ht="15" hidden="false" customHeight="true" outlineLevel="0" collapsed="false">
      <c r="P2730" s="1" t="str">
        <f aca="false">IF(OR(F2730="",H2730="",J2730=""),"",J2730&amp;"|"&amp;F2730&amp;"|"&amp;IF(H2730="W3","W3_"&amp;IF(I2730="","unknown",I2730),H2730))</f>
        <v/>
      </c>
      <c r="Q2730" s="1" t="str">
        <f aca="false">IF(P2730="","",IFERROR(IF(AND(H2730="W7",OR(F2730="causal",F2730="predictive")),IF(AND(K2730=1,L2730=1,M2730=1),"adequate","partial"),INDEX(Fit_Matrix!$B:$B,MATCH(P2730,Fit_Matrix!$A:$A,0))),"CHECK KEY"))</f>
        <v/>
      </c>
    </row>
    <row r="2731" customFormat="false" ht="15" hidden="false" customHeight="true" outlineLevel="0" collapsed="false">
      <c r="P2731" s="1" t="str">
        <f aca="false">IF(OR(F2731="",H2731="",J2731=""),"",J2731&amp;"|"&amp;F2731&amp;"|"&amp;IF(H2731="W3","W3_"&amp;IF(I2731="","unknown",I2731),H2731))</f>
        <v/>
      </c>
      <c r="Q2731" s="1" t="str">
        <f aca="false">IF(P2731="","",IFERROR(IF(AND(H2731="W7",OR(F2731="causal",F2731="predictive")),IF(AND(K2731=1,L2731=1,M2731=1),"adequate","partial"),INDEX(Fit_Matrix!$B:$B,MATCH(P2731,Fit_Matrix!$A:$A,0))),"CHECK KEY"))</f>
        <v/>
      </c>
    </row>
    <row r="2732" customFormat="false" ht="15" hidden="false" customHeight="true" outlineLevel="0" collapsed="false">
      <c r="P2732" s="1" t="str">
        <f aca="false">IF(OR(F2732="",H2732="",J2732=""),"",J2732&amp;"|"&amp;F2732&amp;"|"&amp;IF(H2732="W3","W3_"&amp;IF(I2732="","unknown",I2732),H2732))</f>
        <v/>
      </c>
      <c r="Q2732" s="1" t="str">
        <f aca="false">IF(P2732="","",IFERROR(IF(AND(H2732="W7",OR(F2732="causal",F2732="predictive")),IF(AND(K2732=1,L2732=1,M2732=1),"adequate","partial"),INDEX(Fit_Matrix!$B:$B,MATCH(P2732,Fit_Matrix!$A:$A,0))),"CHECK KEY"))</f>
        <v/>
      </c>
    </row>
    <row r="2733" customFormat="false" ht="15" hidden="false" customHeight="true" outlineLevel="0" collapsed="false">
      <c r="P2733" s="1" t="str">
        <f aca="false">IF(OR(F2733="",H2733="",J2733=""),"",J2733&amp;"|"&amp;F2733&amp;"|"&amp;IF(H2733="W3","W3_"&amp;IF(I2733="","unknown",I2733),H2733))</f>
        <v/>
      </c>
      <c r="Q2733" s="1" t="str">
        <f aca="false">IF(P2733="","",IFERROR(IF(AND(H2733="W7",OR(F2733="causal",F2733="predictive")),IF(AND(K2733=1,L2733=1,M2733=1),"adequate","partial"),INDEX(Fit_Matrix!$B:$B,MATCH(P2733,Fit_Matrix!$A:$A,0))),"CHECK KEY"))</f>
        <v/>
      </c>
    </row>
    <row r="2734" customFormat="false" ht="15" hidden="false" customHeight="true" outlineLevel="0" collapsed="false">
      <c r="P2734" s="1" t="str">
        <f aca="false">IF(OR(F2734="",H2734="",J2734=""),"",J2734&amp;"|"&amp;F2734&amp;"|"&amp;IF(H2734="W3","W3_"&amp;IF(I2734="","unknown",I2734),H2734))</f>
        <v/>
      </c>
      <c r="Q2734" s="1" t="str">
        <f aca="false">IF(P2734="","",IFERROR(IF(AND(H2734="W7",OR(F2734="causal",F2734="predictive")),IF(AND(K2734=1,L2734=1,M2734=1),"adequate","partial"),INDEX(Fit_Matrix!$B:$B,MATCH(P2734,Fit_Matrix!$A:$A,0))),"CHECK KEY"))</f>
        <v/>
      </c>
    </row>
    <row r="2735" customFormat="false" ht="15" hidden="false" customHeight="true" outlineLevel="0" collapsed="false">
      <c r="P2735" s="1" t="str">
        <f aca="false">IF(OR(F2735="",H2735="",J2735=""),"",J2735&amp;"|"&amp;F2735&amp;"|"&amp;IF(H2735="W3","W3_"&amp;IF(I2735="","unknown",I2735),H2735))</f>
        <v/>
      </c>
      <c r="Q2735" s="1" t="str">
        <f aca="false">IF(P2735="","",IFERROR(IF(AND(H2735="W7",OR(F2735="causal",F2735="predictive")),IF(AND(K2735=1,L2735=1,M2735=1),"adequate","partial"),INDEX(Fit_Matrix!$B:$B,MATCH(P2735,Fit_Matrix!$A:$A,0))),"CHECK KEY"))</f>
        <v/>
      </c>
    </row>
    <row r="2736" customFormat="false" ht="15" hidden="false" customHeight="true" outlineLevel="0" collapsed="false">
      <c r="P2736" s="1" t="str">
        <f aca="false">IF(OR(F2736="",H2736="",J2736=""),"",J2736&amp;"|"&amp;F2736&amp;"|"&amp;IF(H2736="W3","W3_"&amp;IF(I2736="","unknown",I2736),H2736))</f>
        <v/>
      </c>
      <c r="Q2736" s="1" t="str">
        <f aca="false">IF(P2736="","",IFERROR(IF(AND(H2736="W7",OR(F2736="causal",F2736="predictive")),IF(AND(K2736=1,L2736=1,M2736=1),"adequate","partial"),INDEX(Fit_Matrix!$B:$B,MATCH(P2736,Fit_Matrix!$A:$A,0))),"CHECK KEY"))</f>
        <v/>
      </c>
    </row>
    <row r="2737" customFormat="false" ht="15" hidden="false" customHeight="true" outlineLevel="0" collapsed="false">
      <c r="P2737" s="1" t="str">
        <f aca="false">IF(OR(F2737="",H2737="",J2737=""),"",J2737&amp;"|"&amp;F2737&amp;"|"&amp;IF(H2737="W3","W3_"&amp;IF(I2737="","unknown",I2737),H2737))</f>
        <v/>
      </c>
      <c r="Q2737" s="1" t="str">
        <f aca="false">IF(P2737="","",IFERROR(IF(AND(H2737="W7",OR(F2737="causal",F2737="predictive")),IF(AND(K2737=1,L2737=1,M2737=1),"adequate","partial"),INDEX(Fit_Matrix!$B:$B,MATCH(P2737,Fit_Matrix!$A:$A,0))),"CHECK KEY"))</f>
        <v/>
      </c>
    </row>
    <row r="2738" customFormat="false" ht="15" hidden="false" customHeight="true" outlineLevel="0" collapsed="false">
      <c r="P2738" s="1" t="str">
        <f aca="false">IF(OR(F2738="",H2738="",J2738=""),"",J2738&amp;"|"&amp;F2738&amp;"|"&amp;IF(H2738="W3","W3_"&amp;IF(I2738="","unknown",I2738),H2738))</f>
        <v/>
      </c>
      <c r="Q2738" s="1" t="str">
        <f aca="false">IF(P2738="","",IFERROR(IF(AND(H2738="W7",OR(F2738="causal",F2738="predictive")),IF(AND(K2738=1,L2738=1,M2738=1),"adequate","partial"),INDEX(Fit_Matrix!$B:$B,MATCH(P2738,Fit_Matrix!$A:$A,0))),"CHECK KEY"))</f>
        <v/>
      </c>
    </row>
    <row r="2739" customFormat="false" ht="15" hidden="false" customHeight="true" outlineLevel="0" collapsed="false">
      <c r="P2739" s="1" t="str">
        <f aca="false">IF(OR(F2739="",H2739="",J2739=""),"",J2739&amp;"|"&amp;F2739&amp;"|"&amp;IF(H2739="W3","W3_"&amp;IF(I2739="","unknown",I2739),H2739))</f>
        <v/>
      </c>
      <c r="Q2739" s="1" t="str">
        <f aca="false">IF(P2739="","",IFERROR(IF(AND(H2739="W7",OR(F2739="causal",F2739="predictive")),IF(AND(K2739=1,L2739=1,M2739=1),"adequate","partial"),INDEX(Fit_Matrix!$B:$B,MATCH(P2739,Fit_Matrix!$A:$A,0))),"CHECK KEY"))</f>
        <v/>
      </c>
    </row>
    <row r="2740" customFormat="false" ht="15" hidden="false" customHeight="true" outlineLevel="0" collapsed="false">
      <c r="P2740" s="1" t="str">
        <f aca="false">IF(OR(F2740="",H2740="",J2740=""),"",J2740&amp;"|"&amp;F2740&amp;"|"&amp;IF(H2740="W3","W3_"&amp;IF(I2740="","unknown",I2740),H2740))</f>
        <v/>
      </c>
      <c r="Q2740" s="1" t="str">
        <f aca="false">IF(P2740="","",IFERROR(IF(AND(H2740="W7",OR(F2740="causal",F2740="predictive")),IF(AND(K2740=1,L2740=1,M2740=1),"adequate","partial"),INDEX(Fit_Matrix!$B:$B,MATCH(P2740,Fit_Matrix!$A:$A,0))),"CHECK KEY"))</f>
        <v/>
      </c>
    </row>
    <row r="2741" customFormat="false" ht="15" hidden="false" customHeight="true" outlineLevel="0" collapsed="false">
      <c r="P2741" s="1" t="str">
        <f aca="false">IF(OR(F2741="",H2741="",J2741=""),"",J2741&amp;"|"&amp;F2741&amp;"|"&amp;IF(H2741="W3","W3_"&amp;IF(I2741="","unknown",I2741),H2741))</f>
        <v/>
      </c>
      <c r="Q2741" s="1" t="str">
        <f aca="false">IF(P2741="","",IFERROR(IF(AND(H2741="W7",OR(F2741="causal",F2741="predictive")),IF(AND(K2741=1,L2741=1,M2741=1),"adequate","partial"),INDEX(Fit_Matrix!$B:$B,MATCH(P2741,Fit_Matrix!$A:$A,0))),"CHECK KEY"))</f>
        <v/>
      </c>
    </row>
    <row r="2742" customFormat="false" ht="15" hidden="false" customHeight="true" outlineLevel="0" collapsed="false">
      <c r="P2742" s="1" t="str">
        <f aca="false">IF(OR(F2742="",H2742="",J2742=""),"",J2742&amp;"|"&amp;F2742&amp;"|"&amp;IF(H2742="W3","W3_"&amp;IF(I2742="","unknown",I2742),H2742))</f>
        <v/>
      </c>
      <c r="Q2742" s="1" t="str">
        <f aca="false">IF(P2742="","",IFERROR(IF(AND(H2742="W7",OR(F2742="causal",F2742="predictive")),IF(AND(K2742=1,L2742=1,M2742=1),"adequate","partial"),INDEX(Fit_Matrix!$B:$B,MATCH(P2742,Fit_Matrix!$A:$A,0))),"CHECK KEY"))</f>
        <v/>
      </c>
    </row>
    <row r="2743" customFormat="false" ht="15" hidden="false" customHeight="true" outlineLevel="0" collapsed="false">
      <c r="P2743" s="1" t="str">
        <f aca="false">IF(OR(F2743="",H2743="",J2743=""),"",J2743&amp;"|"&amp;F2743&amp;"|"&amp;IF(H2743="W3","W3_"&amp;IF(I2743="","unknown",I2743),H2743))</f>
        <v/>
      </c>
      <c r="Q2743" s="1" t="str">
        <f aca="false">IF(P2743="","",IFERROR(IF(AND(H2743="W7",OR(F2743="causal",F2743="predictive")),IF(AND(K2743=1,L2743=1,M2743=1),"adequate","partial"),INDEX(Fit_Matrix!$B:$B,MATCH(P2743,Fit_Matrix!$A:$A,0))),"CHECK KEY"))</f>
        <v/>
      </c>
    </row>
    <row r="2744" customFormat="false" ht="15" hidden="false" customHeight="true" outlineLevel="0" collapsed="false">
      <c r="P2744" s="1" t="str">
        <f aca="false">IF(OR(F2744="",H2744="",J2744=""),"",J2744&amp;"|"&amp;F2744&amp;"|"&amp;IF(H2744="W3","W3_"&amp;IF(I2744="","unknown",I2744),H2744))</f>
        <v/>
      </c>
      <c r="Q2744" s="1" t="str">
        <f aca="false">IF(P2744="","",IFERROR(IF(AND(H2744="W7",OR(F2744="causal",F2744="predictive")),IF(AND(K2744=1,L2744=1,M2744=1),"adequate","partial"),INDEX(Fit_Matrix!$B:$B,MATCH(P2744,Fit_Matrix!$A:$A,0))),"CHECK KEY"))</f>
        <v/>
      </c>
    </row>
    <row r="2745" customFormat="false" ht="15" hidden="false" customHeight="true" outlineLevel="0" collapsed="false">
      <c r="P2745" s="1" t="str">
        <f aca="false">IF(OR(F2745="",H2745="",J2745=""),"",J2745&amp;"|"&amp;F2745&amp;"|"&amp;IF(H2745="W3","W3_"&amp;IF(I2745="","unknown",I2745),H2745))</f>
        <v/>
      </c>
      <c r="Q2745" s="1" t="str">
        <f aca="false">IF(P2745="","",IFERROR(IF(AND(H2745="W7",OR(F2745="causal",F2745="predictive")),IF(AND(K2745=1,L2745=1,M2745=1),"adequate","partial"),INDEX(Fit_Matrix!$B:$B,MATCH(P2745,Fit_Matrix!$A:$A,0))),"CHECK KEY"))</f>
        <v/>
      </c>
    </row>
    <row r="2746" customFormat="false" ht="15" hidden="false" customHeight="true" outlineLevel="0" collapsed="false">
      <c r="P2746" s="1" t="str">
        <f aca="false">IF(OR(F2746="",H2746="",J2746=""),"",J2746&amp;"|"&amp;F2746&amp;"|"&amp;IF(H2746="W3","W3_"&amp;IF(I2746="","unknown",I2746),H2746))</f>
        <v/>
      </c>
      <c r="Q2746" s="1" t="str">
        <f aca="false">IF(P2746="","",IFERROR(IF(AND(H2746="W7",OR(F2746="causal",F2746="predictive")),IF(AND(K2746=1,L2746=1,M2746=1),"adequate","partial"),INDEX(Fit_Matrix!$B:$B,MATCH(P2746,Fit_Matrix!$A:$A,0))),"CHECK KEY"))</f>
        <v/>
      </c>
    </row>
    <row r="2747" customFormat="false" ht="15" hidden="false" customHeight="true" outlineLevel="0" collapsed="false">
      <c r="P2747" s="1" t="str">
        <f aca="false">IF(OR(F2747="",H2747="",J2747=""),"",J2747&amp;"|"&amp;F2747&amp;"|"&amp;IF(H2747="W3","W3_"&amp;IF(I2747="","unknown",I2747),H2747))</f>
        <v/>
      </c>
      <c r="Q2747" s="1" t="str">
        <f aca="false">IF(P2747="","",IFERROR(IF(AND(H2747="W7",OR(F2747="causal",F2747="predictive")),IF(AND(K2747=1,L2747=1,M2747=1),"adequate","partial"),INDEX(Fit_Matrix!$B:$B,MATCH(P2747,Fit_Matrix!$A:$A,0))),"CHECK KEY"))</f>
        <v/>
      </c>
    </row>
    <row r="2748" customFormat="false" ht="15" hidden="false" customHeight="true" outlineLevel="0" collapsed="false">
      <c r="P2748" s="1" t="str">
        <f aca="false">IF(OR(F2748="",H2748="",J2748=""),"",J2748&amp;"|"&amp;F2748&amp;"|"&amp;IF(H2748="W3","W3_"&amp;IF(I2748="","unknown",I2748),H2748))</f>
        <v/>
      </c>
      <c r="Q2748" s="1" t="str">
        <f aca="false">IF(P2748="","",IFERROR(IF(AND(H2748="W7",OR(F2748="causal",F2748="predictive")),IF(AND(K2748=1,L2748=1,M2748=1),"adequate","partial"),INDEX(Fit_Matrix!$B:$B,MATCH(P2748,Fit_Matrix!$A:$A,0))),"CHECK KEY"))</f>
        <v/>
      </c>
    </row>
    <row r="2749" customFormat="false" ht="15" hidden="false" customHeight="true" outlineLevel="0" collapsed="false">
      <c r="P2749" s="1" t="str">
        <f aca="false">IF(OR(F2749="",H2749="",J2749=""),"",J2749&amp;"|"&amp;F2749&amp;"|"&amp;IF(H2749="W3","W3_"&amp;IF(I2749="","unknown",I2749),H2749))</f>
        <v/>
      </c>
      <c r="Q2749" s="1" t="str">
        <f aca="false">IF(P2749="","",IFERROR(IF(AND(H2749="W7",OR(F2749="causal",F2749="predictive")),IF(AND(K2749=1,L2749=1,M2749=1),"adequate","partial"),INDEX(Fit_Matrix!$B:$B,MATCH(P2749,Fit_Matrix!$A:$A,0))),"CHECK KEY"))</f>
        <v/>
      </c>
    </row>
    <row r="2750" customFormat="false" ht="15" hidden="false" customHeight="true" outlineLevel="0" collapsed="false">
      <c r="P2750" s="1" t="str">
        <f aca="false">IF(OR(F2750="",H2750="",J2750=""),"",J2750&amp;"|"&amp;F2750&amp;"|"&amp;IF(H2750="W3","W3_"&amp;IF(I2750="","unknown",I2750),H2750))</f>
        <v/>
      </c>
      <c r="Q2750" s="1" t="str">
        <f aca="false">IF(P2750="","",IFERROR(IF(AND(H2750="W7",OR(F2750="causal",F2750="predictive")),IF(AND(K2750=1,L2750=1,M2750=1),"adequate","partial"),INDEX(Fit_Matrix!$B:$B,MATCH(P2750,Fit_Matrix!$A:$A,0))),"CHECK KEY"))</f>
        <v/>
      </c>
    </row>
    <row r="2751" customFormat="false" ht="15" hidden="false" customHeight="true" outlineLevel="0" collapsed="false">
      <c r="P2751" s="1" t="str">
        <f aca="false">IF(OR(F2751="",H2751="",J2751=""),"",J2751&amp;"|"&amp;F2751&amp;"|"&amp;IF(H2751="W3","W3_"&amp;IF(I2751="","unknown",I2751),H2751))</f>
        <v/>
      </c>
      <c r="Q2751" s="1" t="str">
        <f aca="false">IF(P2751="","",IFERROR(IF(AND(H2751="W7",OR(F2751="causal",F2751="predictive")),IF(AND(K2751=1,L2751=1,M2751=1),"adequate","partial"),INDEX(Fit_Matrix!$B:$B,MATCH(P2751,Fit_Matrix!$A:$A,0))),"CHECK KEY"))</f>
        <v/>
      </c>
    </row>
    <row r="2752" customFormat="false" ht="15" hidden="false" customHeight="true" outlineLevel="0" collapsed="false">
      <c r="P2752" s="1" t="str">
        <f aca="false">IF(OR(F2752="",H2752="",J2752=""),"",J2752&amp;"|"&amp;F2752&amp;"|"&amp;IF(H2752="W3","W3_"&amp;IF(I2752="","unknown",I2752),H2752))</f>
        <v/>
      </c>
      <c r="Q2752" s="1" t="str">
        <f aca="false">IF(P2752="","",IFERROR(IF(AND(H2752="W7",OR(F2752="causal",F2752="predictive")),IF(AND(K2752=1,L2752=1,M2752=1),"adequate","partial"),INDEX(Fit_Matrix!$B:$B,MATCH(P2752,Fit_Matrix!$A:$A,0))),"CHECK KEY"))</f>
        <v/>
      </c>
    </row>
    <row r="2753" customFormat="false" ht="15" hidden="false" customHeight="true" outlineLevel="0" collapsed="false">
      <c r="P2753" s="1" t="str">
        <f aca="false">IF(OR(F2753="",H2753="",J2753=""),"",J2753&amp;"|"&amp;F2753&amp;"|"&amp;IF(H2753="W3","W3_"&amp;IF(I2753="","unknown",I2753),H2753))</f>
        <v/>
      </c>
      <c r="Q2753" s="1" t="str">
        <f aca="false">IF(P2753="","",IFERROR(IF(AND(H2753="W7",OR(F2753="causal",F2753="predictive")),IF(AND(K2753=1,L2753=1,M2753=1),"adequate","partial"),INDEX(Fit_Matrix!$B:$B,MATCH(P2753,Fit_Matrix!$A:$A,0))),"CHECK KEY"))</f>
        <v/>
      </c>
    </row>
    <row r="2754" customFormat="false" ht="15" hidden="false" customHeight="true" outlineLevel="0" collapsed="false">
      <c r="P2754" s="1" t="str">
        <f aca="false">IF(OR(F2754="",H2754="",J2754=""),"",J2754&amp;"|"&amp;F2754&amp;"|"&amp;IF(H2754="W3","W3_"&amp;IF(I2754="","unknown",I2754),H2754))</f>
        <v/>
      </c>
      <c r="Q2754" s="1" t="str">
        <f aca="false">IF(P2754="","",IFERROR(IF(AND(H2754="W7",OR(F2754="causal",F2754="predictive")),IF(AND(K2754=1,L2754=1,M2754=1),"adequate","partial"),INDEX(Fit_Matrix!$B:$B,MATCH(P2754,Fit_Matrix!$A:$A,0))),"CHECK KEY"))</f>
        <v/>
      </c>
    </row>
    <row r="2755" customFormat="false" ht="15" hidden="false" customHeight="true" outlineLevel="0" collapsed="false">
      <c r="P2755" s="1" t="str">
        <f aca="false">IF(OR(F2755="",H2755="",J2755=""),"",J2755&amp;"|"&amp;F2755&amp;"|"&amp;IF(H2755="W3","W3_"&amp;IF(I2755="","unknown",I2755),H2755))</f>
        <v/>
      </c>
      <c r="Q2755" s="1" t="str">
        <f aca="false">IF(P2755="","",IFERROR(IF(AND(H2755="W7",OR(F2755="causal",F2755="predictive")),IF(AND(K2755=1,L2755=1,M2755=1),"adequate","partial"),INDEX(Fit_Matrix!$B:$B,MATCH(P2755,Fit_Matrix!$A:$A,0))),"CHECK KEY"))</f>
        <v/>
      </c>
    </row>
    <row r="2756" customFormat="false" ht="15" hidden="false" customHeight="true" outlineLevel="0" collapsed="false">
      <c r="P2756" s="1" t="str">
        <f aca="false">IF(OR(F2756="",H2756="",J2756=""),"",J2756&amp;"|"&amp;F2756&amp;"|"&amp;IF(H2756="W3","W3_"&amp;IF(I2756="","unknown",I2756),H2756))</f>
        <v/>
      </c>
      <c r="Q2756" s="1" t="str">
        <f aca="false">IF(P2756="","",IFERROR(IF(AND(H2756="W7",OR(F2756="causal",F2756="predictive")),IF(AND(K2756=1,L2756=1,M2756=1),"adequate","partial"),INDEX(Fit_Matrix!$B:$B,MATCH(P2756,Fit_Matrix!$A:$A,0))),"CHECK KEY"))</f>
        <v/>
      </c>
    </row>
    <row r="2757" customFormat="false" ht="15" hidden="false" customHeight="true" outlineLevel="0" collapsed="false">
      <c r="P2757" s="1" t="str">
        <f aca="false">IF(OR(F2757="",H2757="",J2757=""),"",J2757&amp;"|"&amp;F2757&amp;"|"&amp;IF(H2757="W3","W3_"&amp;IF(I2757="","unknown",I2757),H2757))</f>
        <v/>
      </c>
      <c r="Q2757" s="1" t="str">
        <f aca="false">IF(P2757="","",IFERROR(IF(AND(H2757="W7",OR(F2757="causal",F2757="predictive")),IF(AND(K2757=1,L2757=1,M2757=1),"adequate","partial"),INDEX(Fit_Matrix!$B:$B,MATCH(P2757,Fit_Matrix!$A:$A,0))),"CHECK KEY"))</f>
        <v/>
      </c>
    </row>
    <row r="2758" customFormat="false" ht="15" hidden="false" customHeight="true" outlineLevel="0" collapsed="false">
      <c r="P2758" s="1" t="str">
        <f aca="false">IF(OR(F2758="",H2758="",J2758=""),"",J2758&amp;"|"&amp;F2758&amp;"|"&amp;IF(H2758="W3","W3_"&amp;IF(I2758="","unknown",I2758),H2758))</f>
        <v/>
      </c>
      <c r="Q2758" s="1" t="str">
        <f aca="false">IF(P2758="","",IFERROR(IF(AND(H2758="W7",OR(F2758="causal",F2758="predictive")),IF(AND(K2758=1,L2758=1,M2758=1),"adequate","partial"),INDEX(Fit_Matrix!$B:$B,MATCH(P2758,Fit_Matrix!$A:$A,0))),"CHECK KEY"))</f>
        <v/>
      </c>
    </row>
    <row r="2759" customFormat="false" ht="15" hidden="false" customHeight="true" outlineLevel="0" collapsed="false">
      <c r="P2759" s="1" t="str">
        <f aca="false">IF(OR(F2759="",H2759="",J2759=""),"",J2759&amp;"|"&amp;F2759&amp;"|"&amp;IF(H2759="W3","W3_"&amp;IF(I2759="","unknown",I2759),H2759))</f>
        <v/>
      </c>
      <c r="Q2759" s="1" t="str">
        <f aca="false">IF(P2759="","",IFERROR(IF(AND(H2759="W7",OR(F2759="causal",F2759="predictive")),IF(AND(K2759=1,L2759=1,M2759=1),"adequate","partial"),INDEX(Fit_Matrix!$B:$B,MATCH(P2759,Fit_Matrix!$A:$A,0))),"CHECK KEY"))</f>
        <v/>
      </c>
    </row>
    <row r="2760" customFormat="false" ht="15" hidden="false" customHeight="true" outlineLevel="0" collapsed="false">
      <c r="P2760" s="1" t="str">
        <f aca="false">IF(OR(F2760="",H2760="",J2760=""),"",J2760&amp;"|"&amp;F2760&amp;"|"&amp;IF(H2760="W3","W3_"&amp;IF(I2760="","unknown",I2760),H2760))</f>
        <v/>
      </c>
      <c r="Q2760" s="1" t="str">
        <f aca="false">IF(P2760="","",IFERROR(IF(AND(H2760="W7",OR(F2760="causal",F2760="predictive")),IF(AND(K2760=1,L2760=1,M2760=1),"adequate","partial"),INDEX(Fit_Matrix!$B:$B,MATCH(P2760,Fit_Matrix!$A:$A,0))),"CHECK KEY"))</f>
        <v/>
      </c>
    </row>
    <row r="2761" customFormat="false" ht="15" hidden="false" customHeight="true" outlineLevel="0" collapsed="false">
      <c r="P2761" s="1" t="str">
        <f aca="false">IF(OR(F2761="",H2761="",J2761=""),"",J2761&amp;"|"&amp;F2761&amp;"|"&amp;IF(H2761="W3","W3_"&amp;IF(I2761="","unknown",I2761),H2761))</f>
        <v/>
      </c>
      <c r="Q2761" s="1" t="str">
        <f aca="false">IF(P2761="","",IFERROR(IF(AND(H2761="W7",OR(F2761="causal",F2761="predictive")),IF(AND(K2761=1,L2761=1,M2761=1),"adequate","partial"),INDEX(Fit_Matrix!$B:$B,MATCH(P2761,Fit_Matrix!$A:$A,0))),"CHECK KEY"))</f>
        <v/>
      </c>
    </row>
    <row r="2762" customFormat="false" ht="15" hidden="false" customHeight="true" outlineLevel="0" collapsed="false">
      <c r="P2762" s="1" t="str">
        <f aca="false">IF(OR(F2762="",H2762="",J2762=""),"",J2762&amp;"|"&amp;F2762&amp;"|"&amp;IF(H2762="W3","W3_"&amp;IF(I2762="","unknown",I2762),H2762))</f>
        <v/>
      </c>
      <c r="Q2762" s="1" t="str">
        <f aca="false">IF(P2762="","",IFERROR(IF(AND(H2762="W7",OR(F2762="causal",F2762="predictive")),IF(AND(K2762=1,L2762=1,M2762=1),"adequate","partial"),INDEX(Fit_Matrix!$B:$B,MATCH(P2762,Fit_Matrix!$A:$A,0))),"CHECK KEY"))</f>
        <v/>
      </c>
    </row>
    <row r="2763" customFormat="false" ht="15" hidden="false" customHeight="true" outlineLevel="0" collapsed="false">
      <c r="P2763" s="1" t="str">
        <f aca="false">IF(OR(F2763="",H2763="",J2763=""),"",J2763&amp;"|"&amp;F2763&amp;"|"&amp;IF(H2763="W3","W3_"&amp;IF(I2763="","unknown",I2763),H2763))</f>
        <v/>
      </c>
      <c r="Q2763" s="1" t="str">
        <f aca="false">IF(P2763="","",IFERROR(IF(AND(H2763="W7",OR(F2763="causal",F2763="predictive")),IF(AND(K2763=1,L2763=1,M2763=1),"adequate","partial"),INDEX(Fit_Matrix!$B:$B,MATCH(P2763,Fit_Matrix!$A:$A,0))),"CHECK KEY"))</f>
        <v/>
      </c>
    </row>
    <row r="2764" customFormat="false" ht="15" hidden="false" customHeight="true" outlineLevel="0" collapsed="false">
      <c r="P2764" s="1" t="str">
        <f aca="false">IF(OR(F2764="",H2764="",J2764=""),"",J2764&amp;"|"&amp;F2764&amp;"|"&amp;IF(H2764="W3","W3_"&amp;IF(I2764="","unknown",I2764),H2764))</f>
        <v/>
      </c>
      <c r="Q2764" s="1" t="str">
        <f aca="false">IF(P2764="","",IFERROR(IF(AND(H2764="W7",OR(F2764="causal",F2764="predictive")),IF(AND(K2764=1,L2764=1,M2764=1),"adequate","partial"),INDEX(Fit_Matrix!$B:$B,MATCH(P2764,Fit_Matrix!$A:$A,0))),"CHECK KEY"))</f>
        <v/>
      </c>
    </row>
    <row r="2765" customFormat="false" ht="15" hidden="false" customHeight="true" outlineLevel="0" collapsed="false">
      <c r="P2765" s="1" t="str">
        <f aca="false">IF(OR(F2765="",H2765="",J2765=""),"",J2765&amp;"|"&amp;F2765&amp;"|"&amp;IF(H2765="W3","W3_"&amp;IF(I2765="","unknown",I2765),H2765))</f>
        <v/>
      </c>
      <c r="Q2765" s="1" t="str">
        <f aca="false">IF(P2765="","",IFERROR(IF(AND(H2765="W7",OR(F2765="causal",F2765="predictive")),IF(AND(K2765=1,L2765=1,M2765=1),"adequate","partial"),INDEX(Fit_Matrix!$B:$B,MATCH(P2765,Fit_Matrix!$A:$A,0))),"CHECK KEY"))</f>
        <v/>
      </c>
    </row>
    <row r="2766" customFormat="false" ht="15" hidden="false" customHeight="true" outlineLevel="0" collapsed="false">
      <c r="P2766" s="1" t="str">
        <f aca="false">IF(OR(F2766="",H2766="",J2766=""),"",J2766&amp;"|"&amp;F2766&amp;"|"&amp;IF(H2766="W3","W3_"&amp;IF(I2766="","unknown",I2766),H2766))</f>
        <v/>
      </c>
      <c r="Q2766" s="1" t="str">
        <f aca="false">IF(P2766="","",IFERROR(IF(AND(H2766="W7",OR(F2766="causal",F2766="predictive")),IF(AND(K2766=1,L2766=1,M2766=1),"adequate","partial"),INDEX(Fit_Matrix!$B:$B,MATCH(P2766,Fit_Matrix!$A:$A,0))),"CHECK KEY"))</f>
        <v/>
      </c>
    </row>
    <row r="2767" customFormat="false" ht="15" hidden="false" customHeight="true" outlineLevel="0" collapsed="false">
      <c r="P2767" s="1" t="str">
        <f aca="false">IF(OR(F2767="",H2767="",J2767=""),"",J2767&amp;"|"&amp;F2767&amp;"|"&amp;IF(H2767="W3","W3_"&amp;IF(I2767="","unknown",I2767),H2767))</f>
        <v/>
      </c>
      <c r="Q2767" s="1" t="str">
        <f aca="false">IF(P2767="","",IFERROR(IF(AND(H2767="W7",OR(F2767="causal",F2767="predictive")),IF(AND(K2767=1,L2767=1,M2767=1),"adequate","partial"),INDEX(Fit_Matrix!$B:$B,MATCH(P2767,Fit_Matrix!$A:$A,0))),"CHECK KEY"))</f>
        <v/>
      </c>
    </row>
    <row r="2768" customFormat="false" ht="15" hidden="false" customHeight="true" outlineLevel="0" collapsed="false">
      <c r="P2768" s="1" t="str">
        <f aca="false">IF(OR(F2768="",H2768="",J2768=""),"",J2768&amp;"|"&amp;F2768&amp;"|"&amp;IF(H2768="W3","W3_"&amp;IF(I2768="","unknown",I2768),H2768))</f>
        <v/>
      </c>
      <c r="Q2768" s="1" t="str">
        <f aca="false">IF(P2768="","",IFERROR(IF(AND(H2768="W7",OR(F2768="causal",F2768="predictive")),IF(AND(K2768=1,L2768=1,M2768=1),"adequate","partial"),INDEX(Fit_Matrix!$B:$B,MATCH(P2768,Fit_Matrix!$A:$A,0))),"CHECK KEY"))</f>
        <v/>
      </c>
    </row>
    <row r="2769" customFormat="false" ht="15" hidden="false" customHeight="true" outlineLevel="0" collapsed="false">
      <c r="P2769" s="1" t="str">
        <f aca="false">IF(OR(F2769="",H2769="",J2769=""),"",J2769&amp;"|"&amp;F2769&amp;"|"&amp;IF(H2769="W3","W3_"&amp;IF(I2769="","unknown",I2769),H2769))</f>
        <v/>
      </c>
      <c r="Q2769" s="1" t="str">
        <f aca="false">IF(P2769="","",IFERROR(IF(AND(H2769="W7",OR(F2769="causal",F2769="predictive")),IF(AND(K2769=1,L2769=1,M2769=1),"adequate","partial"),INDEX(Fit_Matrix!$B:$B,MATCH(P2769,Fit_Matrix!$A:$A,0))),"CHECK KEY"))</f>
        <v/>
      </c>
    </row>
    <row r="2770" customFormat="false" ht="15" hidden="false" customHeight="true" outlineLevel="0" collapsed="false">
      <c r="P2770" s="1" t="str">
        <f aca="false">IF(OR(F2770="",H2770="",J2770=""),"",J2770&amp;"|"&amp;F2770&amp;"|"&amp;IF(H2770="W3","W3_"&amp;IF(I2770="","unknown",I2770),H2770))</f>
        <v/>
      </c>
      <c r="Q2770" s="1" t="str">
        <f aca="false">IF(P2770="","",IFERROR(IF(AND(H2770="W7",OR(F2770="causal",F2770="predictive")),IF(AND(K2770=1,L2770=1,M2770=1),"adequate","partial"),INDEX(Fit_Matrix!$B:$B,MATCH(P2770,Fit_Matrix!$A:$A,0))),"CHECK KEY"))</f>
        <v/>
      </c>
    </row>
    <row r="2771" customFormat="false" ht="15" hidden="false" customHeight="true" outlineLevel="0" collapsed="false">
      <c r="P2771" s="1" t="str">
        <f aca="false">IF(OR(F2771="",H2771="",J2771=""),"",J2771&amp;"|"&amp;F2771&amp;"|"&amp;IF(H2771="W3","W3_"&amp;IF(I2771="","unknown",I2771),H2771))</f>
        <v/>
      </c>
      <c r="Q2771" s="1" t="str">
        <f aca="false">IF(P2771="","",IFERROR(IF(AND(H2771="W7",OR(F2771="causal",F2771="predictive")),IF(AND(K2771=1,L2771=1,M2771=1),"adequate","partial"),INDEX(Fit_Matrix!$B:$B,MATCH(P2771,Fit_Matrix!$A:$A,0))),"CHECK KEY"))</f>
        <v/>
      </c>
    </row>
    <row r="2772" customFormat="false" ht="15" hidden="false" customHeight="true" outlineLevel="0" collapsed="false">
      <c r="P2772" s="1" t="str">
        <f aca="false">IF(OR(F2772="",H2772="",J2772=""),"",J2772&amp;"|"&amp;F2772&amp;"|"&amp;IF(H2772="W3","W3_"&amp;IF(I2772="","unknown",I2772),H2772))</f>
        <v/>
      </c>
      <c r="Q2772" s="1" t="str">
        <f aca="false">IF(P2772="","",IFERROR(IF(AND(H2772="W7",OR(F2772="causal",F2772="predictive")),IF(AND(K2772=1,L2772=1,M2772=1),"adequate","partial"),INDEX(Fit_Matrix!$B:$B,MATCH(P2772,Fit_Matrix!$A:$A,0))),"CHECK KEY"))</f>
        <v/>
      </c>
    </row>
    <row r="2773" customFormat="false" ht="15" hidden="false" customHeight="true" outlineLevel="0" collapsed="false">
      <c r="P2773" s="1" t="str">
        <f aca="false">IF(OR(F2773="",H2773="",J2773=""),"",J2773&amp;"|"&amp;F2773&amp;"|"&amp;IF(H2773="W3","W3_"&amp;IF(I2773="","unknown",I2773),H2773))</f>
        <v/>
      </c>
      <c r="Q2773" s="1" t="str">
        <f aca="false">IF(P2773="","",IFERROR(IF(AND(H2773="W7",OR(F2773="causal",F2773="predictive")),IF(AND(K2773=1,L2773=1,M2773=1),"adequate","partial"),INDEX(Fit_Matrix!$B:$B,MATCH(P2773,Fit_Matrix!$A:$A,0))),"CHECK KEY"))</f>
        <v/>
      </c>
    </row>
    <row r="2774" customFormat="false" ht="15" hidden="false" customHeight="true" outlineLevel="0" collapsed="false">
      <c r="P2774" s="1" t="str">
        <f aca="false">IF(OR(F2774="",H2774="",J2774=""),"",J2774&amp;"|"&amp;F2774&amp;"|"&amp;IF(H2774="W3","W3_"&amp;IF(I2774="","unknown",I2774),H2774))</f>
        <v/>
      </c>
      <c r="Q2774" s="1" t="str">
        <f aca="false">IF(P2774="","",IFERROR(IF(AND(H2774="W7",OR(F2774="causal",F2774="predictive")),IF(AND(K2774=1,L2774=1,M2774=1),"adequate","partial"),INDEX(Fit_Matrix!$B:$B,MATCH(P2774,Fit_Matrix!$A:$A,0))),"CHECK KEY"))</f>
        <v/>
      </c>
    </row>
    <row r="2775" customFormat="false" ht="15" hidden="false" customHeight="true" outlineLevel="0" collapsed="false">
      <c r="P2775" s="1" t="str">
        <f aca="false">IF(OR(F2775="",H2775="",J2775=""),"",J2775&amp;"|"&amp;F2775&amp;"|"&amp;IF(H2775="W3","W3_"&amp;IF(I2775="","unknown",I2775),H2775))</f>
        <v/>
      </c>
      <c r="Q2775" s="1" t="str">
        <f aca="false">IF(P2775="","",IFERROR(IF(AND(H2775="W7",OR(F2775="causal",F2775="predictive")),IF(AND(K2775=1,L2775=1,M2775=1),"adequate","partial"),INDEX(Fit_Matrix!$B:$B,MATCH(P2775,Fit_Matrix!$A:$A,0))),"CHECK KEY"))</f>
        <v/>
      </c>
    </row>
    <row r="2776" customFormat="false" ht="15" hidden="false" customHeight="true" outlineLevel="0" collapsed="false">
      <c r="P2776" s="1" t="str">
        <f aca="false">IF(OR(F2776="",H2776="",J2776=""),"",J2776&amp;"|"&amp;F2776&amp;"|"&amp;IF(H2776="W3","W3_"&amp;IF(I2776="","unknown",I2776),H2776))</f>
        <v/>
      </c>
      <c r="Q2776" s="1" t="str">
        <f aca="false">IF(P2776="","",IFERROR(IF(AND(H2776="W7",OR(F2776="causal",F2776="predictive")),IF(AND(K2776=1,L2776=1,M2776=1),"adequate","partial"),INDEX(Fit_Matrix!$B:$B,MATCH(P2776,Fit_Matrix!$A:$A,0))),"CHECK KEY"))</f>
        <v/>
      </c>
    </row>
    <row r="2777" customFormat="false" ht="15" hidden="false" customHeight="true" outlineLevel="0" collapsed="false">
      <c r="P2777" s="1" t="str">
        <f aca="false">IF(OR(F2777="",H2777="",J2777=""),"",J2777&amp;"|"&amp;F2777&amp;"|"&amp;IF(H2777="W3","W3_"&amp;IF(I2777="","unknown",I2777),H2777))</f>
        <v/>
      </c>
      <c r="Q2777" s="1" t="str">
        <f aca="false">IF(P2777="","",IFERROR(IF(AND(H2777="W7",OR(F2777="causal",F2777="predictive")),IF(AND(K2777=1,L2777=1,M2777=1),"adequate","partial"),INDEX(Fit_Matrix!$B:$B,MATCH(P2777,Fit_Matrix!$A:$A,0))),"CHECK KEY"))</f>
        <v/>
      </c>
    </row>
    <row r="2778" customFormat="false" ht="15" hidden="false" customHeight="true" outlineLevel="0" collapsed="false">
      <c r="P2778" s="1" t="str">
        <f aca="false">IF(OR(F2778="",H2778="",J2778=""),"",J2778&amp;"|"&amp;F2778&amp;"|"&amp;IF(H2778="W3","W3_"&amp;IF(I2778="","unknown",I2778),H2778))</f>
        <v/>
      </c>
      <c r="Q2778" s="1" t="str">
        <f aca="false">IF(P2778="","",IFERROR(IF(AND(H2778="W7",OR(F2778="causal",F2778="predictive")),IF(AND(K2778=1,L2778=1,M2778=1),"adequate","partial"),INDEX(Fit_Matrix!$B:$B,MATCH(P2778,Fit_Matrix!$A:$A,0))),"CHECK KEY"))</f>
        <v/>
      </c>
    </row>
    <row r="2779" customFormat="false" ht="15" hidden="false" customHeight="true" outlineLevel="0" collapsed="false">
      <c r="P2779" s="1" t="str">
        <f aca="false">IF(OR(F2779="",H2779="",J2779=""),"",J2779&amp;"|"&amp;F2779&amp;"|"&amp;IF(H2779="W3","W3_"&amp;IF(I2779="","unknown",I2779),H2779))</f>
        <v/>
      </c>
      <c r="Q2779" s="1" t="str">
        <f aca="false">IF(P2779="","",IFERROR(IF(AND(H2779="W7",OR(F2779="causal",F2779="predictive")),IF(AND(K2779=1,L2779=1,M2779=1),"adequate","partial"),INDEX(Fit_Matrix!$B:$B,MATCH(P2779,Fit_Matrix!$A:$A,0))),"CHECK KEY"))</f>
        <v/>
      </c>
    </row>
    <row r="2780" customFormat="false" ht="15" hidden="false" customHeight="true" outlineLevel="0" collapsed="false">
      <c r="P2780" s="1" t="str">
        <f aca="false">IF(OR(F2780="",H2780="",J2780=""),"",J2780&amp;"|"&amp;F2780&amp;"|"&amp;IF(H2780="W3","W3_"&amp;IF(I2780="","unknown",I2780),H2780))</f>
        <v/>
      </c>
      <c r="Q2780" s="1" t="str">
        <f aca="false">IF(P2780="","",IFERROR(IF(AND(H2780="W7",OR(F2780="causal",F2780="predictive")),IF(AND(K2780=1,L2780=1,M2780=1),"adequate","partial"),INDEX(Fit_Matrix!$B:$B,MATCH(P2780,Fit_Matrix!$A:$A,0))),"CHECK KEY"))</f>
        <v/>
      </c>
    </row>
    <row r="2781" customFormat="false" ht="15" hidden="false" customHeight="true" outlineLevel="0" collapsed="false">
      <c r="P2781" s="1" t="str">
        <f aca="false">IF(OR(F2781="",H2781="",J2781=""),"",J2781&amp;"|"&amp;F2781&amp;"|"&amp;IF(H2781="W3","W3_"&amp;IF(I2781="","unknown",I2781),H2781))</f>
        <v/>
      </c>
      <c r="Q2781" s="1" t="str">
        <f aca="false">IF(P2781="","",IFERROR(IF(AND(H2781="W7",OR(F2781="causal",F2781="predictive")),IF(AND(K2781=1,L2781=1,M2781=1),"adequate","partial"),INDEX(Fit_Matrix!$B:$B,MATCH(P2781,Fit_Matrix!$A:$A,0))),"CHECK KEY"))</f>
        <v/>
      </c>
    </row>
    <row r="2782" customFormat="false" ht="15" hidden="false" customHeight="true" outlineLevel="0" collapsed="false">
      <c r="P2782" s="1" t="str">
        <f aca="false">IF(OR(F2782="",H2782="",J2782=""),"",J2782&amp;"|"&amp;F2782&amp;"|"&amp;IF(H2782="W3","W3_"&amp;IF(I2782="","unknown",I2782),H2782))</f>
        <v/>
      </c>
      <c r="Q2782" s="1" t="str">
        <f aca="false">IF(P2782="","",IFERROR(IF(AND(H2782="W7",OR(F2782="causal",F2782="predictive")),IF(AND(K2782=1,L2782=1,M2782=1),"adequate","partial"),INDEX(Fit_Matrix!$B:$B,MATCH(P2782,Fit_Matrix!$A:$A,0))),"CHECK KEY"))</f>
        <v/>
      </c>
    </row>
    <row r="2783" customFormat="false" ht="15" hidden="false" customHeight="true" outlineLevel="0" collapsed="false">
      <c r="P2783" s="1" t="str">
        <f aca="false">IF(OR(F2783="",H2783="",J2783=""),"",J2783&amp;"|"&amp;F2783&amp;"|"&amp;IF(H2783="W3","W3_"&amp;IF(I2783="","unknown",I2783),H2783))</f>
        <v/>
      </c>
      <c r="Q2783" s="1" t="str">
        <f aca="false">IF(P2783="","",IFERROR(IF(AND(H2783="W7",OR(F2783="causal",F2783="predictive")),IF(AND(K2783=1,L2783=1,M2783=1),"adequate","partial"),INDEX(Fit_Matrix!$B:$B,MATCH(P2783,Fit_Matrix!$A:$A,0))),"CHECK KEY"))</f>
        <v/>
      </c>
    </row>
    <row r="2784" customFormat="false" ht="15" hidden="false" customHeight="true" outlineLevel="0" collapsed="false">
      <c r="P2784" s="1" t="str">
        <f aca="false">IF(OR(F2784="",H2784="",J2784=""),"",J2784&amp;"|"&amp;F2784&amp;"|"&amp;IF(H2784="W3","W3_"&amp;IF(I2784="","unknown",I2784),H2784))</f>
        <v/>
      </c>
      <c r="Q2784" s="1" t="str">
        <f aca="false">IF(P2784="","",IFERROR(IF(AND(H2784="W7",OR(F2784="causal",F2784="predictive")),IF(AND(K2784=1,L2784=1,M2784=1),"adequate","partial"),INDEX(Fit_Matrix!$B:$B,MATCH(P2784,Fit_Matrix!$A:$A,0))),"CHECK KEY"))</f>
        <v/>
      </c>
    </row>
    <row r="2785" customFormat="false" ht="15" hidden="false" customHeight="true" outlineLevel="0" collapsed="false">
      <c r="P2785" s="1" t="str">
        <f aca="false">IF(OR(F2785="",H2785="",J2785=""),"",J2785&amp;"|"&amp;F2785&amp;"|"&amp;IF(H2785="W3","W3_"&amp;IF(I2785="","unknown",I2785),H2785))</f>
        <v/>
      </c>
      <c r="Q2785" s="1" t="str">
        <f aca="false">IF(P2785="","",IFERROR(IF(AND(H2785="W7",OR(F2785="causal",F2785="predictive")),IF(AND(K2785=1,L2785=1,M2785=1),"adequate","partial"),INDEX(Fit_Matrix!$B:$B,MATCH(P2785,Fit_Matrix!$A:$A,0))),"CHECK KEY"))</f>
        <v/>
      </c>
    </row>
    <row r="2786" customFormat="false" ht="15" hidden="false" customHeight="true" outlineLevel="0" collapsed="false">
      <c r="P2786" s="1" t="str">
        <f aca="false">IF(OR(F2786="",H2786="",J2786=""),"",J2786&amp;"|"&amp;F2786&amp;"|"&amp;IF(H2786="W3","W3_"&amp;IF(I2786="","unknown",I2786),H2786))</f>
        <v/>
      </c>
      <c r="Q2786" s="1" t="str">
        <f aca="false">IF(P2786="","",IFERROR(IF(AND(H2786="W7",OR(F2786="causal",F2786="predictive")),IF(AND(K2786=1,L2786=1,M2786=1),"adequate","partial"),INDEX(Fit_Matrix!$B:$B,MATCH(P2786,Fit_Matrix!$A:$A,0))),"CHECK KEY"))</f>
        <v/>
      </c>
    </row>
    <row r="2787" customFormat="false" ht="15" hidden="false" customHeight="true" outlineLevel="0" collapsed="false">
      <c r="P2787" s="1" t="str">
        <f aca="false">IF(OR(F2787="",H2787="",J2787=""),"",J2787&amp;"|"&amp;F2787&amp;"|"&amp;IF(H2787="W3","W3_"&amp;IF(I2787="","unknown",I2787),H2787))</f>
        <v/>
      </c>
      <c r="Q2787" s="1" t="str">
        <f aca="false">IF(P2787="","",IFERROR(IF(AND(H2787="W7",OR(F2787="causal",F2787="predictive")),IF(AND(K2787=1,L2787=1,M2787=1),"adequate","partial"),INDEX(Fit_Matrix!$B:$B,MATCH(P2787,Fit_Matrix!$A:$A,0))),"CHECK KEY"))</f>
        <v/>
      </c>
    </row>
    <row r="2788" customFormat="false" ht="15" hidden="false" customHeight="true" outlineLevel="0" collapsed="false">
      <c r="P2788" s="1" t="str">
        <f aca="false">IF(OR(F2788="",H2788="",J2788=""),"",J2788&amp;"|"&amp;F2788&amp;"|"&amp;IF(H2788="W3","W3_"&amp;IF(I2788="","unknown",I2788),H2788))</f>
        <v/>
      </c>
      <c r="Q2788" s="1" t="str">
        <f aca="false">IF(P2788="","",IFERROR(IF(AND(H2788="W7",OR(F2788="causal",F2788="predictive")),IF(AND(K2788=1,L2788=1,M2788=1),"adequate","partial"),INDEX(Fit_Matrix!$B:$B,MATCH(P2788,Fit_Matrix!$A:$A,0))),"CHECK KEY"))</f>
        <v/>
      </c>
    </row>
    <row r="2789" customFormat="false" ht="15" hidden="false" customHeight="true" outlineLevel="0" collapsed="false">
      <c r="P2789" s="1" t="str">
        <f aca="false">IF(OR(F2789="",H2789="",J2789=""),"",J2789&amp;"|"&amp;F2789&amp;"|"&amp;IF(H2789="W3","W3_"&amp;IF(I2789="","unknown",I2789),H2789))</f>
        <v/>
      </c>
      <c r="Q2789" s="1" t="str">
        <f aca="false">IF(P2789="","",IFERROR(IF(AND(H2789="W7",OR(F2789="causal",F2789="predictive")),IF(AND(K2789=1,L2789=1,M2789=1),"adequate","partial"),INDEX(Fit_Matrix!$B:$B,MATCH(P2789,Fit_Matrix!$A:$A,0))),"CHECK KEY"))</f>
        <v/>
      </c>
    </row>
    <row r="2790" customFormat="false" ht="15" hidden="false" customHeight="true" outlineLevel="0" collapsed="false">
      <c r="P2790" s="1" t="str">
        <f aca="false">IF(OR(F2790="",H2790="",J2790=""),"",J2790&amp;"|"&amp;F2790&amp;"|"&amp;IF(H2790="W3","W3_"&amp;IF(I2790="","unknown",I2790),H2790))</f>
        <v/>
      </c>
      <c r="Q2790" s="1" t="str">
        <f aca="false">IF(P2790="","",IFERROR(IF(AND(H2790="W7",OR(F2790="causal",F2790="predictive")),IF(AND(K2790=1,L2790=1,M2790=1),"adequate","partial"),INDEX(Fit_Matrix!$B:$B,MATCH(P2790,Fit_Matrix!$A:$A,0))),"CHECK KEY"))</f>
        <v/>
      </c>
    </row>
    <row r="2791" customFormat="false" ht="15" hidden="false" customHeight="true" outlineLevel="0" collapsed="false">
      <c r="P2791" s="1" t="str">
        <f aca="false">IF(OR(F2791="",H2791="",J2791=""),"",J2791&amp;"|"&amp;F2791&amp;"|"&amp;IF(H2791="W3","W3_"&amp;IF(I2791="","unknown",I2791),H2791))</f>
        <v/>
      </c>
      <c r="Q2791" s="1" t="str">
        <f aca="false">IF(P2791="","",IFERROR(IF(AND(H2791="W7",OR(F2791="causal",F2791="predictive")),IF(AND(K2791=1,L2791=1,M2791=1),"adequate","partial"),INDEX(Fit_Matrix!$B:$B,MATCH(P2791,Fit_Matrix!$A:$A,0))),"CHECK KEY"))</f>
        <v/>
      </c>
    </row>
    <row r="2792" customFormat="false" ht="15" hidden="false" customHeight="true" outlineLevel="0" collapsed="false">
      <c r="P2792" s="1" t="str">
        <f aca="false">IF(OR(F2792="",H2792="",J2792=""),"",J2792&amp;"|"&amp;F2792&amp;"|"&amp;IF(H2792="W3","W3_"&amp;IF(I2792="","unknown",I2792),H2792))</f>
        <v/>
      </c>
      <c r="Q2792" s="1" t="str">
        <f aca="false">IF(P2792="","",IFERROR(IF(AND(H2792="W7",OR(F2792="causal",F2792="predictive")),IF(AND(K2792=1,L2792=1,M2792=1),"adequate","partial"),INDEX(Fit_Matrix!$B:$B,MATCH(P2792,Fit_Matrix!$A:$A,0))),"CHECK KEY"))</f>
        <v/>
      </c>
    </row>
    <row r="2793" customFormat="false" ht="15" hidden="false" customHeight="true" outlineLevel="0" collapsed="false">
      <c r="P2793" s="1" t="str">
        <f aca="false">IF(OR(F2793="",H2793="",J2793=""),"",J2793&amp;"|"&amp;F2793&amp;"|"&amp;IF(H2793="W3","W3_"&amp;IF(I2793="","unknown",I2793),H2793))</f>
        <v/>
      </c>
      <c r="Q2793" s="1" t="str">
        <f aca="false">IF(P2793="","",IFERROR(IF(AND(H2793="W7",OR(F2793="causal",F2793="predictive")),IF(AND(K2793=1,L2793=1,M2793=1),"adequate","partial"),INDEX(Fit_Matrix!$B:$B,MATCH(P2793,Fit_Matrix!$A:$A,0))),"CHECK KEY"))</f>
        <v/>
      </c>
    </row>
    <row r="2794" customFormat="false" ht="15" hidden="false" customHeight="true" outlineLevel="0" collapsed="false">
      <c r="P2794" s="1" t="str">
        <f aca="false">IF(OR(F2794="",H2794="",J2794=""),"",J2794&amp;"|"&amp;F2794&amp;"|"&amp;IF(H2794="W3","W3_"&amp;IF(I2794="","unknown",I2794),H2794))</f>
        <v/>
      </c>
      <c r="Q2794" s="1" t="str">
        <f aca="false">IF(P2794="","",IFERROR(IF(AND(H2794="W7",OR(F2794="causal",F2794="predictive")),IF(AND(K2794=1,L2794=1,M2794=1),"adequate","partial"),INDEX(Fit_Matrix!$B:$B,MATCH(P2794,Fit_Matrix!$A:$A,0))),"CHECK KEY"))</f>
        <v/>
      </c>
    </row>
    <row r="2795" customFormat="false" ht="15" hidden="false" customHeight="true" outlineLevel="0" collapsed="false">
      <c r="P2795" s="1" t="str">
        <f aca="false">IF(OR(F2795="",H2795="",J2795=""),"",J2795&amp;"|"&amp;F2795&amp;"|"&amp;IF(H2795="W3","W3_"&amp;IF(I2795="","unknown",I2795),H2795))</f>
        <v/>
      </c>
      <c r="Q2795" s="1" t="str">
        <f aca="false">IF(P2795="","",IFERROR(IF(AND(H2795="W7",OR(F2795="causal",F2795="predictive")),IF(AND(K2795=1,L2795=1,M2795=1),"adequate","partial"),INDEX(Fit_Matrix!$B:$B,MATCH(P2795,Fit_Matrix!$A:$A,0))),"CHECK KEY"))</f>
        <v/>
      </c>
    </row>
    <row r="2796" customFormat="false" ht="15" hidden="false" customHeight="true" outlineLevel="0" collapsed="false">
      <c r="P2796" s="1" t="str">
        <f aca="false">IF(OR(F2796="",H2796="",J2796=""),"",J2796&amp;"|"&amp;F2796&amp;"|"&amp;IF(H2796="W3","W3_"&amp;IF(I2796="","unknown",I2796),H2796))</f>
        <v/>
      </c>
      <c r="Q2796" s="1" t="str">
        <f aca="false">IF(P2796="","",IFERROR(IF(AND(H2796="W7",OR(F2796="causal",F2796="predictive")),IF(AND(K2796=1,L2796=1,M2796=1),"adequate","partial"),INDEX(Fit_Matrix!$B:$B,MATCH(P2796,Fit_Matrix!$A:$A,0))),"CHECK KEY"))</f>
        <v/>
      </c>
    </row>
    <row r="2797" customFormat="false" ht="15" hidden="false" customHeight="true" outlineLevel="0" collapsed="false">
      <c r="P2797" s="1" t="str">
        <f aca="false">IF(OR(F2797="",H2797="",J2797=""),"",J2797&amp;"|"&amp;F2797&amp;"|"&amp;IF(H2797="W3","W3_"&amp;IF(I2797="","unknown",I2797),H2797))</f>
        <v/>
      </c>
      <c r="Q2797" s="1" t="str">
        <f aca="false">IF(P2797="","",IFERROR(IF(AND(H2797="W7",OR(F2797="causal",F2797="predictive")),IF(AND(K2797=1,L2797=1,M2797=1),"adequate","partial"),INDEX(Fit_Matrix!$B:$B,MATCH(P2797,Fit_Matrix!$A:$A,0))),"CHECK KEY"))</f>
        <v/>
      </c>
    </row>
    <row r="2798" customFormat="false" ht="15" hidden="false" customHeight="true" outlineLevel="0" collapsed="false">
      <c r="P2798" s="1" t="str">
        <f aca="false">IF(OR(F2798="",H2798="",J2798=""),"",J2798&amp;"|"&amp;F2798&amp;"|"&amp;IF(H2798="W3","W3_"&amp;IF(I2798="","unknown",I2798),H2798))</f>
        <v/>
      </c>
      <c r="Q2798" s="1" t="str">
        <f aca="false">IF(P2798="","",IFERROR(IF(AND(H2798="W7",OR(F2798="causal",F2798="predictive")),IF(AND(K2798=1,L2798=1,M2798=1),"adequate","partial"),INDEX(Fit_Matrix!$B:$B,MATCH(P2798,Fit_Matrix!$A:$A,0))),"CHECK KEY"))</f>
        <v/>
      </c>
    </row>
    <row r="2799" customFormat="false" ht="15" hidden="false" customHeight="true" outlineLevel="0" collapsed="false">
      <c r="P2799" s="1" t="str">
        <f aca="false">IF(OR(F2799="",H2799="",J2799=""),"",J2799&amp;"|"&amp;F2799&amp;"|"&amp;IF(H2799="W3","W3_"&amp;IF(I2799="","unknown",I2799),H2799))</f>
        <v/>
      </c>
      <c r="Q2799" s="1" t="str">
        <f aca="false">IF(P2799="","",IFERROR(IF(AND(H2799="W7",OR(F2799="causal",F2799="predictive")),IF(AND(K2799=1,L2799=1,M2799=1),"adequate","partial"),INDEX(Fit_Matrix!$B:$B,MATCH(P2799,Fit_Matrix!$A:$A,0))),"CHECK KEY"))</f>
        <v/>
      </c>
    </row>
    <row r="2800" customFormat="false" ht="15" hidden="false" customHeight="true" outlineLevel="0" collapsed="false">
      <c r="P2800" s="1" t="str">
        <f aca="false">IF(OR(F2800="",H2800="",J2800=""),"",J2800&amp;"|"&amp;F2800&amp;"|"&amp;IF(H2800="W3","W3_"&amp;IF(I2800="","unknown",I2800),H2800))</f>
        <v/>
      </c>
      <c r="Q2800" s="1" t="str">
        <f aca="false">IF(P2800="","",IFERROR(IF(AND(H2800="W7",OR(F2800="causal",F2800="predictive")),IF(AND(K2800=1,L2800=1,M2800=1),"adequate","partial"),INDEX(Fit_Matrix!$B:$B,MATCH(P2800,Fit_Matrix!$A:$A,0))),"CHECK KEY"))</f>
        <v/>
      </c>
    </row>
    <row r="2801" customFormat="false" ht="15" hidden="false" customHeight="true" outlineLevel="0" collapsed="false">
      <c r="P2801" s="1" t="str">
        <f aca="false">IF(OR(F2801="",H2801="",J2801=""),"",J2801&amp;"|"&amp;F2801&amp;"|"&amp;IF(H2801="W3","W3_"&amp;IF(I2801="","unknown",I2801),H2801))</f>
        <v/>
      </c>
      <c r="Q2801" s="1" t="str">
        <f aca="false">IF(P2801="","",IFERROR(IF(AND(H2801="W7",OR(F2801="causal",F2801="predictive")),IF(AND(K2801=1,L2801=1,M2801=1),"adequate","partial"),INDEX(Fit_Matrix!$B:$B,MATCH(P2801,Fit_Matrix!$A:$A,0))),"CHECK KEY"))</f>
        <v/>
      </c>
    </row>
    <row r="2802" customFormat="false" ht="15" hidden="false" customHeight="true" outlineLevel="0" collapsed="false">
      <c r="P2802" s="1" t="str">
        <f aca="false">IF(OR(F2802="",H2802="",J2802=""),"",J2802&amp;"|"&amp;F2802&amp;"|"&amp;IF(H2802="W3","W3_"&amp;IF(I2802="","unknown",I2802),H2802))</f>
        <v/>
      </c>
      <c r="Q2802" s="1" t="str">
        <f aca="false">IF(P2802="","",IFERROR(IF(AND(H2802="W7",OR(F2802="causal",F2802="predictive")),IF(AND(K2802=1,L2802=1,M2802=1),"adequate","partial"),INDEX(Fit_Matrix!$B:$B,MATCH(P2802,Fit_Matrix!$A:$A,0))),"CHECK KEY"))</f>
        <v/>
      </c>
    </row>
    <row r="2803" customFormat="false" ht="15" hidden="false" customHeight="true" outlineLevel="0" collapsed="false">
      <c r="P2803" s="1" t="str">
        <f aca="false">IF(OR(F2803="",H2803="",J2803=""),"",J2803&amp;"|"&amp;F2803&amp;"|"&amp;IF(H2803="W3","W3_"&amp;IF(I2803="","unknown",I2803),H2803))</f>
        <v/>
      </c>
      <c r="Q2803" s="1" t="str">
        <f aca="false">IF(P2803="","",IFERROR(IF(AND(H2803="W7",OR(F2803="causal",F2803="predictive")),IF(AND(K2803=1,L2803=1,M2803=1),"adequate","partial"),INDEX(Fit_Matrix!$B:$B,MATCH(P2803,Fit_Matrix!$A:$A,0))),"CHECK KEY"))</f>
        <v/>
      </c>
    </row>
    <row r="2804" customFormat="false" ht="15" hidden="false" customHeight="true" outlineLevel="0" collapsed="false">
      <c r="P2804" s="1" t="str">
        <f aca="false">IF(OR(F2804="",H2804="",J2804=""),"",J2804&amp;"|"&amp;F2804&amp;"|"&amp;IF(H2804="W3","W3_"&amp;IF(I2804="","unknown",I2804),H2804))</f>
        <v/>
      </c>
      <c r="Q2804" s="1" t="str">
        <f aca="false">IF(P2804="","",IFERROR(IF(AND(H2804="W7",OR(F2804="causal",F2804="predictive")),IF(AND(K2804=1,L2804=1,M2804=1),"adequate","partial"),INDEX(Fit_Matrix!$B:$B,MATCH(P2804,Fit_Matrix!$A:$A,0))),"CHECK KEY"))</f>
        <v/>
      </c>
    </row>
    <row r="2805" customFormat="false" ht="15" hidden="false" customHeight="true" outlineLevel="0" collapsed="false">
      <c r="P2805" s="1" t="str">
        <f aca="false">IF(OR(F2805="",H2805="",J2805=""),"",J2805&amp;"|"&amp;F2805&amp;"|"&amp;IF(H2805="W3","W3_"&amp;IF(I2805="","unknown",I2805),H2805))</f>
        <v/>
      </c>
      <c r="Q2805" s="1" t="str">
        <f aca="false">IF(P2805="","",IFERROR(IF(AND(H2805="W7",OR(F2805="causal",F2805="predictive")),IF(AND(K2805=1,L2805=1,M2805=1),"adequate","partial"),INDEX(Fit_Matrix!$B:$B,MATCH(P2805,Fit_Matrix!$A:$A,0))),"CHECK KEY"))</f>
        <v/>
      </c>
    </row>
    <row r="2806" customFormat="false" ht="15" hidden="false" customHeight="true" outlineLevel="0" collapsed="false">
      <c r="P2806" s="1" t="str">
        <f aca="false">IF(OR(F2806="",H2806="",J2806=""),"",J2806&amp;"|"&amp;F2806&amp;"|"&amp;IF(H2806="W3","W3_"&amp;IF(I2806="","unknown",I2806),H2806))</f>
        <v/>
      </c>
      <c r="Q2806" s="1" t="str">
        <f aca="false">IF(P2806="","",IFERROR(IF(AND(H2806="W7",OR(F2806="causal",F2806="predictive")),IF(AND(K2806=1,L2806=1,M2806=1),"adequate","partial"),INDEX(Fit_Matrix!$B:$B,MATCH(P2806,Fit_Matrix!$A:$A,0))),"CHECK KEY"))</f>
        <v/>
      </c>
    </row>
    <row r="2807" customFormat="false" ht="15" hidden="false" customHeight="true" outlineLevel="0" collapsed="false">
      <c r="P2807" s="1" t="str">
        <f aca="false">IF(OR(F2807="",H2807="",J2807=""),"",J2807&amp;"|"&amp;F2807&amp;"|"&amp;IF(H2807="W3","W3_"&amp;IF(I2807="","unknown",I2807),H2807))</f>
        <v/>
      </c>
      <c r="Q2807" s="1" t="str">
        <f aca="false">IF(P2807="","",IFERROR(IF(AND(H2807="W7",OR(F2807="causal",F2807="predictive")),IF(AND(K2807=1,L2807=1,M2807=1),"adequate","partial"),INDEX(Fit_Matrix!$B:$B,MATCH(P2807,Fit_Matrix!$A:$A,0))),"CHECK KEY"))</f>
        <v/>
      </c>
    </row>
    <row r="2808" customFormat="false" ht="15" hidden="false" customHeight="true" outlineLevel="0" collapsed="false">
      <c r="P2808" s="1" t="str">
        <f aca="false">IF(OR(F2808="",H2808="",J2808=""),"",J2808&amp;"|"&amp;F2808&amp;"|"&amp;IF(H2808="W3","W3_"&amp;IF(I2808="","unknown",I2808),H2808))</f>
        <v/>
      </c>
      <c r="Q2808" s="1" t="str">
        <f aca="false">IF(P2808="","",IFERROR(IF(AND(H2808="W7",OR(F2808="causal",F2808="predictive")),IF(AND(K2808=1,L2808=1,M2808=1),"adequate","partial"),INDEX(Fit_Matrix!$B:$B,MATCH(P2808,Fit_Matrix!$A:$A,0))),"CHECK KEY"))</f>
        <v/>
      </c>
    </row>
    <row r="2809" customFormat="false" ht="15" hidden="false" customHeight="true" outlineLevel="0" collapsed="false">
      <c r="P2809" s="1" t="str">
        <f aca="false">IF(OR(F2809="",H2809="",J2809=""),"",J2809&amp;"|"&amp;F2809&amp;"|"&amp;IF(H2809="W3","W3_"&amp;IF(I2809="","unknown",I2809),H2809))</f>
        <v/>
      </c>
      <c r="Q2809" s="1" t="str">
        <f aca="false">IF(P2809="","",IFERROR(IF(AND(H2809="W7",OR(F2809="causal",F2809="predictive")),IF(AND(K2809=1,L2809=1,M2809=1),"adequate","partial"),INDEX(Fit_Matrix!$B:$B,MATCH(P2809,Fit_Matrix!$A:$A,0))),"CHECK KEY"))</f>
        <v/>
      </c>
    </row>
    <row r="2810" customFormat="false" ht="15" hidden="false" customHeight="true" outlineLevel="0" collapsed="false">
      <c r="P2810" s="1" t="str">
        <f aca="false">IF(OR(F2810="",H2810="",J2810=""),"",J2810&amp;"|"&amp;F2810&amp;"|"&amp;IF(H2810="W3","W3_"&amp;IF(I2810="","unknown",I2810),H2810))</f>
        <v/>
      </c>
      <c r="Q2810" s="1" t="str">
        <f aca="false">IF(P2810="","",IFERROR(IF(AND(H2810="W7",OR(F2810="causal",F2810="predictive")),IF(AND(K2810=1,L2810=1,M2810=1),"adequate","partial"),INDEX(Fit_Matrix!$B:$B,MATCH(P2810,Fit_Matrix!$A:$A,0))),"CHECK KEY"))</f>
        <v/>
      </c>
    </row>
    <row r="2811" customFormat="false" ht="15" hidden="false" customHeight="true" outlineLevel="0" collapsed="false">
      <c r="P2811" s="1" t="str">
        <f aca="false">IF(OR(F2811="",H2811="",J2811=""),"",J2811&amp;"|"&amp;F2811&amp;"|"&amp;IF(H2811="W3","W3_"&amp;IF(I2811="","unknown",I2811),H2811))</f>
        <v/>
      </c>
      <c r="Q2811" s="1" t="str">
        <f aca="false">IF(P2811="","",IFERROR(IF(AND(H2811="W7",OR(F2811="causal",F2811="predictive")),IF(AND(K2811=1,L2811=1,M2811=1),"adequate","partial"),INDEX(Fit_Matrix!$B:$B,MATCH(P2811,Fit_Matrix!$A:$A,0))),"CHECK KEY"))</f>
        <v/>
      </c>
    </row>
    <row r="2812" customFormat="false" ht="15" hidden="false" customHeight="true" outlineLevel="0" collapsed="false">
      <c r="P2812" s="1" t="str">
        <f aca="false">IF(OR(F2812="",H2812="",J2812=""),"",J2812&amp;"|"&amp;F2812&amp;"|"&amp;IF(H2812="W3","W3_"&amp;IF(I2812="","unknown",I2812),H2812))</f>
        <v/>
      </c>
      <c r="Q2812" s="1" t="str">
        <f aca="false">IF(P2812="","",IFERROR(IF(AND(H2812="W7",OR(F2812="causal",F2812="predictive")),IF(AND(K2812=1,L2812=1,M2812=1),"adequate","partial"),INDEX(Fit_Matrix!$B:$B,MATCH(P2812,Fit_Matrix!$A:$A,0))),"CHECK KEY"))</f>
        <v/>
      </c>
    </row>
    <row r="2813" customFormat="false" ht="15" hidden="false" customHeight="true" outlineLevel="0" collapsed="false">
      <c r="P2813" s="1" t="str">
        <f aca="false">IF(OR(F2813="",H2813="",J2813=""),"",J2813&amp;"|"&amp;F2813&amp;"|"&amp;IF(H2813="W3","W3_"&amp;IF(I2813="","unknown",I2813),H2813))</f>
        <v/>
      </c>
      <c r="Q2813" s="1" t="str">
        <f aca="false">IF(P2813="","",IFERROR(IF(AND(H2813="W7",OR(F2813="causal",F2813="predictive")),IF(AND(K2813=1,L2813=1,M2813=1),"adequate","partial"),INDEX(Fit_Matrix!$B:$B,MATCH(P2813,Fit_Matrix!$A:$A,0))),"CHECK KEY"))</f>
        <v/>
      </c>
    </row>
    <row r="2814" customFormat="false" ht="15" hidden="false" customHeight="true" outlineLevel="0" collapsed="false">
      <c r="P2814" s="1" t="str">
        <f aca="false">IF(OR(F2814="",H2814="",J2814=""),"",J2814&amp;"|"&amp;F2814&amp;"|"&amp;IF(H2814="W3","W3_"&amp;IF(I2814="","unknown",I2814),H2814))</f>
        <v/>
      </c>
      <c r="Q2814" s="1" t="str">
        <f aca="false">IF(P2814="","",IFERROR(IF(AND(H2814="W7",OR(F2814="causal",F2814="predictive")),IF(AND(K2814=1,L2814=1,M2814=1),"adequate","partial"),INDEX(Fit_Matrix!$B:$B,MATCH(P2814,Fit_Matrix!$A:$A,0))),"CHECK KEY"))</f>
        <v/>
      </c>
    </row>
    <row r="2815" customFormat="false" ht="15" hidden="false" customHeight="true" outlineLevel="0" collapsed="false">
      <c r="P2815" s="1" t="str">
        <f aca="false">IF(OR(F2815="",H2815="",J2815=""),"",J2815&amp;"|"&amp;F2815&amp;"|"&amp;IF(H2815="W3","W3_"&amp;IF(I2815="","unknown",I2815),H2815))</f>
        <v/>
      </c>
      <c r="Q2815" s="1" t="str">
        <f aca="false">IF(P2815="","",IFERROR(IF(AND(H2815="W7",OR(F2815="causal",F2815="predictive")),IF(AND(K2815=1,L2815=1,M2815=1),"adequate","partial"),INDEX(Fit_Matrix!$B:$B,MATCH(P2815,Fit_Matrix!$A:$A,0))),"CHECK KEY"))</f>
        <v/>
      </c>
    </row>
    <row r="2816" customFormat="false" ht="15" hidden="false" customHeight="true" outlineLevel="0" collapsed="false">
      <c r="P2816" s="1" t="str">
        <f aca="false">IF(OR(F2816="",H2816="",J2816=""),"",J2816&amp;"|"&amp;F2816&amp;"|"&amp;IF(H2816="W3","W3_"&amp;IF(I2816="","unknown",I2816),H2816))</f>
        <v/>
      </c>
      <c r="Q2816" s="1" t="str">
        <f aca="false">IF(P2816="","",IFERROR(IF(AND(H2816="W7",OR(F2816="causal",F2816="predictive")),IF(AND(K2816=1,L2816=1,M2816=1),"adequate","partial"),INDEX(Fit_Matrix!$B:$B,MATCH(P2816,Fit_Matrix!$A:$A,0))),"CHECK KEY"))</f>
        <v/>
      </c>
    </row>
    <row r="2817" customFormat="false" ht="15" hidden="false" customHeight="true" outlineLevel="0" collapsed="false">
      <c r="P2817" s="1" t="str">
        <f aca="false">IF(OR(F2817="",H2817="",J2817=""),"",J2817&amp;"|"&amp;F2817&amp;"|"&amp;IF(H2817="W3","W3_"&amp;IF(I2817="","unknown",I2817),H2817))</f>
        <v/>
      </c>
      <c r="Q2817" s="1" t="str">
        <f aca="false">IF(P2817="","",IFERROR(IF(AND(H2817="W7",OR(F2817="causal",F2817="predictive")),IF(AND(K2817=1,L2817=1,M2817=1),"adequate","partial"),INDEX(Fit_Matrix!$B:$B,MATCH(P2817,Fit_Matrix!$A:$A,0))),"CHECK KEY"))</f>
        <v/>
      </c>
    </row>
    <row r="2818" customFormat="false" ht="15" hidden="false" customHeight="true" outlineLevel="0" collapsed="false">
      <c r="P2818" s="1" t="str">
        <f aca="false">IF(OR(F2818="",H2818="",J2818=""),"",J2818&amp;"|"&amp;F2818&amp;"|"&amp;IF(H2818="W3","W3_"&amp;IF(I2818="","unknown",I2818),H2818))</f>
        <v/>
      </c>
      <c r="Q2818" s="1" t="str">
        <f aca="false">IF(P2818="","",IFERROR(IF(AND(H2818="W7",OR(F2818="causal",F2818="predictive")),IF(AND(K2818=1,L2818=1,M2818=1),"adequate","partial"),INDEX(Fit_Matrix!$B:$B,MATCH(P2818,Fit_Matrix!$A:$A,0))),"CHECK KEY"))</f>
        <v/>
      </c>
    </row>
    <row r="2819" customFormat="false" ht="15" hidden="false" customHeight="true" outlineLevel="0" collapsed="false">
      <c r="P2819" s="1" t="str">
        <f aca="false">IF(OR(F2819="",H2819="",J2819=""),"",J2819&amp;"|"&amp;F2819&amp;"|"&amp;IF(H2819="W3","W3_"&amp;IF(I2819="","unknown",I2819),H2819))</f>
        <v/>
      </c>
      <c r="Q2819" s="1" t="str">
        <f aca="false">IF(P2819="","",IFERROR(IF(AND(H2819="W7",OR(F2819="causal",F2819="predictive")),IF(AND(K2819=1,L2819=1,M2819=1),"adequate","partial"),INDEX(Fit_Matrix!$B:$B,MATCH(P2819,Fit_Matrix!$A:$A,0))),"CHECK KEY"))</f>
        <v/>
      </c>
    </row>
    <row r="2820" customFormat="false" ht="15" hidden="false" customHeight="true" outlineLevel="0" collapsed="false">
      <c r="P2820" s="1" t="str">
        <f aca="false">IF(OR(F2820="",H2820="",J2820=""),"",J2820&amp;"|"&amp;F2820&amp;"|"&amp;IF(H2820="W3","W3_"&amp;IF(I2820="","unknown",I2820),H2820))</f>
        <v/>
      </c>
      <c r="Q2820" s="1" t="str">
        <f aca="false">IF(P2820="","",IFERROR(IF(AND(H2820="W7",OR(F2820="causal",F2820="predictive")),IF(AND(K2820=1,L2820=1,M2820=1),"adequate","partial"),INDEX(Fit_Matrix!$B:$B,MATCH(P2820,Fit_Matrix!$A:$A,0))),"CHECK KEY"))</f>
        <v/>
      </c>
    </row>
    <row r="2821" customFormat="false" ht="15" hidden="false" customHeight="true" outlineLevel="0" collapsed="false">
      <c r="P2821" s="1" t="str">
        <f aca="false">IF(OR(F2821="",H2821="",J2821=""),"",J2821&amp;"|"&amp;F2821&amp;"|"&amp;IF(H2821="W3","W3_"&amp;IF(I2821="","unknown",I2821),H2821))</f>
        <v/>
      </c>
      <c r="Q2821" s="1" t="str">
        <f aca="false">IF(P2821="","",IFERROR(IF(AND(H2821="W7",OR(F2821="causal",F2821="predictive")),IF(AND(K2821=1,L2821=1,M2821=1),"adequate","partial"),INDEX(Fit_Matrix!$B:$B,MATCH(P2821,Fit_Matrix!$A:$A,0))),"CHECK KEY"))</f>
        <v/>
      </c>
    </row>
    <row r="2822" customFormat="false" ht="15" hidden="false" customHeight="true" outlineLevel="0" collapsed="false">
      <c r="P2822" s="1" t="str">
        <f aca="false">IF(OR(F2822="",H2822="",J2822=""),"",J2822&amp;"|"&amp;F2822&amp;"|"&amp;IF(H2822="W3","W3_"&amp;IF(I2822="","unknown",I2822),H2822))</f>
        <v/>
      </c>
      <c r="Q2822" s="1" t="str">
        <f aca="false">IF(P2822="","",IFERROR(IF(AND(H2822="W7",OR(F2822="causal",F2822="predictive")),IF(AND(K2822=1,L2822=1,M2822=1),"adequate","partial"),INDEX(Fit_Matrix!$B:$B,MATCH(P2822,Fit_Matrix!$A:$A,0))),"CHECK KEY"))</f>
        <v/>
      </c>
    </row>
    <row r="2823" customFormat="false" ht="15" hidden="false" customHeight="true" outlineLevel="0" collapsed="false">
      <c r="P2823" s="1" t="str">
        <f aca="false">IF(OR(F2823="",H2823="",J2823=""),"",J2823&amp;"|"&amp;F2823&amp;"|"&amp;IF(H2823="W3","W3_"&amp;IF(I2823="","unknown",I2823),H2823))</f>
        <v/>
      </c>
      <c r="Q2823" s="1" t="str">
        <f aca="false">IF(P2823="","",IFERROR(IF(AND(H2823="W7",OR(F2823="causal",F2823="predictive")),IF(AND(K2823=1,L2823=1,M2823=1),"adequate","partial"),INDEX(Fit_Matrix!$B:$B,MATCH(P2823,Fit_Matrix!$A:$A,0))),"CHECK KEY"))</f>
        <v/>
      </c>
    </row>
    <row r="2824" customFormat="false" ht="15" hidden="false" customHeight="true" outlineLevel="0" collapsed="false">
      <c r="P2824" s="1" t="str">
        <f aca="false">IF(OR(F2824="",H2824="",J2824=""),"",J2824&amp;"|"&amp;F2824&amp;"|"&amp;IF(H2824="W3","W3_"&amp;IF(I2824="","unknown",I2824),H2824))</f>
        <v/>
      </c>
      <c r="Q2824" s="1" t="str">
        <f aca="false">IF(P2824="","",IFERROR(IF(AND(H2824="W7",OR(F2824="causal",F2824="predictive")),IF(AND(K2824=1,L2824=1,M2824=1),"adequate","partial"),INDEX(Fit_Matrix!$B:$B,MATCH(P2824,Fit_Matrix!$A:$A,0))),"CHECK KEY"))</f>
        <v/>
      </c>
    </row>
    <row r="2825" customFormat="false" ht="15" hidden="false" customHeight="true" outlineLevel="0" collapsed="false">
      <c r="P2825" s="1" t="str">
        <f aca="false">IF(OR(F2825="",H2825="",J2825=""),"",J2825&amp;"|"&amp;F2825&amp;"|"&amp;IF(H2825="W3","W3_"&amp;IF(I2825="","unknown",I2825),H2825))</f>
        <v/>
      </c>
      <c r="Q2825" s="1" t="str">
        <f aca="false">IF(P2825="","",IFERROR(IF(AND(H2825="W7",OR(F2825="causal",F2825="predictive")),IF(AND(K2825=1,L2825=1,M2825=1),"adequate","partial"),INDEX(Fit_Matrix!$B:$B,MATCH(P2825,Fit_Matrix!$A:$A,0))),"CHECK KEY"))</f>
        <v/>
      </c>
    </row>
    <row r="2826" customFormat="false" ht="15" hidden="false" customHeight="true" outlineLevel="0" collapsed="false">
      <c r="P2826" s="1" t="str">
        <f aca="false">IF(OR(F2826="",H2826="",J2826=""),"",J2826&amp;"|"&amp;F2826&amp;"|"&amp;IF(H2826="W3","W3_"&amp;IF(I2826="","unknown",I2826),H2826))</f>
        <v/>
      </c>
      <c r="Q2826" s="1" t="str">
        <f aca="false">IF(P2826="","",IFERROR(IF(AND(H2826="W7",OR(F2826="causal",F2826="predictive")),IF(AND(K2826=1,L2826=1,M2826=1),"adequate","partial"),INDEX(Fit_Matrix!$B:$B,MATCH(P2826,Fit_Matrix!$A:$A,0))),"CHECK KEY"))</f>
        <v/>
      </c>
    </row>
    <row r="2827" customFormat="false" ht="15" hidden="false" customHeight="true" outlineLevel="0" collapsed="false">
      <c r="P2827" s="1" t="str">
        <f aca="false">IF(OR(F2827="",H2827="",J2827=""),"",J2827&amp;"|"&amp;F2827&amp;"|"&amp;IF(H2827="W3","W3_"&amp;IF(I2827="","unknown",I2827),H2827))</f>
        <v/>
      </c>
      <c r="Q2827" s="1" t="str">
        <f aca="false">IF(P2827="","",IFERROR(IF(AND(H2827="W7",OR(F2827="causal",F2827="predictive")),IF(AND(K2827=1,L2827=1,M2827=1),"adequate","partial"),INDEX(Fit_Matrix!$B:$B,MATCH(P2827,Fit_Matrix!$A:$A,0))),"CHECK KEY"))</f>
        <v/>
      </c>
    </row>
    <row r="2828" customFormat="false" ht="15" hidden="false" customHeight="true" outlineLevel="0" collapsed="false">
      <c r="P2828" s="1" t="str">
        <f aca="false">IF(OR(F2828="",H2828="",J2828=""),"",J2828&amp;"|"&amp;F2828&amp;"|"&amp;IF(H2828="W3","W3_"&amp;IF(I2828="","unknown",I2828),H2828))</f>
        <v/>
      </c>
      <c r="Q2828" s="1" t="str">
        <f aca="false">IF(P2828="","",IFERROR(IF(AND(H2828="W7",OR(F2828="causal",F2828="predictive")),IF(AND(K2828=1,L2828=1,M2828=1),"adequate","partial"),INDEX(Fit_Matrix!$B:$B,MATCH(P2828,Fit_Matrix!$A:$A,0))),"CHECK KEY"))</f>
        <v/>
      </c>
    </row>
    <row r="2829" customFormat="false" ht="15" hidden="false" customHeight="true" outlineLevel="0" collapsed="false">
      <c r="P2829" s="1" t="str">
        <f aca="false">IF(OR(F2829="",H2829="",J2829=""),"",J2829&amp;"|"&amp;F2829&amp;"|"&amp;IF(H2829="W3","W3_"&amp;IF(I2829="","unknown",I2829),H2829))</f>
        <v/>
      </c>
      <c r="Q2829" s="1" t="str">
        <f aca="false">IF(P2829="","",IFERROR(IF(AND(H2829="W7",OR(F2829="causal",F2829="predictive")),IF(AND(K2829=1,L2829=1,M2829=1),"adequate","partial"),INDEX(Fit_Matrix!$B:$B,MATCH(P2829,Fit_Matrix!$A:$A,0))),"CHECK KEY"))</f>
        <v/>
      </c>
    </row>
    <row r="2830" customFormat="false" ht="15" hidden="false" customHeight="true" outlineLevel="0" collapsed="false">
      <c r="P2830" s="1" t="str">
        <f aca="false">IF(OR(F2830="",H2830="",J2830=""),"",J2830&amp;"|"&amp;F2830&amp;"|"&amp;IF(H2830="W3","W3_"&amp;IF(I2830="","unknown",I2830),H2830))</f>
        <v/>
      </c>
      <c r="Q2830" s="1" t="str">
        <f aca="false">IF(P2830="","",IFERROR(IF(AND(H2830="W7",OR(F2830="causal",F2830="predictive")),IF(AND(K2830=1,L2830=1,M2830=1),"adequate","partial"),INDEX(Fit_Matrix!$B:$B,MATCH(P2830,Fit_Matrix!$A:$A,0))),"CHECK KEY"))</f>
        <v/>
      </c>
    </row>
    <row r="2831" customFormat="false" ht="15" hidden="false" customHeight="true" outlineLevel="0" collapsed="false">
      <c r="P2831" s="1" t="str">
        <f aca="false">IF(OR(F2831="",H2831="",J2831=""),"",J2831&amp;"|"&amp;F2831&amp;"|"&amp;IF(H2831="W3","W3_"&amp;IF(I2831="","unknown",I2831),H2831))</f>
        <v/>
      </c>
      <c r="Q2831" s="1" t="str">
        <f aca="false">IF(P2831="","",IFERROR(IF(AND(H2831="W7",OR(F2831="causal",F2831="predictive")),IF(AND(K2831=1,L2831=1,M2831=1),"adequate","partial"),INDEX(Fit_Matrix!$B:$B,MATCH(P2831,Fit_Matrix!$A:$A,0))),"CHECK KEY"))</f>
        <v/>
      </c>
    </row>
    <row r="2832" customFormat="false" ht="15" hidden="false" customHeight="true" outlineLevel="0" collapsed="false">
      <c r="P2832" s="1" t="str">
        <f aca="false">IF(OR(F2832="",H2832="",J2832=""),"",J2832&amp;"|"&amp;F2832&amp;"|"&amp;IF(H2832="W3","W3_"&amp;IF(I2832="","unknown",I2832),H2832))</f>
        <v/>
      </c>
      <c r="Q2832" s="1" t="str">
        <f aca="false">IF(P2832="","",IFERROR(IF(AND(H2832="W7",OR(F2832="causal",F2832="predictive")),IF(AND(K2832=1,L2832=1,M2832=1),"adequate","partial"),INDEX(Fit_Matrix!$B:$B,MATCH(P2832,Fit_Matrix!$A:$A,0))),"CHECK KEY"))</f>
        <v/>
      </c>
    </row>
    <row r="2833" customFormat="false" ht="15" hidden="false" customHeight="true" outlineLevel="0" collapsed="false">
      <c r="P2833" s="1" t="str">
        <f aca="false">IF(OR(F2833="",H2833="",J2833=""),"",J2833&amp;"|"&amp;F2833&amp;"|"&amp;IF(H2833="W3","W3_"&amp;IF(I2833="","unknown",I2833),H2833))</f>
        <v/>
      </c>
      <c r="Q2833" s="1" t="str">
        <f aca="false">IF(P2833="","",IFERROR(IF(AND(H2833="W7",OR(F2833="causal",F2833="predictive")),IF(AND(K2833=1,L2833=1,M2833=1),"adequate","partial"),INDEX(Fit_Matrix!$B:$B,MATCH(P2833,Fit_Matrix!$A:$A,0))),"CHECK KEY"))</f>
        <v/>
      </c>
    </row>
    <row r="2834" customFormat="false" ht="15" hidden="false" customHeight="true" outlineLevel="0" collapsed="false">
      <c r="P2834" s="1" t="str">
        <f aca="false">IF(OR(F2834="",H2834="",J2834=""),"",J2834&amp;"|"&amp;F2834&amp;"|"&amp;IF(H2834="W3","W3_"&amp;IF(I2834="","unknown",I2834),H2834))</f>
        <v/>
      </c>
      <c r="Q2834" s="1" t="str">
        <f aca="false">IF(P2834="","",IFERROR(IF(AND(H2834="W7",OR(F2834="causal",F2834="predictive")),IF(AND(K2834=1,L2834=1,M2834=1),"adequate","partial"),INDEX(Fit_Matrix!$B:$B,MATCH(P2834,Fit_Matrix!$A:$A,0))),"CHECK KEY"))</f>
        <v/>
      </c>
    </row>
    <row r="2835" customFormat="false" ht="15" hidden="false" customHeight="true" outlineLevel="0" collapsed="false">
      <c r="P2835" s="1" t="str">
        <f aca="false">IF(OR(F2835="",H2835="",J2835=""),"",J2835&amp;"|"&amp;F2835&amp;"|"&amp;IF(H2835="W3","W3_"&amp;IF(I2835="","unknown",I2835),H2835))</f>
        <v/>
      </c>
      <c r="Q2835" s="1" t="str">
        <f aca="false">IF(P2835="","",IFERROR(IF(AND(H2835="W7",OR(F2835="causal",F2835="predictive")),IF(AND(K2835=1,L2835=1,M2835=1),"adequate","partial"),INDEX(Fit_Matrix!$B:$B,MATCH(P2835,Fit_Matrix!$A:$A,0))),"CHECK KEY"))</f>
        <v/>
      </c>
    </row>
    <row r="2836" customFormat="false" ht="15" hidden="false" customHeight="true" outlineLevel="0" collapsed="false">
      <c r="P2836" s="1" t="str">
        <f aca="false">IF(OR(F2836="",H2836="",J2836=""),"",J2836&amp;"|"&amp;F2836&amp;"|"&amp;IF(H2836="W3","W3_"&amp;IF(I2836="","unknown",I2836),H2836))</f>
        <v/>
      </c>
      <c r="Q2836" s="1" t="str">
        <f aca="false">IF(P2836="","",IFERROR(IF(AND(H2836="W7",OR(F2836="causal",F2836="predictive")),IF(AND(K2836=1,L2836=1,M2836=1),"adequate","partial"),INDEX(Fit_Matrix!$B:$B,MATCH(P2836,Fit_Matrix!$A:$A,0))),"CHECK KEY"))</f>
        <v/>
      </c>
    </row>
    <row r="2837" customFormat="false" ht="15" hidden="false" customHeight="true" outlineLevel="0" collapsed="false">
      <c r="P2837" s="1" t="str">
        <f aca="false">IF(OR(F2837="",H2837="",J2837=""),"",J2837&amp;"|"&amp;F2837&amp;"|"&amp;IF(H2837="W3","W3_"&amp;IF(I2837="","unknown",I2837),H2837))</f>
        <v/>
      </c>
      <c r="Q2837" s="1" t="str">
        <f aca="false">IF(P2837="","",IFERROR(IF(AND(H2837="W7",OR(F2837="causal",F2837="predictive")),IF(AND(K2837=1,L2837=1,M2837=1),"adequate","partial"),INDEX(Fit_Matrix!$B:$B,MATCH(P2837,Fit_Matrix!$A:$A,0))),"CHECK KEY"))</f>
        <v/>
      </c>
    </row>
    <row r="2838" customFormat="false" ht="15" hidden="false" customHeight="true" outlineLevel="0" collapsed="false">
      <c r="P2838" s="1" t="str">
        <f aca="false">IF(OR(F2838="",H2838="",J2838=""),"",J2838&amp;"|"&amp;F2838&amp;"|"&amp;IF(H2838="W3","W3_"&amp;IF(I2838="","unknown",I2838),H2838))</f>
        <v/>
      </c>
      <c r="Q2838" s="1" t="str">
        <f aca="false">IF(P2838="","",IFERROR(IF(AND(H2838="W7",OR(F2838="causal",F2838="predictive")),IF(AND(K2838=1,L2838=1,M2838=1),"adequate","partial"),INDEX(Fit_Matrix!$B:$B,MATCH(P2838,Fit_Matrix!$A:$A,0))),"CHECK KEY"))</f>
        <v/>
      </c>
    </row>
    <row r="2839" customFormat="false" ht="15" hidden="false" customHeight="true" outlineLevel="0" collapsed="false">
      <c r="P2839" s="1" t="str">
        <f aca="false">IF(OR(F2839="",H2839="",J2839=""),"",J2839&amp;"|"&amp;F2839&amp;"|"&amp;IF(H2839="W3","W3_"&amp;IF(I2839="","unknown",I2839),H2839))</f>
        <v/>
      </c>
      <c r="Q2839" s="1" t="str">
        <f aca="false">IF(P2839="","",IFERROR(IF(AND(H2839="W7",OR(F2839="causal",F2839="predictive")),IF(AND(K2839=1,L2839=1,M2839=1),"adequate","partial"),INDEX(Fit_Matrix!$B:$B,MATCH(P2839,Fit_Matrix!$A:$A,0))),"CHECK KEY"))</f>
        <v/>
      </c>
    </row>
    <row r="2840" customFormat="false" ht="15" hidden="false" customHeight="true" outlineLevel="0" collapsed="false">
      <c r="P2840" s="1" t="str">
        <f aca="false">IF(OR(F2840="",H2840="",J2840=""),"",J2840&amp;"|"&amp;F2840&amp;"|"&amp;IF(H2840="W3","W3_"&amp;IF(I2840="","unknown",I2840),H2840))</f>
        <v/>
      </c>
      <c r="Q2840" s="1" t="str">
        <f aca="false">IF(P2840="","",IFERROR(IF(AND(H2840="W7",OR(F2840="causal",F2840="predictive")),IF(AND(K2840=1,L2840=1,M2840=1),"adequate","partial"),INDEX(Fit_Matrix!$B:$B,MATCH(P2840,Fit_Matrix!$A:$A,0))),"CHECK KEY"))</f>
        <v/>
      </c>
    </row>
    <row r="2841" customFormat="false" ht="15" hidden="false" customHeight="true" outlineLevel="0" collapsed="false">
      <c r="P2841" s="1" t="str">
        <f aca="false">IF(OR(F2841="",H2841="",J2841=""),"",J2841&amp;"|"&amp;F2841&amp;"|"&amp;IF(H2841="W3","W3_"&amp;IF(I2841="","unknown",I2841),H2841))</f>
        <v/>
      </c>
      <c r="Q2841" s="1" t="str">
        <f aca="false">IF(P2841="","",IFERROR(IF(AND(H2841="W7",OR(F2841="causal",F2841="predictive")),IF(AND(K2841=1,L2841=1,M2841=1),"adequate","partial"),INDEX(Fit_Matrix!$B:$B,MATCH(P2841,Fit_Matrix!$A:$A,0))),"CHECK KEY"))</f>
        <v/>
      </c>
    </row>
    <row r="2842" customFormat="false" ht="15" hidden="false" customHeight="true" outlineLevel="0" collapsed="false">
      <c r="P2842" s="1" t="str">
        <f aca="false">IF(OR(F2842="",H2842="",J2842=""),"",J2842&amp;"|"&amp;F2842&amp;"|"&amp;IF(H2842="W3","W3_"&amp;IF(I2842="","unknown",I2842),H2842))</f>
        <v/>
      </c>
      <c r="Q2842" s="1" t="str">
        <f aca="false">IF(P2842="","",IFERROR(IF(AND(H2842="W7",OR(F2842="causal",F2842="predictive")),IF(AND(K2842=1,L2842=1,M2842=1),"adequate","partial"),INDEX(Fit_Matrix!$B:$B,MATCH(P2842,Fit_Matrix!$A:$A,0))),"CHECK KEY"))</f>
        <v/>
      </c>
    </row>
    <row r="2843" customFormat="false" ht="15" hidden="false" customHeight="true" outlineLevel="0" collapsed="false">
      <c r="P2843" s="1" t="str">
        <f aca="false">IF(OR(F2843="",H2843="",J2843=""),"",J2843&amp;"|"&amp;F2843&amp;"|"&amp;IF(H2843="W3","W3_"&amp;IF(I2843="","unknown",I2843),H2843))</f>
        <v/>
      </c>
      <c r="Q2843" s="1" t="str">
        <f aca="false">IF(P2843="","",IFERROR(IF(AND(H2843="W7",OR(F2843="causal",F2843="predictive")),IF(AND(K2843=1,L2843=1,M2843=1),"adequate","partial"),INDEX(Fit_Matrix!$B:$B,MATCH(P2843,Fit_Matrix!$A:$A,0))),"CHECK KEY"))</f>
        <v/>
      </c>
    </row>
    <row r="2844" customFormat="false" ht="15" hidden="false" customHeight="true" outlineLevel="0" collapsed="false">
      <c r="P2844" s="1" t="str">
        <f aca="false">IF(OR(F2844="",H2844="",J2844=""),"",J2844&amp;"|"&amp;F2844&amp;"|"&amp;IF(H2844="W3","W3_"&amp;IF(I2844="","unknown",I2844),H2844))</f>
        <v/>
      </c>
      <c r="Q2844" s="1" t="str">
        <f aca="false">IF(P2844="","",IFERROR(IF(AND(H2844="W7",OR(F2844="causal",F2844="predictive")),IF(AND(K2844=1,L2844=1,M2844=1),"adequate","partial"),INDEX(Fit_Matrix!$B:$B,MATCH(P2844,Fit_Matrix!$A:$A,0))),"CHECK KEY"))</f>
        <v/>
      </c>
    </row>
    <row r="2845" customFormat="false" ht="15" hidden="false" customHeight="true" outlineLevel="0" collapsed="false">
      <c r="P2845" s="1" t="str">
        <f aca="false">IF(OR(F2845="",H2845="",J2845=""),"",J2845&amp;"|"&amp;F2845&amp;"|"&amp;IF(H2845="W3","W3_"&amp;IF(I2845="","unknown",I2845),H2845))</f>
        <v/>
      </c>
      <c r="Q2845" s="1" t="str">
        <f aca="false">IF(P2845="","",IFERROR(IF(AND(H2845="W7",OR(F2845="causal",F2845="predictive")),IF(AND(K2845=1,L2845=1,M2845=1),"adequate","partial"),INDEX(Fit_Matrix!$B:$B,MATCH(P2845,Fit_Matrix!$A:$A,0))),"CHECK KEY"))</f>
        <v/>
      </c>
    </row>
    <row r="2846" customFormat="false" ht="15" hidden="false" customHeight="true" outlineLevel="0" collapsed="false">
      <c r="P2846" s="1" t="str">
        <f aca="false">IF(OR(F2846="",H2846="",J2846=""),"",J2846&amp;"|"&amp;F2846&amp;"|"&amp;IF(H2846="W3","W3_"&amp;IF(I2846="","unknown",I2846),H2846))</f>
        <v/>
      </c>
      <c r="Q2846" s="1" t="str">
        <f aca="false">IF(P2846="","",IFERROR(IF(AND(H2846="W7",OR(F2846="causal",F2846="predictive")),IF(AND(K2846=1,L2846=1,M2846=1),"adequate","partial"),INDEX(Fit_Matrix!$B:$B,MATCH(P2846,Fit_Matrix!$A:$A,0))),"CHECK KEY"))</f>
        <v/>
      </c>
    </row>
    <row r="2847" customFormat="false" ht="15" hidden="false" customHeight="true" outlineLevel="0" collapsed="false">
      <c r="P2847" s="1" t="str">
        <f aca="false">IF(OR(F2847="",H2847="",J2847=""),"",J2847&amp;"|"&amp;F2847&amp;"|"&amp;IF(H2847="W3","W3_"&amp;IF(I2847="","unknown",I2847),H2847))</f>
        <v/>
      </c>
      <c r="Q2847" s="1" t="str">
        <f aca="false">IF(P2847="","",IFERROR(IF(AND(H2847="W7",OR(F2847="causal",F2847="predictive")),IF(AND(K2847=1,L2847=1,M2847=1),"adequate","partial"),INDEX(Fit_Matrix!$B:$B,MATCH(P2847,Fit_Matrix!$A:$A,0))),"CHECK KEY"))</f>
        <v/>
      </c>
    </row>
    <row r="2848" customFormat="false" ht="15" hidden="false" customHeight="true" outlineLevel="0" collapsed="false">
      <c r="P2848" s="1" t="str">
        <f aca="false">IF(OR(F2848="",H2848="",J2848=""),"",J2848&amp;"|"&amp;F2848&amp;"|"&amp;IF(H2848="W3","W3_"&amp;IF(I2848="","unknown",I2848),H2848))</f>
        <v/>
      </c>
      <c r="Q2848" s="1" t="str">
        <f aca="false">IF(P2848="","",IFERROR(IF(AND(H2848="W7",OR(F2848="causal",F2848="predictive")),IF(AND(K2848=1,L2848=1,M2848=1),"adequate","partial"),INDEX(Fit_Matrix!$B:$B,MATCH(P2848,Fit_Matrix!$A:$A,0))),"CHECK KEY"))</f>
        <v/>
      </c>
    </row>
    <row r="2849" customFormat="false" ht="15" hidden="false" customHeight="true" outlineLevel="0" collapsed="false">
      <c r="P2849" s="1" t="str">
        <f aca="false">IF(OR(F2849="",H2849="",J2849=""),"",J2849&amp;"|"&amp;F2849&amp;"|"&amp;IF(H2849="W3","W3_"&amp;IF(I2849="","unknown",I2849),H2849))</f>
        <v/>
      </c>
      <c r="Q2849" s="1" t="str">
        <f aca="false">IF(P2849="","",IFERROR(IF(AND(H2849="W7",OR(F2849="causal",F2849="predictive")),IF(AND(K2849=1,L2849=1,M2849=1),"adequate","partial"),INDEX(Fit_Matrix!$B:$B,MATCH(P2849,Fit_Matrix!$A:$A,0))),"CHECK KEY"))</f>
        <v/>
      </c>
    </row>
    <row r="2850" customFormat="false" ht="15" hidden="false" customHeight="true" outlineLevel="0" collapsed="false">
      <c r="P2850" s="1" t="str">
        <f aca="false">IF(OR(F2850="",H2850="",J2850=""),"",J2850&amp;"|"&amp;F2850&amp;"|"&amp;IF(H2850="W3","W3_"&amp;IF(I2850="","unknown",I2850),H2850))</f>
        <v/>
      </c>
      <c r="Q2850" s="1" t="str">
        <f aca="false">IF(P2850="","",IFERROR(IF(AND(H2850="W7",OR(F2850="causal",F2850="predictive")),IF(AND(K2850=1,L2850=1,M2850=1),"adequate","partial"),INDEX(Fit_Matrix!$B:$B,MATCH(P2850,Fit_Matrix!$A:$A,0))),"CHECK KEY"))</f>
        <v/>
      </c>
    </row>
    <row r="2851" customFormat="false" ht="15" hidden="false" customHeight="true" outlineLevel="0" collapsed="false">
      <c r="P2851" s="1" t="str">
        <f aca="false">IF(OR(F2851="",H2851="",J2851=""),"",J2851&amp;"|"&amp;F2851&amp;"|"&amp;IF(H2851="W3","W3_"&amp;IF(I2851="","unknown",I2851),H2851))</f>
        <v/>
      </c>
      <c r="Q2851" s="1" t="str">
        <f aca="false">IF(P2851="","",IFERROR(IF(AND(H2851="W7",OR(F2851="causal",F2851="predictive")),IF(AND(K2851=1,L2851=1,M2851=1),"adequate","partial"),INDEX(Fit_Matrix!$B:$B,MATCH(P2851,Fit_Matrix!$A:$A,0))),"CHECK KEY"))</f>
        <v/>
      </c>
    </row>
    <row r="2852" customFormat="false" ht="15" hidden="false" customHeight="true" outlineLevel="0" collapsed="false">
      <c r="P2852" s="1" t="str">
        <f aca="false">IF(OR(F2852="",H2852="",J2852=""),"",J2852&amp;"|"&amp;F2852&amp;"|"&amp;IF(H2852="W3","W3_"&amp;IF(I2852="","unknown",I2852),H2852))</f>
        <v/>
      </c>
      <c r="Q2852" s="1" t="str">
        <f aca="false">IF(P2852="","",IFERROR(IF(AND(H2852="W7",OR(F2852="causal",F2852="predictive")),IF(AND(K2852=1,L2852=1,M2852=1),"adequate","partial"),INDEX(Fit_Matrix!$B:$B,MATCH(P2852,Fit_Matrix!$A:$A,0))),"CHECK KEY"))</f>
        <v/>
      </c>
    </row>
    <row r="2853" customFormat="false" ht="15" hidden="false" customHeight="true" outlineLevel="0" collapsed="false">
      <c r="P2853" s="1" t="str">
        <f aca="false">IF(OR(F2853="",H2853="",J2853=""),"",J2853&amp;"|"&amp;F2853&amp;"|"&amp;IF(H2853="W3","W3_"&amp;IF(I2853="","unknown",I2853),H2853))</f>
        <v/>
      </c>
      <c r="Q2853" s="1" t="str">
        <f aca="false">IF(P2853="","",IFERROR(IF(AND(H2853="W7",OR(F2853="causal",F2853="predictive")),IF(AND(K2853=1,L2853=1,M2853=1),"adequate","partial"),INDEX(Fit_Matrix!$B:$B,MATCH(P2853,Fit_Matrix!$A:$A,0))),"CHECK KEY"))</f>
        <v/>
      </c>
    </row>
    <row r="2854" customFormat="false" ht="15" hidden="false" customHeight="true" outlineLevel="0" collapsed="false">
      <c r="P2854" s="1" t="str">
        <f aca="false">IF(OR(F2854="",H2854="",J2854=""),"",J2854&amp;"|"&amp;F2854&amp;"|"&amp;IF(H2854="W3","W3_"&amp;IF(I2854="","unknown",I2854),H2854))</f>
        <v/>
      </c>
      <c r="Q2854" s="1" t="str">
        <f aca="false">IF(P2854="","",IFERROR(IF(AND(H2854="W7",OR(F2854="causal",F2854="predictive")),IF(AND(K2854=1,L2854=1,M2854=1),"adequate","partial"),INDEX(Fit_Matrix!$B:$B,MATCH(P2854,Fit_Matrix!$A:$A,0))),"CHECK KEY"))</f>
        <v/>
      </c>
    </row>
    <row r="2855" customFormat="false" ht="15" hidden="false" customHeight="true" outlineLevel="0" collapsed="false">
      <c r="P2855" s="1" t="str">
        <f aca="false">IF(OR(F2855="",H2855="",J2855=""),"",J2855&amp;"|"&amp;F2855&amp;"|"&amp;IF(H2855="W3","W3_"&amp;IF(I2855="","unknown",I2855),H2855))</f>
        <v/>
      </c>
      <c r="Q2855" s="1" t="str">
        <f aca="false">IF(P2855="","",IFERROR(IF(AND(H2855="W7",OR(F2855="causal",F2855="predictive")),IF(AND(K2855=1,L2855=1,M2855=1),"adequate","partial"),INDEX(Fit_Matrix!$B:$B,MATCH(P2855,Fit_Matrix!$A:$A,0))),"CHECK KEY"))</f>
        <v/>
      </c>
    </row>
    <row r="2856" customFormat="false" ht="15" hidden="false" customHeight="true" outlineLevel="0" collapsed="false">
      <c r="P2856" s="1" t="str">
        <f aca="false">IF(OR(F2856="",H2856="",J2856=""),"",J2856&amp;"|"&amp;F2856&amp;"|"&amp;IF(H2856="W3","W3_"&amp;IF(I2856="","unknown",I2856),H2856))</f>
        <v/>
      </c>
      <c r="Q2856" s="1" t="str">
        <f aca="false">IF(P2856="","",IFERROR(IF(AND(H2856="W7",OR(F2856="causal",F2856="predictive")),IF(AND(K2856=1,L2856=1,M2856=1),"adequate","partial"),INDEX(Fit_Matrix!$B:$B,MATCH(P2856,Fit_Matrix!$A:$A,0))),"CHECK KEY"))</f>
        <v/>
      </c>
    </row>
    <row r="2857" customFormat="false" ht="15" hidden="false" customHeight="true" outlineLevel="0" collapsed="false">
      <c r="P2857" s="1" t="str">
        <f aca="false">IF(OR(F2857="",H2857="",J2857=""),"",J2857&amp;"|"&amp;F2857&amp;"|"&amp;IF(H2857="W3","W3_"&amp;IF(I2857="","unknown",I2857),H2857))</f>
        <v/>
      </c>
      <c r="Q2857" s="1" t="str">
        <f aca="false">IF(P2857="","",IFERROR(IF(AND(H2857="W7",OR(F2857="causal",F2857="predictive")),IF(AND(K2857=1,L2857=1,M2857=1),"adequate","partial"),INDEX(Fit_Matrix!$B:$B,MATCH(P2857,Fit_Matrix!$A:$A,0))),"CHECK KEY"))</f>
        <v/>
      </c>
    </row>
    <row r="2858" customFormat="false" ht="15" hidden="false" customHeight="true" outlineLevel="0" collapsed="false">
      <c r="P2858" s="1" t="str">
        <f aca="false">IF(OR(F2858="",H2858="",J2858=""),"",J2858&amp;"|"&amp;F2858&amp;"|"&amp;IF(H2858="W3","W3_"&amp;IF(I2858="","unknown",I2858),H2858))</f>
        <v/>
      </c>
      <c r="Q2858" s="1" t="str">
        <f aca="false">IF(P2858="","",IFERROR(IF(AND(H2858="W7",OR(F2858="causal",F2858="predictive")),IF(AND(K2858=1,L2858=1,M2858=1),"adequate","partial"),INDEX(Fit_Matrix!$B:$B,MATCH(P2858,Fit_Matrix!$A:$A,0))),"CHECK KEY"))</f>
        <v/>
      </c>
    </row>
    <row r="2859" customFormat="false" ht="15" hidden="false" customHeight="true" outlineLevel="0" collapsed="false">
      <c r="P2859" s="1" t="str">
        <f aca="false">IF(OR(F2859="",H2859="",J2859=""),"",J2859&amp;"|"&amp;F2859&amp;"|"&amp;IF(H2859="W3","W3_"&amp;IF(I2859="","unknown",I2859),H2859))</f>
        <v/>
      </c>
      <c r="Q2859" s="1" t="str">
        <f aca="false">IF(P2859="","",IFERROR(IF(AND(H2859="W7",OR(F2859="causal",F2859="predictive")),IF(AND(K2859=1,L2859=1,M2859=1),"adequate","partial"),INDEX(Fit_Matrix!$B:$B,MATCH(P2859,Fit_Matrix!$A:$A,0))),"CHECK KEY"))</f>
        <v/>
      </c>
    </row>
    <row r="2860" customFormat="false" ht="15" hidden="false" customHeight="true" outlineLevel="0" collapsed="false">
      <c r="P2860" s="1" t="str">
        <f aca="false">IF(OR(F2860="",H2860="",J2860=""),"",J2860&amp;"|"&amp;F2860&amp;"|"&amp;IF(H2860="W3","W3_"&amp;IF(I2860="","unknown",I2860),H2860))</f>
        <v/>
      </c>
      <c r="Q2860" s="1" t="str">
        <f aca="false">IF(P2860="","",IFERROR(IF(AND(H2860="W7",OR(F2860="causal",F2860="predictive")),IF(AND(K2860=1,L2860=1,M2860=1),"adequate","partial"),INDEX(Fit_Matrix!$B:$B,MATCH(P2860,Fit_Matrix!$A:$A,0))),"CHECK KEY"))</f>
        <v/>
      </c>
    </row>
    <row r="2861" customFormat="false" ht="15" hidden="false" customHeight="true" outlineLevel="0" collapsed="false">
      <c r="P2861" s="1" t="str">
        <f aca="false">IF(OR(F2861="",H2861="",J2861=""),"",J2861&amp;"|"&amp;F2861&amp;"|"&amp;IF(H2861="W3","W3_"&amp;IF(I2861="","unknown",I2861),H2861))</f>
        <v/>
      </c>
      <c r="Q2861" s="1" t="str">
        <f aca="false">IF(P2861="","",IFERROR(IF(AND(H2861="W7",OR(F2861="causal",F2861="predictive")),IF(AND(K2861=1,L2861=1,M2861=1),"adequate","partial"),INDEX(Fit_Matrix!$B:$B,MATCH(P2861,Fit_Matrix!$A:$A,0))),"CHECK KEY"))</f>
        <v/>
      </c>
    </row>
    <row r="2862" customFormat="false" ht="15" hidden="false" customHeight="true" outlineLevel="0" collapsed="false">
      <c r="P2862" s="1" t="str">
        <f aca="false">IF(OR(F2862="",H2862="",J2862=""),"",J2862&amp;"|"&amp;F2862&amp;"|"&amp;IF(H2862="W3","W3_"&amp;IF(I2862="","unknown",I2862),H2862))</f>
        <v/>
      </c>
      <c r="Q2862" s="1" t="str">
        <f aca="false">IF(P2862="","",IFERROR(IF(AND(H2862="W7",OR(F2862="causal",F2862="predictive")),IF(AND(K2862=1,L2862=1,M2862=1),"adequate","partial"),INDEX(Fit_Matrix!$B:$B,MATCH(P2862,Fit_Matrix!$A:$A,0))),"CHECK KEY"))</f>
        <v/>
      </c>
    </row>
    <row r="2863" customFormat="false" ht="15" hidden="false" customHeight="true" outlineLevel="0" collapsed="false">
      <c r="P2863" s="1" t="str">
        <f aca="false">IF(OR(F2863="",H2863="",J2863=""),"",J2863&amp;"|"&amp;F2863&amp;"|"&amp;IF(H2863="W3","W3_"&amp;IF(I2863="","unknown",I2863),H2863))</f>
        <v/>
      </c>
      <c r="Q2863" s="1" t="str">
        <f aca="false">IF(P2863="","",IFERROR(IF(AND(H2863="W7",OR(F2863="causal",F2863="predictive")),IF(AND(K2863=1,L2863=1,M2863=1),"adequate","partial"),INDEX(Fit_Matrix!$B:$B,MATCH(P2863,Fit_Matrix!$A:$A,0))),"CHECK KEY"))</f>
        <v/>
      </c>
    </row>
    <row r="2864" customFormat="false" ht="15" hidden="false" customHeight="true" outlineLevel="0" collapsed="false">
      <c r="P2864" s="1" t="str">
        <f aca="false">IF(OR(F2864="",H2864="",J2864=""),"",J2864&amp;"|"&amp;F2864&amp;"|"&amp;IF(H2864="W3","W3_"&amp;IF(I2864="","unknown",I2864),H2864))</f>
        <v/>
      </c>
      <c r="Q2864" s="1" t="str">
        <f aca="false">IF(P2864="","",IFERROR(IF(AND(H2864="W7",OR(F2864="causal",F2864="predictive")),IF(AND(K2864=1,L2864=1,M2864=1),"adequate","partial"),INDEX(Fit_Matrix!$B:$B,MATCH(P2864,Fit_Matrix!$A:$A,0))),"CHECK KEY"))</f>
        <v/>
      </c>
    </row>
    <row r="2865" customFormat="false" ht="15" hidden="false" customHeight="true" outlineLevel="0" collapsed="false">
      <c r="P2865" s="1" t="str">
        <f aca="false">IF(OR(F2865="",H2865="",J2865=""),"",J2865&amp;"|"&amp;F2865&amp;"|"&amp;IF(H2865="W3","W3_"&amp;IF(I2865="","unknown",I2865),H2865))</f>
        <v/>
      </c>
      <c r="Q2865" s="1" t="str">
        <f aca="false">IF(P2865="","",IFERROR(IF(AND(H2865="W7",OR(F2865="causal",F2865="predictive")),IF(AND(K2865=1,L2865=1,M2865=1),"adequate","partial"),INDEX(Fit_Matrix!$B:$B,MATCH(P2865,Fit_Matrix!$A:$A,0))),"CHECK KEY"))</f>
        <v/>
      </c>
    </row>
    <row r="2866" customFormat="false" ht="15" hidden="false" customHeight="true" outlineLevel="0" collapsed="false">
      <c r="P2866" s="1" t="str">
        <f aca="false">IF(OR(F2866="",H2866="",J2866=""),"",J2866&amp;"|"&amp;F2866&amp;"|"&amp;IF(H2866="W3","W3_"&amp;IF(I2866="","unknown",I2866),H2866))</f>
        <v/>
      </c>
      <c r="Q2866" s="1" t="str">
        <f aca="false">IF(P2866="","",IFERROR(IF(AND(H2866="W7",OR(F2866="causal",F2866="predictive")),IF(AND(K2866=1,L2866=1,M2866=1),"adequate","partial"),INDEX(Fit_Matrix!$B:$B,MATCH(P2866,Fit_Matrix!$A:$A,0))),"CHECK KEY"))</f>
        <v/>
      </c>
    </row>
    <row r="2867" customFormat="false" ht="15" hidden="false" customHeight="true" outlineLevel="0" collapsed="false">
      <c r="P2867" s="1" t="str">
        <f aca="false">IF(OR(F2867="",H2867="",J2867=""),"",J2867&amp;"|"&amp;F2867&amp;"|"&amp;IF(H2867="W3","W3_"&amp;IF(I2867="","unknown",I2867),H2867))</f>
        <v/>
      </c>
      <c r="Q2867" s="1" t="str">
        <f aca="false">IF(P2867="","",IFERROR(IF(AND(H2867="W7",OR(F2867="causal",F2867="predictive")),IF(AND(K2867=1,L2867=1,M2867=1),"adequate","partial"),INDEX(Fit_Matrix!$B:$B,MATCH(P2867,Fit_Matrix!$A:$A,0))),"CHECK KEY"))</f>
        <v/>
      </c>
    </row>
    <row r="2868" customFormat="false" ht="15" hidden="false" customHeight="true" outlineLevel="0" collapsed="false">
      <c r="P2868" s="1" t="str">
        <f aca="false">IF(OR(F2868="",H2868="",J2868=""),"",J2868&amp;"|"&amp;F2868&amp;"|"&amp;IF(H2868="W3","W3_"&amp;IF(I2868="","unknown",I2868),H2868))</f>
        <v/>
      </c>
      <c r="Q2868" s="1" t="str">
        <f aca="false">IF(P2868="","",IFERROR(IF(AND(H2868="W7",OR(F2868="causal",F2868="predictive")),IF(AND(K2868=1,L2868=1,M2868=1),"adequate","partial"),INDEX(Fit_Matrix!$B:$B,MATCH(P2868,Fit_Matrix!$A:$A,0))),"CHECK KEY"))</f>
        <v/>
      </c>
    </row>
    <row r="2869" customFormat="false" ht="15" hidden="false" customHeight="true" outlineLevel="0" collapsed="false">
      <c r="P2869" s="1" t="str">
        <f aca="false">IF(OR(F2869="",H2869="",J2869=""),"",J2869&amp;"|"&amp;F2869&amp;"|"&amp;IF(H2869="W3","W3_"&amp;IF(I2869="","unknown",I2869),H2869))</f>
        <v/>
      </c>
      <c r="Q2869" s="1" t="str">
        <f aca="false">IF(P2869="","",IFERROR(IF(AND(H2869="W7",OR(F2869="causal",F2869="predictive")),IF(AND(K2869=1,L2869=1,M2869=1),"adequate","partial"),INDEX(Fit_Matrix!$B:$B,MATCH(P2869,Fit_Matrix!$A:$A,0))),"CHECK KEY"))</f>
        <v/>
      </c>
    </row>
    <row r="2870" customFormat="false" ht="15" hidden="false" customHeight="true" outlineLevel="0" collapsed="false">
      <c r="P2870" s="1" t="str">
        <f aca="false">IF(OR(F2870="",H2870="",J2870=""),"",J2870&amp;"|"&amp;F2870&amp;"|"&amp;IF(H2870="W3","W3_"&amp;IF(I2870="","unknown",I2870),H2870))</f>
        <v/>
      </c>
      <c r="Q2870" s="1" t="str">
        <f aca="false">IF(P2870="","",IFERROR(IF(AND(H2870="W7",OR(F2870="causal",F2870="predictive")),IF(AND(K2870=1,L2870=1,M2870=1),"adequate","partial"),INDEX(Fit_Matrix!$B:$B,MATCH(P2870,Fit_Matrix!$A:$A,0))),"CHECK KEY"))</f>
        <v/>
      </c>
    </row>
    <row r="2871" customFormat="false" ht="15" hidden="false" customHeight="true" outlineLevel="0" collapsed="false">
      <c r="P2871" s="1" t="str">
        <f aca="false">IF(OR(F2871="",H2871="",J2871=""),"",J2871&amp;"|"&amp;F2871&amp;"|"&amp;IF(H2871="W3","W3_"&amp;IF(I2871="","unknown",I2871),H2871))</f>
        <v/>
      </c>
      <c r="Q2871" s="1" t="str">
        <f aca="false">IF(P2871="","",IFERROR(IF(AND(H2871="W7",OR(F2871="causal",F2871="predictive")),IF(AND(K2871=1,L2871=1,M2871=1),"adequate","partial"),INDEX(Fit_Matrix!$B:$B,MATCH(P2871,Fit_Matrix!$A:$A,0))),"CHECK KEY"))</f>
        <v/>
      </c>
    </row>
    <row r="2872" customFormat="false" ht="15" hidden="false" customHeight="true" outlineLevel="0" collapsed="false">
      <c r="P2872" s="1" t="str">
        <f aca="false">IF(OR(F2872="",H2872="",J2872=""),"",J2872&amp;"|"&amp;F2872&amp;"|"&amp;IF(H2872="W3","W3_"&amp;IF(I2872="","unknown",I2872),H2872))</f>
        <v/>
      </c>
      <c r="Q2872" s="1" t="str">
        <f aca="false">IF(P2872="","",IFERROR(IF(AND(H2872="W7",OR(F2872="causal",F2872="predictive")),IF(AND(K2872=1,L2872=1,M2872=1),"adequate","partial"),INDEX(Fit_Matrix!$B:$B,MATCH(P2872,Fit_Matrix!$A:$A,0))),"CHECK KEY"))</f>
        <v/>
      </c>
    </row>
    <row r="2873" customFormat="false" ht="15" hidden="false" customHeight="true" outlineLevel="0" collapsed="false">
      <c r="P2873" s="1" t="str">
        <f aca="false">IF(OR(F2873="",H2873="",J2873=""),"",J2873&amp;"|"&amp;F2873&amp;"|"&amp;IF(H2873="W3","W3_"&amp;IF(I2873="","unknown",I2873),H2873))</f>
        <v/>
      </c>
      <c r="Q2873" s="1" t="str">
        <f aca="false">IF(P2873="","",IFERROR(IF(AND(H2873="W7",OR(F2873="causal",F2873="predictive")),IF(AND(K2873=1,L2873=1,M2873=1),"adequate","partial"),INDEX(Fit_Matrix!$B:$B,MATCH(P2873,Fit_Matrix!$A:$A,0))),"CHECK KEY"))</f>
        <v/>
      </c>
    </row>
    <row r="2874" customFormat="false" ht="15" hidden="false" customHeight="true" outlineLevel="0" collapsed="false">
      <c r="P2874" s="1" t="str">
        <f aca="false">IF(OR(F2874="",H2874="",J2874=""),"",J2874&amp;"|"&amp;F2874&amp;"|"&amp;IF(H2874="W3","W3_"&amp;IF(I2874="","unknown",I2874),H2874))</f>
        <v/>
      </c>
      <c r="Q2874" s="1" t="str">
        <f aca="false">IF(P2874="","",IFERROR(IF(AND(H2874="W7",OR(F2874="causal",F2874="predictive")),IF(AND(K2874=1,L2874=1,M2874=1),"adequate","partial"),INDEX(Fit_Matrix!$B:$B,MATCH(P2874,Fit_Matrix!$A:$A,0))),"CHECK KEY"))</f>
        <v/>
      </c>
    </row>
    <row r="2875" customFormat="false" ht="15" hidden="false" customHeight="true" outlineLevel="0" collapsed="false">
      <c r="P2875" s="1" t="str">
        <f aca="false">IF(OR(F2875="",H2875="",J2875=""),"",J2875&amp;"|"&amp;F2875&amp;"|"&amp;IF(H2875="W3","W3_"&amp;IF(I2875="","unknown",I2875),H2875))</f>
        <v/>
      </c>
      <c r="Q2875" s="1" t="str">
        <f aca="false">IF(P2875="","",IFERROR(IF(AND(H2875="W7",OR(F2875="causal",F2875="predictive")),IF(AND(K2875=1,L2875=1,M2875=1),"adequate","partial"),INDEX(Fit_Matrix!$B:$B,MATCH(P2875,Fit_Matrix!$A:$A,0))),"CHECK KEY"))</f>
        <v/>
      </c>
    </row>
    <row r="2876" customFormat="false" ht="15" hidden="false" customHeight="true" outlineLevel="0" collapsed="false">
      <c r="P2876" s="1" t="str">
        <f aca="false">IF(OR(F2876="",H2876="",J2876=""),"",J2876&amp;"|"&amp;F2876&amp;"|"&amp;IF(H2876="W3","W3_"&amp;IF(I2876="","unknown",I2876),H2876))</f>
        <v/>
      </c>
      <c r="Q2876" s="1" t="str">
        <f aca="false">IF(P2876="","",IFERROR(IF(AND(H2876="W7",OR(F2876="causal",F2876="predictive")),IF(AND(K2876=1,L2876=1,M2876=1),"adequate","partial"),INDEX(Fit_Matrix!$B:$B,MATCH(P2876,Fit_Matrix!$A:$A,0))),"CHECK KEY"))</f>
        <v/>
      </c>
    </row>
    <row r="2877" customFormat="false" ht="15" hidden="false" customHeight="true" outlineLevel="0" collapsed="false">
      <c r="P2877" s="1" t="str">
        <f aca="false">IF(OR(F2877="",H2877="",J2877=""),"",J2877&amp;"|"&amp;F2877&amp;"|"&amp;IF(H2877="W3","W3_"&amp;IF(I2877="","unknown",I2877),H2877))</f>
        <v/>
      </c>
      <c r="Q2877" s="1" t="str">
        <f aca="false">IF(P2877="","",IFERROR(IF(AND(H2877="W7",OR(F2877="causal",F2877="predictive")),IF(AND(K2877=1,L2877=1,M2877=1),"adequate","partial"),INDEX(Fit_Matrix!$B:$B,MATCH(P2877,Fit_Matrix!$A:$A,0))),"CHECK KEY"))</f>
        <v/>
      </c>
    </row>
    <row r="2878" customFormat="false" ht="15" hidden="false" customHeight="true" outlineLevel="0" collapsed="false">
      <c r="P2878" s="1" t="str">
        <f aca="false">IF(OR(F2878="",H2878="",J2878=""),"",J2878&amp;"|"&amp;F2878&amp;"|"&amp;IF(H2878="W3","W3_"&amp;IF(I2878="","unknown",I2878),H2878))</f>
        <v/>
      </c>
      <c r="Q2878" s="1" t="str">
        <f aca="false">IF(P2878="","",IFERROR(IF(AND(H2878="W7",OR(F2878="causal",F2878="predictive")),IF(AND(K2878=1,L2878=1,M2878=1),"adequate","partial"),INDEX(Fit_Matrix!$B:$B,MATCH(P2878,Fit_Matrix!$A:$A,0))),"CHECK KEY"))</f>
        <v/>
      </c>
    </row>
    <row r="2879" customFormat="false" ht="15" hidden="false" customHeight="true" outlineLevel="0" collapsed="false">
      <c r="P2879" s="1" t="str">
        <f aca="false">IF(OR(F2879="",H2879="",J2879=""),"",J2879&amp;"|"&amp;F2879&amp;"|"&amp;IF(H2879="W3","W3_"&amp;IF(I2879="","unknown",I2879),H2879))</f>
        <v/>
      </c>
      <c r="Q2879" s="1" t="str">
        <f aca="false">IF(P2879="","",IFERROR(IF(AND(H2879="W7",OR(F2879="causal",F2879="predictive")),IF(AND(K2879=1,L2879=1,M2879=1),"adequate","partial"),INDEX(Fit_Matrix!$B:$B,MATCH(P2879,Fit_Matrix!$A:$A,0))),"CHECK KEY"))</f>
        <v/>
      </c>
    </row>
    <row r="2880" customFormat="false" ht="15" hidden="false" customHeight="true" outlineLevel="0" collapsed="false">
      <c r="P2880" s="1" t="str">
        <f aca="false">IF(OR(F2880="",H2880="",J2880=""),"",J2880&amp;"|"&amp;F2880&amp;"|"&amp;IF(H2880="W3","W3_"&amp;IF(I2880="","unknown",I2880),H2880))</f>
        <v/>
      </c>
      <c r="Q2880" s="1" t="str">
        <f aca="false">IF(P2880="","",IFERROR(IF(AND(H2880="W7",OR(F2880="causal",F2880="predictive")),IF(AND(K2880=1,L2880=1,M2880=1),"adequate","partial"),INDEX(Fit_Matrix!$B:$B,MATCH(P2880,Fit_Matrix!$A:$A,0))),"CHECK KEY"))</f>
        <v/>
      </c>
    </row>
    <row r="2881" customFormat="false" ht="15" hidden="false" customHeight="true" outlineLevel="0" collapsed="false">
      <c r="P2881" s="1" t="str">
        <f aca="false">IF(OR(F2881="",H2881="",J2881=""),"",J2881&amp;"|"&amp;F2881&amp;"|"&amp;IF(H2881="W3","W3_"&amp;IF(I2881="","unknown",I2881),H2881))</f>
        <v/>
      </c>
      <c r="Q2881" s="1" t="str">
        <f aca="false">IF(P2881="","",IFERROR(IF(AND(H2881="W7",OR(F2881="causal",F2881="predictive")),IF(AND(K2881=1,L2881=1,M2881=1),"adequate","partial"),INDEX(Fit_Matrix!$B:$B,MATCH(P2881,Fit_Matrix!$A:$A,0))),"CHECK KEY"))</f>
        <v/>
      </c>
    </row>
    <row r="2882" customFormat="false" ht="15" hidden="false" customHeight="true" outlineLevel="0" collapsed="false">
      <c r="P2882" s="1" t="str">
        <f aca="false">IF(OR(F2882="",H2882="",J2882=""),"",J2882&amp;"|"&amp;F2882&amp;"|"&amp;IF(H2882="W3","W3_"&amp;IF(I2882="","unknown",I2882),H2882))</f>
        <v/>
      </c>
      <c r="Q2882" s="1" t="str">
        <f aca="false">IF(P2882="","",IFERROR(IF(AND(H2882="W7",OR(F2882="causal",F2882="predictive")),IF(AND(K2882=1,L2882=1,M2882=1),"adequate","partial"),INDEX(Fit_Matrix!$B:$B,MATCH(P2882,Fit_Matrix!$A:$A,0))),"CHECK KEY"))</f>
        <v/>
      </c>
    </row>
    <row r="2883" customFormat="false" ht="15" hidden="false" customHeight="true" outlineLevel="0" collapsed="false">
      <c r="P2883" s="1" t="str">
        <f aca="false">IF(OR(F2883="",H2883="",J2883=""),"",J2883&amp;"|"&amp;F2883&amp;"|"&amp;IF(H2883="W3","W3_"&amp;IF(I2883="","unknown",I2883),H2883))</f>
        <v/>
      </c>
      <c r="Q2883" s="1" t="str">
        <f aca="false">IF(P2883="","",IFERROR(IF(AND(H2883="W7",OR(F2883="causal",F2883="predictive")),IF(AND(K2883=1,L2883=1,M2883=1),"adequate","partial"),INDEX(Fit_Matrix!$B:$B,MATCH(P2883,Fit_Matrix!$A:$A,0))),"CHECK KEY"))</f>
        <v/>
      </c>
    </row>
    <row r="2884" customFormat="false" ht="15" hidden="false" customHeight="true" outlineLevel="0" collapsed="false">
      <c r="P2884" s="1" t="str">
        <f aca="false">IF(OR(F2884="",H2884="",J2884=""),"",J2884&amp;"|"&amp;F2884&amp;"|"&amp;IF(H2884="W3","W3_"&amp;IF(I2884="","unknown",I2884),H2884))</f>
        <v/>
      </c>
      <c r="Q2884" s="1" t="str">
        <f aca="false">IF(P2884="","",IFERROR(IF(AND(H2884="W7",OR(F2884="causal",F2884="predictive")),IF(AND(K2884=1,L2884=1,M2884=1),"adequate","partial"),INDEX(Fit_Matrix!$B:$B,MATCH(P2884,Fit_Matrix!$A:$A,0))),"CHECK KEY"))</f>
        <v/>
      </c>
    </row>
    <row r="2885" customFormat="false" ht="15" hidden="false" customHeight="true" outlineLevel="0" collapsed="false">
      <c r="P2885" s="1" t="str">
        <f aca="false">IF(OR(F2885="",H2885="",J2885=""),"",J2885&amp;"|"&amp;F2885&amp;"|"&amp;IF(H2885="W3","W3_"&amp;IF(I2885="","unknown",I2885),H2885))</f>
        <v/>
      </c>
      <c r="Q2885" s="1" t="str">
        <f aca="false">IF(P2885="","",IFERROR(IF(AND(H2885="W7",OR(F2885="causal",F2885="predictive")),IF(AND(K2885=1,L2885=1,M2885=1),"adequate","partial"),INDEX(Fit_Matrix!$B:$B,MATCH(P2885,Fit_Matrix!$A:$A,0))),"CHECK KEY"))</f>
        <v/>
      </c>
    </row>
    <row r="2886" customFormat="false" ht="15" hidden="false" customHeight="true" outlineLevel="0" collapsed="false">
      <c r="P2886" s="1" t="str">
        <f aca="false">IF(OR(F2886="",H2886="",J2886=""),"",J2886&amp;"|"&amp;F2886&amp;"|"&amp;IF(H2886="W3","W3_"&amp;IF(I2886="","unknown",I2886),H2886))</f>
        <v/>
      </c>
      <c r="Q2886" s="1" t="str">
        <f aca="false">IF(P2886="","",IFERROR(IF(AND(H2886="W7",OR(F2886="causal",F2886="predictive")),IF(AND(K2886=1,L2886=1,M2886=1),"adequate","partial"),INDEX(Fit_Matrix!$B:$B,MATCH(P2886,Fit_Matrix!$A:$A,0))),"CHECK KEY"))</f>
        <v/>
      </c>
    </row>
    <row r="2887" customFormat="false" ht="15" hidden="false" customHeight="true" outlineLevel="0" collapsed="false">
      <c r="P2887" s="1" t="str">
        <f aca="false">IF(OR(F2887="",H2887="",J2887=""),"",J2887&amp;"|"&amp;F2887&amp;"|"&amp;IF(H2887="W3","W3_"&amp;IF(I2887="","unknown",I2887),H2887))</f>
        <v/>
      </c>
      <c r="Q2887" s="1" t="str">
        <f aca="false">IF(P2887="","",IFERROR(IF(AND(H2887="W7",OR(F2887="causal",F2887="predictive")),IF(AND(K2887=1,L2887=1,M2887=1),"adequate","partial"),INDEX(Fit_Matrix!$B:$B,MATCH(P2887,Fit_Matrix!$A:$A,0))),"CHECK KEY"))</f>
        <v/>
      </c>
    </row>
    <row r="2888" customFormat="false" ht="15" hidden="false" customHeight="true" outlineLevel="0" collapsed="false">
      <c r="P2888" s="1" t="str">
        <f aca="false">IF(OR(F2888="",H2888="",J2888=""),"",J2888&amp;"|"&amp;F2888&amp;"|"&amp;IF(H2888="W3","W3_"&amp;IF(I2888="","unknown",I2888),H2888))</f>
        <v/>
      </c>
      <c r="Q2888" s="1" t="str">
        <f aca="false">IF(P2888="","",IFERROR(IF(AND(H2888="W7",OR(F2888="causal",F2888="predictive")),IF(AND(K2888=1,L2888=1,M2888=1),"adequate","partial"),INDEX(Fit_Matrix!$B:$B,MATCH(P2888,Fit_Matrix!$A:$A,0))),"CHECK KEY"))</f>
        <v/>
      </c>
    </row>
    <row r="2889" customFormat="false" ht="15" hidden="false" customHeight="true" outlineLevel="0" collapsed="false">
      <c r="P2889" s="1" t="str">
        <f aca="false">IF(OR(F2889="",H2889="",J2889=""),"",J2889&amp;"|"&amp;F2889&amp;"|"&amp;IF(H2889="W3","W3_"&amp;IF(I2889="","unknown",I2889),H2889))</f>
        <v/>
      </c>
      <c r="Q2889" s="1" t="str">
        <f aca="false">IF(P2889="","",IFERROR(IF(AND(H2889="W7",OR(F2889="causal",F2889="predictive")),IF(AND(K2889=1,L2889=1,M2889=1),"adequate","partial"),INDEX(Fit_Matrix!$B:$B,MATCH(P2889,Fit_Matrix!$A:$A,0))),"CHECK KEY"))</f>
        <v/>
      </c>
    </row>
    <row r="2890" customFormat="false" ht="15" hidden="false" customHeight="true" outlineLevel="0" collapsed="false">
      <c r="P2890" s="1" t="str">
        <f aca="false">IF(OR(F2890="",H2890="",J2890=""),"",J2890&amp;"|"&amp;F2890&amp;"|"&amp;IF(H2890="W3","W3_"&amp;IF(I2890="","unknown",I2890),H2890))</f>
        <v/>
      </c>
      <c r="Q2890" s="1" t="str">
        <f aca="false">IF(P2890="","",IFERROR(IF(AND(H2890="W7",OR(F2890="causal",F2890="predictive")),IF(AND(K2890=1,L2890=1,M2890=1),"adequate","partial"),INDEX(Fit_Matrix!$B:$B,MATCH(P2890,Fit_Matrix!$A:$A,0))),"CHECK KEY"))</f>
        <v/>
      </c>
    </row>
    <row r="2891" customFormat="false" ht="15" hidden="false" customHeight="true" outlineLevel="0" collapsed="false">
      <c r="P2891" s="1" t="str">
        <f aca="false">IF(OR(F2891="",H2891="",J2891=""),"",J2891&amp;"|"&amp;F2891&amp;"|"&amp;IF(H2891="W3","W3_"&amp;IF(I2891="","unknown",I2891),H2891))</f>
        <v/>
      </c>
      <c r="Q2891" s="1" t="str">
        <f aca="false">IF(P2891="","",IFERROR(IF(AND(H2891="W7",OR(F2891="causal",F2891="predictive")),IF(AND(K2891=1,L2891=1,M2891=1),"adequate","partial"),INDEX(Fit_Matrix!$B:$B,MATCH(P2891,Fit_Matrix!$A:$A,0))),"CHECK KEY"))</f>
        <v/>
      </c>
    </row>
    <row r="2892" customFormat="false" ht="15" hidden="false" customHeight="true" outlineLevel="0" collapsed="false">
      <c r="P2892" s="1" t="str">
        <f aca="false">IF(OR(F2892="",H2892="",J2892=""),"",J2892&amp;"|"&amp;F2892&amp;"|"&amp;IF(H2892="W3","W3_"&amp;IF(I2892="","unknown",I2892),H2892))</f>
        <v/>
      </c>
      <c r="Q2892" s="1" t="str">
        <f aca="false">IF(P2892="","",IFERROR(IF(AND(H2892="W7",OR(F2892="causal",F2892="predictive")),IF(AND(K2892=1,L2892=1,M2892=1),"adequate","partial"),INDEX(Fit_Matrix!$B:$B,MATCH(P2892,Fit_Matrix!$A:$A,0))),"CHECK KEY"))</f>
        <v/>
      </c>
    </row>
    <row r="2893" customFormat="false" ht="15" hidden="false" customHeight="true" outlineLevel="0" collapsed="false">
      <c r="P2893" s="1" t="str">
        <f aca="false">IF(OR(F2893="",H2893="",J2893=""),"",J2893&amp;"|"&amp;F2893&amp;"|"&amp;IF(H2893="W3","W3_"&amp;IF(I2893="","unknown",I2893),H2893))</f>
        <v/>
      </c>
      <c r="Q2893" s="1" t="str">
        <f aca="false">IF(P2893="","",IFERROR(IF(AND(H2893="W7",OR(F2893="causal",F2893="predictive")),IF(AND(K2893=1,L2893=1,M2893=1),"adequate","partial"),INDEX(Fit_Matrix!$B:$B,MATCH(P2893,Fit_Matrix!$A:$A,0))),"CHECK KEY"))</f>
        <v/>
      </c>
    </row>
    <row r="2894" customFormat="false" ht="15" hidden="false" customHeight="true" outlineLevel="0" collapsed="false">
      <c r="P2894" s="1" t="str">
        <f aca="false">IF(OR(F2894="",H2894="",J2894=""),"",J2894&amp;"|"&amp;F2894&amp;"|"&amp;IF(H2894="W3","W3_"&amp;IF(I2894="","unknown",I2894),H2894))</f>
        <v/>
      </c>
      <c r="Q2894" s="1" t="str">
        <f aca="false">IF(P2894="","",IFERROR(IF(AND(H2894="W7",OR(F2894="causal",F2894="predictive")),IF(AND(K2894=1,L2894=1,M2894=1),"adequate","partial"),INDEX(Fit_Matrix!$B:$B,MATCH(P2894,Fit_Matrix!$A:$A,0))),"CHECK KEY"))</f>
        <v/>
      </c>
    </row>
    <row r="2895" customFormat="false" ht="15" hidden="false" customHeight="true" outlineLevel="0" collapsed="false">
      <c r="P2895" s="1" t="str">
        <f aca="false">IF(OR(F2895="",H2895="",J2895=""),"",J2895&amp;"|"&amp;F2895&amp;"|"&amp;IF(H2895="W3","W3_"&amp;IF(I2895="","unknown",I2895),H2895))</f>
        <v/>
      </c>
      <c r="Q2895" s="1" t="str">
        <f aca="false">IF(P2895="","",IFERROR(IF(AND(H2895="W7",OR(F2895="causal",F2895="predictive")),IF(AND(K2895=1,L2895=1,M2895=1),"adequate","partial"),INDEX(Fit_Matrix!$B:$B,MATCH(P2895,Fit_Matrix!$A:$A,0))),"CHECK KEY"))</f>
        <v/>
      </c>
    </row>
    <row r="2896" customFormat="false" ht="15" hidden="false" customHeight="true" outlineLevel="0" collapsed="false">
      <c r="P2896" s="1" t="str">
        <f aca="false">IF(OR(F2896="",H2896="",J2896=""),"",J2896&amp;"|"&amp;F2896&amp;"|"&amp;IF(H2896="W3","W3_"&amp;IF(I2896="","unknown",I2896),H2896))</f>
        <v/>
      </c>
      <c r="Q2896" s="1" t="str">
        <f aca="false">IF(P2896="","",IFERROR(IF(AND(H2896="W7",OR(F2896="causal",F2896="predictive")),IF(AND(K2896=1,L2896=1,M2896=1),"adequate","partial"),INDEX(Fit_Matrix!$B:$B,MATCH(P2896,Fit_Matrix!$A:$A,0))),"CHECK KEY"))</f>
        <v/>
      </c>
    </row>
    <row r="2897" customFormat="false" ht="15" hidden="false" customHeight="true" outlineLevel="0" collapsed="false">
      <c r="P2897" s="1" t="str">
        <f aca="false">IF(OR(F2897="",H2897="",J2897=""),"",J2897&amp;"|"&amp;F2897&amp;"|"&amp;IF(H2897="W3","W3_"&amp;IF(I2897="","unknown",I2897),H2897))</f>
        <v/>
      </c>
      <c r="Q2897" s="1" t="str">
        <f aca="false">IF(P2897="","",IFERROR(IF(AND(H2897="W7",OR(F2897="causal",F2897="predictive")),IF(AND(K2897=1,L2897=1,M2897=1),"adequate","partial"),INDEX(Fit_Matrix!$B:$B,MATCH(P2897,Fit_Matrix!$A:$A,0))),"CHECK KEY"))</f>
        <v/>
      </c>
    </row>
    <row r="2898" customFormat="false" ht="15" hidden="false" customHeight="true" outlineLevel="0" collapsed="false">
      <c r="P2898" s="1" t="str">
        <f aca="false">IF(OR(F2898="",H2898="",J2898=""),"",J2898&amp;"|"&amp;F2898&amp;"|"&amp;IF(H2898="W3","W3_"&amp;IF(I2898="","unknown",I2898),H2898))</f>
        <v/>
      </c>
      <c r="Q2898" s="1" t="str">
        <f aca="false">IF(P2898="","",IFERROR(IF(AND(H2898="W7",OR(F2898="causal",F2898="predictive")),IF(AND(K2898=1,L2898=1,M2898=1),"adequate","partial"),INDEX(Fit_Matrix!$B:$B,MATCH(P2898,Fit_Matrix!$A:$A,0))),"CHECK KEY"))</f>
        <v/>
      </c>
    </row>
    <row r="2899" customFormat="false" ht="15" hidden="false" customHeight="true" outlineLevel="0" collapsed="false">
      <c r="P2899" s="1" t="str">
        <f aca="false">IF(OR(F2899="",H2899="",J2899=""),"",J2899&amp;"|"&amp;F2899&amp;"|"&amp;IF(H2899="W3","W3_"&amp;IF(I2899="","unknown",I2899),H2899))</f>
        <v/>
      </c>
      <c r="Q2899" s="1" t="str">
        <f aca="false">IF(P2899="","",IFERROR(IF(AND(H2899="W7",OR(F2899="causal",F2899="predictive")),IF(AND(K2899=1,L2899=1,M2899=1),"adequate","partial"),INDEX(Fit_Matrix!$B:$B,MATCH(P2899,Fit_Matrix!$A:$A,0))),"CHECK KEY"))</f>
        <v/>
      </c>
    </row>
    <row r="2900" customFormat="false" ht="15" hidden="false" customHeight="true" outlineLevel="0" collapsed="false">
      <c r="P2900" s="1" t="str">
        <f aca="false">IF(OR(F2900="",H2900="",J2900=""),"",J2900&amp;"|"&amp;F2900&amp;"|"&amp;IF(H2900="W3","W3_"&amp;IF(I2900="","unknown",I2900),H2900))</f>
        <v/>
      </c>
      <c r="Q2900" s="1" t="str">
        <f aca="false">IF(P2900="","",IFERROR(IF(AND(H2900="W7",OR(F2900="causal",F2900="predictive")),IF(AND(K2900=1,L2900=1,M2900=1),"adequate","partial"),INDEX(Fit_Matrix!$B:$B,MATCH(P2900,Fit_Matrix!$A:$A,0))),"CHECK KEY"))</f>
        <v/>
      </c>
    </row>
    <row r="2901" customFormat="false" ht="15" hidden="false" customHeight="true" outlineLevel="0" collapsed="false">
      <c r="P2901" s="1" t="str">
        <f aca="false">IF(OR(F2901="",H2901="",J2901=""),"",J2901&amp;"|"&amp;F2901&amp;"|"&amp;IF(H2901="W3","W3_"&amp;IF(I2901="","unknown",I2901),H2901))</f>
        <v/>
      </c>
      <c r="Q2901" s="1" t="str">
        <f aca="false">IF(P2901="","",IFERROR(IF(AND(H2901="W7",OR(F2901="causal",F2901="predictive")),IF(AND(K2901=1,L2901=1,M2901=1),"adequate","partial"),INDEX(Fit_Matrix!$B:$B,MATCH(P2901,Fit_Matrix!$A:$A,0))),"CHECK KEY"))</f>
        <v/>
      </c>
    </row>
    <row r="2902" customFormat="false" ht="15" hidden="false" customHeight="true" outlineLevel="0" collapsed="false">
      <c r="P2902" s="1" t="str">
        <f aca="false">IF(OR(F2902="",H2902="",J2902=""),"",J2902&amp;"|"&amp;F2902&amp;"|"&amp;IF(H2902="W3","W3_"&amp;IF(I2902="","unknown",I2902),H2902))</f>
        <v/>
      </c>
      <c r="Q2902" s="1" t="str">
        <f aca="false">IF(P2902="","",IFERROR(IF(AND(H2902="W7",OR(F2902="causal",F2902="predictive")),IF(AND(K2902=1,L2902=1,M2902=1),"adequate","partial"),INDEX(Fit_Matrix!$B:$B,MATCH(P2902,Fit_Matrix!$A:$A,0))),"CHECK KEY"))</f>
        <v/>
      </c>
    </row>
    <row r="2903" customFormat="false" ht="15" hidden="false" customHeight="true" outlineLevel="0" collapsed="false">
      <c r="P2903" s="1" t="str">
        <f aca="false">IF(OR(F2903="",H2903="",J2903=""),"",J2903&amp;"|"&amp;F2903&amp;"|"&amp;IF(H2903="W3","W3_"&amp;IF(I2903="","unknown",I2903),H2903))</f>
        <v/>
      </c>
      <c r="Q2903" s="1" t="str">
        <f aca="false">IF(P2903="","",IFERROR(IF(AND(H2903="W7",OR(F2903="causal",F2903="predictive")),IF(AND(K2903=1,L2903=1,M2903=1),"adequate","partial"),INDEX(Fit_Matrix!$B:$B,MATCH(P2903,Fit_Matrix!$A:$A,0))),"CHECK KEY"))</f>
        <v/>
      </c>
    </row>
    <row r="2904" customFormat="false" ht="15" hidden="false" customHeight="true" outlineLevel="0" collapsed="false">
      <c r="P2904" s="1" t="str">
        <f aca="false">IF(OR(F2904="",H2904="",J2904=""),"",J2904&amp;"|"&amp;F2904&amp;"|"&amp;IF(H2904="W3","W3_"&amp;IF(I2904="","unknown",I2904),H2904))</f>
        <v/>
      </c>
      <c r="Q2904" s="1" t="str">
        <f aca="false">IF(P2904="","",IFERROR(IF(AND(H2904="W7",OR(F2904="causal",F2904="predictive")),IF(AND(K2904=1,L2904=1,M2904=1),"adequate","partial"),INDEX(Fit_Matrix!$B:$B,MATCH(P2904,Fit_Matrix!$A:$A,0))),"CHECK KEY"))</f>
        <v/>
      </c>
    </row>
    <row r="2905" customFormat="false" ht="15" hidden="false" customHeight="true" outlineLevel="0" collapsed="false">
      <c r="P2905" s="1" t="str">
        <f aca="false">IF(OR(F2905="",H2905="",J2905=""),"",J2905&amp;"|"&amp;F2905&amp;"|"&amp;IF(H2905="W3","W3_"&amp;IF(I2905="","unknown",I2905),H2905))</f>
        <v/>
      </c>
      <c r="Q2905" s="1" t="str">
        <f aca="false">IF(P2905="","",IFERROR(IF(AND(H2905="W7",OR(F2905="causal",F2905="predictive")),IF(AND(K2905=1,L2905=1,M2905=1),"adequate","partial"),INDEX(Fit_Matrix!$B:$B,MATCH(P2905,Fit_Matrix!$A:$A,0))),"CHECK KEY"))</f>
        <v/>
      </c>
    </row>
    <row r="2906" customFormat="false" ht="15" hidden="false" customHeight="true" outlineLevel="0" collapsed="false">
      <c r="P2906" s="1" t="str">
        <f aca="false">IF(OR(F2906="",H2906="",J2906=""),"",J2906&amp;"|"&amp;F2906&amp;"|"&amp;IF(H2906="W3","W3_"&amp;IF(I2906="","unknown",I2906),H2906))</f>
        <v/>
      </c>
      <c r="Q2906" s="1" t="str">
        <f aca="false">IF(P2906="","",IFERROR(IF(AND(H2906="W7",OR(F2906="causal",F2906="predictive")),IF(AND(K2906=1,L2906=1,M2906=1),"adequate","partial"),INDEX(Fit_Matrix!$B:$B,MATCH(P2906,Fit_Matrix!$A:$A,0))),"CHECK KEY"))</f>
        <v/>
      </c>
    </row>
    <row r="2907" customFormat="false" ht="15" hidden="false" customHeight="true" outlineLevel="0" collapsed="false">
      <c r="P2907" s="1" t="str">
        <f aca="false">IF(OR(F2907="",H2907="",J2907=""),"",J2907&amp;"|"&amp;F2907&amp;"|"&amp;IF(H2907="W3","W3_"&amp;IF(I2907="","unknown",I2907),H2907))</f>
        <v/>
      </c>
      <c r="Q2907" s="1" t="str">
        <f aca="false">IF(P2907="","",IFERROR(IF(AND(H2907="W7",OR(F2907="causal",F2907="predictive")),IF(AND(K2907=1,L2907=1,M2907=1),"adequate","partial"),INDEX(Fit_Matrix!$B:$B,MATCH(P2907,Fit_Matrix!$A:$A,0))),"CHECK KEY"))</f>
        <v/>
      </c>
    </row>
    <row r="2908" customFormat="false" ht="15" hidden="false" customHeight="true" outlineLevel="0" collapsed="false">
      <c r="P2908" s="1" t="str">
        <f aca="false">IF(OR(F2908="",H2908="",J2908=""),"",J2908&amp;"|"&amp;F2908&amp;"|"&amp;IF(H2908="W3","W3_"&amp;IF(I2908="","unknown",I2908),H2908))</f>
        <v/>
      </c>
      <c r="Q2908" s="1" t="str">
        <f aca="false">IF(P2908="","",IFERROR(IF(AND(H2908="W7",OR(F2908="causal",F2908="predictive")),IF(AND(K2908=1,L2908=1,M2908=1),"adequate","partial"),INDEX(Fit_Matrix!$B:$B,MATCH(P2908,Fit_Matrix!$A:$A,0))),"CHECK KEY"))</f>
        <v/>
      </c>
    </row>
    <row r="2909" customFormat="false" ht="15" hidden="false" customHeight="true" outlineLevel="0" collapsed="false">
      <c r="P2909" s="1" t="str">
        <f aca="false">IF(OR(F2909="",H2909="",J2909=""),"",J2909&amp;"|"&amp;F2909&amp;"|"&amp;IF(H2909="W3","W3_"&amp;IF(I2909="","unknown",I2909),H2909))</f>
        <v/>
      </c>
      <c r="Q2909" s="1" t="str">
        <f aca="false">IF(P2909="","",IFERROR(IF(AND(H2909="W7",OR(F2909="causal",F2909="predictive")),IF(AND(K2909=1,L2909=1,M2909=1),"adequate","partial"),INDEX(Fit_Matrix!$B:$B,MATCH(P2909,Fit_Matrix!$A:$A,0))),"CHECK KEY"))</f>
        <v/>
      </c>
    </row>
    <row r="2910" customFormat="false" ht="15" hidden="false" customHeight="true" outlineLevel="0" collapsed="false">
      <c r="P2910" s="1" t="str">
        <f aca="false">IF(OR(F2910="",H2910="",J2910=""),"",J2910&amp;"|"&amp;F2910&amp;"|"&amp;IF(H2910="W3","W3_"&amp;IF(I2910="","unknown",I2910),H2910))</f>
        <v/>
      </c>
      <c r="Q2910" s="1" t="str">
        <f aca="false">IF(P2910="","",IFERROR(IF(AND(H2910="W7",OR(F2910="causal",F2910="predictive")),IF(AND(K2910=1,L2910=1,M2910=1),"adequate","partial"),INDEX(Fit_Matrix!$B:$B,MATCH(P2910,Fit_Matrix!$A:$A,0))),"CHECK KEY"))</f>
        <v/>
      </c>
    </row>
    <row r="2911" customFormat="false" ht="15" hidden="false" customHeight="true" outlineLevel="0" collapsed="false">
      <c r="P2911" s="1" t="str">
        <f aca="false">IF(OR(F2911="",H2911="",J2911=""),"",J2911&amp;"|"&amp;F2911&amp;"|"&amp;IF(H2911="W3","W3_"&amp;IF(I2911="","unknown",I2911),H2911))</f>
        <v/>
      </c>
      <c r="Q2911" s="1" t="str">
        <f aca="false">IF(P2911="","",IFERROR(IF(AND(H2911="W7",OR(F2911="causal",F2911="predictive")),IF(AND(K2911=1,L2911=1,M2911=1),"adequate","partial"),INDEX(Fit_Matrix!$B:$B,MATCH(P2911,Fit_Matrix!$A:$A,0))),"CHECK KEY"))</f>
        <v/>
      </c>
    </row>
    <row r="2912" customFormat="false" ht="15" hidden="false" customHeight="true" outlineLevel="0" collapsed="false">
      <c r="P2912" s="1" t="str">
        <f aca="false">IF(OR(F2912="",H2912="",J2912=""),"",J2912&amp;"|"&amp;F2912&amp;"|"&amp;IF(H2912="W3","W3_"&amp;IF(I2912="","unknown",I2912),H2912))</f>
        <v/>
      </c>
      <c r="Q2912" s="1" t="str">
        <f aca="false">IF(P2912="","",IFERROR(IF(AND(H2912="W7",OR(F2912="causal",F2912="predictive")),IF(AND(K2912=1,L2912=1,M2912=1),"adequate","partial"),INDEX(Fit_Matrix!$B:$B,MATCH(P2912,Fit_Matrix!$A:$A,0))),"CHECK KEY"))</f>
        <v/>
      </c>
    </row>
    <row r="2913" customFormat="false" ht="15" hidden="false" customHeight="true" outlineLevel="0" collapsed="false">
      <c r="P2913" s="1" t="str">
        <f aca="false">IF(OR(F2913="",H2913="",J2913=""),"",J2913&amp;"|"&amp;F2913&amp;"|"&amp;IF(H2913="W3","W3_"&amp;IF(I2913="","unknown",I2913),H2913))</f>
        <v/>
      </c>
      <c r="Q2913" s="1" t="str">
        <f aca="false">IF(P2913="","",IFERROR(IF(AND(H2913="W7",OR(F2913="causal",F2913="predictive")),IF(AND(K2913=1,L2913=1,M2913=1),"adequate","partial"),INDEX(Fit_Matrix!$B:$B,MATCH(P2913,Fit_Matrix!$A:$A,0))),"CHECK KEY"))</f>
        <v/>
      </c>
    </row>
    <row r="2914" customFormat="false" ht="15" hidden="false" customHeight="true" outlineLevel="0" collapsed="false">
      <c r="P2914" s="1" t="str">
        <f aca="false">IF(OR(F2914="",H2914="",J2914=""),"",J2914&amp;"|"&amp;F2914&amp;"|"&amp;IF(H2914="W3","W3_"&amp;IF(I2914="","unknown",I2914),H2914))</f>
        <v/>
      </c>
      <c r="Q2914" s="1" t="str">
        <f aca="false">IF(P2914="","",IFERROR(IF(AND(H2914="W7",OR(F2914="causal",F2914="predictive")),IF(AND(K2914=1,L2914=1,M2914=1),"adequate","partial"),INDEX(Fit_Matrix!$B:$B,MATCH(P2914,Fit_Matrix!$A:$A,0))),"CHECK KEY"))</f>
        <v/>
      </c>
    </row>
    <row r="2915" customFormat="false" ht="15" hidden="false" customHeight="true" outlineLevel="0" collapsed="false">
      <c r="P2915" s="1" t="str">
        <f aca="false">IF(OR(F2915="",H2915="",J2915=""),"",J2915&amp;"|"&amp;F2915&amp;"|"&amp;IF(H2915="W3","W3_"&amp;IF(I2915="","unknown",I2915),H2915))</f>
        <v/>
      </c>
      <c r="Q2915" s="1" t="str">
        <f aca="false">IF(P2915="","",IFERROR(IF(AND(H2915="W7",OR(F2915="causal",F2915="predictive")),IF(AND(K2915=1,L2915=1,M2915=1),"adequate","partial"),INDEX(Fit_Matrix!$B:$B,MATCH(P2915,Fit_Matrix!$A:$A,0))),"CHECK KEY"))</f>
        <v/>
      </c>
    </row>
    <row r="2916" customFormat="false" ht="15" hidden="false" customHeight="true" outlineLevel="0" collapsed="false">
      <c r="P2916" s="1" t="str">
        <f aca="false">IF(OR(F2916="",H2916="",J2916=""),"",J2916&amp;"|"&amp;F2916&amp;"|"&amp;IF(H2916="W3","W3_"&amp;IF(I2916="","unknown",I2916),H2916))</f>
        <v/>
      </c>
      <c r="Q2916" s="1" t="str">
        <f aca="false">IF(P2916="","",IFERROR(IF(AND(H2916="W7",OR(F2916="causal",F2916="predictive")),IF(AND(K2916=1,L2916=1,M2916=1),"adequate","partial"),INDEX(Fit_Matrix!$B:$B,MATCH(P2916,Fit_Matrix!$A:$A,0))),"CHECK KEY"))</f>
        <v/>
      </c>
    </row>
    <row r="2917" customFormat="false" ht="15" hidden="false" customHeight="true" outlineLevel="0" collapsed="false">
      <c r="P2917" s="1" t="str">
        <f aca="false">IF(OR(F2917="",H2917="",J2917=""),"",J2917&amp;"|"&amp;F2917&amp;"|"&amp;IF(H2917="W3","W3_"&amp;IF(I2917="","unknown",I2917),H2917))</f>
        <v/>
      </c>
      <c r="Q2917" s="1" t="str">
        <f aca="false">IF(P2917="","",IFERROR(IF(AND(H2917="W7",OR(F2917="causal",F2917="predictive")),IF(AND(K2917=1,L2917=1,M2917=1),"adequate","partial"),INDEX(Fit_Matrix!$B:$B,MATCH(P2917,Fit_Matrix!$A:$A,0))),"CHECK KEY"))</f>
        <v/>
      </c>
    </row>
    <row r="2918" customFormat="false" ht="15" hidden="false" customHeight="true" outlineLevel="0" collapsed="false">
      <c r="P2918" s="1" t="str">
        <f aca="false">IF(OR(F2918="",H2918="",J2918=""),"",J2918&amp;"|"&amp;F2918&amp;"|"&amp;IF(H2918="W3","W3_"&amp;IF(I2918="","unknown",I2918),H2918))</f>
        <v/>
      </c>
      <c r="Q2918" s="1" t="str">
        <f aca="false">IF(P2918="","",IFERROR(IF(AND(H2918="W7",OR(F2918="causal",F2918="predictive")),IF(AND(K2918=1,L2918=1,M2918=1),"adequate","partial"),INDEX(Fit_Matrix!$B:$B,MATCH(P2918,Fit_Matrix!$A:$A,0))),"CHECK KEY"))</f>
        <v/>
      </c>
    </row>
    <row r="2919" customFormat="false" ht="15" hidden="false" customHeight="true" outlineLevel="0" collapsed="false">
      <c r="P2919" s="1" t="str">
        <f aca="false">IF(OR(F2919="",H2919="",J2919=""),"",J2919&amp;"|"&amp;F2919&amp;"|"&amp;IF(H2919="W3","W3_"&amp;IF(I2919="","unknown",I2919),H2919))</f>
        <v/>
      </c>
      <c r="Q2919" s="1" t="str">
        <f aca="false">IF(P2919="","",IFERROR(IF(AND(H2919="W7",OR(F2919="causal",F2919="predictive")),IF(AND(K2919=1,L2919=1,M2919=1),"adequate","partial"),INDEX(Fit_Matrix!$B:$B,MATCH(P2919,Fit_Matrix!$A:$A,0))),"CHECK KEY"))</f>
        <v/>
      </c>
    </row>
    <row r="2920" customFormat="false" ht="15" hidden="false" customHeight="true" outlineLevel="0" collapsed="false">
      <c r="P2920" s="1" t="str">
        <f aca="false">IF(OR(F2920="",H2920="",J2920=""),"",J2920&amp;"|"&amp;F2920&amp;"|"&amp;IF(H2920="W3","W3_"&amp;IF(I2920="","unknown",I2920),H2920))</f>
        <v/>
      </c>
      <c r="Q2920" s="1" t="str">
        <f aca="false">IF(P2920="","",IFERROR(IF(AND(H2920="W7",OR(F2920="causal",F2920="predictive")),IF(AND(K2920=1,L2920=1,M2920=1),"adequate","partial"),INDEX(Fit_Matrix!$B:$B,MATCH(P2920,Fit_Matrix!$A:$A,0))),"CHECK KEY"))</f>
        <v/>
      </c>
    </row>
    <row r="2921" customFormat="false" ht="15" hidden="false" customHeight="true" outlineLevel="0" collapsed="false">
      <c r="P2921" s="1" t="str">
        <f aca="false">IF(OR(F2921="",H2921="",J2921=""),"",J2921&amp;"|"&amp;F2921&amp;"|"&amp;IF(H2921="W3","W3_"&amp;IF(I2921="","unknown",I2921),H2921))</f>
        <v/>
      </c>
      <c r="Q2921" s="1" t="str">
        <f aca="false">IF(P2921="","",IFERROR(IF(AND(H2921="W7",OR(F2921="causal",F2921="predictive")),IF(AND(K2921=1,L2921=1,M2921=1),"adequate","partial"),INDEX(Fit_Matrix!$B:$B,MATCH(P2921,Fit_Matrix!$A:$A,0))),"CHECK KEY"))</f>
        <v/>
      </c>
    </row>
    <row r="2922" customFormat="false" ht="15" hidden="false" customHeight="true" outlineLevel="0" collapsed="false">
      <c r="P2922" s="1" t="str">
        <f aca="false">IF(OR(F2922="",H2922="",J2922=""),"",J2922&amp;"|"&amp;F2922&amp;"|"&amp;IF(H2922="W3","W3_"&amp;IF(I2922="","unknown",I2922),H2922))</f>
        <v/>
      </c>
      <c r="Q2922" s="1" t="str">
        <f aca="false">IF(P2922="","",IFERROR(IF(AND(H2922="W7",OR(F2922="causal",F2922="predictive")),IF(AND(K2922=1,L2922=1,M2922=1),"adequate","partial"),INDEX(Fit_Matrix!$B:$B,MATCH(P2922,Fit_Matrix!$A:$A,0))),"CHECK KEY"))</f>
        <v/>
      </c>
    </row>
    <row r="2923" customFormat="false" ht="15" hidden="false" customHeight="true" outlineLevel="0" collapsed="false">
      <c r="P2923" s="1" t="str">
        <f aca="false">IF(OR(F2923="",H2923="",J2923=""),"",J2923&amp;"|"&amp;F2923&amp;"|"&amp;IF(H2923="W3","W3_"&amp;IF(I2923="","unknown",I2923),H2923))</f>
        <v/>
      </c>
      <c r="Q2923" s="1" t="str">
        <f aca="false">IF(P2923="","",IFERROR(IF(AND(H2923="W7",OR(F2923="causal",F2923="predictive")),IF(AND(K2923=1,L2923=1,M2923=1),"adequate","partial"),INDEX(Fit_Matrix!$B:$B,MATCH(P2923,Fit_Matrix!$A:$A,0))),"CHECK KEY"))</f>
        <v/>
      </c>
    </row>
    <row r="2924" customFormat="false" ht="15" hidden="false" customHeight="true" outlineLevel="0" collapsed="false">
      <c r="P2924" s="1" t="str">
        <f aca="false">IF(OR(F2924="",H2924="",J2924=""),"",J2924&amp;"|"&amp;F2924&amp;"|"&amp;IF(H2924="W3","W3_"&amp;IF(I2924="","unknown",I2924),H2924))</f>
        <v/>
      </c>
      <c r="Q2924" s="1" t="str">
        <f aca="false">IF(P2924="","",IFERROR(IF(AND(H2924="W7",OR(F2924="causal",F2924="predictive")),IF(AND(K2924=1,L2924=1,M2924=1),"adequate","partial"),INDEX(Fit_Matrix!$B:$B,MATCH(P2924,Fit_Matrix!$A:$A,0))),"CHECK KEY"))</f>
        <v/>
      </c>
    </row>
    <row r="2925" customFormat="false" ht="15" hidden="false" customHeight="true" outlineLevel="0" collapsed="false">
      <c r="P2925" s="1" t="str">
        <f aca="false">IF(OR(F2925="",H2925="",J2925=""),"",J2925&amp;"|"&amp;F2925&amp;"|"&amp;IF(H2925="W3","W3_"&amp;IF(I2925="","unknown",I2925),H2925))</f>
        <v/>
      </c>
      <c r="Q2925" s="1" t="str">
        <f aca="false">IF(P2925="","",IFERROR(IF(AND(H2925="W7",OR(F2925="causal",F2925="predictive")),IF(AND(K2925=1,L2925=1,M2925=1),"adequate","partial"),INDEX(Fit_Matrix!$B:$B,MATCH(P2925,Fit_Matrix!$A:$A,0))),"CHECK KEY"))</f>
        <v/>
      </c>
    </row>
    <row r="2926" customFormat="false" ht="15" hidden="false" customHeight="true" outlineLevel="0" collapsed="false">
      <c r="P2926" s="1" t="str">
        <f aca="false">IF(OR(F2926="",H2926="",J2926=""),"",J2926&amp;"|"&amp;F2926&amp;"|"&amp;IF(H2926="W3","W3_"&amp;IF(I2926="","unknown",I2926),H2926))</f>
        <v/>
      </c>
      <c r="Q2926" s="1" t="str">
        <f aca="false">IF(P2926="","",IFERROR(IF(AND(H2926="W7",OR(F2926="causal",F2926="predictive")),IF(AND(K2926=1,L2926=1,M2926=1),"adequate","partial"),INDEX(Fit_Matrix!$B:$B,MATCH(P2926,Fit_Matrix!$A:$A,0))),"CHECK KEY"))</f>
        <v/>
      </c>
    </row>
    <row r="2927" customFormat="false" ht="15" hidden="false" customHeight="true" outlineLevel="0" collapsed="false">
      <c r="P2927" s="1" t="str">
        <f aca="false">IF(OR(F2927="",H2927="",J2927=""),"",J2927&amp;"|"&amp;F2927&amp;"|"&amp;IF(H2927="W3","W3_"&amp;IF(I2927="","unknown",I2927),H2927))</f>
        <v/>
      </c>
      <c r="Q2927" s="1" t="str">
        <f aca="false">IF(P2927="","",IFERROR(IF(AND(H2927="W7",OR(F2927="causal",F2927="predictive")),IF(AND(K2927=1,L2927=1,M2927=1),"adequate","partial"),INDEX(Fit_Matrix!$B:$B,MATCH(P2927,Fit_Matrix!$A:$A,0))),"CHECK KEY"))</f>
        <v/>
      </c>
    </row>
    <row r="2928" customFormat="false" ht="15" hidden="false" customHeight="true" outlineLevel="0" collapsed="false">
      <c r="P2928" s="1" t="str">
        <f aca="false">IF(OR(F2928="",H2928="",J2928=""),"",J2928&amp;"|"&amp;F2928&amp;"|"&amp;IF(H2928="W3","W3_"&amp;IF(I2928="","unknown",I2928),H2928))</f>
        <v/>
      </c>
      <c r="Q2928" s="1" t="str">
        <f aca="false">IF(P2928="","",IFERROR(IF(AND(H2928="W7",OR(F2928="causal",F2928="predictive")),IF(AND(K2928=1,L2928=1,M2928=1),"adequate","partial"),INDEX(Fit_Matrix!$B:$B,MATCH(P2928,Fit_Matrix!$A:$A,0))),"CHECK KEY"))</f>
        <v/>
      </c>
    </row>
    <row r="2929" customFormat="false" ht="15" hidden="false" customHeight="true" outlineLevel="0" collapsed="false">
      <c r="P2929" s="1" t="str">
        <f aca="false">IF(OR(F2929="",H2929="",J2929=""),"",J2929&amp;"|"&amp;F2929&amp;"|"&amp;IF(H2929="W3","W3_"&amp;IF(I2929="","unknown",I2929),H2929))</f>
        <v/>
      </c>
      <c r="Q2929" s="1" t="str">
        <f aca="false">IF(P2929="","",IFERROR(IF(AND(H2929="W7",OR(F2929="causal",F2929="predictive")),IF(AND(K2929=1,L2929=1,M2929=1),"adequate","partial"),INDEX(Fit_Matrix!$B:$B,MATCH(P2929,Fit_Matrix!$A:$A,0))),"CHECK KEY"))</f>
        <v/>
      </c>
    </row>
    <row r="2930" customFormat="false" ht="15" hidden="false" customHeight="true" outlineLevel="0" collapsed="false">
      <c r="P2930" s="1" t="str">
        <f aca="false">IF(OR(F2930="",H2930="",J2930=""),"",J2930&amp;"|"&amp;F2930&amp;"|"&amp;IF(H2930="W3","W3_"&amp;IF(I2930="","unknown",I2930),H2930))</f>
        <v/>
      </c>
      <c r="Q2930" s="1" t="str">
        <f aca="false">IF(P2930="","",IFERROR(IF(AND(H2930="W7",OR(F2930="causal",F2930="predictive")),IF(AND(K2930=1,L2930=1,M2930=1),"adequate","partial"),INDEX(Fit_Matrix!$B:$B,MATCH(P2930,Fit_Matrix!$A:$A,0))),"CHECK KEY"))</f>
        <v/>
      </c>
    </row>
    <row r="2931" customFormat="false" ht="15" hidden="false" customHeight="true" outlineLevel="0" collapsed="false">
      <c r="P2931" s="1" t="str">
        <f aca="false">IF(OR(F2931="",H2931="",J2931=""),"",J2931&amp;"|"&amp;F2931&amp;"|"&amp;IF(H2931="W3","W3_"&amp;IF(I2931="","unknown",I2931),H2931))</f>
        <v/>
      </c>
      <c r="Q2931" s="1" t="str">
        <f aca="false">IF(P2931="","",IFERROR(IF(AND(H2931="W7",OR(F2931="causal",F2931="predictive")),IF(AND(K2931=1,L2931=1,M2931=1),"adequate","partial"),INDEX(Fit_Matrix!$B:$B,MATCH(P2931,Fit_Matrix!$A:$A,0))),"CHECK KEY"))</f>
        <v/>
      </c>
    </row>
    <row r="2932" customFormat="false" ht="15" hidden="false" customHeight="true" outlineLevel="0" collapsed="false">
      <c r="P2932" s="1" t="str">
        <f aca="false">IF(OR(F2932="",H2932="",J2932=""),"",J2932&amp;"|"&amp;F2932&amp;"|"&amp;IF(H2932="W3","W3_"&amp;IF(I2932="","unknown",I2932),H2932))</f>
        <v/>
      </c>
      <c r="Q2932" s="1" t="str">
        <f aca="false">IF(P2932="","",IFERROR(IF(AND(H2932="W7",OR(F2932="causal",F2932="predictive")),IF(AND(K2932=1,L2932=1,M2932=1),"adequate","partial"),INDEX(Fit_Matrix!$B:$B,MATCH(P2932,Fit_Matrix!$A:$A,0))),"CHECK KEY"))</f>
        <v/>
      </c>
    </row>
    <row r="2933" customFormat="false" ht="15" hidden="false" customHeight="true" outlineLevel="0" collapsed="false">
      <c r="P2933" s="1" t="str">
        <f aca="false">IF(OR(F2933="",H2933="",J2933=""),"",J2933&amp;"|"&amp;F2933&amp;"|"&amp;IF(H2933="W3","W3_"&amp;IF(I2933="","unknown",I2933),H2933))</f>
        <v/>
      </c>
      <c r="Q2933" s="1" t="str">
        <f aca="false">IF(P2933="","",IFERROR(IF(AND(H2933="W7",OR(F2933="causal",F2933="predictive")),IF(AND(K2933=1,L2933=1,M2933=1),"adequate","partial"),INDEX(Fit_Matrix!$B:$B,MATCH(P2933,Fit_Matrix!$A:$A,0))),"CHECK KEY"))</f>
        <v/>
      </c>
    </row>
    <row r="2934" customFormat="false" ht="15" hidden="false" customHeight="true" outlineLevel="0" collapsed="false">
      <c r="P2934" s="1" t="str">
        <f aca="false">IF(OR(F2934="",H2934="",J2934=""),"",J2934&amp;"|"&amp;F2934&amp;"|"&amp;IF(H2934="W3","W3_"&amp;IF(I2934="","unknown",I2934),H2934))</f>
        <v/>
      </c>
      <c r="Q2934" s="1" t="str">
        <f aca="false">IF(P2934="","",IFERROR(IF(AND(H2934="W7",OR(F2934="causal",F2934="predictive")),IF(AND(K2934=1,L2934=1,M2934=1),"adequate","partial"),INDEX(Fit_Matrix!$B:$B,MATCH(P2934,Fit_Matrix!$A:$A,0))),"CHECK KEY"))</f>
        <v/>
      </c>
    </row>
    <row r="2935" customFormat="false" ht="15" hidden="false" customHeight="true" outlineLevel="0" collapsed="false">
      <c r="P2935" s="1" t="str">
        <f aca="false">IF(OR(F2935="",H2935="",J2935=""),"",J2935&amp;"|"&amp;F2935&amp;"|"&amp;IF(H2935="W3","W3_"&amp;IF(I2935="","unknown",I2935),H2935))</f>
        <v/>
      </c>
      <c r="Q2935" s="1" t="str">
        <f aca="false">IF(P2935="","",IFERROR(IF(AND(H2935="W7",OR(F2935="causal",F2935="predictive")),IF(AND(K2935=1,L2935=1,M2935=1),"adequate","partial"),INDEX(Fit_Matrix!$B:$B,MATCH(P2935,Fit_Matrix!$A:$A,0))),"CHECK KEY"))</f>
        <v/>
      </c>
    </row>
    <row r="2936" customFormat="false" ht="15" hidden="false" customHeight="true" outlineLevel="0" collapsed="false">
      <c r="P2936" s="1" t="str">
        <f aca="false">IF(OR(F2936="",H2936="",J2936=""),"",J2936&amp;"|"&amp;F2936&amp;"|"&amp;IF(H2936="W3","W3_"&amp;IF(I2936="","unknown",I2936),H2936))</f>
        <v/>
      </c>
      <c r="Q2936" s="1" t="str">
        <f aca="false">IF(P2936="","",IFERROR(IF(AND(H2936="W7",OR(F2936="causal",F2936="predictive")),IF(AND(K2936=1,L2936=1,M2936=1),"adequate","partial"),INDEX(Fit_Matrix!$B:$B,MATCH(P2936,Fit_Matrix!$A:$A,0))),"CHECK KEY"))</f>
        <v/>
      </c>
    </row>
    <row r="2937" customFormat="false" ht="15" hidden="false" customHeight="true" outlineLevel="0" collapsed="false">
      <c r="P2937" s="1" t="str">
        <f aca="false">IF(OR(F2937="",H2937="",J2937=""),"",J2937&amp;"|"&amp;F2937&amp;"|"&amp;IF(H2937="W3","W3_"&amp;IF(I2937="","unknown",I2937),H2937))</f>
        <v/>
      </c>
      <c r="Q2937" s="1" t="str">
        <f aca="false">IF(P2937="","",IFERROR(IF(AND(H2937="W7",OR(F2937="causal",F2937="predictive")),IF(AND(K2937=1,L2937=1,M2937=1),"adequate","partial"),INDEX(Fit_Matrix!$B:$B,MATCH(P2937,Fit_Matrix!$A:$A,0))),"CHECK KEY"))</f>
        <v/>
      </c>
    </row>
    <row r="2938" customFormat="false" ht="15" hidden="false" customHeight="true" outlineLevel="0" collapsed="false">
      <c r="P2938" s="1" t="str">
        <f aca="false">IF(OR(F2938="",H2938="",J2938=""),"",J2938&amp;"|"&amp;F2938&amp;"|"&amp;IF(H2938="W3","W3_"&amp;IF(I2938="","unknown",I2938),H2938))</f>
        <v/>
      </c>
      <c r="Q2938" s="1" t="str">
        <f aca="false">IF(P2938="","",IFERROR(IF(AND(H2938="W7",OR(F2938="causal",F2938="predictive")),IF(AND(K2938=1,L2938=1,M2938=1),"adequate","partial"),INDEX(Fit_Matrix!$B:$B,MATCH(P2938,Fit_Matrix!$A:$A,0))),"CHECK KEY"))</f>
        <v/>
      </c>
    </row>
    <row r="2939" customFormat="false" ht="15" hidden="false" customHeight="true" outlineLevel="0" collapsed="false">
      <c r="P2939" s="1" t="str">
        <f aca="false">IF(OR(F2939="",H2939="",J2939=""),"",J2939&amp;"|"&amp;F2939&amp;"|"&amp;IF(H2939="W3","W3_"&amp;IF(I2939="","unknown",I2939),H2939))</f>
        <v/>
      </c>
      <c r="Q2939" s="1" t="str">
        <f aca="false">IF(P2939="","",IFERROR(IF(AND(H2939="W7",OR(F2939="causal",F2939="predictive")),IF(AND(K2939=1,L2939=1,M2939=1),"adequate","partial"),INDEX(Fit_Matrix!$B:$B,MATCH(P2939,Fit_Matrix!$A:$A,0))),"CHECK KEY"))</f>
        <v/>
      </c>
    </row>
    <row r="2940" customFormat="false" ht="15" hidden="false" customHeight="true" outlineLevel="0" collapsed="false">
      <c r="P2940" s="1" t="str">
        <f aca="false">IF(OR(F2940="",H2940="",J2940=""),"",J2940&amp;"|"&amp;F2940&amp;"|"&amp;IF(H2940="W3","W3_"&amp;IF(I2940="","unknown",I2940),H2940))</f>
        <v/>
      </c>
      <c r="Q2940" s="1" t="str">
        <f aca="false">IF(P2940="","",IFERROR(IF(AND(H2940="W7",OR(F2940="causal",F2940="predictive")),IF(AND(K2940=1,L2940=1,M2940=1),"adequate","partial"),INDEX(Fit_Matrix!$B:$B,MATCH(P2940,Fit_Matrix!$A:$A,0))),"CHECK KEY"))</f>
        <v/>
      </c>
    </row>
    <row r="2941" customFormat="false" ht="15" hidden="false" customHeight="true" outlineLevel="0" collapsed="false">
      <c r="P2941" s="1" t="str">
        <f aca="false">IF(OR(F2941="",H2941="",J2941=""),"",J2941&amp;"|"&amp;F2941&amp;"|"&amp;IF(H2941="W3","W3_"&amp;IF(I2941="","unknown",I2941),H2941))</f>
        <v/>
      </c>
      <c r="Q2941" s="1" t="str">
        <f aca="false">IF(P2941="","",IFERROR(IF(AND(H2941="W7",OR(F2941="causal",F2941="predictive")),IF(AND(K2941=1,L2941=1,M2941=1),"adequate","partial"),INDEX(Fit_Matrix!$B:$B,MATCH(P2941,Fit_Matrix!$A:$A,0))),"CHECK KEY"))</f>
        <v/>
      </c>
    </row>
    <row r="2942" customFormat="false" ht="15" hidden="false" customHeight="true" outlineLevel="0" collapsed="false">
      <c r="P2942" s="1" t="str">
        <f aca="false">IF(OR(F2942="",H2942="",J2942=""),"",J2942&amp;"|"&amp;F2942&amp;"|"&amp;IF(H2942="W3","W3_"&amp;IF(I2942="","unknown",I2942),H2942))</f>
        <v/>
      </c>
      <c r="Q2942" s="1" t="str">
        <f aca="false">IF(P2942="","",IFERROR(IF(AND(H2942="W7",OR(F2942="causal",F2942="predictive")),IF(AND(K2942=1,L2942=1,M2942=1),"adequate","partial"),INDEX(Fit_Matrix!$B:$B,MATCH(P2942,Fit_Matrix!$A:$A,0))),"CHECK KEY"))</f>
        <v/>
      </c>
    </row>
    <row r="2943" customFormat="false" ht="15" hidden="false" customHeight="true" outlineLevel="0" collapsed="false">
      <c r="P2943" s="1" t="str">
        <f aca="false">IF(OR(F2943="",H2943="",J2943=""),"",J2943&amp;"|"&amp;F2943&amp;"|"&amp;IF(H2943="W3","W3_"&amp;IF(I2943="","unknown",I2943),H2943))</f>
        <v/>
      </c>
      <c r="Q2943" s="1" t="str">
        <f aca="false">IF(P2943="","",IFERROR(IF(AND(H2943="W7",OR(F2943="causal",F2943="predictive")),IF(AND(K2943=1,L2943=1,M2943=1),"adequate","partial"),INDEX(Fit_Matrix!$B:$B,MATCH(P2943,Fit_Matrix!$A:$A,0))),"CHECK KEY"))</f>
        <v/>
      </c>
    </row>
    <row r="2944" customFormat="false" ht="15" hidden="false" customHeight="true" outlineLevel="0" collapsed="false">
      <c r="P2944" s="1" t="str">
        <f aca="false">IF(OR(F2944="",H2944="",J2944=""),"",J2944&amp;"|"&amp;F2944&amp;"|"&amp;IF(H2944="W3","W3_"&amp;IF(I2944="","unknown",I2944),H2944))</f>
        <v/>
      </c>
      <c r="Q2944" s="1" t="str">
        <f aca="false">IF(P2944="","",IFERROR(IF(AND(H2944="W7",OR(F2944="causal",F2944="predictive")),IF(AND(K2944=1,L2944=1,M2944=1),"adequate","partial"),INDEX(Fit_Matrix!$B:$B,MATCH(P2944,Fit_Matrix!$A:$A,0))),"CHECK KEY"))</f>
        <v/>
      </c>
    </row>
    <row r="2945" customFormat="false" ht="15" hidden="false" customHeight="true" outlineLevel="0" collapsed="false">
      <c r="P2945" s="1" t="str">
        <f aca="false">IF(OR(F2945="",H2945="",J2945=""),"",J2945&amp;"|"&amp;F2945&amp;"|"&amp;IF(H2945="W3","W3_"&amp;IF(I2945="","unknown",I2945),H2945))</f>
        <v/>
      </c>
      <c r="Q2945" s="1" t="str">
        <f aca="false">IF(P2945="","",IFERROR(IF(AND(H2945="W7",OR(F2945="causal",F2945="predictive")),IF(AND(K2945=1,L2945=1,M2945=1),"adequate","partial"),INDEX(Fit_Matrix!$B:$B,MATCH(P2945,Fit_Matrix!$A:$A,0))),"CHECK KEY"))</f>
        <v/>
      </c>
    </row>
    <row r="2946" customFormat="false" ht="15" hidden="false" customHeight="true" outlineLevel="0" collapsed="false">
      <c r="P2946" s="1" t="str">
        <f aca="false">IF(OR(F2946="",H2946="",J2946=""),"",J2946&amp;"|"&amp;F2946&amp;"|"&amp;IF(H2946="W3","W3_"&amp;IF(I2946="","unknown",I2946),H2946))</f>
        <v/>
      </c>
      <c r="Q2946" s="1" t="str">
        <f aca="false">IF(P2946="","",IFERROR(IF(AND(H2946="W7",OR(F2946="causal",F2946="predictive")),IF(AND(K2946=1,L2946=1,M2946=1),"adequate","partial"),INDEX(Fit_Matrix!$B:$B,MATCH(P2946,Fit_Matrix!$A:$A,0))),"CHECK KEY"))</f>
        <v/>
      </c>
    </row>
    <row r="2947" customFormat="false" ht="15" hidden="false" customHeight="true" outlineLevel="0" collapsed="false">
      <c r="P2947" s="1" t="str">
        <f aca="false">IF(OR(F2947="",H2947="",J2947=""),"",J2947&amp;"|"&amp;F2947&amp;"|"&amp;IF(H2947="W3","W3_"&amp;IF(I2947="","unknown",I2947),H2947))</f>
        <v/>
      </c>
      <c r="Q2947" s="1" t="str">
        <f aca="false">IF(P2947="","",IFERROR(IF(AND(H2947="W7",OR(F2947="causal",F2947="predictive")),IF(AND(K2947=1,L2947=1,M2947=1),"adequate","partial"),INDEX(Fit_Matrix!$B:$B,MATCH(P2947,Fit_Matrix!$A:$A,0))),"CHECK KEY"))</f>
        <v/>
      </c>
    </row>
    <row r="2948" customFormat="false" ht="15" hidden="false" customHeight="true" outlineLevel="0" collapsed="false">
      <c r="P2948" s="1" t="str">
        <f aca="false">IF(OR(F2948="",H2948="",J2948=""),"",J2948&amp;"|"&amp;F2948&amp;"|"&amp;IF(H2948="W3","W3_"&amp;IF(I2948="","unknown",I2948),H2948))</f>
        <v/>
      </c>
      <c r="Q2948" s="1" t="str">
        <f aca="false">IF(P2948="","",IFERROR(IF(AND(H2948="W7",OR(F2948="causal",F2948="predictive")),IF(AND(K2948=1,L2948=1,M2948=1),"adequate","partial"),INDEX(Fit_Matrix!$B:$B,MATCH(P2948,Fit_Matrix!$A:$A,0))),"CHECK KEY"))</f>
        <v/>
      </c>
    </row>
    <row r="2949" customFormat="false" ht="15" hidden="false" customHeight="true" outlineLevel="0" collapsed="false">
      <c r="P2949" s="1" t="str">
        <f aca="false">IF(OR(F2949="",H2949="",J2949=""),"",J2949&amp;"|"&amp;F2949&amp;"|"&amp;IF(H2949="W3","W3_"&amp;IF(I2949="","unknown",I2949),H2949))</f>
        <v/>
      </c>
      <c r="Q2949" s="1" t="str">
        <f aca="false">IF(P2949="","",IFERROR(IF(AND(H2949="W7",OR(F2949="causal",F2949="predictive")),IF(AND(K2949=1,L2949=1,M2949=1),"adequate","partial"),INDEX(Fit_Matrix!$B:$B,MATCH(P2949,Fit_Matrix!$A:$A,0))),"CHECK KEY"))</f>
        <v/>
      </c>
    </row>
    <row r="2950" customFormat="false" ht="15" hidden="false" customHeight="true" outlineLevel="0" collapsed="false">
      <c r="P2950" s="1" t="str">
        <f aca="false">IF(OR(F2950="",H2950="",J2950=""),"",J2950&amp;"|"&amp;F2950&amp;"|"&amp;IF(H2950="W3","W3_"&amp;IF(I2950="","unknown",I2950),H2950))</f>
        <v/>
      </c>
      <c r="Q2950" s="1" t="str">
        <f aca="false">IF(P2950="","",IFERROR(IF(AND(H2950="W7",OR(F2950="causal",F2950="predictive")),IF(AND(K2950=1,L2950=1,M2950=1),"adequate","partial"),INDEX(Fit_Matrix!$B:$B,MATCH(P2950,Fit_Matrix!$A:$A,0))),"CHECK KEY"))</f>
        <v/>
      </c>
    </row>
    <row r="2951" customFormat="false" ht="15" hidden="false" customHeight="true" outlineLevel="0" collapsed="false">
      <c r="P2951" s="1" t="str">
        <f aca="false">IF(OR(F2951="",H2951="",J2951=""),"",J2951&amp;"|"&amp;F2951&amp;"|"&amp;IF(H2951="W3","W3_"&amp;IF(I2951="","unknown",I2951),H2951))</f>
        <v/>
      </c>
      <c r="Q2951" s="1" t="str">
        <f aca="false">IF(P2951="","",IFERROR(IF(AND(H2951="W7",OR(F2951="causal",F2951="predictive")),IF(AND(K2951=1,L2951=1,M2951=1),"adequate","partial"),INDEX(Fit_Matrix!$B:$B,MATCH(P2951,Fit_Matrix!$A:$A,0))),"CHECK KEY"))</f>
        <v/>
      </c>
    </row>
    <row r="2952" customFormat="false" ht="15" hidden="false" customHeight="true" outlineLevel="0" collapsed="false">
      <c r="P2952" s="1" t="str">
        <f aca="false">IF(OR(F2952="",H2952="",J2952=""),"",J2952&amp;"|"&amp;F2952&amp;"|"&amp;IF(H2952="W3","W3_"&amp;IF(I2952="","unknown",I2952),H2952))</f>
        <v/>
      </c>
      <c r="Q2952" s="1" t="str">
        <f aca="false">IF(P2952="","",IFERROR(IF(AND(H2952="W7",OR(F2952="causal",F2952="predictive")),IF(AND(K2952=1,L2952=1,M2952=1),"adequate","partial"),INDEX(Fit_Matrix!$B:$B,MATCH(P2952,Fit_Matrix!$A:$A,0))),"CHECK KEY"))</f>
        <v/>
      </c>
    </row>
    <row r="2953" customFormat="false" ht="15" hidden="false" customHeight="true" outlineLevel="0" collapsed="false">
      <c r="P2953" s="1" t="str">
        <f aca="false">IF(OR(F2953="",H2953="",J2953=""),"",J2953&amp;"|"&amp;F2953&amp;"|"&amp;IF(H2953="W3","W3_"&amp;IF(I2953="","unknown",I2953),H2953))</f>
        <v/>
      </c>
      <c r="Q2953" s="1" t="str">
        <f aca="false">IF(P2953="","",IFERROR(IF(AND(H2953="W7",OR(F2953="causal",F2953="predictive")),IF(AND(K2953=1,L2953=1,M2953=1),"adequate","partial"),INDEX(Fit_Matrix!$B:$B,MATCH(P2953,Fit_Matrix!$A:$A,0))),"CHECK KEY"))</f>
        <v/>
      </c>
    </row>
    <row r="2954" customFormat="false" ht="15" hidden="false" customHeight="true" outlineLevel="0" collapsed="false">
      <c r="P2954" s="1" t="str">
        <f aca="false">IF(OR(F2954="",H2954="",J2954=""),"",J2954&amp;"|"&amp;F2954&amp;"|"&amp;IF(H2954="W3","W3_"&amp;IF(I2954="","unknown",I2954),H2954))</f>
        <v/>
      </c>
      <c r="Q2954" s="1" t="str">
        <f aca="false">IF(P2954="","",IFERROR(IF(AND(H2954="W7",OR(F2954="causal",F2954="predictive")),IF(AND(K2954=1,L2954=1,M2954=1),"adequate","partial"),INDEX(Fit_Matrix!$B:$B,MATCH(P2954,Fit_Matrix!$A:$A,0))),"CHECK KEY"))</f>
        <v/>
      </c>
    </row>
    <row r="2955" customFormat="false" ht="15" hidden="false" customHeight="true" outlineLevel="0" collapsed="false">
      <c r="P2955" s="1" t="str">
        <f aca="false">IF(OR(F2955="",H2955="",J2955=""),"",J2955&amp;"|"&amp;F2955&amp;"|"&amp;IF(H2955="W3","W3_"&amp;IF(I2955="","unknown",I2955),H2955))</f>
        <v/>
      </c>
      <c r="Q2955" s="1" t="str">
        <f aca="false">IF(P2955="","",IFERROR(IF(AND(H2955="W7",OR(F2955="causal",F2955="predictive")),IF(AND(K2955=1,L2955=1,M2955=1),"adequate","partial"),INDEX(Fit_Matrix!$B:$B,MATCH(P2955,Fit_Matrix!$A:$A,0))),"CHECK KEY"))</f>
        <v/>
      </c>
    </row>
    <row r="2956" customFormat="false" ht="15" hidden="false" customHeight="true" outlineLevel="0" collapsed="false">
      <c r="P2956" s="1" t="str">
        <f aca="false">IF(OR(F2956="",H2956="",J2956=""),"",J2956&amp;"|"&amp;F2956&amp;"|"&amp;IF(H2956="W3","W3_"&amp;IF(I2956="","unknown",I2956),H2956))</f>
        <v/>
      </c>
      <c r="Q2956" s="1" t="str">
        <f aca="false">IF(P2956="","",IFERROR(IF(AND(H2956="W7",OR(F2956="causal",F2956="predictive")),IF(AND(K2956=1,L2956=1,M2956=1),"adequate","partial"),INDEX(Fit_Matrix!$B:$B,MATCH(P2956,Fit_Matrix!$A:$A,0))),"CHECK KEY"))</f>
        <v/>
      </c>
    </row>
    <row r="2957" customFormat="false" ht="15" hidden="false" customHeight="true" outlineLevel="0" collapsed="false">
      <c r="P2957" s="1" t="str">
        <f aca="false">IF(OR(F2957="",H2957="",J2957=""),"",J2957&amp;"|"&amp;F2957&amp;"|"&amp;IF(H2957="W3","W3_"&amp;IF(I2957="","unknown",I2957),H2957))</f>
        <v/>
      </c>
      <c r="Q2957" s="1" t="str">
        <f aca="false">IF(P2957="","",IFERROR(IF(AND(H2957="W7",OR(F2957="causal",F2957="predictive")),IF(AND(K2957=1,L2957=1,M2957=1),"adequate","partial"),INDEX(Fit_Matrix!$B:$B,MATCH(P2957,Fit_Matrix!$A:$A,0))),"CHECK KEY"))</f>
        <v/>
      </c>
    </row>
    <row r="2958" customFormat="false" ht="15" hidden="false" customHeight="true" outlineLevel="0" collapsed="false">
      <c r="P2958" s="1" t="str">
        <f aca="false">IF(OR(F2958="",H2958="",J2958=""),"",J2958&amp;"|"&amp;F2958&amp;"|"&amp;IF(H2958="W3","W3_"&amp;IF(I2958="","unknown",I2958),H2958))</f>
        <v/>
      </c>
      <c r="Q2958" s="1" t="str">
        <f aca="false">IF(P2958="","",IFERROR(IF(AND(H2958="W7",OR(F2958="causal",F2958="predictive")),IF(AND(K2958=1,L2958=1,M2958=1),"adequate","partial"),INDEX(Fit_Matrix!$B:$B,MATCH(P2958,Fit_Matrix!$A:$A,0))),"CHECK KEY"))</f>
        <v/>
      </c>
    </row>
    <row r="2959" customFormat="false" ht="15" hidden="false" customHeight="true" outlineLevel="0" collapsed="false">
      <c r="P2959" s="1" t="str">
        <f aca="false">IF(OR(F2959="",H2959="",J2959=""),"",J2959&amp;"|"&amp;F2959&amp;"|"&amp;IF(H2959="W3","W3_"&amp;IF(I2959="","unknown",I2959),H2959))</f>
        <v/>
      </c>
      <c r="Q2959" s="1" t="str">
        <f aca="false">IF(P2959="","",IFERROR(IF(AND(H2959="W7",OR(F2959="causal",F2959="predictive")),IF(AND(K2959=1,L2959=1,M2959=1),"adequate","partial"),INDEX(Fit_Matrix!$B:$B,MATCH(P2959,Fit_Matrix!$A:$A,0))),"CHECK KEY"))</f>
        <v/>
      </c>
    </row>
    <row r="2960" customFormat="false" ht="15" hidden="false" customHeight="true" outlineLevel="0" collapsed="false">
      <c r="P2960" s="1" t="str">
        <f aca="false">IF(OR(F2960="",H2960="",J2960=""),"",J2960&amp;"|"&amp;F2960&amp;"|"&amp;IF(H2960="W3","W3_"&amp;IF(I2960="","unknown",I2960),H2960))</f>
        <v/>
      </c>
      <c r="Q2960" s="1" t="str">
        <f aca="false">IF(P2960="","",IFERROR(IF(AND(H2960="W7",OR(F2960="causal",F2960="predictive")),IF(AND(K2960=1,L2960=1,M2960=1),"adequate","partial"),INDEX(Fit_Matrix!$B:$B,MATCH(P2960,Fit_Matrix!$A:$A,0))),"CHECK KEY"))</f>
        <v/>
      </c>
    </row>
    <row r="2961" customFormat="false" ht="15" hidden="false" customHeight="true" outlineLevel="0" collapsed="false">
      <c r="P2961" s="1" t="str">
        <f aca="false">IF(OR(F2961="",H2961="",J2961=""),"",J2961&amp;"|"&amp;F2961&amp;"|"&amp;IF(H2961="W3","W3_"&amp;IF(I2961="","unknown",I2961),H2961))</f>
        <v/>
      </c>
      <c r="Q2961" s="1" t="str">
        <f aca="false">IF(P2961="","",IFERROR(IF(AND(H2961="W7",OR(F2961="causal",F2961="predictive")),IF(AND(K2961=1,L2961=1,M2961=1),"adequate","partial"),INDEX(Fit_Matrix!$B:$B,MATCH(P2961,Fit_Matrix!$A:$A,0))),"CHECK KEY"))</f>
        <v/>
      </c>
    </row>
    <row r="2962" customFormat="false" ht="15" hidden="false" customHeight="true" outlineLevel="0" collapsed="false">
      <c r="P2962" s="1" t="str">
        <f aca="false">IF(OR(F2962="",H2962="",J2962=""),"",J2962&amp;"|"&amp;F2962&amp;"|"&amp;IF(H2962="W3","W3_"&amp;IF(I2962="","unknown",I2962),H2962))</f>
        <v/>
      </c>
      <c r="Q2962" s="1" t="str">
        <f aca="false">IF(P2962="","",IFERROR(IF(AND(H2962="W7",OR(F2962="causal",F2962="predictive")),IF(AND(K2962=1,L2962=1,M2962=1),"adequate","partial"),INDEX(Fit_Matrix!$B:$B,MATCH(P2962,Fit_Matrix!$A:$A,0))),"CHECK KEY"))</f>
        <v/>
      </c>
    </row>
    <row r="2963" customFormat="false" ht="15" hidden="false" customHeight="true" outlineLevel="0" collapsed="false">
      <c r="P2963" s="1" t="str">
        <f aca="false">IF(OR(F2963="",H2963="",J2963=""),"",J2963&amp;"|"&amp;F2963&amp;"|"&amp;IF(H2963="W3","W3_"&amp;IF(I2963="","unknown",I2963),H2963))</f>
        <v/>
      </c>
      <c r="Q2963" s="1" t="str">
        <f aca="false">IF(P2963="","",IFERROR(IF(AND(H2963="W7",OR(F2963="causal",F2963="predictive")),IF(AND(K2963=1,L2963=1,M2963=1),"adequate","partial"),INDEX(Fit_Matrix!$B:$B,MATCH(P2963,Fit_Matrix!$A:$A,0))),"CHECK KEY"))</f>
        <v/>
      </c>
    </row>
    <row r="2964" customFormat="false" ht="15" hidden="false" customHeight="true" outlineLevel="0" collapsed="false">
      <c r="P2964" s="1" t="str">
        <f aca="false">IF(OR(F2964="",H2964="",J2964=""),"",J2964&amp;"|"&amp;F2964&amp;"|"&amp;IF(H2964="W3","W3_"&amp;IF(I2964="","unknown",I2964),H2964))</f>
        <v/>
      </c>
      <c r="Q2964" s="1" t="str">
        <f aca="false">IF(P2964="","",IFERROR(IF(AND(H2964="W7",OR(F2964="causal",F2964="predictive")),IF(AND(K2964=1,L2964=1,M2964=1),"adequate","partial"),INDEX(Fit_Matrix!$B:$B,MATCH(P2964,Fit_Matrix!$A:$A,0))),"CHECK KEY"))</f>
        <v/>
      </c>
    </row>
    <row r="2965" customFormat="false" ht="15" hidden="false" customHeight="true" outlineLevel="0" collapsed="false">
      <c r="P2965" s="1" t="str">
        <f aca="false">IF(OR(F2965="",H2965="",J2965=""),"",J2965&amp;"|"&amp;F2965&amp;"|"&amp;IF(H2965="W3","W3_"&amp;IF(I2965="","unknown",I2965),H2965))</f>
        <v/>
      </c>
      <c r="Q2965" s="1" t="str">
        <f aca="false">IF(P2965="","",IFERROR(IF(AND(H2965="W7",OR(F2965="causal",F2965="predictive")),IF(AND(K2965=1,L2965=1,M2965=1),"adequate","partial"),INDEX(Fit_Matrix!$B:$B,MATCH(P2965,Fit_Matrix!$A:$A,0))),"CHECK KEY"))</f>
        <v/>
      </c>
    </row>
    <row r="2966" customFormat="false" ht="15" hidden="false" customHeight="true" outlineLevel="0" collapsed="false">
      <c r="P2966" s="1" t="str">
        <f aca="false">IF(OR(F2966="",H2966="",J2966=""),"",J2966&amp;"|"&amp;F2966&amp;"|"&amp;IF(H2966="W3","W3_"&amp;IF(I2966="","unknown",I2966),H2966))</f>
        <v/>
      </c>
      <c r="Q2966" s="1" t="str">
        <f aca="false">IF(P2966="","",IFERROR(IF(AND(H2966="W7",OR(F2966="causal",F2966="predictive")),IF(AND(K2966=1,L2966=1,M2966=1),"adequate","partial"),INDEX(Fit_Matrix!$B:$B,MATCH(P2966,Fit_Matrix!$A:$A,0))),"CHECK KEY"))</f>
        <v/>
      </c>
    </row>
    <row r="2967" customFormat="false" ht="15" hidden="false" customHeight="true" outlineLevel="0" collapsed="false">
      <c r="P2967" s="1" t="str">
        <f aca="false">IF(OR(F2967="",H2967="",J2967=""),"",J2967&amp;"|"&amp;F2967&amp;"|"&amp;IF(H2967="W3","W3_"&amp;IF(I2967="","unknown",I2967),H2967))</f>
        <v/>
      </c>
      <c r="Q2967" s="1" t="str">
        <f aca="false">IF(P2967="","",IFERROR(IF(AND(H2967="W7",OR(F2967="causal",F2967="predictive")),IF(AND(K2967=1,L2967=1,M2967=1),"adequate","partial"),INDEX(Fit_Matrix!$B:$B,MATCH(P2967,Fit_Matrix!$A:$A,0))),"CHECK KEY"))</f>
        <v/>
      </c>
    </row>
    <row r="2968" customFormat="false" ht="15" hidden="false" customHeight="true" outlineLevel="0" collapsed="false">
      <c r="P2968" s="1" t="str">
        <f aca="false">IF(OR(F2968="",H2968="",J2968=""),"",J2968&amp;"|"&amp;F2968&amp;"|"&amp;IF(H2968="W3","W3_"&amp;IF(I2968="","unknown",I2968),H2968))</f>
        <v/>
      </c>
      <c r="Q2968" s="1" t="str">
        <f aca="false">IF(P2968="","",IFERROR(IF(AND(H2968="W7",OR(F2968="causal",F2968="predictive")),IF(AND(K2968=1,L2968=1,M2968=1),"adequate","partial"),INDEX(Fit_Matrix!$B:$B,MATCH(P2968,Fit_Matrix!$A:$A,0))),"CHECK KEY"))</f>
        <v/>
      </c>
    </row>
    <row r="2969" customFormat="false" ht="15" hidden="false" customHeight="true" outlineLevel="0" collapsed="false">
      <c r="P2969" s="1" t="str">
        <f aca="false">IF(OR(F2969="",H2969="",J2969=""),"",J2969&amp;"|"&amp;F2969&amp;"|"&amp;IF(H2969="W3","W3_"&amp;IF(I2969="","unknown",I2969),H2969))</f>
        <v/>
      </c>
      <c r="Q2969" s="1" t="str">
        <f aca="false">IF(P2969="","",IFERROR(IF(AND(H2969="W7",OR(F2969="causal",F2969="predictive")),IF(AND(K2969=1,L2969=1,M2969=1),"adequate","partial"),INDEX(Fit_Matrix!$B:$B,MATCH(P2969,Fit_Matrix!$A:$A,0))),"CHECK KEY"))</f>
        <v/>
      </c>
    </row>
    <row r="2970" customFormat="false" ht="15" hidden="false" customHeight="true" outlineLevel="0" collapsed="false">
      <c r="P2970" s="1" t="str">
        <f aca="false">IF(OR(F2970="",H2970="",J2970=""),"",J2970&amp;"|"&amp;F2970&amp;"|"&amp;IF(H2970="W3","W3_"&amp;IF(I2970="","unknown",I2970),H2970))</f>
        <v/>
      </c>
      <c r="Q2970" s="1" t="str">
        <f aca="false">IF(P2970="","",IFERROR(IF(AND(H2970="W7",OR(F2970="causal",F2970="predictive")),IF(AND(K2970=1,L2970=1,M2970=1),"adequate","partial"),INDEX(Fit_Matrix!$B:$B,MATCH(P2970,Fit_Matrix!$A:$A,0))),"CHECK KEY"))</f>
        <v/>
      </c>
    </row>
    <row r="2971" customFormat="false" ht="15" hidden="false" customHeight="true" outlineLevel="0" collapsed="false">
      <c r="P2971" s="1" t="str">
        <f aca="false">IF(OR(F2971="",H2971="",J2971=""),"",J2971&amp;"|"&amp;F2971&amp;"|"&amp;IF(H2971="W3","W3_"&amp;IF(I2971="","unknown",I2971),H2971))</f>
        <v/>
      </c>
      <c r="Q2971" s="1" t="str">
        <f aca="false">IF(P2971="","",IFERROR(IF(AND(H2971="W7",OR(F2971="causal",F2971="predictive")),IF(AND(K2971=1,L2971=1,M2971=1),"adequate","partial"),INDEX(Fit_Matrix!$B:$B,MATCH(P2971,Fit_Matrix!$A:$A,0))),"CHECK KEY"))</f>
        <v/>
      </c>
    </row>
    <row r="2972" customFormat="false" ht="15" hidden="false" customHeight="true" outlineLevel="0" collapsed="false">
      <c r="P2972" s="1" t="str">
        <f aca="false">IF(OR(F2972="",H2972="",J2972=""),"",J2972&amp;"|"&amp;F2972&amp;"|"&amp;IF(H2972="W3","W3_"&amp;IF(I2972="","unknown",I2972),H2972))</f>
        <v/>
      </c>
      <c r="Q2972" s="1" t="str">
        <f aca="false">IF(P2972="","",IFERROR(IF(AND(H2972="W7",OR(F2972="causal",F2972="predictive")),IF(AND(K2972=1,L2972=1,M2972=1),"adequate","partial"),INDEX(Fit_Matrix!$B:$B,MATCH(P2972,Fit_Matrix!$A:$A,0))),"CHECK KEY"))</f>
        <v/>
      </c>
    </row>
    <row r="2973" customFormat="false" ht="15" hidden="false" customHeight="true" outlineLevel="0" collapsed="false">
      <c r="P2973" s="1" t="str">
        <f aca="false">IF(OR(F2973="",H2973="",J2973=""),"",J2973&amp;"|"&amp;F2973&amp;"|"&amp;IF(H2973="W3","W3_"&amp;IF(I2973="","unknown",I2973),H2973))</f>
        <v/>
      </c>
      <c r="Q2973" s="1" t="str">
        <f aca="false">IF(P2973="","",IFERROR(IF(AND(H2973="W7",OR(F2973="causal",F2973="predictive")),IF(AND(K2973=1,L2973=1,M2973=1),"adequate","partial"),INDEX(Fit_Matrix!$B:$B,MATCH(P2973,Fit_Matrix!$A:$A,0))),"CHECK KEY"))</f>
        <v/>
      </c>
    </row>
    <row r="2974" customFormat="false" ht="15" hidden="false" customHeight="true" outlineLevel="0" collapsed="false">
      <c r="P2974" s="1" t="str">
        <f aca="false">IF(OR(F2974="",H2974="",J2974=""),"",J2974&amp;"|"&amp;F2974&amp;"|"&amp;IF(H2974="W3","W3_"&amp;IF(I2974="","unknown",I2974),H2974))</f>
        <v/>
      </c>
      <c r="Q2974" s="1" t="str">
        <f aca="false">IF(P2974="","",IFERROR(IF(AND(H2974="W7",OR(F2974="causal",F2974="predictive")),IF(AND(K2974=1,L2974=1,M2974=1),"adequate","partial"),INDEX(Fit_Matrix!$B:$B,MATCH(P2974,Fit_Matrix!$A:$A,0))),"CHECK KEY"))</f>
        <v/>
      </c>
    </row>
    <row r="2975" customFormat="false" ht="15" hidden="false" customHeight="true" outlineLevel="0" collapsed="false">
      <c r="P2975" s="1" t="str">
        <f aca="false">IF(OR(F2975="",H2975="",J2975=""),"",J2975&amp;"|"&amp;F2975&amp;"|"&amp;IF(H2975="W3","W3_"&amp;IF(I2975="","unknown",I2975),H2975))</f>
        <v/>
      </c>
      <c r="Q2975" s="1" t="str">
        <f aca="false">IF(P2975="","",IFERROR(IF(AND(H2975="W7",OR(F2975="causal",F2975="predictive")),IF(AND(K2975=1,L2975=1,M2975=1),"adequate","partial"),INDEX(Fit_Matrix!$B:$B,MATCH(P2975,Fit_Matrix!$A:$A,0))),"CHECK KEY"))</f>
        <v/>
      </c>
    </row>
    <row r="2976" customFormat="false" ht="15" hidden="false" customHeight="true" outlineLevel="0" collapsed="false">
      <c r="P2976" s="1" t="str">
        <f aca="false">IF(OR(F2976="",H2976="",J2976=""),"",J2976&amp;"|"&amp;F2976&amp;"|"&amp;IF(H2976="W3","W3_"&amp;IF(I2976="","unknown",I2976),H2976))</f>
        <v/>
      </c>
      <c r="Q2976" s="1" t="str">
        <f aca="false">IF(P2976="","",IFERROR(IF(AND(H2976="W7",OR(F2976="causal",F2976="predictive")),IF(AND(K2976=1,L2976=1,M2976=1),"adequate","partial"),INDEX(Fit_Matrix!$B:$B,MATCH(P2976,Fit_Matrix!$A:$A,0))),"CHECK KEY"))</f>
        <v/>
      </c>
    </row>
    <row r="2977" customFormat="false" ht="15" hidden="false" customHeight="true" outlineLevel="0" collapsed="false">
      <c r="P2977" s="1" t="str">
        <f aca="false">IF(OR(F2977="",H2977="",J2977=""),"",J2977&amp;"|"&amp;F2977&amp;"|"&amp;IF(H2977="W3","W3_"&amp;IF(I2977="","unknown",I2977),H2977))</f>
        <v/>
      </c>
      <c r="Q2977" s="1" t="str">
        <f aca="false">IF(P2977="","",IFERROR(IF(AND(H2977="W7",OR(F2977="causal",F2977="predictive")),IF(AND(K2977=1,L2977=1,M2977=1),"adequate","partial"),INDEX(Fit_Matrix!$B:$B,MATCH(P2977,Fit_Matrix!$A:$A,0))),"CHECK KEY"))</f>
        <v/>
      </c>
    </row>
    <row r="2978" customFormat="false" ht="15" hidden="false" customHeight="true" outlineLevel="0" collapsed="false">
      <c r="P2978" s="1" t="str">
        <f aca="false">IF(OR(F2978="",H2978="",J2978=""),"",J2978&amp;"|"&amp;F2978&amp;"|"&amp;IF(H2978="W3","W3_"&amp;IF(I2978="","unknown",I2978),H2978))</f>
        <v/>
      </c>
      <c r="Q2978" s="1" t="str">
        <f aca="false">IF(P2978="","",IFERROR(IF(AND(H2978="W7",OR(F2978="causal",F2978="predictive")),IF(AND(K2978=1,L2978=1,M2978=1),"adequate","partial"),INDEX(Fit_Matrix!$B:$B,MATCH(P2978,Fit_Matrix!$A:$A,0))),"CHECK KEY"))</f>
        <v/>
      </c>
    </row>
    <row r="2979" customFormat="false" ht="15" hidden="false" customHeight="true" outlineLevel="0" collapsed="false">
      <c r="P2979" s="1" t="str">
        <f aca="false">IF(OR(F2979="",H2979="",J2979=""),"",J2979&amp;"|"&amp;F2979&amp;"|"&amp;IF(H2979="W3","W3_"&amp;IF(I2979="","unknown",I2979),H2979))</f>
        <v/>
      </c>
      <c r="Q2979" s="1" t="str">
        <f aca="false">IF(P2979="","",IFERROR(IF(AND(H2979="W7",OR(F2979="causal",F2979="predictive")),IF(AND(K2979=1,L2979=1,M2979=1),"adequate","partial"),INDEX(Fit_Matrix!$B:$B,MATCH(P2979,Fit_Matrix!$A:$A,0))),"CHECK KEY"))</f>
        <v/>
      </c>
    </row>
    <row r="2980" customFormat="false" ht="15" hidden="false" customHeight="true" outlineLevel="0" collapsed="false">
      <c r="P2980" s="1" t="str">
        <f aca="false">IF(OR(F2980="",H2980="",J2980=""),"",J2980&amp;"|"&amp;F2980&amp;"|"&amp;IF(H2980="W3","W3_"&amp;IF(I2980="","unknown",I2980),H2980))</f>
        <v/>
      </c>
      <c r="Q2980" s="1" t="str">
        <f aca="false">IF(P2980="","",IFERROR(IF(AND(H2980="W7",OR(F2980="causal",F2980="predictive")),IF(AND(K2980=1,L2980=1,M2980=1),"adequate","partial"),INDEX(Fit_Matrix!$B:$B,MATCH(P2980,Fit_Matrix!$A:$A,0))),"CHECK KEY"))</f>
        <v/>
      </c>
    </row>
    <row r="2981" customFormat="false" ht="15" hidden="false" customHeight="true" outlineLevel="0" collapsed="false">
      <c r="P2981" s="1" t="str">
        <f aca="false">IF(OR(F2981="",H2981="",J2981=""),"",J2981&amp;"|"&amp;F2981&amp;"|"&amp;IF(H2981="W3","W3_"&amp;IF(I2981="","unknown",I2981),H2981))</f>
        <v/>
      </c>
      <c r="Q2981" s="1" t="str">
        <f aca="false">IF(P2981="","",IFERROR(IF(AND(H2981="W7",OR(F2981="causal",F2981="predictive")),IF(AND(K2981=1,L2981=1,M2981=1),"adequate","partial"),INDEX(Fit_Matrix!$B:$B,MATCH(P2981,Fit_Matrix!$A:$A,0))),"CHECK KEY"))</f>
        <v/>
      </c>
    </row>
    <row r="2982" customFormat="false" ht="15" hidden="false" customHeight="true" outlineLevel="0" collapsed="false">
      <c r="P2982" s="1" t="str">
        <f aca="false">IF(OR(F2982="",H2982="",J2982=""),"",J2982&amp;"|"&amp;F2982&amp;"|"&amp;IF(H2982="W3","W3_"&amp;IF(I2982="","unknown",I2982),H2982))</f>
        <v/>
      </c>
      <c r="Q2982" s="1" t="str">
        <f aca="false">IF(P2982="","",IFERROR(IF(AND(H2982="W7",OR(F2982="causal",F2982="predictive")),IF(AND(K2982=1,L2982=1,M2982=1),"adequate","partial"),INDEX(Fit_Matrix!$B:$B,MATCH(P2982,Fit_Matrix!$A:$A,0))),"CHECK KEY"))</f>
        <v/>
      </c>
    </row>
    <row r="2983" customFormat="false" ht="15" hidden="false" customHeight="true" outlineLevel="0" collapsed="false">
      <c r="P2983" s="1" t="str">
        <f aca="false">IF(OR(F2983="",H2983="",J2983=""),"",J2983&amp;"|"&amp;F2983&amp;"|"&amp;IF(H2983="W3","W3_"&amp;IF(I2983="","unknown",I2983),H2983))</f>
        <v/>
      </c>
      <c r="Q2983" s="1" t="str">
        <f aca="false">IF(P2983="","",IFERROR(IF(AND(H2983="W7",OR(F2983="causal",F2983="predictive")),IF(AND(K2983=1,L2983=1,M2983=1),"adequate","partial"),INDEX(Fit_Matrix!$B:$B,MATCH(P2983,Fit_Matrix!$A:$A,0))),"CHECK KEY"))</f>
        <v/>
      </c>
    </row>
    <row r="2984" customFormat="false" ht="15" hidden="false" customHeight="true" outlineLevel="0" collapsed="false">
      <c r="P2984" s="1" t="str">
        <f aca="false">IF(OR(F2984="",H2984="",J2984=""),"",J2984&amp;"|"&amp;F2984&amp;"|"&amp;IF(H2984="W3","W3_"&amp;IF(I2984="","unknown",I2984),H2984))</f>
        <v/>
      </c>
      <c r="Q2984" s="1" t="str">
        <f aca="false">IF(P2984="","",IFERROR(IF(AND(H2984="W7",OR(F2984="causal",F2984="predictive")),IF(AND(K2984=1,L2984=1,M2984=1),"adequate","partial"),INDEX(Fit_Matrix!$B:$B,MATCH(P2984,Fit_Matrix!$A:$A,0))),"CHECK KEY"))</f>
        <v/>
      </c>
    </row>
    <row r="2985" customFormat="false" ht="15" hidden="false" customHeight="true" outlineLevel="0" collapsed="false">
      <c r="P2985" s="1" t="str">
        <f aca="false">IF(OR(F2985="",H2985="",J2985=""),"",J2985&amp;"|"&amp;F2985&amp;"|"&amp;IF(H2985="W3","W3_"&amp;IF(I2985="","unknown",I2985),H2985))</f>
        <v/>
      </c>
      <c r="Q2985" s="1" t="str">
        <f aca="false">IF(P2985="","",IFERROR(IF(AND(H2985="W7",OR(F2985="causal",F2985="predictive")),IF(AND(K2985=1,L2985=1,M2985=1),"adequate","partial"),INDEX(Fit_Matrix!$B:$B,MATCH(P2985,Fit_Matrix!$A:$A,0))),"CHECK KEY"))</f>
        <v/>
      </c>
    </row>
    <row r="2986" customFormat="false" ht="15" hidden="false" customHeight="true" outlineLevel="0" collapsed="false">
      <c r="P2986" s="1" t="str">
        <f aca="false">IF(OR(F2986="",H2986="",J2986=""),"",J2986&amp;"|"&amp;F2986&amp;"|"&amp;IF(H2986="W3","W3_"&amp;IF(I2986="","unknown",I2986),H2986))</f>
        <v/>
      </c>
      <c r="Q2986" s="1" t="str">
        <f aca="false">IF(P2986="","",IFERROR(IF(AND(H2986="W7",OR(F2986="causal",F2986="predictive")),IF(AND(K2986=1,L2986=1,M2986=1),"adequate","partial"),INDEX(Fit_Matrix!$B:$B,MATCH(P2986,Fit_Matrix!$A:$A,0))),"CHECK KEY"))</f>
        <v/>
      </c>
    </row>
    <row r="2987" customFormat="false" ht="15" hidden="false" customHeight="true" outlineLevel="0" collapsed="false">
      <c r="P2987" s="1" t="str">
        <f aca="false">IF(OR(F2987="",H2987="",J2987=""),"",J2987&amp;"|"&amp;F2987&amp;"|"&amp;IF(H2987="W3","W3_"&amp;IF(I2987="","unknown",I2987),H2987))</f>
        <v/>
      </c>
      <c r="Q2987" s="1" t="str">
        <f aca="false">IF(P2987="","",IFERROR(IF(AND(H2987="W7",OR(F2987="causal",F2987="predictive")),IF(AND(K2987=1,L2987=1,M2987=1),"adequate","partial"),INDEX(Fit_Matrix!$B:$B,MATCH(P2987,Fit_Matrix!$A:$A,0))),"CHECK KEY"))</f>
        <v/>
      </c>
    </row>
    <row r="2988" customFormat="false" ht="15" hidden="false" customHeight="true" outlineLevel="0" collapsed="false">
      <c r="P2988" s="1" t="str">
        <f aca="false">IF(OR(F2988="",H2988="",J2988=""),"",J2988&amp;"|"&amp;F2988&amp;"|"&amp;IF(H2988="W3","W3_"&amp;IF(I2988="","unknown",I2988),H2988))</f>
        <v/>
      </c>
      <c r="Q2988" s="1" t="str">
        <f aca="false">IF(P2988="","",IFERROR(IF(AND(H2988="W7",OR(F2988="causal",F2988="predictive")),IF(AND(K2988=1,L2988=1,M2988=1),"adequate","partial"),INDEX(Fit_Matrix!$B:$B,MATCH(P2988,Fit_Matrix!$A:$A,0))),"CHECK KEY"))</f>
        <v/>
      </c>
    </row>
    <row r="2989" customFormat="false" ht="15" hidden="false" customHeight="true" outlineLevel="0" collapsed="false">
      <c r="P2989" s="1" t="str">
        <f aca="false">IF(OR(F2989="",H2989="",J2989=""),"",J2989&amp;"|"&amp;F2989&amp;"|"&amp;IF(H2989="W3","W3_"&amp;IF(I2989="","unknown",I2989),H2989))</f>
        <v/>
      </c>
      <c r="Q2989" s="1" t="str">
        <f aca="false">IF(P2989="","",IFERROR(IF(AND(H2989="W7",OR(F2989="causal",F2989="predictive")),IF(AND(K2989=1,L2989=1,M2989=1),"adequate","partial"),INDEX(Fit_Matrix!$B:$B,MATCH(P2989,Fit_Matrix!$A:$A,0))),"CHECK KEY"))</f>
        <v/>
      </c>
    </row>
    <row r="2990" customFormat="false" ht="15" hidden="false" customHeight="true" outlineLevel="0" collapsed="false">
      <c r="P2990" s="1" t="str">
        <f aca="false">IF(OR(F2990="",H2990="",J2990=""),"",J2990&amp;"|"&amp;F2990&amp;"|"&amp;IF(H2990="W3","W3_"&amp;IF(I2990="","unknown",I2990),H2990))</f>
        <v/>
      </c>
      <c r="Q2990" s="1" t="str">
        <f aca="false">IF(P2990="","",IFERROR(IF(AND(H2990="W7",OR(F2990="causal",F2990="predictive")),IF(AND(K2990=1,L2990=1,M2990=1),"adequate","partial"),INDEX(Fit_Matrix!$B:$B,MATCH(P2990,Fit_Matrix!$A:$A,0))),"CHECK KEY"))</f>
        <v/>
      </c>
    </row>
    <row r="2991" customFormat="false" ht="15" hidden="false" customHeight="true" outlineLevel="0" collapsed="false">
      <c r="P2991" s="1" t="str">
        <f aca="false">IF(OR(F2991="",H2991="",J2991=""),"",J2991&amp;"|"&amp;F2991&amp;"|"&amp;IF(H2991="W3","W3_"&amp;IF(I2991="","unknown",I2991),H2991))</f>
        <v/>
      </c>
      <c r="Q2991" s="1" t="str">
        <f aca="false">IF(P2991="","",IFERROR(IF(AND(H2991="W7",OR(F2991="causal",F2991="predictive")),IF(AND(K2991=1,L2991=1,M2991=1),"adequate","partial"),INDEX(Fit_Matrix!$B:$B,MATCH(P2991,Fit_Matrix!$A:$A,0))),"CHECK KEY"))</f>
        <v/>
      </c>
    </row>
    <row r="2992" customFormat="false" ht="15" hidden="false" customHeight="true" outlineLevel="0" collapsed="false">
      <c r="P2992" s="1" t="str">
        <f aca="false">IF(OR(F2992="",H2992="",J2992=""),"",J2992&amp;"|"&amp;F2992&amp;"|"&amp;IF(H2992="W3","W3_"&amp;IF(I2992="","unknown",I2992),H2992))</f>
        <v/>
      </c>
      <c r="Q2992" s="1" t="str">
        <f aca="false">IF(P2992="","",IFERROR(IF(AND(H2992="W7",OR(F2992="causal",F2992="predictive")),IF(AND(K2992=1,L2992=1,M2992=1),"adequate","partial"),INDEX(Fit_Matrix!$B:$B,MATCH(P2992,Fit_Matrix!$A:$A,0))),"CHECK KEY"))</f>
        <v/>
      </c>
    </row>
    <row r="2993" customFormat="false" ht="15" hidden="false" customHeight="true" outlineLevel="0" collapsed="false">
      <c r="P2993" s="1" t="str">
        <f aca="false">IF(OR(F2993="",H2993="",J2993=""),"",J2993&amp;"|"&amp;F2993&amp;"|"&amp;IF(H2993="W3","W3_"&amp;IF(I2993="","unknown",I2993),H2993))</f>
        <v/>
      </c>
      <c r="Q2993" s="1" t="str">
        <f aca="false">IF(P2993="","",IFERROR(IF(AND(H2993="W7",OR(F2993="causal",F2993="predictive")),IF(AND(K2993=1,L2993=1,M2993=1),"adequate","partial"),INDEX(Fit_Matrix!$B:$B,MATCH(P2993,Fit_Matrix!$A:$A,0))),"CHECK KEY"))</f>
        <v/>
      </c>
    </row>
    <row r="2994" customFormat="false" ht="15" hidden="false" customHeight="true" outlineLevel="0" collapsed="false">
      <c r="P2994" s="1" t="str">
        <f aca="false">IF(OR(F2994="",H2994="",J2994=""),"",J2994&amp;"|"&amp;F2994&amp;"|"&amp;IF(H2994="W3","W3_"&amp;IF(I2994="","unknown",I2994),H2994))</f>
        <v/>
      </c>
      <c r="Q2994" s="1" t="str">
        <f aca="false">IF(P2994="","",IFERROR(IF(AND(H2994="W7",OR(F2994="causal",F2994="predictive")),IF(AND(K2994=1,L2994=1,M2994=1),"adequate","partial"),INDEX(Fit_Matrix!$B:$B,MATCH(P2994,Fit_Matrix!$A:$A,0))),"CHECK KEY"))</f>
        <v/>
      </c>
    </row>
    <row r="2995" customFormat="false" ht="15" hidden="false" customHeight="true" outlineLevel="0" collapsed="false">
      <c r="P2995" s="1" t="str">
        <f aca="false">IF(OR(F2995="",H2995="",J2995=""),"",J2995&amp;"|"&amp;F2995&amp;"|"&amp;IF(H2995="W3","W3_"&amp;IF(I2995="","unknown",I2995),H2995))</f>
        <v/>
      </c>
      <c r="Q2995" s="1" t="str">
        <f aca="false">IF(P2995="","",IFERROR(IF(AND(H2995="W7",OR(F2995="causal",F2995="predictive")),IF(AND(K2995=1,L2995=1,M2995=1),"adequate","partial"),INDEX(Fit_Matrix!$B:$B,MATCH(P2995,Fit_Matrix!$A:$A,0))),"CHECK KEY"))</f>
        <v/>
      </c>
    </row>
    <row r="2996" customFormat="false" ht="15" hidden="false" customHeight="true" outlineLevel="0" collapsed="false">
      <c r="P2996" s="1" t="str">
        <f aca="false">IF(OR(F2996="",H2996="",J2996=""),"",J2996&amp;"|"&amp;F2996&amp;"|"&amp;IF(H2996="W3","W3_"&amp;IF(I2996="","unknown",I2996),H2996))</f>
        <v/>
      </c>
      <c r="Q2996" s="1" t="str">
        <f aca="false">IF(P2996="","",IFERROR(IF(AND(H2996="W7",OR(F2996="causal",F2996="predictive")),IF(AND(K2996=1,L2996=1,M2996=1),"adequate","partial"),INDEX(Fit_Matrix!$B:$B,MATCH(P2996,Fit_Matrix!$A:$A,0))),"CHECK KEY"))</f>
        <v/>
      </c>
    </row>
    <row r="2997" customFormat="false" ht="15" hidden="false" customHeight="true" outlineLevel="0" collapsed="false">
      <c r="P2997" s="1" t="str">
        <f aca="false">IF(OR(F2997="",H2997="",J2997=""),"",J2997&amp;"|"&amp;F2997&amp;"|"&amp;IF(H2997="W3","W3_"&amp;IF(I2997="","unknown",I2997),H2997))</f>
        <v/>
      </c>
      <c r="Q2997" s="1" t="str">
        <f aca="false">IF(P2997="","",IFERROR(IF(AND(H2997="W7",OR(F2997="causal",F2997="predictive")),IF(AND(K2997=1,L2997=1,M2997=1),"adequate","partial"),INDEX(Fit_Matrix!$B:$B,MATCH(P2997,Fit_Matrix!$A:$A,0))),"CHECK KEY"))</f>
        <v/>
      </c>
    </row>
    <row r="2998" customFormat="false" ht="15" hidden="false" customHeight="true" outlineLevel="0" collapsed="false">
      <c r="P2998" s="1" t="str">
        <f aca="false">IF(OR(F2998="",H2998="",J2998=""),"",J2998&amp;"|"&amp;F2998&amp;"|"&amp;IF(H2998="W3","W3_"&amp;IF(I2998="","unknown",I2998),H2998))</f>
        <v/>
      </c>
      <c r="Q2998" s="1" t="str">
        <f aca="false">IF(P2998="","",IFERROR(IF(AND(H2998="W7",OR(F2998="causal",F2998="predictive")),IF(AND(K2998=1,L2998=1,M2998=1),"adequate","partial"),INDEX(Fit_Matrix!$B:$B,MATCH(P2998,Fit_Matrix!$A:$A,0))),"CHECK KEY"))</f>
        <v/>
      </c>
    </row>
    <row r="2999" customFormat="false" ht="15" hidden="false" customHeight="true" outlineLevel="0" collapsed="false">
      <c r="P2999" s="1" t="str">
        <f aca="false">IF(OR(F2999="",H2999="",J2999=""),"",J2999&amp;"|"&amp;F2999&amp;"|"&amp;IF(H2999="W3","W3_"&amp;IF(I2999="","unknown",I2999),H2999))</f>
        <v/>
      </c>
      <c r="Q2999" s="1" t="str">
        <f aca="false">IF(P2999="","",IFERROR(IF(AND(H2999="W7",OR(F2999="causal",F2999="predictive")),IF(AND(K2999=1,L2999=1,M2999=1),"adequate","partial"),INDEX(Fit_Matrix!$B:$B,MATCH(P2999,Fit_Matrix!$A:$A,0))),"CHECK KEY"))</f>
        <v/>
      </c>
    </row>
    <row r="3000" customFormat="false" ht="15" hidden="false" customHeight="true" outlineLevel="0" collapsed="false">
      <c r="P3000" s="1" t="str">
        <f aca="false">IF(OR(F3000="",H3000="",J3000=""),"",J3000&amp;"|"&amp;F3000&amp;"|"&amp;IF(H3000="W3","W3_"&amp;IF(I3000="","unknown",I3000),H3000))</f>
        <v/>
      </c>
      <c r="Q3000" s="1" t="str">
        <f aca="false">IF(P3000="","",IFERROR(IF(AND(H3000="W7",OR(F3000="causal",F3000="predictive")),IF(AND(K3000=1,L3000=1,M3000=1),"adequate","partial"),INDEX(Fit_Matrix!$B:$B,MATCH(P3000,Fit_Matrix!$A:$A,0))),"CHECK KEY"))</f>
        <v/>
      </c>
    </row>
    <row r="3001" customFormat="false" ht="15" hidden="false" customHeight="true" outlineLevel="0" collapsed="false">
      <c r="P3001" s="1" t="str">
        <f aca="false">IF(OR(F3001="",H3001="",J3001=""),"",J3001&amp;"|"&amp;F3001&amp;"|"&amp;IF(H3001="W3","W3_"&amp;IF(I3001="","unknown",I3001),H3001))</f>
        <v/>
      </c>
      <c r="Q3001" s="1" t="str">
        <f aca="false">IF(P3001="","",IFERROR(IF(AND(H3001="W7",OR(F3001="causal",F3001="predictive")),IF(AND(K3001=1,L3001=1,M3001=1),"adequate","partial"),INDEX(Fit_Matrix!$B:$B,MATCH(P3001,Fit_Matrix!$A:$A,0))),"CHECK KEY"))</f>
        <v/>
      </c>
    </row>
    <row r="3002" customFormat="false" ht="15" hidden="false" customHeight="true" outlineLevel="0" collapsed="false">
      <c r="P3002" s="1" t="str">
        <f aca="false">IF(OR(F3002="",H3002="",J3002=""),"",J3002&amp;"|"&amp;F3002&amp;"|"&amp;IF(H3002="W3","W3_"&amp;IF(I3002="","unknown",I3002),H3002))</f>
        <v/>
      </c>
      <c r="Q3002" s="1" t="str">
        <f aca="false">IF(P3002="","",IFERROR(IF(AND(H3002="W7",OR(F3002="causal",F3002="predictive")),IF(AND(K3002=1,L3002=1,M3002=1),"adequate","partial"),INDEX(Fit_Matrix!$B:$B,MATCH(P3002,Fit_Matrix!$A:$A,0))),"CHECK KEY"))</f>
        <v/>
      </c>
    </row>
    <row r="3003" customFormat="false" ht="15" hidden="false" customHeight="true" outlineLevel="0" collapsed="false">
      <c r="P3003" s="1" t="str">
        <f aca="false">IF(OR(F3003="",H3003="",J3003=""),"",J3003&amp;"|"&amp;F3003&amp;"|"&amp;IF(H3003="W3","W3_"&amp;IF(I3003="","unknown",I3003),H3003))</f>
        <v/>
      </c>
      <c r="Q3003" s="1" t="str">
        <f aca="false">IF(P3003="","",IFERROR(IF(AND(H3003="W7",OR(F3003="causal",F3003="predictive")),IF(AND(K3003=1,L3003=1,M3003=1),"adequate","partial"),INDEX(Fit_Matrix!$B:$B,MATCH(P3003,Fit_Matrix!$A:$A,0))),"CHECK KEY"))</f>
        <v/>
      </c>
    </row>
    <row r="3004" customFormat="false" ht="15" hidden="false" customHeight="true" outlineLevel="0" collapsed="false">
      <c r="P3004" s="1" t="str">
        <f aca="false">IF(OR(F3004="",H3004="",J3004=""),"",J3004&amp;"|"&amp;F3004&amp;"|"&amp;IF(H3004="W3","W3_"&amp;IF(I3004="","unknown",I3004),H3004))</f>
        <v/>
      </c>
      <c r="Q3004" s="1" t="str">
        <f aca="false">IF(P3004="","",IFERROR(IF(AND(H3004="W7",OR(F3004="causal",F3004="predictive")),IF(AND(K3004=1,L3004=1,M3004=1),"adequate","partial"),INDEX(Fit_Matrix!$B:$B,MATCH(P3004,Fit_Matrix!$A:$A,0))),"CHECK KEY"))</f>
        <v/>
      </c>
    </row>
    <row r="3005" customFormat="false" ht="15" hidden="false" customHeight="true" outlineLevel="0" collapsed="false">
      <c r="P3005" s="1" t="str">
        <f aca="false">IF(OR(F3005="",H3005="",J3005=""),"",J3005&amp;"|"&amp;F3005&amp;"|"&amp;IF(H3005="W3","W3_"&amp;IF(I3005="","unknown",I3005),H3005))</f>
        <v/>
      </c>
      <c r="Q3005" s="1" t="str">
        <f aca="false">IF(P3005="","",IFERROR(IF(AND(H3005="W7",OR(F3005="causal",F3005="predictive")),IF(AND(K3005=1,L3005=1,M3005=1),"adequate","partial"),INDEX(Fit_Matrix!$B:$B,MATCH(P3005,Fit_Matrix!$A:$A,0))),"CHECK KEY"))</f>
        <v/>
      </c>
    </row>
    <row r="3006" customFormat="false" ht="15" hidden="false" customHeight="true" outlineLevel="0" collapsed="false">
      <c r="P3006" s="1" t="str">
        <f aca="false">IF(OR(F3006="",H3006="",J3006=""),"",J3006&amp;"|"&amp;F3006&amp;"|"&amp;IF(H3006="W3","W3_"&amp;IF(I3006="","unknown",I3006),H3006))</f>
        <v/>
      </c>
      <c r="Q3006" s="1" t="str">
        <f aca="false">IF(P3006="","",IFERROR(IF(AND(H3006="W7",OR(F3006="causal",F3006="predictive")),IF(AND(K3006=1,L3006=1,M3006=1),"adequate","partial"),INDEX(Fit_Matrix!$B:$B,MATCH(P3006,Fit_Matrix!$A:$A,0))),"CHECK KEY"))</f>
        <v/>
      </c>
    </row>
    <row r="3007" customFormat="false" ht="15" hidden="false" customHeight="true" outlineLevel="0" collapsed="false">
      <c r="P3007" s="1" t="str">
        <f aca="false">IF(OR(F3007="",H3007="",J3007=""),"",J3007&amp;"|"&amp;F3007&amp;"|"&amp;IF(H3007="W3","W3_"&amp;IF(I3007="","unknown",I3007),H3007))</f>
        <v/>
      </c>
      <c r="Q3007" s="1" t="str">
        <f aca="false">IF(P3007="","",IFERROR(IF(AND(H3007="W7",OR(F3007="causal",F3007="predictive")),IF(AND(K3007=1,L3007=1,M3007=1),"adequate","partial"),INDEX(Fit_Matrix!$B:$B,MATCH(P3007,Fit_Matrix!$A:$A,0))),"CHECK KEY"))</f>
        <v/>
      </c>
    </row>
    <row r="3008" customFormat="false" ht="15" hidden="false" customHeight="true" outlineLevel="0" collapsed="false">
      <c r="P3008" s="1" t="str">
        <f aca="false">IF(OR(F3008="",H3008="",J3008=""),"",J3008&amp;"|"&amp;F3008&amp;"|"&amp;IF(H3008="W3","W3_"&amp;IF(I3008="","unknown",I3008),H3008))</f>
        <v/>
      </c>
      <c r="Q3008" s="1" t="str">
        <f aca="false">IF(P3008="","",IFERROR(IF(AND(H3008="W7",OR(F3008="causal",F3008="predictive")),IF(AND(K3008=1,L3008=1,M3008=1),"adequate","partial"),INDEX(Fit_Matrix!$B:$B,MATCH(P3008,Fit_Matrix!$A:$A,0))),"CHECK KEY"))</f>
        <v/>
      </c>
    </row>
    <row r="3009" customFormat="false" ht="15" hidden="false" customHeight="true" outlineLevel="0" collapsed="false">
      <c r="P3009" s="1" t="str">
        <f aca="false">IF(OR(F3009="",H3009="",J3009=""),"",J3009&amp;"|"&amp;F3009&amp;"|"&amp;IF(H3009="W3","W3_"&amp;IF(I3009="","unknown",I3009),H3009))</f>
        <v/>
      </c>
      <c r="Q3009" s="1" t="str">
        <f aca="false">IF(P3009="","",IFERROR(IF(AND(H3009="W7",OR(F3009="causal",F3009="predictive")),IF(AND(K3009=1,L3009=1,M3009=1),"adequate","partial"),INDEX(Fit_Matrix!$B:$B,MATCH(P3009,Fit_Matrix!$A:$A,0))),"CHECK KEY"))</f>
        <v/>
      </c>
    </row>
    <row r="3010" customFormat="false" ht="15" hidden="false" customHeight="true" outlineLevel="0" collapsed="false">
      <c r="P3010" s="1" t="str">
        <f aca="false">IF(OR(F3010="",H3010="",J3010=""),"",J3010&amp;"|"&amp;F3010&amp;"|"&amp;IF(H3010="W3","W3_"&amp;IF(I3010="","unknown",I3010),H3010))</f>
        <v/>
      </c>
      <c r="Q3010" s="1" t="str">
        <f aca="false">IF(P3010="","",IFERROR(IF(AND(H3010="W7",OR(F3010="causal",F3010="predictive")),IF(AND(K3010=1,L3010=1,M3010=1),"adequate","partial"),INDEX(Fit_Matrix!$B:$B,MATCH(P3010,Fit_Matrix!$A:$A,0))),"CHECK KEY"))</f>
        <v/>
      </c>
    </row>
    <row r="3011" customFormat="false" ht="15" hidden="false" customHeight="true" outlineLevel="0" collapsed="false">
      <c r="P3011" s="1" t="str">
        <f aca="false">IF(OR(F3011="",H3011="",J3011=""),"",J3011&amp;"|"&amp;F3011&amp;"|"&amp;IF(H3011="W3","W3_"&amp;IF(I3011="","unknown",I3011),H3011))</f>
        <v/>
      </c>
      <c r="Q3011" s="1" t="str">
        <f aca="false">IF(P3011="","",IFERROR(IF(AND(H3011="W7",OR(F3011="causal",F3011="predictive")),IF(AND(K3011=1,L3011=1,M3011=1),"adequate","partial"),INDEX(Fit_Matrix!$B:$B,MATCH(P3011,Fit_Matrix!$A:$A,0))),"CHECK KEY"))</f>
        <v/>
      </c>
    </row>
    <row r="3012" customFormat="false" ht="15" hidden="false" customHeight="true" outlineLevel="0" collapsed="false">
      <c r="P3012" s="1" t="str">
        <f aca="false">IF(OR(F3012="",H3012="",J3012=""),"",J3012&amp;"|"&amp;F3012&amp;"|"&amp;IF(H3012="W3","W3_"&amp;IF(I3012="","unknown",I3012),H3012))</f>
        <v/>
      </c>
      <c r="Q3012" s="1" t="str">
        <f aca="false">IF(P3012="","",IFERROR(IF(AND(H3012="W7",OR(F3012="causal",F3012="predictive")),IF(AND(K3012=1,L3012=1,M3012=1),"adequate","partial"),INDEX(Fit_Matrix!$B:$B,MATCH(P3012,Fit_Matrix!$A:$A,0))),"CHECK KEY"))</f>
        <v/>
      </c>
    </row>
    <row r="3013" customFormat="false" ht="15" hidden="false" customHeight="true" outlineLevel="0" collapsed="false">
      <c r="P3013" s="1" t="str">
        <f aca="false">IF(OR(F3013="",H3013="",J3013=""),"",J3013&amp;"|"&amp;F3013&amp;"|"&amp;IF(H3013="W3","W3_"&amp;IF(I3013="","unknown",I3013),H3013))</f>
        <v/>
      </c>
      <c r="Q3013" s="1" t="str">
        <f aca="false">IF(P3013="","",IFERROR(IF(AND(H3013="W7",OR(F3013="causal",F3013="predictive")),IF(AND(K3013=1,L3013=1,M3013=1),"adequate","partial"),INDEX(Fit_Matrix!$B:$B,MATCH(P3013,Fit_Matrix!$A:$A,0))),"CHECK KEY"))</f>
        <v/>
      </c>
    </row>
    <row r="3014" customFormat="false" ht="15" hidden="false" customHeight="true" outlineLevel="0" collapsed="false">
      <c r="P3014" s="1" t="str">
        <f aca="false">IF(OR(F3014="",H3014="",J3014=""),"",J3014&amp;"|"&amp;F3014&amp;"|"&amp;IF(H3014="W3","W3_"&amp;IF(I3014="","unknown",I3014),H3014))</f>
        <v/>
      </c>
      <c r="Q3014" s="1" t="str">
        <f aca="false">IF(P3014="","",IFERROR(IF(AND(H3014="W7",OR(F3014="causal",F3014="predictive")),IF(AND(K3014=1,L3014=1,M3014=1),"adequate","partial"),INDEX(Fit_Matrix!$B:$B,MATCH(P3014,Fit_Matrix!$A:$A,0))),"CHECK KEY"))</f>
        <v/>
      </c>
    </row>
    <row r="3015" customFormat="false" ht="15" hidden="false" customHeight="true" outlineLevel="0" collapsed="false">
      <c r="P3015" s="1" t="str">
        <f aca="false">IF(OR(F3015="",H3015="",J3015=""),"",J3015&amp;"|"&amp;F3015&amp;"|"&amp;IF(H3015="W3","W3_"&amp;IF(I3015="","unknown",I3015),H3015))</f>
        <v/>
      </c>
      <c r="Q3015" s="1" t="str">
        <f aca="false">IF(P3015="","",IFERROR(IF(AND(H3015="W7",OR(F3015="causal",F3015="predictive")),IF(AND(K3015=1,L3015=1,M3015=1),"adequate","partial"),INDEX(Fit_Matrix!$B:$B,MATCH(P3015,Fit_Matrix!$A:$A,0))),"CHECK KEY"))</f>
        <v/>
      </c>
    </row>
    <row r="3016" customFormat="false" ht="15" hidden="false" customHeight="true" outlineLevel="0" collapsed="false">
      <c r="P3016" s="1" t="str">
        <f aca="false">IF(OR(F3016="",H3016="",J3016=""),"",J3016&amp;"|"&amp;F3016&amp;"|"&amp;IF(H3016="W3","W3_"&amp;IF(I3016="","unknown",I3016),H3016))</f>
        <v/>
      </c>
      <c r="Q3016" s="1" t="str">
        <f aca="false">IF(P3016="","",IFERROR(IF(AND(H3016="W7",OR(F3016="causal",F3016="predictive")),IF(AND(K3016=1,L3016=1,M3016=1),"adequate","partial"),INDEX(Fit_Matrix!$B:$B,MATCH(P3016,Fit_Matrix!$A:$A,0))),"CHECK KEY"))</f>
        <v/>
      </c>
    </row>
    <row r="3017" customFormat="false" ht="15" hidden="false" customHeight="true" outlineLevel="0" collapsed="false">
      <c r="P3017" s="1" t="str">
        <f aca="false">IF(OR(F3017="",H3017="",J3017=""),"",J3017&amp;"|"&amp;F3017&amp;"|"&amp;IF(H3017="W3","W3_"&amp;IF(I3017="","unknown",I3017),H3017))</f>
        <v/>
      </c>
      <c r="Q3017" s="1" t="str">
        <f aca="false">IF(P3017="","",IFERROR(IF(AND(H3017="W7",OR(F3017="causal",F3017="predictive")),IF(AND(K3017=1,L3017=1,M3017=1),"adequate","partial"),INDEX(Fit_Matrix!$B:$B,MATCH(P3017,Fit_Matrix!$A:$A,0))),"CHECK KEY"))</f>
        <v/>
      </c>
    </row>
    <row r="3018" customFormat="false" ht="15" hidden="false" customHeight="true" outlineLevel="0" collapsed="false">
      <c r="P3018" s="1" t="str">
        <f aca="false">IF(OR(F3018="",H3018="",J3018=""),"",J3018&amp;"|"&amp;F3018&amp;"|"&amp;IF(H3018="W3","W3_"&amp;IF(I3018="","unknown",I3018),H3018))</f>
        <v/>
      </c>
      <c r="Q3018" s="1" t="str">
        <f aca="false">IF(P3018="","",IFERROR(IF(AND(H3018="W7",OR(F3018="causal",F3018="predictive")),IF(AND(K3018=1,L3018=1,M3018=1),"adequate","partial"),INDEX(Fit_Matrix!$B:$B,MATCH(P3018,Fit_Matrix!$A:$A,0))),"CHECK KEY"))</f>
        <v/>
      </c>
    </row>
    <row r="3019" customFormat="false" ht="15" hidden="false" customHeight="true" outlineLevel="0" collapsed="false">
      <c r="P3019" s="1" t="str">
        <f aca="false">IF(OR(F3019="",H3019="",J3019=""),"",J3019&amp;"|"&amp;F3019&amp;"|"&amp;IF(H3019="W3","W3_"&amp;IF(I3019="","unknown",I3019),H3019))</f>
        <v/>
      </c>
      <c r="Q3019" s="1" t="str">
        <f aca="false">IF(P3019="","",IFERROR(IF(AND(H3019="W7",OR(F3019="causal",F3019="predictive")),IF(AND(K3019=1,L3019=1,M3019=1),"adequate","partial"),INDEX(Fit_Matrix!$B:$B,MATCH(P3019,Fit_Matrix!$A:$A,0))),"CHECK KEY"))</f>
        <v/>
      </c>
    </row>
    <row r="3020" customFormat="false" ht="15" hidden="false" customHeight="true" outlineLevel="0" collapsed="false">
      <c r="P3020" s="1" t="str">
        <f aca="false">IF(OR(F3020="",H3020="",J3020=""),"",J3020&amp;"|"&amp;F3020&amp;"|"&amp;IF(H3020="W3","W3_"&amp;IF(I3020="","unknown",I3020),H3020))</f>
        <v/>
      </c>
      <c r="Q3020" s="1" t="str">
        <f aca="false">IF(P3020="","",IFERROR(IF(AND(H3020="W7",OR(F3020="causal",F3020="predictive")),IF(AND(K3020=1,L3020=1,M3020=1),"adequate","partial"),INDEX(Fit_Matrix!$B:$B,MATCH(P3020,Fit_Matrix!$A:$A,0))),"CHECK KEY"))</f>
        <v/>
      </c>
    </row>
    <row r="3021" customFormat="false" ht="15" hidden="false" customHeight="true" outlineLevel="0" collapsed="false">
      <c r="P3021" s="1" t="str">
        <f aca="false">IF(OR(F3021="",H3021="",J3021=""),"",J3021&amp;"|"&amp;F3021&amp;"|"&amp;IF(H3021="W3","W3_"&amp;IF(I3021="","unknown",I3021),H3021))</f>
        <v/>
      </c>
      <c r="Q3021" s="1" t="str">
        <f aca="false">IF(P3021="","",IFERROR(IF(AND(H3021="W7",OR(F3021="causal",F3021="predictive")),IF(AND(K3021=1,L3021=1,M3021=1),"adequate","partial"),INDEX(Fit_Matrix!$B:$B,MATCH(P3021,Fit_Matrix!$A:$A,0))),"CHECK KEY"))</f>
        <v/>
      </c>
    </row>
    <row r="3022" customFormat="false" ht="15" hidden="false" customHeight="true" outlineLevel="0" collapsed="false">
      <c r="P3022" s="1" t="str">
        <f aca="false">IF(OR(F3022="",H3022="",J3022=""),"",J3022&amp;"|"&amp;F3022&amp;"|"&amp;IF(H3022="W3","W3_"&amp;IF(I3022="","unknown",I3022),H3022))</f>
        <v/>
      </c>
      <c r="Q3022" s="1" t="str">
        <f aca="false">IF(P3022="","",IFERROR(IF(AND(H3022="W7",OR(F3022="causal",F3022="predictive")),IF(AND(K3022=1,L3022=1,M3022=1),"adequate","partial"),INDEX(Fit_Matrix!$B:$B,MATCH(P3022,Fit_Matrix!$A:$A,0))),"CHECK KEY"))</f>
        <v/>
      </c>
    </row>
    <row r="3023" customFormat="false" ht="15" hidden="false" customHeight="true" outlineLevel="0" collapsed="false">
      <c r="P3023" s="1" t="str">
        <f aca="false">IF(OR(F3023="",H3023="",J3023=""),"",J3023&amp;"|"&amp;F3023&amp;"|"&amp;IF(H3023="W3","W3_"&amp;IF(I3023="","unknown",I3023),H3023))</f>
        <v/>
      </c>
      <c r="Q3023" s="1" t="str">
        <f aca="false">IF(P3023="","",IFERROR(IF(AND(H3023="W7",OR(F3023="causal",F3023="predictive")),IF(AND(K3023=1,L3023=1,M3023=1),"adequate","partial"),INDEX(Fit_Matrix!$B:$B,MATCH(P3023,Fit_Matrix!$A:$A,0))),"CHECK KEY"))</f>
        <v/>
      </c>
    </row>
    <row r="3024" customFormat="false" ht="15" hidden="false" customHeight="true" outlineLevel="0" collapsed="false">
      <c r="P3024" s="1" t="str">
        <f aca="false">IF(OR(F3024="",H3024="",J3024=""),"",J3024&amp;"|"&amp;F3024&amp;"|"&amp;IF(H3024="W3","W3_"&amp;IF(I3024="","unknown",I3024),H3024))</f>
        <v/>
      </c>
      <c r="Q3024" s="1" t="str">
        <f aca="false">IF(P3024="","",IFERROR(IF(AND(H3024="W7",OR(F3024="causal",F3024="predictive")),IF(AND(K3024=1,L3024=1,M3024=1),"adequate","partial"),INDEX(Fit_Matrix!$B:$B,MATCH(P3024,Fit_Matrix!$A:$A,0))),"CHECK KEY"))</f>
        <v/>
      </c>
    </row>
    <row r="3025" customFormat="false" ht="15" hidden="false" customHeight="true" outlineLevel="0" collapsed="false">
      <c r="P3025" s="1" t="str">
        <f aca="false">IF(OR(F3025="",H3025="",J3025=""),"",J3025&amp;"|"&amp;F3025&amp;"|"&amp;IF(H3025="W3","W3_"&amp;IF(I3025="","unknown",I3025),H3025))</f>
        <v/>
      </c>
      <c r="Q3025" s="1" t="str">
        <f aca="false">IF(P3025="","",IFERROR(IF(AND(H3025="W7",OR(F3025="causal",F3025="predictive")),IF(AND(K3025=1,L3025=1,M3025=1),"adequate","partial"),INDEX(Fit_Matrix!$B:$B,MATCH(P3025,Fit_Matrix!$A:$A,0))),"CHECK KEY"))</f>
        <v/>
      </c>
    </row>
    <row r="3026" customFormat="false" ht="15" hidden="false" customHeight="true" outlineLevel="0" collapsed="false">
      <c r="P3026" s="1" t="str">
        <f aca="false">IF(OR(F3026="",H3026="",J3026=""),"",J3026&amp;"|"&amp;F3026&amp;"|"&amp;IF(H3026="W3","W3_"&amp;IF(I3026="","unknown",I3026),H3026))</f>
        <v/>
      </c>
      <c r="Q3026" s="1" t="str">
        <f aca="false">IF(P3026="","",IFERROR(IF(AND(H3026="W7",OR(F3026="causal",F3026="predictive")),IF(AND(K3026=1,L3026=1,M3026=1),"adequate","partial"),INDEX(Fit_Matrix!$B:$B,MATCH(P3026,Fit_Matrix!$A:$A,0))),"CHECK KEY"))</f>
        <v/>
      </c>
    </row>
    <row r="3027" customFormat="false" ht="15" hidden="false" customHeight="true" outlineLevel="0" collapsed="false">
      <c r="P3027" s="1" t="str">
        <f aca="false">IF(OR(F3027="",H3027="",J3027=""),"",J3027&amp;"|"&amp;F3027&amp;"|"&amp;IF(H3027="W3","W3_"&amp;IF(I3027="","unknown",I3027),H3027))</f>
        <v/>
      </c>
      <c r="Q3027" s="1" t="str">
        <f aca="false">IF(P3027="","",IFERROR(IF(AND(H3027="W7",OR(F3027="causal",F3027="predictive")),IF(AND(K3027=1,L3027=1,M3027=1),"adequate","partial"),INDEX(Fit_Matrix!$B:$B,MATCH(P3027,Fit_Matrix!$A:$A,0))),"CHECK KEY"))</f>
        <v/>
      </c>
    </row>
    <row r="3028" customFormat="false" ht="15" hidden="false" customHeight="true" outlineLevel="0" collapsed="false">
      <c r="P3028" s="1" t="str">
        <f aca="false">IF(OR(F3028="",H3028="",J3028=""),"",J3028&amp;"|"&amp;F3028&amp;"|"&amp;IF(H3028="W3","W3_"&amp;IF(I3028="","unknown",I3028),H3028))</f>
        <v/>
      </c>
      <c r="Q3028" s="1" t="str">
        <f aca="false">IF(P3028="","",IFERROR(IF(AND(H3028="W7",OR(F3028="causal",F3028="predictive")),IF(AND(K3028=1,L3028=1,M3028=1),"adequate","partial"),INDEX(Fit_Matrix!$B:$B,MATCH(P3028,Fit_Matrix!$A:$A,0))),"CHECK KEY"))</f>
        <v/>
      </c>
    </row>
    <row r="3029" customFormat="false" ht="15" hidden="false" customHeight="true" outlineLevel="0" collapsed="false">
      <c r="P3029" s="1" t="str">
        <f aca="false">IF(OR(F3029="",H3029="",J3029=""),"",J3029&amp;"|"&amp;F3029&amp;"|"&amp;IF(H3029="W3","W3_"&amp;IF(I3029="","unknown",I3029),H3029))</f>
        <v/>
      </c>
      <c r="Q3029" s="1" t="str">
        <f aca="false">IF(P3029="","",IFERROR(IF(AND(H3029="W7",OR(F3029="causal",F3029="predictive")),IF(AND(K3029=1,L3029=1,M3029=1),"adequate","partial"),INDEX(Fit_Matrix!$B:$B,MATCH(P3029,Fit_Matrix!$A:$A,0))),"CHECK KEY"))</f>
        <v/>
      </c>
    </row>
    <row r="3030" customFormat="false" ht="15" hidden="false" customHeight="true" outlineLevel="0" collapsed="false">
      <c r="P3030" s="1" t="str">
        <f aca="false">IF(OR(F3030="",H3030="",J3030=""),"",J3030&amp;"|"&amp;F3030&amp;"|"&amp;IF(H3030="W3","W3_"&amp;IF(I3030="","unknown",I3030),H3030))</f>
        <v/>
      </c>
      <c r="Q3030" s="1" t="str">
        <f aca="false">IF(P3030="","",IFERROR(IF(AND(H3030="W7",OR(F3030="causal",F3030="predictive")),IF(AND(K3030=1,L3030=1,M3030=1),"adequate","partial"),INDEX(Fit_Matrix!$B:$B,MATCH(P3030,Fit_Matrix!$A:$A,0))),"CHECK KEY"))</f>
        <v/>
      </c>
    </row>
    <row r="3031" customFormat="false" ht="15" hidden="false" customHeight="true" outlineLevel="0" collapsed="false">
      <c r="P3031" s="1" t="str">
        <f aca="false">IF(OR(F3031="",H3031="",J3031=""),"",J3031&amp;"|"&amp;F3031&amp;"|"&amp;IF(H3031="W3","W3_"&amp;IF(I3031="","unknown",I3031),H3031))</f>
        <v/>
      </c>
      <c r="Q3031" s="1" t="str">
        <f aca="false">IF(P3031="","",IFERROR(IF(AND(H3031="W7",OR(F3031="causal",F3031="predictive")),IF(AND(K3031=1,L3031=1,M3031=1),"adequate","partial"),INDEX(Fit_Matrix!$B:$B,MATCH(P3031,Fit_Matrix!$A:$A,0))),"CHECK KEY"))</f>
        <v/>
      </c>
    </row>
    <row r="3032" customFormat="false" ht="15" hidden="false" customHeight="true" outlineLevel="0" collapsed="false">
      <c r="P3032" s="1" t="str">
        <f aca="false">IF(OR(F3032="",H3032="",J3032=""),"",J3032&amp;"|"&amp;F3032&amp;"|"&amp;IF(H3032="W3","W3_"&amp;IF(I3032="","unknown",I3032),H3032))</f>
        <v/>
      </c>
      <c r="Q3032" s="1" t="str">
        <f aca="false">IF(P3032="","",IFERROR(IF(AND(H3032="W7",OR(F3032="causal",F3032="predictive")),IF(AND(K3032=1,L3032=1,M3032=1),"adequate","partial"),INDEX(Fit_Matrix!$B:$B,MATCH(P3032,Fit_Matrix!$A:$A,0))),"CHECK KEY"))</f>
        <v/>
      </c>
    </row>
    <row r="3033" customFormat="false" ht="15" hidden="false" customHeight="true" outlineLevel="0" collapsed="false">
      <c r="P3033" s="1" t="str">
        <f aca="false">IF(OR(F3033="",H3033="",J3033=""),"",J3033&amp;"|"&amp;F3033&amp;"|"&amp;IF(H3033="W3","W3_"&amp;IF(I3033="","unknown",I3033),H3033))</f>
        <v/>
      </c>
      <c r="Q3033" s="1" t="str">
        <f aca="false">IF(P3033="","",IFERROR(IF(AND(H3033="W7",OR(F3033="causal",F3033="predictive")),IF(AND(K3033=1,L3033=1,M3033=1),"adequate","partial"),INDEX(Fit_Matrix!$B:$B,MATCH(P3033,Fit_Matrix!$A:$A,0))),"CHECK KEY"))</f>
        <v/>
      </c>
    </row>
    <row r="3034" customFormat="false" ht="15" hidden="false" customHeight="true" outlineLevel="0" collapsed="false">
      <c r="P3034" s="1" t="str">
        <f aca="false">IF(OR(F3034="",H3034="",J3034=""),"",J3034&amp;"|"&amp;F3034&amp;"|"&amp;IF(H3034="W3","W3_"&amp;IF(I3034="","unknown",I3034),H3034))</f>
        <v/>
      </c>
      <c r="Q3034" s="1" t="str">
        <f aca="false">IF(P3034="","",IFERROR(IF(AND(H3034="W7",OR(F3034="causal",F3034="predictive")),IF(AND(K3034=1,L3034=1,M3034=1),"adequate","partial"),INDEX(Fit_Matrix!$B:$B,MATCH(P3034,Fit_Matrix!$A:$A,0))),"CHECK KEY"))</f>
        <v/>
      </c>
    </row>
    <row r="3035" customFormat="false" ht="15" hidden="false" customHeight="true" outlineLevel="0" collapsed="false">
      <c r="P3035" s="1" t="str">
        <f aca="false">IF(OR(F3035="",H3035="",J3035=""),"",J3035&amp;"|"&amp;F3035&amp;"|"&amp;IF(H3035="W3","W3_"&amp;IF(I3035="","unknown",I3035),H3035))</f>
        <v/>
      </c>
      <c r="Q3035" s="1" t="str">
        <f aca="false">IF(P3035="","",IFERROR(IF(AND(H3035="W7",OR(F3035="causal",F3035="predictive")),IF(AND(K3035=1,L3035=1,M3035=1),"adequate","partial"),INDEX(Fit_Matrix!$B:$B,MATCH(P3035,Fit_Matrix!$A:$A,0))),"CHECK KEY"))</f>
        <v/>
      </c>
    </row>
    <row r="3036" customFormat="false" ht="15" hidden="false" customHeight="true" outlineLevel="0" collapsed="false">
      <c r="P3036" s="1" t="str">
        <f aca="false">IF(OR(F3036="",H3036="",J3036=""),"",J3036&amp;"|"&amp;F3036&amp;"|"&amp;IF(H3036="W3","W3_"&amp;IF(I3036="","unknown",I3036),H3036))</f>
        <v/>
      </c>
      <c r="Q3036" s="1" t="str">
        <f aca="false">IF(P3036="","",IFERROR(IF(AND(H3036="W7",OR(F3036="causal",F3036="predictive")),IF(AND(K3036=1,L3036=1,M3036=1),"adequate","partial"),INDEX(Fit_Matrix!$B:$B,MATCH(P3036,Fit_Matrix!$A:$A,0))),"CHECK KEY"))</f>
        <v/>
      </c>
    </row>
    <row r="3037" customFormat="false" ht="15" hidden="false" customHeight="true" outlineLevel="0" collapsed="false">
      <c r="P3037" s="1" t="str">
        <f aca="false">IF(OR(F3037="",H3037="",J3037=""),"",J3037&amp;"|"&amp;F3037&amp;"|"&amp;IF(H3037="W3","W3_"&amp;IF(I3037="","unknown",I3037),H3037))</f>
        <v/>
      </c>
      <c r="Q3037" s="1" t="str">
        <f aca="false">IF(P3037="","",IFERROR(IF(AND(H3037="W7",OR(F3037="causal",F3037="predictive")),IF(AND(K3037=1,L3037=1,M3037=1),"adequate","partial"),INDEX(Fit_Matrix!$B:$B,MATCH(P3037,Fit_Matrix!$A:$A,0))),"CHECK KEY"))</f>
        <v/>
      </c>
    </row>
    <row r="3038" customFormat="false" ht="15" hidden="false" customHeight="true" outlineLevel="0" collapsed="false">
      <c r="P3038" s="1" t="str">
        <f aca="false">IF(OR(F3038="",H3038="",J3038=""),"",J3038&amp;"|"&amp;F3038&amp;"|"&amp;IF(H3038="W3","W3_"&amp;IF(I3038="","unknown",I3038),H3038))</f>
        <v/>
      </c>
      <c r="Q3038" s="1" t="str">
        <f aca="false">IF(P3038="","",IFERROR(IF(AND(H3038="W7",OR(F3038="causal",F3038="predictive")),IF(AND(K3038=1,L3038=1,M3038=1),"adequate","partial"),INDEX(Fit_Matrix!$B:$B,MATCH(P3038,Fit_Matrix!$A:$A,0))),"CHECK KEY"))</f>
        <v/>
      </c>
    </row>
    <row r="3039" customFormat="false" ht="15" hidden="false" customHeight="true" outlineLevel="0" collapsed="false">
      <c r="P3039" s="1" t="str">
        <f aca="false">IF(OR(F3039="",H3039="",J3039=""),"",J3039&amp;"|"&amp;F3039&amp;"|"&amp;IF(H3039="W3","W3_"&amp;IF(I3039="","unknown",I3039),H3039))</f>
        <v/>
      </c>
      <c r="Q3039" s="1" t="str">
        <f aca="false">IF(P3039="","",IFERROR(IF(AND(H3039="W7",OR(F3039="causal",F3039="predictive")),IF(AND(K3039=1,L3039=1,M3039=1),"adequate","partial"),INDEX(Fit_Matrix!$B:$B,MATCH(P3039,Fit_Matrix!$A:$A,0))),"CHECK KEY"))</f>
        <v/>
      </c>
    </row>
    <row r="3040" customFormat="false" ht="15" hidden="false" customHeight="true" outlineLevel="0" collapsed="false">
      <c r="P3040" s="1" t="str">
        <f aca="false">IF(OR(F3040="",H3040="",J3040=""),"",J3040&amp;"|"&amp;F3040&amp;"|"&amp;IF(H3040="W3","W3_"&amp;IF(I3040="","unknown",I3040),H3040))</f>
        <v/>
      </c>
      <c r="Q3040" s="1" t="str">
        <f aca="false">IF(P3040="","",IFERROR(IF(AND(H3040="W7",OR(F3040="causal",F3040="predictive")),IF(AND(K3040=1,L3040=1,M3040=1),"adequate","partial"),INDEX(Fit_Matrix!$B:$B,MATCH(P3040,Fit_Matrix!$A:$A,0))),"CHECK KEY"))</f>
        <v/>
      </c>
    </row>
    <row r="3041" customFormat="false" ht="15" hidden="false" customHeight="true" outlineLevel="0" collapsed="false">
      <c r="P3041" s="1" t="str">
        <f aca="false">IF(OR(F3041="",H3041="",J3041=""),"",J3041&amp;"|"&amp;F3041&amp;"|"&amp;IF(H3041="W3","W3_"&amp;IF(I3041="","unknown",I3041),H3041))</f>
        <v/>
      </c>
      <c r="Q3041" s="1" t="str">
        <f aca="false">IF(P3041="","",IFERROR(IF(AND(H3041="W7",OR(F3041="causal",F3041="predictive")),IF(AND(K3041=1,L3041=1,M3041=1),"adequate","partial"),INDEX(Fit_Matrix!$B:$B,MATCH(P3041,Fit_Matrix!$A:$A,0))),"CHECK KEY"))</f>
        <v/>
      </c>
    </row>
    <row r="3042" customFormat="false" ht="15" hidden="false" customHeight="true" outlineLevel="0" collapsed="false">
      <c r="P3042" s="1" t="str">
        <f aca="false">IF(OR(F3042="",H3042="",J3042=""),"",J3042&amp;"|"&amp;F3042&amp;"|"&amp;IF(H3042="W3","W3_"&amp;IF(I3042="","unknown",I3042),H3042))</f>
        <v/>
      </c>
      <c r="Q3042" s="1" t="str">
        <f aca="false">IF(P3042="","",IFERROR(IF(AND(H3042="W7",OR(F3042="causal",F3042="predictive")),IF(AND(K3042=1,L3042=1,M3042=1),"adequate","partial"),INDEX(Fit_Matrix!$B:$B,MATCH(P3042,Fit_Matrix!$A:$A,0))),"CHECK KEY"))</f>
        <v/>
      </c>
    </row>
    <row r="3043" customFormat="false" ht="15" hidden="false" customHeight="true" outlineLevel="0" collapsed="false">
      <c r="P3043" s="1" t="str">
        <f aca="false">IF(OR(F3043="",H3043="",J3043=""),"",J3043&amp;"|"&amp;F3043&amp;"|"&amp;IF(H3043="W3","W3_"&amp;IF(I3043="","unknown",I3043),H3043))</f>
        <v/>
      </c>
      <c r="Q3043" s="1" t="str">
        <f aca="false">IF(P3043="","",IFERROR(IF(AND(H3043="W7",OR(F3043="causal",F3043="predictive")),IF(AND(K3043=1,L3043=1,M3043=1),"adequate","partial"),INDEX(Fit_Matrix!$B:$B,MATCH(P3043,Fit_Matrix!$A:$A,0))),"CHECK KEY"))</f>
        <v/>
      </c>
    </row>
    <row r="3044" customFormat="false" ht="15" hidden="false" customHeight="true" outlineLevel="0" collapsed="false">
      <c r="P3044" s="1" t="str">
        <f aca="false">IF(OR(F3044="",H3044="",J3044=""),"",J3044&amp;"|"&amp;F3044&amp;"|"&amp;IF(H3044="W3","W3_"&amp;IF(I3044="","unknown",I3044),H3044))</f>
        <v/>
      </c>
      <c r="Q3044" s="1" t="str">
        <f aca="false">IF(P3044="","",IFERROR(IF(AND(H3044="W7",OR(F3044="causal",F3044="predictive")),IF(AND(K3044=1,L3044=1,M3044=1),"adequate","partial"),INDEX(Fit_Matrix!$B:$B,MATCH(P3044,Fit_Matrix!$A:$A,0))),"CHECK KEY"))</f>
        <v/>
      </c>
    </row>
    <row r="3045" customFormat="false" ht="15" hidden="false" customHeight="true" outlineLevel="0" collapsed="false">
      <c r="P3045" s="1" t="str">
        <f aca="false">IF(OR(F3045="",H3045="",J3045=""),"",J3045&amp;"|"&amp;F3045&amp;"|"&amp;IF(H3045="W3","W3_"&amp;IF(I3045="","unknown",I3045),H3045))</f>
        <v/>
      </c>
      <c r="Q3045" s="1" t="str">
        <f aca="false">IF(P3045="","",IFERROR(IF(AND(H3045="W7",OR(F3045="causal",F3045="predictive")),IF(AND(K3045=1,L3045=1,M3045=1),"adequate","partial"),INDEX(Fit_Matrix!$B:$B,MATCH(P3045,Fit_Matrix!$A:$A,0))),"CHECK KEY"))</f>
        <v/>
      </c>
    </row>
    <row r="3046" customFormat="false" ht="15" hidden="false" customHeight="true" outlineLevel="0" collapsed="false">
      <c r="P3046" s="1" t="str">
        <f aca="false">IF(OR(F3046="",H3046="",J3046=""),"",J3046&amp;"|"&amp;F3046&amp;"|"&amp;IF(H3046="W3","W3_"&amp;IF(I3046="","unknown",I3046),H3046))</f>
        <v/>
      </c>
      <c r="Q3046" s="1" t="str">
        <f aca="false">IF(P3046="","",IFERROR(IF(AND(H3046="W7",OR(F3046="causal",F3046="predictive")),IF(AND(K3046=1,L3046=1,M3046=1),"adequate","partial"),INDEX(Fit_Matrix!$B:$B,MATCH(P3046,Fit_Matrix!$A:$A,0))),"CHECK KEY"))</f>
        <v/>
      </c>
    </row>
    <row r="3047" customFormat="false" ht="15" hidden="false" customHeight="true" outlineLevel="0" collapsed="false">
      <c r="P3047" s="1" t="str">
        <f aca="false">IF(OR(F3047="",H3047="",J3047=""),"",J3047&amp;"|"&amp;F3047&amp;"|"&amp;IF(H3047="W3","W3_"&amp;IF(I3047="","unknown",I3047),H3047))</f>
        <v/>
      </c>
      <c r="Q3047" s="1" t="str">
        <f aca="false">IF(P3047="","",IFERROR(IF(AND(H3047="W7",OR(F3047="causal",F3047="predictive")),IF(AND(K3047=1,L3047=1,M3047=1),"adequate","partial"),INDEX(Fit_Matrix!$B:$B,MATCH(P3047,Fit_Matrix!$A:$A,0))),"CHECK KEY"))</f>
        <v/>
      </c>
    </row>
    <row r="3048" customFormat="false" ht="15" hidden="false" customHeight="true" outlineLevel="0" collapsed="false">
      <c r="P3048" s="1" t="str">
        <f aca="false">IF(OR(F3048="",H3048="",J3048=""),"",J3048&amp;"|"&amp;F3048&amp;"|"&amp;IF(H3048="W3","W3_"&amp;IF(I3048="","unknown",I3048),H3048))</f>
        <v/>
      </c>
      <c r="Q3048" s="1" t="str">
        <f aca="false">IF(P3048="","",IFERROR(IF(AND(H3048="W7",OR(F3048="causal",F3048="predictive")),IF(AND(K3048=1,L3048=1,M3048=1),"adequate","partial"),INDEX(Fit_Matrix!$B:$B,MATCH(P3048,Fit_Matrix!$A:$A,0))),"CHECK KEY"))</f>
        <v/>
      </c>
    </row>
    <row r="3049" customFormat="false" ht="15" hidden="false" customHeight="true" outlineLevel="0" collapsed="false">
      <c r="P3049" s="1" t="str">
        <f aca="false">IF(OR(F3049="",H3049="",J3049=""),"",J3049&amp;"|"&amp;F3049&amp;"|"&amp;IF(H3049="W3","W3_"&amp;IF(I3049="","unknown",I3049),H3049))</f>
        <v/>
      </c>
      <c r="Q3049" s="1" t="str">
        <f aca="false">IF(P3049="","",IFERROR(IF(AND(H3049="W7",OR(F3049="causal",F3049="predictive")),IF(AND(K3049=1,L3049=1,M3049=1),"adequate","partial"),INDEX(Fit_Matrix!$B:$B,MATCH(P3049,Fit_Matrix!$A:$A,0))),"CHECK KEY"))</f>
        <v/>
      </c>
    </row>
    <row r="3050" customFormat="false" ht="15" hidden="false" customHeight="true" outlineLevel="0" collapsed="false">
      <c r="P3050" s="1" t="str">
        <f aca="false">IF(OR(F3050="",H3050="",J3050=""),"",J3050&amp;"|"&amp;F3050&amp;"|"&amp;IF(H3050="W3","W3_"&amp;IF(I3050="","unknown",I3050),H3050))</f>
        <v/>
      </c>
      <c r="Q3050" s="1" t="str">
        <f aca="false">IF(P3050="","",IFERROR(IF(AND(H3050="W7",OR(F3050="causal",F3050="predictive")),IF(AND(K3050=1,L3050=1,M3050=1),"adequate","partial"),INDEX(Fit_Matrix!$B:$B,MATCH(P3050,Fit_Matrix!$A:$A,0))),"CHECK KEY"))</f>
        <v/>
      </c>
    </row>
    <row r="3051" customFormat="false" ht="15" hidden="false" customHeight="true" outlineLevel="0" collapsed="false">
      <c r="P3051" s="1" t="str">
        <f aca="false">IF(OR(F3051="",H3051="",J3051=""),"",J3051&amp;"|"&amp;F3051&amp;"|"&amp;IF(H3051="W3","W3_"&amp;IF(I3051="","unknown",I3051),H3051))</f>
        <v/>
      </c>
      <c r="Q3051" s="1" t="str">
        <f aca="false">IF(P3051="","",IFERROR(IF(AND(H3051="W7",OR(F3051="causal",F3051="predictive")),IF(AND(K3051=1,L3051=1,M3051=1),"adequate","partial"),INDEX(Fit_Matrix!$B:$B,MATCH(P3051,Fit_Matrix!$A:$A,0))),"CHECK KEY"))</f>
        <v/>
      </c>
    </row>
    <row r="3052" customFormat="false" ht="15" hidden="false" customHeight="true" outlineLevel="0" collapsed="false">
      <c r="P3052" s="1" t="str">
        <f aca="false">IF(OR(F3052="",H3052="",J3052=""),"",J3052&amp;"|"&amp;F3052&amp;"|"&amp;IF(H3052="W3","W3_"&amp;IF(I3052="","unknown",I3052),H3052))</f>
        <v/>
      </c>
      <c r="Q3052" s="1" t="str">
        <f aca="false">IF(P3052="","",IFERROR(IF(AND(H3052="W7",OR(F3052="causal",F3052="predictive")),IF(AND(K3052=1,L3052=1,M3052=1),"adequate","partial"),INDEX(Fit_Matrix!$B:$B,MATCH(P3052,Fit_Matrix!$A:$A,0))),"CHECK KEY"))</f>
        <v/>
      </c>
    </row>
    <row r="3053" customFormat="false" ht="15" hidden="false" customHeight="true" outlineLevel="0" collapsed="false">
      <c r="P3053" s="1" t="str">
        <f aca="false">IF(OR(F3053="",H3053="",J3053=""),"",J3053&amp;"|"&amp;F3053&amp;"|"&amp;IF(H3053="W3","W3_"&amp;IF(I3053="","unknown",I3053),H3053))</f>
        <v/>
      </c>
      <c r="Q3053" s="1" t="str">
        <f aca="false">IF(P3053="","",IFERROR(IF(AND(H3053="W7",OR(F3053="causal",F3053="predictive")),IF(AND(K3053=1,L3053=1,M3053=1),"adequate","partial"),INDEX(Fit_Matrix!$B:$B,MATCH(P3053,Fit_Matrix!$A:$A,0))),"CHECK KEY"))</f>
        <v/>
      </c>
    </row>
    <row r="3054" customFormat="false" ht="15" hidden="false" customHeight="true" outlineLevel="0" collapsed="false">
      <c r="P3054" s="1" t="str">
        <f aca="false">IF(OR(F3054="",H3054="",J3054=""),"",J3054&amp;"|"&amp;F3054&amp;"|"&amp;IF(H3054="W3","W3_"&amp;IF(I3054="","unknown",I3054),H3054))</f>
        <v/>
      </c>
      <c r="Q3054" s="1" t="str">
        <f aca="false">IF(P3054="","",IFERROR(IF(AND(H3054="W7",OR(F3054="causal",F3054="predictive")),IF(AND(K3054=1,L3054=1,M3054=1),"adequate","partial"),INDEX(Fit_Matrix!$B:$B,MATCH(P3054,Fit_Matrix!$A:$A,0))),"CHECK KEY"))</f>
        <v/>
      </c>
    </row>
    <row r="3055" customFormat="false" ht="15" hidden="false" customHeight="true" outlineLevel="0" collapsed="false">
      <c r="P3055" s="1" t="str">
        <f aca="false">IF(OR(F3055="",H3055="",J3055=""),"",J3055&amp;"|"&amp;F3055&amp;"|"&amp;IF(H3055="W3","W3_"&amp;IF(I3055="","unknown",I3055),H3055))</f>
        <v/>
      </c>
      <c r="Q3055" s="1" t="str">
        <f aca="false">IF(P3055="","",IFERROR(IF(AND(H3055="W7",OR(F3055="causal",F3055="predictive")),IF(AND(K3055=1,L3055=1,M3055=1),"adequate","partial"),INDEX(Fit_Matrix!$B:$B,MATCH(P3055,Fit_Matrix!$A:$A,0))),"CHECK KEY"))</f>
        <v/>
      </c>
    </row>
    <row r="3056" customFormat="false" ht="15" hidden="false" customHeight="true" outlineLevel="0" collapsed="false">
      <c r="P3056" s="1" t="str">
        <f aca="false">IF(OR(F3056="",H3056="",J3056=""),"",J3056&amp;"|"&amp;F3056&amp;"|"&amp;IF(H3056="W3","W3_"&amp;IF(I3056="","unknown",I3056),H3056))</f>
        <v/>
      </c>
      <c r="Q3056" s="1" t="str">
        <f aca="false">IF(P3056="","",IFERROR(IF(AND(H3056="W7",OR(F3056="causal",F3056="predictive")),IF(AND(K3056=1,L3056=1,M3056=1),"adequate","partial"),INDEX(Fit_Matrix!$B:$B,MATCH(P3056,Fit_Matrix!$A:$A,0))),"CHECK KEY"))</f>
        <v/>
      </c>
    </row>
    <row r="3057" customFormat="false" ht="15" hidden="false" customHeight="true" outlineLevel="0" collapsed="false">
      <c r="P3057" s="1" t="str">
        <f aca="false">IF(OR(F3057="",H3057="",J3057=""),"",J3057&amp;"|"&amp;F3057&amp;"|"&amp;IF(H3057="W3","W3_"&amp;IF(I3057="","unknown",I3057),H3057))</f>
        <v/>
      </c>
      <c r="Q3057" s="1" t="str">
        <f aca="false">IF(P3057="","",IFERROR(IF(AND(H3057="W7",OR(F3057="causal",F3057="predictive")),IF(AND(K3057=1,L3057=1,M3057=1),"adequate","partial"),INDEX(Fit_Matrix!$B:$B,MATCH(P3057,Fit_Matrix!$A:$A,0))),"CHECK KEY"))</f>
        <v/>
      </c>
    </row>
    <row r="3058" customFormat="false" ht="15" hidden="false" customHeight="true" outlineLevel="0" collapsed="false">
      <c r="P3058" s="1" t="str">
        <f aca="false">IF(OR(F3058="",H3058="",J3058=""),"",J3058&amp;"|"&amp;F3058&amp;"|"&amp;IF(H3058="W3","W3_"&amp;IF(I3058="","unknown",I3058),H3058))</f>
        <v/>
      </c>
      <c r="Q3058" s="1" t="str">
        <f aca="false">IF(P3058="","",IFERROR(IF(AND(H3058="W7",OR(F3058="causal",F3058="predictive")),IF(AND(K3058=1,L3058=1,M3058=1),"adequate","partial"),INDEX(Fit_Matrix!$B:$B,MATCH(P3058,Fit_Matrix!$A:$A,0))),"CHECK KEY"))</f>
        <v/>
      </c>
    </row>
    <row r="3059" customFormat="false" ht="15" hidden="false" customHeight="true" outlineLevel="0" collapsed="false">
      <c r="P3059" s="1" t="str">
        <f aca="false">IF(OR(F3059="",H3059="",J3059=""),"",J3059&amp;"|"&amp;F3059&amp;"|"&amp;IF(H3059="W3","W3_"&amp;IF(I3059="","unknown",I3059),H3059))</f>
        <v/>
      </c>
      <c r="Q3059" s="1" t="str">
        <f aca="false">IF(P3059="","",IFERROR(IF(AND(H3059="W7",OR(F3059="causal",F3059="predictive")),IF(AND(K3059=1,L3059=1,M3059=1),"adequate","partial"),INDEX(Fit_Matrix!$B:$B,MATCH(P3059,Fit_Matrix!$A:$A,0))),"CHECK KEY"))</f>
        <v/>
      </c>
    </row>
    <row r="3060" customFormat="false" ht="15" hidden="false" customHeight="true" outlineLevel="0" collapsed="false">
      <c r="P3060" s="1" t="str">
        <f aca="false">IF(OR(F3060="",H3060="",J3060=""),"",J3060&amp;"|"&amp;F3060&amp;"|"&amp;IF(H3060="W3","W3_"&amp;IF(I3060="","unknown",I3060),H3060))</f>
        <v/>
      </c>
      <c r="Q3060" s="1" t="str">
        <f aca="false">IF(P3060="","",IFERROR(IF(AND(H3060="W7",OR(F3060="causal",F3060="predictive")),IF(AND(K3060=1,L3060=1,M3060=1),"adequate","partial"),INDEX(Fit_Matrix!$B:$B,MATCH(P3060,Fit_Matrix!$A:$A,0))),"CHECK KEY"))</f>
        <v/>
      </c>
    </row>
    <row r="3061" customFormat="false" ht="15" hidden="false" customHeight="true" outlineLevel="0" collapsed="false">
      <c r="P3061" s="1" t="str">
        <f aca="false">IF(OR(F3061="",H3061="",J3061=""),"",J3061&amp;"|"&amp;F3061&amp;"|"&amp;IF(H3061="W3","W3_"&amp;IF(I3061="","unknown",I3061),H3061))</f>
        <v/>
      </c>
      <c r="Q3061" s="1" t="str">
        <f aca="false">IF(P3061="","",IFERROR(IF(AND(H3061="W7",OR(F3061="causal",F3061="predictive")),IF(AND(K3061=1,L3061=1,M3061=1),"adequate","partial"),INDEX(Fit_Matrix!$B:$B,MATCH(P3061,Fit_Matrix!$A:$A,0))),"CHECK KEY"))</f>
        <v/>
      </c>
    </row>
    <row r="3062" customFormat="false" ht="15" hidden="false" customHeight="true" outlineLevel="0" collapsed="false">
      <c r="P3062" s="1" t="str">
        <f aca="false">IF(OR(F3062="",H3062="",J3062=""),"",J3062&amp;"|"&amp;F3062&amp;"|"&amp;IF(H3062="W3","W3_"&amp;IF(I3062="","unknown",I3062),H3062))</f>
        <v/>
      </c>
      <c r="Q3062" s="1" t="str">
        <f aca="false">IF(P3062="","",IFERROR(IF(AND(H3062="W7",OR(F3062="causal",F3062="predictive")),IF(AND(K3062=1,L3062=1,M3062=1),"adequate","partial"),INDEX(Fit_Matrix!$B:$B,MATCH(P3062,Fit_Matrix!$A:$A,0))),"CHECK KEY"))</f>
        <v/>
      </c>
    </row>
    <row r="3063" customFormat="false" ht="15" hidden="false" customHeight="true" outlineLevel="0" collapsed="false">
      <c r="P3063" s="1" t="str">
        <f aca="false">IF(OR(F3063="",H3063="",J3063=""),"",J3063&amp;"|"&amp;F3063&amp;"|"&amp;IF(H3063="W3","W3_"&amp;IF(I3063="","unknown",I3063),H3063))</f>
        <v/>
      </c>
      <c r="Q3063" s="1" t="str">
        <f aca="false">IF(P3063="","",IFERROR(IF(AND(H3063="W7",OR(F3063="causal",F3063="predictive")),IF(AND(K3063=1,L3063=1,M3063=1),"adequate","partial"),INDEX(Fit_Matrix!$B:$B,MATCH(P3063,Fit_Matrix!$A:$A,0))),"CHECK KEY"))</f>
        <v/>
      </c>
    </row>
    <row r="3064" customFormat="false" ht="15" hidden="false" customHeight="true" outlineLevel="0" collapsed="false">
      <c r="P3064" s="1" t="str">
        <f aca="false">IF(OR(F3064="",H3064="",J3064=""),"",J3064&amp;"|"&amp;F3064&amp;"|"&amp;IF(H3064="W3","W3_"&amp;IF(I3064="","unknown",I3064),H3064))</f>
        <v/>
      </c>
      <c r="Q3064" s="1" t="str">
        <f aca="false">IF(P3064="","",IFERROR(IF(AND(H3064="W7",OR(F3064="causal",F3064="predictive")),IF(AND(K3064=1,L3064=1,M3064=1),"adequate","partial"),INDEX(Fit_Matrix!$B:$B,MATCH(P3064,Fit_Matrix!$A:$A,0))),"CHECK KEY"))</f>
        <v/>
      </c>
    </row>
    <row r="3065" customFormat="false" ht="15" hidden="false" customHeight="true" outlineLevel="0" collapsed="false">
      <c r="P3065" s="1" t="str">
        <f aca="false">IF(OR(F3065="",H3065="",J3065=""),"",J3065&amp;"|"&amp;F3065&amp;"|"&amp;IF(H3065="W3","W3_"&amp;IF(I3065="","unknown",I3065),H3065))</f>
        <v/>
      </c>
      <c r="Q3065" s="1" t="str">
        <f aca="false">IF(P3065="","",IFERROR(IF(AND(H3065="W7",OR(F3065="causal",F3065="predictive")),IF(AND(K3065=1,L3065=1,M3065=1),"adequate","partial"),INDEX(Fit_Matrix!$B:$B,MATCH(P3065,Fit_Matrix!$A:$A,0))),"CHECK KEY"))</f>
        <v/>
      </c>
    </row>
    <row r="3066" customFormat="false" ht="15" hidden="false" customHeight="true" outlineLevel="0" collapsed="false">
      <c r="P3066" s="1" t="str">
        <f aca="false">IF(OR(F3066="",H3066="",J3066=""),"",J3066&amp;"|"&amp;F3066&amp;"|"&amp;IF(H3066="W3","W3_"&amp;IF(I3066="","unknown",I3066),H3066))</f>
        <v/>
      </c>
      <c r="Q3066" s="1" t="str">
        <f aca="false">IF(P3066="","",IFERROR(IF(AND(H3066="W7",OR(F3066="causal",F3066="predictive")),IF(AND(K3066=1,L3066=1,M3066=1),"adequate","partial"),INDEX(Fit_Matrix!$B:$B,MATCH(P3066,Fit_Matrix!$A:$A,0))),"CHECK KEY"))</f>
        <v/>
      </c>
    </row>
    <row r="3067" customFormat="false" ht="15" hidden="false" customHeight="true" outlineLevel="0" collapsed="false">
      <c r="P3067" s="1" t="str">
        <f aca="false">IF(OR(F3067="",H3067="",J3067=""),"",J3067&amp;"|"&amp;F3067&amp;"|"&amp;IF(H3067="W3","W3_"&amp;IF(I3067="","unknown",I3067),H3067))</f>
        <v/>
      </c>
      <c r="Q3067" s="1" t="str">
        <f aca="false">IF(P3067="","",IFERROR(IF(AND(H3067="W7",OR(F3067="causal",F3067="predictive")),IF(AND(K3067=1,L3067=1,M3067=1),"adequate","partial"),INDEX(Fit_Matrix!$B:$B,MATCH(P3067,Fit_Matrix!$A:$A,0))),"CHECK KEY"))</f>
        <v/>
      </c>
    </row>
    <row r="3068" customFormat="false" ht="15" hidden="false" customHeight="true" outlineLevel="0" collapsed="false">
      <c r="P3068" s="1" t="str">
        <f aca="false">IF(OR(F3068="",H3068="",J3068=""),"",J3068&amp;"|"&amp;F3068&amp;"|"&amp;IF(H3068="W3","W3_"&amp;IF(I3068="","unknown",I3068),H3068))</f>
        <v/>
      </c>
      <c r="Q3068" s="1" t="str">
        <f aca="false">IF(P3068="","",IFERROR(IF(AND(H3068="W7",OR(F3068="causal",F3068="predictive")),IF(AND(K3068=1,L3068=1,M3068=1),"adequate","partial"),INDEX(Fit_Matrix!$B:$B,MATCH(P3068,Fit_Matrix!$A:$A,0))),"CHECK KEY"))</f>
        <v/>
      </c>
    </row>
    <row r="3069" customFormat="false" ht="15" hidden="false" customHeight="true" outlineLevel="0" collapsed="false">
      <c r="P3069" s="1" t="str">
        <f aca="false">IF(OR(F3069="",H3069="",J3069=""),"",J3069&amp;"|"&amp;F3069&amp;"|"&amp;IF(H3069="W3","W3_"&amp;IF(I3069="","unknown",I3069),H3069))</f>
        <v/>
      </c>
      <c r="Q3069" s="1" t="str">
        <f aca="false">IF(P3069="","",IFERROR(IF(AND(H3069="W7",OR(F3069="causal",F3069="predictive")),IF(AND(K3069=1,L3069=1,M3069=1),"adequate","partial"),INDEX(Fit_Matrix!$B:$B,MATCH(P3069,Fit_Matrix!$A:$A,0))),"CHECK KEY"))</f>
        <v/>
      </c>
    </row>
    <row r="3070" customFormat="false" ht="15" hidden="false" customHeight="true" outlineLevel="0" collapsed="false">
      <c r="P3070" s="1" t="str">
        <f aca="false">IF(OR(F3070="",H3070="",J3070=""),"",J3070&amp;"|"&amp;F3070&amp;"|"&amp;IF(H3070="W3","W3_"&amp;IF(I3070="","unknown",I3070),H3070))</f>
        <v/>
      </c>
      <c r="Q3070" s="1" t="str">
        <f aca="false">IF(P3070="","",IFERROR(IF(AND(H3070="W7",OR(F3070="causal",F3070="predictive")),IF(AND(K3070=1,L3070=1,M3070=1),"adequate","partial"),INDEX(Fit_Matrix!$B:$B,MATCH(P3070,Fit_Matrix!$A:$A,0))),"CHECK KEY"))</f>
        <v/>
      </c>
    </row>
    <row r="3071" customFormat="false" ht="15" hidden="false" customHeight="true" outlineLevel="0" collapsed="false">
      <c r="P3071" s="1" t="str">
        <f aca="false">IF(OR(F3071="",H3071="",J3071=""),"",J3071&amp;"|"&amp;F3071&amp;"|"&amp;IF(H3071="W3","W3_"&amp;IF(I3071="","unknown",I3071),H3071))</f>
        <v/>
      </c>
      <c r="Q3071" s="1" t="str">
        <f aca="false">IF(P3071="","",IFERROR(IF(AND(H3071="W7",OR(F3071="causal",F3071="predictive")),IF(AND(K3071=1,L3071=1,M3071=1),"adequate","partial"),INDEX(Fit_Matrix!$B:$B,MATCH(P3071,Fit_Matrix!$A:$A,0))),"CHECK KEY"))</f>
        <v/>
      </c>
    </row>
    <row r="3072" customFormat="false" ht="15" hidden="false" customHeight="true" outlineLevel="0" collapsed="false">
      <c r="P3072" s="1" t="str">
        <f aca="false">IF(OR(F3072="",H3072="",J3072=""),"",J3072&amp;"|"&amp;F3072&amp;"|"&amp;IF(H3072="W3","W3_"&amp;IF(I3072="","unknown",I3072),H3072))</f>
        <v/>
      </c>
      <c r="Q3072" s="1" t="str">
        <f aca="false">IF(P3072="","",IFERROR(IF(AND(H3072="W7",OR(F3072="causal",F3072="predictive")),IF(AND(K3072=1,L3072=1,M3072=1),"adequate","partial"),INDEX(Fit_Matrix!$B:$B,MATCH(P3072,Fit_Matrix!$A:$A,0))),"CHECK KEY"))</f>
        <v/>
      </c>
    </row>
    <row r="3073" customFormat="false" ht="15" hidden="false" customHeight="true" outlineLevel="0" collapsed="false">
      <c r="P3073" s="1" t="str">
        <f aca="false">IF(OR(F3073="",H3073="",J3073=""),"",J3073&amp;"|"&amp;F3073&amp;"|"&amp;IF(H3073="W3","W3_"&amp;IF(I3073="","unknown",I3073),H3073))</f>
        <v/>
      </c>
      <c r="Q3073" s="1" t="str">
        <f aca="false">IF(P3073="","",IFERROR(IF(AND(H3073="W7",OR(F3073="causal",F3073="predictive")),IF(AND(K3073=1,L3073=1,M3073=1),"adequate","partial"),INDEX(Fit_Matrix!$B:$B,MATCH(P3073,Fit_Matrix!$A:$A,0))),"CHECK KEY"))</f>
        <v/>
      </c>
    </row>
    <row r="3074" customFormat="false" ht="15" hidden="false" customHeight="true" outlineLevel="0" collapsed="false">
      <c r="P3074" s="1" t="str">
        <f aca="false">IF(OR(F3074="",H3074="",J3074=""),"",J3074&amp;"|"&amp;F3074&amp;"|"&amp;IF(H3074="W3","W3_"&amp;IF(I3074="","unknown",I3074),H3074))</f>
        <v/>
      </c>
      <c r="Q3074" s="1" t="str">
        <f aca="false">IF(P3074="","",IFERROR(IF(AND(H3074="W7",OR(F3074="causal",F3074="predictive")),IF(AND(K3074=1,L3074=1,M3074=1),"adequate","partial"),INDEX(Fit_Matrix!$B:$B,MATCH(P3074,Fit_Matrix!$A:$A,0))),"CHECK KEY"))</f>
        <v/>
      </c>
    </row>
    <row r="3075" customFormat="false" ht="15" hidden="false" customHeight="true" outlineLevel="0" collapsed="false">
      <c r="P3075" s="1" t="str">
        <f aca="false">IF(OR(F3075="",H3075="",J3075=""),"",J3075&amp;"|"&amp;F3075&amp;"|"&amp;IF(H3075="W3","W3_"&amp;IF(I3075="","unknown",I3075),H3075))</f>
        <v/>
      </c>
      <c r="Q3075" s="1" t="str">
        <f aca="false">IF(P3075="","",IFERROR(IF(AND(H3075="W7",OR(F3075="causal",F3075="predictive")),IF(AND(K3075=1,L3075=1,M3075=1),"adequate","partial"),INDEX(Fit_Matrix!$B:$B,MATCH(P3075,Fit_Matrix!$A:$A,0))),"CHECK KEY"))</f>
        <v/>
      </c>
    </row>
    <row r="3076" customFormat="false" ht="15" hidden="false" customHeight="true" outlineLevel="0" collapsed="false">
      <c r="P3076" s="1" t="str">
        <f aca="false">IF(OR(F3076="",H3076="",J3076=""),"",J3076&amp;"|"&amp;F3076&amp;"|"&amp;IF(H3076="W3","W3_"&amp;IF(I3076="","unknown",I3076),H3076))</f>
        <v/>
      </c>
      <c r="Q3076" s="1" t="str">
        <f aca="false">IF(P3076="","",IFERROR(IF(AND(H3076="W7",OR(F3076="causal",F3076="predictive")),IF(AND(K3076=1,L3076=1,M3076=1),"adequate","partial"),INDEX(Fit_Matrix!$B:$B,MATCH(P3076,Fit_Matrix!$A:$A,0))),"CHECK KEY"))</f>
        <v/>
      </c>
    </row>
    <row r="3077" customFormat="false" ht="15" hidden="false" customHeight="true" outlineLevel="0" collapsed="false">
      <c r="P3077" s="1" t="str">
        <f aca="false">IF(OR(F3077="",H3077="",J3077=""),"",J3077&amp;"|"&amp;F3077&amp;"|"&amp;IF(H3077="W3","W3_"&amp;IF(I3077="","unknown",I3077),H3077))</f>
        <v/>
      </c>
      <c r="Q3077" s="1" t="str">
        <f aca="false">IF(P3077="","",IFERROR(IF(AND(H3077="W7",OR(F3077="causal",F3077="predictive")),IF(AND(K3077=1,L3077=1,M3077=1),"adequate","partial"),INDEX(Fit_Matrix!$B:$B,MATCH(P3077,Fit_Matrix!$A:$A,0))),"CHECK KEY"))</f>
        <v/>
      </c>
    </row>
    <row r="3078" customFormat="false" ht="15" hidden="false" customHeight="true" outlineLevel="0" collapsed="false">
      <c r="P3078" s="1" t="str">
        <f aca="false">IF(OR(F3078="",H3078="",J3078=""),"",J3078&amp;"|"&amp;F3078&amp;"|"&amp;IF(H3078="W3","W3_"&amp;IF(I3078="","unknown",I3078),H3078))</f>
        <v/>
      </c>
      <c r="Q3078" s="1" t="str">
        <f aca="false">IF(P3078="","",IFERROR(IF(AND(H3078="W7",OR(F3078="causal",F3078="predictive")),IF(AND(K3078=1,L3078=1,M3078=1),"adequate","partial"),INDEX(Fit_Matrix!$B:$B,MATCH(P3078,Fit_Matrix!$A:$A,0))),"CHECK KEY"))</f>
        <v/>
      </c>
    </row>
    <row r="3079" customFormat="false" ht="15" hidden="false" customHeight="true" outlineLevel="0" collapsed="false">
      <c r="P3079" s="1" t="str">
        <f aca="false">IF(OR(F3079="",H3079="",J3079=""),"",J3079&amp;"|"&amp;F3079&amp;"|"&amp;IF(H3079="W3","W3_"&amp;IF(I3079="","unknown",I3079),H3079))</f>
        <v/>
      </c>
      <c r="Q3079" s="1" t="str">
        <f aca="false">IF(P3079="","",IFERROR(IF(AND(H3079="W7",OR(F3079="causal",F3079="predictive")),IF(AND(K3079=1,L3079=1,M3079=1),"adequate","partial"),INDEX(Fit_Matrix!$B:$B,MATCH(P3079,Fit_Matrix!$A:$A,0))),"CHECK KEY"))</f>
        <v/>
      </c>
    </row>
    <row r="3080" customFormat="false" ht="15" hidden="false" customHeight="true" outlineLevel="0" collapsed="false">
      <c r="P3080" s="1" t="str">
        <f aca="false">IF(OR(F3080="",H3080="",J3080=""),"",J3080&amp;"|"&amp;F3080&amp;"|"&amp;IF(H3080="W3","W3_"&amp;IF(I3080="","unknown",I3080),H3080))</f>
        <v/>
      </c>
      <c r="Q3080" s="1" t="str">
        <f aca="false">IF(P3080="","",IFERROR(IF(AND(H3080="W7",OR(F3080="causal",F3080="predictive")),IF(AND(K3080=1,L3080=1,M3080=1),"adequate","partial"),INDEX(Fit_Matrix!$B:$B,MATCH(P3080,Fit_Matrix!$A:$A,0))),"CHECK KEY"))</f>
        <v/>
      </c>
    </row>
    <row r="3081" customFormat="false" ht="15" hidden="false" customHeight="true" outlineLevel="0" collapsed="false">
      <c r="P3081" s="1" t="str">
        <f aca="false">IF(OR(F3081="",H3081="",J3081=""),"",J3081&amp;"|"&amp;F3081&amp;"|"&amp;IF(H3081="W3","W3_"&amp;IF(I3081="","unknown",I3081),H3081))</f>
        <v/>
      </c>
      <c r="Q3081" s="1" t="str">
        <f aca="false">IF(P3081="","",IFERROR(IF(AND(H3081="W7",OR(F3081="causal",F3081="predictive")),IF(AND(K3081=1,L3081=1,M3081=1),"adequate","partial"),INDEX(Fit_Matrix!$B:$B,MATCH(P3081,Fit_Matrix!$A:$A,0))),"CHECK KEY"))</f>
        <v/>
      </c>
    </row>
    <row r="3082" customFormat="false" ht="15" hidden="false" customHeight="true" outlineLevel="0" collapsed="false">
      <c r="P3082" s="1" t="str">
        <f aca="false">IF(OR(F3082="",H3082="",J3082=""),"",J3082&amp;"|"&amp;F3082&amp;"|"&amp;IF(H3082="W3","W3_"&amp;IF(I3082="","unknown",I3082),H3082))</f>
        <v/>
      </c>
      <c r="Q3082" s="1" t="str">
        <f aca="false">IF(P3082="","",IFERROR(IF(AND(H3082="W7",OR(F3082="causal",F3082="predictive")),IF(AND(K3082=1,L3082=1,M3082=1),"adequate","partial"),INDEX(Fit_Matrix!$B:$B,MATCH(P3082,Fit_Matrix!$A:$A,0))),"CHECK KEY"))</f>
        <v/>
      </c>
    </row>
    <row r="3083" customFormat="false" ht="15" hidden="false" customHeight="true" outlineLevel="0" collapsed="false">
      <c r="P3083" s="1" t="str">
        <f aca="false">IF(OR(F3083="",H3083="",J3083=""),"",J3083&amp;"|"&amp;F3083&amp;"|"&amp;IF(H3083="W3","W3_"&amp;IF(I3083="","unknown",I3083),H3083))</f>
        <v/>
      </c>
      <c r="Q3083" s="1" t="str">
        <f aca="false">IF(P3083="","",IFERROR(IF(AND(H3083="W7",OR(F3083="causal",F3083="predictive")),IF(AND(K3083=1,L3083=1,M3083=1),"adequate","partial"),INDEX(Fit_Matrix!$B:$B,MATCH(P3083,Fit_Matrix!$A:$A,0))),"CHECK KEY"))</f>
        <v/>
      </c>
    </row>
    <row r="3084" customFormat="false" ht="15" hidden="false" customHeight="true" outlineLevel="0" collapsed="false">
      <c r="P3084" s="1" t="str">
        <f aca="false">IF(OR(F3084="",H3084="",J3084=""),"",J3084&amp;"|"&amp;F3084&amp;"|"&amp;IF(H3084="W3","W3_"&amp;IF(I3084="","unknown",I3084),H3084))</f>
        <v/>
      </c>
      <c r="Q3084" s="1" t="str">
        <f aca="false">IF(P3084="","",IFERROR(IF(AND(H3084="W7",OR(F3084="causal",F3084="predictive")),IF(AND(K3084=1,L3084=1,M3084=1),"adequate","partial"),INDEX(Fit_Matrix!$B:$B,MATCH(P3084,Fit_Matrix!$A:$A,0))),"CHECK KEY"))</f>
        <v/>
      </c>
    </row>
    <row r="3085" customFormat="false" ht="15" hidden="false" customHeight="true" outlineLevel="0" collapsed="false">
      <c r="P3085" s="1" t="str">
        <f aca="false">IF(OR(F3085="",H3085="",J3085=""),"",J3085&amp;"|"&amp;F3085&amp;"|"&amp;IF(H3085="W3","W3_"&amp;IF(I3085="","unknown",I3085),H3085))</f>
        <v/>
      </c>
      <c r="Q3085" s="1" t="str">
        <f aca="false">IF(P3085="","",IFERROR(IF(AND(H3085="W7",OR(F3085="causal",F3085="predictive")),IF(AND(K3085=1,L3085=1,M3085=1),"adequate","partial"),INDEX(Fit_Matrix!$B:$B,MATCH(P3085,Fit_Matrix!$A:$A,0))),"CHECK KEY"))</f>
        <v/>
      </c>
    </row>
    <row r="3086" customFormat="false" ht="15" hidden="false" customHeight="true" outlineLevel="0" collapsed="false">
      <c r="P3086" s="1" t="str">
        <f aca="false">IF(OR(F3086="",H3086="",J3086=""),"",J3086&amp;"|"&amp;F3086&amp;"|"&amp;IF(H3086="W3","W3_"&amp;IF(I3086="","unknown",I3086),H3086))</f>
        <v/>
      </c>
      <c r="Q3086" s="1" t="str">
        <f aca="false">IF(P3086="","",IFERROR(IF(AND(H3086="W7",OR(F3086="causal",F3086="predictive")),IF(AND(K3086=1,L3086=1,M3086=1),"adequate","partial"),INDEX(Fit_Matrix!$B:$B,MATCH(P3086,Fit_Matrix!$A:$A,0))),"CHECK KEY"))</f>
        <v/>
      </c>
    </row>
    <row r="3087" customFormat="false" ht="15" hidden="false" customHeight="true" outlineLevel="0" collapsed="false">
      <c r="P3087" s="1" t="str">
        <f aca="false">IF(OR(F3087="",H3087="",J3087=""),"",J3087&amp;"|"&amp;F3087&amp;"|"&amp;IF(H3087="W3","W3_"&amp;IF(I3087="","unknown",I3087),H3087))</f>
        <v/>
      </c>
      <c r="Q3087" s="1" t="str">
        <f aca="false">IF(P3087="","",IFERROR(IF(AND(H3087="W7",OR(F3087="causal",F3087="predictive")),IF(AND(K3087=1,L3087=1,M3087=1),"adequate","partial"),INDEX(Fit_Matrix!$B:$B,MATCH(P3087,Fit_Matrix!$A:$A,0))),"CHECK KEY"))</f>
        <v/>
      </c>
    </row>
    <row r="3088" customFormat="false" ht="15" hidden="false" customHeight="true" outlineLevel="0" collapsed="false">
      <c r="P3088" s="1" t="str">
        <f aca="false">IF(OR(F3088="",H3088="",J3088=""),"",J3088&amp;"|"&amp;F3088&amp;"|"&amp;IF(H3088="W3","W3_"&amp;IF(I3088="","unknown",I3088),H3088))</f>
        <v/>
      </c>
      <c r="Q3088" s="1" t="str">
        <f aca="false">IF(P3088="","",IFERROR(IF(AND(H3088="W7",OR(F3088="causal",F3088="predictive")),IF(AND(K3088=1,L3088=1,M3088=1),"adequate","partial"),INDEX(Fit_Matrix!$B:$B,MATCH(P3088,Fit_Matrix!$A:$A,0))),"CHECK KEY"))</f>
        <v/>
      </c>
    </row>
    <row r="3089" customFormat="false" ht="15" hidden="false" customHeight="true" outlineLevel="0" collapsed="false">
      <c r="P3089" s="1" t="str">
        <f aca="false">IF(OR(F3089="",H3089="",J3089=""),"",J3089&amp;"|"&amp;F3089&amp;"|"&amp;IF(H3089="W3","W3_"&amp;IF(I3089="","unknown",I3089),H3089))</f>
        <v/>
      </c>
      <c r="Q3089" s="1" t="str">
        <f aca="false">IF(P3089="","",IFERROR(IF(AND(H3089="W7",OR(F3089="causal",F3089="predictive")),IF(AND(K3089=1,L3089=1,M3089=1),"adequate","partial"),INDEX(Fit_Matrix!$B:$B,MATCH(P3089,Fit_Matrix!$A:$A,0))),"CHECK KEY"))</f>
        <v/>
      </c>
    </row>
    <row r="3090" customFormat="false" ht="15" hidden="false" customHeight="true" outlineLevel="0" collapsed="false">
      <c r="P3090" s="1" t="str">
        <f aca="false">IF(OR(F3090="",H3090="",J3090=""),"",J3090&amp;"|"&amp;F3090&amp;"|"&amp;IF(H3090="W3","W3_"&amp;IF(I3090="","unknown",I3090),H3090))</f>
        <v/>
      </c>
      <c r="Q3090" s="1" t="str">
        <f aca="false">IF(P3090="","",IFERROR(IF(AND(H3090="W7",OR(F3090="causal",F3090="predictive")),IF(AND(K3090=1,L3090=1,M3090=1),"adequate","partial"),INDEX(Fit_Matrix!$B:$B,MATCH(P3090,Fit_Matrix!$A:$A,0))),"CHECK KEY"))</f>
        <v/>
      </c>
    </row>
    <row r="3091" customFormat="false" ht="15" hidden="false" customHeight="true" outlineLevel="0" collapsed="false">
      <c r="P3091" s="1" t="str">
        <f aca="false">IF(OR(F3091="",H3091="",J3091=""),"",J3091&amp;"|"&amp;F3091&amp;"|"&amp;IF(H3091="W3","W3_"&amp;IF(I3091="","unknown",I3091),H3091))</f>
        <v/>
      </c>
      <c r="Q3091" s="1" t="str">
        <f aca="false">IF(P3091="","",IFERROR(IF(AND(H3091="W7",OR(F3091="causal",F3091="predictive")),IF(AND(K3091=1,L3091=1,M3091=1),"adequate","partial"),INDEX(Fit_Matrix!$B:$B,MATCH(P3091,Fit_Matrix!$A:$A,0))),"CHECK KEY"))</f>
        <v/>
      </c>
    </row>
    <row r="3092" customFormat="false" ht="15" hidden="false" customHeight="true" outlineLevel="0" collapsed="false">
      <c r="P3092" s="1" t="str">
        <f aca="false">IF(OR(F3092="",H3092="",J3092=""),"",J3092&amp;"|"&amp;F3092&amp;"|"&amp;IF(H3092="W3","W3_"&amp;IF(I3092="","unknown",I3092),H3092))</f>
        <v/>
      </c>
      <c r="Q3092" s="1" t="str">
        <f aca="false">IF(P3092="","",IFERROR(IF(AND(H3092="W7",OR(F3092="causal",F3092="predictive")),IF(AND(K3092=1,L3092=1,M3092=1),"adequate","partial"),INDEX(Fit_Matrix!$B:$B,MATCH(P3092,Fit_Matrix!$A:$A,0))),"CHECK KEY"))</f>
        <v/>
      </c>
    </row>
    <row r="3093" customFormat="false" ht="15" hidden="false" customHeight="true" outlineLevel="0" collapsed="false">
      <c r="P3093" s="1" t="str">
        <f aca="false">IF(OR(F3093="",H3093="",J3093=""),"",J3093&amp;"|"&amp;F3093&amp;"|"&amp;IF(H3093="W3","W3_"&amp;IF(I3093="","unknown",I3093),H3093))</f>
        <v/>
      </c>
      <c r="Q3093" s="1" t="str">
        <f aca="false">IF(P3093="","",IFERROR(IF(AND(H3093="W7",OR(F3093="causal",F3093="predictive")),IF(AND(K3093=1,L3093=1,M3093=1),"adequate","partial"),INDEX(Fit_Matrix!$B:$B,MATCH(P3093,Fit_Matrix!$A:$A,0))),"CHECK KEY"))</f>
        <v/>
      </c>
    </row>
    <row r="3094" customFormat="false" ht="15" hidden="false" customHeight="true" outlineLevel="0" collapsed="false">
      <c r="P3094" s="1" t="str">
        <f aca="false">IF(OR(F3094="",H3094="",J3094=""),"",J3094&amp;"|"&amp;F3094&amp;"|"&amp;IF(H3094="W3","W3_"&amp;IF(I3094="","unknown",I3094),H3094))</f>
        <v/>
      </c>
      <c r="Q3094" s="1" t="str">
        <f aca="false">IF(P3094="","",IFERROR(IF(AND(H3094="W7",OR(F3094="causal",F3094="predictive")),IF(AND(K3094=1,L3094=1,M3094=1),"adequate","partial"),INDEX(Fit_Matrix!$B:$B,MATCH(P3094,Fit_Matrix!$A:$A,0))),"CHECK KEY"))</f>
        <v/>
      </c>
    </row>
    <row r="3095" customFormat="false" ht="15" hidden="false" customHeight="true" outlineLevel="0" collapsed="false">
      <c r="P3095" s="1" t="str">
        <f aca="false">IF(OR(F3095="",H3095="",J3095=""),"",J3095&amp;"|"&amp;F3095&amp;"|"&amp;IF(H3095="W3","W3_"&amp;IF(I3095="","unknown",I3095),H3095))</f>
        <v/>
      </c>
      <c r="Q3095" s="1" t="str">
        <f aca="false">IF(P3095="","",IFERROR(IF(AND(H3095="W7",OR(F3095="causal",F3095="predictive")),IF(AND(K3095=1,L3095=1,M3095=1),"adequate","partial"),INDEX(Fit_Matrix!$B:$B,MATCH(P3095,Fit_Matrix!$A:$A,0))),"CHECK KEY"))</f>
        <v/>
      </c>
    </row>
    <row r="3096" customFormat="false" ht="15" hidden="false" customHeight="true" outlineLevel="0" collapsed="false">
      <c r="P3096" s="1" t="str">
        <f aca="false">IF(OR(F3096="",H3096="",J3096=""),"",J3096&amp;"|"&amp;F3096&amp;"|"&amp;IF(H3096="W3","W3_"&amp;IF(I3096="","unknown",I3096),H3096))</f>
        <v/>
      </c>
      <c r="Q3096" s="1" t="str">
        <f aca="false">IF(P3096="","",IFERROR(IF(AND(H3096="W7",OR(F3096="causal",F3096="predictive")),IF(AND(K3096=1,L3096=1,M3096=1),"adequate","partial"),INDEX(Fit_Matrix!$B:$B,MATCH(P3096,Fit_Matrix!$A:$A,0))),"CHECK KEY"))</f>
        <v/>
      </c>
    </row>
    <row r="3097" customFormat="false" ht="15" hidden="false" customHeight="true" outlineLevel="0" collapsed="false">
      <c r="P3097" s="1" t="str">
        <f aca="false">IF(OR(F3097="",H3097="",J3097=""),"",J3097&amp;"|"&amp;F3097&amp;"|"&amp;IF(H3097="W3","W3_"&amp;IF(I3097="","unknown",I3097),H3097))</f>
        <v/>
      </c>
      <c r="Q3097" s="1" t="str">
        <f aca="false">IF(P3097="","",IFERROR(IF(AND(H3097="W7",OR(F3097="causal",F3097="predictive")),IF(AND(K3097=1,L3097=1,M3097=1),"adequate","partial"),INDEX(Fit_Matrix!$B:$B,MATCH(P3097,Fit_Matrix!$A:$A,0))),"CHECK KEY"))</f>
        <v/>
      </c>
    </row>
    <row r="3098" customFormat="false" ht="15" hidden="false" customHeight="true" outlineLevel="0" collapsed="false">
      <c r="P3098" s="1" t="str">
        <f aca="false">IF(OR(F3098="",H3098="",J3098=""),"",J3098&amp;"|"&amp;F3098&amp;"|"&amp;IF(H3098="W3","W3_"&amp;IF(I3098="","unknown",I3098),H3098))</f>
        <v/>
      </c>
      <c r="Q3098" s="1" t="str">
        <f aca="false">IF(P3098="","",IFERROR(IF(AND(H3098="W7",OR(F3098="causal",F3098="predictive")),IF(AND(K3098=1,L3098=1,M3098=1),"adequate","partial"),INDEX(Fit_Matrix!$B:$B,MATCH(P3098,Fit_Matrix!$A:$A,0))),"CHECK KEY"))</f>
        <v/>
      </c>
    </row>
    <row r="3099" customFormat="false" ht="15" hidden="false" customHeight="true" outlineLevel="0" collapsed="false">
      <c r="P3099" s="1" t="str">
        <f aca="false">IF(OR(F3099="",H3099="",J3099=""),"",J3099&amp;"|"&amp;F3099&amp;"|"&amp;IF(H3099="W3","W3_"&amp;IF(I3099="","unknown",I3099),H3099))</f>
        <v/>
      </c>
      <c r="Q3099" s="1" t="str">
        <f aca="false">IF(P3099="","",IFERROR(IF(AND(H3099="W7",OR(F3099="causal",F3099="predictive")),IF(AND(K3099=1,L3099=1,M3099=1),"adequate","partial"),INDEX(Fit_Matrix!$B:$B,MATCH(P3099,Fit_Matrix!$A:$A,0))),"CHECK KEY"))</f>
        <v/>
      </c>
    </row>
    <row r="3100" customFormat="false" ht="15" hidden="false" customHeight="true" outlineLevel="0" collapsed="false">
      <c r="P3100" s="1" t="str">
        <f aca="false">IF(OR(F3100="",H3100="",J3100=""),"",J3100&amp;"|"&amp;F3100&amp;"|"&amp;IF(H3100="W3","W3_"&amp;IF(I3100="","unknown",I3100),H3100))</f>
        <v/>
      </c>
      <c r="Q3100" s="1" t="str">
        <f aca="false">IF(P3100="","",IFERROR(IF(AND(H3100="W7",OR(F3100="causal",F3100="predictive")),IF(AND(K3100=1,L3100=1,M3100=1),"adequate","partial"),INDEX(Fit_Matrix!$B:$B,MATCH(P3100,Fit_Matrix!$A:$A,0))),"CHECK KEY"))</f>
        <v/>
      </c>
    </row>
    <row r="3101" customFormat="false" ht="15" hidden="false" customHeight="true" outlineLevel="0" collapsed="false">
      <c r="P3101" s="1" t="str">
        <f aca="false">IF(OR(F3101="",H3101="",J3101=""),"",J3101&amp;"|"&amp;F3101&amp;"|"&amp;IF(H3101="W3","W3_"&amp;IF(I3101="","unknown",I3101),H3101))</f>
        <v/>
      </c>
      <c r="Q3101" s="1" t="str">
        <f aca="false">IF(P3101="","",IFERROR(IF(AND(H3101="W7",OR(F3101="causal",F3101="predictive")),IF(AND(K3101=1,L3101=1,M3101=1),"adequate","partial"),INDEX(Fit_Matrix!$B:$B,MATCH(P3101,Fit_Matrix!$A:$A,0))),"CHECK KEY"))</f>
        <v/>
      </c>
    </row>
    <row r="3102" customFormat="false" ht="15" hidden="false" customHeight="true" outlineLevel="0" collapsed="false">
      <c r="P3102" s="1" t="str">
        <f aca="false">IF(OR(F3102="",H3102="",J3102=""),"",J3102&amp;"|"&amp;F3102&amp;"|"&amp;IF(H3102="W3","W3_"&amp;IF(I3102="","unknown",I3102),H3102))</f>
        <v/>
      </c>
      <c r="Q3102" s="1" t="str">
        <f aca="false">IF(P3102="","",IFERROR(IF(AND(H3102="W7",OR(F3102="causal",F3102="predictive")),IF(AND(K3102=1,L3102=1,M3102=1),"adequate","partial"),INDEX(Fit_Matrix!$B:$B,MATCH(P3102,Fit_Matrix!$A:$A,0))),"CHECK KEY"))</f>
        <v/>
      </c>
    </row>
    <row r="3103" customFormat="false" ht="15" hidden="false" customHeight="true" outlineLevel="0" collapsed="false">
      <c r="P3103" s="1" t="str">
        <f aca="false">IF(OR(F3103="",H3103="",J3103=""),"",J3103&amp;"|"&amp;F3103&amp;"|"&amp;IF(H3103="W3","W3_"&amp;IF(I3103="","unknown",I3103),H3103))</f>
        <v/>
      </c>
      <c r="Q3103" s="1" t="str">
        <f aca="false">IF(P3103="","",IFERROR(IF(AND(H3103="W7",OR(F3103="causal",F3103="predictive")),IF(AND(K3103=1,L3103=1,M3103=1),"adequate","partial"),INDEX(Fit_Matrix!$B:$B,MATCH(P3103,Fit_Matrix!$A:$A,0))),"CHECK KEY"))</f>
        <v/>
      </c>
    </row>
    <row r="3104" customFormat="false" ht="15" hidden="false" customHeight="true" outlineLevel="0" collapsed="false">
      <c r="P3104" s="1" t="str">
        <f aca="false">IF(OR(F3104="",H3104="",J3104=""),"",J3104&amp;"|"&amp;F3104&amp;"|"&amp;IF(H3104="W3","W3_"&amp;IF(I3104="","unknown",I3104),H3104))</f>
        <v/>
      </c>
      <c r="Q3104" s="1" t="str">
        <f aca="false">IF(P3104="","",IFERROR(IF(AND(H3104="W7",OR(F3104="causal",F3104="predictive")),IF(AND(K3104=1,L3104=1,M3104=1),"adequate","partial"),INDEX(Fit_Matrix!$B:$B,MATCH(P3104,Fit_Matrix!$A:$A,0))),"CHECK KEY"))</f>
        <v/>
      </c>
    </row>
    <row r="3105" customFormat="false" ht="15" hidden="false" customHeight="true" outlineLevel="0" collapsed="false">
      <c r="P3105" s="1" t="str">
        <f aca="false">IF(OR(F3105="",H3105="",J3105=""),"",J3105&amp;"|"&amp;F3105&amp;"|"&amp;IF(H3105="W3","W3_"&amp;IF(I3105="","unknown",I3105),H3105))</f>
        <v/>
      </c>
      <c r="Q3105" s="1" t="str">
        <f aca="false">IF(P3105="","",IFERROR(IF(AND(H3105="W7",OR(F3105="causal",F3105="predictive")),IF(AND(K3105=1,L3105=1,M3105=1),"adequate","partial"),INDEX(Fit_Matrix!$B:$B,MATCH(P3105,Fit_Matrix!$A:$A,0))),"CHECK KEY"))</f>
        <v/>
      </c>
    </row>
    <row r="3106" customFormat="false" ht="15" hidden="false" customHeight="true" outlineLevel="0" collapsed="false">
      <c r="P3106" s="1" t="str">
        <f aca="false">IF(OR(F3106="",H3106="",J3106=""),"",J3106&amp;"|"&amp;F3106&amp;"|"&amp;IF(H3106="W3","W3_"&amp;IF(I3106="","unknown",I3106),H3106))</f>
        <v/>
      </c>
      <c r="Q3106" s="1" t="str">
        <f aca="false">IF(P3106="","",IFERROR(IF(AND(H3106="W7",OR(F3106="causal",F3106="predictive")),IF(AND(K3106=1,L3106=1,M3106=1),"adequate","partial"),INDEX(Fit_Matrix!$B:$B,MATCH(P3106,Fit_Matrix!$A:$A,0))),"CHECK KEY"))</f>
        <v/>
      </c>
    </row>
    <row r="3107" customFormat="false" ht="15" hidden="false" customHeight="true" outlineLevel="0" collapsed="false">
      <c r="P3107" s="1" t="str">
        <f aca="false">IF(OR(F3107="",H3107="",J3107=""),"",J3107&amp;"|"&amp;F3107&amp;"|"&amp;IF(H3107="W3","W3_"&amp;IF(I3107="","unknown",I3107),H3107))</f>
        <v/>
      </c>
      <c r="Q3107" s="1" t="str">
        <f aca="false">IF(P3107="","",IFERROR(IF(AND(H3107="W7",OR(F3107="causal",F3107="predictive")),IF(AND(K3107=1,L3107=1,M3107=1),"adequate","partial"),INDEX(Fit_Matrix!$B:$B,MATCH(P3107,Fit_Matrix!$A:$A,0))),"CHECK KEY"))</f>
        <v/>
      </c>
    </row>
    <row r="3108" customFormat="false" ht="15" hidden="false" customHeight="true" outlineLevel="0" collapsed="false">
      <c r="P3108" s="1" t="str">
        <f aca="false">IF(OR(F3108="",H3108="",J3108=""),"",J3108&amp;"|"&amp;F3108&amp;"|"&amp;IF(H3108="W3","W3_"&amp;IF(I3108="","unknown",I3108),H3108))</f>
        <v/>
      </c>
      <c r="Q3108" s="1" t="str">
        <f aca="false">IF(P3108="","",IFERROR(IF(AND(H3108="W7",OR(F3108="causal",F3108="predictive")),IF(AND(K3108=1,L3108=1,M3108=1),"adequate","partial"),INDEX(Fit_Matrix!$B:$B,MATCH(P3108,Fit_Matrix!$A:$A,0))),"CHECK KEY"))</f>
        <v/>
      </c>
    </row>
    <row r="3109" customFormat="false" ht="15" hidden="false" customHeight="true" outlineLevel="0" collapsed="false">
      <c r="P3109" s="1" t="str">
        <f aca="false">IF(OR(F3109="",H3109="",J3109=""),"",J3109&amp;"|"&amp;F3109&amp;"|"&amp;IF(H3109="W3","W3_"&amp;IF(I3109="","unknown",I3109),H3109))</f>
        <v/>
      </c>
      <c r="Q3109" s="1" t="str">
        <f aca="false">IF(P3109="","",IFERROR(IF(AND(H3109="W7",OR(F3109="causal",F3109="predictive")),IF(AND(K3109=1,L3109=1,M3109=1),"adequate","partial"),INDEX(Fit_Matrix!$B:$B,MATCH(P3109,Fit_Matrix!$A:$A,0))),"CHECK KEY"))</f>
        <v/>
      </c>
    </row>
    <row r="3110" customFormat="false" ht="15" hidden="false" customHeight="true" outlineLevel="0" collapsed="false">
      <c r="P3110" s="1" t="str">
        <f aca="false">IF(OR(F3110="",H3110="",J3110=""),"",J3110&amp;"|"&amp;F3110&amp;"|"&amp;IF(H3110="W3","W3_"&amp;IF(I3110="","unknown",I3110),H3110))</f>
        <v/>
      </c>
      <c r="Q3110" s="1" t="str">
        <f aca="false">IF(P3110="","",IFERROR(IF(AND(H3110="W7",OR(F3110="causal",F3110="predictive")),IF(AND(K3110=1,L3110=1,M3110=1),"adequate","partial"),INDEX(Fit_Matrix!$B:$B,MATCH(P3110,Fit_Matrix!$A:$A,0))),"CHECK KEY"))</f>
        <v/>
      </c>
    </row>
    <row r="3111" customFormat="false" ht="15" hidden="false" customHeight="true" outlineLevel="0" collapsed="false">
      <c r="P3111" s="1" t="str">
        <f aca="false">IF(OR(F3111="",H3111="",J3111=""),"",J3111&amp;"|"&amp;F3111&amp;"|"&amp;IF(H3111="W3","W3_"&amp;IF(I3111="","unknown",I3111),H3111))</f>
        <v/>
      </c>
      <c r="Q3111" s="1" t="str">
        <f aca="false">IF(P3111="","",IFERROR(IF(AND(H3111="W7",OR(F3111="causal",F3111="predictive")),IF(AND(K3111=1,L3111=1,M3111=1),"adequate","partial"),INDEX(Fit_Matrix!$B:$B,MATCH(P3111,Fit_Matrix!$A:$A,0))),"CHECK KEY"))</f>
        <v/>
      </c>
    </row>
    <row r="3112" customFormat="false" ht="15" hidden="false" customHeight="true" outlineLevel="0" collapsed="false">
      <c r="P3112" s="1" t="str">
        <f aca="false">IF(OR(F3112="",H3112="",J3112=""),"",J3112&amp;"|"&amp;F3112&amp;"|"&amp;IF(H3112="W3","W3_"&amp;IF(I3112="","unknown",I3112),H3112))</f>
        <v/>
      </c>
      <c r="Q3112" s="1" t="str">
        <f aca="false">IF(P3112="","",IFERROR(IF(AND(H3112="W7",OR(F3112="causal",F3112="predictive")),IF(AND(K3112=1,L3112=1,M3112=1),"adequate","partial"),INDEX(Fit_Matrix!$B:$B,MATCH(P3112,Fit_Matrix!$A:$A,0))),"CHECK KEY"))</f>
        <v/>
      </c>
    </row>
    <row r="3113" customFormat="false" ht="15" hidden="false" customHeight="true" outlineLevel="0" collapsed="false">
      <c r="P3113" s="1" t="str">
        <f aca="false">IF(OR(F3113="",H3113="",J3113=""),"",J3113&amp;"|"&amp;F3113&amp;"|"&amp;IF(H3113="W3","W3_"&amp;IF(I3113="","unknown",I3113),H3113))</f>
        <v/>
      </c>
      <c r="Q3113" s="1" t="str">
        <f aca="false">IF(P3113="","",IFERROR(IF(AND(H3113="W7",OR(F3113="causal",F3113="predictive")),IF(AND(K3113=1,L3113=1,M3113=1),"adequate","partial"),INDEX(Fit_Matrix!$B:$B,MATCH(P3113,Fit_Matrix!$A:$A,0))),"CHECK KEY"))</f>
        <v/>
      </c>
    </row>
    <row r="3114" customFormat="false" ht="15" hidden="false" customHeight="true" outlineLevel="0" collapsed="false">
      <c r="P3114" s="1" t="str">
        <f aca="false">IF(OR(F3114="",H3114="",J3114=""),"",J3114&amp;"|"&amp;F3114&amp;"|"&amp;IF(H3114="W3","W3_"&amp;IF(I3114="","unknown",I3114),H3114))</f>
        <v/>
      </c>
      <c r="Q3114" s="1" t="str">
        <f aca="false">IF(P3114="","",IFERROR(IF(AND(H3114="W7",OR(F3114="causal",F3114="predictive")),IF(AND(K3114=1,L3114=1,M3114=1),"adequate","partial"),INDEX(Fit_Matrix!$B:$B,MATCH(P3114,Fit_Matrix!$A:$A,0))),"CHECK KEY"))</f>
        <v/>
      </c>
    </row>
    <row r="3115" customFormat="false" ht="15" hidden="false" customHeight="true" outlineLevel="0" collapsed="false">
      <c r="P3115" s="1" t="str">
        <f aca="false">IF(OR(F3115="",H3115="",J3115=""),"",J3115&amp;"|"&amp;F3115&amp;"|"&amp;IF(H3115="W3","W3_"&amp;IF(I3115="","unknown",I3115),H3115))</f>
        <v/>
      </c>
      <c r="Q3115" s="1" t="str">
        <f aca="false">IF(P3115="","",IFERROR(IF(AND(H3115="W7",OR(F3115="causal",F3115="predictive")),IF(AND(K3115=1,L3115=1,M3115=1),"adequate","partial"),INDEX(Fit_Matrix!$B:$B,MATCH(P3115,Fit_Matrix!$A:$A,0))),"CHECK KEY"))</f>
        <v/>
      </c>
    </row>
    <row r="3116" customFormat="false" ht="15" hidden="false" customHeight="true" outlineLevel="0" collapsed="false">
      <c r="P3116" s="1" t="str">
        <f aca="false">IF(OR(F3116="",H3116="",J3116=""),"",J3116&amp;"|"&amp;F3116&amp;"|"&amp;IF(H3116="W3","W3_"&amp;IF(I3116="","unknown",I3116),H3116))</f>
        <v/>
      </c>
      <c r="Q3116" s="1" t="str">
        <f aca="false">IF(P3116="","",IFERROR(IF(AND(H3116="W7",OR(F3116="causal",F3116="predictive")),IF(AND(K3116=1,L3116=1,M3116=1),"adequate","partial"),INDEX(Fit_Matrix!$B:$B,MATCH(P3116,Fit_Matrix!$A:$A,0))),"CHECK KEY"))</f>
        <v/>
      </c>
    </row>
    <row r="3117" customFormat="false" ht="15" hidden="false" customHeight="true" outlineLevel="0" collapsed="false">
      <c r="P3117" s="1" t="str">
        <f aca="false">IF(OR(F3117="",H3117="",J3117=""),"",J3117&amp;"|"&amp;F3117&amp;"|"&amp;IF(H3117="W3","W3_"&amp;IF(I3117="","unknown",I3117),H3117))</f>
        <v/>
      </c>
      <c r="Q3117" s="1" t="str">
        <f aca="false">IF(P3117="","",IFERROR(IF(AND(H3117="W7",OR(F3117="causal",F3117="predictive")),IF(AND(K3117=1,L3117=1,M3117=1),"adequate","partial"),INDEX(Fit_Matrix!$B:$B,MATCH(P3117,Fit_Matrix!$A:$A,0))),"CHECK KEY"))</f>
        <v/>
      </c>
    </row>
    <row r="3118" customFormat="false" ht="15" hidden="false" customHeight="true" outlineLevel="0" collapsed="false">
      <c r="P3118" s="1" t="str">
        <f aca="false">IF(OR(F3118="",H3118="",J3118=""),"",J3118&amp;"|"&amp;F3118&amp;"|"&amp;IF(H3118="W3","W3_"&amp;IF(I3118="","unknown",I3118),H3118))</f>
        <v/>
      </c>
      <c r="Q3118" s="1" t="str">
        <f aca="false">IF(P3118="","",IFERROR(IF(AND(H3118="W7",OR(F3118="causal",F3118="predictive")),IF(AND(K3118=1,L3118=1,M3118=1),"adequate","partial"),INDEX(Fit_Matrix!$B:$B,MATCH(P3118,Fit_Matrix!$A:$A,0))),"CHECK KEY"))</f>
        <v/>
      </c>
    </row>
    <row r="3119" customFormat="false" ht="15" hidden="false" customHeight="true" outlineLevel="0" collapsed="false">
      <c r="P3119" s="1" t="str">
        <f aca="false">IF(OR(F3119="",H3119="",J3119=""),"",J3119&amp;"|"&amp;F3119&amp;"|"&amp;IF(H3119="W3","W3_"&amp;IF(I3119="","unknown",I3119),H3119))</f>
        <v/>
      </c>
      <c r="Q3119" s="1" t="str">
        <f aca="false">IF(P3119="","",IFERROR(IF(AND(H3119="W7",OR(F3119="causal",F3119="predictive")),IF(AND(K3119=1,L3119=1,M3119=1),"adequate","partial"),INDEX(Fit_Matrix!$B:$B,MATCH(P3119,Fit_Matrix!$A:$A,0))),"CHECK KEY"))</f>
        <v/>
      </c>
    </row>
    <row r="3120" customFormat="false" ht="15" hidden="false" customHeight="true" outlineLevel="0" collapsed="false">
      <c r="P3120" s="1" t="str">
        <f aca="false">IF(OR(F3120="",H3120="",J3120=""),"",J3120&amp;"|"&amp;F3120&amp;"|"&amp;IF(H3120="W3","W3_"&amp;IF(I3120="","unknown",I3120),H3120))</f>
        <v/>
      </c>
      <c r="Q3120" s="1" t="str">
        <f aca="false">IF(P3120="","",IFERROR(IF(AND(H3120="W7",OR(F3120="causal",F3120="predictive")),IF(AND(K3120=1,L3120=1,M3120=1),"adequate","partial"),INDEX(Fit_Matrix!$B:$B,MATCH(P3120,Fit_Matrix!$A:$A,0))),"CHECK KEY"))</f>
        <v/>
      </c>
    </row>
    <row r="3121" customFormat="false" ht="15" hidden="false" customHeight="true" outlineLevel="0" collapsed="false">
      <c r="P3121" s="1" t="str">
        <f aca="false">IF(OR(F3121="",H3121="",J3121=""),"",J3121&amp;"|"&amp;F3121&amp;"|"&amp;IF(H3121="W3","W3_"&amp;IF(I3121="","unknown",I3121),H3121))</f>
        <v/>
      </c>
      <c r="Q3121" s="1" t="str">
        <f aca="false">IF(P3121="","",IFERROR(IF(AND(H3121="W7",OR(F3121="causal",F3121="predictive")),IF(AND(K3121=1,L3121=1,M3121=1),"adequate","partial"),INDEX(Fit_Matrix!$B:$B,MATCH(P3121,Fit_Matrix!$A:$A,0))),"CHECK KEY"))</f>
        <v/>
      </c>
    </row>
    <row r="3122" customFormat="false" ht="15" hidden="false" customHeight="true" outlineLevel="0" collapsed="false">
      <c r="P3122" s="1" t="str">
        <f aca="false">IF(OR(F3122="",H3122="",J3122=""),"",J3122&amp;"|"&amp;F3122&amp;"|"&amp;IF(H3122="W3","W3_"&amp;IF(I3122="","unknown",I3122),H3122))</f>
        <v/>
      </c>
      <c r="Q3122" s="1" t="str">
        <f aca="false">IF(P3122="","",IFERROR(IF(AND(H3122="W7",OR(F3122="causal",F3122="predictive")),IF(AND(K3122=1,L3122=1,M3122=1),"adequate","partial"),INDEX(Fit_Matrix!$B:$B,MATCH(P3122,Fit_Matrix!$A:$A,0))),"CHECK KEY"))</f>
        <v/>
      </c>
    </row>
    <row r="3123" customFormat="false" ht="15" hidden="false" customHeight="true" outlineLevel="0" collapsed="false">
      <c r="P3123" s="1" t="str">
        <f aca="false">IF(OR(F3123="",H3123="",J3123=""),"",J3123&amp;"|"&amp;F3123&amp;"|"&amp;IF(H3123="W3","W3_"&amp;IF(I3123="","unknown",I3123),H3123))</f>
        <v/>
      </c>
      <c r="Q3123" s="1" t="str">
        <f aca="false">IF(P3123="","",IFERROR(IF(AND(H3123="W7",OR(F3123="causal",F3123="predictive")),IF(AND(K3123=1,L3123=1,M3123=1),"adequate","partial"),INDEX(Fit_Matrix!$B:$B,MATCH(P3123,Fit_Matrix!$A:$A,0))),"CHECK KEY"))</f>
        <v/>
      </c>
    </row>
    <row r="3124" customFormat="false" ht="15" hidden="false" customHeight="true" outlineLevel="0" collapsed="false">
      <c r="P3124" s="1" t="str">
        <f aca="false">IF(OR(F3124="",H3124="",J3124=""),"",J3124&amp;"|"&amp;F3124&amp;"|"&amp;IF(H3124="W3","W3_"&amp;IF(I3124="","unknown",I3124),H3124))</f>
        <v/>
      </c>
      <c r="Q3124" s="1" t="str">
        <f aca="false">IF(P3124="","",IFERROR(IF(AND(H3124="W7",OR(F3124="causal",F3124="predictive")),IF(AND(K3124=1,L3124=1,M3124=1),"adequate","partial"),INDEX(Fit_Matrix!$B:$B,MATCH(P3124,Fit_Matrix!$A:$A,0))),"CHECK KEY"))</f>
        <v/>
      </c>
    </row>
    <row r="3125" customFormat="false" ht="15" hidden="false" customHeight="true" outlineLevel="0" collapsed="false">
      <c r="P3125" s="1" t="str">
        <f aca="false">IF(OR(F3125="",H3125="",J3125=""),"",J3125&amp;"|"&amp;F3125&amp;"|"&amp;IF(H3125="W3","W3_"&amp;IF(I3125="","unknown",I3125),H3125))</f>
        <v/>
      </c>
      <c r="Q3125" s="1" t="str">
        <f aca="false">IF(P3125="","",IFERROR(IF(AND(H3125="W7",OR(F3125="causal",F3125="predictive")),IF(AND(K3125=1,L3125=1,M3125=1),"adequate","partial"),INDEX(Fit_Matrix!$B:$B,MATCH(P3125,Fit_Matrix!$A:$A,0))),"CHECK KEY"))</f>
        <v/>
      </c>
    </row>
    <row r="3126" customFormat="false" ht="15" hidden="false" customHeight="true" outlineLevel="0" collapsed="false">
      <c r="P3126" s="1" t="str">
        <f aca="false">IF(OR(F3126="",H3126="",J3126=""),"",J3126&amp;"|"&amp;F3126&amp;"|"&amp;IF(H3126="W3","W3_"&amp;IF(I3126="","unknown",I3126),H3126))</f>
        <v/>
      </c>
      <c r="Q3126" s="1" t="str">
        <f aca="false">IF(P3126="","",IFERROR(IF(AND(H3126="W7",OR(F3126="causal",F3126="predictive")),IF(AND(K3126=1,L3126=1,M3126=1),"adequate","partial"),INDEX(Fit_Matrix!$B:$B,MATCH(P3126,Fit_Matrix!$A:$A,0))),"CHECK KEY"))</f>
        <v/>
      </c>
    </row>
    <row r="3127" customFormat="false" ht="15" hidden="false" customHeight="true" outlineLevel="0" collapsed="false">
      <c r="P3127" s="1" t="str">
        <f aca="false">IF(OR(F3127="",H3127="",J3127=""),"",J3127&amp;"|"&amp;F3127&amp;"|"&amp;IF(H3127="W3","W3_"&amp;IF(I3127="","unknown",I3127),H3127))</f>
        <v/>
      </c>
      <c r="Q3127" s="1" t="str">
        <f aca="false">IF(P3127="","",IFERROR(IF(AND(H3127="W7",OR(F3127="causal",F3127="predictive")),IF(AND(K3127=1,L3127=1,M3127=1),"adequate","partial"),INDEX(Fit_Matrix!$B:$B,MATCH(P3127,Fit_Matrix!$A:$A,0))),"CHECK KEY"))</f>
        <v/>
      </c>
    </row>
    <row r="3128" customFormat="false" ht="15" hidden="false" customHeight="true" outlineLevel="0" collapsed="false">
      <c r="P3128" s="1" t="str">
        <f aca="false">IF(OR(F3128="",H3128="",J3128=""),"",J3128&amp;"|"&amp;F3128&amp;"|"&amp;IF(H3128="W3","W3_"&amp;IF(I3128="","unknown",I3128),H3128))</f>
        <v/>
      </c>
      <c r="Q3128" s="1" t="str">
        <f aca="false">IF(P3128="","",IFERROR(IF(AND(H3128="W7",OR(F3128="causal",F3128="predictive")),IF(AND(K3128=1,L3128=1,M3128=1),"adequate","partial"),INDEX(Fit_Matrix!$B:$B,MATCH(P3128,Fit_Matrix!$A:$A,0))),"CHECK KEY"))</f>
        <v/>
      </c>
    </row>
    <row r="3129" customFormat="false" ht="15" hidden="false" customHeight="true" outlineLevel="0" collapsed="false">
      <c r="P3129" s="1" t="str">
        <f aca="false">IF(OR(F3129="",H3129="",J3129=""),"",J3129&amp;"|"&amp;F3129&amp;"|"&amp;IF(H3129="W3","W3_"&amp;IF(I3129="","unknown",I3129),H3129))</f>
        <v/>
      </c>
      <c r="Q3129" s="1" t="str">
        <f aca="false">IF(P3129="","",IFERROR(IF(AND(H3129="W7",OR(F3129="causal",F3129="predictive")),IF(AND(K3129=1,L3129=1,M3129=1),"adequate","partial"),INDEX(Fit_Matrix!$B:$B,MATCH(P3129,Fit_Matrix!$A:$A,0))),"CHECK KEY"))</f>
        <v/>
      </c>
    </row>
    <row r="3130" customFormat="false" ht="15" hidden="false" customHeight="true" outlineLevel="0" collapsed="false">
      <c r="P3130" s="1" t="str">
        <f aca="false">IF(OR(F3130="",H3130="",J3130=""),"",J3130&amp;"|"&amp;F3130&amp;"|"&amp;IF(H3130="W3","W3_"&amp;IF(I3130="","unknown",I3130),H3130))</f>
        <v/>
      </c>
      <c r="Q3130" s="1" t="str">
        <f aca="false">IF(P3130="","",IFERROR(IF(AND(H3130="W7",OR(F3130="causal",F3130="predictive")),IF(AND(K3130=1,L3130=1,M3130=1),"adequate","partial"),INDEX(Fit_Matrix!$B:$B,MATCH(P3130,Fit_Matrix!$A:$A,0))),"CHECK KEY"))</f>
        <v/>
      </c>
    </row>
    <row r="3131" customFormat="false" ht="15" hidden="false" customHeight="true" outlineLevel="0" collapsed="false">
      <c r="P3131" s="1" t="str">
        <f aca="false">IF(OR(F3131="",H3131="",J3131=""),"",J3131&amp;"|"&amp;F3131&amp;"|"&amp;IF(H3131="W3","W3_"&amp;IF(I3131="","unknown",I3131),H3131))</f>
        <v/>
      </c>
      <c r="Q3131" s="1" t="str">
        <f aca="false">IF(P3131="","",IFERROR(IF(AND(H3131="W7",OR(F3131="causal",F3131="predictive")),IF(AND(K3131=1,L3131=1,M3131=1),"adequate","partial"),INDEX(Fit_Matrix!$B:$B,MATCH(P3131,Fit_Matrix!$A:$A,0))),"CHECK KEY"))</f>
        <v/>
      </c>
    </row>
    <row r="3132" customFormat="false" ht="15" hidden="false" customHeight="true" outlineLevel="0" collapsed="false">
      <c r="P3132" s="1" t="str">
        <f aca="false">IF(OR(F3132="",H3132="",J3132=""),"",J3132&amp;"|"&amp;F3132&amp;"|"&amp;IF(H3132="W3","W3_"&amp;IF(I3132="","unknown",I3132),H3132))</f>
        <v/>
      </c>
      <c r="Q3132" s="1" t="str">
        <f aca="false">IF(P3132="","",IFERROR(IF(AND(H3132="W7",OR(F3132="causal",F3132="predictive")),IF(AND(K3132=1,L3132=1,M3132=1),"adequate","partial"),INDEX(Fit_Matrix!$B:$B,MATCH(P3132,Fit_Matrix!$A:$A,0))),"CHECK KEY"))</f>
        <v/>
      </c>
    </row>
    <row r="3133" customFormat="false" ht="15" hidden="false" customHeight="true" outlineLevel="0" collapsed="false">
      <c r="P3133" s="1" t="str">
        <f aca="false">IF(OR(F3133="",H3133="",J3133=""),"",J3133&amp;"|"&amp;F3133&amp;"|"&amp;IF(H3133="W3","W3_"&amp;IF(I3133="","unknown",I3133),H3133))</f>
        <v/>
      </c>
      <c r="Q3133" s="1" t="str">
        <f aca="false">IF(P3133="","",IFERROR(IF(AND(H3133="W7",OR(F3133="causal",F3133="predictive")),IF(AND(K3133=1,L3133=1,M3133=1),"adequate","partial"),INDEX(Fit_Matrix!$B:$B,MATCH(P3133,Fit_Matrix!$A:$A,0))),"CHECK KEY"))</f>
        <v/>
      </c>
    </row>
    <row r="3134" customFormat="false" ht="15" hidden="false" customHeight="true" outlineLevel="0" collapsed="false">
      <c r="P3134" s="1" t="str">
        <f aca="false">IF(OR(F3134="",H3134="",J3134=""),"",J3134&amp;"|"&amp;F3134&amp;"|"&amp;IF(H3134="W3","W3_"&amp;IF(I3134="","unknown",I3134),H3134))</f>
        <v/>
      </c>
      <c r="Q3134" s="1" t="str">
        <f aca="false">IF(P3134="","",IFERROR(IF(AND(H3134="W7",OR(F3134="causal",F3134="predictive")),IF(AND(K3134=1,L3134=1,M3134=1),"adequate","partial"),INDEX(Fit_Matrix!$B:$B,MATCH(P3134,Fit_Matrix!$A:$A,0))),"CHECK KEY"))</f>
        <v/>
      </c>
    </row>
    <row r="3135" customFormat="false" ht="15" hidden="false" customHeight="true" outlineLevel="0" collapsed="false">
      <c r="P3135" s="1" t="str">
        <f aca="false">IF(OR(F3135="",H3135="",J3135=""),"",J3135&amp;"|"&amp;F3135&amp;"|"&amp;IF(H3135="W3","W3_"&amp;IF(I3135="","unknown",I3135),H3135))</f>
        <v/>
      </c>
      <c r="Q3135" s="1" t="str">
        <f aca="false">IF(P3135="","",IFERROR(IF(AND(H3135="W7",OR(F3135="causal",F3135="predictive")),IF(AND(K3135=1,L3135=1,M3135=1),"adequate","partial"),INDEX(Fit_Matrix!$B:$B,MATCH(P3135,Fit_Matrix!$A:$A,0))),"CHECK KEY"))</f>
        <v/>
      </c>
    </row>
    <row r="3136" customFormat="false" ht="15" hidden="false" customHeight="true" outlineLevel="0" collapsed="false">
      <c r="P3136" s="1" t="str">
        <f aca="false">IF(OR(F3136="",H3136="",J3136=""),"",J3136&amp;"|"&amp;F3136&amp;"|"&amp;IF(H3136="W3","W3_"&amp;IF(I3136="","unknown",I3136),H3136))</f>
        <v/>
      </c>
      <c r="Q3136" s="1" t="str">
        <f aca="false">IF(P3136="","",IFERROR(IF(AND(H3136="W7",OR(F3136="causal",F3136="predictive")),IF(AND(K3136=1,L3136=1,M3136=1),"adequate","partial"),INDEX(Fit_Matrix!$B:$B,MATCH(P3136,Fit_Matrix!$A:$A,0))),"CHECK KEY"))</f>
        <v/>
      </c>
    </row>
    <row r="3137" customFormat="false" ht="15" hidden="false" customHeight="true" outlineLevel="0" collapsed="false">
      <c r="P3137" s="1" t="str">
        <f aca="false">IF(OR(F3137="",H3137="",J3137=""),"",J3137&amp;"|"&amp;F3137&amp;"|"&amp;IF(H3137="W3","W3_"&amp;IF(I3137="","unknown",I3137),H3137))</f>
        <v/>
      </c>
      <c r="Q3137" s="1" t="str">
        <f aca="false">IF(P3137="","",IFERROR(IF(AND(H3137="W7",OR(F3137="causal",F3137="predictive")),IF(AND(K3137=1,L3137=1,M3137=1),"adequate","partial"),INDEX(Fit_Matrix!$B:$B,MATCH(P3137,Fit_Matrix!$A:$A,0))),"CHECK KEY"))</f>
        <v/>
      </c>
    </row>
    <row r="3138" customFormat="false" ht="15" hidden="false" customHeight="true" outlineLevel="0" collapsed="false">
      <c r="P3138" s="1" t="str">
        <f aca="false">IF(OR(F3138="",H3138="",J3138=""),"",J3138&amp;"|"&amp;F3138&amp;"|"&amp;IF(H3138="W3","W3_"&amp;IF(I3138="","unknown",I3138),H3138))</f>
        <v/>
      </c>
      <c r="Q3138" s="1" t="str">
        <f aca="false">IF(P3138="","",IFERROR(IF(AND(H3138="W7",OR(F3138="causal",F3138="predictive")),IF(AND(K3138=1,L3138=1,M3138=1),"adequate","partial"),INDEX(Fit_Matrix!$B:$B,MATCH(P3138,Fit_Matrix!$A:$A,0))),"CHECK KEY"))</f>
        <v/>
      </c>
    </row>
    <row r="3139" customFormat="false" ht="15" hidden="false" customHeight="true" outlineLevel="0" collapsed="false">
      <c r="P3139" s="1" t="str">
        <f aca="false">IF(OR(F3139="",H3139="",J3139=""),"",J3139&amp;"|"&amp;F3139&amp;"|"&amp;IF(H3139="W3","W3_"&amp;IF(I3139="","unknown",I3139),H3139))</f>
        <v/>
      </c>
      <c r="Q3139" s="1" t="str">
        <f aca="false">IF(P3139="","",IFERROR(IF(AND(H3139="W7",OR(F3139="causal",F3139="predictive")),IF(AND(K3139=1,L3139=1,M3139=1),"adequate","partial"),INDEX(Fit_Matrix!$B:$B,MATCH(P3139,Fit_Matrix!$A:$A,0))),"CHECK KEY"))</f>
        <v/>
      </c>
    </row>
    <row r="3140" customFormat="false" ht="15" hidden="false" customHeight="true" outlineLevel="0" collapsed="false">
      <c r="P3140" s="1" t="str">
        <f aca="false">IF(OR(F3140="",H3140="",J3140=""),"",J3140&amp;"|"&amp;F3140&amp;"|"&amp;IF(H3140="W3","W3_"&amp;IF(I3140="","unknown",I3140),H3140))</f>
        <v/>
      </c>
      <c r="Q3140" s="1" t="str">
        <f aca="false">IF(P3140="","",IFERROR(IF(AND(H3140="W7",OR(F3140="causal",F3140="predictive")),IF(AND(K3140=1,L3140=1,M3140=1),"adequate","partial"),INDEX(Fit_Matrix!$B:$B,MATCH(P3140,Fit_Matrix!$A:$A,0))),"CHECK KEY"))</f>
        <v/>
      </c>
    </row>
    <row r="3141" customFormat="false" ht="15" hidden="false" customHeight="true" outlineLevel="0" collapsed="false">
      <c r="P3141" s="1" t="str">
        <f aca="false">IF(OR(F3141="",H3141="",J3141=""),"",J3141&amp;"|"&amp;F3141&amp;"|"&amp;IF(H3141="W3","W3_"&amp;IF(I3141="","unknown",I3141),H3141))</f>
        <v/>
      </c>
      <c r="Q3141" s="1" t="str">
        <f aca="false">IF(P3141="","",IFERROR(IF(AND(H3141="W7",OR(F3141="causal",F3141="predictive")),IF(AND(K3141=1,L3141=1,M3141=1),"adequate","partial"),INDEX(Fit_Matrix!$B:$B,MATCH(P3141,Fit_Matrix!$A:$A,0))),"CHECK KEY"))</f>
        <v/>
      </c>
    </row>
    <row r="3142" customFormat="false" ht="15" hidden="false" customHeight="true" outlineLevel="0" collapsed="false">
      <c r="P3142" s="1" t="str">
        <f aca="false">IF(OR(F3142="",H3142="",J3142=""),"",J3142&amp;"|"&amp;F3142&amp;"|"&amp;IF(H3142="W3","W3_"&amp;IF(I3142="","unknown",I3142),H3142))</f>
        <v/>
      </c>
      <c r="Q3142" s="1" t="str">
        <f aca="false">IF(P3142="","",IFERROR(IF(AND(H3142="W7",OR(F3142="causal",F3142="predictive")),IF(AND(K3142=1,L3142=1,M3142=1),"adequate","partial"),INDEX(Fit_Matrix!$B:$B,MATCH(P3142,Fit_Matrix!$A:$A,0))),"CHECK KEY"))</f>
        <v/>
      </c>
    </row>
    <row r="3143" customFormat="false" ht="15" hidden="false" customHeight="true" outlineLevel="0" collapsed="false">
      <c r="P3143" s="1" t="str">
        <f aca="false">IF(OR(F3143="",H3143="",J3143=""),"",J3143&amp;"|"&amp;F3143&amp;"|"&amp;IF(H3143="W3","W3_"&amp;IF(I3143="","unknown",I3143),H3143))</f>
        <v/>
      </c>
      <c r="Q3143" s="1" t="str">
        <f aca="false">IF(P3143="","",IFERROR(IF(AND(H3143="W7",OR(F3143="causal",F3143="predictive")),IF(AND(K3143=1,L3143=1,M3143=1),"adequate","partial"),INDEX(Fit_Matrix!$B:$B,MATCH(P3143,Fit_Matrix!$A:$A,0))),"CHECK KEY"))</f>
        <v/>
      </c>
    </row>
    <row r="3144" customFormat="false" ht="15" hidden="false" customHeight="true" outlineLevel="0" collapsed="false">
      <c r="P3144" s="1" t="str">
        <f aca="false">IF(OR(F3144="",H3144="",J3144=""),"",J3144&amp;"|"&amp;F3144&amp;"|"&amp;IF(H3144="W3","W3_"&amp;IF(I3144="","unknown",I3144),H3144))</f>
        <v/>
      </c>
      <c r="Q3144" s="1" t="str">
        <f aca="false">IF(P3144="","",IFERROR(IF(AND(H3144="W7",OR(F3144="causal",F3144="predictive")),IF(AND(K3144=1,L3144=1,M3144=1),"adequate","partial"),INDEX(Fit_Matrix!$B:$B,MATCH(P3144,Fit_Matrix!$A:$A,0))),"CHECK KEY"))</f>
        <v/>
      </c>
    </row>
    <row r="3145" customFormat="false" ht="15" hidden="false" customHeight="true" outlineLevel="0" collapsed="false">
      <c r="P3145" s="1" t="str">
        <f aca="false">IF(OR(F3145="",H3145="",J3145=""),"",J3145&amp;"|"&amp;F3145&amp;"|"&amp;IF(H3145="W3","W3_"&amp;IF(I3145="","unknown",I3145),H3145))</f>
        <v/>
      </c>
      <c r="Q3145" s="1" t="str">
        <f aca="false">IF(P3145="","",IFERROR(IF(AND(H3145="W7",OR(F3145="causal",F3145="predictive")),IF(AND(K3145=1,L3145=1,M3145=1),"adequate","partial"),INDEX(Fit_Matrix!$B:$B,MATCH(P3145,Fit_Matrix!$A:$A,0))),"CHECK KEY"))</f>
        <v/>
      </c>
    </row>
    <row r="3146" customFormat="false" ht="15" hidden="false" customHeight="true" outlineLevel="0" collapsed="false">
      <c r="P3146" s="1" t="str">
        <f aca="false">IF(OR(F3146="",H3146="",J3146=""),"",J3146&amp;"|"&amp;F3146&amp;"|"&amp;IF(H3146="W3","W3_"&amp;IF(I3146="","unknown",I3146),H3146))</f>
        <v/>
      </c>
      <c r="Q3146" s="1" t="str">
        <f aca="false">IF(P3146="","",IFERROR(IF(AND(H3146="W7",OR(F3146="causal",F3146="predictive")),IF(AND(K3146=1,L3146=1,M3146=1),"adequate","partial"),INDEX(Fit_Matrix!$B:$B,MATCH(P3146,Fit_Matrix!$A:$A,0))),"CHECK KEY"))</f>
        <v/>
      </c>
    </row>
    <row r="3147" customFormat="false" ht="15" hidden="false" customHeight="true" outlineLevel="0" collapsed="false">
      <c r="P3147" s="1" t="str">
        <f aca="false">IF(OR(F3147="",H3147="",J3147=""),"",J3147&amp;"|"&amp;F3147&amp;"|"&amp;IF(H3147="W3","W3_"&amp;IF(I3147="","unknown",I3147),H3147))</f>
        <v/>
      </c>
      <c r="Q3147" s="1" t="str">
        <f aca="false">IF(P3147="","",IFERROR(IF(AND(H3147="W7",OR(F3147="causal",F3147="predictive")),IF(AND(K3147=1,L3147=1,M3147=1),"adequate","partial"),INDEX(Fit_Matrix!$B:$B,MATCH(P3147,Fit_Matrix!$A:$A,0))),"CHECK KEY"))</f>
        <v/>
      </c>
    </row>
    <row r="3148" customFormat="false" ht="15" hidden="false" customHeight="true" outlineLevel="0" collapsed="false">
      <c r="P3148" s="1" t="str">
        <f aca="false">IF(OR(F3148="",H3148="",J3148=""),"",J3148&amp;"|"&amp;F3148&amp;"|"&amp;IF(H3148="W3","W3_"&amp;IF(I3148="","unknown",I3148),H3148))</f>
        <v/>
      </c>
      <c r="Q3148" s="1" t="str">
        <f aca="false">IF(P3148="","",IFERROR(IF(AND(H3148="W7",OR(F3148="causal",F3148="predictive")),IF(AND(K3148=1,L3148=1,M3148=1),"adequate","partial"),INDEX(Fit_Matrix!$B:$B,MATCH(P3148,Fit_Matrix!$A:$A,0))),"CHECK KEY"))</f>
        <v/>
      </c>
    </row>
    <row r="3149" customFormat="false" ht="15" hidden="false" customHeight="true" outlineLevel="0" collapsed="false">
      <c r="P3149" s="1" t="str">
        <f aca="false">IF(OR(F3149="",H3149="",J3149=""),"",J3149&amp;"|"&amp;F3149&amp;"|"&amp;IF(H3149="W3","W3_"&amp;IF(I3149="","unknown",I3149),H3149))</f>
        <v/>
      </c>
      <c r="Q3149" s="1" t="str">
        <f aca="false">IF(P3149="","",IFERROR(IF(AND(H3149="W7",OR(F3149="causal",F3149="predictive")),IF(AND(K3149=1,L3149=1,M3149=1),"adequate","partial"),INDEX(Fit_Matrix!$B:$B,MATCH(P3149,Fit_Matrix!$A:$A,0))),"CHECK KEY"))</f>
        <v/>
      </c>
    </row>
    <row r="3150" customFormat="false" ht="15" hidden="false" customHeight="true" outlineLevel="0" collapsed="false">
      <c r="P3150" s="1" t="str">
        <f aca="false">IF(OR(F3150="",H3150="",J3150=""),"",J3150&amp;"|"&amp;F3150&amp;"|"&amp;IF(H3150="W3","W3_"&amp;IF(I3150="","unknown",I3150),H3150))</f>
        <v/>
      </c>
      <c r="Q3150" s="1" t="str">
        <f aca="false">IF(P3150="","",IFERROR(IF(AND(H3150="W7",OR(F3150="causal",F3150="predictive")),IF(AND(K3150=1,L3150=1,M3150=1),"adequate","partial"),INDEX(Fit_Matrix!$B:$B,MATCH(P3150,Fit_Matrix!$A:$A,0))),"CHECK KEY"))</f>
        <v/>
      </c>
    </row>
    <row r="3151" customFormat="false" ht="15" hidden="false" customHeight="true" outlineLevel="0" collapsed="false">
      <c r="P3151" s="1" t="str">
        <f aca="false">IF(OR(F3151="",H3151="",J3151=""),"",J3151&amp;"|"&amp;F3151&amp;"|"&amp;IF(H3151="W3","W3_"&amp;IF(I3151="","unknown",I3151),H3151))</f>
        <v/>
      </c>
      <c r="Q3151" s="1" t="str">
        <f aca="false">IF(P3151="","",IFERROR(IF(AND(H3151="W7",OR(F3151="causal",F3151="predictive")),IF(AND(K3151=1,L3151=1,M3151=1),"adequate","partial"),INDEX(Fit_Matrix!$B:$B,MATCH(P3151,Fit_Matrix!$A:$A,0))),"CHECK KEY"))</f>
        <v/>
      </c>
    </row>
    <row r="3152" customFormat="false" ht="15" hidden="false" customHeight="true" outlineLevel="0" collapsed="false">
      <c r="P3152" s="1" t="str">
        <f aca="false">IF(OR(F3152="",H3152="",J3152=""),"",J3152&amp;"|"&amp;F3152&amp;"|"&amp;IF(H3152="W3","W3_"&amp;IF(I3152="","unknown",I3152),H3152))</f>
        <v/>
      </c>
      <c r="Q3152" s="1" t="str">
        <f aca="false">IF(P3152="","",IFERROR(IF(AND(H3152="W7",OR(F3152="causal",F3152="predictive")),IF(AND(K3152=1,L3152=1,M3152=1),"adequate","partial"),INDEX(Fit_Matrix!$B:$B,MATCH(P3152,Fit_Matrix!$A:$A,0))),"CHECK KEY"))</f>
        <v/>
      </c>
    </row>
    <row r="3153" customFormat="false" ht="15" hidden="false" customHeight="true" outlineLevel="0" collapsed="false">
      <c r="P3153" s="1" t="str">
        <f aca="false">IF(OR(F3153="",H3153="",J3153=""),"",J3153&amp;"|"&amp;F3153&amp;"|"&amp;IF(H3153="W3","W3_"&amp;IF(I3153="","unknown",I3153),H3153))</f>
        <v/>
      </c>
      <c r="Q3153" s="1" t="str">
        <f aca="false">IF(P3153="","",IFERROR(IF(AND(H3153="W7",OR(F3153="causal",F3153="predictive")),IF(AND(K3153=1,L3153=1,M3153=1),"adequate","partial"),INDEX(Fit_Matrix!$B:$B,MATCH(P3153,Fit_Matrix!$A:$A,0))),"CHECK KEY"))</f>
        <v/>
      </c>
    </row>
    <row r="3154" customFormat="false" ht="15" hidden="false" customHeight="true" outlineLevel="0" collapsed="false">
      <c r="P3154" s="1" t="str">
        <f aca="false">IF(OR(F3154="",H3154="",J3154=""),"",J3154&amp;"|"&amp;F3154&amp;"|"&amp;IF(H3154="W3","W3_"&amp;IF(I3154="","unknown",I3154),H3154))</f>
        <v/>
      </c>
      <c r="Q3154" s="1" t="str">
        <f aca="false">IF(P3154="","",IFERROR(IF(AND(H3154="W7",OR(F3154="causal",F3154="predictive")),IF(AND(K3154=1,L3154=1,M3154=1),"adequate","partial"),INDEX(Fit_Matrix!$B:$B,MATCH(P3154,Fit_Matrix!$A:$A,0))),"CHECK KEY"))</f>
        <v/>
      </c>
    </row>
    <row r="3155" customFormat="false" ht="15" hidden="false" customHeight="true" outlineLevel="0" collapsed="false">
      <c r="P3155" s="1" t="str">
        <f aca="false">IF(OR(F3155="",H3155="",J3155=""),"",J3155&amp;"|"&amp;F3155&amp;"|"&amp;IF(H3155="W3","W3_"&amp;IF(I3155="","unknown",I3155),H3155))</f>
        <v/>
      </c>
      <c r="Q3155" s="1" t="str">
        <f aca="false">IF(P3155="","",IFERROR(IF(AND(H3155="W7",OR(F3155="causal",F3155="predictive")),IF(AND(K3155=1,L3155=1,M3155=1),"adequate","partial"),INDEX(Fit_Matrix!$B:$B,MATCH(P3155,Fit_Matrix!$A:$A,0))),"CHECK KEY"))</f>
        <v/>
      </c>
    </row>
    <row r="3156" customFormat="false" ht="15" hidden="false" customHeight="true" outlineLevel="0" collapsed="false">
      <c r="P3156" s="1" t="str">
        <f aca="false">IF(OR(F3156="",H3156="",J3156=""),"",J3156&amp;"|"&amp;F3156&amp;"|"&amp;IF(H3156="W3","W3_"&amp;IF(I3156="","unknown",I3156),H3156))</f>
        <v/>
      </c>
      <c r="Q3156" s="1" t="str">
        <f aca="false">IF(P3156="","",IFERROR(IF(AND(H3156="W7",OR(F3156="causal",F3156="predictive")),IF(AND(K3156=1,L3156=1,M3156=1),"adequate","partial"),INDEX(Fit_Matrix!$B:$B,MATCH(P3156,Fit_Matrix!$A:$A,0))),"CHECK KEY"))</f>
        <v/>
      </c>
    </row>
    <row r="3157" customFormat="false" ht="15" hidden="false" customHeight="true" outlineLevel="0" collapsed="false">
      <c r="P3157" s="1" t="str">
        <f aca="false">IF(OR(F3157="",H3157="",J3157=""),"",J3157&amp;"|"&amp;F3157&amp;"|"&amp;IF(H3157="W3","W3_"&amp;IF(I3157="","unknown",I3157),H3157))</f>
        <v/>
      </c>
      <c r="Q3157" s="1" t="str">
        <f aca="false">IF(P3157="","",IFERROR(IF(AND(H3157="W7",OR(F3157="causal",F3157="predictive")),IF(AND(K3157=1,L3157=1,M3157=1),"adequate","partial"),INDEX(Fit_Matrix!$B:$B,MATCH(P3157,Fit_Matrix!$A:$A,0))),"CHECK KEY"))</f>
        <v/>
      </c>
    </row>
    <row r="3158" customFormat="false" ht="15" hidden="false" customHeight="true" outlineLevel="0" collapsed="false">
      <c r="P3158" s="1" t="str">
        <f aca="false">IF(OR(F3158="",H3158="",J3158=""),"",J3158&amp;"|"&amp;F3158&amp;"|"&amp;IF(H3158="W3","W3_"&amp;IF(I3158="","unknown",I3158),H3158))</f>
        <v/>
      </c>
      <c r="Q3158" s="1" t="str">
        <f aca="false">IF(P3158="","",IFERROR(IF(AND(H3158="W7",OR(F3158="causal",F3158="predictive")),IF(AND(K3158=1,L3158=1,M3158=1),"adequate","partial"),INDEX(Fit_Matrix!$B:$B,MATCH(P3158,Fit_Matrix!$A:$A,0))),"CHECK KEY"))</f>
        <v/>
      </c>
    </row>
    <row r="3159" customFormat="false" ht="15" hidden="false" customHeight="true" outlineLevel="0" collapsed="false">
      <c r="P3159" s="1" t="str">
        <f aca="false">IF(OR(F3159="",H3159="",J3159=""),"",J3159&amp;"|"&amp;F3159&amp;"|"&amp;IF(H3159="W3","W3_"&amp;IF(I3159="","unknown",I3159),H3159))</f>
        <v/>
      </c>
      <c r="Q3159" s="1" t="str">
        <f aca="false">IF(P3159="","",IFERROR(IF(AND(H3159="W7",OR(F3159="causal",F3159="predictive")),IF(AND(K3159=1,L3159=1,M3159=1),"adequate","partial"),INDEX(Fit_Matrix!$B:$B,MATCH(P3159,Fit_Matrix!$A:$A,0))),"CHECK KEY"))</f>
        <v/>
      </c>
    </row>
    <row r="3160" customFormat="false" ht="15" hidden="false" customHeight="true" outlineLevel="0" collapsed="false">
      <c r="P3160" s="1" t="str">
        <f aca="false">IF(OR(F3160="",H3160="",J3160=""),"",J3160&amp;"|"&amp;F3160&amp;"|"&amp;IF(H3160="W3","W3_"&amp;IF(I3160="","unknown",I3160),H3160))</f>
        <v/>
      </c>
      <c r="Q3160" s="1" t="str">
        <f aca="false">IF(P3160="","",IFERROR(IF(AND(H3160="W7",OR(F3160="causal",F3160="predictive")),IF(AND(K3160=1,L3160=1,M3160=1),"adequate","partial"),INDEX(Fit_Matrix!$B:$B,MATCH(P3160,Fit_Matrix!$A:$A,0))),"CHECK KEY"))</f>
        <v/>
      </c>
    </row>
    <row r="3161" customFormat="false" ht="15" hidden="false" customHeight="true" outlineLevel="0" collapsed="false">
      <c r="P3161" s="1" t="str">
        <f aca="false">IF(OR(F3161="",H3161="",J3161=""),"",J3161&amp;"|"&amp;F3161&amp;"|"&amp;IF(H3161="W3","W3_"&amp;IF(I3161="","unknown",I3161),H3161))</f>
        <v/>
      </c>
      <c r="Q3161" s="1" t="str">
        <f aca="false">IF(P3161="","",IFERROR(IF(AND(H3161="W7",OR(F3161="causal",F3161="predictive")),IF(AND(K3161=1,L3161=1,M3161=1),"adequate","partial"),INDEX(Fit_Matrix!$B:$B,MATCH(P3161,Fit_Matrix!$A:$A,0))),"CHECK KEY"))</f>
        <v/>
      </c>
    </row>
    <row r="3162" customFormat="false" ht="15" hidden="false" customHeight="true" outlineLevel="0" collapsed="false">
      <c r="P3162" s="1" t="str">
        <f aca="false">IF(OR(F3162="",H3162="",J3162=""),"",J3162&amp;"|"&amp;F3162&amp;"|"&amp;IF(H3162="W3","W3_"&amp;IF(I3162="","unknown",I3162),H3162))</f>
        <v/>
      </c>
      <c r="Q3162" s="1" t="str">
        <f aca="false">IF(P3162="","",IFERROR(IF(AND(H3162="W7",OR(F3162="causal",F3162="predictive")),IF(AND(K3162=1,L3162=1,M3162=1),"adequate","partial"),INDEX(Fit_Matrix!$B:$B,MATCH(P3162,Fit_Matrix!$A:$A,0))),"CHECK KEY"))</f>
        <v/>
      </c>
    </row>
    <row r="3163" customFormat="false" ht="15" hidden="false" customHeight="true" outlineLevel="0" collapsed="false">
      <c r="P3163" s="1" t="str">
        <f aca="false">IF(OR(F3163="",H3163="",J3163=""),"",J3163&amp;"|"&amp;F3163&amp;"|"&amp;IF(H3163="W3","W3_"&amp;IF(I3163="","unknown",I3163),H3163))</f>
        <v/>
      </c>
      <c r="Q3163" s="1" t="str">
        <f aca="false">IF(P3163="","",IFERROR(IF(AND(H3163="W7",OR(F3163="causal",F3163="predictive")),IF(AND(K3163=1,L3163=1,M3163=1),"adequate","partial"),INDEX(Fit_Matrix!$B:$B,MATCH(P3163,Fit_Matrix!$A:$A,0))),"CHECK KEY"))</f>
        <v/>
      </c>
    </row>
    <row r="3164" customFormat="false" ht="15" hidden="false" customHeight="true" outlineLevel="0" collapsed="false">
      <c r="P3164" s="1" t="str">
        <f aca="false">IF(OR(F3164="",H3164="",J3164=""),"",J3164&amp;"|"&amp;F3164&amp;"|"&amp;IF(H3164="W3","W3_"&amp;IF(I3164="","unknown",I3164),H3164))</f>
        <v/>
      </c>
      <c r="Q3164" s="1" t="str">
        <f aca="false">IF(P3164="","",IFERROR(IF(AND(H3164="W7",OR(F3164="causal",F3164="predictive")),IF(AND(K3164=1,L3164=1,M3164=1),"adequate","partial"),INDEX(Fit_Matrix!$B:$B,MATCH(P3164,Fit_Matrix!$A:$A,0))),"CHECK KEY"))</f>
        <v/>
      </c>
    </row>
    <row r="3165" customFormat="false" ht="15" hidden="false" customHeight="true" outlineLevel="0" collapsed="false">
      <c r="P3165" s="1" t="str">
        <f aca="false">IF(OR(F3165="",H3165="",J3165=""),"",J3165&amp;"|"&amp;F3165&amp;"|"&amp;IF(H3165="W3","W3_"&amp;IF(I3165="","unknown",I3165),H3165))</f>
        <v/>
      </c>
      <c r="Q3165" s="1" t="str">
        <f aca="false">IF(P3165="","",IFERROR(IF(AND(H3165="W7",OR(F3165="causal",F3165="predictive")),IF(AND(K3165=1,L3165=1,M3165=1),"adequate","partial"),INDEX(Fit_Matrix!$B:$B,MATCH(P3165,Fit_Matrix!$A:$A,0))),"CHECK KEY"))</f>
        <v/>
      </c>
    </row>
    <row r="3166" customFormat="false" ht="15" hidden="false" customHeight="true" outlineLevel="0" collapsed="false">
      <c r="P3166" s="1" t="str">
        <f aca="false">IF(OR(F3166="",H3166="",J3166=""),"",J3166&amp;"|"&amp;F3166&amp;"|"&amp;IF(H3166="W3","W3_"&amp;IF(I3166="","unknown",I3166),H3166))</f>
        <v/>
      </c>
      <c r="Q3166" s="1" t="str">
        <f aca="false">IF(P3166="","",IFERROR(IF(AND(H3166="W7",OR(F3166="causal",F3166="predictive")),IF(AND(K3166=1,L3166=1,M3166=1),"adequate","partial"),INDEX(Fit_Matrix!$B:$B,MATCH(P3166,Fit_Matrix!$A:$A,0))),"CHECK KEY"))</f>
        <v/>
      </c>
    </row>
    <row r="3167" customFormat="false" ht="15" hidden="false" customHeight="true" outlineLevel="0" collapsed="false">
      <c r="P3167" s="1" t="str">
        <f aca="false">IF(OR(F3167="",H3167="",J3167=""),"",J3167&amp;"|"&amp;F3167&amp;"|"&amp;IF(H3167="W3","W3_"&amp;IF(I3167="","unknown",I3167),H3167))</f>
        <v/>
      </c>
      <c r="Q3167" s="1" t="str">
        <f aca="false">IF(P3167="","",IFERROR(IF(AND(H3167="W7",OR(F3167="causal",F3167="predictive")),IF(AND(K3167=1,L3167=1,M3167=1),"adequate","partial"),INDEX(Fit_Matrix!$B:$B,MATCH(P3167,Fit_Matrix!$A:$A,0))),"CHECK KEY"))</f>
        <v/>
      </c>
    </row>
    <row r="3168" customFormat="false" ht="15" hidden="false" customHeight="true" outlineLevel="0" collapsed="false">
      <c r="P3168" s="1" t="str">
        <f aca="false">IF(OR(F3168="",H3168="",J3168=""),"",J3168&amp;"|"&amp;F3168&amp;"|"&amp;IF(H3168="W3","W3_"&amp;IF(I3168="","unknown",I3168),H3168))</f>
        <v/>
      </c>
      <c r="Q3168" s="1" t="str">
        <f aca="false">IF(P3168="","",IFERROR(IF(AND(H3168="W7",OR(F3168="causal",F3168="predictive")),IF(AND(K3168=1,L3168=1,M3168=1),"adequate","partial"),INDEX(Fit_Matrix!$B:$B,MATCH(P3168,Fit_Matrix!$A:$A,0))),"CHECK KEY"))</f>
        <v/>
      </c>
    </row>
    <row r="3169" customFormat="false" ht="15" hidden="false" customHeight="true" outlineLevel="0" collapsed="false">
      <c r="P3169" s="1" t="str">
        <f aca="false">IF(OR(F3169="",H3169="",J3169=""),"",J3169&amp;"|"&amp;F3169&amp;"|"&amp;IF(H3169="W3","W3_"&amp;IF(I3169="","unknown",I3169),H3169))</f>
        <v/>
      </c>
      <c r="Q3169" s="1" t="str">
        <f aca="false">IF(P3169="","",IFERROR(IF(AND(H3169="W7",OR(F3169="causal",F3169="predictive")),IF(AND(K3169=1,L3169=1,M3169=1),"adequate","partial"),INDEX(Fit_Matrix!$B:$B,MATCH(P3169,Fit_Matrix!$A:$A,0))),"CHECK KEY"))</f>
        <v/>
      </c>
    </row>
    <row r="3170" customFormat="false" ht="15" hidden="false" customHeight="true" outlineLevel="0" collapsed="false">
      <c r="P3170" s="1" t="str">
        <f aca="false">IF(OR(F3170="",H3170="",J3170=""),"",J3170&amp;"|"&amp;F3170&amp;"|"&amp;IF(H3170="W3","W3_"&amp;IF(I3170="","unknown",I3170),H3170))</f>
        <v/>
      </c>
      <c r="Q3170" s="1" t="str">
        <f aca="false">IF(P3170="","",IFERROR(IF(AND(H3170="W7",OR(F3170="causal",F3170="predictive")),IF(AND(K3170=1,L3170=1,M3170=1),"adequate","partial"),INDEX(Fit_Matrix!$B:$B,MATCH(P3170,Fit_Matrix!$A:$A,0))),"CHECK KEY"))</f>
        <v/>
      </c>
    </row>
    <row r="3171" customFormat="false" ht="15" hidden="false" customHeight="true" outlineLevel="0" collapsed="false">
      <c r="P3171" s="1" t="str">
        <f aca="false">IF(OR(F3171="",H3171="",J3171=""),"",J3171&amp;"|"&amp;F3171&amp;"|"&amp;IF(H3171="W3","W3_"&amp;IF(I3171="","unknown",I3171),H3171))</f>
        <v/>
      </c>
      <c r="Q3171" s="1" t="str">
        <f aca="false">IF(P3171="","",IFERROR(IF(AND(H3171="W7",OR(F3171="causal",F3171="predictive")),IF(AND(K3171=1,L3171=1,M3171=1),"adequate","partial"),INDEX(Fit_Matrix!$B:$B,MATCH(P3171,Fit_Matrix!$A:$A,0))),"CHECK KEY"))</f>
        <v/>
      </c>
    </row>
    <row r="3172" customFormat="false" ht="15" hidden="false" customHeight="true" outlineLevel="0" collapsed="false">
      <c r="P3172" s="1" t="str">
        <f aca="false">IF(OR(F3172="",H3172="",J3172=""),"",J3172&amp;"|"&amp;F3172&amp;"|"&amp;IF(H3172="W3","W3_"&amp;IF(I3172="","unknown",I3172),H3172))</f>
        <v/>
      </c>
      <c r="Q3172" s="1" t="str">
        <f aca="false">IF(P3172="","",IFERROR(IF(AND(H3172="W7",OR(F3172="causal",F3172="predictive")),IF(AND(K3172=1,L3172=1,M3172=1),"adequate","partial"),INDEX(Fit_Matrix!$B:$B,MATCH(P3172,Fit_Matrix!$A:$A,0))),"CHECK KEY"))</f>
        <v/>
      </c>
    </row>
    <row r="3173" customFormat="false" ht="15" hidden="false" customHeight="true" outlineLevel="0" collapsed="false">
      <c r="P3173" s="1" t="str">
        <f aca="false">IF(OR(F3173="",H3173="",J3173=""),"",J3173&amp;"|"&amp;F3173&amp;"|"&amp;IF(H3173="W3","W3_"&amp;IF(I3173="","unknown",I3173),H3173))</f>
        <v/>
      </c>
      <c r="Q3173" s="1" t="str">
        <f aca="false">IF(P3173="","",IFERROR(IF(AND(H3173="W7",OR(F3173="causal",F3173="predictive")),IF(AND(K3173=1,L3173=1,M3173=1),"adequate","partial"),INDEX(Fit_Matrix!$B:$B,MATCH(P3173,Fit_Matrix!$A:$A,0))),"CHECK KEY"))</f>
        <v/>
      </c>
    </row>
    <row r="3174" customFormat="false" ht="15" hidden="false" customHeight="true" outlineLevel="0" collapsed="false">
      <c r="P3174" s="1" t="str">
        <f aca="false">IF(OR(F3174="",H3174="",J3174=""),"",J3174&amp;"|"&amp;F3174&amp;"|"&amp;IF(H3174="W3","W3_"&amp;IF(I3174="","unknown",I3174),H3174))</f>
        <v/>
      </c>
      <c r="Q3174" s="1" t="str">
        <f aca="false">IF(P3174="","",IFERROR(IF(AND(H3174="W7",OR(F3174="causal",F3174="predictive")),IF(AND(K3174=1,L3174=1,M3174=1),"adequate","partial"),INDEX(Fit_Matrix!$B:$B,MATCH(P3174,Fit_Matrix!$A:$A,0))),"CHECK KEY"))</f>
        <v/>
      </c>
    </row>
    <row r="3175" customFormat="false" ht="15" hidden="false" customHeight="true" outlineLevel="0" collapsed="false">
      <c r="P3175" s="1" t="str">
        <f aca="false">IF(OR(F3175="",H3175="",J3175=""),"",J3175&amp;"|"&amp;F3175&amp;"|"&amp;IF(H3175="W3","W3_"&amp;IF(I3175="","unknown",I3175),H3175))</f>
        <v/>
      </c>
      <c r="Q3175" s="1" t="str">
        <f aca="false">IF(P3175="","",IFERROR(IF(AND(H3175="W7",OR(F3175="causal",F3175="predictive")),IF(AND(K3175=1,L3175=1,M3175=1),"adequate","partial"),INDEX(Fit_Matrix!$B:$B,MATCH(P3175,Fit_Matrix!$A:$A,0))),"CHECK KEY"))</f>
        <v/>
      </c>
    </row>
    <row r="3176" customFormat="false" ht="15" hidden="false" customHeight="true" outlineLevel="0" collapsed="false">
      <c r="P3176" s="1" t="str">
        <f aca="false">IF(OR(F3176="",H3176="",J3176=""),"",J3176&amp;"|"&amp;F3176&amp;"|"&amp;IF(H3176="W3","W3_"&amp;IF(I3176="","unknown",I3176),H3176))</f>
        <v/>
      </c>
      <c r="Q3176" s="1" t="str">
        <f aca="false">IF(P3176="","",IFERROR(IF(AND(H3176="W7",OR(F3176="causal",F3176="predictive")),IF(AND(K3176=1,L3176=1,M3176=1),"adequate","partial"),INDEX(Fit_Matrix!$B:$B,MATCH(P3176,Fit_Matrix!$A:$A,0))),"CHECK KEY"))</f>
        <v/>
      </c>
    </row>
    <row r="3177" customFormat="false" ht="15" hidden="false" customHeight="true" outlineLevel="0" collapsed="false">
      <c r="P3177" s="1" t="str">
        <f aca="false">IF(OR(F3177="",H3177="",J3177=""),"",J3177&amp;"|"&amp;F3177&amp;"|"&amp;IF(H3177="W3","W3_"&amp;IF(I3177="","unknown",I3177),H3177))</f>
        <v/>
      </c>
      <c r="Q3177" s="1" t="str">
        <f aca="false">IF(P3177="","",IFERROR(IF(AND(H3177="W7",OR(F3177="causal",F3177="predictive")),IF(AND(K3177=1,L3177=1,M3177=1),"adequate","partial"),INDEX(Fit_Matrix!$B:$B,MATCH(P3177,Fit_Matrix!$A:$A,0))),"CHECK KEY"))</f>
        <v/>
      </c>
    </row>
    <row r="3178" customFormat="false" ht="15" hidden="false" customHeight="true" outlineLevel="0" collapsed="false">
      <c r="P3178" s="1" t="str">
        <f aca="false">IF(OR(F3178="",H3178="",J3178=""),"",J3178&amp;"|"&amp;F3178&amp;"|"&amp;IF(H3178="W3","W3_"&amp;IF(I3178="","unknown",I3178),H3178))</f>
        <v/>
      </c>
      <c r="Q3178" s="1" t="str">
        <f aca="false">IF(P3178="","",IFERROR(IF(AND(H3178="W7",OR(F3178="causal",F3178="predictive")),IF(AND(K3178=1,L3178=1,M3178=1),"adequate","partial"),INDEX(Fit_Matrix!$B:$B,MATCH(P3178,Fit_Matrix!$A:$A,0))),"CHECK KEY"))</f>
        <v/>
      </c>
    </row>
    <row r="3179" customFormat="false" ht="15" hidden="false" customHeight="true" outlineLevel="0" collapsed="false">
      <c r="P3179" s="1" t="str">
        <f aca="false">IF(OR(F3179="",H3179="",J3179=""),"",J3179&amp;"|"&amp;F3179&amp;"|"&amp;IF(H3179="W3","W3_"&amp;IF(I3179="","unknown",I3179),H3179))</f>
        <v/>
      </c>
      <c r="Q3179" s="1" t="str">
        <f aca="false">IF(P3179="","",IFERROR(IF(AND(H3179="W7",OR(F3179="causal",F3179="predictive")),IF(AND(K3179=1,L3179=1,M3179=1),"adequate","partial"),INDEX(Fit_Matrix!$B:$B,MATCH(P3179,Fit_Matrix!$A:$A,0))),"CHECK KEY"))</f>
        <v/>
      </c>
    </row>
    <row r="3180" customFormat="false" ht="15" hidden="false" customHeight="true" outlineLevel="0" collapsed="false">
      <c r="P3180" s="1" t="str">
        <f aca="false">IF(OR(F3180="",H3180="",J3180=""),"",J3180&amp;"|"&amp;F3180&amp;"|"&amp;IF(H3180="W3","W3_"&amp;IF(I3180="","unknown",I3180),H3180))</f>
        <v/>
      </c>
      <c r="Q3180" s="1" t="str">
        <f aca="false">IF(P3180="","",IFERROR(IF(AND(H3180="W7",OR(F3180="causal",F3180="predictive")),IF(AND(K3180=1,L3180=1,M3180=1),"adequate","partial"),INDEX(Fit_Matrix!$B:$B,MATCH(P3180,Fit_Matrix!$A:$A,0))),"CHECK KEY"))</f>
        <v/>
      </c>
    </row>
    <row r="3181" customFormat="false" ht="15" hidden="false" customHeight="true" outlineLevel="0" collapsed="false">
      <c r="P3181" s="1" t="str">
        <f aca="false">IF(OR(F3181="",H3181="",J3181=""),"",J3181&amp;"|"&amp;F3181&amp;"|"&amp;IF(H3181="W3","W3_"&amp;IF(I3181="","unknown",I3181),H3181))</f>
        <v/>
      </c>
      <c r="Q3181" s="1" t="str">
        <f aca="false">IF(P3181="","",IFERROR(IF(AND(H3181="W7",OR(F3181="causal",F3181="predictive")),IF(AND(K3181=1,L3181=1,M3181=1),"adequate","partial"),INDEX(Fit_Matrix!$B:$B,MATCH(P3181,Fit_Matrix!$A:$A,0))),"CHECK KEY"))</f>
        <v/>
      </c>
    </row>
    <row r="3182" customFormat="false" ht="15" hidden="false" customHeight="true" outlineLevel="0" collapsed="false">
      <c r="P3182" s="1" t="str">
        <f aca="false">IF(OR(F3182="",H3182="",J3182=""),"",J3182&amp;"|"&amp;F3182&amp;"|"&amp;IF(H3182="W3","W3_"&amp;IF(I3182="","unknown",I3182),H3182))</f>
        <v/>
      </c>
      <c r="Q3182" s="1" t="str">
        <f aca="false">IF(P3182="","",IFERROR(IF(AND(H3182="W7",OR(F3182="causal",F3182="predictive")),IF(AND(K3182=1,L3182=1,M3182=1),"adequate","partial"),INDEX(Fit_Matrix!$B:$B,MATCH(P3182,Fit_Matrix!$A:$A,0))),"CHECK KEY"))</f>
        <v/>
      </c>
    </row>
    <row r="3183" customFormat="false" ht="15" hidden="false" customHeight="true" outlineLevel="0" collapsed="false">
      <c r="P3183" s="1" t="str">
        <f aca="false">IF(OR(F3183="",H3183="",J3183=""),"",J3183&amp;"|"&amp;F3183&amp;"|"&amp;IF(H3183="W3","W3_"&amp;IF(I3183="","unknown",I3183),H3183))</f>
        <v/>
      </c>
      <c r="Q3183" s="1" t="str">
        <f aca="false">IF(P3183="","",IFERROR(IF(AND(H3183="W7",OR(F3183="causal",F3183="predictive")),IF(AND(K3183=1,L3183=1,M3183=1),"adequate","partial"),INDEX(Fit_Matrix!$B:$B,MATCH(P3183,Fit_Matrix!$A:$A,0))),"CHECK KEY"))</f>
        <v/>
      </c>
    </row>
    <row r="3184" customFormat="false" ht="15" hidden="false" customHeight="true" outlineLevel="0" collapsed="false">
      <c r="P3184" s="1" t="str">
        <f aca="false">IF(OR(F3184="",H3184="",J3184=""),"",J3184&amp;"|"&amp;F3184&amp;"|"&amp;IF(H3184="W3","W3_"&amp;IF(I3184="","unknown",I3184),H3184))</f>
        <v/>
      </c>
      <c r="Q3184" s="1" t="str">
        <f aca="false">IF(P3184="","",IFERROR(IF(AND(H3184="W7",OR(F3184="causal",F3184="predictive")),IF(AND(K3184=1,L3184=1,M3184=1),"adequate","partial"),INDEX(Fit_Matrix!$B:$B,MATCH(P3184,Fit_Matrix!$A:$A,0))),"CHECK KEY"))</f>
        <v/>
      </c>
    </row>
    <row r="3185" customFormat="false" ht="15" hidden="false" customHeight="true" outlineLevel="0" collapsed="false">
      <c r="P3185" s="1" t="str">
        <f aca="false">IF(OR(F3185="",H3185="",J3185=""),"",J3185&amp;"|"&amp;F3185&amp;"|"&amp;IF(H3185="W3","W3_"&amp;IF(I3185="","unknown",I3185),H3185))</f>
        <v/>
      </c>
      <c r="Q3185" s="1" t="str">
        <f aca="false">IF(P3185="","",IFERROR(IF(AND(H3185="W7",OR(F3185="causal",F3185="predictive")),IF(AND(K3185=1,L3185=1,M3185=1),"adequate","partial"),INDEX(Fit_Matrix!$B:$B,MATCH(P3185,Fit_Matrix!$A:$A,0))),"CHECK KEY"))</f>
        <v/>
      </c>
    </row>
    <row r="3186" customFormat="false" ht="15" hidden="false" customHeight="true" outlineLevel="0" collapsed="false">
      <c r="P3186" s="1" t="str">
        <f aca="false">IF(OR(F3186="",H3186="",J3186=""),"",J3186&amp;"|"&amp;F3186&amp;"|"&amp;IF(H3186="W3","W3_"&amp;IF(I3186="","unknown",I3186),H3186))</f>
        <v/>
      </c>
      <c r="Q3186" s="1" t="str">
        <f aca="false">IF(P3186="","",IFERROR(IF(AND(H3186="W7",OR(F3186="causal",F3186="predictive")),IF(AND(K3186=1,L3186=1,M3186=1),"adequate","partial"),INDEX(Fit_Matrix!$B:$B,MATCH(P3186,Fit_Matrix!$A:$A,0))),"CHECK KEY"))</f>
        <v/>
      </c>
    </row>
    <row r="3187" customFormat="false" ht="15" hidden="false" customHeight="true" outlineLevel="0" collapsed="false">
      <c r="P3187" s="1" t="str">
        <f aca="false">IF(OR(F3187="",H3187="",J3187=""),"",J3187&amp;"|"&amp;F3187&amp;"|"&amp;IF(H3187="W3","W3_"&amp;IF(I3187="","unknown",I3187),H3187))</f>
        <v/>
      </c>
      <c r="Q3187" s="1" t="str">
        <f aca="false">IF(P3187="","",IFERROR(IF(AND(H3187="W7",OR(F3187="causal",F3187="predictive")),IF(AND(K3187=1,L3187=1,M3187=1),"adequate","partial"),INDEX(Fit_Matrix!$B:$B,MATCH(P3187,Fit_Matrix!$A:$A,0))),"CHECK KEY"))</f>
        <v/>
      </c>
    </row>
    <row r="3188" customFormat="false" ht="15" hidden="false" customHeight="true" outlineLevel="0" collapsed="false">
      <c r="P3188" s="1" t="str">
        <f aca="false">IF(OR(F3188="",H3188="",J3188=""),"",J3188&amp;"|"&amp;F3188&amp;"|"&amp;IF(H3188="W3","W3_"&amp;IF(I3188="","unknown",I3188),H3188))</f>
        <v/>
      </c>
      <c r="Q3188" s="1" t="str">
        <f aca="false">IF(P3188="","",IFERROR(IF(AND(H3188="W7",OR(F3188="causal",F3188="predictive")),IF(AND(K3188=1,L3188=1,M3188=1),"adequate","partial"),INDEX(Fit_Matrix!$B:$B,MATCH(P3188,Fit_Matrix!$A:$A,0))),"CHECK KEY"))</f>
        <v/>
      </c>
    </row>
    <row r="3189" customFormat="false" ht="15" hidden="false" customHeight="true" outlineLevel="0" collapsed="false">
      <c r="P3189" s="1" t="str">
        <f aca="false">IF(OR(F3189="",H3189="",J3189=""),"",J3189&amp;"|"&amp;F3189&amp;"|"&amp;IF(H3189="W3","W3_"&amp;IF(I3189="","unknown",I3189),H3189))</f>
        <v/>
      </c>
      <c r="Q3189" s="1" t="str">
        <f aca="false">IF(P3189="","",IFERROR(IF(AND(H3189="W7",OR(F3189="causal",F3189="predictive")),IF(AND(K3189=1,L3189=1,M3189=1),"adequate","partial"),INDEX(Fit_Matrix!$B:$B,MATCH(P3189,Fit_Matrix!$A:$A,0))),"CHECK KEY"))</f>
        <v/>
      </c>
    </row>
    <row r="3190" customFormat="false" ht="15" hidden="false" customHeight="true" outlineLevel="0" collapsed="false">
      <c r="P3190" s="1" t="str">
        <f aca="false">IF(OR(F3190="",H3190="",J3190=""),"",J3190&amp;"|"&amp;F3190&amp;"|"&amp;IF(H3190="W3","W3_"&amp;IF(I3190="","unknown",I3190),H3190))</f>
        <v/>
      </c>
      <c r="Q3190" s="1" t="str">
        <f aca="false">IF(P3190="","",IFERROR(IF(AND(H3190="W7",OR(F3190="causal",F3190="predictive")),IF(AND(K3190=1,L3190=1,M3190=1),"adequate","partial"),INDEX(Fit_Matrix!$B:$B,MATCH(P3190,Fit_Matrix!$A:$A,0))),"CHECK KEY"))</f>
        <v/>
      </c>
    </row>
    <row r="3191" customFormat="false" ht="15" hidden="false" customHeight="true" outlineLevel="0" collapsed="false">
      <c r="P3191" s="1" t="str">
        <f aca="false">IF(OR(F3191="",H3191="",J3191=""),"",J3191&amp;"|"&amp;F3191&amp;"|"&amp;IF(H3191="W3","W3_"&amp;IF(I3191="","unknown",I3191),H3191))</f>
        <v/>
      </c>
      <c r="Q3191" s="1" t="str">
        <f aca="false">IF(P3191="","",IFERROR(IF(AND(H3191="W7",OR(F3191="causal",F3191="predictive")),IF(AND(K3191=1,L3191=1,M3191=1),"adequate","partial"),INDEX(Fit_Matrix!$B:$B,MATCH(P3191,Fit_Matrix!$A:$A,0))),"CHECK KEY"))</f>
        <v/>
      </c>
    </row>
    <row r="3192" customFormat="false" ht="15" hidden="false" customHeight="true" outlineLevel="0" collapsed="false">
      <c r="P3192" s="1" t="str">
        <f aca="false">IF(OR(F3192="",H3192="",J3192=""),"",J3192&amp;"|"&amp;F3192&amp;"|"&amp;IF(H3192="W3","W3_"&amp;IF(I3192="","unknown",I3192),H3192))</f>
        <v/>
      </c>
      <c r="Q3192" s="1" t="str">
        <f aca="false">IF(P3192="","",IFERROR(IF(AND(H3192="W7",OR(F3192="causal",F3192="predictive")),IF(AND(K3192=1,L3192=1,M3192=1),"adequate","partial"),INDEX(Fit_Matrix!$B:$B,MATCH(P3192,Fit_Matrix!$A:$A,0))),"CHECK KEY"))</f>
        <v/>
      </c>
    </row>
    <row r="3193" customFormat="false" ht="15" hidden="false" customHeight="true" outlineLevel="0" collapsed="false">
      <c r="P3193" s="1" t="str">
        <f aca="false">IF(OR(F3193="",H3193="",J3193=""),"",J3193&amp;"|"&amp;F3193&amp;"|"&amp;IF(H3193="W3","W3_"&amp;IF(I3193="","unknown",I3193),H3193))</f>
        <v/>
      </c>
      <c r="Q3193" s="1" t="str">
        <f aca="false">IF(P3193="","",IFERROR(IF(AND(H3193="W7",OR(F3193="causal",F3193="predictive")),IF(AND(K3193=1,L3193=1,M3193=1),"adequate","partial"),INDEX(Fit_Matrix!$B:$B,MATCH(P3193,Fit_Matrix!$A:$A,0))),"CHECK KEY"))</f>
        <v/>
      </c>
    </row>
    <row r="3194" customFormat="false" ht="15" hidden="false" customHeight="true" outlineLevel="0" collapsed="false">
      <c r="P3194" s="1" t="str">
        <f aca="false">IF(OR(F3194="",H3194="",J3194=""),"",J3194&amp;"|"&amp;F3194&amp;"|"&amp;IF(H3194="W3","W3_"&amp;IF(I3194="","unknown",I3194),H3194))</f>
        <v/>
      </c>
      <c r="Q3194" s="1" t="str">
        <f aca="false">IF(P3194="","",IFERROR(IF(AND(H3194="W7",OR(F3194="causal",F3194="predictive")),IF(AND(K3194=1,L3194=1,M3194=1),"adequate","partial"),INDEX(Fit_Matrix!$B:$B,MATCH(P3194,Fit_Matrix!$A:$A,0))),"CHECK KEY"))</f>
        <v/>
      </c>
    </row>
    <row r="3195" customFormat="false" ht="15" hidden="false" customHeight="true" outlineLevel="0" collapsed="false">
      <c r="P3195" s="1" t="str">
        <f aca="false">IF(OR(F3195="",H3195="",J3195=""),"",J3195&amp;"|"&amp;F3195&amp;"|"&amp;IF(H3195="W3","W3_"&amp;IF(I3195="","unknown",I3195),H3195))</f>
        <v/>
      </c>
      <c r="Q3195" s="1" t="str">
        <f aca="false">IF(P3195="","",IFERROR(IF(AND(H3195="W7",OR(F3195="causal",F3195="predictive")),IF(AND(K3195=1,L3195=1,M3195=1),"adequate","partial"),INDEX(Fit_Matrix!$B:$B,MATCH(P3195,Fit_Matrix!$A:$A,0))),"CHECK KEY"))</f>
        <v/>
      </c>
    </row>
    <row r="3196" customFormat="false" ht="15" hidden="false" customHeight="true" outlineLevel="0" collapsed="false">
      <c r="P3196" s="1" t="str">
        <f aca="false">IF(OR(F3196="",H3196="",J3196=""),"",J3196&amp;"|"&amp;F3196&amp;"|"&amp;IF(H3196="W3","W3_"&amp;IF(I3196="","unknown",I3196),H3196))</f>
        <v/>
      </c>
      <c r="Q3196" s="1" t="str">
        <f aca="false">IF(P3196="","",IFERROR(IF(AND(H3196="W7",OR(F3196="causal",F3196="predictive")),IF(AND(K3196=1,L3196=1,M3196=1),"adequate","partial"),INDEX(Fit_Matrix!$B:$B,MATCH(P3196,Fit_Matrix!$A:$A,0))),"CHECK KEY"))</f>
        <v/>
      </c>
    </row>
    <row r="3197" customFormat="false" ht="15" hidden="false" customHeight="true" outlineLevel="0" collapsed="false">
      <c r="P3197" s="1" t="str">
        <f aca="false">IF(OR(F3197="",H3197="",J3197=""),"",J3197&amp;"|"&amp;F3197&amp;"|"&amp;IF(H3197="W3","W3_"&amp;IF(I3197="","unknown",I3197),H3197))</f>
        <v/>
      </c>
      <c r="Q3197" s="1" t="str">
        <f aca="false">IF(P3197="","",IFERROR(IF(AND(H3197="W7",OR(F3197="causal",F3197="predictive")),IF(AND(K3197=1,L3197=1,M3197=1),"adequate","partial"),INDEX(Fit_Matrix!$B:$B,MATCH(P3197,Fit_Matrix!$A:$A,0))),"CHECK KEY"))</f>
        <v/>
      </c>
    </row>
    <row r="3198" customFormat="false" ht="15" hidden="false" customHeight="true" outlineLevel="0" collapsed="false">
      <c r="P3198" s="1" t="str">
        <f aca="false">IF(OR(F3198="",H3198="",J3198=""),"",J3198&amp;"|"&amp;F3198&amp;"|"&amp;IF(H3198="W3","W3_"&amp;IF(I3198="","unknown",I3198),H3198))</f>
        <v/>
      </c>
      <c r="Q3198" s="1" t="str">
        <f aca="false">IF(P3198="","",IFERROR(IF(AND(H3198="W7",OR(F3198="causal",F3198="predictive")),IF(AND(K3198=1,L3198=1,M3198=1),"adequate","partial"),INDEX(Fit_Matrix!$B:$B,MATCH(P3198,Fit_Matrix!$A:$A,0))),"CHECK KEY"))</f>
        <v/>
      </c>
    </row>
    <row r="3199" customFormat="false" ht="15" hidden="false" customHeight="true" outlineLevel="0" collapsed="false">
      <c r="P3199" s="1" t="str">
        <f aca="false">IF(OR(F3199="",H3199="",J3199=""),"",J3199&amp;"|"&amp;F3199&amp;"|"&amp;IF(H3199="W3","W3_"&amp;IF(I3199="","unknown",I3199),H3199))</f>
        <v/>
      </c>
      <c r="Q3199" s="1" t="str">
        <f aca="false">IF(P3199="","",IFERROR(IF(AND(H3199="W7",OR(F3199="causal",F3199="predictive")),IF(AND(K3199=1,L3199=1,M3199=1),"adequate","partial"),INDEX(Fit_Matrix!$B:$B,MATCH(P3199,Fit_Matrix!$A:$A,0))),"CHECK KEY"))</f>
        <v/>
      </c>
    </row>
    <row r="3200" customFormat="false" ht="15" hidden="false" customHeight="true" outlineLevel="0" collapsed="false">
      <c r="P3200" s="1" t="str">
        <f aca="false">IF(OR(F3200="",H3200="",J3200=""),"",J3200&amp;"|"&amp;F3200&amp;"|"&amp;IF(H3200="W3","W3_"&amp;IF(I3200="","unknown",I3200),H3200))</f>
        <v/>
      </c>
      <c r="Q3200" s="1" t="str">
        <f aca="false">IF(P3200="","",IFERROR(IF(AND(H3200="W7",OR(F3200="causal",F3200="predictive")),IF(AND(K3200=1,L3200=1,M3200=1),"adequate","partial"),INDEX(Fit_Matrix!$B:$B,MATCH(P3200,Fit_Matrix!$A:$A,0))),"CHECK KEY"))</f>
        <v/>
      </c>
    </row>
    <row r="3201" customFormat="false" ht="15" hidden="false" customHeight="true" outlineLevel="0" collapsed="false">
      <c r="P3201" s="1" t="str">
        <f aca="false">IF(OR(F3201="",H3201="",J3201=""),"",J3201&amp;"|"&amp;F3201&amp;"|"&amp;IF(H3201="W3","W3_"&amp;IF(I3201="","unknown",I3201),H3201))</f>
        <v/>
      </c>
      <c r="Q3201" s="1" t="str">
        <f aca="false">IF(P3201="","",IFERROR(IF(AND(H3201="W7",OR(F3201="causal",F3201="predictive")),IF(AND(K3201=1,L3201=1,M3201=1),"adequate","partial"),INDEX(Fit_Matrix!$B:$B,MATCH(P3201,Fit_Matrix!$A:$A,0))),"CHECK KEY"))</f>
        <v/>
      </c>
    </row>
    <row r="3202" customFormat="false" ht="15" hidden="false" customHeight="true" outlineLevel="0" collapsed="false">
      <c r="P3202" s="1" t="str">
        <f aca="false">IF(OR(F3202="",H3202="",J3202=""),"",J3202&amp;"|"&amp;F3202&amp;"|"&amp;IF(H3202="W3","W3_"&amp;IF(I3202="","unknown",I3202),H3202))</f>
        <v/>
      </c>
      <c r="Q3202" s="1" t="str">
        <f aca="false">IF(P3202="","",IFERROR(IF(AND(H3202="W7",OR(F3202="causal",F3202="predictive")),IF(AND(K3202=1,L3202=1,M3202=1),"adequate","partial"),INDEX(Fit_Matrix!$B:$B,MATCH(P3202,Fit_Matrix!$A:$A,0))),"CHECK KEY"))</f>
        <v/>
      </c>
    </row>
    <row r="3203" customFormat="false" ht="15" hidden="false" customHeight="true" outlineLevel="0" collapsed="false">
      <c r="P3203" s="1" t="str">
        <f aca="false">IF(OR(F3203="",H3203="",J3203=""),"",J3203&amp;"|"&amp;F3203&amp;"|"&amp;IF(H3203="W3","W3_"&amp;IF(I3203="","unknown",I3203),H3203))</f>
        <v/>
      </c>
      <c r="Q3203" s="1" t="str">
        <f aca="false">IF(P3203="","",IFERROR(IF(AND(H3203="W7",OR(F3203="causal",F3203="predictive")),IF(AND(K3203=1,L3203=1,M3203=1),"adequate","partial"),INDEX(Fit_Matrix!$B:$B,MATCH(P3203,Fit_Matrix!$A:$A,0))),"CHECK KEY"))</f>
        <v/>
      </c>
    </row>
    <row r="3204" customFormat="false" ht="15" hidden="false" customHeight="true" outlineLevel="0" collapsed="false">
      <c r="P3204" s="1" t="str">
        <f aca="false">IF(OR(F3204="",H3204="",J3204=""),"",J3204&amp;"|"&amp;F3204&amp;"|"&amp;IF(H3204="W3","W3_"&amp;IF(I3204="","unknown",I3204),H3204))</f>
        <v/>
      </c>
      <c r="Q3204" s="1" t="str">
        <f aca="false">IF(P3204="","",IFERROR(IF(AND(H3204="W7",OR(F3204="causal",F3204="predictive")),IF(AND(K3204=1,L3204=1,M3204=1),"adequate","partial"),INDEX(Fit_Matrix!$B:$B,MATCH(P3204,Fit_Matrix!$A:$A,0))),"CHECK KEY"))</f>
        <v/>
      </c>
    </row>
    <row r="3205" customFormat="false" ht="15" hidden="false" customHeight="true" outlineLevel="0" collapsed="false">
      <c r="P3205" s="1" t="str">
        <f aca="false">IF(OR(F3205="",H3205="",J3205=""),"",J3205&amp;"|"&amp;F3205&amp;"|"&amp;IF(H3205="W3","W3_"&amp;IF(I3205="","unknown",I3205),H3205))</f>
        <v/>
      </c>
      <c r="Q3205" s="1" t="str">
        <f aca="false">IF(P3205="","",IFERROR(IF(AND(H3205="W7",OR(F3205="causal",F3205="predictive")),IF(AND(K3205=1,L3205=1,M3205=1),"adequate","partial"),INDEX(Fit_Matrix!$B:$B,MATCH(P3205,Fit_Matrix!$A:$A,0))),"CHECK KEY"))</f>
        <v/>
      </c>
    </row>
    <row r="3206" customFormat="false" ht="15" hidden="false" customHeight="true" outlineLevel="0" collapsed="false">
      <c r="P3206" s="1" t="str">
        <f aca="false">IF(OR(F3206="",H3206="",J3206=""),"",J3206&amp;"|"&amp;F3206&amp;"|"&amp;IF(H3206="W3","W3_"&amp;IF(I3206="","unknown",I3206),H3206))</f>
        <v/>
      </c>
      <c r="Q3206" s="1" t="str">
        <f aca="false">IF(P3206="","",IFERROR(IF(AND(H3206="W7",OR(F3206="causal",F3206="predictive")),IF(AND(K3206=1,L3206=1,M3206=1),"adequate","partial"),INDEX(Fit_Matrix!$B:$B,MATCH(P3206,Fit_Matrix!$A:$A,0))),"CHECK KEY"))</f>
        <v/>
      </c>
    </row>
    <row r="3207" customFormat="false" ht="15" hidden="false" customHeight="true" outlineLevel="0" collapsed="false">
      <c r="P3207" s="1" t="str">
        <f aca="false">IF(OR(F3207="",H3207="",J3207=""),"",J3207&amp;"|"&amp;F3207&amp;"|"&amp;IF(H3207="W3","W3_"&amp;IF(I3207="","unknown",I3207),H3207))</f>
        <v/>
      </c>
      <c r="Q3207" s="1" t="str">
        <f aca="false">IF(P3207="","",IFERROR(IF(AND(H3207="W7",OR(F3207="causal",F3207="predictive")),IF(AND(K3207=1,L3207=1,M3207=1),"adequate","partial"),INDEX(Fit_Matrix!$B:$B,MATCH(P3207,Fit_Matrix!$A:$A,0))),"CHECK KEY"))</f>
        <v/>
      </c>
    </row>
    <row r="3208" customFormat="false" ht="15" hidden="false" customHeight="true" outlineLevel="0" collapsed="false">
      <c r="P3208" s="1" t="str">
        <f aca="false">IF(OR(F3208="",H3208="",J3208=""),"",J3208&amp;"|"&amp;F3208&amp;"|"&amp;IF(H3208="W3","W3_"&amp;IF(I3208="","unknown",I3208),H3208))</f>
        <v/>
      </c>
      <c r="Q3208" s="1" t="str">
        <f aca="false">IF(P3208="","",IFERROR(IF(AND(H3208="W7",OR(F3208="causal",F3208="predictive")),IF(AND(K3208=1,L3208=1,M3208=1),"adequate","partial"),INDEX(Fit_Matrix!$B:$B,MATCH(P3208,Fit_Matrix!$A:$A,0))),"CHECK KEY"))</f>
        <v/>
      </c>
    </row>
    <row r="3209" customFormat="false" ht="15" hidden="false" customHeight="true" outlineLevel="0" collapsed="false">
      <c r="P3209" s="1" t="str">
        <f aca="false">IF(OR(F3209="",H3209="",J3209=""),"",J3209&amp;"|"&amp;F3209&amp;"|"&amp;IF(H3209="W3","W3_"&amp;IF(I3209="","unknown",I3209),H3209))</f>
        <v/>
      </c>
      <c r="Q3209" s="1" t="str">
        <f aca="false">IF(P3209="","",IFERROR(IF(AND(H3209="W7",OR(F3209="causal",F3209="predictive")),IF(AND(K3209=1,L3209=1,M3209=1),"adequate","partial"),INDEX(Fit_Matrix!$B:$B,MATCH(P3209,Fit_Matrix!$A:$A,0))),"CHECK KEY"))</f>
        <v/>
      </c>
    </row>
    <row r="3210" customFormat="false" ht="15" hidden="false" customHeight="true" outlineLevel="0" collapsed="false">
      <c r="P3210" s="1" t="str">
        <f aca="false">IF(OR(F3210="",H3210="",J3210=""),"",J3210&amp;"|"&amp;F3210&amp;"|"&amp;IF(H3210="W3","W3_"&amp;IF(I3210="","unknown",I3210),H3210))</f>
        <v/>
      </c>
      <c r="Q3210" s="1" t="str">
        <f aca="false">IF(P3210="","",IFERROR(IF(AND(H3210="W7",OR(F3210="causal",F3210="predictive")),IF(AND(K3210=1,L3210=1,M3210=1),"adequate","partial"),INDEX(Fit_Matrix!$B:$B,MATCH(P3210,Fit_Matrix!$A:$A,0))),"CHECK KEY"))</f>
        <v/>
      </c>
    </row>
    <row r="3211" customFormat="false" ht="15" hidden="false" customHeight="true" outlineLevel="0" collapsed="false">
      <c r="P3211" s="1" t="str">
        <f aca="false">IF(OR(F3211="",H3211="",J3211=""),"",J3211&amp;"|"&amp;F3211&amp;"|"&amp;IF(H3211="W3","W3_"&amp;IF(I3211="","unknown",I3211),H3211))</f>
        <v/>
      </c>
      <c r="Q3211" s="1" t="str">
        <f aca="false">IF(P3211="","",IFERROR(IF(AND(H3211="W7",OR(F3211="causal",F3211="predictive")),IF(AND(K3211=1,L3211=1,M3211=1),"adequate","partial"),INDEX(Fit_Matrix!$B:$B,MATCH(P3211,Fit_Matrix!$A:$A,0))),"CHECK KEY"))</f>
        <v/>
      </c>
    </row>
    <row r="3212" customFormat="false" ht="15" hidden="false" customHeight="true" outlineLevel="0" collapsed="false">
      <c r="P3212" s="1" t="str">
        <f aca="false">IF(OR(F3212="",H3212="",J3212=""),"",J3212&amp;"|"&amp;F3212&amp;"|"&amp;IF(H3212="W3","W3_"&amp;IF(I3212="","unknown",I3212),H3212))</f>
        <v/>
      </c>
      <c r="Q3212" s="1" t="str">
        <f aca="false">IF(P3212="","",IFERROR(IF(AND(H3212="W7",OR(F3212="causal",F3212="predictive")),IF(AND(K3212=1,L3212=1,M3212=1),"adequate","partial"),INDEX(Fit_Matrix!$B:$B,MATCH(P3212,Fit_Matrix!$A:$A,0))),"CHECK KEY"))</f>
        <v/>
      </c>
    </row>
    <row r="3213" customFormat="false" ht="15" hidden="false" customHeight="true" outlineLevel="0" collapsed="false">
      <c r="P3213" s="1" t="str">
        <f aca="false">IF(OR(F3213="",H3213="",J3213=""),"",J3213&amp;"|"&amp;F3213&amp;"|"&amp;IF(H3213="W3","W3_"&amp;IF(I3213="","unknown",I3213),H3213))</f>
        <v/>
      </c>
      <c r="Q3213" s="1" t="str">
        <f aca="false">IF(P3213="","",IFERROR(IF(AND(H3213="W7",OR(F3213="causal",F3213="predictive")),IF(AND(K3213=1,L3213=1,M3213=1),"adequate","partial"),INDEX(Fit_Matrix!$B:$B,MATCH(P3213,Fit_Matrix!$A:$A,0))),"CHECK KEY"))</f>
        <v/>
      </c>
    </row>
    <row r="3214" customFormat="false" ht="15" hidden="false" customHeight="true" outlineLevel="0" collapsed="false">
      <c r="P3214" s="1" t="str">
        <f aca="false">IF(OR(F3214="",H3214="",J3214=""),"",J3214&amp;"|"&amp;F3214&amp;"|"&amp;IF(H3214="W3","W3_"&amp;IF(I3214="","unknown",I3214),H3214))</f>
        <v/>
      </c>
      <c r="Q3214" s="1" t="str">
        <f aca="false">IF(P3214="","",IFERROR(IF(AND(H3214="W7",OR(F3214="causal",F3214="predictive")),IF(AND(K3214=1,L3214=1,M3214=1),"adequate","partial"),INDEX(Fit_Matrix!$B:$B,MATCH(P3214,Fit_Matrix!$A:$A,0))),"CHECK KEY"))</f>
        <v/>
      </c>
    </row>
    <row r="3215" customFormat="false" ht="15" hidden="false" customHeight="true" outlineLevel="0" collapsed="false">
      <c r="P3215" s="1" t="str">
        <f aca="false">IF(OR(F3215="",H3215="",J3215=""),"",J3215&amp;"|"&amp;F3215&amp;"|"&amp;IF(H3215="W3","W3_"&amp;IF(I3215="","unknown",I3215),H3215))</f>
        <v/>
      </c>
      <c r="Q3215" s="1" t="str">
        <f aca="false">IF(P3215="","",IFERROR(IF(AND(H3215="W7",OR(F3215="causal",F3215="predictive")),IF(AND(K3215=1,L3215=1,M3215=1),"adequate","partial"),INDEX(Fit_Matrix!$B:$B,MATCH(P3215,Fit_Matrix!$A:$A,0))),"CHECK KEY"))</f>
        <v/>
      </c>
    </row>
    <row r="3216" customFormat="false" ht="15" hidden="false" customHeight="true" outlineLevel="0" collapsed="false">
      <c r="P3216" s="1" t="str">
        <f aca="false">IF(OR(F3216="",H3216="",J3216=""),"",J3216&amp;"|"&amp;F3216&amp;"|"&amp;IF(H3216="W3","W3_"&amp;IF(I3216="","unknown",I3216),H3216))</f>
        <v/>
      </c>
      <c r="Q3216" s="1" t="str">
        <f aca="false">IF(P3216="","",IFERROR(IF(AND(H3216="W7",OR(F3216="causal",F3216="predictive")),IF(AND(K3216=1,L3216=1,M3216=1),"adequate","partial"),INDEX(Fit_Matrix!$B:$B,MATCH(P3216,Fit_Matrix!$A:$A,0))),"CHECK KEY"))</f>
        <v/>
      </c>
    </row>
    <row r="3217" customFormat="false" ht="15" hidden="false" customHeight="true" outlineLevel="0" collapsed="false">
      <c r="P3217" s="1" t="str">
        <f aca="false">IF(OR(F3217="",H3217="",J3217=""),"",J3217&amp;"|"&amp;F3217&amp;"|"&amp;IF(H3217="W3","W3_"&amp;IF(I3217="","unknown",I3217),H3217))</f>
        <v/>
      </c>
      <c r="Q3217" s="1" t="str">
        <f aca="false">IF(P3217="","",IFERROR(IF(AND(H3217="W7",OR(F3217="causal",F3217="predictive")),IF(AND(K3217=1,L3217=1,M3217=1),"adequate","partial"),INDEX(Fit_Matrix!$B:$B,MATCH(P3217,Fit_Matrix!$A:$A,0))),"CHECK KEY"))</f>
        <v/>
      </c>
    </row>
    <row r="3218" customFormat="false" ht="15" hidden="false" customHeight="true" outlineLevel="0" collapsed="false">
      <c r="P3218" s="1" t="str">
        <f aca="false">IF(OR(F3218="",H3218="",J3218=""),"",J3218&amp;"|"&amp;F3218&amp;"|"&amp;IF(H3218="W3","W3_"&amp;IF(I3218="","unknown",I3218),H3218))</f>
        <v/>
      </c>
      <c r="Q3218" s="1" t="str">
        <f aca="false">IF(P3218="","",IFERROR(IF(AND(H3218="W7",OR(F3218="causal",F3218="predictive")),IF(AND(K3218=1,L3218=1,M3218=1),"adequate","partial"),INDEX(Fit_Matrix!$B:$B,MATCH(P3218,Fit_Matrix!$A:$A,0))),"CHECK KEY"))</f>
        <v/>
      </c>
    </row>
    <row r="3219" customFormat="false" ht="15" hidden="false" customHeight="true" outlineLevel="0" collapsed="false">
      <c r="P3219" s="1" t="str">
        <f aca="false">IF(OR(F3219="",H3219="",J3219=""),"",J3219&amp;"|"&amp;F3219&amp;"|"&amp;IF(H3219="W3","W3_"&amp;IF(I3219="","unknown",I3219),H3219))</f>
        <v/>
      </c>
      <c r="Q3219" s="1" t="str">
        <f aca="false">IF(P3219="","",IFERROR(IF(AND(H3219="W7",OR(F3219="causal",F3219="predictive")),IF(AND(K3219=1,L3219=1,M3219=1),"adequate","partial"),INDEX(Fit_Matrix!$B:$B,MATCH(P3219,Fit_Matrix!$A:$A,0))),"CHECK KEY"))</f>
        <v/>
      </c>
    </row>
    <row r="3220" customFormat="false" ht="15" hidden="false" customHeight="true" outlineLevel="0" collapsed="false">
      <c r="P3220" s="1" t="str">
        <f aca="false">IF(OR(F3220="",H3220="",J3220=""),"",J3220&amp;"|"&amp;F3220&amp;"|"&amp;IF(H3220="W3","W3_"&amp;IF(I3220="","unknown",I3220),H3220))</f>
        <v/>
      </c>
      <c r="Q3220" s="1" t="str">
        <f aca="false">IF(P3220="","",IFERROR(IF(AND(H3220="W7",OR(F3220="causal",F3220="predictive")),IF(AND(K3220=1,L3220=1,M3220=1),"adequate","partial"),INDEX(Fit_Matrix!$B:$B,MATCH(P3220,Fit_Matrix!$A:$A,0))),"CHECK KEY"))</f>
        <v/>
      </c>
    </row>
    <row r="3221" customFormat="false" ht="15" hidden="false" customHeight="true" outlineLevel="0" collapsed="false">
      <c r="P3221" s="1" t="str">
        <f aca="false">IF(OR(F3221="",H3221="",J3221=""),"",J3221&amp;"|"&amp;F3221&amp;"|"&amp;IF(H3221="W3","W3_"&amp;IF(I3221="","unknown",I3221),H3221))</f>
        <v/>
      </c>
      <c r="Q3221" s="1" t="str">
        <f aca="false">IF(P3221="","",IFERROR(IF(AND(H3221="W7",OR(F3221="causal",F3221="predictive")),IF(AND(K3221=1,L3221=1,M3221=1),"adequate","partial"),INDEX(Fit_Matrix!$B:$B,MATCH(P3221,Fit_Matrix!$A:$A,0))),"CHECK KEY"))</f>
        <v/>
      </c>
    </row>
    <row r="3222" customFormat="false" ht="15" hidden="false" customHeight="true" outlineLevel="0" collapsed="false">
      <c r="P3222" s="1" t="str">
        <f aca="false">IF(OR(F3222="",H3222="",J3222=""),"",J3222&amp;"|"&amp;F3222&amp;"|"&amp;IF(H3222="W3","W3_"&amp;IF(I3222="","unknown",I3222),H3222))</f>
        <v/>
      </c>
      <c r="Q3222" s="1" t="str">
        <f aca="false">IF(P3222="","",IFERROR(IF(AND(H3222="W7",OR(F3222="causal",F3222="predictive")),IF(AND(K3222=1,L3222=1,M3222=1),"adequate","partial"),INDEX(Fit_Matrix!$B:$B,MATCH(P3222,Fit_Matrix!$A:$A,0))),"CHECK KEY"))</f>
        <v/>
      </c>
    </row>
    <row r="3223" customFormat="false" ht="15" hidden="false" customHeight="true" outlineLevel="0" collapsed="false">
      <c r="P3223" s="1" t="str">
        <f aca="false">IF(OR(F3223="",H3223="",J3223=""),"",J3223&amp;"|"&amp;F3223&amp;"|"&amp;IF(H3223="W3","W3_"&amp;IF(I3223="","unknown",I3223),H3223))</f>
        <v/>
      </c>
      <c r="Q3223" s="1" t="str">
        <f aca="false">IF(P3223="","",IFERROR(IF(AND(H3223="W7",OR(F3223="causal",F3223="predictive")),IF(AND(K3223=1,L3223=1,M3223=1),"adequate","partial"),INDEX(Fit_Matrix!$B:$B,MATCH(P3223,Fit_Matrix!$A:$A,0))),"CHECK KEY"))</f>
        <v/>
      </c>
    </row>
    <row r="3224" customFormat="false" ht="15" hidden="false" customHeight="true" outlineLevel="0" collapsed="false">
      <c r="P3224" s="1" t="str">
        <f aca="false">IF(OR(F3224="",H3224="",J3224=""),"",J3224&amp;"|"&amp;F3224&amp;"|"&amp;IF(H3224="W3","W3_"&amp;IF(I3224="","unknown",I3224),H3224))</f>
        <v/>
      </c>
      <c r="Q3224" s="1" t="str">
        <f aca="false">IF(P3224="","",IFERROR(IF(AND(H3224="W7",OR(F3224="causal",F3224="predictive")),IF(AND(K3224=1,L3224=1,M3224=1),"adequate","partial"),INDEX(Fit_Matrix!$B:$B,MATCH(P3224,Fit_Matrix!$A:$A,0))),"CHECK KEY"))</f>
        <v/>
      </c>
    </row>
    <row r="3225" customFormat="false" ht="15" hidden="false" customHeight="true" outlineLevel="0" collapsed="false">
      <c r="P3225" s="1" t="str">
        <f aca="false">IF(OR(F3225="",H3225="",J3225=""),"",J3225&amp;"|"&amp;F3225&amp;"|"&amp;IF(H3225="W3","W3_"&amp;IF(I3225="","unknown",I3225),H3225))</f>
        <v/>
      </c>
      <c r="Q3225" s="1" t="str">
        <f aca="false">IF(P3225="","",IFERROR(IF(AND(H3225="W7",OR(F3225="causal",F3225="predictive")),IF(AND(K3225=1,L3225=1,M3225=1),"adequate","partial"),INDEX(Fit_Matrix!$B:$B,MATCH(P3225,Fit_Matrix!$A:$A,0))),"CHECK KEY"))</f>
        <v/>
      </c>
    </row>
    <row r="3226" customFormat="false" ht="15" hidden="false" customHeight="true" outlineLevel="0" collapsed="false">
      <c r="P3226" s="1" t="str">
        <f aca="false">IF(OR(F3226="",H3226="",J3226=""),"",J3226&amp;"|"&amp;F3226&amp;"|"&amp;IF(H3226="W3","W3_"&amp;IF(I3226="","unknown",I3226),H3226))</f>
        <v/>
      </c>
      <c r="Q3226" s="1" t="str">
        <f aca="false">IF(P3226="","",IFERROR(IF(AND(H3226="W7",OR(F3226="causal",F3226="predictive")),IF(AND(K3226=1,L3226=1,M3226=1),"adequate","partial"),INDEX(Fit_Matrix!$B:$B,MATCH(P3226,Fit_Matrix!$A:$A,0))),"CHECK KEY"))</f>
        <v/>
      </c>
    </row>
    <row r="3227" customFormat="false" ht="15" hidden="false" customHeight="true" outlineLevel="0" collapsed="false">
      <c r="P3227" s="1" t="str">
        <f aca="false">IF(OR(F3227="",H3227="",J3227=""),"",J3227&amp;"|"&amp;F3227&amp;"|"&amp;IF(H3227="W3","W3_"&amp;IF(I3227="","unknown",I3227),H3227))</f>
        <v/>
      </c>
      <c r="Q3227" s="1" t="str">
        <f aca="false">IF(P3227="","",IFERROR(IF(AND(H3227="W7",OR(F3227="causal",F3227="predictive")),IF(AND(K3227=1,L3227=1,M3227=1),"adequate","partial"),INDEX(Fit_Matrix!$B:$B,MATCH(P3227,Fit_Matrix!$A:$A,0))),"CHECK KEY"))</f>
        <v/>
      </c>
    </row>
    <row r="3228" customFormat="false" ht="15" hidden="false" customHeight="true" outlineLevel="0" collapsed="false">
      <c r="P3228" s="1" t="str">
        <f aca="false">IF(OR(F3228="",H3228="",J3228=""),"",J3228&amp;"|"&amp;F3228&amp;"|"&amp;IF(H3228="W3","W3_"&amp;IF(I3228="","unknown",I3228),H3228))</f>
        <v/>
      </c>
      <c r="Q3228" s="1" t="str">
        <f aca="false">IF(P3228="","",IFERROR(IF(AND(H3228="W7",OR(F3228="causal",F3228="predictive")),IF(AND(K3228=1,L3228=1,M3228=1),"adequate","partial"),INDEX(Fit_Matrix!$B:$B,MATCH(P3228,Fit_Matrix!$A:$A,0))),"CHECK KEY"))</f>
        <v/>
      </c>
    </row>
    <row r="3229" customFormat="false" ht="15" hidden="false" customHeight="true" outlineLevel="0" collapsed="false">
      <c r="P3229" s="1" t="str">
        <f aca="false">IF(OR(F3229="",H3229="",J3229=""),"",J3229&amp;"|"&amp;F3229&amp;"|"&amp;IF(H3229="W3","W3_"&amp;IF(I3229="","unknown",I3229),H3229))</f>
        <v/>
      </c>
      <c r="Q3229" s="1" t="str">
        <f aca="false">IF(P3229="","",IFERROR(IF(AND(H3229="W7",OR(F3229="causal",F3229="predictive")),IF(AND(K3229=1,L3229=1,M3229=1),"adequate","partial"),INDEX(Fit_Matrix!$B:$B,MATCH(P3229,Fit_Matrix!$A:$A,0))),"CHECK KEY"))</f>
        <v/>
      </c>
    </row>
    <row r="3230" customFormat="false" ht="15" hidden="false" customHeight="true" outlineLevel="0" collapsed="false">
      <c r="P3230" s="1" t="str">
        <f aca="false">IF(OR(F3230="",H3230="",J3230=""),"",J3230&amp;"|"&amp;F3230&amp;"|"&amp;IF(H3230="W3","W3_"&amp;IF(I3230="","unknown",I3230),H3230))</f>
        <v/>
      </c>
      <c r="Q3230" s="1" t="str">
        <f aca="false">IF(P3230="","",IFERROR(IF(AND(H3230="W7",OR(F3230="causal",F3230="predictive")),IF(AND(K3230=1,L3230=1,M3230=1),"adequate","partial"),INDEX(Fit_Matrix!$B:$B,MATCH(P3230,Fit_Matrix!$A:$A,0))),"CHECK KEY"))</f>
        <v/>
      </c>
    </row>
    <row r="3231" customFormat="false" ht="15" hidden="false" customHeight="true" outlineLevel="0" collapsed="false">
      <c r="P3231" s="1" t="str">
        <f aca="false">IF(OR(F3231="",H3231="",J3231=""),"",J3231&amp;"|"&amp;F3231&amp;"|"&amp;IF(H3231="W3","W3_"&amp;IF(I3231="","unknown",I3231),H3231))</f>
        <v/>
      </c>
      <c r="Q3231" s="1" t="str">
        <f aca="false">IF(P3231="","",IFERROR(IF(AND(H3231="W7",OR(F3231="causal",F3231="predictive")),IF(AND(K3231=1,L3231=1,M3231=1),"adequate","partial"),INDEX(Fit_Matrix!$B:$B,MATCH(P3231,Fit_Matrix!$A:$A,0))),"CHECK KEY"))</f>
        <v/>
      </c>
    </row>
    <row r="3232" customFormat="false" ht="15" hidden="false" customHeight="true" outlineLevel="0" collapsed="false">
      <c r="P3232" s="1" t="str">
        <f aca="false">IF(OR(F3232="",H3232="",J3232=""),"",J3232&amp;"|"&amp;F3232&amp;"|"&amp;IF(H3232="W3","W3_"&amp;IF(I3232="","unknown",I3232),H3232))</f>
        <v/>
      </c>
      <c r="Q3232" s="1" t="str">
        <f aca="false">IF(P3232="","",IFERROR(IF(AND(H3232="W7",OR(F3232="causal",F3232="predictive")),IF(AND(K3232=1,L3232=1,M3232=1),"adequate","partial"),INDEX(Fit_Matrix!$B:$B,MATCH(P3232,Fit_Matrix!$A:$A,0))),"CHECK KEY"))</f>
        <v/>
      </c>
    </row>
    <row r="3233" customFormat="false" ht="15" hidden="false" customHeight="true" outlineLevel="0" collapsed="false">
      <c r="P3233" s="1" t="str">
        <f aca="false">IF(OR(F3233="",H3233="",J3233=""),"",J3233&amp;"|"&amp;F3233&amp;"|"&amp;IF(H3233="W3","W3_"&amp;IF(I3233="","unknown",I3233),H3233))</f>
        <v/>
      </c>
      <c r="Q3233" s="1" t="str">
        <f aca="false">IF(P3233="","",IFERROR(IF(AND(H3233="W7",OR(F3233="causal",F3233="predictive")),IF(AND(K3233=1,L3233=1,M3233=1),"adequate","partial"),INDEX(Fit_Matrix!$B:$B,MATCH(P3233,Fit_Matrix!$A:$A,0))),"CHECK KEY"))</f>
        <v/>
      </c>
    </row>
    <row r="3234" customFormat="false" ht="15" hidden="false" customHeight="true" outlineLevel="0" collapsed="false">
      <c r="P3234" s="1" t="str">
        <f aca="false">IF(OR(F3234="",H3234="",J3234=""),"",J3234&amp;"|"&amp;F3234&amp;"|"&amp;IF(H3234="W3","W3_"&amp;IF(I3234="","unknown",I3234),H3234))</f>
        <v/>
      </c>
      <c r="Q3234" s="1" t="str">
        <f aca="false">IF(P3234="","",IFERROR(IF(AND(H3234="W7",OR(F3234="causal",F3234="predictive")),IF(AND(K3234=1,L3234=1,M3234=1),"adequate","partial"),INDEX(Fit_Matrix!$B:$B,MATCH(P3234,Fit_Matrix!$A:$A,0))),"CHECK KEY"))</f>
        <v/>
      </c>
    </row>
    <row r="3235" customFormat="false" ht="15" hidden="false" customHeight="true" outlineLevel="0" collapsed="false">
      <c r="P3235" s="1" t="str">
        <f aca="false">IF(OR(F3235="",H3235="",J3235=""),"",J3235&amp;"|"&amp;F3235&amp;"|"&amp;IF(H3235="W3","W3_"&amp;IF(I3235="","unknown",I3235),H3235))</f>
        <v/>
      </c>
      <c r="Q3235" s="1" t="str">
        <f aca="false">IF(P3235="","",IFERROR(IF(AND(H3235="W7",OR(F3235="causal",F3235="predictive")),IF(AND(K3235=1,L3235=1,M3235=1),"adequate","partial"),INDEX(Fit_Matrix!$B:$B,MATCH(P3235,Fit_Matrix!$A:$A,0))),"CHECK KEY"))</f>
        <v/>
      </c>
    </row>
    <row r="3236" customFormat="false" ht="15" hidden="false" customHeight="true" outlineLevel="0" collapsed="false">
      <c r="P3236" s="1" t="str">
        <f aca="false">IF(OR(F3236="",H3236="",J3236=""),"",J3236&amp;"|"&amp;F3236&amp;"|"&amp;IF(H3236="W3","W3_"&amp;IF(I3236="","unknown",I3236),H3236))</f>
        <v/>
      </c>
      <c r="Q3236" s="1" t="str">
        <f aca="false">IF(P3236="","",IFERROR(IF(AND(H3236="W7",OR(F3236="causal",F3236="predictive")),IF(AND(K3236=1,L3236=1,M3236=1),"adequate","partial"),INDEX(Fit_Matrix!$B:$B,MATCH(P3236,Fit_Matrix!$A:$A,0))),"CHECK KEY"))</f>
        <v/>
      </c>
    </row>
    <row r="3237" customFormat="false" ht="15" hidden="false" customHeight="true" outlineLevel="0" collapsed="false">
      <c r="P3237" s="1" t="str">
        <f aca="false">IF(OR(F3237="",H3237="",J3237=""),"",J3237&amp;"|"&amp;F3237&amp;"|"&amp;IF(H3237="W3","W3_"&amp;IF(I3237="","unknown",I3237),H3237))</f>
        <v/>
      </c>
      <c r="Q3237" s="1" t="str">
        <f aca="false">IF(P3237="","",IFERROR(IF(AND(H3237="W7",OR(F3237="causal",F3237="predictive")),IF(AND(K3237=1,L3237=1,M3237=1),"adequate","partial"),INDEX(Fit_Matrix!$B:$B,MATCH(P3237,Fit_Matrix!$A:$A,0))),"CHECK KEY"))</f>
        <v/>
      </c>
    </row>
    <row r="3238" customFormat="false" ht="15" hidden="false" customHeight="true" outlineLevel="0" collapsed="false">
      <c r="P3238" s="1" t="str">
        <f aca="false">IF(OR(F3238="",H3238="",J3238=""),"",J3238&amp;"|"&amp;F3238&amp;"|"&amp;IF(H3238="W3","W3_"&amp;IF(I3238="","unknown",I3238),H3238))</f>
        <v/>
      </c>
      <c r="Q3238" s="1" t="str">
        <f aca="false">IF(P3238="","",IFERROR(IF(AND(H3238="W7",OR(F3238="causal",F3238="predictive")),IF(AND(K3238=1,L3238=1,M3238=1),"adequate","partial"),INDEX(Fit_Matrix!$B:$B,MATCH(P3238,Fit_Matrix!$A:$A,0))),"CHECK KEY"))</f>
        <v/>
      </c>
    </row>
    <row r="3239" customFormat="false" ht="15" hidden="false" customHeight="true" outlineLevel="0" collapsed="false">
      <c r="P3239" s="1" t="str">
        <f aca="false">IF(OR(F3239="",H3239="",J3239=""),"",J3239&amp;"|"&amp;F3239&amp;"|"&amp;IF(H3239="W3","W3_"&amp;IF(I3239="","unknown",I3239),H3239))</f>
        <v/>
      </c>
      <c r="Q3239" s="1" t="str">
        <f aca="false">IF(P3239="","",IFERROR(IF(AND(H3239="W7",OR(F3239="causal",F3239="predictive")),IF(AND(K3239=1,L3239=1,M3239=1),"adequate","partial"),INDEX(Fit_Matrix!$B:$B,MATCH(P3239,Fit_Matrix!$A:$A,0))),"CHECK KEY"))</f>
        <v/>
      </c>
    </row>
    <row r="3240" customFormat="false" ht="15" hidden="false" customHeight="true" outlineLevel="0" collapsed="false">
      <c r="P3240" s="1" t="str">
        <f aca="false">IF(OR(F3240="",H3240="",J3240=""),"",J3240&amp;"|"&amp;F3240&amp;"|"&amp;IF(H3240="W3","W3_"&amp;IF(I3240="","unknown",I3240),H3240))</f>
        <v/>
      </c>
      <c r="Q3240" s="1" t="str">
        <f aca="false">IF(P3240="","",IFERROR(IF(AND(H3240="W7",OR(F3240="causal",F3240="predictive")),IF(AND(K3240=1,L3240=1,M3240=1),"adequate","partial"),INDEX(Fit_Matrix!$B:$B,MATCH(P3240,Fit_Matrix!$A:$A,0))),"CHECK KEY"))</f>
        <v/>
      </c>
    </row>
    <row r="3241" customFormat="false" ht="15" hidden="false" customHeight="true" outlineLevel="0" collapsed="false">
      <c r="P3241" s="1" t="str">
        <f aca="false">IF(OR(F3241="",H3241="",J3241=""),"",J3241&amp;"|"&amp;F3241&amp;"|"&amp;IF(H3241="W3","W3_"&amp;IF(I3241="","unknown",I3241),H3241))</f>
        <v/>
      </c>
      <c r="Q3241" s="1" t="str">
        <f aca="false">IF(P3241="","",IFERROR(IF(AND(H3241="W7",OR(F3241="causal",F3241="predictive")),IF(AND(K3241=1,L3241=1,M3241=1),"adequate","partial"),INDEX(Fit_Matrix!$B:$B,MATCH(P3241,Fit_Matrix!$A:$A,0))),"CHECK KEY"))</f>
        <v/>
      </c>
    </row>
    <row r="3242" customFormat="false" ht="15" hidden="false" customHeight="true" outlineLevel="0" collapsed="false">
      <c r="P3242" s="1" t="str">
        <f aca="false">IF(OR(F3242="",H3242="",J3242=""),"",J3242&amp;"|"&amp;F3242&amp;"|"&amp;IF(H3242="W3","W3_"&amp;IF(I3242="","unknown",I3242),H3242))</f>
        <v/>
      </c>
      <c r="Q3242" s="1" t="str">
        <f aca="false">IF(P3242="","",IFERROR(IF(AND(H3242="W7",OR(F3242="causal",F3242="predictive")),IF(AND(K3242=1,L3242=1,M3242=1),"adequate","partial"),INDEX(Fit_Matrix!$B:$B,MATCH(P3242,Fit_Matrix!$A:$A,0))),"CHECK KEY"))</f>
        <v/>
      </c>
    </row>
    <row r="3243" customFormat="false" ht="15" hidden="false" customHeight="true" outlineLevel="0" collapsed="false">
      <c r="P3243" s="1" t="str">
        <f aca="false">IF(OR(F3243="",H3243="",J3243=""),"",J3243&amp;"|"&amp;F3243&amp;"|"&amp;IF(H3243="W3","W3_"&amp;IF(I3243="","unknown",I3243),H3243))</f>
        <v/>
      </c>
      <c r="Q3243" s="1" t="str">
        <f aca="false">IF(P3243="","",IFERROR(IF(AND(H3243="W7",OR(F3243="causal",F3243="predictive")),IF(AND(K3243=1,L3243=1,M3243=1),"adequate","partial"),INDEX(Fit_Matrix!$B:$B,MATCH(P3243,Fit_Matrix!$A:$A,0))),"CHECK KEY"))</f>
        <v/>
      </c>
    </row>
    <row r="3244" customFormat="false" ht="15" hidden="false" customHeight="true" outlineLevel="0" collapsed="false">
      <c r="P3244" s="1" t="str">
        <f aca="false">IF(OR(F3244="",H3244="",J3244=""),"",J3244&amp;"|"&amp;F3244&amp;"|"&amp;IF(H3244="W3","W3_"&amp;IF(I3244="","unknown",I3244),H3244))</f>
        <v/>
      </c>
      <c r="Q3244" s="1" t="str">
        <f aca="false">IF(P3244="","",IFERROR(IF(AND(H3244="W7",OR(F3244="causal",F3244="predictive")),IF(AND(K3244=1,L3244=1,M3244=1),"adequate","partial"),INDEX(Fit_Matrix!$B:$B,MATCH(P3244,Fit_Matrix!$A:$A,0))),"CHECK KEY"))</f>
        <v/>
      </c>
    </row>
    <row r="3245" customFormat="false" ht="15" hidden="false" customHeight="true" outlineLevel="0" collapsed="false">
      <c r="P3245" s="1" t="str">
        <f aca="false">IF(OR(F3245="",H3245="",J3245=""),"",J3245&amp;"|"&amp;F3245&amp;"|"&amp;IF(H3245="W3","W3_"&amp;IF(I3245="","unknown",I3245),H3245))</f>
        <v/>
      </c>
      <c r="Q3245" s="1" t="str">
        <f aca="false">IF(P3245="","",IFERROR(IF(AND(H3245="W7",OR(F3245="causal",F3245="predictive")),IF(AND(K3245=1,L3245=1,M3245=1),"adequate","partial"),INDEX(Fit_Matrix!$B:$B,MATCH(P3245,Fit_Matrix!$A:$A,0))),"CHECK KEY"))</f>
        <v/>
      </c>
    </row>
    <row r="3246" customFormat="false" ht="15" hidden="false" customHeight="true" outlineLevel="0" collapsed="false">
      <c r="P3246" s="1" t="str">
        <f aca="false">IF(OR(F3246="",H3246="",J3246=""),"",J3246&amp;"|"&amp;F3246&amp;"|"&amp;IF(H3246="W3","W3_"&amp;IF(I3246="","unknown",I3246),H3246))</f>
        <v/>
      </c>
      <c r="Q3246" s="1" t="str">
        <f aca="false">IF(P3246="","",IFERROR(IF(AND(H3246="W7",OR(F3246="causal",F3246="predictive")),IF(AND(K3246=1,L3246=1,M3246=1),"adequate","partial"),INDEX(Fit_Matrix!$B:$B,MATCH(P3246,Fit_Matrix!$A:$A,0))),"CHECK KEY"))</f>
        <v/>
      </c>
    </row>
    <row r="3247" customFormat="false" ht="15" hidden="false" customHeight="true" outlineLevel="0" collapsed="false">
      <c r="P3247" s="1" t="str">
        <f aca="false">IF(OR(F3247="",H3247="",J3247=""),"",J3247&amp;"|"&amp;F3247&amp;"|"&amp;IF(H3247="W3","W3_"&amp;IF(I3247="","unknown",I3247),H3247))</f>
        <v/>
      </c>
      <c r="Q3247" s="1" t="str">
        <f aca="false">IF(P3247="","",IFERROR(IF(AND(H3247="W7",OR(F3247="causal",F3247="predictive")),IF(AND(K3247=1,L3247=1,M3247=1),"adequate","partial"),INDEX(Fit_Matrix!$B:$B,MATCH(P3247,Fit_Matrix!$A:$A,0))),"CHECK KEY"))</f>
        <v/>
      </c>
    </row>
    <row r="3248" customFormat="false" ht="15" hidden="false" customHeight="true" outlineLevel="0" collapsed="false">
      <c r="P3248" s="1" t="str">
        <f aca="false">IF(OR(F3248="",H3248="",J3248=""),"",J3248&amp;"|"&amp;F3248&amp;"|"&amp;IF(H3248="W3","W3_"&amp;IF(I3248="","unknown",I3248),H3248))</f>
        <v/>
      </c>
      <c r="Q3248" s="1" t="str">
        <f aca="false">IF(P3248="","",IFERROR(IF(AND(H3248="W7",OR(F3248="causal",F3248="predictive")),IF(AND(K3248=1,L3248=1,M3248=1),"adequate","partial"),INDEX(Fit_Matrix!$B:$B,MATCH(P3248,Fit_Matrix!$A:$A,0))),"CHECK KEY"))</f>
        <v/>
      </c>
    </row>
    <row r="3249" customFormat="false" ht="15" hidden="false" customHeight="true" outlineLevel="0" collapsed="false">
      <c r="P3249" s="1" t="str">
        <f aca="false">IF(OR(F3249="",H3249="",J3249=""),"",J3249&amp;"|"&amp;F3249&amp;"|"&amp;IF(H3249="W3","W3_"&amp;IF(I3249="","unknown",I3249),H3249))</f>
        <v/>
      </c>
      <c r="Q3249" s="1" t="str">
        <f aca="false">IF(P3249="","",IFERROR(IF(AND(H3249="W7",OR(F3249="causal",F3249="predictive")),IF(AND(K3249=1,L3249=1,M3249=1),"adequate","partial"),INDEX(Fit_Matrix!$B:$B,MATCH(P3249,Fit_Matrix!$A:$A,0))),"CHECK KEY"))</f>
        <v/>
      </c>
    </row>
    <row r="3250" customFormat="false" ht="15" hidden="false" customHeight="true" outlineLevel="0" collapsed="false">
      <c r="P3250" s="1" t="str">
        <f aca="false">IF(OR(F3250="",H3250="",J3250=""),"",J3250&amp;"|"&amp;F3250&amp;"|"&amp;IF(H3250="W3","W3_"&amp;IF(I3250="","unknown",I3250),H3250))</f>
        <v/>
      </c>
      <c r="Q3250" s="1" t="str">
        <f aca="false">IF(P3250="","",IFERROR(IF(AND(H3250="W7",OR(F3250="causal",F3250="predictive")),IF(AND(K3250=1,L3250=1,M3250=1),"adequate","partial"),INDEX(Fit_Matrix!$B:$B,MATCH(P3250,Fit_Matrix!$A:$A,0))),"CHECK KEY"))</f>
        <v/>
      </c>
    </row>
    <row r="3251" customFormat="false" ht="15" hidden="false" customHeight="true" outlineLevel="0" collapsed="false">
      <c r="P3251" s="1" t="str">
        <f aca="false">IF(OR(F3251="",H3251="",J3251=""),"",J3251&amp;"|"&amp;F3251&amp;"|"&amp;IF(H3251="W3","W3_"&amp;IF(I3251="","unknown",I3251),H3251))</f>
        <v/>
      </c>
      <c r="Q3251" s="1" t="str">
        <f aca="false">IF(P3251="","",IFERROR(IF(AND(H3251="W7",OR(F3251="causal",F3251="predictive")),IF(AND(K3251=1,L3251=1,M3251=1),"adequate","partial"),INDEX(Fit_Matrix!$B:$B,MATCH(P3251,Fit_Matrix!$A:$A,0))),"CHECK KEY"))</f>
        <v/>
      </c>
    </row>
    <row r="3252" customFormat="false" ht="15" hidden="false" customHeight="true" outlineLevel="0" collapsed="false">
      <c r="P3252" s="1" t="str">
        <f aca="false">IF(OR(F3252="",H3252="",J3252=""),"",J3252&amp;"|"&amp;F3252&amp;"|"&amp;IF(H3252="W3","W3_"&amp;IF(I3252="","unknown",I3252),H3252))</f>
        <v/>
      </c>
      <c r="Q3252" s="1" t="str">
        <f aca="false">IF(P3252="","",IFERROR(IF(AND(H3252="W7",OR(F3252="causal",F3252="predictive")),IF(AND(K3252=1,L3252=1,M3252=1),"adequate","partial"),INDEX(Fit_Matrix!$B:$B,MATCH(P3252,Fit_Matrix!$A:$A,0))),"CHECK KEY"))</f>
        <v/>
      </c>
    </row>
    <row r="3253" customFormat="false" ht="15" hidden="false" customHeight="true" outlineLevel="0" collapsed="false">
      <c r="P3253" s="1" t="str">
        <f aca="false">IF(OR(F3253="",H3253="",J3253=""),"",J3253&amp;"|"&amp;F3253&amp;"|"&amp;IF(H3253="W3","W3_"&amp;IF(I3253="","unknown",I3253),H3253))</f>
        <v/>
      </c>
      <c r="Q3253" s="1" t="str">
        <f aca="false">IF(P3253="","",IFERROR(IF(AND(H3253="W7",OR(F3253="causal",F3253="predictive")),IF(AND(K3253=1,L3253=1,M3253=1),"adequate","partial"),INDEX(Fit_Matrix!$B:$B,MATCH(P3253,Fit_Matrix!$A:$A,0))),"CHECK KEY"))</f>
        <v/>
      </c>
    </row>
    <row r="3254" customFormat="false" ht="15" hidden="false" customHeight="true" outlineLevel="0" collapsed="false">
      <c r="P3254" s="1" t="str">
        <f aca="false">IF(OR(F3254="",H3254="",J3254=""),"",J3254&amp;"|"&amp;F3254&amp;"|"&amp;IF(H3254="W3","W3_"&amp;IF(I3254="","unknown",I3254),H3254))</f>
        <v/>
      </c>
      <c r="Q3254" s="1" t="str">
        <f aca="false">IF(P3254="","",IFERROR(IF(AND(H3254="W7",OR(F3254="causal",F3254="predictive")),IF(AND(K3254=1,L3254=1,M3254=1),"adequate","partial"),INDEX(Fit_Matrix!$B:$B,MATCH(P3254,Fit_Matrix!$A:$A,0))),"CHECK KEY"))</f>
        <v/>
      </c>
    </row>
    <row r="3255" customFormat="false" ht="15" hidden="false" customHeight="true" outlineLevel="0" collapsed="false">
      <c r="P3255" s="1" t="str">
        <f aca="false">IF(OR(F3255="",H3255="",J3255=""),"",J3255&amp;"|"&amp;F3255&amp;"|"&amp;IF(H3255="W3","W3_"&amp;IF(I3255="","unknown",I3255),H3255))</f>
        <v/>
      </c>
      <c r="Q3255" s="1" t="str">
        <f aca="false">IF(P3255="","",IFERROR(IF(AND(H3255="W7",OR(F3255="causal",F3255="predictive")),IF(AND(K3255=1,L3255=1,M3255=1),"adequate","partial"),INDEX(Fit_Matrix!$B:$B,MATCH(P3255,Fit_Matrix!$A:$A,0))),"CHECK KEY"))</f>
        <v/>
      </c>
    </row>
    <row r="3256" customFormat="false" ht="15" hidden="false" customHeight="true" outlineLevel="0" collapsed="false">
      <c r="P3256" s="1" t="str">
        <f aca="false">IF(OR(F3256="",H3256="",J3256=""),"",J3256&amp;"|"&amp;F3256&amp;"|"&amp;IF(H3256="W3","W3_"&amp;IF(I3256="","unknown",I3256),H3256))</f>
        <v/>
      </c>
      <c r="Q3256" s="1" t="str">
        <f aca="false">IF(P3256="","",IFERROR(IF(AND(H3256="W7",OR(F3256="causal",F3256="predictive")),IF(AND(K3256=1,L3256=1,M3256=1),"adequate","partial"),INDEX(Fit_Matrix!$B:$B,MATCH(P3256,Fit_Matrix!$A:$A,0))),"CHECK KEY"))</f>
        <v/>
      </c>
    </row>
    <row r="3257" customFormat="false" ht="15" hidden="false" customHeight="true" outlineLevel="0" collapsed="false">
      <c r="P3257" s="1" t="str">
        <f aca="false">IF(OR(F3257="",H3257="",J3257=""),"",J3257&amp;"|"&amp;F3257&amp;"|"&amp;IF(H3257="W3","W3_"&amp;IF(I3257="","unknown",I3257),H3257))</f>
        <v/>
      </c>
      <c r="Q3257" s="1" t="str">
        <f aca="false">IF(P3257="","",IFERROR(IF(AND(H3257="W7",OR(F3257="causal",F3257="predictive")),IF(AND(K3257=1,L3257=1,M3257=1),"adequate","partial"),INDEX(Fit_Matrix!$B:$B,MATCH(P3257,Fit_Matrix!$A:$A,0))),"CHECK KEY"))</f>
        <v/>
      </c>
    </row>
    <row r="3258" customFormat="false" ht="15" hidden="false" customHeight="true" outlineLevel="0" collapsed="false">
      <c r="P3258" s="1" t="str">
        <f aca="false">IF(OR(F3258="",H3258="",J3258=""),"",J3258&amp;"|"&amp;F3258&amp;"|"&amp;IF(H3258="W3","W3_"&amp;IF(I3258="","unknown",I3258),H3258))</f>
        <v/>
      </c>
      <c r="Q3258" s="1" t="str">
        <f aca="false">IF(P3258="","",IFERROR(IF(AND(H3258="W7",OR(F3258="causal",F3258="predictive")),IF(AND(K3258=1,L3258=1,M3258=1),"adequate","partial"),INDEX(Fit_Matrix!$B:$B,MATCH(P3258,Fit_Matrix!$A:$A,0))),"CHECK KEY"))</f>
        <v/>
      </c>
    </row>
    <row r="3259" customFormat="false" ht="15" hidden="false" customHeight="true" outlineLevel="0" collapsed="false">
      <c r="P3259" s="1" t="str">
        <f aca="false">IF(OR(F3259="",H3259="",J3259=""),"",J3259&amp;"|"&amp;F3259&amp;"|"&amp;IF(H3259="W3","W3_"&amp;IF(I3259="","unknown",I3259),H3259))</f>
        <v/>
      </c>
      <c r="Q3259" s="1" t="str">
        <f aca="false">IF(P3259="","",IFERROR(IF(AND(H3259="W7",OR(F3259="causal",F3259="predictive")),IF(AND(K3259=1,L3259=1,M3259=1),"adequate","partial"),INDEX(Fit_Matrix!$B:$B,MATCH(P3259,Fit_Matrix!$A:$A,0))),"CHECK KEY"))</f>
        <v/>
      </c>
    </row>
    <row r="3260" customFormat="false" ht="15" hidden="false" customHeight="true" outlineLevel="0" collapsed="false">
      <c r="P3260" s="1" t="str">
        <f aca="false">IF(OR(F3260="",H3260="",J3260=""),"",J3260&amp;"|"&amp;F3260&amp;"|"&amp;IF(H3260="W3","W3_"&amp;IF(I3260="","unknown",I3260),H3260))</f>
        <v/>
      </c>
      <c r="Q3260" s="1" t="str">
        <f aca="false">IF(P3260="","",IFERROR(IF(AND(H3260="W7",OR(F3260="causal",F3260="predictive")),IF(AND(K3260=1,L3260=1,M3260=1),"adequate","partial"),INDEX(Fit_Matrix!$B:$B,MATCH(P3260,Fit_Matrix!$A:$A,0))),"CHECK KEY"))</f>
        <v/>
      </c>
    </row>
    <row r="3261" customFormat="false" ht="15" hidden="false" customHeight="true" outlineLevel="0" collapsed="false">
      <c r="P3261" s="1" t="str">
        <f aca="false">IF(OR(F3261="",H3261="",J3261=""),"",J3261&amp;"|"&amp;F3261&amp;"|"&amp;IF(H3261="W3","W3_"&amp;IF(I3261="","unknown",I3261),H3261))</f>
        <v/>
      </c>
      <c r="Q3261" s="1" t="str">
        <f aca="false">IF(P3261="","",IFERROR(IF(AND(H3261="W7",OR(F3261="causal",F3261="predictive")),IF(AND(K3261=1,L3261=1,M3261=1),"adequate","partial"),INDEX(Fit_Matrix!$B:$B,MATCH(P3261,Fit_Matrix!$A:$A,0))),"CHECK KEY"))</f>
        <v/>
      </c>
    </row>
    <row r="3262" customFormat="false" ht="15" hidden="false" customHeight="true" outlineLevel="0" collapsed="false">
      <c r="P3262" s="1" t="str">
        <f aca="false">IF(OR(F3262="",H3262="",J3262=""),"",J3262&amp;"|"&amp;F3262&amp;"|"&amp;IF(H3262="W3","W3_"&amp;IF(I3262="","unknown",I3262),H3262))</f>
        <v/>
      </c>
      <c r="Q3262" s="1" t="str">
        <f aca="false">IF(P3262="","",IFERROR(IF(AND(H3262="W7",OR(F3262="causal",F3262="predictive")),IF(AND(K3262=1,L3262=1,M3262=1),"adequate","partial"),INDEX(Fit_Matrix!$B:$B,MATCH(P3262,Fit_Matrix!$A:$A,0))),"CHECK KEY"))</f>
        <v/>
      </c>
    </row>
    <row r="3263" customFormat="false" ht="15" hidden="false" customHeight="true" outlineLevel="0" collapsed="false">
      <c r="P3263" s="1" t="str">
        <f aca="false">IF(OR(F3263="",H3263="",J3263=""),"",J3263&amp;"|"&amp;F3263&amp;"|"&amp;IF(H3263="W3","W3_"&amp;IF(I3263="","unknown",I3263),H3263))</f>
        <v/>
      </c>
      <c r="Q3263" s="1" t="str">
        <f aca="false">IF(P3263="","",IFERROR(IF(AND(H3263="W7",OR(F3263="causal",F3263="predictive")),IF(AND(K3263=1,L3263=1,M3263=1),"adequate","partial"),INDEX(Fit_Matrix!$B:$B,MATCH(P3263,Fit_Matrix!$A:$A,0))),"CHECK KEY"))</f>
        <v/>
      </c>
    </row>
    <row r="3264" customFormat="false" ht="15" hidden="false" customHeight="true" outlineLevel="0" collapsed="false">
      <c r="P3264" s="1" t="str">
        <f aca="false">IF(OR(F3264="",H3264="",J3264=""),"",J3264&amp;"|"&amp;F3264&amp;"|"&amp;IF(H3264="W3","W3_"&amp;IF(I3264="","unknown",I3264),H3264))</f>
        <v/>
      </c>
      <c r="Q3264" s="1" t="str">
        <f aca="false">IF(P3264="","",IFERROR(IF(AND(H3264="W7",OR(F3264="causal",F3264="predictive")),IF(AND(K3264=1,L3264=1,M3264=1),"adequate","partial"),INDEX(Fit_Matrix!$B:$B,MATCH(P3264,Fit_Matrix!$A:$A,0))),"CHECK KEY"))</f>
        <v/>
      </c>
    </row>
    <row r="3265" customFormat="false" ht="15" hidden="false" customHeight="true" outlineLevel="0" collapsed="false">
      <c r="P3265" s="1" t="str">
        <f aca="false">IF(OR(F3265="",H3265="",J3265=""),"",J3265&amp;"|"&amp;F3265&amp;"|"&amp;IF(H3265="W3","W3_"&amp;IF(I3265="","unknown",I3265),H3265))</f>
        <v/>
      </c>
      <c r="Q3265" s="1" t="str">
        <f aca="false">IF(P3265="","",IFERROR(IF(AND(H3265="W7",OR(F3265="causal",F3265="predictive")),IF(AND(K3265=1,L3265=1,M3265=1),"adequate","partial"),INDEX(Fit_Matrix!$B:$B,MATCH(P3265,Fit_Matrix!$A:$A,0))),"CHECK KEY"))</f>
        <v/>
      </c>
    </row>
    <row r="3266" customFormat="false" ht="15" hidden="false" customHeight="true" outlineLevel="0" collapsed="false">
      <c r="P3266" s="1" t="str">
        <f aca="false">IF(OR(F3266="",H3266="",J3266=""),"",J3266&amp;"|"&amp;F3266&amp;"|"&amp;IF(H3266="W3","W3_"&amp;IF(I3266="","unknown",I3266),H3266))</f>
        <v/>
      </c>
      <c r="Q3266" s="1" t="str">
        <f aca="false">IF(P3266="","",IFERROR(IF(AND(H3266="W7",OR(F3266="causal",F3266="predictive")),IF(AND(K3266=1,L3266=1,M3266=1),"adequate","partial"),INDEX(Fit_Matrix!$B:$B,MATCH(P3266,Fit_Matrix!$A:$A,0))),"CHECK KEY"))</f>
        <v/>
      </c>
    </row>
    <row r="3267" customFormat="false" ht="15" hidden="false" customHeight="true" outlineLevel="0" collapsed="false">
      <c r="P3267" s="1" t="str">
        <f aca="false">IF(OR(F3267="",H3267="",J3267=""),"",J3267&amp;"|"&amp;F3267&amp;"|"&amp;IF(H3267="W3","W3_"&amp;IF(I3267="","unknown",I3267),H3267))</f>
        <v/>
      </c>
      <c r="Q3267" s="1" t="str">
        <f aca="false">IF(P3267="","",IFERROR(IF(AND(H3267="W7",OR(F3267="causal",F3267="predictive")),IF(AND(K3267=1,L3267=1,M3267=1),"adequate","partial"),INDEX(Fit_Matrix!$B:$B,MATCH(P3267,Fit_Matrix!$A:$A,0))),"CHECK KEY"))</f>
        <v/>
      </c>
    </row>
    <row r="3268" customFormat="false" ht="15" hidden="false" customHeight="true" outlineLevel="0" collapsed="false">
      <c r="P3268" s="1" t="str">
        <f aca="false">IF(OR(F3268="",H3268="",J3268=""),"",J3268&amp;"|"&amp;F3268&amp;"|"&amp;IF(H3268="W3","W3_"&amp;IF(I3268="","unknown",I3268),H3268))</f>
        <v/>
      </c>
      <c r="Q3268" s="1" t="str">
        <f aca="false">IF(P3268="","",IFERROR(IF(AND(H3268="W7",OR(F3268="causal",F3268="predictive")),IF(AND(K3268=1,L3268=1,M3268=1),"adequate","partial"),INDEX(Fit_Matrix!$B:$B,MATCH(P3268,Fit_Matrix!$A:$A,0))),"CHECK KEY"))</f>
        <v/>
      </c>
    </row>
    <row r="3269" customFormat="false" ht="15" hidden="false" customHeight="true" outlineLevel="0" collapsed="false">
      <c r="P3269" s="1" t="str">
        <f aca="false">IF(OR(F3269="",H3269="",J3269=""),"",J3269&amp;"|"&amp;F3269&amp;"|"&amp;IF(H3269="W3","W3_"&amp;IF(I3269="","unknown",I3269),H3269))</f>
        <v/>
      </c>
      <c r="Q3269" s="1" t="str">
        <f aca="false">IF(P3269="","",IFERROR(IF(AND(H3269="W7",OR(F3269="causal",F3269="predictive")),IF(AND(K3269=1,L3269=1,M3269=1),"adequate","partial"),INDEX(Fit_Matrix!$B:$B,MATCH(P3269,Fit_Matrix!$A:$A,0))),"CHECK KEY"))</f>
        <v/>
      </c>
    </row>
    <row r="3270" customFormat="false" ht="15" hidden="false" customHeight="true" outlineLevel="0" collapsed="false">
      <c r="P3270" s="1" t="str">
        <f aca="false">IF(OR(F3270="",H3270="",J3270=""),"",J3270&amp;"|"&amp;F3270&amp;"|"&amp;IF(H3270="W3","W3_"&amp;IF(I3270="","unknown",I3270),H3270))</f>
        <v/>
      </c>
      <c r="Q3270" s="1" t="str">
        <f aca="false">IF(P3270="","",IFERROR(IF(AND(H3270="W7",OR(F3270="causal",F3270="predictive")),IF(AND(K3270=1,L3270=1,M3270=1),"adequate","partial"),INDEX(Fit_Matrix!$B:$B,MATCH(P3270,Fit_Matrix!$A:$A,0))),"CHECK KEY"))</f>
        <v/>
      </c>
    </row>
    <row r="3271" customFormat="false" ht="15" hidden="false" customHeight="true" outlineLevel="0" collapsed="false">
      <c r="P3271" s="1" t="str">
        <f aca="false">IF(OR(F3271="",H3271="",J3271=""),"",J3271&amp;"|"&amp;F3271&amp;"|"&amp;IF(H3271="W3","W3_"&amp;IF(I3271="","unknown",I3271),H3271))</f>
        <v/>
      </c>
      <c r="Q3271" s="1" t="str">
        <f aca="false">IF(P3271="","",IFERROR(IF(AND(H3271="W7",OR(F3271="causal",F3271="predictive")),IF(AND(K3271=1,L3271=1,M3271=1),"adequate","partial"),INDEX(Fit_Matrix!$B:$B,MATCH(P3271,Fit_Matrix!$A:$A,0))),"CHECK KEY"))</f>
        <v/>
      </c>
    </row>
    <row r="3272" customFormat="false" ht="15" hidden="false" customHeight="true" outlineLevel="0" collapsed="false">
      <c r="P3272" s="1" t="str">
        <f aca="false">IF(OR(F3272="",H3272="",J3272=""),"",J3272&amp;"|"&amp;F3272&amp;"|"&amp;IF(H3272="W3","W3_"&amp;IF(I3272="","unknown",I3272),H3272))</f>
        <v/>
      </c>
      <c r="Q3272" s="1" t="str">
        <f aca="false">IF(P3272="","",IFERROR(IF(AND(H3272="W7",OR(F3272="causal",F3272="predictive")),IF(AND(K3272=1,L3272=1,M3272=1),"adequate","partial"),INDEX(Fit_Matrix!$B:$B,MATCH(P3272,Fit_Matrix!$A:$A,0))),"CHECK KEY"))</f>
        <v/>
      </c>
    </row>
    <row r="3273" customFormat="false" ht="15" hidden="false" customHeight="true" outlineLevel="0" collapsed="false">
      <c r="P3273" s="1" t="str">
        <f aca="false">IF(OR(F3273="",H3273="",J3273=""),"",J3273&amp;"|"&amp;F3273&amp;"|"&amp;IF(H3273="W3","W3_"&amp;IF(I3273="","unknown",I3273),H3273))</f>
        <v/>
      </c>
      <c r="Q3273" s="1" t="str">
        <f aca="false">IF(P3273="","",IFERROR(IF(AND(H3273="W7",OR(F3273="causal",F3273="predictive")),IF(AND(K3273=1,L3273=1,M3273=1),"adequate","partial"),INDEX(Fit_Matrix!$B:$B,MATCH(P3273,Fit_Matrix!$A:$A,0))),"CHECK KEY"))</f>
        <v/>
      </c>
    </row>
    <row r="3274" customFormat="false" ht="15" hidden="false" customHeight="true" outlineLevel="0" collapsed="false">
      <c r="P3274" s="1" t="str">
        <f aca="false">IF(OR(F3274="",H3274="",J3274=""),"",J3274&amp;"|"&amp;F3274&amp;"|"&amp;IF(H3274="W3","W3_"&amp;IF(I3274="","unknown",I3274),H3274))</f>
        <v/>
      </c>
      <c r="Q3274" s="1" t="str">
        <f aca="false">IF(P3274="","",IFERROR(IF(AND(H3274="W7",OR(F3274="causal",F3274="predictive")),IF(AND(K3274=1,L3274=1,M3274=1),"adequate","partial"),INDEX(Fit_Matrix!$B:$B,MATCH(P3274,Fit_Matrix!$A:$A,0))),"CHECK KEY"))</f>
        <v/>
      </c>
    </row>
    <row r="3275" customFormat="false" ht="15" hidden="false" customHeight="true" outlineLevel="0" collapsed="false">
      <c r="P3275" s="1" t="str">
        <f aca="false">IF(OR(F3275="",H3275="",J3275=""),"",J3275&amp;"|"&amp;F3275&amp;"|"&amp;IF(H3275="W3","W3_"&amp;IF(I3275="","unknown",I3275),H3275))</f>
        <v/>
      </c>
      <c r="Q3275" s="1" t="str">
        <f aca="false">IF(P3275="","",IFERROR(IF(AND(H3275="W7",OR(F3275="causal",F3275="predictive")),IF(AND(K3275=1,L3275=1,M3275=1),"adequate","partial"),INDEX(Fit_Matrix!$B:$B,MATCH(P3275,Fit_Matrix!$A:$A,0))),"CHECK KEY"))</f>
        <v/>
      </c>
    </row>
    <row r="3276" customFormat="false" ht="15" hidden="false" customHeight="true" outlineLevel="0" collapsed="false">
      <c r="P3276" s="1" t="str">
        <f aca="false">IF(OR(F3276="",H3276="",J3276=""),"",J3276&amp;"|"&amp;F3276&amp;"|"&amp;IF(H3276="W3","W3_"&amp;IF(I3276="","unknown",I3276),H3276))</f>
        <v/>
      </c>
      <c r="Q3276" s="1" t="str">
        <f aca="false">IF(P3276="","",IFERROR(IF(AND(H3276="W7",OR(F3276="causal",F3276="predictive")),IF(AND(K3276=1,L3276=1,M3276=1),"adequate","partial"),INDEX(Fit_Matrix!$B:$B,MATCH(P3276,Fit_Matrix!$A:$A,0))),"CHECK KEY"))</f>
        <v/>
      </c>
    </row>
    <row r="3277" customFormat="false" ht="15" hidden="false" customHeight="true" outlineLevel="0" collapsed="false">
      <c r="P3277" s="1" t="str">
        <f aca="false">IF(OR(F3277="",H3277="",J3277=""),"",J3277&amp;"|"&amp;F3277&amp;"|"&amp;IF(H3277="W3","W3_"&amp;IF(I3277="","unknown",I3277),H3277))</f>
        <v/>
      </c>
      <c r="Q3277" s="1" t="str">
        <f aca="false">IF(P3277="","",IFERROR(IF(AND(H3277="W7",OR(F3277="causal",F3277="predictive")),IF(AND(K3277=1,L3277=1,M3277=1),"adequate","partial"),INDEX(Fit_Matrix!$B:$B,MATCH(P3277,Fit_Matrix!$A:$A,0))),"CHECK KEY"))</f>
        <v/>
      </c>
    </row>
    <row r="3278" customFormat="false" ht="15" hidden="false" customHeight="true" outlineLevel="0" collapsed="false">
      <c r="P3278" s="1" t="str">
        <f aca="false">IF(OR(F3278="",H3278="",J3278=""),"",J3278&amp;"|"&amp;F3278&amp;"|"&amp;IF(H3278="W3","W3_"&amp;IF(I3278="","unknown",I3278),H3278))</f>
        <v/>
      </c>
      <c r="Q3278" s="1" t="str">
        <f aca="false">IF(P3278="","",IFERROR(IF(AND(H3278="W7",OR(F3278="causal",F3278="predictive")),IF(AND(K3278=1,L3278=1,M3278=1),"adequate","partial"),INDEX(Fit_Matrix!$B:$B,MATCH(P3278,Fit_Matrix!$A:$A,0))),"CHECK KEY"))</f>
        <v/>
      </c>
    </row>
    <row r="3279" customFormat="false" ht="15" hidden="false" customHeight="true" outlineLevel="0" collapsed="false">
      <c r="P3279" s="1" t="str">
        <f aca="false">IF(OR(F3279="",H3279="",J3279=""),"",J3279&amp;"|"&amp;F3279&amp;"|"&amp;IF(H3279="W3","W3_"&amp;IF(I3279="","unknown",I3279),H3279))</f>
        <v/>
      </c>
      <c r="Q3279" s="1" t="str">
        <f aca="false">IF(P3279="","",IFERROR(IF(AND(H3279="W7",OR(F3279="causal",F3279="predictive")),IF(AND(K3279=1,L3279=1,M3279=1),"adequate","partial"),INDEX(Fit_Matrix!$B:$B,MATCH(P3279,Fit_Matrix!$A:$A,0))),"CHECK KEY"))</f>
        <v/>
      </c>
    </row>
    <row r="3280" customFormat="false" ht="15" hidden="false" customHeight="true" outlineLevel="0" collapsed="false">
      <c r="P3280" s="1" t="str">
        <f aca="false">IF(OR(F3280="",H3280="",J3280=""),"",J3280&amp;"|"&amp;F3280&amp;"|"&amp;IF(H3280="W3","W3_"&amp;IF(I3280="","unknown",I3280),H3280))</f>
        <v/>
      </c>
      <c r="Q3280" s="1" t="str">
        <f aca="false">IF(P3280="","",IFERROR(IF(AND(H3280="W7",OR(F3280="causal",F3280="predictive")),IF(AND(K3280=1,L3280=1,M3280=1),"adequate","partial"),INDEX(Fit_Matrix!$B:$B,MATCH(P3280,Fit_Matrix!$A:$A,0))),"CHECK KEY"))</f>
        <v/>
      </c>
    </row>
    <row r="3281" customFormat="false" ht="15" hidden="false" customHeight="true" outlineLevel="0" collapsed="false">
      <c r="P3281" s="1" t="str">
        <f aca="false">IF(OR(F3281="",H3281="",J3281=""),"",J3281&amp;"|"&amp;F3281&amp;"|"&amp;IF(H3281="W3","W3_"&amp;IF(I3281="","unknown",I3281),H3281))</f>
        <v/>
      </c>
      <c r="Q3281" s="1" t="str">
        <f aca="false">IF(P3281="","",IFERROR(IF(AND(H3281="W7",OR(F3281="causal",F3281="predictive")),IF(AND(K3281=1,L3281=1,M3281=1),"adequate","partial"),INDEX(Fit_Matrix!$B:$B,MATCH(P3281,Fit_Matrix!$A:$A,0))),"CHECK KEY"))</f>
        <v/>
      </c>
    </row>
    <row r="3282" customFormat="false" ht="15" hidden="false" customHeight="true" outlineLevel="0" collapsed="false">
      <c r="P3282" s="1" t="str">
        <f aca="false">IF(OR(F3282="",H3282="",J3282=""),"",J3282&amp;"|"&amp;F3282&amp;"|"&amp;IF(H3282="W3","W3_"&amp;IF(I3282="","unknown",I3282),H3282))</f>
        <v/>
      </c>
      <c r="Q3282" s="1" t="str">
        <f aca="false">IF(P3282="","",IFERROR(IF(AND(H3282="W7",OR(F3282="causal",F3282="predictive")),IF(AND(K3282=1,L3282=1,M3282=1),"adequate","partial"),INDEX(Fit_Matrix!$B:$B,MATCH(P3282,Fit_Matrix!$A:$A,0))),"CHECK KEY"))</f>
        <v/>
      </c>
    </row>
    <row r="3283" customFormat="false" ht="15" hidden="false" customHeight="true" outlineLevel="0" collapsed="false">
      <c r="P3283" s="1" t="str">
        <f aca="false">IF(OR(F3283="",H3283="",J3283=""),"",J3283&amp;"|"&amp;F3283&amp;"|"&amp;IF(H3283="W3","W3_"&amp;IF(I3283="","unknown",I3283),H3283))</f>
        <v/>
      </c>
      <c r="Q3283" s="1" t="str">
        <f aca="false">IF(P3283="","",IFERROR(IF(AND(H3283="W7",OR(F3283="causal",F3283="predictive")),IF(AND(K3283=1,L3283=1,M3283=1),"adequate","partial"),INDEX(Fit_Matrix!$B:$B,MATCH(P3283,Fit_Matrix!$A:$A,0))),"CHECK KEY"))</f>
        <v/>
      </c>
    </row>
    <row r="3284" customFormat="false" ht="15" hidden="false" customHeight="true" outlineLevel="0" collapsed="false">
      <c r="P3284" s="1" t="str">
        <f aca="false">IF(OR(F3284="",H3284="",J3284=""),"",J3284&amp;"|"&amp;F3284&amp;"|"&amp;IF(H3284="W3","W3_"&amp;IF(I3284="","unknown",I3284),H3284))</f>
        <v/>
      </c>
      <c r="Q3284" s="1" t="str">
        <f aca="false">IF(P3284="","",IFERROR(IF(AND(H3284="W7",OR(F3284="causal",F3284="predictive")),IF(AND(K3284=1,L3284=1,M3284=1),"adequate","partial"),INDEX(Fit_Matrix!$B:$B,MATCH(P3284,Fit_Matrix!$A:$A,0))),"CHECK KEY"))</f>
        <v/>
      </c>
    </row>
    <row r="3285" customFormat="false" ht="15" hidden="false" customHeight="true" outlineLevel="0" collapsed="false">
      <c r="P3285" s="1" t="str">
        <f aca="false">IF(OR(F3285="",H3285="",J3285=""),"",J3285&amp;"|"&amp;F3285&amp;"|"&amp;IF(H3285="W3","W3_"&amp;IF(I3285="","unknown",I3285),H3285))</f>
        <v/>
      </c>
      <c r="Q3285" s="1" t="str">
        <f aca="false">IF(P3285="","",IFERROR(IF(AND(H3285="W7",OR(F3285="causal",F3285="predictive")),IF(AND(K3285=1,L3285=1,M3285=1),"adequate","partial"),INDEX(Fit_Matrix!$B:$B,MATCH(P3285,Fit_Matrix!$A:$A,0))),"CHECK KEY"))</f>
        <v/>
      </c>
    </row>
    <row r="3286" customFormat="false" ht="15" hidden="false" customHeight="true" outlineLevel="0" collapsed="false">
      <c r="P3286" s="1" t="str">
        <f aca="false">IF(OR(F3286="",H3286="",J3286=""),"",J3286&amp;"|"&amp;F3286&amp;"|"&amp;IF(H3286="W3","W3_"&amp;IF(I3286="","unknown",I3286),H3286))</f>
        <v/>
      </c>
      <c r="Q3286" s="1" t="str">
        <f aca="false">IF(P3286="","",IFERROR(IF(AND(H3286="W7",OR(F3286="causal",F3286="predictive")),IF(AND(K3286=1,L3286=1,M3286=1),"adequate","partial"),INDEX(Fit_Matrix!$B:$B,MATCH(P3286,Fit_Matrix!$A:$A,0))),"CHECK KEY"))</f>
        <v/>
      </c>
    </row>
    <row r="3287" customFormat="false" ht="15" hidden="false" customHeight="true" outlineLevel="0" collapsed="false">
      <c r="P3287" s="1" t="str">
        <f aca="false">IF(OR(F3287="",H3287="",J3287=""),"",J3287&amp;"|"&amp;F3287&amp;"|"&amp;IF(H3287="W3","W3_"&amp;IF(I3287="","unknown",I3287),H3287))</f>
        <v/>
      </c>
      <c r="Q3287" s="1" t="str">
        <f aca="false">IF(P3287="","",IFERROR(IF(AND(H3287="W7",OR(F3287="causal",F3287="predictive")),IF(AND(K3287=1,L3287=1,M3287=1),"adequate","partial"),INDEX(Fit_Matrix!$B:$B,MATCH(P3287,Fit_Matrix!$A:$A,0))),"CHECK KEY"))</f>
        <v/>
      </c>
    </row>
    <row r="3288" customFormat="false" ht="15" hidden="false" customHeight="true" outlineLevel="0" collapsed="false">
      <c r="P3288" s="1" t="str">
        <f aca="false">IF(OR(F3288="",H3288="",J3288=""),"",J3288&amp;"|"&amp;F3288&amp;"|"&amp;IF(H3288="W3","W3_"&amp;IF(I3288="","unknown",I3288),H3288))</f>
        <v/>
      </c>
      <c r="Q3288" s="1" t="str">
        <f aca="false">IF(P3288="","",IFERROR(IF(AND(H3288="W7",OR(F3288="causal",F3288="predictive")),IF(AND(K3288=1,L3288=1,M3288=1),"adequate","partial"),INDEX(Fit_Matrix!$B:$B,MATCH(P3288,Fit_Matrix!$A:$A,0))),"CHECK KEY"))</f>
        <v/>
      </c>
    </row>
    <row r="3289" customFormat="false" ht="15" hidden="false" customHeight="true" outlineLevel="0" collapsed="false">
      <c r="P3289" s="1" t="str">
        <f aca="false">IF(OR(F3289="",H3289="",J3289=""),"",J3289&amp;"|"&amp;F3289&amp;"|"&amp;IF(H3289="W3","W3_"&amp;IF(I3289="","unknown",I3289),H3289))</f>
        <v/>
      </c>
      <c r="Q3289" s="1" t="str">
        <f aca="false">IF(P3289="","",IFERROR(IF(AND(H3289="W7",OR(F3289="causal",F3289="predictive")),IF(AND(K3289=1,L3289=1,M3289=1),"adequate","partial"),INDEX(Fit_Matrix!$B:$B,MATCH(P3289,Fit_Matrix!$A:$A,0))),"CHECK KEY"))</f>
        <v/>
      </c>
    </row>
    <row r="3290" customFormat="false" ht="15" hidden="false" customHeight="true" outlineLevel="0" collapsed="false">
      <c r="P3290" s="1" t="str">
        <f aca="false">IF(OR(F3290="",H3290="",J3290=""),"",J3290&amp;"|"&amp;F3290&amp;"|"&amp;IF(H3290="W3","W3_"&amp;IF(I3290="","unknown",I3290),H3290))</f>
        <v/>
      </c>
      <c r="Q3290" s="1" t="str">
        <f aca="false">IF(P3290="","",IFERROR(IF(AND(H3290="W7",OR(F3290="causal",F3290="predictive")),IF(AND(K3290=1,L3290=1,M3290=1),"adequate","partial"),INDEX(Fit_Matrix!$B:$B,MATCH(P3290,Fit_Matrix!$A:$A,0))),"CHECK KEY"))</f>
        <v/>
      </c>
    </row>
    <row r="3291" customFormat="false" ht="15" hidden="false" customHeight="true" outlineLevel="0" collapsed="false">
      <c r="P3291" s="1" t="str">
        <f aca="false">IF(OR(F3291="",H3291="",J3291=""),"",J3291&amp;"|"&amp;F3291&amp;"|"&amp;IF(H3291="W3","W3_"&amp;IF(I3291="","unknown",I3291),H3291))</f>
        <v/>
      </c>
      <c r="Q3291" s="1" t="str">
        <f aca="false">IF(P3291="","",IFERROR(IF(AND(H3291="W7",OR(F3291="causal",F3291="predictive")),IF(AND(K3291=1,L3291=1,M3291=1),"adequate","partial"),INDEX(Fit_Matrix!$B:$B,MATCH(P3291,Fit_Matrix!$A:$A,0))),"CHECK KEY"))</f>
        <v/>
      </c>
    </row>
    <row r="3292" customFormat="false" ht="15" hidden="false" customHeight="true" outlineLevel="0" collapsed="false">
      <c r="P3292" s="1" t="str">
        <f aca="false">IF(OR(F3292="",H3292="",J3292=""),"",J3292&amp;"|"&amp;F3292&amp;"|"&amp;IF(H3292="W3","W3_"&amp;IF(I3292="","unknown",I3292),H3292))</f>
        <v/>
      </c>
      <c r="Q3292" s="1" t="str">
        <f aca="false">IF(P3292="","",IFERROR(IF(AND(H3292="W7",OR(F3292="causal",F3292="predictive")),IF(AND(K3292=1,L3292=1,M3292=1),"adequate","partial"),INDEX(Fit_Matrix!$B:$B,MATCH(P3292,Fit_Matrix!$A:$A,0))),"CHECK KEY"))</f>
        <v/>
      </c>
    </row>
    <row r="3293" customFormat="false" ht="15" hidden="false" customHeight="true" outlineLevel="0" collapsed="false">
      <c r="P3293" s="1" t="str">
        <f aca="false">IF(OR(F3293="",H3293="",J3293=""),"",J3293&amp;"|"&amp;F3293&amp;"|"&amp;IF(H3293="W3","W3_"&amp;IF(I3293="","unknown",I3293),H3293))</f>
        <v/>
      </c>
      <c r="Q3293" s="1" t="str">
        <f aca="false">IF(P3293="","",IFERROR(IF(AND(H3293="W7",OR(F3293="causal",F3293="predictive")),IF(AND(K3293=1,L3293=1,M3293=1),"adequate","partial"),INDEX(Fit_Matrix!$B:$B,MATCH(P3293,Fit_Matrix!$A:$A,0))),"CHECK KEY"))</f>
        <v/>
      </c>
    </row>
    <row r="3294" customFormat="false" ht="15" hidden="false" customHeight="true" outlineLevel="0" collapsed="false">
      <c r="P3294" s="1" t="str">
        <f aca="false">IF(OR(F3294="",H3294="",J3294=""),"",J3294&amp;"|"&amp;F3294&amp;"|"&amp;IF(H3294="W3","W3_"&amp;IF(I3294="","unknown",I3294),H3294))</f>
        <v/>
      </c>
      <c r="Q3294" s="1" t="str">
        <f aca="false">IF(P3294="","",IFERROR(IF(AND(H3294="W7",OR(F3294="causal",F3294="predictive")),IF(AND(K3294=1,L3294=1,M3294=1),"adequate","partial"),INDEX(Fit_Matrix!$B:$B,MATCH(P3294,Fit_Matrix!$A:$A,0))),"CHECK KEY"))</f>
        <v/>
      </c>
    </row>
    <row r="3295" customFormat="false" ht="15" hidden="false" customHeight="true" outlineLevel="0" collapsed="false">
      <c r="P3295" s="1" t="str">
        <f aca="false">IF(OR(F3295="",H3295="",J3295=""),"",J3295&amp;"|"&amp;F3295&amp;"|"&amp;IF(H3295="W3","W3_"&amp;IF(I3295="","unknown",I3295),H3295))</f>
        <v/>
      </c>
      <c r="Q3295" s="1" t="str">
        <f aca="false">IF(P3295="","",IFERROR(IF(AND(H3295="W7",OR(F3295="causal",F3295="predictive")),IF(AND(K3295=1,L3295=1,M3295=1),"adequate","partial"),INDEX(Fit_Matrix!$B:$B,MATCH(P3295,Fit_Matrix!$A:$A,0))),"CHECK KEY"))</f>
        <v/>
      </c>
    </row>
    <row r="3296" customFormat="false" ht="15" hidden="false" customHeight="true" outlineLevel="0" collapsed="false">
      <c r="P3296" s="1" t="str">
        <f aca="false">IF(OR(F3296="",H3296="",J3296=""),"",J3296&amp;"|"&amp;F3296&amp;"|"&amp;IF(H3296="W3","W3_"&amp;IF(I3296="","unknown",I3296),H3296))</f>
        <v/>
      </c>
      <c r="Q3296" s="1" t="str">
        <f aca="false">IF(P3296="","",IFERROR(IF(AND(H3296="W7",OR(F3296="causal",F3296="predictive")),IF(AND(K3296=1,L3296=1,M3296=1),"adequate","partial"),INDEX(Fit_Matrix!$B:$B,MATCH(P3296,Fit_Matrix!$A:$A,0))),"CHECK KEY"))</f>
        <v/>
      </c>
    </row>
    <row r="3297" customFormat="false" ht="15" hidden="false" customHeight="true" outlineLevel="0" collapsed="false">
      <c r="P3297" s="1" t="str">
        <f aca="false">IF(OR(F3297="",H3297="",J3297=""),"",J3297&amp;"|"&amp;F3297&amp;"|"&amp;IF(H3297="W3","W3_"&amp;IF(I3297="","unknown",I3297),H3297))</f>
        <v/>
      </c>
      <c r="Q3297" s="1" t="str">
        <f aca="false">IF(P3297="","",IFERROR(IF(AND(H3297="W7",OR(F3297="causal",F3297="predictive")),IF(AND(K3297=1,L3297=1,M3297=1),"adequate","partial"),INDEX(Fit_Matrix!$B:$B,MATCH(P3297,Fit_Matrix!$A:$A,0))),"CHECK KEY"))</f>
        <v/>
      </c>
    </row>
    <row r="3298" customFormat="false" ht="15" hidden="false" customHeight="true" outlineLevel="0" collapsed="false">
      <c r="P3298" s="1" t="str">
        <f aca="false">IF(OR(F3298="",H3298="",J3298=""),"",J3298&amp;"|"&amp;F3298&amp;"|"&amp;IF(H3298="W3","W3_"&amp;IF(I3298="","unknown",I3298),H3298))</f>
        <v/>
      </c>
      <c r="Q3298" s="1" t="str">
        <f aca="false">IF(P3298="","",IFERROR(IF(AND(H3298="W7",OR(F3298="causal",F3298="predictive")),IF(AND(K3298=1,L3298=1,M3298=1),"adequate","partial"),INDEX(Fit_Matrix!$B:$B,MATCH(P3298,Fit_Matrix!$A:$A,0))),"CHECK KEY"))</f>
        <v/>
      </c>
    </row>
    <row r="3299" customFormat="false" ht="15" hidden="false" customHeight="true" outlineLevel="0" collapsed="false">
      <c r="P3299" s="1" t="str">
        <f aca="false">IF(OR(F3299="",H3299="",J3299=""),"",J3299&amp;"|"&amp;F3299&amp;"|"&amp;IF(H3299="W3","W3_"&amp;IF(I3299="","unknown",I3299),H3299))</f>
        <v/>
      </c>
      <c r="Q3299" s="1" t="str">
        <f aca="false">IF(P3299="","",IFERROR(IF(AND(H3299="W7",OR(F3299="causal",F3299="predictive")),IF(AND(K3299=1,L3299=1,M3299=1),"adequate","partial"),INDEX(Fit_Matrix!$B:$B,MATCH(P3299,Fit_Matrix!$A:$A,0))),"CHECK KEY"))</f>
        <v/>
      </c>
    </row>
    <row r="3300" customFormat="false" ht="15" hidden="false" customHeight="true" outlineLevel="0" collapsed="false">
      <c r="P3300" s="1" t="str">
        <f aca="false">IF(OR(F3300="",H3300="",J3300=""),"",J3300&amp;"|"&amp;F3300&amp;"|"&amp;IF(H3300="W3","W3_"&amp;IF(I3300="","unknown",I3300),H3300))</f>
        <v/>
      </c>
      <c r="Q3300" s="1" t="str">
        <f aca="false">IF(P3300="","",IFERROR(IF(AND(H3300="W7",OR(F3300="causal",F3300="predictive")),IF(AND(K3300=1,L3300=1,M3300=1),"adequate","partial"),INDEX(Fit_Matrix!$B:$B,MATCH(P3300,Fit_Matrix!$A:$A,0))),"CHECK KEY"))</f>
        <v/>
      </c>
    </row>
    <row r="3301" customFormat="false" ht="15" hidden="false" customHeight="true" outlineLevel="0" collapsed="false">
      <c r="P3301" s="1" t="str">
        <f aca="false">IF(OR(F3301="",H3301="",J3301=""),"",J3301&amp;"|"&amp;F3301&amp;"|"&amp;IF(H3301="W3","W3_"&amp;IF(I3301="","unknown",I3301),H3301))</f>
        <v/>
      </c>
      <c r="Q3301" s="1" t="str">
        <f aca="false">IF(P3301="","",IFERROR(IF(AND(H3301="W7",OR(F3301="causal",F3301="predictive")),IF(AND(K3301=1,L3301=1,M3301=1),"adequate","partial"),INDEX(Fit_Matrix!$B:$B,MATCH(P3301,Fit_Matrix!$A:$A,0))),"CHECK KEY"))</f>
        <v/>
      </c>
    </row>
    <row r="3302" customFormat="false" ht="15" hidden="false" customHeight="true" outlineLevel="0" collapsed="false">
      <c r="P3302" s="1" t="str">
        <f aca="false">IF(OR(F3302="",H3302="",J3302=""),"",J3302&amp;"|"&amp;F3302&amp;"|"&amp;IF(H3302="W3","W3_"&amp;IF(I3302="","unknown",I3302),H3302))</f>
        <v/>
      </c>
      <c r="Q3302" s="1" t="str">
        <f aca="false">IF(P3302="","",IFERROR(IF(AND(H3302="W7",OR(F3302="causal",F3302="predictive")),IF(AND(K3302=1,L3302=1,M3302=1),"adequate","partial"),INDEX(Fit_Matrix!$B:$B,MATCH(P3302,Fit_Matrix!$A:$A,0))),"CHECK KEY"))</f>
        <v/>
      </c>
    </row>
    <row r="3303" customFormat="false" ht="15" hidden="false" customHeight="true" outlineLevel="0" collapsed="false">
      <c r="P3303" s="1" t="str">
        <f aca="false">IF(OR(F3303="",H3303="",J3303=""),"",J3303&amp;"|"&amp;F3303&amp;"|"&amp;IF(H3303="W3","W3_"&amp;IF(I3303="","unknown",I3303),H3303))</f>
        <v/>
      </c>
      <c r="Q3303" s="1" t="str">
        <f aca="false">IF(P3303="","",IFERROR(IF(AND(H3303="W7",OR(F3303="causal",F3303="predictive")),IF(AND(K3303=1,L3303=1,M3303=1),"adequate","partial"),INDEX(Fit_Matrix!$B:$B,MATCH(P3303,Fit_Matrix!$A:$A,0))),"CHECK KEY"))</f>
        <v/>
      </c>
    </row>
    <row r="3304" customFormat="false" ht="15" hidden="false" customHeight="true" outlineLevel="0" collapsed="false">
      <c r="P3304" s="1" t="str">
        <f aca="false">IF(OR(F3304="",H3304="",J3304=""),"",J3304&amp;"|"&amp;F3304&amp;"|"&amp;IF(H3304="W3","W3_"&amp;IF(I3304="","unknown",I3304),H3304))</f>
        <v/>
      </c>
      <c r="Q3304" s="1" t="str">
        <f aca="false">IF(P3304="","",IFERROR(IF(AND(H3304="W7",OR(F3304="causal",F3304="predictive")),IF(AND(K3304=1,L3304=1,M3304=1),"adequate","partial"),INDEX(Fit_Matrix!$B:$B,MATCH(P3304,Fit_Matrix!$A:$A,0))),"CHECK KEY"))</f>
        <v/>
      </c>
    </row>
    <row r="3305" customFormat="false" ht="15" hidden="false" customHeight="true" outlineLevel="0" collapsed="false">
      <c r="P3305" s="1" t="str">
        <f aca="false">IF(OR(F3305="",H3305="",J3305=""),"",J3305&amp;"|"&amp;F3305&amp;"|"&amp;IF(H3305="W3","W3_"&amp;IF(I3305="","unknown",I3305),H3305))</f>
        <v/>
      </c>
      <c r="Q3305" s="1" t="str">
        <f aca="false">IF(P3305="","",IFERROR(IF(AND(H3305="W7",OR(F3305="causal",F3305="predictive")),IF(AND(K3305=1,L3305=1,M3305=1),"adequate","partial"),INDEX(Fit_Matrix!$B:$B,MATCH(P3305,Fit_Matrix!$A:$A,0))),"CHECK KEY"))</f>
        <v/>
      </c>
    </row>
    <row r="3306" customFormat="false" ht="15" hidden="false" customHeight="true" outlineLevel="0" collapsed="false">
      <c r="P3306" s="1" t="str">
        <f aca="false">IF(OR(F3306="",H3306="",J3306=""),"",J3306&amp;"|"&amp;F3306&amp;"|"&amp;IF(H3306="W3","W3_"&amp;IF(I3306="","unknown",I3306),H3306))</f>
        <v/>
      </c>
      <c r="Q3306" s="1" t="str">
        <f aca="false">IF(P3306="","",IFERROR(IF(AND(H3306="W7",OR(F3306="causal",F3306="predictive")),IF(AND(K3306=1,L3306=1,M3306=1),"adequate","partial"),INDEX(Fit_Matrix!$B:$B,MATCH(P3306,Fit_Matrix!$A:$A,0))),"CHECK KEY"))</f>
        <v/>
      </c>
    </row>
    <row r="3307" customFormat="false" ht="15" hidden="false" customHeight="true" outlineLevel="0" collapsed="false">
      <c r="P3307" s="1" t="str">
        <f aca="false">IF(OR(F3307="",H3307="",J3307=""),"",J3307&amp;"|"&amp;F3307&amp;"|"&amp;IF(H3307="W3","W3_"&amp;IF(I3307="","unknown",I3307),H3307))</f>
        <v/>
      </c>
      <c r="Q3307" s="1" t="str">
        <f aca="false">IF(P3307="","",IFERROR(IF(AND(H3307="W7",OR(F3307="causal",F3307="predictive")),IF(AND(K3307=1,L3307=1,M3307=1),"adequate","partial"),INDEX(Fit_Matrix!$B:$B,MATCH(P3307,Fit_Matrix!$A:$A,0))),"CHECK KEY"))</f>
        <v/>
      </c>
    </row>
    <row r="3308" customFormat="false" ht="15" hidden="false" customHeight="true" outlineLevel="0" collapsed="false">
      <c r="P3308" s="1" t="str">
        <f aca="false">IF(OR(F3308="",H3308="",J3308=""),"",J3308&amp;"|"&amp;F3308&amp;"|"&amp;IF(H3308="W3","W3_"&amp;IF(I3308="","unknown",I3308),H3308))</f>
        <v/>
      </c>
      <c r="Q3308" s="1" t="str">
        <f aca="false">IF(P3308="","",IFERROR(IF(AND(H3308="W7",OR(F3308="causal",F3308="predictive")),IF(AND(K3308=1,L3308=1,M3308=1),"adequate","partial"),INDEX(Fit_Matrix!$B:$B,MATCH(P3308,Fit_Matrix!$A:$A,0))),"CHECK KEY"))</f>
        <v/>
      </c>
    </row>
    <row r="3309" customFormat="false" ht="15" hidden="false" customHeight="true" outlineLevel="0" collapsed="false">
      <c r="P3309" s="1" t="str">
        <f aca="false">IF(OR(F3309="",H3309="",J3309=""),"",J3309&amp;"|"&amp;F3309&amp;"|"&amp;IF(H3309="W3","W3_"&amp;IF(I3309="","unknown",I3309),H3309))</f>
        <v/>
      </c>
      <c r="Q3309" s="1" t="str">
        <f aca="false">IF(P3309="","",IFERROR(IF(AND(H3309="W7",OR(F3309="causal",F3309="predictive")),IF(AND(K3309=1,L3309=1,M3309=1),"adequate","partial"),INDEX(Fit_Matrix!$B:$B,MATCH(P3309,Fit_Matrix!$A:$A,0))),"CHECK KEY"))</f>
        <v/>
      </c>
    </row>
    <row r="3310" customFormat="false" ht="15" hidden="false" customHeight="true" outlineLevel="0" collapsed="false">
      <c r="P3310" s="1" t="str">
        <f aca="false">IF(OR(F3310="",H3310="",J3310=""),"",J3310&amp;"|"&amp;F3310&amp;"|"&amp;IF(H3310="W3","W3_"&amp;IF(I3310="","unknown",I3310),H3310))</f>
        <v/>
      </c>
      <c r="Q3310" s="1" t="str">
        <f aca="false">IF(P3310="","",IFERROR(IF(AND(H3310="W7",OR(F3310="causal",F3310="predictive")),IF(AND(K3310=1,L3310=1,M3310=1),"adequate","partial"),INDEX(Fit_Matrix!$B:$B,MATCH(P3310,Fit_Matrix!$A:$A,0))),"CHECK KEY"))</f>
        <v/>
      </c>
    </row>
    <row r="3311" customFormat="false" ht="15" hidden="false" customHeight="true" outlineLevel="0" collapsed="false">
      <c r="P3311" s="1" t="str">
        <f aca="false">IF(OR(F3311="",H3311="",J3311=""),"",J3311&amp;"|"&amp;F3311&amp;"|"&amp;IF(H3311="W3","W3_"&amp;IF(I3311="","unknown",I3311),H3311))</f>
        <v/>
      </c>
      <c r="Q3311" s="1" t="str">
        <f aca="false">IF(P3311="","",IFERROR(IF(AND(H3311="W7",OR(F3311="causal",F3311="predictive")),IF(AND(K3311=1,L3311=1,M3311=1),"adequate","partial"),INDEX(Fit_Matrix!$B:$B,MATCH(P3311,Fit_Matrix!$A:$A,0))),"CHECK KEY"))</f>
        <v/>
      </c>
    </row>
    <row r="3312" customFormat="false" ht="15" hidden="false" customHeight="true" outlineLevel="0" collapsed="false">
      <c r="P3312" s="1" t="str">
        <f aca="false">IF(OR(F3312="",H3312="",J3312=""),"",J3312&amp;"|"&amp;F3312&amp;"|"&amp;IF(H3312="W3","W3_"&amp;IF(I3312="","unknown",I3312),H3312))</f>
        <v/>
      </c>
      <c r="Q3312" s="1" t="str">
        <f aca="false">IF(P3312="","",IFERROR(IF(AND(H3312="W7",OR(F3312="causal",F3312="predictive")),IF(AND(K3312=1,L3312=1,M3312=1),"adequate","partial"),INDEX(Fit_Matrix!$B:$B,MATCH(P3312,Fit_Matrix!$A:$A,0))),"CHECK KEY"))</f>
        <v/>
      </c>
    </row>
    <row r="3313" customFormat="false" ht="15" hidden="false" customHeight="true" outlineLevel="0" collapsed="false">
      <c r="P3313" s="1" t="str">
        <f aca="false">IF(OR(F3313="",H3313="",J3313=""),"",J3313&amp;"|"&amp;F3313&amp;"|"&amp;IF(H3313="W3","W3_"&amp;IF(I3313="","unknown",I3313),H3313))</f>
        <v/>
      </c>
      <c r="Q3313" s="1" t="str">
        <f aca="false">IF(P3313="","",IFERROR(IF(AND(H3313="W7",OR(F3313="causal",F3313="predictive")),IF(AND(K3313=1,L3313=1,M3313=1),"adequate","partial"),INDEX(Fit_Matrix!$B:$B,MATCH(P3313,Fit_Matrix!$A:$A,0))),"CHECK KEY"))</f>
        <v/>
      </c>
    </row>
    <row r="3314" customFormat="false" ht="15" hidden="false" customHeight="true" outlineLevel="0" collapsed="false">
      <c r="P3314" s="1" t="str">
        <f aca="false">IF(OR(F3314="",H3314="",J3314=""),"",J3314&amp;"|"&amp;F3314&amp;"|"&amp;IF(H3314="W3","W3_"&amp;IF(I3314="","unknown",I3314),H3314))</f>
        <v/>
      </c>
      <c r="Q3314" s="1" t="str">
        <f aca="false">IF(P3314="","",IFERROR(IF(AND(H3314="W7",OR(F3314="causal",F3314="predictive")),IF(AND(K3314=1,L3314=1,M3314=1),"adequate","partial"),INDEX(Fit_Matrix!$B:$B,MATCH(P3314,Fit_Matrix!$A:$A,0))),"CHECK KEY"))</f>
        <v/>
      </c>
    </row>
    <row r="3315" customFormat="false" ht="15" hidden="false" customHeight="true" outlineLevel="0" collapsed="false">
      <c r="P3315" s="1" t="str">
        <f aca="false">IF(OR(F3315="",H3315="",J3315=""),"",J3315&amp;"|"&amp;F3315&amp;"|"&amp;IF(H3315="W3","W3_"&amp;IF(I3315="","unknown",I3315),H3315))</f>
        <v/>
      </c>
      <c r="Q3315" s="1" t="str">
        <f aca="false">IF(P3315="","",IFERROR(IF(AND(H3315="W7",OR(F3315="causal",F3315="predictive")),IF(AND(K3315=1,L3315=1,M3315=1),"adequate","partial"),INDEX(Fit_Matrix!$B:$B,MATCH(P3315,Fit_Matrix!$A:$A,0))),"CHECK KEY"))</f>
        <v/>
      </c>
    </row>
    <row r="3316" customFormat="false" ht="15" hidden="false" customHeight="true" outlineLevel="0" collapsed="false">
      <c r="P3316" s="1" t="str">
        <f aca="false">IF(OR(F3316="",H3316="",J3316=""),"",J3316&amp;"|"&amp;F3316&amp;"|"&amp;IF(H3316="W3","W3_"&amp;IF(I3316="","unknown",I3316),H3316))</f>
        <v/>
      </c>
      <c r="Q3316" s="1" t="str">
        <f aca="false">IF(P3316="","",IFERROR(IF(AND(H3316="W7",OR(F3316="causal",F3316="predictive")),IF(AND(K3316=1,L3316=1,M3316=1),"adequate","partial"),INDEX(Fit_Matrix!$B:$B,MATCH(P3316,Fit_Matrix!$A:$A,0))),"CHECK KEY"))</f>
        <v/>
      </c>
    </row>
    <row r="3317" customFormat="false" ht="15" hidden="false" customHeight="true" outlineLevel="0" collapsed="false">
      <c r="P3317" s="1" t="str">
        <f aca="false">IF(OR(F3317="",H3317="",J3317=""),"",J3317&amp;"|"&amp;F3317&amp;"|"&amp;IF(H3317="W3","W3_"&amp;IF(I3317="","unknown",I3317),H3317))</f>
        <v/>
      </c>
      <c r="Q3317" s="1" t="str">
        <f aca="false">IF(P3317="","",IFERROR(IF(AND(H3317="W7",OR(F3317="causal",F3317="predictive")),IF(AND(K3317=1,L3317=1,M3317=1),"adequate","partial"),INDEX(Fit_Matrix!$B:$B,MATCH(P3317,Fit_Matrix!$A:$A,0))),"CHECK KEY"))</f>
        <v/>
      </c>
    </row>
    <row r="3318" customFormat="false" ht="15" hidden="false" customHeight="true" outlineLevel="0" collapsed="false">
      <c r="P3318" s="1" t="str">
        <f aca="false">IF(OR(F3318="",H3318="",J3318=""),"",J3318&amp;"|"&amp;F3318&amp;"|"&amp;IF(H3318="W3","W3_"&amp;IF(I3318="","unknown",I3318),H3318))</f>
        <v/>
      </c>
      <c r="Q3318" s="1" t="str">
        <f aca="false">IF(P3318="","",IFERROR(IF(AND(H3318="W7",OR(F3318="causal",F3318="predictive")),IF(AND(K3318=1,L3318=1,M3318=1),"adequate","partial"),INDEX(Fit_Matrix!$B:$B,MATCH(P3318,Fit_Matrix!$A:$A,0))),"CHECK KEY"))</f>
        <v/>
      </c>
    </row>
    <row r="3319" customFormat="false" ht="15" hidden="false" customHeight="true" outlineLevel="0" collapsed="false">
      <c r="P3319" s="1" t="str">
        <f aca="false">IF(OR(F3319="",H3319="",J3319=""),"",J3319&amp;"|"&amp;F3319&amp;"|"&amp;IF(H3319="W3","W3_"&amp;IF(I3319="","unknown",I3319),H3319))</f>
        <v/>
      </c>
      <c r="Q3319" s="1" t="str">
        <f aca="false">IF(P3319="","",IFERROR(IF(AND(H3319="W7",OR(F3319="causal",F3319="predictive")),IF(AND(K3319=1,L3319=1,M3319=1),"adequate","partial"),INDEX(Fit_Matrix!$B:$B,MATCH(P3319,Fit_Matrix!$A:$A,0))),"CHECK KEY"))</f>
        <v/>
      </c>
    </row>
    <row r="3320" customFormat="false" ht="15" hidden="false" customHeight="true" outlineLevel="0" collapsed="false">
      <c r="P3320" s="1" t="str">
        <f aca="false">IF(OR(F3320="",H3320="",J3320=""),"",J3320&amp;"|"&amp;F3320&amp;"|"&amp;IF(H3320="W3","W3_"&amp;IF(I3320="","unknown",I3320),H3320))</f>
        <v/>
      </c>
      <c r="Q3320" s="1" t="str">
        <f aca="false">IF(P3320="","",IFERROR(IF(AND(H3320="W7",OR(F3320="causal",F3320="predictive")),IF(AND(K3320=1,L3320=1,M3320=1),"adequate","partial"),INDEX(Fit_Matrix!$B:$B,MATCH(P3320,Fit_Matrix!$A:$A,0))),"CHECK KEY"))</f>
        <v/>
      </c>
    </row>
    <row r="3321" customFormat="false" ht="15" hidden="false" customHeight="true" outlineLevel="0" collapsed="false">
      <c r="P3321" s="1" t="str">
        <f aca="false">IF(OR(F3321="",H3321="",J3321=""),"",J3321&amp;"|"&amp;F3321&amp;"|"&amp;IF(H3321="W3","W3_"&amp;IF(I3321="","unknown",I3321),H3321))</f>
        <v/>
      </c>
      <c r="Q3321" s="1" t="str">
        <f aca="false">IF(P3321="","",IFERROR(IF(AND(H3321="W7",OR(F3321="causal",F3321="predictive")),IF(AND(K3321=1,L3321=1,M3321=1),"adequate","partial"),INDEX(Fit_Matrix!$B:$B,MATCH(P3321,Fit_Matrix!$A:$A,0))),"CHECK KEY"))</f>
        <v/>
      </c>
    </row>
    <row r="3322" customFormat="false" ht="15" hidden="false" customHeight="true" outlineLevel="0" collapsed="false">
      <c r="P3322" s="1" t="str">
        <f aca="false">IF(OR(F3322="",H3322="",J3322=""),"",J3322&amp;"|"&amp;F3322&amp;"|"&amp;IF(H3322="W3","W3_"&amp;IF(I3322="","unknown",I3322),H3322))</f>
        <v/>
      </c>
      <c r="Q3322" s="1" t="str">
        <f aca="false">IF(P3322="","",IFERROR(IF(AND(H3322="W7",OR(F3322="causal",F3322="predictive")),IF(AND(K3322=1,L3322=1,M3322=1),"adequate","partial"),INDEX(Fit_Matrix!$B:$B,MATCH(P3322,Fit_Matrix!$A:$A,0))),"CHECK KEY"))</f>
        <v/>
      </c>
    </row>
    <row r="3323" customFormat="false" ht="15" hidden="false" customHeight="true" outlineLevel="0" collapsed="false">
      <c r="P3323" s="1" t="str">
        <f aca="false">IF(OR(F3323="",H3323="",J3323=""),"",J3323&amp;"|"&amp;F3323&amp;"|"&amp;IF(H3323="W3","W3_"&amp;IF(I3323="","unknown",I3323),H3323))</f>
        <v/>
      </c>
      <c r="Q3323" s="1" t="str">
        <f aca="false">IF(P3323="","",IFERROR(IF(AND(H3323="W7",OR(F3323="causal",F3323="predictive")),IF(AND(K3323=1,L3323=1,M3323=1),"adequate","partial"),INDEX(Fit_Matrix!$B:$B,MATCH(P3323,Fit_Matrix!$A:$A,0))),"CHECK KEY"))</f>
        <v/>
      </c>
    </row>
    <row r="3324" customFormat="false" ht="15" hidden="false" customHeight="true" outlineLevel="0" collapsed="false">
      <c r="P3324" s="1" t="str">
        <f aca="false">IF(OR(F3324="",H3324="",J3324=""),"",J3324&amp;"|"&amp;F3324&amp;"|"&amp;IF(H3324="W3","W3_"&amp;IF(I3324="","unknown",I3324),H3324))</f>
        <v/>
      </c>
      <c r="Q3324" s="1" t="str">
        <f aca="false">IF(P3324="","",IFERROR(IF(AND(H3324="W7",OR(F3324="causal",F3324="predictive")),IF(AND(K3324=1,L3324=1,M3324=1),"adequate","partial"),INDEX(Fit_Matrix!$B:$B,MATCH(P3324,Fit_Matrix!$A:$A,0))),"CHECK KEY"))</f>
        <v/>
      </c>
    </row>
    <row r="3325" customFormat="false" ht="15" hidden="false" customHeight="true" outlineLevel="0" collapsed="false">
      <c r="P3325" s="1" t="str">
        <f aca="false">IF(OR(F3325="",H3325="",J3325=""),"",J3325&amp;"|"&amp;F3325&amp;"|"&amp;IF(H3325="W3","W3_"&amp;IF(I3325="","unknown",I3325),H3325))</f>
        <v/>
      </c>
      <c r="Q3325" s="1" t="str">
        <f aca="false">IF(P3325="","",IFERROR(IF(AND(H3325="W7",OR(F3325="causal",F3325="predictive")),IF(AND(K3325=1,L3325=1,M3325=1),"adequate","partial"),INDEX(Fit_Matrix!$B:$B,MATCH(P3325,Fit_Matrix!$A:$A,0))),"CHECK KEY"))</f>
        <v/>
      </c>
    </row>
    <row r="3326" customFormat="false" ht="15" hidden="false" customHeight="true" outlineLevel="0" collapsed="false">
      <c r="P3326" s="1" t="str">
        <f aca="false">IF(OR(F3326="",H3326="",J3326=""),"",J3326&amp;"|"&amp;F3326&amp;"|"&amp;IF(H3326="W3","W3_"&amp;IF(I3326="","unknown",I3326),H3326))</f>
        <v/>
      </c>
      <c r="Q3326" s="1" t="str">
        <f aca="false">IF(P3326="","",IFERROR(IF(AND(H3326="W7",OR(F3326="causal",F3326="predictive")),IF(AND(K3326=1,L3326=1,M3326=1),"adequate","partial"),INDEX(Fit_Matrix!$B:$B,MATCH(P3326,Fit_Matrix!$A:$A,0))),"CHECK KEY"))</f>
        <v/>
      </c>
    </row>
    <row r="3327" customFormat="false" ht="15" hidden="false" customHeight="true" outlineLevel="0" collapsed="false">
      <c r="P3327" s="1" t="str">
        <f aca="false">IF(OR(F3327="",H3327="",J3327=""),"",J3327&amp;"|"&amp;F3327&amp;"|"&amp;IF(H3327="W3","W3_"&amp;IF(I3327="","unknown",I3327),H3327))</f>
        <v/>
      </c>
      <c r="Q3327" s="1" t="str">
        <f aca="false">IF(P3327="","",IFERROR(IF(AND(H3327="W7",OR(F3327="causal",F3327="predictive")),IF(AND(K3327=1,L3327=1,M3327=1),"adequate","partial"),INDEX(Fit_Matrix!$B:$B,MATCH(P3327,Fit_Matrix!$A:$A,0))),"CHECK KEY"))</f>
        <v/>
      </c>
    </row>
    <row r="3328" customFormat="false" ht="15" hidden="false" customHeight="true" outlineLevel="0" collapsed="false">
      <c r="P3328" s="1" t="str">
        <f aca="false">IF(OR(F3328="",H3328="",J3328=""),"",J3328&amp;"|"&amp;F3328&amp;"|"&amp;IF(H3328="W3","W3_"&amp;IF(I3328="","unknown",I3328),H3328))</f>
        <v/>
      </c>
      <c r="Q3328" s="1" t="str">
        <f aca="false">IF(P3328="","",IFERROR(IF(AND(H3328="W7",OR(F3328="causal",F3328="predictive")),IF(AND(K3328=1,L3328=1,M3328=1),"adequate","partial"),INDEX(Fit_Matrix!$B:$B,MATCH(P3328,Fit_Matrix!$A:$A,0))),"CHECK KEY"))</f>
        <v/>
      </c>
    </row>
    <row r="3329" customFormat="false" ht="15" hidden="false" customHeight="true" outlineLevel="0" collapsed="false">
      <c r="P3329" s="1" t="str">
        <f aca="false">IF(OR(F3329="",H3329="",J3329=""),"",J3329&amp;"|"&amp;F3329&amp;"|"&amp;IF(H3329="W3","W3_"&amp;IF(I3329="","unknown",I3329),H3329))</f>
        <v/>
      </c>
      <c r="Q3329" s="1" t="str">
        <f aca="false">IF(P3329="","",IFERROR(IF(AND(H3329="W7",OR(F3329="causal",F3329="predictive")),IF(AND(K3329=1,L3329=1,M3329=1),"adequate","partial"),INDEX(Fit_Matrix!$B:$B,MATCH(P3329,Fit_Matrix!$A:$A,0))),"CHECK KEY"))</f>
        <v/>
      </c>
    </row>
    <row r="3330" customFormat="false" ht="15" hidden="false" customHeight="true" outlineLevel="0" collapsed="false">
      <c r="P3330" s="1" t="str">
        <f aca="false">IF(OR(F3330="",H3330="",J3330=""),"",J3330&amp;"|"&amp;F3330&amp;"|"&amp;IF(H3330="W3","W3_"&amp;IF(I3330="","unknown",I3330),H3330))</f>
        <v/>
      </c>
      <c r="Q3330" s="1" t="str">
        <f aca="false">IF(P3330="","",IFERROR(IF(AND(H3330="W7",OR(F3330="causal",F3330="predictive")),IF(AND(K3330=1,L3330=1,M3330=1),"adequate","partial"),INDEX(Fit_Matrix!$B:$B,MATCH(P3330,Fit_Matrix!$A:$A,0))),"CHECK KEY"))</f>
        <v/>
      </c>
    </row>
    <row r="3331" customFormat="false" ht="15" hidden="false" customHeight="true" outlineLevel="0" collapsed="false">
      <c r="P3331" s="1" t="str">
        <f aca="false">IF(OR(F3331="",H3331="",J3331=""),"",J3331&amp;"|"&amp;F3331&amp;"|"&amp;IF(H3331="W3","W3_"&amp;IF(I3331="","unknown",I3331),H3331))</f>
        <v/>
      </c>
      <c r="Q3331" s="1" t="str">
        <f aca="false">IF(P3331="","",IFERROR(IF(AND(H3331="W7",OR(F3331="causal",F3331="predictive")),IF(AND(K3331=1,L3331=1,M3331=1),"adequate","partial"),INDEX(Fit_Matrix!$B:$B,MATCH(P3331,Fit_Matrix!$A:$A,0))),"CHECK KEY"))</f>
        <v/>
      </c>
    </row>
    <row r="3332" customFormat="false" ht="15" hidden="false" customHeight="true" outlineLevel="0" collapsed="false">
      <c r="P3332" s="1" t="str">
        <f aca="false">IF(OR(F3332="",H3332="",J3332=""),"",J3332&amp;"|"&amp;F3332&amp;"|"&amp;IF(H3332="W3","W3_"&amp;IF(I3332="","unknown",I3332),H3332))</f>
        <v/>
      </c>
      <c r="Q3332" s="1" t="str">
        <f aca="false">IF(P3332="","",IFERROR(IF(AND(H3332="W7",OR(F3332="causal",F3332="predictive")),IF(AND(K3332=1,L3332=1,M3332=1),"adequate","partial"),INDEX(Fit_Matrix!$B:$B,MATCH(P3332,Fit_Matrix!$A:$A,0))),"CHECK KEY"))</f>
        <v/>
      </c>
    </row>
    <row r="3333" customFormat="false" ht="15" hidden="false" customHeight="true" outlineLevel="0" collapsed="false">
      <c r="P3333" s="1" t="str">
        <f aca="false">IF(OR(F3333="",H3333="",J3333=""),"",J3333&amp;"|"&amp;F3333&amp;"|"&amp;IF(H3333="W3","W3_"&amp;IF(I3333="","unknown",I3333),H3333))</f>
        <v/>
      </c>
      <c r="Q3333" s="1" t="str">
        <f aca="false">IF(P3333="","",IFERROR(IF(AND(H3333="W7",OR(F3333="causal",F3333="predictive")),IF(AND(K3333=1,L3333=1,M3333=1),"adequate","partial"),INDEX(Fit_Matrix!$B:$B,MATCH(P3333,Fit_Matrix!$A:$A,0))),"CHECK KEY"))</f>
        <v/>
      </c>
    </row>
    <row r="3334" customFormat="false" ht="15" hidden="false" customHeight="true" outlineLevel="0" collapsed="false">
      <c r="P3334" s="1" t="str">
        <f aca="false">IF(OR(F3334="",H3334="",J3334=""),"",J3334&amp;"|"&amp;F3334&amp;"|"&amp;IF(H3334="W3","W3_"&amp;IF(I3334="","unknown",I3334),H3334))</f>
        <v/>
      </c>
      <c r="Q3334" s="1" t="str">
        <f aca="false">IF(P3334="","",IFERROR(IF(AND(H3334="W7",OR(F3334="causal",F3334="predictive")),IF(AND(K3334=1,L3334=1,M3334=1),"adequate","partial"),INDEX(Fit_Matrix!$B:$B,MATCH(P3334,Fit_Matrix!$A:$A,0))),"CHECK KEY"))</f>
        <v/>
      </c>
    </row>
    <row r="3335" customFormat="false" ht="15" hidden="false" customHeight="true" outlineLevel="0" collapsed="false">
      <c r="P3335" s="1" t="str">
        <f aca="false">IF(OR(F3335="",H3335="",J3335=""),"",J3335&amp;"|"&amp;F3335&amp;"|"&amp;IF(H3335="W3","W3_"&amp;IF(I3335="","unknown",I3335),H3335))</f>
        <v/>
      </c>
      <c r="Q3335" s="1" t="str">
        <f aca="false">IF(P3335="","",IFERROR(IF(AND(H3335="W7",OR(F3335="causal",F3335="predictive")),IF(AND(K3335=1,L3335=1,M3335=1),"adequate","partial"),INDEX(Fit_Matrix!$B:$B,MATCH(P3335,Fit_Matrix!$A:$A,0))),"CHECK KEY"))</f>
        <v/>
      </c>
    </row>
    <row r="3336" customFormat="false" ht="15" hidden="false" customHeight="true" outlineLevel="0" collapsed="false">
      <c r="P3336" s="1" t="str">
        <f aca="false">IF(OR(F3336="",H3336="",J3336=""),"",J3336&amp;"|"&amp;F3336&amp;"|"&amp;IF(H3336="W3","W3_"&amp;IF(I3336="","unknown",I3336),H3336))</f>
        <v/>
      </c>
      <c r="Q3336" s="1" t="str">
        <f aca="false">IF(P3336="","",IFERROR(IF(AND(H3336="W7",OR(F3336="causal",F3336="predictive")),IF(AND(K3336=1,L3336=1,M3336=1),"adequate","partial"),INDEX(Fit_Matrix!$B:$B,MATCH(P3336,Fit_Matrix!$A:$A,0))),"CHECK KEY"))</f>
        <v/>
      </c>
    </row>
    <row r="3337" customFormat="false" ht="15" hidden="false" customHeight="true" outlineLevel="0" collapsed="false">
      <c r="P3337" s="1" t="str">
        <f aca="false">IF(OR(F3337="",H3337="",J3337=""),"",J3337&amp;"|"&amp;F3337&amp;"|"&amp;IF(H3337="W3","W3_"&amp;IF(I3337="","unknown",I3337),H3337))</f>
        <v/>
      </c>
      <c r="Q3337" s="1" t="str">
        <f aca="false">IF(P3337="","",IFERROR(IF(AND(H3337="W7",OR(F3337="causal",F3337="predictive")),IF(AND(K3337=1,L3337=1,M3337=1),"adequate","partial"),INDEX(Fit_Matrix!$B:$B,MATCH(P3337,Fit_Matrix!$A:$A,0))),"CHECK KEY"))</f>
        <v/>
      </c>
    </row>
    <row r="3338" customFormat="false" ht="15" hidden="false" customHeight="true" outlineLevel="0" collapsed="false">
      <c r="P3338" s="1" t="str">
        <f aca="false">IF(OR(F3338="",H3338="",J3338=""),"",J3338&amp;"|"&amp;F3338&amp;"|"&amp;IF(H3338="W3","W3_"&amp;IF(I3338="","unknown",I3338),H3338))</f>
        <v/>
      </c>
      <c r="Q3338" s="1" t="str">
        <f aca="false">IF(P3338="","",IFERROR(IF(AND(H3338="W7",OR(F3338="causal",F3338="predictive")),IF(AND(K3338=1,L3338=1,M3338=1),"adequate","partial"),INDEX(Fit_Matrix!$B:$B,MATCH(P3338,Fit_Matrix!$A:$A,0))),"CHECK KEY"))</f>
        <v/>
      </c>
    </row>
    <row r="3339" customFormat="false" ht="15" hidden="false" customHeight="true" outlineLevel="0" collapsed="false">
      <c r="P3339" s="1" t="str">
        <f aca="false">IF(OR(F3339="",H3339="",J3339=""),"",J3339&amp;"|"&amp;F3339&amp;"|"&amp;IF(H3339="W3","W3_"&amp;IF(I3339="","unknown",I3339),H3339))</f>
        <v/>
      </c>
      <c r="Q3339" s="1" t="str">
        <f aca="false">IF(P3339="","",IFERROR(IF(AND(H3339="W7",OR(F3339="causal",F3339="predictive")),IF(AND(K3339=1,L3339=1,M3339=1),"adequate","partial"),INDEX(Fit_Matrix!$B:$B,MATCH(P3339,Fit_Matrix!$A:$A,0))),"CHECK KEY"))</f>
        <v/>
      </c>
    </row>
    <row r="3340" customFormat="false" ht="15" hidden="false" customHeight="true" outlineLevel="0" collapsed="false">
      <c r="P3340" s="1" t="str">
        <f aca="false">IF(OR(F3340="",H3340="",J3340=""),"",J3340&amp;"|"&amp;F3340&amp;"|"&amp;IF(H3340="W3","W3_"&amp;IF(I3340="","unknown",I3340),H3340))</f>
        <v/>
      </c>
      <c r="Q3340" s="1" t="str">
        <f aca="false">IF(P3340="","",IFERROR(IF(AND(H3340="W7",OR(F3340="causal",F3340="predictive")),IF(AND(K3340=1,L3340=1,M3340=1),"adequate","partial"),INDEX(Fit_Matrix!$B:$B,MATCH(P3340,Fit_Matrix!$A:$A,0))),"CHECK KEY"))</f>
        <v/>
      </c>
    </row>
    <row r="3341" customFormat="false" ht="15" hidden="false" customHeight="true" outlineLevel="0" collapsed="false">
      <c r="P3341" s="1" t="str">
        <f aca="false">IF(OR(F3341="",H3341="",J3341=""),"",J3341&amp;"|"&amp;F3341&amp;"|"&amp;IF(H3341="W3","W3_"&amp;IF(I3341="","unknown",I3341),H3341))</f>
        <v/>
      </c>
      <c r="Q3341" s="1" t="str">
        <f aca="false">IF(P3341="","",IFERROR(IF(AND(H3341="W7",OR(F3341="causal",F3341="predictive")),IF(AND(K3341=1,L3341=1,M3341=1),"adequate","partial"),INDEX(Fit_Matrix!$B:$B,MATCH(P3341,Fit_Matrix!$A:$A,0))),"CHECK KEY"))</f>
        <v/>
      </c>
    </row>
    <row r="3342" customFormat="false" ht="15" hidden="false" customHeight="true" outlineLevel="0" collapsed="false">
      <c r="P3342" s="1" t="str">
        <f aca="false">IF(OR(F3342="",H3342="",J3342=""),"",J3342&amp;"|"&amp;F3342&amp;"|"&amp;IF(H3342="W3","W3_"&amp;IF(I3342="","unknown",I3342),H3342))</f>
        <v/>
      </c>
      <c r="Q3342" s="1" t="str">
        <f aca="false">IF(P3342="","",IFERROR(IF(AND(H3342="W7",OR(F3342="causal",F3342="predictive")),IF(AND(K3342=1,L3342=1,M3342=1),"adequate","partial"),INDEX(Fit_Matrix!$B:$B,MATCH(P3342,Fit_Matrix!$A:$A,0))),"CHECK KEY"))</f>
        <v/>
      </c>
    </row>
    <row r="3343" customFormat="false" ht="15" hidden="false" customHeight="true" outlineLevel="0" collapsed="false">
      <c r="P3343" s="1" t="str">
        <f aca="false">IF(OR(F3343="",H3343="",J3343=""),"",J3343&amp;"|"&amp;F3343&amp;"|"&amp;IF(H3343="W3","W3_"&amp;IF(I3343="","unknown",I3343),H3343))</f>
        <v/>
      </c>
      <c r="Q3343" s="1" t="str">
        <f aca="false">IF(P3343="","",IFERROR(IF(AND(H3343="W7",OR(F3343="causal",F3343="predictive")),IF(AND(K3343=1,L3343=1,M3343=1),"adequate","partial"),INDEX(Fit_Matrix!$B:$B,MATCH(P3343,Fit_Matrix!$A:$A,0))),"CHECK KEY"))</f>
        <v/>
      </c>
    </row>
    <row r="3344" customFormat="false" ht="15" hidden="false" customHeight="true" outlineLevel="0" collapsed="false">
      <c r="P3344" s="1" t="str">
        <f aca="false">IF(OR(F3344="",H3344="",J3344=""),"",J3344&amp;"|"&amp;F3344&amp;"|"&amp;IF(H3344="W3","W3_"&amp;IF(I3344="","unknown",I3344),H3344))</f>
        <v/>
      </c>
      <c r="Q3344" s="1" t="str">
        <f aca="false">IF(P3344="","",IFERROR(IF(AND(H3344="W7",OR(F3344="causal",F3344="predictive")),IF(AND(K3344=1,L3344=1,M3344=1),"adequate","partial"),INDEX(Fit_Matrix!$B:$B,MATCH(P3344,Fit_Matrix!$A:$A,0))),"CHECK KEY"))</f>
        <v/>
      </c>
    </row>
    <row r="3345" customFormat="false" ht="15" hidden="false" customHeight="true" outlineLevel="0" collapsed="false">
      <c r="P3345" s="1" t="str">
        <f aca="false">IF(OR(F3345="",H3345="",J3345=""),"",J3345&amp;"|"&amp;F3345&amp;"|"&amp;IF(H3345="W3","W3_"&amp;IF(I3345="","unknown",I3345),H3345))</f>
        <v/>
      </c>
      <c r="Q3345" s="1" t="str">
        <f aca="false">IF(P3345="","",IFERROR(IF(AND(H3345="W7",OR(F3345="causal",F3345="predictive")),IF(AND(K3345=1,L3345=1,M3345=1),"adequate","partial"),INDEX(Fit_Matrix!$B:$B,MATCH(P3345,Fit_Matrix!$A:$A,0))),"CHECK KEY"))</f>
        <v/>
      </c>
    </row>
    <row r="3346" customFormat="false" ht="15" hidden="false" customHeight="true" outlineLevel="0" collapsed="false">
      <c r="P3346" s="1" t="str">
        <f aca="false">IF(OR(F3346="",H3346="",J3346=""),"",J3346&amp;"|"&amp;F3346&amp;"|"&amp;IF(H3346="W3","W3_"&amp;IF(I3346="","unknown",I3346),H3346))</f>
        <v/>
      </c>
      <c r="Q3346" s="1" t="str">
        <f aca="false">IF(P3346="","",IFERROR(IF(AND(H3346="W7",OR(F3346="causal",F3346="predictive")),IF(AND(K3346=1,L3346=1,M3346=1),"adequate","partial"),INDEX(Fit_Matrix!$B:$B,MATCH(P3346,Fit_Matrix!$A:$A,0))),"CHECK KEY"))</f>
        <v/>
      </c>
    </row>
    <row r="3347" customFormat="false" ht="15" hidden="false" customHeight="true" outlineLevel="0" collapsed="false">
      <c r="P3347" s="1" t="str">
        <f aca="false">IF(OR(F3347="",H3347="",J3347=""),"",J3347&amp;"|"&amp;F3347&amp;"|"&amp;IF(H3347="W3","W3_"&amp;IF(I3347="","unknown",I3347),H3347))</f>
        <v/>
      </c>
      <c r="Q3347" s="1" t="str">
        <f aca="false">IF(P3347="","",IFERROR(IF(AND(H3347="W7",OR(F3347="causal",F3347="predictive")),IF(AND(K3347=1,L3347=1,M3347=1),"adequate","partial"),INDEX(Fit_Matrix!$B:$B,MATCH(P3347,Fit_Matrix!$A:$A,0))),"CHECK KEY"))</f>
        <v/>
      </c>
    </row>
    <row r="3348" customFormat="false" ht="15" hidden="false" customHeight="true" outlineLevel="0" collapsed="false">
      <c r="P3348" s="1" t="str">
        <f aca="false">IF(OR(F3348="",H3348="",J3348=""),"",J3348&amp;"|"&amp;F3348&amp;"|"&amp;IF(H3348="W3","W3_"&amp;IF(I3348="","unknown",I3348),H3348))</f>
        <v/>
      </c>
      <c r="Q3348" s="1" t="str">
        <f aca="false">IF(P3348="","",IFERROR(IF(AND(H3348="W7",OR(F3348="causal",F3348="predictive")),IF(AND(K3348=1,L3348=1,M3348=1),"adequate","partial"),INDEX(Fit_Matrix!$B:$B,MATCH(P3348,Fit_Matrix!$A:$A,0))),"CHECK KEY"))</f>
        <v/>
      </c>
    </row>
    <row r="3349" customFormat="false" ht="15" hidden="false" customHeight="true" outlineLevel="0" collapsed="false">
      <c r="P3349" s="1" t="str">
        <f aca="false">IF(OR(F3349="",H3349="",J3349=""),"",J3349&amp;"|"&amp;F3349&amp;"|"&amp;IF(H3349="W3","W3_"&amp;IF(I3349="","unknown",I3349),H3349))</f>
        <v/>
      </c>
      <c r="Q3349" s="1" t="str">
        <f aca="false">IF(P3349="","",IFERROR(IF(AND(H3349="W7",OR(F3349="causal",F3349="predictive")),IF(AND(K3349=1,L3349=1,M3349=1),"adequate","partial"),INDEX(Fit_Matrix!$B:$B,MATCH(P3349,Fit_Matrix!$A:$A,0))),"CHECK KEY"))</f>
        <v/>
      </c>
    </row>
    <row r="3350" customFormat="false" ht="15" hidden="false" customHeight="true" outlineLevel="0" collapsed="false">
      <c r="P3350" s="1" t="str">
        <f aca="false">IF(OR(F3350="",H3350="",J3350=""),"",J3350&amp;"|"&amp;F3350&amp;"|"&amp;IF(H3350="W3","W3_"&amp;IF(I3350="","unknown",I3350),H3350))</f>
        <v/>
      </c>
      <c r="Q3350" s="1" t="str">
        <f aca="false">IF(P3350="","",IFERROR(IF(AND(H3350="W7",OR(F3350="causal",F3350="predictive")),IF(AND(K3350=1,L3350=1,M3350=1),"adequate","partial"),INDEX(Fit_Matrix!$B:$B,MATCH(P3350,Fit_Matrix!$A:$A,0))),"CHECK KEY"))</f>
        <v/>
      </c>
    </row>
    <row r="3351" customFormat="false" ht="15" hidden="false" customHeight="true" outlineLevel="0" collapsed="false">
      <c r="P3351" s="1" t="str">
        <f aca="false">IF(OR(F3351="",H3351="",J3351=""),"",J3351&amp;"|"&amp;F3351&amp;"|"&amp;IF(H3351="W3","W3_"&amp;IF(I3351="","unknown",I3351),H3351))</f>
        <v/>
      </c>
      <c r="Q3351" s="1" t="str">
        <f aca="false">IF(P3351="","",IFERROR(IF(AND(H3351="W7",OR(F3351="causal",F3351="predictive")),IF(AND(K3351=1,L3351=1,M3351=1),"adequate","partial"),INDEX(Fit_Matrix!$B:$B,MATCH(P3351,Fit_Matrix!$A:$A,0))),"CHECK KEY"))</f>
        <v/>
      </c>
    </row>
    <row r="3352" customFormat="false" ht="15" hidden="false" customHeight="true" outlineLevel="0" collapsed="false">
      <c r="P3352" s="1" t="str">
        <f aca="false">IF(OR(F3352="",H3352="",J3352=""),"",J3352&amp;"|"&amp;F3352&amp;"|"&amp;IF(H3352="W3","W3_"&amp;IF(I3352="","unknown",I3352),H3352))</f>
        <v/>
      </c>
      <c r="Q3352" s="1" t="str">
        <f aca="false">IF(P3352="","",IFERROR(IF(AND(H3352="W7",OR(F3352="causal",F3352="predictive")),IF(AND(K3352=1,L3352=1,M3352=1),"adequate","partial"),INDEX(Fit_Matrix!$B:$B,MATCH(P3352,Fit_Matrix!$A:$A,0))),"CHECK KEY"))</f>
        <v/>
      </c>
    </row>
    <row r="3353" customFormat="false" ht="15" hidden="false" customHeight="true" outlineLevel="0" collapsed="false">
      <c r="P3353" s="1" t="str">
        <f aca="false">IF(OR(F3353="",H3353="",J3353=""),"",J3353&amp;"|"&amp;F3353&amp;"|"&amp;IF(H3353="W3","W3_"&amp;IF(I3353="","unknown",I3353),H3353))</f>
        <v/>
      </c>
      <c r="Q3353" s="1" t="str">
        <f aca="false">IF(P3353="","",IFERROR(IF(AND(H3353="W7",OR(F3353="causal",F3353="predictive")),IF(AND(K3353=1,L3353=1,M3353=1),"adequate","partial"),INDEX(Fit_Matrix!$B:$B,MATCH(P3353,Fit_Matrix!$A:$A,0))),"CHECK KEY"))</f>
        <v/>
      </c>
    </row>
    <row r="3354" customFormat="false" ht="15" hidden="false" customHeight="true" outlineLevel="0" collapsed="false">
      <c r="P3354" s="1" t="str">
        <f aca="false">IF(OR(F3354="",H3354="",J3354=""),"",J3354&amp;"|"&amp;F3354&amp;"|"&amp;IF(H3354="W3","W3_"&amp;IF(I3354="","unknown",I3354),H3354))</f>
        <v/>
      </c>
      <c r="Q3354" s="1" t="str">
        <f aca="false">IF(P3354="","",IFERROR(IF(AND(H3354="W7",OR(F3354="causal",F3354="predictive")),IF(AND(K3354=1,L3354=1,M3354=1),"adequate","partial"),INDEX(Fit_Matrix!$B:$B,MATCH(P3354,Fit_Matrix!$A:$A,0))),"CHECK KEY"))</f>
        <v/>
      </c>
    </row>
    <row r="3355" customFormat="false" ht="15" hidden="false" customHeight="true" outlineLevel="0" collapsed="false">
      <c r="P3355" s="1" t="str">
        <f aca="false">IF(OR(F3355="",H3355="",J3355=""),"",J3355&amp;"|"&amp;F3355&amp;"|"&amp;IF(H3355="W3","W3_"&amp;IF(I3355="","unknown",I3355),H3355))</f>
        <v/>
      </c>
      <c r="Q3355" s="1" t="str">
        <f aca="false">IF(P3355="","",IFERROR(IF(AND(H3355="W7",OR(F3355="causal",F3355="predictive")),IF(AND(K3355=1,L3355=1,M3355=1),"adequate","partial"),INDEX(Fit_Matrix!$B:$B,MATCH(P3355,Fit_Matrix!$A:$A,0))),"CHECK KEY"))</f>
        <v/>
      </c>
    </row>
    <row r="3356" customFormat="false" ht="15" hidden="false" customHeight="true" outlineLevel="0" collapsed="false">
      <c r="P3356" s="1" t="str">
        <f aca="false">IF(OR(F3356="",H3356="",J3356=""),"",J3356&amp;"|"&amp;F3356&amp;"|"&amp;IF(H3356="W3","W3_"&amp;IF(I3356="","unknown",I3356),H3356))</f>
        <v/>
      </c>
      <c r="Q3356" s="1" t="str">
        <f aca="false">IF(P3356="","",IFERROR(IF(AND(H3356="W7",OR(F3356="causal",F3356="predictive")),IF(AND(K3356=1,L3356=1,M3356=1),"adequate","partial"),INDEX(Fit_Matrix!$B:$B,MATCH(P3356,Fit_Matrix!$A:$A,0))),"CHECK KEY"))</f>
        <v/>
      </c>
    </row>
    <row r="3357" customFormat="false" ht="15" hidden="false" customHeight="true" outlineLevel="0" collapsed="false">
      <c r="P3357" s="1" t="str">
        <f aca="false">IF(OR(F3357="",H3357="",J3357=""),"",J3357&amp;"|"&amp;F3357&amp;"|"&amp;IF(H3357="W3","W3_"&amp;IF(I3357="","unknown",I3357),H3357))</f>
        <v/>
      </c>
      <c r="Q3357" s="1" t="str">
        <f aca="false">IF(P3357="","",IFERROR(IF(AND(H3357="W7",OR(F3357="causal",F3357="predictive")),IF(AND(K3357=1,L3357=1,M3357=1),"adequate","partial"),INDEX(Fit_Matrix!$B:$B,MATCH(P3357,Fit_Matrix!$A:$A,0))),"CHECK KEY"))</f>
        <v/>
      </c>
    </row>
    <row r="3358" customFormat="false" ht="15" hidden="false" customHeight="true" outlineLevel="0" collapsed="false">
      <c r="P3358" s="1" t="str">
        <f aca="false">IF(OR(F3358="",H3358="",J3358=""),"",J3358&amp;"|"&amp;F3358&amp;"|"&amp;IF(H3358="W3","W3_"&amp;IF(I3358="","unknown",I3358),H3358))</f>
        <v/>
      </c>
      <c r="Q3358" s="1" t="str">
        <f aca="false">IF(P3358="","",IFERROR(IF(AND(H3358="W7",OR(F3358="causal",F3358="predictive")),IF(AND(K3358=1,L3358=1,M3358=1),"adequate","partial"),INDEX(Fit_Matrix!$B:$B,MATCH(P3358,Fit_Matrix!$A:$A,0))),"CHECK KEY"))</f>
        <v/>
      </c>
    </row>
    <row r="3359" customFormat="false" ht="15" hidden="false" customHeight="true" outlineLevel="0" collapsed="false">
      <c r="P3359" s="1" t="str">
        <f aca="false">IF(OR(F3359="",H3359="",J3359=""),"",J3359&amp;"|"&amp;F3359&amp;"|"&amp;IF(H3359="W3","W3_"&amp;IF(I3359="","unknown",I3359),H3359))</f>
        <v/>
      </c>
      <c r="Q3359" s="1" t="str">
        <f aca="false">IF(P3359="","",IFERROR(IF(AND(H3359="W7",OR(F3359="causal",F3359="predictive")),IF(AND(K3359=1,L3359=1,M3359=1),"adequate","partial"),INDEX(Fit_Matrix!$B:$B,MATCH(P3359,Fit_Matrix!$A:$A,0))),"CHECK KEY"))</f>
        <v/>
      </c>
    </row>
    <row r="3360" customFormat="false" ht="15" hidden="false" customHeight="true" outlineLevel="0" collapsed="false">
      <c r="P3360" s="1" t="str">
        <f aca="false">IF(OR(F3360="",H3360="",J3360=""),"",J3360&amp;"|"&amp;F3360&amp;"|"&amp;IF(H3360="W3","W3_"&amp;IF(I3360="","unknown",I3360),H3360))</f>
        <v/>
      </c>
      <c r="Q3360" s="1" t="str">
        <f aca="false">IF(P3360="","",IFERROR(IF(AND(H3360="W7",OR(F3360="causal",F3360="predictive")),IF(AND(K3360=1,L3360=1,M3360=1),"adequate","partial"),INDEX(Fit_Matrix!$B:$B,MATCH(P3360,Fit_Matrix!$A:$A,0))),"CHECK KEY"))</f>
        <v/>
      </c>
    </row>
    <row r="3361" customFormat="false" ht="15" hidden="false" customHeight="true" outlineLevel="0" collapsed="false">
      <c r="P3361" s="1" t="str">
        <f aca="false">IF(OR(F3361="",H3361="",J3361=""),"",J3361&amp;"|"&amp;F3361&amp;"|"&amp;IF(H3361="W3","W3_"&amp;IF(I3361="","unknown",I3361),H3361))</f>
        <v/>
      </c>
      <c r="Q3361" s="1" t="str">
        <f aca="false">IF(P3361="","",IFERROR(IF(AND(H3361="W7",OR(F3361="causal",F3361="predictive")),IF(AND(K3361=1,L3361=1,M3361=1),"adequate","partial"),INDEX(Fit_Matrix!$B:$B,MATCH(P3361,Fit_Matrix!$A:$A,0))),"CHECK KEY"))</f>
        <v/>
      </c>
    </row>
    <row r="3362" customFormat="false" ht="15" hidden="false" customHeight="true" outlineLevel="0" collapsed="false">
      <c r="P3362" s="1" t="str">
        <f aca="false">IF(OR(F3362="",H3362="",J3362=""),"",J3362&amp;"|"&amp;F3362&amp;"|"&amp;IF(H3362="W3","W3_"&amp;IF(I3362="","unknown",I3362),H3362))</f>
        <v/>
      </c>
      <c r="Q3362" s="1" t="str">
        <f aca="false">IF(P3362="","",IFERROR(IF(AND(H3362="W7",OR(F3362="causal",F3362="predictive")),IF(AND(K3362=1,L3362=1,M3362=1),"adequate","partial"),INDEX(Fit_Matrix!$B:$B,MATCH(P3362,Fit_Matrix!$A:$A,0))),"CHECK KEY"))</f>
        <v/>
      </c>
    </row>
    <row r="3363" customFormat="false" ht="15" hidden="false" customHeight="true" outlineLevel="0" collapsed="false">
      <c r="P3363" s="1" t="str">
        <f aca="false">IF(OR(F3363="",H3363="",J3363=""),"",J3363&amp;"|"&amp;F3363&amp;"|"&amp;IF(H3363="W3","W3_"&amp;IF(I3363="","unknown",I3363),H3363))</f>
        <v/>
      </c>
      <c r="Q3363" s="1" t="str">
        <f aca="false">IF(P3363="","",IFERROR(IF(AND(H3363="W7",OR(F3363="causal",F3363="predictive")),IF(AND(K3363=1,L3363=1,M3363=1),"adequate","partial"),INDEX(Fit_Matrix!$B:$B,MATCH(P3363,Fit_Matrix!$A:$A,0))),"CHECK KEY"))</f>
        <v/>
      </c>
    </row>
    <row r="3364" customFormat="false" ht="15" hidden="false" customHeight="true" outlineLevel="0" collapsed="false">
      <c r="P3364" s="1" t="str">
        <f aca="false">IF(OR(F3364="",H3364="",J3364=""),"",J3364&amp;"|"&amp;F3364&amp;"|"&amp;IF(H3364="W3","W3_"&amp;IF(I3364="","unknown",I3364),H3364))</f>
        <v/>
      </c>
      <c r="Q3364" s="1" t="str">
        <f aca="false">IF(P3364="","",IFERROR(IF(AND(H3364="W7",OR(F3364="causal",F3364="predictive")),IF(AND(K3364=1,L3364=1,M3364=1),"adequate","partial"),INDEX(Fit_Matrix!$B:$B,MATCH(P3364,Fit_Matrix!$A:$A,0))),"CHECK KEY"))</f>
        <v/>
      </c>
    </row>
    <row r="3365" customFormat="false" ht="15" hidden="false" customHeight="true" outlineLevel="0" collapsed="false">
      <c r="P3365" s="1" t="str">
        <f aca="false">IF(OR(F3365="",H3365="",J3365=""),"",J3365&amp;"|"&amp;F3365&amp;"|"&amp;IF(H3365="W3","W3_"&amp;IF(I3365="","unknown",I3365),H3365))</f>
        <v/>
      </c>
      <c r="Q3365" s="1" t="str">
        <f aca="false">IF(P3365="","",IFERROR(IF(AND(H3365="W7",OR(F3365="causal",F3365="predictive")),IF(AND(K3365=1,L3365=1,M3365=1),"adequate","partial"),INDEX(Fit_Matrix!$B:$B,MATCH(P3365,Fit_Matrix!$A:$A,0))),"CHECK KEY"))</f>
        <v/>
      </c>
    </row>
    <row r="3366" customFormat="false" ht="15" hidden="false" customHeight="true" outlineLevel="0" collapsed="false">
      <c r="P3366" s="1" t="str">
        <f aca="false">IF(OR(F3366="",H3366="",J3366=""),"",J3366&amp;"|"&amp;F3366&amp;"|"&amp;IF(H3366="W3","W3_"&amp;IF(I3366="","unknown",I3366),H3366))</f>
        <v/>
      </c>
      <c r="Q3366" s="1" t="str">
        <f aca="false">IF(P3366="","",IFERROR(IF(AND(H3366="W7",OR(F3366="causal",F3366="predictive")),IF(AND(K3366=1,L3366=1,M3366=1),"adequate","partial"),INDEX(Fit_Matrix!$B:$B,MATCH(P3366,Fit_Matrix!$A:$A,0))),"CHECK KEY"))</f>
        <v/>
      </c>
    </row>
    <row r="3367" customFormat="false" ht="15" hidden="false" customHeight="true" outlineLevel="0" collapsed="false">
      <c r="P3367" s="1" t="str">
        <f aca="false">IF(OR(F3367="",H3367="",J3367=""),"",J3367&amp;"|"&amp;F3367&amp;"|"&amp;IF(H3367="W3","W3_"&amp;IF(I3367="","unknown",I3367),H3367))</f>
        <v/>
      </c>
      <c r="Q3367" s="1" t="str">
        <f aca="false">IF(P3367="","",IFERROR(IF(AND(H3367="W7",OR(F3367="causal",F3367="predictive")),IF(AND(K3367=1,L3367=1,M3367=1),"adequate","partial"),INDEX(Fit_Matrix!$B:$B,MATCH(P3367,Fit_Matrix!$A:$A,0))),"CHECK KEY"))</f>
        <v/>
      </c>
    </row>
    <row r="3368" customFormat="false" ht="15" hidden="false" customHeight="true" outlineLevel="0" collapsed="false">
      <c r="P3368" s="1" t="str">
        <f aca="false">IF(OR(F3368="",H3368="",J3368=""),"",J3368&amp;"|"&amp;F3368&amp;"|"&amp;IF(H3368="W3","W3_"&amp;IF(I3368="","unknown",I3368),H3368))</f>
        <v/>
      </c>
      <c r="Q3368" s="1" t="str">
        <f aca="false">IF(P3368="","",IFERROR(IF(AND(H3368="W7",OR(F3368="causal",F3368="predictive")),IF(AND(K3368=1,L3368=1,M3368=1),"adequate","partial"),INDEX(Fit_Matrix!$B:$B,MATCH(P3368,Fit_Matrix!$A:$A,0))),"CHECK KEY"))</f>
        <v/>
      </c>
    </row>
    <row r="3369" customFormat="false" ht="15" hidden="false" customHeight="true" outlineLevel="0" collapsed="false">
      <c r="P3369" s="1" t="str">
        <f aca="false">IF(OR(F3369="",H3369="",J3369=""),"",J3369&amp;"|"&amp;F3369&amp;"|"&amp;IF(H3369="W3","W3_"&amp;IF(I3369="","unknown",I3369),H3369))</f>
        <v/>
      </c>
      <c r="Q3369" s="1" t="str">
        <f aca="false">IF(P3369="","",IFERROR(IF(AND(H3369="W7",OR(F3369="causal",F3369="predictive")),IF(AND(K3369=1,L3369=1,M3369=1),"adequate","partial"),INDEX(Fit_Matrix!$B:$B,MATCH(P3369,Fit_Matrix!$A:$A,0))),"CHECK KEY"))</f>
        <v/>
      </c>
    </row>
    <row r="3370" customFormat="false" ht="15" hidden="false" customHeight="true" outlineLevel="0" collapsed="false">
      <c r="P3370" s="1" t="str">
        <f aca="false">IF(OR(F3370="",H3370="",J3370=""),"",J3370&amp;"|"&amp;F3370&amp;"|"&amp;IF(H3370="W3","W3_"&amp;IF(I3370="","unknown",I3370),H3370))</f>
        <v/>
      </c>
      <c r="Q3370" s="1" t="str">
        <f aca="false">IF(P3370="","",IFERROR(IF(AND(H3370="W7",OR(F3370="causal",F3370="predictive")),IF(AND(K3370=1,L3370=1,M3370=1),"adequate","partial"),INDEX(Fit_Matrix!$B:$B,MATCH(P3370,Fit_Matrix!$A:$A,0))),"CHECK KEY"))</f>
        <v/>
      </c>
    </row>
    <row r="3371" customFormat="false" ht="15" hidden="false" customHeight="true" outlineLevel="0" collapsed="false">
      <c r="P3371" s="1" t="str">
        <f aca="false">IF(OR(F3371="",H3371="",J3371=""),"",J3371&amp;"|"&amp;F3371&amp;"|"&amp;IF(H3371="W3","W3_"&amp;IF(I3371="","unknown",I3371),H3371))</f>
        <v/>
      </c>
      <c r="Q3371" s="1" t="str">
        <f aca="false">IF(P3371="","",IFERROR(IF(AND(H3371="W7",OR(F3371="causal",F3371="predictive")),IF(AND(K3371=1,L3371=1,M3371=1),"adequate","partial"),INDEX(Fit_Matrix!$B:$B,MATCH(P3371,Fit_Matrix!$A:$A,0))),"CHECK KEY"))</f>
        <v/>
      </c>
    </row>
    <row r="3372" customFormat="false" ht="15" hidden="false" customHeight="true" outlineLevel="0" collapsed="false">
      <c r="P3372" s="1" t="str">
        <f aca="false">IF(OR(F3372="",H3372="",J3372=""),"",J3372&amp;"|"&amp;F3372&amp;"|"&amp;IF(H3372="W3","W3_"&amp;IF(I3372="","unknown",I3372),H3372))</f>
        <v/>
      </c>
      <c r="Q3372" s="1" t="str">
        <f aca="false">IF(P3372="","",IFERROR(IF(AND(H3372="W7",OR(F3372="causal",F3372="predictive")),IF(AND(K3372=1,L3372=1,M3372=1),"adequate","partial"),INDEX(Fit_Matrix!$B:$B,MATCH(P3372,Fit_Matrix!$A:$A,0))),"CHECK KEY"))</f>
        <v/>
      </c>
    </row>
    <row r="3373" customFormat="false" ht="15" hidden="false" customHeight="true" outlineLevel="0" collapsed="false">
      <c r="P3373" s="1" t="str">
        <f aca="false">IF(OR(F3373="",H3373="",J3373=""),"",J3373&amp;"|"&amp;F3373&amp;"|"&amp;IF(H3373="W3","W3_"&amp;IF(I3373="","unknown",I3373),H3373))</f>
        <v/>
      </c>
      <c r="Q3373" s="1" t="str">
        <f aca="false">IF(P3373="","",IFERROR(IF(AND(H3373="W7",OR(F3373="causal",F3373="predictive")),IF(AND(K3373=1,L3373=1,M3373=1),"adequate","partial"),INDEX(Fit_Matrix!$B:$B,MATCH(P3373,Fit_Matrix!$A:$A,0))),"CHECK KEY"))</f>
        <v/>
      </c>
    </row>
    <row r="3374" customFormat="false" ht="15" hidden="false" customHeight="true" outlineLevel="0" collapsed="false">
      <c r="P3374" s="1" t="str">
        <f aca="false">IF(OR(F3374="",H3374="",J3374=""),"",J3374&amp;"|"&amp;F3374&amp;"|"&amp;IF(H3374="W3","W3_"&amp;IF(I3374="","unknown",I3374),H3374))</f>
        <v/>
      </c>
      <c r="Q3374" s="1" t="str">
        <f aca="false">IF(P3374="","",IFERROR(IF(AND(H3374="W7",OR(F3374="causal",F3374="predictive")),IF(AND(K3374=1,L3374=1,M3374=1),"adequate","partial"),INDEX(Fit_Matrix!$B:$B,MATCH(P3374,Fit_Matrix!$A:$A,0))),"CHECK KEY"))</f>
        <v/>
      </c>
    </row>
    <row r="3375" customFormat="false" ht="15" hidden="false" customHeight="true" outlineLevel="0" collapsed="false">
      <c r="P3375" s="1" t="str">
        <f aca="false">IF(OR(F3375="",H3375="",J3375=""),"",J3375&amp;"|"&amp;F3375&amp;"|"&amp;IF(H3375="W3","W3_"&amp;IF(I3375="","unknown",I3375),H3375))</f>
        <v/>
      </c>
      <c r="Q3375" s="1" t="str">
        <f aca="false">IF(P3375="","",IFERROR(IF(AND(H3375="W7",OR(F3375="causal",F3375="predictive")),IF(AND(K3375=1,L3375=1,M3375=1),"adequate","partial"),INDEX(Fit_Matrix!$B:$B,MATCH(P3375,Fit_Matrix!$A:$A,0))),"CHECK KEY"))</f>
        <v/>
      </c>
    </row>
    <row r="3376" customFormat="false" ht="15" hidden="false" customHeight="true" outlineLevel="0" collapsed="false">
      <c r="P3376" s="1" t="str">
        <f aca="false">IF(OR(F3376="",H3376="",J3376=""),"",J3376&amp;"|"&amp;F3376&amp;"|"&amp;IF(H3376="W3","W3_"&amp;IF(I3376="","unknown",I3376),H3376))</f>
        <v/>
      </c>
      <c r="Q3376" s="1" t="str">
        <f aca="false">IF(P3376="","",IFERROR(IF(AND(H3376="W7",OR(F3376="causal",F3376="predictive")),IF(AND(K3376=1,L3376=1,M3376=1),"adequate","partial"),INDEX(Fit_Matrix!$B:$B,MATCH(P3376,Fit_Matrix!$A:$A,0))),"CHECK KEY"))</f>
        <v/>
      </c>
    </row>
    <row r="3377" customFormat="false" ht="15" hidden="false" customHeight="true" outlineLevel="0" collapsed="false">
      <c r="P3377" s="1" t="str">
        <f aca="false">IF(OR(F3377="",H3377="",J3377=""),"",J3377&amp;"|"&amp;F3377&amp;"|"&amp;IF(H3377="W3","W3_"&amp;IF(I3377="","unknown",I3377),H3377))</f>
        <v/>
      </c>
      <c r="Q3377" s="1" t="str">
        <f aca="false">IF(P3377="","",IFERROR(IF(AND(H3377="W7",OR(F3377="causal",F3377="predictive")),IF(AND(K3377=1,L3377=1,M3377=1),"adequate","partial"),INDEX(Fit_Matrix!$B:$B,MATCH(P3377,Fit_Matrix!$A:$A,0))),"CHECK KEY"))</f>
        <v/>
      </c>
    </row>
    <row r="3378" customFormat="false" ht="15" hidden="false" customHeight="true" outlineLevel="0" collapsed="false">
      <c r="P3378" s="1" t="str">
        <f aca="false">IF(OR(F3378="",H3378="",J3378=""),"",J3378&amp;"|"&amp;F3378&amp;"|"&amp;IF(H3378="W3","W3_"&amp;IF(I3378="","unknown",I3378),H3378))</f>
        <v/>
      </c>
      <c r="Q3378" s="1" t="str">
        <f aca="false">IF(P3378="","",IFERROR(IF(AND(H3378="W7",OR(F3378="causal",F3378="predictive")),IF(AND(K3378=1,L3378=1,M3378=1),"adequate","partial"),INDEX(Fit_Matrix!$B:$B,MATCH(P3378,Fit_Matrix!$A:$A,0))),"CHECK KEY"))</f>
        <v/>
      </c>
    </row>
    <row r="3379" customFormat="false" ht="15" hidden="false" customHeight="true" outlineLevel="0" collapsed="false">
      <c r="P3379" s="1" t="str">
        <f aca="false">IF(OR(F3379="",H3379="",J3379=""),"",J3379&amp;"|"&amp;F3379&amp;"|"&amp;IF(H3379="W3","W3_"&amp;IF(I3379="","unknown",I3379),H3379))</f>
        <v/>
      </c>
      <c r="Q3379" s="1" t="str">
        <f aca="false">IF(P3379="","",IFERROR(IF(AND(H3379="W7",OR(F3379="causal",F3379="predictive")),IF(AND(K3379=1,L3379=1,M3379=1),"adequate","partial"),INDEX(Fit_Matrix!$B:$B,MATCH(P3379,Fit_Matrix!$A:$A,0))),"CHECK KEY"))</f>
        <v/>
      </c>
    </row>
    <row r="3380" customFormat="false" ht="15" hidden="false" customHeight="true" outlineLevel="0" collapsed="false">
      <c r="P3380" s="1" t="str">
        <f aca="false">IF(OR(F3380="",H3380="",J3380=""),"",J3380&amp;"|"&amp;F3380&amp;"|"&amp;IF(H3380="W3","W3_"&amp;IF(I3380="","unknown",I3380),H3380))</f>
        <v/>
      </c>
      <c r="Q3380" s="1" t="str">
        <f aca="false">IF(P3380="","",IFERROR(IF(AND(H3380="W7",OR(F3380="causal",F3380="predictive")),IF(AND(K3380=1,L3380=1,M3380=1),"adequate","partial"),INDEX(Fit_Matrix!$B:$B,MATCH(P3380,Fit_Matrix!$A:$A,0))),"CHECK KEY"))</f>
        <v/>
      </c>
    </row>
    <row r="3381" customFormat="false" ht="15" hidden="false" customHeight="true" outlineLevel="0" collapsed="false">
      <c r="P3381" s="1" t="str">
        <f aca="false">IF(OR(F3381="",H3381="",J3381=""),"",J3381&amp;"|"&amp;F3381&amp;"|"&amp;IF(H3381="W3","W3_"&amp;IF(I3381="","unknown",I3381),H3381))</f>
        <v/>
      </c>
      <c r="Q3381" s="1" t="str">
        <f aca="false">IF(P3381="","",IFERROR(IF(AND(H3381="W7",OR(F3381="causal",F3381="predictive")),IF(AND(K3381=1,L3381=1,M3381=1),"adequate","partial"),INDEX(Fit_Matrix!$B:$B,MATCH(P3381,Fit_Matrix!$A:$A,0))),"CHECK KEY"))</f>
        <v/>
      </c>
    </row>
    <row r="3382" customFormat="false" ht="15" hidden="false" customHeight="true" outlineLevel="0" collapsed="false">
      <c r="P3382" s="1" t="str">
        <f aca="false">IF(OR(F3382="",H3382="",J3382=""),"",J3382&amp;"|"&amp;F3382&amp;"|"&amp;IF(H3382="W3","W3_"&amp;IF(I3382="","unknown",I3382),H3382))</f>
        <v/>
      </c>
      <c r="Q3382" s="1" t="str">
        <f aca="false">IF(P3382="","",IFERROR(IF(AND(H3382="W7",OR(F3382="causal",F3382="predictive")),IF(AND(K3382=1,L3382=1,M3382=1),"adequate","partial"),INDEX(Fit_Matrix!$B:$B,MATCH(P3382,Fit_Matrix!$A:$A,0))),"CHECK KEY"))</f>
        <v/>
      </c>
    </row>
    <row r="3383" customFormat="false" ht="15" hidden="false" customHeight="true" outlineLevel="0" collapsed="false">
      <c r="P3383" s="1" t="str">
        <f aca="false">IF(OR(F3383="",H3383="",J3383=""),"",J3383&amp;"|"&amp;F3383&amp;"|"&amp;IF(H3383="W3","W3_"&amp;IF(I3383="","unknown",I3383),H3383))</f>
        <v/>
      </c>
      <c r="Q3383" s="1" t="str">
        <f aca="false">IF(P3383="","",IFERROR(IF(AND(H3383="W7",OR(F3383="causal",F3383="predictive")),IF(AND(K3383=1,L3383=1,M3383=1),"adequate","partial"),INDEX(Fit_Matrix!$B:$B,MATCH(P3383,Fit_Matrix!$A:$A,0))),"CHECK KEY"))</f>
        <v/>
      </c>
    </row>
    <row r="3384" customFormat="false" ht="15" hidden="false" customHeight="true" outlineLevel="0" collapsed="false">
      <c r="P3384" s="1" t="str">
        <f aca="false">IF(OR(F3384="",H3384="",J3384=""),"",J3384&amp;"|"&amp;F3384&amp;"|"&amp;IF(H3384="W3","W3_"&amp;IF(I3384="","unknown",I3384),H3384))</f>
        <v/>
      </c>
      <c r="Q3384" s="1" t="str">
        <f aca="false">IF(P3384="","",IFERROR(IF(AND(H3384="W7",OR(F3384="causal",F3384="predictive")),IF(AND(K3384=1,L3384=1,M3384=1),"adequate","partial"),INDEX(Fit_Matrix!$B:$B,MATCH(P3384,Fit_Matrix!$A:$A,0))),"CHECK KEY"))</f>
        <v/>
      </c>
    </row>
    <row r="3385" customFormat="false" ht="15" hidden="false" customHeight="true" outlineLevel="0" collapsed="false">
      <c r="P3385" s="1" t="str">
        <f aca="false">IF(OR(F3385="",H3385="",J3385=""),"",J3385&amp;"|"&amp;F3385&amp;"|"&amp;IF(H3385="W3","W3_"&amp;IF(I3385="","unknown",I3385),H3385))</f>
        <v/>
      </c>
      <c r="Q3385" s="1" t="str">
        <f aca="false">IF(P3385="","",IFERROR(IF(AND(H3385="W7",OR(F3385="causal",F3385="predictive")),IF(AND(K3385=1,L3385=1,M3385=1),"adequate","partial"),INDEX(Fit_Matrix!$B:$B,MATCH(P3385,Fit_Matrix!$A:$A,0))),"CHECK KEY"))</f>
        <v/>
      </c>
    </row>
    <row r="3386" customFormat="false" ht="15" hidden="false" customHeight="true" outlineLevel="0" collapsed="false">
      <c r="P3386" s="1" t="str">
        <f aca="false">IF(OR(F3386="",H3386="",J3386=""),"",J3386&amp;"|"&amp;F3386&amp;"|"&amp;IF(H3386="W3","W3_"&amp;IF(I3386="","unknown",I3386),H3386))</f>
        <v/>
      </c>
      <c r="Q3386" s="1" t="str">
        <f aca="false">IF(P3386="","",IFERROR(IF(AND(H3386="W7",OR(F3386="causal",F3386="predictive")),IF(AND(K3386=1,L3386=1,M3386=1),"adequate","partial"),INDEX(Fit_Matrix!$B:$B,MATCH(P3386,Fit_Matrix!$A:$A,0))),"CHECK KEY"))</f>
        <v/>
      </c>
    </row>
    <row r="3387" customFormat="false" ht="15" hidden="false" customHeight="true" outlineLevel="0" collapsed="false">
      <c r="P3387" s="1" t="str">
        <f aca="false">IF(OR(F3387="",H3387="",J3387=""),"",J3387&amp;"|"&amp;F3387&amp;"|"&amp;IF(H3387="W3","W3_"&amp;IF(I3387="","unknown",I3387),H3387))</f>
        <v/>
      </c>
      <c r="Q3387" s="1" t="str">
        <f aca="false">IF(P3387="","",IFERROR(IF(AND(H3387="W7",OR(F3387="causal",F3387="predictive")),IF(AND(K3387=1,L3387=1,M3387=1),"adequate","partial"),INDEX(Fit_Matrix!$B:$B,MATCH(P3387,Fit_Matrix!$A:$A,0))),"CHECK KEY"))</f>
        <v/>
      </c>
    </row>
    <row r="3388" customFormat="false" ht="15" hidden="false" customHeight="true" outlineLevel="0" collapsed="false">
      <c r="P3388" s="1" t="str">
        <f aca="false">IF(OR(F3388="",H3388="",J3388=""),"",J3388&amp;"|"&amp;F3388&amp;"|"&amp;IF(H3388="W3","W3_"&amp;IF(I3388="","unknown",I3388),H3388))</f>
        <v/>
      </c>
      <c r="Q3388" s="1" t="str">
        <f aca="false">IF(P3388="","",IFERROR(IF(AND(H3388="W7",OR(F3388="causal",F3388="predictive")),IF(AND(K3388=1,L3388=1,M3388=1),"adequate","partial"),INDEX(Fit_Matrix!$B:$B,MATCH(P3388,Fit_Matrix!$A:$A,0))),"CHECK KEY"))</f>
        <v/>
      </c>
    </row>
    <row r="3389" customFormat="false" ht="15" hidden="false" customHeight="true" outlineLevel="0" collapsed="false">
      <c r="P3389" s="1" t="str">
        <f aca="false">IF(OR(F3389="",H3389="",J3389=""),"",J3389&amp;"|"&amp;F3389&amp;"|"&amp;IF(H3389="W3","W3_"&amp;IF(I3389="","unknown",I3389),H3389))</f>
        <v/>
      </c>
      <c r="Q3389" s="1" t="str">
        <f aca="false">IF(P3389="","",IFERROR(IF(AND(H3389="W7",OR(F3389="causal",F3389="predictive")),IF(AND(K3389=1,L3389=1,M3389=1),"adequate","partial"),INDEX(Fit_Matrix!$B:$B,MATCH(P3389,Fit_Matrix!$A:$A,0))),"CHECK KEY"))</f>
        <v/>
      </c>
    </row>
    <row r="3390" customFormat="false" ht="15" hidden="false" customHeight="true" outlineLevel="0" collapsed="false">
      <c r="P3390" s="1" t="str">
        <f aca="false">IF(OR(F3390="",H3390="",J3390=""),"",J3390&amp;"|"&amp;F3390&amp;"|"&amp;IF(H3390="W3","W3_"&amp;IF(I3390="","unknown",I3390),H3390))</f>
        <v/>
      </c>
      <c r="Q3390" s="1" t="str">
        <f aca="false">IF(P3390="","",IFERROR(IF(AND(H3390="W7",OR(F3390="causal",F3390="predictive")),IF(AND(K3390=1,L3390=1,M3390=1),"adequate","partial"),INDEX(Fit_Matrix!$B:$B,MATCH(P3390,Fit_Matrix!$A:$A,0))),"CHECK KEY"))</f>
        <v/>
      </c>
    </row>
    <row r="3391" customFormat="false" ht="15" hidden="false" customHeight="true" outlineLevel="0" collapsed="false">
      <c r="P3391" s="1" t="str">
        <f aca="false">IF(OR(F3391="",H3391="",J3391=""),"",J3391&amp;"|"&amp;F3391&amp;"|"&amp;IF(H3391="W3","W3_"&amp;IF(I3391="","unknown",I3391),H3391))</f>
        <v/>
      </c>
      <c r="Q3391" s="1" t="str">
        <f aca="false">IF(P3391="","",IFERROR(IF(AND(H3391="W7",OR(F3391="causal",F3391="predictive")),IF(AND(K3391=1,L3391=1,M3391=1),"adequate","partial"),INDEX(Fit_Matrix!$B:$B,MATCH(P3391,Fit_Matrix!$A:$A,0))),"CHECK KEY"))</f>
        <v/>
      </c>
    </row>
    <row r="3392" customFormat="false" ht="15" hidden="false" customHeight="true" outlineLevel="0" collapsed="false">
      <c r="P3392" s="1" t="str">
        <f aca="false">IF(OR(F3392="",H3392="",J3392=""),"",J3392&amp;"|"&amp;F3392&amp;"|"&amp;IF(H3392="W3","W3_"&amp;IF(I3392="","unknown",I3392),H3392))</f>
        <v/>
      </c>
      <c r="Q3392" s="1" t="str">
        <f aca="false">IF(P3392="","",IFERROR(IF(AND(H3392="W7",OR(F3392="causal",F3392="predictive")),IF(AND(K3392=1,L3392=1,M3392=1),"adequate","partial"),INDEX(Fit_Matrix!$B:$B,MATCH(P3392,Fit_Matrix!$A:$A,0))),"CHECK KEY"))</f>
        <v/>
      </c>
    </row>
    <row r="3393" customFormat="false" ht="15" hidden="false" customHeight="true" outlineLevel="0" collapsed="false">
      <c r="P3393" s="1" t="str">
        <f aca="false">IF(OR(F3393="",H3393="",J3393=""),"",J3393&amp;"|"&amp;F3393&amp;"|"&amp;IF(H3393="W3","W3_"&amp;IF(I3393="","unknown",I3393),H3393))</f>
        <v/>
      </c>
      <c r="Q3393" s="1" t="str">
        <f aca="false">IF(P3393="","",IFERROR(IF(AND(H3393="W7",OR(F3393="causal",F3393="predictive")),IF(AND(K3393=1,L3393=1,M3393=1),"adequate","partial"),INDEX(Fit_Matrix!$B:$B,MATCH(P3393,Fit_Matrix!$A:$A,0))),"CHECK KEY"))</f>
        <v/>
      </c>
    </row>
    <row r="3394" customFormat="false" ht="15" hidden="false" customHeight="true" outlineLevel="0" collapsed="false">
      <c r="P3394" s="1" t="str">
        <f aca="false">IF(OR(F3394="",H3394="",J3394=""),"",J3394&amp;"|"&amp;F3394&amp;"|"&amp;IF(H3394="W3","W3_"&amp;IF(I3394="","unknown",I3394),H3394))</f>
        <v/>
      </c>
      <c r="Q3394" s="1" t="str">
        <f aca="false">IF(P3394="","",IFERROR(IF(AND(H3394="W7",OR(F3394="causal",F3394="predictive")),IF(AND(K3394=1,L3394=1,M3394=1),"adequate","partial"),INDEX(Fit_Matrix!$B:$B,MATCH(P3394,Fit_Matrix!$A:$A,0))),"CHECK KEY"))</f>
        <v/>
      </c>
    </row>
    <row r="3395" customFormat="false" ht="15" hidden="false" customHeight="true" outlineLevel="0" collapsed="false">
      <c r="P3395" s="1" t="str">
        <f aca="false">IF(OR(F3395="",H3395="",J3395=""),"",J3395&amp;"|"&amp;F3395&amp;"|"&amp;IF(H3395="W3","W3_"&amp;IF(I3395="","unknown",I3395),H3395))</f>
        <v/>
      </c>
      <c r="Q3395" s="1" t="str">
        <f aca="false">IF(P3395="","",IFERROR(IF(AND(H3395="W7",OR(F3395="causal",F3395="predictive")),IF(AND(K3395=1,L3395=1,M3395=1),"adequate","partial"),INDEX(Fit_Matrix!$B:$B,MATCH(P3395,Fit_Matrix!$A:$A,0))),"CHECK KEY"))</f>
        <v/>
      </c>
    </row>
    <row r="3396" customFormat="false" ht="15" hidden="false" customHeight="true" outlineLevel="0" collapsed="false">
      <c r="P3396" s="1" t="str">
        <f aca="false">IF(OR(F3396="",H3396="",J3396=""),"",J3396&amp;"|"&amp;F3396&amp;"|"&amp;IF(H3396="W3","W3_"&amp;IF(I3396="","unknown",I3396),H3396))</f>
        <v/>
      </c>
      <c r="Q3396" s="1" t="str">
        <f aca="false">IF(P3396="","",IFERROR(IF(AND(H3396="W7",OR(F3396="causal",F3396="predictive")),IF(AND(K3396=1,L3396=1,M3396=1),"adequate","partial"),INDEX(Fit_Matrix!$B:$B,MATCH(P3396,Fit_Matrix!$A:$A,0))),"CHECK KEY"))</f>
        <v/>
      </c>
    </row>
    <row r="3397" customFormat="false" ht="15" hidden="false" customHeight="true" outlineLevel="0" collapsed="false">
      <c r="P3397" s="1" t="str">
        <f aca="false">IF(OR(F3397="",H3397="",J3397=""),"",J3397&amp;"|"&amp;F3397&amp;"|"&amp;IF(H3397="W3","W3_"&amp;IF(I3397="","unknown",I3397),H3397))</f>
        <v/>
      </c>
      <c r="Q3397" s="1" t="str">
        <f aca="false">IF(P3397="","",IFERROR(IF(AND(H3397="W7",OR(F3397="causal",F3397="predictive")),IF(AND(K3397=1,L3397=1,M3397=1),"adequate","partial"),INDEX(Fit_Matrix!$B:$B,MATCH(P3397,Fit_Matrix!$A:$A,0))),"CHECK KEY"))</f>
        <v/>
      </c>
    </row>
    <row r="3398" customFormat="false" ht="15" hidden="false" customHeight="true" outlineLevel="0" collapsed="false">
      <c r="P3398" s="1" t="str">
        <f aca="false">IF(OR(F3398="",H3398="",J3398=""),"",J3398&amp;"|"&amp;F3398&amp;"|"&amp;IF(H3398="W3","W3_"&amp;IF(I3398="","unknown",I3398),H3398))</f>
        <v/>
      </c>
      <c r="Q3398" s="1" t="str">
        <f aca="false">IF(P3398="","",IFERROR(IF(AND(H3398="W7",OR(F3398="causal",F3398="predictive")),IF(AND(K3398=1,L3398=1,M3398=1),"adequate","partial"),INDEX(Fit_Matrix!$B:$B,MATCH(P3398,Fit_Matrix!$A:$A,0))),"CHECK KEY"))</f>
        <v/>
      </c>
    </row>
    <row r="3399" customFormat="false" ht="15" hidden="false" customHeight="true" outlineLevel="0" collapsed="false">
      <c r="P3399" s="1" t="str">
        <f aca="false">IF(OR(F3399="",H3399="",J3399=""),"",J3399&amp;"|"&amp;F3399&amp;"|"&amp;IF(H3399="W3","W3_"&amp;IF(I3399="","unknown",I3399),H3399))</f>
        <v/>
      </c>
      <c r="Q3399" s="1" t="str">
        <f aca="false">IF(P3399="","",IFERROR(IF(AND(H3399="W7",OR(F3399="causal",F3399="predictive")),IF(AND(K3399=1,L3399=1,M3399=1),"adequate","partial"),INDEX(Fit_Matrix!$B:$B,MATCH(P3399,Fit_Matrix!$A:$A,0))),"CHECK KEY"))</f>
        <v/>
      </c>
    </row>
    <row r="3400" customFormat="false" ht="15" hidden="false" customHeight="true" outlineLevel="0" collapsed="false">
      <c r="P3400" s="1" t="str">
        <f aca="false">IF(OR(F3400="",H3400="",J3400=""),"",J3400&amp;"|"&amp;F3400&amp;"|"&amp;IF(H3400="W3","W3_"&amp;IF(I3400="","unknown",I3400),H3400))</f>
        <v/>
      </c>
      <c r="Q3400" s="1" t="str">
        <f aca="false">IF(P3400="","",IFERROR(IF(AND(H3400="W7",OR(F3400="causal",F3400="predictive")),IF(AND(K3400=1,L3400=1,M3400=1),"adequate","partial"),INDEX(Fit_Matrix!$B:$B,MATCH(P3400,Fit_Matrix!$A:$A,0))),"CHECK KEY"))</f>
        <v/>
      </c>
    </row>
    <row r="3401" customFormat="false" ht="15" hidden="false" customHeight="true" outlineLevel="0" collapsed="false">
      <c r="P3401" s="1" t="str">
        <f aca="false">IF(OR(F3401="",H3401="",J3401=""),"",J3401&amp;"|"&amp;F3401&amp;"|"&amp;IF(H3401="W3","W3_"&amp;IF(I3401="","unknown",I3401),H3401))</f>
        <v/>
      </c>
      <c r="Q3401" s="1" t="str">
        <f aca="false">IF(P3401="","",IFERROR(IF(AND(H3401="W7",OR(F3401="causal",F3401="predictive")),IF(AND(K3401=1,L3401=1,M3401=1),"adequate","partial"),INDEX(Fit_Matrix!$B:$B,MATCH(P3401,Fit_Matrix!$A:$A,0))),"CHECK KEY"))</f>
        <v/>
      </c>
    </row>
    <row r="3402" customFormat="false" ht="15" hidden="false" customHeight="true" outlineLevel="0" collapsed="false">
      <c r="P3402" s="1" t="str">
        <f aca="false">IF(OR(F3402="",H3402="",J3402=""),"",J3402&amp;"|"&amp;F3402&amp;"|"&amp;IF(H3402="W3","W3_"&amp;IF(I3402="","unknown",I3402),H3402))</f>
        <v/>
      </c>
      <c r="Q3402" s="1" t="str">
        <f aca="false">IF(P3402="","",IFERROR(IF(AND(H3402="W7",OR(F3402="causal",F3402="predictive")),IF(AND(K3402=1,L3402=1,M3402=1),"adequate","partial"),INDEX(Fit_Matrix!$B:$B,MATCH(P3402,Fit_Matrix!$A:$A,0))),"CHECK KEY"))</f>
        <v/>
      </c>
    </row>
    <row r="3403" customFormat="false" ht="15" hidden="false" customHeight="true" outlineLevel="0" collapsed="false">
      <c r="P3403" s="1" t="str">
        <f aca="false">IF(OR(F3403="",H3403="",J3403=""),"",J3403&amp;"|"&amp;F3403&amp;"|"&amp;IF(H3403="W3","W3_"&amp;IF(I3403="","unknown",I3403),H3403))</f>
        <v/>
      </c>
      <c r="Q3403" s="1" t="str">
        <f aca="false">IF(P3403="","",IFERROR(IF(AND(H3403="W7",OR(F3403="causal",F3403="predictive")),IF(AND(K3403=1,L3403=1,M3403=1),"adequate","partial"),INDEX(Fit_Matrix!$B:$B,MATCH(P3403,Fit_Matrix!$A:$A,0))),"CHECK KEY"))</f>
        <v/>
      </c>
    </row>
    <row r="3404" customFormat="false" ht="15" hidden="false" customHeight="true" outlineLevel="0" collapsed="false">
      <c r="P3404" s="1" t="str">
        <f aca="false">IF(OR(F3404="",H3404="",J3404=""),"",J3404&amp;"|"&amp;F3404&amp;"|"&amp;IF(H3404="W3","W3_"&amp;IF(I3404="","unknown",I3404),H3404))</f>
        <v/>
      </c>
      <c r="Q3404" s="1" t="str">
        <f aca="false">IF(P3404="","",IFERROR(IF(AND(H3404="W7",OR(F3404="causal",F3404="predictive")),IF(AND(K3404=1,L3404=1,M3404=1),"adequate","partial"),INDEX(Fit_Matrix!$B:$B,MATCH(P3404,Fit_Matrix!$A:$A,0))),"CHECK KEY"))</f>
        <v/>
      </c>
    </row>
    <row r="3405" customFormat="false" ht="15" hidden="false" customHeight="true" outlineLevel="0" collapsed="false">
      <c r="P3405" s="1" t="str">
        <f aca="false">IF(OR(F3405="",H3405="",J3405=""),"",J3405&amp;"|"&amp;F3405&amp;"|"&amp;IF(H3405="W3","W3_"&amp;IF(I3405="","unknown",I3405),H3405))</f>
        <v/>
      </c>
      <c r="Q3405" s="1" t="str">
        <f aca="false">IF(P3405="","",IFERROR(IF(AND(H3405="W7",OR(F3405="causal",F3405="predictive")),IF(AND(K3405=1,L3405=1,M3405=1),"adequate","partial"),INDEX(Fit_Matrix!$B:$B,MATCH(P3405,Fit_Matrix!$A:$A,0))),"CHECK KEY"))</f>
        <v/>
      </c>
    </row>
    <row r="3406" customFormat="false" ht="15" hidden="false" customHeight="true" outlineLevel="0" collapsed="false">
      <c r="P3406" s="1" t="str">
        <f aca="false">IF(OR(F3406="",H3406="",J3406=""),"",J3406&amp;"|"&amp;F3406&amp;"|"&amp;IF(H3406="W3","W3_"&amp;IF(I3406="","unknown",I3406),H3406))</f>
        <v/>
      </c>
      <c r="Q3406" s="1" t="str">
        <f aca="false">IF(P3406="","",IFERROR(IF(AND(H3406="W7",OR(F3406="causal",F3406="predictive")),IF(AND(K3406=1,L3406=1,M3406=1),"adequate","partial"),INDEX(Fit_Matrix!$B:$B,MATCH(P3406,Fit_Matrix!$A:$A,0))),"CHECK KEY"))</f>
        <v/>
      </c>
    </row>
    <row r="3407" customFormat="false" ht="15" hidden="false" customHeight="true" outlineLevel="0" collapsed="false">
      <c r="P3407" s="1" t="str">
        <f aca="false">IF(OR(F3407="",H3407="",J3407=""),"",J3407&amp;"|"&amp;F3407&amp;"|"&amp;IF(H3407="W3","W3_"&amp;IF(I3407="","unknown",I3407),H3407))</f>
        <v/>
      </c>
      <c r="Q3407" s="1" t="str">
        <f aca="false">IF(P3407="","",IFERROR(IF(AND(H3407="W7",OR(F3407="causal",F3407="predictive")),IF(AND(K3407=1,L3407=1,M3407=1),"adequate","partial"),INDEX(Fit_Matrix!$B:$B,MATCH(P3407,Fit_Matrix!$A:$A,0))),"CHECK KEY"))</f>
        <v/>
      </c>
    </row>
    <row r="3408" customFormat="false" ht="15" hidden="false" customHeight="true" outlineLevel="0" collapsed="false">
      <c r="P3408" s="1" t="str">
        <f aca="false">IF(OR(F3408="",H3408="",J3408=""),"",J3408&amp;"|"&amp;F3408&amp;"|"&amp;IF(H3408="W3","W3_"&amp;IF(I3408="","unknown",I3408),H3408))</f>
        <v/>
      </c>
      <c r="Q3408" s="1" t="str">
        <f aca="false">IF(P3408="","",IFERROR(IF(AND(H3408="W7",OR(F3408="causal",F3408="predictive")),IF(AND(K3408=1,L3408=1,M3408=1),"adequate","partial"),INDEX(Fit_Matrix!$B:$B,MATCH(P3408,Fit_Matrix!$A:$A,0))),"CHECK KEY"))</f>
        <v/>
      </c>
    </row>
    <row r="3409" customFormat="false" ht="15" hidden="false" customHeight="true" outlineLevel="0" collapsed="false">
      <c r="P3409" s="1" t="str">
        <f aca="false">IF(OR(F3409="",H3409="",J3409=""),"",J3409&amp;"|"&amp;F3409&amp;"|"&amp;IF(H3409="W3","W3_"&amp;IF(I3409="","unknown",I3409),H3409))</f>
        <v/>
      </c>
      <c r="Q3409" s="1" t="str">
        <f aca="false">IF(P3409="","",IFERROR(IF(AND(H3409="W7",OR(F3409="causal",F3409="predictive")),IF(AND(K3409=1,L3409=1,M3409=1),"adequate","partial"),INDEX(Fit_Matrix!$B:$B,MATCH(P3409,Fit_Matrix!$A:$A,0))),"CHECK KEY"))</f>
        <v/>
      </c>
    </row>
    <row r="3410" customFormat="false" ht="15" hidden="false" customHeight="true" outlineLevel="0" collapsed="false">
      <c r="P3410" s="1" t="str">
        <f aca="false">IF(OR(F3410="",H3410="",J3410=""),"",J3410&amp;"|"&amp;F3410&amp;"|"&amp;IF(H3410="W3","W3_"&amp;IF(I3410="","unknown",I3410),H3410))</f>
        <v/>
      </c>
      <c r="Q3410" s="1" t="str">
        <f aca="false">IF(P3410="","",IFERROR(IF(AND(H3410="W7",OR(F3410="causal",F3410="predictive")),IF(AND(K3410=1,L3410=1,M3410=1),"adequate","partial"),INDEX(Fit_Matrix!$B:$B,MATCH(P3410,Fit_Matrix!$A:$A,0))),"CHECK KEY"))</f>
        <v/>
      </c>
    </row>
    <row r="3411" customFormat="false" ht="15" hidden="false" customHeight="true" outlineLevel="0" collapsed="false">
      <c r="P3411" s="1" t="str">
        <f aca="false">IF(OR(F3411="",H3411="",J3411=""),"",J3411&amp;"|"&amp;F3411&amp;"|"&amp;IF(H3411="W3","W3_"&amp;IF(I3411="","unknown",I3411),H3411))</f>
        <v/>
      </c>
      <c r="Q3411" s="1" t="str">
        <f aca="false">IF(P3411="","",IFERROR(IF(AND(H3411="W7",OR(F3411="causal",F3411="predictive")),IF(AND(K3411=1,L3411=1,M3411=1),"adequate","partial"),INDEX(Fit_Matrix!$B:$B,MATCH(P3411,Fit_Matrix!$A:$A,0))),"CHECK KEY"))</f>
        <v/>
      </c>
    </row>
    <row r="3412" customFormat="false" ht="15" hidden="false" customHeight="true" outlineLevel="0" collapsed="false">
      <c r="P3412" s="1" t="str">
        <f aca="false">IF(OR(F3412="",H3412="",J3412=""),"",J3412&amp;"|"&amp;F3412&amp;"|"&amp;IF(H3412="W3","W3_"&amp;IF(I3412="","unknown",I3412),H3412))</f>
        <v/>
      </c>
      <c r="Q3412" s="1" t="str">
        <f aca="false">IF(P3412="","",IFERROR(IF(AND(H3412="W7",OR(F3412="causal",F3412="predictive")),IF(AND(K3412=1,L3412=1,M3412=1),"adequate","partial"),INDEX(Fit_Matrix!$B:$B,MATCH(P3412,Fit_Matrix!$A:$A,0))),"CHECK KEY"))</f>
        <v/>
      </c>
    </row>
    <row r="3413" customFormat="false" ht="15" hidden="false" customHeight="true" outlineLevel="0" collapsed="false">
      <c r="P3413" s="1" t="str">
        <f aca="false">IF(OR(F3413="",H3413="",J3413=""),"",J3413&amp;"|"&amp;F3413&amp;"|"&amp;IF(H3413="W3","W3_"&amp;IF(I3413="","unknown",I3413),H3413))</f>
        <v/>
      </c>
      <c r="Q3413" s="1" t="str">
        <f aca="false">IF(P3413="","",IFERROR(IF(AND(H3413="W7",OR(F3413="causal",F3413="predictive")),IF(AND(K3413=1,L3413=1,M3413=1),"adequate","partial"),INDEX(Fit_Matrix!$B:$B,MATCH(P3413,Fit_Matrix!$A:$A,0))),"CHECK KEY"))</f>
        <v/>
      </c>
    </row>
    <row r="3414" customFormat="false" ht="15" hidden="false" customHeight="true" outlineLevel="0" collapsed="false">
      <c r="P3414" s="1" t="str">
        <f aca="false">IF(OR(F3414="",H3414="",J3414=""),"",J3414&amp;"|"&amp;F3414&amp;"|"&amp;IF(H3414="W3","W3_"&amp;IF(I3414="","unknown",I3414),H3414))</f>
        <v/>
      </c>
      <c r="Q3414" s="1" t="str">
        <f aca="false">IF(P3414="","",IFERROR(IF(AND(H3414="W7",OR(F3414="causal",F3414="predictive")),IF(AND(K3414=1,L3414=1,M3414=1),"adequate","partial"),INDEX(Fit_Matrix!$B:$B,MATCH(P3414,Fit_Matrix!$A:$A,0))),"CHECK KEY"))</f>
        <v/>
      </c>
    </row>
    <row r="3415" customFormat="false" ht="15" hidden="false" customHeight="true" outlineLevel="0" collapsed="false">
      <c r="P3415" s="1" t="str">
        <f aca="false">IF(OR(F3415="",H3415="",J3415=""),"",J3415&amp;"|"&amp;F3415&amp;"|"&amp;IF(H3415="W3","W3_"&amp;IF(I3415="","unknown",I3415),H3415))</f>
        <v/>
      </c>
      <c r="Q3415" s="1" t="str">
        <f aca="false">IF(P3415="","",IFERROR(IF(AND(H3415="W7",OR(F3415="causal",F3415="predictive")),IF(AND(K3415=1,L3415=1,M3415=1),"adequate","partial"),INDEX(Fit_Matrix!$B:$B,MATCH(P3415,Fit_Matrix!$A:$A,0))),"CHECK KEY"))</f>
        <v/>
      </c>
    </row>
    <row r="3416" customFormat="false" ht="15" hidden="false" customHeight="true" outlineLevel="0" collapsed="false">
      <c r="P3416" s="1" t="str">
        <f aca="false">IF(OR(F3416="",H3416="",J3416=""),"",J3416&amp;"|"&amp;F3416&amp;"|"&amp;IF(H3416="W3","W3_"&amp;IF(I3416="","unknown",I3416),H3416))</f>
        <v/>
      </c>
      <c r="Q3416" s="1" t="str">
        <f aca="false">IF(P3416="","",IFERROR(IF(AND(H3416="W7",OR(F3416="causal",F3416="predictive")),IF(AND(K3416=1,L3416=1,M3416=1),"adequate","partial"),INDEX(Fit_Matrix!$B:$B,MATCH(P3416,Fit_Matrix!$A:$A,0))),"CHECK KEY"))</f>
        <v/>
      </c>
    </row>
    <row r="3417" customFormat="false" ht="15" hidden="false" customHeight="true" outlineLevel="0" collapsed="false">
      <c r="P3417" s="1" t="str">
        <f aca="false">IF(OR(F3417="",H3417="",J3417=""),"",J3417&amp;"|"&amp;F3417&amp;"|"&amp;IF(H3417="W3","W3_"&amp;IF(I3417="","unknown",I3417),H3417))</f>
        <v/>
      </c>
      <c r="Q3417" s="1" t="str">
        <f aca="false">IF(P3417="","",IFERROR(IF(AND(H3417="W7",OR(F3417="causal",F3417="predictive")),IF(AND(K3417=1,L3417=1,M3417=1),"adequate","partial"),INDEX(Fit_Matrix!$B:$B,MATCH(P3417,Fit_Matrix!$A:$A,0))),"CHECK KEY"))</f>
        <v/>
      </c>
    </row>
    <row r="3418" customFormat="false" ht="15" hidden="false" customHeight="true" outlineLevel="0" collapsed="false">
      <c r="P3418" s="1" t="str">
        <f aca="false">IF(OR(F3418="",H3418="",J3418=""),"",J3418&amp;"|"&amp;F3418&amp;"|"&amp;IF(H3418="W3","W3_"&amp;IF(I3418="","unknown",I3418),H3418))</f>
        <v/>
      </c>
      <c r="Q3418" s="1" t="str">
        <f aca="false">IF(P3418="","",IFERROR(IF(AND(H3418="W7",OR(F3418="causal",F3418="predictive")),IF(AND(K3418=1,L3418=1,M3418=1),"adequate","partial"),INDEX(Fit_Matrix!$B:$B,MATCH(P3418,Fit_Matrix!$A:$A,0))),"CHECK KEY"))</f>
        <v/>
      </c>
    </row>
    <row r="3419" customFormat="false" ht="15" hidden="false" customHeight="true" outlineLevel="0" collapsed="false">
      <c r="P3419" s="1" t="str">
        <f aca="false">IF(OR(F3419="",H3419="",J3419=""),"",J3419&amp;"|"&amp;F3419&amp;"|"&amp;IF(H3419="W3","W3_"&amp;IF(I3419="","unknown",I3419),H3419))</f>
        <v/>
      </c>
      <c r="Q3419" s="1" t="str">
        <f aca="false">IF(P3419="","",IFERROR(IF(AND(H3419="W7",OR(F3419="causal",F3419="predictive")),IF(AND(K3419=1,L3419=1,M3419=1),"adequate","partial"),INDEX(Fit_Matrix!$B:$B,MATCH(P3419,Fit_Matrix!$A:$A,0))),"CHECK KEY"))</f>
        <v/>
      </c>
    </row>
    <row r="3420" customFormat="false" ht="15" hidden="false" customHeight="true" outlineLevel="0" collapsed="false">
      <c r="P3420" s="1" t="str">
        <f aca="false">IF(OR(F3420="",H3420="",J3420=""),"",J3420&amp;"|"&amp;F3420&amp;"|"&amp;IF(H3420="W3","W3_"&amp;IF(I3420="","unknown",I3420),H3420))</f>
        <v/>
      </c>
      <c r="Q3420" s="1" t="str">
        <f aca="false">IF(P3420="","",IFERROR(IF(AND(H3420="W7",OR(F3420="causal",F3420="predictive")),IF(AND(K3420=1,L3420=1,M3420=1),"adequate","partial"),INDEX(Fit_Matrix!$B:$B,MATCH(P3420,Fit_Matrix!$A:$A,0))),"CHECK KEY"))</f>
        <v/>
      </c>
    </row>
    <row r="3421" customFormat="false" ht="15" hidden="false" customHeight="true" outlineLevel="0" collapsed="false">
      <c r="P3421" s="1" t="str">
        <f aca="false">IF(OR(F3421="",H3421="",J3421=""),"",J3421&amp;"|"&amp;F3421&amp;"|"&amp;IF(H3421="W3","W3_"&amp;IF(I3421="","unknown",I3421),H3421))</f>
        <v/>
      </c>
      <c r="Q3421" s="1" t="str">
        <f aca="false">IF(P3421="","",IFERROR(IF(AND(H3421="W7",OR(F3421="causal",F3421="predictive")),IF(AND(K3421=1,L3421=1,M3421=1),"adequate","partial"),INDEX(Fit_Matrix!$B:$B,MATCH(P3421,Fit_Matrix!$A:$A,0))),"CHECK KEY"))</f>
        <v/>
      </c>
    </row>
    <row r="3422" customFormat="false" ht="15" hidden="false" customHeight="true" outlineLevel="0" collapsed="false">
      <c r="P3422" s="1" t="str">
        <f aca="false">IF(OR(F3422="",H3422="",J3422=""),"",J3422&amp;"|"&amp;F3422&amp;"|"&amp;IF(H3422="W3","W3_"&amp;IF(I3422="","unknown",I3422),H3422))</f>
        <v/>
      </c>
      <c r="Q3422" s="1" t="str">
        <f aca="false">IF(P3422="","",IFERROR(IF(AND(H3422="W7",OR(F3422="causal",F3422="predictive")),IF(AND(K3422=1,L3422=1,M3422=1),"adequate","partial"),INDEX(Fit_Matrix!$B:$B,MATCH(P3422,Fit_Matrix!$A:$A,0))),"CHECK KEY"))</f>
        <v/>
      </c>
    </row>
    <row r="3423" customFormat="false" ht="15" hidden="false" customHeight="true" outlineLevel="0" collapsed="false">
      <c r="P3423" s="1" t="str">
        <f aca="false">IF(OR(F3423="",H3423="",J3423=""),"",J3423&amp;"|"&amp;F3423&amp;"|"&amp;IF(H3423="W3","W3_"&amp;IF(I3423="","unknown",I3423),H3423))</f>
        <v/>
      </c>
      <c r="Q3423" s="1" t="str">
        <f aca="false">IF(P3423="","",IFERROR(IF(AND(H3423="W7",OR(F3423="causal",F3423="predictive")),IF(AND(K3423=1,L3423=1,M3423=1),"adequate","partial"),INDEX(Fit_Matrix!$B:$B,MATCH(P3423,Fit_Matrix!$A:$A,0))),"CHECK KEY"))</f>
        <v/>
      </c>
    </row>
    <row r="3424" customFormat="false" ht="15" hidden="false" customHeight="true" outlineLevel="0" collapsed="false">
      <c r="P3424" s="1" t="str">
        <f aca="false">IF(OR(F3424="",H3424="",J3424=""),"",J3424&amp;"|"&amp;F3424&amp;"|"&amp;IF(H3424="W3","W3_"&amp;IF(I3424="","unknown",I3424),H3424))</f>
        <v/>
      </c>
      <c r="Q3424" s="1" t="str">
        <f aca="false">IF(P3424="","",IFERROR(IF(AND(H3424="W7",OR(F3424="causal",F3424="predictive")),IF(AND(K3424=1,L3424=1,M3424=1),"adequate","partial"),INDEX(Fit_Matrix!$B:$B,MATCH(P3424,Fit_Matrix!$A:$A,0))),"CHECK KEY"))</f>
        <v/>
      </c>
    </row>
    <row r="3425" customFormat="false" ht="15" hidden="false" customHeight="true" outlineLevel="0" collapsed="false">
      <c r="P3425" s="1" t="str">
        <f aca="false">IF(OR(F3425="",H3425="",J3425=""),"",J3425&amp;"|"&amp;F3425&amp;"|"&amp;IF(H3425="W3","W3_"&amp;IF(I3425="","unknown",I3425),H3425))</f>
        <v/>
      </c>
      <c r="Q3425" s="1" t="str">
        <f aca="false">IF(P3425="","",IFERROR(IF(AND(H3425="W7",OR(F3425="causal",F3425="predictive")),IF(AND(K3425=1,L3425=1,M3425=1),"adequate","partial"),INDEX(Fit_Matrix!$B:$B,MATCH(P3425,Fit_Matrix!$A:$A,0))),"CHECK KEY"))</f>
        <v/>
      </c>
    </row>
    <row r="3426" customFormat="false" ht="15" hidden="false" customHeight="true" outlineLevel="0" collapsed="false">
      <c r="P3426" s="1" t="str">
        <f aca="false">IF(OR(F3426="",H3426="",J3426=""),"",J3426&amp;"|"&amp;F3426&amp;"|"&amp;IF(H3426="W3","W3_"&amp;IF(I3426="","unknown",I3426),H3426))</f>
        <v/>
      </c>
      <c r="Q3426" s="1" t="str">
        <f aca="false">IF(P3426="","",IFERROR(IF(AND(H3426="W7",OR(F3426="causal",F3426="predictive")),IF(AND(K3426=1,L3426=1,M3426=1),"adequate","partial"),INDEX(Fit_Matrix!$B:$B,MATCH(P3426,Fit_Matrix!$A:$A,0))),"CHECK KEY"))</f>
        <v/>
      </c>
    </row>
    <row r="3427" customFormat="false" ht="15" hidden="false" customHeight="true" outlineLevel="0" collapsed="false">
      <c r="P3427" s="1" t="str">
        <f aca="false">IF(OR(F3427="",H3427="",J3427=""),"",J3427&amp;"|"&amp;F3427&amp;"|"&amp;IF(H3427="W3","W3_"&amp;IF(I3427="","unknown",I3427),H3427))</f>
        <v/>
      </c>
      <c r="Q3427" s="1" t="str">
        <f aca="false">IF(P3427="","",IFERROR(IF(AND(H3427="W7",OR(F3427="causal",F3427="predictive")),IF(AND(K3427=1,L3427=1,M3427=1),"adequate","partial"),INDEX(Fit_Matrix!$B:$B,MATCH(P3427,Fit_Matrix!$A:$A,0))),"CHECK KEY"))</f>
        <v/>
      </c>
    </row>
    <row r="3428" customFormat="false" ht="15" hidden="false" customHeight="true" outlineLevel="0" collapsed="false">
      <c r="P3428" s="1" t="str">
        <f aca="false">IF(OR(F3428="",H3428="",J3428=""),"",J3428&amp;"|"&amp;F3428&amp;"|"&amp;IF(H3428="W3","W3_"&amp;IF(I3428="","unknown",I3428),H3428))</f>
        <v/>
      </c>
      <c r="Q3428" s="1" t="str">
        <f aca="false">IF(P3428="","",IFERROR(IF(AND(H3428="W7",OR(F3428="causal",F3428="predictive")),IF(AND(K3428=1,L3428=1,M3428=1),"adequate","partial"),INDEX(Fit_Matrix!$B:$B,MATCH(P3428,Fit_Matrix!$A:$A,0))),"CHECK KEY"))</f>
        <v/>
      </c>
    </row>
    <row r="3429" customFormat="false" ht="15" hidden="false" customHeight="true" outlineLevel="0" collapsed="false">
      <c r="P3429" s="1" t="str">
        <f aca="false">IF(OR(F3429="",H3429="",J3429=""),"",J3429&amp;"|"&amp;F3429&amp;"|"&amp;IF(H3429="W3","W3_"&amp;IF(I3429="","unknown",I3429),H3429))</f>
        <v/>
      </c>
      <c r="Q3429" s="1" t="str">
        <f aca="false">IF(P3429="","",IFERROR(IF(AND(H3429="W7",OR(F3429="causal",F3429="predictive")),IF(AND(K3429=1,L3429=1,M3429=1),"adequate","partial"),INDEX(Fit_Matrix!$B:$B,MATCH(P3429,Fit_Matrix!$A:$A,0))),"CHECK KEY"))</f>
        <v/>
      </c>
    </row>
    <row r="3430" customFormat="false" ht="15" hidden="false" customHeight="true" outlineLevel="0" collapsed="false">
      <c r="P3430" s="1" t="str">
        <f aca="false">IF(OR(F3430="",H3430="",J3430=""),"",J3430&amp;"|"&amp;F3430&amp;"|"&amp;IF(H3430="W3","W3_"&amp;IF(I3430="","unknown",I3430),H3430))</f>
        <v/>
      </c>
      <c r="Q3430" s="1" t="str">
        <f aca="false">IF(P3430="","",IFERROR(IF(AND(H3430="W7",OR(F3430="causal",F3430="predictive")),IF(AND(K3430=1,L3430=1,M3430=1),"adequate","partial"),INDEX(Fit_Matrix!$B:$B,MATCH(P3430,Fit_Matrix!$A:$A,0))),"CHECK KEY"))</f>
        <v/>
      </c>
    </row>
    <row r="3431" customFormat="false" ht="15" hidden="false" customHeight="true" outlineLevel="0" collapsed="false">
      <c r="P3431" s="1" t="str">
        <f aca="false">IF(OR(F3431="",H3431="",J3431=""),"",J3431&amp;"|"&amp;F3431&amp;"|"&amp;IF(H3431="W3","W3_"&amp;IF(I3431="","unknown",I3431),H3431))</f>
        <v/>
      </c>
      <c r="Q3431" s="1" t="str">
        <f aca="false">IF(P3431="","",IFERROR(IF(AND(H3431="W7",OR(F3431="causal",F3431="predictive")),IF(AND(K3431=1,L3431=1,M3431=1),"adequate","partial"),INDEX(Fit_Matrix!$B:$B,MATCH(P3431,Fit_Matrix!$A:$A,0))),"CHECK KEY"))</f>
        <v/>
      </c>
    </row>
    <row r="3432" customFormat="false" ht="15" hidden="false" customHeight="true" outlineLevel="0" collapsed="false">
      <c r="P3432" s="1" t="str">
        <f aca="false">IF(OR(F3432="",H3432="",J3432=""),"",J3432&amp;"|"&amp;F3432&amp;"|"&amp;IF(H3432="W3","W3_"&amp;IF(I3432="","unknown",I3432),H3432))</f>
        <v/>
      </c>
      <c r="Q3432" s="1" t="str">
        <f aca="false">IF(P3432="","",IFERROR(IF(AND(H3432="W7",OR(F3432="causal",F3432="predictive")),IF(AND(K3432=1,L3432=1,M3432=1),"adequate","partial"),INDEX(Fit_Matrix!$B:$B,MATCH(P3432,Fit_Matrix!$A:$A,0))),"CHECK KEY"))</f>
        <v/>
      </c>
    </row>
    <row r="3433" customFormat="false" ht="15" hidden="false" customHeight="true" outlineLevel="0" collapsed="false">
      <c r="P3433" s="1" t="str">
        <f aca="false">IF(OR(F3433="",H3433="",J3433=""),"",J3433&amp;"|"&amp;F3433&amp;"|"&amp;IF(H3433="W3","W3_"&amp;IF(I3433="","unknown",I3433),H3433))</f>
        <v/>
      </c>
      <c r="Q3433" s="1" t="str">
        <f aca="false">IF(P3433="","",IFERROR(IF(AND(H3433="W7",OR(F3433="causal",F3433="predictive")),IF(AND(K3433=1,L3433=1,M3433=1),"adequate","partial"),INDEX(Fit_Matrix!$B:$B,MATCH(P3433,Fit_Matrix!$A:$A,0))),"CHECK KEY"))</f>
        <v/>
      </c>
    </row>
    <row r="3434" customFormat="false" ht="15" hidden="false" customHeight="true" outlineLevel="0" collapsed="false">
      <c r="P3434" s="1" t="str">
        <f aca="false">IF(OR(F3434="",H3434="",J3434=""),"",J3434&amp;"|"&amp;F3434&amp;"|"&amp;IF(H3434="W3","W3_"&amp;IF(I3434="","unknown",I3434),H3434))</f>
        <v/>
      </c>
      <c r="Q3434" s="1" t="str">
        <f aca="false">IF(P3434="","",IFERROR(IF(AND(H3434="W7",OR(F3434="causal",F3434="predictive")),IF(AND(K3434=1,L3434=1,M3434=1),"adequate","partial"),INDEX(Fit_Matrix!$B:$B,MATCH(P3434,Fit_Matrix!$A:$A,0))),"CHECK KEY"))</f>
        <v/>
      </c>
    </row>
    <row r="3435" customFormat="false" ht="15" hidden="false" customHeight="true" outlineLevel="0" collapsed="false">
      <c r="P3435" s="1" t="str">
        <f aca="false">IF(OR(F3435="",H3435="",J3435=""),"",J3435&amp;"|"&amp;F3435&amp;"|"&amp;IF(H3435="W3","W3_"&amp;IF(I3435="","unknown",I3435),H3435))</f>
        <v/>
      </c>
      <c r="Q3435" s="1" t="str">
        <f aca="false">IF(P3435="","",IFERROR(IF(AND(H3435="W7",OR(F3435="causal",F3435="predictive")),IF(AND(K3435=1,L3435=1,M3435=1),"adequate","partial"),INDEX(Fit_Matrix!$B:$B,MATCH(P3435,Fit_Matrix!$A:$A,0))),"CHECK KEY"))</f>
        <v/>
      </c>
    </row>
    <row r="3436" customFormat="false" ht="15" hidden="false" customHeight="true" outlineLevel="0" collapsed="false">
      <c r="P3436" s="1" t="str">
        <f aca="false">IF(OR(F3436="",H3436="",J3436=""),"",J3436&amp;"|"&amp;F3436&amp;"|"&amp;IF(H3436="W3","W3_"&amp;IF(I3436="","unknown",I3436),H3436))</f>
        <v/>
      </c>
      <c r="Q3436" s="1" t="str">
        <f aca="false">IF(P3436="","",IFERROR(IF(AND(H3436="W7",OR(F3436="causal",F3436="predictive")),IF(AND(K3436=1,L3436=1,M3436=1),"adequate","partial"),INDEX(Fit_Matrix!$B:$B,MATCH(P3436,Fit_Matrix!$A:$A,0))),"CHECK KEY"))</f>
        <v/>
      </c>
    </row>
    <row r="3437" customFormat="false" ht="15" hidden="false" customHeight="true" outlineLevel="0" collapsed="false">
      <c r="P3437" s="1" t="str">
        <f aca="false">IF(OR(F3437="",H3437="",J3437=""),"",J3437&amp;"|"&amp;F3437&amp;"|"&amp;IF(H3437="W3","W3_"&amp;IF(I3437="","unknown",I3437),H3437))</f>
        <v/>
      </c>
      <c r="Q3437" s="1" t="str">
        <f aca="false">IF(P3437="","",IFERROR(IF(AND(H3437="W7",OR(F3437="causal",F3437="predictive")),IF(AND(K3437=1,L3437=1,M3437=1),"adequate","partial"),INDEX(Fit_Matrix!$B:$B,MATCH(P3437,Fit_Matrix!$A:$A,0))),"CHECK KEY"))</f>
        <v/>
      </c>
    </row>
    <row r="3438" customFormat="false" ht="15" hidden="false" customHeight="true" outlineLevel="0" collapsed="false">
      <c r="P3438" s="1" t="str">
        <f aca="false">IF(OR(F3438="",H3438="",J3438=""),"",J3438&amp;"|"&amp;F3438&amp;"|"&amp;IF(H3438="W3","W3_"&amp;IF(I3438="","unknown",I3438),H3438))</f>
        <v/>
      </c>
      <c r="Q3438" s="1" t="str">
        <f aca="false">IF(P3438="","",IFERROR(IF(AND(H3438="W7",OR(F3438="causal",F3438="predictive")),IF(AND(K3438=1,L3438=1,M3438=1),"adequate","partial"),INDEX(Fit_Matrix!$B:$B,MATCH(P3438,Fit_Matrix!$A:$A,0))),"CHECK KEY"))</f>
        <v/>
      </c>
    </row>
    <row r="3439" customFormat="false" ht="15" hidden="false" customHeight="true" outlineLevel="0" collapsed="false">
      <c r="P3439" s="1" t="str">
        <f aca="false">IF(OR(F3439="",H3439="",J3439=""),"",J3439&amp;"|"&amp;F3439&amp;"|"&amp;IF(H3439="W3","W3_"&amp;IF(I3439="","unknown",I3439),H3439))</f>
        <v/>
      </c>
      <c r="Q3439" s="1" t="str">
        <f aca="false">IF(P3439="","",IFERROR(IF(AND(H3439="W7",OR(F3439="causal",F3439="predictive")),IF(AND(K3439=1,L3439=1,M3439=1),"adequate","partial"),INDEX(Fit_Matrix!$B:$B,MATCH(P3439,Fit_Matrix!$A:$A,0))),"CHECK KEY"))</f>
        <v/>
      </c>
    </row>
    <row r="3440" customFormat="false" ht="15" hidden="false" customHeight="true" outlineLevel="0" collapsed="false">
      <c r="P3440" s="1" t="str">
        <f aca="false">IF(OR(F3440="",H3440="",J3440=""),"",J3440&amp;"|"&amp;F3440&amp;"|"&amp;IF(H3440="W3","W3_"&amp;IF(I3440="","unknown",I3440),H3440))</f>
        <v/>
      </c>
      <c r="Q3440" s="1" t="str">
        <f aca="false">IF(P3440="","",IFERROR(IF(AND(H3440="W7",OR(F3440="causal",F3440="predictive")),IF(AND(K3440=1,L3440=1,M3440=1),"adequate","partial"),INDEX(Fit_Matrix!$B:$B,MATCH(P3440,Fit_Matrix!$A:$A,0))),"CHECK KEY"))</f>
        <v/>
      </c>
    </row>
    <row r="3441" customFormat="false" ht="15" hidden="false" customHeight="true" outlineLevel="0" collapsed="false">
      <c r="P3441" s="1" t="str">
        <f aca="false">IF(OR(F3441="",H3441="",J3441=""),"",J3441&amp;"|"&amp;F3441&amp;"|"&amp;IF(H3441="W3","W3_"&amp;IF(I3441="","unknown",I3441),H3441))</f>
        <v/>
      </c>
      <c r="Q3441" s="1" t="str">
        <f aca="false">IF(P3441="","",IFERROR(IF(AND(H3441="W7",OR(F3441="causal",F3441="predictive")),IF(AND(K3441=1,L3441=1,M3441=1),"adequate","partial"),INDEX(Fit_Matrix!$B:$B,MATCH(P3441,Fit_Matrix!$A:$A,0))),"CHECK KEY"))</f>
        <v/>
      </c>
    </row>
    <row r="3442" customFormat="false" ht="15" hidden="false" customHeight="true" outlineLevel="0" collapsed="false">
      <c r="P3442" s="1" t="str">
        <f aca="false">IF(OR(F3442="",H3442="",J3442=""),"",J3442&amp;"|"&amp;F3442&amp;"|"&amp;IF(H3442="W3","W3_"&amp;IF(I3442="","unknown",I3442),H3442))</f>
        <v/>
      </c>
      <c r="Q3442" s="1" t="str">
        <f aca="false">IF(P3442="","",IFERROR(IF(AND(H3442="W7",OR(F3442="causal",F3442="predictive")),IF(AND(K3442=1,L3442=1,M3442=1),"adequate","partial"),INDEX(Fit_Matrix!$B:$B,MATCH(P3442,Fit_Matrix!$A:$A,0))),"CHECK KEY"))</f>
        <v/>
      </c>
    </row>
    <row r="3443" customFormat="false" ht="15" hidden="false" customHeight="true" outlineLevel="0" collapsed="false">
      <c r="P3443" s="1" t="str">
        <f aca="false">IF(OR(F3443="",H3443="",J3443=""),"",J3443&amp;"|"&amp;F3443&amp;"|"&amp;IF(H3443="W3","W3_"&amp;IF(I3443="","unknown",I3443),H3443))</f>
        <v/>
      </c>
      <c r="Q3443" s="1" t="str">
        <f aca="false">IF(P3443="","",IFERROR(IF(AND(H3443="W7",OR(F3443="causal",F3443="predictive")),IF(AND(K3443=1,L3443=1,M3443=1),"adequate","partial"),INDEX(Fit_Matrix!$B:$B,MATCH(P3443,Fit_Matrix!$A:$A,0))),"CHECK KEY"))</f>
        <v/>
      </c>
    </row>
    <row r="3444" customFormat="false" ht="15" hidden="false" customHeight="true" outlineLevel="0" collapsed="false">
      <c r="P3444" s="1" t="str">
        <f aca="false">IF(OR(F3444="",H3444="",J3444=""),"",J3444&amp;"|"&amp;F3444&amp;"|"&amp;IF(H3444="W3","W3_"&amp;IF(I3444="","unknown",I3444),H3444))</f>
        <v/>
      </c>
      <c r="Q3444" s="1" t="str">
        <f aca="false">IF(P3444="","",IFERROR(IF(AND(H3444="W7",OR(F3444="causal",F3444="predictive")),IF(AND(K3444=1,L3444=1,M3444=1),"adequate","partial"),INDEX(Fit_Matrix!$B:$B,MATCH(P3444,Fit_Matrix!$A:$A,0))),"CHECK KEY"))</f>
        <v/>
      </c>
    </row>
    <row r="3445" customFormat="false" ht="15" hidden="false" customHeight="true" outlineLevel="0" collapsed="false">
      <c r="P3445" s="1" t="str">
        <f aca="false">IF(OR(F3445="",H3445="",J3445=""),"",J3445&amp;"|"&amp;F3445&amp;"|"&amp;IF(H3445="W3","W3_"&amp;IF(I3445="","unknown",I3445),H3445))</f>
        <v/>
      </c>
      <c r="Q3445" s="1" t="str">
        <f aca="false">IF(P3445="","",IFERROR(IF(AND(H3445="W7",OR(F3445="causal",F3445="predictive")),IF(AND(K3445=1,L3445=1,M3445=1),"adequate","partial"),INDEX(Fit_Matrix!$B:$B,MATCH(P3445,Fit_Matrix!$A:$A,0))),"CHECK KEY"))</f>
        <v/>
      </c>
    </row>
    <row r="3446" customFormat="false" ht="15" hidden="false" customHeight="true" outlineLevel="0" collapsed="false">
      <c r="P3446" s="1" t="str">
        <f aca="false">IF(OR(F3446="",H3446="",J3446=""),"",J3446&amp;"|"&amp;F3446&amp;"|"&amp;IF(H3446="W3","W3_"&amp;IF(I3446="","unknown",I3446),H3446))</f>
        <v/>
      </c>
      <c r="Q3446" s="1" t="str">
        <f aca="false">IF(P3446="","",IFERROR(IF(AND(H3446="W7",OR(F3446="causal",F3446="predictive")),IF(AND(K3446=1,L3446=1,M3446=1),"adequate","partial"),INDEX(Fit_Matrix!$B:$B,MATCH(P3446,Fit_Matrix!$A:$A,0))),"CHECK KEY"))</f>
        <v/>
      </c>
    </row>
    <row r="3447" customFormat="false" ht="15" hidden="false" customHeight="true" outlineLevel="0" collapsed="false">
      <c r="P3447" s="1" t="str">
        <f aca="false">IF(OR(F3447="",H3447="",J3447=""),"",J3447&amp;"|"&amp;F3447&amp;"|"&amp;IF(H3447="W3","W3_"&amp;IF(I3447="","unknown",I3447),H3447))</f>
        <v/>
      </c>
      <c r="Q3447" s="1" t="str">
        <f aca="false">IF(P3447="","",IFERROR(IF(AND(H3447="W7",OR(F3447="causal",F3447="predictive")),IF(AND(K3447=1,L3447=1,M3447=1),"adequate","partial"),INDEX(Fit_Matrix!$B:$B,MATCH(P3447,Fit_Matrix!$A:$A,0))),"CHECK KEY"))</f>
        <v/>
      </c>
    </row>
    <row r="3448" customFormat="false" ht="15" hidden="false" customHeight="true" outlineLevel="0" collapsed="false">
      <c r="P3448" s="1" t="str">
        <f aca="false">IF(OR(F3448="",H3448="",J3448=""),"",J3448&amp;"|"&amp;F3448&amp;"|"&amp;IF(H3448="W3","W3_"&amp;IF(I3448="","unknown",I3448),H3448))</f>
        <v/>
      </c>
      <c r="Q3448" s="1" t="str">
        <f aca="false">IF(P3448="","",IFERROR(IF(AND(H3448="W7",OR(F3448="causal",F3448="predictive")),IF(AND(K3448=1,L3448=1,M3448=1),"adequate","partial"),INDEX(Fit_Matrix!$B:$B,MATCH(P3448,Fit_Matrix!$A:$A,0))),"CHECK KEY"))</f>
        <v/>
      </c>
    </row>
    <row r="3449" customFormat="false" ht="15" hidden="false" customHeight="true" outlineLevel="0" collapsed="false">
      <c r="P3449" s="1" t="str">
        <f aca="false">IF(OR(F3449="",H3449="",J3449=""),"",J3449&amp;"|"&amp;F3449&amp;"|"&amp;IF(H3449="W3","W3_"&amp;IF(I3449="","unknown",I3449),H3449))</f>
        <v/>
      </c>
      <c r="Q3449" s="1" t="str">
        <f aca="false">IF(P3449="","",IFERROR(IF(AND(H3449="W7",OR(F3449="causal",F3449="predictive")),IF(AND(K3449=1,L3449=1,M3449=1),"adequate","partial"),INDEX(Fit_Matrix!$B:$B,MATCH(P3449,Fit_Matrix!$A:$A,0))),"CHECK KEY"))</f>
        <v/>
      </c>
    </row>
    <row r="3450" customFormat="false" ht="15" hidden="false" customHeight="true" outlineLevel="0" collapsed="false">
      <c r="P3450" s="1" t="str">
        <f aca="false">IF(OR(F3450="",H3450="",J3450=""),"",J3450&amp;"|"&amp;F3450&amp;"|"&amp;IF(H3450="W3","W3_"&amp;IF(I3450="","unknown",I3450),H3450))</f>
        <v/>
      </c>
      <c r="Q3450" s="1" t="str">
        <f aca="false">IF(P3450="","",IFERROR(IF(AND(H3450="W7",OR(F3450="causal",F3450="predictive")),IF(AND(K3450=1,L3450=1,M3450=1),"adequate","partial"),INDEX(Fit_Matrix!$B:$B,MATCH(P3450,Fit_Matrix!$A:$A,0))),"CHECK KEY"))</f>
        <v/>
      </c>
    </row>
    <row r="3451" customFormat="false" ht="15" hidden="false" customHeight="true" outlineLevel="0" collapsed="false">
      <c r="P3451" s="1" t="str">
        <f aca="false">IF(OR(F3451="",H3451="",J3451=""),"",J3451&amp;"|"&amp;F3451&amp;"|"&amp;IF(H3451="W3","W3_"&amp;IF(I3451="","unknown",I3451),H3451))</f>
        <v/>
      </c>
      <c r="Q3451" s="1" t="str">
        <f aca="false">IF(P3451="","",IFERROR(IF(AND(H3451="W7",OR(F3451="causal",F3451="predictive")),IF(AND(K3451=1,L3451=1,M3451=1),"adequate","partial"),INDEX(Fit_Matrix!$B:$B,MATCH(P3451,Fit_Matrix!$A:$A,0))),"CHECK KEY"))</f>
        <v/>
      </c>
    </row>
    <row r="3452" customFormat="false" ht="15" hidden="false" customHeight="true" outlineLevel="0" collapsed="false">
      <c r="P3452" s="1" t="str">
        <f aca="false">IF(OR(F3452="",H3452="",J3452=""),"",J3452&amp;"|"&amp;F3452&amp;"|"&amp;IF(H3452="W3","W3_"&amp;IF(I3452="","unknown",I3452),H3452))</f>
        <v/>
      </c>
      <c r="Q3452" s="1" t="str">
        <f aca="false">IF(P3452="","",IFERROR(IF(AND(H3452="W7",OR(F3452="causal",F3452="predictive")),IF(AND(K3452=1,L3452=1,M3452=1),"adequate","partial"),INDEX(Fit_Matrix!$B:$B,MATCH(P3452,Fit_Matrix!$A:$A,0))),"CHECK KEY"))</f>
        <v/>
      </c>
    </row>
    <row r="3453" customFormat="false" ht="15" hidden="false" customHeight="true" outlineLevel="0" collapsed="false">
      <c r="P3453" s="1" t="str">
        <f aca="false">IF(OR(F3453="",H3453="",J3453=""),"",J3453&amp;"|"&amp;F3453&amp;"|"&amp;IF(H3453="W3","W3_"&amp;IF(I3453="","unknown",I3453),H3453))</f>
        <v/>
      </c>
      <c r="Q3453" s="1" t="str">
        <f aca="false">IF(P3453="","",IFERROR(IF(AND(H3453="W7",OR(F3453="causal",F3453="predictive")),IF(AND(K3453=1,L3453=1,M3453=1),"adequate","partial"),INDEX(Fit_Matrix!$B:$B,MATCH(P3453,Fit_Matrix!$A:$A,0))),"CHECK KEY"))</f>
        <v/>
      </c>
    </row>
    <row r="3454" customFormat="false" ht="15" hidden="false" customHeight="true" outlineLevel="0" collapsed="false">
      <c r="P3454" s="1" t="str">
        <f aca="false">IF(OR(F3454="",H3454="",J3454=""),"",J3454&amp;"|"&amp;F3454&amp;"|"&amp;IF(H3454="W3","W3_"&amp;IF(I3454="","unknown",I3454),H3454))</f>
        <v/>
      </c>
      <c r="Q3454" s="1" t="str">
        <f aca="false">IF(P3454="","",IFERROR(IF(AND(H3454="W7",OR(F3454="causal",F3454="predictive")),IF(AND(K3454=1,L3454=1,M3454=1),"adequate","partial"),INDEX(Fit_Matrix!$B:$B,MATCH(P3454,Fit_Matrix!$A:$A,0))),"CHECK KEY"))</f>
        <v/>
      </c>
    </row>
    <row r="3455" customFormat="false" ht="15" hidden="false" customHeight="true" outlineLevel="0" collapsed="false">
      <c r="P3455" s="1" t="str">
        <f aca="false">IF(OR(F3455="",H3455="",J3455=""),"",J3455&amp;"|"&amp;F3455&amp;"|"&amp;IF(H3455="W3","W3_"&amp;IF(I3455="","unknown",I3455),H3455))</f>
        <v/>
      </c>
      <c r="Q3455" s="1" t="str">
        <f aca="false">IF(P3455="","",IFERROR(IF(AND(H3455="W7",OR(F3455="causal",F3455="predictive")),IF(AND(K3455=1,L3455=1,M3455=1),"adequate","partial"),INDEX(Fit_Matrix!$B:$B,MATCH(P3455,Fit_Matrix!$A:$A,0))),"CHECK KEY"))</f>
        <v/>
      </c>
    </row>
    <row r="3456" customFormat="false" ht="15" hidden="false" customHeight="true" outlineLevel="0" collapsed="false">
      <c r="P3456" s="1" t="str">
        <f aca="false">IF(OR(F3456="",H3456="",J3456=""),"",J3456&amp;"|"&amp;F3456&amp;"|"&amp;IF(H3456="W3","W3_"&amp;IF(I3456="","unknown",I3456),H3456))</f>
        <v/>
      </c>
      <c r="Q3456" s="1" t="str">
        <f aca="false">IF(P3456="","",IFERROR(IF(AND(H3456="W7",OR(F3456="causal",F3456="predictive")),IF(AND(K3456=1,L3456=1,M3456=1),"adequate","partial"),INDEX(Fit_Matrix!$B:$B,MATCH(P3456,Fit_Matrix!$A:$A,0))),"CHECK KEY"))</f>
        <v/>
      </c>
    </row>
    <row r="3457" customFormat="false" ht="15" hidden="false" customHeight="true" outlineLevel="0" collapsed="false">
      <c r="P3457" s="1" t="str">
        <f aca="false">IF(OR(F3457="",H3457="",J3457=""),"",J3457&amp;"|"&amp;F3457&amp;"|"&amp;IF(H3457="W3","W3_"&amp;IF(I3457="","unknown",I3457),H3457))</f>
        <v/>
      </c>
      <c r="Q3457" s="1" t="str">
        <f aca="false">IF(P3457="","",IFERROR(IF(AND(H3457="W7",OR(F3457="causal",F3457="predictive")),IF(AND(K3457=1,L3457=1,M3457=1),"adequate","partial"),INDEX(Fit_Matrix!$B:$B,MATCH(P3457,Fit_Matrix!$A:$A,0))),"CHECK KEY"))</f>
        <v/>
      </c>
    </row>
    <row r="3458" customFormat="false" ht="15" hidden="false" customHeight="true" outlineLevel="0" collapsed="false">
      <c r="P3458" s="1" t="str">
        <f aca="false">IF(OR(F3458="",H3458="",J3458=""),"",J3458&amp;"|"&amp;F3458&amp;"|"&amp;IF(H3458="W3","W3_"&amp;IF(I3458="","unknown",I3458),H3458))</f>
        <v/>
      </c>
      <c r="Q3458" s="1" t="str">
        <f aca="false">IF(P3458="","",IFERROR(IF(AND(H3458="W7",OR(F3458="causal",F3458="predictive")),IF(AND(K3458=1,L3458=1,M3458=1),"adequate","partial"),INDEX(Fit_Matrix!$B:$B,MATCH(P3458,Fit_Matrix!$A:$A,0))),"CHECK KEY"))</f>
        <v/>
      </c>
    </row>
    <row r="3459" customFormat="false" ht="15" hidden="false" customHeight="true" outlineLevel="0" collapsed="false">
      <c r="P3459" s="1" t="str">
        <f aca="false">IF(OR(F3459="",H3459="",J3459=""),"",J3459&amp;"|"&amp;F3459&amp;"|"&amp;IF(H3459="W3","W3_"&amp;IF(I3459="","unknown",I3459),H3459))</f>
        <v/>
      </c>
      <c r="Q3459" s="1" t="str">
        <f aca="false">IF(P3459="","",IFERROR(IF(AND(H3459="W7",OR(F3459="causal",F3459="predictive")),IF(AND(K3459=1,L3459=1,M3459=1),"adequate","partial"),INDEX(Fit_Matrix!$B:$B,MATCH(P3459,Fit_Matrix!$A:$A,0))),"CHECK KEY"))</f>
        <v/>
      </c>
    </row>
    <row r="3460" customFormat="false" ht="15" hidden="false" customHeight="true" outlineLevel="0" collapsed="false">
      <c r="P3460" s="1" t="str">
        <f aca="false">IF(OR(F3460="",H3460="",J3460=""),"",J3460&amp;"|"&amp;F3460&amp;"|"&amp;IF(H3460="W3","W3_"&amp;IF(I3460="","unknown",I3460),H3460))</f>
        <v/>
      </c>
      <c r="Q3460" s="1" t="str">
        <f aca="false">IF(P3460="","",IFERROR(IF(AND(H3460="W7",OR(F3460="causal",F3460="predictive")),IF(AND(K3460=1,L3460=1,M3460=1),"adequate","partial"),INDEX(Fit_Matrix!$B:$B,MATCH(P3460,Fit_Matrix!$A:$A,0))),"CHECK KEY"))</f>
        <v/>
      </c>
    </row>
    <row r="3461" customFormat="false" ht="15" hidden="false" customHeight="true" outlineLevel="0" collapsed="false">
      <c r="P3461" s="1" t="str">
        <f aca="false">IF(OR(F3461="",H3461="",J3461=""),"",J3461&amp;"|"&amp;F3461&amp;"|"&amp;IF(H3461="W3","W3_"&amp;IF(I3461="","unknown",I3461),H3461))</f>
        <v/>
      </c>
      <c r="Q3461" s="1" t="str">
        <f aca="false">IF(P3461="","",IFERROR(IF(AND(H3461="W7",OR(F3461="causal",F3461="predictive")),IF(AND(K3461=1,L3461=1,M3461=1),"adequate","partial"),INDEX(Fit_Matrix!$B:$B,MATCH(P3461,Fit_Matrix!$A:$A,0))),"CHECK KEY"))</f>
        <v/>
      </c>
    </row>
    <row r="3462" customFormat="false" ht="15" hidden="false" customHeight="true" outlineLevel="0" collapsed="false">
      <c r="P3462" s="1" t="str">
        <f aca="false">IF(OR(F3462="",H3462="",J3462=""),"",J3462&amp;"|"&amp;F3462&amp;"|"&amp;IF(H3462="W3","W3_"&amp;IF(I3462="","unknown",I3462),H3462))</f>
        <v/>
      </c>
      <c r="Q3462" s="1" t="str">
        <f aca="false">IF(P3462="","",IFERROR(IF(AND(H3462="W7",OR(F3462="causal",F3462="predictive")),IF(AND(K3462=1,L3462=1,M3462=1),"adequate","partial"),INDEX(Fit_Matrix!$B:$B,MATCH(P3462,Fit_Matrix!$A:$A,0))),"CHECK KEY"))</f>
        <v/>
      </c>
    </row>
    <row r="3463" customFormat="false" ht="15" hidden="false" customHeight="true" outlineLevel="0" collapsed="false">
      <c r="P3463" s="1" t="str">
        <f aca="false">IF(OR(F3463="",H3463="",J3463=""),"",J3463&amp;"|"&amp;F3463&amp;"|"&amp;IF(H3463="W3","W3_"&amp;IF(I3463="","unknown",I3463),H3463))</f>
        <v/>
      </c>
      <c r="Q3463" s="1" t="str">
        <f aca="false">IF(P3463="","",IFERROR(IF(AND(H3463="W7",OR(F3463="causal",F3463="predictive")),IF(AND(K3463=1,L3463=1,M3463=1),"adequate","partial"),INDEX(Fit_Matrix!$B:$B,MATCH(P3463,Fit_Matrix!$A:$A,0))),"CHECK KEY"))</f>
        <v/>
      </c>
    </row>
    <row r="3464" customFormat="false" ht="15" hidden="false" customHeight="true" outlineLevel="0" collapsed="false">
      <c r="P3464" s="1" t="str">
        <f aca="false">IF(OR(F3464="",H3464="",J3464=""),"",J3464&amp;"|"&amp;F3464&amp;"|"&amp;IF(H3464="W3","W3_"&amp;IF(I3464="","unknown",I3464),H3464))</f>
        <v/>
      </c>
      <c r="Q3464" s="1" t="str">
        <f aca="false">IF(P3464="","",IFERROR(IF(AND(H3464="W7",OR(F3464="causal",F3464="predictive")),IF(AND(K3464=1,L3464=1,M3464=1),"adequate","partial"),INDEX(Fit_Matrix!$B:$B,MATCH(P3464,Fit_Matrix!$A:$A,0))),"CHECK KEY"))</f>
        <v/>
      </c>
    </row>
    <row r="3465" customFormat="false" ht="15" hidden="false" customHeight="true" outlineLevel="0" collapsed="false">
      <c r="P3465" s="1" t="str">
        <f aca="false">IF(OR(F3465="",H3465="",J3465=""),"",J3465&amp;"|"&amp;F3465&amp;"|"&amp;IF(H3465="W3","W3_"&amp;IF(I3465="","unknown",I3465),H3465))</f>
        <v/>
      </c>
      <c r="Q3465" s="1" t="str">
        <f aca="false">IF(P3465="","",IFERROR(IF(AND(H3465="W7",OR(F3465="causal",F3465="predictive")),IF(AND(K3465=1,L3465=1,M3465=1),"adequate","partial"),INDEX(Fit_Matrix!$B:$B,MATCH(P3465,Fit_Matrix!$A:$A,0))),"CHECK KEY"))</f>
        <v/>
      </c>
    </row>
    <row r="3466" customFormat="false" ht="15" hidden="false" customHeight="true" outlineLevel="0" collapsed="false">
      <c r="P3466" s="1" t="str">
        <f aca="false">IF(OR(F3466="",H3466="",J3466=""),"",J3466&amp;"|"&amp;F3466&amp;"|"&amp;IF(H3466="W3","W3_"&amp;IF(I3466="","unknown",I3466),H3466))</f>
        <v/>
      </c>
      <c r="Q3466" s="1" t="str">
        <f aca="false">IF(P3466="","",IFERROR(IF(AND(H3466="W7",OR(F3466="causal",F3466="predictive")),IF(AND(K3466=1,L3466=1,M3466=1),"adequate","partial"),INDEX(Fit_Matrix!$B:$B,MATCH(P3466,Fit_Matrix!$A:$A,0))),"CHECK KEY"))</f>
        <v/>
      </c>
    </row>
    <row r="3467" customFormat="false" ht="15" hidden="false" customHeight="true" outlineLevel="0" collapsed="false">
      <c r="P3467" s="1" t="str">
        <f aca="false">IF(OR(F3467="",H3467="",J3467=""),"",J3467&amp;"|"&amp;F3467&amp;"|"&amp;IF(H3467="W3","W3_"&amp;IF(I3467="","unknown",I3467),H3467))</f>
        <v/>
      </c>
      <c r="Q3467" s="1" t="str">
        <f aca="false">IF(P3467="","",IFERROR(IF(AND(H3467="W7",OR(F3467="causal",F3467="predictive")),IF(AND(K3467=1,L3467=1,M3467=1),"adequate","partial"),INDEX(Fit_Matrix!$B:$B,MATCH(P3467,Fit_Matrix!$A:$A,0))),"CHECK KEY"))</f>
        <v/>
      </c>
    </row>
    <row r="3468" customFormat="false" ht="15" hidden="false" customHeight="true" outlineLevel="0" collapsed="false">
      <c r="P3468" s="1" t="str">
        <f aca="false">IF(OR(F3468="",H3468="",J3468=""),"",J3468&amp;"|"&amp;F3468&amp;"|"&amp;IF(H3468="W3","W3_"&amp;IF(I3468="","unknown",I3468),H3468))</f>
        <v/>
      </c>
      <c r="Q3468" s="1" t="str">
        <f aca="false">IF(P3468="","",IFERROR(IF(AND(H3468="W7",OR(F3468="causal",F3468="predictive")),IF(AND(K3468=1,L3468=1,M3468=1),"adequate","partial"),INDEX(Fit_Matrix!$B:$B,MATCH(P3468,Fit_Matrix!$A:$A,0))),"CHECK KEY"))</f>
        <v/>
      </c>
    </row>
    <row r="3469" customFormat="false" ht="15" hidden="false" customHeight="true" outlineLevel="0" collapsed="false">
      <c r="P3469" s="1" t="str">
        <f aca="false">IF(OR(F3469="",H3469="",J3469=""),"",J3469&amp;"|"&amp;F3469&amp;"|"&amp;IF(H3469="W3","W3_"&amp;IF(I3469="","unknown",I3469),H3469))</f>
        <v/>
      </c>
      <c r="Q3469" s="1" t="str">
        <f aca="false">IF(P3469="","",IFERROR(IF(AND(H3469="W7",OR(F3469="causal",F3469="predictive")),IF(AND(K3469=1,L3469=1,M3469=1),"adequate","partial"),INDEX(Fit_Matrix!$B:$B,MATCH(P3469,Fit_Matrix!$A:$A,0))),"CHECK KEY"))</f>
        <v/>
      </c>
    </row>
    <row r="3470" customFormat="false" ht="15" hidden="false" customHeight="true" outlineLevel="0" collapsed="false">
      <c r="P3470" s="1" t="str">
        <f aca="false">IF(OR(F3470="",H3470="",J3470=""),"",J3470&amp;"|"&amp;F3470&amp;"|"&amp;IF(H3470="W3","W3_"&amp;IF(I3470="","unknown",I3470),H3470))</f>
        <v/>
      </c>
      <c r="Q3470" s="1" t="str">
        <f aca="false">IF(P3470="","",IFERROR(IF(AND(H3470="W7",OR(F3470="causal",F3470="predictive")),IF(AND(K3470=1,L3470=1,M3470=1),"adequate","partial"),INDEX(Fit_Matrix!$B:$B,MATCH(P3470,Fit_Matrix!$A:$A,0))),"CHECK KEY"))</f>
        <v/>
      </c>
    </row>
    <row r="3471" customFormat="false" ht="15" hidden="false" customHeight="true" outlineLevel="0" collapsed="false">
      <c r="P3471" s="1" t="str">
        <f aca="false">IF(OR(F3471="",H3471="",J3471=""),"",J3471&amp;"|"&amp;F3471&amp;"|"&amp;IF(H3471="W3","W3_"&amp;IF(I3471="","unknown",I3471),H3471))</f>
        <v/>
      </c>
      <c r="Q3471" s="1" t="str">
        <f aca="false">IF(P3471="","",IFERROR(IF(AND(H3471="W7",OR(F3471="causal",F3471="predictive")),IF(AND(K3471=1,L3471=1,M3471=1),"adequate","partial"),INDEX(Fit_Matrix!$B:$B,MATCH(P3471,Fit_Matrix!$A:$A,0))),"CHECK KEY"))</f>
        <v/>
      </c>
    </row>
    <row r="3472" customFormat="false" ht="15" hidden="false" customHeight="true" outlineLevel="0" collapsed="false">
      <c r="P3472" s="1" t="str">
        <f aca="false">IF(OR(F3472="",H3472="",J3472=""),"",J3472&amp;"|"&amp;F3472&amp;"|"&amp;IF(H3472="W3","W3_"&amp;IF(I3472="","unknown",I3472),H3472))</f>
        <v/>
      </c>
      <c r="Q3472" s="1" t="str">
        <f aca="false">IF(P3472="","",IFERROR(IF(AND(H3472="W7",OR(F3472="causal",F3472="predictive")),IF(AND(K3472=1,L3472=1,M3472=1),"adequate","partial"),INDEX(Fit_Matrix!$B:$B,MATCH(P3472,Fit_Matrix!$A:$A,0))),"CHECK KEY"))</f>
        <v/>
      </c>
    </row>
    <row r="3473" customFormat="false" ht="15" hidden="false" customHeight="true" outlineLevel="0" collapsed="false">
      <c r="P3473" s="1" t="str">
        <f aca="false">IF(OR(F3473="",H3473="",J3473=""),"",J3473&amp;"|"&amp;F3473&amp;"|"&amp;IF(H3473="W3","W3_"&amp;IF(I3473="","unknown",I3473),H3473))</f>
        <v/>
      </c>
      <c r="Q3473" s="1" t="str">
        <f aca="false">IF(P3473="","",IFERROR(IF(AND(H3473="W7",OR(F3473="causal",F3473="predictive")),IF(AND(K3473=1,L3473=1,M3473=1),"adequate","partial"),INDEX(Fit_Matrix!$B:$B,MATCH(P3473,Fit_Matrix!$A:$A,0))),"CHECK KEY"))</f>
        <v/>
      </c>
    </row>
    <row r="3474" customFormat="false" ht="15" hidden="false" customHeight="true" outlineLevel="0" collapsed="false">
      <c r="P3474" s="1" t="str">
        <f aca="false">IF(OR(F3474="",H3474="",J3474=""),"",J3474&amp;"|"&amp;F3474&amp;"|"&amp;IF(H3474="W3","W3_"&amp;IF(I3474="","unknown",I3474),H3474))</f>
        <v/>
      </c>
      <c r="Q3474" s="1" t="str">
        <f aca="false">IF(P3474="","",IFERROR(IF(AND(H3474="W7",OR(F3474="causal",F3474="predictive")),IF(AND(K3474=1,L3474=1,M3474=1),"adequate","partial"),INDEX(Fit_Matrix!$B:$B,MATCH(P3474,Fit_Matrix!$A:$A,0))),"CHECK KEY"))</f>
        <v/>
      </c>
    </row>
    <row r="3475" customFormat="false" ht="15" hidden="false" customHeight="true" outlineLevel="0" collapsed="false">
      <c r="P3475" s="1" t="str">
        <f aca="false">IF(OR(F3475="",H3475="",J3475=""),"",J3475&amp;"|"&amp;F3475&amp;"|"&amp;IF(H3475="W3","W3_"&amp;IF(I3475="","unknown",I3475),H3475))</f>
        <v/>
      </c>
      <c r="Q3475" s="1" t="str">
        <f aca="false">IF(P3475="","",IFERROR(IF(AND(H3475="W7",OR(F3475="causal",F3475="predictive")),IF(AND(K3475=1,L3475=1,M3475=1),"adequate","partial"),INDEX(Fit_Matrix!$B:$B,MATCH(P3475,Fit_Matrix!$A:$A,0))),"CHECK KEY"))</f>
        <v/>
      </c>
    </row>
    <row r="3476" customFormat="false" ht="15" hidden="false" customHeight="true" outlineLevel="0" collapsed="false">
      <c r="P3476" s="1" t="str">
        <f aca="false">IF(OR(F3476="",H3476="",J3476=""),"",J3476&amp;"|"&amp;F3476&amp;"|"&amp;IF(H3476="W3","W3_"&amp;IF(I3476="","unknown",I3476),H3476))</f>
        <v/>
      </c>
      <c r="Q3476" s="1" t="str">
        <f aca="false">IF(P3476="","",IFERROR(IF(AND(H3476="W7",OR(F3476="causal",F3476="predictive")),IF(AND(K3476=1,L3476=1,M3476=1),"adequate","partial"),INDEX(Fit_Matrix!$B:$B,MATCH(P3476,Fit_Matrix!$A:$A,0))),"CHECK KEY"))</f>
        <v/>
      </c>
    </row>
    <row r="3477" customFormat="false" ht="15" hidden="false" customHeight="true" outlineLevel="0" collapsed="false">
      <c r="P3477" s="1" t="str">
        <f aca="false">IF(OR(F3477="",H3477="",J3477=""),"",J3477&amp;"|"&amp;F3477&amp;"|"&amp;IF(H3477="W3","W3_"&amp;IF(I3477="","unknown",I3477),H3477))</f>
        <v/>
      </c>
      <c r="Q3477" s="1" t="str">
        <f aca="false">IF(P3477="","",IFERROR(IF(AND(H3477="W7",OR(F3477="causal",F3477="predictive")),IF(AND(K3477=1,L3477=1,M3477=1),"adequate","partial"),INDEX(Fit_Matrix!$B:$B,MATCH(P3477,Fit_Matrix!$A:$A,0))),"CHECK KEY"))</f>
        <v/>
      </c>
    </row>
    <row r="3478" customFormat="false" ht="15" hidden="false" customHeight="true" outlineLevel="0" collapsed="false">
      <c r="P3478" s="1" t="str">
        <f aca="false">IF(OR(F3478="",H3478="",J3478=""),"",J3478&amp;"|"&amp;F3478&amp;"|"&amp;IF(H3478="W3","W3_"&amp;IF(I3478="","unknown",I3478),H3478))</f>
        <v/>
      </c>
      <c r="Q3478" s="1" t="str">
        <f aca="false">IF(P3478="","",IFERROR(IF(AND(H3478="W7",OR(F3478="causal",F3478="predictive")),IF(AND(K3478=1,L3478=1,M3478=1),"adequate","partial"),INDEX(Fit_Matrix!$B:$B,MATCH(P3478,Fit_Matrix!$A:$A,0))),"CHECK KEY"))</f>
        <v/>
      </c>
    </row>
    <row r="3479" customFormat="false" ht="15" hidden="false" customHeight="true" outlineLevel="0" collapsed="false">
      <c r="P3479" s="1" t="str">
        <f aca="false">IF(OR(F3479="",H3479="",J3479=""),"",J3479&amp;"|"&amp;F3479&amp;"|"&amp;IF(H3479="W3","W3_"&amp;IF(I3479="","unknown",I3479),H3479))</f>
        <v/>
      </c>
      <c r="Q3479" s="1" t="str">
        <f aca="false">IF(P3479="","",IFERROR(IF(AND(H3479="W7",OR(F3479="causal",F3479="predictive")),IF(AND(K3479=1,L3479=1,M3479=1),"adequate","partial"),INDEX(Fit_Matrix!$B:$B,MATCH(P3479,Fit_Matrix!$A:$A,0))),"CHECK KEY"))</f>
        <v/>
      </c>
    </row>
    <row r="3480" customFormat="false" ht="15" hidden="false" customHeight="true" outlineLevel="0" collapsed="false">
      <c r="P3480" s="1" t="str">
        <f aca="false">IF(OR(F3480="",H3480="",J3480=""),"",J3480&amp;"|"&amp;F3480&amp;"|"&amp;IF(H3480="W3","W3_"&amp;IF(I3480="","unknown",I3480),H3480))</f>
        <v/>
      </c>
      <c r="Q3480" s="1" t="str">
        <f aca="false">IF(P3480="","",IFERROR(IF(AND(H3480="W7",OR(F3480="causal",F3480="predictive")),IF(AND(K3480=1,L3480=1,M3480=1),"adequate","partial"),INDEX(Fit_Matrix!$B:$B,MATCH(P3480,Fit_Matrix!$A:$A,0))),"CHECK KEY"))</f>
        <v/>
      </c>
    </row>
    <row r="3481" customFormat="false" ht="15" hidden="false" customHeight="true" outlineLevel="0" collapsed="false">
      <c r="P3481" s="1" t="str">
        <f aca="false">IF(OR(F3481="",H3481="",J3481=""),"",J3481&amp;"|"&amp;F3481&amp;"|"&amp;IF(H3481="W3","W3_"&amp;IF(I3481="","unknown",I3481),H3481))</f>
        <v/>
      </c>
      <c r="Q3481" s="1" t="str">
        <f aca="false">IF(P3481="","",IFERROR(IF(AND(H3481="W7",OR(F3481="causal",F3481="predictive")),IF(AND(K3481=1,L3481=1,M3481=1),"adequate","partial"),INDEX(Fit_Matrix!$B:$B,MATCH(P3481,Fit_Matrix!$A:$A,0))),"CHECK KEY"))</f>
        <v/>
      </c>
    </row>
    <row r="3482" customFormat="false" ht="15" hidden="false" customHeight="true" outlineLevel="0" collapsed="false">
      <c r="P3482" s="1" t="str">
        <f aca="false">IF(OR(F3482="",H3482="",J3482=""),"",J3482&amp;"|"&amp;F3482&amp;"|"&amp;IF(H3482="W3","W3_"&amp;IF(I3482="","unknown",I3482),H3482))</f>
        <v/>
      </c>
      <c r="Q3482" s="1" t="str">
        <f aca="false">IF(P3482="","",IFERROR(IF(AND(H3482="W7",OR(F3482="causal",F3482="predictive")),IF(AND(K3482=1,L3482=1,M3482=1),"adequate","partial"),INDEX(Fit_Matrix!$B:$B,MATCH(P3482,Fit_Matrix!$A:$A,0))),"CHECK KEY"))</f>
        <v/>
      </c>
    </row>
    <row r="3483" customFormat="false" ht="15" hidden="false" customHeight="true" outlineLevel="0" collapsed="false">
      <c r="P3483" s="1" t="str">
        <f aca="false">IF(OR(F3483="",H3483="",J3483=""),"",J3483&amp;"|"&amp;F3483&amp;"|"&amp;IF(H3483="W3","W3_"&amp;IF(I3483="","unknown",I3483),H3483))</f>
        <v/>
      </c>
      <c r="Q3483" s="1" t="str">
        <f aca="false">IF(P3483="","",IFERROR(IF(AND(H3483="W7",OR(F3483="causal",F3483="predictive")),IF(AND(K3483=1,L3483=1,M3483=1),"adequate","partial"),INDEX(Fit_Matrix!$B:$B,MATCH(P3483,Fit_Matrix!$A:$A,0))),"CHECK KEY"))</f>
        <v/>
      </c>
    </row>
    <row r="3484" customFormat="false" ht="15" hidden="false" customHeight="true" outlineLevel="0" collapsed="false">
      <c r="P3484" s="1" t="str">
        <f aca="false">IF(OR(F3484="",H3484="",J3484=""),"",J3484&amp;"|"&amp;F3484&amp;"|"&amp;IF(H3484="W3","W3_"&amp;IF(I3484="","unknown",I3484),H3484))</f>
        <v/>
      </c>
      <c r="Q3484" s="1" t="str">
        <f aca="false">IF(P3484="","",IFERROR(IF(AND(H3484="W7",OR(F3484="causal",F3484="predictive")),IF(AND(K3484=1,L3484=1,M3484=1),"adequate","partial"),INDEX(Fit_Matrix!$B:$B,MATCH(P3484,Fit_Matrix!$A:$A,0))),"CHECK KEY"))</f>
        <v/>
      </c>
    </row>
    <row r="3485" customFormat="false" ht="15" hidden="false" customHeight="true" outlineLevel="0" collapsed="false">
      <c r="P3485" s="1" t="str">
        <f aca="false">IF(OR(F3485="",H3485="",J3485=""),"",J3485&amp;"|"&amp;F3485&amp;"|"&amp;IF(H3485="W3","W3_"&amp;IF(I3485="","unknown",I3485),H3485))</f>
        <v/>
      </c>
      <c r="Q3485" s="1" t="str">
        <f aca="false">IF(P3485="","",IFERROR(IF(AND(H3485="W7",OR(F3485="causal",F3485="predictive")),IF(AND(K3485=1,L3485=1,M3485=1),"adequate","partial"),INDEX(Fit_Matrix!$B:$B,MATCH(P3485,Fit_Matrix!$A:$A,0))),"CHECK KEY"))</f>
        <v/>
      </c>
    </row>
    <row r="3486" customFormat="false" ht="15" hidden="false" customHeight="true" outlineLevel="0" collapsed="false">
      <c r="P3486" s="1" t="str">
        <f aca="false">IF(OR(F3486="",H3486="",J3486=""),"",J3486&amp;"|"&amp;F3486&amp;"|"&amp;IF(H3486="W3","W3_"&amp;IF(I3486="","unknown",I3486),H3486))</f>
        <v/>
      </c>
      <c r="Q3486" s="1" t="str">
        <f aca="false">IF(P3486="","",IFERROR(IF(AND(H3486="W7",OR(F3486="causal",F3486="predictive")),IF(AND(K3486=1,L3486=1,M3486=1),"adequate","partial"),INDEX(Fit_Matrix!$B:$B,MATCH(P3486,Fit_Matrix!$A:$A,0))),"CHECK KEY"))</f>
        <v/>
      </c>
    </row>
    <row r="3487" customFormat="false" ht="15" hidden="false" customHeight="true" outlineLevel="0" collapsed="false">
      <c r="P3487" s="1" t="str">
        <f aca="false">IF(OR(F3487="",H3487="",J3487=""),"",J3487&amp;"|"&amp;F3487&amp;"|"&amp;IF(H3487="W3","W3_"&amp;IF(I3487="","unknown",I3487),H3487))</f>
        <v/>
      </c>
      <c r="Q3487" s="1" t="str">
        <f aca="false">IF(P3487="","",IFERROR(IF(AND(H3487="W7",OR(F3487="causal",F3487="predictive")),IF(AND(K3487=1,L3487=1,M3487=1),"adequate","partial"),INDEX(Fit_Matrix!$B:$B,MATCH(P3487,Fit_Matrix!$A:$A,0))),"CHECK KEY"))</f>
        <v/>
      </c>
    </row>
    <row r="3488" customFormat="false" ht="15" hidden="false" customHeight="true" outlineLevel="0" collapsed="false">
      <c r="P3488" s="1" t="str">
        <f aca="false">IF(OR(F3488="",H3488="",J3488=""),"",J3488&amp;"|"&amp;F3488&amp;"|"&amp;IF(H3488="W3","W3_"&amp;IF(I3488="","unknown",I3488),H3488))</f>
        <v/>
      </c>
      <c r="Q3488" s="1" t="str">
        <f aca="false">IF(P3488="","",IFERROR(IF(AND(H3488="W7",OR(F3488="causal",F3488="predictive")),IF(AND(K3488=1,L3488=1,M3488=1),"adequate","partial"),INDEX(Fit_Matrix!$B:$B,MATCH(P3488,Fit_Matrix!$A:$A,0))),"CHECK KEY"))</f>
        <v/>
      </c>
    </row>
    <row r="3489" customFormat="false" ht="15" hidden="false" customHeight="true" outlineLevel="0" collapsed="false">
      <c r="P3489" s="1" t="str">
        <f aca="false">IF(OR(F3489="",H3489="",J3489=""),"",J3489&amp;"|"&amp;F3489&amp;"|"&amp;IF(H3489="W3","W3_"&amp;IF(I3489="","unknown",I3489),H3489))</f>
        <v/>
      </c>
      <c r="Q3489" s="1" t="str">
        <f aca="false">IF(P3489="","",IFERROR(IF(AND(H3489="W7",OR(F3489="causal",F3489="predictive")),IF(AND(K3489=1,L3489=1,M3489=1),"adequate","partial"),INDEX(Fit_Matrix!$B:$B,MATCH(P3489,Fit_Matrix!$A:$A,0))),"CHECK KEY"))</f>
        <v/>
      </c>
    </row>
    <row r="3490" customFormat="false" ht="15" hidden="false" customHeight="true" outlineLevel="0" collapsed="false">
      <c r="P3490" s="1" t="str">
        <f aca="false">IF(OR(F3490="",H3490="",J3490=""),"",J3490&amp;"|"&amp;F3490&amp;"|"&amp;IF(H3490="W3","W3_"&amp;IF(I3490="","unknown",I3490),H3490))</f>
        <v/>
      </c>
      <c r="Q3490" s="1" t="str">
        <f aca="false">IF(P3490="","",IFERROR(IF(AND(H3490="W7",OR(F3490="causal",F3490="predictive")),IF(AND(K3490=1,L3490=1,M3490=1),"adequate","partial"),INDEX(Fit_Matrix!$B:$B,MATCH(P3490,Fit_Matrix!$A:$A,0))),"CHECK KEY"))</f>
        <v/>
      </c>
    </row>
    <row r="3491" customFormat="false" ht="15" hidden="false" customHeight="true" outlineLevel="0" collapsed="false">
      <c r="P3491" s="1" t="str">
        <f aca="false">IF(OR(F3491="",H3491="",J3491=""),"",J3491&amp;"|"&amp;F3491&amp;"|"&amp;IF(H3491="W3","W3_"&amp;IF(I3491="","unknown",I3491),H3491))</f>
        <v/>
      </c>
      <c r="Q3491" s="1" t="str">
        <f aca="false">IF(P3491="","",IFERROR(IF(AND(H3491="W7",OR(F3491="causal",F3491="predictive")),IF(AND(K3491=1,L3491=1,M3491=1),"adequate","partial"),INDEX(Fit_Matrix!$B:$B,MATCH(P3491,Fit_Matrix!$A:$A,0))),"CHECK KEY"))</f>
        <v/>
      </c>
    </row>
    <row r="3492" customFormat="false" ht="15" hidden="false" customHeight="true" outlineLevel="0" collapsed="false">
      <c r="P3492" s="1" t="str">
        <f aca="false">IF(OR(F3492="",H3492="",J3492=""),"",J3492&amp;"|"&amp;F3492&amp;"|"&amp;IF(H3492="W3","W3_"&amp;IF(I3492="","unknown",I3492),H3492))</f>
        <v/>
      </c>
      <c r="Q3492" s="1" t="str">
        <f aca="false">IF(P3492="","",IFERROR(IF(AND(H3492="W7",OR(F3492="causal",F3492="predictive")),IF(AND(K3492=1,L3492=1,M3492=1),"adequate","partial"),INDEX(Fit_Matrix!$B:$B,MATCH(P3492,Fit_Matrix!$A:$A,0))),"CHECK KEY"))</f>
        <v/>
      </c>
    </row>
    <row r="3493" customFormat="false" ht="15" hidden="false" customHeight="true" outlineLevel="0" collapsed="false">
      <c r="P3493" s="1" t="str">
        <f aca="false">IF(OR(F3493="",H3493="",J3493=""),"",J3493&amp;"|"&amp;F3493&amp;"|"&amp;IF(H3493="W3","W3_"&amp;IF(I3493="","unknown",I3493),H3493))</f>
        <v/>
      </c>
      <c r="Q3493" s="1" t="str">
        <f aca="false">IF(P3493="","",IFERROR(IF(AND(H3493="W7",OR(F3493="causal",F3493="predictive")),IF(AND(K3493=1,L3493=1,M3493=1),"adequate","partial"),INDEX(Fit_Matrix!$B:$B,MATCH(P3493,Fit_Matrix!$A:$A,0))),"CHECK KEY"))</f>
        <v/>
      </c>
    </row>
    <row r="3494" customFormat="false" ht="15" hidden="false" customHeight="true" outlineLevel="0" collapsed="false">
      <c r="P3494" s="1" t="str">
        <f aca="false">IF(OR(F3494="",H3494="",J3494=""),"",J3494&amp;"|"&amp;F3494&amp;"|"&amp;IF(H3494="W3","W3_"&amp;IF(I3494="","unknown",I3494),H3494))</f>
        <v/>
      </c>
      <c r="Q3494" s="1" t="str">
        <f aca="false">IF(P3494="","",IFERROR(IF(AND(H3494="W7",OR(F3494="causal",F3494="predictive")),IF(AND(K3494=1,L3494=1,M3494=1),"adequate","partial"),INDEX(Fit_Matrix!$B:$B,MATCH(P3494,Fit_Matrix!$A:$A,0))),"CHECK KEY"))</f>
        <v/>
      </c>
    </row>
    <row r="3495" customFormat="false" ht="15" hidden="false" customHeight="true" outlineLevel="0" collapsed="false">
      <c r="P3495" s="1" t="str">
        <f aca="false">IF(OR(F3495="",H3495="",J3495=""),"",J3495&amp;"|"&amp;F3495&amp;"|"&amp;IF(H3495="W3","W3_"&amp;IF(I3495="","unknown",I3495),H3495))</f>
        <v/>
      </c>
      <c r="Q3495" s="1" t="str">
        <f aca="false">IF(P3495="","",IFERROR(IF(AND(H3495="W7",OR(F3495="causal",F3495="predictive")),IF(AND(K3495=1,L3495=1,M3495=1),"adequate","partial"),INDEX(Fit_Matrix!$B:$B,MATCH(P3495,Fit_Matrix!$A:$A,0))),"CHECK KEY"))</f>
        <v/>
      </c>
    </row>
    <row r="3496" customFormat="false" ht="15" hidden="false" customHeight="true" outlineLevel="0" collapsed="false">
      <c r="P3496" s="1" t="str">
        <f aca="false">IF(OR(F3496="",H3496="",J3496=""),"",J3496&amp;"|"&amp;F3496&amp;"|"&amp;IF(H3496="W3","W3_"&amp;IF(I3496="","unknown",I3496),H3496))</f>
        <v/>
      </c>
      <c r="Q3496" s="1" t="str">
        <f aca="false">IF(P3496="","",IFERROR(IF(AND(H3496="W7",OR(F3496="causal",F3496="predictive")),IF(AND(K3496=1,L3496=1,M3496=1),"adequate","partial"),INDEX(Fit_Matrix!$B:$B,MATCH(P3496,Fit_Matrix!$A:$A,0))),"CHECK KEY"))</f>
        <v/>
      </c>
    </row>
    <row r="3497" customFormat="false" ht="15" hidden="false" customHeight="true" outlineLevel="0" collapsed="false">
      <c r="P3497" s="1" t="str">
        <f aca="false">IF(OR(F3497="",H3497="",J3497=""),"",J3497&amp;"|"&amp;F3497&amp;"|"&amp;IF(H3497="W3","W3_"&amp;IF(I3497="","unknown",I3497),H3497))</f>
        <v/>
      </c>
      <c r="Q3497" s="1" t="str">
        <f aca="false">IF(P3497="","",IFERROR(IF(AND(H3497="W7",OR(F3497="causal",F3497="predictive")),IF(AND(K3497=1,L3497=1,M3497=1),"adequate","partial"),INDEX(Fit_Matrix!$B:$B,MATCH(P3497,Fit_Matrix!$A:$A,0))),"CHECK KEY"))</f>
        <v/>
      </c>
    </row>
    <row r="3498" customFormat="false" ht="15" hidden="false" customHeight="true" outlineLevel="0" collapsed="false">
      <c r="P3498" s="1" t="str">
        <f aca="false">IF(OR(F3498="",H3498="",J3498=""),"",J3498&amp;"|"&amp;F3498&amp;"|"&amp;IF(H3498="W3","W3_"&amp;IF(I3498="","unknown",I3498),H3498))</f>
        <v/>
      </c>
      <c r="Q3498" s="1" t="str">
        <f aca="false">IF(P3498="","",IFERROR(IF(AND(H3498="W7",OR(F3498="causal",F3498="predictive")),IF(AND(K3498=1,L3498=1,M3498=1),"adequate","partial"),INDEX(Fit_Matrix!$B:$B,MATCH(P3498,Fit_Matrix!$A:$A,0))),"CHECK KEY"))</f>
        <v/>
      </c>
    </row>
    <row r="3499" customFormat="false" ht="15" hidden="false" customHeight="true" outlineLevel="0" collapsed="false">
      <c r="P3499" s="1" t="str">
        <f aca="false">IF(OR(F3499="",H3499="",J3499=""),"",J3499&amp;"|"&amp;F3499&amp;"|"&amp;IF(H3499="W3","W3_"&amp;IF(I3499="","unknown",I3499),H3499))</f>
        <v/>
      </c>
      <c r="Q3499" s="1" t="str">
        <f aca="false">IF(P3499="","",IFERROR(IF(AND(H3499="W7",OR(F3499="causal",F3499="predictive")),IF(AND(K3499=1,L3499=1,M3499=1),"adequate","partial"),INDEX(Fit_Matrix!$B:$B,MATCH(P3499,Fit_Matrix!$A:$A,0))),"CHECK KEY"))</f>
        <v/>
      </c>
    </row>
    <row r="3500" customFormat="false" ht="15" hidden="false" customHeight="true" outlineLevel="0" collapsed="false">
      <c r="P3500" s="1" t="str">
        <f aca="false">IF(OR(F3500="",H3500="",J3500=""),"",J3500&amp;"|"&amp;F3500&amp;"|"&amp;IF(H3500="W3","W3_"&amp;IF(I3500="","unknown",I3500),H3500))</f>
        <v/>
      </c>
      <c r="Q3500" s="1" t="str">
        <f aca="false">IF(P3500="","",IFERROR(IF(AND(H3500="W7",OR(F3500="causal",F3500="predictive")),IF(AND(K3500=1,L3500=1,M3500=1),"adequate","partial"),INDEX(Fit_Matrix!$B:$B,MATCH(P3500,Fit_Matrix!$A:$A,0))),"CHECK KEY"))</f>
        <v/>
      </c>
    </row>
    <row r="3501" customFormat="false" ht="15" hidden="false" customHeight="true" outlineLevel="0" collapsed="false">
      <c r="P3501" s="1" t="str">
        <f aca="false">IF(OR(F3501="",H3501="",J3501=""),"",J3501&amp;"|"&amp;F3501&amp;"|"&amp;IF(H3501="W3","W3_"&amp;IF(I3501="","unknown",I3501),H3501))</f>
        <v/>
      </c>
      <c r="Q3501" s="1" t="str">
        <f aca="false">IF(P3501="","",IFERROR(IF(AND(H3501="W7",OR(F3501="causal",F3501="predictive")),IF(AND(K3501=1,L3501=1,M3501=1),"adequate","partial"),INDEX(Fit_Matrix!$B:$B,MATCH(P3501,Fit_Matrix!$A:$A,0))),"CHECK KEY"))</f>
        <v/>
      </c>
    </row>
    <row r="3502" customFormat="false" ht="15" hidden="false" customHeight="true" outlineLevel="0" collapsed="false">
      <c r="P3502" s="1" t="str">
        <f aca="false">IF(OR(F3502="",H3502="",J3502=""),"",J3502&amp;"|"&amp;F3502&amp;"|"&amp;IF(H3502="W3","W3_"&amp;IF(I3502="","unknown",I3502),H3502))</f>
        <v/>
      </c>
      <c r="Q3502" s="1" t="str">
        <f aca="false">IF(P3502="","",IFERROR(IF(AND(H3502="W7",OR(F3502="causal",F3502="predictive")),IF(AND(K3502=1,L3502=1,M3502=1),"adequate","partial"),INDEX(Fit_Matrix!$B:$B,MATCH(P3502,Fit_Matrix!$A:$A,0))),"CHECK KEY"))</f>
        <v/>
      </c>
    </row>
    <row r="3503" customFormat="false" ht="15" hidden="false" customHeight="true" outlineLevel="0" collapsed="false">
      <c r="P3503" s="1" t="str">
        <f aca="false">IF(OR(F3503="",H3503="",J3503=""),"",J3503&amp;"|"&amp;F3503&amp;"|"&amp;IF(H3503="W3","W3_"&amp;IF(I3503="","unknown",I3503),H3503))</f>
        <v/>
      </c>
      <c r="Q3503" s="1" t="str">
        <f aca="false">IF(P3503="","",IFERROR(IF(AND(H3503="W7",OR(F3503="causal",F3503="predictive")),IF(AND(K3503=1,L3503=1,M3503=1),"adequate","partial"),INDEX(Fit_Matrix!$B:$B,MATCH(P3503,Fit_Matrix!$A:$A,0))),"CHECK KEY"))</f>
        <v/>
      </c>
    </row>
    <row r="3504" customFormat="false" ht="15" hidden="false" customHeight="true" outlineLevel="0" collapsed="false">
      <c r="P3504" s="1" t="str">
        <f aca="false">IF(OR(F3504="",H3504="",J3504=""),"",J3504&amp;"|"&amp;F3504&amp;"|"&amp;IF(H3504="W3","W3_"&amp;IF(I3504="","unknown",I3504),H3504))</f>
        <v/>
      </c>
      <c r="Q3504" s="1" t="str">
        <f aca="false">IF(P3504="","",IFERROR(IF(AND(H3504="W7",OR(F3504="causal",F3504="predictive")),IF(AND(K3504=1,L3504=1,M3504=1),"adequate","partial"),INDEX(Fit_Matrix!$B:$B,MATCH(P3504,Fit_Matrix!$A:$A,0))),"CHECK KEY"))</f>
        <v/>
      </c>
    </row>
    <row r="3505" customFormat="false" ht="15" hidden="false" customHeight="true" outlineLevel="0" collapsed="false">
      <c r="P3505" s="1" t="str">
        <f aca="false">IF(OR(F3505="",H3505="",J3505=""),"",J3505&amp;"|"&amp;F3505&amp;"|"&amp;IF(H3505="W3","W3_"&amp;IF(I3505="","unknown",I3505),H3505))</f>
        <v/>
      </c>
      <c r="Q3505" s="1" t="str">
        <f aca="false">IF(P3505="","",IFERROR(IF(AND(H3505="W7",OR(F3505="causal",F3505="predictive")),IF(AND(K3505=1,L3505=1,M3505=1),"adequate","partial"),INDEX(Fit_Matrix!$B:$B,MATCH(P3505,Fit_Matrix!$A:$A,0))),"CHECK KEY"))</f>
        <v/>
      </c>
    </row>
    <row r="3506" customFormat="false" ht="15" hidden="false" customHeight="true" outlineLevel="0" collapsed="false">
      <c r="P3506" s="1" t="str">
        <f aca="false">IF(OR(F3506="",H3506="",J3506=""),"",J3506&amp;"|"&amp;F3506&amp;"|"&amp;IF(H3506="W3","W3_"&amp;IF(I3506="","unknown",I3506),H3506))</f>
        <v/>
      </c>
      <c r="Q3506" s="1" t="str">
        <f aca="false">IF(P3506="","",IFERROR(IF(AND(H3506="W7",OR(F3506="causal",F3506="predictive")),IF(AND(K3506=1,L3506=1,M3506=1),"adequate","partial"),INDEX(Fit_Matrix!$B:$B,MATCH(P3506,Fit_Matrix!$A:$A,0))),"CHECK KEY"))</f>
        <v/>
      </c>
    </row>
    <row r="3507" customFormat="false" ht="15" hidden="false" customHeight="true" outlineLevel="0" collapsed="false">
      <c r="P3507" s="1" t="str">
        <f aca="false">IF(OR(F3507="",H3507="",J3507=""),"",J3507&amp;"|"&amp;F3507&amp;"|"&amp;IF(H3507="W3","W3_"&amp;IF(I3507="","unknown",I3507),H3507))</f>
        <v/>
      </c>
      <c r="Q3507" s="1" t="str">
        <f aca="false">IF(P3507="","",IFERROR(IF(AND(H3507="W7",OR(F3507="causal",F3507="predictive")),IF(AND(K3507=1,L3507=1,M3507=1),"adequate","partial"),INDEX(Fit_Matrix!$B:$B,MATCH(P3507,Fit_Matrix!$A:$A,0))),"CHECK KEY"))</f>
        <v/>
      </c>
    </row>
    <row r="3508" customFormat="false" ht="15" hidden="false" customHeight="true" outlineLevel="0" collapsed="false">
      <c r="P3508" s="1" t="str">
        <f aca="false">IF(OR(F3508="",H3508="",J3508=""),"",J3508&amp;"|"&amp;F3508&amp;"|"&amp;IF(H3508="W3","W3_"&amp;IF(I3508="","unknown",I3508),H3508))</f>
        <v/>
      </c>
      <c r="Q3508" s="1" t="str">
        <f aca="false">IF(P3508="","",IFERROR(IF(AND(H3508="W7",OR(F3508="causal",F3508="predictive")),IF(AND(K3508=1,L3508=1,M3508=1),"adequate","partial"),INDEX(Fit_Matrix!$B:$B,MATCH(P3508,Fit_Matrix!$A:$A,0))),"CHECK KEY"))</f>
        <v/>
      </c>
    </row>
    <row r="3509" customFormat="false" ht="15" hidden="false" customHeight="true" outlineLevel="0" collapsed="false">
      <c r="P3509" s="1" t="str">
        <f aca="false">IF(OR(F3509="",H3509="",J3509=""),"",J3509&amp;"|"&amp;F3509&amp;"|"&amp;IF(H3509="W3","W3_"&amp;IF(I3509="","unknown",I3509),H3509))</f>
        <v/>
      </c>
      <c r="Q3509" s="1" t="str">
        <f aca="false">IF(P3509="","",IFERROR(IF(AND(H3509="W7",OR(F3509="causal",F3509="predictive")),IF(AND(K3509=1,L3509=1,M3509=1),"adequate","partial"),INDEX(Fit_Matrix!$B:$B,MATCH(P3509,Fit_Matrix!$A:$A,0))),"CHECK KEY"))</f>
        <v/>
      </c>
    </row>
    <row r="3510" customFormat="false" ht="15" hidden="false" customHeight="true" outlineLevel="0" collapsed="false">
      <c r="P3510" s="1" t="str">
        <f aca="false">IF(OR(F3510="",H3510="",J3510=""),"",J3510&amp;"|"&amp;F3510&amp;"|"&amp;IF(H3510="W3","W3_"&amp;IF(I3510="","unknown",I3510),H3510))</f>
        <v/>
      </c>
      <c r="Q3510" s="1" t="str">
        <f aca="false">IF(P3510="","",IFERROR(IF(AND(H3510="W7",OR(F3510="causal",F3510="predictive")),IF(AND(K3510=1,L3510=1,M3510=1),"adequate","partial"),INDEX(Fit_Matrix!$B:$B,MATCH(P3510,Fit_Matrix!$A:$A,0))),"CHECK KEY"))</f>
        <v/>
      </c>
    </row>
    <row r="3511" customFormat="false" ht="15" hidden="false" customHeight="true" outlineLevel="0" collapsed="false">
      <c r="P3511" s="1" t="str">
        <f aca="false">IF(OR(F3511="",H3511="",J3511=""),"",J3511&amp;"|"&amp;F3511&amp;"|"&amp;IF(H3511="W3","W3_"&amp;IF(I3511="","unknown",I3511),H3511))</f>
        <v/>
      </c>
      <c r="Q3511" s="1" t="str">
        <f aca="false">IF(P3511="","",IFERROR(IF(AND(H3511="W7",OR(F3511="causal",F3511="predictive")),IF(AND(K3511=1,L3511=1,M3511=1),"adequate","partial"),INDEX(Fit_Matrix!$B:$B,MATCH(P3511,Fit_Matrix!$A:$A,0))),"CHECK KEY"))</f>
        <v/>
      </c>
    </row>
    <row r="3512" customFormat="false" ht="15" hidden="false" customHeight="true" outlineLevel="0" collapsed="false">
      <c r="P3512" s="1" t="str">
        <f aca="false">IF(OR(F3512="",H3512="",J3512=""),"",J3512&amp;"|"&amp;F3512&amp;"|"&amp;IF(H3512="W3","W3_"&amp;IF(I3512="","unknown",I3512),H3512))</f>
        <v/>
      </c>
      <c r="Q3512" s="1" t="str">
        <f aca="false">IF(P3512="","",IFERROR(IF(AND(H3512="W7",OR(F3512="causal",F3512="predictive")),IF(AND(K3512=1,L3512=1,M3512=1),"adequate","partial"),INDEX(Fit_Matrix!$B:$B,MATCH(P3512,Fit_Matrix!$A:$A,0))),"CHECK KEY"))</f>
        <v/>
      </c>
    </row>
    <row r="3513" customFormat="false" ht="15" hidden="false" customHeight="true" outlineLevel="0" collapsed="false">
      <c r="P3513" s="1" t="str">
        <f aca="false">IF(OR(F3513="",H3513="",J3513=""),"",J3513&amp;"|"&amp;F3513&amp;"|"&amp;IF(H3513="W3","W3_"&amp;IF(I3513="","unknown",I3513),H3513))</f>
        <v/>
      </c>
      <c r="Q3513" s="1" t="str">
        <f aca="false">IF(P3513="","",IFERROR(IF(AND(H3513="W7",OR(F3513="causal",F3513="predictive")),IF(AND(K3513=1,L3513=1,M3513=1),"adequate","partial"),INDEX(Fit_Matrix!$B:$B,MATCH(P3513,Fit_Matrix!$A:$A,0))),"CHECK KEY"))</f>
        <v/>
      </c>
    </row>
    <row r="3514" customFormat="false" ht="15" hidden="false" customHeight="true" outlineLevel="0" collapsed="false">
      <c r="P3514" s="1" t="str">
        <f aca="false">IF(OR(F3514="",H3514="",J3514=""),"",J3514&amp;"|"&amp;F3514&amp;"|"&amp;IF(H3514="W3","W3_"&amp;IF(I3514="","unknown",I3514),H3514))</f>
        <v/>
      </c>
      <c r="Q3514" s="1" t="str">
        <f aca="false">IF(P3514="","",IFERROR(IF(AND(H3514="W7",OR(F3514="causal",F3514="predictive")),IF(AND(K3514=1,L3514=1,M3514=1),"adequate","partial"),INDEX(Fit_Matrix!$B:$B,MATCH(P3514,Fit_Matrix!$A:$A,0))),"CHECK KEY"))</f>
        <v/>
      </c>
    </row>
    <row r="3515" customFormat="false" ht="15" hidden="false" customHeight="true" outlineLevel="0" collapsed="false">
      <c r="P3515" s="1" t="str">
        <f aca="false">IF(OR(F3515="",H3515="",J3515=""),"",J3515&amp;"|"&amp;F3515&amp;"|"&amp;IF(H3515="W3","W3_"&amp;IF(I3515="","unknown",I3515),H3515))</f>
        <v/>
      </c>
      <c r="Q3515" s="1" t="str">
        <f aca="false">IF(P3515="","",IFERROR(IF(AND(H3515="W7",OR(F3515="causal",F3515="predictive")),IF(AND(K3515=1,L3515=1,M3515=1),"adequate","partial"),INDEX(Fit_Matrix!$B:$B,MATCH(P3515,Fit_Matrix!$A:$A,0))),"CHECK KEY"))</f>
        <v/>
      </c>
    </row>
    <row r="3516" customFormat="false" ht="15" hidden="false" customHeight="true" outlineLevel="0" collapsed="false">
      <c r="P3516" s="1" t="str">
        <f aca="false">IF(OR(F3516="",H3516="",J3516=""),"",J3516&amp;"|"&amp;F3516&amp;"|"&amp;IF(H3516="W3","W3_"&amp;IF(I3516="","unknown",I3516),H3516))</f>
        <v/>
      </c>
      <c r="Q3516" s="1" t="str">
        <f aca="false">IF(P3516="","",IFERROR(IF(AND(H3516="W7",OR(F3516="causal",F3516="predictive")),IF(AND(K3516=1,L3516=1,M3516=1),"adequate","partial"),INDEX(Fit_Matrix!$B:$B,MATCH(P3516,Fit_Matrix!$A:$A,0))),"CHECK KEY"))</f>
        <v/>
      </c>
    </row>
    <row r="3517" customFormat="false" ht="15" hidden="false" customHeight="true" outlineLevel="0" collapsed="false">
      <c r="P3517" s="1" t="str">
        <f aca="false">IF(OR(F3517="",H3517="",J3517=""),"",J3517&amp;"|"&amp;F3517&amp;"|"&amp;IF(H3517="W3","W3_"&amp;IF(I3517="","unknown",I3517),H3517))</f>
        <v/>
      </c>
      <c r="Q3517" s="1" t="str">
        <f aca="false">IF(P3517="","",IFERROR(IF(AND(H3517="W7",OR(F3517="causal",F3517="predictive")),IF(AND(K3517=1,L3517=1,M3517=1),"adequate","partial"),INDEX(Fit_Matrix!$B:$B,MATCH(P3517,Fit_Matrix!$A:$A,0))),"CHECK KEY"))</f>
        <v/>
      </c>
    </row>
    <row r="3518" customFormat="false" ht="15" hidden="false" customHeight="true" outlineLevel="0" collapsed="false">
      <c r="P3518" s="1" t="str">
        <f aca="false">IF(OR(F3518="",H3518="",J3518=""),"",J3518&amp;"|"&amp;F3518&amp;"|"&amp;IF(H3518="W3","W3_"&amp;IF(I3518="","unknown",I3518),H3518))</f>
        <v/>
      </c>
      <c r="Q3518" s="1" t="str">
        <f aca="false">IF(P3518="","",IFERROR(IF(AND(H3518="W7",OR(F3518="causal",F3518="predictive")),IF(AND(K3518=1,L3518=1,M3518=1),"adequate","partial"),INDEX(Fit_Matrix!$B:$B,MATCH(P3518,Fit_Matrix!$A:$A,0))),"CHECK KEY"))</f>
        <v/>
      </c>
    </row>
    <row r="3519" customFormat="false" ht="15" hidden="false" customHeight="true" outlineLevel="0" collapsed="false">
      <c r="P3519" s="1" t="str">
        <f aca="false">IF(OR(F3519="",H3519="",J3519=""),"",J3519&amp;"|"&amp;F3519&amp;"|"&amp;IF(H3519="W3","W3_"&amp;IF(I3519="","unknown",I3519),H3519))</f>
        <v/>
      </c>
      <c r="Q3519" s="1" t="str">
        <f aca="false">IF(P3519="","",IFERROR(IF(AND(H3519="W7",OR(F3519="causal",F3519="predictive")),IF(AND(K3519=1,L3519=1,M3519=1),"adequate","partial"),INDEX(Fit_Matrix!$B:$B,MATCH(P3519,Fit_Matrix!$A:$A,0))),"CHECK KEY"))</f>
        <v/>
      </c>
    </row>
    <row r="3520" customFormat="false" ht="15" hidden="false" customHeight="true" outlineLevel="0" collapsed="false">
      <c r="P3520" s="1" t="str">
        <f aca="false">IF(OR(F3520="",H3520="",J3520=""),"",J3520&amp;"|"&amp;F3520&amp;"|"&amp;IF(H3520="W3","W3_"&amp;IF(I3520="","unknown",I3520),H3520))</f>
        <v/>
      </c>
      <c r="Q3520" s="1" t="str">
        <f aca="false">IF(P3520="","",IFERROR(IF(AND(H3520="W7",OR(F3520="causal",F3520="predictive")),IF(AND(K3520=1,L3520=1,M3520=1),"adequate","partial"),INDEX(Fit_Matrix!$B:$B,MATCH(P3520,Fit_Matrix!$A:$A,0))),"CHECK KEY"))</f>
        <v/>
      </c>
    </row>
    <row r="3521" customFormat="false" ht="15" hidden="false" customHeight="true" outlineLevel="0" collapsed="false">
      <c r="P3521" s="1" t="str">
        <f aca="false">IF(OR(F3521="",H3521="",J3521=""),"",J3521&amp;"|"&amp;F3521&amp;"|"&amp;IF(H3521="W3","W3_"&amp;IF(I3521="","unknown",I3521),H3521))</f>
        <v/>
      </c>
      <c r="Q3521" s="1" t="str">
        <f aca="false">IF(P3521="","",IFERROR(IF(AND(H3521="W7",OR(F3521="causal",F3521="predictive")),IF(AND(K3521=1,L3521=1,M3521=1),"adequate","partial"),INDEX(Fit_Matrix!$B:$B,MATCH(P3521,Fit_Matrix!$A:$A,0))),"CHECK KEY"))</f>
        <v/>
      </c>
    </row>
    <row r="3522" customFormat="false" ht="15" hidden="false" customHeight="true" outlineLevel="0" collapsed="false">
      <c r="P3522" s="1" t="str">
        <f aca="false">IF(OR(F3522="",H3522="",J3522=""),"",J3522&amp;"|"&amp;F3522&amp;"|"&amp;IF(H3522="W3","W3_"&amp;IF(I3522="","unknown",I3522),H3522))</f>
        <v/>
      </c>
      <c r="Q3522" s="1" t="str">
        <f aca="false">IF(P3522="","",IFERROR(IF(AND(H3522="W7",OR(F3522="causal",F3522="predictive")),IF(AND(K3522=1,L3522=1,M3522=1),"adequate","partial"),INDEX(Fit_Matrix!$B:$B,MATCH(P3522,Fit_Matrix!$A:$A,0))),"CHECK KEY"))</f>
        <v/>
      </c>
    </row>
    <row r="3523" customFormat="false" ht="15" hidden="false" customHeight="true" outlineLevel="0" collapsed="false">
      <c r="P3523" s="1" t="str">
        <f aca="false">IF(OR(F3523="",H3523="",J3523=""),"",J3523&amp;"|"&amp;F3523&amp;"|"&amp;IF(H3523="W3","W3_"&amp;IF(I3523="","unknown",I3523),H3523))</f>
        <v/>
      </c>
      <c r="Q3523" s="1" t="str">
        <f aca="false">IF(P3523="","",IFERROR(IF(AND(H3523="W7",OR(F3523="causal",F3523="predictive")),IF(AND(K3523=1,L3523=1,M3523=1),"adequate","partial"),INDEX(Fit_Matrix!$B:$B,MATCH(P3523,Fit_Matrix!$A:$A,0))),"CHECK KEY"))</f>
        <v/>
      </c>
    </row>
    <row r="3524" customFormat="false" ht="15" hidden="false" customHeight="true" outlineLevel="0" collapsed="false">
      <c r="P3524" s="1" t="str">
        <f aca="false">IF(OR(F3524="",H3524="",J3524=""),"",J3524&amp;"|"&amp;F3524&amp;"|"&amp;IF(H3524="W3","W3_"&amp;IF(I3524="","unknown",I3524),H3524))</f>
        <v/>
      </c>
      <c r="Q3524" s="1" t="str">
        <f aca="false">IF(P3524="","",IFERROR(IF(AND(H3524="W7",OR(F3524="causal",F3524="predictive")),IF(AND(K3524=1,L3524=1,M3524=1),"adequate","partial"),INDEX(Fit_Matrix!$B:$B,MATCH(P3524,Fit_Matrix!$A:$A,0))),"CHECK KEY"))</f>
        <v/>
      </c>
    </row>
    <row r="3525" customFormat="false" ht="15" hidden="false" customHeight="true" outlineLevel="0" collapsed="false">
      <c r="P3525" s="1" t="str">
        <f aca="false">IF(OR(F3525="",H3525="",J3525=""),"",J3525&amp;"|"&amp;F3525&amp;"|"&amp;IF(H3525="W3","W3_"&amp;IF(I3525="","unknown",I3525),H3525))</f>
        <v/>
      </c>
      <c r="Q3525" s="1" t="str">
        <f aca="false">IF(P3525="","",IFERROR(IF(AND(H3525="W7",OR(F3525="causal",F3525="predictive")),IF(AND(K3525=1,L3525=1,M3525=1),"adequate","partial"),INDEX(Fit_Matrix!$B:$B,MATCH(P3525,Fit_Matrix!$A:$A,0))),"CHECK KEY"))</f>
        <v/>
      </c>
    </row>
    <row r="3526" customFormat="false" ht="15" hidden="false" customHeight="true" outlineLevel="0" collapsed="false">
      <c r="P3526" s="1" t="str">
        <f aca="false">IF(OR(F3526="",H3526="",J3526=""),"",J3526&amp;"|"&amp;F3526&amp;"|"&amp;IF(H3526="W3","W3_"&amp;IF(I3526="","unknown",I3526),H3526))</f>
        <v/>
      </c>
      <c r="Q3526" s="1" t="str">
        <f aca="false">IF(P3526="","",IFERROR(IF(AND(H3526="W7",OR(F3526="causal",F3526="predictive")),IF(AND(K3526=1,L3526=1,M3526=1),"adequate","partial"),INDEX(Fit_Matrix!$B:$B,MATCH(P3526,Fit_Matrix!$A:$A,0))),"CHECK KEY"))</f>
        <v/>
      </c>
    </row>
    <row r="3527" customFormat="false" ht="15" hidden="false" customHeight="true" outlineLevel="0" collapsed="false">
      <c r="P3527" s="1" t="str">
        <f aca="false">IF(OR(F3527="",H3527="",J3527=""),"",J3527&amp;"|"&amp;F3527&amp;"|"&amp;IF(H3527="W3","W3_"&amp;IF(I3527="","unknown",I3527),H3527))</f>
        <v/>
      </c>
      <c r="Q3527" s="1" t="str">
        <f aca="false">IF(P3527="","",IFERROR(IF(AND(H3527="W7",OR(F3527="causal",F3527="predictive")),IF(AND(K3527=1,L3527=1,M3527=1),"adequate","partial"),INDEX(Fit_Matrix!$B:$B,MATCH(P3527,Fit_Matrix!$A:$A,0))),"CHECK KEY"))</f>
        <v/>
      </c>
    </row>
    <row r="3528" customFormat="false" ht="15" hidden="false" customHeight="true" outlineLevel="0" collapsed="false">
      <c r="P3528" s="1" t="str">
        <f aca="false">IF(OR(F3528="",H3528="",J3528=""),"",J3528&amp;"|"&amp;F3528&amp;"|"&amp;IF(H3528="W3","W3_"&amp;IF(I3528="","unknown",I3528),H3528))</f>
        <v/>
      </c>
      <c r="Q3528" s="1" t="str">
        <f aca="false">IF(P3528="","",IFERROR(IF(AND(H3528="W7",OR(F3528="causal",F3528="predictive")),IF(AND(K3528=1,L3528=1,M3528=1),"adequate","partial"),INDEX(Fit_Matrix!$B:$B,MATCH(P3528,Fit_Matrix!$A:$A,0))),"CHECK KEY"))</f>
        <v/>
      </c>
    </row>
    <row r="3529" customFormat="false" ht="15" hidden="false" customHeight="true" outlineLevel="0" collapsed="false">
      <c r="P3529" s="1" t="str">
        <f aca="false">IF(OR(F3529="",H3529="",J3529=""),"",J3529&amp;"|"&amp;F3529&amp;"|"&amp;IF(H3529="W3","W3_"&amp;IF(I3529="","unknown",I3529),H3529))</f>
        <v/>
      </c>
      <c r="Q3529" s="1" t="str">
        <f aca="false">IF(P3529="","",IFERROR(IF(AND(H3529="W7",OR(F3529="causal",F3529="predictive")),IF(AND(K3529=1,L3529=1,M3529=1),"adequate","partial"),INDEX(Fit_Matrix!$B:$B,MATCH(P3529,Fit_Matrix!$A:$A,0))),"CHECK KEY"))</f>
        <v/>
      </c>
    </row>
    <row r="3530" customFormat="false" ht="15" hidden="false" customHeight="true" outlineLevel="0" collapsed="false">
      <c r="P3530" s="1" t="str">
        <f aca="false">IF(OR(F3530="",H3530="",J3530=""),"",J3530&amp;"|"&amp;F3530&amp;"|"&amp;IF(H3530="W3","W3_"&amp;IF(I3530="","unknown",I3530),H3530))</f>
        <v/>
      </c>
      <c r="Q3530" s="1" t="str">
        <f aca="false">IF(P3530="","",IFERROR(IF(AND(H3530="W7",OR(F3530="causal",F3530="predictive")),IF(AND(K3530=1,L3530=1,M3530=1),"adequate","partial"),INDEX(Fit_Matrix!$B:$B,MATCH(P3530,Fit_Matrix!$A:$A,0))),"CHECK KEY"))</f>
        <v/>
      </c>
    </row>
    <row r="3531" customFormat="false" ht="15" hidden="false" customHeight="true" outlineLevel="0" collapsed="false">
      <c r="P3531" s="1" t="str">
        <f aca="false">IF(OR(F3531="",H3531="",J3531=""),"",J3531&amp;"|"&amp;F3531&amp;"|"&amp;IF(H3531="W3","W3_"&amp;IF(I3531="","unknown",I3531),H3531))</f>
        <v/>
      </c>
      <c r="Q3531" s="1" t="str">
        <f aca="false">IF(P3531="","",IFERROR(IF(AND(H3531="W7",OR(F3531="causal",F3531="predictive")),IF(AND(K3531=1,L3531=1,M3531=1),"adequate","partial"),INDEX(Fit_Matrix!$B:$B,MATCH(P3531,Fit_Matrix!$A:$A,0))),"CHECK KEY"))</f>
        <v/>
      </c>
    </row>
    <row r="3532" customFormat="false" ht="15" hidden="false" customHeight="true" outlineLevel="0" collapsed="false">
      <c r="P3532" s="1" t="str">
        <f aca="false">IF(OR(F3532="",H3532="",J3532=""),"",J3532&amp;"|"&amp;F3532&amp;"|"&amp;IF(H3532="W3","W3_"&amp;IF(I3532="","unknown",I3532),H3532))</f>
        <v/>
      </c>
      <c r="Q3532" s="1" t="str">
        <f aca="false">IF(P3532="","",IFERROR(IF(AND(H3532="W7",OR(F3532="causal",F3532="predictive")),IF(AND(K3532=1,L3532=1,M3532=1),"adequate","partial"),INDEX(Fit_Matrix!$B:$B,MATCH(P3532,Fit_Matrix!$A:$A,0))),"CHECK KEY"))</f>
        <v/>
      </c>
    </row>
    <row r="3533" customFormat="false" ht="15" hidden="false" customHeight="true" outlineLevel="0" collapsed="false">
      <c r="P3533" s="1" t="str">
        <f aca="false">IF(OR(F3533="",H3533="",J3533=""),"",J3533&amp;"|"&amp;F3533&amp;"|"&amp;IF(H3533="W3","W3_"&amp;IF(I3533="","unknown",I3533),H3533))</f>
        <v/>
      </c>
      <c r="Q3533" s="1" t="str">
        <f aca="false">IF(P3533="","",IFERROR(IF(AND(H3533="W7",OR(F3533="causal",F3533="predictive")),IF(AND(K3533=1,L3533=1,M3533=1),"adequate","partial"),INDEX(Fit_Matrix!$B:$B,MATCH(P3533,Fit_Matrix!$A:$A,0))),"CHECK KEY"))</f>
        <v/>
      </c>
    </row>
    <row r="3534" customFormat="false" ht="15" hidden="false" customHeight="true" outlineLevel="0" collapsed="false">
      <c r="P3534" s="1" t="str">
        <f aca="false">IF(OR(F3534="",H3534="",J3534=""),"",J3534&amp;"|"&amp;F3534&amp;"|"&amp;IF(H3534="W3","W3_"&amp;IF(I3534="","unknown",I3534),H3534))</f>
        <v/>
      </c>
      <c r="Q3534" s="1" t="str">
        <f aca="false">IF(P3534="","",IFERROR(IF(AND(H3534="W7",OR(F3534="causal",F3534="predictive")),IF(AND(K3534=1,L3534=1,M3534=1),"adequate","partial"),INDEX(Fit_Matrix!$B:$B,MATCH(P3534,Fit_Matrix!$A:$A,0))),"CHECK KEY"))</f>
        <v/>
      </c>
    </row>
    <row r="3535" customFormat="false" ht="15" hidden="false" customHeight="true" outlineLevel="0" collapsed="false">
      <c r="P3535" s="1" t="str">
        <f aca="false">IF(OR(F3535="",H3535="",J3535=""),"",J3535&amp;"|"&amp;F3535&amp;"|"&amp;IF(H3535="W3","W3_"&amp;IF(I3535="","unknown",I3535),H3535))</f>
        <v/>
      </c>
      <c r="Q3535" s="1" t="str">
        <f aca="false">IF(P3535="","",IFERROR(IF(AND(H3535="W7",OR(F3535="causal",F3535="predictive")),IF(AND(K3535=1,L3535=1,M3535=1),"adequate","partial"),INDEX(Fit_Matrix!$B:$B,MATCH(P3535,Fit_Matrix!$A:$A,0))),"CHECK KEY"))</f>
        <v/>
      </c>
    </row>
    <row r="3536" customFormat="false" ht="15" hidden="false" customHeight="true" outlineLevel="0" collapsed="false">
      <c r="P3536" s="1" t="str">
        <f aca="false">IF(OR(F3536="",H3536="",J3536=""),"",J3536&amp;"|"&amp;F3536&amp;"|"&amp;IF(H3536="W3","W3_"&amp;IF(I3536="","unknown",I3536),H3536))</f>
        <v/>
      </c>
      <c r="Q3536" s="1" t="str">
        <f aca="false">IF(P3536="","",IFERROR(IF(AND(H3536="W7",OR(F3536="causal",F3536="predictive")),IF(AND(K3536=1,L3536=1,M3536=1),"adequate","partial"),INDEX(Fit_Matrix!$B:$B,MATCH(P3536,Fit_Matrix!$A:$A,0))),"CHECK KEY"))</f>
        <v/>
      </c>
    </row>
    <row r="3537" customFormat="false" ht="15" hidden="false" customHeight="true" outlineLevel="0" collapsed="false">
      <c r="P3537" s="1" t="str">
        <f aca="false">IF(OR(F3537="",H3537="",J3537=""),"",J3537&amp;"|"&amp;F3537&amp;"|"&amp;IF(H3537="W3","W3_"&amp;IF(I3537="","unknown",I3537),H3537))</f>
        <v/>
      </c>
      <c r="Q3537" s="1" t="str">
        <f aca="false">IF(P3537="","",IFERROR(IF(AND(H3537="W7",OR(F3537="causal",F3537="predictive")),IF(AND(K3537=1,L3537=1,M3537=1),"adequate","partial"),INDEX(Fit_Matrix!$B:$B,MATCH(P3537,Fit_Matrix!$A:$A,0))),"CHECK KEY"))</f>
        <v/>
      </c>
    </row>
    <row r="3538" customFormat="false" ht="15" hidden="false" customHeight="true" outlineLevel="0" collapsed="false">
      <c r="P3538" s="1" t="str">
        <f aca="false">IF(OR(F3538="",H3538="",J3538=""),"",J3538&amp;"|"&amp;F3538&amp;"|"&amp;IF(H3538="W3","W3_"&amp;IF(I3538="","unknown",I3538),H3538))</f>
        <v/>
      </c>
      <c r="Q3538" s="1" t="str">
        <f aca="false">IF(P3538="","",IFERROR(IF(AND(H3538="W7",OR(F3538="causal",F3538="predictive")),IF(AND(K3538=1,L3538=1,M3538=1),"adequate","partial"),INDEX(Fit_Matrix!$B:$B,MATCH(P3538,Fit_Matrix!$A:$A,0))),"CHECK KEY"))</f>
        <v/>
      </c>
    </row>
    <row r="3539" customFormat="false" ht="15" hidden="false" customHeight="true" outlineLevel="0" collapsed="false">
      <c r="P3539" s="1" t="str">
        <f aca="false">IF(OR(F3539="",H3539="",J3539=""),"",J3539&amp;"|"&amp;F3539&amp;"|"&amp;IF(H3539="W3","W3_"&amp;IF(I3539="","unknown",I3539),H3539))</f>
        <v/>
      </c>
      <c r="Q3539" s="1" t="str">
        <f aca="false">IF(P3539="","",IFERROR(IF(AND(H3539="W7",OR(F3539="causal",F3539="predictive")),IF(AND(K3539=1,L3539=1,M3539=1),"adequate","partial"),INDEX(Fit_Matrix!$B:$B,MATCH(P3539,Fit_Matrix!$A:$A,0))),"CHECK KEY"))</f>
        <v/>
      </c>
    </row>
    <row r="3540" customFormat="false" ht="15" hidden="false" customHeight="true" outlineLevel="0" collapsed="false">
      <c r="P3540" s="1" t="str">
        <f aca="false">IF(OR(F3540="",H3540="",J3540=""),"",J3540&amp;"|"&amp;F3540&amp;"|"&amp;IF(H3540="W3","W3_"&amp;IF(I3540="","unknown",I3540),H3540))</f>
        <v/>
      </c>
      <c r="Q3540" s="1" t="str">
        <f aca="false">IF(P3540="","",IFERROR(IF(AND(H3540="W7",OR(F3540="causal",F3540="predictive")),IF(AND(K3540=1,L3540=1,M3540=1),"adequate","partial"),INDEX(Fit_Matrix!$B:$B,MATCH(P3540,Fit_Matrix!$A:$A,0))),"CHECK KEY"))</f>
        <v/>
      </c>
    </row>
    <row r="3541" customFormat="false" ht="15" hidden="false" customHeight="true" outlineLevel="0" collapsed="false">
      <c r="P3541" s="1" t="str">
        <f aca="false">IF(OR(F3541="",H3541="",J3541=""),"",J3541&amp;"|"&amp;F3541&amp;"|"&amp;IF(H3541="W3","W3_"&amp;IF(I3541="","unknown",I3541),H3541))</f>
        <v/>
      </c>
      <c r="Q3541" s="1" t="str">
        <f aca="false">IF(P3541="","",IFERROR(IF(AND(H3541="W7",OR(F3541="causal",F3541="predictive")),IF(AND(K3541=1,L3541=1,M3541=1),"adequate","partial"),INDEX(Fit_Matrix!$B:$B,MATCH(P3541,Fit_Matrix!$A:$A,0))),"CHECK KEY"))</f>
        <v/>
      </c>
    </row>
    <row r="3542" customFormat="false" ht="15" hidden="false" customHeight="true" outlineLevel="0" collapsed="false">
      <c r="P3542" s="1" t="str">
        <f aca="false">IF(OR(F3542="",H3542="",J3542=""),"",J3542&amp;"|"&amp;F3542&amp;"|"&amp;IF(H3542="W3","W3_"&amp;IF(I3542="","unknown",I3542),H3542))</f>
        <v/>
      </c>
      <c r="Q3542" s="1" t="str">
        <f aca="false">IF(P3542="","",IFERROR(IF(AND(H3542="W7",OR(F3542="causal",F3542="predictive")),IF(AND(K3542=1,L3542=1,M3542=1),"adequate","partial"),INDEX(Fit_Matrix!$B:$B,MATCH(P3542,Fit_Matrix!$A:$A,0))),"CHECK KEY"))</f>
        <v/>
      </c>
    </row>
    <row r="3543" customFormat="false" ht="15" hidden="false" customHeight="true" outlineLevel="0" collapsed="false">
      <c r="P3543" s="1" t="str">
        <f aca="false">IF(OR(F3543="",H3543="",J3543=""),"",J3543&amp;"|"&amp;F3543&amp;"|"&amp;IF(H3543="W3","W3_"&amp;IF(I3543="","unknown",I3543),H3543))</f>
        <v/>
      </c>
      <c r="Q3543" s="1" t="str">
        <f aca="false">IF(P3543="","",IFERROR(IF(AND(H3543="W7",OR(F3543="causal",F3543="predictive")),IF(AND(K3543=1,L3543=1,M3543=1),"adequate","partial"),INDEX(Fit_Matrix!$B:$B,MATCH(P3543,Fit_Matrix!$A:$A,0))),"CHECK KEY"))</f>
        <v/>
      </c>
    </row>
    <row r="3544" customFormat="false" ht="15" hidden="false" customHeight="true" outlineLevel="0" collapsed="false">
      <c r="P3544" s="1" t="str">
        <f aca="false">IF(OR(F3544="",H3544="",J3544=""),"",J3544&amp;"|"&amp;F3544&amp;"|"&amp;IF(H3544="W3","W3_"&amp;IF(I3544="","unknown",I3544),H3544))</f>
        <v/>
      </c>
      <c r="Q3544" s="1" t="str">
        <f aca="false">IF(P3544="","",IFERROR(IF(AND(H3544="W7",OR(F3544="causal",F3544="predictive")),IF(AND(K3544=1,L3544=1,M3544=1),"adequate","partial"),INDEX(Fit_Matrix!$B:$B,MATCH(P3544,Fit_Matrix!$A:$A,0))),"CHECK KEY"))</f>
        <v/>
      </c>
    </row>
    <row r="3545" customFormat="false" ht="15" hidden="false" customHeight="true" outlineLevel="0" collapsed="false">
      <c r="P3545" s="1" t="str">
        <f aca="false">IF(OR(F3545="",H3545="",J3545=""),"",J3545&amp;"|"&amp;F3545&amp;"|"&amp;IF(H3545="W3","W3_"&amp;IF(I3545="","unknown",I3545),H3545))</f>
        <v/>
      </c>
      <c r="Q3545" s="1" t="str">
        <f aca="false">IF(P3545="","",IFERROR(IF(AND(H3545="W7",OR(F3545="causal",F3545="predictive")),IF(AND(K3545=1,L3545=1,M3545=1),"adequate","partial"),INDEX(Fit_Matrix!$B:$B,MATCH(P3545,Fit_Matrix!$A:$A,0))),"CHECK KEY"))</f>
        <v/>
      </c>
    </row>
    <row r="3546" customFormat="false" ht="15" hidden="false" customHeight="true" outlineLevel="0" collapsed="false">
      <c r="P3546" s="1" t="str">
        <f aca="false">IF(OR(F3546="",H3546="",J3546=""),"",J3546&amp;"|"&amp;F3546&amp;"|"&amp;IF(H3546="W3","W3_"&amp;IF(I3546="","unknown",I3546),H3546))</f>
        <v/>
      </c>
      <c r="Q3546" s="1" t="str">
        <f aca="false">IF(P3546="","",IFERROR(IF(AND(H3546="W7",OR(F3546="causal",F3546="predictive")),IF(AND(K3546=1,L3546=1,M3546=1),"adequate","partial"),INDEX(Fit_Matrix!$B:$B,MATCH(P3546,Fit_Matrix!$A:$A,0))),"CHECK KEY"))</f>
        <v/>
      </c>
    </row>
    <row r="3547" customFormat="false" ht="15" hidden="false" customHeight="true" outlineLevel="0" collapsed="false">
      <c r="P3547" s="1" t="str">
        <f aca="false">IF(OR(F3547="",H3547="",J3547=""),"",J3547&amp;"|"&amp;F3547&amp;"|"&amp;IF(H3547="W3","W3_"&amp;IF(I3547="","unknown",I3547),H3547))</f>
        <v/>
      </c>
      <c r="Q3547" s="1" t="str">
        <f aca="false">IF(P3547="","",IFERROR(IF(AND(H3547="W7",OR(F3547="causal",F3547="predictive")),IF(AND(K3547=1,L3547=1,M3547=1),"adequate","partial"),INDEX(Fit_Matrix!$B:$B,MATCH(P3547,Fit_Matrix!$A:$A,0))),"CHECK KEY"))</f>
        <v/>
      </c>
    </row>
    <row r="3548" customFormat="false" ht="15" hidden="false" customHeight="true" outlineLevel="0" collapsed="false">
      <c r="P3548" s="1" t="str">
        <f aca="false">IF(OR(F3548="",H3548="",J3548=""),"",J3548&amp;"|"&amp;F3548&amp;"|"&amp;IF(H3548="W3","W3_"&amp;IF(I3548="","unknown",I3548),H3548))</f>
        <v/>
      </c>
      <c r="Q3548" s="1" t="str">
        <f aca="false">IF(P3548="","",IFERROR(IF(AND(H3548="W7",OR(F3548="causal",F3548="predictive")),IF(AND(K3548=1,L3548=1,M3548=1),"adequate","partial"),INDEX(Fit_Matrix!$B:$B,MATCH(P3548,Fit_Matrix!$A:$A,0))),"CHECK KEY"))</f>
        <v/>
      </c>
    </row>
    <row r="3549" customFormat="false" ht="15" hidden="false" customHeight="true" outlineLevel="0" collapsed="false">
      <c r="P3549" s="1" t="str">
        <f aca="false">IF(OR(F3549="",H3549="",J3549=""),"",J3549&amp;"|"&amp;F3549&amp;"|"&amp;IF(H3549="W3","W3_"&amp;IF(I3549="","unknown",I3549),H3549))</f>
        <v/>
      </c>
      <c r="Q3549" s="1" t="str">
        <f aca="false">IF(P3549="","",IFERROR(IF(AND(H3549="W7",OR(F3549="causal",F3549="predictive")),IF(AND(K3549=1,L3549=1,M3549=1),"adequate","partial"),INDEX(Fit_Matrix!$B:$B,MATCH(P3549,Fit_Matrix!$A:$A,0))),"CHECK KEY"))</f>
        <v/>
      </c>
    </row>
    <row r="3550" customFormat="false" ht="15" hidden="false" customHeight="true" outlineLevel="0" collapsed="false">
      <c r="P3550" s="1" t="str">
        <f aca="false">IF(OR(F3550="",H3550="",J3550=""),"",J3550&amp;"|"&amp;F3550&amp;"|"&amp;IF(H3550="W3","W3_"&amp;IF(I3550="","unknown",I3550),H3550))</f>
        <v/>
      </c>
      <c r="Q3550" s="1" t="str">
        <f aca="false">IF(P3550="","",IFERROR(IF(AND(H3550="W7",OR(F3550="causal",F3550="predictive")),IF(AND(K3550=1,L3550=1,M3550=1),"adequate","partial"),INDEX(Fit_Matrix!$B:$B,MATCH(P3550,Fit_Matrix!$A:$A,0))),"CHECK KEY"))</f>
        <v/>
      </c>
    </row>
    <row r="3551" customFormat="false" ht="15" hidden="false" customHeight="true" outlineLevel="0" collapsed="false">
      <c r="P3551" s="1" t="str">
        <f aca="false">IF(OR(F3551="",H3551="",J3551=""),"",J3551&amp;"|"&amp;F3551&amp;"|"&amp;IF(H3551="W3","W3_"&amp;IF(I3551="","unknown",I3551),H3551))</f>
        <v/>
      </c>
      <c r="Q3551" s="1" t="str">
        <f aca="false">IF(P3551="","",IFERROR(IF(AND(H3551="W7",OR(F3551="causal",F3551="predictive")),IF(AND(K3551=1,L3551=1,M3551=1),"adequate","partial"),INDEX(Fit_Matrix!$B:$B,MATCH(P3551,Fit_Matrix!$A:$A,0))),"CHECK KEY"))</f>
        <v/>
      </c>
    </row>
    <row r="3552" customFormat="false" ht="15" hidden="false" customHeight="true" outlineLevel="0" collapsed="false">
      <c r="P3552" s="1" t="str">
        <f aca="false">IF(OR(F3552="",H3552="",J3552=""),"",J3552&amp;"|"&amp;F3552&amp;"|"&amp;IF(H3552="W3","W3_"&amp;IF(I3552="","unknown",I3552),H3552))</f>
        <v/>
      </c>
      <c r="Q3552" s="1" t="str">
        <f aca="false">IF(P3552="","",IFERROR(IF(AND(H3552="W7",OR(F3552="causal",F3552="predictive")),IF(AND(K3552=1,L3552=1,M3552=1),"adequate","partial"),INDEX(Fit_Matrix!$B:$B,MATCH(P3552,Fit_Matrix!$A:$A,0))),"CHECK KEY"))</f>
        <v/>
      </c>
    </row>
    <row r="3553" customFormat="false" ht="15" hidden="false" customHeight="true" outlineLevel="0" collapsed="false">
      <c r="P3553" s="1" t="str">
        <f aca="false">IF(OR(F3553="",H3553="",J3553=""),"",J3553&amp;"|"&amp;F3553&amp;"|"&amp;IF(H3553="W3","W3_"&amp;IF(I3553="","unknown",I3553),H3553))</f>
        <v/>
      </c>
      <c r="Q3553" s="1" t="str">
        <f aca="false">IF(P3553="","",IFERROR(IF(AND(H3553="W7",OR(F3553="causal",F3553="predictive")),IF(AND(K3553=1,L3553=1,M3553=1),"adequate","partial"),INDEX(Fit_Matrix!$B:$B,MATCH(P3553,Fit_Matrix!$A:$A,0))),"CHECK KEY"))</f>
        <v/>
      </c>
    </row>
    <row r="3554" customFormat="false" ht="15" hidden="false" customHeight="true" outlineLevel="0" collapsed="false">
      <c r="P3554" s="1" t="str">
        <f aca="false">IF(OR(F3554="",H3554="",J3554=""),"",J3554&amp;"|"&amp;F3554&amp;"|"&amp;IF(H3554="W3","W3_"&amp;IF(I3554="","unknown",I3554),H3554))</f>
        <v/>
      </c>
      <c r="Q3554" s="1" t="str">
        <f aca="false">IF(P3554="","",IFERROR(IF(AND(H3554="W7",OR(F3554="causal",F3554="predictive")),IF(AND(K3554=1,L3554=1,M3554=1),"adequate","partial"),INDEX(Fit_Matrix!$B:$B,MATCH(P3554,Fit_Matrix!$A:$A,0))),"CHECK KEY"))</f>
        <v/>
      </c>
    </row>
    <row r="3555" customFormat="false" ht="15" hidden="false" customHeight="true" outlineLevel="0" collapsed="false">
      <c r="P3555" s="1" t="str">
        <f aca="false">IF(OR(F3555="",H3555="",J3555=""),"",J3555&amp;"|"&amp;F3555&amp;"|"&amp;IF(H3555="W3","W3_"&amp;IF(I3555="","unknown",I3555),H3555))</f>
        <v/>
      </c>
      <c r="Q3555" s="1" t="str">
        <f aca="false">IF(P3555="","",IFERROR(IF(AND(H3555="W7",OR(F3555="causal",F3555="predictive")),IF(AND(K3555=1,L3555=1,M3555=1),"adequate","partial"),INDEX(Fit_Matrix!$B:$B,MATCH(P3555,Fit_Matrix!$A:$A,0))),"CHECK KEY"))</f>
        <v/>
      </c>
    </row>
    <row r="3556" customFormat="false" ht="15" hidden="false" customHeight="true" outlineLevel="0" collapsed="false">
      <c r="P3556" s="1" t="str">
        <f aca="false">IF(OR(F3556="",H3556="",J3556=""),"",J3556&amp;"|"&amp;F3556&amp;"|"&amp;IF(H3556="W3","W3_"&amp;IF(I3556="","unknown",I3556),H3556))</f>
        <v/>
      </c>
      <c r="Q3556" s="1" t="str">
        <f aca="false">IF(P3556="","",IFERROR(IF(AND(H3556="W7",OR(F3556="causal",F3556="predictive")),IF(AND(K3556=1,L3556=1,M3556=1),"adequate","partial"),INDEX(Fit_Matrix!$B:$B,MATCH(P3556,Fit_Matrix!$A:$A,0))),"CHECK KEY"))</f>
        <v/>
      </c>
    </row>
    <row r="3557" customFormat="false" ht="15" hidden="false" customHeight="true" outlineLevel="0" collapsed="false">
      <c r="P3557" s="1" t="str">
        <f aca="false">IF(OR(F3557="",H3557="",J3557=""),"",J3557&amp;"|"&amp;F3557&amp;"|"&amp;IF(H3557="W3","W3_"&amp;IF(I3557="","unknown",I3557),H3557))</f>
        <v/>
      </c>
      <c r="Q3557" s="1" t="str">
        <f aca="false">IF(P3557="","",IFERROR(IF(AND(H3557="W7",OR(F3557="causal",F3557="predictive")),IF(AND(K3557=1,L3557=1,M3557=1),"adequate","partial"),INDEX(Fit_Matrix!$B:$B,MATCH(P3557,Fit_Matrix!$A:$A,0))),"CHECK KEY"))</f>
        <v/>
      </c>
    </row>
    <row r="3558" customFormat="false" ht="15" hidden="false" customHeight="true" outlineLevel="0" collapsed="false">
      <c r="P3558" s="1" t="str">
        <f aca="false">IF(OR(F3558="",H3558="",J3558=""),"",J3558&amp;"|"&amp;F3558&amp;"|"&amp;IF(H3558="W3","W3_"&amp;IF(I3558="","unknown",I3558),H3558))</f>
        <v/>
      </c>
      <c r="Q3558" s="1" t="str">
        <f aca="false">IF(P3558="","",IFERROR(IF(AND(H3558="W7",OR(F3558="causal",F3558="predictive")),IF(AND(K3558=1,L3558=1,M3558=1),"adequate","partial"),INDEX(Fit_Matrix!$B:$B,MATCH(P3558,Fit_Matrix!$A:$A,0))),"CHECK KEY"))</f>
        <v/>
      </c>
    </row>
    <row r="3559" customFormat="false" ht="15" hidden="false" customHeight="true" outlineLevel="0" collapsed="false">
      <c r="P3559" s="1" t="str">
        <f aca="false">IF(OR(F3559="",H3559="",J3559=""),"",J3559&amp;"|"&amp;F3559&amp;"|"&amp;IF(H3559="W3","W3_"&amp;IF(I3559="","unknown",I3559),H3559))</f>
        <v/>
      </c>
      <c r="Q3559" s="1" t="str">
        <f aca="false">IF(P3559="","",IFERROR(IF(AND(H3559="W7",OR(F3559="causal",F3559="predictive")),IF(AND(K3559=1,L3559=1,M3559=1),"adequate","partial"),INDEX(Fit_Matrix!$B:$B,MATCH(P3559,Fit_Matrix!$A:$A,0))),"CHECK KEY"))</f>
        <v/>
      </c>
    </row>
    <row r="3560" customFormat="false" ht="15" hidden="false" customHeight="true" outlineLevel="0" collapsed="false">
      <c r="P3560" s="1" t="str">
        <f aca="false">IF(OR(F3560="",H3560="",J3560=""),"",J3560&amp;"|"&amp;F3560&amp;"|"&amp;IF(H3560="W3","W3_"&amp;IF(I3560="","unknown",I3560),H3560))</f>
        <v/>
      </c>
      <c r="Q3560" s="1" t="str">
        <f aca="false">IF(P3560="","",IFERROR(IF(AND(H3560="W7",OR(F3560="causal",F3560="predictive")),IF(AND(K3560=1,L3560=1,M3560=1),"adequate","partial"),INDEX(Fit_Matrix!$B:$B,MATCH(P3560,Fit_Matrix!$A:$A,0))),"CHECK KEY"))</f>
        <v/>
      </c>
    </row>
    <row r="3561" customFormat="false" ht="15" hidden="false" customHeight="true" outlineLevel="0" collapsed="false">
      <c r="P3561" s="1" t="str">
        <f aca="false">IF(OR(F3561="",H3561="",J3561=""),"",J3561&amp;"|"&amp;F3561&amp;"|"&amp;IF(H3561="W3","W3_"&amp;IF(I3561="","unknown",I3561),H3561))</f>
        <v/>
      </c>
      <c r="Q3561" s="1" t="str">
        <f aca="false">IF(P3561="","",IFERROR(IF(AND(H3561="W7",OR(F3561="causal",F3561="predictive")),IF(AND(K3561=1,L3561=1,M3561=1),"adequate","partial"),INDEX(Fit_Matrix!$B:$B,MATCH(P3561,Fit_Matrix!$A:$A,0))),"CHECK KEY"))</f>
        <v/>
      </c>
    </row>
    <row r="3562" customFormat="false" ht="15" hidden="false" customHeight="true" outlineLevel="0" collapsed="false">
      <c r="P3562" s="1" t="str">
        <f aca="false">IF(OR(F3562="",H3562="",J3562=""),"",J3562&amp;"|"&amp;F3562&amp;"|"&amp;IF(H3562="W3","W3_"&amp;IF(I3562="","unknown",I3562),H3562))</f>
        <v/>
      </c>
      <c r="Q3562" s="1" t="str">
        <f aca="false">IF(P3562="","",IFERROR(IF(AND(H3562="W7",OR(F3562="causal",F3562="predictive")),IF(AND(K3562=1,L3562=1,M3562=1),"adequate","partial"),INDEX(Fit_Matrix!$B:$B,MATCH(P3562,Fit_Matrix!$A:$A,0))),"CHECK KEY"))</f>
        <v/>
      </c>
    </row>
    <row r="3563" customFormat="false" ht="15" hidden="false" customHeight="true" outlineLevel="0" collapsed="false">
      <c r="P3563" s="1" t="str">
        <f aca="false">IF(OR(F3563="",H3563="",J3563=""),"",J3563&amp;"|"&amp;F3563&amp;"|"&amp;IF(H3563="W3","W3_"&amp;IF(I3563="","unknown",I3563),H3563))</f>
        <v/>
      </c>
      <c r="Q3563" s="1" t="str">
        <f aca="false">IF(P3563="","",IFERROR(IF(AND(H3563="W7",OR(F3563="causal",F3563="predictive")),IF(AND(K3563=1,L3563=1,M3563=1),"adequate","partial"),INDEX(Fit_Matrix!$B:$B,MATCH(P3563,Fit_Matrix!$A:$A,0))),"CHECK KEY"))</f>
        <v/>
      </c>
    </row>
    <row r="3564" customFormat="false" ht="15" hidden="false" customHeight="true" outlineLevel="0" collapsed="false">
      <c r="P3564" s="1" t="str">
        <f aca="false">IF(OR(F3564="",H3564="",J3564=""),"",J3564&amp;"|"&amp;F3564&amp;"|"&amp;IF(H3564="W3","W3_"&amp;IF(I3564="","unknown",I3564),H3564))</f>
        <v/>
      </c>
      <c r="Q3564" s="1" t="str">
        <f aca="false">IF(P3564="","",IFERROR(IF(AND(H3564="W7",OR(F3564="causal",F3564="predictive")),IF(AND(K3564=1,L3564=1,M3564=1),"adequate","partial"),INDEX(Fit_Matrix!$B:$B,MATCH(P3564,Fit_Matrix!$A:$A,0))),"CHECK KEY"))</f>
        <v/>
      </c>
    </row>
    <row r="3565" customFormat="false" ht="15" hidden="false" customHeight="true" outlineLevel="0" collapsed="false">
      <c r="P3565" s="1" t="str">
        <f aca="false">IF(OR(F3565="",H3565="",J3565=""),"",J3565&amp;"|"&amp;F3565&amp;"|"&amp;IF(H3565="W3","W3_"&amp;IF(I3565="","unknown",I3565),H3565))</f>
        <v/>
      </c>
      <c r="Q3565" s="1" t="str">
        <f aca="false">IF(P3565="","",IFERROR(IF(AND(H3565="W7",OR(F3565="causal",F3565="predictive")),IF(AND(K3565=1,L3565=1,M3565=1),"adequate","partial"),INDEX(Fit_Matrix!$B:$B,MATCH(P3565,Fit_Matrix!$A:$A,0))),"CHECK KEY"))</f>
        <v/>
      </c>
    </row>
    <row r="3566" customFormat="false" ht="15" hidden="false" customHeight="true" outlineLevel="0" collapsed="false">
      <c r="P3566" s="1" t="str">
        <f aca="false">IF(OR(F3566="",H3566="",J3566=""),"",J3566&amp;"|"&amp;F3566&amp;"|"&amp;IF(H3566="W3","W3_"&amp;IF(I3566="","unknown",I3566),H3566))</f>
        <v/>
      </c>
      <c r="Q3566" s="1" t="str">
        <f aca="false">IF(P3566="","",IFERROR(IF(AND(H3566="W7",OR(F3566="causal",F3566="predictive")),IF(AND(K3566=1,L3566=1,M3566=1),"adequate","partial"),INDEX(Fit_Matrix!$B:$B,MATCH(P3566,Fit_Matrix!$A:$A,0))),"CHECK KEY"))</f>
        <v/>
      </c>
    </row>
    <row r="3567" customFormat="false" ht="15" hidden="false" customHeight="true" outlineLevel="0" collapsed="false">
      <c r="P3567" s="1" t="str">
        <f aca="false">IF(OR(F3567="",H3567="",J3567=""),"",J3567&amp;"|"&amp;F3567&amp;"|"&amp;IF(H3567="W3","W3_"&amp;IF(I3567="","unknown",I3567),H3567))</f>
        <v/>
      </c>
      <c r="Q3567" s="1" t="str">
        <f aca="false">IF(P3567="","",IFERROR(IF(AND(H3567="W7",OR(F3567="causal",F3567="predictive")),IF(AND(K3567=1,L3567=1,M3567=1),"adequate","partial"),INDEX(Fit_Matrix!$B:$B,MATCH(P3567,Fit_Matrix!$A:$A,0))),"CHECK KEY"))</f>
        <v/>
      </c>
    </row>
    <row r="3568" customFormat="false" ht="15" hidden="false" customHeight="true" outlineLevel="0" collapsed="false">
      <c r="P3568" s="1" t="str">
        <f aca="false">IF(OR(F3568="",H3568="",J3568=""),"",J3568&amp;"|"&amp;F3568&amp;"|"&amp;IF(H3568="W3","W3_"&amp;IF(I3568="","unknown",I3568),H3568))</f>
        <v/>
      </c>
      <c r="Q3568" s="1" t="str">
        <f aca="false">IF(P3568="","",IFERROR(IF(AND(H3568="W7",OR(F3568="causal",F3568="predictive")),IF(AND(K3568=1,L3568=1,M3568=1),"adequate","partial"),INDEX(Fit_Matrix!$B:$B,MATCH(P3568,Fit_Matrix!$A:$A,0))),"CHECK KEY"))</f>
        <v/>
      </c>
    </row>
    <row r="3569" customFormat="false" ht="15" hidden="false" customHeight="true" outlineLevel="0" collapsed="false">
      <c r="P3569" s="1" t="str">
        <f aca="false">IF(OR(F3569="",H3569="",J3569=""),"",J3569&amp;"|"&amp;F3569&amp;"|"&amp;IF(H3569="W3","W3_"&amp;IF(I3569="","unknown",I3569),H3569))</f>
        <v/>
      </c>
      <c r="Q3569" s="1" t="str">
        <f aca="false">IF(P3569="","",IFERROR(IF(AND(H3569="W7",OR(F3569="causal",F3569="predictive")),IF(AND(K3569=1,L3569=1,M3569=1),"adequate","partial"),INDEX(Fit_Matrix!$B:$B,MATCH(P3569,Fit_Matrix!$A:$A,0))),"CHECK KEY"))</f>
        <v/>
      </c>
    </row>
    <row r="3570" customFormat="false" ht="15" hidden="false" customHeight="true" outlineLevel="0" collapsed="false">
      <c r="P3570" s="1" t="str">
        <f aca="false">IF(OR(F3570="",H3570="",J3570=""),"",J3570&amp;"|"&amp;F3570&amp;"|"&amp;IF(H3570="W3","W3_"&amp;IF(I3570="","unknown",I3570),H3570))</f>
        <v/>
      </c>
      <c r="Q3570" s="1" t="str">
        <f aca="false">IF(P3570="","",IFERROR(IF(AND(H3570="W7",OR(F3570="causal",F3570="predictive")),IF(AND(K3570=1,L3570=1,M3570=1),"adequate","partial"),INDEX(Fit_Matrix!$B:$B,MATCH(P3570,Fit_Matrix!$A:$A,0))),"CHECK KEY"))</f>
        <v/>
      </c>
    </row>
    <row r="3571" customFormat="false" ht="15" hidden="false" customHeight="true" outlineLevel="0" collapsed="false">
      <c r="P3571" s="1" t="str">
        <f aca="false">IF(OR(F3571="",H3571="",J3571=""),"",J3571&amp;"|"&amp;F3571&amp;"|"&amp;IF(H3571="W3","W3_"&amp;IF(I3571="","unknown",I3571),H3571))</f>
        <v/>
      </c>
      <c r="Q3571" s="1" t="str">
        <f aca="false">IF(P3571="","",IFERROR(IF(AND(H3571="W7",OR(F3571="causal",F3571="predictive")),IF(AND(K3571=1,L3571=1,M3571=1),"adequate","partial"),INDEX(Fit_Matrix!$B:$B,MATCH(P3571,Fit_Matrix!$A:$A,0))),"CHECK KEY"))</f>
        <v/>
      </c>
    </row>
    <row r="3572" customFormat="false" ht="15" hidden="false" customHeight="true" outlineLevel="0" collapsed="false">
      <c r="P3572" s="1" t="str">
        <f aca="false">IF(OR(F3572="",H3572="",J3572=""),"",J3572&amp;"|"&amp;F3572&amp;"|"&amp;IF(H3572="W3","W3_"&amp;IF(I3572="","unknown",I3572),H3572))</f>
        <v/>
      </c>
      <c r="Q3572" s="1" t="str">
        <f aca="false">IF(P3572="","",IFERROR(IF(AND(H3572="W7",OR(F3572="causal",F3572="predictive")),IF(AND(K3572=1,L3572=1,M3572=1),"adequate","partial"),INDEX(Fit_Matrix!$B:$B,MATCH(P3572,Fit_Matrix!$A:$A,0))),"CHECK KEY"))</f>
        <v/>
      </c>
    </row>
    <row r="3573" customFormat="false" ht="15" hidden="false" customHeight="true" outlineLevel="0" collapsed="false">
      <c r="P3573" s="1" t="str">
        <f aca="false">IF(OR(F3573="",H3573="",J3573=""),"",J3573&amp;"|"&amp;F3573&amp;"|"&amp;IF(H3573="W3","W3_"&amp;IF(I3573="","unknown",I3573),H3573))</f>
        <v/>
      </c>
      <c r="Q3573" s="1" t="str">
        <f aca="false">IF(P3573="","",IFERROR(IF(AND(H3573="W7",OR(F3573="causal",F3573="predictive")),IF(AND(K3573=1,L3573=1,M3573=1),"adequate","partial"),INDEX(Fit_Matrix!$B:$B,MATCH(P3573,Fit_Matrix!$A:$A,0))),"CHECK KEY"))</f>
        <v/>
      </c>
    </row>
    <row r="3574" customFormat="false" ht="15" hidden="false" customHeight="true" outlineLevel="0" collapsed="false">
      <c r="P3574" s="1" t="str">
        <f aca="false">IF(OR(F3574="",H3574="",J3574=""),"",J3574&amp;"|"&amp;F3574&amp;"|"&amp;IF(H3574="W3","W3_"&amp;IF(I3574="","unknown",I3574),H3574))</f>
        <v/>
      </c>
      <c r="Q3574" s="1" t="str">
        <f aca="false">IF(P3574="","",IFERROR(IF(AND(H3574="W7",OR(F3574="causal",F3574="predictive")),IF(AND(K3574=1,L3574=1,M3574=1),"adequate","partial"),INDEX(Fit_Matrix!$B:$B,MATCH(P3574,Fit_Matrix!$A:$A,0))),"CHECK KEY"))</f>
        <v/>
      </c>
    </row>
    <row r="3575" customFormat="false" ht="15" hidden="false" customHeight="true" outlineLevel="0" collapsed="false">
      <c r="P3575" s="1" t="str">
        <f aca="false">IF(OR(F3575="",H3575="",J3575=""),"",J3575&amp;"|"&amp;F3575&amp;"|"&amp;IF(H3575="W3","W3_"&amp;IF(I3575="","unknown",I3575),H3575))</f>
        <v/>
      </c>
      <c r="Q3575" s="1" t="str">
        <f aca="false">IF(P3575="","",IFERROR(IF(AND(H3575="W7",OR(F3575="causal",F3575="predictive")),IF(AND(K3575=1,L3575=1,M3575=1),"adequate","partial"),INDEX(Fit_Matrix!$B:$B,MATCH(P3575,Fit_Matrix!$A:$A,0))),"CHECK KEY"))</f>
        <v/>
      </c>
    </row>
    <row r="3576" customFormat="false" ht="15" hidden="false" customHeight="true" outlineLevel="0" collapsed="false">
      <c r="P3576" s="1" t="str">
        <f aca="false">IF(OR(F3576="",H3576="",J3576=""),"",J3576&amp;"|"&amp;F3576&amp;"|"&amp;IF(H3576="W3","W3_"&amp;IF(I3576="","unknown",I3576),H3576))</f>
        <v/>
      </c>
      <c r="Q3576" s="1" t="str">
        <f aca="false">IF(P3576="","",IFERROR(IF(AND(H3576="W7",OR(F3576="causal",F3576="predictive")),IF(AND(K3576=1,L3576=1,M3576=1),"adequate","partial"),INDEX(Fit_Matrix!$B:$B,MATCH(P3576,Fit_Matrix!$A:$A,0))),"CHECK KEY"))</f>
        <v/>
      </c>
    </row>
    <row r="3577" customFormat="false" ht="15" hidden="false" customHeight="true" outlineLevel="0" collapsed="false">
      <c r="P3577" s="1" t="str">
        <f aca="false">IF(OR(F3577="",H3577="",J3577=""),"",J3577&amp;"|"&amp;F3577&amp;"|"&amp;IF(H3577="W3","W3_"&amp;IF(I3577="","unknown",I3577),H3577))</f>
        <v/>
      </c>
      <c r="Q3577" s="1" t="str">
        <f aca="false">IF(P3577="","",IFERROR(IF(AND(H3577="W7",OR(F3577="causal",F3577="predictive")),IF(AND(K3577=1,L3577=1,M3577=1),"adequate","partial"),INDEX(Fit_Matrix!$B:$B,MATCH(P3577,Fit_Matrix!$A:$A,0))),"CHECK KEY"))</f>
        <v/>
      </c>
    </row>
    <row r="3578" customFormat="false" ht="15" hidden="false" customHeight="true" outlineLevel="0" collapsed="false">
      <c r="P3578" s="1" t="str">
        <f aca="false">IF(OR(F3578="",H3578="",J3578=""),"",J3578&amp;"|"&amp;F3578&amp;"|"&amp;IF(H3578="W3","W3_"&amp;IF(I3578="","unknown",I3578),H3578))</f>
        <v/>
      </c>
      <c r="Q3578" s="1" t="str">
        <f aca="false">IF(P3578="","",IFERROR(IF(AND(H3578="W7",OR(F3578="causal",F3578="predictive")),IF(AND(K3578=1,L3578=1,M3578=1),"adequate","partial"),INDEX(Fit_Matrix!$B:$B,MATCH(P3578,Fit_Matrix!$A:$A,0))),"CHECK KEY"))</f>
        <v/>
      </c>
    </row>
    <row r="3579" customFormat="false" ht="15" hidden="false" customHeight="true" outlineLevel="0" collapsed="false">
      <c r="P3579" s="1" t="str">
        <f aca="false">IF(OR(F3579="",H3579="",J3579=""),"",J3579&amp;"|"&amp;F3579&amp;"|"&amp;IF(H3579="W3","W3_"&amp;IF(I3579="","unknown",I3579),H3579))</f>
        <v/>
      </c>
      <c r="Q3579" s="1" t="str">
        <f aca="false">IF(P3579="","",IFERROR(IF(AND(H3579="W7",OR(F3579="causal",F3579="predictive")),IF(AND(K3579=1,L3579=1,M3579=1),"adequate","partial"),INDEX(Fit_Matrix!$B:$B,MATCH(P3579,Fit_Matrix!$A:$A,0))),"CHECK KEY"))</f>
        <v/>
      </c>
    </row>
    <row r="3580" customFormat="false" ht="15" hidden="false" customHeight="true" outlineLevel="0" collapsed="false">
      <c r="P3580" s="1" t="str">
        <f aca="false">IF(OR(F3580="",H3580="",J3580=""),"",J3580&amp;"|"&amp;F3580&amp;"|"&amp;IF(H3580="W3","W3_"&amp;IF(I3580="","unknown",I3580),H3580))</f>
        <v/>
      </c>
      <c r="Q3580" s="1" t="str">
        <f aca="false">IF(P3580="","",IFERROR(IF(AND(H3580="W7",OR(F3580="causal",F3580="predictive")),IF(AND(K3580=1,L3580=1,M3580=1),"adequate","partial"),INDEX(Fit_Matrix!$B:$B,MATCH(P3580,Fit_Matrix!$A:$A,0))),"CHECK KEY"))</f>
        <v/>
      </c>
    </row>
    <row r="3581" customFormat="false" ht="15" hidden="false" customHeight="true" outlineLevel="0" collapsed="false">
      <c r="P3581" s="1" t="str">
        <f aca="false">IF(OR(F3581="",H3581="",J3581=""),"",J3581&amp;"|"&amp;F3581&amp;"|"&amp;IF(H3581="W3","W3_"&amp;IF(I3581="","unknown",I3581),H3581))</f>
        <v/>
      </c>
      <c r="Q3581" s="1" t="str">
        <f aca="false">IF(P3581="","",IFERROR(IF(AND(H3581="W7",OR(F3581="causal",F3581="predictive")),IF(AND(K3581=1,L3581=1,M3581=1),"adequate","partial"),INDEX(Fit_Matrix!$B:$B,MATCH(P3581,Fit_Matrix!$A:$A,0))),"CHECK KEY"))</f>
        <v/>
      </c>
    </row>
    <row r="3582" customFormat="false" ht="15" hidden="false" customHeight="true" outlineLevel="0" collapsed="false">
      <c r="P3582" s="1" t="str">
        <f aca="false">IF(OR(F3582="",H3582="",J3582=""),"",J3582&amp;"|"&amp;F3582&amp;"|"&amp;IF(H3582="W3","W3_"&amp;IF(I3582="","unknown",I3582),H3582))</f>
        <v/>
      </c>
      <c r="Q3582" s="1" t="str">
        <f aca="false">IF(P3582="","",IFERROR(IF(AND(H3582="W7",OR(F3582="causal",F3582="predictive")),IF(AND(K3582=1,L3582=1,M3582=1),"adequate","partial"),INDEX(Fit_Matrix!$B:$B,MATCH(P3582,Fit_Matrix!$A:$A,0))),"CHECK KEY"))</f>
        <v/>
      </c>
    </row>
    <row r="3583" customFormat="false" ht="15" hidden="false" customHeight="true" outlineLevel="0" collapsed="false">
      <c r="P3583" s="1" t="str">
        <f aca="false">IF(OR(F3583="",H3583="",J3583=""),"",J3583&amp;"|"&amp;F3583&amp;"|"&amp;IF(H3583="W3","W3_"&amp;IF(I3583="","unknown",I3583),H3583))</f>
        <v/>
      </c>
      <c r="Q3583" s="1" t="str">
        <f aca="false">IF(P3583="","",IFERROR(IF(AND(H3583="W7",OR(F3583="causal",F3583="predictive")),IF(AND(K3583=1,L3583=1,M3583=1),"adequate","partial"),INDEX(Fit_Matrix!$B:$B,MATCH(P3583,Fit_Matrix!$A:$A,0))),"CHECK KEY"))</f>
        <v/>
      </c>
    </row>
    <row r="3584" customFormat="false" ht="15" hidden="false" customHeight="true" outlineLevel="0" collapsed="false">
      <c r="P3584" s="1" t="str">
        <f aca="false">IF(OR(F3584="",H3584="",J3584=""),"",J3584&amp;"|"&amp;F3584&amp;"|"&amp;IF(H3584="W3","W3_"&amp;IF(I3584="","unknown",I3584),H3584))</f>
        <v/>
      </c>
      <c r="Q3584" s="1" t="str">
        <f aca="false">IF(P3584="","",IFERROR(IF(AND(H3584="W7",OR(F3584="causal",F3584="predictive")),IF(AND(K3584=1,L3584=1,M3584=1),"adequate","partial"),INDEX(Fit_Matrix!$B:$B,MATCH(P3584,Fit_Matrix!$A:$A,0))),"CHECK KEY"))</f>
        <v/>
      </c>
    </row>
    <row r="3585" customFormat="false" ht="15" hidden="false" customHeight="true" outlineLevel="0" collapsed="false">
      <c r="P3585" s="1" t="str">
        <f aca="false">IF(OR(F3585="",H3585="",J3585=""),"",J3585&amp;"|"&amp;F3585&amp;"|"&amp;IF(H3585="W3","W3_"&amp;IF(I3585="","unknown",I3585),H3585))</f>
        <v/>
      </c>
      <c r="Q3585" s="1" t="str">
        <f aca="false">IF(P3585="","",IFERROR(IF(AND(H3585="W7",OR(F3585="causal",F3585="predictive")),IF(AND(K3585=1,L3585=1,M3585=1),"adequate","partial"),INDEX(Fit_Matrix!$B:$B,MATCH(P3585,Fit_Matrix!$A:$A,0))),"CHECK KEY"))</f>
        <v/>
      </c>
    </row>
    <row r="3586" customFormat="false" ht="15" hidden="false" customHeight="true" outlineLevel="0" collapsed="false">
      <c r="P3586" s="1" t="str">
        <f aca="false">IF(OR(F3586="",H3586="",J3586=""),"",J3586&amp;"|"&amp;F3586&amp;"|"&amp;IF(H3586="W3","W3_"&amp;IF(I3586="","unknown",I3586),H3586))</f>
        <v/>
      </c>
      <c r="Q3586" s="1" t="str">
        <f aca="false">IF(P3586="","",IFERROR(IF(AND(H3586="W7",OR(F3586="causal",F3586="predictive")),IF(AND(K3586=1,L3586=1,M3586=1),"adequate","partial"),INDEX(Fit_Matrix!$B:$B,MATCH(P3586,Fit_Matrix!$A:$A,0))),"CHECK KEY"))</f>
        <v/>
      </c>
    </row>
    <row r="3587" customFormat="false" ht="15" hidden="false" customHeight="true" outlineLevel="0" collapsed="false">
      <c r="P3587" s="1" t="str">
        <f aca="false">IF(OR(F3587="",H3587="",J3587=""),"",J3587&amp;"|"&amp;F3587&amp;"|"&amp;IF(H3587="W3","W3_"&amp;IF(I3587="","unknown",I3587),H3587))</f>
        <v/>
      </c>
      <c r="Q3587" s="1" t="str">
        <f aca="false">IF(P3587="","",IFERROR(IF(AND(H3587="W7",OR(F3587="causal",F3587="predictive")),IF(AND(K3587=1,L3587=1,M3587=1),"adequate","partial"),INDEX(Fit_Matrix!$B:$B,MATCH(P3587,Fit_Matrix!$A:$A,0))),"CHECK KEY"))</f>
        <v/>
      </c>
    </row>
    <row r="3588" customFormat="false" ht="15" hidden="false" customHeight="true" outlineLevel="0" collapsed="false">
      <c r="P3588" s="1" t="str">
        <f aca="false">IF(OR(F3588="",H3588="",J3588=""),"",J3588&amp;"|"&amp;F3588&amp;"|"&amp;IF(H3588="W3","W3_"&amp;IF(I3588="","unknown",I3588),H3588))</f>
        <v/>
      </c>
      <c r="Q3588" s="1" t="str">
        <f aca="false">IF(P3588="","",IFERROR(IF(AND(H3588="W7",OR(F3588="causal",F3588="predictive")),IF(AND(K3588=1,L3588=1,M3588=1),"adequate","partial"),INDEX(Fit_Matrix!$B:$B,MATCH(P3588,Fit_Matrix!$A:$A,0))),"CHECK KEY"))</f>
        <v/>
      </c>
    </row>
    <row r="3589" customFormat="false" ht="15" hidden="false" customHeight="true" outlineLevel="0" collapsed="false">
      <c r="P3589" s="1" t="str">
        <f aca="false">IF(OR(F3589="",H3589="",J3589=""),"",J3589&amp;"|"&amp;F3589&amp;"|"&amp;IF(H3589="W3","W3_"&amp;IF(I3589="","unknown",I3589),H3589))</f>
        <v/>
      </c>
      <c r="Q3589" s="1" t="str">
        <f aca="false">IF(P3589="","",IFERROR(IF(AND(H3589="W7",OR(F3589="causal",F3589="predictive")),IF(AND(K3589=1,L3589=1,M3589=1),"adequate","partial"),INDEX(Fit_Matrix!$B:$B,MATCH(P3589,Fit_Matrix!$A:$A,0))),"CHECK KEY"))</f>
        <v/>
      </c>
    </row>
    <row r="3590" customFormat="false" ht="15" hidden="false" customHeight="true" outlineLevel="0" collapsed="false">
      <c r="P3590" s="1" t="str">
        <f aca="false">IF(OR(F3590="",H3590="",J3590=""),"",J3590&amp;"|"&amp;F3590&amp;"|"&amp;IF(H3590="W3","W3_"&amp;IF(I3590="","unknown",I3590),H3590))</f>
        <v/>
      </c>
      <c r="Q3590" s="1" t="str">
        <f aca="false">IF(P3590="","",IFERROR(IF(AND(H3590="W7",OR(F3590="causal",F3590="predictive")),IF(AND(K3590=1,L3590=1,M3590=1),"adequate","partial"),INDEX(Fit_Matrix!$B:$B,MATCH(P3590,Fit_Matrix!$A:$A,0))),"CHECK KEY"))</f>
        <v/>
      </c>
    </row>
    <row r="3591" customFormat="false" ht="15" hidden="false" customHeight="true" outlineLevel="0" collapsed="false">
      <c r="P3591" s="1" t="str">
        <f aca="false">IF(OR(F3591="",H3591="",J3591=""),"",J3591&amp;"|"&amp;F3591&amp;"|"&amp;IF(H3591="W3","W3_"&amp;IF(I3591="","unknown",I3591),H3591))</f>
        <v/>
      </c>
      <c r="Q3591" s="1" t="str">
        <f aca="false">IF(P3591="","",IFERROR(IF(AND(H3591="W7",OR(F3591="causal",F3591="predictive")),IF(AND(K3591=1,L3591=1,M3591=1),"adequate","partial"),INDEX(Fit_Matrix!$B:$B,MATCH(P3591,Fit_Matrix!$A:$A,0))),"CHECK KEY"))</f>
        <v/>
      </c>
    </row>
    <row r="3592" customFormat="false" ht="15" hidden="false" customHeight="true" outlineLevel="0" collapsed="false">
      <c r="P3592" s="1" t="str">
        <f aca="false">IF(OR(F3592="",H3592="",J3592=""),"",J3592&amp;"|"&amp;F3592&amp;"|"&amp;IF(H3592="W3","W3_"&amp;IF(I3592="","unknown",I3592),H3592))</f>
        <v/>
      </c>
      <c r="Q3592" s="1" t="str">
        <f aca="false">IF(P3592="","",IFERROR(IF(AND(H3592="W7",OR(F3592="causal",F3592="predictive")),IF(AND(K3592=1,L3592=1,M3592=1),"adequate","partial"),INDEX(Fit_Matrix!$B:$B,MATCH(P3592,Fit_Matrix!$A:$A,0))),"CHECK KEY"))</f>
        <v/>
      </c>
    </row>
    <row r="3593" customFormat="false" ht="15" hidden="false" customHeight="true" outlineLevel="0" collapsed="false">
      <c r="P3593" s="1" t="str">
        <f aca="false">IF(OR(F3593="",H3593="",J3593=""),"",J3593&amp;"|"&amp;F3593&amp;"|"&amp;IF(H3593="W3","W3_"&amp;IF(I3593="","unknown",I3593),H3593))</f>
        <v/>
      </c>
      <c r="Q3593" s="1" t="str">
        <f aca="false">IF(P3593="","",IFERROR(IF(AND(H3593="W7",OR(F3593="causal",F3593="predictive")),IF(AND(K3593=1,L3593=1,M3593=1),"adequate","partial"),INDEX(Fit_Matrix!$B:$B,MATCH(P3593,Fit_Matrix!$A:$A,0))),"CHECK KEY"))</f>
        <v/>
      </c>
    </row>
    <row r="3594" customFormat="false" ht="15" hidden="false" customHeight="true" outlineLevel="0" collapsed="false">
      <c r="P3594" s="1" t="str">
        <f aca="false">IF(OR(F3594="",H3594="",J3594=""),"",J3594&amp;"|"&amp;F3594&amp;"|"&amp;IF(H3594="W3","W3_"&amp;IF(I3594="","unknown",I3594),H3594))</f>
        <v/>
      </c>
      <c r="Q3594" s="1" t="str">
        <f aca="false">IF(P3594="","",IFERROR(IF(AND(H3594="W7",OR(F3594="causal",F3594="predictive")),IF(AND(K3594=1,L3594=1,M3594=1),"adequate","partial"),INDEX(Fit_Matrix!$B:$B,MATCH(P3594,Fit_Matrix!$A:$A,0))),"CHECK KEY"))</f>
        <v/>
      </c>
    </row>
    <row r="3595" customFormat="false" ht="15" hidden="false" customHeight="true" outlineLevel="0" collapsed="false">
      <c r="P3595" s="1" t="str">
        <f aca="false">IF(OR(F3595="",H3595="",J3595=""),"",J3595&amp;"|"&amp;F3595&amp;"|"&amp;IF(H3595="W3","W3_"&amp;IF(I3595="","unknown",I3595),H3595))</f>
        <v/>
      </c>
      <c r="Q3595" s="1" t="str">
        <f aca="false">IF(P3595="","",IFERROR(IF(AND(H3595="W7",OR(F3595="causal",F3595="predictive")),IF(AND(K3595=1,L3595=1,M3595=1),"adequate","partial"),INDEX(Fit_Matrix!$B:$B,MATCH(P3595,Fit_Matrix!$A:$A,0))),"CHECK KEY"))</f>
        <v/>
      </c>
    </row>
    <row r="3596" customFormat="false" ht="15" hidden="false" customHeight="true" outlineLevel="0" collapsed="false">
      <c r="P3596" s="1" t="str">
        <f aca="false">IF(OR(F3596="",H3596="",J3596=""),"",J3596&amp;"|"&amp;F3596&amp;"|"&amp;IF(H3596="W3","W3_"&amp;IF(I3596="","unknown",I3596),H3596))</f>
        <v/>
      </c>
      <c r="Q3596" s="1" t="str">
        <f aca="false">IF(P3596="","",IFERROR(IF(AND(H3596="W7",OR(F3596="causal",F3596="predictive")),IF(AND(K3596=1,L3596=1,M3596=1),"adequate","partial"),INDEX(Fit_Matrix!$B:$B,MATCH(P3596,Fit_Matrix!$A:$A,0))),"CHECK KEY"))</f>
        <v/>
      </c>
    </row>
    <row r="3597" customFormat="false" ht="15" hidden="false" customHeight="true" outlineLevel="0" collapsed="false">
      <c r="P3597" s="1" t="str">
        <f aca="false">IF(OR(F3597="",H3597="",J3597=""),"",J3597&amp;"|"&amp;F3597&amp;"|"&amp;IF(H3597="W3","W3_"&amp;IF(I3597="","unknown",I3597),H3597))</f>
        <v/>
      </c>
      <c r="Q3597" s="1" t="str">
        <f aca="false">IF(P3597="","",IFERROR(IF(AND(H3597="W7",OR(F3597="causal",F3597="predictive")),IF(AND(K3597=1,L3597=1,M3597=1),"adequate","partial"),INDEX(Fit_Matrix!$B:$B,MATCH(P3597,Fit_Matrix!$A:$A,0))),"CHECK KEY"))</f>
        <v/>
      </c>
    </row>
    <row r="3598" customFormat="false" ht="15" hidden="false" customHeight="true" outlineLevel="0" collapsed="false">
      <c r="P3598" s="1" t="str">
        <f aca="false">IF(OR(F3598="",H3598="",J3598=""),"",J3598&amp;"|"&amp;F3598&amp;"|"&amp;IF(H3598="W3","W3_"&amp;IF(I3598="","unknown",I3598),H3598))</f>
        <v/>
      </c>
      <c r="Q3598" s="1" t="str">
        <f aca="false">IF(P3598="","",IFERROR(IF(AND(H3598="W7",OR(F3598="causal",F3598="predictive")),IF(AND(K3598=1,L3598=1,M3598=1),"adequate","partial"),INDEX(Fit_Matrix!$B:$B,MATCH(P3598,Fit_Matrix!$A:$A,0))),"CHECK KEY"))</f>
        <v/>
      </c>
    </row>
    <row r="3599" customFormat="false" ht="15" hidden="false" customHeight="true" outlineLevel="0" collapsed="false">
      <c r="P3599" s="1" t="str">
        <f aca="false">IF(OR(F3599="",H3599="",J3599=""),"",J3599&amp;"|"&amp;F3599&amp;"|"&amp;IF(H3599="W3","W3_"&amp;IF(I3599="","unknown",I3599),H3599))</f>
        <v/>
      </c>
      <c r="Q3599" s="1" t="str">
        <f aca="false">IF(P3599="","",IFERROR(IF(AND(H3599="W7",OR(F3599="causal",F3599="predictive")),IF(AND(K3599=1,L3599=1,M3599=1),"adequate","partial"),INDEX(Fit_Matrix!$B:$B,MATCH(P3599,Fit_Matrix!$A:$A,0))),"CHECK KEY"))</f>
        <v/>
      </c>
    </row>
    <row r="3600" customFormat="false" ht="15" hidden="false" customHeight="true" outlineLevel="0" collapsed="false">
      <c r="P3600" s="1" t="str">
        <f aca="false">IF(OR(F3600="",H3600="",J3600=""),"",J3600&amp;"|"&amp;F3600&amp;"|"&amp;IF(H3600="W3","W3_"&amp;IF(I3600="","unknown",I3600),H3600))</f>
        <v/>
      </c>
      <c r="Q3600" s="1" t="str">
        <f aca="false">IF(P3600="","",IFERROR(IF(AND(H3600="W7",OR(F3600="causal",F3600="predictive")),IF(AND(K3600=1,L3600=1,M3600=1),"adequate","partial"),INDEX(Fit_Matrix!$B:$B,MATCH(P3600,Fit_Matrix!$A:$A,0))),"CHECK KEY"))</f>
        <v/>
      </c>
    </row>
    <row r="3601" customFormat="false" ht="15" hidden="false" customHeight="true" outlineLevel="0" collapsed="false">
      <c r="P3601" s="1" t="str">
        <f aca="false">IF(OR(F3601="",H3601="",J3601=""),"",J3601&amp;"|"&amp;F3601&amp;"|"&amp;IF(H3601="W3","W3_"&amp;IF(I3601="","unknown",I3601),H3601))</f>
        <v/>
      </c>
      <c r="Q3601" s="1" t="str">
        <f aca="false">IF(P3601="","",IFERROR(IF(AND(H3601="W7",OR(F3601="causal",F3601="predictive")),IF(AND(K3601=1,L3601=1,M3601=1),"adequate","partial"),INDEX(Fit_Matrix!$B:$B,MATCH(P3601,Fit_Matrix!$A:$A,0))),"CHECK KEY"))</f>
        <v/>
      </c>
    </row>
    <row r="3602" customFormat="false" ht="15" hidden="false" customHeight="true" outlineLevel="0" collapsed="false">
      <c r="P3602" s="1" t="str">
        <f aca="false">IF(OR(F3602="",H3602="",J3602=""),"",J3602&amp;"|"&amp;F3602&amp;"|"&amp;IF(H3602="W3","W3_"&amp;IF(I3602="","unknown",I3602),H3602))</f>
        <v/>
      </c>
      <c r="Q3602" s="1" t="str">
        <f aca="false">IF(P3602="","",IFERROR(IF(AND(H3602="W7",OR(F3602="causal",F3602="predictive")),IF(AND(K3602=1,L3602=1,M3602=1),"adequate","partial"),INDEX(Fit_Matrix!$B:$B,MATCH(P3602,Fit_Matrix!$A:$A,0))),"CHECK KEY"))</f>
        <v/>
      </c>
    </row>
    <row r="3603" customFormat="false" ht="15" hidden="false" customHeight="true" outlineLevel="0" collapsed="false">
      <c r="P3603" s="1" t="str">
        <f aca="false">IF(OR(F3603="",H3603="",J3603=""),"",J3603&amp;"|"&amp;F3603&amp;"|"&amp;IF(H3603="W3","W3_"&amp;IF(I3603="","unknown",I3603),H3603))</f>
        <v/>
      </c>
      <c r="Q3603" s="1" t="str">
        <f aca="false">IF(P3603="","",IFERROR(IF(AND(H3603="W7",OR(F3603="causal",F3603="predictive")),IF(AND(K3603=1,L3603=1,M3603=1),"adequate","partial"),INDEX(Fit_Matrix!$B:$B,MATCH(P3603,Fit_Matrix!$A:$A,0))),"CHECK KEY"))</f>
        <v/>
      </c>
    </row>
    <row r="3604" customFormat="false" ht="15" hidden="false" customHeight="true" outlineLevel="0" collapsed="false">
      <c r="P3604" s="1" t="str">
        <f aca="false">IF(OR(F3604="",H3604="",J3604=""),"",J3604&amp;"|"&amp;F3604&amp;"|"&amp;IF(H3604="W3","W3_"&amp;IF(I3604="","unknown",I3604),H3604))</f>
        <v/>
      </c>
      <c r="Q3604" s="1" t="str">
        <f aca="false">IF(P3604="","",IFERROR(IF(AND(H3604="W7",OR(F3604="causal",F3604="predictive")),IF(AND(K3604=1,L3604=1,M3604=1),"adequate","partial"),INDEX(Fit_Matrix!$B:$B,MATCH(P3604,Fit_Matrix!$A:$A,0))),"CHECK KEY"))</f>
        <v/>
      </c>
    </row>
    <row r="3605" customFormat="false" ht="15" hidden="false" customHeight="true" outlineLevel="0" collapsed="false">
      <c r="P3605" s="1" t="str">
        <f aca="false">IF(OR(F3605="",H3605="",J3605=""),"",J3605&amp;"|"&amp;F3605&amp;"|"&amp;IF(H3605="W3","W3_"&amp;IF(I3605="","unknown",I3605),H3605))</f>
        <v/>
      </c>
      <c r="Q3605" s="1" t="str">
        <f aca="false">IF(P3605="","",IFERROR(IF(AND(H3605="W7",OR(F3605="causal",F3605="predictive")),IF(AND(K3605=1,L3605=1,M3605=1),"adequate","partial"),INDEX(Fit_Matrix!$B:$B,MATCH(P3605,Fit_Matrix!$A:$A,0))),"CHECK KEY"))</f>
        <v/>
      </c>
    </row>
    <row r="3606" customFormat="false" ht="15" hidden="false" customHeight="true" outlineLevel="0" collapsed="false">
      <c r="P3606" s="1" t="str">
        <f aca="false">IF(OR(F3606="",H3606="",J3606=""),"",J3606&amp;"|"&amp;F3606&amp;"|"&amp;IF(H3606="W3","W3_"&amp;IF(I3606="","unknown",I3606),H3606))</f>
        <v/>
      </c>
      <c r="Q3606" s="1" t="str">
        <f aca="false">IF(P3606="","",IFERROR(IF(AND(H3606="W7",OR(F3606="causal",F3606="predictive")),IF(AND(K3606=1,L3606=1,M3606=1),"adequate","partial"),INDEX(Fit_Matrix!$B:$B,MATCH(P3606,Fit_Matrix!$A:$A,0))),"CHECK KEY"))</f>
        <v/>
      </c>
    </row>
    <row r="3607" customFormat="false" ht="15" hidden="false" customHeight="true" outlineLevel="0" collapsed="false">
      <c r="P3607" s="1" t="str">
        <f aca="false">IF(OR(F3607="",H3607="",J3607=""),"",J3607&amp;"|"&amp;F3607&amp;"|"&amp;IF(H3607="W3","W3_"&amp;IF(I3607="","unknown",I3607),H3607))</f>
        <v/>
      </c>
      <c r="Q3607" s="1" t="str">
        <f aca="false">IF(P3607="","",IFERROR(IF(AND(H3607="W7",OR(F3607="causal",F3607="predictive")),IF(AND(K3607=1,L3607=1,M3607=1),"adequate","partial"),INDEX(Fit_Matrix!$B:$B,MATCH(P3607,Fit_Matrix!$A:$A,0))),"CHECK KEY"))</f>
        <v/>
      </c>
    </row>
    <row r="3608" customFormat="false" ht="15" hidden="false" customHeight="true" outlineLevel="0" collapsed="false">
      <c r="P3608" s="1" t="str">
        <f aca="false">IF(OR(F3608="",H3608="",J3608=""),"",J3608&amp;"|"&amp;F3608&amp;"|"&amp;IF(H3608="W3","W3_"&amp;IF(I3608="","unknown",I3608),H3608))</f>
        <v/>
      </c>
      <c r="Q3608" s="1" t="str">
        <f aca="false">IF(P3608="","",IFERROR(IF(AND(H3608="W7",OR(F3608="causal",F3608="predictive")),IF(AND(K3608=1,L3608=1,M3608=1),"adequate","partial"),INDEX(Fit_Matrix!$B:$B,MATCH(P3608,Fit_Matrix!$A:$A,0))),"CHECK KEY"))</f>
        <v/>
      </c>
    </row>
    <row r="3609" customFormat="false" ht="15" hidden="false" customHeight="true" outlineLevel="0" collapsed="false">
      <c r="P3609" s="1" t="str">
        <f aca="false">IF(OR(F3609="",H3609="",J3609=""),"",J3609&amp;"|"&amp;F3609&amp;"|"&amp;IF(H3609="W3","W3_"&amp;IF(I3609="","unknown",I3609),H3609))</f>
        <v/>
      </c>
      <c r="Q3609" s="1" t="str">
        <f aca="false">IF(P3609="","",IFERROR(IF(AND(H3609="W7",OR(F3609="causal",F3609="predictive")),IF(AND(K3609=1,L3609=1,M3609=1),"adequate","partial"),INDEX(Fit_Matrix!$B:$B,MATCH(P3609,Fit_Matrix!$A:$A,0))),"CHECK KEY"))</f>
        <v/>
      </c>
    </row>
    <row r="3610" customFormat="false" ht="15" hidden="false" customHeight="true" outlineLevel="0" collapsed="false">
      <c r="P3610" s="1" t="str">
        <f aca="false">IF(OR(F3610="",H3610="",J3610=""),"",J3610&amp;"|"&amp;F3610&amp;"|"&amp;IF(H3610="W3","W3_"&amp;IF(I3610="","unknown",I3610),H3610))</f>
        <v/>
      </c>
      <c r="Q3610" s="1" t="str">
        <f aca="false">IF(P3610="","",IFERROR(IF(AND(H3610="W7",OR(F3610="causal",F3610="predictive")),IF(AND(K3610=1,L3610=1,M3610=1),"adequate","partial"),INDEX(Fit_Matrix!$B:$B,MATCH(P3610,Fit_Matrix!$A:$A,0))),"CHECK KEY"))</f>
        <v/>
      </c>
    </row>
    <row r="3611" customFormat="false" ht="15" hidden="false" customHeight="true" outlineLevel="0" collapsed="false">
      <c r="P3611" s="1" t="str">
        <f aca="false">IF(OR(F3611="",H3611="",J3611=""),"",J3611&amp;"|"&amp;F3611&amp;"|"&amp;IF(H3611="W3","W3_"&amp;IF(I3611="","unknown",I3611),H3611))</f>
        <v/>
      </c>
      <c r="Q3611" s="1" t="str">
        <f aca="false">IF(P3611="","",IFERROR(IF(AND(H3611="W7",OR(F3611="causal",F3611="predictive")),IF(AND(K3611=1,L3611=1,M3611=1),"adequate","partial"),INDEX(Fit_Matrix!$B:$B,MATCH(P3611,Fit_Matrix!$A:$A,0))),"CHECK KEY"))</f>
        <v/>
      </c>
    </row>
    <row r="3612" customFormat="false" ht="15" hidden="false" customHeight="true" outlineLevel="0" collapsed="false">
      <c r="P3612" s="1" t="str">
        <f aca="false">IF(OR(F3612="",H3612="",J3612=""),"",J3612&amp;"|"&amp;F3612&amp;"|"&amp;IF(H3612="W3","W3_"&amp;IF(I3612="","unknown",I3612),H3612))</f>
        <v/>
      </c>
      <c r="Q3612" s="1" t="str">
        <f aca="false">IF(P3612="","",IFERROR(IF(AND(H3612="W7",OR(F3612="causal",F3612="predictive")),IF(AND(K3612=1,L3612=1,M3612=1),"adequate","partial"),INDEX(Fit_Matrix!$B:$B,MATCH(P3612,Fit_Matrix!$A:$A,0))),"CHECK KEY"))</f>
        <v/>
      </c>
    </row>
    <row r="3613" customFormat="false" ht="15" hidden="false" customHeight="true" outlineLevel="0" collapsed="false">
      <c r="P3613" s="1" t="str">
        <f aca="false">IF(OR(F3613="",H3613="",J3613=""),"",J3613&amp;"|"&amp;F3613&amp;"|"&amp;IF(H3613="W3","W3_"&amp;IF(I3613="","unknown",I3613),H3613))</f>
        <v/>
      </c>
      <c r="Q3613" s="1" t="str">
        <f aca="false">IF(P3613="","",IFERROR(IF(AND(H3613="W7",OR(F3613="causal",F3613="predictive")),IF(AND(K3613=1,L3613=1,M3613=1),"adequate","partial"),INDEX(Fit_Matrix!$B:$B,MATCH(P3613,Fit_Matrix!$A:$A,0))),"CHECK KEY"))</f>
        <v/>
      </c>
    </row>
    <row r="3614" customFormat="false" ht="15" hidden="false" customHeight="true" outlineLevel="0" collapsed="false">
      <c r="P3614" s="1" t="str">
        <f aca="false">IF(OR(F3614="",H3614="",J3614=""),"",J3614&amp;"|"&amp;F3614&amp;"|"&amp;IF(H3614="W3","W3_"&amp;IF(I3614="","unknown",I3614),H3614))</f>
        <v/>
      </c>
      <c r="Q3614" s="1" t="str">
        <f aca="false">IF(P3614="","",IFERROR(IF(AND(H3614="W7",OR(F3614="causal",F3614="predictive")),IF(AND(K3614=1,L3614=1,M3614=1),"adequate","partial"),INDEX(Fit_Matrix!$B:$B,MATCH(P3614,Fit_Matrix!$A:$A,0))),"CHECK KEY"))</f>
        <v/>
      </c>
    </row>
    <row r="3615" customFormat="false" ht="15" hidden="false" customHeight="true" outlineLevel="0" collapsed="false">
      <c r="P3615" s="1" t="str">
        <f aca="false">IF(OR(F3615="",H3615="",J3615=""),"",J3615&amp;"|"&amp;F3615&amp;"|"&amp;IF(H3615="W3","W3_"&amp;IF(I3615="","unknown",I3615),H3615))</f>
        <v/>
      </c>
      <c r="Q3615" s="1" t="str">
        <f aca="false">IF(P3615="","",IFERROR(IF(AND(H3615="W7",OR(F3615="causal",F3615="predictive")),IF(AND(K3615=1,L3615=1,M3615=1),"adequate","partial"),INDEX(Fit_Matrix!$B:$B,MATCH(P3615,Fit_Matrix!$A:$A,0))),"CHECK KEY"))</f>
        <v/>
      </c>
    </row>
    <row r="3616" customFormat="false" ht="15" hidden="false" customHeight="true" outlineLevel="0" collapsed="false">
      <c r="P3616" s="1" t="str">
        <f aca="false">IF(OR(F3616="",H3616="",J3616=""),"",J3616&amp;"|"&amp;F3616&amp;"|"&amp;IF(H3616="W3","W3_"&amp;IF(I3616="","unknown",I3616),H3616))</f>
        <v/>
      </c>
      <c r="Q3616" s="1" t="str">
        <f aca="false">IF(P3616="","",IFERROR(IF(AND(H3616="W7",OR(F3616="causal",F3616="predictive")),IF(AND(K3616=1,L3616=1,M3616=1),"adequate","partial"),INDEX(Fit_Matrix!$B:$B,MATCH(P3616,Fit_Matrix!$A:$A,0))),"CHECK KEY"))</f>
        <v/>
      </c>
    </row>
    <row r="3617" customFormat="false" ht="15" hidden="false" customHeight="true" outlineLevel="0" collapsed="false">
      <c r="P3617" s="1" t="str">
        <f aca="false">IF(OR(F3617="",H3617="",J3617=""),"",J3617&amp;"|"&amp;F3617&amp;"|"&amp;IF(H3617="W3","W3_"&amp;IF(I3617="","unknown",I3617),H3617))</f>
        <v/>
      </c>
      <c r="Q3617" s="1" t="str">
        <f aca="false">IF(P3617="","",IFERROR(IF(AND(H3617="W7",OR(F3617="causal",F3617="predictive")),IF(AND(K3617=1,L3617=1,M3617=1),"adequate","partial"),INDEX(Fit_Matrix!$B:$B,MATCH(P3617,Fit_Matrix!$A:$A,0))),"CHECK KEY"))</f>
        <v/>
      </c>
    </row>
    <row r="3618" customFormat="false" ht="15" hidden="false" customHeight="true" outlineLevel="0" collapsed="false">
      <c r="P3618" s="1" t="str">
        <f aca="false">IF(OR(F3618="",H3618="",J3618=""),"",J3618&amp;"|"&amp;F3618&amp;"|"&amp;IF(H3618="W3","W3_"&amp;IF(I3618="","unknown",I3618),H3618))</f>
        <v/>
      </c>
      <c r="Q3618" s="1" t="str">
        <f aca="false">IF(P3618="","",IFERROR(IF(AND(H3618="W7",OR(F3618="causal",F3618="predictive")),IF(AND(K3618=1,L3618=1,M3618=1),"adequate","partial"),INDEX(Fit_Matrix!$B:$B,MATCH(P3618,Fit_Matrix!$A:$A,0))),"CHECK KEY"))</f>
        <v/>
      </c>
    </row>
    <row r="3619" customFormat="false" ht="15" hidden="false" customHeight="true" outlineLevel="0" collapsed="false">
      <c r="P3619" s="1" t="str">
        <f aca="false">IF(OR(F3619="",H3619="",J3619=""),"",J3619&amp;"|"&amp;F3619&amp;"|"&amp;IF(H3619="W3","W3_"&amp;IF(I3619="","unknown",I3619),H3619))</f>
        <v/>
      </c>
      <c r="Q3619" s="1" t="str">
        <f aca="false">IF(P3619="","",IFERROR(IF(AND(H3619="W7",OR(F3619="causal",F3619="predictive")),IF(AND(K3619=1,L3619=1,M3619=1),"adequate","partial"),INDEX(Fit_Matrix!$B:$B,MATCH(P3619,Fit_Matrix!$A:$A,0))),"CHECK KEY"))</f>
        <v/>
      </c>
    </row>
    <row r="3620" customFormat="false" ht="15" hidden="false" customHeight="true" outlineLevel="0" collapsed="false">
      <c r="P3620" s="1" t="str">
        <f aca="false">IF(OR(F3620="",H3620="",J3620=""),"",J3620&amp;"|"&amp;F3620&amp;"|"&amp;IF(H3620="W3","W3_"&amp;IF(I3620="","unknown",I3620),H3620))</f>
        <v/>
      </c>
      <c r="Q3620" s="1" t="str">
        <f aca="false">IF(P3620="","",IFERROR(IF(AND(H3620="W7",OR(F3620="causal",F3620="predictive")),IF(AND(K3620=1,L3620=1,M3620=1),"adequate","partial"),INDEX(Fit_Matrix!$B:$B,MATCH(P3620,Fit_Matrix!$A:$A,0))),"CHECK KEY"))</f>
        <v/>
      </c>
    </row>
    <row r="3621" customFormat="false" ht="15" hidden="false" customHeight="true" outlineLevel="0" collapsed="false">
      <c r="P3621" s="1" t="str">
        <f aca="false">IF(OR(F3621="",H3621="",J3621=""),"",J3621&amp;"|"&amp;F3621&amp;"|"&amp;IF(H3621="W3","W3_"&amp;IF(I3621="","unknown",I3621),H3621))</f>
        <v/>
      </c>
      <c r="Q3621" s="1" t="str">
        <f aca="false">IF(P3621="","",IFERROR(IF(AND(H3621="W7",OR(F3621="causal",F3621="predictive")),IF(AND(K3621=1,L3621=1,M3621=1),"adequate","partial"),INDEX(Fit_Matrix!$B:$B,MATCH(P3621,Fit_Matrix!$A:$A,0))),"CHECK KEY"))</f>
        <v/>
      </c>
    </row>
    <row r="3622" customFormat="false" ht="15" hidden="false" customHeight="true" outlineLevel="0" collapsed="false">
      <c r="P3622" s="1" t="str">
        <f aca="false">IF(OR(F3622="",H3622="",J3622=""),"",J3622&amp;"|"&amp;F3622&amp;"|"&amp;IF(H3622="W3","W3_"&amp;IF(I3622="","unknown",I3622),H3622))</f>
        <v/>
      </c>
      <c r="Q3622" s="1" t="str">
        <f aca="false">IF(P3622="","",IFERROR(IF(AND(H3622="W7",OR(F3622="causal",F3622="predictive")),IF(AND(K3622=1,L3622=1,M3622=1),"adequate","partial"),INDEX(Fit_Matrix!$B:$B,MATCH(P3622,Fit_Matrix!$A:$A,0))),"CHECK KEY"))</f>
        <v/>
      </c>
    </row>
    <row r="3623" customFormat="false" ht="15" hidden="false" customHeight="true" outlineLevel="0" collapsed="false">
      <c r="P3623" s="1" t="str">
        <f aca="false">IF(OR(F3623="",H3623="",J3623=""),"",J3623&amp;"|"&amp;F3623&amp;"|"&amp;IF(H3623="W3","W3_"&amp;IF(I3623="","unknown",I3623),H3623))</f>
        <v/>
      </c>
      <c r="Q3623" s="1" t="str">
        <f aca="false">IF(P3623="","",IFERROR(IF(AND(H3623="W7",OR(F3623="causal",F3623="predictive")),IF(AND(K3623=1,L3623=1,M3623=1),"adequate","partial"),INDEX(Fit_Matrix!$B:$B,MATCH(P3623,Fit_Matrix!$A:$A,0))),"CHECK KEY"))</f>
        <v/>
      </c>
    </row>
    <row r="3624" customFormat="false" ht="15" hidden="false" customHeight="true" outlineLevel="0" collapsed="false">
      <c r="P3624" s="1" t="str">
        <f aca="false">IF(OR(F3624="",H3624="",J3624=""),"",J3624&amp;"|"&amp;F3624&amp;"|"&amp;IF(H3624="W3","W3_"&amp;IF(I3624="","unknown",I3624),H3624))</f>
        <v/>
      </c>
      <c r="Q3624" s="1" t="str">
        <f aca="false">IF(P3624="","",IFERROR(IF(AND(H3624="W7",OR(F3624="causal",F3624="predictive")),IF(AND(K3624=1,L3624=1,M3624=1),"adequate","partial"),INDEX(Fit_Matrix!$B:$B,MATCH(P3624,Fit_Matrix!$A:$A,0))),"CHECK KEY"))</f>
        <v/>
      </c>
    </row>
    <row r="3625" customFormat="false" ht="15" hidden="false" customHeight="true" outlineLevel="0" collapsed="false">
      <c r="P3625" s="1" t="str">
        <f aca="false">IF(OR(F3625="",H3625="",J3625=""),"",J3625&amp;"|"&amp;F3625&amp;"|"&amp;IF(H3625="W3","W3_"&amp;IF(I3625="","unknown",I3625),H3625))</f>
        <v/>
      </c>
      <c r="Q3625" s="1" t="str">
        <f aca="false">IF(P3625="","",IFERROR(IF(AND(H3625="W7",OR(F3625="causal",F3625="predictive")),IF(AND(K3625=1,L3625=1,M3625=1),"adequate","partial"),INDEX(Fit_Matrix!$B:$B,MATCH(P3625,Fit_Matrix!$A:$A,0))),"CHECK KEY"))</f>
        <v/>
      </c>
    </row>
    <row r="3626" customFormat="false" ht="15" hidden="false" customHeight="true" outlineLevel="0" collapsed="false">
      <c r="P3626" s="1" t="str">
        <f aca="false">IF(OR(F3626="",H3626="",J3626=""),"",J3626&amp;"|"&amp;F3626&amp;"|"&amp;IF(H3626="W3","W3_"&amp;IF(I3626="","unknown",I3626),H3626))</f>
        <v/>
      </c>
      <c r="Q3626" s="1" t="str">
        <f aca="false">IF(P3626="","",IFERROR(IF(AND(H3626="W7",OR(F3626="causal",F3626="predictive")),IF(AND(K3626=1,L3626=1,M3626=1),"adequate","partial"),INDEX(Fit_Matrix!$B:$B,MATCH(P3626,Fit_Matrix!$A:$A,0))),"CHECK KEY"))</f>
        <v/>
      </c>
    </row>
    <row r="3627" customFormat="false" ht="15" hidden="false" customHeight="true" outlineLevel="0" collapsed="false">
      <c r="P3627" s="1" t="str">
        <f aca="false">IF(OR(F3627="",H3627="",J3627=""),"",J3627&amp;"|"&amp;F3627&amp;"|"&amp;IF(H3627="W3","W3_"&amp;IF(I3627="","unknown",I3627),H3627))</f>
        <v/>
      </c>
      <c r="Q3627" s="1" t="str">
        <f aca="false">IF(P3627="","",IFERROR(IF(AND(H3627="W7",OR(F3627="causal",F3627="predictive")),IF(AND(K3627=1,L3627=1,M3627=1),"adequate","partial"),INDEX(Fit_Matrix!$B:$B,MATCH(P3627,Fit_Matrix!$A:$A,0))),"CHECK KEY"))</f>
        <v/>
      </c>
    </row>
    <row r="3628" customFormat="false" ht="15" hidden="false" customHeight="true" outlineLevel="0" collapsed="false">
      <c r="P3628" s="1" t="str">
        <f aca="false">IF(OR(F3628="",H3628="",J3628=""),"",J3628&amp;"|"&amp;F3628&amp;"|"&amp;IF(H3628="W3","W3_"&amp;IF(I3628="","unknown",I3628),H3628))</f>
        <v/>
      </c>
      <c r="Q3628" s="1" t="str">
        <f aca="false">IF(P3628="","",IFERROR(IF(AND(H3628="W7",OR(F3628="causal",F3628="predictive")),IF(AND(K3628=1,L3628=1,M3628=1),"adequate","partial"),INDEX(Fit_Matrix!$B:$B,MATCH(P3628,Fit_Matrix!$A:$A,0))),"CHECK KEY"))</f>
        <v/>
      </c>
    </row>
    <row r="3629" customFormat="false" ht="15" hidden="false" customHeight="true" outlineLevel="0" collapsed="false">
      <c r="P3629" s="1" t="str">
        <f aca="false">IF(OR(F3629="",H3629="",J3629=""),"",J3629&amp;"|"&amp;F3629&amp;"|"&amp;IF(H3629="W3","W3_"&amp;IF(I3629="","unknown",I3629),H3629))</f>
        <v/>
      </c>
      <c r="Q3629" s="1" t="str">
        <f aca="false">IF(P3629="","",IFERROR(IF(AND(H3629="W7",OR(F3629="causal",F3629="predictive")),IF(AND(K3629=1,L3629=1,M3629=1),"adequate","partial"),INDEX(Fit_Matrix!$B:$B,MATCH(P3629,Fit_Matrix!$A:$A,0))),"CHECK KEY"))</f>
        <v/>
      </c>
    </row>
    <row r="3630" customFormat="false" ht="15" hidden="false" customHeight="true" outlineLevel="0" collapsed="false">
      <c r="P3630" s="1" t="str">
        <f aca="false">IF(OR(F3630="",H3630="",J3630=""),"",J3630&amp;"|"&amp;F3630&amp;"|"&amp;IF(H3630="W3","W3_"&amp;IF(I3630="","unknown",I3630),H3630))</f>
        <v/>
      </c>
      <c r="Q3630" s="1" t="str">
        <f aca="false">IF(P3630="","",IFERROR(IF(AND(H3630="W7",OR(F3630="causal",F3630="predictive")),IF(AND(K3630=1,L3630=1,M3630=1),"adequate","partial"),INDEX(Fit_Matrix!$B:$B,MATCH(P3630,Fit_Matrix!$A:$A,0))),"CHECK KEY"))</f>
        <v/>
      </c>
    </row>
    <row r="3631" customFormat="false" ht="15" hidden="false" customHeight="true" outlineLevel="0" collapsed="false">
      <c r="P3631" s="1" t="str">
        <f aca="false">IF(OR(F3631="",H3631="",J3631=""),"",J3631&amp;"|"&amp;F3631&amp;"|"&amp;IF(H3631="W3","W3_"&amp;IF(I3631="","unknown",I3631),H3631))</f>
        <v/>
      </c>
      <c r="Q3631" s="1" t="str">
        <f aca="false">IF(P3631="","",IFERROR(IF(AND(H3631="W7",OR(F3631="causal",F3631="predictive")),IF(AND(K3631=1,L3631=1,M3631=1),"adequate","partial"),INDEX(Fit_Matrix!$B:$B,MATCH(P3631,Fit_Matrix!$A:$A,0))),"CHECK KEY"))</f>
        <v/>
      </c>
    </row>
    <row r="3632" customFormat="false" ht="15" hidden="false" customHeight="true" outlineLevel="0" collapsed="false">
      <c r="P3632" s="1" t="str">
        <f aca="false">IF(OR(F3632="",H3632="",J3632=""),"",J3632&amp;"|"&amp;F3632&amp;"|"&amp;IF(H3632="W3","W3_"&amp;IF(I3632="","unknown",I3632),H3632))</f>
        <v/>
      </c>
      <c r="Q3632" s="1" t="str">
        <f aca="false">IF(P3632="","",IFERROR(IF(AND(H3632="W7",OR(F3632="causal",F3632="predictive")),IF(AND(K3632=1,L3632=1,M3632=1),"adequate","partial"),INDEX(Fit_Matrix!$B:$B,MATCH(P3632,Fit_Matrix!$A:$A,0))),"CHECK KEY"))</f>
        <v/>
      </c>
    </row>
    <row r="3633" customFormat="false" ht="15" hidden="false" customHeight="true" outlineLevel="0" collapsed="false">
      <c r="P3633" s="1" t="str">
        <f aca="false">IF(OR(F3633="",H3633="",J3633=""),"",J3633&amp;"|"&amp;F3633&amp;"|"&amp;IF(H3633="W3","W3_"&amp;IF(I3633="","unknown",I3633),H3633))</f>
        <v/>
      </c>
      <c r="Q3633" s="1" t="str">
        <f aca="false">IF(P3633="","",IFERROR(IF(AND(H3633="W7",OR(F3633="causal",F3633="predictive")),IF(AND(K3633=1,L3633=1,M3633=1),"adequate","partial"),INDEX(Fit_Matrix!$B:$B,MATCH(P3633,Fit_Matrix!$A:$A,0))),"CHECK KEY"))</f>
        <v/>
      </c>
    </row>
    <row r="3634" customFormat="false" ht="15" hidden="false" customHeight="true" outlineLevel="0" collapsed="false">
      <c r="P3634" s="1" t="str">
        <f aca="false">IF(OR(F3634="",H3634="",J3634=""),"",J3634&amp;"|"&amp;F3634&amp;"|"&amp;IF(H3634="W3","W3_"&amp;IF(I3634="","unknown",I3634),H3634))</f>
        <v/>
      </c>
      <c r="Q3634" s="1" t="str">
        <f aca="false">IF(P3634="","",IFERROR(IF(AND(H3634="W7",OR(F3634="causal",F3634="predictive")),IF(AND(K3634=1,L3634=1,M3634=1),"adequate","partial"),INDEX(Fit_Matrix!$B:$B,MATCH(P3634,Fit_Matrix!$A:$A,0))),"CHECK KEY"))</f>
        <v/>
      </c>
    </row>
    <row r="3635" customFormat="false" ht="15" hidden="false" customHeight="true" outlineLevel="0" collapsed="false">
      <c r="P3635" s="1" t="str">
        <f aca="false">IF(OR(F3635="",H3635="",J3635=""),"",J3635&amp;"|"&amp;F3635&amp;"|"&amp;IF(H3635="W3","W3_"&amp;IF(I3635="","unknown",I3635),H3635))</f>
        <v/>
      </c>
      <c r="Q3635" s="1" t="str">
        <f aca="false">IF(P3635="","",IFERROR(IF(AND(H3635="W7",OR(F3635="causal",F3635="predictive")),IF(AND(K3635=1,L3635=1,M3635=1),"adequate","partial"),INDEX(Fit_Matrix!$B:$B,MATCH(P3635,Fit_Matrix!$A:$A,0))),"CHECK KEY"))</f>
        <v/>
      </c>
    </row>
    <row r="3636" customFormat="false" ht="15" hidden="false" customHeight="true" outlineLevel="0" collapsed="false">
      <c r="P3636" s="1" t="str">
        <f aca="false">IF(OR(F3636="",H3636="",J3636=""),"",J3636&amp;"|"&amp;F3636&amp;"|"&amp;IF(H3636="W3","W3_"&amp;IF(I3636="","unknown",I3636),H3636))</f>
        <v/>
      </c>
      <c r="Q3636" s="1" t="str">
        <f aca="false">IF(P3636="","",IFERROR(IF(AND(H3636="W7",OR(F3636="causal",F3636="predictive")),IF(AND(K3636=1,L3636=1,M3636=1),"adequate","partial"),INDEX(Fit_Matrix!$B:$B,MATCH(P3636,Fit_Matrix!$A:$A,0))),"CHECK KEY"))</f>
        <v/>
      </c>
    </row>
    <row r="3637" customFormat="false" ht="15" hidden="false" customHeight="true" outlineLevel="0" collapsed="false">
      <c r="P3637" s="1" t="str">
        <f aca="false">IF(OR(F3637="",H3637="",J3637=""),"",J3637&amp;"|"&amp;F3637&amp;"|"&amp;IF(H3637="W3","W3_"&amp;IF(I3637="","unknown",I3637),H3637))</f>
        <v/>
      </c>
      <c r="Q3637" s="1" t="str">
        <f aca="false">IF(P3637="","",IFERROR(IF(AND(H3637="W7",OR(F3637="causal",F3637="predictive")),IF(AND(K3637=1,L3637=1,M3637=1),"adequate","partial"),INDEX(Fit_Matrix!$B:$B,MATCH(P3637,Fit_Matrix!$A:$A,0))),"CHECK KEY"))</f>
        <v/>
      </c>
    </row>
    <row r="3638" customFormat="false" ht="15" hidden="false" customHeight="true" outlineLevel="0" collapsed="false">
      <c r="P3638" s="1" t="str">
        <f aca="false">IF(OR(F3638="",H3638="",J3638=""),"",J3638&amp;"|"&amp;F3638&amp;"|"&amp;IF(H3638="W3","W3_"&amp;IF(I3638="","unknown",I3638),H3638))</f>
        <v/>
      </c>
      <c r="Q3638" s="1" t="str">
        <f aca="false">IF(P3638="","",IFERROR(IF(AND(H3638="W7",OR(F3638="causal",F3638="predictive")),IF(AND(K3638=1,L3638=1,M3638=1),"adequate","partial"),INDEX(Fit_Matrix!$B:$B,MATCH(P3638,Fit_Matrix!$A:$A,0))),"CHECK KEY"))</f>
        <v/>
      </c>
    </row>
    <row r="3639" customFormat="false" ht="15" hidden="false" customHeight="true" outlineLevel="0" collapsed="false">
      <c r="P3639" s="1" t="str">
        <f aca="false">IF(OR(F3639="",H3639="",J3639=""),"",J3639&amp;"|"&amp;F3639&amp;"|"&amp;IF(H3639="W3","W3_"&amp;IF(I3639="","unknown",I3639),H3639))</f>
        <v/>
      </c>
      <c r="Q3639" s="1" t="str">
        <f aca="false">IF(P3639="","",IFERROR(IF(AND(H3639="W7",OR(F3639="causal",F3639="predictive")),IF(AND(K3639=1,L3639=1,M3639=1),"adequate","partial"),INDEX(Fit_Matrix!$B:$B,MATCH(P3639,Fit_Matrix!$A:$A,0))),"CHECK KEY"))</f>
        <v/>
      </c>
    </row>
    <row r="3640" customFormat="false" ht="15" hidden="false" customHeight="true" outlineLevel="0" collapsed="false">
      <c r="P3640" s="1" t="str">
        <f aca="false">IF(OR(F3640="",H3640="",J3640=""),"",J3640&amp;"|"&amp;F3640&amp;"|"&amp;IF(H3640="W3","W3_"&amp;IF(I3640="","unknown",I3640),H3640))</f>
        <v/>
      </c>
      <c r="Q3640" s="1" t="str">
        <f aca="false">IF(P3640="","",IFERROR(IF(AND(H3640="W7",OR(F3640="causal",F3640="predictive")),IF(AND(K3640=1,L3640=1,M3640=1),"adequate","partial"),INDEX(Fit_Matrix!$B:$B,MATCH(P3640,Fit_Matrix!$A:$A,0))),"CHECK KEY"))</f>
        <v/>
      </c>
    </row>
    <row r="3641" customFormat="false" ht="15" hidden="false" customHeight="true" outlineLevel="0" collapsed="false">
      <c r="P3641" s="1" t="str">
        <f aca="false">IF(OR(F3641="",H3641="",J3641=""),"",J3641&amp;"|"&amp;F3641&amp;"|"&amp;IF(H3641="W3","W3_"&amp;IF(I3641="","unknown",I3641),H3641))</f>
        <v/>
      </c>
      <c r="Q3641" s="1" t="str">
        <f aca="false">IF(P3641="","",IFERROR(IF(AND(H3641="W7",OR(F3641="causal",F3641="predictive")),IF(AND(K3641=1,L3641=1,M3641=1),"adequate","partial"),INDEX(Fit_Matrix!$B:$B,MATCH(P3641,Fit_Matrix!$A:$A,0))),"CHECK KEY"))</f>
        <v/>
      </c>
    </row>
    <row r="3642" customFormat="false" ht="15" hidden="false" customHeight="true" outlineLevel="0" collapsed="false">
      <c r="P3642" s="1" t="str">
        <f aca="false">IF(OR(F3642="",H3642="",J3642=""),"",J3642&amp;"|"&amp;F3642&amp;"|"&amp;IF(H3642="W3","W3_"&amp;IF(I3642="","unknown",I3642),H3642))</f>
        <v/>
      </c>
      <c r="Q3642" s="1" t="str">
        <f aca="false">IF(P3642="","",IFERROR(IF(AND(H3642="W7",OR(F3642="causal",F3642="predictive")),IF(AND(K3642=1,L3642=1,M3642=1),"adequate","partial"),INDEX(Fit_Matrix!$B:$B,MATCH(P3642,Fit_Matrix!$A:$A,0))),"CHECK KEY"))</f>
        <v/>
      </c>
    </row>
    <row r="3643" customFormat="false" ht="15" hidden="false" customHeight="true" outlineLevel="0" collapsed="false">
      <c r="P3643" s="1" t="str">
        <f aca="false">IF(OR(F3643="",H3643="",J3643=""),"",J3643&amp;"|"&amp;F3643&amp;"|"&amp;IF(H3643="W3","W3_"&amp;IF(I3643="","unknown",I3643),H3643))</f>
        <v/>
      </c>
      <c r="Q3643" s="1" t="str">
        <f aca="false">IF(P3643="","",IFERROR(IF(AND(H3643="W7",OR(F3643="causal",F3643="predictive")),IF(AND(K3643=1,L3643=1,M3643=1),"adequate","partial"),INDEX(Fit_Matrix!$B:$B,MATCH(P3643,Fit_Matrix!$A:$A,0))),"CHECK KEY"))</f>
        <v/>
      </c>
    </row>
    <row r="3644" customFormat="false" ht="15" hidden="false" customHeight="true" outlineLevel="0" collapsed="false">
      <c r="P3644" s="1" t="str">
        <f aca="false">IF(OR(F3644="",H3644="",J3644=""),"",J3644&amp;"|"&amp;F3644&amp;"|"&amp;IF(H3644="W3","W3_"&amp;IF(I3644="","unknown",I3644),H3644))</f>
        <v/>
      </c>
      <c r="Q3644" s="1" t="str">
        <f aca="false">IF(P3644="","",IFERROR(IF(AND(H3644="W7",OR(F3644="causal",F3644="predictive")),IF(AND(K3644=1,L3644=1,M3644=1),"adequate","partial"),INDEX(Fit_Matrix!$B:$B,MATCH(P3644,Fit_Matrix!$A:$A,0))),"CHECK KEY"))</f>
        <v/>
      </c>
    </row>
    <row r="3645" customFormat="false" ht="15" hidden="false" customHeight="true" outlineLevel="0" collapsed="false">
      <c r="P3645" s="1" t="str">
        <f aca="false">IF(OR(F3645="",H3645="",J3645=""),"",J3645&amp;"|"&amp;F3645&amp;"|"&amp;IF(H3645="W3","W3_"&amp;IF(I3645="","unknown",I3645),H3645))</f>
        <v/>
      </c>
      <c r="Q3645" s="1" t="str">
        <f aca="false">IF(P3645="","",IFERROR(IF(AND(H3645="W7",OR(F3645="causal",F3645="predictive")),IF(AND(K3645=1,L3645=1,M3645=1),"adequate","partial"),INDEX(Fit_Matrix!$B:$B,MATCH(P3645,Fit_Matrix!$A:$A,0))),"CHECK KEY"))</f>
        <v/>
      </c>
    </row>
    <row r="3646" customFormat="false" ht="15" hidden="false" customHeight="true" outlineLevel="0" collapsed="false">
      <c r="P3646" s="1" t="str">
        <f aca="false">IF(OR(F3646="",H3646="",J3646=""),"",J3646&amp;"|"&amp;F3646&amp;"|"&amp;IF(H3646="W3","W3_"&amp;IF(I3646="","unknown",I3646),H3646))</f>
        <v/>
      </c>
      <c r="Q3646" s="1" t="str">
        <f aca="false">IF(P3646="","",IFERROR(IF(AND(H3646="W7",OR(F3646="causal",F3646="predictive")),IF(AND(K3646=1,L3646=1,M3646=1),"adequate","partial"),INDEX(Fit_Matrix!$B:$B,MATCH(P3646,Fit_Matrix!$A:$A,0))),"CHECK KEY"))</f>
        <v/>
      </c>
    </row>
    <row r="3647" customFormat="false" ht="15" hidden="false" customHeight="true" outlineLevel="0" collapsed="false">
      <c r="P3647" s="1" t="str">
        <f aca="false">IF(OR(F3647="",H3647="",J3647=""),"",J3647&amp;"|"&amp;F3647&amp;"|"&amp;IF(H3647="W3","W3_"&amp;IF(I3647="","unknown",I3647),H3647))</f>
        <v/>
      </c>
      <c r="Q3647" s="1" t="str">
        <f aca="false">IF(P3647="","",IFERROR(IF(AND(H3647="W7",OR(F3647="causal",F3647="predictive")),IF(AND(K3647=1,L3647=1,M3647=1),"adequate","partial"),INDEX(Fit_Matrix!$B:$B,MATCH(P3647,Fit_Matrix!$A:$A,0))),"CHECK KEY"))</f>
        <v/>
      </c>
    </row>
    <row r="3648" customFormat="false" ht="15" hidden="false" customHeight="true" outlineLevel="0" collapsed="false">
      <c r="P3648" s="1" t="str">
        <f aca="false">IF(OR(F3648="",H3648="",J3648=""),"",J3648&amp;"|"&amp;F3648&amp;"|"&amp;IF(H3648="W3","W3_"&amp;IF(I3648="","unknown",I3648),H3648))</f>
        <v/>
      </c>
      <c r="Q3648" s="1" t="str">
        <f aca="false">IF(P3648="","",IFERROR(IF(AND(H3648="W7",OR(F3648="causal",F3648="predictive")),IF(AND(K3648=1,L3648=1,M3648=1),"adequate","partial"),INDEX(Fit_Matrix!$B:$B,MATCH(P3648,Fit_Matrix!$A:$A,0))),"CHECK KEY"))</f>
        <v/>
      </c>
    </row>
    <row r="3649" customFormat="false" ht="15" hidden="false" customHeight="true" outlineLevel="0" collapsed="false">
      <c r="P3649" s="1" t="str">
        <f aca="false">IF(OR(F3649="",H3649="",J3649=""),"",J3649&amp;"|"&amp;F3649&amp;"|"&amp;IF(H3649="W3","W3_"&amp;IF(I3649="","unknown",I3649),H3649))</f>
        <v/>
      </c>
      <c r="Q3649" s="1" t="str">
        <f aca="false">IF(P3649="","",IFERROR(IF(AND(H3649="W7",OR(F3649="causal",F3649="predictive")),IF(AND(K3649=1,L3649=1,M3649=1),"adequate","partial"),INDEX(Fit_Matrix!$B:$B,MATCH(P3649,Fit_Matrix!$A:$A,0))),"CHECK KEY"))</f>
        <v/>
      </c>
    </row>
    <row r="3650" customFormat="false" ht="15" hidden="false" customHeight="true" outlineLevel="0" collapsed="false">
      <c r="P3650" s="1" t="str">
        <f aca="false">IF(OR(F3650="",H3650="",J3650=""),"",J3650&amp;"|"&amp;F3650&amp;"|"&amp;IF(H3650="W3","W3_"&amp;IF(I3650="","unknown",I3650),H3650))</f>
        <v/>
      </c>
      <c r="Q3650" s="1" t="str">
        <f aca="false">IF(P3650="","",IFERROR(IF(AND(H3650="W7",OR(F3650="causal",F3650="predictive")),IF(AND(K3650=1,L3650=1,M3650=1),"adequate","partial"),INDEX(Fit_Matrix!$B:$B,MATCH(P3650,Fit_Matrix!$A:$A,0))),"CHECK KEY"))</f>
        <v/>
      </c>
    </row>
    <row r="3651" customFormat="false" ht="15" hidden="false" customHeight="true" outlineLevel="0" collapsed="false">
      <c r="P3651" s="1" t="str">
        <f aca="false">IF(OR(F3651="",H3651="",J3651=""),"",J3651&amp;"|"&amp;F3651&amp;"|"&amp;IF(H3651="W3","W3_"&amp;IF(I3651="","unknown",I3651),H3651))</f>
        <v/>
      </c>
      <c r="Q3651" s="1" t="str">
        <f aca="false">IF(P3651="","",IFERROR(IF(AND(H3651="W7",OR(F3651="causal",F3651="predictive")),IF(AND(K3651=1,L3651=1,M3651=1),"adequate","partial"),INDEX(Fit_Matrix!$B:$B,MATCH(P3651,Fit_Matrix!$A:$A,0))),"CHECK KEY"))</f>
        <v/>
      </c>
    </row>
    <row r="3652" customFormat="false" ht="15" hidden="false" customHeight="true" outlineLevel="0" collapsed="false">
      <c r="P3652" s="1" t="str">
        <f aca="false">IF(OR(F3652="",H3652="",J3652=""),"",J3652&amp;"|"&amp;F3652&amp;"|"&amp;IF(H3652="W3","W3_"&amp;IF(I3652="","unknown",I3652),H3652))</f>
        <v/>
      </c>
      <c r="Q3652" s="1" t="str">
        <f aca="false">IF(P3652="","",IFERROR(IF(AND(H3652="W7",OR(F3652="causal",F3652="predictive")),IF(AND(K3652=1,L3652=1,M3652=1),"adequate","partial"),INDEX(Fit_Matrix!$B:$B,MATCH(P3652,Fit_Matrix!$A:$A,0))),"CHECK KEY"))</f>
        <v/>
      </c>
    </row>
    <row r="3653" customFormat="false" ht="15" hidden="false" customHeight="true" outlineLevel="0" collapsed="false">
      <c r="P3653" s="1" t="str">
        <f aca="false">IF(OR(F3653="",H3653="",J3653=""),"",J3653&amp;"|"&amp;F3653&amp;"|"&amp;IF(H3653="W3","W3_"&amp;IF(I3653="","unknown",I3653),H3653))</f>
        <v/>
      </c>
      <c r="Q3653" s="1" t="str">
        <f aca="false">IF(P3653="","",IFERROR(IF(AND(H3653="W7",OR(F3653="causal",F3653="predictive")),IF(AND(K3653=1,L3653=1,M3653=1),"adequate","partial"),INDEX(Fit_Matrix!$B:$B,MATCH(P3653,Fit_Matrix!$A:$A,0))),"CHECK KEY"))</f>
        <v/>
      </c>
    </row>
    <row r="3654" customFormat="false" ht="15" hidden="false" customHeight="true" outlineLevel="0" collapsed="false">
      <c r="P3654" s="1" t="str">
        <f aca="false">IF(OR(F3654="",H3654="",J3654=""),"",J3654&amp;"|"&amp;F3654&amp;"|"&amp;IF(H3654="W3","W3_"&amp;IF(I3654="","unknown",I3654),H3654))</f>
        <v/>
      </c>
      <c r="Q3654" s="1" t="str">
        <f aca="false">IF(P3654="","",IFERROR(IF(AND(H3654="W7",OR(F3654="causal",F3654="predictive")),IF(AND(K3654=1,L3654=1,M3654=1),"adequate","partial"),INDEX(Fit_Matrix!$B:$B,MATCH(P3654,Fit_Matrix!$A:$A,0))),"CHECK KEY"))</f>
        <v/>
      </c>
    </row>
    <row r="3655" customFormat="false" ht="15" hidden="false" customHeight="true" outlineLevel="0" collapsed="false">
      <c r="P3655" s="1" t="str">
        <f aca="false">IF(OR(F3655="",H3655="",J3655=""),"",J3655&amp;"|"&amp;F3655&amp;"|"&amp;IF(H3655="W3","W3_"&amp;IF(I3655="","unknown",I3655),H3655))</f>
        <v/>
      </c>
      <c r="Q3655" s="1" t="str">
        <f aca="false">IF(P3655="","",IFERROR(IF(AND(H3655="W7",OR(F3655="causal",F3655="predictive")),IF(AND(K3655=1,L3655=1,M3655=1),"adequate","partial"),INDEX(Fit_Matrix!$B:$B,MATCH(P3655,Fit_Matrix!$A:$A,0))),"CHECK KEY"))</f>
        <v/>
      </c>
    </row>
    <row r="3656" customFormat="false" ht="15" hidden="false" customHeight="true" outlineLevel="0" collapsed="false">
      <c r="P3656" s="1" t="str">
        <f aca="false">IF(OR(F3656="",H3656="",J3656=""),"",J3656&amp;"|"&amp;F3656&amp;"|"&amp;IF(H3656="W3","W3_"&amp;IF(I3656="","unknown",I3656),H3656))</f>
        <v/>
      </c>
      <c r="Q3656" s="1" t="str">
        <f aca="false">IF(P3656="","",IFERROR(IF(AND(H3656="W7",OR(F3656="causal",F3656="predictive")),IF(AND(K3656=1,L3656=1,M3656=1),"adequate","partial"),INDEX(Fit_Matrix!$B:$B,MATCH(P3656,Fit_Matrix!$A:$A,0))),"CHECK KEY"))</f>
        <v/>
      </c>
    </row>
    <row r="3657" customFormat="false" ht="15" hidden="false" customHeight="true" outlineLevel="0" collapsed="false">
      <c r="P3657" s="1" t="str">
        <f aca="false">IF(OR(F3657="",H3657="",J3657=""),"",J3657&amp;"|"&amp;F3657&amp;"|"&amp;IF(H3657="W3","W3_"&amp;IF(I3657="","unknown",I3657),H3657))</f>
        <v/>
      </c>
      <c r="Q3657" s="1" t="str">
        <f aca="false">IF(P3657="","",IFERROR(IF(AND(H3657="W7",OR(F3657="causal",F3657="predictive")),IF(AND(K3657=1,L3657=1,M3657=1),"adequate","partial"),INDEX(Fit_Matrix!$B:$B,MATCH(P3657,Fit_Matrix!$A:$A,0))),"CHECK KEY"))</f>
        <v/>
      </c>
    </row>
    <row r="3658" customFormat="false" ht="15" hidden="false" customHeight="true" outlineLevel="0" collapsed="false">
      <c r="P3658" s="1" t="str">
        <f aca="false">IF(OR(F3658="",H3658="",J3658=""),"",J3658&amp;"|"&amp;F3658&amp;"|"&amp;IF(H3658="W3","W3_"&amp;IF(I3658="","unknown",I3658),H3658))</f>
        <v/>
      </c>
      <c r="Q3658" s="1" t="str">
        <f aca="false">IF(P3658="","",IFERROR(IF(AND(H3658="W7",OR(F3658="causal",F3658="predictive")),IF(AND(K3658=1,L3658=1,M3658=1),"adequate","partial"),INDEX(Fit_Matrix!$B:$B,MATCH(P3658,Fit_Matrix!$A:$A,0))),"CHECK KEY"))</f>
        <v/>
      </c>
    </row>
    <row r="3659" customFormat="false" ht="15" hidden="false" customHeight="true" outlineLevel="0" collapsed="false">
      <c r="P3659" s="1" t="str">
        <f aca="false">IF(OR(F3659="",H3659="",J3659=""),"",J3659&amp;"|"&amp;F3659&amp;"|"&amp;IF(H3659="W3","W3_"&amp;IF(I3659="","unknown",I3659),H3659))</f>
        <v/>
      </c>
      <c r="Q3659" s="1" t="str">
        <f aca="false">IF(P3659="","",IFERROR(IF(AND(H3659="W7",OR(F3659="causal",F3659="predictive")),IF(AND(K3659=1,L3659=1,M3659=1),"adequate","partial"),INDEX(Fit_Matrix!$B:$B,MATCH(P3659,Fit_Matrix!$A:$A,0))),"CHECK KEY"))</f>
        <v/>
      </c>
    </row>
    <row r="3660" customFormat="false" ht="15" hidden="false" customHeight="true" outlineLevel="0" collapsed="false">
      <c r="P3660" s="1" t="str">
        <f aca="false">IF(OR(F3660="",H3660="",J3660=""),"",J3660&amp;"|"&amp;F3660&amp;"|"&amp;IF(H3660="W3","W3_"&amp;IF(I3660="","unknown",I3660),H3660))</f>
        <v/>
      </c>
      <c r="Q3660" s="1" t="str">
        <f aca="false">IF(P3660="","",IFERROR(IF(AND(H3660="W7",OR(F3660="causal",F3660="predictive")),IF(AND(K3660=1,L3660=1,M3660=1),"adequate","partial"),INDEX(Fit_Matrix!$B:$B,MATCH(P3660,Fit_Matrix!$A:$A,0))),"CHECK KEY"))</f>
        <v/>
      </c>
    </row>
    <row r="3661" customFormat="false" ht="15" hidden="false" customHeight="true" outlineLevel="0" collapsed="false">
      <c r="P3661" s="1" t="str">
        <f aca="false">IF(OR(F3661="",H3661="",J3661=""),"",J3661&amp;"|"&amp;F3661&amp;"|"&amp;IF(H3661="W3","W3_"&amp;IF(I3661="","unknown",I3661),H3661))</f>
        <v/>
      </c>
      <c r="Q3661" s="1" t="str">
        <f aca="false">IF(P3661="","",IFERROR(IF(AND(H3661="W7",OR(F3661="causal",F3661="predictive")),IF(AND(K3661=1,L3661=1,M3661=1),"adequate","partial"),INDEX(Fit_Matrix!$B:$B,MATCH(P3661,Fit_Matrix!$A:$A,0))),"CHECK KEY"))</f>
        <v/>
      </c>
    </row>
    <row r="3662" customFormat="false" ht="15" hidden="false" customHeight="true" outlineLevel="0" collapsed="false">
      <c r="P3662" s="1" t="str">
        <f aca="false">IF(OR(F3662="",H3662="",J3662=""),"",J3662&amp;"|"&amp;F3662&amp;"|"&amp;IF(H3662="W3","W3_"&amp;IF(I3662="","unknown",I3662),H3662))</f>
        <v/>
      </c>
      <c r="Q3662" s="1" t="str">
        <f aca="false">IF(P3662="","",IFERROR(IF(AND(H3662="W7",OR(F3662="causal",F3662="predictive")),IF(AND(K3662=1,L3662=1,M3662=1),"adequate","partial"),INDEX(Fit_Matrix!$B:$B,MATCH(P3662,Fit_Matrix!$A:$A,0))),"CHECK KEY"))</f>
        <v/>
      </c>
    </row>
    <row r="3663" customFormat="false" ht="15" hidden="false" customHeight="true" outlineLevel="0" collapsed="false">
      <c r="P3663" s="1" t="str">
        <f aca="false">IF(OR(F3663="",H3663="",J3663=""),"",J3663&amp;"|"&amp;F3663&amp;"|"&amp;IF(H3663="W3","W3_"&amp;IF(I3663="","unknown",I3663),H3663))</f>
        <v/>
      </c>
      <c r="Q3663" s="1" t="str">
        <f aca="false">IF(P3663="","",IFERROR(IF(AND(H3663="W7",OR(F3663="causal",F3663="predictive")),IF(AND(K3663=1,L3663=1,M3663=1),"adequate","partial"),INDEX(Fit_Matrix!$B:$B,MATCH(P3663,Fit_Matrix!$A:$A,0))),"CHECK KEY"))</f>
        <v/>
      </c>
    </row>
    <row r="3664" customFormat="false" ht="15" hidden="false" customHeight="true" outlineLevel="0" collapsed="false">
      <c r="P3664" s="1" t="str">
        <f aca="false">IF(OR(F3664="",H3664="",J3664=""),"",J3664&amp;"|"&amp;F3664&amp;"|"&amp;IF(H3664="W3","W3_"&amp;IF(I3664="","unknown",I3664),H3664))</f>
        <v/>
      </c>
      <c r="Q3664" s="1" t="str">
        <f aca="false">IF(P3664="","",IFERROR(IF(AND(H3664="W7",OR(F3664="causal",F3664="predictive")),IF(AND(K3664=1,L3664=1,M3664=1),"adequate","partial"),INDEX(Fit_Matrix!$B:$B,MATCH(P3664,Fit_Matrix!$A:$A,0))),"CHECK KEY"))</f>
        <v/>
      </c>
    </row>
    <row r="3665" customFormat="false" ht="15" hidden="false" customHeight="true" outlineLevel="0" collapsed="false">
      <c r="P3665" s="1" t="str">
        <f aca="false">IF(OR(F3665="",H3665="",J3665=""),"",J3665&amp;"|"&amp;F3665&amp;"|"&amp;IF(H3665="W3","W3_"&amp;IF(I3665="","unknown",I3665),H3665))</f>
        <v/>
      </c>
      <c r="Q3665" s="1" t="str">
        <f aca="false">IF(P3665="","",IFERROR(IF(AND(H3665="W7",OR(F3665="causal",F3665="predictive")),IF(AND(K3665=1,L3665=1,M3665=1),"adequate","partial"),INDEX(Fit_Matrix!$B:$B,MATCH(P3665,Fit_Matrix!$A:$A,0))),"CHECK KEY"))</f>
        <v/>
      </c>
    </row>
    <row r="3666" customFormat="false" ht="15" hidden="false" customHeight="true" outlineLevel="0" collapsed="false">
      <c r="P3666" s="1" t="str">
        <f aca="false">IF(OR(F3666="",H3666="",J3666=""),"",J3666&amp;"|"&amp;F3666&amp;"|"&amp;IF(H3666="W3","W3_"&amp;IF(I3666="","unknown",I3666),H3666))</f>
        <v/>
      </c>
      <c r="Q3666" s="1" t="str">
        <f aca="false">IF(P3666="","",IFERROR(IF(AND(H3666="W7",OR(F3666="causal",F3666="predictive")),IF(AND(K3666=1,L3666=1,M3666=1),"adequate","partial"),INDEX(Fit_Matrix!$B:$B,MATCH(P3666,Fit_Matrix!$A:$A,0))),"CHECK KEY"))</f>
        <v/>
      </c>
    </row>
    <row r="3667" customFormat="false" ht="15" hidden="false" customHeight="true" outlineLevel="0" collapsed="false">
      <c r="P3667" s="1" t="str">
        <f aca="false">IF(OR(F3667="",H3667="",J3667=""),"",J3667&amp;"|"&amp;F3667&amp;"|"&amp;IF(H3667="W3","W3_"&amp;IF(I3667="","unknown",I3667),H3667))</f>
        <v/>
      </c>
      <c r="Q3667" s="1" t="str">
        <f aca="false">IF(P3667="","",IFERROR(IF(AND(H3667="W7",OR(F3667="causal",F3667="predictive")),IF(AND(K3667=1,L3667=1,M3667=1),"adequate","partial"),INDEX(Fit_Matrix!$B:$B,MATCH(P3667,Fit_Matrix!$A:$A,0))),"CHECK KEY"))</f>
        <v/>
      </c>
    </row>
    <row r="3668" customFormat="false" ht="15" hidden="false" customHeight="true" outlineLevel="0" collapsed="false">
      <c r="P3668" s="1" t="str">
        <f aca="false">IF(OR(F3668="",H3668="",J3668=""),"",J3668&amp;"|"&amp;F3668&amp;"|"&amp;IF(H3668="W3","W3_"&amp;IF(I3668="","unknown",I3668),H3668))</f>
        <v/>
      </c>
      <c r="Q3668" s="1" t="str">
        <f aca="false">IF(P3668="","",IFERROR(IF(AND(H3668="W7",OR(F3668="causal",F3668="predictive")),IF(AND(K3668=1,L3668=1,M3668=1),"adequate","partial"),INDEX(Fit_Matrix!$B:$B,MATCH(P3668,Fit_Matrix!$A:$A,0))),"CHECK KEY"))</f>
        <v/>
      </c>
    </row>
    <row r="3669" customFormat="false" ht="15" hidden="false" customHeight="true" outlineLevel="0" collapsed="false">
      <c r="P3669" s="1" t="str">
        <f aca="false">IF(OR(F3669="",H3669="",J3669=""),"",J3669&amp;"|"&amp;F3669&amp;"|"&amp;IF(H3669="W3","W3_"&amp;IF(I3669="","unknown",I3669),H3669))</f>
        <v/>
      </c>
      <c r="Q3669" s="1" t="str">
        <f aca="false">IF(P3669="","",IFERROR(IF(AND(H3669="W7",OR(F3669="causal",F3669="predictive")),IF(AND(K3669=1,L3669=1,M3669=1),"adequate","partial"),INDEX(Fit_Matrix!$B:$B,MATCH(P3669,Fit_Matrix!$A:$A,0))),"CHECK KEY"))</f>
        <v/>
      </c>
    </row>
    <row r="3670" customFormat="false" ht="15" hidden="false" customHeight="true" outlineLevel="0" collapsed="false">
      <c r="P3670" s="1" t="str">
        <f aca="false">IF(OR(F3670="",H3670="",J3670=""),"",J3670&amp;"|"&amp;F3670&amp;"|"&amp;IF(H3670="W3","W3_"&amp;IF(I3670="","unknown",I3670),H3670))</f>
        <v/>
      </c>
      <c r="Q3670" s="1" t="str">
        <f aca="false">IF(P3670="","",IFERROR(IF(AND(H3670="W7",OR(F3670="causal",F3670="predictive")),IF(AND(K3670=1,L3670=1,M3670=1),"adequate","partial"),INDEX(Fit_Matrix!$B:$B,MATCH(P3670,Fit_Matrix!$A:$A,0))),"CHECK KEY"))</f>
        <v/>
      </c>
    </row>
    <row r="3671" customFormat="false" ht="15" hidden="false" customHeight="true" outlineLevel="0" collapsed="false">
      <c r="P3671" s="1" t="str">
        <f aca="false">IF(OR(F3671="",H3671="",J3671=""),"",J3671&amp;"|"&amp;F3671&amp;"|"&amp;IF(H3671="W3","W3_"&amp;IF(I3671="","unknown",I3671),H3671))</f>
        <v/>
      </c>
      <c r="Q3671" s="1" t="str">
        <f aca="false">IF(P3671="","",IFERROR(IF(AND(H3671="W7",OR(F3671="causal",F3671="predictive")),IF(AND(K3671=1,L3671=1,M3671=1),"adequate","partial"),INDEX(Fit_Matrix!$B:$B,MATCH(P3671,Fit_Matrix!$A:$A,0))),"CHECK KEY"))</f>
        <v/>
      </c>
    </row>
    <row r="3672" customFormat="false" ht="15" hidden="false" customHeight="true" outlineLevel="0" collapsed="false">
      <c r="P3672" s="1" t="str">
        <f aca="false">IF(OR(F3672="",H3672="",J3672=""),"",J3672&amp;"|"&amp;F3672&amp;"|"&amp;IF(H3672="W3","W3_"&amp;IF(I3672="","unknown",I3672),H3672))</f>
        <v/>
      </c>
      <c r="Q3672" s="1" t="str">
        <f aca="false">IF(P3672="","",IFERROR(IF(AND(H3672="W7",OR(F3672="causal",F3672="predictive")),IF(AND(K3672=1,L3672=1,M3672=1),"adequate","partial"),INDEX(Fit_Matrix!$B:$B,MATCH(P3672,Fit_Matrix!$A:$A,0))),"CHECK KEY"))</f>
        <v/>
      </c>
    </row>
    <row r="3673" customFormat="false" ht="15" hidden="false" customHeight="true" outlineLevel="0" collapsed="false">
      <c r="P3673" s="1" t="str">
        <f aca="false">IF(OR(F3673="",H3673="",J3673=""),"",J3673&amp;"|"&amp;F3673&amp;"|"&amp;IF(H3673="W3","W3_"&amp;IF(I3673="","unknown",I3673),H3673))</f>
        <v/>
      </c>
      <c r="Q3673" s="1" t="str">
        <f aca="false">IF(P3673="","",IFERROR(IF(AND(H3673="W7",OR(F3673="causal",F3673="predictive")),IF(AND(K3673=1,L3673=1,M3673=1),"adequate","partial"),INDEX(Fit_Matrix!$B:$B,MATCH(P3673,Fit_Matrix!$A:$A,0))),"CHECK KEY"))</f>
        <v/>
      </c>
    </row>
    <row r="3674" customFormat="false" ht="15" hidden="false" customHeight="true" outlineLevel="0" collapsed="false">
      <c r="P3674" s="1" t="str">
        <f aca="false">IF(OR(F3674="",H3674="",J3674=""),"",J3674&amp;"|"&amp;F3674&amp;"|"&amp;IF(H3674="W3","W3_"&amp;IF(I3674="","unknown",I3674),H3674))</f>
        <v/>
      </c>
      <c r="Q3674" s="1" t="str">
        <f aca="false">IF(P3674="","",IFERROR(IF(AND(H3674="W7",OR(F3674="causal",F3674="predictive")),IF(AND(K3674=1,L3674=1,M3674=1),"adequate","partial"),INDEX(Fit_Matrix!$B:$B,MATCH(P3674,Fit_Matrix!$A:$A,0))),"CHECK KEY"))</f>
        <v/>
      </c>
    </row>
    <row r="3675" customFormat="false" ht="15" hidden="false" customHeight="true" outlineLevel="0" collapsed="false">
      <c r="P3675" s="1" t="str">
        <f aca="false">IF(OR(F3675="",H3675="",J3675=""),"",J3675&amp;"|"&amp;F3675&amp;"|"&amp;IF(H3675="W3","W3_"&amp;IF(I3675="","unknown",I3675),H3675))</f>
        <v/>
      </c>
      <c r="Q3675" s="1" t="str">
        <f aca="false">IF(P3675="","",IFERROR(IF(AND(H3675="W7",OR(F3675="causal",F3675="predictive")),IF(AND(K3675=1,L3675=1,M3675=1),"adequate","partial"),INDEX(Fit_Matrix!$B:$B,MATCH(P3675,Fit_Matrix!$A:$A,0))),"CHECK KEY"))</f>
        <v/>
      </c>
    </row>
    <row r="3676" customFormat="false" ht="15" hidden="false" customHeight="true" outlineLevel="0" collapsed="false">
      <c r="P3676" s="1" t="str">
        <f aca="false">IF(OR(F3676="",H3676="",J3676=""),"",J3676&amp;"|"&amp;F3676&amp;"|"&amp;IF(H3676="W3","W3_"&amp;IF(I3676="","unknown",I3676),H3676))</f>
        <v/>
      </c>
      <c r="Q3676" s="1" t="str">
        <f aca="false">IF(P3676="","",IFERROR(IF(AND(H3676="W7",OR(F3676="causal",F3676="predictive")),IF(AND(K3676=1,L3676=1,M3676=1),"adequate","partial"),INDEX(Fit_Matrix!$B:$B,MATCH(P3676,Fit_Matrix!$A:$A,0))),"CHECK KEY"))</f>
        <v/>
      </c>
    </row>
    <row r="3677" customFormat="false" ht="15" hidden="false" customHeight="true" outlineLevel="0" collapsed="false">
      <c r="P3677" s="1" t="str">
        <f aca="false">IF(OR(F3677="",H3677="",J3677=""),"",J3677&amp;"|"&amp;F3677&amp;"|"&amp;IF(H3677="W3","W3_"&amp;IF(I3677="","unknown",I3677),H3677))</f>
        <v/>
      </c>
      <c r="Q3677" s="1" t="str">
        <f aca="false">IF(P3677="","",IFERROR(IF(AND(H3677="W7",OR(F3677="causal",F3677="predictive")),IF(AND(K3677=1,L3677=1,M3677=1),"adequate","partial"),INDEX(Fit_Matrix!$B:$B,MATCH(P3677,Fit_Matrix!$A:$A,0))),"CHECK KEY"))</f>
        <v/>
      </c>
    </row>
    <row r="3678" customFormat="false" ht="15" hidden="false" customHeight="true" outlineLevel="0" collapsed="false">
      <c r="P3678" s="1" t="str">
        <f aca="false">IF(OR(F3678="",H3678="",J3678=""),"",J3678&amp;"|"&amp;F3678&amp;"|"&amp;IF(H3678="W3","W3_"&amp;IF(I3678="","unknown",I3678),H3678))</f>
        <v/>
      </c>
      <c r="Q3678" s="1" t="str">
        <f aca="false">IF(P3678="","",IFERROR(IF(AND(H3678="W7",OR(F3678="causal",F3678="predictive")),IF(AND(K3678=1,L3678=1,M3678=1),"adequate","partial"),INDEX(Fit_Matrix!$B:$B,MATCH(P3678,Fit_Matrix!$A:$A,0))),"CHECK KEY"))</f>
        <v/>
      </c>
    </row>
    <row r="3679" customFormat="false" ht="15" hidden="false" customHeight="true" outlineLevel="0" collapsed="false">
      <c r="P3679" s="1" t="str">
        <f aca="false">IF(OR(F3679="",H3679="",J3679=""),"",J3679&amp;"|"&amp;F3679&amp;"|"&amp;IF(H3679="W3","W3_"&amp;IF(I3679="","unknown",I3679),H3679))</f>
        <v/>
      </c>
      <c r="Q3679" s="1" t="str">
        <f aca="false">IF(P3679="","",IFERROR(IF(AND(H3679="W7",OR(F3679="causal",F3679="predictive")),IF(AND(K3679=1,L3679=1,M3679=1),"adequate","partial"),INDEX(Fit_Matrix!$B:$B,MATCH(P3679,Fit_Matrix!$A:$A,0))),"CHECK KEY"))</f>
        <v/>
      </c>
    </row>
    <row r="3680" customFormat="false" ht="15" hidden="false" customHeight="true" outlineLevel="0" collapsed="false">
      <c r="P3680" s="1" t="str">
        <f aca="false">IF(OR(F3680="",H3680="",J3680=""),"",J3680&amp;"|"&amp;F3680&amp;"|"&amp;IF(H3680="W3","W3_"&amp;IF(I3680="","unknown",I3680),H3680))</f>
        <v/>
      </c>
      <c r="Q3680" s="1" t="str">
        <f aca="false">IF(P3680="","",IFERROR(IF(AND(H3680="W7",OR(F3680="causal",F3680="predictive")),IF(AND(K3680=1,L3680=1,M3680=1),"adequate","partial"),INDEX(Fit_Matrix!$B:$B,MATCH(P3680,Fit_Matrix!$A:$A,0))),"CHECK KEY"))</f>
        <v/>
      </c>
    </row>
    <row r="3681" customFormat="false" ht="15" hidden="false" customHeight="true" outlineLevel="0" collapsed="false">
      <c r="P3681" s="1" t="str">
        <f aca="false">IF(OR(F3681="",H3681="",J3681=""),"",J3681&amp;"|"&amp;F3681&amp;"|"&amp;IF(H3681="W3","W3_"&amp;IF(I3681="","unknown",I3681),H3681))</f>
        <v/>
      </c>
      <c r="Q3681" s="1" t="str">
        <f aca="false">IF(P3681="","",IFERROR(IF(AND(H3681="W7",OR(F3681="causal",F3681="predictive")),IF(AND(K3681=1,L3681=1,M3681=1),"adequate","partial"),INDEX(Fit_Matrix!$B:$B,MATCH(P3681,Fit_Matrix!$A:$A,0))),"CHECK KEY"))</f>
        <v/>
      </c>
    </row>
    <row r="3682" customFormat="false" ht="15" hidden="false" customHeight="true" outlineLevel="0" collapsed="false">
      <c r="P3682" s="1" t="str">
        <f aca="false">IF(OR(F3682="",H3682="",J3682=""),"",J3682&amp;"|"&amp;F3682&amp;"|"&amp;IF(H3682="W3","W3_"&amp;IF(I3682="","unknown",I3682),H3682))</f>
        <v/>
      </c>
      <c r="Q3682" s="1" t="str">
        <f aca="false">IF(P3682="","",IFERROR(IF(AND(H3682="W7",OR(F3682="causal",F3682="predictive")),IF(AND(K3682=1,L3682=1,M3682=1),"adequate","partial"),INDEX(Fit_Matrix!$B:$B,MATCH(P3682,Fit_Matrix!$A:$A,0))),"CHECK KEY"))</f>
        <v/>
      </c>
    </row>
    <row r="3683" customFormat="false" ht="15" hidden="false" customHeight="true" outlineLevel="0" collapsed="false">
      <c r="P3683" s="1" t="str">
        <f aca="false">IF(OR(F3683="",H3683="",J3683=""),"",J3683&amp;"|"&amp;F3683&amp;"|"&amp;IF(H3683="W3","W3_"&amp;IF(I3683="","unknown",I3683),H3683))</f>
        <v/>
      </c>
      <c r="Q3683" s="1" t="str">
        <f aca="false">IF(P3683="","",IFERROR(IF(AND(H3683="W7",OR(F3683="causal",F3683="predictive")),IF(AND(K3683=1,L3683=1,M3683=1),"adequate","partial"),INDEX(Fit_Matrix!$B:$B,MATCH(P3683,Fit_Matrix!$A:$A,0))),"CHECK KEY"))</f>
        <v/>
      </c>
    </row>
    <row r="3684" customFormat="false" ht="15" hidden="false" customHeight="true" outlineLevel="0" collapsed="false">
      <c r="P3684" s="1" t="str">
        <f aca="false">IF(OR(F3684="",H3684="",J3684=""),"",J3684&amp;"|"&amp;F3684&amp;"|"&amp;IF(H3684="W3","W3_"&amp;IF(I3684="","unknown",I3684),H3684))</f>
        <v/>
      </c>
      <c r="Q3684" s="1" t="str">
        <f aca="false">IF(P3684="","",IFERROR(IF(AND(H3684="W7",OR(F3684="causal",F3684="predictive")),IF(AND(K3684=1,L3684=1,M3684=1),"adequate","partial"),INDEX(Fit_Matrix!$B:$B,MATCH(P3684,Fit_Matrix!$A:$A,0))),"CHECK KEY"))</f>
        <v/>
      </c>
    </row>
    <row r="3685" customFormat="false" ht="15" hidden="false" customHeight="true" outlineLevel="0" collapsed="false">
      <c r="P3685" s="1" t="str">
        <f aca="false">IF(OR(F3685="",H3685="",J3685=""),"",J3685&amp;"|"&amp;F3685&amp;"|"&amp;IF(H3685="W3","W3_"&amp;IF(I3685="","unknown",I3685),H3685))</f>
        <v/>
      </c>
      <c r="Q3685" s="1" t="str">
        <f aca="false">IF(P3685="","",IFERROR(IF(AND(H3685="W7",OR(F3685="causal",F3685="predictive")),IF(AND(K3685=1,L3685=1,M3685=1),"adequate","partial"),INDEX(Fit_Matrix!$B:$B,MATCH(P3685,Fit_Matrix!$A:$A,0))),"CHECK KEY"))</f>
        <v/>
      </c>
    </row>
    <row r="3686" customFormat="false" ht="15" hidden="false" customHeight="true" outlineLevel="0" collapsed="false">
      <c r="P3686" s="1" t="str">
        <f aca="false">IF(OR(F3686="",H3686="",J3686=""),"",J3686&amp;"|"&amp;F3686&amp;"|"&amp;IF(H3686="W3","W3_"&amp;IF(I3686="","unknown",I3686),H3686))</f>
        <v/>
      </c>
      <c r="Q3686" s="1" t="str">
        <f aca="false">IF(P3686="","",IFERROR(IF(AND(H3686="W7",OR(F3686="causal",F3686="predictive")),IF(AND(K3686=1,L3686=1,M3686=1),"adequate","partial"),INDEX(Fit_Matrix!$B:$B,MATCH(P3686,Fit_Matrix!$A:$A,0))),"CHECK KEY"))</f>
        <v/>
      </c>
    </row>
    <row r="3687" customFormat="false" ht="15" hidden="false" customHeight="true" outlineLevel="0" collapsed="false">
      <c r="P3687" s="1" t="str">
        <f aca="false">IF(OR(F3687="",H3687="",J3687=""),"",J3687&amp;"|"&amp;F3687&amp;"|"&amp;IF(H3687="W3","W3_"&amp;IF(I3687="","unknown",I3687),H3687))</f>
        <v/>
      </c>
      <c r="Q3687" s="1" t="str">
        <f aca="false">IF(P3687="","",IFERROR(IF(AND(H3687="W7",OR(F3687="causal",F3687="predictive")),IF(AND(K3687=1,L3687=1,M3687=1),"adequate","partial"),INDEX(Fit_Matrix!$B:$B,MATCH(P3687,Fit_Matrix!$A:$A,0))),"CHECK KEY"))</f>
        <v/>
      </c>
    </row>
    <row r="3688" customFormat="false" ht="15" hidden="false" customHeight="true" outlineLevel="0" collapsed="false">
      <c r="P3688" s="1" t="str">
        <f aca="false">IF(OR(F3688="",H3688="",J3688=""),"",J3688&amp;"|"&amp;F3688&amp;"|"&amp;IF(H3688="W3","W3_"&amp;IF(I3688="","unknown",I3688),H3688))</f>
        <v/>
      </c>
      <c r="Q3688" s="1" t="str">
        <f aca="false">IF(P3688="","",IFERROR(IF(AND(H3688="W7",OR(F3688="causal",F3688="predictive")),IF(AND(K3688=1,L3688=1,M3688=1),"adequate","partial"),INDEX(Fit_Matrix!$B:$B,MATCH(P3688,Fit_Matrix!$A:$A,0))),"CHECK KEY"))</f>
        <v/>
      </c>
    </row>
    <row r="3689" customFormat="false" ht="15" hidden="false" customHeight="true" outlineLevel="0" collapsed="false">
      <c r="P3689" s="1" t="str">
        <f aca="false">IF(OR(F3689="",H3689="",J3689=""),"",J3689&amp;"|"&amp;F3689&amp;"|"&amp;IF(H3689="W3","W3_"&amp;IF(I3689="","unknown",I3689),H3689))</f>
        <v/>
      </c>
      <c r="Q3689" s="1" t="str">
        <f aca="false">IF(P3689="","",IFERROR(IF(AND(H3689="W7",OR(F3689="causal",F3689="predictive")),IF(AND(K3689=1,L3689=1,M3689=1),"adequate","partial"),INDEX(Fit_Matrix!$B:$B,MATCH(P3689,Fit_Matrix!$A:$A,0))),"CHECK KEY"))</f>
        <v/>
      </c>
    </row>
    <row r="3690" customFormat="false" ht="15" hidden="false" customHeight="true" outlineLevel="0" collapsed="false">
      <c r="P3690" s="1" t="str">
        <f aca="false">IF(OR(F3690="",H3690="",J3690=""),"",J3690&amp;"|"&amp;F3690&amp;"|"&amp;IF(H3690="W3","W3_"&amp;IF(I3690="","unknown",I3690),H3690))</f>
        <v/>
      </c>
      <c r="Q3690" s="1" t="str">
        <f aca="false">IF(P3690="","",IFERROR(IF(AND(H3690="W7",OR(F3690="causal",F3690="predictive")),IF(AND(K3690=1,L3690=1,M3690=1),"adequate","partial"),INDEX(Fit_Matrix!$B:$B,MATCH(P3690,Fit_Matrix!$A:$A,0))),"CHECK KEY"))</f>
        <v/>
      </c>
    </row>
    <row r="3691" customFormat="false" ht="15" hidden="false" customHeight="true" outlineLevel="0" collapsed="false">
      <c r="P3691" s="1" t="str">
        <f aca="false">IF(OR(F3691="",H3691="",J3691=""),"",J3691&amp;"|"&amp;F3691&amp;"|"&amp;IF(H3691="W3","W3_"&amp;IF(I3691="","unknown",I3691),H3691))</f>
        <v/>
      </c>
      <c r="Q3691" s="1" t="str">
        <f aca="false">IF(P3691="","",IFERROR(IF(AND(H3691="W7",OR(F3691="causal",F3691="predictive")),IF(AND(K3691=1,L3691=1,M3691=1),"adequate","partial"),INDEX(Fit_Matrix!$B:$B,MATCH(P3691,Fit_Matrix!$A:$A,0))),"CHECK KEY"))</f>
        <v/>
      </c>
    </row>
    <row r="3692" customFormat="false" ht="15" hidden="false" customHeight="true" outlineLevel="0" collapsed="false">
      <c r="P3692" s="1" t="str">
        <f aca="false">IF(OR(F3692="",H3692="",J3692=""),"",J3692&amp;"|"&amp;F3692&amp;"|"&amp;IF(H3692="W3","W3_"&amp;IF(I3692="","unknown",I3692),H3692))</f>
        <v/>
      </c>
      <c r="Q3692" s="1" t="str">
        <f aca="false">IF(P3692="","",IFERROR(IF(AND(H3692="W7",OR(F3692="causal",F3692="predictive")),IF(AND(K3692=1,L3692=1,M3692=1),"adequate","partial"),INDEX(Fit_Matrix!$B:$B,MATCH(P3692,Fit_Matrix!$A:$A,0))),"CHECK KEY"))</f>
        <v/>
      </c>
    </row>
    <row r="3693" customFormat="false" ht="15" hidden="false" customHeight="true" outlineLevel="0" collapsed="false">
      <c r="P3693" s="1" t="str">
        <f aca="false">IF(OR(F3693="",H3693="",J3693=""),"",J3693&amp;"|"&amp;F3693&amp;"|"&amp;IF(H3693="W3","W3_"&amp;IF(I3693="","unknown",I3693),H3693))</f>
        <v/>
      </c>
      <c r="Q3693" s="1" t="str">
        <f aca="false">IF(P3693="","",IFERROR(IF(AND(H3693="W7",OR(F3693="causal",F3693="predictive")),IF(AND(K3693=1,L3693=1,M3693=1),"adequate","partial"),INDEX(Fit_Matrix!$B:$B,MATCH(P3693,Fit_Matrix!$A:$A,0))),"CHECK KEY"))</f>
        <v/>
      </c>
    </row>
    <row r="3694" customFormat="false" ht="15" hidden="false" customHeight="true" outlineLevel="0" collapsed="false">
      <c r="P3694" s="1" t="str">
        <f aca="false">IF(OR(F3694="",H3694="",J3694=""),"",J3694&amp;"|"&amp;F3694&amp;"|"&amp;IF(H3694="W3","W3_"&amp;IF(I3694="","unknown",I3694),H3694))</f>
        <v/>
      </c>
      <c r="Q3694" s="1" t="str">
        <f aca="false">IF(P3694="","",IFERROR(IF(AND(H3694="W7",OR(F3694="causal",F3694="predictive")),IF(AND(K3694=1,L3694=1,M3694=1),"adequate","partial"),INDEX(Fit_Matrix!$B:$B,MATCH(P3694,Fit_Matrix!$A:$A,0))),"CHECK KEY"))</f>
        <v/>
      </c>
    </row>
    <row r="3695" customFormat="false" ht="15" hidden="false" customHeight="true" outlineLevel="0" collapsed="false">
      <c r="P3695" s="1" t="str">
        <f aca="false">IF(OR(F3695="",H3695="",J3695=""),"",J3695&amp;"|"&amp;F3695&amp;"|"&amp;IF(H3695="W3","W3_"&amp;IF(I3695="","unknown",I3695),H3695))</f>
        <v/>
      </c>
      <c r="Q3695" s="1" t="str">
        <f aca="false">IF(P3695="","",IFERROR(IF(AND(H3695="W7",OR(F3695="causal",F3695="predictive")),IF(AND(K3695=1,L3695=1,M3695=1),"adequate","partial"),INDEX(Fit_Matrix!$B:$B,MATCH(P3695,Fit_Matrix!$A:$A,0))),"CHECK KEY"))</f>
        <v/>
      </c>
    </row>
    <row r="3696" customFormat="false" ht="15" hidden="false" customHeight="true" outlineLevel="0" collapsed="false">
      <c r="P3696" s="1" t="str">
        <f aca="false">IF(OR(F3696="",H3696="",J3696=""),"",J3696&amp;"|"&amp;F3696&amp;"|"&amp;IF(H3696="W3","W3_"&amp;IF(I3696="","unknown",I3696),H3696))</f>
        <v/>
      </c>
      <c r="Q3696" s="1" t="str">
        <f aca="false">IF(P3696="","",IFERROR(IF(AND(H3696="W7",OR(F3696="causal",F3696="predictive")),IF(AND(K3696=1,L3696=1,M3696=1),"adequate","partial"),INDEX(Fit_Matrix!$B:$B,MATCH(P3696,Fit_Matrix!$A:$A,0))),"CHECK KEY"))</f>
        <v/>
      </c>
    </row>
    <row r="3697" customFormat="false" ht="15" hidden="false" customHeight="true" outlineLevel="0" collapsed="false">
      <c r="P3697" s="1" t="str">
        <f aca="false">IF(OR(F3697="",H3697="",J3697=""),"",J3697&amp;"|"&amp;F3697&amp;"|"&amp;IF(H3697="W3","W3_"&amp;IF(I3697="","unknown",I3697),H3697))</f>
        <v/>
      </c>
      <c r="Q3697" s="1" t="str">
        <f aca="false">IF(P3697="","",IFERROR(IF(AND(H3697="W7",OR(F3697="causal",F3697="predictive")),IF(AND(K3697=1,L3697=1,M3697=1),"adequate","partial"),INDEX(Fit_Matrix!$B:$B,MATCH(P3697,Fit_Matrix!$A:$A,0))),"CHECK KEY"))</f>
        <v/>
      </c>
    </row>
    <row r="3698" customFormat="false" ht="15" hidden="false" customHeight="true" outlineLevel="0" collapsed="false">
      <c r="P3698" s="1" t="str">
        <f aca="false">IF(OR(F3698="",H3698="",J3698=""),"",J3698&amp;"|"&amp;F3698&amp;"|"&amp;IF(H3698="W3","W3_"&amp;IF(I3698="","unknown",I3698),H3698))</f>
        <v/>
      </c>
      <c r="Q3698" s="1" t="str">
        <f aca="false">IF(P3698="","",IFERROR(IF(AND(H3698="W7",OR(F3698="causal",F3698="predictive")),IF(AND(K3698=1,L3698=1,M3698=1),"adequate","partial"),INDEX(Fit_Matrix!$B:$B,MATCH(P3698,Fit_Matrix!$A:$A,0))),"CHECK KEY"))</f>
        <v/>
      </c>
    </row>
    <row r="3699" customFormat="false" ht="15" hidden="false" customHeight="true" outlineLevel="0" collapsed="false">
      <c r="P3699" s="1" t="str">
        <f aca="false">IF(OR(F3699="",H3699="",J3699=""),"",J3699&amp;"|"&amp;F3699&amp;"|"&amp;IF(H3699="W3","W3_"&amp;IF(I3699="","unknown",I3699),H3699))</f>
        <v/>
      </c>
      <c r="Q3699" s="1" t="str">
        <f aca="false">IF(P3699="","",IFERROR(IF(AND(H3699="W7",OR(F3699="causal",F3699="predictive")),IF(AND(K3699=1,L3699=1,M3699=1),"adequate","partial"),INDEX(Fit_Matrix!$B:$B,MATCH(P3699,Fit_Matrix!$A:$A,0))),"CHECK KEY"))</f>
        <v/>
      </c>
    </row>
    <row r="3700" customFormat="false" ht="15" hidden="false" customHeight="true" outlineLevel="0" collapsed="false">
      <c r="P3700" s="1" t="str">
        <f aca="false">IF(OR(F3700="",H3700="",J3700=""),"",J3700&amp;"|"&amp;F3700&amp;"|"&amp;IF(H3700="W3","W3_"&amp;IF(I3700="","unknown",I3700),H3700))</f>
        <v/>
      </c>
      <c r="Q3700" s="1" t="str">
        <f aca="false">IF(P3700="","",IFERROR(IF(AND(H3700="W7",OR(F3700="causal",F3700="predictive")),IF(AND(K3700=1,L3700=1,M3700=1),"adequate","partial"),INDEX(Fit_Matrix!$B:$B,MATCH(P3700,Fit_Matrix!$A:$A,0))),"CHECK KEY"))</f>
        <v/>
      </c>
    </row>
    <row r="3701" customFormat="false" ht="15" hidden="false" customHeight="true" outlineLevel="0" collapsed="false">
      <c r="P3701" s="1" t="str">
        <f aca="false">IF(OR(F3701="",H3701="",J3701=""),"",J3701&amp;"|"&amp;F3701&amp;"|"&amp;IF(H3701="W3","W3_"&amp;IF(I3701="","unknown",I3701),H3701))</f>
        <v/>
      </c>
      <c r="Q3701" s="1" t="str">
        <f aca="false">IF(P3701="","",IFERROR(IF(AND(H3701="W7",OR(F3701="causal",F3701="predictive")),IF(AND(K3701=1,L3701=1,M3701=1),"adequate","partial"),INDEX(Fit_Matrix!$B:$B,MATCH(P3701,Fit_Matrix!$A:$A,0))),"CHECK KEY"))</f>
        <v/>
      </c>
    </row>
    <row r="3702" customFormat="false" ht="15" hidden="false" customHeight="true" outlineLevel="0" collapsed="false">
      <c r="P3702" s="1" t="str">
        <f aca="false">IF(OR(F3702="",H3702="",J3702=""),"",J3702&amp;"|"&amp;F3702&amp;"|"&amp;IF(H3702="W3","W3_"&amp;IF(I3702="","unknown",I3702),H3702))</f>
        <v/>
      </c>
      <c r="Q3702" s="1" t="str">
        <f aca="false">IF(P3702="","",IFERROR(IF(AND(H3702="W7",OR(F3702="causal",F3702="predictive")),IF(AND(K3702=1,L3702=1,M3702=1),"adequate","partial"),INDEX(Fit_Matrix!$B:$B,MATCH(P3702,Fit_Matrix!$A:$A,0))),"CHECK KEY"))</f>
        <v/>
      </c>
    </row>
    <row r="3703" customFormat="false" ht="15" hidden="false" customHeight="true" outlineLevel="0" collapsed="false">
      <c r="P3703" s="1" t="str">
        <f aca="false">IF(OR(F3703="",H3703="",J3703=""),"",J3703&amp;"|"&amp;F3703&amp;"|"&amp;IF(H3703="W3","W3_"&amp;IF(I3703="","unknown",I3703),H3703))</f>
        <v/>
      </c>
      <c r="Q3703" s="1" t="str">
        <f aca="false">IF(P3703="","",IFERROR(IF(AND(H3703="W7",OR(F3703="causal",F3703="predictive")),IF(AND(K3703=1,L3703=1,M3703=1),"adequate","partial"),INDEX(Fit_Matrix!$B:$B,MATCH(P3703,Fit_Matrix!$A:$A,0))),"CHECK KEY"))</f>
        <v/>
      </c>
    </row>
    <row r="3704" customFormat="false" ht="15" hidden="false" customHeight="true" outlineLevel="0" collapsed="false">
      <c r="P3704" s="1" t="str">
        <f aca="false">IF(OR(F3704="",H3704="",J3704=""),"",J3704&amp;"|"&amp;F3704&amp;"|"&amp;IF(H3704="W3","W3_"&amp;IF(I3704="","unknown",I3704),H3704))</f>
        <v/>
      </c>
      <c r="Q3704" s="1" t="str">
        <f aca="false">IF(P3704="","",IFERROR(IF(AND(H3704="W7",OR(F3704="causal",F3704="predictive")),IF(AND(K3704=1,L3704=1,M3704=1),"adequate","partial"),INDEX(Fit_Matrix!$B:$B,MATCH(P3704,Fit_Matrix!$A:$A,0))),"CHECK KEY"))</f>
        <v/>
      </c>
    </row>
    <row r="3705" customFormat="false" ht="15" hidden="false" customHeight="true" outlineLevel="0" collapsed="false">
      <c r="P3705" s="1" t="str">
        <f aca="false">IF(OR(F3705="",H3705="",J3705=""),"",J3705&amp;"|"&amp;F3705&amp;"|"&amp;IF(H3705="W3","W3_"&amp;IF(I3705="","unknown",I3705),H3705))</f>
        <v/>
      </c>
      <c r="Q3705" s="1" t="str">
        <f aca="false">IF(P3705="","",IFERROR(IF(AND(H3705="W7",OR(F3705="causal",F3705="predictive")),IF(AND(K3705=1,L3705=1,M3705=1),"adequate","partial"),INDEX(Fit_Matrix!$B:$B,MATCH(P3705,Fit_Matrix!$A:$A,0))),"CHECK KEY"))</f>
        <v/>
      </c>
    </row>
    <row r="3706" customFormat="false" ht="15" hidden="false" customHeight="true" outlineLevel="0" collapsed="false">
      <c r="P3706" s="1" t="str">
        <f aca="false">IF(OR(F3706="",H3706="",J3706=""),"",J3706&amp;"|"&amp;F3706&amp;"|"&amp;IF(H3706="W3","W3_"&amp;IF(I3706="","unknown",I3706),H3706))</f>
        <v/>
      </c>
      <c r="Q3706" s="1" t="str">
        <f aca="false">IF(P3706="","",IFERROR(IF(AND(H3706="W7",OR(F3706="causal",F3706="predictive")),IF(AND(K3706=1,L3706=1,M3706=1),"adequate","partial"),INDEX(Fit_Matrix!$B:$B,MATCH(P3706,Fit_Matrix!$A:$A,0))),"CHECK KEY"))</f>
        <v/>
      </c>
    </row>
    <row r="3707" customFormat="false" ht="15" hidden="false" customHeight="true" outlineLevel="0" collapsed="false">
      <c r="P3707" s="1" t="str">
        <f aca="false">IF(OR(F3707="",H3707="",J3707=""),"",J3707&amp;"|"&amp;F3707&amp;"|"&amp;IF(H3707="W3","W3_"&amp;IF(I3707="","unknown",I3707),H3707))</f>
        <v/>
      </c>
      <c r="Q3707" s="1" t="str">
        <f aca="false">IF(P3707="","",IFERROR(IF(AND(H3707="W7",OR(F3707="causal",F3707="predictive")),IF(AND(K3707=1,L3707=1,M3707=1),"adequate","partial"),INDEX(Fit_Matrix!$B:$B,MATCH(P3707,Fit_Matrix!$A:$A,0))),"CHECK KEY"))</f>
        <v/>
      </c>
    </row>
    <row r="3708" customFormat="false" ht="15" hidden="false" customHeight="true" outlineLevel="0" collapsed="false">
      <c r="P3708" s="1" t="str">
        <f aca="false">IF(OR(F3708="",H3708="",J3708=""),"",J3708&amp;"|"&amp;F3708&amp;"|"&amp;IF(H3708="W3","W3_"&amp;IF(I3708="","unknown",I3708),H3708))</f>
        <v/>
      </c>
      <c r="Q3708" s="1" t="str">
        <f aca="false">IF(P3708="","",IFERROR(IF(AND(H3708="W7",OR(F3708="causal",F3708="predictive")),IF(AND(K3708=1,L3708=1,M3708=1),"adequate","partial"),INDEX(Fit_Matrix!$B:$B,MATCH(P3708,Fit_Matrix!$A:$A,0))),"CHECK KEY"))</f>
        <v/>
      </c>
    </row>
    <row r="3709" customFormat="false" ht="15" hidden="false" customHeight="true" outlineLevel="0" collapsed="false">
      <c r="P3709" s="1" t="str">
        <f aca="false">IF(OR(F3709="",H3709="",J3709=""),"",J3709&amp;"|"&amp;F3709&amp;"|"&amp;IF(H3709="W3","W3_"&amp;IF(I3709="","unknown",I3709),H3709))</f>
        <v/>
      </c>
      <c r="Q3709" s="1" t="str">
        <f aca="false">IF(P3709="","",IFERROR(IF(AND(H3709="W7",OR(F3709="causal",F3709="predictive")),IF(AND(K3709=1,L3709=1,M3709=1),"adequate","partial"),INDEX(Fit_Matrix!$B:$B,MATCH(P3709,Fit_Matrix!$A:$A,0))),"CHECK KEY"))</f>
        <v/>
      </c>
    </row>
    <row r="3710" customFormat="false" ht="15" hidden="false" customHeight="true" outlineLevel="0" collapsed="false">
      <c r="P3710" s="1" t="str">
        <f aca="false">IF(OR(F3710="",H3710="",J3710=""),"",J3710&amp;"|"&amp;F3710&amp;"|"&amp;IF(H3710="W3","W3_"&amp;IF(I3710="","unknown",I3710),H3710))</f>
        <v/>
      </c>
      <c r="Q3710" s="1" t="str">
        <f aca="false">IF(P3710="","",IFERROR(IF(AND(H3710="W7",OR(F3710="causal",F3710="predictive")),IF(AND(K3710=1,L3710=1,M3710=1),"adequate","partial"),INDEX(Fit_Matrix!$B:$B,MATCH(P3710,Fit_Matrix!$A:$A,0))),"CHECK KEY"))</f>
        <v/>
      </c>
    </row>
    <row r="3711" customFormat="false" ht="15" hidden="false" customHeight="true" outlineLevel="0" collapsed="false">
      <c r="P3711" s="1" t="str">
        <f aca="false">IF(OR(F3711="",H3711="",J3711=""),"",J3711&amp;"|"&amp;F3711&amp;"|"&amp;IF(H3711="W3","W3_"&amp;IF(I3711="","unknown",I3711),H3711))</f>
        <v/>
      </c>
      <c r="Q3711" s="1" t="str">
        <f aca="false">IF(P3711="","",IFERROR(IF(AND(H3711="W7",OR(F3711="causal",F3711="predictive")),IF(AND(K3711=1,L3711=1,M3711=1),"adequate","partial"),INDEX(Fit_Matrix!$B:$B,MATCH(P3711,Fit_Matrix!$A:$A,0))),"CHECK KEY"))</f>
        <v/>
      </c>
    </row>
    <row r="3712" customFormat="false" ht="15" hidden="false" customHeight="true" outlineLevel="0" collapsed="false">
      <c r="P3712" s="1" t="str">
        <f aca="false">IF(OR(F3712="",H3712="",J3712=""),"",J3712&amp;"|"&amp;F3712&amp;"|"&amp;IF(H3712="W3","W3_"&amp;IF(I3712="","unknown",I3712),H3712))</f>
        <v/>
      </c>
      <c r="Q3712" s="1" t="str">
        <f aca="false">IF(P3712="","",IFERROR(IF(AND(H3712="W7",OR(F3712="causal",F3712="predictive")),IF(AND(K3712=1,L3712=1,M3712=1),"adequate","partial"),INDEX(Fit_Matrix!$B:$B,MATCH(P3712,Fit_Matrix!$A:$A,0))),"CHECK KEY"))</f>
        <v/>
      </c>
    </row>
    <row r="3713" customFormat="false" ht="15" hidden="false" customHeight="true" outlineLevel="0" collapsed="false">
      <c r="P3713" s="1" t="str">
        <f aca="false">IF(OR(F3713="",H3713="",J3713=""),"",J3713&amp;"|"&amp;F3713&amp;"|"&amp;IF(H3713="W3","W3_"&amp;IF(I3713="","unknown",I3713),H3713))</f>
        <v/>
      </c>
      <c r="Q3713" s="1" t="str">
        <f aca="false">IF(P3713="","",IFERROR(IF(AND(H3713="W7",OR(F3713="causal",F3713="predictive")),IF(AND(K3713=1,L3713=1,M3713=1),"adequate","partial"),INDEX(Fit_Matrix!$B:$B,MATCH(P3713,Fit_Matrix!$A:$A,0))),"CHECK KEY"))</f>
        <v/>
      </c>
    </row>
    <row r="3714" customFormat="false" ht="15" hidden="false" customHeight="true" outlineLevel="0" collapsed="false">
      <c r="P3714" s="1" t="str">
        <f aca="false">IF(OR(F3714="",H3714="",J3714=""),"",J3714&amp;"|"&amp;F3714&amp;"|"&amp;IF(H3714="W3","W3_"&amp;IF(I3714="","unknown",I3714),H3714))</f>
        <v/>
      </c>
      <c r="Q3714" s="1" t="str">
        <f aca="false">IF(P3714="","",IFERROR(IF(AND(H3714="W7",OR(F3714="causal",F3714="predictive")),IF(AND(K3714=1,L3714=1,M3714=1),"adequate","partial"),INDEX(Fit_Matrix!$B:$B,MATCH(P3714,Fit_Matrix!$A:$A,0))),"CHECK KEY"))</f>
        <v/>
      </c>
    </row>
    <row r="3715" customFormat="false" ht="15" hidden="false" customHeight="true" outlineLevel="0" collapsed="false">
      <c r="P3715" s="1" t="str">
        <f aca="false">IF(OR(F3715="",H3715="",J3715=""),"",J3715&amp;"|"&amp;F3715&amp;"|"&amp;IF(H3715="W3","W3_"&amp;IF(I3715="","unknown",I3715),H3715))</f>
        <v/>
      </c>
      <c r="Q3715" s="1" t="str">
        <f aca="false">IF(P3715="","",IFERROR(IF(AND(H3715="W7",OR(F3715="causal",F3715="predictive")),IF(AND(K3715=1,L3715=1,M3715=1),"adequate","partial"),INDEX(Fit_Matrix!$B:$B,MATCH(P3715,Fit_Matrix!$A:$A,0))),"CHECK KEY"))</f>
        <v/>
      </c>
    </row>
    <row r="3716" customFormat="false" ht="15" hidden="false" customHeight="true" outlineLevel="0" collapsed="false">
      <c r="P3716" s="1" t="str">
        <f aca="false">IF(OR(F3716="",H3716="",J3716=""),"",J3716&amp;"|"&amp;F3716&amp;"|"&amp;IF(H3716="W3","W3_"&amp;IF(I3716="","unknown",I3716),H3716))</f>
        <v/>
      </c>
      <c r="Q3716" s="1" t="str">
        <f aca="false">IF(P3716="","",IFERROR(IF(AND(H3716="W7",OR(F3716="causal",F3716="predictive")),IF(AND(K3716=1,L3716=1,M3716=1),"adequate","partial"),INDEX(Fit_Matrix!$B:$B,MATCH(P3716,Fit_Matrix!$A:$A,0))),"CHECK KEY"))</f>
        <v/>
      </c>
    </row>
    <row r="3717" customFormat="false" ht="15" hidden="false" customHeight="true" outlineLevel="0" collapsed="false">
      <c r="P3717" s="1" t="str">
        <f aca="false">IF(OR(F3717="",H3717="",J3717=""),"",J3717&amp;"|"&amp;F3717&amp;"|"&amp;IF(H3717="W3","W3_"&amp;IF(I3717="","unknown",I3717),H3717))</f>
        <v/>
      </c>
      <c r="Q3717" s="1" t="str">
        <f aca="false">IF(P3717="","",IFERROR(IF(AND(H3717="W7",OR(F3717="causal",F3717="predictive")),IF(AND(K3717=1,L3717=1,M3717=1),"adequate","partial"),INDEX(Fit_Matrix!$B:$B,MATCH(P3717,Fit_Matrix!$A:$A,0))),"CHECK KEY"))</f>
        <v/>
      </c>
    </row>
    <row r="3718" customFormat="false" ht="15" hidden="false" customHeight="true" outlineLevel="0" collapsed="false">
      <c r="P3718" s="1" t="str">
        <f aca="false">IF(OR(F3718="",H3718="",J3718=""),"",J3718&amp;"|"&amp;F3718&amp;"|"&amp;IF(H3718="W3","W3_"&amp;IF(I3718="","unknown",I3718),H3718))</f>
        <v/>
      </c>
      <c r="Q3718" s="1" t="str">
        <f aca="false">IF(P3718="","",IFERROR(IF(AND(H3718="W7",OR(F3718="causal",F3718="predictive")),IF(AND(K3718=1,L3718=1,M3718=1),"adequate","partial"),INDEX(Fit_Matrix!$B:$B,MATCH(P3718,Fit_Matrix!$A:$A,0))),"CHECK KEY"))</f>
        <v/>
      </c>
    </row>
    <row r="3719" customFormat="false" ht="15" hidden="false" customHeight="true" outlineLevel="0" collapsed="false">
      <c r="P3719" s="1" t="str">
        <f aca="false">IF(OR(F3719="",H3719="",J3719=""),"",J3719&amp;"|"&amp;F3719&amp;"|"&amp;IF(H3719="W3","W3_"&amp;IF(I3719="","unknown",I3719),H3719))</f>
        <v/>
      </c>
      <c r="Q3719" s="1" t="str">
        <f aca="false">IF(P3719="","",IFERROR(IF(AND(H3719="W7",OR(F3719="causal",F3719="predictive")),IF(AND(K3719=1,L3719=1,M3719=1),"adequate","partial"),INDEX(Fit_Matrix!$B:$B,MATCH(P3719,Fit_Matrix!$A:$A,0))),"CHECK KEY"))</f>
        <v/>
      </c>
    </row>
    <row r="3720" customFormat="false" ht="15" hidden="false" customHeight="true" outlineLevel="0" collapsed="false">
      <c r="P3720" s="1" t="str">
        <f aca="false">IF(OR(F3720="",H3720="",J3720=""),"",J3720&amp;"|"&amp;F3720&amp;"|"&amp;IF(H3720="W3","W3_"&amp;IF(I3720="","unknown",I3720),H3720))</f>
        <v/>
      </c>
      <c r="Q3720" s="1" t="str">
        <f aca="false">IF(P3720="","",IFERROR(IF(AND(H3720="W7",OR(F3720="causal",F3720="predictive")),IF(AND(K3720=1,L3720=1,M3720=1),"adequate","partial"),INDEX(Fit_Matrix!$B:$B,MATCH(P3720,Fit_Matrix!$A:$A,0))),"CHECK KEY"))</f>
        <v/>
      </c>
    </row>
    <row r="3721" customFormat="false" ht="15" hidden="false" customHeight="true" outlineLevel="0" collapsed="false">
      <c r="P3721" s="1" t="str">
        <f aca="false">IF(OR(F3721="",H3721="",J3721=""),"",J3721&amp;"|"&amp;F3721&amp;"|"&amp;IF(H3721="W3","W3_"&amp;IF(I3721="","unknown",I3721),H3721))</f>
        <v/>
      </c>
      <c r="Q3721" s="1" t="str">
        <f aca="false">IF(P3721="","",IFERROR(IF(AND(H3721="W7",OR(F3721="causal",F3721="predictive")),IF(AND(K3721=1,L3721=1,M3721=1),"adequate","partial"),INDEX(Fit_Matrix!$B:$B,MATCH(P3721,Fit_Matrix!$A:$A,0))),"CHECK KEY"))</f>
        <v/>
      </c>
    </row>
    <row r="3722" customFormat="false" ht="15" hidden="false" customHeight="true" outlineLevel="0" collapsed="false">
      <c r="P3722" s="1" t="str">
        <f aca="false">IF(OR(F3722="",H3722="",J3722=""),"",J3722&amp;"|"&amp;F3722&amp;"|"&amp;IF(H3722="W3","W3_"&amp;IF(I3722="","unknown",I3722),H3722))</f>
        <v/>
      </c>
      <c r="Q3722" s="1" t="str">
        <f aca="false">IF(P3722="","",IFERROR(IF(AND(H3722="W7",OR(F3722="causal",F3722="predictive")),IF(AND(K3722=1,L3722=1,M3722=1),"adequate","partial"),INDEX(Fit_Matrix!$B:$B,MATCH(P3722,Fit_Matrix!$A:$A,0))),"CHECK KEY"))</f>
        <v/>
      </c>
    </row>
    <row r="3723" customFormat="false" ht="15" hidden="false" customHeight="true" outlineLevel="0" collapsed="false">
      <c r="P3723" s="1" t="str">
        <f aca="false">IF(OR(F3723="",H3723="",J3723=""),"",J3723&amp;"|"&amp;F3723&amp;"|"&amp;IF(H3723="W3","W3_"&amp;IF(I3723="","unknown",I3723),H3723))</f>
        <v/>
      </c>
      <c r="Q3723" s="1" t="str">
        <f aca="false">IF(P3723="","",IFERROR(IF(AND(H3723="W7",OR(F3723="causal",F3723="predictive")),IF(AND(K3723=1,L3723=1,M3723=1),"adequate","partial"),INDEX(Fit_Matrix!$B:$B,MATCH(P3723,Fit_Matrix!$A:$A,0))),"CHECK KEY"))</f>
        <v/>
      </c>
    </row>
    <row r="3724" customFormat="false" ht="15" hidden="false" customHeight="true" outlineLevel="0" collapsed="false">
      <c r="P3724" s="1" t="str">
        <f aca="false">IF(OR(F3724="",H3724="",J3724=""),"",J3724&amp;"|"&amp;F3724&amp;"|"&amp;IF(H3724="W3","W3_"&amp;IF(I3724="","unknown",I3724),H3724))</f>
        <v/>
      </c>
      <c r="Q3724" s="1" t="str">
        <f aca="false">IF(P3724="","",IFERROR(IF(AND(H3724="W7",OR(F3724="causal",F3724="predictive")),IF(AND(K3724=1,L3724=1,M3724=1),"adequate","partial"),INDEX(Fit_Matrix!$B:$B,MATCH(P3724,Fit_Matrix!$A:$A,0))),"CHECK KEY"))</f>
        <v/>
      </c>
    </row>
    <row r="3725" customFormat="false" ht="15" hidden="false" customHeight="true" outlineLevel="0" collapsed="false">
      <c r="P3725" s="1" t="str">
        <f aca="false">IF(OR(F3725="",H3725="",J3725=""),"",J3725&amp;"|"&amp;F3725&amp;"|"&amp;IF(H3725="W3","W3_"&amp;IF(I3725="","unknown",I3725),H3725))</f>
        <v/>
      </c>
      <c r="Q3725" s="1" t="str">
        <f aca="false">IF(P3725="","",IFERROR(IF(AND(H3725="W7",OR(F3725="causal",F3725="predictive")),IF(AND(K3725=1,L3725=1,M3725=1),"adequate","partial"),INDEX(Fit_Matrix!$B:$B,MATCH(P3725,Fit_Matrix!$A:$A,0))),"CHECK KEY"))</f>
        <v/>
      </c>
    </row>
    <row r="3726" customFormat="false" ht="15" hidden="false" customHeight="true" outlineLevel="0" collapsed="false">
      <c r="P3726" s="1" t="str">
        <f aca="false">IF(OR(F3726="",H3726="",J3726=""),"",J3726&amp;"|"&amp;F3726&amp;"|"&amp;IF(H3726="W3","W3_"&amp;IF(I3726="","unknown",I3726),H3726))</f>
        <v/>
      </c>
      <c r="Q3726" s="1" t="str">
        <f aca="false">IF(P3726="","",IFERROR(IF(AND(H3726="W7",OR(F3726="causal",F3726="predictive")),IF(AND(K3726=1,L3726=1,M3726=1),"adequate","partial"),INDEX(Fit_Matrix!$B:$B,MATCH(P3726,Fit_Matrix!$A:$A,0))),"CHECK KEY"))</f>
        <v/>
      </c>
    </row>
    <row r="3727" customFormat="false" ht="15" hidden="false" customHeight="true" outlineLevel="0" collapsed="false">
      <c r="P3727" s="1" t="str">
        <f aca="false">IF(OR(F3727="",H3727="",J3727=""),"",J3727&amp;"|"&amp;F3727&amp;"|"&amp;IF(H3727="W3","W3_"&amp;IF(I3727="","unknown",I3727),H3727))</f>
        <v/>
      </c>
      <c r="Q3727" s="1" t="str">
        <f aca="false">IF(P3727="","",IFERROR(IF(AND(H3727="W7",OR(F3727="causal",F3727="predictive")),IF(AND(K3727=1,L3727=1,M3727=1),"adequate","partial"),INDEX(Fit_Matrix!$B:$B,MATCH(P3727,Fit_Matrix!$A:$A,0))),"CHECK KEY"))</f>
        <v/>
      </c>
    </row>
    <row r="3728" customFormat="false" ht="15" hidden="false" customHeight="true" outlineLevel="0" collapsed="false">
      <c r="P3728" s="1" t="str">
        <f aca="false">IF(OR(F3728="",H3728="",J3728=""),"",J3728&amp;"|"&amp;F3728&amp;"|"&amp;IF(H3728="W3","W3_"&amp;IF(I3728="","unknown",I3728),H3728))</f>
        <v/>
      </c>
      <c r="Q3728" s="1" t="str">
        <f aca="false">IF(P3728="","",IFERROR(IF(AND(H3728="W7",OR(F3728="causal",F3728="predictive")),IF(AND(K3728=1,L3728=1,M3728=1),"adequate","partial"),INDEX(Fit_Matrix!$B:$B,MATCH(P3728,Fit_Matrix!$A:$A,0))),"CHECK KEY"))</f>
        <v/>
      </c>
    </row>
    <row r="3729" customFormat="false" ht="15" hidden="false" customHeight="true" outlineLevel="0" collapsed="false">
      <c r="P3729" s="1" t="str">
        <f aca="false">IF(OR(F3729="",H3729="",J3729=""),"",J3729&amp;"|"&amp;F3729&amp;"|"&amp;IF(H3729="W3","W3_"&amp;IF(I3729="","unknown",I3729),H3729))</f>
        <v/>
      </c>
      <c r="Q3729" s="1" t="str">
        <f aca="false">IF(P3729="","",IFERROR(IF(AND(H3729="W7",OR(F3729="causal",F3729="predictive")),IF(AND(K3729=1,L3729=1,M3729=1),"adequate","partial"),INDEX(Fit_Matrix!$B:$B,MATCH(P3729,Fit_Matrix!$A:$A,0))),"CHECK KEY"))</f>
        <v/>
      </c>
    </row>
    <row r="3730" customFormat="false" ht="15" hidden="false" customHeight="true" outlineLevel="0" collapsed="false">
      <c r="P3730" s="1" t="str">
        <f aca="false">IF(OR(F3730="",H3730="",J3730=""),"",J3730&amp;"|"&amp;F3730&amp;"|"&amp;IF(H3730="W3","W3_"&amp;IF(I3730="","unknown",I3730),H3730))</f>
        <v/>
      </c>
      <c r="Q3730" s="1" t="str">
        <f aca="false">IF(P3730="","",IFERROR(IF(AND(H3730="W7",OR(F3730="causal",F3730="predictive")),IF(AND(K3730=1,L3730=1,M3730=1),"adequate","partial"),INDEX(Fit_Matrix!$B:$B,MATCH(P3730,Fit_Matrix!$A:$A,0))),"CHECK KEY"))</f>
        <v/>
      </c>
    </row>
    <row r="3731" customFormat="false" ht="15" hidden="false" customHeight="true" outlineLevel="0" collapsed="false">
      <c r="P3731" s="1" t="str">
        <f aca="false">IF(OR(F3731="",H3731="",J3731=""),"",J3731&amp;"|"&amp;F3731&amp;"|"&amp;IF(H3731="W3","W3_"&amp;IF(I3731="","unknown",I3731),H3731))</f>
        <v/>
      </c>
      <c r="Q3731" s="1" t="str">
        <f aca="false">IF(P3731="","",IFERROR(IF(AND(H3731="W7",OR(F3731="causal",F3731="predictive")),IF(AND(K3731=1,L3731=1,M3731=1),"adequate","partial"),INDEX(Fit_Matrix!$B:$B,MATCH(P3731,Fit_Matrix!$A:$A,0))),"CHECK KEY"))</f>
        <v/>
      </c>
    </row>
    <row r="3732" customFormat="false" ht="15" hidden="false" customHeight="true" outlineLevel="0" collapsed="false">
      <c r="P3732" s="1" t="str">
        <f aca="false">IF(OR(F3732="",H3732="",J3732=""),"",J3732&amp;"|"&amp;F3732&amp;"|"&amp;IF(H3732="W3","W3_"&amp;IF(I3732="","unknown",I3732),H3732))</f>
        <v/>
      </c>
      <c r="Q3732" s="1" t="str">
        <f aca="false">IF(P3732="","",IFERROR(IF(AND(H3732="W7",OR(F3732="causal",F3732="predictive")),IF(AND(K3732=1,L3732=1,M3732=1),"adequate","partial"),INDEX(Fit_Matrix!$B:$B,MATCH(P3732,Fit_Matrix!$A:$A,0))),"CHECK KEY"))</f>
        <v/>
      </c>
    </row>
    <row r="3733" customFormat="false" ht="15" hidden="false" customHeight="true" outlineLevel="0" collapsed="false">
      <c r="P3733" s="1" t="str">
        <f aca="false">IF(OR(F3733="",H3733="",J3733=""),"",J3733&amp;"|"&amp;F3733&amp;"|"&amp;IF(H3733="W3","W3_"&amp;IF(I3733="","unknown",I3733),H3733))</f>
        <v/>
      </c>
      <c r="Q3733" s="1" t="str">
        <f aca="false">IF(P3733="","",IFERROR(IF(AND(H3733="W7",OR(F3733="causal",F3733="predictive")),IF(AND(K3733=1,L3733=1,M3733=1),"adequate","partial"),INDEX(Fit_Matrix!$B:$B,MATCH(P3733,Fit_Matrix!$A:$A,0))),"CHECK KEY"))</f>
        <v/>
      </c>
    </row>
    <row r="3734" customFormat="false" ht="15" hidden="false" customHeight="true" outlineLevel="0" collapsed="false">
      <c r="P3734" s="1" t="str">
        <f aca="false">IF(OR(F3734="",H3734="",J3734=""),"",J3734&amp;"|"&amp;F3734&amp;"|"&amp;IF(H3734="W3","W3_"&amp;IF(I3734="","unknown",I3734),H3734))</f>
        <v/>
      </c>
      <c r="Q3734" s="1" t="str">
        <f aca="false">IF(P3734="","",IFERROR(IF(AND(H3734="W7",OR(F3734="causal",F3734="predictive")),IF(AND(K3734=1,L3734=1,M3734=1),"adequate","partial"),INDEX(Fit_Matrix!$B:$B,MATCH(P3734,Fit_Matrix!$A:$A,0))),"CHECK KEY"))</f>
        <v/>
      </c>
    </row>
    <row r="3735" customFormat="false" ht="15" hidden="false" customHeight="true" outlineLevel="0" collapsed="false">
      <c r="P3735" s="1" t="str">
        <f aca="false">IF(OR(F3735="",H3735="",J3735=""),"",J3735&amp;"|"&amp;F3735&amp;"|"&amp;IF(H3735="W3","W3_"&amp;IF(I3735="","unknown",I3735),H3735))</f>
        <v/>
      </c>
      <c r="Q3735" s="1" t="str">
        <f aca="false">IF(P3735="","",IFERROR(IF(AND(H3735="W7",OR(F3735="causal",F3735="predictive")),IF(AND(K3735=1,L3735=1,M3735=1),"adequate","partial"),INDEX(Fit_Matrix!$B:$B,MATCH(P3735,Fit_Matrix!$A:$A,0))),"CHECK KEY"))</f>
        <v/>
      </c>
    </row>
    <row r="3736" customFormat="false" ht="15" hidden="false" customHeight="true" outlineLevel="0" collapsed="false">
      <c r="P3736" s="1" t="str">
        <f aca="false">IF(OR(F3736="",H3736="",J3736=""),"",J3736&amp;"|"&amp;F3736&amp;"|"&amp;IF(H3736="W3","W3_"&amp;IF(I3736="","unknown",I3736),H3736))</f>
        <v/>
      </c>
      <c r="Q3736" s="1" t="str">
        <f aca="false">IF(P3736="","",IFERROR(IF(AND(H3736="W7",OR(F3736="causal",F3736="predictive")),IF(AND(K3736=1,L3736=1,M3736=1),"adequate","partial"),INDEX(Fit_Matrix!$B:$B,MATCH(P3736,Fit_Matrix!$A:$A,0))),"CHECK KEY"))</f>
        <v/>
      </c>
    </row>
    <row r="3737" customFormat="false" ht="15" hidden="false" customHeight="true" outlineLevel="0" collapsed="false">
      <c r="P3737" s="1" t="str">
        <f aca="false">IF(OR(F3737="",H3737="",J3737=""),"",J3737&amp;"|"&amp;F3737&amp;"|"&amp;IF(H3737="W3","W3_"&amp;IF(I3737="","unknown",I3737),H3737))</f>
        <v/>
      </c>
      <c r="Q3737" s="1" t="str">
        <f aca="false">IF(P3737="","",IFERROR(IF(AND(H3737="W7",OR(F3737="causal",F3737="predictive")),IF(AND(K3737=1,L3737=1,M3737=1),"adequate","partial"),INDEX(Fit_Matrix!$B:$B,MATCH(P3737,Fit_Matrix!$A:$A,0))),"CHECK KEY"))</f>
        <v/>
      </c>
    </row>
    <row r="3738" customFormat="false" ht="15" hidden="false" customHeight="true" outlineLevel="0" collapsed="false">
      <c r="P3738" s="1" t="str">
        <f aca="false">IF(OR(F3738="",H3738="",J3738=""),"",J3738&amp;"|"&amp;F3738&amp;"|"&amp;IF(H3738="W3","W3_"&amp;IF(I3738="","unknown",I3738),H3738))</f>
        <v/>
      </c>
      <c r="Q3738" s="1" t="str">
        <f aca="false">IF(P3738="","",IFERROR(IF(AND(H3738="W7",OR(F3738="causal",F3738="predictive")),IF(AND(K3738=1,L3738=1,M3738=1),"adequate","partial"),INDEX(Fit_Matrix!$B:$B,MATCH(P3738,Fit_Matrix!$A:$A,0))),"CHECK KEY"))</f>
        <v/>
      </c>
    </row>
    <row r="3739" customFormat="false" ht="15" hidden="false" customHeight="true" outlineLevel="0" collapsed="false">
      <c r="P3739" s="1" t="str">
        <f aca="false">IF(OR(F3739="",H3739="",J3739=""),"",J3739&amp;"|"&amp;F3739&amp;"|"&amp;IF(H3739="W3","W3_"&amp;IF(I3739="","unknown",I3739),H3739))</f>
        <v/>
      </c>
      <c r="Q3739" s="1" t="str">
        <f aca="false">IF(P3739="","",IFERROR(IF(AND(H3739="W7",OR(F3739="causal",F3739="predictive")),IF(AND(K3739=1,L3739=1,M3739=1),"adequate","partial"),INDEX(Fit_Matrix!$B:$B,MATCH(P3739,Fit_Matrix!$A:$A,0))),"CHECK KEY"))</f>
        <v/>
      </c>
    </row>
    <row r="3740" customFormat="false" ht="15" hidden="false" customHeight="true" outlineLevel="0" collapsed="false">
      <c r="P3740" s="1" t="str">
        <f aca="false">IF(OR(F3740="",H3740="",J3740=""),"",J3740&amp;"|"&amp;F3740&amp;"|"&amp;IF(H3740="W3","W3_"&amp;IF(I3740="","unknown",I3740),H3740))</f>
        <v/>
      </c>
      <c r="Q3740" s="1" t="str">
        <f aca="false">IF(P3740="","",IFERROR(IF(AND(H3740="W7",OR(F3740="causal",F3740="predictive")),IF(AND(K3740=1,L3740=1,M3740=1),"adequate","partial"),INDEX(Fit_Matrix!$B:$B,MATCH(P3740,Fit_Matrix!$A:$A,0))),"CHECK KEY"))</f>
        <v/>
      </c>
    </row>
    <row r="3741" customFormat="false" ht="15" hidden="false" customHeight="true" outlineLevel="0" collapsed="false">
      <c r="P3741" s="1" t="str">
        <f aca="false">IF(OR(F3741="",H3741="",J3741=""),"",J3741&amp;"|"&amp;F3741&amp;"|"&amp;IF(H3741="W3","W3_"&amp;IF(I3741="","unknown",I3741),H3741))</f>
        <v/>
      </c>
      <c r="Q3741" s="1" t="str">
        <f aca="false">IF(P3741="","",IFERROR(IF(AND(H3741="W7",OR(F3741="causal",F3741="predictive")),IF(AND(K3741=1,L3741=1,M3741=1),"adequate","partial"),INDEX(Fit_Matrix!$B:$B,MATCH(P3741,Fit_Matrix!$A:$A,0))),"CHECK KEY"))</f>
        <v/>
      </c>
    </row>
    <row r="3742" customFormat="false" ht="15" hidden="false" customHeight="true" outlineLevel="0" collapsed="false">
      <c r="P3742" s="1" t="str">
        <f aca="false">IF(OR(F3742="",H3742="",J3742=""),"",J3742&amp;"|"&amp;F3742&amp;"|"&amp;IF(H3742="W3","W3_"&amp;IF(I3742="","unknown",I3742),H3742))</f>
        <v/>
      </c>
      <c r="Q3742" s="1" t="str">
        <f aca="false">IF(P3742="","",IFERROR(IF(AND(H3742="W7",OR(F3742="causal",F3742="predictive")),IF(AND(K3742=1,L3742=1,M3742=1),"adequate","partial"),INDEX(Fit_Matrix!$B:$B,MATCH(P3742,Fit_Matrix!$A:$A,0))),"CHECK KEY"))</f>
        <v/>
      </c>
    </row>
    <row r="3743" customFormat="false" ht="15" hidden="false" customHeight="true" outlineLevel="0" collapsed="false">
      <c r="P3743" s="1" t="str">
        <f aca="false">IF(OR(F3743="",H3743="",J3743=""),"",J3743&amp;"|"&amp;F3743&amp;"|"&amp;IF(H3743="W3","W3_"&amp;IF(I3743="","unknown",I3743),H3743))</f>
        <v/>
      </c>
      <c r="Q3743" s="1" t="str">
        <f aca="false">IF(P3743="","",IFERROR(IF(AND(H3743="W7",OR(F3743="causal",F3743="predictive")),IF(AND(K3743=1,L3743=1,M3743=1),"adequate","partial"),INDEX(Fit_Matrix!$B:$B,MATCH(P3743,Fit_Matrix!$A:$A,0))),"CHECK KEY"))</f>
        <v/>
      </c>
    </row>
    <row r="3744" customFormat="false" ht="15" hidden="false" customHeight="true" outlineLevel="0" collapsed="false">
      <c r="P3744" s="1" t="str">
        <f aca="false">IF(OR(F3744="",H3744="",J3744=""),"",J3744&amp;"|"&amp;F3744&amp;"|"&amp;IF(H3744="W3","W3_"&amp;IF(I3744="","unknown",I3744),H3744))</f>
        <v/>
      </c>
      <c r="Q3744" s="1" t="str">
        <f aca="false">IF(P3744="","",IFERROR(IF(AND(H3744="W7",OR(F3744="causal",F3744="predictive")),IF(AND(K3744=1,L3744=1,M3744=1),"adequate","partial"),INDEX(Fit_Matrix!$B:$B,MATCH(P3744,Fit_Matrix!$A:$A,0))),"CHECK KEY"))</f>
        <v/>
      </c>
    </row>
    <row r="3745" customFormat="false" ht="15" hidden="false" customHeight="true" outlineLevel="0" collapsed="false">
      <c r="P3745" s="1" t="str">
        <f aca="false">IF(OR(F3745="",H3745="",J3745=""),"",J3745&amp;"|"&amp;F3745&amp;"|"&amp;IF(H3745="W3","W3_"&amp;IF(I3745="","unknown",I3745),H3745))</f>
        <v/>
      </c>
      <c r="Q3745" s="1" t="str">
        <f aca="false">IF(P3745="","",IFERROR(IF(AND(H3745="W7",OR(F3745="causal",F3745="predictive")),IF(AND(K3745=1,L3745=1,M3745=1),"adequate","partial"),INDEX(Fit_Matrix!$B:$B,MATCH(P3745,Fit_Matrix!$A:$A,0))),"CHECK KEY"))</f>
        <v/>
      </c>
    </row>
    <row r="3746" customFormat="false" ht="15" hidden="false" customHeight="true" outlineLevel="0" collapsed="false">
      <c r="P3746" s="1" t="str">
        <f aca="false">IF(OR(F3746="",H3746="",J3746=""),"",J3746&amp;"|"&amp;F3746&amp;"|"&amp;IF(H3746="W3","W3_"&amp;IF(I3746="","unknown",I3746),H3746))</f>
        <v/>
      </c>
      <c r="Q3746" s="1" t="str">
        <f aca="false">IF(P3746="","",IFERROR(IF(AND(H3746="W7",OR(F3746="causal",F3746="predictive")),IF(AND(K3746=1,L3746=1,M3746=1),"adequate","partial"),INDEX(Fit_Matrix!$B:$B,MATCH(P3746,Fit_Matrix!$A:$A,0))),"CHECK KEY"))</f>
        <v/>
      </c>
    </row>
    <row r="3747" customFormat="false" ht="15" hidden="false" customHeight="true" outlineLevel="0" collapsed="false">
      <c r="P3747" s="1" t="str">
        <f aca="false">IF(OR(F3747="",H3747="",J3747=""),"",J3747&amp;"|"&amp;F3747&amp;"|"&amp;IF(H3747="W3","W3_"&amp;IF(I3747="","unknown",I3747),H3747))</f>
        <v/>
      </c>
      <c r="Q3747" s="1" t="str">
        <f aca="false">IF(P3747="","",IFERROR(IF(AND(H3747="W7",OR(F3747="causal",F3747="predictive")),IF(AND(K3747=1,L3747=1,M3747=1),"adequate","partial"),INDEX(Fit_Matrix!$B:$B,MATCH(P3747,Fit_Matrix!$A:$A,0))),"CHECK KEY"))</f>
        <v/>
      </c>
    </row>
    <row r="3748" customFormat="false" ht="15" hidden="false" customHeight="true" outlineLevel="0" collapsed="false">
      <c r="P3748" s="1" t="str">
        <f aca="false">IF(OR(F3748="",H3748="",J3748=""),"",J3748&amp;"|"&amp;F3748&amp;"|"&amp;IF(H3748="W3","W3_"&amp;IF(I3748="","unknown",I3748),H3748))</f>
        <v/>
      </c>
      <c r="Q3748" s="1" t="str">
        <f aca="false">IF(P3748="","",IFERROR(IF(AND(H3748="W7",OR(F3748="causal",F3748="predictive")),IF(AND(K3748=1,L3748=1,M3748=1),"adequate","partial"),INDEX(Fit_Matrix!$B:$B,MATCH(P3748,Fit_Matrix!$A:$A,0))),"CHECK KEY"))</f>
        <v/>
      </c>
    </row>
    <row r="3749" customFormat="false" ht="15" hidden="false" customHeight="true" outlineLevel="0" collapsed="false">
      <c r="P3749" s="1" t="str">
        <f aca="false">IF(OR(F3749="",H3749="",J3749=""),"",J3749&amp;"|"&amp;F3749&amp;"|"&amp;IF(H3749="W3","W3_"&amp;IF(I3749="","unknown",I3749),H3749))</f>
        <v/>
      </c>
      <c r="Q3749" s="1" t="str">
        <f aca="false">IF(P3749="","",IFERROR(IF(AND(H3749="W7",OR(F3749="causal",F3749="predictive")),IF(AND(K3749=1,L3749=1,M3749=1),"adequate","partial"),INDEX(Fit_Matrix!$B:$B,MATCH(P3749,Fit_Matrix!$A:$A,0))),"CHECK KEY"))</f>
        <v/>
      </c>
    </row>
    <row r="3750" customFormat="false" ht="15" hidden="false" customHeight="true" outlineLevel="0" collapsed="false">
      <c r="P3750" s="1" t="str">
        <f aca="false">IF(OR(F3750="",H3750="",J3750=""),"",J3750&amp;"|"&amp;F3750&amp;"|"&amp;IF(H3750="W3","W3_"&amp;IF(I3750="","unknown",I3750),H3750))</f>
        <v/>
      </c>
      <c r="Q3750" s="1" t="str">
        <f aca="false">IF(P3750="","",IFERROR(IF(AND(H3750="W7",OR(F3750="causal",F3750="predictive")),IF(AND(K3750=1,L3750=1,M3750=1),"adequate","partial"),INDEX(Fit_Matrix!$B:$B,MATCH(P3750,Fit_Matrix!$A:$A,0))),"CHECK KEY"))</f>
        <v/>
      </c>
    </row>
    <row r="3751" customFormat="false" ht="15" hidden="false" customHeight="true" outlineLevel="0" collapsed="false">
      <c r="P3751" s="1" t="str">
        <f aca="false">IF(OR(F3751="",H3751="",J3751=""),"",J3751&amp;"|"&amp;F3751&amp;"|"&amp;IF(H3751="W3","W3_"&amp;IF(I3751="","unknown",I3751),H3751))</f>
        <v/>
      </c>
      <c r="Q3751" s="1" t="str">
        <f aca="false">IF(P3751="","",IFERROR(IF(AND(H3751="W7",OR(F3751="causal",F3751="predictive")),IF(AND(K3751=1,L3751=1,M3751=1),"adequate","partial"),INDEX(Fit_Matrix!$B:$B,MATCH(P3751,Fit_Matrix!$A:$A,0))),"CHECK KEY"))</f>
        <v/>
      </c>
    </row>
    <row r="3752" customFormat="false" ht="15" hidden="false" customHeight="true" outlineLevel="0" collapsed="false">
      <c r="P3752" s="1" t="str">
        <f aca="false">IF(OR(F3752="",H3752="",J3752=""),"",J3752&amp;"|"&amp;F3752&amp;"|"&amp;IF(H3752="W3","W3_"&amp;IF(I3752="","unknown",I3752),H3752))</f>
        <v/>
      </c>
      <c r="Q3752" s="1" t="str">
        <f aca="false">IF(P3752="","",IFERROR(IF(AND(H3752="W7",OR(F3752="causal",F3752="predictive")),IF(AND(K3752=1,L3752=1,M3752=1),"adequate","partial"),INDEX(Fit_Matrix!$B:$B,MATCH(P3752,Fit_Matrix!$A:$A,0))),"CHECK KEY"))</f>
        <v/>
      </c>
    </row>
    <row r="3753" customFormat="false" ht="15" hidden="false" customHeight="true" outlineLevel="0" collapsed="false">
      <c r="P3753" s="1" t="str">
        <f aca="false">IF(OR(F3753="",H3753="",J3753=""),"",J3753&amp;"|"&amp;F3753&amp;"|"&amp;IF(H3753="W3","W3_"&amp;IF(I3753="","unknown",I3753),H3753))</f>
        <v/>
      </c>
      <c r="Q3753" s="1" t="str">
        <f aca="false">IF(P3753="","",IFERROR(IF(AND(H3753="W7",OR(F3753="causal",F3753="predictive")),IF(AND(K3753=1,L3753=1,M3753=1),"adequate","partial"),INDEX(Fit_Matrix!$B:$B,MATCH(P3753,Fit_Matrix!$A:$A,0))),"CHECK KEY"))</f>
        <v/>
      </c>
    </row>
    <row r="3754" customFormat="false" ht="15" hidden="false" customHeight="true" outlineLevel="0" collapsed="false">
      <c r="P3754" s="1" t="str">
        <f aca="false">IF(OR(F3754="",H3754="",J3754=""),"",J3754&amp;"|"&amp;F3754&amp;"|"&amp;IF(H3754="W3","W3_"&amp;IF(I3754="","unknown",I3754),H3754))</f>
        <v/>
      </c>
      <c r="Q3754" s="1" t="str">
        <f aca="false">IF(P3754="","",IFERROR(IF(AND(H3754="W7",OR(F3754="causal",F3754="predictive")),IF(AND(K3754=1,L3754=1,M3754=1),"adequate","partial"),INDEX(Fit_Matrix!$B:$B,MATCH(P3754,Fit_Matrix!$A:$A,0))),"CHECK KEY"))</f>
        <v/>
      </c>
    </row>
    <row r="3755" customFormat="false" ht="15" hidden="false" customHeight="true" outlineLevel="0" collapsed="false">
      <c r="P3755" s="1" t="str">
        <f aca="false">IF(OR(F3755="",H3755="",J3755=""),"",J3755&amp;"|"&amp;F3755&amp;"|"&amp;IF(H3755="W3","W3_"&amp;IF(I3755="","unknown",I3755),H3755))</f>
        <v/>
      </c>
      <c r="Q3755" s="1" t="str">
        <f aca="false">IF(P3755="","",IFERROR(IF(AND(H3755="W7",OR(F3755="causal",F3755="predictive")),IF(AND(K3755=1,L3755=1,M3755=1),"adequate","partial"),INDEX(Fit_Matrix!$B:$B,MATCH(P3755,Fit_Matrix!$A:$A,0))),"CHECK KEY"))</f>
        <v/>
      </c>
    </row>
    <row r="3756" customFormat="false" ht="15" hidden="false" customHeight="true" outlineLevel="0" collapsed="false">
      <c r="P3756" s="1" t="str">
        <f aca="false">IF(OR(F3756="",H3756="",J3756=""),"",J3756&amp;"|"&amp;F3756&amp;"|"&amp;IF(H3756="W3","W3_"&amp;IF(I3756="","unknown",I3756),H3756))</f>
        <v/>
      </c>
      <c r="Q3756" s="1" t="str">
        <f aca="false">IF(P3756="","",IFERROR(IF(AND(H3756="W7",OR(F3756="causal",F3756="predictive")),IF(AND(K3756=1,L3756=1,M3756=1),"adequate","partial"),INDEX(Fit_Matrix!$B:$B,MATCH(P3756,Fit_Matrix!$A:$A,0))),"CHECK KEY"))</f>
        <v/>
      </c>
    </row>
    <row r="3757" customFormat="false" ht="15" hidden="false" customHeight="true" outlineLevel="0" collapsed="false">
      <c r="P3757" s="1" t="str">
        <f aca="false">IF(OR(F3757="",H3757="",J3757=""),"",J3757&amp;"|"&amp;F3757&amp;"|"&amp;IF(H3757="W3","W3_"&amp;IF(I3757="","unknown",I3757),H3757))</f>
        <v/>
      </c>
      <c r="Q3757" s="1" t="str">
        <f aca="false">IF(P3757="","",IFERROR(IF(AND(H3757="W7",OR(F3757="causal",F3757="predictive")),IF(AND(K3757=1,L3757=1,M3757=1),"adequate","partial"),INDEX(Fit_Matrix!$B:$B,MATCH(P3757,Fit_Matrix!$A:$A,0))),"CHECK KEY"))</f>
        <v/>
      </c>
    </row>
    <row r="3758" customFormat="false" ht="15" hidden="false" customHeight="true" outlineLevel="0" collapsed="false">
      <c r="P3758" s="1" t="str">
        <f aca="false">IF(OR(F3758="",H3758="",J3758=""),"",J3758&amp;"|"&amp;F3758&amp;"|"&amp;IF(H3758="W3","W3_"&amp;IF(I3758="","unknown",I3758),H3758))</f>
        <v/>
      </c>
      <c r="Q3758" s="1" t="str">
        <f aca="false">IF(P3758="","",IFERROR(IF(AND(H3758="W7",OR(F3758="causal",F3758="predictive")),IF(AND(K3758=1,L3758=1,M3758=1),"adequate","partial"),INDEX(Fit_Matrix!$B:$B,MATCH(P3758,Fit_Matrix!$A:$A,0))),"CHECK KEY"))</f>
        <v/>
      </c>
    </row>
    <row r="3759" customFormat="false" ht="15" hidden="false" customHeight="true" outlineLevel="0" collapsed="false">
      <c r="P3759" s="1" t="str">
        <f aca="false">IF(OR(F3759="",H3759="",J3759=""),"",J3759&amp;"|"&amp;F3759&amp;"|"&amp;IF(H3759="W3","W3_"&amp;IF(I3759="","unknown",I3759),H3759))</f>
        <v/>
      </c>
      <c r="Q3759" s="1" t="str">
        <f aca="false">IF(P3759="","",IFERROR(IF(AND(H3759="W7",OR(F3759="causal",F3759="predictive")),IF(AND(K3759=1,L3759=1,M3759=1),"adequate","partial"),INDEX(Fit_Matrix!$B:$B,MATCH(P3759,Fit_Matrix!$A:$A,0))),"CHECK KEY"))</f>
        <v/>
      </c>
    </row>
    <row r="3760" customFormat="false" ht="15" hidden="false" customHeight="true" outlineLevel="0" collapsed="false">
      <c r="P3760" s="1" t="str">
        <f aca="false">IF(OR(F3760="",H3760="",J3760=""),"",J3760&amp;"|"&amp;F3760&amp;"|"&amp;IF(H3760="W3","W3_"&amp;IF(I3760="","unknown",I3760),H3760))</f>
        <v/>
      </c>
      <c r="Q3760" s="1" t="str">
        <f aca="false">IF(P3760="","",IFERROR(IF(AND(H3760="W7",OR(F3760="causal",F3760="predictive")),IF(AND(K3760=1,L3760=1,M3760=1),"adequate","partial"),INDEX(Fit_Matrix!$B:$B,MATCH(P3760,Fit_Matrix!$A:$A,0))),"CHECK KEY"))</f>
        <v/>
      </c>
    </row>
    <row r="3761" customFormat="false" ht="15" hidden="false" customHeight="true" outlineLevel="0" collapsed="false">
      <c r="P3761" s="1" t="str">
        <f aca="false">IF(OR(F3761="",H3761="",J3761=""),"",J3761&amp;"|"&amp;F3761&amp;"|"&amp;IF(H3761="W3","W3_"&amp;IF(I3761="","unknown",I3761),H3761))</f>
        <v/>
      </c>
      <c r="Q3761" s="1" t="str">
        <f aca="false">IF(P3761="","",IFERROR(IF(AND(H3761="W7",OR(F3761="causal",F3761="predictive")),IF(AND(K3761=1,L3761=1,M3761=1),"adequate","partial"),INDEX(Fit_Matrix!$B:$B,MATCH(P3761,Fit_Matrix!$A:$A,0))),"CHECK KEY"))</f>
        <v/>
      </c>
    </row>
    <row r="3762" customFormat="false" ht="15" hidden="false" customHeight="true" outlineLevel="0" collapsed="false">
      <c r="P3762" s="1" t="str">
        <f aca="false">IF(OR(F3762="",H3762="",J3762=""),"",J3762&amp;"|"&amp;F3762&amp;"|"&amp;IF(H3762="W3","W3_"&amp;IF(I3762="","unknown",I3762),H3762))</f>
        <v/>
      </c>
      <c r="Q3762" s="1" t="str">
        <f aca="false">IF(P3762="","",IFERROR(IF(AND(H3762="W7",OR(F3762="causal",F3762="predictive")),IF(AND(K3762=1,L3762=1,M3762=1),"adequate","partial"),INDEX(Fit_Matrix!$B:$B,MATCH(P3762,Fit_Matrix!$A:$A,0))),"CHECK KEY"))</f>
        <v/>
      </c>
    </row>
    <row r="3763" customFormat="false" ht="15" hidden="false" customHeight="true" outlineLevel="0" collapsed="false">
      <c r="P3763" s="1" t="str">
        <f aca="false">IF(OR(F3763="",H3763="",J3763=""),"",J3763&amp;"|"&amp;F3763&amp;"|"&amp;IF(H3763="W3","W3_"&amp;IF(I3763="","unknown",I3763),H3763))</f>
        <v/>
      </c>
      <c r="Q3763" s="1" t="str">
        <f aca="false">IF(P3763="","",IFERROR(IF(AND(H3763="W7",OR(F3763="causal",F3763="predictive")),IF(AND(K3763=1,L3763=1,M3763=1),"adequate","partial"),INDEX(Fit_Matrix!$B:$B,MATCH(P3763,Fit_Matrix!$A:$A,0))),"CHECK KEY"))</f>
        <v/>
      </c>
    </row>
    <row r="3764" customFormat="false" ht="15" hidden="false" customHeight="true" outlineLevel="0" collapsed="false">
      <c r="P3764" s="1" t="str">
        <f aca="false">IF(OR(F3764="",H3764="",J3764=""),"",J3764&amp;"|"&amp;F3764&amp;"|"&amp;IF(H3764="W3","W3_"&amp;IF(I3764="","unknown",I3764),H3764))</f>
        <v/>
      </c>
      <c r="Q3764" s="1" t="str">
        <f aca="false">IF(P3764="","",IFERROR(IF(AND(H3764="W7",OR(F3764="causal",F3764="predictive")),IF(AND(K3764=1,L3764=1,M3764=1),"adequate","partial"),INDEX(Fit_Matrix!$B:$B,MATCH(P3764,Fit_Matrix!$A:$A,0))),"CHECK KEY"))</f>
        <v/>
      </c>
    </row>
    <row r="3765" customFormat="false" ht="15" hidden="false" customHeight="true" outlineLevel="0" collapsed="false">
      <c r="P3765" s="1" t="str">
        <f aca="false">IF(OR(F3765="",H3765="",J3765=""),"",J3765&amp;"|"&amp;F3765&amp;"|"&amp;IF(H3765="W3","W3_"&amp;IF(I3765="","unknown",I3765),H3765))</f>
        <v/>
      </c>
      <c r="Q3765" s="1" t="str">
        <f aca="false">IF(P3765="","",IFERROR(IF(AND(H3765="W7",OR(F3765="causal",F3765="predictive")),IF(AND(K3765=1,L3765=1,M3765=1),"adequate","partial"),INDEX(Fit_Matrix!$B:$B,MATCH(P3765,Fit_Matrix!$A:$A,0))),"CHECK KEY"))</f>
        <v/>
      </c>
    </row>
    <row r="3766" customFormat="false" ht="15" hidden="false" customHeight="true" outlineLevel="0" collapsed="false">
      <c r="P3766" s="1" t="str">
        <f aca="false">IF(OR(F3766="",H3766="",J3766=""),"",J3766&amp;"|"&amp;F3766&amp;"|"&amp;IF(H3766="W3","W3_"&amp;IF(I3766="","unknown",I3766),H3766))</f>
        <v/>
      </c>
      <c r="Q3766" s="1" t="str">
        <f aca="false">IF(P3766="","",IFERROR(IF(AND(H3766="W7",OR(F3766="causal",F3766="predictive")),IF(AND(K3766=1,L3766=1,M3766=1),"adequate","partial"),INDEX(Fit_Matrix!$B:$B,MATCH(P3766,Fit_Matrix!$A:$A,0))),"CHECK KEY"))</f>
        <v/>
      </c>
    </row>
    <row r="3767" customFormat="false" ht="15" hidden="false" customHeight="true" outlineLevel="0" collapsed="false">
      <c r="P3767" s="1" t="str">
        <f aca="false">IF(OR(F3767="",H3767="",J3767=""),"",J3767&amp;"|"&amp;F3767&amp;"|"&amp;IF(H3767="W3","W3_"&amp;IF(I3767="","unknown",I3767),H3767))</f>
        <v/>
      </c>
      <c r="Q3767" s="1" t="str">
        <f aca="false">IF(P3767="","",IFERROR(IF(AND(H3767="W7",OR(F3767="causal",F3767="predictive")),IF(AND(K3767=1,L3767=1,M3767=1),"adequate","partial"),INDEX(Fit_Matrix!$B:$B,MATCH(P3767,Fit_Matrix!$A:$A,0))),"CHECK KEY"))</f>
        <v/>
      </c>
    </row>
    <row r="3768" customFormat="false" ht="15" hidden="false" customHeight="true" outlineLevel="0" collapsed="false">
      <c r="P3768" s="1" t="str">
        <f aca="false">IF(OR(F3768="",H3768="",J3768=""),"",J3768&amp;"|"&amp;F3768&amp;"|"&amp;IF(H3768="W3","W3_"&amp;IF(I3768="","unknown",I3768),H3768))</f>
        <v/>
      </c>
      <c r="Q3768" s="1" t="str">
        <f aca="false">IF(P3768="","",IFERROR(IF(AND(H3768="W7",OR(F3768="causal",F3768="predictive")),IF(AND(K3768=1,L3768=1,M3768=1),"adequate","partial"),INDEX(Fit_Matrix!$B:$B,MATCH(P3768,Fit_Matrix!$A:$A,0))),"CHECK KEY"))</f>
        <v/>
      </c>
    </row>
    <row r="3769" customFormat="false" ht="15" hidden="false" customHeight="true" outlineLevel="0" collapsed="false">
      <c r="P3769" s="1" t="str">
        <f aca="false">IF(OR(F3769="",H3769="",J3769=""),"",J3769&amp;"|"&amp;F3769&amp;"|"&amp;IF(H3769="W3","W3_"&amp;IF(I3769="","unknown",I3769),H3769))</f>
        <v/>
      </c>
      <c r="Q3769" s="1" t="str">
        <f aca="false">IF(P3769="","",IFERROR(IF(AND(H3769="W7",OR(F3769="causal",F3769="predictive")),IF(AND(K3769=1,L3769=1,M3769=1),"adequate","partial"),INDEX(Fit_Matrix!$B:$B,MATCH(P3769,Fit_Matrix!$A:$A,0))),"CHECK KEY"))</f>
        <v/>
      </c>
    </row>
    <row r="3770" customFormat="false" ht="15" hidden="false" customHeight="true" outlineLevel="0" collapsed="false">
      <c r="P3770" s="1" t="str">
        <f aca="false">IF(OR(F3770="",H3770="",J3770=""),"",J3770&amp;"|"&amp;F3770&amp;"|"&amp;IF(H3770="W3","W3_"&amp;IF(I3770="","unknown",I3770),H3770))</f>
        <v/>
      </c>
      <c r="Q3770" s="1" t="str">
        <f aca="false">IF(P3770="","",IFERROR(IF(AND(H3770="W7",OR(F3770="causal",F3770="predictive")),IF(AND(K3770=1,L3770=1,M3770=1),"adequate","partial"),INDEX(Fit_Matrix!$B:$B,MATCH(P3770,Fit_Matrix!$A:$A,0))),"CHECK KEY"))</f>
        <v/>
      </c>
    </row>
    <row r="3771" customFormat="false" ht="15" hidden="false" customHeight="true" outlineLevel="0" collapsed="false">
      <c r="P3771" s="1" t="str">
        <f aca="false">IF(OR(F3771="",H3771="",J3771=""),"",J3771&amp;"|"&amp;F3771&amp;"|"&amp;IF(H3771="W3","W3_"&amp;IF(I3771="","unknown",I3771),H3771))</f>
        <v/>
      </c>
      <c r="Q3771" s="1" t="str">
        <f aca="false">IF(P3771="","",IFERROR(IF(AND(H3771="W7",OR(F3771="causal",F3771="predictive")),IF(AND(K3771=1,L3771=1,M3771=1),"adequate","partial"),INDEX(Fit_Matrix!$B:$B,MATCH(P3771,Fit_Matrix!$A:$A,0))),"CHECK KEY"))</f>
        <v/>
      </c>
    </row>
    <row r="3772" customFormat="false" ht="15" hidden="false" customHeight="true" outlineLevel="0" collapsed="false">
      <c r="P3772" s="1" t="str">
        <f aca="false">IF(OR(F3772="",H3772="",J3772=""),"",J3772&amp;"|"&amp;F3772&amp;"|"&amp;IF(H3772="W3","W3_"&amp;IF(I3772="","unknown",I3772),H3772))</f>
        <v/>
      </c>
      <c r="Q3772" s="1" t="str">
        <f aca="false">IF(P3772="","",IFERROR(IF(AND(H3772="W7",OR(F3772="causal",F3772="predictive")),IF(AND(K3772=1,L3772=1,M3772=1),"adequate","partial"),INDEX(Fit_Matrix!$B:$B,MATCH(P3772,Fit_Matrix!$A:$A,0))),"CHECK KEY"))</f>
        <v/>
      </c>
    </row>
    <row r="3773" customFormat="false" ht="15" hidden="false" customHeight="true" outlineLevel="0" collapsed="false">
      <c r="P3773" s="1" t="str">
        <f aca="false">IF(OR(F3773="",H3773="",J3773=""),"",J3773&amp;"|"&amp;F3773&amp;"|"&amp;IF(H3773="W3","W3_"&amp;IF(I3773="","unknown",I3773),H3773))</f>
        <v/>
      </c>
      <c r="Q3773" s="1" t="str">
        <f aca="false">IF(P3773="","",IFERROR(IF(AND(H3773="W7",OR(F3773="causal",F3773="predictive")),IF(AND(K3773=1,L3773=1,M3773=1),"adequate","partial"),INDEX(Fit_Matrix!$B:$B,MATCH(P3773,Fit_Matrix!$A:$A,0))),"CHECK KEY"))</f>
        <v/>
      </c>
    </row>
    <row r="3774" customFormat="false" ht="15" hidden="false" customHeight="true" outlineLevel="0" collapsed="false">
      <c r="P3774" s="1" t="str">
        <f aca="false">IF(OR(F3774="",H3774="",J3774=""),"",J3774&amp;"|"&amp;F3774&amp;"|"&amp;IF(H3774="W3","W3_"&amp;IF(I3774="","unknown",I3774),H3774))</f>
        <v/>
      </c>
      <c r="Q3774" s="1" t="str">
        <f aca="false">IF(P3774="","",IFERROR(IF(AND(H3774="W7",OR(F3774="causal",F3774="predictive")),IF(AND(K3774=1,L3774=1,M3774=1),"adequate","partial"),INDEX(Fit_Matrix!$B:$B,MATCH(P3774,Fit_Matrix!$A:$A,0))),"CHECK KEY"))</f>
        <v/>
      </c>
    </row>
    <row r="3775" customFormat="false" ht="15" hidden="false" customHeight="true" outlineLevel="0" collapsed="false">
      <c r="P3775" s="1" t="str">
        <f aca="false">IF(OR(F3775="",H3775="",J3775=""),"",J3775&amp;"|"&amp;F3775&amp;"|"&amp;IF(H3775="W3","W3_"&amp;IF(I3775="","unknown",I3775),H3775))</f>
        <v/>
      </c>
      <c r="Q3775" s="1" t="str">
        <f aca="false">IF(P3775="","",IFERROR(IF(AND(H3775="W7",OR(F3775="causal",F3775="predictive")),IF(AND(K3775=1,L3775=1,M3775=1),"adequate","partial"),INDEX(Fit_Matrix!$B:$B,MATCH(P3775,Fit_Matrix!$A:$A,0))),"CHECK KEY"))</f>
        <v/>
      </c>
    </row>
    <row r="3776" customFormat="false" ht="15" hidden="false" customHeight="true" outlineLevel="0" collapsed="false">
      <c r="P3776" s="1" t="str">
        <f aca="false">IF(OR(F3776="",H3776="",J3776=""),"",J3776&amp;"|"&amp;F3776&amp;"|"&amp;IF(H3776="W3","W3_"&amp;IF(I3776="","unknown",I3776),H3776))</f>
        <v/>
      </c>
      <c r="Q3776" s="1" t="str">
        <f aca="false">IF(P3776="","",IFERROR(IF(AND(H3776="W7",OR(F3776="causal",F3776="predictive")),IF(AND(K3776=1,L3776=1,M3776=1),"adequate","partial"),INDEX(Fit_Matrix!$B:$B,MATCH(P3776,Fit_Matrix!$A:$A,0))),"CHECK KEY"))</f>
        <v/>
      </c>
    </row>
    <row r="3777" customFormat="false" ht="15" hidden="false" customHeight="true" outlineLevel="0" collapsed="false">
      <c r="P3777" s="1" t="str">
        <f aca="false">IF(OR(F3777="",H3777="",J3777=""),"",J3777&amp;"|"&amp;F3777&amp;"|"&amp;IF(H3777="W3","W3_"&amp;IF(I3777="","unknown",I3777),H3777))</f>
        <v/>
      </c>
      <c r="Q3777" s="1" t="str">
        <f aca="false">IF(P3777="","",IFERROR(IF(AND(H3777="W7",OR(F3777="causal",F3777="predictive")),IF(AND(K3777=1,L3777=1,M3777=1),"adequate","partial"),INDEX(Fit_Matrix!$B:$B,MATCH(P3777,Fit_Matrix!$A:$A,0))),"CHECK KEY"))</f>
        <v/>
      </c>
    </row>
    <row r="3778" customFormat="false" ht="15" hidden="false" customHeight="true" outlineLevel="0" collapsed="false">
      <c r="P3778" s="1" t="str">
        <f aca="false">IF(OR(F3778="",H3778="",J3778=""),"",J3778&amp;"|"&amp;F3778&amp;"|"&amp;IF(H3778="W3","W3_"&amp;IF(I3778="","unknown",I3778),H3778))</f>
        <v/>
      </c>
      <c r="Q3778" s="1" t="str">
        <f aca="false">IF(P3778="","",IFERROR(IF(AND(H3778="W7",OR(F3778="causal",F3778="predictive")),IF(AND(K3778=1,L3778=1,M3778=1),"adequate","partial"),INDEX(Fit_Matrix!$B:$B,MATCH(P3778,Fit_Matrix!$A:$A,0))),"CHECK KEY"))</f>
        <v/>
      </c>
    </row>
    <row r="3779" customFormat="false" ht="15" hidden="false" customHeight="true" outlineLevel="0" collapsed="false">
      <c r="P3779" s="1" t="str">
        <f aca="false">IF(OR(F3779="",H3779="",J3779=""),"",J3779&amp;"|"&amp;F3779&amp;"|"&amp;IF(H3779="W3","W3_"&amp;IF(I3779="","unknown",I3779),H3779))</f>
        <v/>
      </c>
      <c r="Q3779" s="1" t="str">
        <f aca="false">IF(P3779="","",IFERROR(IF(AND(H3779="W7",OR(F3779="causal",F3779="predictive")),IF(AND(K3779=1,L3779=1,M3779=1),"adequate","partial"),INDEX(Fit_Matrix!$B:$B,MATCH(P3779,Fit_Matrix!$A:$A,0))),"CHECK KEY"))</f>
        <v/>
      </c>
    </row>
    <row r="3780" customFormat="false" ht="15" hidden="false" customHeight="true" outlineLevel="0" collapsed="false">
      <c r="P3780" s="1" t="str">
        <f aca="false">IF(OR(F3780="",H3780="",J3780=""),"",J3780&amp;"|"&amp;F3780&amp;"|"&amp;IF(H3780="W3","W3_"&amp;IF(I3780="","unknown",I3780),H3780))</f>
        <v/>
      </c>
      <c r="Q3780" s="1" t="str">
        <f aca="false">IF(P3780="","",IFERROR(IF(AND(H3780="W7",OR(F3780="causal",F3780="predictive")),IF(AND(K3780=1,L3780=1,M3780=1),"adequate","partial"),INDEX(Fit_Matrix!$B:$B,MATCH(P3780,Fit_Matrix!$A:$A,0))),"CHECK KEY"))</f>
        <v/>
      </c>
    </row>
    <row r="3781" customFormat="false" ht="15" hidden="false" customHeight="true" outlineLevel="0" collapsed="false">
      <c r="P3781" s="1" t="str">
        <f aca="false">IF(OR(F3781="",H3781="",J3781=""),"",J3781&amp;"|"&amp;F3781&amp;"|"&amp;IF(H3781="W3","W3_"&amp;IF(I3781="","unknown",I3781),H3781))</f>
        <v/>
      </c>
      <c r="Q3781" s="1" t="str">
        <f aca="false">IF(P3781="","",IFERROR(IF(AND(H3781="W7",OR(F3781="causal",F3781="predictive")),IF(AND(K3781=1,L3781=1,M3781=1),"adequate","partial"),INDEX(Fit_Matrix!$B:$B,MATCH(P3781,Fit_Matrix!$A:$A,0))),"CHECK KEY"))</f>
        <v/>
      </c>
    </row>
    <row r="3782" customFormat="false" ht="15" hidden="false" customHeight="true" outlineLevel="0" collapsed="false">
      <c r="P3782" s="1" t="str">
        <f aca="false">IF(OR(F3782="",H3782="",J3782=""),"",J3782&amp;"|"&amp;F3782&amp;"|"&amp;IF(H3782="W3","W3_"&amp;IF(I3782="","unknown",I3782),H3782))</f>
        <v/>
      </c>
      <c r="Q3782" s="1" t="str">
        <f aca="false">IF(P3782="","",IFERROR(IF(AND(H3782="W7",OR(F3782="causal",F3782="predictive")),IF(AND(K3782=1,L3782=1,M3782=1),"adequate","partial"),INDEX(Fit_Matrix!$B:$B,MATCH(P3782,Fit_Matrix!$A:$A,0))),"CHECK KEY"))</f>
        <v/>
      </c>
    </row>
    <row r="3783" customFormat="false" ht="15" hidden="false" customHeight="true" outlineLevel="0" collapsed="false">
      <c r="P3783" s="1" t="str">
        <f aca="false">IF(OR(F3783="",H3783="",J3783=""),"",J3783&amp;"|"&amp;F3783&amp;"|"&amp;IF(H3783="W3","W3_"&amp;IF(I3783="","unknown",I3783),H3783))</f>
        <v/>
      </c>
      <c r="Q3783" s="1" t="str">
        <f aca="false">IF(P3783="","",IFERROR(IF(AND(H3783="W7",OR(F3783="causal",F3783="predictive")),IF(AND(K3783=1,L3783=1,M3783=1),"adequate","partial"),INDEX(Fit_Matrix!$B:$B,MATCH(P3783,Fit_Matrix!$A:$A,0))),"CHECK KEY"))</f>
        <v/>
      </c>
    </row>
    <row r="3784" customFormat="false" ht="15" hidden="false" customHeight="true" outlineLevel="0" collapsed="false">
      <c r="P3784" s="1" t="str">
        <f aca="false">IF(OR(F3784="",H3784="",J3784=""),"",J3784&amp;"|"&amp;F3784&amp;"|"&amp;IF(H3784="W3","W3_"&amp;IF(I3784="","unknown",I3784),H3784))</f>
        <v/>
      </c>
      <c r="Q3784" s="1" t="str">
        <f aca="false">IF(P3784="","",IFERROR(IF(AND(H3784="W7",OR(F3784="causal",F3784="predictive")),IF(AND(K3784=1,L3784=1,M3784=1),"adequate","partial"),INDEX(Fit_Matrix!$B:$B,MATCH(P3784,Fit_Matrix!$A:$A,0))),"CHECK KEY"))</f>
        <v/>
      </c>
    </row>
    <row r="3785" customFormat="false" ht="15" hidden="false" customHeight="true" outlineLevel="0" collapsed="false">
      <c r="P3785" s="1" t="str">
        <f aca="false">IF(OR(F3785="",H3785="",J3785=""),"",J3785&amp;"|"&amp;F3785&amp;"|"&amp;IF(H3785="W3","W3_"&amp;IF(I3785="","unknown",I3785),H3785))</f>
        <v/>
      </c>
      <c r="Q3785" s="1" t="str">
        <f aca="false">IF(P3785="","",IFERROR(IF(AND(H3785="W7",OR(F3785="causal",F3785="predictive")),IF(AND(K3785=1,L3785=1,M3785=1),"adequate","partial"),INDEX(Fit_Matrix!$B:$B,MATCH(P3785,Fit_Matrix!$A:$A,0))),"CHECK KEY"))</f>
        <v/>
      </c>
    </row>
    <row r="3786" customFormat="false" ht="15" hidden="false" customHeight="true" outlineLevel="0" collapsed="false">
      <c r="P3786" s="1" t="str">
        <f aca="false">IF(OR(F3786="",H3786="",J3786=""),"",J3786&amp;"|"&amp;F3786&amp;"|"&amp;IF(H3786="W3","W3_"&amp;IF(I3786="","unknown",I3786),H3786))</f>
        <v/>
      </c>
      <c r="Q3786" s="1" t="str">
        <f aca="false">IF(P3786="","",IFERROR(IF(AND(H3786="W7",OR(F3786="causal",F3786="predictive")),IF(AND(K3786=1,L3786=1,M3786=1),"adequate","partial"),INDEX(Fit_Matrix!$B:$B,MATCH(P3786,Fit_Matrix!$A:$A,0))),"CHECK KEY"))</f>
        <v/>
      </c>
    </row>
    <row r="3787" customFormat="false" ht="15" hidden="false" customHeight="true" outlineLevel="0" collapsed="false">
      <c r="P3787" s="1" t="str">
        <f aca="false">IF(OR(F3787="",H3787="",J3787=""),"",J3787&amp;"|"&amp;F3787&amp;"|"&amp;IF(H3787="W3","W3_"&amp;IF(I3787="","unknown",I3787),H3787))</f>
        <v/>
      </c>
      <c r="Q3787" s="1" t="str">
        <f aca="false">IF(P3787="","",IFERROR(IF(AND(H3787="W7",OR(F3787="causal",F3787="predictive")),IF(AND(K3787=1,L3787=1,M3787=1),"adequate","partial"),INDEX(Fit_Matrix!$B:$B,MATCH(P3787,Fit_Matrix!$A:$A,0))),"CHECK KEY"))</f>
        <v/>
      </c>
    </row>
    <row r="3788" customFormat="false" ht="15" hidden="false" customHeight="true" outlineLevel="0" collapsed="false">
      <c r="P3788" s="1" t="str">
        <f aca="false">IF(OR(F3788="",H3788="",J3788=""),"",J3788&amp;"|"&amp;F3788&amp;"|"&amp;IF(H3788="W3","W3_"&amp;IF(I3788="","unknown",I3788),H3788))</f>
        <v/>
      </c>
      <c r="Q3788" s="1" t="str">
        <f aca="false">IF(P3788="","",IFERROR(IF(AND(H3788="W7",OR(F3788="causal",F3788="predictive")),IF(AND(K3788=1,L3788=1,M3788=1),"adequate","partial"),INDEX(Fit_Matrix!$B:$B,MATCH(P3788,Fit_Matrix!$A:$A,0))),"CHECK KEY"))</f>
        <v/>
      </c>
    </row>
    <row r="3789" customFormat="false" ht="15" hidden="false" customHeight="true" outlineLevel="0" collapsed="false">
      <c r="P3789" s="1" t="str">
        <f aca="false">IF(OR(F3789="",H3789="",J3789=""),"",J3789&amp;"|"&amp;F3789&amp;"|"&amp;IF(H3789="W3","W3_"&amp;IF(I3789="","unknown",I3789),H3789))</f>
        <v/>
      </c>
      <c r="Q3789" s="1" t="str">
        <f aca="false">IF(P3789="","",IFERROR(IF(AND(H3789="W7",OR(F3789="causal",F3789="predictive")),IF(AND(K3789=1,L3789=1,M3789=1),"adequate","partial"),INDEX(Fit_Matrix!$B:$B,MATCH(P3789,Fit_Matrix!$A:$A,0))),"CHECK KEY"))</f>
        <v/>
      </c>
    </row>
    <row r="3790" customFormat="false" ht="15" hidden="false" customHeight="true" outlineLevel="0" collapsed="false">
      <c r="P3790" s="1" t="str">
        <f aca="false">IF(OR(F3790="",H3790="",J3790=""),"",J3790&amp;"|"&amp;F3790&amp;"|"&amp;IF(H3790="W3","W3_"&amp;IF(I3790="","unknown",I3790),H3790))</f>
        <v/>
      </c>
      <c r="Q3790" s="1" t="str">
        <f aca="false">IF(P3790="","",IFERROR(IF(AND(H3790="W7",OR(F3790="causal",F3790="predictive")),IF(AND(K3790=1,L3790=1,M3790=1),"adequate","partial"),INDEX(Fit_Matrix!$B:$B,MATCH(P3790,Fit_Matrix!$A:$A,0))),"CHECK KEY"))</f>
        <v/>
      </c>
    </row>
    <row r="3791" customFormat="false" ht="15" hidden="false" customHeight="true" outlineLevel="0" collapsed="false">
      <c r="P3791" s="1" t="str">
        <f aca="false">IF(OR(F3791="",H3791="",J3791=""),"",J3791&amp;"|"&amp;F3791&amp;"|"&amp;IF(H3791="W3","W3_"&amp;IF(I3791="","unknown",I3791),H3791))</f>
        <v/>
      </c>
      <c r="Q3791" s="1" t="str">
        <f aca="false">IF(P3791="","",IFERROR(IF(AND(H3791="W7",OR(F3791="causal",F3791="predictive")),IF(AND(K3791=1,L3791=1,M3791=1),"adequate","partial"),INDEX(Fit_Matrix!$B:$B,MATCH(P3791,Fit_Matrix!$A:$A,0))),"CHECK KEY"))</f>
        <v/>
      </c>
    </row>
    <row r="3792" customFormat="false" ht="15" hidden="false" customHeight="true" outlineLevel="0" collapsed="false">
      <c r="P3792" s="1" t="str">
        <f aca="false">IF(OR(F3792="",H3792="",J3792=""),"",J3792&amp;"|"&amp;F3792&amp;"|"&amp;IF(H3792="W3","W3_"&amp;IF(I3792="","unknown",I3792),H3792))</f>
        <v/>
      </c>
      <c r="Q3792" s="1" t="str">
        <f aca="false">IF(P3792="","",IFERROR(IF(AND(H3792="W7",OR(F3792="causal",F3792="predictive")),IF(AND(K3792=1,L3792=1,M3792=1),"adequate","partial"),INDEX(Fit_Matrix!$B:$B,MATCH(P3792,Fit_Matrix!$A:$A,0))),"CHECK KEY"))</f>
        <v/>
      </c>
    </row>
    <row r="3793" customFormat="false" ht="15" hidden="false" customHeight="true" outlineLevel="0" collapsed="false">
      <c r="P3793" s="1" t="str">
        <f aca="false">IF(OR(F3793="",H3793="",J3793=""),"",J3793&amp;"|"&amp;F3793&amp;"|"&amp;IF(H3793="W3","W3_"&amp;IF(I3793="","unknown",I3793),H3793))</f>
        <v/>
      </c>
      <c r="Q3793" s="1" t="str">
        <f aca="false">IF(P3793="","",IFERROR(IF(AND(H3793="W7",OR(F3793="causal",F3793="predictive")),IF(AND(K3793=1,L3793=1,M3793=1),"adequate","partial"),INDEX(Fit_Matrix!$B:$B,MATCH(P3793,Fit_Matrix!$A:$A,0))),"CHECK KEY"))</f>
        <v/>
      </c>
    </row>
    <row r="3794" customFormat="false" ht="15" hidden="false" customHeight="true" outlineLevel="0" collapsed="false">
      <c r="P3794" s="1" t="str">
        <f aca="false">IF(OR(F3794="",H3794="",J3794=""),"",J3794&amp;"|"&amp;F3794&amp;"|"&amp;IF(H3794="W3","W3_"&amp;IF(I3794="","unknown",I3794),H3794))</f>
        <v/>
      </c>
      <c r="Q3794" s="1" t="str">
        <f aca="false">IF(P3794="","",IFERROR(IF(AND(H3794="W7",OR(F3794="causal",F3794="predictive")),IF(AND(K3794=1,L3794=1,M3794=1),"adequate","partial"),INDEX(Fit_Matrix!$B:$B,MATCH(P3794,Fit_Matrix!$A:$A,0))),"CHECK KEY"))</f>
        <v/>
      </c>
    </row>
    <row r="3795" customFormat="false" ht="15" hidden="false" customHeight="true" outlineLevel="0" collapsed="false">
      <c r="P3795" s="1" t="str">
        <f aca="false">IF(OR(F3795="",H3795="",J3795=""),"",J3795&amp;"|"&amp;F3795&amp;"|"&amp;IF(H3795="W3","W3_"&amp;IF(I3795="","unknown",I3795),H3795))</f>
        <v/>
      </c>
      <c r="Q3795" s="1" t="str">
        <f aca="false">IF(P3795="","",IFERROR(IF(AND(H3795="W7",OR(F3795="causal",F3795="predictive")),IF(AND(K3795=1,L3795=1,M3795=1),"adequate","partial"),INDEX(Fit_Matrix!$B:$B,MATCH(P3795,Fit_Matrix!$A:$A,0))),"CHECK KEY"))</f>
        <v/>
      </c>
    </row>
    <row r="3796" customFormat="false" ht="15" hidden="false" customHeight="true" outlineLevel="0" collapsed="false">
      <c r="P3796" s="1" t="str">
        <f aca="false">IF(OR(F3796="",H3796="",J3796=""),"",J3796&amp;"|"&amp;F3796&amp;"|"&amp;IF(H3796="W3","W3_"&amp;IF(I3796="","unknown",I3796),H3796))</f>
        <v/>
      </c>
      <c r="Q3796" s="1" t="str">
        <f aca="false">IF(P3796="","",IFERROR(IF(AND(H3796="W7",OR(F3796="causal",F3796="predictive")),IF(AND(K3796=1,L3796=1,M3796=1),"adequate","partial"),INDEX(Fit_Matrix!$B:$B,MATCH(P3796,Fit_Matrix!$A:$A,0))),"CHECK KEY"))</f>
        <v/>
      </c>
    </row>
    <row r="3797" customFormat="false" ht="15" hidden="false" customHeight="true" outlineLevel="0" collapsed="false">
      <c r="P3797" s="1" t="str">
        <f aca="false">IF(OR(F3797="",H3797="",J3797=""),"",J3797&amp;"|"&amp;F3797&amp;"|"&amp;IF(H3797="W3","W3_"&amp;IF(I3797="","unknown",I3797),H3797))</f>
        <v/>
      </c>
      <c r="Q3797" s="1" t="str">
        <f aca="false">IF(P3797="","",IFERROR(IF(AND(H3797="W7",OR(F3797="causal",F3797="predictive")),IF(AND(K3797=1,L3797=1,M3797=1),"adequate","partial"),INDEX(Fit_Matrix!$B:$B,MATCH(P3797,Fit_Matrix!$A:$A,0))),"CHECK KEY"))</f>
        <v/>
      </c>
    </row>
    <row r="3798" customFormat="false" ht="15" hidden="false" customHeight="true" outlineLevel="0" collapsed="false">
      <c r="P3798" s="1" t="str">
        <f aca="false">IF(OR(F3798="",H3798="",J3798=""),"",J3798&amp;"|"&amp;F3798&amp;"|"&amp;IF(H3798="W3","W3_"&amp;IF(I3798="","unknown",I3798),H3798))</f>
        <v/>
      </c>
      <c r="Q3798" s="1" t="str">
        <f aca="false">IF(P3798="","",IFERROR(IF(AND(H3798="W7",OR(F3798="causal",F3798="predictive")),IF(AND(K3798=1,L3798=1,M3798=1),"adequate","partial"),INDEX(Fit_Matrix!$B:$B,MATCH(P3798,Fit_Matrix!$A:$A,0))),"CHECK KEY"))</f>
        <v/>
      </c>
    </row>
    <row r="3799" customFormat="false" ht="15" hidden="false" customHeight="true" outlineLevel="0" collapsed="false">
      <c r="P3799" s="1" t="str">
        <f aca="false">IF(OR(F3799="",H3799="",J3799=""),"",J3799&amp;"|"&amp;F3799&amp;"|"&amp;IF(H3799="W3","W3_"&amp;IF(I3799="","unknown",I3799),H3799))</f>
        <v/>
      </c>
      <c r="Q3799" s="1" t="str">
        <f aca="false">IF(P3799="","",IFERROR(IF(AND(H3799="W7",OR(F3799="causal",F3799="predictive")),IF(AND(K3799=1,L3799=1,M3799=1),"adequate","partial"),INDEX(Fit_Matrix!$B:$B,MATCH(P3799,Fit_Matrix!$A:$A,0))),"CHECK KEY"))</f>
        <v/>
      </c>
    </row>
    <row r="3800" customFormat="false" ht="15" hidden="false" customHeight="true" outlineLevel="0" collapsed="false">
      <c r="P3800" s="1" t="str">
        <f aca="false">IF(OR(F3800="",H3800="",J3800=""),"",J3800&amp;"|"&amp;F3800&amp;"|"&amp;IF(H3800="W3","W3_"&amp;IF(I3800="","unknown",I3800),H3800))</f>
        <v/>
      </c>
      <c r="Q3800" s="1" t="str">
        <f aca="false">IF(P3800="","",IFERROR(IF(AND(H3800="W7",OR(F3800="causal",F3800="predictive")),IF(AND(K3800=1,L3800=1,M3800=1),"adequate","partial"),INDEX(Fit_Matrix!$B:$B,MATCH(P3800,Fit_Matrix!$A:$A,0))),"CHECK KEY"))</f>
        <v/>
      </c>
    </row>
    <row r="3801" customFormat="false" ht="15" hidden="false" customHeight="true" outlineLevel="0" collapsed="false">
      <c r="P3801" s="1" t="str">
        <f aca="false">IF(OR(F3801="",H3801="",J3801=""),"",J3801&amp;"|"&amp;F3801&amp;"|"&amp;IF(H3801="W3","W3_"&amp;IF(I3801="","unknown",I3801),H3801))</f>
        <v/>
      </c>
      <c r="Q3801" s="1" t="str">
        <f aca="false">IF(P3801="","",IFERROR(IF(AND(H3801="W7",OR(F3801="causal",F3801="predictive")),IF(AND(K3801=1,L3801=1,M3801=1),"adequate","partial"),INDEX(Fit_Matrix!$B:$B,MATCH(P3801,Fit_Matrix!$A:$A,0))),"CHECK KEY"))</f>
        <v/>
      </c>
    </row>
    <row r="3802" customFormat="false" ht="15" hidden="false" customHeight="true" outlineLevel="0" collapsed="false">
      <c r="P3802" s="1" t="str">
        <f aca="false">IF(OR(F3802="",H3802="",J3802=""),"",J3802&amp;"|"&amp;F3802&amp;"|"&amp;IF(H3802="W3","W3_"&amp;IF(I3802="","unknown",I3802),H3802))</f>
        <v/>
      </c>
      <c r="Q3802" s="1" t="str">
        <f aca="false">IF(P3802="","",IFERROR(IF(AND(H3802="W7",OR(F3802="causal",F3802="predictive")),IF(AND(K3802=1,L3802=1,M3802=1),"adequate","partial"),INDEX(Fit_Matrix!$B:$B,MATCH(P3802,Fit_Matrix!$A:$A,0))),"CHECK KEY"))</f>
        <v/>
      </c>
    </row>
    <row r="3803" customFormat="false" ht="15" hidden="false" customHeight="true" outlineLevel="0" collapsed="false">
      <c r="P3803" s="1" t="str">
        <f aca="false">IF(OR(F3803="",H3803="",J3803=""),"",J3803&amp;"|"&amp;F3803&amp;"|"&amp;IF(H3803="W3","W3_"&amp;IF(I3803="","unknown",I3803),H3803))</f>
        <v/>
      </c>
      <c r="Q3803" s="1" t="str">
        <f aca="false">IF(P3803="","",IFERROR(IF(AND(H3803="W7",OR(F3803="causal",F3803="predictive")),IF(AND(K3803=1,L3803=1,M3803=1),"adequate","partial"),INDEX(Fit_Matrix!$B:$B,MATCH(P3803,Fit_Matrix!$A:$A,0))),"CHECK KEY"))</f>
        <v/>
      </c>
    </row>
    <row r="3804" customFormat="false" ht="15" hidden="false" customHeight="true" outlineLevel="0" collapsed="false">
      <c r="P3804" s="1" t="str">
        <f aca="false">IF(OR(F3804="",H3804="",J3804=""),"",J3804&amp;"|"&amp;F3804&amp;"|"&amp;IF(H3804="W3","W3_"&amp;IF(I3804="","unknown",I3804),H3804))</f>
        <v/>
      </c>
      <c r="Q3804" s="1" t="str">
        <f aca="false">IF(P3804="","",IFERROR(IF(AND(H3804="W7",OR(F3804="causal",F3804="predictive")),IF(AND(K3804=1,L3804=1,M3804=1),"adequate","partial"),INDEX(Fit_Matrix!$B:$B,MATCH(P3804,Fit_Matrix!$A:$A,0))),"CHECK KEY"))</f>
        <v/>
      </c>
    </row>
    <row r="3805" customFormat="false" ht="15" hidden="false" customHeight="true" outlineLevel="0" collapsed="false">
      <c r="P3805" s="1" t="str">
        <f aca="false">IF(OR(F3805="",H3805="",J3805=""),"",J3805&amp;"|"&amp;F3805&amp;"|"&amp;IF(H3805="W3","W3_"&amp;IF(I3805="","unknown",I3805),H3805))</f>
        <v/>
      </c>
      <c r="Q3805" s="1" t="str">
        <f aca="false">IF(P3805="","",IFERROR(IF(AND(H3805="W7",OR(F3805="causal",F3805="predictive")),IF(AND(K3805=1,L3805=1,M3805=1),"adequate","partial"),INDEX(Fit_Matrix!$B:$B,MATCH(P3805,Fit_Matrix!$A:$A,0))),"CHECK KEY"))</f>
        <v/>
      </c>
    </row>
    <row r="3806" customFormat="false" ht="15" hidden="false" customHeight="true" outlineLevel="0" collapsed="false">
      <c r="P3806" s="1" t="str">
        <f aca="false">IF(OR(F3806="",H3806="",J3806=""),"",J3806&amp;"|"&amp;F3806&amp;"|"&amp;IF(H3806="W3","W3_"&amp;IF(I3806="","unknown",I3806),H3806))</f>
        <v/>
      </c>
      <c r="Q3806" s="1" t="str">
        <f aca="false">IF(P3806="","",IFERROR(IF(AND(H3806="W7",OR(F3806="causal",F3806="predictive")),IF(AND(K3806=1,L3806=1,M3806=1),"adequate","partial"),INDEX(Fit_Matrix!$B:$B,MATCH(P3806,Fit_Matrix!$A:$A,0))),"CHECK KEY"))</f>
        <v/>
      </c>
    </row>
    <row r="3807" customFormat="false" ht="15" hidden="false" customHeight="true" outlineLevel="0" collapsed="false">
      <c r="P3807" s="1" t="str">
        <f aca="false">IF(OR(F3807="",H3807="",J3807=""),"",J3807&amp;"|"&amp;F3807&amp;"|"&amp;IF(H3807="W3","W3_"&amp;IF(I3807="","unknown",I3807),H3807))</f>
        <v/>
      </c>
      <c r="Q3807" s="1" t="str">
        <f aca="false">IF(P3807="","",IFERROR(IF(AND(H3807="W7",OR(F3807="causal",F3807="predictive")),IF(AND(K3807=1,L3807=1,M3807=1),"adequate","partial"),INDEX(Fit_Matrix!$B:$B,MATCH(P3807,Fit_Matrix!$A:$A,0))),"CHECK KEY"))</f>
        <v/>
      </c>
    </row>
    <row r="3808" customFormat="false" ht="15" hidden="false" customHeight="true" outlineLevel="0" collapsed="false">
      <c r="P3808" s="1" t="str">
        <f aca="false">IF(OR(F3808="",H3808="",J3808=""),"",J3808&amp;"|"&amp;F3808&amp;"|"&amp;IF(H3808="W3","W3_"&amp;IF(I3808="","unknown",I3808),H3808))</f>
        <v/>
      </c>
      <c r="Q3808" s="1" t="str">
        <f aca="false">IF(P3808="","",IFERROR(IF(AND(H3808="W7",OR(F3808="causal",F3808="predictive")),IF(AND(K3808=1,L3808=1,M3808=1),"adequate","partial"),INDEX(Fit_Matrix!$B:$B,MATCH(P3808,Fit_Matrix!$A:$A,0))),"CHECK KEY"))</f>
        <v/>
      </c>
    </row>
    <row r="3809" customFormat="false" ht="15" hidden="false" customHeight="true" outlineLevel="0" collapsed="false">
      <c r="P3809" s="1" t="str">
        <f aca="false">IF(OR(F3809="",H3809="",J3809=""),"",J3809&amp;"|"&amp;F3809&amp;"|"&amp;IF(H3809="W3","W3_"&amp;IF(I3809="","unknown",I3809),H3809))</f>
        <v/>
      </c>
      <c r="Q3809" s="1" t="str">
        <f aca="false">IF(P3809="","",IFERROR(IF(AND(H3809="W7",OR(F3809="causal",F3809="predictive")),IF(AND(K3809=1,L3809=1,M3809=1),"adequate","partial"),INDEX(Fit_Matrix!$B:$B,MATCH(P3809,Fit_Matrix!$A:$A,0))),"CHECK KEY"))</f>
        <v/>
      </c>
    </row>
    <row r="3810" customFormat="false" ht="15" hidden="false" customHeight="true" outlineLevel="0" collapsed="false">
      <c r="P3810" s="1" t="str">
        <f aca="false">IF(OR(F3810="",H3810="",J3810=""),"",J3810&amp;"|"&amp;F3810&amp;"|"&amp;IF(H3810="W3","W3_"&amp;IF(I3810="","unknown",I3810),H3810))</f>
        <v/>
      </c>
      <c r="Q3810" s="1" t="str">
        <f aca="false">IF(P3810="","",IFERROR(IF(AND(H3810="W7",OR(F3810="causal",F3810="predictive")),IF(AND(K3810=1,L3810=1,M3810=1),"adequate","partial"),INDEX(Fit_Matrix!$B:$B,MATCH(P3810,Fit_Matrix!$A:$A,0))),"CHECK KEY"))</f>
        <v/>
      </c>
    </row>
    <row r="3811" customFormat="false" ht="15" hidden="false" customHeight="true" outlineLevel="0" collapsed="false">
      <c r="P3811" s="1" t="str">
        <f aca="false">IF(OR(F3811="",H3811="",J3811=""),"",J3811&amp;"|"&amp;F3811&amp;"|"&amp;IF(H3811="W3","W3_"&amp;IF(I3811="","unknown",I3811),H3811))</f>
        <v/>
      </c>
      <c r="Q3811" s="1" t="str">
        <f aca="false">IF(P3811="","",IFERROR(IF(AND(H3811="W7",OR(F3811="causal",F3811="predictive")),IF(AND(K3811=1,L3811=1,M3811=1),"adequate","partial"),INDEX(Fit_Matrix!$B:$B,MATCH(P3811,Fit_Matrix!$A:$A,0))),"CHECK KEY"))</f>
        <v/>
      </c>
    </row>
    <row r="3812" customFormat="false" ht="15" hidden="false" customHeight="true" outlineLevel="0" collapsed="false">
      <c r="P3812" s="1" t="str">
        <f aca="false">IF(OR(F3812="",H3812="",J3812=""),"",J3812&amp;"|"&amp;F3812&amp;"|"&amp;IF(H3812="W3","W3_"&amp;IF(I3812="","unknown",I3812),H3812))</f>
        <v/>
      </c>
      <c r="Q3812" s="1" t="str">
        <f aca="false">IF(P3812="","",IFERROR(IF(AND(H3812="W7",OR(F3812="causal",F3812="predictive")),IF(AND(K3812=1,L3812=1,M3812=1),"adequate","partial"),INDEX(Fit_Matrix!$B:$B,MATCH(P3812,Fit_Matrix!$A:$A,0))),"CHECK KEY"))</f>
        <v/>
      </c>
    </row>
    <row r="3813" customFormat="false" ht="15" hidden="false" customHeight="true" outlineLevel="0" collapsed="false">
      <c r="P3813" s="1" t="str">
        <f aca="false">IF(OR(F3813="",H3813="",J3813=""),"",J3813&amp;"|"&amp;F3813&amp;"|"&amp;IF(H3813="W3","W3_"&amp;IF(I3813="","unknown",I3813),H3813))</f>
        <v/>
      </c>
      <c r="Q3813" s="1" t="str">
        <f aca="false">IF(P3813="","",IFERROR(IF(AND(H3813="W7",OR(F3813="causal",F3813="predictive")),IF(AND(K3813=1,L3813=1,M3813=1),"adequate","partial"),INDEX(Fit_Matrix!$B:$B,MATCH(P3813,Fit_Matrix!$A:$A,0))),"CHECK KEY"))</f>
        <v/>
      </c>
    </row>
    <row r="3814" customFormat="false" ht="15" hidden="false" customHeight="true" outlineLevel="0" collapsed="false">
      <c r="P3814" s="1" t="str">
        <f aca="false">IF(OR(F3814="",H3814="",J3814=""),"",J3814&amp;"|"&amp;F3814&amp;"|"&amp;IF(H3814="W3","W3_"&amp;IF(I3814="","unknown",I3814),H3814))</f>
        <v/>
      </c>
      <c r="Q3814" s="1" t="str">
        <f aca="false">IF(P3814="","",IFERROR(IF(AND(H3814="W7",OR(F3814="causal",F3814="predictive")),IF(AND(K3814=1,L3814=1,M3814=1),"adequate","partial"),INDEX(Fit_Matrix!$B:$B,MATCH(P3814,Fit_Matrix!$A:$A,0))),"CHECK KEY"))</f>
        <v/>
      </c>
    </row>
    <row r="3815" customFormat="false" ht="15" hidden="false" customHeight="true" outlineLevel="0" collapsed="false">
      <c r="P3815" s="1" t="str">
        <f aca="false">IF(OR(F3815="",H3815="",J3815=""),"",J3815&amp;"|"&amp;F3815&amp;"|"&amp;IF(H3815="W3","W3_"&amp;IF(I3815="","unknown",I3815),H3815))</f>
        <v/>
      </c>
      <c r="Q3815" s="1" t="str">
        <f aca="false">IF(P3815="","",IFERROR(IF(AND(H3815="W7",OR(F3815="causal",F3815="predictive")),IF(AND(K3815=1,L3815=1,M3815=1),"adequate","partial"),INDEX(Fit_Matrix!$B:$B,MATCH(P3815,Fit_Matrix!$A:$A,0))),"CHECK KEY"))</f>
        <v/>
      </c>
    </row>
    <row r="3816" customFormat="false" ht="15" hidden="false" customHeight="true" outlineLevel="0" collapsed="false">
      <c r="P3816" s="1" t="str">
        <f aca="false">IF(OR(F3816="",H3816="",J3816=""),"",J3816&amp;"|"&amp;F3816&amp;"|"&amp;IF(H3816="W3","W3_"&amp;IF(I3816="","unknown",I3816),H3816))</f>
        <v/>
      </c>
      <c r="Q3816" s="1" t="str">
        <f aca="false">IF(P3816="","",IFERROR(IF(AND(H3816="W7",OR(F3816="causal",F3816="predictive")),IF(AND(K3816=1,L3816=1,M3816=1),"adequate","partial"),INDEX(Fit_Matrix!$B:$B,MATCH(P3816,Fit_Matrix!$A:$A,0))),"CHECK KEY"))</f>
        <v/>
      </c>
    </row>
    <row r="3817" customFormat="false" ht="15" hidden="false" customHeight="true" outlineLevel="0" collapsed="false">
      <c r="P3817" s="1" t="str">
        <f aca="false">IF(OR(F3817="",H3817="",J3817=""),"",J3817&amp;"|"&amp;F3817&amp;"|"&amp;IF(H3817="W3","W3_"&amp;IF(I3817="","unknown",I3817),H3817))</f>
        <v/>
      </c>
      <c r="Q3817" s="1" t="str">
        <f aca="false">IF(P3817="","",IFERROR(IF(AND(H3817="W7",OR(F3817="causal",F3817="predictive")),IF(AND(K3817=1,L3817=1,M3817=1),"adequate","partial"),INDEX(Fit_Matrix!$B:$B,MATCH(P3817,Fit_Matrix!$A:$A,0))),"CHECK KEY"))</f>
        <v/>
      </c>
    </row>
    <row r="3818" customFormat="false" ht="15" hidden="false" customHeight="true" outlineLevel="0" collapsed="false">
      <c r="P3818" s="1" t="str">
        <f aca="false">IF(OR(F3818="",H3818="",J3818=""),"",J3818&amp;"|"&amp;F3818&amp;"|"&amp;IF(H3818="W3","W3_"&amp;IF(I3818="","unknown",I3818),H3818))</f>
        <v/>
      </c>
      <c r="Q3818" s="1" t="str">
        <f aca="false">IF(P3818="","",IFERROR(IF(AND(H3818="W7",OR(F3818="causal",F3818="predictive")),IF(AND(K3818=1,L3818=1,M3818=1),"adequate","partial"),INDEX(Fit_Matrix!$B:$B,MATCH(P3818,Fit_Matrix!$A:$A,0))),"CHECK KEY"))</f>
        <v/>
      </c>
    </row>
    <row r="3819" customFormat="false" ht="15" hidden="false" customHeight="true" outlineLevel="0" collapsed="false">
      <c r="P3819" s="1" t="str">
        <f aca="false">IF(OR(F3819="",H3819="",J3819=""),"",J3819&amp;"|"&amp;F3819&amp;"|"&amp;IF(H3819="W3","W3_"&amp;IF(I3819="","unknown",I3819),H3819))</f>
        <v/>
      </c>
      <c r="Q3819" s="1" t="str">
        <f aca="false">IF(P3819="","",IFERROR(IF(AND(H3819="W7",OR(F3819="causal",F3819="predictive")),IF(AND(K3819=1,L3819=1,M3819=1),"adequate","partial"),INDEX(Fit_Matrix!$B:$B,MATCH(P3819,Fit_Matrix!$A:$A,0))),"CHECK KEY"))</f>
        <v/>
      </c>
    </row>
    <row r="3820" customFormat="false" ht="15" hidden="false" customHeight="true" outlineLevel="0" collapsed="false">
      <c r="P3820" s="1" t="str">
        <f aca="false">IF(OR(F3820="",H3820="",J3820=""),"",J3820&amp;"|"&amp;F3820&amp;"|"&amp;IF(H3820="W3","W3_"&amp;IF(I3820="","unknown",I3820),H3820))</f>
        <v/>
      </c>
      <c r="Q3820" s="1" t="str">
        <f aca="false">IF(P3820="","",IFERROR(IF(AND(H3820="W7",OR(F3820="causal",F3820="predictive")),IF(AND(K3820=1,L3820=1,M3820=1),"adequate","partial"),INDEX(Fit_Matrix!$B:$B,MATCH(P3820,Fit_Matrix!$A:$A,0))),"CHECK KEY"))</f>
        <v/>
      </c>
    </row>
    <row r="3821" customFormat="false" ht="15" hidden="false" customHeight="true" outlineLevel="0" collapsed="false">
      <c r="P3821" s="1" t="str">
        <f aca="false">IF(OR(F3821="",H3821="",J3821=""),"",J3821&amp;"|"&amp;F3821&amp;"|"&amp;IF(H3821="W3","W3_"&amp;IF(I3821="","unknown",I3821),H3821))</f>
        <v/>
      </c>
      <c r="Q3821" s="1" t="str">
        <f aca="false">IF(P3821="","",IFERROR(IF(AND(H3821="W7",OR(F3821="causal",F3821="predictive")),IF(AND(K3821=1,L3821=1,M3821=1),"adequate","partial"),INDEX(Fit_Matrix!$B:$B,MATCH(P3821,Fit_Matrix!$A:$A,0))),"CHECK KEY"))</f>
        <v/>
      </c>
    </row>
    <row r="3822" customFormat="false" ht="15" hidden="false" customHeight="true" outlineLevel="0" collapsed="false">
      <c r="P3822" s="1" t="str">
        <f aca="false">IF(OR(F3822="",H3822="",J3822=""),"",J3822&amp;"|"&amp;F3822&amp;"|"&amp;IF(H3822="W3","W3_"&amp;IF(I3822="","unknown",I3822),H3822))</f>
        <v/>
      </c>
      <c r="Q3822" s="1" t="str">
        <f aca="false">IF(P3822="","",IFERROR(IF(AND(H3822="W7",OR(F3822="causal",F3822="predictive")),IF(AND(K3822=1,L3822=1,M3822=1),"adequate","partial"),INDEX(Fit_Matrix!$B:$B,MATCH(P3822,Fit_Matrix!$A:$A,0))),"CHECK KEY"))</f>
        <v/>
      </c>
    </row>
    <row r="3823" customFormat="false" ht="15" hidden="false" customHeight="true" outlineLevel="0" collapsed="false">
      <c r="P3823" s="1" t="str">
        <f aca="false">IF(OR(F3823="",H3823="",J3823=""),"",J3823&amp;"|"&amp;F3823&amp;"|"&amp;IF(H3823="W3","W3_"&amp;IF(I3823="","unknown",I3823),H3823))</f>
        <v/>
      </c>
      <c r="Q3823" s="1" t="str">
        <f aca="false">IF(P3823="","",IFERROR(IF(AND(H3823="W7",OR(F3823="causal",F3823="predictive")),IF(AND(K3823=1,L3823=1,M3823=1),"adequate","partial"),INDEX(Fit_Matrix!$B:$B,MATCH(P3823,Fit_Matrix!$A:$A,0))),"CHECK KEY"))</f>
        <v/>
      </c>
    </row>
    <row r="3824" customFormat="false" ht="15" hidden="false" customHeight="true" outlineLevel="0" collapsed="false">
      <c r="P3824" s="1" t="str">
        <f aca="false">IF(OR(F3824="",H3824="",J3824=""),"",J3824&amp;"|"&amp;F3824&amp;"|"&amp;IF(H3824="W3","W3_"&amp;IF(I3824="","unknown",I3824),H3824))</f>
        <v/>
      </c>
      <c r="Q3824" s="1" t="str">
        <f aca="false">IF(P3824="","",IFERROR(IF(AND(H3824="W7",OR(F3824="causal",F3824="predictive")),IF(AND(K3824=1,L3824=1,M3824=1),"adequate","partial"),INDEX(Fit_Matrix!$B:$B,MATCH(P3824,Fit_Matrix!$A:$A,0))),"CHECK KEY"))</f>
        <v/>
      </c>
    </row>
    <row r="3825" customFormat="false" ht="15" hidden="false" customHeight="true" outlineLevel="0" collapsed="false">
      <c r="P3825" s="1" t="str">
        <f aca="false">IF(OR(F3825="",H3825="",J3825=""),"",J3825&amp;"|"&amp;F3825&amp;"|"&amp;IF(H3825="W3","W3_"&amp;IF(I3825="","unknown",I3825),H3825))</f>
        <v/>
      </c>
      <c r="Q3825" s="1" t="str">
        <f aca="false">IF(P3825="","",IFERROR(IF(AND(H3825="W7",OR(F3825="causal",F3825="predictive")),IF(AND(K3825=1,L3825=1,M3825=1),"adequate","partial"),INDEX(Fit_Matrix!$B:$B,MATCH(P3825,Fit_Matrix!$A:$A,0))),"CHECK KEY"))</f>
        <v/>
      </c>
    </row>
    <row r="3826" customFormat="false" ht="15" hidden="false" customHeight="true" outlineLevel="0" collapsed="false">
      <c r="P3826" s="1" t="str">
        <f aca="false">IF(OR(F3826="",H3826="",J3826=""),"",J3826&amp;"|"&amp;F3826&amp;"|"&amp;IF(H3826="W3","W3_"&amp;IF(I3826="","unknown",I3826),H3826))</f>
        <v/>
      </c>
      <c r="Q3826" s="1" t="str">
        <f aca="false">IF(P3826="","",IFERROR(IF(AND(H3826="W7",OR(F3826="causal",F3826="predictive")),IF(AND(K3826=1,L3826=1,M3826=1),"adequate","partial"),INDEX(Fit_Matrix!$B:$B,MATCH(P3826,Fit_Matrix!$A:$A,0))),"CHECK KEY"))</f>
        <v/>
      </c>
    </row>
    <row r="3827" customFormat="false" ht="15" hidden="false" customHeight="true" outlineLevel="0" collapsed="false">
      <c r="P3827" s="1" t="str">
        <f aca="false">IF(OR(F3827="",H3827="",J3827=""),"",J3827&amp;"|"&amp;F3827&amp;"|"&amp;IF(H3827="W3","W3_"&amp;IF(I3827="","unknown",I3827),H3827))</f>
        <v/>
      </c>
      <c r="Q3827" s="1" t="str">
        <f aca="false">IF(P3827="","",IFERROR(IF(AND(H3827="W7",OR(F3827="causal",F3827="predictive")),IF(AND(K3827=1,L3827=1,M3827=1),"adequate","partial"),INDEX(Fit_Matrix!$B:$B,MATCH(P3827,Fit_Matrix!$A:$A,0))),"CHECK KEY"))</f>
        <v/>
      </c>
    </row>
    <row r="3828" customFormat="false" ht="15" hidden="false" customHeight="true" outlineLevel="0" collapsed="false">
      <c r="P3828" s="1" t="str">
        <f aca="false">IF(OR(F3828="",H3828="",J3828=""),"",J3828&amp;"|"&amp;F3828&amp;"|"&amp;IF(H3828="W3","W3_"&amp;IF(I3828="","unknown",I3828),H3828))</f>
        <v/>
      </c>
      <c r="Q3828" s="1" t="str">
        <f aca="false">IF(P3828="","",IFERROR(IF(AND(H3828="W7",OR(F3828="causal",F3828="predictive")),IF(AND(K3828=1,L3828=1,M3828=1),"adequate","partial"),INDEX(Fit_Matrix!$B:$B,MATCH(P3828,Fit_Matrix!$A:$A,0))),"CHECK KEY"))</f>
        <v/>
      </c>
    </row>
    <row r="3829" customFormat="false" ht="15" hidden="false" customHeight="true" outlineLevel="0" collapsed="false">
      <c r="P3829" s="1" t="str">
        <f aca="false">IF(OR(F3829="",H3829="",J3829=""),"",J3829&amp;"|"&amp;F3829&amp;"|"&amp;IF(H3829="W3","W3_"&amp;IF(I3829="","unknown",I3829),H3829))</f>
        <v/>
      </c>
      <c r="Q3829" s="1" t="str">
        <f aca="false">IF(P3829="","",IFERROR(IF(AND(H3829="W7",OR(F3829="causal",F3829="predictive")),IF(AND(K3829=1,L3829=1,M3829=1),"adequate","partial"),INDEX(Fit_Matrix!$B:$B,MATCH(P3829,Fit_Matrix!$A:$A,0))),"CHECK KEY"))</f>
        <v/>
      </c>
    </row>
    <row r="3830" customFormat="false" ht="15" hidden="false" customHeight="true" outlineLevel="0" collapsed="false">
      <c r="P3830" s="1" t="str">
        <f aca="false">IF(OR(F3830="",H3830="",J3830=""),"",J3830&amp;"|"&amp;F3830&amp;"|"&amp;IF(H3830="W3","W3_"&amp;IF(I3830="","unknown",I3830),H3830))</f>
        <v/>
      </c>
      <c r="Q3830" s="1" t="str">
        <f aca="false">IF(P3830="","",IFERROR(IF(AND(H3830="W7",OR(F3830="causal",F3830="predictive")),IF(AND(K3830=1,L3830=1,M3830=1),"adequate","partial"),INDEX(Fit_Matrix!$B:$B,MATCH(P3830,Fit_Matrix!$A:$A,0))),"CHECK KEY"))</f>
        <v/>
      </c>
    </row>
    <row r="3831" customFormat="false" ht="15" hidden="false" customHeight="true" outlineLevel="0" collapsed="false">
      <c r="P3831" s="1" t="str">
        <f aca="false">IF(OR(F3831="",H3831="",J3831=""),"",J3831&amp;"|"&amp;F3831&amp;"|"&amp;IF(H3831="W3","W3_"&amp;IF(I3831="","unknown",I3831),H3831))</f>
        <v/>
      </c>
      <c r="Q3831" s="1" t="str">
        <f aca="false">IF(P3831="","",IFERROR(IF(AND(H3831="W7",OR(F3831="causal",F3831="predictive")),IF(AND(K3831=1,L3831=1,M3831=1),"adequate","partial"),INDEX(Fit_Matrix!$B:$B,MATCH(P3831,Fit_Matrix!$A:$A,0))),"CHECK KEY"))</f>
        <v/>
      </c>
    </row>
    <row r="3832" customFormat="false" ht="15" hidden="false" customHeight="true" outlineLevel="0" collapsed="false">
      <c r="P3832" s="1" t="str">
        <f aca="false">IF(OR(F3832="",H3832="",J3832=""),"",J3832&amp;"|"&amp;F3832&amp;"|"&amp;IF(H3832="W3","W3_"&amp;IF(I3832="","unknown",I3832),H3832))</f>
        <v/>
      </c>
      <c r="Q3832" s="1" t="str">
        <f aca="false">IF(P3832="","",IFERROR(IF(AND(H3832="W7",OR(F3832="causal",F3832="predictive")),IF(AND(K3832=1,L3832=1,M3832=1),"adequate","partial"),INDEX(Fit_Matrix!$B:$B,MATCH(P3832,Fit_Matrix!$A:$A,0))),"CHECK KEY"))</f>
        <v/>
      </c>
    </row>
    <row r="3833" customFormat="false" ht="15" hidden="false" customHeight="true" outlineLevel="0" collapsed="false">
      <c r="P3833" s="1" t="str">
        <f aca="false">IF(OR(F3833="",H3833="",J3833=""),"",J3833&amp;"|"&amp;F3833&amp;"|"&amp;IF(H3833="W3","W3_"&amp;IF(I3833="","unknown",I3833),H3833))</f>
        <v/>
      </c>
      <c r="Q3833" s="1" t="str">
        <f aca="false">IF(P3833="","",IFERROR(IF(AND(H3833="W7",OR(F3833="causal",F3833="predictive")),IF(AND(K3833=1,L3833=1,M3833=1),"adequate","partial"),INDEX(Fit_Matrix!$B:$B,MATCH(P3833,Fit_Matrix!$A:$A,0))),"CHECK KEY"))</f>
        <v/>
      </c>
    </row>
    <row r="3834" customFormat="false" ht="15" hidden="false" customHeight="true" outlineLevel="0" collapsed="false">
      <c r="P3834" s="1" t="str">
        <f aca="false">IF(OR(F3834="",H3834="",J3834=""),"",J3834&amp;"|"&amp;F3834&amp;"|"&amp;IF(H3834="W3","W3_"&amp;IF(I3834="","unknown",I3834),H3834))</f>
        <v/>
      </c>
      <c r="Q3834" s="1" t="str">
        <f aca="false">IF(P3834="","",IFERROR(IF(AND(H3834="W7",OR(F3834="causal",F3834="predictive")),IF(AND(K3834=1,L3834=1,M3834=1),"adequate","partial"),INDEX(Fit_Matrix!$B:$B,MATCH(P3834,Fit_Matrix!$A:$A,0))),"CHECK KEY"))</f>
        <v/>
      </c>
    </row>
    <row r="3835" customFormat="false" ht="15" hidden="false" customHeight="true" outlineLevel="0" collapsed="false">
      <c r="P3835" s="1" t="str">
        <f aca="false">IF(OR(F3835="",H3835="",J3835=""),"",J3835&amp;"|"&amp;F3835&amp;"|"&amp;IF(H3835="W3","W3_"&amp;IF(I3835="","unknown",I3835),H3835))</f>
        <v/>
      </c>
      <c r="Q3835" s="1" t="str">
        <f aca="false">IF(P3835="","",IFERROR(IF(AND(H3835="W7",OR(F3835="causal",F3835="predictive")),IF(AND(K3835=1,L3835=1,M3835=1),"adequate","partial"),INDEX(Fit_Matrix!$B:$B,MATCH(P3835,Fit_Matrix!$A:$A,0))),"CHECK KEY"))</f>
        <v/>
      </c>
    </row>
    <row r="3836" customFormat="false" ht="15" hidden="false" customHeight="true" outlineLevel="0" collapsed="false">
      <c r="P3836" s="1" t="str">
        <f aca="false">IF(OR(F3836="",H3836="",J3836=""),"",J3836&amp;"|"&amp;F3836&amp;"|"&amp;IF(H3836="W3","W3_"&amp;IF(I3836="","unknown",I3836),H3836))</f>
        <v/>
      </c>
      <c r="Q3836" s="1" t="str">
        <f aca="false">IF(P3836="","",IFERROR(IF(AND(H3836="W7",OR(F3836="causal",F3836="predictive")),IF(AND(K3836=1,L3836=1,M3836=1),"adequate","partial"),INDEX(Fit_Matrix!$B:$B,MATCH(P3836,Fit_Matrix!$A:$A,0))),"CHECK KEY"))</f>
        <v/>
      </c>
    </row>
    <row r="3837" customFormat="false" ht="15" hidden="false" customHeight="true" outlineLevel="0" collapsed="false">
      <c r="P3837" s="1" t="str">
        <f aca="false">IF(OR(F3837="",H3837="",J3837=""),"",J3837&amp;"|"&amp;F3837&amp;"|"&amp;IF(H3837="W3","W3_"&amp;IF(I3837="","unknown",I3837),H3837))</f>
        <v/>
      </c>
      <c r="Q3837" s="1" t="str">
        <f aca="false">IF(P3837="","",IFERROR(IF(AND(H3837="W7",OR(F3837="causal",F3837="predictive")),IF(AND(K3837=1,L3837=1,M3837=1),"adequate","partial"),INDEX(Fit_Matrix!$B:$B,MATCH(P3837,Fit_Matrix!$A:$A,0))),"CHECK KEY"))</f>
        <v/>
      </c>
    </row>
    <row r="3838" customFormat="false" ht="15" hidden="false" customHeight="true" outlineLevel="0" collapsed="false">
      <c r="P3838" s="1" t="str">
        <f aca="false">IF(OR(F3838="",H3838="",J3838=""),"",J3838&amp;"|"&amp;F3838&amp;"|"&amp;IF(H3838="W3","W3_"&amp;IF(I3838="","unknown",I3838),H3838))</f>
        <v/>
      </c>
      <c r="Q3838" s="1" t="str">
        <f aca="false">IF(P3838="","",IFERROR(IF(AND(H3838="W7",OR(F3838="causal",F3838="predictive")),IF(AND(K3838=1,L3838=1,M3838=1),"adequate","partial"),INDEX(Fit_Matrix!$B:$B,MATCH(P3838,Fit_Matrix!$A:$A,0))),"CHECK KEY"))</f>
        <v/>
      </c>
    </row>
    <row r="3839" customFormat="false" ht="15" hidden="false" customHeight="true" outlineLevel="0" collapsed="false">
      <c r="P3839" s="1" t="str">
        <f aca="false">IF(OR(F3839="",H3839="",J3839=""),"",J3839&amp;"|"&amp;F3839&amp;"|"&amp;IF(H3839="W3","W3_"&amp;IF(I3839="","unknown",I3839),H3839))</f>
        <v/>
      </c>
      <c r="Q3839" s="1" t="str">
        <f aca="false">IF(P3839="","",IFERROR(IF(AND(H3839="W7",OR(F3839="causal",F3839="predictive")),IF(AND(K3839=1,L3839=1,M3839=1),"adequate","partial"),INDEX(Fit_Matrix!$B:$B,MATCH(P3839,Fit_Matrix!$A:$A,0))),"CHECK KEY"))</f>
        <v/>
      </c>
    </row>
    <row r="3840" customFormat="false" ht="15" hidden="false" customHeight="true" outlineLevel="0" collapsed="false">
      <c r="P3840" s="1" t="str">
        <f aca="false">IF(OR(F3840="",H3840="",J3840=""),"",J3840&amp;"|"&amp;F3840&amp;"|"&amp;IF(H3840="W3","W3_"&amp;IF(I3840="","unknown",I3840),H3840))</f>
        <v/>
      </c>
      <c r="Q3840" s="1" t="str">
        <f aca="false">IF(P3840="","",IFERROR(IF(AND(H3840="W7",OR(F3840="causal",F3840="predictive")),IF(AND(K3840=1,L3840=1,M3840=1),"adequate","partial"),INDEX(Fit_Matrix!$B:$B,MATCH(P3840,Fit_Matrix!$A:$A,0))),"CHECK KEY"))</f>
        <v/>
      </c>
    </row>
    <row r="3841" customFormat="false" ht="15" hidden="false" customHeight="true" outlineLevel="0" collapsed="false">
      <c r="P3841" s="1" t="str">
        <f aca="false">IF(OR(F3841="",H3841="",J3841=""),"",J3841&amp;"|"&amp;F3841&amp;"|"&amp;IF(H3841="W3","W3_"&amp;IF(I3841="","unknown",I3841),H3841))</f>
        <v/>
      </c>
      <c r="Q3841" s="1" t="str">
        <f aca="false">IF(P3841="","",IFERROR(IF(AND(H3841="W7",OR(F3841="causal",F3841="predictive")),IF(AND(K3841=1,L3841=1,M3841=1),"adequate","partial"),INDEX(Fit_Matrix!$B:$B,MATCH(P3841,Fit_Matrix!$A:$A,0))),"CHECK KEY"))</f>
        <v/>
      </c>
    </row>
    <row r="3842" customFormat="false" ht="15" hidden="false" customHeight="true" outlineLevel="0" collapsed="false">
      <c r="P3842" s="1" t="str">
        <f aca="false">IF(OR(F3842="",H3842="",J3842=""),"",J3842&amp;"|"&amp;F3842&amp;"|"&amp;IF(H3842="W3","W3_"&amp;IF(I3842="","unknown",I3842),H3842))</f>
        <v/>
      </c>
      <c r="Q3842" s="1" t="str">
        <f aca="false">IF(P3842="","",IFERROR(IF(AND(H3842="W7",OR(F3842="causal",F3842="predictive")),IF(AND(K3842=1,L3842=1,M3842=1),"adequate","partial"),INDEX(Fit_Matrix!$B:$B,MATCH(P3842,Fit_Matrix!$A:$A,0))),"CHECK KEY"))</f>
        <v/>
      </c>
    </row>
    <row r="3843" customFormat="false" ht="15" hidden="false" customHeight="true" outlineLevel="0" collapsed="false">
      <c r="P3843" s="1" t="str">
        <f aca="false">IF(OR(F3843="",H3843="",J3843=""),"",J3843&amp;"|"&amp;F3843&amp;"|"&amp;IF(H3843="W3","W3_"&amp;IF(I3843="","unknown",I3843),H3843))</f>
        <v/>
      </c>
      <c r="Q3843" s="1" t="str">
        <f aca="false">IF(P3843="","",IFERROR(IF(AND(H3843="W7",OR(F3843="causal",F3843="predictive")),IF(AND(K3843=1,L3843=1,M3843=1),"adequate","partial"),INDEX(Fit_Matrix!$B:$B,MATCH(P3843,Fit_Matrix!$A:$A,0))),"CHECK KEY"))</f>
        <v/>
      </c>
    </row>
    <row r="3844" customFormat="false" ht="15" hidden="false" customHeight="true" outlineLevel="0" collapsed="false">
      <c r="P3844" s="1" t="str">
        <f aca="false">IF(OR(F3844="",H3844="",J3844=""),"",J3844&amp;"|"&amp;F3844&amp;"|"&amp;IF(H3844="W3","W3_"&amp;IF(I3844="","unknown",I3844),H3844))</f>
        <v/>
      </c>
      <c r="Q3844" s="1" t="str">
        <f aca="false">IF(P3844="","",IFERROR(IF(AND(H3844="W7",OR(F3844="causal",F3844="predictive")),IF(AND(K3844=1,L3844=1,M3844=1),"adequate","partial"),INDEX(Fit_Matrix!$B:$B,MATCH(P3844,Fit_Matrix!$A:$A,0))),"CHECK KEY"))</f>
        <v/>
      </c>
    </row>
    <row r="3845" customFormat="false" ht="15" hidden="false" customHeight="true" outlineLevel="0" collapsed="false">
      <c r="P3845" s="1" t="str">
        <f aca="false">IF(OR(F3845="",H3845="",J3845=""),"",J3845&amp;"|"&amp;F3845&amp;"|"&amp;IF(H3845="W3","W3_"&amp;IF(I3845="","unknown",I3845),H3845))</f>
        <v/>
      </c>
      <c r="Q3845" s="1" t="str">
        <f aca="false">IF(P3845="","",IFERROR(IF(AND(H3845="W7",OR(F3845="causal",F3845="predictive")),IF(AND(K3845=1,L3845=1,M3845=1),"adequate","partial"),INDEX(Fit_Matrix!$B:$B,MATCH(P3845,Fit_Matrix!$A:$A,0))),"CHECK KEY"))</f>
        <v/>
      </c>
    </row>
    <row r="3846" customFormat="false" ht="15" hidden="false" customHeight="true" outlineLevel="0" collapsed="false">
      <c r="P3846" s="1" t="str">
        <f aca="false">IF(OR(F3846="",H3846="",J3846=""),"",J3846&amp;"|"&amp;F3846&amp;"|"&amp;IF(H3846="W3","W3_"&amp;IF(I3846="","unknown",I3846),H3846))</f>
        <v/>
      </c>
      <c r="Q3846" s="1" t="str">
        <f aca="false">IF(P3846="","",IFERROR(IF(AND(H3846="W7",OR(F3846="causal",F3846="predictive")),IF(AND(K3846=1,L3846=1,M3846=1),"adequate","partial"),INDEX(Fit_Matrix!$B:$B,MATCH(P3846,Fit_Matrix!$A:$A,0))),"CHECK KEY"))</f>
        <v/>
      </c>
    </row>
    <row r="3847" customFormat="false" ht="15" hidden="false" customHeight="true" outlineLevel="0" collapsed="false">
      <c r="P3847" s="1" t="str">
        <f aca="false">IF(OR(F3847="",H3847="",J3847=""),"",J3847&amp;"|"&amp;F3847&amp;"|"&amp;IF(H3847="W3","W3_"&amp;IF(I3847="","unknown",I3847),H3847))</f>
        <v/>
      </c>
      <c r="Q3847" s="1" t="str">
        <f aca="false">IF(P3847="","",IFERROR(IF(AND(H3847="W7",OR(F3847="causal",F3847="predictive")),IF(AND(K3847=1,L3847=1,M3847=1),"adequate","partial"),INDEX(Fit_Matrix!$B:$B,MATCH(P3847,Fit_Matrix!$A:$A,0))),"CHECK KEY"))</f>
        <v/>
      </c>
    </row>
    <row r="3848" customFormat="false" ht="15" hidden="false" customHeight="true" outlineLevel="0" collapsed="false">
      <c r="P3848" s="1" t="str">
        <f aca="false">IF(OR(F3848="",H3848="",J3848=""),"",J3848&amp;"|"&amp;F3848&amp;"|"&amp;IF(H3848="W3","W3_"&amp;IF(I3848="","unknown",I3848),H3848))</f>
        <v/>
      </c>
      <c r="Q3848" s="1" t="str">
        <f aca="false">IF(P3848="","",IFERROR(IF(AND(H3848="W7",OR(F3848="causal",F3848="predictive")),IF(AND(K3848=1,L3848=1,M3848=1),"adequate","partial"),INDEX(Fit_Matrix!$B:$B,MATCH(P3848,Fit_Matrix!$A:$A,0))),"CHECK KEY"))</f>
        <v/>
      </c>
    </row>
    <row r="3849" customFormat="false" ht="15" hidden="false" customHeight="true" outlineLevel="0" collapsed="false">
      <c r="P3849" s="1" t="str">
        <f aca="false">IF(OR(F3849="",H3849="",J3849=""),"",J3849&amp;"|"&amp;F3849&amp;"|"&amp;IF(H3849="W3","W3_"&amp;IF(I3849="","unknown",I3849),H3849))</f>
        <v/>
      </c>
      <c r="Q3849" s="1" t="str">
        <f aca="false">IF(P3849="","",IFERROR(IF(AND(H3849="W7",OR(F3849="causal",F3849="predictive")),IF(AND(K3849=1,L3849=1,M3849=1),"adequate","partial"),INDEX(Fit_Matrix!$B:$B,MATCH(P3849,Fit_Matrix!$A:$A,0))),"CHECK KEY"))</f>
        <v/>
      </c>
    </row>
    <row r="3850" customFormat="false" ht="15" hidden="false" customHeight="true" outlineLevel="0" collapsed="false">
      <c r="P3850" s="1" t="str">
        <f aca="false">IF(OR(F3850="",H3850="",J3850=""),"",J3850&amp;"|"&amp;F3850&amp;"|"&amp;IF(H3850="W3","W3_"&amp;IF(I3850="","unknown",I3850),H3850))</f>
        <v/>
      </c>
      <c r="Q3850" s="1" t="str">
        <f aca="false">IF(P3850="","",IFERROR(IF(AND(H3850="W7",OR(F3850="causal",F3850="predictive")),IF(AND(K3850=1,L3850=1,M3850=1),"adequate","partial"),INDEX(Fit_Matrix!$B:$B,MATCH(P3850,Fit_Matrix!$A:$A,0))),"CHECK KEY"))</f>
        <v/>
      </c>
    </row>
    <row r="3851" customFormat="false" ht="15" hidden="false" customHeight="true" outlineLevel="0" collapsed="false">
      <c r="P3851" s="1" t="str">
        <f aca="false">IF(OR(F3851="",H3851="",J3851=""),"",J3851&amp;"|"&amp;F3851&amp;"|"&amp;IF(H3851="W3","W3_"&amp;IF(I3851="","unknown",I3851),H3851))</f>
        <v/>
      </c>
      <c r="Q3851" s="1" t="str">
        <f aca="false">IF(P3851="","",IFERROR(IF(AND(H3851="W7",OR(F3851="causal",F3851="predictive")),IF(AND(K3851=1,L3851=1,M3851=1),"adequate","partial"),INDEX(Fit_Matrix!$B:$B,MATCH(P3851,Fit_Matrix!$A:$A,0))),"CHECK KEY"))</f>
        <v/>
      </c>
    </row>
    <row r="3852" customFormat="false" ht="15" hidden="false" customHeight="true" outlineLevel="0" collapsed="false">
      <c r="P3852" s="1" t="str">
        <f aca="false">IF(OR(F3852="",H3852="",J3852=""),"",J3852&amp;"|"&amp;F3852&amp;"|"&amp;IF(H3852="W3","W3_"&amp;IF(I3852="","unknown",I3852),H3852))</f>
        <v/>
      </c>
      <c r="Q3852" s="1" t="str">
        <f aca="false">IF(P3852="","",IFERROR(IF(AND(H3852="W7",OR(F3852="causal",F3852="predictive")),IF(AND(K3852=1,L3852=1,M3852=1),"adequate","partial"),INDEX(Fit_Matrix!$B:$B,MATCH(P3852,Fit_Matrix!$A:$A,0))),"CHECK KEY"))</f>
        <v/>
      </c>
    </row>
    <row r="3853" customFormat="false" ht="15" hidden="false" customHeight="true" outlineLevel="0" collapsed="false">
      <c r="P3853" s="1" t="str">
        <f aca="false">IF(OR(F3853="",H3853="",J3853=""),"",J3853&amp;"|"&amp;F3853&amp;"|"&amp;IF(H3853="W3","W3_"&amp;IF(I3853="","unknown",I3853),H3853))</f>
        <v/>
      </c>
      <c r="Q3853" s="1" t="str">
        <f aca="false">IF(P3853="","",IFERROR(IF(AND(H3853="W7",OR(F3853="causal",F3853="predictive")),IF(AND(K3853=1,L3853=1,M3853=1),"adequate","partial"),INDEX(Fit_Matrix!$B:$B,MATCH(P3853,Fit_Matrix!$A:$A,0))),"CHECK KEY"))</f>
        <v/>
      </c>
    </row>
    <row r="3854" customFormat="false" ht="15" hidden="false" customHeight="true" outlineLevel="0" collapsed="false">
      <c r="P3854" s="1" t="str">
        <f aca="false">IF(OR(F3854="",H3854="",J3854=""),"",J3854&amp;"|"&amp;F3854&amp;"|"&amp;IF(H3854="W3","W3_"&amp;IF(I3854="","unknown",I3854),H3854))</f>
        <v/>
      </c>
      <c r="Q3854" s="1" t="str">
        <f aca="false">IF(P3854="","",IFERROR(IF(AND(H3854="W7",OR(F3854="causal",F3854="predictive")),IF(AND(K3854=1,L3854=1,M3854=1),"adequate","partial"),INDEX(Fit_Matrix!$B:$B,MATCH(P3854,Fit_Matrix!$A:$A,0))),"CHECK KEY"))</f>
        <v/>
      </c>
    </row>
    <row r="3855" customFormat="false" ht="15" hidden="false" customHeight="true" outlineLevel="0" collapsed="false">
      <c r="P3855" s="1" t="str">
        <f aca="false">IF(OR(F3855="",H3855="",J3855=""),"",J3855&amp;"|"&amp;F3855&amp;"|"&amp;IF(H3855="W3","W3_"&amp;IF(I3855="","unknown",I3855),H3855))</f>
        <v/>
      </c>
      <c r="Q3855" s="1" t="str">
        <f aca="false">IF(P3855="","",IFERROR(IF(AND(H3855="W7",OR(F3855="causal",F3855="predictive")),IF(AND(K3855=1,L3855=1,M3855=1),"adequate","partial"),INDEX(Fit_Matrix!$B:$B,MATCH(P3855,Fit_Matrix!$A:$A,0))),"CHECK KEY"))</f>
        <v/>
      </c>
    </row>
    <row r="3856" customFormat="false" ht="15" hidden="false" customHeight="true" outlineLevel="0" collapsed="false">
      <c r="P3856" s="1" t="str">
        <f aca="false">IF(OR(F3856="",H3856="",J3856=""),"",J3856&amp;"|"&amp;F3856&amp;"|"&amp;IF(H3856="W3","W3_"&amp;IF(I3856="","unknown",I3856),H3856))</f>
        <v/>
      </c>
      <c r="Q3856" s="1" t="str">
        <f aca="false">IF(P3856="","",IFERROR(IF(AND(H3856="W7",OR(F3856="causal",F3856="predictive")),IF(AND(K3856=1,L3856=1,M3856=1),"adequate","partial"),INDEX(Fit_Matrix!$B:$B,MATCH(P3856,Fit_Matrix!$A:$A,0))),"CHECK KEY"))</f>
        <v/>
      </c>
    </row>
    <row r="3857" customFormat="false" ht="15" hidden="false" customHeight="true" outlineLevel="0" collapsed="false">
      <c r="P3857" s="1" t="str">
        <f aca="false">IF(OR(F3857="",H3857="",J3857=""),"",J3857&amp;"|"&amp;F3857&amp;"|"&amp;IF(H3857="W3","W3_"&amp;IF(I3857="","unknown",I3857),H3857))</f>
        <v/>
      </c>
      <c r="Q3857" s="1" t="str">
        <f aca="false">IF(P3857="","",IFERROR(IF(AND(H3857="W7",OR(F3857="causal",F3857="predictive")),IF(AND(K3857=1,L3857=1,M3857=1),"adequate","partial"),INDEX(Fit_Matrix!$B:$B,MATCH(P3857,Fit_Matrix!$A:$A,0))),"CHECK KEY"))</f>
        <v/>
      </c>
    </row>
    <row r="3858" customFormat="false" ht="15" hidden="false" customHeight="true" outlineLevel="0" collapsed="false">
      <c r="P3858" s="1" t="str">
        <f aca="false">IF(OR(F3858="",H3858="",J3858=""),"",J3858&amp;"|"&amp;F3858&amp;"|"&amp;IF(H3858="W3","W3_"&amp;IF(I3858="","unknown",I3858),H3858))</f>
        <v/>
      </c>
      <c r="Q3858" s="1" t="str">
        <f aca="false">IF(P3858="","",IFERROR(IF(AND(H3858="W7",OR(F3858="causal",F3858="predictive")),IF(AND(K3858=1,L3858=1,M3858=1),"adequate","partial"),INDEX(Fit_Matrix!$B:$B,MATCH(P3858,Fit_Matrix!$A:$A,0))),"CHECK KEY"))</f>
        <v/>
      </c>
    </row>
    <row r="3859" customFormat="false" ht="15" hidden="false" customHeight="true" outlineLevel="0" collapsed="false">
      <c r="P3859" s="1" t="str">
        <f aca="false">IF(OR(F3859="",H3859="",J3859=""),"",J3859&amp;"|"&amp;F3859&amp;"|"&amp;IF(H3859="W3","W3_"&amp;IF(I3859="","unknown",I3859),H3859))</f>
        <v/>
      </c>
      <c r="Q3859" s="1" t="str">
        <f aca="false">IF(P3859="","",IFERROR(IF(AND(H3859="W7",OR(F3859="causal",F3859="predictive")),IF(AND(K3859=1,L3859=1,M3859=1),"adequate","partial"),INDEX(Fit_Matrix!$B:$B,MATCH(P3859,Fit_Matrix!$A:$A,0))),"CHECK KEY"))</f>
        <v/>
      </c>
    </row>
    <row r="3860" customFormat="false" ht="15" hidden="false" customHeight="true" outlineLevel="0" collapsed="false">
      <c r="P3860" s="1" t="str">
        <f aca="false">IF(OR(F3860="",H3860="",J3860=""),"",J3860&amp;"|"&amp;F3860&amp;"|"&amp;IF(H3860="W3","W3_"&amp;IF(I3860="","unknown",I3860),H3860))</f>
        <v/>
      </c>
      <c r="Q3860" s="1" t="str">
        <f aca="false">IF(P3860="","",IFERROR(IF(AND(H3860="W7",OR(F3860="causal",F3860="predictive")),IF(AND(K3860=1,L3860=1,M3860=1),"adequate","partial"),INDEX(Fit_Matrix!$B:$B,MATCH(P3860,Fit_Matrix!$A:$A,0))),"CHECK KEY"))</f>
        <v/>
      </c>
    </row>
    <row r="3861" customFormat="false" ht="15" hidden="false" customHeight="true" outlineLevel="0" collapsed="false">
      <c r="P3861" s="1" t="str">
        <f aca="false">IF(OR(F3861="",H3861="",J3861=""),"",J3861&amp;"|"&amp;F3861&amp;"|"&amp;IF(H3861="W3","W3_"&amp;IF(I3861="","unknown",I3861),H3861))</f>
        <v/>
      </c>
      <c r="Q3861" s="1" t="str">
        <f aca="false">IF(P3861="","",IFERROR(IF(AND(H3861="W7",OR(F3861="causal",F3861="predictive")),IF(AND(K3861=1,L3861=1,M3861=1),"adequate","partial"),INDEX(Fit_Matrix!$B:$B,MATCH(P3861,Fit_Matrix!$A:$A,0))),"CHECK KEY"))</f>
        <v/>
      </c>
    </row>
    <row r="3862" customFormat="false" ht="15" hidden="false" customHeight="true" outlineLevel="0" collapsed="false">
      <c r="P3862" s="1" t="str">
        <f aca="false">IF(OR(F3862="",H3862="",J3862=""),"",J3862&amp;"|"&amp;F3862&amp;"|"&amp;IF(H3862="W3","W3_"&amp;IF(I3862="","unknown",I3862),H3862))</f>
        <v/>
      </c>
      <c r="Q3862" s="1" t="str">
        <f aca="false">IF(P3862="","",IFERROR(IF(AND(H3862="W7",OR(F3862="causal",F3862="predictive")),IF(AND(K3862=1,L3862=1,M3862=1),"adequate","partial"),INDEX(Fit_Matrix!$B:$B,MATCH(P3862,Fit_Matrix!$A:$A,0))),"CHECK KEY"))</f>
        <v/>
      </c>
    </row>
    <row r="3863" customFormat="false" ht="15" hidden="false" customHeight="true" outlineLevel="0" collapsed="false">
      <c r="P3863" s="1" t="str">
        <f aca="false">IF(OR(F3863="",H3863="",J3863=""),"",J3863&amp;"|"&amp;F3863&amp;"|"&amp;IF(H3863="W3","W3_"&amp;IF(I3863="","unknown",I3863),H3863))</f>
        <v/>
      </c>
      <c r="Q3863" s="1" t="str">
        <f aca="false">IF(P3863="","",IFERROR(IF(AND(H3863="W7",OR(F3863="causal",F3863="predictive")),IF(AND(K3863=1,L3863=1,M3863=1),"adequate","partial"),INDEX(Fit_Matrix!$B:$B,MATCH(P3863,Fit_Matrix!$A:$A,0))),"CHECK KEY"))</f>
        <v/>
      </c>
    </row>
    <row r="3864" customFormat="false" ht="15" hidden="false" customHeight="true" outlineLevel="0" collapsed="false">
      <c r="P3864" s="1" t="str">
        <f aca="false">IF(OR(F3864="",H3864="",J3864=""),"",J3864&amp;"|"&amp;F3864&amp;"|"&amp;IF(H3864="W3","W3_"&amp;IF(I3864="","unknown",I3864),H3864))</f>
        <v/>
      </c>
      <c r="Q3864" s="1" t="str">
        <f aca="false">IF(P3864="","",IFERROR(IF(AND(H3864="W7",OR(F3864="causal",F3864="predictive")),IF(AND(K3864=1,L3864=1,M3864=1),"adequate","partial"),INDEX(Fit_Matrix!$B:$B,MATCH(P3864,Fit_Matrix!$A:$A,0))),"CHECK KEY"))</f>
        <v/>
      </c>
    </row>
    <row r="3865" customFormat="false" ht="15" hidden="false" customHeight="true" outlineLevel="0" collapsed="false">
      <c r="P3865" s="1" t="str">
        <f aca="false">IF(OR(F3865="",H3865="",J3865=""),"",J3865&amp;"|"&amp;F3865&amp;"|"&amp;IF(H3865="W3","W3_"&amp;IF(I3865="","unknown",I3865),H3865))</f>
        <v/>
      </c>
      <c r="Q3865" s="1" t="str">
        <f aca="false">IF(P3865="","",IFERROR(IF(AND(H3865="W7",OR(F3865="causal",F3865="predictive")),IF(AND(K3865=1,L3865=1,M3865=1),"adequate","partial"),INDEX(Fit_Matrix!$B:$B,MATCH(P3865,Fit_Matrix!$A:$A,0))),"CHECK KEY"))</f>
        <v/>
      </c>
    </row>
    <row r="3866" customFormat="false" ht="15" hidden="false" customHeight="true" outlineLevel="0" collapsed="false">
      <c r="P3866" s="1" t="str">
        <f aca="false">IF(OR(F3866="",H3866="",J3866=""),"",J3866&amp;"|"&amp;F3866&amp;"|"&amp;IF(H3866="W3","W3_"&amp;IF(I3866="","unknown",I3866),H3866))</f>
        <v/>
      </c>
      <c r="Q3866" s="1" t="str">
        <f aca="false">IF(P3866="","",IFERROR(IF(AND(H3866="W7",OR(F3866="causal",F3866="predictive")),IF(AND(K3866=1,L3866=1,M3866=1),"adequate","partial"),INDEX(Fit_Matrix!$B:$B,MATCH(P3866,Fit_Matrix!$A:$A,0))),"CHECK KEY"))</f>
        <v/>
      </c>
    </row>
    <row r="3867" customFormat="false" ht="15" hidden="false" customHeight="true" outlineLevel="0" collapsed="false">
      <c r="P3867" s="1" t="str">
        <f aca="false">IF(OR(F3867="",H3867="",J3867=""),"",J3867&amp;"|"&amp;F3867&amp;"|"&amp;IF(H3867="W3","W3_"&amp;IF(I3867="","unknown",I3867),H3867))</f>
        <v/>
      </c>
      <c r="Q3867" s="1" t="str">
        <f aca="false">IF(P3867="","",IFERROR(IF(AND(H3867="W7",OR(F3867="causal",F3867="predictive")),IF(AND(K3867=1,L3867=1,M3867=1),"adequate","partial"),INDEX(Fit_Matrix!$B:$B,MATCH(P3867,Fit_Matrix!$A:$A,0))),"CHECK KEY"))</f>
        <v/>
      </c>
    </row>
    <row r="3868" customFormat="false" ht="15" hidden="false" customHeight="true" outlineLevel="0" collapsed="false">
      <c r="P3868" s="1" t="str">
        <f aca="false">IF(OR(F3868="",H3868="",J3868=""),"",J3868&amp;"|"&amp;F3868&amp;"|"&amp;IF(H3868="W3","W3_"&amp;IF(I3868="","unknown",I3868),H3868))</f>
        <v/>
      </c>
      <c r="Q3868" s="1" t="str">
        <f aca="false">IF(P3868="","",IFERROR(IF(AND(H3868="W7",OR(F3868="causal",F3868="predictive")),IF(AND(K3868=1,L3868=1,M3868=1),"adequate","partial"),INDEX(Fit_Matrix!$B:$B,MATCH(P3868,Fit_Matrix!$A:$A,0))),"CHECK KEY"))</f>
        <v/>
      </c>
    </row>
    <row r="3869" customFormat="false" ht="15" hidden="false" customHeight="true" outlineLevel="0" collapsed="false">
      <c r="P3869" s="1" t="str">
        <f aca="false">IF(OR(F3869="",H3869="",J3869=""),"",J3869&amp;"|"&amp;F3869&amp;"|"&amp;IF(H3869="W3","W3_"&amp;IF(I3869="","unknown",I3869),H3869))</f>
        <v/>
      </c>
      <c r="Q3869" s="1" t="str">
        <f aca="false">IF(P3869="","",IFERROR(IF(AND(H3869="W7",OR(F3869="causal",F3869="predictive")),IF(AND(K3869=1,L3869=1,M3869=1),"adequate","partial"),INDEX(Fit_Matrix!$B:$B,MATCH(P3869,Fit_Matrix!$A:$A,0))),"CHECK KEY"))</f>
        <v/>
      </c>
    </row>
    <row r="3870" customFormat="false" ht="15" hidden="false" customHeight="true" outlineLevel="0" collapsed="false">
      <c r="P3870" s="1" t="str">
        <f aca="false">IF(OR(F3870="",H3870="",J3870=""),"",J3870&amp;"|"&amp;F3870&amp;"|"&amp;IF(H3870="W3","W3_"&amp;IF(I3870="","unknown",I3870),H3870))</f>
        <v/>
      </c>
      <c r="Q3870" s="1" t="str">
        <f aca="false">IF(P3870="","",IFERROR(IF(AND(H3870="W7",OR(F3870="causal",F3870="predictive")),IF(AND(K3870=1,L3870=1,M3870=1),"adequate","partial"),INDEX(Fit_Matrix!$B:$B,MATCH(P3870,Fit_Matrix!$A:$A,0))),"CHECK KEY"))</f>
        <v/>
      </c>
    </row>
    <row r="3871" customFormat="false" ht="15" hidden="false" customHeight="true" outlineLevel="0" collapsed="false">
      <c r="P3871" s="1" t="str">
        <f aca="false">IF(OR(F3871="",H3871="",J3871=""),"",J3871&amp;"|"&amp;F3871&amp;"|"&amp;IF(H3871="W3","W3_"&amp;IF(I3871="","unknown",I3871),H3871))</f>
        <v/>
      </c>
      <c r="Q3871" s="1" t="str">
        <f aca="false">IF(P3871="","",IFERROR(IF(AND(H3871="W7",OR(F3871="causal",F3871="predictive")),IF(AND(K3871=1,L3871=1,M3871=1),"adequate","partial"),INDEX(Fit_Matrix!$B:$B,MATCH(P3871,Fit_Matrix!$A:$A,0))),"CHECK KEY"))</f>
        <v/>
      </c>
    </row>
    <row r="3872" customFormat="false" ht="15" hidden="false" customHeight="true" outlineLevel="0" collapsed="false">
      <c r="P3872" s="1" t="str">
        <f aca="false">IF(OR(F3872="",H3872="",J3872=""),"",J3872&amp;"|"&amp;F3872&amp;"|"&amp;IF(H3872="W3","W3_"&amp;IF(I3872="","unknown",I3872),H3872))</f>
        <v/>
      </c>
      <c r="Q3872" s="1" t="str">
        <f aca="false">IF(P3872="","",IFERROR(IF(AND(H3872="W7",OR(F3872="causal",F3872="predictive")),IF(AND(K3872=1,L3872=1,M3872=1),"adequate","partial"),INDEX(Fit_Matrix!$B:$B,MATCH(P3872,Fit_Matrix!$A:$A,0))),"CHECK KEY"))</f>
        <v/>
      </c>
    </row>
    <row r="3873" customFormat="false" ht="15" hidden="false" customHeight="true" outlineLevel="0" collapsed="false">
      <c r="P3873" s="1" t="str">
        <f aca="false">IF(OR(F3873="",H3873="",J3873=""),"",J3873&amp;"|"&amp;F3873&amp;"|"&amp;IF(H3873="W3","W3_"&amp;IF(I3873="","unknown",I3873),H3873))</f>
        <v/>
      </c>
      <c r="Q3873" s="1" t="str">
        <f aca="false">IF(P3873="","",IFERROR(IF(AND(H3873="W7",OR(F3873="causal",F3873="predictive")),IF(AND(K3873=1,L3873=1,M3873=1),"adequate","partial"),INDEX(Fit_Matrix!$B:$B,MATCH(P3873,Fit_Matrix!$A:$A,0))),"CHECK KEY"))</f>
        <v/>
      </c>
    </row>
    <row r="3874" customFormat="false" ht="15" hidden="false" customHeight="true" outlineLevel="0" collapsed="false">
      <c r="P3874" s="1" t="str">
        <f aca="false">IF(OR(F3874="",H3874="",J3874=""),"",J3874&amp;"|"&amp;F3874&amp;"|"&amp;IF(H3874="W3","W3_"&amp;IF(I3874="","unknown",I3874),H3874))</f>
        <v/>
      </c>
      <c r="Q3874" s="1" t="str">
        <f aca="false">IF(P3874="","",IFERROR(IF(AND(H3874="W7",OR(F3874="causal",F3874="predictive")),IF(AND(K3874=1,L3874=1,M3874=1),"adequate","partial"),INDEX(Fit_Matrix!$B:$B,MATCH(P3874,Fit_Matrix!$A:$A,0))),"CHECK KEY"))</f>
        <v/>
      </c>
    </row>
    <row r="3875" customFormat="false" ht="15" hidden="false" customHeight="true" outlineLevel="0" collapsed="false">
      <c r="P3875" s="1" t="str">
        <f aca="false">IF(OR(F3875="",H3875="",J3875=""),"",J3875&amp;"|"&amp;F3875&amp;"|"&amp;IF(H3875="W3","W3_"&amp;IF(I3875="","unknown",I3875),H3875))</f>
        <v/>
      </c>
      <c r="Q3875" s="1" t="str">
        <f aca="false">IF(P3875="","",IFERROR(IF(AND(H3875="W7",OR(F3875="causal",F3875="predictive")),IF(AND(K3875=1,L3875=1,M3875=1),"adequate","partial"),INDEX(Fit_Matrix!$B:$B,MATCH(P3875,Fit_Matrix!$A:$A,0))),"CHECK KEY"))</f>
        <v/>
      </c>
    </row>
    <row r="3876" customFormat="false" ht="15" hidden="false" customHeight="true" outlineLevel="0" collapsed="false">
      <c r="P3876" s="1" t="str">
        <f aca="false">IF(OR(F3876="",H3876="",J3876=""),"",J3876&amp;"|"&amp;F3876&amp;"|"&amp;IF(H3876="W3","W3_"&amp;IF(I3876="","unknown",I3876),H3876))</f>
        <v/>
      </c>
      <c r="Q3876" s="1" t="str">
        <f aca="false">IF(P3876="","",IFERROR(IF(AND(H3876="W7",OR(F3876="causal",F3876="predictive")),IF(AND(K3876=1,L3876=1,M3876=1),"adequate","partial"),INDEX(Fit_Matrix!$B:$B,MATCH(P3876,Fit_Matrix!$A:$A,0))),"CHECK KEY"))</f>
        <v/>
      </c>
    </row>
    <row r="3877" customFormat="false" ht="15" hidden="false" customHeight="true" outlineLevel="0" collapsed="false">
      <c r="P3877" s="1" t="str">
        <f aca="false">IF(OR(F3877="",H3877="",J3877=""),"",J3877&amp;"|"&amp;F3877&amp;"|"&amp;IF(H3877="W3","W3_"&amp;IF(I3877="","unknown",I3877),H3877))</f>
        <v/>
      </c>
      <c r="Q3877" s="1" t="str">
        <f aca="false">IF(P3877="","",IFERROR(IF(AND(H3877="W7",OR(F3877="causal",F3877="predictive")),IF(AND(K3877=1,L3877=1,M3877=1),"adequate","partial"),INDEX(Fit_Matrix!$B:$B,MATCH(P3877,Fit_Matrix!$A:$A,0))),"CHECK KEY"))</f>
        <v/>
      </c>
    </row>
    <row r="3878" customFormat="false" ht="15" hidden="false" customHeight="true" outlineLevel="0" collapsed="false">
      <c r="P3878" s="1" t="str">
        <f aca="false">IF(OR(F3878="",H3878="",J3878=""),"",J3878&amp;"|"&amp;F3878&amp;"|"&amp;IF(H3878="W3","W3_"&amp;IF(I3878="","unknown",I3878),H3878))</f>
        <v/>
      </c>
      <c r="Q3878" s="1" t="str">
        <f aca="false">IF(P3878="","",IFERROR(IF(AND(H3878="W7",OR(F3878="causal",F3878="predictive")),IF(AND(K3878=1,L3878=1,M3878=1),"adequate","partial"),INDEX(Fit_Matrix!$B:$B,MATCH(P3878,Fit_Matrix!$A:$A,0))),"CHECK KEY"))</f>
        <v/>
      </c>
    </row>
    <row r="3879" customFormat="false" ht="15" hidden="false" customHeight="true" outlineLevel="0" collapsed="false">
      <c r="P3879" s="1" t="str">
        <f aca="false">IF(OR(F3879="",H3879="",J3879=""),"",J3879&amp;"|"&amp;F3879&amp;"|"&amp;IF(H3879="W3","W3_"&amp;IF(I3879="","unknown",I3879),H3879))</f>
        <v/>
      </c>
      <c r="Q3879" s="1" t="str">
        <f aca="false">IF(P3879="","",IFERROR(IF(AND(H3879="W7",OR(F3879="causal",F3879="predictive")),IF(AND(K3879=1,L3879=1,M3879=1),"adequate","partial"),INDEX(Fit_Matrix!$B:$B,MATCH(P3879,Fit_Matrix!$A:$A,0))),"CHECK KEY"))</f>
        <v/>
      </c>
    </row>
    <row r="3880" customFormat="false" ht="15" hidden="false" customHeight="true" outlineLevel="0" collapsed="false">
      <c r="P3880" s="1" t="str">
        <f aca="false">IF(OR(F3880="",H3880="",J3880=""),"",J3880&amp;"|"&amp;F3880&amp;"|"&amp;IF(H3880="W3","W3_"&amp;IF(I3880="","unknown",I3880),H3880))</f>
        <v/>
      </c>
      <c r="Q3880" s="1" t="str">
        <f aca="false">IF(P3880="","",IFERROR(IF(AND(H3880="W7",OR(F3880="causal",F3880="predictive")),IF(AND(K3880=1,L3880=1,M3880=1),"adequate","partial"),INDEX(Fit_Matrix!$B:$B,MATCH(P3880,Fit_Matrix!$A:$A,0))),"CHECK KEY"))</f>
        <v/>
      </c>
    </row>
    <row r="3881" customFormat="false" ht="15" hidden="false" customHeight="true" outlineLevel="0" collapsed="false">
      <c r="P3881" s="1" t="str">
        <f aca="false">IF(OR(F3881="",H3881="",J3881=""),"",J3881&amp;"|"&amp;F3881&amp;"|"&amp;IF(H3881="W3","W3_"&amp;IF(I3881="","unknown",I3881),H3881))</f>
        <v/>
      </c>
      <c r="Q3881" s="1" t="str">
        <f aca="false">IF(P3881="","",IFERROR(IF(AND(H3881="W7",OR(F3881="causal",F3881="predictive")),IF(AND(K3881=1,L3881=1,M3881=1),"adequate","partial"),INDEX(Fit_Matrix!$B:$B,MATCH(P3881,Fit_Matrix!$A:$A,0))),"CHECK KEY"))</f>
        <v/>
      </c>
    </row>
    <row r="3882" customFormat="false" ht="15" hidden="false" customHeight="true" outlineLevel="0" collapsed="false">
      <c r="P3882" s="1" t="str">
        <f aca="false">IF(OR(F3882="",H3882="",J3882=""),"",J3882&amp;"|"&amp;F3882&amp;"|"&amp;IF(H3882="W3","W3_"&amp;IF(I3882="","unknown",I3882),H3882))</f>
        <v/>
      </c>
      <c r="Q3882" s="1" t="str">
        <f aca="false">IF(P3882="","",IFERROR(IF(AND(H3882="W7",OR(F3882="causal",F3882="predictive")),IF(AND(K3882=1,L3882=1,M3882=1),"adequate","partial"),INDEX(Fit_Matrix!$B:$B,MATCH(P3882,Fit_Matrix!$A:$A,0))),"CHECK KEY"))</f>
        <v/>
      </c>
    </row>
    <row r="3883" customFormat="false" ht="15" hidden="false" customHeight="true" outlineLevel="0" collapsed="false">
      <c r="P3883" s="1" t="str">
        <f aca="false">IF(OR(F3883="",H3883="",J3883=""),"",J3883&amp;"|"&amp;F3883&amp;"|"&amp;IF(H3883="W3","W3_"&amp;IF(I3883="","unknown",I3883),H3883))</f>
        <v/>
      </c>
      <c r="Q3883" s="1" t="str">
        <f aca="false">IF(P3883="","",IFERROR(IF(AND(H3883="W7",OR(F3883="causal",F3883="predictive")),IF(AND(K3883=1,L3883=1,M3883=1),"adequate","partial"),INDEX(Fit_Matrix!$B:$B,MATCH(P3883,Fit_Matrix!$A:$A,0))),"CHECK KEY"))</f>
        <v/>
      </c>
    </row>
    <row r="3884" customFormat="false" ht="15" hidden="false" customHeight="true" outlineLevel="0" collapsed="false">
      <c r="P3884" s="1" t="str">
        <f aca="false">IF(OR(F3884="",H3884="",J3884=""),"",J3884&amp;"|"&amp;F3884&amp;"|"&amp;IF(H3884="W3","W3_"&amp;IF(I3884="","unknown",I3884),H3884))</f>
        <v/>
      </c>
      <c r="Q3884" s="1" t="str">
        <f aca="false">IF(P3884="","",IFERROR(IF(AND(H3884="W7",OR(F3884="causal",F3884="predictive")),IF(AND(K3884=1,L3884=1,M3884=1),"adequate","partial"),INDEX(Fit_Matrix!$B:$B,MATCH(P3884,Fit_Matrix!$A:$A,0))),"CHECK KEY"))</f>
        <v/>
      </c>
    </row>
    <row r="3885" customFormat="false" ht="15" hidden="false" customHeight="true" outlineLevel="0" collapsed="false">
      <c r="P3885" s="1" t="str">
        <f aca="false">IF(OR(F3885="",H3885="",J3885=""),"",J3885&amp;"|"&amp;F3885&amp;"|"&amp;IF(H3885="W3","W3_"&amp;IF(I3885="","unknown",I3885),H3885))</f>
        <v/>
      </c>
      <c r="Q3885" s="1" t="str">
        <f aca="false">IF(P3885="","",IFERROR(IF(AND(H3885="W7",OR(F3885="causal",F3885="predictive")),IF(AND(K3885=1,L3885=1,M3885=1),"adequate","partial"),INDEX(Fit_Matrix!$B:$B,MATCH(P3885,Fit_Matrix!$A:$A,0))),"CHECK KEY"))</f>
        <v/>
      </c>
    </row>
    <row r="3886" customFormat="false" ht="15" hidden="false" customHeight="true" outlineLevel="0" collapsed="false">
      <c r="P3886" s="1" t="str">
        <f aca="false">IF(OR(F3886="",H3886="",J3886=""),"",J3886&amp;"|"&amp;F3886&amp;"|"&amp;IF(H3886="W3","W3_"&amp;IF(I3886="","unknown",I3886),H3886))</f>
        <v/>
      </c>
      <c r="Q3886" s="1" t="str">
        <f aca="false">IF(P3886="","",IFERROR(IF(AND(H3886="W7",OR(F3886="causal",F3886="predictive")),IF(AND(K3886=1,L3886=1,M3886=1),"adequate","partial"),INDEX(Fit_Matrix!$B:$B,MATCH(P3886,Fit_Matrix!$A:$A,0))),"CHECK KEY"))</f>
        <v/>
      </c>
    </row>
    <row r="3887" customFormat="false" ht="15" hidden="false" customHeight="true" outlineLevel="0" collapsed="false">
      <c r="P3887" s="1" t="str">
        <f aca="false">IF(OR(F3887="",H3887="",J3887=""),"",J3887&amp;"|"&amp;F3887&amp;"|"&amp;IF(H3887="W3","W3_"&amp;IF(I3887="","unknown",I3887),H3887))</f>
        <v/>
      </c>
      <c r="Q3887" s="1" t="str">
        <f aca="false">IF(P3887="","",IFERROR(IF(AND(H3887="W7",OR(F3887="causal",F3887="predictive")),IF(AND(K3887=1,L3887=1,M3887=1),"adequate","partial"),INDEX(Fit_Matrix!$B:$B,MATCH(P3887,Fit_Matrix!$A:$A,0))),"CHECK KEY"))</f>
        <v/>
      </c>
    </row>
    <row r="3888" customFormat="false" ht="15" hidden="false" customHeight="true" outlineLevel="0" collapsed="false">
      <c r="P3888" s="1" t="str">
        <f aca="false">IF(OR(F3888="",H3888="",J3888=""),"",J3888&amp;"|"&amp;F3888&amp;"|"&amp;IF(H3888="W3","W3_"&amp;IF(I3888="","unknown",I3888),H3888))</f>
        <v/>
      </c>
      <c r="Q3888" s="1" t="str">
        <f aca="false">IF(P3888="","",IFERROR(IF(AND(H3888="W7",OR(F3888="causal",F3888="predictive")),IF(AND(K3888=1,L3888=1,M3888=1),"adequate","partial"),INDEX(Fit_Matrix!$B:$B,MATCH(P3888,Fit_Matrix!$A:$A,0))),"CHECK KEY"))</f>
        <v/>
      </c>
    </row>
    <row r="3889" customFormat="false" ht="15" hidden="false" customHeight="true" outlineLevel="0" collapsed="false">
      <c r="P3889" s="1" t="str">
        <f aca="false">IF(OR(F3889="",H3889="",J3889=""),"",J3889&amp;"|"&amp;F3889&amp;"|"&amp;IF(H3889="W3","W3_"&amp;IF(I3889="","unknown",I3889),H3889))</f>
        <v/>
      </c>
      <c r="Q3889" s="1" t="str">
        <f aca="false">IF(P3889="","",IFERROR(IF(AND(H3889="W7",OR(F3889="causal",F3889="predictive")),IF(AND(K3889=1,L3889=1,M3889=1),"adequate","partial"),INDEX(Fit_Matrix!$B:$B,MATCH(P3889,Fit_Matrix!$A:$A,0))),"CHECK KEY"))</f>
        <v/>
      </c>
    </row>
    <row r="3890" customFormat="false" ht="15" hidden="false" customHeight="true" outlineLevel="0" collapsed="false">
      <c r="P3890" s="1" t="str">
        <f aca="false">IF(OR(F3890="",H3890="",J3890=""),"",J3890&amp;"|"&amp;F3890&amp;"|"&amp;IF(H3890="W3","W3_"&amp;IF(I3890="","unknown",I3890),H3890))</f>
        <v/>
      </c>
      <c r="Q3890" s="1" t="str">
        <f aca="false">IF(P3890="","",IFERROR(IF(AND(H3890="W7",OR(F3890="causal",F3890="predictive")),IF(AND(K3890=1,L3890=1,M3890=1),"adequate","partial"),INDEX(Fit_Matrix!$B:$B,MATCH(P3890,Fit_Matrix!$A:$A,0))),"CHECK KEY"))</f>
        <v/>
      </c>
    </row>
    <row r="3891" customFormat="false" ht="15" hidden="false" customHeight="true" outlineLevel="0" collapsed="false">
      <c r="P3891" s="1" t="str">
        <f aca="false">IF(OR(F3891="",H3891="",J3891=""),"",J3891&amp;"|"&amp;F3891&amp;"|"&amp;IF(H3891="W3","W3_"&amp;IF(I3891="","unknown",I3891),H3891))</f>
        <v/>
      </c>
      <c r="Q3891" s="1" t="str">
        <f aca="false">IF(P3891="","",IFERROR(IF(AND(H3891="W7",OR(F3891="causal",F3891="predictive")),IF(AND(K3891=1,L3891=1,M3891=1),"adequate","partial"),INDEX(Fit_Matrix!$B:$B,MATCH(P3891,Fit_Matrix!$A:$A,0))),"CHECK KEY"))</f>
        <v/>
      </c>
    </row>
    <row r="3892" customFormat="false" ht="15" hidden="false" customHeight="true" outlineLevel="0" collapsed="false">
      <c r="P3892" s="1" t="str">
        <f aca="false">IF(OR(F3892="",H3892="",J3892=""),"",J3892&amp;"|"&amp;F3892&amp;"|"&amp;IF(H3892="W3","W3_"&amp;IF(I3892="","unknown",I3892),H3892))</f>
        <v/>
      </c>
      <c r="Q3892" s="1" t="str">
        <f aca="false">IF(P3892="","",IFERROR(IF(AND(H3892="W7",OR(F3892="causal",F3892="predictive")),IF(AND(K3892=1,L3892=1,M3892=1),"adequate","partial"),INDEX(Fit_Matrix!$B:$B,MATCH(P3892,Fit_Matrix!$A:$A,0))),"CHECK KEY"))</f>
        <v/>
      </c>
    </row>
    <row r="3893" customFormat="false" ht="15" hidden="false" customHeight="true" outlineLevel="0" collapsed="false">
      <c r="P3893" s="1" t="str">
        <f aca="false">IF(OR(F3893="",H3893="",J3893=""),"",J3893&amp;"|"&amp;F3893&amp;"|"&amp;IF(H3893="W3","W3_"&amp;IF(I3893="","unknown",I3893),H3893))</f>
        <v/>
      </c>
      <c r="Q3893" s="1" t="str">
        <f aca="false">IF(P3893="","",IFERROR(IF(AND(H3893="W7",OR(F3893="causal",F3893="predictive")),IF(AND(K3893=1,L3893=1,M3893=1),"adequate","partial"),INDEX(Fit_Matrix!$B:$B,MATCH(P3893,Fit_Matrix!$A:$A,0))),"CHECK KEY"))</f>
        <v/>
      </c>
    </row>
    <row r="3894" customFormat="false" ht="15" hidden="false" customHeight="true" outlineLevel="0" collapsed="false">
      <c r="P3894" s="1" t="str">
        <f aca="false">IF(OR(F3894="",H3894="",J3894=""),"",J3894&amp;"|"&amp;F3894&amp;"|"&amp;IF(H3894="W3","W3_"&amp;IF(I3894="","unknown",I3894),H3894))</f>
        <v/>
      </c>
      <c r="Q3894" s="1" t="str">
        <f aca="false">IF(P3894="","",IFERROR(IF(AND(H3894="W7",OR(F3894="causal",F3894="predictive")),IF(AND(K3894=1,L3894=1,M3894=1),"adequate","partial"),INDEX(Fit_Matrix!$B:$B,MATCH(P3894,Fit_Matrix!$A:$A,0))),"CHECK KEY"))</f>
        <v/>
      </c>
    </row>
    <row r="3895" customFormat="false" ht="15" hidden="false" customHeight="true" outlineLevel="0" collapsed="false">
      <c r="P3895" s="1" t="str">
        <f aca="false">IF(OR(F3895="",H3895="",J3895=""),"",J3895&amp;"|"&amp;F3895&amp;"|"&amp;IF(H3895="W3","W3_"&amp;IF(I3895="","unknown",I3895),H3895))</f>
        <v/>
      </c>
      <c r="Q3895" s="1" t="str">
        <f aca="false">IF(P3895="","",IFERROR(IF(AND(H3895="W7",OR(F3895="causal",F3895="predictive")),IF(AND(K3895=1,L3895=1,M3895=1),"adequate","partial"),INDEX(Fit_Matrix!$B:$B,MATCH(P3895,Fit_Matrix!$A:$A,0))),"CHECK KEY"))</f>
        <v/>
      </c>
    </row>
    <row r="3896" customFormat="false" ht="15" hidden="false" customHeight="true" outlineLevel="0" collapsed="false">
      <c r="P3896" s="1" t="str">
        <f aca="false">IF(OR(F3896="",H3896="",J3896=""),"",J3896&amp;"|"&amp;F3896&amp;"|"&amp;IF(H3896="W3","W3_"&amp;IF(I3896="","unknown",I3896),H3896))</f>
        <v/>
      </c>
      <c r="Q3896" s="1" t="str">
        <f aca="false">IF(P3896="","",IFERROR(IF(AND(H3896="W7",OR(F3896="causal",F3896="predictive")),IF(AND(K3896=1,L3896=1,M3896=1),"adequate","partial"),INDEX(Fit_Matrix!$B:$B,MATCH(P3896,Fit_Matrix!$A:$A,0))),"CHECK KEY"))</f>
        <v/>
      </c>
    </row>
    <row r="3897" customFormat="false" ht="15" hidden="false" customHeight="true" outlineLevel="0" collapsed="false">
      <c r="P3897" s="1" t="str">
        <f aca="false">IF(OR(F3897="",H3897="",J3897=""),"",J3897&amp;"|"&amp;F3897&amp;"|"&amp;IF(H3897="W3","W3_"&amp;IF(I3897="","unknown",I3897),H3897))</f>
        <v/>
      </c>
      <c r="Q3897" s="1" t="str">
        <f aca="false">IF(P3897="","",IFERROR(IF(AND(H3897="W7",OR(F3897="causal",F3897="predictive")),IF(AND(K3897=1,L3897=1,M3897=1),"adequate","partial"),INDEX(Fit_Matrix!$B:$B,MATCH(P3897,Fit_Matrix!$A:$A,0))),"CHECK KEY"))</f>
        <v/>
      </c>
    </row>
    <row r="3898" customFormat="false" ht="15" hidden="false" customHeight="true" outlineLevel="0" collapsed="false">
      <c r="P3898" s="1" t="str">
        <f aca="false">IF(OR(F3898="",H3898="",J3898=""),"",J3898&amp;"|"&amp;F3898&amp;"|"&amp;IF(H3898="W3","W3_"&amp;IF(I3898="","unknown",I3898),H3898))</f>
        <v/>
      </c>
      <c r="Q3898" s="1" t="str">
        <f aca="false">IF(P3898="","",IFERROR(IF(AND(H3898="W7",OR(F3898="causal",F3898="predictive")),IF(AND(K3898=1,L3898=1,M3898=1),"adequate","partial"),INDEX(Fit_Matrix!$B:$B,MATCH(P3898,Fit_Matrix!$A:$A,0))),"CHECK KEY"))</f>
        <v/>
      </c>
    </row>
    <row r="3899" customFormat="false" ht="15" hidden="false" customHeight="true" outlineLevel="0" collapsed="false">
      <c r="P3899" s="1" t="str">
        <f aca="false">IF(OR(F3899="",H3899="",J3899=""),"",J3899&amp;"|"&amp;F3899&amp;"|"&amp;IF(H3899="W3","W3_"&amp;IF(I3899="","unknown",I3899),H3899))</f>
        <v/>
      </c>
      <c r="Q3899" s="1" t="str">
        <f aca="false">IF(P3899="","",IFERROR(IF(AND(H3899="W7",OR(F3899="causal",F3899="predictive")),IF(AND(K3899=1,L3899=1,M3899=1),"adequate","partial"),INDEX(Fit_Matrix!$B:$B,MATCH(P3899,Fit_Matrix!$A:$A,0))),"CHECK KEY"))</f>
        <v/>
      </c>
    </row>
    <row r="3900" customFormat="false" ht="15" hidden="false" customHeight="true" outlineLevel="0" collapsed="false">
      <c r="P3900" s="1" t="str">
        <f aca="false">IF(OR(F3900="",H3900="",J3900=""),"",J3900&amp;"|"&amp;F3900&amp;"|"&amp;IF(H3900="W3","W3_"&amp;IF(I3900="","unknown",I3900),H3900))</f>
        <v/>
      </c>
      <c r="Q3900" s="1" t="str">
        <f aca="false">IF(P3900="","",IFERROR(IF(AND(H3900="W7",OR(F3900="causal",F3900="predictive")),IF(AND(K3900=1,L3900=1,M3900=1),"adequate","partial"),INDEX(Fit_Matrix!$B:$B,MATCH(P3900,Fit_Matrix!$A:$A,0))),"CHECK KEY"))</f>
        <v/>
      </c>
    </row>
    <row r="3901" customFormat="false" ht="15" hidden="false" customHeight="true" outlineLevel="0" collapsed="false">
      <c r="P3901" s="1" t="str">
        <f aca="false">IF(OR(F3901="",H3901="",J3901=""),"",J3901&amp;"|"&amp;F3901&amp;"|"&amp;IF(H3901="W3","W3_"&amp;IF(I3901="","unknown",I3901),H3901))</f>
        <v/>
      </c>
      <c r="Q3901" s="1" t="str">
        <f aca="false">IF(P3901="","",IFERROR(IF(AND(H3901="W7",OR(F3901="causal",F3901="predictive")),IF(AND(K3901=1,L3901=1,M3901=1),"adequate","partial"),INDEX(Fit_Matrix!$B:$B,MATCH(P3901,Fit_Matrix!$A:$A,0))),"CHECK KEY"))</f>
        <v/>
      </c>
    </row>
    <row r="3902" customFormat="false" ht="15" hidden="false" customHeight="true" outlineLevel="0" collapsed="false">
      <c r="P3902" s="1" t="str">
        <f aca="false">IF(OR(F3902="",H3902="",J3902=""),"",J3902&amp;"|"&amp;F3902&amp;"|"&amp;IF(H3902="W3","W3_"&amp;IF(I3902="","unknown",I3902),H3902))</f>
        <v/>
      </c>
      <c r="Q3902" s="1" t="str">
        <f aca="false">IF(P3902="","",IFERROR(IF(AND(H3902="W7",OR(F3902="causal",F3902="predictive")),IF(AND(K3902=1,L3902=1,M3902=1),"adequate","partial"),INDEX(Fit_Matrix!$B:$B,MATCH(P3902,Fit_Matrix!$A:$A,0))),"CHECK KEY"))</f>
        <v/>
      </c>
    </row>
    <row r="3903" customFormat="false" ht="15" hidden="false" customHeight="true" outlineLevel="0" collapsed="false">
      <c r="P3903" s="1" t="str">
        <f aca="false">IF(OR(F3903="",H3903="",J3903=""),"",J3903&amp;"|"&amp;F3903&amp;"|"&amp;IF(H3903="W3","W3_"&amp;IF(I3903="","unknown",I3903),H3903))</f>
        <v/>
      </c>
      <c r="Q3903" s="1" t="str">
        <f aca="false">IF(P3903="","",IFERROR(IF(AND(H3903="W7",OR(F3903="causal",F3903="predictive")),IF(AND(K3903=1,L3903=1,M3903=1),"adequate","partial"),INDEX(Fit_Matrix!$B:$B,MATCH(P3903,Fit_Matrix!$A:$A,0))),"CHECK KEY"))</f>
        <v/>
      </c>
    </row>
    <row r="3904" customFormat="false" ht="15" hidden="false" customHeight="true" outlineLevel="0" collapsed="false">
      <c r="P3904" s="1" t="str">
        <f aca="false">IF(OR(F3904="",H3904="",J3904=""),"",J3904&amp;"|"&amp;F3904&amp;"|"&amp;IF(H3904="W3","W3_"&amp;IF(I3904="","unknown",I3904),H3904))</f>
        <v/>
      </c>
      <c r="Q3904" s="1" t="str">
        <f aca="false">IF(P3904="","",IFERROR(IF(AND(H3904="W7",OR(F3904="causal",F3904="predictive")),IF(AND(K3904=1,L3904=1,M3904=1),"adequate","partial"),INDEX(Fit_Matrix!$B:$B,MATCH(P3904,Fit_Matrix!$A:$A,0))),"CHECK KEY"))</f>
        <v/>
      </c>
    </row>
    <row r="3905" customFormat="false" ht="15" hidden="false" customHeight="true" outlineLevel="0" collapsed="false">
      <c r="P3905" s="1" t="str">
        <f aca="false">IF(OR(F3905="",H3905="",J3905=""),"",J3905&amp;"|"&amp;F3905&amp;"|"&amp;IF(H3905="W3","W3_"&amp;IF(I3905="","unknown",I3905),H3905))</f>
        <v/>
      </c>
      <c r="Q3905" s="1" t="str">
        <f aca="false">IF(P3905="","",IFERROR(IF(AND(H3905="W7",OR(F3905="causal",F3905="predictive")),IF(AND(K3905=1,L3905=1,M3905=1),"adequate","partial"),INDEX(Fit_Matrix!$B:$B,MATCH(P3905,Fit_Matrix!$A:$A,0))),"CHECK KEY"))</f>
        <v/>
      </c>
    </row>
    <row r="3906" customFormat="false" ht="15" hidden="false" customHeight="true" outlineLevel="0" collapsed="false">
      <c r="P3906" s="1" t="str">
        <f aca="false">IF(OR(F3906="",H3906="",J3906=""),"",J3906&amp;"|"&amp;F3906&amp;"|"&amp;IF(H3906="W3","W3_"&amp;IF(I3906="","unknown",I3906),H3906))</f>
        <v/>
      </c>
      <c r="Q3906" s="1" t="str">
        <f aca="false">IF(P3906="","",IFERROR(IF(AND(H3906="W7",OR(F3906="causal",F3906="predictive")),IF(AND(K3906=1,L3906=1,M3906=1),"adequate","partial"),INDEX(Fit_Matrix!$B:$B,MATCH(P3906,Fit_Matrix!$A:$A,0))),"CHECK KEY"))</f>
        <v/>
      </c>
    </row>
    <row r="3907" customFormat="false" ht="15" hidden="false" customHeight="true" outlineLevel="0" collapsed="false">
      <c r="P3907" s="1" t="str">
        <f aca="false">IF(OR(F3907="",H3907="",J3907=""),"",J3907&amp;"|"&amp;F3907&amp;"|"&amp;IF(H3907="W3","W3_"&amp;IF(I3907="","unknown",I3907),H3907))</f>
        <v/>
      </c>
      <c r="Q3907" s="1" t="str">
        <f aca="false">IF(P3907="","",IFERROR(IF(AND(H3907="W7",OR(F3907="causal",F3907="predictive")),IF(AND(K3907=1,L3907=1,M3907=1),"adequate","partial"),INDEX(Fit_Matrix!$B:$B,MATCH(P3907,Fit_Matrix!$A:$A,0))),"CHECK KEY"))</f>
        <v/>
      </c>
    </row>
    <row r="3908" customFormat="false" ht="15" hidden="false" customHeight="true" outlineLevel="0" collapsed="false">
      <c r="P3908" s="1" t="str">
        <f aca="false">IF(OR(F3908="",H3908="",J3908=""),"",J3908&amp;"|"&amp;F3908&amp;"|"&amp;IF(H3908="W3","W3_"&amp;IF(I3908="","unknown",I3908),H3908))</f>
        <v/>
      </c>
      <c r="Q3908" s="1" t="str">
        <f aca="false">IF(P3908="","",IFERROR(IF(AND(H3908="W7",OR(F3908="causal",F3908="predictive")),IF(AND(K3908=1,L3908=1,M3908=1),"adequate","partial"),INDEX(Fit_Matrix!$B:$B,MATCH(P3908,Fit_Matrix!$A:$A,0))),"CHECK KEY"))</f>
        <v/>
      </c>
    </row>
    <row r="3909" customFormat="false" ht="15" hidden="false" customHeight="true" outlineLevel="0" collapsed="false">
      <c r="P3909" s="1" t="str">
        <f aca="false">IF(OR(F3909="",H3909="",J3909=""),"",J3909&amp;"|"&amp;F3909&amp;"|"&amp;IF(H3909="W3","W3_"&amp;IF(I3909="","unknown",I3909),H3909))</f>
        <v/>
      </c>
      <c r="Q3909" s="1" t="str">
        <f aca="false">IF(P3909="","",IFERROR(IF(AND(H3909="W7",OR(F3909="causal",F3909="predictive")),IF(AND(K3909=1,L3909=1,M3909=1),"adequate","partial"),INDEX(Fit_Matrix!$B:$B,MATCH(P3909,Fit_Matrix!$A:$A,0))),"CHECK KEY"))</f>
        <v/>
      </c>
    </row>
    <row r="3910" customFormat="false" ht="15" hidden="false" customHeight="true" outlineLevel="0" collapsed="false">
      <c r="P3910" s="1" t="str">
        <f aca="false">IF(OR(F3910="",H3910="",J3910=""),"",J3910&amp;"|"&amp;F3910&amp;"|"&amp;IF(H3910="W3","W3_"&amp;IF(I3910="","unknown",I3910),H3910))</f>
        <v/>
      </c>
      <c r="Q3910" s="1" t="str">
        <f aca="false">IF(P3910="","",IFERROR(IF(AND(H3910="W7",OR(F3910="causal",F3910="predictive")),IF(AND(K3910=1,L3910=1,M3910=1),"adequate","partial"),INDEX(Fit_Matrix!$B:$B,MATCH(P3910,Fit_Matrix!$A:$A,0))),"CHECK KEY"))</f>
        <v/>
      </c>
    </row>
    <row r="3911" customFormat="false" ht="15" hidden="false" customHeight="true" outlineLevel="0" collapsed="false">
      <c r="P3911" s="1" t="str">
        <f aca="false">IF(OR(F3911="",H3911="",J3911=""),"",J3911&amp;"|"&amp;F3911&amp;"|"&amp;IF(H3911="W3","W3_"&amp;IF(I3911="","unknown",I3911),H3911))</f>
        <v/>
      </c>
      <c r="Q3911" s="1" t="str">
        <f aca="false">IF(P3911="","",IFERROR(IF(AND(H3911="W7",OR(F3911="causal",F3911="predictive")),IF(AND(K3911=1,L3911=1,M3911=1),"adequate","partial"),INDEX(Fit_Matrix!$B:$B,MATCH(P3911,Fit_Matrix!$A:$A,0))),"CHECK KEY"))</f>
        <v/>
      </c>
    </row>
    <row r="3912" customFormat="false" ht="15" hidden="false" customHeight="true" outlineLevel="0" collapsed="false">
      <c r="P3912" s="1" t="str">
        <f aca="false">IF(OR(F3912="",H3912="",J3912=""),"",J3912&amp;"|"&amp;F3912&amp;"|"&amp;IF(H3912="W3","W3_"&amp;IF(I3912="","unknown",I3912),H3912))</f>
        <v/>
      </c>
      <c r="Q3912" s="1" t="str">
        <f aca="false">IF(P3912="","",IFERROR(IF(AND(H3912="W7",OR(F3912="causal",F3912="predictive")),IF(AND(K3912=1,L3912=1,M3912=1),"adequate","partial"),INDEX(Fit_Matrix!$B:$B,MATCH(P3912,Fit_Matrix!$A:$A,0))),"CHECK KEY"))</f>
        <v/>
      </c>
    </row>
    <row r="3913" customFormat="false" ht="15" hidden="false" customHeight="true" outlineLevel="0" collapsed="false">
      <c r="P3913" s="1" t="str">
        <f aca="false">IF(OR(F3913="",H3913="",J3913=""),"",J3913&amp;"|"&amp;F3913&amp;"|"&amp;IF(H3913="W3","W3_"&amp;IF(I3913="","unknown",I3913),H3913))</f>
        <v/>
      </c>
      <c r="Q3913" s="1" t="str">
        <f aca="false">IF(P3913="","",IFERROR(IF(AND(H3913="W7",OR(F3913="causal",F3913="predictive")),IF(AND(K3913=1,L3913=1,M3913=1),"adequate","partial"),INDEX(Fit_Matrix!$B:$B,MATCH(P3913,Fit_Matrix!$A:$A,0))),"CHECK KEY"))</f>
        <v/>
      </c>
    </row>
    <row r="3914" customFormat="false" ht="15" hidden="false" customHeight="true" outlineLevel="0" collapsed="false">
      <c r="P3914" s="1" t="str">
        <f aca="false">IF(OR(F3914="",H3914="",J3914=""),"",J3914&amp;"|"&amp;F3914&amp;"|"&amp;IF(H3914="W3","W3_"&amp;IF(I3914="","unknown",I3914),H3914))</f>
        <v/>
      </c>
      <c r="Q3914" s="1" t="str">
        <f aca="false">IF(P3914="","",IFERROR(IF(AND(H3914="W7",OR(F3914="causal",F3914="predictive")),IF(AND(K3914=1,L3914=1,M3914=1),"adequate","partial"),INDEX(Fit_Matrix!$B:$B,MATCH(P3914,Fit_Matrix!$A:$A,0))),"CHECK KEY"))</f>
        <v/>
      </c>
    </row>
    <row r="3915" customFormat="false" ht="15" hidden="false" customHeight="true" outlineLevel="0" collapsed="false">
      <c r="P3915" s="1" t="str">
        <f aca="false">IF(OR(F3915="",H3915="",J3915=""),"",J3915&amp;"|"&amp;F3915&amp;"|"&amp;IF(H3915="W3","W3_"&amp;IF(I3915="","unknown",I3915),H3915))</f>
        <v/>
      </c>
      <c r="Q3915" s="1" t="str">
        <f aca="false">IF(P3915="","",IFERROR(IF(AND(H3915="W7",OR(F3915="causal",F3915="predictive")),IF(AND(K3915=1,L3915=1,M3915=1),"adequate","partial"),INDEX(Fit_Matrix!$B:$B,MATCH(P3915,Fit_Matrix!$A:$A,0))),"CHECK KEY"))</f>
        <v/>
      </c>
    </row>
    <row r="3916" customFormat="false" ht="15" hidden="false" customHeight="true" outlineLevel="0" collapsed="false">
      <c r="P3916" s="1" t="str">
        <f aca="false">IF(OR(F3916="",H3916="",J3916=""),"",J3916&amp;"|"&amp;F3916&amp;"|"&amp;IF(H3916="W3","W3_"&amp;IF(I3916="","unknown",I3916),H3916))</f>
        <v/>
      </c>
      <c r="Q3916" s="1" t="str">
        <f aca="false">IF(P3916="","",IFERROR(IF(AND(H3916="W7",OR(F3916="causal",F3916="predictive")),IF(AND(K3916=1,L3916=1,M3916=1),"adequate","partial"),INDEX(Fit_Matrix!$B:$B,MATCH(P3916,Fit_Matrix!$A:$A,0))),"CHECK KEY"))</f>
        <v/>
      </c>
    </row>
    <row r="3917" customFormat="false" ht="15" hidden="false" customHeight="true" outlineLevel="0" collapsed="false">
      <c r="P3917" s="1" t="str">
        <f aca="false">IF(OR(F3917="",H3917="",J3917=""),"",J3917&amp;"|"&amp;F3917&amp;"|"&amp;IF(H3917="W3","W3_"&amp;IF(I3917="","unknown",I3917),H3917))</f>
        <v/>
      </c>
      <c r="Q3917" s="1" t="str">
        <f aca="false">IF(P3917="","",IFERROR(IF(AND(H3917="W7",OR(F3917="causal",F3917="predictive")),IF(AND(K3917=1,L3917=1,M3917=1),"adequate","partial"),INDEX(Fit_Matrix!$B:$B,MATCH(P3917,Fit_Matrix!$A:$A,0))),"CHECK KEY"))</f>
        <v/>
      </c>
    </row>
    <row r="3918" customFormat="false" ht="15" hidden="false" customHeight="true" outlineLevel="0" collapsed="false">
      <c r="P3918" s="1" t="str">
        <f aca="false">IF(OR(F3918="",H3918="",J3918=""),"",J3918&amp;"|"&amp;F3918&amp;"|"&amp;IF(H3918="W3","W3_"&amp;IF(I3918="","unknown",I3918),H3918))</f>
        <v/>
      </c>
      <c r="Q3918" s="1" t="str">
        <f aca="false">IF(P3918="","",IFERROR(IF(AND(H3918="W7",OR(F3918="causal",F3918="predictive")),IF(AND(K3918=1,L3918=1,M3918=1),"adequate","partial"),INDEX(Fit_Matrix!$B:$B,MATCH(P3918,Fit_Matrix!$A:$A,0))),"CHECK KEY"))</f>
        <v/>
      </c>
    </row>
    <row r="3919" customFormat="false" ht="15" hidden="false" customHeight="true" outlineLevel="0" collapsed="false">
      <c r="P3919" s="1" t="str">
        <f aca="false">IF(OR(F3919="",H3919="",J3919=""),"",J3919&amp;"|"&amp;F3919&amp;"|"&amp;IF(H3919="W3","W3_"&amp;IF(I3919="","unknown",I3919),H3919))</f>
        <v/>
      </c>
      <c r="Q3919" s="1" t="str">
        <f aca="false">IF(P3919="","",IFERROR(IF(AND(H3919="W7",OR(F3919="causal",F3919="predictive")),IF(AND(K3919=1,L3919=1,M3919=1),"adequate","partial"),INDEX(Fit_Matrix!$B:$B,MATCH(P3919,Fit_Matrix!$A:$A,0))),"CHECK KEY"))</f>
        <v/>
      </c>
    </row>
    <row r="3920" customFormat="false" ht="15" hidden="false" customHeight="true" outlineLevel="0" collapsed="false">
      <c r="P3920" s="1" t="str">
        <f aca="false">IF(OR(F3920="",H3920="",J3920=""),"",J3920&amp;"|"&amp;F3920&amp;"|"&amp;IF(H3920="W3","W3_"&amp;IF(I3920="","unknown",I3920),H3920))</f>
        <v/>
      </c>
      <c r="Q3920" s="1" t="str">
        <f aca="false">IF(P3920="","",IFERROR(IF(AND(H3920="W7",OR(F3920="causal",F3920="predictive")),IF(AND(K3920=1,L3920=1,M3920=1),"adequate","partial"),INDEX(Fit_Matrix!$B:$B,MATCH(P3920,Fit_Matrix!$A:$A,0))),"CHECK KEY"))</f>
        <v/>
      </c>
    </row>
    <row r="3921" customFormat="false" ht="15" hidden="false" customHeight="true" outlineLevel="0" collapsed="false">
      <c r="P3921" s="1" t="str">
        <f aca="false">IF(OR(F3921="",H3921="",J3921=""),"",J3921&amp;"|"&amp;F3921&amp;"|"&amp;IF(H3921="W3","W3_"&amp;IF(I3921="","unknown",I3921),H3921))</f>
        <v/>
      </c>
      <c r="Q3921" s="1" t="str">
        <f aca="false">IF(P3921="","",IFERROR(IF(AND(H3921="W7",OR(F3921="causal",F3921="predictive")),IF(AND(K3921=1,L3921=1,M3921=1),"adequate","partial"),INDEX(Fit_Matrix!$B:$B,MATCH(P3921,Fit_Matrix!$A:$A,0))),"CHECK KEY"))</f>
        <v/>
      </c>
    </row>
    <row r="3922" customFormat="false" ht="15" hidden="false" customHeight="true" outlineLevel="0" collapsed="false">
      <c r="P3922" s="1" t="str">
        <f aca="false">IF(OR(F3922="",H3922="",J3922=""),"",J3922&amp;"|"&amp;F3922&amp;"|"&amp;IF(H3922="W3","W3_"&amp;IF(I3922="","unknown",I3922),H3922))</f>
        <v/>
      </c>
      <c r="Q3922" s="1" t="str">
        <f aca="false">IF(P3922="","",IFERROR(IF(AND(H3922="W7",OR(F3922="causal",F3922="predictive")),IF(AND(K3922=1,L3922=1,M3922=1),"adequate","partial"),INDEX(Fit_Matrix!$B:$B,MATCH(P3922,Fit_Matrix!$A:$A,0))),"CHECK KEY"))</f>
        <v/>
      </c>
    </row>
    <row r="3923" customFormat="false" ht="15" hidden="false" customHeight="true" outlineLevel="0" collapsed="false">
      <c r="P3923" s="1" t="str">
        <f aca="false">IF(OR(F3923="",H3923="",J3923=""),"",J3923&amp;"|"&amp;F3923&amp;"|"&amp;IF(H3923="W3","W3_"&amp;IF(I3923="","unknown",I3923),H3923))</f>
        <v/>
      </c>
      <c r="Q3923" s="1" t="str">
        <f aca="false">IF(P3923="","",IFERROR(IF(AND(H3923="W7",OR(F3923="causal",F3923="predictive")),IF(AND(K3923=1,L3923=1,M3923=1),"adequate","partial"),INDEX(Fit_Matrix!$B:$B,MATCH(P3923,Fit_Matrix!$A:$A,0))),"CHECK KEY"))</f>
        <v/>
      </c>
    </row>
    <row r="3924" customFormat="false" ht="15" hidden="false" customHeight="true" outlineLevel="0" collapsed="false">
      <c r="P3924" s="1" t="str">
        <f aca="false">IF(OR(F3924="",H3924="",J3924=""),"",J3924&amp;"|"&amp;F3924&amp;"|"&amp;IF(H3924="W3","W3_"&amp;IF(I3924="","unknown",I3924),H3924))</f>
        <v/>
      </c>
      <c r="Q3924" s="1" t="str">
        <f aca="false">IF(P3924="","",IFERROR(IF(AND(H3924="W7",OR(F3924="causal",F3924="predictive")),IF(AND(K3924=1,L3924=1,M3924=1),"adequate","partial"),INDEX(Fit_Matrix!$B:$B,MATCH(P3924,Fit_Matrix!$A:$A,0))),"CHECK KEY"))</f>
        <v/>
      </c>
    </row>
    <row r="3925" customFormat="false" ht="15" hidden="false" customHeight="true" outlineLevel="0" collapsed="false">
      <c r="P3925" s="1" t="str">
        <f aca="false">IF(OR(F3925="",H3925="",J3925=""),"",J3925&amp;"|"&amp;F3925&amp;"|"&amp;IF(H3925="W3","W3_"&amp;IF(I3925="","unknown",I3925),H3925))</f>
        <v/>
      </c>
      <c r="Q3925" s="1" t="str">
        <f aca="false">IF(P3925="","",IFERROR(IF(AND(H3925="W7",OR(F3925="causal",F3925="predictive")),IF(AND(K3925=1,L3925=1,M3925=1),"adequate","partial"),INDEX(Fit_Matrix!$B:$B,MATCH(P3925,Fit_Matrix!$A:$A,0))),"CHECK KEY"))</f>
        <v/>
      </c>
    </row>
    <row r="3926" customFormat="false" ht="15" hidden="false" customHeight="true" outlineLevel="0" collapsed="false">
      <c r="P3926" s="1" t="str">
        <f aca="false">IF(OR(F3926="",H3926="",J3926=""),"",J3926&amp;"|"&amp;F3926&amp;"|"&amp;IF(H3926="W3","W3_"&amp;IF(I3926="","unknown",I3926),H3926))</f>
        <v/>
      </c>
      <c r="Q3926" s="1" t="str">
        <f aca="false">IF(P3926="","",IFERROR(IF(AND(H3926="W7",OR(F3926="causal",F3926="predictive")),IF(AND(K3926=1,L3926=1,M3926=1),"adequate","partial"),INDEX(Fit_Matrix!$B:$B,MATCH(P3926,Fit_Matrix!$A:$A,0))),"CHECK KEY"))</f>
        <v/>
      </c>
    </row>
    <row r="3927" customFormat="false" ht="15" hidden="false" customHeight="true" outlineLevel="0" collapsed="false">
      <c r="P3927" s="1" t="str">
        <f aca="false">IF(OR(F3927="",H3927="",J3927=""),"",J3927&amp;"|"&amp;F3927&amp;"|"&amp;IF(H3927="W3","W3_"&amp;IF(I3927="","unknown",I3927),H3927))</f>
        <v/>
      </c>
      <c r="Q3927" s="1" t="str">
        <f aca="false">IF(P3927="","",IFERROR(IF(AND(H3927="W7",OR(F3927="causal",F3927="predictive")),IF(AND(K3927=1,L3927=1,M3927=1),"adequate","partial"),INDEX(Fit_Matrix!$B:$B,MATCH(P3927,Fit_Matrix!$A:$A,0))),"CHECK KEY"))</f>
        <v/>
      </c>
    </row>
    <row r="3928" customFormat="false" ht="15" hidden="false" customHeight="true" outlineLevel="0" collapsed="false">
      <c r="P3928" s="1" t="str">
        <f aca="false">IF(OR(F3928="",H3928="",J3928=""),"",J3928&amp;"|"&amp;F3928&amp;"|"&amp;IF(H3928="W3","W3_"&amp;IF(I3928="","unknown",I3928),H3928))</f>
        <v/>
      </c>
      <c r="Q3928" s="1" t="str">
        <f aca="false">IF(P3928="","",IFERROR(IF(AND(H3928="W7",OR(F3928="causal",F3928="predictive")),IF(AND(K3928=1,L3928=1,M3928=1),"adequate","partial"),INDEX(Fit_Matrix!$B:$B,MATCH(P3928,Fit_Matrix!$A:$A,0))),"CHECK KEY"))</f>
        <v/>
      </c>
    </row>
    <row r="3929" customFormat="false" ht="15" hidden="false" customHeight="true" outlineLevel="0" collapsed="false">
      <c r="P3929" s="1" t="str">
        <f aca="false">IF(OR(F3929="",H3929="",J3929=""),"",J3929&amp;"|"&amp;F3929&amp;"|"&amp;IF(H3929="W3","W3_"&amp;IF(I3929="","unknown",I3929),H3929))</f>
        <v/>
      </c>
      <c r="Q3929" s="1" t="str">
        <f aca="false">IF(P3929="","",IFERROR(IF(AND(H3929="W7",OR(F3929="causal",F3929="predictive")),IF(AND(K3929=1,L3929=1,M3929=1),"adequate","partial"),INDEX(Fit_Matrix!$B:$B,MATCH(P3929,Fit_Matrix!$A:$A,0))),"CHECK KEY"))</f>
        <v/>
      </c>
    </row>
    <row r="3930" customFormat="false" ht="15" hidden="false" customHeight="true" outlineLevel="0" collapsed="false">
      <c r="P3930" s="1" t="str">
        <f aca="false">IF(OR(F3930="",H3930="",J3930=""),"",J3930&amp;"|"&amp;F3930&amp;"|"&amp;IF(H3930="W3","W3_"&amp;IF(I3930="","unknown",I3930),H3930))</f>
        <v/>
      </c>
      <c r="Q3930" s="1" t="str">
        <f aca="false">IF(P3930="","",IFERROR(IF(AND(H3930="W7",OR(F3930="causal",F3930="predictive")),IF(AND(K3930=1,L3930=1,M3930=1),"adequate","partial"),INDEX(Fit_Matrix!$B:$B,MATCH(P3930,Fit_Matrix!$A:$A,0))),"CHECK KEY"))</f>
        <v/>
      </c>
    </row>
    <row r="3931" customFormat="false" ht="15" hidden="false" customHeight="true" outlineLevel="0" collapsed="false">
      <c r="P3931" s="1" t="str">
        <f aca="false">IF(OR(F3931="",H3931="",J3931=""),"",J3931&amp;"|"&amp;F3931&amp;"|"&amp;IF(H3931="W3","W3_"&amp;IF(I3931="","unknown",I3931),H3931))</f>
        <v/>
      </c>
      <c r="Q3931" s="1" t="str">
        <f aca="false">IF(P3931="","",IFERROR(IF(AND(H3931="W7",OR(F3931="causal",F3931="predictive")),IF(AND(K3931=1,L3931=1,M3931=1),"adequate","partial"),INDEX(Fit_Matrix!$B:$B,MATCH(P3931,Fit_Matrix!$A:$A,0))),"CHECK KEY"))</f>
        <v/>
      </c>
    </row>
    <row r="3932" customFormat="false" ht="15" hidden="false" customHeight="true" outlineLevel="0" collapsed="false">
      <c r="P3932" s="1" t="str">
        <f aca="false">IF(OR(F3932="",H3932="",J3932=""),"",J3932&amp;"|"&amp;F3932&amp;"|"&amp;IF(H3932="W3","W3_"&amp;IF(I3932="","unknown",I3932),H3932))</f>
        <v/>
      </c>
      <c r="Q3932" s="1" t="str">
        <f aca="false">IF(P3932="","",IFERROR(IF(AND(H3932="W7",OR(F3932="causal",F3932="predictive")),IF(AND(K3932=1,L3932=1,M3932=1),"adequate","partial"),INDEX(Fit_Matrix!$B:$B,MATCH(P3932,Fit_Matrix!$A:$A,0))),"CHECK KEY"))</f>
        <v/>
      </c>
    </row>
    <row r="3933" customFormat="false" ht="15" hidden="false" customHeight="true" outlineLevel="0" collapsed="false">
      <c r="P3933" s="1" t="str">
        <f aca="false">IF(OR(F3933="",H3933="",J3933=""),"",J3933&amp;"|"&amp;F3933&amp;"|"&amp;IF(H3933="W3","W3_"&amp;IF(I3933="","unknown",I3933),H3933))</f>
        <v/>
      </c>
      <c r="Q3933" s="1" t="str">
        <f aca="false">IF(P3933="","",IFERROR(IF(AND(H3933="W7",OR(F3933="causal",F3933="predictive")),IF(AND(K3933=1,L3933=1,M3933=1),"adequate","partial"),INDEX(Fit_Matrix!$B:$B,MATCH(P3933,Fit_Matrix!$A:$A,0))),"CHECK KEY"))</f>
        <v/>
      </c>
    </row>
    <row r="3934" customFormat="false" ht="15" hidden="false" customHeight="true" outlineLevel="0" collapsed="false">
      <c r="P3934" s="1" t="str">
        <f aca="false">IF(OR(F3934="",H3934="",J3934=""),"",J3934&amp;"|"&amp;F3934&amp;"|"&amp;IF(H3934="W3","W3_"&amp;IF(I3934="","unknown",I3934),H3934))</f>
        <v/>
      </c>
      <c r="Q3934" s="1" t="str">
        <f aca="false">IF(P3934="","",IFERROR(IF(AND(H3934="W7",OR(F3934="causal",F3934="predictive")),IF(AND(K3934=1,L3934=1,M3934=1),"adequate","partial"),INDEX(Fit_Matrix!$B:$B,MATCH(P3934,Fit_Matrix!$A:$A,0))),"CHECK KEY"))</f>
        <v/>
      </c>
    </row>
    <row r="3935" customFormat="false" ht="15" hidden="false" customHeight="true" outlineLevel="0" collapsed="false">
      <c r="P3935" s="1" t="str">
        <f aca="false">IF(OR(F3935="",H3935="",J3935=""),"",J3935&amp;"|"&amp;F3935&amp;"|"&amp;IF(H3935="W3","W3_"&amp;IF(I3935="","unknown",I3935),H3935))</f>
        <v/>
      </c>
      <c r="Q3935" s="1" t="str">
        <f aca="false">IF(P3935="","",IFERROR(IF(AND(H3935="W7",OR(F3935="causal",F3935="predictive")),IF(AND(K3935=1,L3935=1,M3935=1),"adequate","partial"),INDEX(Fit_Matrix!$B:$B,MATCH(P3935,Fit_Matrix!$A:$A,0))),"CHECK KEY"))</f>
        <v/>
      </c>
    </row>
    <row r="3936" customFormat="false" ht="15" hidden="false" customHeight="true" outlineLevel="0" collapsed="false">
      <c r="P3936" s="1" t="str">
        <f aca="false">IF(OR(F3936="",H3936="",J3936=""),"",J3936&amp;"|"&amp;F3936&amp;"|"&amp;IF(H3936="W3","W3_"&amp;IF(I3936="","unknown",I3936),H3936))</f>
        <v/>
      </c>
      <c r="Q3936" s="1" t="str">
        <f aca="false">IF(P3936="","",IFERROR(IF(AND(H3936="W7",OR(F3936="causal",F3936="predictive")),IF(AND(K3936=1,L3936=1,M3936=1),"adequate","partial"),INDEX(Fit_Matrix!$B:$B,MATCH(P3936,Fit_Matrix!$A:$A,0))),"CHECK KEY"))</f>
        <v/>
      </c>
    </row>
    <row r="3937" customFormat="false" ht="15" hidden="false" customHeight="true" outlineLevel="0" collapsed="false">
      <c r="P3937" s="1" t="str">
        <f aca="false">IF(OR(F3937="",H3937="",J3937=""),"",J3937&amp;"|"&amp;F3937&amp;"|"&amp;IF(H3937="W3","W3_"&amp;IF(I3937="","unknown",I3937),H3937))</f>
        <v/>
      </c>
      <c r="Q3937" s="1" t="str">
        <f aca="false">IF(P3937="","",IFERROR(IF(AND(H3937="W7",OR(F3937="causal",F3937="predictive")),IF(AND(K3937=1,L3937=1,M3937=1),"adequate","partial"),INDEX(Fit_Matrix!$B:$B,MATCH(P3937,Fit_Matrix!$A:$A,0))),"CHECK KEY"))</f>
        <v/>
      </c>
    </row>
    <row r="3938" customFormat="false" ht="15" hidden="false" customHeight="true" outlineLevel="0" collapsed="false">
      <c r="P3938" s="1" t="str">
        <f aca="false">IF(OR(F3938="",H3938="",J3938=""),"",J3938&amp;"|"&amp;F3938&amp;"|"&amp;IF(H3938="W3","W3_"&amp;IF(I3938="","unknown",I3938),H3938))</f>
        <v/>
      </c>
      <c r="Q3938" s="1" t="str">
        <f aca="false">IF(P3938="","",IFERROR(IF(AND(H3938="W7",OR(F3938="causal",F3938="predictive")),IF(AND(K3938=1,L3938=1,M3938=1),"adequate","partial"),INDEX(Fit_Matrix!$B:$B,MATCH(P3938,Fit_Matrix!$A:$A,0))),"CHECK KEY"))</f>
        <v/>
      </c>
    </row>
    <row r="3939" customFormat="false" ht="15" hidden="false" customHeight="true" outlineLevel="0" collapsed="false">
      <c r="P3939" s="1" t="str">
        <f aca="false">IF(OR(F3939="",H3939="",J3939=""),"",J3939&amp;"|"&amp;F3939&amp;"|"&amp;IF(H3939="W3","W3_"&amp;IF(I3939="","unknown",I3939),H3939))</f>
        <v/>
      </c>
      <c r="Q3939" s="1" t="str">
        <f aca="false">IF(P3939="","",IFERROR(IF(AND(H3939="W7",OR(F3939="causal",F3939="predictive")),IF(AND(K3939=1,L3939=1,M3939=1),"adequate","partial"),INDEX(Fit_Matrix!$B:$B,MATCH(P3939,Fit_Matrix!$A:$A,0))),"CHECK KEY"))</f>
        <v/>
      </c>
    </row>
    <row r="3940" customFormat="false" ht="15" hidden="false" customHeight="true" outlineLevel="0" collapsed="false">
      <c r="P3940" s="1" t="str">
        <f aca="false">IF(OR(F3940="",H3940="",J3940=""),"",J3940&amp;"|"&amp;F3940&amp;"|"&amp;IF(H3940="W3","W3_"&amp;IF(I3940="","unknown",I3940),H3940))</f>
        <v/>
      </c>
      <c r="Q3940" s="1" t="str">
        <f aca="false">IF(P3940="","",IFERROR(IF(AND(H3940="W7",OR(F3940="causal",F3940="predictive")),IF(AND(K3940=1,L3940=1,M3940=1),"adequate","partial"),INDEX(Fit_Matrix!$B:$B,MATCH(P3940,Fit_Matrix!$A:$A,0))),"CHECK KEY"))</f>
        <v/>
      </c>
    </row>
    <row r="3941" customFormat="false" ht="15" hidden="false" customHeight="true" outlineLevel="0" collapsed="false">
      <c r="P3941" s="1" t="str">
        <f aca="false">IF(OR(F3941="",H3941="",J3941=""),"",J3941&amp;"|"&amp;F3941&amp;"|"&amp;IF(H3941="W3","W3_"&amp;IF(I3941="","unknown",I3941),H3941))</f>
        <v/>
      </c>
      <c r="Q3941" s="1" t="str">
        <f aca="false">IF(P3941="","",IFERROR(IF(AND(H3941="W7",OR(F3941="causal",F3941="predictive")),IF(AND(K3941=1,L3941=1,M3941=1),"adequate","partial"),INDEX(Fit_Matrix!$B:$B,MATCH(P3941,Fit_Matrix!$A:$A,0))),"CHECK KEY"))</f>
        <v/>
      </c>
    </row>
    <row r="3942" customFormat="false" ht="15" hidden="false" customHeight="true" outlineLevel="0" collapsed="false">
      <c r="P3942" s="1" t="str">
        <f aca="false">IF(OR(F3942="",H3942="",J3942=""),"",J3942&amp;"|"&amp;F3942&amp;"|"&amp;IF(H3942="W3","W3_"&amp;IF(I3942="","unknown",I3942),H3942))</f>
        <v/>
      </c>
      <c r="Q3942" s="1" t="str">
        <f aca="false">IF(P3942="","",IFERROR(IF(AND(H3942="W7",OR(F3942="causal",F3942="predictive")),IF(AND(K3942=1,L3942=1,M3942=1),"adequate","partial"),INDEX(Fit_Matrix!$B:$B,MATCH(P3942,Fit_Matrix!$A:$A,0))),"CHECK KEY"))</f>
        <v/>
      </c>
    </row>
    <row r="3943" customFormat="false" ht="15" hidden="false" customHeight="true" outlineLevel="0" collapsed="false">
      <c r="P3943" s="1" t="str">
        <f aca="false">IF(OR(F3943="",H3943="",J3943=""),"",J3943&amp;"|"&amp;F3943&amp;"|"&amp;IF(H3943="W3","W3_"&amp;IF(I3943="","unknown",I3943),H3943))</f>
        <v/>
      </c>
      <c r="Q3943" s="1" t="str">
        <f aca="false">IF(P3943="","",IFERROR(IF(AND(H3943="W7",OR(F3943="causal",F3943="predictive")),IF(AND(K3943=1,L3943=1,M3943=1),"adequate","partial"),INDEX(Fit_Matrix!$B:$B,MATCH(P3943,Fit_Matrix!$A:$A,0))),"CHECK KEY"))</f>
        <v/>
      </c>
    </row>
    <row r="3944" customFormat="false" ht="15" hidden="false" customHeight="true" outlineLevel="0" collapsed="false">
      <c r="P3944" s="1" t="str">
        <f aca="false">IF(OR(F3944="",H3944="",J3944=""),"",J3944&amp;"|"&amp;F3944&amp;"|"&amp;IF(H3944="W3","W3_"&amp;IF(I3944="","unknown",I3944),H3944))</f>
        <v/>
      </c>
      <c r="Q3944" s="1" t="str">
        <f aca="false">IF(P3944="","",IFERROR(IF(AND(H3944="W7",OR(F3944="causal",F3944="predictive")),IF(AND(K3944=1,L3944=1,M3944=1),"adequate","partial"),INDEX(Fit_Matrix!$B:$B,MATCH(P3944,Fit_Matrix!$A:$A,0))),"CHECK KEY"))</f>
        <v/>
      </c>
    </row>
    <row r="3945" customFormat="false" ht="15" hidden="false" customHeight="true" outlineLevel="0" collapsed="false">
      <c r="P3945" s="1" t="str">
        <f aca="false">IF(OR(F3945="",H3945="",J3945=""),"",J3945&amp;"|"&amp;F3945&amp;"|"&amp;IF(H3945="W3","W3_"&amp;IF(I3945="","unknown",I3945),H3945))</f>
        <v/>
      </c>
      <c r="Q3945" s="1" t="str">
        <f aca="false">IF(P3945="","",IFERROR(IF(AND(H3945="W7",OR(F3945="causal",F3945="predictive")),IF(AND(K3945=1,L3945=1,M3945=1),"adequate","partial"),INDEX(Fit_Matrix!$B:$B,MATCH(P3945,Fit_Matrix!$A:$A,0))),"CHECK KEY"))</f>
        <v/>
      </c>
    </row>
    <row r="3946" customFormat="false" ht="15" hidden="false" customHeight="true" outlineLevel="0" collapsed="false">
      <c r="P3946" s="1" t="str">
        <f aca="false">IF(OR(F3946="",H3946="",J3946=""),"",J3946&amp;"|"&amp;F3946&amp;"|"&amp;IF(H3946="W3","W3_"&amp;IF(I3946="","unknown",I3946),H3946))</f>
        <v/>
      </c>
      <c r="Q3946" s="1" t="str">
        <f aca="false">IF(P3946="","",IFERROR(IF(AND(H3946="W7",OR(F3946="causal",F3946="predictive")),IF(AND(K3946=1,L3946=1,M3946=1),"adequate","partial"),INDEX(Fit_Matrix!$B:$B,MATCH(P3946,Fit_Matrix!$A:$A,0))),"CHECK KEY"))</f>
        <v/>
      </c>
    </row>
    <row r="3947" customFormat="false" ht="15" hidden="false" customHeight="true" outlineLevel="0" collapsed="false">
      <c r="P3947" s="1" t="str">
        <f aca="false">IF(OR(F3947="",H3947="",J3947=""),"",J3947&amp;"|"&amp;F3947&amp;"|"&amp;IF(H3947="W3","W3_"&amp;IF(I3947="","unknown",I3947),H3947))</f>
        <v/>
      </c>
      <c r="Q3947" s="1" t="str">
        <f aca="false">IF(P3947="","",IFERROR(IF(AND(H3947="W7",OR(F3947="causal",F3947="predictive")),IF(AND(K3947=1,L3947=1,M3947=1),"adequate","partial"),INDEX(Fit_Matrix!$B:$B,MATCH(P3947,Fit_Matrix!$A:$A,0))),"CHECK KEY"))</f>
        <v/>
      </c>
    </row>
    <row r="3948" customFormat="false" ht="15" hidden="false" customHeight="true" outlineLevel="0" collapsed="false">
      <c r="P3948" s="1" t="str">
        <f aca="false">IF(OR(F3948="",H3948="",J3948=""),"",J3948&amp;"|"&amp;F3948&amp;"|"&amp;IF(H3948="W3","W3_"&amp;IF(I3948="","unknown",I3948),H3948))</f>
        <v/>
      </c>
      <c r="Q3948" s="1" t="str">
        <f aca="false">IF(P3948="","",IFERROR(IF(AND(H3948="W7",OR(F3948="causal",F3948="predictive")),IF(AND(K3948=1,L3948=1,M3948=1),"adequate","partial"),INDEX(Fit_Matrix!$B:$B,MATCH(P3948,Fit_Matrix!$A:$A,0))),"CHECK KEY"))</f>
        <v/>
      </c>
    </row>
    <row r="3949" customFormat="false" ht="15" hidden="false" customHeight="true" outlineLevel="0" collapsed="false">
      <c r="P3949" s="1" t="str">
        <f aca="false">IF(OR(F3949="",H3949="",J3949=""),"",J3949&amp;"|"&amp;F3949&amp;"|"&amp;IF(H3949="W3","W3_"&amp;IF(I3949="","unknown",I3949),H3949))</f>
        <v/>
      </c>
      <c r="Q3949" s="1" t="str">
        <f aca="false">IF(P3949="","",IFERROR(IF(AND(H3949="W7",OR(F3949="causal",F3949="predictive")),IF(AND(K3949=1,L3949=1,M3949=1),"adequate","partial"),INDEX(Fit_Matrix!$B:$B,MATCH(P3949,Fit_Matrix!$A:$A,0))),"CHECK KEY"))</f>
        <v/>
      </c>
    </row>
    <row r="3950" customFormat="false" ht="15" hidden="false" customHeight="true" outlineLevel="0" collapsed="false">
      <c r="P3950" s="1" t="str">
        <f aca="false">IF(OR(F3950="",H3950="",J3950=""),"",J3950&amp;"|"&amp;F3950&amp;"|"&amp;IF(H3950="W3","W3_"&amp;IF(I3950="","unknown",I3950),H3950))</f>
        <v/>
      </c>
      <c r="Q3950" s="1" t="str">
        <f aca="false">IF(P3950="","",IFERROR(IF(AND(H3950="W7",OR(F3950="causal",F3950="predictive")),IF(AND(K3950=1,L3950=1,M3950=1),"adequate","partial"),INDEX(Fit_Matrix!$B:$B,MATCH(P3950,Fit_Matrix!$A:$A,0))),"CHECK KEY"))</f>
        <v/>
      </c>
    </row>
    <row r="3951" customFormat="false" ht="15" hidden="false" customHeight="true" outlineLevel="0" collapsed="false">
      <c r="P3951" s="1" t="str">
        <f aca="false">IF(OR(F3951="",H3951="",J3951=""),"",J3951&amp;"|"&amp;F3951&amp;"|"&amp;IF(H3951="W3","W3_"&amp;IF(I3951="","unknown",I3951),H3951))</f>
        <v/>
      </c>
      <c r="Q3951" s="1" t="str">
        <f aca="false">IF(P3951="","",IFERROR(IF(AND(H3951="W7",OR(F3951="causal",F3951="predictive")),IF(AND(K3951=1,L3951=1,M3951=1),"adequate","partial"),INDEX(Fit_Matrix!$B:$B,MATCH(P3951,Fit_Matrix!$A:$A,0))),"CHECK KEY"))</f>
        <v/>
      </c>
    </row>
    <row r="3952" customFormat="false" ht="15" hidden="false" customHeight="true" outlineLevel="0" collapsed="false">
      <c r="P3952" s="1" t="str">
        <f aca="false">IF(OR(F3952="",H3952="",J3952=""),"",J3952&amp;"|"&amp;F3952&amp;"|"&amp;IF(H3952="W3","W3_"&amp;IF(I3952="","unknown",I3952),H3952))</f>
        <v/>
      </c>
      <c r="Q3952" s="1" t="str">
        <f aca="false">IF(P3952="","",IFERROR(IF(AND(H3952="W7",OR(F3952="causal",F3952="predictive")),IF(AND(K3952=1,L3952=1,M3952=1),"adequate","partial"),INDEX(Fit_Matrix!$B:$B,MATCH(P3952,Fit_Matrix!$A:$A,0))),"CHECK KEY"))</f>
        <v/>
      </c>
    </row>
    <row r="3953" customFormat="false" ht="15" hidden="false" customHeight="true" outlineLevel="0" collapsed="false">
      <c r="P3953" s="1" t="str">
        <f aca="false">IF(OR(F3953="",H3953="",J3953=""),"",J3953&amp;"|"&amp;F3953&amp;"|"&amp;IF(H3953="W3","W3_"&amp;IF(I3953="","unknown",I3953),H3953))</f>
        <v/>
      </c>
      <c r="Q3953" s="1" t="str">
        <f aca="false">IF(P3953="","",IFERROR(IF(AND(H3953="W7",OR(F3953="causal",F3953="predictive")),IF(AND(K3953=1,L3953=1,M3953=1),"adequate","partial"),INDEX(Fit_Matrix!$B:$B,MATCH(P3953,Fit_Matrix!$A:$A,0))),"CHECK KEY"))</f>
        <v/>
      </c>
    </row>
    <row r="3954" customFormat="false" ht="15" hidden="false" customHeight="true" outlineLevel="0" collapsed="false">
      <c r="P3954" s="1" t="str">
        <f aca="false">IF(OR(F3954="",H3954="",J3954=""),"",J3954&amp;"|"&amp;F3954&amp;"|"&amp;IF(H3954="W3","W3_"&amp;IF(I3954="","unknown",I3954),H3954))</f>
        <v/>
      </c>
      <c r="Q3954" s="1" t="str">
        <f aca="false">IF(P3954="","",IFERROR(IF(AND(H3954="W7",OR(F3954="causal",F3954="predictive")),IF(AND(K3954=1,L3954=1,M3954=1),"adequate","partial"),INDEX(Fit_Matrix!$B:$B,MATCH(P3954,Fit_Matrix!$A:$A,0))),"CHECK KEY"))</f>
        <v/>
      </c>
    </row>
    <row r="3955" customFormat="false" ht="15" hidden="false" customHeight="true" outlineLevel="0" collapsed="false">
      <c r="P3955" s="1" t="str">
        <f aca="false">IF(OR(F3955="",H3955="",J3955=""),"",J3955&amp;"|"&amp;F3955&amp;"|"&amp;IF(H3955="W3","W3_"&amp;IF(I3955="","unknown",I3955),H3955))</f>
        <v/>
      </c>
      <c r="Q3955" s="1" t="str">
        <f aca="false">IF(P3955="","",IFERROR(IF(AND(H3955="W7",OR(F3955="causal",F3955="predictive")),IF(AND(K3955=1,L3955=1,M3955=1),"adequate","partial"),INDEX(Fit_Matrix!$B:$B,MATCH(P3955,Fit_Matrix!$A:$A,0))),"CHECK KEY"))</f>
        <v/>
      </c>
    </row>
    <row r="3956" customFormat="false" ht="15" hidden="false" customHeight="true" outlineLevel="0" collapsed="false">
      <c r="P3956" s="1" t="str">
        <f aca="false">IF(OR(F3956="",H3956="",J3956=""),"",J3956&amp;"|"&amp;F3956&amp;"|"&amp;IF(H3956="W3","W3_"&amp;IF(I3956="","unknown",I3956),H3956))</f>
        <v/>
      </c>
      <c r="Q3956" s="1" t="str">
        <f aca="false">IF(P3956="","",IFERROR(IF(AND(H3956="W7",OR(F3956="causal",F3956="predictive")),IF(AND(K3956=1,L3956=1,M3956=1),"adequate","partial"),INDEX(Fit_Matrix!$B:$B,MATCH(P3956,Fit_Matrix!$A:$A,0))),"CHECK KEY"))</f>
        <v/>
      </c>
    </row>
    <row r="3957" customFormat="false" ht="15" hidden="false" customHeight="true" outlineLevel="0" collapsed="false">
      <c r="P3957" s="1" t="str">
        <f aca="false">IF(OR(F3957="",H3957="",J3957=""),"",J3957&amp;"|"&amp;F3957&amp;"|"&amp;IF(H3957="W3","W3_"&amp;IF(I3957="","unknown",I3957),H3957))</f>
        <v/>
      </c>
      <c r="Q3957" s="1" t="str">
        <f aca="false">IF(P3957="","",IFERROR(IF(AND(H3957="W7",OR(F3957="causal",F3957="predictive")),IF(AND(K3957=1,L3957=1,M3957=1),"adequate","partial"),INDEX(Fit_Matrix!$B:$B,MATCH(P3957,Fit_Matrix!$A:$A,0))),"CHECK KEY"))</f>
        <v/>
      </c>
    </row>
    <row r="3958" customFormat="false" ht="15" hidden="false" customHeight="true" outlineLevel="0" collapsed="false">
      <c r="P3958" s="1" t="str">
        <f aca="false">IF(OR(F3958="",H3958="",J3958=""),"",J3958&amp;"|"&amp;F3958&amp;"|"&amp;IF(H3958="W3","W3_"&amp;IF(I3958="","unknown",I3958),H3958))</f>
        <v/>
      </c>
      <c r="Q3958" s="1" t="str">
        <f aca="false">IF(P3958="","",IFERROR(IF(AND(H3958="W7",OR(F3958="causal",F3958="predictive")),IF(AND(K3958=1,L3958=1,M3958=1),"adequate","partial"),INDEX(Fit_Matrix!$B:$B,MATCH(P3958,Fit_Matrix!$A:$A,0))),"CHECK KEY"))</f>
        <v/>
      </c>
    </row>
    <row r="3959" customFormat="false" ht="15" hidden="false" customHeight="true" outlineLevel="0" collapsed="false">
      <c r="P3959" s="1" t="str">
        <f aca="false">IF(OR(F3959="",H3959="",J3959=""),"",J3959&amp;"|"&amp;F3959&amp;"|"&amp;IF(H3959="W3","W3_"&amp;IF(I3959="","unknown",I3959),H3959))</f>
        <v/>
      </c>
      <c r="Q3959" s="1" t="str">
        <f aca="false">IF(P3959="","",IFERROR(IF(AND(H3959="W7",OR(F3959="causal",F3959="predictive")),IF(AND(K3959=1,L3959=1,M3959=1),"adequate","partial"),INDEX(Fit_Matrix!$B:$B,MATCH(P3959,Fit_Matrix!$A:$A,0))),"CHECK KEY"))</f>
        <v/>
      </c>
    </row>
    <row r="3960" customFormat="false" ht="15" hidden="false" customHeight="true" outlineLevel="0" collapsed="false">
      <c r="P3960" s="1" t="str">
        <f aca="false">IF(OR(F3960="",H3960="",J3960=""),"",J3960&amp;"|"&amp;F3960&amp;"|"&amp;IF(H3960="W3","W3_"&amp;IF(I3960="","unknown",I3960),H3960))</f>
        <v/>
      </c>
      <c r="Q3960" s="1" t="str">
        <f aca="false">IF(P3960="","",IFERROR(IF(AND(H3960="W7",OR(F3960="causal",F3960="predictive")),IF(AND(K3960=1,L3960=1,M3960=1),"adequate","partial"),INDEX(Fit_Matrix!$B:$B,MATCH(P3960,Fit_Matrix!$A:$A,0))),"CHECK KEY"))</f>
        <v/>
      </c>
    </row>
    <row r="3961" customFormat="false" ht="15" hidden="false" customHeight="true" outlineLevel="0" collapsed="false">
      <c r="P3961" s="1" t="str">
        <f aca="false">IF(OR(F3961="",H3961="",J3961=""),"",J3961&amp;"|"&amp;F3961&amp;"|"&amp;IF(H3961="W3","W3_"&amp;IF(I3961="","unknown",I3961),H3961))</f>
        <v/>
      </c>
      <c r="Q3961" s="1" t="str">
        <f aca="false">IF(P3961="","",IFERROR(IF(AND(H3961="W7",OR(F3961="causal",F3961="predictive")),IF(AND(K3961=1,L3961=1,M3961=1),"adequate","partial"),INDEX(Fit_Matrix!$B:$B,MATCH(P3961,Fit_Matrix!$A:$A,0))),"CHECK KEY"))</f>
        <v/>
      </c>
    </row>
    <row r="3962" customFormat="false" ht="15" hidden="false" customHeight="true" outlineLevel="0" collapsed="false">
      <c r="P3962" s="1" t="str">
        <f aca="false">IF(OR(F3962="",H3962="",J3962=""),"",J3962&amp;"|"&amp;F3962&amp;"|"&amp;IF(H3962="W3","W3_"&amp;IF(I3962="","unknown",I3962),H3962))</f>
        <v/>
      </c>
      <c r="Q3962" s="1" t="str">
        <f aca="false">IF(P3962="","",IFERROR(IF(AND(H3962="W7",OR(F3962="causal",F3962="predictive")),IF(AND(K3962=1,L3962=1,M3962=1),"adequate","partial"),INDEX(Fit_Matrix!$B:$B,MATCH(P3962,Fit_Matrix!$A:$A,0))),"CHECK KEY"))</f>
        <v/>
      </c>
    </row>
    <row r="3963" customFormat="false" ht="15" hidden="false" customHeight="true" outlineLevel="0" collapsed="false">
      <c r="P3963" s="1" t="str">
        <f aca="false">IF(OR(F3963="",H3963="",J3963=""),"",J3963&amp;"|"&amp;F3963&amp;"|"&amp;IF(H3963="W3","W3_"&amp;IF(I3963="","unknown",I3963),H3963))</f>
        <v/>
      </c>
      <c r="Q3963" s="1" t="str">
        <f aca="false">IF(P3963="","",IFERROR(IF(AND(H3963="W7",OR(F3963="causal",F3963="predictive")),IF(AND(K3963=1,L3963=1,M3963=1),"adequate","partial"),INDEX(Fit_Matrix!$B:$B,MATCH(P3963,Fit_Matrix!$A:$A,0))),"CHECK KEY"))</f>
        <v/>
      </c>
    </row>
    <row r="3964" customFormat="false" ht="15" hidden="false" customHeight="true" outlineLevel="0" collapsed="false">
      <c r="P3964" s="1" t="str">
        <f aca="false">IF(OR(F3964="",H3964="",J3964=""),"",J3964&amp;"|"&amp;F3964&amp;"|"&amp;IF(H3964="W3","W3_"&amp;IF(I3964="","unknown",I3964),H3964))</f>
        <v/>
      </c>
      <c r="Q3964" s="1" t="str">
        <f aca="false">IF(P3964="","",IFERROR(IF(AND(H3964="W7",OR(F3964="causal",F3964="predictive")),IF(AND(K3964=1,L3964=1,M3964=1),"adequate","partial"),INDEX(Fit_Matrix!$B:$B,MATCH(P3964,Fit_Matrix!$A:$A,0))),"CHECK KEY"))</f>
        <v/>
      </c>
    </row>
    <row r="3965" customFormat="false" ht="15" hidden="false" customHeight="true" outlineLevel="0" collapsed="false">
      <c r="P3965" s="1" t="str">
        <f aca="false">IF(OR(F3965="",H3965="",J3965=""),"",J3965&amp;"|"&amp;F3965&amp;"|"&amp;IF(H3965="W3","W3_"&amp;IF(I3965="","unknown",I3965),H3965))</f>
        <v/>
      </c>
      <c r="Q3965" s="1" t="str">
        <f aca="false">IF(P3965="","",IFERROR(IF(AND(H3965="W7",OR(F3965="causal",F3965="predictive")),IF(AND(K3965=1,L3965=1,M3965=1),"adequate","partial"),INDEX(Fit_Matrix!$B:$B,MATCH(P3965,Fit_Matrix!$A:$A,0))),"CHECK KEY"))</f>
        <v/>
      </c>
    </row>
    <row r="3966" customFormat="false" ht="15" hidden="false" customHeight="true" outlineLevel="0" collapsed="false">
      <c r="P3966" s="1" t="str">
        <f aca="false">IF(OR(F3966="",H3966="",J3966=""),"",J3966&amp;"|"&amp;F3966&amp;"|"&amp;IF(H3966="W3","W3_"&amp;IF(I3966="","unknown",I3966),H3966))</f>
        <v/>
      </c>
      <c r="Q3966" s="1" t="str">
        <f aca="false">IF(P3966="","",IFERROR(IF(AND(H3966="W7",OR(F3966="causal",F3966="predictive")),IF(AND(K3966=1,L3966=1,M3966=1),"adequate","partial"),INDEX(Fit_Matrix!$B:$B,MATCH(P3966,Fit_Matrix!$A:$A,0))),"CHECK KEY"))</f>
        <v/>
      </c>
    </row>
    <row r="3967" customFormat="false" ht="15" hidden="false" customHeight="true" outlineLevel="0" collapsed="false">
      <c r="P3967" s="1" t="str">
        <f aca="false">IF(OR(F3967="",H3967="",J3967=""),"",J3967&amp;"|"&amp;F3967&amp;"|"&amp;IF(H3967="W3","W3_"&amp;IF(I3967="","unknown",I3967),H3967))</f>
        <v/>
      </c>
      <c r="Q3967" s="1" t="str">
        <f aca="false">IF(P3967="","",IFERROR(IF(AND(H3967="W7",OR(F3967="causal",F3967="predictive")),IF(AND(K3967=1,L3967=1,M3967=1),"adequate","partial"),INDEX(Fit_Matrix!$B:$B,MATCH(P3967,Fit_Matrix!$A:$A,0))),"CHECK KEY"))</f>
        <v/>
      </c>
    </row>
    <row r="3968" customFormat="false" ht="15" hidden="false" customHeight="true" outlineLevel="0" collapsed="false">
      <c r="P3968" s="1" t="str">
        <f aca="false">IF(OR(F3968="",H3968="",J3968=""),"",J3968&amp;"|"&amp;F3968&amp;"|"&amp;IF(H3968="W3","W3_"&amp;IF(I3968="","unknown",I3968),H3968))</f>
        <v/>
      </c>
      <c r="Q3968" s="1" t="str">
        <f aca="false">IF(P3968="","",IFERROR(IF(AND(H3968="W7",OR(F3968="causal",F3968="predictive")),IF(AND(K3968=1,L3968=1,M3968=1),"adequate","partial"),INDEX(Fit_Matrix!$B:$B,MATCH(P3968,Fit_Matrix!$A:$A,0))),"CHECK KEY"))</f>
        <v/>
      </c>
    </row>
    <row r="3969" customFormat="false" ht="15" hidden="false" customHeight="true" outlineLevel="0" collapsed="false">
      <c r="P3969" s="1" t="str">
        <f aca="false">IF(OR(F3969="",H3969="",J3969=""),"",J3969&amp;"|"&amp;F3969&amp;"|"&amp;IF(H3969="W3","W3_"&amp;IF(I3969="","unknown",I3969),H3969))</f>
        <v/>
      </c>
      <c r="Q3969" s="1" t="str">
        <f aca="false">IF(P3969="","",IFERROR(IF(AND(H3969="W7",OR(F3969="causal",F3969="predictive")),IF(AND(K3969=1,L3969=1,M3969=1),"adequate","partial"),INDEX(Fit_Matrix!$B:$B,MATCH(P3969,Fit_Matrix!$A:$A,0))),"CHECK KEY"))</f>
        <v/>
      </c>
    </row>
    <row r="3970" customFormat="false" ht="15" hidden="false" customHeight="true" outlineLevel="0" collapsed="false">
      <c r="P3970" s="1" t="str">
        <f aca="false">IF(OR(F3970="",H3970="",J3970=""),"",J3970&amp;"|"&amp;F3970&amp;"|"&amp;IF(H3970="W3","W3_"&amp;IF(I3970="","unknown",I3970),H3970))</f>
        <v/>
      </c>
      <c r="Q3970" s="1" t="str">
        <f aca="false">IF(P3970="","",IFERROR(IF(AND(H3970="W7",OR(F3970="causal",F3970="predictive")),IF(AND(K3970=1,L3970=1,M3970=1),"adequate","partial"),INDEX(Fit_Matrix!$B:$B,MATCH(P3970,Fit_Matrix!$A:$A,0))),"CHECK KEY"))</f>
        <v/>
      </c>
    </row>
    <row r="3971" customFormat="false" ht="15" hidden="false" customHeight="true" outlineLevel="0" collapsed="false">
      <c r="P3971" s="1" t="str">
        <f aca="false">IF(OR(F3971="",H3971="",J3971=""),"",J3971&amp;"|"&amp;F3971&amp;"|"&amp;IF(H3971="W3","W3_"&amp;IF(I3971="","unknown",I3971),H3971))</f>
        <v/>
      </c>
      <c r="Q3971" s="1" t="str">
        <f aca="false">IF(P3971="","",IFERROR(IF(AND(H3971="W7",OR(F3971="causal",F3971="predictive")),IF(AND(K3971=1,L3971=1,M3971=1),"adequate","partial"),INDEX(Fit_Matrix!$B:$B,MATCH(P3971,Fit_Matrix!$A:$A,0))),"CHECK KEY"))</f>
        <v/>
      </c>
    </row>
    <row r="3972" customFormat="false" ht="15" hidden="false" customHeight="true" outlineLevel="0" collapsed="false">
      <c r="P3972" s="1" t="str">
        <f aca="false">IF(OR(F3972="",H3972="",J3972=""),"",J3972&amp;"|"&amp;F3972&amp;"|"&amp;IF(H3972="W3","W3_"&amp;IF(I3972="","unknown",I3972),H3972))</f>
        <v/>
      </c>
      <c r="Q3972" s="1" t="str">
        <f aca="false">IF(P3972="","",IFERROR(IF(AND(H3972="W7",OR(F3972="causal",F3972="predictive")),IF(AND(K3972=1,L3972=1,M3972=1),"adequate","partial"),INDEX(Fit_Matrix!$B:$B,MATCH(P3972,Fit_Matrix!$A:$A,0))),"CHECK KEY"))</f>
        <v/>
      </c>
    </row>
    <row r="3973" customFormat="false" ht="15" hidden="false" customHeight="true" outlineLevel="0" collapsed="false">
      <c r="P3973" s="1" t="str">
        <f aca="false">IF(OR(F3973="",H3973="",J3973=""),"",J3973&amp;"|"&amp;F3973&amp;"|"&amp;IF(H3973="W3","W3_"&amp;IF(I3973="","unknown",I3973),H3973))</f>
        <v/>
      </c>
      <c r="Q3973" s="1" t="str">
        <f aca="false">IF(P3973="","",IFERROR(IF(AND(H3973="W7",OR(F3973="causal",F3973="predictive")),IF(AND(K3973=1,L3973=1,M3973=1),"adequate","partial"),INDEX(Fit_Matrix!$B:$B,MATCH(P3973,Fit_Matrix!$A:$A,0))),"CHECK KEY"))</f>
        <v/>
      </c>
    </row>
    <row r="3974" customFormat="false" ht="15" hidden="false" customHeight="true" outlineLevel="0" collapsed="false">
      <c r="P3974" s="1" t="str">
        <f aca="false">IF(OR(F3974="",H3974="",J3974=""),"",J3974&amp;"|"&amp;F3974&amp;"|"&amp;IF(H3974="W3","W3_"&amp;IF(I3974="","unknown",I3974),H3974))</f>
        <v/>
      </c>
      <c r="Q3974" s="1" t="str">
        <f aca="false">IF(P3974="","",IFERROR(IF(AND(H3974="W7",OR(F3974="causal",F3974="predictive")),IF(AND(K3974=1,L3974=1,M3974=1),"adequate","partial"),INDEX(Fit_Matrix!$B:$B,MATCH(P3974,Fit_Matrix!$A:$A,0))),"CHECK KEY"))</f>
        <v/>
      </c>
    </row>
    <row r="3975" customFormat="false" ht="15" hidden="false" customHeight="true" outlineLevel="0" collapsed="false">
      <c r="P3975" s="1" t="str">
        <f aca="false">IF(OR(F3975="",H3975="",J3975=""),"",J3975&amp;"|"&amp;F3975&amp;"|"&amp;IF(H3975="W3","W3_"&amp;IF(I3975="","unknown",I3975),H3975))</f>
        <v/>
      </c>
      <c r="Q3975" s="1" t="str">
        <f aca="false">IF(P3975="","",IFERROR(IF(AND(H3975="W7",OR(F3975="causal",F3975="predictive")),IF(AND(K3975=1,L3975=1,M3975=1),"adequate","partial"),INDEX(Fit_Matrix!$B:$B,MATCH(P3975,Fit_Matrix!$A:$A,0))),"CHECK KEY"))</f>
        <v/>
      </c>
    </row>
    <row r="3976" customFormat="false" ht="15" hidden="false" customHeight="true" outlineLevel="0" collapsed="false">
      <c r="P3976" s="1" t="str">
        <f aca="false">IF(OR(F3976="",H3976="",J3976=""),"",J3976&amp;"|"&amp;F3976&amp;"|"&amp;IF(H3976="W3","W3_"&amp;IF(I3976="","unknown",I3976),H3976))</f>
        <v/>
      </c>
      <c r="Q3976" s="1" t="str">
        <f aca="false">IF(P3976="","",IFERROR(IF(AND(H3976="W7",OR(F3976="causal",F3976="predictive")),IF(AND(K3976=1,L3976=1,M3976=1),"adequate","partial"),INDEX(Fit_Matrix!$B:$B,MATCH(P3976,Fit_Matrix!$A:$A,0))),"CHECK KEY"))</f>
        <v/>
      </c>
    </row>
    <row r="3977" customFormat="false" ht="15" hidden="false" customHeight="true" outlineLevel="0" collapsed="false">
      <c r="P3977" s="1" t="str">
        <f aca="false">IF(OR(F3977="",H3977="",J3977=""),"",J3977&amp;"|"&amp;F3977&amp;"|"&amp;IF(H3977="W3","W3_"&amp;IF(I3977="","unknown",I3977),H3977))</f>
        <v/>
      </c>
      <c r="Q3977" s="1" t="str">
        <f aca="false">IF(P3977="","",IFERROR(IF(AND(H3977="W7",OR(F3977="causal",F3977="predictive")),IF(AND(K3977=1,L3977=1,M3977=1),"adequate","partial"),INDEX(Fit_Matrix!$B:$B,MATCH(P3977,Fit_Matrix!$A:$A,0))),"CHECK KEY"))</f>
        <v/>
      </c>
    </row>
    <row r="3978" customFormat="false" ht="15" hidden="false" customHeight="true" outlineLevel="0" collapsed="false">
      <c r="P3978" s="1" t="str">
        <f aca="false">IF(OR(F3978="",H3978="",J3978=""),"",J3978&amp;"|"&amp;F3978&amp;"|"&amp;IF(H3978="W3","W3_"&amp;IF(I3978="","unknown",I3978),H3978))</f>
        <v/>
      </c>
      <c r="Q3978" s="1" t="str">
        <f aca="false">IF(P3978="","",IFERROR(IF(AND(H3978="W7",OR(F3978="causal",F3978="predictive")),IF(AND(K3978=1,L3978=1,M3978=1),"adequate","partial"),INDEX(Fit_Matrix!$B:$B,MATCH(P3978,Fit_Matrix!$A:$A,0))),"CHECK KEY"))</f>
        <v/>
      </c>
    </row>
    <row r="3979" customFormat="false" ht="15" hidden="false" customHeight="true" outlineLevel="0" collapsed="false">
      <c r="P3979" s="1" t="str">
        <f aca="false">IF(OR(F3979="",H3979="",J3979=""),"",J3979&amp;"|"&amp;F3979&amp;"|"&amp;IF(H3979="W3","W3_"&amp;IF(I3979="","unknown",I3979),H3979))</f>
        <v/>
      </c>
      <c r="Q3979" s="1" t="str">
        <f aca="false">IF(P3979="","",IFERROR(IF(AND(H3979="W7",OR(F3979="causal",F3979="predictive")),IF(AND(K3979=1,L3979=1,M3979=1),"adequate","partial"),INDEX(Fit_Matrix!$B:$B,MATCH(P3979,Fit_Matrix!$A:$A,0))),"CHECK KEY"))</f>
        <v/>
      </c>
    </row>
    <row r="3980" customFormat="false" ht="15" hidden="false" customHeight="true" outlineLevel="0" collapsed="false">
      <c r="P3980" s="1" t="str">
        <f aca="false">IF(OR(F3980="",H3980="",J3980=""),"",J3980&amp;"|"&amp;F3980&amp;"|"&amp;IF(H3980="W3","W3_"&amp;IF(I3980="","unknown",I3980),H3980))</f>
        <v/>
      </c>
      <c r="Q3980" s="1" t="str">
        <f aca="false">IF(P3980="","",IFERROR(IF(AND(H3980="W7",OR(F3980="causal",F3980="predictive")),IF(AND(K3980=1,L3980=1,M3980=1),"adequate","partial"),INDEX(Fit_Matrix!$B:$B,MATCH(P3980,Fit_Matrix!$A:$A,0))),"CHECK KEY"))</f>
        <v/>
      </c>
    </row>
    <row r="3981" customFormat="false" ht="15" hidden="false" customHeight="true" outlineLevel="0" collapsed="false">
      <c r="P3981" s="1" t="str">
        <f aca="false">IF(OR(F3981="",H3981="",J3981=""),"",J3981&amp;"|"&amp;F3981&amp;"|"&amp;IF(H3981="W3","W3_"&amp;IF(I3981="","unknown",I3981),H3981))</f>
        <v/>
      </c>
      <c r="Q3981" s="1" t="str">
        <f aca="false">IF(P3981="","",IFERROR(IF(AND(H3981="W7",OR(F3981="causal",F3981="predictive")),IF(AND(K3981=1,L3981=1,M3981=1),"adequate","partial"),INDEX(Fit_Matrix!$B:$B,MATCH(P3981,Fit_Matrix!$A:$A,0))),"CHECK KEY"))</f>
        <v/>
      </c>
    </row>
    <row r="3982" customFormat="false" ht="15" hidden="false" customHeight="true" outlineLevel="0" collapsed="false">
      <c r="P3982" s="1" t="str">
        <f aca="false">IF(OR(F3982="",H3982="",J3982=""),"",J3982&amp;"|"&amp;F3982&amp;"|"&amp;IF(H3982="W3","W3_"&amp;IF(I3982="","unknown",I3982),H3982))</f>
        <v/>
      </c>
      <c r="Q3982" s="1" t="str">
        <f aca="false">IF(P3982="","",IFERROR(IF(AND(H3982="W7",OR(F3982="causal",F3982="predictive")),IF(AND(K3982=1,L3982=1,M3982=1),"adequate","partial"),INDEX(Fit_Matrix!$B:$B,MATCH(P3982,Fit_Matrix!$A:$A,0))),"CHECK KEY"))</f>
        <v/>
      </c>
    </row>
    <row r="3983" customFormat="false" ht="15" hidden="false" customHeight="true" outlineLevel="0" collapsed="false">
      <c r="P3983" s="1" t="str">
        <f aca="false">IF(OR(F3983="",H3983="",J3983=""),"",J3983&amp;"|"&amp;F3983&amp;"|"&amp;IF(H3983="W3","W3_"&amp;IF(I3983="","unknown",I3983),H3983))</f>
        <v/>
      </c>
      <c r="Q3983" s="1" t="str">
        <f aca="false">IF(P3983="","",IFERROR(IF(AND(H3983="W7",OR(F3983="causal",F3983="predictive")),IF(AND(K3983=1,L3983=1,M3983=1),"adequate","partial"),INDEX(Fit_Matrix!$B:$B,MATCH(P3983,Fit_Matrix!$A:$A,0))),"CHECK KEY"))</f>
        <v/>
      </c>
    </row>
    <row r="3984" customFormat="false" ht="15" hidden="false" customHeight="true" outlineLevel="0" collapsed="false">
      <c r="P3984" s="1" t="str">
        <f aca="false">IF(OR(F3984="",H3984="",J3984=""),"",J3984&amp;"|"&amp;F3984&amp;"|"&amp;IF(H3984="W3","W3_"&amp;IF(I3984="","unknown",I3984),H3984))</f>
        <v/>
      </c>
      <c r="Q3984" s="1" t="str">
        <f aca="false">IF(P3984="","",IFERROR(IF(AND(H3984="W7",OR(F3984="causal",F3984="predictive")),IF(AND(K3984=1,L3984=1,M3984=1),"adequate","partial"),INDEX(Fit_Matrix!$B:$B,MATCH(P3984,Fit_Matrix!$A:$A,0))),"CHECK KEY"))</f>
        <v/>
      </c>
    </row>
    <row r="3985" customFormat="false" ht="15" hidden="false" customHeight="true" outlineLevel="0" collapsed="false">
      <c r="P3985" s="1" t="str">
        <f aca="false">IF(OR(F3985="",H3985="",J3985=""),"",J3985&amp;"|"&amp;F3985&amp;"|"&amp;IF(H3985="W3","W3_"&amp;IF(I3985="","unknown",I3985),H3985))</f>
        <v/>
      </c>
      <c r="Q3985" s="1" t="str">
        <f aca="false">IF(P3985="","",IFERROR(IF(AND(H3985="W7",OR(F3985="causal",F3985="predictive")),IF(AND(K3985=1,L3985=1,M3985=1),"adequate","partial"),INDEX(Fit_Matrix!$B:$B,MATCH(P3985,Fit_Matrix!$A:$A,0))),"CHECK KEY"))</f>
        <v/>
      </c>
    </row>
    <row r="3986" customFormat="false" ht="15" hidden="false" customHeight="true" outlineLevel="0" collapsed="false">
      <c r="P3986" s="1" t="str">
        <f aca="false">IF(OR(F3986="",H3986="",J3986=""),"",J3986&amp;"|"&amp;F3986&amp;"|"&amp;IF(H3986="W3","W3_"&amp;IF(I3986="","unknown",I3986),H3986))</f>
        <v/>
      </c>
      <c r="Q3986" s="1" t="str">
        <f aca="false">IF(P3986="","",IFERROR(IF(AND(H3986="W7",OR(F3986="causal",F3986="predictive")),IF(AND(K3986=1,L3986=1,M3986=1),"adequate","partial"),INDEX(Fit_Matrix!$B:$B,MATCH(P3986,Fit_Matrix!$A:$A,0))),"CHECK KEY"))</f>
        <v/>
      </c>
    </row>
    <row r="3987" customFormat="false" ht="15" hidden="false" customHeight="true" outlineLevel="0" collapsed="false">
      <c r="P3987" s="1" t="str">
        <f aca="false">IF(OR(F3987="",H3987="",J3987=""),"",J3987&amp;"|"&amp;F3987&amp;"|"&amp;IF(H3987="W3","W3_"&amp;IF(I3987="","unknown",I3987),H3987))</f>
        <v/>
      </c>
      <c r="Q3987" s="1" t="str">
        <f aca="false">IF(P3987="","",IFERROR(IF(AND(H3987="W7",OR(F3987="causal",F3987="predictive")),IF(AND(K3987=1,L3987=1,M3987=1),"adequate","partial"),INDEX(Fit_Matrix!$B:$B,MATCH(P3987,Fit_Matrix!$A:$A,0))),"CHECK KEY"))</f>
        <v/>
      </c>
    </row>
    <row r="3988" customFormat="false" ht="15" hidden="false" customHeight="true" outlineLevel="0" collapsed="false">
      <c r="P3988" s="1" t="str">
        <f aca="false">IF(OR(F3988="",H3988="",J3988=""),"",J3988&amp;"|"&amp;F3988&amp;"|"&amp;IF(H3988="W3","W3_"&amp;IF(I3988="","unknown",I3988),H3988))</f>
        <v/>
      </c>
      <c r="Q3988" s="1" t="str">
        <f aca="false">IF(P3988="","",IFERROR(IF(AND(H3988="W7",OR(F3988="causal",F3988="predictive")),IF(AND(K3988=1,L3988=1,M3988=1),"adequate","partial"),INDEX(Fit_Matrix!$B:$B,MATCH(P3988,Fit_Matrix!$A:$A,0))),"CHECK KEY"))</f>
        <v/>
      </c>
    </row>
    <row r="3989" customFormat="false" ht="15" hidden="false" customHeight="true" outlineLevel="0" collapsed="false">
      <c r="P3989" s="1" t="str">
        <f aca="false">IF(OR(F3989="",H3989="",J3989=""),"",J3989&amp;"|"&amp;F3989&amp;"|"&amp;IF(H3989="W3","W3_"&amp;IF(I3989="","unknown",I3989),H3989))</f>
        <v/>
      </c>
      <c r="Q3989" s="1" t="str">
        <f aca="false">IF(P3989="","",IFERROR(IF(AND(H3989="W7",OR(F3989="causal",F3989="predictive")),IF(AND(K3989=1,L3989=1,M3989=1),"adequate","partial"),INDEX(Fit_Matrix!$B:$B,MATCH(P3989,Fit_Matrix!$A:$A,0))),"CHECK KEY"))</f>
        <v/>
      </c>
    </row>
    <row r="3990" customFormat="false" ht="15" hidden="false" customHeight="true" outlineLevel="0" collapsed="false">
      <c r="P3990" s="1" t="str">
        <f aca="false">IF(OR(F3990="",H3990="",J3990=""),"",J3990&amp;"|"&amp;F3990&amp;"|"&amp;IF(H3990="W3","W3_"&amp;IF(I3990="","unknown",I3990),H3990))</f>
        <v/>
      </c>
      <c r="Q3990" s="1" t="str">
        <f aca="false">IF(P3990="","",IFERROR(IF(AND(H3990="W7",OR(F3990="causal",F3990="predictive")),IF(AND(K3990=1,L3990=1,M3990=1),"adequate","partial"),INDEX(Fit_Matrix!$B:$B,MATCH(P3990,Fit_Matrix!$A:$A,0))),"CHECK KEY"))</f>
        <v/>
      </c>
    </row>
    <row r="3991" customFormat="false" ht="15" hidden="false" customHeight="true" outlineLevel="0" collapsed="false">
      <c r="P3991" s="1" t="str">
        <f aca="false">IF(OR(F3991="",H3991="",J3991=""),"",J3991&amp;"|"&amp;F3991&amp;"|"&amp;IF(H3991="W3","W3_"&amp;IF(I3991="","unknown",I3991),H3991))</f>
        <v/>
      </c>
      <c r="Q3991" s="1" t="str">
        <f aca="false">IF(P3991="","",IFERROR(IF(AND(H3991="W7",OR(F3991="causal",F3991="predictive")),IF(AND(K3991=1,L3991=1,M3991=1),"adequate","partial"),INDEX(Fit_Matrix!$B:$B,MATCH(P3991,Fit_Matrix!$A:$A,0))),"CHECK KEY"))</f>
        <v/>
      </c>
    </row>
    <row r="3992" customFormat="false" ht="15" hidden="false" customHeight="true" outlineLevel="0" collapsed="false">
      <c r="P3992" s="1" t="str">
        <f aca="false">IF(OR(F3992="",H3992="",J3992=""),"",J3992&amp;"|"&amp;F3992&amp;"|"&amp;IF(H3992="W3","W3_"&amp;IF(I3992="","unknown",I3992),H3992))</f>
        <v/>
      </c>
      <c r="Q3992" s="1" t="str">
        <f aca="false">IF(P3992="","",IFERROR(IF(AND(H3992="W7",OR(F3992="causal",F3992="predictive")),IF(AND(K3992=1,L3992=1,M3992=1),"adequate","partial"),INDEX(Fit_Matrix!$B:$B,MATCH(P3992,Fit_Matrix!$A:$A,0))),"CHECK KEY"))</f>
        <v/>
      </c>
    </row>
    <row r="3993" customFormat="false" ht="15" hidden="false" customHeight="true" outlineLevel="0" collapsed="false">
      <c r="P3993" s="1" t="str">
        <f aca="false">IF(OR(F3993="",H3993="",J3993=""),"",J3993&amp;"|"&amp;F3993&amp;"|"&amp;IF(H3993="W3","W3_"&amp;IF(I3993="","unknown",I3993),H3993))</f>
        <v/>
      </c>
      <c r="Q3993" s="1" t="str">
        <f aca="false">IF(P3993="","",IFERROR(IF(AND(H3993="W7",OR(F3993="causal",F3993="predictive")),IF(AND(K3993=1,L3993=1,M3993=1),"adequate","partial"),INDEX(Fit_Matrix!$B:$B,MATCH(P3993,Fit_Matrix!$A:$A,0))),"CHECK KEY"))</f>
        <v/>
      </c>
    </row>
    <row r="3994" customFormat="false" ht="15" hidden="false" customHeight="true" outlineLevel="0" collapsed="false">
      <c r="P3994" s="1" t="str">
        <f aca="false">IF(OR(F3994="",H3994="",J3994=""),"",J3994&amp;"|"&amp;F3994&amp;"|"&amp;IF(H3994="W3","W3_"&amp;IF(I3994="","unknown",I3994),H3994))</f>
        <v/>
      </c>
      <c r="Q3994" s="1" t="str">
        <f aca="false">IF(P3994="","",IFERROR(IF(AND(H3994="W7",OR(F3994="causal",F3994="predictive")),IF(AND(K3994=1,L3994=1,M3994=1),"adequate","partial"),INDEX(Fit_Matrix!$B:$B,MATCH(P3994,Fit_Matrix!$A:$A,0))),"CHECK KEY"))</f>
        <v/>
      </c>
    </row>
    <row r="3995" customFormat="false" ht="15" hidden="false" customHeight="true" outlineLevel="0" collapsed="false">
      <c r="P3995" s="1" t="str">
        <f aca="false">IF(OR(F3995="",H3995="",J3995=""),"",J3995&amp;"|"&amp;F3995&amp;"|"&amp;IF(H3995="W3","W3_"&amp;IF(I3995="","unknown",I3995),H3995))</f>
        <v/>
      </c>
      <c r="Q3995" s="1" t="str">
        <f aca="false">IF(P3995="","",IFERROR(IF(AND(H3995="W7",OR(F3995="causal",F3995="predictive")),IF(AND(K3995=1,L3995=1,M3995=1),"adequate","partial"),INDEX(Fit_Matrix!$B:$B,MATCH(P3995,Fit_Matrix!$A:$A,0))),"CHECK KEY"))</f>
        <v/>
      </c>
    </row>
    <row r="3996" customFormat="false" ht="15" hidden="false" customHeight="true" outlineLevel="0" collapsed="false">
      <c r="P3996" s="1" t="str">
        <f aca="false">IF(OR(F3996="",H3996="",J3996=""),"",J3996&amp;"|"&amp;F3996&amp;"|"&amp;IF(H3996="W3","W3_"&amp;IF(I3996="","unknown",I3996),H3996))</f>
        <v/>
      </c>
      <c r="Q3996" s="1" t="str">
        <f aca="false">IF(P3996="","",IFERROR(IF(AND(H3996="W7",OR(F3996="causal",F3996="predictive")),IF(AND(K3996=1,L3996=1,M3996=1),"adequate","partial"),INDEX(Fit_Matrix!$B:$B,MATCH(P3996,Fit_Matrix!$A:$A,0))),"CHECK KEY"))</f>
        <v/>
      </c>
    </row>
    <row r="3997" customFormat="false" ht="15" hidden="false" customHeight="true" outlineLevel="0" collapsed="false">
      <c r="P3997" s="1" t="str">
        <f aca="false">IF(OR(F3997="",H3997="",J3997=""),"",J3997&amp;"|"&amp;F3997&amp;"|"&amp;IF(H3997="W3","W3_"&amp;IF(I3997="","unknown",I3997),H3997))</f>
        <v/>
      </c>
      <c r="Q3997" s="1" t="str">
        <f aca="false">IF(P3997="","",IFERROR(IF(AND(H3997="W7",OR(F3997="causal",F3997="predictive")),IF(AND(K3997=1,L3997=1,M3997=1),"adequate","partial"),INDEX(Fit_Matrix!$B:$B,MATCH(P3997,Fit_Matrix!$A:$A,0))),"CHECK KEY"))</f>
        <v/>
      </c>
    </row>
    <row r="3998" customFormat="false" ht="15" hidden="false" customHeight="true" outlineLevel="0" collapsed="false">
      <c r="P3998" s="1" t="str">
        <f aca="false">IF(OR(F3998="",H3998="",J3998=""),"",J3998&amp;"|"&amp;F3998&amp;"|"&amp;IF(H3998="W3","W3_"&amp;IF(I3998="","unknown",I3998),H3998))</f>
        <v/>
      </c>
      <c r="Q3998" s="1" t="str">
        <f aca="false">IF(P3998="","",IFERROR(IF(AND(H3998="W7",OR(F3998="causal",F3998="predictive")),IF(AND(K3998=1,L3998=1,M3998=1),"adequate","partial"),INDEX(Fit_Matrix!$B:$B,MATCH(P3998,Fit_Matrix!$A:$A,0))),"CHECK KEY"))</f>
        <v/>
      </c>
    </row>
    <row r="3999" customFormat="false" ht="15" hidden="false" customHeight="true" outlineLevel="0" collapsed="false">
      <c r="P3999" s="1" t="str">
        <f aca="false">IF(OR(F3999="",H3999="",J3999=""),"",J3999&amp;"|"&amp;F3999&amp;"|"&amp;IF(H3999="W3","W3_"&amp;IF(I3999="","unknown",I3999),H3999))</f>
        <v/>
      </c>
      <c r="Q3999" s="1" t="str">
        <f aca="false">IF(P3999="","",IFERROR(IF(AND(H3999="W7",OR(F3999="causal",F3999="predictive")),IF(AND(K3999=1,L3999=1,M3999=1),"adequate","partial"),INDEX(Fit_Matrix!$B:$B,MATCH(P3999,Fit_Matrix!$A:$A,0))),"CHECK KEY"))</f>
        <v/>
      </c>
    </row>
    <row r="4000" customFormat="false" ht="15" hidden="false" customHeight="true" outlineLevel="0" collapsed="false">
      <c r="P4000" s="1" t="str">
        <f aca="false">IF(OR(F4000="",H4000="",J4000=""),"",J4000&amp;"|"&amp;F4000&amp;"|"&amp;IF(H4000="W3","W3_"&amp;IF(I4000="","unknown",I4000),H4000))</f>
        <v/>
      </c>
      <c r="Q4000" s="1" t="str">
        <f aca="false">IF(P4000="","",IFERROR(IF(AND(H4000="W7",OR(F4000="causal",F4000="predictive")),IF(AND(K4000=1,L4000=1,M4000=1),"adequate","partial"),INDEX(Fit_Matrix!$B:$B,MATCH(P4000,Fit_Matrix!$A:$A,0))),"CHECK KEY"))</f>
        <v/>
      </c>
    </row>
    <row r="4001" customFormat="false" ht="15" hidden="false" customHeight="true" outlineLevel="0" collapsed="false">
      <c r="P4001" s="1" t="str">
        <f aca="false">IF(OR(F4001="",H4001="",J4001=""),"",J4001&amp;"|"&amp;F4001&amp;"|"&amp;IF(H4001="W3","W3_"&amp;IF(I4001="","unknown",I4001),H4001))</f>
        <v/>
      </c>
      <c r="Q4001" s="1" t="str">
        <f aca="false">IF(P4001="","",IFERROR(IF(AND(H4001="W7",OR(F4001="causal",F4001="predictive")),IF(AND(K4001=1,L4001=1,M4001=1),"adequate","partial"),INDEX(Fit_Matrix!$B:$B,MATCH(P4001,Fit_Matrix!$A:$A,0))),"CHECK KEY"))</f>
        <v/>
      </c>
    </row>
    <row r="4002" customFormat="false" ht="15" hidden="false" customHeight="true" outlineLevel="0" collapsed="false">
      <c r="P4002" s="1" t="str">
        <f aca="false">IF(OR(F4002="",H4002="",J4002=""),"",J4002&amp;"|"&amp;F4002&amp;"|"&amp;IF(H4002="W3","W3_"&amp;IF(I4002="","unknown",I4002),H4002))</f>
        <v/>
      </c>
      <c r="Q4002" s="1" t="str">
        <f aca="false">IF(P4002="","",IFERROR(IF(AND(H4002="W7",OR(F4002="causal",F4002="predictive")),IF(AND(K4002=1,L4002=1,M4002=1),"adequate","partial"),INDEX(Fit_Matrix!$B:$B,MATCH(P4002,Fit_Matrix!$A:$A,0))),"CHECK KEY"))</f>
        <v/>
      </c>
    </row>
    <row r="4003" customFormat="false" ht="15" hidden="false" customHeight="true" outlineLevel="0" collapsed="false">
      <c r="P4003" s="1" t="str">
        <f aca="false">IF(OR(F4003="",H4003="",J4003=""),"",J4003&amp;"|"&amp;F4003&amp;"|"&amp;IF(H4003="W3","W3_"&amp;IF(I4003="","unknown",I4003),H4003))</f>
        <v/>
      </c>
      <c r="Q4003" s="1" t="str">
        <f aca="false">IF(P4003="","",IFERROR(IF(AND(H4003="W7",OR(F4003="causal",F4003="predictive")),IF(AND(K4003=1,L4003=1,M4003=1),"adequate","partial"),INDEX(Fit_Matrix!$B:$B,MATCH(P4003,Fit_Matrix!$A:$A,0))),"CHECK KEY"))</f>
        <v/>
      </c>
    </row>
    <row r="4004" customFormat="false" ht="15" hidden="false" customHeight="true" outlineLevel="0" collapsed="false">
      <c r="P4004" s="1" t="str">
        <f aca="false">IF(OR(F4004="",H4004="",J4004=""),"",J4004&amp;"|"&amp;F4004&amp;"|"&amp;IF(H4004="W3","W3_"&amp;IF(I4004="","unknown",I4004),H4004))</f>
        <v/>
      </c>
      <c r="Q4004" s="1" t="str">
        <f aca="false">IF(P4004="","",IFERROR(IF(AND(H4004="W7",OR(F4004="causal",F4004="predictive")),IF(AND(K4004=1,L4004=1,M4004=1),"adequate","partial"),INDEX(Fit_Matrix!$B:$B,MATCH(P4004,Fit_Matrix!$A:$A,0))),"CHECK KEY"))</f>
        <v/>
      </c>
    </row>
    <row r="4005" customFormat="false" ht="15" hidden="false" customHeight="true" outlineLevel="0" collapsed="false">
      <c r="P4005" s="1" t="str">
        <f aca="false">IF(OR(F4005="",H4005="",J4005=""),"",J4005&amp;"|"&amp;F4005&amp;"|"&amp;IF(H4005="W3","W3_"&amp;IF(I4005="","unknown",I4005),H4005))</f>
        <v/>
      </c>
      <c r="Q4005" s="1" t="str">
        <f aca="false">IF(P4005="","",IFERROR(IF(AND(H4005="W7",OR(F4005="causal",F4005="predictive")),IF(AND(K4005=1,L4005=1,M4005=1),"adequate","partial"),INDEX(Fit_Matrix!$B:$B,MATCH(P4005,Fit_Matrix!$A:$A,0))),"CHECK KEY"))</f>
        <v/>
      </c>
    </row>
    <row r="4006" customFormat="false" ht="15" hidden="false" customHeight="true" outlineLevel="0" collapsed="false">
      <c r="P4006" s="1" t="str">
        <f aca="false">IF(OR(F4006="",H4006="",J4006=""),"",J4006&amp;"|"&amp;F4006&amp;"|"&amp;IF(H4006="W3","W3_"&amp;IF(I4006="","unknown",I4006),H4006))</f>
        <v/>
      </c>
      <c r="Q4006" s="1" t="str">
        <f aca="false">IF(P4006="","",IFERROR(IF(AND(H4006="W7",OR(F4006="causal",F4006="predictive")),IF(AND(K4006=1,L4006=1,M4006=1),"adequate","partial"),INDEX(Fit_Matrix!$B:$B,MATCH(P4006,Fit_Matrix!$A:$A,0))),"CHECK KEY"))</f>
        <v/>
      </c>
    </row>
    <row r="4007" customFormat="false" ht="15" hidden="false" customHeight="true" outlineLevel="0" collapsed="false">
      <c r="P4007" s="1" t="str">
        <f aca="false">IF(OR(F4007="",H4007="",J4007=""),"",J4007&amp;"|"&amp;F4007&amp;"|"&amp;IF(H4007="W3","W3_"&amp;IF(I4007="","unknown",I4007),H4007))</f>
        <v/>
      </c>
      <c r="Q4007" s="1" t="str">
        <f aca="false">IF(P4007="","",IFERROR(IF(AND(H4007="W7",OR(F4007="causal",F4007="predictive")),IF(AND(K4007=1,L4007=1,M4007=1),"adequate","partial"),INDEX(Fit_Matrix!$B:$B,MATCH(P4007,Fit_Matrix!$A:$A,0))),"CHECK KEY"))</f>
        <v/>
      </c>
    </row>
    <row r="4008" customFormat="false" ht="15" hidden="false" customHeight="true" outlineLevel="0" collapsed="false">
      <c r="P4008" s="1" t="str">
        <f aca="false">IF(OR(F4008="",H4008="",J4008=""),"",J4008&amp;"|"&amp;F4008&amp;"|"&amp;IF(H4008="W3","W3_"&amp;IF(I4008="","unknown",I4008),H4008))</f>
        <v/>
      </c>
      <c r="Q4008" s="1" t="str">
        <f aca="false">IF(P4008="","",IFERROR(IF(AND(H4008="W7",OR(F4008="causal",F4008="predictive")),IF(AND(K4008=1,L4008=1,M4008=1),"adequate","partial"),INDEX(Fit_Matrix!$B:$B,MATCH(P4008,Fit_Matrix!$A:$A,0))),"CHECK KEY"))</f>
        <v/>
      </c>
    </row>
    <row r="4009" customFormat="false" ht="15" hidden="false" customHeight="true" outlineLevel="0" collapsed="false">
      <c r="P4009" s="1" t="str">
        <f aca="false">IF(OR(F4009="",H4009="",J4009=""),"",J4009&amp;"|"&amp;F4009&amp;"|"&amp;IF(H4009="W3","W3_"&amp;IF(I4009="","unknown",I4009),H4009))</f>
        <v/>
      </c>
      <c r="Q4009" s="1" t="str">
        <f aca="false">IF(P4009="","",IFERROR(IF(AND(H4009="W7",OR(F4009="causal",F4009="predictive")),IF(AND(K4009=1,L4009=1,M4009=1),"adequate","partial"),INDEX(Fit_Matrix!$B:$B,MATCH(P4009,Fit_Matrix!$A:$A,0))),"CHECK KEY"))</f>
        <v/>
      </c>
    </row>
    <row r="4010" customFormat="false" ht="15" hidden="false" customHeight="true" outlineLevel="0" collapsed="false">
      <c r="P4010" s="1" t="str">
        <f aca="false">IF(OR(F4010="",H4010="",J4010=""),"",J4010&amp;"|"&amp;F4010&amp;"|"&amp;IF(H4010="W3","W3_"&amp;IF(I4010="","unknown",I4010),H4010))</f>
        <v/>
      </c>
      <c r="Q4010" s="1" t="str">
        <f aca="false">IF(P4010="","",IFERROR(IF(AND(H4010="W7",OR(F4010="causal",F4010="predictive")),IF(AND(K4010=1,L4010=1,M4010=1),"adequate","partial"),INDEX(Fit_Matrix!$B:$B,MATCH(P4010,Fit_Matrix!$A:$A,0))),"CHECK KEY"))</f>
        <v/>
      </c>
    </row>
    <row r="4011" customFormat="false" ht="15" hidden="false" customHeight="true" outlineLevel="0" collapsed="false">
      <c r="P4011" s="1" t="str">
        <f aca="false">IF(OR(F4011="",H4011="",J4011=""),"",J4011&amp;"|"&amp;F4011&amp;"|"&amp;IF(H4011="W3","W3_"&amp;IF(I4011="","unknown",I4011),H4011))</f>
        <v/>
      </c>
      <c r="Q4011" s="1" t="str">
        <f aca="false">IF(P4011="","",IFERROR(IF(AND(H4011="W7",OR(F4011="causal",F4011="predictive")),IF(AND(K4011=1,L4011=1,M4011=1),"adequate","partial"),INDEX(Fit_Matrix!$B:$B,MATCH(P4011,Fit_Matrix!$A:$A,0))),"CHECK KEY"))</f>
        <v/>
      </c>
    </row>
    <row r="4012" customFormat="false" ht="15" hidden="false" customHeight="true" outlineLevel="0" collapsed="false">
      <c r="P4012" s="1" t="str">
        <f aca="false">IF(OR(F4012="",H4012="",J4012=""),"",J4012&amp;"|"&amp;F4012&amp;"|"&amp;IF(H4012="W3","W3_"&amp;IF(I4012="","unknown",I4012),H4012))</f>
        <v/>
      </c>
      <c r="Q4012" s="1" t="str">
        <f aca="false">IF(P4012="","",IFERROR(IF(AND(H4012="W7",OR(F4012="causal",F4012="predictive")),IF(AND(K4012=1,L4012=1,M4012=1),"adequate","partial"),INDEX(Fit_Matrix!$B:$B,MATCH(P4012,Fit_Matrix!$A:$A,0))),"CHECK KEY"))</f>
        <v/>
      </c>
    </row>
    <row r="4013" customFormat="false" ht="15" hidden="false" customHeight="true" outlineLevel="0" collapsed="false">
      <c r="P4013" s="1" t="str">
        <f aca="false">IF(OR(F4013="",H4013="",J4013=""),"",J4013&amp;"|"&amp;F4013&amp;"|"&amp;IF(H4013="W3","W3_"&amp;IF(I4013="","unknown",I4013),H4013))</f>
        <v/>
      </c>
      <c r="Q4013" s="1" t="str">
        <f aca="false">IF(P4013="","",IFERROR(IF(AND(H4013="W7",OR(F4013="causal",F4013="predictive")),IF(AND(K4013=1,L4013=1,M4013=1),"adequate","partial"),INDEX(Fit_Matrix!$B:$B,MATCH(P4013,Fit_Matrix!$A:$A,0))),"CHECK KEY"))</f>
        <v/>
      </c>
    </row>
    <row r="4014" customFormat="false" ht="15" hidden="false" customHeight="true" outlineLevel="0" collapsed="false">
      <c r="P4014" s="1" t="str">
        <f aca="false">IF(OR(F4014="",H4014="",J4014=""),"",J4014&amp;"|"&amp;F4014&amp;"|"&amp;IF(H4014="W3","W3_"&amp;IF(I4014="","unknown",I4014),H4014))</f>
        <v/>
      </c>
      <c r="Q4014" s="1" t="str">
        <f aca="false">IF(P4014="","",IFERROR(IF(AND(H4014="W7",OR(F4014="causal",F4014="predictive")),IF(AND(K4014=1,L4014=1,M4014=1),"adequate","partial"),INDEX(Fit_Matrix!$B:$B,MATCH(P4014,Fit_Matrix!$A:$A,0))),"CHECK KEY"))</f>
        <v/>
      </c>
    </row>
    <row r="4015" customFormat="false" ht="15" hidden="false" customHeight="true" outlineLevel="0" collapsed="false">
      <c r="P4015" s="1" t="str">
        <f aca="false">IF(OR(F4015="",H4015="",J4015=""),"",J4015&amp;"|"&amp;F4015&amp;"|"&amp;IF(H4015="W3","W3_"&amp;IF(I4015="","unknown",I4015),H4015))</f>
        <v/>
      </c>
      <c r="Q4015" s="1" t="str">
        <f aca="false">IF(P4015="","",IFERROR(IF(AND(H4015="W7",OR(F4015="causal",F4015="predictive")),IF(AND(K4015=1,L4015=1,M4015=1),"adequate","partial"),INDEX(Fit_Matrix!$B:$B,MATCH(P4015,Fit_Matrix!$A:$A,0))),"CHECK KEY"))</f>
        <v/>
      </c>
    </row>
    <row r="4016" customFormat="false" ht="15" hidden="false" customHeight="true" outlineLevel="0" collapsed="false">
      <c r="P4016" s="1" t="str">
        <f aca="false">IF(OR(F4016="",H4016="",J4016=""),"",J4016&amp;"|"&amp;F4016&amp;"|"&amp;IF(H4016="W3","W3_"&amp;IF(I4016="","unknown",I4016),H4016))</f>
        <v/>
      </c>
      <c r="Q4016" s="1" t="str">
        <f aca="false">IF(P4016="","",IFERROR(IF(AND(H4016="W7",OR(F4016="causal",F4016="predictive")),IF(AND(K4016=1,L4016=1,M4016=1),"adequate","partial"),INDEX(Fit_Matrix!$B:$B,MATCH(P4016,Fit_Matrix!$A:$A,0))),"CHECK KEY"))</f>
        <v/>
      </c>
    </row>
    <row r="4017" customFormat="false" ht="15" hidden="false" customHeight="true" outlineLevel="0" collapsed="false">
      <c r="P4017" s="1" t="str">
        <f aca="false">IF(OR(F4017="",H4017="",J4017=""),"",J4017&amp;"|"&amp;F4017&amp;"|"&amp;IF(H4017="W3","W3_"&amp;IF(I4017="","unknown",I4017),H4017))</f>
        <v/>
      </c>
      <c r="Q4017" s="1" t="str">
        <f aca="false">IF(P4017="","",IFERROR(IF(AND(H4017="W7",OR(F4017="causal",F4017="predictive")),IF(AND(K4017=1,L4017=1,M4017=1),"adequate","partial"),INDEX(Fit_Matrix!$B:$B,MATCH(P4017,Fit_Matrix!$A:$A,0))),"CHECK KEY"))</f>
        <v/>
      </c>
    </row>
    <row r="4018" customFormat="false" ht="15" hidden="false" customHeight="true" outlineLevel="0" collapsed="false">
      <c r="P4018" s="1" t="str">
        <f aca="false">IF(OR(F4018="",H4018="",J4018=""),"",J4018&amp;"|"&amp;F4018&amp;"|"&amp;IF(H4018="W3","W3_"&amp;IF(I4018="","unknown",I4018),H4018))</f>
        <v/>
      </c>
      <c r="Q4018" s="1" t="str">
        <f aca="false">IF(P4018="","",IFERROR(IF(AND(H4018="W7",OR(F4018="causal",F4018="predictive")),IF(AND(K4018=1,L4018=1,M4018=1),"adequate","partial"),INDEX(Fit_Matrix!$B:$B,MATCH(P4018,Fit_Matrix!$A:$A,0))),"CHECK KEY"))</f>
        <v/>
      </c>
    </row>
    <row r="4019" customFormat="false" ht="15" hidden="false" customHeight="true" outlineLevel="0" collapsed="false">
      <c r="P4019" s="1" t="str">
        <f aca="false">IF(OR(F4019="",H4019="",J4019=""),"",J4019&amp;"|"&amp;F4019&amp;"|"&amp;IF(H4019="W3","W3_"&amp;IF(I4019="","unknown",I4019),H4019))</f>
        <v/>
      </c>
      <c r="Q4019" s="1" t="str">
        <f aca="false">IF(P4019="","",IFERROR(IF(AND(H4019="W7",OR(F4019="causal",F4019="predictive")),IF(AND(K4019=1,L4019=1,M4019=1),"adequate","partial"),INDEX(Fit_Matrix!$B:$B,MATCH(P4019,Fit_Matrix!$A:$A,0))),"CHECK KEY"))</f>
        <v/>
      </c>
    </row>
    <row r="4020" customFormat="false" ht="15" hidden="false" customHeight="true" outlineLevel="0" collapsed="false">
      <c r="P4020" s="1" t="str">
        <f aca="false">IF(OR(F4020="",H4020="",J4020=""),"",J4020&amp;"|"&amp;F4020&amp;"|"&amp;IF(H4020="W3","W3_"&amp;IF(I4020="","unknown",I4020),H4020))</f>
        <v/>
      </c>
      <c r="Q4020" s="1" t="str">
        <f aca="false">IF(P4020="","",IFERROR(IF(AND(H4020="W7",OR(F4020="causal",F4020="predictive")),IF(AND(K4020=1,L4020=1,M4020=1),"adequate","partial"),INDEX(Fit_Matrix!$B:$B,MATCH(P4020,Fit_Matrix!$A:$A,0))),"CHECK KEY"))</f>
        <v/>
      </c>
    </row>
    <row r="4021" customFormat="false" ht="15" hidden="false" customHeight="true" outlineLevel="0" collapsed="false">
      <c r="P4021" s="1" t="str">
        <f aca="false">IF(OR(F4021="",H4021="",J4021=""),"",J4021&amp;"|"&amp;F4021&amp;"|"&amp;IF(H4021="W3","W3_"&amp;IF(I4021="","unknown",I4021),H4021))</f>
        <v/>
      </c>
      <c r="Q4021" s="1" t="str">
        <f aca="false">IF(P4021="","",IFERROR(IF(AND(H4021="W7",OR(F4021="causal",F4021="predictive")),IF(AND(K4021=1,L4021=1,M4021=1),"adequate","partial"),INDEX(Fit_Matrix!$B:$B,MATCH(P4021,Fit_Matrix!$A:$A,0))),"CHECK KEY"))</f>
        <v/>
      </c>
    </row>
    <row r="4022" customFormat="false" ht="15" hidden="false" customHeight="true" outlineLevel="0" collapsed="false">
      <c r="P4022" s="1" t="str">
        <f aca="false">IF(OR(F4022="",H4022="",J4022=""),"",J4022&amp;"|"&amp;F4022&amp;"|"&amp;IF(H4022="W3","W3_"&amp;IF(I4022="","unknown",I4022),H4022))</f>
        <v/>
      </c>
      <c r="Q4022" s="1" t="str">
        <f aca="false">IF(P4022="","",IFERROR(IF(AND(H4022="W7",OR(F4022="causal",F4022="predictive")),IF(AND(K4022=1,L4022=1,M4022=1),"adequate","partial"),INDEX(Fit_Matrix!$B:$B,MATCH(P4022,Fit_Matrix!$A:$A,0))),"CHECK KEY"))</f>
        <v/>
      </c>
    </row>
    <row r="4023" customFormat="false" ht="15" hidden="false" customHeight="true" outlineLevel="0" collapsed="false">
      <c r="P4023" s="1" t="str">
        <f aca="false">IF(OR(F4023="",H4023="",J4023=""),"",J4023&amp;"|"&amp;F4023&amp;"|"&amp;IF(H4023="W3","W3_"&amp;IF(I4023="","unknown",I4023),H4023))</f>
        <v/>
      </c>
      <c r="Q4023" s="1" t="str">
        <f aca="false">IF(P4023="","",IFERROR(IF(AND(H4023="W7",OR(F4023="causal",F4023="predictive")),IF(AND(K4023=1,L4023=1,M4023=1),"adequate","partial"),INDEX(Fit_Matrix!$B:$B,MATCH(P4023,Fit_Matrix!$A:$A,0))),"CHECK KEY"))</f>
        <v/>
      </c>
    </row>
    <row r="4024" customFormat="false" ht="15" hidden="false" customHeight="true" outlineLevel="0" collapsed="false">
      <c r="P4024" s="1" t="str">
        <f aca="false">IF(OR(F4024="",H4024="",J4024=""),"",J4024&amp;"|"&amp;F4024&amp;"|"&amp;IF(H4024="W3","W3_"&amp;IF(I4024="","unknown",I4024),H4024))</f>
        <v/>
      </c>
      <c r="Q4024" s="1" t="str">
        <f aca="false">IF(P4024="","",IFERROR(IF(AND(H4024="W7",OR(F4024="causal",F4024="predictive")),IF(AND(K4024=1,L4024=1,M4024=1),"adequate","partial"),INDEX(Fit_Matrix!$B:$B,MATCH(P4024,Fit_Matrix!$A:$A,0))),"CHECK KEY"))</f>
        <v/>
      </c>
    </row>
    <row r="4025" customFormat="false" ht="15" hidden="false" customHeight="true" outlineLevel="0" collapsed="false">
      <c r="P4025" s="1" t="str">
        <f aca="false">IF(OR(F4025="",H4025="",J4025=""),"",J4025&amp;"|"&amp;F4025&amp;"|"&amp;IF(H4025="W3","W3_"&amp;IF(I4025="","unknown",I4025),H4025))</f>
        <v/>
      </c>
      <c r="Q4025" s="1" t="str">
        <f aca="false">IF(P4025="","",IFERROR(IF(AND(H4025="W7",OR(F4025="causal",F4025="predictive")),IF(AND(K4025=1,L4025=1,M4025=1),"adequate","partial"),INDEX(Fit_Matrix!$B:$B,MATCH(P4025,Fit_Matrix!$A:$A,0))),"CHECK KEY"))</f>
        <v/>
      </c>
    </row>
    <row r="4026" customFormat="false" ht="15" hidden="false" customHeight="true" outlineLevel="0" collapsed="false">
      <c r="P4026" s="1" t="str">
        <f aca="false">IF(OR(F4026="",H4026="",J4026=""),"",J4026&amp;"|"&amp;F4026&amp;"|"&amp;IF(H4026="W3","W3_"&amp;IF(I4026="","unknown",I4026),H4026))</f>
        <v/>
      </c>
      <c r="Q4026" s="1" t="str">
        <f aca="false">IF(P4026="","",IFERROR(IF(AND(H4026="W7",OR(F4026="causal",F4026="predictive")),IF(AND(K4026=1,L4026=1,M4026=1),"adequate","partial"),INDEX(Fit_Matrix!$B:$B,MATCH(P4026,Fit_Matrix!$A:$A,0))),"CHECK KEY"))</f>
        <v/>
      </c>
    </row>
    <row r="4027" customFormat="false" ht="15" hidden="false" customHeight="true" outlineLevel="0" collapsed="false">
      <c r="P4027" s="1" t="str">
        <f aca="false">IF(OR(F4027="",H4027="",J4027=""),"",J4027&amp;"|"&amp;F4027&amp;"|"&amp;IF(H4027="W3","W3_"&amp;IF(I4027="","unknown",I4027),H4027))</f>
        <v/>
      </c>
      <c r="Q4027" s="1" t="str">
        <f aca="false">IF(P4027="","",IFERROR(IF(AND(H4027="W7",OR(F4027="causal",F4027="predictive")),IF(AND(K4027=1,L4027=1,M4027=1),"adequate","partial"),INDEX(Fit_Matrix!$B:$B,MATCH(P4027,Fit_Matrix!$A:$A,0))),"CHECK KEY"))</f>
        <v/>
      </c>
    </row>
    <row r="4028" customFormat="false" ht="15" hidden="false" customHeight="true" outlineLevel="0" collapsed="false">
      <c r="P4028" s="1" t="str">
        <f aca="false">IF(OR(F4028="",H4028="",J4028=""),"",J4028&amp;"|"&amp;F4028&amp;"|"&amp;IF(H4028="W3","W3_"&amp;IF(I4028="","unknown",I4028),H4028))</f>
        <v/>
      </c>
      <c r="Q4028" s="1" t="str">
        <f aca="false">IF(P4028="","",IFERROR(IF(AND(H4028="W7",OR(F4028="causal",F4028="predictive")),IF(AND(K4028=1,L4028=1,M4028=1),"adequate","partial"),INDEX(Fit_Matrix!$B:$B,MATCH(P4028,Fit_Matrix!$A:$A,0))),"CHECK KEY"))</f>
        <v/>
      </c>
    </row>
    <row r="4029" customFormat="false" ht="15" hidden="false" customHeight="true" outlineLevel="0" collapsed="false">
      <c r="P4029" s="1" t="str">
        <f aca="false">IF(OR(F4029="",H4029="",J4029=""),"",J4029&amp;"|"&amp;F4029&amp;"|"&amp;IF(H4029="W3","W3_"&amp;IF(I4029="","unknown",I4029),H4029))</f>
        <v/>
      </c>
      <c r="Q4029" s="1" t="str">
        <f aca="false">IF(P4029="","",IFERROR(IF(AND(H4029="W7",OR(F4029="causal",F4029="predictive")),IF(AND(K4029=1,L4029=1,M4029=1),"adequate","partial"),INDEX(Fit_Matrix!$B:$B,MATCH(P4029,Fit_Matrix!$A:$A,0))),"CHECK KEY"))</f>
        <v/>
      </c>
    </row>
    <row r="4030" customFormat="false" ht="15" hidden="false" customHeight="true" outlineLevel="0" collapsed="false">
      <c r="P4030" s="1" t="str">
        <f aca="false">IF(OR(F4030="",H4030="",J4030=""),"",J4030&amp;"|"&amp;F4030&amp;"|"&amp;IF(H4030="W3","W3_"&amp;IF(I4030="","unknown",I4030),H4030))</f>
        <v/>
      </c>
      <c r="Q4030" s="1" t="str">
        <f aca="false">IF(P4030="","",IFERROR(IF(AND(H4030="W7",OR(F4030="causal",F4030="predictive")),IF(AND(K4030=1,L4030=1,M4030=1),"adequate","partial"),INDEX(Fit_Matrix!$B:$B,MATCH(P4030,Fit_Matrix!$A:$A,0))),"CHECK KEY"))</f>
        <v/>
      </c>
    </row>
    <row r="4031" customFormat="false" ht="15" hidden="false" customHeight="true" outlineLevel="0" collapsed="false">
      <c r="P4031" s="1" t="str">
        <f aca="false">IF(OR(F4031="",H4031="",J4031=""),"",J4031&amp;"|"&amp;F4031&amp;"|"&amp;IF(H4031="W3","W3_"&amp;IF(I4031="","unknown",I4031),H4031))</f>
        <v/>
      </c>
      <c r="Q4031" s="1" t="str">
        <f aca="false">IF(P4031="","",IFERROR(IF(AND(H4031="W7",OR(F4031="causal",F4031="predictive")),IF(AND(K4031=1,L4031=1,M4031=1),"adequate","partial"),INDEX(Fit_Matrix!$B:$B,MATCH(P4031,Fit_Matrix!$A:$A,0))),"CHECK KEY"))</f>
        <v/>
      </c>
    </row>
    <row r="4032" customFormat="false" ht="15" hidden="false" customHeight="true" outlineLevel="0" collapsed="false">
      <c r="P4032" s="1" t="str">
        <f aca="false">IF(OR(F4032="",H4032="",J4032=""),"",J4032&amp;"|"&amp;F4032&amp;"|"&amp;IF(H4032="W3","W3_"&amp;IF(I4032="","unknown",I4032),H4032))</f>
        <v/>
      </c>
      <c r="Q4032" s="1" t="str">
        <f aca="false">IF(P4032="","",IFERROR(IF(AND(H4032="W7",OR(F4032="causal",F4032="predictive")),IF(AND(K4032=1,L4032=1,M4032=1),"adequate","partial"),INDEX(Fit_Matrix!$B:$B,MATCH(P4032,Fit_Matrix!$A:$A,0))),"CHECK KEY"))</f>
        <v/>
      </c>
    </row>
    <row r="4033" customFormat="false" ht="15" hidden="false" customHeight="true" outlineLevel="0" collapsed="false">
      <c r="P4033" s="1" t="str">
        <f aca="false">IF(OR(F4033="",H4033="",J4033=""),"",J4033&amp;"|"&amp;F4033&amp;"|"&amp;IF(H4033="W3","W3_"&amp;IF(I4033="","unknown",I4033),H4033))</f>
        <v/>
      </c>
      <c r="Q4033" s="1" t="str">
        <f aca="false">IF(P4033="","",IFERROR(IF(AND(H4033="W7",OR(F4033="causal",F4033="predictive")),IF(AND(K4033=1,L4033=1,M4033=1),"adequate","partial"),INDEX(Fit_Matrix!$B:$B,MATCH(P4033,Fit_Matrix!$A:$A,0))),"CHECK KEY"))</f>
        <v/>
      </c>
    </row>
    <row r="4034" customFormat="false" ht="15" hidden="false" customHeight="true" outlineLevel="0" collapsed="false">
      <c r="P4034" s="1" t="str">
        <f aca="false">IF(OR(F4034="",H4034="",J4034=""),"",J4034&amp;"|"&amp;F4034&amp;"|"&amp;IF(H4034="W3","W3_"&amp;IF(I4034="","unknown",I4034),H4034))</f>
        <v/>
      </c>
      <c r="Q4034" s="1" t="str">
        <f aca="false">IF(P4034="","",IFERROR(IF(AND(H4034="W7",OR(F4034="causal",F4034="predictive")),IF(AND(K4034=1,L4034=1,M4034=1),"adequate","partial"),INDEX(Fit_Matrix!$B:$B,MATCH(P4034,Fit_Matrix!$A:$A,0))),"CHECK KEY"))</f>
        <v/>
      </c>
    </row>
    <row r="4035" customFormat="false" ht="15" hidden="false" customHeight="true" outlineLevel="0" collapsed="false">
      <c r="P4035" s="1" t="str">
        <f aca="false">IF(OR(F4035="",H4035="",J4035=""),"",J4035&amp;"|"&amp;F4035&amp;"|"&amp;IF(H4035="W3","W3_"&amp;IF(I4035="","unknown",I4035),H4035))</f>
        <v/>
      </c>
      <c r="Q4035" s="1" t="str">
        <f aca="false">IF(P4035="","",IFERROR(IF(AND(H4035="W7",OR(F4035="causal",F4035="predictive")),IF(AND(K4035=1,L4035=1,M4035=1),"adequate","partial"),INDEX(Fit_Matrix!$B:$B,MATCH(P4035,Fit_Matrix!$A:$A,0))),"CHECK KEY"))</f>
        <v/>
      </c>
    </row>
    <row r="4036" customFormat="false" ht="15" hidden="false" customHeight="true" outlineLevel="0" collapsed="false">
      <c r="P4036" s="1" t="str">
        <f aca="false">IF(OR(F4036="",H4036="",J4036=""),"",J4036&amp;"|"&amp;F4036&amp;"|"&amp;IF(H4036="W3","W3_"&amp;IF(I4036="","unknown",I4036),H4036))</f>
        <v/>
      </c>
      <c r="Q4036" s="1" t="str">
        <f aca="false">IF(P4036="","",IFERROR(IF(AND(H4036="W7",OR(F4036="causal",F4036="predictive")),IF(AND(K4036=1,L4036=1,M4036=1),"adequate","partial"),INDEX(Fit_Matrix!$B:$B,MATCH(P4036,Fit_Matrix!$A:$A,0))),"CHECK KEY"))</f>
        <v/>
      </c>
    </row>
    <row r="4037" customFormat="false" ht="15" hidden="false" customHeight="true" outlineLevel="0" collapsed="false">
      <c r="P4037" s="1" t="str">
        <f aca="false">IF(OR(F4037="",H4037="",J4037=""),"",J4037&amp;"|"&amp;F4037&amp;"|"&amp;IF(H4037="W3","W3_"&amp;IF(I4037="","unknown",I4037),H4037))</f>
        <v/>
      </c>
      <c r="Q4037" s="1" t="str">
        <f aca="false">IF(P4037="","",IFERROR(IF(AND(H4037="W7",OR(F4037="causal",F4037="predictive")),IF(AND(K4037=1,L4037=1,M4037=1),"adequate","partial"),INDEX(Fit_Matrix!$B:$B,MATCH(P4037,Fit_Matrix!$A:$A,0))),"CHECK KEY"))</f>
        <v/>
      </c>
    </row>
    <row r="4038" customFormat="false" ht="15" hidden="false" customHeight="true" outlineLevel="0" collapsed="false">
      <c r="P4038" s="1" t="str">
        <f aca="false">IF(OR(F4038="",H4038="",J4038=""),"",J4038&amp;"|"&amp;F4038&amp;"|"&amp;IF(H4038="W3","W3_"&amp;IF(I4038="","unknown",I4038),H4038))</f>
        <v/>
      </c>
      <c r="Q4038" s="1" t="str">
        <f aca="false">IF(P4038="","",IFERROR(IF(AND(H4038="W7",OR(F4038="causal",F4038="predictive")),IF(AND(K4038=1,L4038=1,M4038=1),"adequate","partial"),INDEX(Fit_Matrix!$B:$B,MATCH(P4038,Fit_Matrix!$A:$A,0))),"CHECK KEY"))</f>
        <v/>
      </c>
    </row>
    <row r="4039" customFormat="false" ht="15" hidden="false" customHeight="true" outlineLevel="0" collapsed="false">
      <c r="P4039" s="1" t="str">
        <f aca="false">IF(OR(F4039="",H4039="",J4039=""),"",J4039&amp;"|"&amp;F4039&amp;"|"&amp;IF(H4039="W3","W3_"&amp;IF(I4039="","unknown",I4039),H4039))</f>
        <v/>
      </c>
      <c r="Q4039" s="1" t="str">
        <f aca="false">IF(P4039="","",IFERROR(IF(AND(H4039="W7",OR(F4039="causal",F4039="predictive")),IF(AND(K4039=1,L4039=1,M4039=1),"adequate","partial"),INDEX(Fit_Matrix!$B:$B,MATCH(P4039,Fit_Matrix!$A:$A,0))),"CHECK KEY"))</f>
        <v/>
      </c>
    </row>
    <row r="4040" customFormat="false" ht="15" hidden="false" customHeight="true" outlineLevel="0" collapsed="false">
      <c r="P4040" s="1" t="str">
        <f aca="false">IF(OR(F4040="",H4040="",J4040=""),"",J4040&amp;"|"&amp;F4040&amp;"|"&amp;IF(H4040="W3","W3_"&amp;IF(I4040="","unknown",I4040),H4040))</f>
        <v/>
      </c>
      <c r="Q4040" s="1" t="str">
        <f aca="false">IF(P4040="","",IFERROR(IF(AND(H4040="W7",OR(F4040="causal",F4040="predictive")),IF(AND(K4040=1,L4040=1,M4040=1),"adequate","partial"),INDEX(Fit_Matrix!$B:$B,MATCH(P4040,Fit_Matrix!$A:$A,0))),"CHECK KEY"))</f>
        <v/>
      </c>
    </row>
    <row r="4041" customFormat="false" ht="15" hidden="false" customHeight="true" outlineLevel="0" collapsed="false">
      <c r="P4041" s="1" t="str">
        <f aca="false">IF(OR(F4041="",H4041="",J4041=""),"",J4041&amp;"|"&amp;F4041&amp;"|"&amp;IF(H4041="W3","W3_"&amp;IF(I4041="","unknown",I4041),H4041))</f>
        <v/>
      </c>
      <c r="Q4041" s="1" t="str">
        <f aca="false">IF(P4041="","",IFERROR(IF(AND(H4041="W7",OR(F4041="causal",F4041="predictive")),IF(AND(K4041=1,L4041=1,M4041=1),"adequate","partial"),INDEX(Fit_Matrix!$B:$B,MATCH(P4041,Fit_Matrix!$A:$A,0))),"CHECK KEY"))</f>
        <v/>
      </c>
    </row>
    <row r="4042" customFormat="false" ht="15" hidden="false" customHeight="true" outlineLevel="0" collapsed="false">
      <c r="P4042" s="1" t="str">
        <f aca="false">IF(OR(F4042="",H4042="",J4042=""),"",J4042&amp;"|"&amp;F4042&amp;"|"&amp;IF(H4042="W3","W3_"&amp;IF(I4042="","unknown",I4042),H4042))</f>
        <v/>
      </c>
      <c r="Q4042" s="1" t="str">
        <f aca="false">IF(P4042="","",IFERROR(IF(AND(H4042="W7",OR(F4042="causal",F4042="predictive")),IF(AND(K4042=1,L4042=1,M4042=1),"adequate","partial"),INDEX(Fit_Matrix!$B:$B,MATCH(P4042,Fit_Matrix!$A:$A,0))),"CHECK KEY"))</f>
        <v/>
      </c>
    </row>
    <row r="4043" customFormat="false" ht="15" hidden="false" customHeight="true" outlineLevel="0" collapsed="false">
      <c r="P4043" s="1" t="str">
        <f aca="false">IF(OR(F4043="",H4043="",J4043=""),"",J4043&amp;"|"&amp;F4043&amp;"|"&amp;IF(H4043="W3","W3_"&amp;IF(I4043="","unknown",I4043),H4043))</f>
        <v/>
      </c>
      <c r="Q4043" s="1" t="str">
        <f aca="false">IF(P4043="","",IFERROR(IF(AND(H4043="W7",OR(F4043="causal",F4043="predictive")),IF(AND(K4043=1,L4043=1,M4043=1),"adequate","partial"),INDEX(Fit_Matrix!$B:$B,MATCH(P4043,Fit_Matrix!$A:$A,0))),"CHECK KEY"))</f>
        <v/>
      </c>
    </row>
    <row r="4044" customFormat="false" ht="15" hidden="false" customHeight="true" outlineLevel="0" collapsed="false">
      <c r="P4044" s="1" t="str">
        <f aca="false">IF(OR(F4044="",H4044="",J4044=""),"",J4044&amp;"|"&amp;F4044&amp;"|"&amp;IF(H4044="W3","W3_"&amp;IF(I4044="","unknown",I4044),H4044))</f>
        <v/>
      </c>
      <c r="Q4044" s="1" t="str">
        <f aca="false">IF(P4044="","",IFERROR(IF(AND(H4044="W7",OR(F4044="causal",F4044="predictive")),IF(AND(K4044=1,L4044=1,M4044=1),"adequate","partial"),INDEX(Fit_Matrix!$B:$B,MATCH(P4044,Fit_Matrix!$A:$A,0))),"CHECK KEY"))</f>
        <v/>
      </c>
    </row>
    <row r="4045" customFormat="false" ht="15" hidden="false" customHeight="true" outlineLevel="0" collapsed="false">
      <c r="P4045" s="1" t="str">
        <f aca="false">IF(OR(F4045="",H4045="",J4045=""),"",J4045&amp;"|"&amp;F4045&amp;"|"&amp;IF(H4045="W3","W3_"&amp;IF(I4045="","unknown",I4045),H4045))</f>
        <v/>
      </c>
      <c r="Q4045" s="1" t="str">
        <f aca="false">IF(P4045="","",IFERROR(IF(AND(H4045="W7",OR(F4045="causal",F4045="predictive")),IF(AND(K4045=1,L4045=1,M4045=1),"adequate","partial"),INDEX(Fit_Matrix!$B:$B,MATCH(P4045,Fit_Matrix!$A:$A,0))),"CHECK KEY"))</f>
        <v/>
      </c>
    </row>
    <row r="4046" customFormat="false" ht="15" hidden="false" customHeight="true" outlineLevel="0" collapsed="false">
      <c r="P4046" s="1" t="str">
        <f aca="false">IF(OR(F4046="",H4046="",J4046=""),"",J4046&amp;"|"&amp;F4046&amp;"|"&amp;IF(H4046="W3","W3_"&amp;IF(I4046="","unknown",I4046),H4046))</f>
        <v/>
      </c>
      <c r="Q4046" s="1" t="str">
        <f aca="false">IF(P4046="","",IFERROR(IF(AND(H4046="W7",OR(F4046="causal",F4046="predictive")),IF(AND(K4046=1,L4046=1,M4046=1),"adequate","partial"),INDEX(Fit_Matrix!$B:$B,MATCH(P4046,Fit_Matrix!$A:$A,0))),"CHECK KEY"))</f>
        <v/>
      </c>
    </row>
    <row r="4047" customFormat="false" ht="15" hidden="false" customHeight="true" outlineLevel="0" collapsed="false">
      <c r="P4047" s="1" t="str">
        <f aca="false">IF(OR(F4047="",H4047="",J4047=""),"",J4047&amp;"|"&amp;F4047&amp;"|"&amp;IF(H4047="W3","W3_"&amp;IF(I4047="","unknown",I4047),H4047))</f>
        <v/>
      </c>
      <c r="Q4047" s="1" t="str">
        <f aca="false">IF(P4047="","",IFERROR(IF(AND(H4047="W7",OR(F4047="causal",F4047="predictive")),IF(AND(K4047=1,L4047=1,M4047=1),"adequate","partial"),INDEX(Fit_Matrix!$B:$B,MATCH(P4047,Fit_Matrix!$A:$A,0))),"CHECK KEY"))</f>
        <v/>
      </c>
    </row>
    <row r="4048" customFormat="false" ht="15" hidden="false" customHeight="true" outlineLevel="0" collapsed="false">
      <c r="P4048" s="1" t="str">
        <f aca="false">IF(OR(F4048="",H4048="",J4048=""),"",J4048&amp;"|"&amp;F4048&amp;"|"&amp;IF(H4048="W3","W3_"&amp;IF(I4048="","unknown",I4048),H4048))</f>
        <v/>
      </c>
      <c r="Q4048" s="1" t="str">
        <f aca="false">IF(P4048="","",IFERROR(IF(AND(H4048="W7",OR(F4048="causal",F4048="predictive")),IF(AND(K4048=1,L4048=1,M4048=1),"adequate","partial"),INDEX(Fit_Matrix!$B:$B,MATCH(P4048,Fit_Matrix!$A:$A,0))),"CHECK KEY"))</f>
        <v/>
      </c>
    </row>
    <row r="4049" customFormat="false" ht="15" hidden="false" customHeight="true" outlineLevel="0" collapsed="false">
      <c r="P4049" s="1" t="str">
        <f aca="false">IF(OR(F4049="",H4049="",J4049=""),"",J4049&amp;"|"&amp;F4049&amp;"|"&amp;IF(H4049="W3","W3_"&amp;IF(I4049="","unknown",I4049),H4049))</f>
        <v/>
      </c>
      <c r="Q4049" s="1" t="str">
        <f aca="false">IF(P4049="","",IFERROR(IF(AND(H4049="W7",OR(F4049="causal",F4049="predictive")),IF(AND(K4049=1,L4049=1,M4049=1),"adequate","partial"),INDEX(Fit_Matrix!$B:$B,MATCH(P4049,Fit_Matrix!$A:$A,0))),"CHECK KEY"))</f>
        <v/>
      </c>
    </row>
    <row r="4050" customFormat="false" ht="15" hidden="false" customHeight="true" outlineLevel="0" collapsed="false">
      <c r="P4050" s="1" t="str">
        <f aca="false">IF(OR(F4050="",H4050="",J4050=""),"",J4050&amp;"|"&amp;F4050&amp;"|"&amp;IF(H4050="W3","W3_"&amp;IF(I4050="","unknown",I4050),H4050))</f>
        <v/>
      </c>
      <c r="Q4050" s="1" t="str">
        <f aca="false">IF(P4050="","",IFERROR(IF(AND(H4050="W7",OR(F4050="causal",F4050="predictive")),IF(AND(K4050=1,L4050=1,M4050=1),"adequate","partial"),INDEX(Fit_Matrix!$B:$B,MATCH(P4050,Fit_Matrix!$A:$A,0))),"CHECK KEY"))</f>
        <v/>
      </c>
    </row>
    <row r="4051" customFormat="false" ht="15" hidden="false" customHeight="true" outlineLevel="0" collapsed="false">
      <c r="P4051" s="1" t="str">
        <f aca="false">IF(OR(F4051="",H4051="",J4051=""),"",J4051&amp;"|"&amp;F4051&amp;"|"&amp;IF(H4051="W3","W3_"&amp;IF(I4051="","unknown",I4051),H4051))</f>
        <v/>
      </c>
      <c r="Q4051" s="1" t="str">
        <f aca="false">IF(P4051="","",IFERROR(IF(AND(H4051="W7",OR(F4051="causal",F4051="predictive")),IF(AND(K4051=1,L4051=1,M4051=1),"adequate","partial"),INDEX(Fit_Matrix!$B:$B,MATCH(P4051,Fit_Matrix!$A:$A,0))),"CHECK KEY"))</f>
        <v/>
      </c>
    </row>
    <row r="4052" customFormat="false" ht="15" hidden="false" customHeight="true" outlineLevel="0" collapsed="false">
      <c r="P4052" s="1" t="str">
        <f aca="false">IF(OR(F4052="",H4052="",J4052=""),"",J4052&amp;"|"&amp;F4052&amp;"|"&amp;IF(H4052="W3","W3_"&amp;IF(I4052="","unknown",I4052),H4052))</f>
        <v/>
      </c>
      <c r="Q4052" s="1" t="str">
        <f aca="false">IF(P4052="","",IFERROR(IF(AND(H4052="W7",OR(F4052="causal",F4052="predictive")),IF(AND(K4052=1,L4052=1,M4052=1),"adequate","partial"),INDEX(Fit_Matrix!$B:$B,MATCH(P4052,Fit_Matrix!$A:$A,0))),"CHECK KEY"))</f>
        <v/>
      </c>
    </row>
    <row r="4053" customFormat="false" ht="15" hidden="false" customHeight="true" outlineLevel="0" collapsed="false">
      <c r="P4053" s="1" t="str">
        <f aca="false">IF(OR(F4053="",H4053="",J4053=""),"",J4053&amp;"|"&amp;F4053&amp;"|"&amp;IF(H4053="W3","W3_"&amp;IF(I4053="","unknown",I4053),H4053))</f>
        <v/>
      </c>
      <c r="Q4053" s="1" t="str">
        <f aca="false">IF(P4053="","",IFERROR(IF(AND(H4053="W7",OR(F4053="causal",F4053="predictive")),IF(AND(K4053=1,L4053=1,M4053=1),"adequate","partial"),INDEX(Fit_Matrix!$B:$B,MATCH(P4053,Fit_Matrix!$A:$A,0))),"CHECK KEY"))</f>
        <v/>
      </c>
    </row>
    <row r="4054" customFormat="false" ht="15" hidden="false" customHeight="true" outlineLevel="0" collapsed="false">
      <c r="P4054" s="1" t="str">
        <f aca="false">IF(OR(F4054="",H4054="",J4054=""),"",J4054&amp;"|"&amp;F4054&amp;"|"&amp;IF(H4054="W3","W3_"&amp;IF(I4054="","unknown",I4054),H4054))</f>
        <v/>
      </c>
      <c r="Q4054" s="1" t="str">
        <f aca="false">IF(P4054="","",IFERROR(IF(AND(H4054="W7",OR(F4054="causal",F4054="predictive")),IF(AND(K4054=1,L4054=1,M4054=1),"adequate","partial"),INDEX(Fit_Matrix!$B:$B,MATCH(P4054,Fit_Matrix!$A:$A,0))),"CHECK KEY"))</f>
        <v/>
      </c>
    </row>
    <row r="4055" customFormat="false" ht="15" hidden="false" customHeight="true" outlineLevel="0" collapsed="false">
      <c r="P4055" s="1" t="str">
        <f aca="false">IF(OR(F4055="",H4055="",J4055=""),"",J4055&amp;"|"&amp;F4055&amp;"|"&amp;IF(H4055="W3","W3_"&amp;IF(I4055="","unknown",I4055),H4055))</f>
        <v/>
      </c>
      <c r="Q4055" s="1" t="str">
        <f aca="false">IF(P4055="","",IFERROR(IF(AND(H4055="W7",OR(F4055="causal",F4055="predictive")),IF(AND(K4055=1,L4055=1,M4055=1),"adequate","partial"),INDEX(Fit_Matrix!$B:$B,MATCH(P4055,Fit_Matrix!$A:$A,0))),"CHECK KEY"))</f>
        <v/>
      </c>
    </row>
    <row r="4056" customFormat="false" ht="15" hidden="false" customHeight="true" outlineLevel="0" collapsed="false">
      <c r="P4056" s="1" t="str">
        <f aca="false">IF(OR(F4056="",H4056="",J4056=""),"",J4056&amp;"|"&amp;F4056&amp;"|"&amp;IF(H4056="W3","W3_"&amp;IF(I4056="","unknown",I4056),H4056))</f>
        <v/>
      </c>
      <c r="Q4056" s="1" t="str">
        <f aca="false">IF(P4056="","",IFERROR(IF(AND(H4056="W7",OR(F4056="causal",F4056="predictive")),IF(AND(K4056=1,L4056=1,M4056=1),"adequate","partial"),INDEX(Fit_Matrix!$B:$B,MATCH(P4056,Fit_Matrix!$A:$A,0))),"CHECK KEY"))</f>
        <v/>
      </c>
    </row>
    <row r="4057" customFormat="false" ht="15" hidden="false" customHeight="true" outlineLevel="0" collapsed="false">
      <c r="P4057" s="1" t="str">
        <f aca="false">IF(OR(F4057="",H4057="",J4057=""),"",J4057&amp;"|"&amp;F4057&amp;"|"&amp;IF(H4057="W3","W3_"&amp;IF(I4057="","unknown",I4057),H4057))</f>
        <v/>
      </c>
      <c r="Q4057" s="1" t="str">
        <f aca="false">IF(P4057="","",IFERROR(IF(AND(H4057="W7",OR(F4057="causal",F4057="predictive")),IF(AND(K4057=1,L4057=1,M4057=1),"adequate","partial"),INDEX(Fit_Matrix!$B:$B,MATCH(P4057,Fit_Matrix!$A:$A,0))),"CHECK KEY"))</f>
        <v/>
      </c>
    </row>
    <row r="4058" customFormat="false" ht="15" hidden="false" customHeight="true" outlineLevel="0" collapsed="false">
      <c r="P4058" s="1" t="str">
        <f aca="false">IF(OR(F4058="",H4058="",J4058=""),"",J4058&amp;"|"&amp;F4058&amp;"|"&amp;IF(H4058="W3","W3_"&amp;IF(I4058="","unknown",I4058),H4058))</f>
        <v/>
      </c>
      <c r="Q4058" s="1" t="str">
        <f aca="false">IF(P4058="","",IFERROR(IF(AND(H4058="W7",OR(F4058="causal",F4058="predictive")),IF(AND(K4058=1,L4058=1,M4058=1),"adequate","partial"),INDEX(Fit_Matrix!$B:$B,MATCH(P4058,Fit_Matrix!$A:$A,0))),"CHECK KEY"))</f>
        <v/>
      </c>
    </row>
    <row r="4059" customFormat="false" ht="15" hidden="false" customHeight="true" outlineLevel="0" collapsed="false">
      <c r="P4059" s="1" t="str">
        <f aca="false">IF(OR(F4059="",H4059="",J4059=""),"",J4059&amp;"|"&amp;F4059&amp;"|"&amp;IF(H4059="W3","W3_"&amp;IF(I4059="","unknown",I4059),H4059))</f>
        <v/>
      </c>
      <c r="Q4059" s="1" t="str">
        <f aca="false">IF(P4059="","",IFERROR(IF(AND(H4059="W7",OR(F4059="causal",F4059="predictive")),IF(AND(K4059=1,L4059=1,M4059=1),"adequate","partial"),INDEX(Fit_Matrix!$B:$B,MATCH(P4059,Fit_Matrix!$A:$A,0))),"CHECK KEY"))</f>
        <v/>
      </c>
    </row>
    <row r="4060" customFormat="false" ht="15" hidden="false" customHeight="true" outlineLevel="0" collapsed="false">
      <c r="P4060" s="1" t="str">
        <f aca="false">IF(OR(F4060="",H4060="",J4060=""),"",J4060&amp;"|"&amp;F4060&amp;"|"&amp;IF(H4060="W3","W3_"&amp;IF(I4060="","unknown",I4060),H4060))</f>
        <v/>
      </c>
      <c r="Q4060" s="1" t="str">
        <f aca="false">IF(P4060="","",IFERROR(IF(AND(H4060="W7",OR(F4060="causal",F4060="predictive")),IF(AND(K4060=1,L4060=1,M4060=1),"adequate","partial"),INDEX(Fit_Matrix!$B:$B,MATCH(P4060,Fit_Matrix!$A:$A,0))),"CHECK KEY"))</f>
        <v/>
      </c>
    </row>
    <row r="4061" customFormat="false" ht="15" hidden="false" customHeight="true" outlineLevel="0" collapsed="false">
      <c r="P4061" s="1" t="str">
        <f aca="false">IF(OR(F4061="",H4061="",J4061=""),"",J4061&amp;"|"&amp;F4061&amp;"|"&amp;IF(H4061="W3","W3_"&amp;IF(I4061="","unknown",I4061),H4061))</f>
        <v/>
      </c>
      <c r="Q4061" s="1" t="str">
        <f aca="false">IF(P4061="","",IFERROR(IF(AND(H4061="W7",OR(F4061="causal",F4061="predictive")),IF(AND(K4061=1,L4061=1,M4061=1),"adequate","partial"),INDEX(Fit_Matrix!$B:$B,MATCH(P4061,Fit_Matrix!$A:$A,0))),"CHECK KEY"))</f>
        <v/>
      </c>
    </row>
    <row r="4062" customFormat="false" ht="15" hidden="false" customHeight="true" outlineLevel="0" collapsed="false">
      <c r="P4062" s="1" t="str">
        <f aca="false">IF(OR(F4062="",H4062="",J4062=""),"",J4062&amp;"|"&amp;F4062&amp;"|"&amp;IF(H4062="W3","W3_"&amp;IF(I4062="","unknown",I4062),H4062))</f>
        <v/>
      </c>
      <c r="Q4062" s="1" t="str">
        <f aca="false">IF(P4062="","",IFERROR(IF(AND(H4062="W7",OR(F4062="causal",F4062="predictive")),IF(AND(K4062=1,L4062=1,M4062=1),"adequate","partial"),INDEX(Fit_Matrix!$B:$B,MATCH(P4062,Fit_Matrix!$A:$A,0))),"CHECK KEY"))</f>
        <v/>
      </c>
    </row>
    <row r="4063" customFormat="false" ht="15" hidden="false" customHeight="true" outlineLevel="0" collapsed="false">
      <c r="P4063" s="1" t="str">
        <f aca="false">IF(OR(F4063="",H4063="",J4063=""),"",J4063&amp;"|"&amp;F4063&amp;"|"&amp;IF(H4063="W3","W3_"&amp;IF(I4063="","unknown",I4063),H4063))</f>
        <v/>
      </c>
      <c r="Q4063" s="1" t="str">
        <f aca="false">IF(P4063="","",IFERROR(IF(AND(H4063="W7",OR(F4063="causal",F4063="predictive")),IF(AND(K4063=1,L4063=1,M4063=1),"adequate","partial"),INDEX(Fit_Matrix!$B:$B,MATCH(P4063,Fit_Matrix!$A:$A,0))),"CHECK KEY"))</f>
        <v/>
      </c>
    </row>
    <row r="4064" customFormat="false" ht="15" hidden="false" customHeight="true" outlineLevel="0" collapsed="false">
      <c r="P4064" s="1" t="str">
        <f aca="false">IF(OR(F4064="",H4064="",J4064=""),"",J4064&amp;"|"&amp;F4064&amp;"|"&amp;IF(H4064="W3","W3_"&amp;IF(I4064="","unknown",I4064),H4064))</f>
        <v/>
      </c>
      <c r="Q4064" s="1" t="str">
        <f aca="false">IF(P4064="","",IFERROR(IF(AND(H4064="W7",OR(F4064="causal",F4064="predictive")),IF(AND(K4064=1,L4064=1,M4064=1),"adequate","partial"),INDEX(Fit_Matrix!$B:$B,MATCH(P4064,Fit_Matrix!$A:$A,0))),"CHECK KEY"))</f>
        <v/>
      </c>
    </row>
    <row r="4065" customFormat="false" ht="15" hidden="false" customHeight="true" outlineLevel="0" collapsed="false">
      <c r="P4065" s="1" t="str">
        <f aca="false">IF(OR(F4065="",H4065="",J4065=""),"",J4065&amp;"|"&amp;F4065&amp;"|"&amp;IF(H4065="W3","W3_"&amp;IF(I4065="","unknown",I4065),H4065))</f>
        <v/>
      </c>
      <c r="Q4065" s="1" t="str">
        <f aca="false">IF(P4065="","",IFERROR(IF(AND(H4065="W7",OR(F4065="causal",F4065="predictive")),IF(AND(K4065=1,L4065=1,M4065=1),"adequate","partial"),INDEX(Fit_Matrix!$B:$B,MATCH(P4065,Fit_Matrix!$A:$A,0))),"CHECK KEY"))</f>
        <v/>
      </c>
    </row>
    <row r="4066" customFormat="false" ht="15" hidden="false" customHeight="true" outlineLevel="0" collapsed="false">
      <c r="P4066" s="1" t="str">
        <f aca="false">IF(OR(F4066="",H4066="",J4066=""),"",J4066&amp;"|"&amp;F4066&amp;"|"&amp;IF(H4066="W3","W3_"&amp;IF(I4066="","unknown",I4066),H4066))</f>
        <v/>
      </c>
      <c r="Q4066" s="1" t="str">
        <f aca="false">IF(P4066="","",IFERROR(IF(AND(H4066="W7",OR(F4066="causal",F4066="predictive")),IF(AND(K4066=1,L4066=1,M4066=1),"adequate","partial"),INDEX(Fit_Matrix!$B:$B,MATCH(P4066,Fit_Matrix!$A:$A,0))),"CHECK KEY"))</f>
        <v/>
      </c>
    </row>
    <row r="4067" customFormat="false" ht="15" hidden="false" customHeight="true" outlineLevel="0" collapsed="false">
      <c r="P4067" s="1" t="str">
        <f aca="false">IF(OR(F4067="",H4067="",J4067=""),"",J4067&amp;"|"&amp;F4067&amp;"|"&amp;IF(H4067="W3","W3_"&amp;IF(I4067="","unknown",I4067),H4067))</f>
        <v/>
      </c>
      <c r="Q4067" s="1" t="str">
        <f aca="false">IF(P4067="","",IFERROR(IF(AND(H4067="W7",OR(F4067="causal",F4067="predictive")),IF(AND(K4067=1,L4067=1,M4067=1),"adequate","partial"),INDEX(Fit_Matrix!$B:$B,MATCH(P4067,Fit_Matrix!$A:$A,0))),"CHECK KEY"))</f>
        <v/>
      </c>
    </row>
    <row r="4068" customFormat="false" ht="15" hidden="false" customHeight="true" outlineLevel="0" collapsed="false">
      <c r="P4068" s="1" t="str">
        <f aca="false">IF(OR(F4068="",H4068="",J4068=""),"",J4068&amp;"|"&amp;F4068&amp;"|"&amp;IF(H4068="W3","W3_"&amp;IF(I4068="","unknown",I4068),H4068))</f>
        <v/>
      </c>
      <c r="Q4068" s="1" t="str">
        <f aca="false">IF(P4068="","",IFERROR(IF(AND(H4068="W7",OR(F4068="causal",F4068="predictive")),IF(AND(K4068=1,L4068=1,M4068=1),"adequate","partial"),INDEX(Fit_Matrix!$B:$B,MATCH(P4068,Fit_Matrix!$A:$A,0))),"CHECK KEY"))</f>
        <v/>
      </c>
    </row>
    <row r="4069" customFormat="false" ht="15" hidden="false" customHeight="true" outlineLevel="0" collapsed="false">
      <c r="P4069" s="1" t="str">
        <f aca="false">IF(OR(F4069="",H4069="",J4069=""),"",J4069&amp;"|"&amp;F4069&amp;"|"&amp;IF(H4069="W3","W3_"&amp;IF(I4069="","unknown",I4069),H4069))</f>
        <v/>
      </c>
      <c r="Q4069" s="1" t="str">
        <f aca="false">IF(P4069="","",IFERROR(IF(AND(H4069="W7",OR(F4069="causal",F4069="predictive")),IF(AND(K4069=1,L4069=1,M4069=1),"adequate","partial"),INDEX(Fit_Matrix!$B:$B,MATCH(P4069,Fit_Matrix!$A:$A,0))),"CHECK KEY"))</f>
        <v/>
      </c>
    </row>
    <row r="4070" customFormat="false" ht="15" hidden="false" customHeight="true" outlineLevel="0" collapsed="false">
      <c r="P4070" s="1" t="str">
        <f aca="false">IF(OR(F4070="",H4070="",J4070=""),"",J4070&amp;"|"&amp;F4070&amp;"|"&amp;IF(H4070="W3","W3_"&amp;IF(I4070="","unknown",I4070),H4070))</f>
        <v/>
      </c>
      <c r="Q4070" s="1" t="str">
        <f aca="false">IF(P4070="","",IFERROR(IF(AND(H4070="W7",OR(F4070="causal",F4070="predictive")),IF(AND(K4070=1,L4070=1,M4070=1),"adequate","partial"),INDEX(Fit_Matrix!$B:$B,MATCH(P4070,Fit_Matrix!$A:$A,0))),"CHECK KEY"))</f>
        <v/>
      </c>
    </row>
    <row r="4071" customFormat="false" ht="15" hidden="false" customHeight="true" outlineLevel="0" collapsed="false">
      <c r="P4071" s="1" t="str">
        <f aca="false">IF(OR(F4071="",H4071="",J4071=""),"",J4071&amp;"|"&amp;F4071&amp;"|"&amp;IF(H4071="W3","W3_"&amp;IF(I4071="","unknown",I4071),H4071))</f>
        <v/>
      </c>
      <c r="Q4071" s="1" t="str">
        <f aca="false">IF(P4071="","",IFERROR(IF(AND(H4071="W7",OR(F4071="causal",F4071="predictive")),IF(AND(K4071=1,L4071=1,M4071=1),"adequate","partial"),INDEX(Fit_Matrix!$B:$B,MATCH(P4071,Fit_Matrix!$A:$A,0))),"CHECK KEY"))</f>
        <v/>
      </c>
    </row>
    <row r="4072" customFormat="false" ht="15" hidden="false" customHeight="true" outlineLevel="0" collapsed="false">
      <c r="P4072" s="1" t="str">
        <f aca="false">IF(OR(F4072="",H4072="",J4072=""),"",J4072&amp;"|"&amp;F4072&amp;"|"&amp;IF(H4072="W3","W3_"&amp;IF(I4072="","unknown",I4072),H4072))</f>
        <v/>
      </c>
      <c r="Q4072" s="1" t="str">
        <f aca="false">IF(P4072="","",IFERROR(IF(AND(H4072="W7",OR(F4072="causal",F4072="predictive")),IF(AND(K4072=1,L4072=1,M4072=1),"adequate","partial"),INDEX(Fit_Matrix!$B:$B,MATCH(P4072,Fit_Matrix!$A:$A,0))),"CHECK KEY"))</f>
        <v/>
      </c>
    </row>
    <row r="4073" customFormat="false" ht="15" hidden="false" customHeight="true" outlineLevel="0" collapsed="false">
      <c r="P4073" s="1" t="str">
        <f aca="false">IF(OR(F4073="",H4073="",J4073=""),"",J4073&amp;"|"&amp;F4073&amp;"|"&amp;IF(H4073="W3","W3_"&amp;IF(I4073="","unknown",I4073),H4073))</f>
        <v/>
      </c>
      <c r="Q4073" s="1" t="str">
        <f aca="false">IF(P4073="","",IFERROR(IF(AND(H4073="W7",OR(F4073="causal",F4073="predictive")),IF(AND(K4073=1,L4073=1,M4073=1),"adequate","partial"),INDEX(Fit_Matrix!$B:$B,MATCH(P4073,Fit_Matrix!$A:$A,0))),"CHECK KEY"))</f>
        <v/>
      </c>
    </row>
    <row r="4074" customFormat="false" ht="15" hidden="false" customHeight="true" outlineLevel="0" collapsed="false">
      <c r="P4074" s="1" t="str">
        <f aca="false">IF(OR(F4074="",H4074="",J4074=""),"",J4074&amp;"|"&amp;F4074&amp;"|"&amp;IF(H4074="W3","W3_"&amp;IF(I4074="","unknown",I4074),H4074))</f>
        <v/>
      </c>
      <c r="Q4074" s="1" t="str">
        <f aca="false">IF(P4074="","",IFERROR(IF(AND(H4074="W7",OR(F4074="causal",F4074="predictive")),IF(AND(K4074=1,L4074=1,M4074=1),"adequate","partial"),INDEX(Fit_Matrix!$B:$B,MATCH(P4074,Fit_Matrix!$A:$A,0))),"CHECK KEY"))</f>
        <v/>
      </c>
    </row>
    <row r="4075" customFormat="false" ht="15" hidden="false" customHeight="true" outlineLevel="0" collapsed="false">
      <c r="P4075" s="1" t="str">
        <f aca="false">IF(OR(F4075="",H4075="",J4075=""),"",J4075&amp;"|"&amp;F4075&amp;"|"&amp;IF(H4075="W3","W3_"&amp;IF(I4075="","unknown",I4075),H4075))</f>
        <v/>
      </c>
      <c r="Q4075" s="1" t="str">
        <f aca="false">IF(P4075="","",IFERROR(IF(AND(H4075="W7",OR(F4075="causal",F4075="predictive")),IF(AND(K4075=1,L4075=1,M4075=1),"adequate","partial"),INDEX(Fit_Matrix!$B:$B,MATCH(P4075,Fit_Matrix!$A:$A,0))),"CHECK KEY"))</f>
        <v/>
      </c>
    </row>
    <row r="4076" customFormat="false" ht="15" hidden="false" customHeight="true" outlineLevel="0" collapsed="false">
      <c r="P4076" s="1" t="str">
        <f aca="false">IF(OR(F4076="",H4076="",J4076=""),"",J4076&amp;"|"&amp;F4076&amp;"|"&amp;IF(H4076="W3","W3_"&amp;IF(I4076="","unknown",I4076),H4076))</f>
        <v/>
      </c>
      <c r="Q4076" s="1" t="str">
        <f aca="false">IF(P4076="","",IFERROR(IF(AND(H4076="W7",OR(F4076="causal",F4076="predictive")),IF(AND(K4076=1,L4076=1,M4076=1),"adequate","partial"),INDEX(Fit_Matrix!$B:$B,MATCH(P4076,Fit_Matrix!$A:$A,0))),"CHECK KEY"))</f>
        <v/>
      </c>
    </row>
    <row r="4077" customFormat="false" ht="15" hidden="false" customHeight="true" outlineLevel="0" collapsed="false">
      <c r="P4077" s="1" t="str">
        <f aca="false">IF(OR(F4077="",H4077="",J4077=""),"",J4077&amp;"|"&amp;F4077&amp;"|"&amp;IF(H4077="W3","W3_"&amp;IF(I4077="","unknown",I4077),H4077))</f>
        <v/>
      </c>
      <c r="Q4077" s="1" t="str">
        <f aca="false">IF(P4077="","",IFERROR(IF(AND(H4077="W7",OR(F4077="causal",F4077="predictive")),IF(AND(K4077=1,L4077=1,M4077=1),"adequate","partial"),INDEX(Fit_Matrix!$B:$B,MATCH(P4077,Fit_Matrix!$A:$A,0))),"CHECK KEY"))</f>
        <v/>
      </c>
    </row>
    <row r="4078" customFormat="false" ht="15" hidden="false" customHeight="true" outlineLevel="0" collapsed="false">
      <c r="P4078" s="1" t="str">
        <f aca="false">IF(OR(F4078="",H4078="",J4078=""),"",J4078&amp;"|"&amp;F4078&amp;"|"&amp;IF(H4078="W3","W3_"&amp;IF(I4078="","unknown",I4078),H4078))</f>
        <v/>
      </c>
      <c r="Q4078" s="1" t="str">
        <f aca="false">IF(P4078="","",IFERROR(IF(AND(H4078="W7",OR(F4078="causal",F4078="predictive")),IF(AND(K4078=1,L4078=1,M4078=1),"adequate","partial"),INDEX(Fit_Matrix!$B:$B,MATCH(P4078,Fit_Matrix!$A:$A,0))),"CHECK KEY"))</f>
        <v/>
      </c>
    </row>
    <row r="4079" customFormat="false" ht="15" hidden="false" customHeight="true" outlineLevel="0" collapsed="false">
      <c r="P4079" s="1" t="str">
        <f aca="false">IF(OR(F4079="",H4079="",J4079=""),"",J4079&amp;"|"&amp;F4079&amp;"|"&amp;IF(H4079="W3","W3_"&amp;IF(I4079="","unknown",I4079),H4079))</f>
        <v/>
      </c>
      <c r="Q4079" s="1" t="str">
        <f aca="false">IF(P4079="","",IFERROR(IF(AND(H4079="W7",OR(F4079="causal",F4079="predictive")),IF(AND(K4079=1,L4079=1,M4079=1),"adequate","partial"),INDEX(Fit_Matrix!$B:$B,MATCH(P4079,Fit_Matrix!$A:$A,0))),"CHECK KEY"))</f>
        <v/>
      </c>
    </row>
    <row r="4080" customFormat="false" ht="15" hidden="false" customHeight="true" outlineLevel="0" collapsed="false">
      <c r="P4080" s="1" t="str">
        <f aca="false">IF(OR(F4080="",H4080="",J4080=""),"",J4080&amp;"|"&amp;F4080&amp;"|"&amp;IF(H4080="W3","W3_"&amp;IF(I4080="","unknown",I4080),H4080))</f>
        <v/>
      </c>
      <c r="Q4080" s="1" t="str">
        <f aca="false">IF(P4080="","",IFERROR(IF(AND(H4080="W7",OR(F4080="causal",F4080="predictive")),IF(AND(K4080=1,L4080=1,M4080=1),"adequate","partial"),INDEX(Fit_Matrix!$B:$B,MATCH(P4080,Fit_Matrix!$A:$A,0))),"CHECK KEY"))</f>
        <v/>
      </c>
    </row>
    <row r="4081" customFormat="false" ht="15" hidden="false" customHeight="true" outlineLevel="0" collapsed="false">
      <c r="P4081" s="1" t="str">
        <f aca="false">IF(OR(F4081="",H4081="",J4081=""),"",J4081&amp;"|"&amp;F4081&amp;"|"&amp;IF(H4081="W3","W3_"&amp;IF(I4081="","unknown",I4081),H4081))</f>
        <v/>
      </c>
      <c r="Q4081" s="1" t="str">
        <f aca="false">IF(P4081="","",IFERROR(IF(AND(H4081="W7",OR(F4081="causal",F4081="predictive")),IF(AND(K4081=1,L4081=1,M4081=1),"adequate","partial"),INDEX(Fit_Matrix!$B:$B,MATCH(P4081,Fit_Matrix!$A:$A,0))),"CHECK KEY"))</f>
        <v/>
      </c>
    </row>
    <row r="4082" customFormat="false" ht="15" hidden="false" customHeight="true" outlineLevel="0" collapsed="false">
      <c r="P4082" s="1" t="str">
        <f aca="false">IF(OR(F4082="",H4082="",J4082=""),"",J4082&amp;"|"&amp;F4082&amp;"|"&amp;IF(H4082="W3","W3_"&amp;IF(I4082="","unknown",I4082),H4082))</f>
        <v/>
      </c>
      <c r="Q4082" s="1" t="str">
        <f aca="false">IF(P4082="","",IFERROR(IF(AND(H4082="W7",OR(F4082="causal",F4082="predictive")),IF(AND(K4082=1,L4082=1,M4082=1),"adequate","partial"),INDEX(Fit_Matrix!$B:$B,MATCH(P4082,Fit_Matrix!$A:$A,0))),"CHECK KEY"))</f>
        <v/>
      </c>
    </row>
    <row r="4083" customFormat="false" ht="15" hidden="false" customHeight="true" outlineLevel="0" collapsed="false">
      <c r="P4083" s="1" t="str">
        <f aca="false">IF(OR(F4083="",H4083="",J4083=""),"",J4083&amp;"|"&amp;F4083&amp;"|"&amp;IF(H4083="W3","W3_"&amp;IF(I4083="","unknown",I4083),H4083))</f>
        <v/>
      </c>
      <c r="Q4083" s="1" t="str">
        <f aca="false">IF(P4083="","",IFERROR(IF(AND(H4083="W7",OR(F4083="causal",F4083="predictive")),IF(AND(K4083=1,L4083=1,M4083=1),"adequate","partial"),INDEX(Fit_Matrix!$B:$B,MATCH(P4083,Fit_Matrix!$A:$A,0))),"CHECK KEY"))</f>
        <v/>
      </c>
    </row>
    <row r="4084" customFormat="false" ht="15" hidden="false" customHeight="true" outlineLevel="0" collapsed="false">
      <c r="P4084" s="1" t="str">
        <f aca="false">IF(OR(F4084="",H4084="",J4084=""),"",J4084&amp;"|"&amp;F4084&amp;"|"&amp;IF(H4084="W3","W3_"&amp;IF(I4084="","unknown",I4084),H4084))</f>
        <v/>
      </c>
      <c r="Q4084" s="1" t="str">
        <f aca="false">IF(P4084="","",IFERROR(IF(AND(H4084="W7",OR(F4084="causal",F4084="predictive")),IF(AND(K4084=1,L4084=1,M4084=1),"adequate","partial"),INDEX(Fit_Matrix!$B:$B,MATCH(P4084,Fit_Matrix!$A:$A,0))),"CHECK KEY"))</f>
        <v/>
      </c>
    </row>
    <row r="4085" customFormat="false" ht="15" hidden="false" customHeight="true" outlineLevel="0" collapsed="false">
      <c r="P4085" s="1" t="str">
        <f aca="false">IF(OR(F4085="",H4085="",J4085=""),"",J4085&amp;"|"&amp;F4085&amp;"|"&amp;IF(H4085="W3","W3_"&amp;IF(I4085="","unknown",I4085),H4085))</f>
        <v/>
      </c>
      <c r="Q4085" s="1" t="str">
        <f aca="false">IF(P4085="","",IFERROR(IF(AND(H4085="W7",OR(F4085="causal",F4085="predictive")),IF(AND(K4085=1,L4085=1,M4085=1),"adequate","partial"),INDEX(Fit_Matrix!$B:$B,MATCH(P4085,Fit_Matrix!$A:$A,0))),"CHECK KEY"))</f>
        <v/>
      </c>
    </row>
    <row r="4086" customFormat="false" ht="15" hidden="false" customHeight="true" outlineLevel="0" collapsed="false">
      <c r="P4086" s="1" t="str">
        <f aca="false">IF(OR(F4086="",H4086="",J4086=""),"",J4086&amp;"|"&amp;F4086&amp;"|"&amp;IF(H4086="W3","W3_"&amp;IF(I4086="","unknown",I4086),H4086))</f>
        <v/>
      </c>
      <c r="Q4086" s="1" t="str">
        <f aca="false">IF(P4086="","",IFERROR(IF(AND(H4086="W7",OR(F4086="causal",F4086="predictive")),IF(AND(K4086=1,L4086=1,M4086=1),"adequate","partial"),INDEX(Fit_Matrix!$B:$B,MATCH(P4086,Fit_Matrix!$A:$A,0))),"CHECK KEY"))</f>
        <v/>
      </c>
    </row>
    <row r="4087" customFormat="false" ht="15" hidden="false" customHeight="true" outlineLevel="0" collapsed="false">
      <c r="P4087" s="1" t="str">
        <f aca="false">IF(OR(F4087="",H4087="",J4087=""),"",J4087&amp;"|"&amp;F4087&amp;"|"&amp;IF(H4087="W3","W3_"&amp;IF(I4087="","unknown",I4087),H4087))</f>
        <v/>
      </c>
      <c r="Q4087" s="1" t="str">
        <f aca="false">IF(P4087="","",IFERROR(IF(AND(H4087="W7",OR(F4087="causal",F4087="predictive")),IF(AND(K4087=1,L4087=1,M4087=1),"adequate","partial"),INDEX(Fit_Matrix!$B:$B,MATCH(P4087,Fit_Matrix!$A:$A,0))),"CHECK KEY"))</f>
        <v/>
      </c>
    </row>
    <row r="4088" customFormat="false" ht="15" hidden="false" customHeight="true" outlineLevel="0" collapsed="false">
      <c r="P4088" s="1" t="str">
        <f aca="false">IF(OR(F4088="",H4088="",J4088=""),"",J4088&amp;"|"&amp;F4088&amp;"|"&amp;IF(H4088="W3","W3_"&amp;IF(I4088="","unknown",I4088),H4088))</f>
        <v/>
      </c>
      <c r="Q4088" s="1" t="str">
        <f aca="false">IF(P4088="","",IFERROR(IF(AND(H4088="W7",OR(F4088="causal",F4088="predictive")),IF(AND(K4088=1,L4088=1,M4088=1),"adequate","partial"),INDEX(Fit_Matrix!$B:$B,MATCH(P4088,Fit_Matrix!$A:$A,0))),"CHECK KEY"))</f>
        <v/>
      </c>
    </row>
    <row r="4089" customFormat="false" ht="15" hidden="false" customHeight="true" outlineLevel="0" collapsed="false">
      <c r="P4089" s="1" t="str">
        <f aca="false">IF(OR(F4089="",H4089="",J4089=""),"",J4089&amp;"|"&amp;F4089&amp;"|"&amp;IF(H4089="W3","W3_"&amp;IF(I4089="","unknown",I4089),H4089))</f>
        <v/>
      </c>
      <c r="Q4089" s="1" t="str">
        <f aca="false">IF(P4089="","",IFERROR(IF(AND(H4089="W7",OR(F4089="causal",F4089="predictive")),IF(AND(K4089=1,L4089=1,M4089=1),"adequate","partial"),INDEX(Fit_Matrix!$B:$B,MATCH(P4089,Fit_Matrix!$A:$A,0))),"CHECK KEY"))</f>
        <v/>
      </c>
    </row>
    <row r="4090" customFormat="false" ht="15" hidden="false" customHeight="true" outlineLevel="0" collapsed="false">
      <c r="P4090" s="1" t="str">
        <f aca="false">IF(OR(F4090="",H4090="",J4090=""),"",J4090&amp;"|"&amp;F4090&amp;"|"&amp;IF(H4090="W3","W3_"&amp;IF(I4090="","unknown",I4090),H4090))</f>
        <v/>
      </c>
      <c r="Q4090" s="1" t="str">
        <f aca="false">IF(P4090="","",IFERROR(IF(AND(H4090="W7",OR(F4090="causal",F4090="predictive")),IF(AND(K4090=1,L4090=1,M4090=1),"adequate","partial"),INDEX(Fit_Matrix!$B:$B,MATCH(P4090,Fit_Matrix!$A:$A,0))),"CHECK KEY"))</f>
        <v/>
      </c>
    </row>
    <row r="4091" customFormat="false" ht="15" hidden="false" customHeight="true" outlineLevel="0" collapsed="false">
      <c r="P4091" s="1" t="str">
        <f aca="false">IF(OR(F4091="",H4091="",J4091=""),"",J4091&amp;"|"&amp;F4091&amp;"|"&amp;IF(H4091="W3","W3_"&amp;IF(I4091="","unknown",I4091),H4091))</f>
        <v/>
      </c>
      <c r="Q4091" s="1" t="str">
        <f aca="false">IF(P4091="","",IFERROR(IF(AND(H4091="W7",OR(F4091="causal",F4091="predictive")),IF(AND(K4091=1,L4091=1,M4091=1),"adequate","partial"),INDEX(Fit_Matrix!$B:$B,MATCH(P4091,Fit_Matrix!$A:$A,0))),"CHECK KEY"))</f>
        <v/>
      </c>
    </row>
    <row r="4092" customFormat="false" ht="15" hidden="false" customHeight="true" outlineLevel="0" collapsed="false">
      <c r="P4092" s="1" t="str">
        <f aca="false">IF(OR(F4092="",H4092="",J4092=""),"",J4092&amp;"|"&amp;F4092&amp;"|"&amp;IF(H4092="W3","W3_"&amp;IF(I4092="","unknown",I4092),H4092))</f>
        <v/>
      </c>
      <c r="Q4092" s="1" t="str">
        <f aca="false">IF(P4092="","",IFERROR(IF(AND(H4092="W7",OR(F4092="causal",F4092="predictive")),IF(AND(K4092=1,L4092=1,M4092=1),"adequate","partial"),INDEX(Fit_Matrix!$B:$B,MATCH(P4092,Fit_Matrix!$A:$A,0))),"CHECK KEY"))</f>
        <v/>
      </c>
    </row>
    <row r="4093" customFormat="false" ht="15" hidden="false" customHeight="true" outlineLevel="0" collapsed="false">
      <c r="P4093" s="1" t="str">
        <f aca="false">IF(OR(F4093="",H4093="",J4093=""),"",J4093&amp;"|"&amp;F4093&amp;"|"&amp;IF(H4093="W3","W3_"&amp;IF(I4093="","unknown",I4093),H4093))</f>
        <v/>
      </c>
      <c r="Q4093" s="1" t="str">
        <f aca="false">IF(P4093="","",IFERROR(IF(AND(H4093="W7",OR(F4093="causal",F4093="predictive")),IF(AND(K4093=1,L4093=1,M4093=1),"adequate","partial"),INDEX(Fit_Matrix!$B:$B,MATCH(P4093,Fit_Matrix!$A:$A,0))),"CHECK KEY"))</f>
        <v/>
      </c>
    </row>
    <row r="4094" customFormat="false" ht="15" hidden="false" customHeight="true" outlineLevel="0" collapsed="false">
      <c r="P4094" s="1" t="str">
        <f aca="false">IF(OR(F4094="",H4094="",J4094=""),"",J4094&amp;"|"&amp;F4094&amp;"|"&amp;IF(H4094="W3","W3_"&amp;IF(I4094="","unknown",I4094),H4094))</f>
        <v/>
      </c>
      <c r="Q4094" s="1" t="str">
        <f aca="false">IF(P4094="","",IFERROR(IF(AND(H4094="W7",OR(F4094="causal",F4094="predictive")),IF(AND(K4094=1,L4094=1,M4094=1),"adequate","partial"),INDEX(Fit_Matrix!$B:$B,MATCH(P4094,Fit_Matrix!$A:$A,0))),"CHECK KEY"))</f>
        <v/>
      </c>
    </row>
    <row r="4095" customFormat="false" ht="15" hidden="false" customHeight="true" outlineLevel="0" collapsed="false">
      <c r="P4095" s="1" t="str">
        <f aca="false">IF(OR(F4095="",H4095="",J4095=""),"",J4095&amp;"|"&amp;F4095&amp;"|"&amp;IF(H4095="W3","W3_"&amp;IF(I4095="","unknown",I4095),H4095))</f>
        <v/>
      </c>
      <c r="Q4095" s="1" t="str">
        <f aca="false">IF(P4095="","",IFERROR(IF(AND(H4095="W7",OR(F4095="causal",F4095="predictive")),IF(AND(K4095=1,L4095=1,M4095=1),"adequate","partial"),INDEX(Fit_Matrix!$B:$B,MATCH(P4095,Fit_Matrix!$A:$A,0))),"CHECK KEY"))</f>
        <v/>
      </c>
    </row>
    <row r="4096" customFormat="false" ht="15" hidden="false" customHeight="true" outlineLevel="0" collapsed="false">
      <c r="P4096" s="1" t="str">
        <f aca="false">IF(OR(F4096="",H4096="",J4096=""),"",J4096&amp;"|"&amp;F4096&amp;"|"&amp;IF(H4096="W3","W3_"&amp;IF(I4096="","unknown",I4096),H4096))</f>
        <v/>
      </c>
      <c r="Q4096" s="1" t="str">
        <f aca="false">IF(P4096="","",IFERROR(IF(AND(H4096="W7",OR(F4096="causal",F4096="predictive")),IF(AND(K4096=1,L4096=1,M4096=1),"adequate","partial"),INDEX(Fit_Matrix!$B:$B,MATCH(P4096,Fit_Matrix!$A:$A,0))),"CHECK KEY"))</f>
        <v/>
      </c>
    </row>
    <row r="4097" customFormat="false" ht="15" hidden="false" customHeight="true" outlineLevel="0" collapsed="false">
      <c r="P4097" s="1" t="str">
        <f aca="false">IF(OR(F4097="",H4097="",J4097=""),"",J4097&amp;"|"&amp;F4097&amp;"|"&amp;IF(H4097="W3","W3_"&amp;IF(I4097="","unknown",I4097),H4097))</f>
        <v/>
      </c>
      <c r="Q4097" s="1" t="str">
        <f aca="false">IF(P4097="","",IFERROR(IF(AND(H4097="W7",OR(F4097="causal",F4097="predictive")),IF(AND(K4097=1,L4097=1,M4097=1),"adequate","partial"),INDEX(Fit_Matrix!$B:$B,MATCH(P4097,Fit_Matrix!$A:$A,0))),"CHECK KEY"))</f>
        <v/>
      </c>
    </row>
    <row r="4098" customFormat="false" ht="15" hidden="false" customHeight="true" outlineLevel="0" collapsed="false">
      <c r="P4098" s="1" t="str">
        <f aca="false">IF(OR(F4098="",H4098="",J4098=""),"",J4098&amp;"|"&amp;F4098&amp;"|"&amp;IF(H4098="W3","W3_"&amp;IF(I4098="","unknown",I4098),H4098))</f>
        <v/>
      </c>
      <c r="Q4098" s="1" t="str">
        <f aca="false">IF(P4098="","",IFERROR(IF(AND(H4098="W7",OR(F4098="causal",F4098="predictive")),IF(AND(K4098=1,L4098=1,M4098=1),"adequate","partial"),INDEX(Fit_Matrix!$B:$B,MATCH(P4098,Fit_Matrix!$A:$A,0))),"CHECK KEY"))</f>
        <v/>
      </c>
    </row>
    <row r="4099" customFormat="false" ht="15" hidden="false" customHeight="true" outlineLevel="0" collapsed="false">
      <c r="P4099" s="1" t="str">
        <f aca="false">IF(OR(F4099="",H4099="",J4099=""),"",J4099&amp;"|"&amp;F4099&amp;"|"&amp;IF(H4099="W3","W3_"&amp;IF(I4099="","unknown",I4099),H4099))</f>
        <v/>
      </c>
      <c r="Q4099" s="1" t="str">
        <f aca="false">IF(P4099="","",IFERROR(IF(AND(H4099="W7",OR(F4099="causal",F4099="predictive")),IF(AND(K4099=1,L4099=1,M4099=1),"adequate","partial"),INDEX(Fit_Matrix!$B:$B,MATCH(P4099,Fit_Matrix!$A:$A,0))),"CHECK KEY"))</f>
        <v/>
      </c>
    </row>
    <row r="4100" customFormat="false" ht="15" hidden="false" customHeight="true" outlineLevel="0" collapsed="false">
      <c r="P4100" s="1" t="str">
        <f aca="false">IF(OR(F4100="",H4100="",J4100=""),"",J4100&amp;"|"&amp;F4100&amp;"|"&amp;IF(H4100="W3","W3_"&amp;IF(I4100="","unknown",I4100),H4100))</f>
        <v/>
      </c>
      <c r="Q4100" s="1" t="str">
        <f aca="false">IF(P4100="","",IFERROR(IF(AND(H4100="W7",OR(F4100="causal",F4100="predictive")),IF(AND(K4100=1,L4100=1,M4100=1),"adequate","partial"),INDEX(Fit_Matrix!$B:$B,MATCH(P4100,Fit_Matrix!$A:$A,0))),"CHECK KEY"))</f>
        <v/>
      </c>
    </row>
    <row r="4101" customFormat="false" ht="15" hidden="false" customHeight="true" outlineLevel="0" collapsed="false">
      <c r="P4101" s="1" t="str">
        <f aca="false">IF(OR(F4101="",H4101="",J4101=""),"",J4101&amp;"|"&amp;F4101&amp;"|"&amp;IF(H4101="W3","W3_"&amp;IF(I4101="","unknown",I4101),H4101))</f>
        <v/>
      </c>
      <c r="Q4101" s="1" t="str">
        <f aca="false">IF(P4101="","",IFERROR(IF(AND(H4101="W7",OR(F4101="causal",F4101="predictive")),IF(AND(K4101=1,L4101=1,M4101=1),"adequate","partial"),INDEX(Fit_Matrix!$B:$B,MATCH(P4101,Fit_Matrix!$A:$A,0))),"CHECK KEY"))</f>
        <v/>
      </c>
    </row>
    <row r="4102" customFormat="false" ht="15" hidden="false" customHeight="true" outlineLevel="0" collapsed="false">
      <c r="P4102" s="1" t="str">
        <f aca="false">IF(OR(F4102="",H4102="",J4102=""),"",J4102&amp;"|"&amp;F4102&amp;"|"&amp;IF(H4102="W3","W3_"&amp;IF(I4102="","unknown",I4102),H4102))</f>
        <v/>
      </c>
      <c r="Q4102" s="1" t="str">
        <f aca="false">IF(P4102="","",IFERROR(IF(AND(H4102="W7",OR(F4102="causal",F4102="predictive")),IF(AND(K4102=1,L4102=1,M4102=1),"adequate","partial"),INDEX(Fit_Matrix!$B:$B,MATCH(P4102,Fit_Matrix!$A:$A,0))),"CHECK KEY"))</f>
        <v/>
      </c>
    </row>
    <row r="4103" customFormat="false" ht="15" hidden="false" customHeight="true" outlineLevel="0" collapsed="false">
      <c r="P4103" s="1" t="str">
        <f aca="false">IF(OR(F4103="",H4103="",J4103=""),"",J4103&amp;"|"&amp;F4103&amp;"|"&amp;IF(H4103="W3","W3_"&amp;IF(I4103="","unknown",I4103),H4103))</f>
        <v/>
      </c>
      <c r="Q4103" s="1" t="str">
        <f aca="false">IF(P4103="","",IFERROR(IF(AND(H4103="W7",OR(F4103="causal",F4103="predictive")),IF(AND(K4103=1,L4103=1,M4103=1),"adequate","partial"),INDEX(Fit_Matrix!$B:$B,MATCH(P4103,Fit_Matrix!$A:$A,0))),"CHECK KEY"))</f>
        <v/>
      </c>
    </row>
    <row r="4104" customFormat="false" ht="15" hidden="false" customHeight="true" outlineLevel="0" collapsed="false">
      <c r="P4104" s="1" t="str">
        <f aca="false">IF(OR(F4104="",H4104="",J4104=""),"",J4104&amp;"|"&amp;F4104&amp;"|"&amp;IF(H4104="W3","W3_"&amp;IF(I4104="","unknown",I4104),H4104))</f>
        <v/>
      </c>
      <c r="Q4104" s="1" t="str">
        <f aca="false">IF(P4104="","",IFERROR(IF(AND(H4104="W7",OR(F4104="causal",F4104="predictive")),IF(AND(K4104=1,L4104=1,M4104=1),"adequate","partial"),INDEX(Fit_Matrix!$B:$B,MATCH(P4104,Fit_Matrix!$A:$A,0))),"CHECK KEY"))</f>
        <v/>
      </c>
    </row>
    <row r="4105" customFormat="false" ht="15" hidden="false" customHeight="true" outlineLevel="0" collapsed="false">
      <c r="P4105" s="1" t="str">
        <f aca="false">IF(OR(F4105="",H4105="",J4105=""),"",J4105&amp;"|"&amp;F4105&amp;"|"&amp;IF(H4105="W3","W3_"&amp;IF(I4105="","unknown",I4105),H4105))</f>
        <v/>
      </c>
      <c r="Q4105" s="1" t="str">
        <f aca="false">IF(P4105="","",IFERROR(IF(AND(H4105="W7",OR(F4105="causal",F4105="predictive")),IF(AND(K4105=1,L4105=1,M4105=1),"adequate","partial"),INDEX(Fit_Matrix!$B:$B,MATCH(P4105,Fit_Matrix!$A:$A,0))),"CHECK KEY"))</f>
        <v/>
      </c>
    </row>
    <row r="4106" customFormat="false" ht="15" hidden="false" customHeight="true" outlineLevel="0" collapsed="false">
      <c r="P4106" s="1" t="str">
        <f aca="false">IF(OR(F4106="",H4106="",J4106=""),"",J4106&amp;"|"&amp;F4106&amp;"|"&amp;IF(H4106="W3","W3_"&amp;IF(I4106="","unknown",I4106),H4106))</f>
        <v/>
      </c>
      <c r="Q4106" s="1" t="str">
        <f aca="false">IF(P4106="","",IFERROR(IF(AND(H4106="W7",OR(F4106="causal",F4106="predictive")),IF(AND(K4106=1,L4106=1,M4106=1),"adequate","partial"),INDEX(Fit_Matrix!$B:$B,MATCH(P4106,Fit_Matrix!$A:$A,0))),"CHECK KEY"))</f>
        <v/>
      </c>
    </row>
    <row r="4107" customFormat="false" ht="15" hidden="false" customHeight="true" outlineLevel="0" collapsed="false">
      <c r="P4107" s="1" t="str">
        <f aca="false">IF(OR(F4107="",H4107="",J4107=""),"",J4107&amp;"|"&amp;F4107&amp;"|"&amp;IF(H4107="W3","W3_"&amp;IF(I4107="","unknown",I4107),H4107))</f>
        <v/>
      </c>
      <c r="Q4107" s="1" t="str">
        <f aca="false">IF(P4107="","",IFERROR(IF(AND(H4107="W7",OR(F4107="causal",F4107="predictive")),IF(AND(K4107=1,L4107=1,M4107=1),"adequate","partial"),INDEX(Fit_Matrix!$B:$B,MATCH(P4107,Fit_Matrix!$A:$A,0))),"CHECK KEY"))</f>
        <v/>
      </c>
    </row>
    <row r="4108" customFormat="false" ht="15" hidden="false" customHeight="true" outlineLevel="0" collapsed="false">
      <c r="P4108" s="1" t="str">
        <f aca="false">IF(OR(F4108="",H4108="",J4108=""),"",J4108&amp;"|"&amp;F4108&amp;"|"&amp;IF(H4108="W3","W3_"&amp;IF(I4108="","unknown",I4108),H4108))</f>
        <v/>
      </c>
      <c r="Q4108" s="1" t="str">
        <f aca="false">IF(P4108="","",IFERROR(IF(AND(H4108="W7",OR(F4108="causal",F4108="predictive")),IF(AND(K4108=1,L4108=1,M4108=1),"adequate","partial"),INDEX(Fit_Matrix!$B:$B,MATCH(P4108,Fit_Matrix!$A:$A,0))),"CHECK KEY"))</f>
        <v/>
      </c>
    </row>
    <row r="4109" customFormat="false" ht="15" hidden="false" customHeight="true" outlineLevel="0" collapsed="false">
      <c r="P4109" s="1" t="str">
        <f aca="false">IF(OR(F4109="",H4109="",J4109=""),"",J4109&amp;"|"&amp;F4109&amp;"|"&amp;IF(H4109="W3","W3_"&amp;IF(I4109="","unknown",I4109),H4109))</f>
        <v/>
      </c>
      <c r="Q4109" s="1" t="str">
        <f aca="false">IF(P4109="","",IFERROR(IF(AND(H4109="W7",OR(F4109="causal",F4109="predictive")),IF(AND(K4109=1,L4109=1,M4109=1),"adequate","partial"),INDEX(Fit_Matrix!$B:$B,MATCH(P4109,Fit_Matrix!$A:$A,0))),"CHECK KEY"))</f>
        <v/>
      </c>
    </row>
    <row r="4110" customFormat="false" ht="15" hidden="false" customHeight="true" outlineLevel="0" collapsed="false">
      <c r="P4110" s="1" t="str">
        <f aca="false">IF(OR(F4110="",H4110="",J4110=""),"",J4110&amp;"|"&amp;F4110&amp;"|"&amp;IF(H4110="W3","W3_"&amp;IF(I4110="","unknown",I4110),H4110))</f>
        <v/>
      </c>
      <c r="Q4110" s="1" t="str">
        <f aca="false">IF(P4110="","",IFERROR(IF(AND(H4110="W7",OR(F4110="causal",F4110="predictive")),IF(AND(K4110=1,L4110=1,M4110=1),"adequate","partial"),INDEX(Fit_Matrix!$B:$B,MATCH(P4110,Fit_Matrix!$A:$A,0))),"CHECK KEY"))</f>
        <v/>
      </c>
    </row>
    <row r="4111" customFormat="false" ht="15" hidden="false" customHeight="true" outlineLevel="0" collapsed="false">
      <c r="P4111" s="1" t="str">
        <f aca="false">IF(OR(F4111="",H4111="",J4111=""),"",J4111&amp;"|"&amp;F4111&amp;"|"&amp;IF(H4111="W3","W3_"&amp;IF(I4111="","unknown",I4111),H4111))</f>
        <v/>
      </c>
      <c r="Q4111" s="1" t="str">
        <f aca="false">IF(P4111="","",IFERROR(IF(AND(H4111="W7",OR(F4111="causal",F4111="predictive")),IF(AND(K4111=1,L4111=1,M4111=1),"adequate","partial"),INDEX(Fit_Matrix!$B:$B,MATCH(P4111,Fit_Matrix!$A:$A,0))),"CHECK KEY"))</f>
        <v/>
      </c>
    </row>
    <row r="4112" customFormat="false" ht="15" hidden="false" customHeight="true" outlineLevel="0" collapsed="false">
      <c r="P4112" s="1" t="str">
        <f aca="false">IF(OR(F4112="",H4112="",J4112=""),"",J4112&amp;"|"&amp;F4112&amp;"|"&amp;IF(H4112="W3","W3_"&amp;IF(I4112="","unknown",I4112),H4112))</f>
        <v/>
      </c>
      <c r="Q4112" s="1" t="str">
        <f aca="false">IF(P4112="","",IFERROR(IF(AND(H4112="W7",OR(F4112="causal",F4112="predictive")),IF(AND(K4112=1,L4112=1,M4112=1),"adequate","partial"),INDEX(Fit_Matrix!$B:$B,MATCH(P4112,Fit_Matrix!$A:$A,0))),"CHECK KEY"))</f>
        <v/>
      </c>
    </row>
    <row r="4113" customFormat="false" ht="15" hidden="false" customHeight="true" outlineLevel="0" collapsed="false">
      <c r="P4113" s="1" t="str">
        <f aca="false">IF(OR(F4113="",H4113="",J4113=""),"",J4113&amp;"|"&amp;F4113&amp;"|"&amp;IF(H4113="W3","W3_"&amp;IF(I4113="","unknown",I4113),H4113))</f>
        <v/>
      </c>
      <c r="Q4113" s="1" t="str">
        <f aca="false">IF(P4113="","",IFERROR(IF(AND(H4113="W7",OR(F4113="causal",F4113="predictive")),IF(AND(K4113=1,L4113=1,M4113=1),"adequate","partial"),INDEX(Fit_Matrix!$B:$B,MATCH(P4113,Fit_Matrix!$A:$A,0))),"CHECK KEY"))</f>
        <v/>
      </c>
    </row>
    <row r="4114" customFormat="false" ht="15" hidden="false" customHeight="true" outlineLevel="0" collapsed="false">
      <c r="P4114" s="1" t="str">
        <f aca="false">IF(OR(F4114="",H4114="",J4114=""),"",J4114&amp;"|"&amp;F4114&amp;"|"&amp;IF(H4114="W3","W3_"&amp;IF(I4114="","unknown",I4114),H4114))</f>
        <v/>
      </c>
      <c r="Q4114" s="1" t="str">
        <f aca="false">IF(P4114="","",IFERROR(IF(AND(H4114="W7",OR(F4114="causal",F4114="predictive")),IF(AND(K4114=1,L4114=1,M4114=1),"adequate","partial"),INDEX(Fit_Matrix!$B:$B,MATCH(P4114,Fit_Matrix!$A:$A,0))),"CHECK KEY"))</f>
        <v/>
      </c>
    </row>
    <row r="4115" customFormat="false" ht="15" hidden="false" customHeight="true" outlineLevel="0" collapsed="false">
      <c r="P4115" s="1" t="str">
        <f aca="false">IF(OR(F4115="",H4115="",J4115=""),"",J4115&amp;"|"&amp;F4115&amp;"|"&amp;IF(H4115="W3","W3_"&amp;IF(I4115="","unknown",I4115),H4115))</f>
        <v/>
      </c>
      <c r="Q4115" s="1" t="str">
        <f aca="false">IF(P4115="","",IFERROR(IF(AND(H4115="W7",OR(F4115="causal",F4115="predictive")),IF(AND(K4115=1,L4115=1,M4115=1),"adequate","partial"),INDEX(Fit_Matrix!$B:$B,MATCH(P4115,Fit_Matrix!$A:$A,0))),"CHECK KEY"))</f>
        <v/>
      </c>
    </row>
    <row r="4116" customFormat="false" ht="15" hidden="false" customHeight="true" outlineLevel="0" collapsed="false">
      <c r="P4116" s="1" t="str">
        <f aca="false">IF(OR(F4116="",H4116="",J4116=""),"",J4116&amp;"|"&amp;F4116&amp;"|"&amp;IF(H4116="W3","W3_"&amp;IF(I4116="","unknown",I4116),H4116))</f>
        <v/>
      </c>
      <c r="Q4116" s="1" t="str">
        <f aca="false">IF(P4116="","",IFERROR(IF(AND(H4116="W7",OR(F4116="causal",F4116="predictive")),IF(AND(K4116=1,L4116=1,M4116=1),"adequate","partial"),INDEX(Fit_Matrix!$B:$B,MATCH(P4116,Fit_Matrix!$A:$A,0))),"CHECK KEY"))</f>
        <v/>
      </c>
    </row>
    <row r="4117" customFormat="false" ht="15" hidden="false" customHeight="true" outlineLevel="0" collapsed="false">
      <c r="P4117" s="1" t="str">
        <f aca="false">IF(OR(F4117="",H4117="",J4117=""),"",J4117&amp;"|"&amp;F4117&amp;"|"&amp;IF(H4117="W3","W3_"&amp;IF(I4117="","unknown",I4117),H4117))</f>
        <v/>
      </c>
      <c r="Q4117" s="1" t="str">
        <f aca="false">IF(P4117="","",IFERROR(IF(AND(H4117="W7",OR(F4117="causal",F4117="predictive")),IF(AND(K4117=1,L4117=1,M4117=1),"adequate","partial"),INDEX(Fit_Matrix!$B:$B,MATCH(P4117,Fit_Matrix!$A:$A,0))),"CHECK KEY"))</f>
        <v/>
      </c>
    </row>
    <row r="4118" customFormat="false" ht="15" hidden="false" customHeight="true" outlineLevel="0" collapsed="false">
      <c r="P4118" s="1" t="str">
        <f aca="false">IF(OR(F4118="",H4118="",J4118=""),"",J4118&amp;"|"&amp;F4118&amp;"|"&amp;IF(H4118="W3","W3_"&amp;IF(I4118="","unknown",I4118),H4118))</f>
        <v/>
      </c>
      <c r="Q4118" s="1" t="str">
        <f aca="false">IF(P4118="","",IFERROR(IF(AND(H4118="W7",OR(F4118="causal",F4118="predictive")),IF(AND(K4118=1,L4118=1,M4118=1),"adequate","partial"),INDEX(Fit_Matrix!$B:$B,MATCH(P4118,Fit_Matrix!$A:$A,0))),"CHECK KEY"))</f>
        <v/>
      </c>
    </row>
    <row r="4119" customFormat="false" ht="15" hidden="false" customHeight="true" outlineLevel="0" collapsed="false">
      <c r="P4119" s="1" t="str">
        <f aca="false">IF(OR(F4119="",H4119="",J4119=""),"",J4119&amp;"|"&amp;F4119&amp;"|"&amp;IF(H4119="W3","W3_"&amp;IF(I4119="","unknown",I4119),H4119))</f>
        <v/>
      </c>
      <c r="Q4119" s="1" t="str">
        <f aca="false">IF(P4119="","",IFERROR(IF(AND(H4119="W7",OR(F4119="causal",F4119="predictive")),IF(AND(K4119=1,L4119=1,M4119=1),"adequate","partial"),INDEX(Fit_Matrix!$B:$B,MATCH(P4119,Fit_Matrix!$A:$A,0))),"CHECK KEY"))</f>
        <v/>
      </c>
    </row>
    <row r="4120" customFormat="false" ht="15" hidden="false" customHeight="true" outlineLevel="0" collapsed="false">
      <c r="P4120" s="1" t="str">
        <f aca="false">IF(OR(F4120="",H4120="",J4120=""),"",J4120&amp;"|"&amp;F4120&amp;"|"&amp;IF(H4120="W3","W3_"&amp;IF(I4120="","unknown",I4120),H4120))</f>
        <v/>
      </c>
      <c r="Q4120" s="1" t="str">
        <f aca="false">IF(P4120="","",IFERROR(IF(AND(H4120="W7",OR(F4120="causal",F4120="predictive")),IF(AND(K4120=1,L4120=1,M4120=1),"adequate","partial"),INDEX(Fit_Matrix!$B:$B,MATCH(P4120,Fit_Matrix!$A:$A,0))),"CHECK KEY"))</f>
        <v/>
      </c>
    </row>
    <row r="4121" customFormat="false" ht="15" hidden="false" customHeight="true" outlineLevel="0" collapsed="false">
      <c r="P4121" s="1" t="str">
        <f aca="false">IF(OR(F4121="",H4121="",J4121=""),"",J4121&amp;"|"&amp;F4121&amp;"|"&amp;IF(H4121="W3","W3_"&amp;IF(I4121="","unknown",I4121),H4121))</f>
        <v/>
      </c>
      <c r="Q4121" s="1" t="str">
        <f aca="false">IF(P4121="","",IFERROR(IF(AND(H4121="W7",OR(F4121="causal",F4121="predictive")),IF(AND(K4121=1,L4121=1,M4121=1),"adequate","partial"),INDEX(Fit_Matrix!$B:$B,MATCH(P4121,Fit_Matrix!$A:$A,0))),"CHECK KEY"))</f>
        <v/>
      </c>
    </row>
    <row r="4122" customFormat="false" ht="15" hidden="false" customHeight="true" outlineLevel="0" collapsed="false">
      <c r="P4122" s="1" t="str">
        <f aca="false">IF(OR(F4122="",H4122="",J4122=""),"",J4122&amp;"|"&amp;F4122&amp;"|"&amp;IF(H4122="W3","W3_"&amp;IF(I4122="","unknown",I4122),H4122))</f>
        <v/>
      </c>
      <c r="Q4122" s="1" t="str">
        <f aca="false">IF(P4122="","",IFERROR(IF(AND(H4122="W7",OR(F4122="causal",F4122="predictive")),IF(AND(K4122=1,L4122=1,M4122=1),"adequate","partial"),INDEX(Fit_Matrix!$B:$B,MATCH(P4122,Fit_Matrix!$A:$A,0))),"CHECK KEY"))</f>
        <v/>
      </c>
    </row>
    <row r="4123" customFormat="false" ht="15" hidden="false" customHeight="true" outlineLevel="0" collapsed="false">
      <c r="P4123" s="1" t="str">
        <f aca="false">IF(OR(F4123="",H4123="",J4123=""),"",J4123&amp;"|"&amp;F4123&amp;"|"&amp;IF(H4123="W3","W3_"&amp;IF(I4123="","unknown",I4123),H4123))</f>
        <v/>
      </c>
      <c r="Q4123" s="1" t="str">
        <f aca="false">IF(P4123="","",IFERROR(IF(AND(H4123="W7",OR(F4123="causal",F4123="predictive")),IF(AND(K4123=1,L4123=1,M4123=1),"adequate","partial"),INDEX(Fit_Matrix!$B:$B,MATCH(P4123,Fit_Matrix!$A:$A,0))),"CHECK KEY"))</f>
        <v/>
      </c>
    </row>
    <row r="4124" customFormat="false" ht="15" hidden="false" customHeight="true" outlineLevel="0" collapsed="false">
      <c r="P4124" s="1" t="str">
        <f aca="false">IF(OR(F4124="",H4124="",J4124=""),"",J4124&amp;"|"&amp;F4124&amp;"|"&amp;IF(H4124="W3","W3_"&amp;IF(I4124="","unknown",I4124),H4124))</f>
        <v/>
      </c>
      <c r="Q4124" s="1" t="str">
        <f aca="false">IF(P4124="","",IFERROR(IF(AND(H4124="W7",OR(F4124="causal",F4124="predictive")),IF(AND(K4124=1,L4124=1,M4124=1),"adequate","partial"),INDEX(Fit_Matrix!$B:$B,MATCH(P4124,Fit_Matrix!$A:$A,0))),"CHECK KEY"))</f>
        <v/>
      </c>
    </row>
    <row r="4125" customFormat="false" ht="15" hidden="false" customHeight="true" outlineLevel="0" collapsed="false">
      <c r="P4125" s="1" t="str">
        <f aca="false">IF(OR(F4125="",H4125="",J4125=""),"",J4125&amp;"|"&amp;F4125&amp;"|"&amp;IF(H4125="W3","W3_"&amp;IF(I4125="","unknown",I4125),H4125))</f>
        <v/>
      </c>
      <c r="Q4125" s="1" t="str">
        <f aca="false">IF(P4125="","",IFERROR(IF(AND(H4125="W7",OR(F4125="causal",F4125="predictive")),IF(AND(K4125=1,L4125=1,M4125=1),"adequate","partial"),INDEX(Fit_Matrix!$B:$B,MATCH(P4125,Fit_Matrix!$A:$A,0))),"CHECK KEY"))</f>
        <v/>
      </c>
    </row>
    <row r="4126" customFormat="false" ht="15" hidden="false" customHeight="true" outlineLevel="0" collapsed="false">
      <c r="P4126" s="1" t="str">
        <f aca="false">IF(OR(F4126="",H4126="",J4126=""),"",J4126&amp;"|"&amp;F4126&amp;"|"&amp;IF(H4126="W3","W3_"&amp;IF(I4126="","unknown",I4126),H4126))</f>
        <v/>
      </c>
      <c r="Q4126" s="1" t="str">
        <f aca="false">IF(P4126="","",IFERROR(IF(AND(H4126="W7",OR(F4126="causal",F4126="predictive")),IF(AND(K4126=1,L4126=1,M4126=1),"adequate","partial"),INDEX(Fit_Matrix!$B:$B,MATCH(P4126,Fit_Matrix!$A:$A,0))),"CHECK KEY"))</f>
        <v/>
      </c>
    </row>
    <row r="4127" customFormat="false" ht="15" hidden="false" customHeight="true" outlineLevel="0" collapsed="false">
      <c r="P4127" s="1" t="str">
        <f aca="false">IF(OR(F4127="",H4127="",J4127=""),"",J4127&amp;"|"&amp;F4127&amp;"|"&amp;IF(H4127="W3","W3_"&amp;IF(I4127="","unknown",I4127),H4127))</f>
        <v/>
      </c>
      <c r="Q4127" s="1" t="str">
        <f aca="false">IF(P4127="","",IFERROR(IF(AND(H4127="W7",OR(F4127="causal",F4127="predictive")),IF(AND(K4127=1,L4127=1,M4127=1),"adequate","partial"),INDEX(Fit_Matrix!$B:$B,MATCH(P4127,Fit_Matrix!$A:$A,0))),"CHECK KEY"))</f>
        <v/>
      </c>
    </row>
    <row r="4128" customFormat="false" ht="15" hidden="false" customHeight="true" outlineLevel="0" collapsed="false">
      <c r="P4128" s="1" t="str">
        <f aca="false">IF(OR(F4128="",H4128="",J4128=""),"",J4128&amp;"|"&amp;F4128&amp;"|"&amp;IF(H4128="W3","W3_"&amp;IF(I4128="","unknown",I4128),H4128))</f>
        <v/>
      </c>
      <c r="Q4128" s="1" t="str">
        <f aca="false">IF(P4128="","",IFERROR(IF(AND(H4128="W7",OR(F4128="causal",F4128="predictive")),IF(AND(K4128=1,L4128=1,M4128=1),"adequate","partial"),INDEX(Fit_Matrix!$B:$B,MATCH(P4128,Fit_Matrix!$A:$A,0))),"CHECK KEY"))</f>
        <v/>
      </c>
    </row>
    <row r="4129" customFormat="false" ht="15" hidden="false" customHeight="true" outlineLevel="0" collapsed="false">
      <c r="P4129" s="1" t="str">
        <f aca="false">IF(OR(F4129="",H4129="",J4129=""),"",J4129&amp;"|"&amp;F4129&amp;"|"&amp;IF(H4129="W3","W3_"&amp;IF(I4129="","unknown",I4129),H4129))</f>
        <v/>
      </c>
      <c r="Q4129" s="1" t="str">
        <f aca="false">IF(P4129="","",IFERROR(IF(AND(H4129="W7",OR(F4129="causal",F4129="predictive")),IF(AND(K4129=1,L4129=1,M4129=1),"adequate","partial"),INDEX(Fit_Matrix!$B:$B,MATCH(P4129,Fit_Matrix!$A:$A,0))),"CHECK KEY"))</f>
        <v/>
      </c>
    </row>
    <row r="4130" customFormat="false" ht="15" hidden="false" customHeight="true" outlineLevel="0" collapsed="false">
      <c r="P4130" s="1" t="str">
        <f aca="false">IF(OR(F4130="",H4130="",J4130=""),"",J4130&amp;"|"&amp;F4130&amp;"|"&amp;IF(H4130="W3","W3_"&amp;IF(I4130="","unknown",I4130),H4130))</f>
        <v/>
      </c>
      <c r="Q4130" s="1" t="str">
        <f aca="false">IF(P4130="","",IFERROR(IF(AND(H4130="W7",OR(F4130="causal",F4130="predictive")),IF(AND(K4130=1,L4130=1,M4130=1),"adequate","partial"),INDEX(Fit_Matrix!$B:$B,MATCH(P4130,Fit_Matrix!$A:$A,0))),"CHECK KEY"))</f>
        <v/>
      </c>
    </row>
    <row r="4131" customFormat="false" ht="15" hidden="false" customHeight="true" outlineLevel="0" collapsed="false">
      <c r="P4131" s="1" t="str">
        <f aca="false">IF(OR(F4131="",H4131="",J4131=""),"",J4131&amp;"|"&amp;F4131&amp;"|"&amp;IF(H4131="W3","W3_"&amp;IF(I4131="","unknown",I4131),H4131))</f>
        <v/>
      </c>
      <c r="Q4131" s="1" t="str">
        <f aca="false">IF(P4131="","",IFERROR(IF(AND(H4131="W7",OR(F4131="causal",F4131="predictive")),IF(AND(K4131=1,L4131=1,M4131=1),"adequate","partial"),INDEX(Fit_Matrix!$B:$B,MATCH(P4131,Fit_Matrix!$A:$A,0))),"CHECK KEY"))</f>
        <v/>
      </c>
    </row>
    <row r="4132" customFormat="false" ht="15" hidden="false" customHeight="true" outlineLevel="0" collapsed="false">
      <c r="P4132" s="1" t="str">
        <f aca="false">IF(OR(F4132="",H4132="",J4132=""),"",J4132&amp;"|"&amp;F4132&amp;"|"&amp;IF(H4132="W3","W3_"&amp;IF(I4132="","unknown",I4132),H4132))</f>
        <v/>
      </c>
      <c r="Q4132" s="1" t="str">
        <f aca="false">IF(P4132="","",IFERROR(IF(AND(H4132="W7",OR(F4132="causal",F4132="predictive")),IF(AND(K4132=1,L4132=1,M4132=1),"adequate","partial"),INDEX(Fit_Matrix!$B:$B,MATCH(P4132,Fit_Matrix!$A:$A,0))),"CHECK KEY"))</f>
        <v/>
      </c>
    </row>
    <row r="4133" customFormat="false" ht="15" hidden="false" customHeight="true" outlineLevel="0" collapsed="false">
      <c r="P4133" s="1" t="str">
        <f aca="false">IF(OR(F4133="",H4133="",J4133=""),"",J4133&amp;"|"&amp;F4133&amp;"|"&amp;IF(H4133="W3","W3_"&amp;IF(I4133="","unknown",I4133),H4133))</f>
        <v/>
      </c>
      <c r="Q4133" s="1" t="str">
        <f aca="false">IF(P4133="","",IFERROR(IF(AND(H4133="W7",OR(F4133="causal",F4133="predictive")),IF(AND(K4133=1,L4133=1,M4133=1),"adequate","partial"),INDEX(Fit_Matrix!$B:$B,MATCH(P4133,Fit_Matrix!$A:$A,0))),"CHECK KEY"))</f>
        <v/>
      </c>
    </row>
    <row r="4134" customFormat="false" ht="15" hidden="false" customHeight="true" outlineLevel="0" collapsed="false">
      <c r="P4134" s="1" t="str">
        <f aca="false">IF(OR(F4134="",H4134="",J4134=""),"",J4134&amp;"|"&amp;F4134&amp;"|"&amp;IF(H4134="W3","W3_"&amp;IF(I4134="","unknown",I4134),H4134))</f>
        <v/>
      </c>
      <c r="Q4134" s="1" t="str">
        <f aca="false">IF(P4134="","",IFERROR(IF(AND(H4134="W7",OR(F4134="causal",F4134="predictive")),IF(AND(K4134=1,L4134=1,M4134=1),"adequate","partial"),INDEX(Fit_Matrix!$B:$B,MATCH(P4134,Fit_Matrix!$A:$A,0))),"CHECK KEY"))</f>
        <v/>
      </c>
    </row>
    <row r="4135" customFormat="false" ht="15" hidden="false" customHeight="true" outlineLevel="0" collapsed="false">
      <c r="P4135" s="1" t="str">
        <f aca="false">IF(OR(F4135="",H4135="",J4135=""),"",J4135&amp;"|"&amp;F4135&amp;"|"&amp;IF(H4135="W3","W3_"&amp;IF(I4135="","unknown",I4135),H4135))</f>
        <v/>
      </c>
      <c r="Q4135" s="1" t="str">
        <f aca="false">IF(P4135="","",IFERROR(IF(AND(H4135="W7",OR(F4135="causal",F4135="predictive")),IF(AND(K4135=1,L4135=1,M4135=1),"adequate","partial"),INDEX(Fit_Matrix!$B:$B,MATCH(P4135,Fit_Matrix!$A:$A,0))),"CHECK KEY"))</f>
        <v/>
      </c>
    </row>
    <row r="4136" customFormat="false" ht="15" hidden="false" customHeight="true" outlineLevel="0" collapsed="false">
      <c r="P4136" s="1" t="str">
        <f aca="false">IF(OR(F4136="",H4136="",J4136=""),"",J4136&amp;"|"&amp;F4136&amp;"|"&amp;IF(H4136="W3","W3_"&amp;IF(I4136="","unknown",I4136),H4136))</f>
        <v/>
      </c>
      <c r="Q4136" s="1" t="str">
        <f aca="false">IF(P4136="","",IFERROR(IF(AND(H4136="W7",OR(F4136="causal",F4136="predictive")),IF(AND(K4136=1,L4136=1,M4136=1),"adequate","partial"),INDEX(Fit_Matrix!$B:$B,MATCH(P4136,Fit_Matrix!$A:$A,0))),"CHECK KEY"))</f>
        <v/>
      </c>
    </row>
    <row r="4137" customFormat="false" ht="15" hidden="false" customHeight="true" outlineLevel="0" collapsed="false">
      <c r="P4137" s="1" t="str">
        <f aca="false">IF(OR(F4137="",H4137="",J4137=""),"",J4137&amp;"|"&amp;F4137&amp;"|"&amp;IF(H4137="W3","W3_"&amp;IF(I4137="","unknown",I4137),H4137))</f>
        <v/>
      </c>
      <c r="Q4137" s="1" t="str">
        <f aca="false">IF(P4137="","",IFERROR(IF(AND(H4137="W7",OR(F4137="causal",F4137="predictive")),IF(AND(K4137=1,L4137=1,M4137=1),"adequate","partial"),INDEX(Fit_Matrix!$B:$B,MATCH(P4137,Fit_Matrix!$A:$A,0))),"CHECK KEY"))</f>
        <v/>
      </c>
    </row>
    <row r="4138" customFormat="false" ht="15" hidden="false" customHeight="true" outlineLevel="0" collapsed="false">
      <c r="P4138" s="1" t="str">
        <f aca="false">IF(OR(F4138="",H4138="",J4138=""),"",J4138&amp;"|"&amp;F4138&amp;"|"&amp;IF(H4138="W3","W3_"&amp;IF(I4138="","unknown",I4138),H4138))</f>
        <v/>
      </c>
      <c r="Q4138" s="1" t="str">
        <f aca="false">IF(P4138="","",IFERROR(IF(AND(H4138="W7",OR(F4138="causal",F4138="predictive")),IF(AND(K4138=1,L4138=1,M4138=1),"adequate","partial"),INDEX(Fit_Matrix!$B:$B,MATCH(P4138,Fit_Matrix!$A:$A,0))),"CHECK KEY"))</f>
        <v/>
      </c>
    </row>
    <row r="4139" customFormat="false" ht="15" hidden="false" customHeight="true" outlineLevel="0" collapsed="false">
      <c r="P4139" s="1" t="str">
        <f aca="false">IF(OR(F4139="",H4139="",J4139=""),"",J4139&amp;"|"&amp;F4139&amp;"|"&amp;IF(H4139="W3","W3_"&amp;IF(I4139="","unknown",I4139),H4139))</f>
        <v/>
      </c>
      <c r="Q4139" s="1" t="str">
        <f aca="false">IF(P4139="","",IFERROR(IF(AND(H4139="W7",OR(F4139="causal",F4139="predictive")),IF(AND(K4139=1,L4139=1,M4139=1),"adequate","partial"),INDEX(Fit_Matrix!$B:$B,MATCH(P4139,Fit_Matrix!$A:$A,0))),"CHECK KEY"))</f>
        <v/>
      </c>
    </row>
    <row r="4140" customFormat="false" ht="15" hidden="false" customHeight="true" outlineLevel="0" collapsed="false">
      <c r="P4140" s="1" t="str">
        <f aca="false">IF(OR(F4140="",H4140="",J4140=""),"",J4140&amp;"|"&amp;F4140&amp;"|"&amp;IF(H4140="W3","W3_"&amp;IF(I4140="","unknown",I4140),H4140))</f>
        <v/>
      </c>
      <c r="Q4140" s="1" t="str">
        <f aca="false">IF(P4140="","",IFERROR(IF(AND(H4140="W7",OR(F4140="causal",F4140="predictive")),IF(AND(K4140=1,L4140=1,M4140=1),"adequate","partial"),INDEX(Fit_Matrix!$B:$B,MATCH(P4140,Fit_Matrix!$A:$A,0))),"CHECK KEY"))</f>
        <v/>
      </c>
    </row>
    <row r="4141" customFormat="false" ht="15" hidden="false" customHeight="true" outlineLevel="0" collapsed="false">
      <c r="P4141" s="1" t="str">
        <f aca="false">IF(OR(F4141="",H4141="",J4141=""),"",J4141&amp;"|"&amp;F4141&amp;"|"&amp;IF(H4141="W3","W3_"&amp;IF(I4141="","unknown",I4141),H4141))</f>
        <v/>
      </c>
      <c r="Q4141" s="1" t="str">
        <f aca="false">IF(P4141="","",IFERROR(IF(AND(H4141="W7",OR(F4141="causal",F4141="predictive")),IF(AND(K4141=1,L4141=1,M4141=1),"adequate","partial"),INDEX(Fit_Matrix!$B:$B,MATCH(P4141,Fit_Matrix!$A:$A,0))),"CHECK KEY"))</f>
        <v/>
      </c>
    </row>
    <row r="4142" customFormat="false" ht="15" hidden="false" customHeight="true" outlineLevel="0" collapsed="false">
      <c r="P4142" s="1" t="str">
        <f aca="false">IF(OR(F4142="",H4142="",J4142=""),"",J4142&amp;"|"&amp;F4142&amp;"|"&amp;IF(H4142="W3","W3_"&amp;IF(I4142="","unknown",I4142),H4142))</f>
        <v/>
      </c>
      <c r="Q4142" s="1" t="str">
        <f aca="false">IF(P4142="","",IFERROR(IF(AND(H4142="W7",OR(F4142="causal",F4142="predictive")),IF(AND(K4142=1,L4142=1,M4142=1),"adequate","partial"),INDEX(Fit_Matrix!$B:$B,MATCH(P4142,Fit_Matrix!$A:$A,0))),"CHECK KEY"))</f>
        <v/>
      </c>
    </row>
    <row r="4143" customFormat="false" ht="15" hidden="false" customHeight="true" outlineLevel="0" collapsed="false">
      <c r="P4143" s="1" t="str">
        <f aca="false">IF(OR(F4143="",H4143="",J4143=""),"",J4143&amp;"|"&amp;F4143&amp;"|"&amp;IF(H4143="W3","W3_"&amp;IF(I4143="","unknown",I4143),H4143))</f>
        <v/>
      </c>
      <c r="Q4143" s="1" t="str">
        <f aca="false">IF(P4143="","",IFERROR(IF(AND(H4143="W7",OR(F4143="causal",F4143="predictive")),IF(AND(K4143=1,L4143=1,M4143=1),"adequate","partial"),INDEX(Fit_Matrix!$B:$B,MATCH(P4143,Fit_Matrix!$A:$A,0))),"CHECK KEY"))</f>
        <v/>
      </c>
    </row>
    <row r="4144" customFormat="false" ht="15" hidden="false" customHeight="true" outlineLevel="0" collapsed="false">
      <c r="P4144" s="1" t="str">
        <f aca="false">IF(OR(F4144="",H4144="",J4144=""),"",J4144&amp;"|"&amp;F4144&amp;"|"&amp;IF(H4144="W3","W3_"&amp;IF(I4144="","unknown",I4144),H4144))</f>
        <v/>
      </c>
      <c r="Q4144" s="1" t="str">
        <f aca="false">IF(P4144="","",IFERROR(IF(AND(H4144="W7",OR(F4144="causal",F4144="predictive")),IF(AND(K4144=1,L4144=1,M4144=1),"adequate","partial"),INDEX(Fit_Matrix!$B:$B,MATCH(P4144,Fit_Matrix!$A:$A,0))),"CHECK KEY"))</f>
        <v/>
      </c>
    </row>
    <row r="4145" customFormat="false" ht="15" hidden="false" customHeight="true" outlineLevel="0" collapsed="false">
      <c r="P4145" s="1" t="str">
        <f aca="false">IF(OR(F4145="",H4145="",J4145=""),"",J4145&amp;"|"&amp;F4145&amp;"|"&amp;IF(H4145="W3","W3_"&amp;IF(I4145="","unknown",I4145),H4145))</f>
        <v/>
      </c>
      <c r="Q4145" s="1" t="str">
        <f aca="false">IF(P4145="","",IFERROR(IF(AND(H4145="W7",OR(F4145="causal",F4145="predictive")),IF(AND(K4145=1,L4145=1,M4145=1),"adequate","partial"),INDEX(Fit_Matrix!$B:$B,MATCH(P4145,Fit_Matrix!$A:$A,0))),"CHECK KEY"))</f>
        <v/>
      </c>
    </row>
    <row r="4146" customFormat="false" ht="15" hidden="false" customHeight="true" outlineLevel="0" collapsed="false">
      <c r="P4146" s="1" t="str">
        <f aca="false">IF(OR(F4146="",H4146="",J4146=""),"",J4146&amp;"|"&amp;F4146&amp;"|"&amp;IF(H4146="W3","W3_"&amp;IF(I4146="","unknown",I4146),H4146))</f>
        <v/>
      </c>
      <c r="Q4146" s="1" t="str">
        <f aca="false">IF(P4146="","",IFERROR(IF(AND(H4146="W7",OR(F4146="causal",F4146="predictive")),IF(AND(K4146=1,L4146=1,M4146=1),"adequate","partial"),INDEX(Fit_Matrix!$B:$B,MATCH(P4146,Fit_Matrix!$A:$A,0))),"CHECK KEY"))</f>
        <v/>
      </c>
    </row>
    <row r="4147" customFormat="false" ht="15" hidden="false" customHeight="true" outlineLevel="0" collapsed="false">
      <c r="P4147" s="1" t="str">
        <f aca="false">IF(OR(F4147="",H4147="",J4147=""),"",J4147&amp;"|"&amp;F4147&amp;"|"&amp;IF(H4147="W3","W3_"&amp;IF(I4147="","unknown",I4147),H4147))</f>
        <v/>
      </c>
      <c r="Q4147" s="1" t="str">
        <f aca="false">IF(P4147="","",IFERROR(IF(AND(H4147="W7",OR(F4147="causal",F4147="predictive")),IF(AND(K4147=1,L4147=1,M4147=1),"adequate","partial"),INDEX(Fit_Matrix!$B:$B,MATCH(P4147,Fit_Matrix!$A:$A,0))),"CHECK KEY"))</f>
        <v/>
      </c>
    </row>
    <row r="4148" customFormat="false" ht="15" hidden="false" customHeight="true" outlineLevel="0" collapsed="false">
      <c r="P4148" s="1" t="str">
        <f aca="false">IF(OR(F4148="",H4148="",J4148=""),"",J4148&amp;"|"&amp;F4148&amp;"|"&amp;IF(H4148="W3","W3_"&amp;IF(I4148="","unknown",I4148),H4148))</f>
        <v/>
      </c>
      <c r="Q4148" s="1" t="str">
        <f aca="false">IF(P4148="","",IFERROR(IF(AND(H4148="W7",OR(F4148="causal",F4148="predictive")),IF(AND(K4148=1,L4148=1,M4148=1),"adequate","partial"),INDEX(Fit_Matrix!$B:$B,MATCH(P4148,Fit_Matrix!$A:$A,0))),"CHECK KEY"))</f>
        <v/>
      </c>
    </row>
    <row r="4149" customFormat="false" ht="15" hidden="false" customHeight="true" outlineLevel="0" collapsed="false">
      <c r="P4149" s="1" t="str">
        <f aca="false">IF(OR(F4149="",H4149="",J4149=""),"",J4149&amp;"|"&amp;F4149&amp;"|"&amp;IF(H4149="W3","W3_"&amp;IF(I4149="","unknown",I4149),H4149))</f>
        <v/>
      </c>
      <c r="Q4149" s="1" t="str">
        <f aca="false">IF(P4149="","",IFERROR(IF(AND(H4149="W7",OR(F4149="causal",F4149="predictive")),IF(AND(K4149=1,L4149=1,M4149=1),"adequate","partial"),INDEX(Fit_Matrix!$B:$B,MATCH(P4149,Fit_Matrix!$A:$A,0))),"CHECK KEY"))</f>
        <v/>
      </c>
    </row>
    <row r="4150" customFormat="false" ht="15" hidden="false" customHeight="true" outlineLevel="0" collapsed="false">
      <c r="P4150" s="1" t="str">
        <f aca="false">IF(OR(F4150="",H4150="",J4150=""),"",J4150&amp;"|"&amp;F4150&amp;"|"&amp;IF(H4150="W3","W3_"&amp;IF(I4150="","unknown",I4150),H4150))</f>
        <v/>
      </c>
      <c r="Q4150" s="1" t="str">
        <f aca="false">IF(P4150="","",IFERROR(IF(AND(H4150="W7",OR(F4150="causal",F4150="predictive")),IF(AND(K4150=1,L4150=1,M4150=1),"adequate","partial"),INDEX(Fit_Matrix!$B:$B,MATCH(P4150,Fit_Matrix!$A:$A,0))),"CHECK KEY"))</f>
        <v/>
      </c>
    </row>
    <row r="4151" customFormat="false" ht="15" hidden="false" customHeight="true" outlineLevel="0" collapsed="false">
      <c r="P4151" s="1" t="str">
        <f aca="false">IF(OR(F4151="",H4151="",J4151=""),"",J4151&amp;"|"&amp;F4151&amp;"|"&amp;IF(H4151="W3","W3_"&amp;IF(I4151="","unknown",I4151),H4151))</f>
        <v/>
      </c>
      <c r="Q4151" s="1" t="str">
        <f aca="false">IF(P4151="","",IFERROR(IF(AND(H4151="W7",OR(F4151="causal",F4151="predictive")),IF(AND(K4151=1,L4151=1,M4151=1),"adequate","partial"),INDEX(Fit_Matrix!$B:$B,MATCH(P4151,Fit_Matrix!$A:$A,0))),"CHECK KEY"))</f>
        <v/>
      </c>
    </row>
    <row r="4152" customFormat="false" ht="15" hidden="false" customHeight="true" outlineLevel="0" collapsed="false">
      <c r="P4152" s="1" t="str">
        <f aca="false">IF(OR(F4152="",H4152="",J4152=""),"",J4152&amp;"|"&amp;F4152&amp;"|"&amp;IF(H4152="W3","W3_"&amp;IF(I4152="","unknown",I4152),H4152))</f>
        <v/>
      </c>
      <c r="Q4152" s="1" t="str">
        <f aca="false">IF(P4152="","",IFERROR(IF(AND(H4152="W7",OR(F4152="causal",F4152="predictive")),IF(AND(K4152=1,L4152=1,M4152=1),"adequate","partial"),INDEX(Fit_Matrix!$B:$B,MATCH(P4152,Fit_Matrix!$A:$A,0))),"CHECK KEY"))</f>
        <v/>
      </c>
    </row>
    <row r="4153" customFormat="false" ht="15" hidden="false" customHeight="true" outlineLevel="0" collapsed="false">
      <c r="P4153" s="1" t="str">
        <f aca="false">IF(OR(F4153="",H4153="",J4153=""),"",J4153&amp;"|"&amp;F4153&amp;"|"&amp;IF(H4153="W3","W3_"&amp;IF(I4153="","unknown",I4153),H4153))</f>
        <v/>
      </c>
      <c r="Q4153" s="1" t="str">
        <f aca="false">IF(P4153="","",IFERROR(IF(AND(H4153="W7",OR(F4153="causal",F4153="predictive")),IF(AND(K4153=1,L4153=1,M4153=1),"adequate","partial"),INDEX(Fit_Matrix!$B:$B,MATCH(P4153,Fit_Matrix!$A:$A,0))),"CHECK KEY"))</f>
        <v/>
      </c>
    </row>
    <row r="4154" customFormat="false" ht="15" hidden="false" customHeight="true" outlineLevel="0" collapsed="false">
      <c r="P4154" s="1" t="str">
        <f aca="false">IF(OR(F4154="",H4154="",J4154=""),"",J4154&amp;"|"&amp;F4154&amp;"|"&amp;IF(H4154="W3","W3_"&amp;IF(I4154="","unknown",I4154),H4154))</f>
        <v/>
      </c>
      <c r="Q4154" s="1" t="str">
        <f aca="false">IF(P4154="","",IFERROR(IF(AND(H4154="W7",OR(F4154="causal",F4154="predictive")),IF(AND(K4154=1,L4154=1,M4154=1),"adequate","partial"),INDEX(Fit_Matrix!$B:$B,MATCH(P4154,Fit_Matrix!$A:$A,0))),"CHECK KEY"))</f>
        <v/>
      </c>
    </row>
    <row r="4155" customFormat="false" ht="15" hidden="false" customHeight="true" outlineLevel="0" collapsed="false">
      <c r="P4155" s="1" t="str">
        <f aca="false">IF(OR(F4155="",H4155="",J4155=""),"",J4155&amp;"|"&amp;F4155&amp;"|"&amp;IF(H4155="W3","W3_"&amp;IF(I4155="","unknown",I4155),H4155))</f>
        <v/>
      </c>
      <c r="Q4155" s="1" t="str">
        <f aca="false">IF(P4155="","",IFERROR(IF(AND(H4155="W7",OR(F4155="causal",F4155="predictive")),IF(AND(K4155=1,L4155=1,M4155=1),"adequate","partial"),INDEX(Fit_Matrix!$B:$B,MATCH(P4155,Fit_Matrix!$A:$A,0))),"CHECK KEY"))</f>
        <v/>
      </c>
    </row>
    <row r="4156" customFormat="false" ht="15" hidden="false" customHeight="true" outlineLevel="0" collapsed="false">
      <c r="P4156" s="1" t="str">
        <f aca="false">IF(OR(F4156="",H4156="",J4156=""),"",J4156&amp;"|"&amp;F4156&amp;"|"&amp;IF(H4156="W3","W3_"&amp;IF(I4156="","unknown",I4156),H4156))</f>
        <v/>
      </c>
      <c r="Q4156" s="1" t="str">
        <f aca="false">IF(P4156="","",IFERROR(IF(AND(H4156="W7",OR(F4156="causal",F4156="predictive")),IF(AND(K4156=1,L4156=1,M4156=1),"adequate","partial"),INDEX(Fit_Matrix!$B:$B,MATCH(P4156,Fit_Matrix!$A:$A,0))),"CHECK KEY"))</f>
        <v/>
      </c>
    </row>
    <row r="4157" customFormat="false" ht="15" hidden="false" customHeight="true" outlineLevel="0" collapsed="false">
      <c r="P4157" s="1" t="str">
        <f aca="false">IF(OR(F4157="",H4157="",J4157=""),"",J4157&amp;"|"&amp;F4157&amp;"|"&amp;IF(H4157="W3","W3_"&amp;IF(I4157="","unknown",I4157),H4157))</f>
        <v/>
      </c>
      <c r="Q4157" s="1" t="str">
        <f aca="false">IF(P4157="","",IFERROR(IF(AND(H4157="W7",OR(F4157="causal",F4157="predictive")),IF(AND(K4157=1,L4157=1,M4157=1),"adequate","partial"),INDEX(Fit_Matrix!$B:$B,MATCH(P4157,Fit_Matrix!$A:$A,0))),"CHECK KEY"))</f>
        <v/>
      </c>
    </row>
    <row r="4158" customFormat="false" ht="15" hidden="false" customHeight="true" outlineLevel="0" collapsed="false">
      <c r="P4158" s="1" t="str">
        <f aca="false">IF(OR(F4158="",H4158="",J4158=""),"",J4158&amp;"|"&amp;F4158&amp;"|"&amp;IF(H4158="W3","W3_"&amp;IF(I4158="","unknown",I4158),H4158))</f>
        <v/>
      </c>
      <c r="Q4158" s="1" t="str">
        <f aca="false">IF(P4158="","",IFERROR(IF(AND(H4158="W7",OR(F4158="causal",F4158="predictive")),IF(AND(K4158=1,L4158=1,M4158=1),"adequate","partial"),INDEX(Fit_Matrix!$B:$B,MATCH(P4158,Fit_Matrix!$A:$A,0))),"CHECK KEY"))</f>
        <v/>
      </c>
    </row>
    <row r="4159" customFormat="false" ht="15" hidden="false" customHeight="true" outlineLevel="0" collapsed="false">
      <c r="P4159" s="1" t="str">
        <f aca="false">IF(OR(F4159="",H4159="",J4159=""),"",J4159&amp;"|"&amp;F4159&amp;"|"&amp;IF(H4159="W3","W3_"&amp;IF(I4159="","unknown",I4159),H4159))</f>
        <v/>
      </c>
      <c r="Q4159" s="1" t="str">
        <f aca="false">IF(P4159="","",IFERROR(IF(AND(H4159="W7",OR(F4159="causal",F4159="predictive")),IF(AND(K4159=1,L4159=1,M4159=1),"adequate","partial"),INDEX(Fit_Matrix!$B:$B,MATCH(P4159,Fit_Matrix!$A:$A,0))),"CHECK KEY"))</f>
        <v/>
      </c>
    </row>
    <row r="4160" customFormat="false" ht="15" hidden="false" customHeight="true" outlineLevel="0" collapsed="false">
      <c r="P4160" s="1" t="str">
        <f aca="false">IF(OR(F4160="",H4160="",J4160=""),"",J4160&amp;"|"&amp;F4160&amp;"|"&amp;IF(H4160="W3","W3_"&amp;IF(I4160="","unknown",I4160),H4160))</f>
        <v/>
      </c>
      <c r="Q4160" s="1" t="str">
        <f aca="false">IF(P4160="","",IFERROR(IF(AND(H4160="W7",OR(F4160="causal",F4160="predictive")),IF(AND(K4160=1,L4160=1,M4160=1),"adequate","partial"),INDEX(Fit_Matrix!$B:$B,MATCH(P4160,Fit_Matrix!$A:$A,0))),"CHECK KEY"))</f>
        <v/>
      </c>
    </row>
    <row r="4161" customFormat="false" ht="15" hidden="false" customHeight="true" outlineLevel="0" collapsed="false">
      <c r="P4161" s="1" t="str">
        <f aca="false">IF(OR(F4161="",H4161="",J4161=""),"",J4161&amp;"|"&amp;F4161&amp;"|"&amp;IF(H4161="W3","W3_"&amp;IF(I4161="","unknown",I4161),H4161))</f>
        <v/>
      </c>
      <c r="Q4161" s="1" t="str">
        <f aca="false">IF(P4161="","",IFERROR(IF(AND(H4161="W7",OR(F4161="causal",F4161="predictive")),IF(AND(K4161=1,L4161=1,M4161=1),"adequate","partial"),INDEX(Fit_Matrix!$B:$B,MATCH(P4161,Fit_Matrix!$A:$A,0))),"CHECK KEY"))</f>
        <v/>
      </c>
    </row>
    <row r="4162" customFormat="false" ht="15" hidden="false" customHeight="true" outlineLevel="0" collapsed="false">
      <c r="P4162" s="1" t="str">
        <f aca="false">IF(OR(F4162="",H4162="",J4162=""),"",J4162&amp;"|"&amp;F4162&amp;"|"&amp;IF(H4162="W3","W3_"&amp;IF(I4162="","unknown",I4162),H4162))</f>
        <v/>
      </c>
      <c r="Q4162" s="1" t="str">
        <f aca="false">IF(P4162="","",IFERROR(IF(AND(H4162="W7",OR(F4162="causal",F4162="predictive")),IF(AND(K4162=1,L4162=1,M4162=1),"adequate","partial"),INDEX(Fit_Matrix!$B:$B,MATCH(P4162,Fit_Matrix!$A:$A,0))),"CHECK KEY"))</f>
        <v/>
      </c>
    </row>
    <row r="4163" customFormat="false" ht="15" hidden="false" customHeight="true" outlineLevel="0" collapsed="false">
      <c r="P4163" s="1" t="str">
        <f aca="false">IF(OR(F4163="",H4163="",J4163=""),"",J4163&amp;"|"&amp;F4163&amp;"|"&amp;IF(H4163="W3","W3_"&amp;IF(I4163="","unknown",I4163),H4163))</f>
        <v/>
      </c>
      <c r="Q4163" s="1" t="str">
        <f aca="false">IF(P4163="","",IFERROR(IF(AND(H4163="W7",OR(F4163="causal",F4163="predictive")),IF(AND(K4163=1,L4163=1,M4163=1),"adequate","partial"),INDEX(Fit_Matrix!$B:$B,MATCH(P4163,Fit_Matrix!$A:$A,0))),"CHECK KEY"))</f>
        <v/>
      </c>
    </row>
    <row r="4164" customFormat="false" ht="15" hidden="false" customHeight="true" outlineLevel="0" collapsed="false">
      <c r="P4164" s="1" t="str">
        <f aca="false">IF(OR(F4164="",H4164="",J4164=""),"",J4164&amp;"|"&amp;F4164&amp;"|"&amp;IF(H4164="W3","W3_"&amp;IF(I4164="","unknown",I4164),H4164))</f>
        <v/>
      </c>
      <c r="Q4164" s="1" t="str">
        <f aca="false">IF(P4164="","",IFERROR(IF(AND(H4164="W7",OR(F4164="causal",F4164="predictive")),IF(AND(K4164=1,L4164=1,M4164=1),"adequate","partial"),INDEX(Fit_Matrix!$B:$B,MATCH(P4164,Fit_Matrix!$A:$A,0))),"CHECK KEY"))</f>
        <v/>
      </c>
    </row>
    <row r="4165" customFormat="false" ht="15" hidden="false" customHeight="true" outlineLevel="0" collapsed="false">
      <c r="P4165" s="1" t="str">
        <f aca="false">IF(OR(F4165="",H4165="",J4165=""),"",J4165&amp;"|"&amp;F4165&amp;"|"&amp;IF(H4165="W3","W3_"&amp;IF(I4165="","unknown",I4165),H4165))</f>
        <v/>
      </c>
      <c r="Q4165" s="1" t="str">
        <f aca="false">IF(P4165="","",IFERROR(IF(AND(H4165="W7",OR(F4165="causal",F4165="predictive")),IF(AND(K4165=1,L4165=1,M4165=1),"adequate","partial"),INDEX(Fit_Matrix!$B:$B,MATCH(P4165,Fit_Matrix!$A:$A,0))),"CHECK KEY"))</f>
        <v/>
      </c>
    </row>
    <row r="4166" customFormat="false" ht="15" hidden="false" customHeight="true" outlineLevel="0" collapsed="false">
      <c r="P4166" s="1" t="str">
        <f aca="false">IF(OR(F4166="",H4166="",J4166=""),"",J4166&amp;"|"&amp;F4166&amp;"|"&amp;IF(H4166="W3","W3_"&amp;IF(I4166="","unknown",I4166),H4166))</f>
        <v/>
      </c>
      <c r="Q4166" s="1" t="str">
        <f aca="false">IF(P4166="","",IFERROR(IF(AND(H4166="W7",OR(F4166="causal",F4166="predictive")),IF(AND(K4166=1,L4166=1,M4166=1),"adequate","partial"),INDEX(Fit_Matrix!$B:$B,MATCH(P4166,Fit_Matrix!$A:$A,0))),"CHECK KEY"))</f>
        <v/>
      </c>
    </row>
    <row r="4167" customFormat="false" ht="15" hidden="false" customHeight="true" outlineLevel="0" collapsed="false">
      <c r="P4167" s="1" t="str">
        <f aca="false">IF(OR(F4167="",H4167="",J4167=""),"",J4167&amp;"|"&amp;F4167&amp;"|"&amp;IF(H4167="W3","W3_"&amp;IF(I4167="","unknown",I4167),H4167))</f>
        <v/>
      </c>
      <c r="Q4167" s="1" t="str">
        <f aca="false">IF(P4167="","",IFERROR(IF(AND(H4167="W7",OR(F4167="causal",F4167="predictive")),IF(AND(K4167=1,L4167=1,M4167=1),"adequate","partial"),INDEX(Fit_Matrix!$B:$B,MATCH(P4167,Fit_Matrix!$A:$A,0))),"CHECK KEY"))</f>
        <v/>
      </c>
    </row>
    <row r="4168" customFormat="false" ht="15" hidden="false" customHeight="true" outlineLevel="0" collapsed="false">
      <c r="P4168" s="1" t="str">
        <f aca="false">IF(OR(F4168="",H4168="",J4168=""),"",J4168&amp;"|"&amp;F4168&amp;"|"&amp;IF(H4168="W3","W3_"&amp;IF(I4168="","unknown",I4168),H4168))</f>
        <v/>
      </c>
      <c r="Q4168" s="1" t="str">
        <f aca="false">IF(P4168="","",IFERROR(IF(AND(H4168="W7",OR(F4168="causal",F4168="predictive")),IF(AND(K4168=1,L4168=1,M4168=1),"adequate","partial"),INDEX(Fit_Matrix!$B:$B,MATCH(P4168,Fit_Matrix!$A:$A,0))),"CHECK KEY"))</f>
        <v/>
      </c>
    </row>
    <row r="4169" customFormat="false" ht="15" hidden="false" customHeight="true" outlineLevel="0" collapsed="false">
      <c r="P4169" s="1" t="str">
        <f aca="false">IF(OR(F4169="",H4169="",J4169=""),"",J4169&amp;"|"&amp;F4169&amp;"|"&amp;IF(H4169="W3","W3_"&amp;IF(I4169="","unknown",I4169),H4169))</f>
        <v/>
      </c>
      <c r="Q4169" s="1" t="str">
        <f aca="false">IF(P4169="","",IFERROR(IF(AND(H4169="W7",OR(F4169="causal",F4169="predictive")),IF(AND(K4169=1,L4169=1,M4169=1),"adequate","partial"),INDEX(Fit_Matrix!$B:$B,MATCH(P4169,Fit_Matrix!$A:$A,0))),"CHECK KEY"))</f>
        <v/>
      </c>
    </row>
    <row r="4170" customFormat="false" ht="15" hidden="false" customHeight="true" outlineLevel="0" collapsed="false">
      <c r="P4170" s="1" t="str">
        <f aca="false">IF(OR(F4170="",H4170="",J4170=""),"",J4170&amp;"|"&amp;F4170&amp;"|"&amp;IF(H4170="W3","W3_"&amp;IF(I4170="","unknown",I4170),H4170))</f>
        <v/>
      </c>
      <c r="Q4170" s="1" t="str">
        <f aca="false">IF(P4170="","",IFERROR(IF(AND(H4170="W7",OR(F4170="causal",F4170="predictive")),IF(AND(K4170=1,L4170=1,M4170=1),"adequate","partial"),INDEX(Fit_Matrix!$B:$B,MATCH(P4170,Fit_Matrix!$A:$A,0))),"CHECK KEY"))</f>
        <v/>
      </c>
    </row>
    <row r="4171" customFormat="false" ht="15" hidden="false" customHeight="true" outlineLevel="0" collapsed="false">
      <c r="P4171" s="1" t="str">
        <f aca="false">IF(OR(F4171="",H4171="",J4171=""),"",J4171&amp;"|"&amp;F4171&amp;"|"&amp;IF(H4171="W3","W3_"&amp;IF(I4171="","unknown",I4171),H4171))</f>
        <v/>
      </c>
      <c r="Q4171" s="1" t="str">
        <f aca="false">IF(P4171="","",IFERROR(IF(AND(H4171="W7",OR(F4171="causal",F4171="predictive")),IF(AND(K4171=1,L4171=1,M4171=1),"adequate","partial"),INDEX(Fit_Matrix!$B:$B,MATCH(P4171,Fit_Matrix!$A:$A,0))),"CHECK KEY"))</f>
        <v/>
      </c>
    </row>
    <row r="4172" customFormat="false" ht="15" hidden="false" customHeight="true" outlineLevel="0" collapsed="false">
      <c r="P4172" s="1" t="str">
        <f aca="false">IF(OR(F4172="",H4172="",J4172=""),"",J4172&amp;"|"&amp;F4172&amp;"|"&amp;IF(H4172="W3","W3_"&amp;IF(I4172="","unknown",I4172),H4172))</f>
        <v/>
      </c>
      <c r="Q4172" s="1" t="str">
        <f aca="false">IF(P4172="","",IFERROR(IF(AND(H4172="W7",OR(F4172="causal",F4172="predictive")),IF(AND(K4172=1,L4172=1,M4172=1),"adequate","partial"),INDEX(Fit_Matrix!$B:$B,MATCH(P4172,Fit_Matrix!$A:$A,0))),"CHECK KEY"))</f>
        <v/>
      </c>
    </row>
    <row r="4173" customFormat="false" ht="15" hidden="false" customHeight="true" outlineLevel="0" collapsed="false">
      <c r="P4173" s="1" t="str">
        <f aca="false">IF(OR(F4173="",H4173="",J4173=""),"",J4173&amp;"|"&amp;F4173&amp;"|"&amp;IF(H4173="W3","W3_"&amp;IF(I4173="","unknown",I4173),H4173))</f>
        <v/>
      </c>
      <c r="Q4173" s="1" t="str">
        <f aca="false">IF(P4173="","",IFERROR(IF(AND(H4173="W7",OR(F4173="causal",F4173="predictive")),IF(AND(K4173=1,L4173=1,M4173=1),"adequate","partial"),INDEX(Fit_Matrix!$B:$B,MATCH(P4173,Fit_Matrix!$A:$A,0))),"CHECK KEY"))</f>
        <v/>
      </c>
    </row>
    <row r="4174" customFormat="false" ht="15" hidden="false" customHeight="true" outlineLevel="0" collapsed="false">
      <c r="P4174" s="1" t="str">
        <f aca="false">IF(OR(F4174="",H4174="",J4174=""),"",J4174&amp;"|"&amp;F4174&amp;"|"&amp;IF(H4174="W3","W3_"&amp;IF(I4174="","unknown",I4174),H4174))</f>
        <v/>
      </c>
      <c r="Q4174" s="1" t="str">
        <f aca="false">IF(P4174="","",IFERROR(IF(AND(H4174="W7",OR(F4174="causal",F4174="predictive")),IF(AND(K4174=1,L4174=1,M4174=1),"adequate","partial"),INDEX(Fit_Matrix!$B:$B,MATCH(P4174,Fit_Matrix!$A:$A,0))),"CHECK KEY"))</f>
        <v/>
      </c>
    </row>
    <row r="4175" customFormat="false" ht="15" hidden="false" customHeight="true" outlineLevel="0" collapsed="false">
      <c r="P4175" s="1" t="str">
        <f aca="false">IF(OR(F4175="",H4175="",J4175=""),"",J4175&amp;"|"&amp;F4175&amp;"|"&amp;IF(H4175="W3","W3_"&amp;IF(I4175="","unknown",I4175),H4175))</f>
        <v/>
      </c>
      <c r="Q4175" s="1" t="str">
        <f aca="false">IF(P4175="","",IFERROR(IF(AND(H4175="W7",OR(F4175="causal",F4175="predictive")),IF(AND(K4175=1,L4175=1,M4175=1),"adequate","partial"),INDEX(Fit_Matrix!$B:$B,MATCH(P4175,Fit_Matrix!$A:$A,0))),"CHECK KEY"))</f>
        <v/>
      </c>
    </row>
    <row r="4176" customFormat="false" ht="15" hidden="false" customHeight="true" outlineLevel="0" collapsed="false">
      <c r="P4176" s="1" t="str">
        <f aca="false">IF(OR(F4176="",H4176="",J4176=""),"",J4176&amp;"|"&amp;F4176&amp;"|"&amp;IF(H4176="W3","W3_"&amp;IF(I4176="","unknown",I4176),H4176))</f>
        <v/>
      </c>
      <c r="Q4176" s="1" t="str">
        <f aca="false">IF(P4176="","",IFERROR(IF(AND(H4176="W7",OR(F4176="causal",F4176="predictive")),IF(AND(K4176=1,L4176=1,M4176=1),"adequate","partial"),INDEX(Fit_Matrix!$B:$B,MATCH(P4176,Fit_Matrix!$A:$A,0))),"CHECK KEY"))</f>
        <v/>
      </c>
    </row>
    <row r="4177" customFormat="false" ht="15" hidden="false" customHeight="true" outlineLevel="0" collapsed="false">
      <c r="P4177" s="1" t="str">
        <f aca="false">IF(OR(F4177="",H4177="",J4177=""),"",J4177&amp;"|"&amp;F4177&amp;"|"&amp;IF(H4177="W3","W3_"&amp;IF(I4177="","unknown",I4177),H4177))</f>
        <v/>
      </c>
      <c r="Q4177" s="1" t="str">
        <f aca="false">IF(P4177="","",IFERROR(IF(AND(H4177="W7",OR(F4177="causal",F4177="predictive")),IF(AND(K4177=1,L4177=1,M4177=1),"adequate","partial"),INDEX(Fit_Matrix!$B:$B,MATCH(P4177,Fit_Matrix!$A:$A,0))),"CHECK KEY"))</f>
        <v/>
      </c>
    </row>
    <row r="4178" customFormat="false" ht="15" hidden="false" customHeight="true" outlineLevel="0" collapsed="false">
      <c r="P4178" s="1" t="str">
        <f aca="false">IF(OR(F4178="",H4178="",J4178=""),"",J4178&amp;"|"&amp;F4178&amp;"|"&amp;IF(H4178="W3","W3_"&amp;IF(I4178="","unknown",I4178),H4178))</f>
        <v/>
      </c>
      <c r="Q4178" s="1" t="str">
        <f aca="false">IF(P4178="","",IFERROR(IF(AND(H4178="W7",OR(F4178="causal",F4178="predictive")),IF(AND(K4178=1,L4178=1,M4178=1),"adequate","partial"),INDEX(Fit_Matrix!$B:$B,MATCH(P4178,Fit_Matrix!$A:$A,0))),"CHECK KEY"))</f>
        <v/>
      </c>
    </row>
    <row r="4179" customFormat="false" ht="15" hidden="false" customHeight="true" outlineLevel="0" collapsed="false">
      <c r="P4179" s="1" t="str">
        <f aca="false">IF(OR(F4179="",H4179="",J4179=""),"",J4179&amp;"|"&amp;F4179&amp;"|"&amp;IF(H4179="W3","W3_"&amp;IF(I4179="","unknown",I4179),H4179))</f>
        <v/>
      </c>
      <c r="Q4179" s="1" t="str">
        <f aca="false">IF(P4179="","",IFERROR(IF(AND(H4179="W7",OR(F4179="causal",F4179="predictive")),IF(AND(K4179=1,L4179=1,M4179=1),"adequate","partial"),INDEX(Fit_Matrix!$B:$B,MATCH(P4179,Fit_Matrix!$A:$A,0))),"CHECK KEY"))</f>
        <v/>
      </c>
    </row>
    <row r="4180" customFormat="false" ht="15" hidden="false" customHeight="true" outlineLevel="0" collapsed="false">
      <c r="P4180" s="1" t="str">
        <f aca="false">IF(OR(F4180="",H4180="",J4180=""),"",J4180&amp;"|"&amp;F4180&amp;"|"&amp;IF(H4180="W3","W3_"&amp;IF(I4180="","unknown",I4180),H4180))</f>
        <v/>
      </c>
      <c r="Q4180" s="1" t="str">
        <f aca="false">IF(P4180="","",IFERROR(IF(AND(H4180="W7",OR(F4180="causal",F4180="predictive")),IF(AND(K4180=1,L4180=1,M4180=1),"adequate","partial"),INDEX(Fit_Matrix!$B:$B,MATCH(P4180,Fit_Matrix!$A:$A,0))),"CHECK KEY"))</f>
        <v/>
      </c>
    </row>
    <row r="4181" customFormat="false" ht="15" hidden="false" customHeight="true" outlineLevel="0" collapsed="false">
      <c r="P4181" s="1" t="str">
        <f aca="false">IF(OR(F4181="",H4181="",J4181=""),"",J4181&amp;"|"&amp;F4181&amp;"|"&amp;IF(H4181="W3","W3_"&amp;IF(I4181="","unknown",I4181),H4181))</f>
        <v/>
      </c>
      <c r="Q4181" s="1" t="str">
        <f aca="false">IF(P4181="","",IFERROR(IF(AND(H4181="W7",OR(F4181="causal",F4181="predictive")),IF(AND(K4181=1,L4181=1,M4181=1),"adequate","partial"),INDEX(Fit_Matrix!$B:$B,MATCH(P4181,Fit_Matrix!$A:$A,0))),"CHECK KEY"))</f>
        <v/>
      </c>
    </row>
    <row r="4182" customFormat="false" ht="15" hidden="false" customHeight="true" outlineLevel="0" collapsed="false">
      <c r="P4182" s="1" t="str">
        <f aca="false">IF(OR(F4182="",H4182="",J4182=""),"",J4182&amp;"|"&amp;F4182&amp;"|"&amp;IF(H4182="W3","W3_"&amp;IF(I4182="","unknown",I4182),H4182))</f>
        <v/>
      </c>
      <c r="Q4182" s="1" t="str">
        <f aca="false">IF(P4182="","",IFERROR(IF(AND(H4182="W7",OR(F4182="causal",F4182="predictive")),IF(AND(K4182=1,L4182=1,M4182=1),"adequate","partial"),INDEX(Fit_Matrix!$B:$B,MATCH(P4182,Fit_Matrix!$A:$A,0))),"CHECK KEY"))</f>
        <v/>
      </c>
    </row>
    <row r="4183" customFormat="false" ht="15" hidden="false" customHeight="true" outlineLevel="0" collapsed="false">
      <c r="P4183" s="1" t="str">
        <f aca="false">IF(OR(F4183="",H4183="",J4183=""),"",J4183&amp;"|"&amp;F4183&amp;"|"&amp;IF(H4183="W3","W3_"&amp;IF(I4183="","unknown",I4183),H4183))</f>
        <v/>
      </c>
      <c r="Q4183" s="1" t="str">
        <f aca="false">IF(P4183="","",IFERROR(IF(AND(H4183="W7",OR(F4183="causal",F4183="predictive")),IF(AND(K4183=1,L4183=1,M4183=1),"adequate","partial"),INDEX(Fit_Matrix!$B:$B,MATCH(P4183,Fit_Matrix!$A:$A,0))),"CHECK KEY"))</f>
        <v/>
      </c>
    </row>
    <row r="4184" customFormat="false" ht="15" hidden="false" customHeight="true" outlineLevel="0" collapsed="false">
      <c r="P4184" s="1" t="str">
        <f aca="false">IF(OR(F4184="",H4184="",J4184=""),"",J4184&amp;"|"&amp;F4184&amp;"|"&amp;IF(H4184="W3","W3_"&amp;IF(I4184="","unknown",I4184),H4184))</f>
        <v/>
      </c>
      <c r="Q4184" s="1" t="str">
        <f aca="false">IF(P4184="","",IFERROR(IF(AND(H4184="W7",OR(F4184="causal",F4184="predictive")),IF(AND(K4184=1,L4184=1,M4184=1),"adequate","partial"),INDEX(Fit_Matrix!$B:$B,MATCH(P4184,Fit_Matrix!$A:$A,0))),"CHECK KEY"))</f>
        <v/>
      </c>
    </row>
    <row r="4185" customFormat="false" ht="15" hidden="false" customHeight="true" outlineLevel="0" collapsed="false">
      <c r="P4185" s="1" t="str">
        <f aca="false">IF(OR(F4185="",H4185="",J4185=""),"",J4185&amp;"|"&amp;F4185&amp;"|"&amp;IF(H4185="W3","W3_"&amp;IF(I4185="","unknown",I4185),H4185))</f>
        <v/>
      </c>
      <c r="Q4185" s="1" t="str">
        <f aca="false">IF(P4185="","",IFERROR(IF(AND(H4185="W7",OR(F4185="causal",F4185="predictive")),IF(AND(K4185=1,L4185=1,M4185=1),"adequate","partial"),INDEX(Fit_Matrix!$B:$B,MATCH(P4185,Fit_Matrix!$A:$A,0))),"CHECK KEY"))</f>
        <v/>
      </c>
    </row>
    <row r="4186" customFormat="false" ht="15" hidden="false" customHeight="true" outlineLevel="0" collapsed="false">
      <c r="P4186" s="1" t="str">
        <f aca="false">IF(OR(F4186="",H4186="",J4186=""),"",J4186&amp;"|"&amp;F4186&amp;"|"&amp;IF(H4186="W3","W3_"&amp;IF(I4186="","unknown",I4186),H4186))</f>
        <v/>
      </c>
      <c r="Q4186" s="1" t="str">
        <f aca="false">IF(P4186="","",IFERROR(IF(AND(H4186="W7",OR(F4186="causal",F4186="predictive")),IF(AND(K4186=1,L4186=1,M4186=1),"adequate","partial"),INDEX(Fit_Matrix!$B:$B,MATCH(P4186,Fit_Matrix!$A:$A,0))),"CHECK KEY"))</f>
        <v/>
      </c>
    </row>
    <row r="4187" customFormat="false" ht="15" hidden="false" customHeight="true" outlineLevel="0" collapsed="false">
      <c r="P4187" s="1" t="str">
        <f aca="false">IF(OR(F4187="",H4187="",J4187=""),"",J4187&amp;"|"&amp;F4187&amp;"|"&amp;IF(H4187="W3","W3_"&amp;IF(I4187="","unknown",I4187),H4187))</f>
        <v/>
      </c>
      <c r="Q4187" s="1" t="str">
        <f aca="false">IF(P4187="","",IFERROR(IF(AND(H4187="W7",OR(F4187="causal",F4187="predictive")),IF(AND(K4187=1,L4187=1,M4187=1),"adequate","partial"),INDEX(Fit_Matrix!$B:$B,MATCH(P4187,Fit_Matrix!$A:$A,0))),"CHECK KEY"))</f>
        <v/>
      </c>
    </row>
    <row r="4188" customFormat="false" ht="15" hidden="false" customHeight="true" outlineLevel="0" collapsed="false">
      <c r="P4188" s="1" t="str">
        <f aca="false">IF(OR(F4188="",H4188="",J4188=""),"",J4188&amp;"|"&amp;F4188&amp;"|"&amp;IF(H4188="W3","W3_"&amp;IF(I4188="","unknown",I4188),H4188))</f>
        <v/>
      </c>
      <c r="Q4188" s="1" t="str">
        <f aca="false">IF(P4188="","",IFERROR(IF(AND(H4188="W7",OR(F4188="causal",F4188="predictive")),IF(AND(K4188=1,L4188=1,M4188=1),"adequate","partial"),INDEX(Fit_Matrix!$B:$B,MATCH(P4188,Fit_Matrix!$A:$A,0))),"CHECK KEY"))</f>
        <v/>
      </c>
    </row>
    <row r="4189" customFormat="false" ht="15" hidden="false" customHeight="true" outlineLevel="0" collapsed="false">
      <c r="P4189" s="1" t="str">
        <f aca="false">IF(OR(F4189="",H4189="",J4189=""),"",J4189&amp;"|"&amp;F4189&amp;"|"&amp;IF(H4189="W3","W3_"&amp;IF(I4189="","unknown",I4189),H4189))</f>
        <v/>
      </c>
      <c r="Q4189" s="1" t="str">
        <f aca="false">IF(P4189="","",IFERROR(IF(AND(H4189="W7",OR(F4189="causal",F4189="predictive")),IF(AND(K4189=1,L4189=1,M4189=1),"adequate","partial"),INDEX(Fit_Matrix!$B:$B,MATCH(P4189,Fit_Matrix!$A:$A,0))),"CHECK KEY"))</f>
        <v/>
      </c>
    </row>
    <row r="4190" customFormat="false" ht="15" hidden="false" customHeight="true" outlineLevel="0" collapsed="false">
      <c r="P4190" s="1" t="str">
        <f aca="false">IF(OR(F4190="",H4190="",J4190=""),"",J4190&amp;"|"&amp;F4190&amp;"|"&amp;IF(H4190="W3","W3_"&amp;IF(I4190="","unknown",I4190),H4190))</f>
        <v/>
      </c>
      <c r="Q4190" s="1" t="str">
        <f aca="false">IF(P4190="","",IFERROR(IF(AND(H4190="W7",OR(F4190="causal",F4190="predictive")),IF(AND(K4190=1,L4190=1,M4190=1),"adequate","partial"),INDEX(Fit_Matrix!$B:$B,MATCH(P4190,Fit_Matrix!$A:$A,0))),"CHECK KEY"))</f>
        <v/>
      </c>
    </row>
    <row r="4191" customFormat="false" ht="15" hidden="false" customHeight="true" outlineLevel="0" collapsed="false">
      <c r="P4191" s="1" t="str">
        <f aca="false">IF(OR(F4191="",H4191="",J4191=""),"",J4191&amp;"|"&amp;F4191&amp;"|"&amp;IF(H4191="W3","W3_"&amp;IF(I4191="","unknown",I4191),H4191))</f>
        <v/>
      </c>
      <c r="Q4191" s="1" t="str">
        <f aca="false">IF(P4191="","",IFERROR(IF(AND(H4191="W7",OR(F4191="causal",F4191="predictive")),IF(AND(K4191=1,L4191=1,M4191=1),"adequate","partial"),INDEX(Fit_Matrix!$B:$B,MATCH(P4191,Fit_Matrix!$A:$A,0))),"CHECK KEY"))</f>
        <v/>
      </c>
    </row>
    <row r="4192" customFormat="false" ht="15" hidden="false" customHeight="true" outlineLevel="0" collapsed="false">
      <c r="P4192" s="1" t="str">
        <f aca="false">IF(OR(F4192="",H4192="",J4192=""),"",J4192&amp;"|"&amp;F4192&amp;"|"&amp;IF(H4192="W3","W3_"&amp;IF(I4192="","unknown",I4192),H4192))</f>
        <v/>
      </c>
      <c r="Q4192" s="1" t="str">
        <f aca="false">IF(P4192="","",IFERROR(IF(AND(H4192="W7",OR(F4192="causal",F4192="predictive")),IF(AND(K4192=1,L4192=1,M4192=1),"adequate","partial"),INDEX(Fit_Matrix!$B:$B,MATCH(P4192,Fit_Matrix!$A:$A,0))),"CHECK KEY"))</f>
        <v/>
      </c>
    </row>
    <row r="4193" customFormat="false" ht="15" hidden="false" customHeight="true" outlineLevel="0" collapsed="false">
      <c r="P4193" s="1" t="str">
        <f aca="false">IF(OR(F4193="",H4193="",J4193=""),"",J4193&amp;"|"&amp;F4193&amp;"|"&amp;IF(H4193="W3","W3_"&amp;IF(I4193="","unknown",I4193),H4193))</f>
        <v/>
      </c>
      <c r="Q4193" s="1" t="str">
        <f aca="false">IF(P4193="","",IFERROR(IF(AND(H4193="W7",OR(F4193="causal",F4193="predictive")),IF(AND(K4193=1,L4193=1,M4193=1),"adequate","partial"),INDEX(Fit_Matrix!$B:$B,MATCH(P4193,Fit_Matrix!$A:$A,0))),"CHECK KEY"))</f>
        <v/>
      </c>
    </row>
    <row r="4194" customFormat="false" ht="15" hidden="false" customHeight="true" outlineLevel="0" collapsed="false">
      <c r="P4194" s="1" t="str">
        <f aca="false">IF(OR(F4194="",H4194="",J4194=""),"",J4194&amp;"|"&amp;F4194&amp;"|"&amp;IF(H4194="W3","W3_"&amp;IF(I4194="","unknown",I4194),H4194))</f>
        <v/>
      </c>
      <c r="Q4194" s="1" t="str">
        <f aca="false">IF(P4194="","",IFERROR(IF(AND(H4194="W7",OR(F4194="causal",F4194="predictive")),IF(AND(K4194=1,L4194=1,M4194=1),"adequate","partial"),INDEX(Fit_Matrix!$B:$B,MATCH(P4194,Fit_Matrix!$A:$A,0))),"CHECK KEY"))</f>
        <v/>
      </c>
    </row>
    <row r="4195" customFormat="false" ht="15" hidden="false" customHeight="true" outlineLevel="0" collapsed="false">
      <c r="P4195" s="1" t="str">
        <f aca="false">IF(OR(F4195="",H4195="",J4195=""),"",J4195&amp;"|"&amp;F4195&amp;"|"&amp;IF(H4195="W3","W3_"&amp;IF(I4195="","unknown",I4195),H4195))</f>
        <v/>
      </c>
      <c r="Q4195" s="1" t="str">
        <f aca="false">IF(P4195="","",IFERROR(IF(AND(H4195="W7",OR(F4195="causal",F4195="predictive")),IF(AND(K4195=1,L4195=1,M4195=1),"adequate","partial"),INDEX(Fit_Matrix!$B:$B,MATCH(P4195,Fit_Matrix!$A:$A,0))),"CHECK KEY"))</f>
        <v/>
      </c>
    </row>
    <row r="4196" customFormat="false" ht="15" hidden="false" customHeight="true" outlineLevel="0" collapsed="false">
      <c r="P4196" s="1" t="str">
        <f aca="false">IF(OR(F4196="",H4196="",J4196=""),"",J4196&amp;"|"&amp;F4196&amp;"|"&amp;IF(H4196="W3","W3_"&amp;IF(I4196="","unknown",I4196),H4196))</f>
        <v/>
      </c>
      <c r="Q4196" s="1" t="str">
        <f aca="false">IF(P4196="","",IFERROR(IF(AND(H4196="W7",OR(F4196="causal",F4196="predictive")),IF(AND(K4196=1,L4196=1,M4196=1),"adequate","partial"),INDEX(Fit_Matrix!$B:$B,MATCH(P4196,Fit_Matrix!$A:$A,0))),"CHECK KEY"))</f>
        <v/>
      </c>
    </row>
    <row r="4197" customFormat="false" ht="15" hidden="false" customHeight="true" outlineLevel="0" collapsed="false">
      <c r="P4197" s="1" t="str">
        <f aca="false">IF(OR(F4197="",H4197="",J4197=""),"",J4197&amp;"|"&amp;F4197&amp;"|"&amp;IF(H4197="W3","W3_"&amp;IF(I4197="","unknown",I4197),H4197))</f>
        <v/>
      </c>
      <c r="Q4197" s="1" t="str">
        <f aca="false">IF(P4197="","",IFERROR(IF(AND(H4197="W7",OR(F4197="causal",F4197="predictive")),IF(AND(K4197=1,L4197=1,M4197=1),"adequate","partial"),INDEX(Fit_Matrix!$B:$B,MATCH(P4197,Fit_Matrix!$A:$A,0))),"CHECK KEY"))</f>
        <v/>
      </c>
    </row>
    <row r="4198" customFormat="false" ht="15" hidden="false" customHeight="true" outlineLevel="0" collapsed="false">
      <c r="P4198" s="1" t="str">
        <f aca="false">IF(OR(F4198="",H4198="",J4198=""),"",J4198&amp;"|"&amp;F4198&amp;"|"&amp;IF(H4198="W3","W3_"&amp;IF(I4198="","unknown",I4198),H4198))</f>
        <v/>
      </c>
      <c r="Q4198" s="1" t="str">
        <f aca="false">IF(P4198="","",IFERROR(IF(AND(H4198="W7",OR(F4198="causal",F4198="predictive")),IF(AND(K4198=1,L4198=1,M4198=1),"adequate","partial"),INDEX(Fit_Matrix!$B:$B,MATCH(P4198,Fit_Matrix!$A:$A,0))),"CHECK KEY"))</f>
        <v/>
      </c>
    </row>
    <row r="4199" customFormat="false" ht="15" hidden="false" customHeight="true" outlineLevel="0" collapsed="false">
      <c r="P4199" s="1" t="str">
        <f aca="false">IF(OR(F4199="",H4199="",J4199=""),"",J4199&amp;"|"&amp;F4199&amp;"|"&amp;IF(H4199="W3","W3_"&amp;IF(I4199="","unknown",I4199),H4199))</f>
        <v/>
      </c>
      <c r="Q4199" s="1" t="str">
        <f aca="false">IF(P4199="","",IFERROR(IF(AND(H4199="W7",OR(F4199="causal",F4199="predictive")),IF(AND(K4199=1,L4199=1,M4199=1),"adequate","partial"),INDEX(Fit_Matrix!$B:$B,MATCH(P4199,Fit_Matrix!$A:$A,0))),"CHECK KEY"))</f>
        <v/>
      </c>
    </row>
    <row r="4200" customFormat="false" ht="15" hidden="false" customHeight="true" outlineLevel="0" collapsed="false">
      <c r="P4200" s="1" t="str">
        <f aca="false">IF(OR(F4200="",H4200="",J4200=""),"",J4200&amp;"|"&amp;F4200&amp;"|"&amp;IF(H4200="W3","W3_"&amp;IF(I4200="","unknown",I4200),H4200))</f>
        <v/>
      </c>
      <c r="Q4200" s="1" t="str">
        <f aca="false">IF(P4200="","",IFERROR(IF(AND(H4200="W7",OR(F4200="causal",F4200="predictive")),IF(AND(K4200=1,L4200=1,M4200=1),"adequate","partial"),INDEX(Fit_Matrix!$B:$B,MATCH(P4200,Fit_Matrix!$A:$A,0))),"CHECK KEY"))</f>
        <v/>
      </c>
    </row>
    <row r="4201" customFormat="false" ht="15" hidden="false" customHeight="true" outlineLevel="0" collapsed="false">
      <c r="P4201" s="1" t="str">
        <f aca="false">IF(OR(F4201="",H4201="",J4201=""),"",J4201&amp;"|"&amp;F4201&amp;"|"&amp;IF(H4201="W3","W3_"&amp;IF(I4201="","unknown",I4201),H4201))</f>
        <v/>
      </c>
      <c r="Q4201" s="1" t="str">
        <f aca="false">IF(P4201="","",IFERROR(IF(AND(H4201="W7",OR(F4201="causal",F4201="predictive")),IF(AND(K4201=1,L4201=1,M4201=1),"adequate","partial"),INDEX(Fit_Matrix!$B:$B,MATCH(P4201,Fit_Matrix!$A:$A,0))),"CHECK KEY"))</f>
        <v/>
      </c>
    </row>
    <row r="4202" customFormat="false" ht="15" hidden="false" customHeight="true" outlineLevel="0" collapsed="false">
      <c r="P4202" s="1" t="str">
        <f aca="false">IF(OR(F4202="",H4202="",J4202=""),"",J4202&amp;"|"&amp;F4202&amp;"|"&amp;IF(H4202="W3","W3_"&amp;IF(I4202="","unknown",I4202),H4202))</f>
        <v/>
      </c>
      <c r="Q4202" s="1" t="str">
        <f aca="false">IF(P4202="","",IFERROR(IF(AND(H4202="W7",OR(F4202="causal",F4202="predictive")),IF(AND(K4202=1,L4202=1,M4202=1),"adequate","partial"),INDEX(Fit_Matrix!$B:$B,MATCH(P4202,Fit_Matrix!$A:$A,0))),"CHECK KEY"))</f>
        <v/>
      </c>
    </row>
    <row r="4203" customFormat="false" ht="15" hidden="false" customHeight="true" outlineLevel="0" collapsed="false">
      <c r="P4203" s="1" t="str">
        <f aca="false">IF(OR(F4203="",H4203="",J4203=""),"",J4203&amp;"|"&amp;F4203&amp;"|"&amp;IF(H4203="W3","W3_"&amp;IF(I4203="","unknown",I4203),H4203))</f>
        <v/>
      </c>
      <c r="Q4203" s="1" t="str">
        <f aca="false">IF(P4203="","",IFERROR(IF(AND(H4203="W7",OR(F4203="causal",F4203="predictive")),IF(AND(K4203=1,L4203=1,M4203=1),"adequate","partial"),INDEX(Fit_Matrix!$B:$B,MATCH(P4203,Fit_Matrix!$A:$A,0))),"CHECK KEY"))</f>
        <v/>
      </c>
    </row>
    <row r="4204" customFormat="false" ht="15" hidden="false" customHeight="true" outlineLevel="0" collapsed="false">
      <c r="P4204" s="1" t="str">
        <f aca="false">IF(OR(F4204="",H4204="",J4204=""),"",J4204&amp;"|"&amp;F4204&amp;"|"&amp;IF(H4204="W3","W3_"&amp;IF(I4204="","unknown",I4204),H4204))</f>
        <v/>
      </c>
      <c r="Q4204" s="1" t="str">
        <f aca="false">IF(P4204="","",IFERROR(IF(AND(H4204="W7",OR(F4204="causal",F4204="predictive")),IF(AND(K4204=1,L4204=1,M4204=1),"adequate","partial"),INDEX(Fit_Matrix!$B:$B,MATCH(P4204,Fit_Matrix!$A:$A,0))),"CHECK KEY"))</f>
        <v/>
      </c>
    </row>
    <row r="4205" customFormat="false" ht="15" hidden="false" customHeight="true" outlineLevel="0" collapsed="false">
      <c r="P4205" s="1" t="str">
        <f aca="false">IF(OR(F4205="",H4205="",J4205=""),"",J4205&amp;"|"&amp;F4205&amp;"|"&amp;IF(H4205="W3","W3_"&amp;IF(I4205="","unknown",I4205),H4205))</f>
        <v/>
      </c>
      <c r="Q4205" s="1" t="str">
        <f aca="false">IF(P4205="","",IFERROR(IF(AND(H4205="W7",OR(F4205="causal",F4205="predictive")),IF(AND(K4205=1,L4205=1,M4205=1),"adequate","partial"),INDEX(Fit_Matrix!$B:$B,MATCH(P4205,Fit_Matrix!$A:$A,0))),"CHECK KEY"))</f>
        <v/>
      </c>
    </row>
    <row r="4206" customFormat="false" ht="15" hidden="false" customHeight="true" outlineLevel="0" collapsed="false">
      <c r="P4206" s="1" t="str">
        <f aca="false">IF(OR(F4206="",H4206="",J4206=""),"",J4206&amp;"|"&amp;F4206&amp;"|"&amp;IF(H4206="W3","W3_"&amp;IF(I4206="","unknown",I4206),H4206))</f>
        <v/>
      </c>
      <c r="Q4206" s="1" t="str">
        <f aca="false">IF(P4206="","",IFERROR(IF(AND(H4206="W7",OR(F4206="causal",F4206="predictive")),IF(AND(K4206=1,L4206=1,M4206=1),"adequate","partial"),INDEX(Fit_Matrix!$B:$B,MATCH(P4206,Fit_Matrix!$A:$A,0))),"CHECK KEY"))</f>
        <v/>
      </c>
    </row>
    <row r="4207" customFormat="false" ht="15" hidden="false" customHeight="true" outlineLevel="0" collapsed="false">
      <c r="P4207" s="1" t="str">
        <f aca="false">IF(OR(F4207="",H4207="",J4207=""),"",J4207&amp;"|"&amp;F4207&amp;"|"&amp;IF(H4207="W3","W3_"&amp;IF(I4207="","unknown",I4207),H4207))</f>
        <v/>
      </c>
      <c r="Q4207" s="1" t="str">
        <f aca="false">IF(P4207="","",IFERROR(IF(AND(H4207="W7",OR(F4207="causal",F4207="predictive")),IF(AND(K4207=1,L4207=1,M4207=1),"adequate","partial"),INDEX(Fit_Matrix!$B:$B,MATCH(P4207,Fit_Matrix!$A:$A,0))),"CHECK KEY"))</f>
        <v/>
      </c>
    </row>
    <row r="4208" customFormat="false" ht="15" hidden="false" customHeight="true" outlineLevel="0" collapsed="false">
      <c r="P4208" s="1" t="str">
        <f aca="false">IF(OR(F4208="",H4208="",J4208=""),"",J4208&amp;"|"&amp;F4208&amp;"|"&amp;IF(H4208="W3","W3_"&amp;IF(I4208="","unknown",I4208),H4208))</f>
        <v/>
      </c>
      <c r="Q4208" s="1" t="str">
        <f aca="false">IF(P4208="","",IFERROR(IF(AND(H4208="W7",OR(F4208="causal",F4208="predictive")),IF(AND(K4208=1,L4208=1,M4208=1),"adequate","partial"),INDEX(Fit_Matrix!$B:$B,MATCH(P4208,Fit_Matrix!$A:$A,0))),"CHECK KEY"))</f>
        <v/>
      </c>
    </row>
    <row r="4209" customFormat="false" ht="15" hidden="false" customHeight="true" outlineLevel="0" collapsed="false">
      <c r="P4209" s="1" t="str">
        <f aca="false">IF(OR(F4209="",H4209="",J4209=""),"",J4209&amp;"|"&amp;F4209&amp;"|"&amp;IF(H4209="W3","W3_"&amp;IF(I4209="","unknown",I4209),H4209))</f>
        <v/>
      </c>
      <c r="Q4209" s="1" t="str">
        <f aca="false">IF(P4209="","",IFERROR(IF(AND(H4209="W7",OR(F4209="causal",F4209="predictive")),IF(AND(K4209=1,L4209=1,M4209=1),"adequate","partial"),INDEX(Fit_Matrix!$B:$B,MATCH(P4209,Fit_Matrix!$A:$A,0))),"CHECK KEY"))</f>
        <v/>
      </c>
    </row>
    <row r="4210" customFormat="false" ht="15" hidden="false" customHeight="true" outlineLevel="0" collapsed="false">
      <c r="P4210" s="1" t="str">
        <f aca="false">IF(OR(F4210="",H4210="",J4210=""),"",J4210&amp;"|"&amp;F4210&amp;"|"&amp;IF(H4210="W3","W3_"&amp;IF(I4210="","unknown",I4210),H4210))</f>
        <v/>
      </c>
      <c r="Q4210" s="1" t="str">
        <f aca="false">IF(P4210="","",IFERROR(IF(AND(H4210="W7",OR(F4210="causal",F4210="predictive")),IF(AND(K4210=1,L4210=1,M4210=1),"adequate","partial"),INDEX(Fit_Matrix!$B:$B,MATCH(P4210,Fit_Matrix!$A:$A,0))),"CHECK KEY"))</f>
        <v/>
      </c>
    </row>
    <row r="4211" customFormat="false" ht="15" hidden="false" customHeight="true" outlineLevel="0" collapsed="false">
      <c r="P4211" s="1" t="str">
        <f aca="false">IF(OR(F4211="",H4211="",J4211=""),"",J4211&amp;"|"&amp;F4211&amp;"|"&amp;IF(H4211="W3","W3_"&amp;IF(I4211="","unknown",I4211),H4211))</f>
        <v/>
      </c>
      <c r="Q4211" s="1" t="str">
        <f aca="false">IF(P4211="","",IFERROR(IF(AND(H4211="W7",OR(F4211="causal",F4211="predictive")),IF(AND(K4211=1,L4211=1,M4211=1),"adequate","partial"),INDEX(Fit_Matrix!$B:$B,MATCH(P4211,Fit_Matrix!$A:$A,0))),"CHECK KEY"))</f>
        <v/>
      </c>
    </row>
    <row r="4212" customFormat="false" ht="15" hidden="false" customHeight="true" outlineLevel="0" collapsed="false">
      <c r="P4212" s="1" t="str">
        <f aca="false">IF(OR(F4212="",H4212="",J4212=""),"",J4212&amp;"|"&amp;F4212&amp;"|"&amp;IF(H4212="W3","W3_"&amp;IF(I4212="","unknown",I4212),H4212))</f>
        <v/>
      </c>
      <c r="Q4212" s="1" t="str">
        <f aca="false">IF(P4212="","",IFERROR(IF(AND(H4212="W7",OR(F4212="causal",F4212="predictive")),IF(AND(K4212=1,L4212=1,M4212=1),"adequate","partial"),INDEX(Fit_Matrix!$B:$B,MATCH(P4212,Fit_Matrix!$A:$A,0))),"CHECK KEY"))</f>
        <v/>
      </c>
    </row>
    <row r="4213" customFormat="false" ht="15" hidden="false" customHeight="true" outlineLevel="0" collapsed="false">
      <c r="P4213" s="1" t="str">
        <f aca="false">IF(OR(F4213="",H4213="",J4213=""),"",J4213&amp;"|"&amp;F4213&amp;"|"&amp;IF(H4213="W3","W3_"&amp;IF(I4213="","unknown",I4213),H4213))</f>
        <v/>
      </c>
      <c r="Q4213" s="1" t="str">
        <f aca="false">IF(P4213="","",IFERROR(IF(AND(H4213="W7",OR(F4213="causal",F4213="predictive")),IF(AND(K4213=1,L4213=1,M4213=1),"adequate","partial"),INDEX(Fit_Matrix!$B:$B,MATCH(P4213,Fit_Matrix!$A:$A,0))),"CHECK KEY"))</f>
        <v/>
      </c>
    </row>
    <row r="4214" customFormat="false" ht="15" hidden="false" customHeight="true" outlineLevel="0" collapsed="false">
      <c r="P4214" s="1" t="str">
        <f aca="false">IF(OR(F4214="",H4214="",J4214=""),"",J4214&amp;"|"&amp;F4214&amp;"|"&amp;IF(H4214="W3","W3_"&amp;IF(I4214="","unknown",I4214),H4214))</f>
        <v/>
      </c>
      <c r="Q4214" s="1" t="str">
        <f aca="false">IF(P4214="","",IFERROR(IF(AND(H4214="W7",OR(F4214="causal",F4214="predictive")),IF(AND(K4214=1,L4214=1,M4214=1),"adequate","partial"),INDEX(Fit_Matrix!$B:$B,MATCH(P4214,Fit_Matrix!$A:$A,0))),"CHECK KEY"))</f>
        <v/>
      </c>
    </row>
    <row r="4215" customFormat="false" ht="15" hidden="false" customHeight="true" outlineLevel="0" collapsed="false">
      <c r="P4215" s="1" t="str">
        <f aca="false">IF(OR(F4215="",H4215="",J4215=""),"",J4215&amp;"|"&amp;F4215&amp;"|"&amp;IF(H4215="W3","W3_"&amp;IF(I4215="","unknown",I4215),H4215))</f>
        <v/>
      </c>
      <c r="Q4215" s="1" t="str">
        <f aca="false">IF(P4215="","",IFERROR(IF(AND(H4215="W7",OR(F4215="causal",F4215="predictive")),IF(AND(K4215=1,L4215=1,M4215=1),"adequate","partial"),INDEX(Fit_Matrix!$B:$B,MATCH(P4215,Fit_Matrix!$A:$A,0))),"CHECK KEY"))</f>
        <v/>
      </c>
    </row>
    <row r="4216" customFormat="false" ht="15" hidden="false" customHeight="true" outlineLevel="0" collapsed="false">
      <c r="P4216" s="1" t="str">
        <f aca="false">IF(OR(F4216="",H4216="",J4216=""),"",J4216&amp;"|"&amp;F4216&amp;"|"&amp;IF(H4216="W3","W3_"&amp;IF(I4216="","unknown",I4216),H4216))</f>
        <v/>
      </c>
      <c r="Q4216" s="1" t="str">
        <f aca="false">IF(P4216="","",IFERROR(IF(AND(H4216="W7",OR(F4216="causal",F4216="predictive")),IF(AND(K4216=1,L4216=1,M4216=1),"adequate","partial"),INDEX(Fit_Matrix!$B:$B,MATCH(P4216,Fit_Matrix!$A:$A,0))),"CHECK KEY"))</f>
        <v/>
      </c>
    </row>
    <row r="4217" customFormat="false" ht="15" hidden="false" customHeight="true" outlineLevel="0" collapsed="false">
      <c r="P4217" s="1" t="str">
        <f aca="false">IF(OR(F4217="",H4217="",J4217=""),"",J4217&amp;"|"&amp;F4217&amp;"|"&amp;IF(H4217="W3","W3_"&amp;IF(I4217="","unknown",I4217),H4217))</f>
        <v/>
      </c>
      <c r="Q4217" s="1" t="str">
        <f aca="false">IF(P4217="","",IFERROR(IF(AND(H4217="W7",OR(F4217="causal",F4217="predictive")),IF(AND(K4217=1,L4217=1,M4217=1),"adequate","partial"),INDEX(Fit_Matrix!$B:$B,MATCH(P4217,Fit_Matrix!$A:$A,0))),"CHECK KEY"))</f>
        <v/>
      </c>
    </row>
    <row r="4218" customFormat="false" ht="15" hidden="false" customHeight="true" outlineLevel="0" collapsed="false">
      <c r="P4218" s="1" t="str">
        <f aca="false">IF(OR(F4218="",H4218="",J4218=""),"",J4218&amp;"|"&amp;F4218&amp;"|"&amp;IF(H4218="W3","W3_"&amp;IF(I4218="","unknown",I4218),H4218))</f>
        <v/>
      </c>
      <c r="Q4218" s="1" t="str">
        <f aca="false">IF(P4218="","",IFERROR(IF(AND(H4218="W7",OR(F4218="causal",F4218="predictive")),IF(AND(K4218=1,L4218=1,M4218=1),"adequate","partial"),INDEX(Fit_Matrix!$B:$B,MATCH(P4218,Fit_Matrix!$A:$A,0))),"CHECK KEY"))</f>
        <v/>
      </c>
    </row>
    <row r="4219" customFormat="false" ht="15" hidden="false" customHeight="true" outlineLevel="0" collapsed="false">
      <c r="P4219" s="1" t="str">
        <f aca="false">IF(OR(F4219="",H4219="",J4219=""),"",J4219&amp;"|"&amp;F4219&amp;"|"&amp;IF(H4219="W3","W3_"&amp;IF(I4219="","unknown",I4219),H4219))</f>
        <v/>
      </c>
      <c r="Q4219" s="1" t="str">
        <f aca="false">IF(P4219="","",IFERROR(IF(AND(H4219="W7",OR(F4219="causal",F4219="predictive")),IF(AND(K4219=1,L4219=1,M4219=1),"adequate","partial"),INDEX(Fit_Matrix!$B:$B,MATCH(P4219,Fit_Matrix!$A:$A,0))),"CHECK KEY"))</f>
        <v/>
      </c>
    </row>
    <row r="4220" customFormat="false" ht="15" hidden="false" customHeight="true" outlineLevel="0" collapsed="false">
      <c r="P4220" s="1" t="str">
        <f aca="false">IF(OR(F4220="",H4220="",J4220=""),"",J4220&amp;"|"&amp;F4220&amp;"|"&amp;IF(H4220="W3","W3_"&amp;IF(I4220="","unknown",I4220),H4220))</f>
        <v/>
      </c>
      <c r="Q4220" s="1" t="str">
        <f aca="false">IF(P4220="","",IFERROR(IF(AND(H4220="W7",OR(F4220="causal",F4220="predictive")),IF(AND(K4220=1,L4220=1,M4220=1),"adequate","partial"),INDEX(Fit_Matrix!$B:$B,MATCH(P4220,Fit_Matrix!$A:$A,0))),"CHECK KEY"))</f>
        <v/>
      </c>
    </row>
    <row r="4221" customFormat="false" ht="15" hidden="false" customHeight="true" outlineLevel="0" collapsed="false">
      <c r="P4221" s="1" t="str">
        <f aca="false">IF(OR(F4221="",H4221="",J4221=""),"",J4221&amp;"|"&amp;F4221&amp;"|"&amp;IF(H4221="W3","W3_"&amp;IF(I4221="","unknown",I4221),H4221))</f>
        <v/>
      </c>
      <c r="Q4221" s="1" t="str">
        <f aca="false">IF(P4221="","",IFERROR(IF(AND(H4221="W7",OR(F4221="causal",F4221="predictive")),IF(AND(K4221=1,L4221=1,M4221=1),"adequate","partial"),INDEX(Fit_Matrix!$B:$B,MATCH(P4221,Fit_Matrix!$A:$A,0))),"CHECK KEY"))</f>
        <v/>
      </c>
    </row>
    <row r="4222" customFormat="false" ht="15" hidden="false" customHeight="true" outlineLevel="0" collapsed="false">
      <c r="P4222" s="1" t="str">
        <f aca="false">IF(OR(F4222="",H4222="",J4222=""),"",J4222&amp;"|"&amp;F4222&amp;"|"&amp;IF(H4222="W3","W3_"&amp;IF(I4222="","unknown",I4222),H4222))</f>
        <v/>
      </c>
      <c r="Q4222" s="1" t="str">
        <f aca="false">IF(P4222="","",IFERROR(IF(AND(H4222="W7",OR(F4222="causal",F4222="predictive")),IF(AND(K4222=1,L4222=1,M4222=1),"adequate","partial"),INDEX(Fit_Matrix!$B:$B,MATCH(P4222,Fit_Matrix!$A:$A,0))),"CHECK KEY"))</f>
        <v/>
      </c>
    </row>
    <row r="4223" customFormat="false" ht="15" hidden="false" customHeight="true" outlineLevel="0" collapsed="false">
      <c r="P4223" s="1" t="str">
        <f aca="false">IF(OR(F4223="",H4223="",J4223=""),"",J4223&amp;"|"&amp;F4223&amp;"|"&amp;IF(H4223="W3","W3_"&amp;IF(I4223="","unknown",I4223),H4223))</f>
        <v/>
      </c>
      <c r="Q4223" s="1" t="str">
        <f aca="false">IF(P4223="","",IFERROR(IF(AND(H4223="W7",OR(F4223="causal",F4223="predictive")),IF(AND(K4223=1,L4223=1,M4223=1),"adequate","partial"),INDEX(Fit_Matrix!$B:$B,MATCH(P4223,Fit_Matrix!$A:$A,0))),"CHECK KEY"))</f>
        <v/>
      </c>
    </row>
    <row r="4224" customFormat="false" ht="15" hidden="false" customHeight="true" outlineLevel="0" collapsed="false">
      <c r="P4224" s="1" t="str">
        <f aca="false">IF(OR(F4224="",H4224="",J4224=""),"",J4224&amp;"|"&amp;F4224&amp;"|"&amp;IF(H4224="W3","W3_"&amp;IF(I4224="","unknown",I4224),H4224))</f>
        <v/>
      </c>
      <c r="Q4224" s="1" t="str">
        <f aca="false">IF(P4224="","",IFERROR(IF(AND(H4224="W7",OR(F4224="causal",F4224="predictive")),IF(AND(K4224=1,L4224=1,M4224=1),"adequate","partial"),INDEX(Fit_Matrix!$B:$B,MATCH(P4224,Fit_Matrix!$A:$A,0))),"CHECK KEY"))</f>
        <v/>
      </c>
    </row>
    <row r="4225" customFormat="false" ht="15" hidden="false" customHeight="true" outlineLevel="0" collapsed="false">
      <c r="P4225" s="1" t="str">
        <f aca="false">IF(OR(F4225="",H4225="",J4225=""),"",J4225&amp;"|"&amp;F4225&amp;"|"&amp;IF(H4225="W3","W3_"&amp;IF(I4225="","unknown",I4225),H4225))</f>
        <v/>
      </c>
      <c r="Q4225" s="1" t="str">
        <f aca="false">IF(P4225="","",IFERROR(IF(AND(H4225="W7",OR(F4225="causal",F4225="predictive")),IF(AND(K4225=1,L4225=1,M4225=1),"adequate","partial"),INDEX(Fit_Matrix!$B:$B,MATCH(P4225,Fit_Matrix!$A:$A,0))),"CHECK KEY"))</f>
        <v/>
      </c>
    </row>
    <row r="4226" customFormat="false" ht="15" hidden="false" customHeight="true" outlineLevel="0" collapsed="false">
      <c r="P4226" s="1" t="str">
        <f aca="false">IF(OR(F4226="",H4226="",J4226=""),"",J4226&amp;"|"&amp;F4226&amp;"|"&amp;IF(H4226="W3","W3_"&amp;IF(I4226="","unknown",I4226),H4226))</f>
        <v/>
      </c>
      <c r="Q4226" s="1" t="str">
        <f aca="false">IF(P4226="","",IFERROR(IF(AND(H4226="W7",OR(F4226="causal",F4226="predictive")),IF(AND(K4226=1,L4226=1,M4226=1),"adequate","partial"),INDEX(Fit_Matrix!$B:$B,MATCH(P4226,Fit_Matrix!$A:$A,0))),"CHECK KEY"))</f>
        <v/>
      </c>
    </row>
    <row r="4227" customFormat="false" ht="15" hidden="false" customHeight="true" outlineLevel="0" collapsed="false">
      <c r="P4227" s="1" t="str">
        <f aca="false">IF(OR(F4227="",H4227="",J4227=""),"",J4227&amp;"|"&amp;F4227&amp;"|"&amp;IF(H4227="W3","W3_"&amp;IF(I4227="","unknown",I4227),H4227))</f>
        <v/>
      </c>
      <c r="Q4227" s="1" t="str">
        <f aca="false">IF(P4227="","",IFERROR(IF(AND(H4227="W7",OR(F4227="causal",F4227="predictive")),IF(AND(K4227=1,L4227=1,M4227=1),"adequate","partial"),INDEX(Fit_Matrix!$B:$B,MATCH(P4227,Fit_Matrix!$A:$A,0))),"CHECK KEY"))</f>
        <v/>
      </c>
    </row>
    <row r="4228" customFormat="false" ht="15" hidden="false" customHeight="true" outlineLevel="0" collapsed="false">
      <c r="P4228" s="1" t="str">
        <f aca="false">IF(OR(F4228="",H4228="",J4228=""),"",J4228&amp;"|"&amp;F4228&amp;"|"&amp;IF(H4228="W3","W3_"&amp;IF(I4228="","unknown",I4228),H4228))</f>
        <v/>
      </c>
      <c r="Q4228" s="1" t="str">
        <f aca="false">IF(P4228="","",IFERROR(IF(AND(H4228="W7",OR(F4228="causal",F4228="predictive")),IF(AND(K4228=1,L4228=1,M4228=1),"adequate","partial"),INDEX(Fit_Matrix!$B:$B,MATCH(P4228,Fit_Matrix!$A:$A,0))),"CHECK KEY"))</f>
        <v/>
      </c>
    </row>
    <row r="4229" customFormat="false" ht="15" hidden="false" customHeight="true" outlineLevel="0" collapsed="false">
      <c r="P4229" s="1" t="str">
        <f aca="false">IF(OR(F4229="",H4229="",J4229=""),"",J4229&amp;"|"&amp;F4229&amp;"|"&amp;IF(H4229="W3","W3_"&amp;IF(I4229="","unknown",I4229),H4229))</f>
        <v/>
      </c>
      <c r="Q4229" s="1" t="str">
        <f aca="false">IF(P4229="","",IFERROR(IF(AND(H4229="W7",OR(F4229="causal",F4229="predictive")),IF(AND(K4229=1,L4229=1,M4229=1),"adequate","partial"),INDEX(Fit_Matrix!$B:$B,MATCH(P4229,Fit_Matrix!$A:$A,0))),"CHECK KEY"))</f>
        <v/>
      </c>
    </row>
    <row r="4230" customFormat="false" ht="15" hidden="false" customHeight="true" outlineLevel="0" collapsed="false">
      <c r="P4230" s="1" t="str">
        <f aca="false">IF(OR(F4230="",H4230="",J4230=""),"",J4230&amp;"|"&amp;F4230&amp;"|"&amp;IF(H4230="W3","W3_"&amp;IF(I4230="","unknown",I4230),H4230))</f>
        <v/>
      </c>
      <c r="Q4230" s="1" t="str">
        <f aca="false">IF(P4230="","",IFERROR(IF(AND(H4230="W7",OR(F4230="causal",F4230="predictive")),IF(AND(K4230=1,L4230=1,M4230=1),"adequate","partial"),INDEX(Fit_Matrix!$B:$B,MATCH(P4230,Fit_Matrix!$A:$A,0))),"CHECK KEY"))</f>
        <v/>
      </c>
    </row>
    <row r="4231" customFormat="false" ht="15" hidden="false" customHeight="true" outlineLevel="0" collapsed="false">
      <c r="P4231" s="1" t="str">
        <f aca="false">IF(OR(F4231="",H4231="",J4231=""),"",J4231&amp;"|"&amp;F4231&amp;"|"&amp;IF(H4231="W3","W3_"&amp;IF(I4231="","unknown",I4231),H4231))</f>
        <v/>
      </c>
      <c r="Q4231" s="1" t="str">
        <f aca="false">IF(P4231="","",IFERROR(IF(AND(H4231="W7",OR(F4231="causal",F4231="predictive")),IF(AND(K4231=1,L4231=1,M4231=1),"adequate","partial"),INDEX(Fit_Matrix!$B:$B,MATCH(P4231,Fit_Matrix!$A:$A,0))),"CHECK KEY"))</f>
        <v/>
      </c>
    </row>
    <row r="4232" customFormat="false" ht="15" hidden="false" customHeight="true" outlineLevel="0" collapsed="false">
      <c r="P4232" s="1" t="str">
        <f aca="false">IF(OR(F4232="",H4232="",J4232=""),"",J4232&amp;"|"&amp;F4232&amp;"|"&amp;IF(H4232="W3","W3_"&amp;IF(I4232="","unknown",I4232),H4232))</f>
        <v/>
      </c>
      <c r="Q4232" s="1" t="str">
        <f aca="false">IF(P4232="","",IFERROR(IF(AND(H4232="W7",OR(F4232="causal",F4232="predictive")),IF(AND(K4232=1,L4232=1,M4232=1),"adequate","partial"),INDEX(Fit_Matrix!$B:$B,MATCH(P4232,Fit_Matrix!$A:$A,0))),"CHECK KEY"))</f>
        <v/>
      </c>
    </row>
    <row r="4233" customFormat="false" ht="15" hidden="false" customHeight="true" outlineLevel="0" collapsed="false">
      <c r="P4233" s="1" t="str">
        <f aca="false">IF(OR(F4233="",H4233="",J4233=""),"",J4233&amp;"|"&amp;F4233&amp;"|"&amp;IF(H4233="W3","W3_"&amp;IF(I4233="","unknown",I4233),H4233))</f>
        <v/>
      </c>
      <c r="Q4233" s="1" t="str">
        <f aca="false">IF(P4233="","",IFERROR(IF(AND(H4233="W7",OR(F4233="causal",F4233="predictive")),IF(AND(K4233=1,L4233=1,M4233=1),"adequate","partial"),INDEX(Fit_Matrix!$B:$B,MATCH(P4233,Fit_Matrix!$A:$A,0))),"CHECK KEY"))</f>
        <v/>
      </c>
    </row>
    <row r="4234" customFormat="false" ht="15" hidden="false" customHeight="true" outlineLevel="0" collapsed="false">
      <c r="P4234" s="1" t="str">
        <f aca="false">IF(OR(F4234="",H4234="",J4234=""),"",J4234&amp;"|"&amp;F4234&amp;"|"&amp;IF(H4234="W3","W3_"&amp;IF(I4234="","unknown",I4234),H4234))</f>
        <v/>
      </c>
      <c r="Q4234" s="1" t="str">
        <f aca="false">IF(P4234="","",IFERROR(IF(AND(H4234="W7",OR(F4234="causal",F4234="predictive")),IF(AND(K4234=1,L4234=1,M4234=1),"adequate","partial"),INDEX(Fit_Matrix!$B:$B,MATCH(P4234,Fit_Matrix!$A:$A,0))),"CHECK KEY"))</f>
        <v/>
      </c>
    </row>
    <row r="4235" customFormat="false" ht="15" hidden="false" customHeight="true" outlineLevel="0" collapsed="false">
      <c r="P4235" s="1" t="str">
        <f aca="false">IF(OR(F4235="",H4235="",J4235=""),"",J4235&amp;"|"&amp;F4235&amp;"|"&amp;IF(H4235="W3","W3_"&amp;IF(I4235="","unknown",I4235),H4235))</f>
        <v/>
      </c>
      <c r="Q4235" s="1" t="str">
        <f aca="false">IF(P4235="","",IFERROR(IF(AND(H4235="W7",OR(F4235="causal",F4235="predictive")),IF(AND(K4235=1,L4235=1,M4235=1),"adequate","partial"),INDEX(Fit_Matrix!$B:$B,MATCH(P4235,Fit_Matrix!$A:$A,0))),"CHECK KEY"))</f>
        <v/>
      </c>
    </row>
    <row r="4236" customFormat="false" ht="15" hidden="false" customHeight="true" outlineLevel="0" collapsed="false">
      <c r="P4236" s="1" t="str">
        <f aca="false">IF(OR(F4236="",H4236="",J4236=""),"",J4236&amp;"|"&amp;F4236&amp;"|"&amp;IF(H4236="W3","W3_"&amp;IF(I4236="","unknown",I4236),H4236))</f>
        <v/>
      </c>
      <c r="Q4236" s="1" t="str">
        <f aca="false">IF(P4236="","",IFERROR(IF(AND(H4236="W7",OR(F4236="causal",F4236="predictive")),IF(AND(K4236=1,L4236=1,M4236=1),"adequate","partial"),INDEX(Fit_Matrix!$B:$B,MATCH(P4236,Fit_Matrix!$A:$A,0))),"CHECK KEY"))</f>
        <v/>
      </c>
    </row>
    <row r="4237" customFormat="false" ht="15" hidden="false" customHeight="true" outlineLevel="0" collapsed="false">
      <c r="P4237" s="1" t="str">
        <f aca="false">IF(OR(F4237="",H4237="",J4237=""),"",J4237&amp;"|"&amp;F4237&amp;"|"&amp;IF(H4237="W3","W3_"&amp;IF(I4237="","unknown",I4237),H4237))</f>
        <v/>
      </c>
      <c r="Q4237" s="1" t="str">
        <f aca="false">IF(P4237="","",IFERROR(IF(AND(H4237="W7",OR(F4237="causal",F4237="predictive")),IF(AND(K4237=1,L4237=1,M4237=1),"adequate","partial"),INDEX(Fit_Matrix!$B:$B,MATCH(P4237,Fit_Matrix!$A:$A,0))),"CHECK KEY"))</f>
        <v/>
      </c>
    </row>
    <row r="4238" customFormat="false" ht="15" hidden="false" customHeight="true" outlineLevel="0" collapsed="false">
      <c r="P4238" s="1" t="str">
        <f aca="false">IF(OR(F4238="",H4238="",J4238=""),"",J4238&amp;"|"&amp;F4238&amp;"|"&amp;IF(H4238="W3","W3_"&amp;IF(I4238="","unknown",I4238),H4238))</f>
        <v/>
      </c>
      <c r="Q4238" s="1" t="str">
        <f aca="false">IF(P4238="","",IFERROR(IF(AND(H4238="W7",OR(F4238="causal",F4238="predictive")),IF(AND(K4238=1,L4238=1,M4238=1),"adequate","partial"),INDEX(Fit_Matrix!$B:$B,MATCH(P4238,Fit_Matrix!$A:$A,0))),"CHECK KEY"))</f>
        <v/>
      </c>
    </row>
    <row r="4239" customFormat="false" ht="15" hidden="false" customHeight="true" outlineLevel="0" collapsed="false">
      <c r="P4239" s="1" t="str">
        <f aca="false">IF(OR(F4239="",H4239="",J4239=""),"",J4239&amp;"|"&amp;F4239&amp;"|"&amp;IF(H4239="W3","W3_"&amp;IF(I4239="","unknown",I4239),H4239))</f>
        <v/>
      </c>
      <c r="Q4239" s="1" t="str">
        <f aca="false">IF(P4239="","",IFERROR(IF(AND(H4239="W7",OR(F4239="causal",F4239="predictive")),IF(AND(K4239=1,L4239=1,M4239=1),"adequate","partial"),INDEX(Fit_Matrix!$B:$B,MATCH(P4239,Fit_Matrix!$A:$A,0))),"CHECK KEY"))</f>
        <v/>
      </c>
    </row>
    <row r="4240" customFormat="false" ht="15" hidden="false" customHeight="true" outlineLevel="0" collapsed="false">
      <c r="P4240" s="1" t="str">
        <f aca="false">IF(OR(F4240="",H4240="",J4240=""),"",J4240&amp;"|"&amp;F4240&amp;"|"&amp;IF(H4240="W3","W3_"&amp;IF(I4240="","unknown",I4240),H4240))</f>
        <v/>
      </c>
      <c r="Q4240" s="1" t="str">
        <f aca="false">IF(P4240="","",IFERROR(IF(AND(H4240="W7",OR(F4240="causal",F4240="predictive")),IF(AND(K4240=1,L4240=1,M4240=1),"adequate","partial"),INDEX(Fit_Matrix!$B:$B,MATCH(P4240,Fit_Matrix!$A:$A,0))),"CHECK KEY"))</f>
        <v/>
      </c>
    </row>
    <row r="4241" customFormat="false" ht="15" hidden="false" customHeight="true" outlineLevel="0" collapsed="false">
      <c r="P4241" s="1" t="str">
        <f aca="false">IF(OR(F4241="",H4241="",J4241=""),"",J4241&amp;"|"&amp;F4241&amp;"|"&amp;IF(H4241="W3","W3_"&amp;IF(I4241="","unknown",I4241),H4241))</f>
        <v/>
      </c>
      <c r="Q4241" s="1" t="str">
        <f aca="false">IF(P4241="","",IFERROR(IF(AND(H4241="W7",OR(F4241="causal",F4241="predictive")),IF(AND(K4241=1,L4241=1,M4241=1),"adequate","partial"),INDEX(Fit_Matrix!$B:$B,MATCH(P4241,Fit_Matrix!$A:$A,0))),"CHECK KEY"))</f>
        <v/>
      </c>
    </row>
    <row r="4242" customFormat="false" ht="15" hidden="false" customHeight="true" outlineLevel="0" collapsed="false">
      <c r="P4242" s="1" t="str">
        <f aca="false">IF(OR(F4242="",H4242="",J4242=""),"",J4242&amp;"|"&amp;F4242&amp;"|"&amp;IF(H4242="W3","W3_"&amp;IF(I4242="","unknown",I4242),H4242))</f>
        <v/>
      </c>
      <c r="Q4242" s="1" t="str">
        <f aca="false">IF(P4242="","",IFERROR(IF(AND(H4242="W7",OR(F4242="causal",F4242="predictive")),IF(AND(K4242=1,L4242=1,M4242=1),"adequate","partial"),INDEX(Fit_Matrix!$B:$B,MATCH(P4242,Fit_Matrix!$A:$A,0))),"CHECK KEY"))</f>
        <v/>
      </c>
    </row>
    <row r="4243" customFormat="false" ht="15" hidden="false" customHeight="true" outlineLevel="0" collapsed="false">
      <c r="P4243" s="1" t="str">
        <f aca="false">IF(OR(F4243="",H4243="",J4243=""),"",J4243&amp;"|"&amp;F4243&amp;"|"&amp;IF(H4243="W3","W3_"&amp;IF(I4243="","unknown",I4243),H4243))</f>
        <v/>
      </c>
      <c r="Q4243" s="1" t="str">
        <f aca="false">IF(P4243="","",IFERROR(IF(AND(H4243="W7",OR(F4243="causal",F4243="predictive")),IF(AND(K4243=1,L4243=1,M4243=1),"adequate","partial"),INDEX(Fit_Matrix!$B:$B,MATCH(P4243,Fit_Matrix!$A:$A,0))),"CHECK KEY"))</f>
        <v/>
      </c>
    </row>
    <row r="4244" customFormat="false" ht="15" hidden="false" customHeight="true" outlineLevel="0" collapsed="false">
      <c r="P4244" s="1" t="str">
        <f aca="false">IF(OR(F4244="",H4244="",J4244=""),"",J4244&amp;"|"&amp;F4244&amp;"|"&amp;IF(H4244="W3","W3_"&amp;IF(I4244="","unknown",I4244),H4244))</f>
        <v/>
      </c>
      <c r="Q4244" s="1" t="str">
        <f aca="false">IF(P4244="","",IFERROR(IF(AND(H4244="W7",OR(F4244="causal",F4244="predictive")),IF(AND(K4244=1,L4244=1,M4244=1),"adequate","partial"),INDEX(Fit_Matrix!$B:$B,MATCH(P4244,Fit_Matrix!$A:$A,0))),"CHECK KEY"))</f>
        <v/>
      </c>
    </row>
    <row r="4245" customFormat="false" ht="15" hidden="false" customHeight="true" outlineLevel="0" collapsed="false">
      <c r="P4245" s="1" t="str">
        <f aca="false">IF(OR(F4245="",H4245="",J4245=""),"",J4245&amp;"|"&amp;F4245&amp;"|"&amp;IF(H4245="W3","W3_"&amp;IF(I4245="","unknown",I4245),H4245))</f>
        <v/>
      </c>
      <c r="Q4245" s="1" t="str">
        <f aca="false">IF(P4245="","",IFERROR(IF(AND(H4245="W7",OR(F4245="causal",F4245="predictive")),IF(AND(K4245=1,L4245=1,M4245=1),"adequate","partial"),INDEX(Fit_Matrix!$B:$B,MATCH(P4245,Fit_Matrix!$A:$A,0))),"CHECK KEY"))</f>
        <v/>
      </c>
    </row>
    <row r="4246" customFormat="false" ht="15" hidden="false" customHeight="true" outlineLevel="0" collapsed="false">
      <c r="P4246" s="1" t="str">
        <f aca="false">IF(OR(F4246="",H4246="",J4246=""),"",J4246&amp;"|"&amp;F4246&amp;"|"&amp;IF(H4246="W3","W3_"&amp;IF(I4246="","unknown",I4246),H4246))</f>
        <v/>
      </c>
      <c r="Q4246" s="1" t="str">
        <f aca="false">IF(P4246="","",IFERROR(IF(AND(H4246="W7",OR(F4246="causal",F4246="predictive")),IF(AND(K4246=1,L4246=1,M4246=1),"adequate","partial"),INDEX(Fit_Matrix!$B:$B,MATCH(P4246,Fit_Matrix!$A:$A,0))),"CHECK KEY"))</f>
        <v/>
      </c>
    </row>
    <row r="4247" customFormat="false" ht="15" hidden="false" customHeight="true" outlineLevel="0" collapsed="false">
      <c r="P4247" s="1" t="str">
        <f aca="false">IF(OR(F4247="",H4247="",J4247=""),"",J4247&amp;"|"&amp;F4247&amp;"|"&amp;IF(H4247="W3","W3_"&amp;IF(I4247="","unknown",I4247),H4247))</f>
        <v/>
      </c>
      <c r="Q4247" s="1" t="str">
        <f aca="false">IF(P4247="","",IFERROR(IF(AND(H4247="W7",OR(F4247="causal",F4247="predictive")),IF(AND(K4247=1,L4247=1,M4247=1),"adequate","partial"),INDEX(Fit_Matrix!$B:$B,MATCH(P4247,Fit_Matrix!$A:$A,0))),"CHECK KEY"))</f>
        <v/>
      </c>
    </row>
    <row r="4248" customFormat="false" ht="15" hidden="false" customHeight="true" outlineLevel="0" collapsed="false">
      <c r="P4248" s="1" t="str">
        <f aca="false">IF(OR(F4248="",H4248="",J4248=""),"",J4248&amp;"|"&amp;F4248&amp;"|"&amp;IF(H4248="W3","W3_"&amp;IF(I4248="","unknown",I4248),H4248))</f>
        <v/>
      </c>
      <c r="Q4248" s="1" t="str">
        <f aca="false">IF(P4248="","",IFERROR(IF(AND(H4248="W7",OR(F4248="causal",F4248="predictive")),IF(AND(K4248=1,L4248=1,M4248=1),"adequate","partial"),INDEX(Fit_Matrix!$B:$B,MATCH(P4248,Fit_Matrix!$A:$A,0))),"CHECK KEY"))</f>
        <v/>
      </c>
    </row>
    <row r="4249" customFormat="false" ht="15" hidden="false" customHeight="true" outlineLevel="0" collapsed="false">
      <c r="P4249" s="1" t="str">
        <f aca="false">IF(OR(F4249="",H4249="",J4249=""),"",J4249&amp;"|"&amp;F4249&amp;"|"&amp;IF(H4249="W3","W3_"&amp;IF(I4249="","unknown",I4249),H4249))</f>
        <v/>
      </c>
      <c r="Q4249" s="1" t="str">
        <f aca="false">IF(P4249="","",IFERROR(IF(AND(H4249="W7",OR(F4249="causal",F4249="predictive")),IF(AND(K4249=1,L4249=1,M4249=1),"adequate","partial"),INDEX(Fit_Matrix!$B:$B,MATCH(P4249,Fit_Matrix!$A:$A,0))),"CHECK KEY"))</f>
        <v/>
      </c>
    </row>
    <row r="4250" customFormat="false" ht="15" hidden="false" customHeight="true" outlineLevel="0" collapsed="false">
      <c r="P4250" s="1" t="str">
        <f aca="false">IF(OR(F4250="",H4250="",J4250=""),"",J4250&amp;"|"&amp;F4250&amp;"|"&amp;IF(H4250="W3","W3_"&amp;IF(I4250="","unknown",I4250),H4250))</f>
        <v/>
      </c>
      <c r="Q4250" s="1" t="str">
        <f aca="false">IF(P4250="","",IFERROR(IF(AND(H4250="W7",OR(F4250="causal",F4250="predictive")),IF(AND(K4250=1,L4250=1,M4250=1),"adequate","partial"),INDEX(Fit_Matrix!$B:$B,MATCH(P4250,Fit_Matrix!$A:$A,0))),"CHECK KEY"))</f>
        <v/>
      </c>
    </row>
    <row r="4251" customFormat="false" ht="15" hidden="false" customHeight="true" outlineLevel="0" collapsed="false">
      <c r="P4251" s="1" t="str">
        <f aca="false">IF(OR(F4251="",H4251="",J4251=""),"",J4251&amp;"|"&amp;F4251&amp;"|"&amp;IF(H4251="W3","W3_"&amp;IF(I4251="","unknown",I4251),H4251))</f>
        <v/>
      </c>
      <c r="Q4251" s="1" t="str">
        <f aca="false">IF(P4251="","",IFERROR(IF(AND(H4251="W7",OR(F4251="causal",F4251="predictive")),IF(AND(K4251=1,L4251=1,M4251=1),"adequate","partial"),INDEX(Fit_Matrix!$B:$B,MATCH(P4251,Fit_Matrix!$A:$A,0))),"CHECK KEY"))</f>
        <v/>
      </c>
    </row>
    <row r="4252" customFormat="false" ht="15" hidden="false" customHeight="true" outlineLevel="0" collapsed="false">
      <c r="P4252" s="1" t="str">
        <f aca="false">IF(OR(F4252="",H4252="",J4252=""),"",J4252&amp;"|"&amp;F4252&amp;"|"&amp;IF(H4252="W3","W3_"&amp;IF(I4252="","unknown",I4252),H4252))</f>
        <v/>
      </c>
      <c r="Q4252" s="1" t="str">
        <f aca="false">IF(P4252="","",IFERROR(IF(AND(H4252="W7",OR(F4252="causal",F4252="predictive")),IF(AND(K4252=1,L4252=1,M4252=1),"adequate","partial"),INDEX(Fit_Matrix!$B:$B,MATCH(P4252,Fit_Matrix!$A:$A,0))),"CHECK KEY"))</f>
        <v/>
      </c>
    </row>
    <row r="4253" customFormat="false" ht="15" hidden="false" customHeight="true" outlineLevel="0" collapsed="false">
      <c r="P4253" s="1" t="str">
        <f aca="false">IF(OR(F4253="",H4253="",J4253=""),"",J4253&amp;"|"&amp;F4253&amp;"|"&amp;IF(H4253="W3","W3_"&amp;IF(I4253="","unknown",I4253),H4253))</f>
        <v/>
      </c>
      <c r="Q4253" s="1" t="str">
        <f aca="false">IF(P4253="","",IFERROR(IF(AND(H4253="W7",OR(F4253="causal",F4253="predictive")),IF(AND(K4253=1,L4253=1,M4253=1),"adequate","partial"),INDEX(Fit_Matrix!$B:$B,MATCH(P4253,Fit_Matrix!$A:$A,0))),"CHECK KEY"))</f>
        <v/>
      </c>
    </row>
    <row r="4254" customFormat="false" ht="15" hidden="false" customHeight="true" outlineLevel="0" collapsed="false">
      <c r="P4254" s="1" t="str">
        <f aca="false">IF(OR(F4254="",H4254="",J4254=""),"",J4254&amp;"|"&amp;F4254&amp;"|"&amp;IF(H4254="W3","W3_"&amp;IF(I4254="","unknown",I4254),H4254))</f>
        <v/>
      </c>
      <c r="Q4254" s="1" t="str">
        <f aca="false">IF(P4254="","",IFERROR(IF(AND(H4254="W7",OR(F4254="causal",F4254="predictive")),IF(AND(K4254=1,L4254=1,M4254=1),"adequate","partial"),INDEX(Fit_Matrix!$B:$B,MATCH(P4254,Fit_Matrix!$A:$A,0))),"CHECK KEY"))</f>
        <v/>
      </c>
    </row>
    <row r="4255" customFormat="false" ht="15" hidden="false" customHeight="true" outlineLevel="0" collapsed="false">
      <c r="P4255" s="1" t="str">
        <f aca="false">IF(OR(F4255="",H4255="",J4255=""),"",J4255&amp;"|"&amp;F4255&amp;"|"&amp;IF(H4255="W3","W3_"&amp;IF(I4255="","unknown",I4255),H4255))</f>
        <v/>
      </c>
      <c r="Q4255" s="1" t="str">
        <f aca="false">IF(P4255="","",IFERROR(IF(AND(H4255="W7",OR(F4255="causal",F4255="predictive")),IF(AND(K4255=1,L4255=1,M4255=1),"adequate","partial"),INDEX(Fit_Matrix!$B:$B,MATCH(P4255,Fit_Matrix!$A:$A,0))),"CHECK KEY"))</f>
        <v/>
      </c>
    </row>
    <row r="4256" customFormat="false" ht="15" hidden="false" customHeight="true" outlineLevel="0" collapsed="false">
      <c r="P4256" s="1" t="str">
        <f aca="false">IF(OR(F4256="",H4256="",J4256=""),"",J4256&amp;"|"&amp;F4256&amp;"|"&amp;IF(H4256="W3","W3_"&amp;IF(I4256="","unknown",I4256),H4256))</f>
        <v/>
      </c>
      <c r="Q4256" s="1" t="str">
        <f aca="false">IF(P4256="","",IFERROR(IF(AND(H4256="W7",OR(F4256="causal",F4256="predictive")),IF(AND(K4256=1,L4256=1,M4256=1),"adequate","partial"),INDEX(Fit_Matrix!$B:$B,MATCH(P4256,Fit_Matrix!$A:$A,0))),"CHECK KEY"))</f>
        <v/>
      </c>
    </row>
    <row r="4257" customFormat="false" ht="15" hidden="false" customHeight="true" outlineLevel="0" collapsed="false">
      <c r="P4257" s="1" t="str">
        <f aca="false">IF(OR(F4257="",H4257="",J4257=""),"",J4257&amp;"|"&amp;F4257&amp;"|"&amp;IF(H4257="W3","W3_"&amp;IF(I4257="","unknown",I4257),H4257))</f>
        <v/>
      </c>
      <c r="Q4257" s="1" t="str">
        <f aca="false">IF(P4257="","",IFERROR(IF(AND(H4257="W7",OR(F4257="causal",F4257="predictive")),IF(AND(K4257=1,L4257=1,M4257=1),"adequate","partial"),INDEX(Fit_Matrix!$B:$B,MATCH(P4257,Fit_Matrix!$A:$A,0))),"CHECK KEY"))</f>
        <v/>
      </c>
    </row>
    <row r="4258" customFormat="false" ht="15" hidden="false" customHeight="true" outlineLevel="0" collapsed="false">
      <c r="P4258" s="1" t="str">
        <f aca="false">IF(OR(F4258="",H4258="",J4258=""),"",J4258&amp;"|"&amp;F4258&amp;"|"&amp;IF(H4258="W3","W3_"&amp;IF(I4258="","unknown",I4258),H4258))</f>
        <v/>
      </c>
      <c r="Q4258" s="1" t="str">
        <f aca="false">IF(P4258="","",IFERROR(IF(AND(H4258="W7",OR(F4258="causal",F4258="predictive")),IF(AND(K4258=1,L4258=1,M4258=1),"adequate","partial"),INDEX(Fit_Matrix!$B:$B,MATCH(P4258,Fit_Matrix!$A:$A,0))),"CHECK KEY"))</f>
        <v/>
      </c>
    </row>
    <row r="4259" customFormat="false" ht="15" hidden="false" customHeight="true" outlineLevel="0" collapsed="false">
      <c r="P4259" s="1" t="str">
        <f aca="false">IF(OR(F4259="",H4259="",J4259=""),"",J4259&amp;"|"&amp;F4259&amp;"|"&amp;IF(H4259="W3","W3_"&amp;IF(I4259="","unknown",I4259),H4259))</f>
        <v/>
      </c>
      <c r="Q4259" s="1" t="str">
        <f aca="false">IF(P4259="","",IFERROR(IF(AND(H4259="W7",OR(F4259="causal",F4259="predictive")),IF(AND(K4259=1,L4259=1,M4259=1),"adequate","partial"),INDEX(Fit_Matrix!$B:$B,MATCH(P4259,Fit_Matrix!$A:$A,0))),"CHECK KEY"))</f>
        <v/>
      </c>
    </row>
    <row r="4260" customFormat="false" ht="15" hidden="false" customHeight="true" outlineLevel="0" collapsed="false">
      <c r="P4260" s="1" t="str">
        <f aca="false">IF(OR(F4260="",H4260="",J4260=""),"",J4260&amp;"|"&amp;F4260&amp;"|"&amp;IF(H4260="W3","W3_"&amp;IF(I4260="","unknown",I4260),H4260))</f>
        <v/>
      </c>
      <c r="Q4260" s="1" t="str">
        <f aca="false">IF(P4260="","",IFERROR(IF(AND(H4260="W7",OR(F4260="causal",F4260="predictive")),IF(AND(K4260=1,L4260=1,M4260=1),"adequate","partial"),INDEX(Fit_Matrix!$B:$B,MATCH(P4260,Fit_Matrix!$A:$A,0))),"CHECK KEY"))</f>
        <v/>
      </c>
    </row>
    <row r="4261" customFormat="false" ht="15" hidden="false" customHeight="true" outlineLevel="0" collapsed="false">
      <c r="P4261" s="1" t="str">
        <f aca="false">IF(OR(F4261="",H4261="",J4261=""),"",J4261&amp;"|"&amp;F4261&amp;"|"&amp;IF(H4261="W3","W3_"&amp;IF(I4261="","unknown",I4261),H4261))</f>
        <v/>
      </c>
      <c r="Q4261" s="1" t="str">
        <f aca="false">IF(P4261="","",IFERROR(IF(AND(H4261="W7",OR(F4261="causal",F4261="predictive")),IF(AND(K4261=1,L4261=1,M4261=1),"adequate","partial"),INDEX(Fit_Matrix!$B:$B,MATCH(P4261,Fit_Matrix!$A:$A,0))),"CHECK KEY"))</f>
        <v/>
      </c>
    </row>
    <row r="4262" customFormat="false" ht="15" hidden="false" customHeight="true" outlineLevel="0" collapsed="false">
      <c r="P4262" s="1" t="str">
        <f aca="false">IF(OR(F4262="",H4262="",J4262=""),"",J4262&amp;"|"&amp;F4262&amp;"|"&amp;IF(H4262="W3","W3_"&amp;IF(I4262="","unknown",I4262),H4262))</f>
        <v/>
      </c>
      <c r="Q4262" s="1" t="str">
        <f aca="false">IF(P4262="","",IFERROR(IF(AND(H4262="W7",OR(F4262="causal",F4262="predictive")),IF(AND(K4262=1,L4262=1,M4262=1),"adequate","partial"),INDEX(Fit_Matrix!$B:$B,MATCH(P4262,Fit_Matrix!$A:$A,0))),"CHECK KEY"))</f>
        <v/>
      </c>
    </row>
    <row r="4263" customFormat="false" ht="15" hidden="false" customHeight="true" outlineLevel="0" collapsed="false">
      <c r="P4263" s="1" t="str">
        <f aca="false">IF(OR(F4263="",H4263="",J4263=""),"",J4263&amp;"|"&amp;F4263&amp;"|"&amp;IF(H4263="W3","W3_"&amp;IF(I4263="","unknown",I4263),H4263))</f>
        <v/>
      </c>
      <c r="Q4263" s="1" t="str">
        <f aca="false">IF(P4263="","",IFERROR(IF(AND(H4263="W7",OR(F4263="causal",F4263="predictive")),IF(AND(K4263=1,L4263=1,M4263=1),"adequate","partial"),INDEX(Fit_Matrix!$B:$B,MATCH(P4263,Fit_Matrix!$A:$A,0))),"CHECK KEY"))</f>
        <v/>
      </c>
    </row>
    <row r="4264" customFormat="false" ht="15" hidden="false" customHeight="true" outlineLevel="0" collapsed="false">
      <c r="P4264" s="1" t="str">
        <f aca="false">IF(OR(F4264="",H4264="",J4264=""),"",J4264&amp;"|"&amp;F4264&amp;"|"&amp;IF(H4264="W3","W3_"&amp;IF(I4264="","unknown",I4264),H4264))</f>
        <v/>
      </c>
      <c r="Q4264" s="1" t="str">
        <f aca="false">IF(P4264="","",IFERROR(IF(AND(H4264="W7",OR(F4264="causal",F4264="predictive")),IF(AND(K4264=1,L4264=1,M4264=1),"adequate","partial"),INDEX(Fit_Matrix!$B:$B,MATCH(P4264,Fit_Matrix!$A:$A,0))),"CHECK KEY"))</f>
        <v/>
      </c>
    </row>
    <row r="4265" customFormat="false" ht="15" hidden="false" customHeight="true" outlineLevel="0" collapsed="false">
      <c r="P4265" s="1" t="str">
        <f aca="false">IF(OR(F4265="",H4265="",J4265=""),"",J4265&amp;"|"&amp;F4265&amp;"|"&amp;IF(H4265="W3","W3_"&amp;IF(I4265="","unknown",I4265),H4265))</f>
        <v/>
      </c>
      <c r="Q4265" s="1" t="str">
        <f aca="false">IF(P4265="","",IFERROR(IF(AND(H4265="W7",OR(F4265="causal",F4265="predictive")),IF(AND(K4265=1,L4265=1,M4265=1),"adequate","partial"),INDEX(Fit_Matrix!$B:$B,MATCH(P4265,Fit_Matrix!$A:$A,0))),"CHECK KEY"))</f>
        <v/>
      </c>
    </row>
    <row r="4266" customFormat="false" ht="15" hidden="false" customHeight="true" outlineLevel="0" collapsed="false">
      <c r="P4266" s="1" t="str">
        <f aca="false">IF(OR(F4266="",H4266="",J4266=""),"",J4266&amp;"|"&amp;F4266&amp;"|"&amp;IF(H4266="W3","W3_"&amp;IF(I4266="","unknown",I4266),H4266))</f>
        <v/>
      </c>
      <c r="Q4266" s="1" t="str">
        <f aca="false">IF(P4266="","",IFERROR(IF(AND(H4266="W7",OR(F4266="causal",F4266="predictive")),IF(AND(K4266=1,L4266=1,M4266=1),"adequate","partial"),INDEX(Fit_Matrix!$B:$B,MATCH(P4266,Fit_Matrix!$A:$A,0))),"CHECK KEY"))</f>
        <v/>
      </c>
    </row>
    <row r="4267" customFormat="false" ht="15" hidden="false" customHeight="true" outlineLevel="0" collapsed="false">
      <c r="P4267" s="1" t="str">
        <f aca="false">IF(OR(F4267="",H4267="",J4267=""),"",J4267&amp;"|"&amp;F4267&amp;"|"&amp;IF(H4267="W3","W3_"&amp;IF(I4267="","unknown",I4267),H4267))</f>
        <v/>
      </c>
      <c r="Q4267" s="1" t="str">
        <f aca="false">IF(P4267="","",IFERROR(IF(AND(H4267="W7",OR(F4267="causal",F4267="predictive")),IF(AND(K4267=1,L4267=1,M4267=1),"adequate","partial"),INDEX(Fit_Matrix!$B:$B,MATCH(P4267,Fit_Matrix!$A:$A,0))),"CHECK KEY"))</f>
        <v/>
      </c>
    </row>
    <row r="4268" customFormat="false" ht="15" hidden="false" customHeight="true" outlineLevel="0" collapsed="false">
      <c r="P4268" s="1" t="str">
        <f aca="false">IF(OR(F4268="",H4268="",J4268=""),"",J4268&amp;"|"&amp;F4268&amp;"|"&amp;IF(H4268="W3","W3_"&amp;IF(I4268="","unknown",I4268),H4268))</f>
        <v/>
      </c>
      <c r="Q4268" s="1" t="str">
        <f aca="false">IF(P4268="","",IFERROR(IF(AND(H4268="W7",OR(F4268="causal",F4268="predictive")),IF(AND(K4268=1,L4268=1,M4268=1),"adequate","partial"),INDEX(Fit_Matrix!$B:$B,MATCH(P4268,Fit_Matrix!$A:$A,0))),"CHECK KEY"))</f>
        <v/>
      </c>
    </row>
    <row r="4269" customFormat="false" ht="15" hidden="false" customHeight="true" outlineLevel="0" collapsed="false">
      <c r="P4269" s="1" t="str">
        <f aca="false">IF(OR(F4269="",H4269="",J4269=""),"",J4269&amp;"|"&amp;F4269&amp;"|"&amp;IF(H4269="W3","W3_"&amp;IF(I4269="","unknown",I4269),H4269))</f>
        <v/>
      </c>
      <c r="Q4269" s="1" t="str">
        <f aca="false">IF(P4269="","",IFERROR(IF(AND(H4269="W7",OR(F4269="causal",F4269="predictive")),IF(AND(K4269=1,L4269=1,M4269=1),"adequate","partial"),INDEX(Fit_Matrix!$B:$B,MATCH(P4269,Fit_Matrix!$A:$A,0))),"CHECK KEY"))</f>
        <v/>
      </c>
    </row>
    <row r="4270" customFormat="false" ht="15" hidden="false" customHeight="true" outlineLevel="0" collapsed="false">
      <c r="P4270" s="1" t="str">
        <f aca="false">IF(OR(F4270="",H4270="",J4270=""),"",J4270&amp;"|"&amp;F4270&amp;"|"&amp;IF(H4270="W3","W3_"&amp;IF(I4270="","unknown",I4270),H4270))</f>
        <v/>
      </c>
      <c r="Q4270" s="1" t="str">
        <f aca="false">IF(P4270="","",IFERROR(IF(AND(H4270="W7",OR(F4270="causal",F4270="predictive")),IF(AND(K4270=1,L4270=1,M4270=1),"adequate","partial"),INDEX(Fit_Matrix!$B:$B,MATCH(P4270,Fit_Matrix!$A:$A,0))),"CHECK KEY"))</f>
        <v/>
      </c>
    </row>
    <row r="4271" customFormat="false" ht="15" hidden="false" customHeight="true" outlineLevel="0" collapsed="false">
      <c r="P4271" s="1" t="str">
        <f aca="false">IF(OR(F4271="",H4271="",J4271=""),"",J4271&amp;"|"&amp;F4271&amp;"|"&amp;IF(H4271="W3","W3_"&amp;IF(I4271="","unknown",I4271),H4271))</f>
        <v/>
      </c>
      <c r="Q4271" s="1" t="str">
        <f aca="false">IF(P4271="","",IFERROR(IF(AND(H4271="W7",OR(F4271="causal",F4271="predictive")),IF(AND(K4271=1,L4271=1,M4271=1),"adequate","partial"),INDEX(Fit_Matrix!$B:$B,MATCH(P4271,Fit_Matrix!$A:$A,0))),"CHECK KEY"))</f>
        <v/>
      </c>
    </row>
    <row r="4272" customFormat="false" ht="15" hidden="false" customHeight="true" outlineLevel="0" collapsed="false">
      <c r="P4272" s="1" t="str">
        <f aca="false">IF(OR(F4272="",H4272="",J4272=""),"",J4272&amp;"|"&amp;F4272&amp;"|"&amp;IF(H4272="W3","W3_"&amp;IF(I4272="","unknown",I4272),H4272))</f>
        <v/>
      </c>
      <c r="Q4272" s="1" t="str">
        <f aca="false">IF(P4272="","",IFERROR(IF(AND(H4272="W7",OR(F4272="causal",F4272="predictive")),IF(AND(K4272=1,L4272=1,M4272=1),"adequate","partial"),INDEX(Fit_Matrix!$B:$B,MATCH(P4272,Fit_Matrix!$A:$A,0))),"CHECK KEY"))</f>
        <v/>
      </c>
    </row>
    <row r="4273" customFormat="false" ht="15" hidden="false" customHeight="true" outlineLevel="0" collapsed="false">
      <c r="P4273" s="1" t="str">
        <f aca="false">IF(OR(F4273="",H4273="",J4273=""),"",J4273&amp;"|"&amp;F4273&amp;"|"&amp;IF(H4273="W3","W3_"&amp;IF(I4273="","unknown",I4273),H4273))</f>
        <v/>
      </c>
      <c r="Q4273" s="1" t="str">
        <f aca="false">IF(P4273="","",IFERROR(IF(AND(H4273="W7",OR(F4273="causal",F4273="predictive")),IF(AND(K4273=1,L4273=1,M4273=1),"adequate","partial"),INDEX(Fit_Matrix!$B:$B,MATCH(P4273,Fit_Matrix!$A:$A,0))),"CHECK KEY"))</f>
        <v/>
      </c>
    </row>
    <row r="4274" customFormat="false" ht="15" hidden="false" customHeight="true" outlineLevel="0" collapsed="false">
      <c r="P4274" s="1" t="str">
        <f aca="false">IF(OR(F4274="",H4274="",J4274=""),"",J4274&amp;"|"&amp;F4274&amp;"|"&amp;IF(H4274="W3","W3_"&amp;IF(I4274="","unknown",I4274),H4274))</f>
        <v/>
      </c>
      <c r="Q4274" s="1" t="str">
        <f aca="false">IF(P4274="","",IFERROR(IF(AND(H4274="W7",OR(F4274="causal",F4274="predictive")),IF(AND(K4274=1,L4274=1,M4274=1),"adequate","partial"),INDEX(Fit_Matrix!$B:$B,MATCH(P4274,Fit_Matrix!$A:$A,0))),"CHECK KEY"))</f>
        <v/>
      </c>
    </row>
    <row r="4275" customFormat="false" ht="15" hidden="false" customHeight="true" outlineLevel="0" collapsed="false">
      <c r="P4275" s="1" t="str">
        <f aca="false">IF(OR(F4275="",H4275="",J4275=""),"",J4275&amp;"|"&amp;F4275&amp;"|"&amp;IF(H4275="W3","W3_"&amp;IF(I4275="","unknown",I4275),H4275))</f>
        <v/>
      </c>
      <c r="Q4275" s="1" t="str">
        <f aca="false">IF(P4275="","",IFERROR(IF(AND(H4275="W7",OR(F4275="causal",F4275="predictive")),IF(AND(K4275=1,L4275=1,M4275=1),"adequate","partial"),INDEX(Fit_Matrix!$B:$B,MATCH(P4275,Fit_Matrix!$A:$A,0))),"CHECK KEY"))</f>
        <v/>
      </c>
    </row>
    <row r="4276" customFormat="false" ht="15" hidden="false" customHeight="true" outlineLevel="0" collapsed="false">
      <c r="P4276" s="1" t="str">
        <f aca="false">IF(OR(F4276="",H4276="",J4276=""),"",J4276&amp;"|"&amp;F4276&amp;"|"&amp;IF(H4276="W3","W3_"&amp;IF(I4276="","unknown",I4276),H4276))</f>
        <v/>
      </c>
      <c r="Q4276" s="1" t="str">
        <f aca="false">IF(P4276="","",IFERROR(IF(AND(H4276="W7",OR(F4276="causal",F4276="predictive")),IF(AND(K4276=1,L4276=1,M4276=1),"adequate","partial"),INDEX(Fit_Matrix!$B:$B,MATCH(P4276,Fit_Matrix!$A:$A,0))),"CHECK KEY"))</f>
        <v/>
      </c>
    </row>
    <row r="4277" customFormat="false" ht="15" hidden="false" customHeight="true" outlineLevel="0" collapsed="false">
      <c r="P4277" s="1" t="str">
        <f aca="false">IF(OR(F4277="",H4277="",J4277=""),"",J4277&amp;"|"&amp;F4277&amp;"|"&amp;IF(H4277="W3","W3_"&amp;IF(I4277="","unknown",I4277),H4277))</f>
        <v/>
      </c>
      <c r="Q4277" s="1" t="str">
        <f aca="false">IF(P4277="","",IFERROR(IF(AND(H4277="W7",OR(F4277="causal",F4277="predictive")),IF(AND(K4277=1,L4277=1,M4277=1),"adequate","partial"),INDEX(Fit_Matrix!$B:$B,MATCH(P4277,Fit_Matrix!$A:$A,0))),"CHECK KEY"))</f>
        <v/>
      </c>
    </row>
    <row r="4278" customFormat="false" ht="15" hidden="false" customHeight="true" outlineLevel="0" collapsed="false">
      <c r="P4278" s="1" t="str">
        <f aca="false">IF(OR(F4278="",H4278="",J4278=""),"",J4278&amp;"|"&amp;F4278&amp;"|"&amp;IF(H4278="W3","W3_"&amp;IF(I4278="","unknown",I4278),H4278))</f>
        <v/>
      </c>
      <c r="Q4278" s="1" t="str">
        <f aca="false">IF(P4278="","",IFERROR(IF(AND(H4278="W7",OR(F4278="causal",F4278="predictive")),IF(AND(K4278=1,L4278=1,M4278=1),"adequate","partial"),INDEX(Fit_Matrix!$B:$B,MATCH(P4278,Fit_Matrix!$A:$A,0))),"CHECK KEY"))</f>
        <v/>
      </c>
    </row>
    <row r="4279" customFormat="false" ht="15" hidden="false" customHeight="true" outlineLevel="0" collapsed="false">
      <c r="P4279" s="1" t="str">
        <f aca="false">IF(OR(F4279="",H4279="",J4279=""),"",J4279&amp;"|"&amp;F4279&amp;"|"&amp;IF(H4279="W3","W3_"&amp;IF(I4279="","unknown",I4279),H4279))</f>
        <v/>
      </c>
      <c r="Q4279" s="1" t="str">
        <f aca="false">IF(P4279="","",IFERROR(IF(AND(H4279="W7",OR(F4279="causal",F4279="predictive")),IF(AND(K4279=1,L4279=1,M4279=1),"adequate","partial"),INDEX(Fit_Matrix!$B:$B,MATCH(P4279,Fit_Matrix!$A:$A,0))),"CHECK KEY"))</f>
        <v/>
      </c>
    </row>
    <row r="4280" customFormat="false" ht="15" hidden="false" customHeight="true" outlineLevel="0" collapsed="false">
      <c r="P4280" s="1" t="str">
        <f aca="false">IF(OR(F4280="",H4280="",J4280=""),"",J4280&amp;"|"&amp;F4280&amp;"|"&amp;IF(H4280="W3","W3_"&amp;IF(I4280="","unknown",I4280),H4280))</f>
        <v/>
      </c>
      <c r="Q4280" s="1" t="str">
        <f aca="false">IF(P4280="","",IFERROR(IF(AND(H4280="W7",OR(F4280="causal",F4280="predictive")),IF(AND(K4280=1,L4280=1,M4280=1),"adequate","partial"),INDEX(Fit_Matrix!$B:$B,MATCH(P4280,Fit_Matrix!$A:$A,0))),"CHECK KEY"))</f>
        <v/>
      </c>
    </row>
    <row r="4281" customFormat="false" ht="15" hidden="false" customHeight="true" outlineLevel="0" collapsed="false">
      <c r="P4281" s="1" t="str">
        <f aca="false">IF(OR(F4281="",H4281="",J4281=""),"",J4281&amp;"|"&amp;F4281&amp;"|"&amp;IF(H4281="W3","W3_"&amp;IF(I4281="","unknown",I4281),H4281))</f>
        <v/>
      </c>
      <c r="Q4281" s="1" t="str">
        <f aca="false">IF(P4281="","",IFERROR(IF(AND(H4281="W7",OR(F4281="causal",F4281="predictive")),IF(AND(K4281=1,L4281=1,M4281=1),"adequate","partial"),INDEX(Fit_Matrix!$B:$B,MATCH(P4281,Fit_Matrix!$A:$A,0))),"CHECK KEY"))</f>
        <v/>
      </c>
    </row>
    <row r="4282" customFormat="false" ht="15" hidden="false" customHeight="true" outlineLevel="0" collapsed="false">
      <c r="P4282" s="1" t="str">
        <f aca="false">IF(OR(F4282="",H4282="",J4282=""),"",J4282&amp;"|"&amp;F4282&amp;"|"&amp;IF(H4282="W3","W3_"&amp;IF(I4282="","unknown",I4282),H4282))</f>
        <v/>
      </c>
      <c r="Q4282" s="1" t="str">
        <f aca="false">IF(P4282="","",IFERROR(IF(AND(H4282="W7",OR(F4282="causal",F4282="predictive")),IF(AND(K4282=1,L4282=1,M4282=1),"adequate","partial"),INDEX(Fit_Matrix!$B:$B,MATCH(P4282,Fit_Matrix!$A:$A,0))),"CHECK KEY"))</f>
        <v/>
      </c>
    </row>
    <row r="4283" customFormat="false" ht="15" hidden="false" customHeight="true" outlineLevel="0" collapsed="false">
      <c r="P4283" s="1" t="str">
        <f aca="false">IF(OR(F4283="",H4283="",J4283=""),"",J4283&amp;"|"&amp;F4283&amp;"|"&amp;IF(H4283="W3","W3_"&amp;IF(I4283="","unknown",I4283),H4283))</f>
        <v/>
      </c>
      <c r="Q4283" s="1" t="str">
        <f aca="false">IF(P4283="","",IFERROR(IF(AND(H4283="W7",OR(F4283="causal",F4283="predictive")),IF(AND(K4283=1,L4283=1,M4283=1),"adequate","partial"),INDEX(Fit_Matrix!$B:$B,MATCH(P4283,Fit_Matrix!$A:$A,0))),"CHECK KEY"))</f>
        <v/>
      </c>
    </row>
    <row r="4284" customFormat="false" ht="15" hidden="false" customHeight="true" outlineLevel="0" collapsed="false">
      <c r="P4284" s="1" t="str">
        <f aca="false">IF(OR(F4284="",H4284="",J4284=""),"",J4284&amp;"|"&amp;F4284&amp;"|"&amp;IF(H4284="W3","W3_"&amp;IF(I4284="","unknown",I4284),H4284))</f>
        <v/>
      </c>
      <c r="Q4284" s="1" t="str">
        <f aca="false">IF(P4284="","",IFERROR(IF(AND(H4284="W7",OR(F4284="causal",F4284="predictive")),IF(AND(K4284=1,L4284=1,M4284=1),"adequate","partial"),INDEX(Fit_Matrix!$B:$B,MATCH(P4284,Fit_Matrix!$A:$A,0))),"CHECK KEY"))</f>
        <v/>
      </c>
    </row>
    <row r="4285" customFormat="false" ht="15" hidden="false" customHeight="true" outlineLevel="0" collapsed="false">
      <c r="P4285" s="1" t="str">
        <f aca="false">IF(OR(F4285="",H4285="",J4285=""),"",J4285&amp;"|"&amp;F4285&amp;"|"&amp;IF(H4285="W3","W3_"&amp;IF(I4285="","unknown",I4285),H4285))</f>
        <v/>
      </c>
      <c r="Q4285" s="1" t="str">
        <f aca="false">IF(P4285="","",IFERROR(IF(AND(H4285="W7",OR(F4285="causal",F4285="predictive")),IF(AND(K4285=1,L4285=1,M4285=1),"adequate","partial"),INDEX(Fit_Matrix!$B:$B,MATCH(P4285,Fit_Matrix!$A:$A,0))),"CHECK KEY"))</f>
        <v/>
      </c>
    </row>
    <row r="4286" customFormat="false" ht="15" hidden="false" customHeight="true" outlineLevel="0" collapsed="false">
      <c r="P4286" s="1" t="str">
        <f aca="false">IF(OR(F4286="",H4286="",J4286=""),"",J4286&amp;"|"&amp;F4286&amp;"|"&amp;IF(H4286="W3","W3_"&amp;IF(I4286="","unknown",I4286),H4286))</f>
        <v/>
      </c>
      <c r="Q4286" s="1" t="str">
        <f aca="false">IF(P4286="","",IFERROR(IF(AND(H4286="W7",OR(F4286="causal",F4286="predictive")),IF(AND(K4286=1,L4286=1,M4286=1),"adequate","partial"),INDEX(Fit_Matrix!$B:$B,MATCH(P4286,Fit_Matrix!$A:$A,0))),"CHECK KEY"))</f>
        <v/>
      </c>
    </row>
    <row r="4287" customFormat="false" ht="15" hidden="false" customHeight="true" outlineLevel="0" collapsed="false">
      <c r="P4287" s="1" t="str">
        <f aca="false">IF(OR(F4287="",H4287="",J4287=""),"",J4287&amp;"|"&amp;F4287&amp;"|"&amp;IF(H4287="W3","W3_"&amp;IF(I4287="","unknown",I4287),H4287))</f>
        <v/>
      </c>
      <c r="Q4287" s="1" t="str">
        <f aca="false">IF(P4287="","",IFERROR(IF(AND(H4287="W7",OR(F4287="causal",F4287="predictive")),IF(AND(K4287=1,L4287=1,M4287=1),"adequate","partial"),INDEX(Fit_Matrix!$B:$B,MATCH(P4287,Fit_Matrix!$A:$A,0))),"CHECK KEY"))</f>
        <v/>
      </c>
    </row>
    <row r="4288" customFormat="false" ht="15" hidden="false" customHeight="true" outlineLevel="0" collapsed="false">
      <c r="P4288" s="1" t="str">
        <f aca="false">IF(OR(F4288="",H4288="",J4288=""),"",J4288&amp;"|"&amp;F4288&amp;"|"&amp;IF(H4288="W3","W3_"&amp;IF(I4288="","unknown",I4288),H4288))</f>
        <v/>
      </c>
      <c r="Q4288" s="1" t="str">
        <f aca="false">IF(P4288="","",IFERROR(IF(AND(H4288="W7",OR(F4288="causal",F4288="predictive")),IF(AND(K4288=1,L4288=1,M4288=1),"adequate","partial"),INDEX(Fit_Matrix!$B:$B,MATCH(P4288,Fit_Matrix!$A:$A,0))),"CHECK KEY"))</f>
        <v/>
      </c>
    </row>
    <row r="4289" customFormat="false" ht="15" hidden="false" customHeight="true" outlineLevel="0" collapsed="false">
      <c r="P4289" s="1" t="str">
        <f aca="false">IF(OR(F4289="",H4289="",J4289=""),"",J4289&amp;"|"&amp;F4289&amp;"|"&amp;IF(H4289="W3","W3_"&amp;IF(I4289="","unknown",I4289),H4289))</f>
        <v/>
      </c>
      <c r="Q4289" s="1" t="str">
        <f aca="false">IF(P4289="","",IFERROR(IF(AND(H4289="W7",OR(F4289="causal",F4289="predictive")),IF(AND(K4289=1,L4289=1,M4289=1),"adequate","partial"),INDEX(Fit_Matrix!$B:$B,MATCH(P4289,Fit_Matrix!$A:$A,0))),"CHECK KEY"))</f>
        <v/>
      </c>
    </row>
    <row r="4290" customFormat="false" ht="15" hidden="false" customHeight="true" outlineLevel="0" collapsed="false">
      <c r="P4290" s="1" t="str">
        <f aca="false">IF(OR(F4290="",H4290="",J4290=""),"",J4290&amp;"|"&amp;F4290&amp;"|"&amp;IF(H4290="W3","W3_"&amp;IF(I4290="","unknown",I4290),H4290))</f>
        <v/>
      </c>
      <c r="Q4290" s="1" t="str">
        <f aca="false">IF(P4290="","",IFERROR(IF(AND(H4290="W7",OR(F4290="causal",F4290="predictive")),IF(AND(K4290=1,L4290=1,M4290=1),"adequate","partial"),INDEX(Fit_Matrix!$B:$B,MATCH(P4290,Fit_Matrix!$A:$A,0))),"CHECK KEY"))</f>
        <v/>
      </c>
    </row>
    <row r="4291" customFormat="false" ht="15" hidden="false" customHeight="true" outlineLevel="0" collapsed="false">
      <c r="P4291" s="1" t="str">
        <f aca="false">IF(OR(F4291="",H4291="",J4291=""),"",J4291&amp;"|"&amp;F4291&amp;"|"&amp;IF(H4291="W3","W3_"&amp;IF(I4291="","unknown",I4291),H4291))</f>
        <v/>
      </c>
      <c r="Q4291" s="1" t="str">
        <f aca="false">IF(P4291="","",IFERROR(IF(AND(H4291="W7",OR(F4291="causal",F4291="predictive")),IF(AND(K4291=1,L4291=1,M4291=1),"adequate","partial"),INDEX(Fit_Matrix!$B:$B,MATCH(P4291,Fit_Matrix!$A:$A,0))),"CHECK KEY"))</f>
        <v/>
      </c>
    </row>
    <row r="4292" customFormat="false" ht="15" hidden="false" customHeight="true" outlineLevel="0" collapsed="false">
      <c r="P4292" s="1" t="str">
        <f aca="false">IF(OR(F4292="",H4292="",J4292=""),"",J4292&amp;"|"&amp;F4292&amp;"|"&amp;IF(H4292="W3","W3_"&amp;IF(I4292="","unknown",I4292),H4292))</f>
        <v/>
      </c>
      <c r="Q4292" s="1" t="str">
        <f aca="false">IF(P4292="","",IFERROR(IF(AND(H4292="W7",OR(F4292="causal",F4292="predictive")),IF(AND(K4292=1,L4292=1,M4292=1),"adequate","partial"),INDEX(Fit_Matrix!$B:$B,MATCH(P4292,Fit_Matrix!$A:$A,0))),"CHECK KEY"))</f>
        <v/>
      </c>
    </row>
    <row r="4293" customFormat="false" ht="15" hidden="false" customHeight="true" outlineLevel="0" collapsed="false">
      <c r="P4293" s="1" t="str">
        <f aca="false">IF(OR(F4293="",H4293="",J4293=""),"",J4293&amp;"|"&amp;F4293&amp;"|"&amp;IF(H4293="W3","W3_"&amp;IF(I4293="","unknown",I4293),H4293))</f>
        <v/>
      </c>
      <c r="Q4293" s="1" t="str">
        <f aca="false">IF(P4293="","",IFERROR(IF(AND(H4293="W7",OR(F4293="causal",F4293="predictive")),IF(AND(K4293=1,L4293=1,M4293=1),"adequate","partial"),INDEX(Fit_Matrix!$B:$B,MATCH(P4293,Fit_Matrix!$A:$A,0))),"CHECK KEY"))</f>
        <v/>
      </c>
    </row>
    <row r="4294" customFormat="false" ht="15" hidden="false" customHeight="true" outlineLevel="0" collapsed="false">
      <c r="P4294" s="1" t="str">
        <f aca="false">IF(OR(F4294="",H4294="",J4294=""),"",J4294&amp;"|"&amp;F4294&amp;"|"&amp;IF(H4294="W3","W3_"&amp;IF(I4294="","unknown",I4294),H4294))</f>
        <v/>
      </c>
      <c r="Q4294" s="1" t="str">
        <f aca="false">IF(P4294="","",IFERROR(IF(AND(H4294="W7",OR(F4294="causal",F4294="predictive")),IF(AND(K4294=1,L4294=1,M4294=1),"adequate","partial"),INDEX(Fit_Matrix!$B:$B,MATCH(P4294,Fit_Matrix!$A:$A,0))),"CHECK KEY"))</f>
        <v/>
      </c>
    </row>
    <row r="4295" customFormat="false" ht="15" hidden="false" customHeight="true" outlineLevel="0" collapsed="false">
      <c r="P4295" s="1" t="str">
        <f aca="false">IF(OR(F4295="",H4295="",J4295=""),"",J4295&amp;"|"&amp;F4295&amp;"|"&amp;IF(H4295="W3","W3_"&amp;IF(I4295="","unknown",I4295),H4295))</f>
        <v/>
      </c>
      <c r="Q4295" s="1" t="str">
        <f aca="false">IF(P4295="","",IFERROR(IF(AND(H4295="W7",OR(F4295="causal",F4295="predictive")),IF(AND(K4295=1,L4295=1,M4295=1),"adequate","partial"),INDEX(Fit_Matrix!$B:$B,MATCH(P4295,Fit_Matrix!$A:$A,0))),"CHECK KEY"))</f>
        <v/>
      </c>
    </row>
    <row r="4296" customFormat="false" ht="15" hidden="false" customHeight="true" outlineLevel="0" collapsed="false">
      <c r="P4296" s="1" t="str">
        <f aca="false">IF(OR(F4296="",H4296="",J4296=""),"",J4296&amp;"|"&amp;F4296&amp;"|"&amp;IF(H4296="W3","W3_"&amp;IF(I4296="","unknown",I4296),H4296))</f>
        <v/>
      </c>
      <c r="Q4296" s="1" t="str">
        <f aca="false">IF(P4296="","",IFERROR(IF(AND(H4296="W7",OR(F4296="causal",F4296="predictive")),IF(AND(K4296=1,L4296=1,M4296=1),"adequate","partial"),INDEX(Fit_Matrix!$B:$B,MATCH(P4296,Fit_Matrix!$A:$A,0))),"CHECK KEY"))</f>
        <v/>
      </c>
    </row>
    <row r="4297" customFormat="false" ht="15" hidden="false" customHeight="true" outlineLevel="0" collapsed="false">
      <c r="P4297" s="1" t="str">
        <f aca="false">IF(OR(F4297="",H4297="",J4297=""),"",J4297&amp;"|"&amp;F4297&amp;"|"&amp;IF(H4297="W3","W3_"&amp;IF(I4297="","unknown",I4297),H4297))</f>
        <v/>
      </c>
      <c r="Q4297" s="1" t="str">
        <f aca="false">IF(P4297="","",IFERROR(IF(AND(H4297="W7",OR(F4297="causal",F4297="predictive")),IF(AND(K4297=1,L4297=1,M4297=1),"adequate","partial"),INDEX(Fit_Matrix!$B:$B,MATCH(P4297,Fit_Matrix!$A:$A,0))),"CHECK KEY"))</f>
        <v/>
      </c>
    </row>
    <row r="4298" customFormat="false" ht="15" hidden="false" customHeight="true" outlineLevel="0" collapsed="false">
      <c r="P4298" s="1" t="str">
        <f aca="false">IF(OR(F4298="",H4298="",J4298=""),"",J4298&amp;"|"&amp;F4298&amp;"|"&amp;IF(H4298="W3","W3_"&amp;IF(I4298="","unknown",I4298),H4298))</f>
        <v/>
      </c>
      <c r="Q4298" s="1" t="str">
        <f aca="false">IF(P4298="","",IFERROR(IF(AND(H4298="W7",OR(F4298="causal",F4298="predictive")),IF(AND(K4298=1,L4298=1,M4298=1),"adequate","partial"),INDEX(Fit_Matrix!$B:$B,MATCH(P4298,Fit_Matrix!$A:$A,0))),"CHECK KEY"))</f>
        <v/>
      </c>
    </row>
    <row r="4299" customFormat="false" ht="15" hidden="false" customHeight="true" outlineLevel="0" collapsed="false">
      <c r="P4299" s="1" t="str">
        <f aca="false">IF(OR(F4299="",H4299="",J4299=""),"",J4299&amp;"|"&amp;F4299&amp;"|"&amp;IF(H4299="W3","W3_"&amp;IF(I4299="","unknown",I4299),H4299))</f>
        <v/>
      </c>
      <c r="Q4299" s="1" t="str">
        <f aca="false">IF(P4299="","",IFERROR(IF(AND(H4299="W7",OR(F4299="causal",F4299="predictive")),IF(AND(K4299=1,L4299=1,M4299=1),"adequate","partial"),INDEX(Fit_Matrix!$B:$B,MATCH(P4299,Fit_Matrix!$A:$A,0))),"CHECK KEY"))</f>
        <v/>
      </c>
    </row>
    <row r="4300" customFormat="false" ht="15" hidden="false" customHeight="true" outlineLevel="0" collapsed="false">
      <c r="P4300" s="1" t="str">
        <f aca="false">IF(OR(F4300="",H4300="",J4300=""),"",J4300&amp;"|"&amp;F4300&amp;"|"&amp;IF(H4300="W3","W3_"&amp;IF(I4300="","unknown",I4300),H4300))</f>
        <v/>
      </c>
      <c r="Q4300" s="1" t="str">
        <f aca="false">IF(P4300="","",IFERROR(IF(AND(H4300="W7",OR(F4300="causal",F4300="predictive")),IF(AND(K4300=1,L4300=1,M4300=1),"adequate","partial"),INDEX(Fit_Matrix!$B:$B,MATCH(P4300,Fit_Matrix!$A:$A,0))),"CHECK KEY"))</f>
        <v/>
      </c>
    </row>
    <row r="4301" customFormat="false" ht="15" hidden="false" customHeight="true" outlineLevel="0" collapsed="false">
      <c r="P4301" s="1" t="str">
        <f aca="false">IF(OR(F4301="",H4301="",J4301=""),"",J4301&amp;"|"&amp;F4301&amp;"|"&amp;IF(H4301="W3","W3_"&amp;IF(I4301="","unknown",I4301),H4301))</f>
        <v/>
      </c>
      <c r="Q4301" s="1" t="str">
        <f aca="false">IF(P4301="","",IFERROR(IF(AND(H4301="W7",OR(F4301="causal",F4301="predictive")),IF(AND(K4301=1,L4301=1,M4301=1),"adequate","partial"),INDEX(Fit_Matrix!$B:$B,MATCH(P4301,Fit_Matrix!$A:$A,0))),"CHECK KEY"))</f>
        <v/>
      </c>
    </row>
    <row r="4302" customFormat="false" ht="15" hidden="false" customHeight="true" outlineLevel="0" collapsed="false">
      <c r="P4302" s="1" t="str">
        <f aca="false">IF(OR(F4302="",H4302="",J4302=""),"",J4302&amp;"|"&amp;F4302&amp;"|"&amp;IF(H4302="W3","W3_"&amp;IF(I4302="","unknown",I4302),H4302))</f>
        <v/>
      </c>
      <c r="Q4302" s="1" t="str">
        <f aca="false">IF(P4302="","",IFERROR(IF(AND(H4302="W7",OR(F4302="causal",F4302="predictive")),IF(AND(K4302=1,L4302=1,M4302=1),"adequate","partial"),INDEX(Fit_Matrix!$B:$B,MATCH(P4302,Fit_Matrix!$A:$A,0))),"CHECK KEY"))</f>
        <v/>
      </c>
    </row>
    <row r="4303" customFormat="false" ht="15" hidden="false" customHeight="true" outlineLevel="0" collapsed="false">
      <c r="P4303" s="1" t="str">
        <f aca="false">IF(OR(F4303="",H4303="",J4303=""),"",J4303&amp;"|"&amp;F4303&amp;"|"&amp;IF(H4303="W3","W3_"&amp;IF(I4303="","unknown",I4303),H4303))</f>
        <v/>
      </c>
      <c r="Q4303" s="1" t="str">
        <f aca="false">IF(P4303="","",IFERROR(IF(AND(H4303="W7",OR(F4303="causal",F4303="predictive")),IF(AND(K4303=1,L4303=1,M4303=1),"adequate","partial"),INDEX(Fit_Matrix!$B:$B,MATCH(P4303,Fit_Matrix!$A:$A,0))),"CHECK KEY"))</f>
        <v/>
      </c>
    </row>
    <row r="4304" customFormat="false" ht="15" hidden="false" customHeight="true" outlineLevel="0" collapsed="false">
      <c r="P4304" s="1" t="str">
        <f aca="false">IF(OR(F4304="",H4304="",J4304=""),"",J4304&amp;"|"&amp;F4304&amp;"|"&amp;IF(H4304="W3","W3_"&amp;IF(I4304="","unknown",I4304),H4304))</f>
        <v/>
      </c>
      <c r="Q4304" s="1" t="str">
        <f aca="false">IF(P4304="","",IFERROR(IF(AND(H4304="W7",OR(F4304="causal",F4304="predictive")),IF(AND(K4304=1,L4304=1,M4304=1),"adequate","partial"),INDEX(Fit_Matrix!$B:$B,MATCH(P4304,Fit_Matrix!$A:$A,0))),"CHECK KEY"))</f>
        <v/>
      </c>
    </row>
    <row r="4305" customFormat="false" ht="15" hidden="false" customHeight="true" outlineLevel="0" collapsed="false">
      <c r="P4305" s="1" t="str">
        <f aca="false">IF(OR(F4305="",H4305="",J4305=""),"",J4305&amp;"|"&amp;F4305&amp;"|"&amp;IF(H4305="W3","W3_"&amp;IF(I4305="","unknown",I4305),H4305))</f>
        <v/>
      </c>
      <c r="Q4305" s="1" t="str">
        <f aca="false">IF(P4305="","",IFERROR(IF(AND(H4305="W7",OR(F4305="causal",F4305="predictive")),IF(AND(K4305=1,L4305=1,M4305=1),"adequate","partial"),INDEX(Fit_Matrix!$B:$B,MATCH(P4305,Fit_Matrix!$A:$A,0))),"CHECK KEY"))</f>
        <v/>
      </c>
    </row>
    <row r="4306" customFormat="false" ht="15" hidden="false" customHeight="true" outlineLevel="0" collapsed="false">
      <c r="P4306" s="1" t="str">
        <f aca="false">IF(OR(F4306="",H4306="",J4306=""),"",J4306&amp;"|"&amp;F4306&amp;"|"&amp;IF(H4306="W3","W3_"&amp;IF(I4306="","unknown",I4306),H4306))</f>
        <v/>
      </c>
      <c r="Q4306" s="1" t="str">
        <f aca="false">IF(P4306="","",IFERROR(IF(AND(H4306="W7",OR(F4306="causal",F4306="predictive")),IF(AND(K4306=1,L4306=1,M4306=1),"adequate","partial"),INDEX(Fit_Matrix!$B:$B,MATCH(P4306,Fit_Matrix!$A:$A,0))),"CHECK KEY"))</f>
        <v/>
      </c>
    </row>
    <row r="4307" customFormat="false" ht="15" hidden="false" customHeight="true" outlineLevel="0" collapsed="false">
      <c r="P4307" s="1" t="str">
        <f aca="false">IF(OR(F4307="",H4307="",J4307=""),"",J4307&amp;"|"&amp;F4307&amp;"|"&amp;IF(H4307="W3","W3_"&amp;IF(I4307="","unknown",I4307),H4307))</f>
        <v/>
      </c>
      <c r="Q4307" s="1" t="str">
        <f aca="false">IF(P4307="","",IFERROR(IF(AND(H4307="W7",OR(F4307="causal",F4307="predictive")),IF(AND(K4307=1,L4307=1,M4307=1),"adequate","partial"),INDEX(Fit_Matrix!$B:$B,MATCH(P4307,Fit_Matrix!$A:$A,0))),"CHECK KEY"))</f>
        <v/>
      </c>
    </row>
    <row r="4308" customFormat="false" ht="15" hidden="false" customHeight="true" outlineLevel="0" collapsed="false">
      <c r="P4308" s="1" t="str">
        <f aca="false">IF(OR(F4308="",H4308="",J4308=""),"",J4308&amp;"|"&amp;F4308&amp;"|"&amp;IF(H4308="W3","W3_"&amp;IF(I4308="","unknown",I4308),H4308))</f>
        <v/>
      </c>
      <c r="Q4308" s="1" t="str">
        <f aca="false">IF(P4308="","",IFERROR(IF(AND(H4308="W7",OR(F4308="causal",F4308="predictive")),IF(AND(K4308=1,L4308=1,M4308=1),"adequate","partial"),INDEX(Fit_Matrix!$B:$B,MATCH(P4308,Fit_Matrix!$A:$A,0))),"CHECK KEY"))</f>
        <v/>
      </c>
    </row>
    <row r="4309" customFormat="false" ht="15" hidden="false" customHeight="true" outlineLevel="0" collapsed="false">
      <c r="P4309" s="1" t="str">
        <f aca="false">IF(OR(F4309="",H4309="",J4309=""),"",J4309&amp;"|"&amp;F4309&amp;"|"&amp;IF(H4309="W3","W3_"&amp;IF(I4309="","unknown",I4309),H4309))</f>
        <v/>
      </c>
      <c r="Q4309" s="1" t="str">
        <f aca="false">IF(P4309="","",IFERROR(IF(AND(H4309="W7",OR(F4309="causal",F4309="predictive")),IF(AND(K4309=1,L4309=1,M4309=1),"adequate","partial"),INDEX(Fit_Matrix!$B:$B,MATCH(P4309,Fit_Matrix!$A:$A,0))),"CHECK KEY"))</f>
        <v/>
      </c>
    </row>
    <row r="4310" customFormat="false" ht="15" hidden="false" customHeight="true" outlineLevel="0" collapsed="false">
      <c r="P4310" s="1" t="str">
        <f aca="false">IF(OR(F4310="",H4310="",J4310=""),"",J4310&amp;"|"&amp;F4310&amp;"|"&amp;IF(H4310="W3","W3_"&amp;IF(I4310="","unknown",I4310),H4310))</f>
        <v/>
      </c>
      <c r="Q4310" s="1" t="str">
        <f aca="false">IF(P4310="","",IFERROR(IF(AND(H4310="W7",OR(F4310="causal",F4310="predictive")),IF(AND(K4310=1,L4310=1,M4310=1),"adequate","partial"),INDEX(Fit_Matrix!$B:$B,MATCH(P4310,Fit_Matrix!$A:$A,0))),"CHECK KEY"))</f>
        <v/>
      </c>
    </row>
    <row r="4311" customFormat="false" ht="15" hidden="false" customHeight="true" outlineLevel="0" collapsed="false">
      <c r="P4311" s="1" t="str">
        <f aca="false">IF(OR(F4311="",H4311="",J4311=""),"",J4311&amp;"|"&amp;F4311&amp;"|"&amp;IF(H4311="W3","W3_"&amp;IF(I4311="","unknown",I4311),H4311))</f>
        <v/>
      </c>
      <c r="Q4311" s="1" t="str">
        <f aca="false">IF(P4311="","",IFERROR(IF(AND(H4311="W7",OR(F4311="causal",F4311="predictive")),IF(AND(K4311=1,L4311=1,M4311=1),"adequate","partial"),INDEX(Fit_Matrix!$B:$B,MATCH(P4311,Fit_Matrix!$A:$A,0))),"CHECK KEY"))</f>
        <v/>
      </c>
    </row>
    <row r="4312" customFormat="false" ht="15" hidden="false" customHeight="true" outlineLevel="0" collapsed="false">
      <c r="P4312" s="1" t="str">
        <f aca="false">IF(OR(F4312="",H4312="",J4312=""),"",J4312&amp;"|"&amp;F4312&amp;"|"&amp;IF(H4312="W3","W3_"&amp;IF(I4312="","unknown",I4312),H4312))</f>
        <v/>
      </c>
      <c r="Q4312" s="1" t="str">
        <f aca="false">IF(P4312="","",IFERROR(IF(AND(H4312="W7",OR(F4312="causal",F4312="predictive")),IF(AND(K4312=1,L4312=1,M4312=1),"adequate","partial"),INDEX(Fit_Matrix!$B:$B,MATCH(P4312,Fit_Matrix!$A:$A,0))),"CHECK KEY"))</f>
        <v/>
      </c>
    </row>
    <row r="4313" customFormat="false" ht="15" hidden="false" customHeight="true" outlineLevel="0" collapsed="false">
      <c r="P4313" s="1" t="str">
        <f aca="false">IF(OR(F4313="",H4313="",J4313=""),"",J4313&amp;"|"&amp;F4313&amp;"|"&amp;IF(H4313="W3","W3_"&amp;IF(I4313="","unknown",I4313),H4313))</f>
        <v/>
      </c>
      <c r="Q4313" s="1" t="str">
        <f aca="false">IF(P4313="","",IFERROR(IF(AND(H4313="W7",OR(F4313="causal",F4313="predictive")),IF(AND(K4313=1,L4313=1,M4313=1),"adequate","partial"),INDEX(Fit_Matrix!$B:$B,MATCH(P4313,Fit_Matrix!$A:$A,0))),"CHECK KEY"))</f>
        <v/>
      </c>
    </row>
    <row r="4314" customFormat="false" ht="15" hidden="false" customHeight="true" outlineLevel="0" collapsed="false">
      <c r="P4314" s="1" t="str">
        <f aca="false">IF(OR(F4314="",H4314="",J4314=""),"",J4314&amp;"|"&amp;F4314&amp;"|"&amp;IF(H4314="W3","W3_"&amp;IF(I4314="","unknown",I4314),H4314))</f>
        <v/>
      </c>
      <c r="Q4314" s="1" t="str">
        <f aca="false">IF(P4314="","",IFERROR(IF(AND(H4314="W7",OR(F4314="causal",F4314="predictive")),IF(AND(K4314=1,L4314=1,M4314=1),"adequate","partial"),INDEX(Fit_Matrix!$B:$B,MATCH(P4314,Fit_Matrix!$A:$A,0))),"CHECK KEY"))</f>
        <v/>
      </c>
    </row>
    <row r="4315" customFormat="false" ht="15" hidden="false" customHeight="true" outlineLevel="0" collapsed="false">
      <c r="P4315" s="1" t="str">
        <f aca="false">IF(OR(F4315="",H4315="",J4315=""),"",J4315&amp;"|"&amp;F4315&amp;"|"&amp;IF(H4315="W3","W3_"&amp;IF(I4315="","unknown",I4315),H4315))</f>
        <v/>
      </c>
      <c r="Q4315" s="1" t="str">
        <f aca="false">IF(P4315="","",IFERROR(IF(AND(H4315="W7",OR(F4315="causal",F4315="predictive")),IF(AND(K4315=1,L4315=1,M4315=1),"adequate","partial"),INDEX(Fit_Matrix!$B:$B,MATCH(P4315,Fit_Matrix!$A:$A,0))),"CHECK KEY"))</f>
        <v/>
      </c>
    </row>
    <row r="4316" customFormat="false" ht="15" hidden="false" customHeight="true" outlineLevel="0" collapsed="false">
      <c r="P4316" s="1" t="str">
        <f aca="false">IF(OR(F4316="",H4316="",J4316=""),"",J4316&amp;"|"&amp;F4316&amp;"|"&amp;IF(H4316="W3","W3_"&amp;IF(I4316="","unknown",I4316),H4316))</f>
        <v/>
      </c>
      <c r="Q4316" s="1" t="str">
        <f aca="false">IF(P4316="","",IFERROR(IF(AND(H4316="W7",OR(F4316="causal",F4316="predictive")),IF(AND(K4316=1,L4316=1,M4316=1),"adequate","partial"),INDEX(Fit_Matrix!$B:$B,MATCH(P4316,Fit_Matrix!$A:$A,0))),"CHECK KEY"))</f>
        <v/>
      </c>
    </row>
    <row r="4317" customFormat="false" ht="15" hidden="false" customHeight="true" outlineLevel="0" collapsed="false">
      <c r="P4317" s="1" t="str">
        <f aca="false">IF(OR(F4317="",H4317="",J4317=""),"",J4317&amp;"|"&amp;F4317&amp;"|"&amp;IF(H4317="W3","W3_"&amp;IF(I4317="","unknown",I4317),H4317))</f>
        <v/>
      </c>
      <c r="Q4317" s="1" t="str">
        <f aca="false">IF(P4317="","",IFERROR(IF(AND(H4317="W7",OR(F4317="causal",F4317="predictive")),IF(AND(K4317=1,L4317=1,M4317=1),"adequate","partial"),INDEX(Fit_Matrix!$B:$B,MATCH(P4317,Fit_Matrix!$A:$A,0))),"CHECK KEY"))</f>
        <v/>
      </c>
    </row>
    <row r="4318" customFormat="false" ht="15" hidden="false" customHeight="true" outlineLevel="0" collapsed="false">
      <c r="P4318" s="1" t="str">
        <f aca="false">IF(OR(F4318="",H4318="",J4318=""),"",J4318&amp;"|"&amp;F4318&amp;"|"&amp;IF(H4318="W3","W3_"&amp;IF(I4318="","unknown",I4318),H4318))</f>
        <v/>
      </c>
      <c r="Q4318" s="1" t="str">
        <f aca="false">IF(P4318="","",IFERROR(IF(AND(H4318="W7",OR(F4318="causal",F4318="predictive")),IF(AND(K4318=1,L4318=1,M4318=1),"adequate","partial"),INDEX(Fit_Matrix!$B:$B,MATCH(P4318,Fit_Matrix!$A:$A,0))),"CHECK KEY"))</f>
        <v/>
      </c>
    </row>
    <row r="4319" customFormat="false" ht="15" hidden="false" customHeight="true" outlineLevel="0" collapsed="false">
      <c r="P4319" s="1" t="str">
        <f aca="false">IF(OR(F4319="",H4319="",J4319=""),"",J4319&amp;"|"&amp;F4319&amp;"|"&amp;IF(H4319="W3","W3_"&amp;IF(I4319="","unknown",I4319),H4319))</f>
        <v/>
      </c>
      <c r="Q4319" s="1" t="str">
        <f aca="false">IF(P4319="","",IFERROR(IF(AND(H4319="W7",OR(F4319="causal",F4319="predictive")),IF(AND(K4319=1,L4319=1,M4319=1),"adequate","partial"),INDEX(Fit_Matrix!$B:$B,MATCH(P4319,Fit_Matrix!$A:$A,0))),"CHECK KEY"))</f>
        <v/>
      </c>
    </row>
    <row r="4320" customFormat="false" ht="15" hidden="false" customHeight="true" outlineLevel="0" collapsed="false">
      <c r="P4320" s="1" t="str">
        <f aca="false">IF(OR(F4320="",H4320="",J4320=""),"",J4320&amp;"|"&amp;F4320&amp;"|"&amp;IF(H4320="W3","W3_"&amp;IF(I4320="","unknown",I4320),H4320))</f>
        <v/>
      </c>
      <c r="Q4320" s="1" t="str">
        <f aca="false">IF(P4320="","",IFERROR(IF(AND(H4320="W7",OR(F4320="causal",F4320="predictive")),IF(AND(K4320=1,L4320=1,M4320=1),"adequate","partial"),INDEX(Fit_Matrix!$B:$B,MATCH(P4320,Fit_Matrix!$A:$A,0))),"CHECK KEY"))</f>
        <v/>
      </c>
    </row>
    <row r="4321" customFormat="false" ht="15" hidden="false" customHeight="true" outlineLevel="0" collapsed="false">
      <c r="P4321" s="1" t="str">
        <f aca="false">IF(OR(F4321="",H4321="",J4321=""),"",J4321&amp;"|"&amp;F4321&amp;"|"&amp;IF(H4321="W3","W3_"&amp;IF(I4321="","unknown",I4321),H4321))</f>
        <v/>
      </c>
      <c r="Q4321" s="1" t="str">
        <f aca="false">IF(P4321="","",IFERROR(IF(AND(H4321="W7",OR(F4321="causal",F4321="predictive")),IF(AND(K4321=1,L4321=1,M4321=1),"adequate","partial"),INDEX(Fit_Matrix!$B:$B,MATCH(P4321,Fit_Matrix!$A:$A,0))),"CHECK KEY"))</f>
        <v/>
      </c>
    </row>
    <row r="4322" customFormat="false" ht="15" hidden="false" customHeight="true" outlineLevel="0" collapsed="false">
      <c r="P4322" s="1" t="str">
        <f aca="false">IF(OR(F4322="",H4322="",J4322=""),"",J4322&amp;"|"&amp;F4322&amp;"|"&amp;IF(H4322="W3","W3_"&amp;IF(I4322="","unknown",I4322),H4322))</f>
        <v/>
      </c>
      <c r="Q4322" s="1" t="str">
        <f aca="false">IF(P4322="","",IFERROR(IF(AND(H4322="W7",OR(F4322="causal",F4322="predictive")),IF(AND(K4322=1,L4322=1,M4322=1),"adequate","partial"),INDEX(Fit_Matrix!$B:$B,MATCH(P4322,Fit_Matrix!$A:$A,0))),"CHECK KEY"))</f>
        <v/>
      </c>
    </row>
    <row r="4323" customFormat="false" ht="15" hidden="false" customHeight="true" outlineLevel="0" collapsed="false">
      <c r="P4323" s="1" t="str">
        <f aca="false">IF(OR(F4323="",H4323="",J4323=""),"",J4323&amp;"|"&amp;F4323&amp;"|"&amp;IF(H4323="W3","W3_"&amp;IF(I4323="","unknown",I4323),H4323))</f>
        <v/>
      </c>
      <c r="Q4323" s="1" t="str">
        <f aca="false">IF(P4323="","",IFERROR(IF(AND(H4323="W7",OR(F4323="causal",F4323="predictive")),IF(AND(K4323=1,L4323=1,M4323=1),"adequate","partial"),INDEX(Fit_Matrix!$B:$B,MATCH(P4323,Fit_Matrix!$A:$A,0))),"CHECK KEY"))</f>
        <v/>
      </c>
    </row>
    <row r="4324" customFormat="false" ht="15" hidden="false" customHeight="true" outlineLevel="0" collapsed="false">
      <c r="P4324" s="1" t="str">
        <f aca="false">IF(OR(F4324="",H4324="",J4324=""),"",J4324&amp;"|"&amp;F4324&amp;"|"&amp;IF(H4324="W3","W3_"&amp;IF(I4324="","unknown",I4324),H4324))</f>
        <v/>
      </c>
      <c r="Q4324" s="1" t="str">
        <f aca="false">IF(P4324="","",IFERROR(IF(AND(H4324="W7",OR(F4324="causal",F4324="predictive")),IF(AND(K4324=1,L4324=1,M4324=1),"adequate","partial"),INDEX(Fit_Matrix!$B:$B,MATCH(P4324,Fit_Matrix!$A:$A,0))),"CHECK KEY"))</f>
        <v/>
      </c>
    </row>
    <row r="4325" customFormat="false" ht="15" hidden="false" customHeight="true" outlineLevel="0" collapsed="false">
      <c r="P4325" s="1" t="str">
        <f aca="false">IF(OR(F4325="",H4325="",J4325=""),"",J4325&amp;"|"&amp;F4325&amp;"|"&amp;IF(H4325="W3","W3_"&amp;IF(I4325="","unknown",I4325),H4325))</f>
        <v/>
      </c>
      <c r="Q4325" s="1" t="str">
        <f aca="false">IF(P4325="","",IFERROR(IF(AND(H4325="W7",OR(F4325="causal",F4325="predictive")),IF(AND(K4325=1,L4325=1,M4325=1),"adequate","partial"),INDEX(Fit_Matrix!$B:$B,MATCH(P4325,Fit_Matrix!$A:$A,0))),"CHECK KEY"))</f>
        <v/>
      </c>
    </row>
    <row r="4326" customFormat="false" ht="15" hidden="false" customHeight="true" outlineLevel="0" collapsed="false">
      <c r="P4326" s="1" t="str">
        <f aca="false">IF(OR(F4326="",H4326="",J4326=""),"",J4326&amp;"|"&amp;F4326&amp;"|"&amp;IF(H4326="W3","W3_"&amp;IF(I4326="","unknown",I4326),H4326))</f>
        <v/>
      </c>
      <c r="Q4326" s="1" t="str">
        <f aca="false">IF(P4326="","",IFERROR(IF(AND(H4326="W7",OR(F4326="causal",F4326="predictive")),IF(AND(K4326=1,L4326=1,M4326=1),"adequate","partial"),INDEX(Fit_Matrix!$B:$B,MATCH(P4326,Fit_Matrix!$A:$A,0))),"CHECK KEY"))</f>
        <v/>
      </c>
    </row>
    <row r="4327" customFormat="false" ht="15" hidden="false" customHeight="true" outlineLevel="0" collapsed="false">
      <c r="P4327" s="1" t="str">
        <f aca="false">IF(OR(F4327="",H4327="",J4327=""),"",J4327&amp;"|"&amp;F4327&amp;"|"&amp;IF(H4327="W3","W3_"&amp;IF(I4327="","unknown",I4327),H4327))</f>
        <v/>
      </c>
      <c r="Q4327" s="1" t="str">
        <f aca="false">IF(P4327="","",IFERROR(IF(AND(H4327="W7",OR(F4327="causal",F4327="predictive")),IF(AND(K4327=1,L4327=1,M4327=1),"adequate","partial"),INDEX(Fit_Matrix!$B:$B,MATCH(P4327,Fit_Matrix!$A:$A,0))),"CHECK KEY"))</f>
        <v/>
      </c>
    </row>
    <row r="4328" customFormat="false" ht="15" hidden="false" customHeight="true" outlineLevel="0" collapsed="false">
      <c r="P4328" s="1" t="str">
        <f aca="false">IF(OR(F4328="",H4328="",J4328=""),"",J4328&amp;"|"&amp;F4328&amp;"|"&amp;IF(H4328="W3","W3_"&amp;IF(I4328="","unknown",I4328),H4328))</f>
        <v/>
      </c>
      <c r="Q4328" s="1" t="str">
        <f aca="false">IF(P4328="","",IFERROR(IF(AND(H4328="W7",OR(F4328="causal",F4328="predictive")),IF(AND(K4328=1,L4328=1,M4328=1),"adequate","partial"),INDEX(Fit_Matrix!$B:$B,MATCH(P4328,Fit_Matrix!$A:$A,0))),"CHECK KEY"))</f>
        <v/>
      </c>
    </row>
    <row r="4329" customFormat="false" ht="15" hidden="false" customHeight="true" outlineLevel="0" collapsed="false">
      <c r="P4329" s="1" t="str">
        <f aca="false">IF(OR(F4329="",H4329="",J4329=""),"",J4329&amp;"|"&amp;F4329&amp;"|"&amp;IF(H4329="W3","W3_"&amp;IF(I4329="","unknown",I4329),H4329))</f>
        <v/>
      </c>
      <c r="Q4329" s="1" t="str">
        <f aca="false">IF(P4329="","",IFERROR(IF(AND(H4329="W7",OR(F4329="causal",F4329="predictive")),IF(AND(K4329=1,L4329=1,M4329=1),"adequate","partial"),INDEX(Fit_Matrix!$B:$B,MATCH(P4329,Fit_Matrix!$A:$A,0))),"CHECK KEY"))</f>
        <v/>
      </c>
    </row>
    <row r="4330" customFormat="false" ht="15" hidden="false" customHeight="true" outlineLevel="0" collapsed="false">
      <c r="P4330" s="1" t="str">
        <f aca="false">IF(OR(F4330="",H4330="",J4330=""),"",J4330&amp;"|"&amp;F4330&amp;"|"&amp;IF(H4330="W3","W3_"&amp;IF(I4330="","unknown",I4330),H4330))</f>
        <v/>
      </c>
      <c r="Q4330" s="1" t="str">
        <f aca="false">IF(P4330="","",IFERROR(IF(AND(H4330="W7",OR(F4330="causal",F4330="predictive")),IF(AND(K4330=1,L4330=1,M4330=1),"adequate","partial"),INDEX(Fit_Matrix!$B:$B,MATCH(P4330,Fit_Matrix!$A:$A,0))),"CHECK KEY"))</f>
        <v/>
      </c>
    </row>
    <row r="4331" customFormat="false" ht="15" hidden="false" customHeight="true" outlineLevel="0" collapsed="false">
      <c r="P4331" s="1" t="str">
        <f aca="false">IF(OR(F4331="",H4331="",J4331=""),"",J4331&amp;"|"&amp;F4331&amp;"|"&amp;IF(H4331="W3","W3_"&amp;IF(I4331="","unknown",I4331),H4331))</f>
        <v/>
      </c>
      <c r="Q4331" s="1" t="str">
        <f aca="false">IF(P4331="","",IFERROR(IF(AND(H4331="W7",OR(F4331="causal",F4331="predictive")),IF(AND(K4331=1,L4331=1,M4331=1),"adequate","partial"),INDEX(Fit_Matrix!$B:$B,MATCH(P4331,Fit_Matrix!$A:$A,0))),"CHECK KEY"))</f>
        <v/>
      </c>
    </row>
    <row r="4332" customFormat="false" ht="15" hidden="false" customHeight="true" outlineLevel="0" collapsed="false">
      <c r="P4332" s="1" t="str">
        <f aca="false">IF(OR(F4332="",H4332="",J4332=""),"",J4332&amp;"|"&amp;F4332&amp;"|"&amp;IF(H4332="W3","W3_"&amp;IF(I4332="","unknown",I4332),H4332))</f>
        <v/>
      </c>
      <c r="Q4332" s="1" t="str">
        <f aca="false">IF(P4332="","",IFERROR(IF(AND(H4332="W7",OR(F4332="causal",F4332="predictive")),IF(AND(K4332=1,L4332=1,M4332=1),"adequate","partial"),INDEX(Fit_Matrix!$B:$B,MATCH(P4332,Fit_Matrix!$A:$A,0))),"CHECK KEY"))</f>
        <v/>
      </c>
    </row>
    <row r="4333" customFormat="false" ht="15" hidden="false" customHeight="true" outlineLevel="0" collapsed="false">
      <c r="P4333" s="1" t="str">
        <f aca="false">IF(OR(F4333="",H4333="",J4333=""),"",J4333&amp;"|"&amp;F4333&amp;"|"&amp;IF(H4333="W3","W3_"&amp;IF(I4333="","unknown",I4333),H4333))</f>
        <v/>
      </c>
      <c r="Q4333" s="1" t="str">
        <f aca="false">IF(P4333="","",IFERROR(IF(AND(H4333="W7",OR(F4333="causal",F4333="predictive")),IF(AND(K4333=1,L4333=1,M4333=1),"adequate","partial"),INDEX(Fit_Matrix!$B:$B,MATCH(P4333,Fit_Matrix!$A:$A,0))),"CHECK KEY"))</f>
        <v/>
      </c>
    </row>
    <row r="4334" customFormat="false" ht="15" hidden="false" customHeight="true" outlineLevel="0" collapsed="false">
      <c r="P4334" s="1" t="str">
        <f aca="false">IF(OR(F4334="",H4334="",J4334=""),"",J4334&amp;"|"&amp;F4334&amp;"|"&amp;IF(H4334="W3","W3_"&amp;IF(I4334="","unknown",I4334),H4334))</f>
        <v/>
      </c>
      <c r="Q4334" s="1" t="str">
        <f aca="false">IF(P4334="","",IFERROR(IF(AND(H4334="W7",OR(F4334="causal",F4334="predictive")),IF(AND(K4334=1,L4334=1,M4334=1),"adequate","partial"),INDEX(Fit_Matrix!$B:$B,MATCH(P4334,Fit_Matrix!$A:$A,0))),"CHECK KEY"))</f>
        <v/>
      </c>
    </row>
    <row r="4335" customFormat="false" ht="15" hidden="false" customHeight="true" outlineLevel="0" collapsed="false">
      <c r="P4335" s="1" t="str">
        <f aca="false">IF(OR(F4335="",H4335="",J4335=""),"",J4335&amp;"|"&amp;F4335&amp;"|"&amp;IF(H4335="W3","W3_"&amp;IF(I4335="","unknown",I4335),H4335))</f>
        <v/>
      </c>
      <c r="Q4335" s="1" t="str">
        <f aca="false">IF(P4335="","",IFERROR(IF(AND(H4335="W7",OR(F4335="causal",F4335="predictive")),IF(AND(K4335=1,L4335=1,M4335=1),"adequate","partial"),INDEX(Fit_Matrix!$B:$B,MATCH(P4335,Fit_Matrix!$A:$A,0))),"CHECK KEY"))</f>
        <v/>
      </c>
    </row>
    <row r="4336" customFormat="false" ht="15" hidden="false" customHeight="true" outlineLevel="0" collapsed="false">
      <c r="P4336" s="1" t="str">
        <f aca="false">IF(OR(F4336="",H4336="",J4336=""),"",J4336&amp;"|"&amp;F4336&amp;"|"&amp;IF(H4336="W3","W3_"&amp;IF(I4336="","unknown",I4336),H4336))</f>
        <v/>
      </c>
      <c r="Q4336" s="1" t="str">
        <f aca="false">IF(P4336="","",IFERROR(IF(AND(H4336="W7",OR(F4336="causal",F4336="predictive")),IF(AND(K4336=1,L4336=1,M4336=1),"adequate","partial"),INDEX(Fit_Matrix!$B:$B,MATCH(P4336,Fit_Matrix!$A:$A,0))),"CHECK KEY"))</f>
        <v/>
      </c>
    </row>
    <row r="4337" customFormat="false" ht="15" hidden="false" customHeight="true" outlineLevel="0" collapsed="false">
      <c r="P4337" s="1" t="str">
        <f aca="false">IF(OR(F4337="",H4337="",J4337=""),"",J4337&amp;"|"&amp;F4337&amp;"|"&amp;IF(H4337="W3","W3_"&amp;IF(I4337="","unknown",I4337),H4337))</f>
        <v/>
      </c>
      <c r="Q4337" s="1" t="str">
        <f aca="false">IF(P4337="","",IFERROR(IF(AND(H4337="W7",OR(F4337="causal",F4337="predictive")),IF(AND(K4337=1,L4337=1,M4337=1),"adequate","partial"),INDEX(Fit_Matrix!$B:$B,MATCH(P4337,Fit_Matrix!$A:$A,0))),"CHECK KEY"))</f>
        <v/>
      </c>
    </row>
    <row r="4338" customFormat="false" ht="15" hidden="false" customHeight="true" outlineLevel="0" collapsed="false">
      <c r="P4338" s="1" t="str">
        <f aca="false">IF(OR(F4338="",H4338="",J4338=""),"",J4338&amp;"|"&amp;F4338&amp;"|"&amp;IF(H4338="W3","W3_"&amp;IF(I4338="","unknown",I4338),H4338))</f>
        <v/>
      </c>
      <c r="Q4338" s="1" t="str">
        <f aca="false">IF(P4338="","",IFERROR(IF(AND(H4338="W7",OR(F4338="causal",F4338="predictive")),IF(AND(K4338=1,L4338=1,M4338=1),"adequate","partial"),INDEX(Fit_Matrix!$B:$B,MATCH(P4338,Fit_Matrix!$A:$A,0))),"CHECK KEY"))</f>
        <v/>
      </c>
    </row>
    <row r="4339" customFormat="false" ht="15" hidden="false" customHeight="true" outlineLevel="0" collapsed="false">
      <c r="P4339" s="1" t="str">
        <f aca="false">IF(OR(F4339="",H4339="",J4339=""),"",J4339&amp;"|"&amp;F4339&amp;"|"&amp;IF(H4339="W3","W3_"&amp;IF(I4339="","unknown",I4339),H4339))</f>
        <v/>
      </c>
      <c r="Q4339" s="1" t="str">
        <f aca="false">IF(P4339="","",IFERROR(IF(AND(H4339="W7",OR(F4339="causal",F4339="predictive")),IF(AND(K4339=1,L4339=1,M4339=1),"adequate","partial"),INDEX(Fit_Matrix!$B:$B,MATCH(P4339,Fit_Matrix!$A:$A,0))),"CHECK KEY"))</f>
        <v/>
      </c>
    </row>
    <row r="4340" customFormat="false" ht="15" hidden="false" customHeight="true" outlineLevel="0" collapsed="false">
      <c r="P4340" s="1" t="str">
        <f aca="false">IF(OR(F4340="",H4340="",J4340=""),"",J4340&amp;"|"&amp;F4340&amp;"|"&amp;IF(H4340="W3","W3_"&amp;IF(I4340="","unknown",I4340),H4340))</f>
        <v/>
      </c>
      <c r="Q4340" s="1" t="str">
        <f aca="false">IF(P4340="","",IFERROR(IF(AND(H4340="W7",OR(F4340="causal",F4340="predictive")),IF(AND(K4340=1,L4340=1,M4340=1),"adequate","partial"),INDEX(Fit_Matrix!$B:$B,MATCH(P4340,Fit_Matrix!$A:$A,0))),"CHECK KEY"))</f>
        <v/>
      </c>
    </row>
    <row r="4341" customFormat="false" ht="15" hidden="false" customHeight="true" outlineLevel="0" collapsed="false">
      <c r="P4341" s="1" t="str">
        <f aca="false">IF(OR(F4341="",H4341="",J4341=""),"",J4341&amp;"|"&amp;F4341&amp;"|"&amp;IF(H4341="W3","W3_"&amp;IF(I4341="","unknown",I4341),H4341))</f>
        <v/>
      </c>
      <c r="Q4341" s="1" t="str">
        <f aca="false">IF(P4341="","",IFERROR(IF(AND(H4341="W7",OR(F4341="causal",F4341="predictive")),IF(AND(K4341=1,L4341=1,M4341=1),"adequate","partial"),INDEX(Fit_Matrix!$B:$B,MATCH(P4341,Fit_Matrix!$A:$A,0))),"CHECK KEY"))</f>
        <v/>
      </c>
    </row>
    <row r="4342" customFormat="false" ht="15" hidden="false" customHeight="true" outlineLevel="0" collapsed="false">
      <c r="P4342" s="1" t="str">
        <f aca="false">IF(OR(F4342="",H4342="",J4342=""),"",J4342&amp;"|"&amp;F4342&amp;"|"&amp;IF(H4342="W3","W3_"&amp;IF(I4342="","unknown",I4342),H4342))</f>
        <v/>
      </c>
      <c r="Q4342" s="1" t="str">
        <f aca="false">IF(P4342="","",IFERROR(IF(AND(H4342="W7",OR(F4342="causal",F4342="predictive")),IF(AND(K4342=1,L4342=1,M4342=1),"adequate","partial"),INDEX(Fit_Matrix!$B:$B,MATCH(P4342,Fit_Matrix!$A:$A,0))),"CHECK KEY"))</f>
        <v/>
      </c>
    </row>
    <row r="4343" customFormat="false" ht="15" hidden="false" customHeight="true" outlineLevel="0" collapsed="false">
      <c r="P4343" s="1" t="str">
        <f aca="false">IF(OR(F4343="",H4343="",J4343=""),"",J4343&amp;"|"&amp;F4343&amp;"|"&amp;IF(H4343="W3","W3_"&amp;IF(I4343="","unknown",I4343),H4343))</f>
        <v/>
      </c>
      <c r="Q4343" s="1" t="str">
        <f aca="false">IF(P4343="","",IFERROR(IF(AND(H4343="W7",OR(F4343="causal",F4343="predictive")),IF(AND(K4343=1,L4343=1,M4343=1),"adequate","partial"),INDEX(Fit_Matrix!$B:$B,MATCH(P4343,Fit_Matrix!$A:$A,0))),"CHECK KEY"))</f>
        <v/>
      </c>
    </row>
    <row r="4344" customFormat="false" ht="15" hidden="false" customHeight="true" outlineLevel="0" collapsed="false">
      <c r="P4344" s="1" t="str">
        <f aca="false">IF(OR(F4344="",H4344="",J4344=""),"",J4344&amp;"|"&amp;F4344&amp;"|"&amp;IF(H4344="W3","W3_"&amp;IF(I4344="","unknown",I4344),H4344))</f>
        <v/>
      </c>
      <c r="Q4344" s="1" t="str">
        <f aca="false">IF(P4344="","",IFERROR(IF(AND(H4344="W7",OR(F4344="causal",F4344="predictive")),IF(AND(K4344=1,L4344=1,M4344=1),"adequate","partial"),INDEX(Fit_Matrix!$B:$B,MATCH(P4344,Fit_Matrix!$A:$A,0))),"CHECK KEY"))</f>
        <v/>
      </c>
    </row>
    <row r="4345" customFormat="false" ht="15" hidden="false" customHeight="true" outlineLevel="0" collapsed="false">
      <c r="P4345" s="1" t="str">
        <f aca="false">IF(OR(F4345="",H4345="",J4345=""),"",J4345&amp;"|"&amp;F4345&amp;"|"&amp;IF(H4345="W3","W3_"&amp;IF(I4345="","unknown",I4345),H4345))</f>
        <v/>
      </c>
      <c r="Q4345" s="1" t="str">
        <f aca="false">IF(P4345="","",IFERROR(IF(AND(H4345="W7",OR(F4345="causal",F4345="predictive")),IF(AND(K4345=1,L4345=1,M4345=1),"adequate","partial"),INDEX(Fit_Matrix!$B:$B,MATCH(P4345,Fit_Matrix!$A:$A,0))),"CHECK KEY"))</f>
        <v/>
      </c>
    </row>
    <row r="4346" customFormat="false" ht="15" hidden="false" customHeight="true" outlineLevel="0" collapsed="false">
      <c r="P4346" s="1" t="str">
        <f aca="false">IF(OR(F4346="",H4346="",J4346=""),"",J4346&amp;"|"&amp;F4346&amp;"|"&amp;IF(H4346="W3","W3_"&amp;IF(I4346="","unknown",I4346),H4346))</f>
        <v/>
      </c>
      <c r="Q4346" s="1" t="str">
        <f aca="false">IF(P4346="","",IFERROR(IF(AND(H4346="W7",OR(F4346="causal",F4346="predictive")),IF(AND(K4346=1,L4346=1,M4346=1),"adequate","partial"),INDEX(Fit_Matrix!$B:$B,MATCH(P4346,Fit_Matrix!$A:$A,0))),"CHECK KEY"))</f>
        <v/>
      </c>
    </row>
    <row r="4347" customFormat="false" ht="15" hidden="false" customHeight="true" outlineLevel="0" collapsed="false">
      <c r="P4347" s="1" t="str">
        <f aca="false">IF(OR(F4347="",H4347="",J4347=""),"",J4347&amp;"|"&amp;F4347&amp;"|"&amp;IF(H4347="W3","W3_"&amp;IF(I4347="","unknown",I4347),H4347))</f>
        <v/>
      </c>
      <c r="Q4347" s="1" t="str">
        <f aca="false">IF(P4347="","",IFERROR(IF(AND(H4347="W7",OR(F4347="causal",F4347="predictive")),IF(AND(K4347=1,L4347=1,M4347=1),"adequate","partial"),INDEX(Fit_Matrix!$B:$B,MATCH(P4347,Fit_Matrix!$A:$A,0))),"CHECK KEY"))</f>
        <v/>
      </c>
    </row>
    <row r="4348" customFormat="false" ht="15" hidden="false" customHeight="true" outlineLevel="0" collapsed="false">
      <c r="P4348" s="1" t="str">
        <f aca="false">IF(OR(F4348="",H4348="",J4348=""),"",J4348&amp;"|"&amp;F4348&amp;"|"&amp;IF(H4348="W3","W3_"&amp;IF(I4348="","unknown",I4348),H4348))</f>
        <v/>
      </c>
      <c r="Q4348" s="1" t="str">
        <f aca="false">IF(P4348="","",IFERROR(IF(AND(H4348="W7",OR(F4348="causal",F4348="predictive")),IF(AND(K4348=1,L4348=1,M4348=1),"adequate","partial"),INDEX(Fit_Matrix!$B:$B,MATCH(P4348,Fit_Matrix!$A:$A,0))),"CHECK KEY"))</f>
        <v/>
      </c>
    </row>
    <row r="4349" customFormat="false" ht="15" hidden="false" customHeight="true" outlineLevel="0" collapsed="false">
      <c r="P4349" s="1" t="str">
        <f aca="false">IF(OR(F4349="",H4349="",J4349=""),"",J4349&amp;"|"&amp;F4349&amp;"|"&amp;IF(H4349="W3","W3_"&amp;IF(I4349="","unknown",I4349),H4349))</f>
        <v/>
      </c>
      <c r="Q4349" s="1" t="str">
        <f aca="false">IF(P4349="","",IFERROR(IF(AND(H4349="W7",OR(F4349="causal",F4349="predictive")),IF(AND(K4349=1,L4349=1,M4349=1),"adequate","partial"),INDEX(Fit_Matrix!$B:$B,MATCH(P4349,Fit_Matrix!$A:$A,0))),"CHECK KEY"))</f>
        <v/>
      </c>
    </row>
    <row r="4350" customFormat="false" ht="15" hidden="false" customHeight="true" outlineLevel="0" collapsed="false">
      <c r="P4350" s="1" t="str">
        <f aca="false">IF(OR(F4350="",H4350="",J4350=""),"",J4350&amp;"|"&amp;F4350&amp;"|"&amp;IF(H4350="W3","W3_"&amp;IF(I4350="","unknown",I4350),H4350))</f>
        <v/>
      </c>
      <c r="Q4350" s="1" t="str">
        <f aca="false">IF(P4350="","",IFERROR(IF(AND(H4350="W7",OR(F4350="causal",F4350="predictive")),IF(AND(K4350=1,L4350=1,M4350=1),"adequate","partial"),INDEX(Fit_Matrix!$B:$B,MATCH(P4350,Fit_Matrix!$A:$A,0))),"CHECK KEY"))</f>
        <v/>
      </c>
    </row>
    <row r="4351" customFormat="false" ht="15" hidden="false" customHeight="true" outlineLevel="0" collapsed="false">
      <c r="P4351" s="1" t="str">
        <f aca="false">IF(OR(F4351="",H4351="",J4351=""),"",J4351&amp;"|"&amp;F4351&amp;"|"&amp;IF(H4351="W3","W3_"&amp;IF(I4351="","unknown",I4351),H4351))</f>
        <v/>
      </c>
      <c r="Q4351" s="1" t="str">
        <f aca="false">IF(P4351="","",IFERROR(IF(AND(H4351="W7",OR(F4351="causal",F4351="predictive")),IF(AND(K4351=1,L4351=1,M4351=1),"adequate","partial"),INDEX(Fit_Matrix!$B:$B,MATCH(P4351,Fit_Matrix!$A:$A,0))),"CHECK KEY"))</f>
        <v/>
      </c>
    </row>
    <row r="4352" customFormat="false" ht="15" hidden="false" customHeight="true" outlineLevel="0" collapsed="false">
      <c r="P4352" s="1" t="str">
        <f aca="false">IF(OR(F4352="",H4352="",J4352=""),"",J4352&amp;"|"&amp;F4352&amp;"|"&amp;IF(H4352="W3","W3_"&amp;IF(I4352="","unknown",I4352),H4352))</f>
        <v/>
      </c>
      <c r="Q4352" s="1" t="str">
        <f aca="false">IF(P4352="","",IFERROR(IF(AND(H4352="W7",OR(F4352="causal",F4352="predictive")),IF(AND(K4352=1,L4352=1,M4352=1),"adequate","partial"),INDEX(Fit_Matrix!$B:$B,MATCH(P4352,Fit_Matrix!$A:$A,0))),"CHECK KEY"))</f>
        <v/>
      </c>
    </row>
    <row r="4353" customFormat="false" ht="15" hidden="false" customHeight="true" outlineLevel="0" collapsed="false">
      <c r="P4353" s="1" t="str">
        <f aca="false">IF(OR(F4353="",H4353="",J4353=""),"",J4353&amp;"|"&amp;F4353&amp;"|"&amp;IF(H4353="W3","W3_"&amp;IF(I4353="","unknown",I4353),H4353))</f>
        <v/>
      </c>
      <c r="Q4353" s="1" t="str">
        <f aca="false">IF(P4353="","",IFERROR(IF(AND(H4353="W7",OR(F4353="causal",F4353="predictive")),IF(AND(K4353=1,L4353=1,M4353=1),"adequate","partial"),INDEX(Fit_Matrix!$B:$B,MATCH(P4353,Fit_Matrix!$A:$A,0))),"CHECK KEY"))</f>
        <v/>
      </c>
    </row>
    <row r="4354" customFormat="false" ht="15" hidden="false" customHeight="true" outlineLevel="0" collapsed="false">
      <c r="P4354" s="1" t="str">
        <f aca="false">IF(OR(F4354="",H4354="",J4354=""),"",J4354&amp;"|"&amp;F4354&amp;"|"&amp;IF(H4354="W3","W3_"&amp;IF(I4354="","unknown",I4354),H4354))</f>
        <v/>
      </c>
      <c r="Q4354" s="1" t="str">
        <f aca="false">IF(P4354="","",IFERROR(IF(AND(H4354="W7",OR(F4354="causal",F4354="predictive")),IF(AND(K4354=1,L4354=1,M4354=1),"adequate","partial"),INDEX(Fit_Matrix!$B:$B,MATCH(P4354,Fit_Matrix!$A:$A,0))),"CHECK KEY"))</f>
        <v/>
      </c>
    </row>
    <row r="4355" customFormat="false" ht="15" hidden="false" customHeight="true" outlineLevel="0" collapsed="false">
      <c r="P4355" s="1" t="str">
        <f aca="false">IF(OR(F4355="",H4355="",J4355=""),"",J4355&amp;"|"&amp;F4355&amp;"|"&amp;IF(H4355="W3","W3_"&amp;IF(I4355="","unknown",I4355),H4355))</f>
        <v/>
      </c>
      <c r="Q4355" s="1" t="str">
        <f aca="false">IF(P4355="","",IFERROR(IF(AND(H4355="W7",OR(F4355="causal",F4355="predictive")),IF(AND(K4355=1,L4355=1,M4355=1),"adequate","partial"),INDEX(Fit_Matrix!$B:$B,MATCH(P4355,Fit_Matrix!$A:$A,0))),"CHECK KEY"))</f>
        <v/>
      </c>
    </row>
    <row r="4356" customFormat="false" ht="15" hidden="false" customHeight="true" outlineLevel="0" collapsed="false">
      <c r="P4356" s="1" t="str">
        <f aca="false">IF(OR(F4356="",H4356="",J4356=""),"",J4356&amp;"|"&amp;F4356&amp;"|"&amp;IF(H4356="W3","W3_"&amp;IF(I4356="","unknown",I4356),H4356))</f>
        <v/>
      </c>
      <c r="Q4356" s="1" t="str">
        <f aca="false">IF(P4356="","",IFERROR(IF(AND(H4356="W7",OR(F4356="causal",F4356="predictive")),IF(AND(K4356=1,L4356=1,M4356=1),"adequate","partial"),INDEX(Fit_Matrix!$B:$B,MATCH(P4356,Fit_Matrix!$A:$A,0))),"CHECK KEY"))</f>
        <v/>
      </c>
    </row>
    <row r="4357" customFormat="false" ht="15" hidden="false" customHeight="true" outlineLevel="0" collapsed="false">
      <c r="P4357" s="1" t="str">
        <f aca="false">IF(OR(F4357="",H4357="",J4357=""),"",J4357&amp;"|"&amp;F4357&amp;"|"&amp;IF(H4357="W3","W3_"&amp;IF(I4357="","unknown",I4357),H4357))</f>
        <v/>
      </c>
      <c r="Q4357" s="1" t="str">
        <f aca="false">IF(P4357="","",IFERROR(IF(AND(H4357="W7",OR(F4357="causal",F4357="predictive")),IF(AND(K4357=1,L4357=1,M4357=1),"adequate","partial"),INDEX(Fit_Matrix!$B:$B,MATCH(P4357,Fit_Matrix!$A:$A,0))),"CHECK KEY"))</f>
        <v/>
      </c>
    </row>
    <row r="4358" customFormat="false" ht="15" hidden="false" customHeight="true" outlineLevel="0" collapsed="false">
      <c r="P4358" s="1" t="str">
        <f aca="false">IF(OR(F4358="",H4358="",J4358=""),"",J4358&amp;"|"&amp;F4358&amp;"|"&amp;IF(H4358="W3","W3_"&amp;IF(I4358="","unknown",I4358),H4358))</f>
        <v/>
      </c>
      <c r="Q4358" s="1" t="str">
        <f aca="false">IF(P4358="","",IFERROR(IF(AND(H4358="W7",OR(F4358="causal",F4358="predictive")),IF(AND(K4358=1,L4358=1,M4358=1),"adequate","partial"),INDEX(Fit_Matrix!$B:$B,MATCH(P4358,Fit_Matrix!$A:$A,0))),"CHECK KEY"))</f>
        <v/>
      </c>
    </row>
    <row r="4359" customFormat="false" ht="15" hidden="false" customHeight="true" outlineLevel="0" collapsed="false">
      <c r="P4359" s="1" t="str">
        <f aca="false">IF(OR(F4359="",H4359="",J4359=""),"",J4359&amp;"|"&amp;F4359&amp;"|"&amp;IF(H4359="W3","W3_"&amp;IF(I4359="","unknown",I4359),H4359))</f>
        <v/>
      </c>
      <c r="Q4359" s="1" t="str">
        <f aca="false">IF(P4359="","",IFERROR(IF(AND(H4359="W7",OR(F4359="causal",F4359="predictive")),IF(AND(K4359=1,L4359=1,M4359=1),"adequate","partial"),INDEX(Fit_Matrix!$B:$B,MATCH(P4359,Fit_Matrix!$A:$A,0))),"CHECK KEY"))</f>
        <v/>
      </c>
    </row>
    <row r="4360" customFormat="false" ht="15" hidden="false" customHeight="true" outlineLevel="0" collapsed="false">
      <c r="P4360" s="1" t="str">
        <f aca="false">IF(OR(F4360="",H4360="",J4360=""),"",J4360&amp;"|"&amp;F4360&amp;"|"&amp;IF(H4360="W3","W3_"&amp;IF(I4360="","unknown",I4360),H4360))</f>
        <v/>
      </c>
      <c r="Q4360" s="1" t="str">
        <f aca="false">IF(P4360="","",IFERROR(IF(AND(H4360="W7",OR(F4360="causal",F4360="predictive")),IF(AND(K4360=1,L4360=1,M4360=1),"adequate","partial"),INDEX(Fit_Matrix!$B:$B,MATCH(P4360,Fit_Matrix!$A:$A,0))),"CHECK KEY"))</f>
        <v/>
      </c>
    </row>
    <row r="4361" customFormat="false" ht="15" hidden="false" customHeight="true" outlineLevel="0" collapsed="false">
      <c r="P4361" s="1" t="str">
        <f aca="false">IF(OR(F4361="",H4361="",J4361=""),"",J4361&amp;"|"&amp;F4361&amp;"|"&amp;IF(H4361="W3","W3_"&amp;IF(I4361="","unknown",I4361),H4361))</f>
        <v/>
      </c>
      <c r="Q4361" s="1" t="str">
        <f aca="false">IF(P4361="","",IFERROR(IF(AND(H4361="W7",OR(F4361="causal",F4361="predictive")),IF(AND(K4361=1,L4361=1,M4361=1),"adequate","partial"),INDEX(Fit_Matrix!$B:$B,MATCH(P4361,Fit_Matrix!$A:$A,0))),"CHECK KEY"))</f>
        <v/>
      </c>
    </row>
    <row r="4362" customFormat="false" ht="15" hidden="false" customHeight="true" outlineLevel="0" collapsed="false">
      <c r="P4362" s="1" t="str">
        <f aca="false">IF(OR(F4362="",H4362="",J4362=""),"",J4362&amp;"|"&amp;F4362&amp;"|"&amp;IF(H4362="W3","W3_"&amp;IF(I4362="","unknown",I4362),H4362))</f>
        <v/>
      </c>
      <c r="Q4362" s="1" t="str">
        <f aca="false">IF(P4362="","",IFERROR(IF(AND(H4362="W7",OR(F4362="causal",F4362="predictive")),IF(AND(K4362=1,L4362=1,M4362=1),"adequate","partial"),INDEX(Fit_Matrix!$B:$B,MATCH(P4362,Fit_Matrix!$A:$A,0))),"CHECK KEY"))</f>
        <v/>
      </c>
    </row>
    <row r="4363" customFormat="false" ht="15" hidden="false" customHeight="true" outlineLevel="0" collapsed="false">
      <c r="P4363" s="1" t="str">
        <f aca="false">IF(OR(F4363="",H4363="",J4363=""),"",J4363&amp;"|"&amp;F4363&amp;"|"&amp;IF(H4363="W3","W3_"&amp;IF(I4363="","unknown",I4363),H4363))</f>
        <v/>
      </c>
      <c r="Q4363" s="1" t="str">
        <f aca="false">IF(P4363="","",IFERROR(IF(AND(H4363="W7",OR(F4363="causal",F4363="predictive")),IF(AND(K4363=1,L4363=1,M4363=1),"adequate","partial"),INDEX(Fit_Matrix!$B:$B,MATCH(P4363,Fit_Matrix!$A:$A,0))),"CHECK KEY"))</f>
        <v/>
      </c>
    </row>
    <row r="4364" customFormat="false" ht="15" hidden="false" customHeight="true" outlineLevel="0" collapsed="false">
      <c r="P4364" s="1" t="str">
        <f aca="false">IF(OR(F4364="",H4364="",J4364=""),"",J4364&amp;"|"&amp;F4364&amp;"|"&amp;IF(H4364="W3","W3_"&amp;IF(I4364="","unknown",I4364),H4364))</f>
        <v/>
      </c>
      <c r="Q4364" s="1" t="str">
        <f aca="false">IF(P4364="","",IFERROR(IF(AND(H4364="W7",OR(F4364="causal",F4364="predictive")),IF(AND(K4364=1,L4364=1,M4364=1),"adequate","partial"),INDEX(Fit_Matrix!$B:$B,MATCH(P4364,Fit_Matrix!$A:$A,0))),"CHECK KEY"))</f>
        <v/>
      </c>
    </row>
    <row r="4365" customFormat="false" ht="15" hidden="false" customHeight="true" outlineLevel="0" collapsed="false">
      <c r="P4365" s="1" t="str">
        <f aca="false">IF(OR(F4365="",H4365="",J4365=""),"",J4365&amp;"|"&amp;F4365&amp;"|"&amp;IF(H4365="W3","W3_"&amp;IF(I4365="","unknown",I4365),H4365))</f>
        <v/>
      </c>
      <c r="Q4365" s="1" t="str">
        <f aca="false">IF(P4365="","",IFERROR(IF(AND(H4365="W7",OR(F4365="causal",F4365="predictive")),IF(AND(K4365=1,L4365=1,M4365=1),"adequate","partial"),INDEX(Fit_Matrix!$B:$B,MATCH(P4365,Fit_Matrix!$A:$A,0))),"CHECK KEY"))</f>
        <v/>
      </c>
    </row>
    <row r="4366" customFormat="false" ht="15" hidden="false" customHeight="true" outlineLevel="0" collapsed="false">
      <c r="P4366" s="1" t="str">
        <f aca="false">IF(OR(F4366="",H4366="",J4366=""),"",J4366&amp;"|"&amp;F4366&amp;"|"&amp;IF(H4366="W3","W3_"&amp;IF(I4366="","unknown",I4366),H4366))</f>
        <v/>
      </c>
      <c r="Q4366" s="1" t="str">
        <f aca="false">IF(P4366="","",IFERROR(IF(AND(H4366="W7",OR(F4366="causal",F4366="predictive")),IF(AND(K4366=1,L4366=1,M4366=1),"adequate","partial"),INDEX(Fit_Matrix!$B:$B,MATCH(P4366,Fit_Matrix!$A:$A,0))),"CHECK KEY"))</f>
        <v/>
      </c>
    </row>
    <row r="4367" customFormat="false" ht="15" hidden="false" customHeight="true" outlineLevel="0" collapsed="false">
      <c r="P4367" s="1" t="str">
        <f aca="false">IF(OR(F4367="",H4367="",J4367=""),"",J4367&amp;"|"&amp;F4367&amp;"|"&amp;IF(H4367="W3","W3_"&amp;IF(I4367="","unknown",I4367),H4367))</f>
        <v/>
      </c>
      <c r="Q4367" s="1" t="str">
        <f aca="false">IF(P4367="","",IFERROR(IF(AND(H4367="W7",OR(F4367="causal",F4367="predictive")),IF(AND(K4367=1,L4367=1,M4367=1),"adequate","partial"),INDEX(Fit_Matrix!$B:$B,MATCH(P4367,Fit_Matrix!$A:$A,0))),"CHECK KEY"))</f>
        <v/>
      </c>
    </row>
    <row r="4368" customFormat="false" ht="15" hidden="false" customHeight="true" outlineLevel="0" collapsed="false">
      <c r="P4368" s="1" t="str">
        <f aca="false">IF(OR(F4368="",H4368="",J4368=""),"",J4368&amp;"|"&amp;F4368&amp;"|"&amp;IF(H4368="W3","W3_"&amp;IF(I4368="","unknown",I4368),H4368))</f>
        <v/>
      </c>
      <c r="Q4368" s="1" t="str">
        <f aca="false">IF(P4368="","",IFERROR(IF(AND(H4368="W7",OR(F4368="causal",F4368="predictive")),IF(AND(K4368=1,L4368=1,M4368=1),"adequate","partial"),INDEX(Fit_Matrix!$B:$B,MATCH(P4368,Fit_Matrix!$A:$A,0))),"CHECK KEY"))</f>
        <v/>
      </c>
    </row>
    <row r="4369" customFormat="false" ht="15" hidden="false" customHeight="true" outlineLevel="0" collapsed="false">
      <c r="P4369" s="1" t="str">
        <f aca="false">IF(OR(F4369="",H4369="",J4369=""),"",J4369&amp;"|"&amp;F4369&amp;"|"&amp;IF(H4369="W3","W3_"&amp;IF(I4369="","unknown",I4369),H4369))</f>
        <v/>
      </c>
      <c r="Q4369" s="1" t="str">
        <f aca="false">IF(P4369="","",IFERROR(IF(AND(H4369="W7",OR(F4369="causal",F4369="predictive")),IF(AND(K4369=1,L4369=1,M4369=1),"adequate","partial"),INDEX(Fit_Matrix!$B:$B,MATCH(P4369,Fit_Matrix!$A:$A,0))),"CHECK KEY"))</f>
        <v/>
      </c>
    </row>
    <row r="4370" customFormat="false" ht="15" hidden="false" customHeight="true" outlineLevel="0" collapsed="false">
      <c r="P4370" s="1" t="str">
        <f aca="false">IF(OR(F4370="",H4370="",J4370=""),"",J4370&amp;"|"&amp;F4370&amp;"|"&amp;IF(H4370="W3","W3_"&amp;IF(I4370="","unknown",I4370),H4370))</f>
        <v/>
      </c>
      <c r="Q4370" s="1" t="str">
        <f aca="false">IF(P4370="","",IFERROR(IF(AND(H4370="W7",OR(F4370="causal",F4370="predictive")),IF(AND(K4370=1,L4370=1,M4370=1),"adequate","partial"),INDEX(Fit_Matrix!$B:$B,MATCH(P4370,Fit_Matrix!$A:$A,0))),"CHECK KEY"))</f>
        <v/>
      </c>
    </row>
    <row r="4371" customFormat="false" ht="15" hidden="false" customHeight="true" outlineLevel="0" collapsed="false">
      <c r="P4371" s="1" t="str">
        <f aca="false">IF(OR(F4371="",H4371="",J4371=""),"",J4371&amp;"|"&amp;F4371&amp;"|"&amp;IF(H4371="W3","W3_"&amp;IF(I4371="","unknown",I4371),H4371))</f>
        <v/>
      </c>
      <c r="Q4371" s="1" t="str">
        <f aca="false">IF(P4371="","",IFERROR(IF(AND(H4371="W7",OR(F4371="causal",F4371="predictive")),IF(AND(K4371=1,L4371=1,M4371=1),"adequate","partial"),INDEX(Fit_Matrix!$B:$B,MATCH(P4371,Fit_Matrix!$A:$A,0))),"CHECK KEY"))</f>
        <v/>
      </c>
    </row>
    <row r="4372" customFormat="false" ht="15" hidden="false" customHeight="true" outlineLevel="0" collapsed="false">
      <c r="P4372" s="1" t="str">
        <f aca="false">IF(OR(F4372="",H4372="",J4372=""),"",J4372&amp;"|"&amp;F4372&amp;"|"&amp;IF(H4372="W3","W3_"&amp;IF(I4372="","unknown",I4372),H4372))</f>
        <v/>
      </c>
      <c r="Q4372" s="1" t="str">
        <f aca="false">IF(P4372="","",IFERROR(IF(AND(H4372="W7",OR(F4372="causal",F4372="predictive")),IF(AND(K4372=1,L4372=1,M4372=1),"adequate","partial"),INDEX(Fit_Matrix!$B:$B,MATCH(P4372,Fit_Matrix!$A:$A,0))),"CHECK KEY"))</f>
        <v/>
      </c>
    </row>
    <row r="4373" customFormat="false" ht="15" hidden="false" customHeight="true" outlineLevel="0" collapsed="false">
      <c r="P4373" s="1" t="str">
        <f aca="false">IF(OR(F4373="",H4373="",J4373=""),"",J4373&amp;"|"&amp;F4373&amp;"|"&amp;IF(H4373="W3","W3_"&amp;IF(I4373="","unknown",I4373),H4373))</f>
        <v/>
      </c>
      <c r="Q4373" s="1" t="str">
        <f aca="false">IF(P4373="","",IFERROR(IF(AND(H4373="W7",OR(F4373="causal",F4373="predictive")),IF(AND(K4373=1,L4373=1,M4373=1),"adequate","partial"),INDEX(Fit_Matrix!$B:$B,MATCH(P4373,Fit_Matrix!$A:$A,0))),"CHECK KEY"))</f>
        <v/>
      </c>
    </row>
    <row r="4374" customFormat="false" ht="15" hidden="false" customHeight="true" outlineLevel="0" collapsed="false">
      <c r="P4374" s="1" t="str">
        <f aca="false">IF(OR(F4374="",H4374="",J4374=""),"",J4374&amp;"|"&amp;F4374&amp;"|"&amp;IF(H4374="W3","W3_"&amp;IF(I4374="","unknown",I4374),H4374))</f>
        <v/>
      </c>
      <c r="Q4374" s="1" t="str">
        <f aca="false">IF(P4374="","",IFERROR(IF(AND(H4374="W7",OR(F4374="causal",F4374="predictive")),IF(AND(K4374=1,L4374=1,M4374=1),"adequate","partial"),INDEX(Fit_Matrix!$B:$B,MATCH(P4374,Fit_Matrix!$A:$A,0))),"CHECK KEY"))</f>
        <v/>
      </c>
    </row>
    <row r="4375" customFormat="false" ht="15" hidden="false" customHeight="true" outlineLevel="0" collapsed="false">
      <c r="P4375" s="1" t="str">
        <f aca="false">IF(OR(F4375="",H4375="",J4375=""),"",J4375&amp;"|"&amp;F4375&amp;"|"&amp;IF(H4375="W3","W3_"&amp;IF(I4375="","unknown",I4375),H4375))</f>
        <v/>
      </c>
      <c r="Q4375" s="1" t="str">
        <f aca="false">IF(P4375="","",IFERROR(IF(AND(H4375="W7",OR(F4375="causal",F4375="predictive")),IF(AND(K4375=1,L4375=1,M4375=1),"adequate","partial"),INDEX(Fit_Matrix!$B:$B,MATCH(P4375,Fit_Matrix!$A:$A,0))),"CHECK KEY"))</f>
        <v/>
      </c>
    </row>
    <row r="4376" customFormat="false" ht="15" hidden="false" customHeight="true" outlineLevel="0" collapsed="false">
      <c r="P4376" s="1" t="str">
        <f aca="false">IF(OR(F4376="",H4376="",J4376=""),"",J4376&amp;"|"&amp;F4376&amp;"|"&amp;IF(H4376="W3","W3_"&amp;IF(I4376="","unknown",I4376),H4376))</f>
        <v/>
      </c>
      <c r="Q4376" s="1" t="str">
        <f aca="false">IF(P4376="","",IFERROR(IF(AND(H4376="W7",OR(F4376="causal",F4376="predictive")),IF(AND(K4376=1,L4376=1,M4376=1),"adequate","partial"),INDEX(Fit_Matrix!$B:$B,MATCH(P4376,Fit_Matrix!$A:$A,0))),"CHECK KEY"))</f>
        <v/>
      </c>
    </row>
    <row r="4377" customFormat="false" ht="15" hidden="false" customHeight="true" outlineLevel="0" collapsed="false">
      <c r="P4377" s="1" t="str">
        <f aca="false">IF(OR(F4377="",H4377="",J4377=""),"",J4377&amp;"|"&amp;F4377&amp;"|"&amp;IF(H4377="W3","W3_"&amp;IF(I4377="","unknown",I4377),H4377))</f>
        <v/>
      </c>
      <c r="Q4377" s="1" t="str">
        <f aca="false">IF(P4377="","",IFERROR(IF(AND(H4377="W7",OR(F4377="causal",F4377="predictive")),IF(AND(K4377=1,L4377=1,M4377=1),"adequate","partial"),INDEX(Fit_Matrix!$B:$B,MATCH(P4377,Fit_Matrix!$A:$A,0))),"CHECK KEY"))</f>
        <v/>
      </c>
    </row>
    <row r="4378" customFormat="false" ht="15" hidden="false" customHeight="true" outlineLevel="0" collapsed="false">
      <c r="P4378" s="1" t="str">
        <f aca="false">IF(OR(F4378="",H4378="",J4378=""),"",J4378&amp;"|"&amp;F4378&amp;"|"&amp;IF(H4378="W3","W3_"&amp;IF(I4378="","unknown",I4378),H4378))</f>
        <v/>
      </c>
      <c r="Q4378" s="1" t="str">
        <f aca="false">IF(P4378="","",IFERROR(IF(AND(H4378="W7",OR(F4378="causal",F4378="predictive")),IF(AND(K4378=1,L4378=1,M4378=1),"adequate","partial"),INDEX(Fit_Matrix!$B:$B,MATCH(P4378,Fit_Matrix!$A:$A,0))),"CHECK KEY"))</f>
        <v/>
      </c>
    </row>
    <row r="4379" customFormat="false" ht="15" hidden="false" customHeight="true" outlineLevel="0" collapsed="false">
      <c r="P4379" s="1" t="str">
        <f aca="false">IF(OR(F4379="",H4379="",J4379=""),"",J4379&amp;"|"&amp;F4379&amp;"|"&amp;IF(H4379="W3","W3_"&amp;IF(I4379="","unknown",I4379),H4379))</f>
        <v/>
      </c>
      <c r="Q4379" s="1" t="str">
        <f aca="false">IF(P4379="","",IFERROR(IF(AND(H4379="W7",OR(F4379="causal",F4379="predictive")),IF(AND(K4379=1,L4379=1,M4379=1),"adequate","partial"),INDEX(Fit_Matrix!$B:$B,MATCH(P4379,Fit_Matrix!$A:$A,0))),"CHECK KEY"))</f>
        <v/>
      </c>
    </row>
    <row r="4380" customFormat="false" ht="15" hidden="false" customHeight="true" outlineLevel="0" collapsed="false">
      <c r="P4380" s="1" t="str">
        <f aca="false">IF(OR(F4380="",H4380="",J4380=""),"",J4380&amp;"|"&amp;F4380&amp;"|"&amp;IF(H4380="W3","W3_"&amp;IF(I4380="","unknown",I4380),H4380))</f>
        <v/>
      </c>
      <c r="Q4380" s="1" t="str">
        <f aca="false">IF(P4380="","",IFERROR(IF(AND(H4380="W7",OR(F4380="causal",F4380="predictive")),IF(AND(K4380=1,L4380=1,M4380=1),"adequate","partial"),INDEX(Fit_Matrix!$B:$B,MATCH(P4380,Fit_Matrix!$A:$A,0))),"CHECK KEY"))</f>
        <v/>
      </c>
    </row>
    <row r="4381" customFormat="false" ht="15" hidden="false" customHeight="true" outlineLevel="0" collapsed="false">
      <c r="P4381" s="1" t="str">
        <f aca="false">IF(OR(F4381="",H4381="",J4381=""),"",J4381&amp;"|"&amp;F4381&amp;"|"&amp;IF(H4381="W3","W3_"&amp;IF(I4381="","unknown",I4381),H4381))</f>
        <v/>
      </c>
      <c r="Q4381" s="1" t="str">
        <f aca="false">IF(P4381="","",IFERROR(IF(AND(H4381="W7",OR(F4381="causal",F4381="predictive")),IF(AND(K4381=1,L4381=1,M4381=1),"adequate","partial"),INDEX(Fit_Matrix!$B:$B,MATCH(P4381,Fit_Matrix!$A:$A,0))),"CHECK KEY"))</f>
        <v/>
      </c>
    </row>
    <row r="4382" customFormat="false" ht="15" hidden="false" customHeight="true" outlineLevel="0" collapsed="false">
      <c r="P4382" s="1" t="str">
        <f aca="false">IF(OR(F4382="",H4382="",J4382=""),"",J4382&amp;"|"&amp;F4382&amp;"|"&amp;IF(H4382="W3","W3_"&amp;IF(I4382="","unknown",I4382),H4382))</f>
        <v/>
      </c>
      <c r="Q4382" s="1" t="str">
        <f aca="false">IF(P4382="","",IFERROR(IF(AND(H4382="W7",OR(F4382="causal",F4382="predictive")),IF(AND(K4382=1,L4382=1,M4382=1),"adequate","partial"),INDEX(Fit_Matrix!$B:$B,MATCH(P4382,Fit_Matrix!$A:$A,0))),"CHECK KEY"))</f>
        <v/>
      </c>
    </row>
    <row r="4383" customFormat="false" ht="15" hidden="false" customHeight="true" outlineLevel="0" collapsed="false">
      <c r="P4383" s="1" t="str">
        <f aca="false">IF(OR(F4383="",H4383="",J4383=""),"",J4383&amp;"|"&amp;F4383&amp;"|"&amp;IF(H4383="W3","W3_"&amp;IF(I4383="","unknown",I4383),H4383))</f>
        <v/>
      </c>
      <c r="Q4383" s="1" t="str">
        <f aca="false">IF(P4383="","",IFERROR(IF(AND(H4383="W7",OR(F4383="causal",F4383="predictive")),IF(AND(K4383=1,L4383=1,M4383=1),"adequate","partial"),INDEX(Fit_Matrix!$B:$B,MATCH(P4383,Fit_Matrix!$A:$A,0))),"CHECK KEY"))</f>
        <v/>
      </c>
    </row>
    <row r="4384" customFormat="false" ht="15" hidden="false" customHeight="true" outlineLevel="0" collapsed="false">
      <c r="P4384" s="1" t="str">
        <f aca="false">IF(OR(F4384="",H4384="",J4384=""),"",J4384&amp;"|"&amp;F4384&amp;"|"&amp;IF(H4384="W3","W3_"&amp;IF(I4384="","unknown",I4384),H4384))</f>
        <v/>
      </c>
      <c r="Q4384" s="1" t="str">
        <f aca="false">IF(P4384="","",IFERROR(IF(AND(H4384="W7",OR(F4384="causal",F4384="predictive")),IF(AND(K4384=1,L4384=1,M4384=1),"adequate","partial"),INDEX(Fit_Matrix!$B:$B,MATCH(P4384,Fit_Matrix!$A:$A,0))),"CHECK KEY"))</f>
        <v/>
      </c>
    </row>
    <row r="4385" customFormat="false" ht="15" hidden="false" customHeight="true" outlineLevel="0" collapsed="false">
      <c r="P4385" s="1" t="str">
        <f aca="false">IF(OR(F4385="",H4385="",J4385=""),"",J4385&amp;"|"&amp;F4385&amp;"|"&amp;IF(H4385="W3","W3_"&amp;IF(I4385="","unknown",I4385),H4385))</f>
        <v/>
      </c>
      <c r="Q4385" s="1" t="str">
        <f aca="false">IF(P4385="","",IFERROR(IF(AND(H4385="W7",OR(F4385="causal",F4385="predictive")),IF(AND(K4385=1,L4385=1,M4385=1),"adequate","partial"),INDEX(Fit_Matrix!$B:$B,MATCH(P4385,Fit_Matrix!$A:$A,0))),"CHECK KEY"))</f>
        <v/>
      </c>
    </row>
    <row r="4386" customFormat="false" ht="15" hidden="false" customHeight="true" outlineLevel="0" collapsed="false">
      <c r="P4386" s="1" t="str">
        <f aca="false">IF(OR(F4386="",H4386="",J4386=""),"",J4386&amp;"|"&amp;F4386&amp;"|"&amp;IF(H4386="W3","W3_"&amp;IF(I4386="","unknown",I4386),H4386))</f>
        <v/>
      </c>
      <c r="Q4386" s="1" t="str">
        <f aca="false">IF(P4386="","",IFERROR(IF(AND(H4386="W7",OR(F4386="causal",F4386="predictive")),IF(AND(K4386=1,L4386=1,M4386=1),"adequate","partial"),INDEX(Fit_Matrix!$B:$B,MATCH(P4386,Fit_Matrix!$A:$A,0))),"CHECK KEY"))</f>
        <v/>
      </c>
    </row>
    <row r="4387" customFormat="false" ht="15" hidden="false" customHeight="true" outlineLevel="0" collapsed="false">
      <c r="P4387" s="1" t="str">
        <f aca="false">IF(OR(F4387="",H4387="",J4387=""),"",J4387&amp;"|"&amp;F4387&amp;"|"&amp;IF(H4387="W3","W3_"&amp;IF(I4387="","unknown",I4387),H4387))</f>
        <v/>
      </c>
      <c r="Q4387" s="1" t="str">
        <f aca="false">IF(P4387="","",IFERROR(IF(AND(H4387="W7",OR(F4387="causal",F4387="predictive")),IF(AND(K4387=1,L4387=1,M4387=1),"adequate","partial"),INDEX(Fit_Matrix!$B:$B,MATCH(P4387,Fit_Matrix!$A:$A,0))),"CHECK KEY"))</f>
        <v/>
      </c>
    </row>
    <row r="4388" customFormat="false" ht="15" hidden="false" customHeight="true" outlineLevel="0" collapsed="false">
      <c r="P4388" s="1" t="str">
        <f aca="false">IF(OR(F4388="",H4388="",J4388=""),"",J4388&amp;"|"&amp;F4388&amp;"|"&amp;IF(H4388="W3","W3_"&amp;IF(I4388="","unknown",I4388),H4388))</f>
        <v/>
      </c>
      <c r="Q4388" s="1" t="str">
        <f aca="false">IF(P4388="","",IFERROR(IF(AND(H4388="W7",OR(F4388="causal",F4388="predictive")),IF(AND(K4388=1,L4388=1,M4388=1),"adequate","partial"),INDEX(Fit_Matrix!$B:$B,MATCH(P4388,Fit_Matrix!$A:$A,0))),"CHECK KEY"))</f>
        <v/>
      </c>
    </row>
    <row r="4389" customFormat="false" ht="15" hidden="false" customHeight="true" outlineLevel="0" collapsed="false">
      <c r="P4389" s="1" t="str">
        <f aca="false">IF(OR(F4389="",H4389="",J4389=""),"",J4389&amp;"|"&amp;F4389&amp;"|"&amp;IF(H4389="W3","W3_"&amp;IF(I4389="","unknown",I4389),H4389))</f>
        <v/>
      </c>
      <c r="Q4389" s="1" t="str">
        <f aca="false">IF(P4389="","",IFERROR(IF(AND(H4389="W7",OR(F4389="causal",F4389="predictive")),IF(AND(K4389=1,L4389=1,M4389=1),"adequate","partial"),INDEX(Fit_Matrix!$B:$B,MATCH(P4389,Fit_Matrix!$A:$A,0))),"CHECK KEY"))</f>
        <v/>
      </c>
    </row>
    <row r="4390" customFormat="false" ht="15" hidden="false" customHeight="true" outlineLevel="0" collapsed="false">
      <c r="P4390" s="1" t="str">
        <f aca="false">IF(OR(F4390="",H4390="",J4390=""),"",J4390&amp;"|"&amp;F4390&amp;"|"&amp;IF(H4390="W3","W3_"&amp;IF(I4390="","unknown",I4390),H4390))</f>
        <v/>
      </c>
      <c r="Q4390" s="1" t="str">
        <f aca="false">IF(P4390="","",IFERROR(IF(AND(H4390="W7",OR(F4390="causal",F4390="predictive")),IF(AND(K4390=1,L4390=1,M4390=1),"adequate","partial"),INDEX(Fit_Matrix!$B:$B,MATCH(P4390,Fit_Matrix!$A:$A,0))),"CHECK KEY"))</f>
        <v/>
      </c>
    </row>
    <row r="4391" customFormat="false" ht="15" hidden="false" customHeight="true" outlineLevel="0" collapsed="false">
      <c r="P4391" s="1" t="str">
        <f aca="false">IF(OR(F4391="",H4391="",J4391=""),"",J4391&amp;"|"&amp;F4391&amp;"|"&amp;IF(H4391="W3","W3_"&amp;IF(I4391="","unknown",I4391),H4391))</f>
        <v/>
      </c>
      <c r="Q4391" s="1" t="str">
        <f aca="false">IF(P4391="","",IFERROR(IF(AND(H4391="W7",OR(F4391="causal",F4391="predictive")),IF(AND(K4391=1,L4391=1,M4391=1),"adequate","partial"),INDEX(Fit_Matrix!$B:$B,MATCH(P4391,Fit_Matrix!$A:$A,0))),"CHECK KEY"))</f>
        <v/>
      </c>
    </row>
    <row r="4392" customFormat="false" ht="15" hidden="false" customHeight="true" outlineLevel="0" collapsed="false">
      <c r="P4392" s="1" t="str">
        <f aca="false">IF(OR(F4392="",H4392="",J4392=""),"",J4392&amp;"|"&amp;F4392&amp;"|"&amp;IF(H4392="W3","W3_"&amp;IF(I4392="","unknown",I4392),H4392))</f>
        <v/>
      </c>
      <c r="Q4392" s="1" t="str">
        <f aca="false">IF(P4392="","",IFERROR(IF(AND(H4392="W7",OR(F4392="causal",F4392="predictive")),IF(AND(K4392=1,L4392=1,M4392=1),"adequate","partial"),INDEX(Fit_Matrix!$B:$B,MATCH(P4392,Fit_Matrix!$A:$A,0))),"CHECK KEY"))</f>
        <v/>
      </c>
    </row>
    <row r="4393" customFormat="false" ht="15" hidden="false" customHeight="true" outlineLevel="0" collapsed="false">
      <c r="P4393" s="1" t="str">
        <f aca="false">IF(OR(F4393="",H4393="",J4393=""),"",J4393&amp;"|"&amp;F4393&amp;"|"&amp;IF(H4393="W3","W3_"&amp;IF(I4393="","unknown",I4393),H4393))</f>
        <v/>
      </c>
      <c r="Q4393" s="1" t="str">
        <f aca="false">IF(P4393="","",IFERROR(IF(AND(H4393="W7",OR(F4393="causal",F4393="predictive")),IF(AND(K4393=1,L4393=1,M4393=1),"adequate","partial"),INDEX(Fit_Matrix!$B:$B,MATCH(P4393,Fit_Matrix!$A:$A,0))),"CHECK KEY"))</f>
        <v/>
      </c>
    </row>
    <row r="4394" customFormat="false" ht="15" hidden="false" customHeight="true" outlineLevel="0" collapsed="false">
      <c r="P4394" s="1" t="str">
        <f aca="false">IF(OR(F4394="",H4394="",J4394=""),"",J4394&amp;"|"&amp;F4394&amp;"|"&amp;IF(H4394="W3","W3_"&amp;IF(I4394="","unknown",I4394),H4394))</f>
        <v/>
      </c>
      <c r="Q4394" s="1" t="str">
        <f aca="false">IF(P4394="","",IFERROR(IF(AND(H4394="W7",OR(F4394="causal",F4394="predictive")),IF(AND(K4394=1,L4394=1,M4394=1),"adequate","partial"),INDEX(Fit_Matrix!$B:$B,MATCH(P4394,Fit_Matrix!$A:$A,0))),"CHECK KEY"))</f>
        <v/>
      </c>
    </row>
    <row r="4395" customFormat="false" ht="15" hidden="false" customHeight="true" outlineLevel="0" collapsed="false">
      <c r="P4395" s="1" t="str">
        <f aca="false">IF(OR(F4395="",H4395="",J4395=""),"",J4395&amp;"|"&amp;F4395&amp;"|"&amp;IF(H4395="W3","W3_"&amp;IF(I4395="","unknown",I4395),H4395))</f>
        <v/>
      </c>
      <c r="Q4395" s="1" t="str">
        <f aca="false">IF(P4395="","",IFERROR(IF(AND(H4395="W7",OR(F4395="causal",F4395="predictive")),IF(AND(K4395=1,L4395=1,M4395=1),"adequate","partial"),INDEX(Fit_Matrix!$B:$B,MATCH(P4395,Fit_Matrix!$A:$A,0))),"CHECK KEY"))</f>
        <v/>
      </c>
    </row>
    <row r="4396" customFormat="false" ht="15" hidden="false" customHeight="true" outlineLevel="0" collapsed="false">
      <c r="P4396" s="1" t="str">
        <f aca="false">IF(OR(F4396="",H4396="",J4396=""),"",J4396&amp;"|"&amp;F4396&amp;"|"&amp;IF(H4396="W3","W3_"&amp;IF(I4396="","unknown",I4396),H4396))</f>
        <v/>
      </c>
      <c r="Q4396" s="1" t="str">
        <f aca="false">IF(P4396="","",IFERROR(IF(AND(H4396="W7",OR(F4396="causal",F4396="predictive")),IF(AND(K4396=1,L4396=1,M4396=1),"adequate","partial"),INDEX(Fit_Matrix!$B:$B,MATCH(P4396,Fit_Matrix!$A:$A,0))),"CHECK KEY"))</f>
        <v/>
      </c>
    </row>
    <row r="4397" customFormat="false" ht="15" hidden="false" customHeight="true" outlineLevel="0" collapsed="false">
      <c r="P4397" s="1" t="str">
        <f aca="false">IF(OR(F4397="",H4397="",J4397=""),"",J4397&amp;"|"&amp;F4397&amp;"|"&amp;IF(H4397="W3","W3_"&amp;IF(I4397="","unknown",I4397),H4397))</f>
        <v/>
      </c>
      <c r="Q4397" s="1" t="str">
        <f aca="false">IF(P4397="","",IFERROR(IF(AND(H4397="W7",OR(F4397="causal",F4397="predictive")),IF(AND(K4397=1,L4397=1,M4397=1),"adequate","partial"),INDEX(Fit_Matrix!$B:$B,MATCH(P4397,Fit_Matrix!$A:$A,0))),"CHECK KEY"))</f>
        <v/>
      </c>
    </row>
    <row r="4398" customFormat="false" ht="15" hidden="false" customHeight="true" outlineLevel="0" collapsed="false">
      <c r="P4398" s="1" t="str">
        <f aca="false">IF(OR(F4398="",H4398="",J4398=""),"",J4398&amp;"|"&amp;F4398&amp;"|"&amp;IF(H4398="W3","W3_"&amp;IF(I4398="","unknown",I4398),H4398))</f>
        <v/>
      </c>
      <c r="Q4398" s="1" t="str">
        <f aca="false">IF(P4398="","",IFERROR(IF(AND(H4398="W7",OR(F4398="causal",F4398="predictive")),IF(AND(K4398=1,L4398=1,M4398=1),"adequate","partial"),INDEX(Fit_Matrix!$B:$B,MATCH(P4398,Fit_Matrix!$A:$A,0))),"CHECK KEY"))</f>
        <v/>
      </c>
    </row>
    <row r="4399" customFormat="false" ht="15" hidden="false" customHeight="true" outlineLevel="0" collapsed="false">
      <c r="P4399" s="1" t="str">
        <f aca="false">IF(OR(F4399="",H4399="",J4399=""),"",J4399&amp;"|"&amp;F4399&amp;"|"&amp;IF(H4399="W3","W3_"&amp;IF(I4399="","unknown",I4399),H4399))</f>
        <v/>
      </c>
      <c r="Q4399" s="1" t="str">
        <f aca="false">IF(P4399="","",IFERROR(IF(AND(H4399="W7",OR(F4399="causal",F4399="predictive")),IF(AND(K4399=1,L4399=1,M4399=1),"adequate","partial"),INDEX(Fit_Matrix!$B:$B,MATCH(P4399,Fit_Matrix!$A:$A,0))),"CHECK KEY"))</f>
        <v/>
      </c>
    </row>
    <row r="4400" customFormat="false" ht="15" hidden="false" customHeight="true" outlineLevel="0" collapsed="false">
      <c r="P4400" s="1" t="str">
        <f aca="false">IF(OR(F4400="",H4400="",J4400=""),"",J4400&amp;"|"&amp;F4400&amp;"|"&amp;IF(H4400="W3","W3_"&amp;IF(I4400="","unknown",I4400),H4400))</f>
        <v/>
      </c>
      <c r="Q4400" s="1" t="str">
        <f aca="false">IF(P4400="","",IFERROR(IF(AND(H4400="W7",OR(F4400="causal",F4400="predictive")),IF(AND(K4400=1,L4400=1,M4400=1),"adequate","partial"),INDEX(Fit_Matrix!$B:$B,MATCH(P4400,Fit_Matrix!$A:$A,0))),"CHECK KEY"))</f>
        <v/>
      </c>
    </row>
    <row r="4401" customFormat="false" ht="15" hidden="false" customHeight="true" outlineLevel="0" collapsed="false">
      <c r="P4401" s="1" t="str">
        <f aca="false">IF(OR(F4401="",H4401="",J4401=""),"",J4401&amp;"|"&amp;F4401&amp;"|"&amp;IF(H4401="W3","W3_"&amp;IF(I4401="","unknown",I4401),H4401))</f>
        <v/>
      </c>
      <c r="Q4401" s="1" t="str">
        <f aca="false">IF(P4401="","",IFERROR(IF(AND(H4401="W7",OR(F4401="causal",F4401="predictive")),IF(AND(K4401=1,L4401=1,M4401=1),"adequate","partial"),INDEX(Fit_Matrix!$B:$B,MATCH(P4401,Fit_Matrix!$A:$A,0))),"CHECK KEY"))</f>
        <v/>
      </c>
    </row>
    <row r="4402" customFormat="false" ht="15" hidden="false" customHeight="true" outlineLevel="0" collapsed="false">
      <c r="P4402" s="1" t="str">
        <f aca="false">IF(OR(F4402="",H4402="",J4402=""),"",J4402&amp;"|"&amp;F4402&amp;"|"&amp;IF(H4402="W3","W3_"&amp;IF(I4402="","unknown",I4402),H4402))</f>
        <v/>
      </c>
      <c r="Q4402" s="1" t="str">
        <f aca="false">IF(P4402="","",IFERROR(IF(AND(H4402="W7",OR(F4402="causal",F4402="predictive")),IF(AND(K4402=1,L4402=1,M4402=1),"adequate","partial"),INDEX(Fit_Matrix!$B:$B,MATCH(P4402,Fit_Matrix!$A:$A,0))),"CHECK KEY"))</f>
        <v/>
      </c>
    </row>
    <row r="4403" customFormat="false" ht="15" hidden="false" customHeight="true" outlineLevel="0" collapsed="false">
      <c r="P4403" s="1" t="str">
        <f aca="false">IF(OR(F4403="",H4403="",J4403=""),"",J4403&amp;"|"&amp;F4403&amp;"|"&amp;IF(H4403="W3","W3_"&amp;IF(I4403="","unknown",I4403),H4403))</f>
        <v/>
      </c>
      <c r="Q4403" s="1" t="str">
        <f aca="false">IF(P4403="","",IFERROR(IF(AND(H4403="W7",OR(F4403="causal",F4403="predictive")),IF(AND(K4403=1,L4403=1,M4403=1),"adequate","partial"),INDEX(Fit_Matrix!$B:$B,MATCH(P4403,Fit_Matrix!$A:$A,0))),"CHECK KEY"))</f>
        <v/>
      </c>
    </row>
    <row r="4404" customFormat="false" ht="15" hidden="false" customHeight="true" outlineLevel="0" collapsed="false">
      <c r="P4404" s="1" t="str">
        <f aca="false">IF(OR(F4404="",H4404="",J4404=""),"",J4404&amp;"|"&amp;F4404&amp;"|"&amp;IF(H4404="W3","W3_"&amp;IF(I4404="","unknown",I4404),H4404))</f>
        <v/>
      </c>
      <c r="Q4404" s="1" t="str">
        <f aca="false">IF(P4404="","",IFERROR(IF(AND(H4404="W7",OR(F4404="causal",F4404="predictive")),IF(AND(K4404=1,L4404=1,M4404=1),"adequate","partial"),INDEX(Fit_Matrix!$B:$B,MATCH(P4404,Fit_Matrix!$A:$A,0))),"CHECK KEY"))</f>
        <v/>
      </c>
    </row>
    <row r="4405" customFormat="false" ht="15" hidden="false" customHeight="true" outlineLevel="0" collapsed="false">
      <c r="P4405" s="1" t="str">
        <f aca="false">IF(OR(F4405="",H4405="",J4405=""),"",J4405&amp;"|"&amp;F4405&amp;"|"&amp;IF(H4405="W3","W3_"&amp;IF(I4405="","unknown",I4405),H4405))</f>
        <v/>
      </c>
      <c r="Q4405" s="1" t="str">
        <f aca="false">IF(P4405="","",IFERROR(IF(AND(H4405="W7",OR(F4405="causal",F4405="predictive")),IF(AND(K4405=1,L4405=1,M4405=1),"adequate","partial"),INDEX(Fit_Matrix!$B:$B,MATCH(P4405,Fit_Matrix!$A:$A,0))),"CHECK KEY"))</f>
        <v/>
      </c>
    </row>
    <row r="4406" customFormat="false" ht="15" hidden="false" customHeight="true" outlineLevel="0" collapsed="false">
      <c r="P4406" s="1" t="str">
        <f aca="false">IF(OR(F4406="",H4406="",J4406=""),"",J4406&amp;"|"&amp;F4406&amp;"|"&amp;IF(H4406="W3","W3_"&amp;IF(I4406="","unknown",I4406),H4406))</f>
        <v/>
      </c>
      <c r="Q4406" s="1" t="str">
        <f aca="false">IF(P4406="","",IFERROR(IF(AND(H4406="W7",OR(F4406="causal",F4406="predictive")),IF(AND(K4406=1,L4406=1,M4406=1),"adequate","partial"),INDEX(Fit_Matrix!$B:$B,MATCH(P4406,Fit_Matrix!$A:$A,0))),"CHECK KEY"))</f>
        <v/>
      </c>
    </row>
    <row r="4407" customFormat="false" ht="15" hidden="false" customHeight="true" outlineLevel="0" collapsed="false">
      <c r="P4407" s="1" t="str">
        <f aca="false">IF(OR(F4407="",H4407="",J4407=""),"",J4407&amp;"|"&amp;F4407&amp;"|"&amp;IF(H4407="W3","W3_"&amp;IF(I4407="","unknown",I4407),H4407))</f>
        <v/>
      </c>
      <c r="Q4407" s="1" t="str">
        <f aca="false">IF(P4407="","",IFERROR(IF(AND(H4407="W7",OR(F4407="causal",F4407="predictive")),IF(AND(K4407=1,L4407=1,M4407=1),"adequate","partial"),INDEX(Fit_Matrix!$B:$B,MATCH(P4407,Fit_Matrix!$A:$A,0))),"CHECK KEY"))</f>
        <v/>
      </c>
    </row>
    <row r="4408" customFormat="false" ht="15" hidden="false" customHeight="true" outlineLevel="0" collapsed="false">
      <c r="P4408" s="1" t="str">
        <f aca="false">IF(OR(F4408="",H4408="",J4408=""),"",J4408&amp;"|"&amp;F4408&amp;"|"&amp;IF(H4408="W3","W3_"&amp;IF(I4408="","unknown",I4408),H4408))</f>
        <v/>
      </c>
      <c r="Q4408" s="1" t="str">
        <f aca="false">IF(P4408="","",IFERROR(IF(AND(H4408="W7",OR(F4408="causal",F4408="predictive")),IF(AND(K4408=1,L4408=1,M4408=1),"adequate","partial"),INDEX(Fit_Matrix!$B:$B,MATCH(P4408,Fit_Matrix!$A:$A,0))),"CHECK KEY"))</f>
        <v/>
      </c>
    </row>
    <row r="4409" customFormat="false" ht="15" hidden="false" customHeight="true" outlineLevel="0" collapsed="false">
      <c r="P4409" s="1" t="str">
        <f aca="false">IF(OR(F4409="",H4409="",J4409=""),"",J4409&amp;"|"&amp;F4409&amp;"|"&amp;IF(H4409="W3","W3_"&amp;IF(I4409="","unknown",I4409),H4409))</f>
        <v/>
      </c>
      <c r="Q4409" s="1" t="str">
        <f aca="false">IF(P4409="","",IFERROR(IF(AND(H4409="W7",OR(F4409="causal",F4409="predictive")),IF(AND(K4409=1,L4409=1,M4409=1),"adequate","partial"),INDEX(Fit_Matrix!$B:$B,MATCH(P4409,Fit_Matrix!$A:$A,0))),"CHECK KEY"))</f>
        <v/>
      </c>
    </row>
    <row r="4410" customFormat="false" ht="15" hidden="false" customHeight="true" outlineLevel="0" collapsed="false">
      <c r="P4410" s="1" t="str">
        <f aca="false">IF(OR(F4410="",H4410="",J4410=""),"",J4410&amp;"|"&amp;F4410&amp;"|"&amp;IF(H4410="W3","W3_"&amp;IF(I4410="","unknown",I4410),H4410))</f>
        <v/>
      </c>
      <c r="Q4410" s="1" t="str">
        <f aca="false">IF(P4410="","",IFERROR(IF(AND(H4410="W7",OR(F4410="causal",F4410="predictive")),IF(AND(K4410=1,L4410=1,M4410=1),"adequate","partial"),INDEX(Fit_Matrix!$B:$B,MATCH(P4410,Fit_Matrix!$A:$A,0))),"CHECK KEY"))</f>
        <v/>
      </c>
    </row>
    <row r="4411" customFormat="false" ht="15" hidden="false" customHeight="true" outlineLevel="0" collapsed="false">
      <c r="P4411" s="1" t="str">
        <f aca="false">IF(OR(F4411="",H4411="",J4411=""),"",J4411&amp;"|"&amp;F4411&amp;"|"&amp;IF(H4411="W3","W3_"&amp;IF(I4411="","unknown",I4411),H4411))</f>
        <v/>
      </c>
      <c r="Q4411" s="1" t="str">
        <f aca="false">IF(P4411="","",IFERROR(IF(AND(H4411="W7",OR(F4411="causal",F4411="predictive")),IF(AND(K4411=1,L4411=1,M4411=1),"adequate","partial"),INDEX(Fit_Matrix!$B:$B,MATCH(P4411,Fit_Matrix!$A:$A,0))),"CHECK KEY"))</f>
        <v/>
      </c>
    </row>
    <row r="4412" customFormat="false" ht="15" hidden="false" customHeight="true" outlineLevel="0" collapsed="false">
      <c r="P4412" s="1" t="str">
        <f aca="false">IF(OR(F4412="",H4412="",J4412=""),"",J4412&amp;"|"&amp;F4412&amp;"|"&amp;IF(H4412="W3","W3_"&amp;IF(I4412="","unknown",I4412),H4412))</f>
        <v/>
      </c>
      <c r="Q4412" s="1" t="str">
        <f aca="false">IF(P4412="","",IFERROR(IF(AND(H4412="W7",OR(F4412="causal",F4412="predictive")),IF(AND(K4412=1,L4412=1,M4412=1),"adequate","partial"),INDEX(Fit_Matrix!$B:$B,MATCH(P4412,Fit_Matrix!$A:$A,0))),"CHECK KEY"))</f>
        <v/>
      </c>
    </row>
    <row r="4413" customFormat="false" ht="15" hidden="false" customHeight="true" outlineLevel="0" collapsed="false">
      <c r="P4413" s="1" t="str">
        <f aca="false">IF(OR(F4413="",H4413="",J4413=""),"",J4413&amp;"|"&amp;F4413&amp;"|"&amp;IF(H4413="W3","W3_"&amp;IF(I4413="","unknown",I4413),H4413))</f>
        <v/>
      </c>
      <c r="Q4413" s="1" t="str">
        <f aca="false">IF(P4413="","",IFERROR(IF(AND(H4413="W7",OR(F4413="causal",F4413="predictive")),IF(AND(K4413=1,L4413=1,M4413=1),"adequate","partial"),INDEX(Fit_Matrix!$B:$B,MATCH(P4413,Fit_Matrix!$A:$A,0))),"CHECK KEY"))</f>
        <v/>
      </c>
    </row>
    <row r="4414" customFormat="false" ht="15" hidden="false" customHeight="true" outlineLevel="0" collapsed="false">
      <c r="P4414" s="1" t="str">
        <f aca="false">IF(OR(F4414="",H4414="",J4414=""),"",J4414&amp;"|"&amp;F4414&amp;"|"&amp;IF(H4414="W3","W3_"&amp;IF(I4414="","unknown",I4414),H4414))</f>
        <v/>
      </c>
      <c r="Q4414" s="1" t="str">
        <f aca="false">IF(P4414="","",IFERROR(IF(AND(H4414="W7",OR(F4414="causal",F4414="predictive")),IF(AND(K4414=1,L4414=1,M4414=1),"adequate","partial"),INDEX(Fit_Matrix!$B:$B,MATCH(P4414,Fit_Matrix!$A:$A,0))),"CHECK KEY"))</f>
        <v/>
      </c>
    </row>
    <row r="4415" customFormat="false" ht="15" hidden="false" customHeight="true" outlineLevel="0" collapsed="false">
      <c r="P4415" s="1" t="str">
        <f aca="false">IF(OR(F4415="",H4415="",J4415=""),"",J4415&amp;"|"&amp;F4415&amp;"|"&amp;IF(H4415="W3","W3_"&amp;IF(I4415="","unknown",I4415),H4415))</f>
        <v/>
      </c>
      <c r="Q4415" s="1" t="str">
        <f aca="false">IF(P4415="","",IFERROR(IF(AND(H4415="W7",OR(F4415="causal",F4415="predictive")),IF(AND(K4415=1,L4415=1,M4415=1),"adequate","partial"),INDEX(Fit_Matrix!$B:$B,MATCH(P4415,Fit_Matrix!$A:$A,0))),"CHECK KEY"))</f>
        <v/>
      </c>
    </row>
    <row r="4416" customFormat="false" ht="15" hidden="false" customHeight="true" outlineLevel="0" collapsed="false">
      <c r="P4416" s="1" t="str">
        <f aca="false">IF(OR(F4416="",H4416="",J4416=""),"",J4416&amp;"|"&amp;F4416&amp;"|"&amp;IF(H4416="W3","W3_"&amp;IF(I4416="","unknown",I4416),H4416))</f>
        <v/>
      </c>
      <c r="Q4416" s="1" t="str">
        <f aca="false">IF(P4416="","",IFERROR(IF(AND(H4416="W7",OR(F4416="causal",F4416="predictive")),IF(AND(K4416=1,L4416=1,M4416=1),"adequate","partial"),INDEX(Fit_Matrix!$B:$B,MATCH(P4416,Fit_Matrix!$A:$A,0))),"CHECK KEY"))</f>
        <v/>
      </c>
    </row>
    <row r="4417" customFormat="false" ht="15" hidden="false" customHeight="true" outlineLevel="0" collapsed="false">
      <c r="P4417" s="1" t="str">
        <f aca="false">IF(OR(F4417="",H4417="",J4417=""),"",J4417&amp;"|"&amp;F4417&amp;"|"&amp;IF(H4417="W3","W3_"&amp;IF(I4417="","unknown",I4417),H4417))</f>
        <v/>
      </c>
      <c r="Q4417" s="1" t="str">
        <f aca="false">IF(P4417="","",IFERROR(IF(AND(H4417="W7",OR(F4417="causal",F4417="predictive")),IF(AND(K4417=1,L4417=1,M4417=1),"adequate","partial"),INDEX(Fit_Matrix!$B:$B,MATCH(P4417,Fit_Matrix!$A:$A,0))),"CHECK KEY"))</f>
        <v/>
      </c>
    </row>
    <row r="4418" customFormat="false" ht="15" hidden="false" customHeight="true" outlineLevel="0" collapsed="false">
      <c r="P4418" s="1" t="str">
        <f aca="false">IF(OR(F4418="",H4418="",J4418=""),"",J4418&amp;"|"&amp;F4418&amp;"|"&amp;IF(H4418="W3","W3_"&amp;IF(I4418="","unknown",I4418),H4418))</f>
        <v/>
      </c>
      <c r="Q4418" s="1" t="str">
        <f aca="false">IF(P4418="","",IFERROR(IF(AND(H4418="W7",OR(F4418="causal",F4418="predictive")),IF(AND(K4418=1,L4418=1,M4418=1),"adequate","partial"),INDEX(Fit_Matrix!$B:$B,MATCH(P4418,Fit_Matrix!$A:$A,0))),"CHECK KEY"))</f>
        <v/>
      </c>
    </row>
    <row r="4419" customFormat="false" ht="15" hidden="false" customHeight="true" outlineLevel="0" collapsed="false">
      <c r="P4419" s="1" t="str">
        <f aca="false">IF(OR(F4419="",H4419="",J4419=""),"",J4419&amp;"|"&amp;F4419&amp;"|"&amp;IF(H4419="W3","W3_"&amp;IF(I4419="","unknown",I4419),H4419))</f>
        <v/>
      </c>
      <c r="Q4419" s="1" t="str">
        <f aca="false">IF(P4419="","",IFERROR(IF(AND(H4419="W7",OR(F4419="causal",F4419="predictive")),IF(AND(K4419=1,L4419=1,M4419=1),"adequate","partial"),INDEX(Fit_Matrix!$B:$B,MATCH(P4419,Fit_Matrix!$A:$A,0))),"CHECK KEY"))</f>
        <v/>
      </c>
    </row>
    <row r="4420" customFormat="false" ht="15" hidden="false" customHeight="true" outlineLevel="0" collapsed="false">
      <c r="P4420" s="1" t="str">
        <f aca="false">IF(OR(F4420="",H4420="",J4420=""),"",J4420&amp;"|"&amp;F4420&amp;"|"&amp;IF(H4420="W3","W3_"&amp;IF(I4420="","unknown",I4420),H4420))</f>
        <v/>
      </c>
      <c r="Q4420" s="1" t="str">
        <f aca="false">IF(P4420="","",IFERROR(IF(AND(H4420="W7",OR(F4420="causal",F4420="predictive")),IF(AND(K4420=1,L4420=1,M4420=1),"adequate","partial"),INDEX(Fit_Matrix!$B:$B,MATCH(P4420,Fit_Matrix!$A:$A,0))),"CHECK KEY"))</f>
        <v/>
      </c>
    </row>
    <row r="4421" customFormat="false" ht="15" hidden="false" customHeight="true" outlineLevel="0" collapsed="false">
      <c r="P4421" s="1" t="str">
        <f aca="false">IF(OR(F4421="",H4421="",J4421=""),"",J4421&amp;"|"&amp;F4421&amp;"|"&amp;IF(H4421="W3","W3_"&amp;IF(I4421="","unknown",I4421),H4421))</f>
        <v/>
      </c>
      <c r="Q4421" s="1" t="str">
        <f aca="false">IF(P4421="","",IFERROR(IF(AND(H4421="W7",OR(F4421="causal",F4421="predictive")),IF(AND(K4421=1,L4421=1,M4421=1),"adequate","partial"),INDEX(Fit_Matrix!$B:$B,MATCH(P4421,Fit_Matrix!$A:$A,0))),"CHECK KEY"))</f>
        <v/>
      </c>
    </row>
    <row r="4422" customFormat="false" ht="15" hidden="false" customHeight="true" outlineLevel="0" collapsed="false">
      <c r="P4422" s="1" t="str">
        <f aca="false">IF(OR(F4422="",H4422="",J4422=""),"",J4422&amp;"|"&amp;F4422&amp;"|"&amp;IF(H4422="W3","W3_"&amp;IF(I4422="","unknown",I4422),H4422))</f>
        <v/>
      </c>
      <c r="Q4422" s="1" t="str">
        <f aca="false">IF(P4422="","",IFERROR(IF(AND(H4422="W7",OR(F4422="causal",F4422="predictive")),IF(AND(K4422=1,L4422=1,M4422=1),"adequate","partial"),INDEX(Fit_Matrix!$B:$B,MATCH(P4422,Fit_Matrix!$A:$A,0))),"CHECK KEY"))</f>
        <v/>
      </c>
    </row>
    <row r="4423" customFormat="false" ht="15" hidden="false" customHeight="true" outlineLevel="0" collapsed="false">
      <c r="P4423" s="1" t="str">
        <f aca="false">IF(OR(F4423="",H4423="",J4423=""),"",J4423&amp;"|"&amp;F4423&amp;"|"&amp;IF(H4423="W3","W3_"&amp;IF(I4423="","unknown",I4423),H4423))</f>
        <v/>
      </c>
      <c r="Q4423" s="1" t="str">
        <f aca="false">IF(P4423="","",IFERROR(IF(AND(H4423="W7",OR(F4423="causal",F4423="predictive")),IF(AND(K4423=1,L4423=1,M4423=1),"adequate","partial"),INDEX(Fit_Matrix!$B:$B,MATCH(P4423,Fit_Matrix!$A:$A,0))),"CHECK KEY"))</f>
        <v/>
      </c>
    </row>
    <row r="4424" customFormat="false" ht="15" hidden="false" customHeight="true" outlineLevel="0" collapsed="false">
      <c r="P4424" s="1" t="str">
        <f aca="false">IF(OR(F4424="",H4424="",J4424=""),"",J4424&amp;"|"&amp;F4424&amp;"|"&amp;IF(H4424="W3","W3_"&amp;IF(I4424="","unknown",I4424),H4424))</f>
        <v/>
      </c>
      <c r="Q4424" s="1" t="str">
        <f aca="false">IF(P4424="","",IFERROR(IF(AND(H4424="W7",OR(F4424="causal",F4424="predictive")),IF(AND(K4424=1,L4424=1,M4424=1),"adequate","partial"),INDEX(Fit_Matrix!$B:$B,MATCH(P4424,Fit_Matrix!$A:$A,0))),"CHECK KEY"))</f>
        <v/>
      </c>
    </row>
    <row r="4425" customFormat="false" ht="15" hidden="false" customHeight="true" outlineLevel="0" collapsed="false">
      <c r="P4425" s="1" t="str">
        <f aca="false">IF(OR(F4425="",H4425="",J4425=""),"",J4425&amp;"|"&amp;F4425&amp;"|"&amp;IF(H4425="W3","W3_"&amp;IF(I4425="","unknown",I4425),H4425))</f>
        <v/>
      </c>
      <c r="Q4425" s="1" t="str">
        <f aca="false">IF(P4425="","",IFERROR(IF(AND(H4425="W7",OR(F4425="causal",F4425="predictive")),IF(AND(K4425=1,L4425=1,M4425=1),"adequate","partial"),INDEX(Fit_Matrix!$B:$B,MATCH(P4425,Fit_Matrix!$A:$A,0))),"CHECK KEY"))</f>
        <v/>
      </c>
    </row>
    <row r="4426" customFormat="false" ht="15" hidden="false" customHeight="true" outlineLevel="0" collapsed="false">
      <c r="P4426" s="1" t="str">
        <f aca="false">IF(OR(F4426="",H4426="",J4426=""),"",J4426&amp;"|"&amp;F4426&amp;"|"&amp;IF(H4426="W3","W3_"&amp;IF(I4426="","unknown",I4426),H4426))</f>
        <v/>
      </c>
      <c r="Q4426" s="1" t="str">
        <f aca="false">IF(P4426="","",IFERROR(IF(AND(H4426="W7",OR(F4426="causal",F4426="predictive")),IF(AND(K4426=1,L4426=1,M4426=1),"adequate","partial"),INDEX(Fit_Matrix!$B:$B,MATCH(P4426,Fit_Matrix!$A:$A,0))),"CHECK KEY"))</f>
        <v/>
      </c>
    </row>
    <row r="4427" customFormat="false" ht="15" hidden="false" customHeight="true" outlineLevel="0" collapsed="false">
      <c r="P4427" s="1" t="str">
        <f aca="false">IF(OR(F4427="",H4427="",J4427=""),"",J4427&amp;"|"&amp;F4427&amp;"|"&amp;IF(H4427="W3","W3_"&amp;IF(I4427="","unknown",I4427),H4427))</f>
        <v/>
      </c>
      <c r="Q4427" s="1" t="str">
        <f aca="false">IF(P4427="","",IFERROR(IF(AND(H4427="W7",OR(F4427="causal",F4427="predictive")),IF(AND(K4427=1,L4427=1,M4427=1),"adequate","partial"),INDEX(Fit_Matrix!$B:$B,MATCH(P4427,Fit_Matrix!$A:$A,0))),"CHECK KEY"))</f>
        <v/>
      </c>
    </row>
    <row r="4428" customFormat="false" ht="15" hidden="false" customHeight="true" outlineLevel="0" collapsed="false">
      <c r="P4428" s="1" t="str">
        <f aca="false">IF(OR(F4428="",H4428="",J4428=""),"",J4428&amp;"|"&amp;F4428&amp;"|"&amp;IF(H4428="W3","W3_"&amp;IF(I4428="","unknown",I4428),H4428))</f>
        <v/>
      </c>
      <c r="Q4428" s="1" t="str">
        <f aca="false">IF(P4428="","",IFERROR(IF(AND(H4428="W7",OR(F4428="causal",F4428="predictive")),IF(AND(K4428=1,L4428=1,M4428=1),"adequate","partial"),INDEX(Fit_Matrix!$B:$B,MATCH(P4428,Fit_Matrix!$A:$A,0))),"CHECK KEY"))</f>
        <v/>
      </c>
    </row>
    <row r="4429" customFormat="false" ht="15" hidden="false" customHeight="true" outlineLevel="0" collapsed="false">
      <c r="P4429" s="1" t="str">
        <f aca="false">IF(OR(F4429="",H4429="",J4429=""),"",J4429&amp;"|"&amp;F4429&amp;"|"&amp;IF(H4429="W3","W3_"&amp;IF(I4429="","unknown",I4429),H4429))</f>
        <v/>
      </c>
      <c r="Q4429" s="1" t="str">
        <f aca="false">IF(P4429="","",IFERROR(IF(AND(H4429="W7",OR(F4429="causal",F4429="predictive")),IF(AND(K4429=1,L4429=1,M4429=1),"adequate","partial"),INDEX(Fit_Matrix!$B:$B,MATCH(P4429,Fit_Matrix!$A:$A,0))),"CHECK KEY"))</f>
        <v/>
      </c>
    </row>
    <row r="4430" customFormat="false" ht="15" hidden="false" customHeight="true" outlineLevel="0" collapsed="false">
      <c r="P4430" s="1" t="str">
        <f aca="false">IF(OR(F4430="",H4430="",J4430=""),"",J4430&amp;"|"&amp;F4430&amp;"|"&amp;IF(H4430="W3","W3_"&amp;IF(I4430="","unknown",I4430),H4430))</f>
        <v/>
      </c>
      <c r="Q4430" s="1" t="str">
        <f aca="false">IF(P4430="","",IFERROR(IF(AND(H4430="W7",OR(F4430="causal",F4430="predictive")),IF(AND(K4430=1,L4430=1,M4430=1),"adequate","partial"),INDEX(Fit_Matrix!$B:$B,MATCH(P4430,Fit_Matrix!$A:$A,0))),"CHECK KEY"))</f>
        <v/>
      </c>
    </row>
    <row r="4431" customFormat="false" ht="15" hidden="false" customHeight="true" outlineLevel="0" collapsed="false">
      <c r="P4431" s="1" t="str">
        <f aca="false">IF(OR(F4431="",H4431="",J4431=""),"",J4431&amp;"|"&amp;F4431&amp;"|"&amp;IF(H4431="W3","W3_"&amp;IF(I4431="","unknown",I4431),H4431))</f>
        <v/>
      </c>
      <c r="Q4431" s="1" t="str">
        <f aca="false">IF(P4431="","",IFERROR(IF(AND(H4431="W7",OR(F4431="causal",F4431="predictive")),IF(AND(K4431=1,L4431=1,M4431=1),"adequate","partial"),INDEX(Fit_Matrix!$B:$B,MATCH(P4431,Fit_Matrix!$A:$A,0))),"CHECK KEY"))</f>
        <v/>
      </c>
    </row>
    <row r="4432" customFormat="false" ht="15" hidden="false" customHeight="true" outlineLevel="0" collapsed="false">
      <c r="P4432" s="1" t="str">
        <f aca="false">IF(OR(F4432="",H4432="",J4432=""),"",J4432&amp;"|"&amp;F4432&amp;"|"&amp;IF(H4432="W3","W3_"&amp;IF(I4432="","unknown",I4432),H4432))</f>
        <v/>
      </c>
      <c r="Q4432" s="1" t="str">
        <f aca="false">IF(P4432="","",IFERROR(IF(AND(H4432="W7",OR(F4432="causal",F4432="predictive")),IF(AND(K4432=1,L4432=1,M4432=1),"adequate","partial"),INDEX(Fit_Matrix!$B:$B,MATCH(P4432,Fit_Matrix!$A:$A,0))),"CHECK KEY"))</f>
        <v/>
      </c>
    </row>
    <row r="4433" customFormat="false" ht="15" hidden="false" customHeight="true" outlineLevel="0" collapsed="false">
      <c r="P4433" s="1" t="str">
        <f aca="false">IF(OR(F4433="",H4433="",J4433=""),"",J4433&amp;"|"&amp;F4433&amp;"|"&amp;IF(H4433="W3","W3_"&amp;IF(I4433="","unknown",I4433),H4433))</f>
        <v/>
      </c>
      <c r="Q4433" s="1" t="str">
        <f aca="false">IF(P4433="","",IFERROR(IF(AND(H4433="W7",OR(F4433="causal",F4433="predictive")),IF(AND(K4433=1,L4433=1,M4433=1),"adequate","partial"),INDEX(Fit_Matrix!$B:$B,MATCH(P4433,Fit_Matrix!$A:$A,0))),"CHECK KEY"))</f>
        <v/>
      </c>
    </row>
    <row r="4434" customFormat="false" ht="15" hidden="false" customHeight="true" outlineLevel="0" collapsed="false">
      <c r="P4434" s="1" t="str">
        <f aca="false">IF(OR(F4434="",H4434="",J4434=""),"",J4434&amp;"|"&amp;F4434&amp;"|"&amp;IF(H4434="W3","W3_"&amp;IF(I4434="","unknown",I4434),H4434))</f>
        <v/>
      </c>
      <c r="Q4434" s="1" t="str">
        <f aca="false">IF(P4434="","",IFERROR(IF(AND(H4434="W7",OR(F4434="causal",F4434="predictive")),IF(AND(K4434=1,L4434=1,M4434=1),"adequate","partial"),INDEX(Fit_Matrix!$B:$B,MATCH(P4434,Fit_Matrix!$A:$A,0))),"CHECK KEY"))</f>
        <v/>
      </c>
    </row>
    <row r="4435" customFormat="false" ht="15" hidden="false" customHeight="true" outlineLevel="0" collapsed="false">
      <c r="P4435" s="1" t="str">
        <f aca="false">IF(OR(F4435="",H4435="",J4435=""),"",J4435&amp;"|"&amp;F4435&amp;"|"&amp;IF(H4435="W3","W3_"&amp;IF(I4435="","unknown",I4435),H4435))</f>
        <v/>
      </c>
      <c r="Q4435" s="1" t="str">
        <f aca="false">IF(P4435="","",IFERROR(IF(AND(H4435="W7",OR(F4435="causal",F4435="predictive")),IF(AND(K4435=1,L4435=1,M4435=1),"adequate","partial"),INDEX(Fit_Matrix!$B:$B,MATCH(P4435,Fit_Matrix!$A:$A,0))),"CHECK KEY"))</f>
        <v/>
      </c>
    </row>
    <row r="4436" customFormat="false" ht="15" hidden="false" customHeight="true" outlineLevel="0" collapsed="false">
      <c r="P4436" s="1" t="str">
        <f aca="false">IF(OR(F4436="",H4436="",J4436=""),"",J4436&amp;"|"&amp;F4436&amp;"|"&amp;IF(H4436="W3","W3_"&amp;IF(I4436="","unknown",I4436),H4436))</f>
        <v/>
      </c>
      <c r="Q4436" s="1" t="str">
        <f aca="false">IF(P4436="","",IFERROR(IF(AND(H4436="W7",OR(F4436="causal",F4436="predictive")),IF(AND(K4436=1,L4436=1,M4436=1),"adequate","partial"),INDEX(Fit_Matrix!$B:$B,MATCH(P4436,Fit_Matrix!$A:$A,0))),"CHECK KEY"))</f>
        <v/>
      </c>
    </row>
    <row r="4437" customFormat="false" ht="15" hidden="false" customHeight="true" outlineLevel="0" collapsed="false">
      <c r="P4437" s="1" t="str">
        <f aca="false">IF(OR(F4437="",H4437="",J4437=""),"",J4437&amp;"|"&amp;F4437&amp;"|"&amp;IF(H4437="W3","W3_"&amp;IF(I4437="","unknown",I4437),H4437))</f>
        <v/>
      </c>
      <c r="Q4437" s="1" t="str">
        <f aca="false">IF(P4437="","",IFERROR(IF(AND(H4437="W7",OR(F4437="causal",F4437="predictive")),IF(AND(K4437=1,L4437=1,M4437=1),"adequate","partial"),INDEX(Fit_Matrix!$B:$B,MATCH(P4437,Fit_Matrix!$A:$A,0))),"CHECK KEY"))</f>
        <v/>
      </c>
    </row>
    <row r="4438" customFormat="false" ht="15" hidden="false" customHeight="true" outlineLevel="0" collapsed="false">
      <c r="P4438" s="1" t="str">
        <f aca="false">IF(OR(F4438="",H4438="",J4438=""),"",J4438&amp;"|"&amp;F4438&amp;"|"&amp;IF(H4438="W3","W3_"&amp;IF(I4438="","unknown",I4438),H4438))</f>
        <v/>
      </c>
      <c r="Q4438" s="1" t="str">
        <f aca="false">IF(P4438="","",IFERROR(IF(AND(H4438="W7",OR(F4438="causal",F4438="predictive")),IF(AND(K4438=1,L4438=1,M4438=1),"adequate","partial"),INDEX(Fit_Matrix!$B:$B,MATCH(P4438,Fit_Matrix!$A:$A,0))),"CHECK KEY"))</f>
        <v/>
      </c>
    </row>
    <row r="4439" customFormat="false" ht="15" hidden="false" customHeight="true" outlineLevel="0" collapsed="false">
      <c r="P4439" s="1" t="str">
        <f aca="false">IF(OR(F4439="",H4439="",J4439=""),"",J4439&amp;"|"&amp;F4439&amp;"|"&amp;IF(H4439="W3","W3_"&amp;IF(I4439="","unknown",I4439),H4439))</f>
        <v/>
      </c>
      <c r="Q4439" s="1" t="str">
        <f aca="false">IF(P4439="","",IFERROR(IF(AND(H4439="W7",OR(F4439="causal",F4439="predictive")),IF(AND(K4439=1,L4439=1,M4439=1),"adequate","partial"),INDEX(Fit_Matrix!$B:$B,MATCH(P4439,Fit_Matrix!$A:$A,0))),"CHECK KEY"))</f>
        <v/>
      </c>
    </row>
    <row r="4440" customFormat="false" ht="15" hidden="false" customHeight="true" outlineLevel="0" collapsed="false">
      <c r="P4440" s="1" t="str">
        <f aca="false">IF(OR(F4440="",H4440="",J4440=""),"",J4440&amp;"|"&amp;F4440&amp;"|"&amp;IF(H4440="W3","W3_"&amp;IF(I4440="","unknown",I4440),H4440))</f>
        <v/>
      </c>
      <c r="Q4440" s="1" t="str">
        <f aca="false">IF(P4440="","",IFERROR(IF(AND(H4440="W7",OR(F4440="causal",F4440="predictive")),IF(AND(K4440=1,L4440=1,M4440=1),"adequate","partial"),INDEX(Fit_Matrix!$B:$B,MATCH(P4440,Fit_Matrix!$A:$A,0))),"CHECK KEY"))</f>
        <v/>
      </c>
    </row>
    <row r="4441" customFormat="false" ht="15" hidden="false" customHeight="true" outlineLevel="0" collapsed="false">
      <c r="P4441" s="1" t="str">
        <f aca="false">IF(OR(F4441="",H4441="",J4441=""),"",J4441&amp;"|"&amp;F4441&amp;"|"&amp;IF(H4441="W3","W3_"&amp;IF(I4441="","unknown",I4441),H4441))</f>
        <v/>
      </c>
      <c r="Q4441" s="1" t="str">
        <f aca="false">IF(P4441="","",IFERROR(IF(AND(H4441="W7",OR(F4441="causal",F4441="predictive")),IF(AND(K4441=1,L4441=1,M4441=1),"adequate","partial"),INDEX(Fit_Matrix!$B:$B,MATCH(P4441,Fit_Matrix!$A:$A,0))),"CHECK KEY"))</f>
        <v/>
      </c>
    </row>
    <row r="4442" customFormat="false" ht="15" hidden="false" customHeight="true" outlineLevel="0" collapsed="false">
      <c r="P4442" s="1" t="str">
        <f aca="false">IF(OR(F4442="",H4442="",J4442=""),"",J4442&amp;"|"&amp;F4442&amp;"|"&amp;IF(H4442="W3","W3_"&amp;IF(I4442="","unknown",I4442),H4442))</f>
        <v/>
      </c>
      <c r="Q4442" s="1" t="str">
        <f aca="false">IF(P4442="","",IFERROR(IF(AND(H4442="W7",OR(F4442="causal",F4442="predictive")),IF(AND(K4442=1,L4442=1,M4442=1),"adequate","partial"),INDEX(Fit_Matrix!$B:$B,MATCH(P4442,Fit_Matrix!$A:$A,0))),"CHECK KEY"))</f>
        <v/>
      </c>
    </row>
    <row r="4443" customFormat="false" ht="15" hidden="false" customHeight="true" outlineLevel="0" collapsed="false">
      <c r="P4443" s="1" t="str">
        <f aca="false">IF(OR(F4443="",H4443="",J4443=""),"",J4443&amp;"|"&amp;F4443&amp;"|"&amp;IF(H4443="W3","W3_"&amp;IF(I4443="","unknown",I4443),H4443))</f>
        <v/>
      </c>
      <c r="Q4443" s="1" t="str">
        <f aca="false">IF(P4443="","",IFERROR(IF(AND(H4443="W7",OR(F4443="causal",F4443="predictive")),IF(AND(K4443=1,L4443=1,M4443=1),"adequate","partial"),INDEX(Fit_Matrix!$B:$B,MATCH(P4443,Fit_Matrix!$A:$A,0))),"CHECK KEY"))</f>
        <v/>
      </c>
    </row>
    <row r="4444" customFormat="false" ht="15" hidden="false" customHeight="true" outlineLevel="0" collapsed="false">
      <c r="P4444" s="1" t="str">
        <f aca="false">IF(OR(F4444="",H4444="",J4444=""),"",J4444&amp;"|"&amp;F4444&amp;"|"&amp;IF(H4444="W3","W3_"&amp;IF(I4444="","unknown",I4444),H4444))</f>
        <v/>
      </c>
      <c r="Q4444" s="1" t="str">
        <f aca="false">IF(P4444="","",IFERROR(IF(AND(H4444="W7",OR(F4444="causal",F4444="predictive")),IF(AND(K4444=1,L4444=1,M4444=1),"adequate","partial"),INDEX(Fit_Matrix!$B:$B,MATCH(P4444,Fit_Matrix!$A:$A,0))),"CHECK KEY"))</f>
        <v/>
      </c>
    </row>
    <row r="4445" customFormat="false" ht="15" hidden="false" customHeight="true" outlineLevel="0" collapsed="false">
      <c r="P4445" s="1" t="str">
        <f aca="false">IF(OR(F4445="",H4445="",J4445=""),"",J4445&amp;"|"&amp;F4445&amp;"|"&amp;IF(H4445="W3","W3_"&amp;IF(I4445="","unknown",I4445),H4445))</f>
        <v/>
      </c>
      <c r="Q4445" s="1" t="str">
        <f aca="false">IF(P4445="","",IFERROR(IF(AND(H4445="W7",OR(F4445="causal",F4445="predictive")),IF(AND(K4445=1,L4445=1,M4445=1),"adequate","partial"),INDEX(Fit_Matrix!$B:$B,MATCH(P4445,Fit_Matrix!$A:$A,0))),"CHECK KEY"))</f>
        <v/>
      </c>
    </row>
    <row r="4446" customFormat="false" ht="15" hidden="false" customHeight="true" outlineLevel="0" collapsed="false">
      <c r="P4446" s="1" t="str">
        <f aca="false">IF(OR(F4446="",H4446="",J4446=""),"",J4446&amp;"|"&amp;F4446&amp;"|"&amp;IF(H4446="W3","W3_"&amp;IF(I4446="","unknown",I4446),H4446))</f>
        <v/>
      </c>
      <c r="Q4446" s="1" t="str">
        <f aca="false">IF(P4446="","",IFERROR(IF(AND(H4446="W7",OR(F4446="causal",F4446="predictive")),IF(AND(K4446=1,L4446=1,M4446=1),"adequate","partial"),INDEX(Fit_Matrix!$B:$B,MATCH(P4446,Fit_Matrix!$A:$A,0))),"CHECK KEY"))</f>
        <v/>
      </c>
    </row>
    <row r="4447" customFormat="false" ht="15" hidden="false" customHeight="true" outlineLevel="0" collapsed="false">
      <c r="P4447" s="1" t="str">
        <f aca="false">IF(OR(F4447="",H4447="",J4447=""),"",J4447&amp;"|"&amp;F4447&amp;"|"&amp;IF(H4447="W3","W3_"&amp;IF(I4447="","unknown",I4447),H4447))</f>
        <v/>
      </c>
      <c r="Q4447" s="1" t="str">
        <f aca="false">IF(P4447="","",IFERROR(IF(AND(H4447="W7",OR(F4447="causal",F4447="predictive")),IF(AND(K4447=1,L4447=1,M4447=1),"adequate","partial"),INDEX(Fit_Matrix!$B:$B,MATCH(P4447,Fit_Matrix!$A:$A,0))),"CHECK KEY"))</f>
        <v/>
      </c>
    </row>
    <row r="4448" customFormat="false" ht="15" hidden="false" customHeight="true" outlineLevel="0" collapsed="false">
      <c r="P4448" s="1" t="str">
        <f aca="false">IF(OR(F4448="",H4448="",J4448=""),"",J4448&amp;"|"&amp;F4448&amp;"|"&amp;IF(H4448="W3","W3_"&amp;IF(I4448="","unknown",I4448),H4448))</f>
        <v/>
      </c>
      <c r="Q4448" s="1" t="str">
        <f aca="false">IF(P4448="","",IFERROR(IF(AND(H4448="W7",OR(F4448="causal",F4448="predictive")),IF(AND(K4448=1,L4448=1,M4448=1),"adequate","partial"),INDEX(Fit_Matrix!$B:$B,MATCH(P4448,Fit_Matrix!$A:$A,0))),"CHECK KEY"))</f>
        <v/>
      </c>
    </row>
    <row r="4449" customFormat="false" ht="15" hidden="false" customHeight="true" outlineLevel="0" collapsed="false">
      <c r="P4449" s="1" t="str">
        <f aca="false">IF(OR(F4449="",H4449="",J4449=""),"",J4449&amp;"|"&amp;F4449&amp;"|"&amp;IF(H4449="W3","W3_"&amp;IF(I4449="","unknown",I4449),H4449))</f>
        <v/>
      </c>
      <c r="Q4449" s="1" t="str">
        <f aca="false">IF(P4449="","",IFERROR(IF(AND(H4449="W7",OR(F4449="causal",F4449="predictive")),IF(AND(K4449=1,L4449=1,M4449=1),"adequate","partial"),INDEX(Fit_Matrix!$B:$B,MATCH(P4449,Fit_Matrix!$A:$A,0))),"CHECK KEY"))</f>
        <v/>
      </c>
    </row>
    <row r="4450" customFormat="false" ht="15" hidden="false" customHeight="true" outlineLevel="0" collapsed="false">
      <c r="P4450" s="1" t="str">
        <f aca="false">IF(OR(F4450="",H4450="",J4450=""),"",J4450&amp;"|"&amp;F4450&amp;"|"&amp;IF(H4450="W3","W3_"&amp;IF(I4450="","unknown",I4450),H4450))</f>
        <v/>
      </c>
      <c r="Q4450" s="1" t="str">
        <f aca="false">IF(P4450="","",IFERROR(IF(AND(H4450="W7",OR(F4450="causal",F4450="predictive")),IF(AND(K4450=1,L4450=1,M4450=1),"adequate","partial"),INDEX(Fit_Matrix!$B:$B,MATCH(P4450,Fit_Matrix!$A:$A,0))),"CHECK KEY"))</f>
        <v/>
      </c>
    </row>
    <row r="4451" customFormat="false" ht="15" hidden="false" customHeight="true" outlineLevel="0" collapsed="false">
      <c r="P4451" s="1" t="str">
        <f aca="false">IF(OR(F4451="",H4451="",J4451=""),"",J4451&amp;"|"&amp;F4451&amp;"|"&amp;IF(H4451="W3","W3_"&amp;IF(I4451="","unknown",I4451),H4451))</f>
        <v/>
      </c>
      <c r="Q4451" s="1" t="str">
        <f aca="false">IF(P4451="","",IFERROR(IF(AND(H4451="W7",OR(F4451="causal",F4451="predictive")),IF(AND(K4451=1,L4451=1,M4451=1),"adequate","partial"),INDEX(Fit_Matrix!$B:$B,MATCH(P4451,Fit_Matrix!$A:$A,0))),"CHECK KEY"))</f>
        <v/>
      </c>
    </row>
    <row r="4452" customFormat="false" ht="15" hidden="false" customHeight="true" outlineLevel="0" collapsed="false">
      <c r="P4452" s="1" t="str">
        <f aca="false">IF(OR(F4452="",H4452="",J4452=""),"",J4452&amp;"|"&amp;F4452&amp;"|"&amp;IF(H4452="W3","W3_"&amp;IF(I4452="","unknown",I4452),H4452))</f>
        <v/>
      </c>
      <c r="Q4452" s="1" t="str">
        <f aca="false">IF(P4452="","",IFERROR(IF(AND(H4452="W7",OR(F4452="causal",F4452="predictive")),IF(AND(K4452=1,L4452=1,M4452=1),"adequate","partial"),INDEX(Fit_Matrix!$B:$B,MATCH(P4452,Fit_Matrix!$A:$A,0))),"CHECK KEY"))</f>
        <v/>
      </c>
    </row>
    <row r="4453" customFormat="false" ht="15" hidden="false" customHeight="true" outlineLevel="0" collapsed="false">
      <c r="P4453" s="1" t="str">
        <f aca="false">IF(OR(F4453="",H4453="",J4453=""),"",J4453&amp;"|"&amp;F4453&amp;"|"&amp;IF(H4453="W3","W3_"&amp;IF(I4453="","unknown",I4453),H4453))</f>
        <v/>
      </c>
      <c r="Q4453" s="1" t="str">
        <f aca="false">IF(P4453="","",IFERROR(IF(AND(H4453="W7",OR(F4453="causal",F4453="predictive")),IF(AND(K4453=1,L4453=1,M4453=1),"adequate","partial"),INDEX(Fit_Matrix!$B:$B,MATCH(P4453,Fit_Matrix!$A:$A,0))),"CHECK KEY"))</f>
        <v/>
      </c>
    </row>
    <row r="4454" customFormat="false" ht="15" hidden="false" customHeight="true" outlineLevel="0" collapsed="false">
      <c r="P4454" s="1" t="str">
        <f aca="false">IF(OR(F4454="",H4454="",J4454=""),"",J4454&amp;"|"&amp;F4454&amp;"|"&amp;IF(H4454="W3","W3_"&amp;IF(I4454="","unknown",I4454),H4454))</f>
        <v/>
      </c>
      <c r="Q4454" s="1" t="str">
        <f aca="false">IF(P4454="","",IFERROR(IF(AND(H4454="W7",OR(F4454="causal",F4454="predictive")),IF(AND(K4454=1,L4454=1,M4454=1),"adequate","partial"),INDEX(Fit_Matrix!$B:$B,MATCH(P4454,Fit_Matrix!$A:$A,0))),"CHECK KEY"))</f>
        <v/>
      </c>
    </row>
    <row r="4455" customFormat="false" ht="15" hidden="false" customHeight="true" outlineLevel="0" collapsed="false">
      <c r="P4455" s="1" t="str">
        <f aca="false">IF(OR(F4455="",H4455="",J4455=""),"",J4455&amp;"|"&amp;F4455&amp;"|"&amp;IF(H4455="W3","W3_"&amp;IF(I4455="","unknown",I4455),H4455))</f>
        <v/>
      </c>
      <c r="Q4455" s="1" t="str">
        <f aca="false">IF(P4455="","",IFERROR(IF(AND(H4455="W7",OR(F4455="causal",F4455="predictive")),IF(AND(K4455=1,L4455=1,M4455=1),"adequate","partial"),INDEX(Fit_Matrix!$B:$B,MATCH(P4455,Fit_Matrix!$A:$A,0))),"CHECK KEY"))</f>
        <v/>
      </c>
    </row>
    <row r="4456" customFormat="false" ht="15" hidden="false" customHeight="true" outlineLevel="0" collapsed="false">
      <c r="P4456" s="1" t="str">
        <f aca="false">IF(OR(F4456="",H4456="",J4456=""),"",J4456&amp;"|"&amp;F4456&amp;"|"&amp;IF(H4456="W3","W3_"&amp;IF(I4456="","unknown",I4456),H4456))</f>
        <v/>
      </c>
      <c r="Q4456" s="1" t="str">
        <f aca="false">IF(P4456="","",IFERROR(IF(AND(H4456="W7",OR(F4456="causal",F4456="predictive")),IF(AND(K4456=1,L4456=1,M4456=1),"adequate","partial"),INDEX(Fit_Matrix!$B:$B,MATCH(P4456,Fit_Matrix!$A:$A,0))),"CHECK KEY"))</f>
        <v/>
      </c>
    </row>
    <row r="4457" customFormat="false" ht="15" hidden="false" customHeight="true" outlineLevel="0" collapsed="false">
      <c r="P4457" s="1" t="str">
        <f aca="false">IF(OR(F4457="",H4457="",J4457=""),"",J4457&amp;"|"&amp;F4457&amp;"|"&amp;IF(H4457="W3","W3_"&amp;IF(I4457="","unknown",I4457),H4457))</f>
        <v/>
      </c>
      <c r="Q4457" s="1" t="str">
        <f aca="false">IF(P4457="","",IFERROR(IF(AND(H4457="W7",OR(F4457="causal",F4457="predictive")),IF(AND(K4457=1,L4457=1,M4457=1),"adequate","partial"),INDEX(Fit_Matrix!$B:$B,MATCH(P4457,Fit_Matrix!$A:$A,0))),"CHECK KEY"))</f>
        <v/>
      </c>
    </row>
    <row r="4458" customFormat="false" ht="15" hidden="false" customHeight="true" outlineLevel="0" collapsed="false">
      <c r="P4458" s="1" t="str">
        <f aca="false">IF(OR(F4458="",H4458="",J4458=""),"",J4458&amp;"|"&amp;F4458&amp;"|"&amp;IF(H4458="W3","W3_"&amp;IF(I4458="","unknown",I4458),H4458))</f>
        <v/>
      </c>
      <c r="Q4458" s="1" t="str">
        <f aca="false">IF(P4458="","",IFERROR(IF(AND(H4458="W7",OR(F4458="causal",F4458="predictive")),IF(AND(K4458=1,L4458=1,M4458=1),"adequate","partial"),INDEX(Fit_Matrix!$B:$B,MATCH(P4458,Fit_Matrix!$A:$A,0))),"CHECK KEY"))</f>
        <v/>
      </c>
    </row>
    <row r="4459" customFormat="false" ht="15" hidden="false" customHeight="true" outlineLevel="0" collapsed="false">
      <c r="P4459" s="1" t="str">
        <f aca="false">IF(OR(F4459="",H4459="",J4459=""),"",J4459&amp;"|"&amp;F4459&amp;"|"&amp;IF(H4459="W3","W3_"&amp;IF(I4459="","unknown",I4459),H4459))</f>
        <v/>
      </c>
      <c r="Q4459" s="1" t="str">
        <f aca="false">IF(P4459="","",IFERROR(IF(AND(H4459="W7",OR(F4459="causal",F4459="predictive")),IF(AND(K4459=1,L4459=1,M4459=1),"adequate","partial"),INDEX(Fit_Matrix!$B:$B,MATCH(P4459,Fit_Matrix!$A:$A,0))),"CHECK KEY"))</f>
        <v/>
      </c>
    </row>
    <row r="4460" customFormat="false" ht="15" hidden="false" customHeight="true" outlineLevel="0" collapsed="false">
      <c r="P4460" s="1" t="str">
        <f aca="false">IF(OR(F4460="",H4460="",J4460=""),"",J4460&amp;"|"&amp;F4460&amp;"|"&amp;IF(H4460="W3","W3_"&amp;IF(I4460="","unknown",I4460),H4460))</f>
        <v/>
      </c>
      <c r="Q4460" s="1" t="str">
        <f aca="false">IF(P4460="","",IFERROR(IF(AND(H4460="W7",OR(F4460="causal",F4460="predictive")),IF(AND(K4460=1,L4460=1,M4460=1),"adequate","partial"),INDEX(Fit_Matrix!$B:$B,MATCH(P4460,Fit_Matrix!$A:$A,0))),"CHECK KEY"))</f>
        <v/>
      </c>
    </row>
    <row r="4461" customFormat="false" ht="15" hidden="false" customHeight="true" outlineLevel="0" collapsed="false">
      <c r="P4461" s="1" t="str">
        <f aca="false">IF(OR(F4461="",H4461="",J4461=""),"",J4461&amp;"|"&amp;F4461&amp;"|"&amp;IF(H4461="W3","W3_"&amp;IF(I4461="","unknown",I4461),H4461))</f>
        <v/>
      </c>
      <c r="Q4461" s="1" t="str">
        <f aca="false">IF(P4461="","",IFERROR(IF(AND(H4461="W7",OR(F4461="causal",F4461="predictive")),IF(AND(K4461=1,L4461=1,M4461=1),"adequate","partial"),INDEX(Fit_Matrix!$B:$B,MATCH(P4461,Fit_Matrix!$A:$A,0))),"CHECK KEY"))</f>
        <v/>
      </c>
    </row>
    <row r="4462" customFormat="false" ht="15" hidden="false" customHeight="true" outlineLevel="0" collapsed="false">
      <c r="P4462" s="1" t="str">
        <f aca="false">IF(OR(F4462="",H4462="",J4462=""),"",J4462&amp;"|"&amp;F4462&amp;"|"&amp;IF(H4462="W3","W3_"&amp;IF(I4462="","unknown",I4462),H4462))</f>
        <v/>
      </c>
      <c r="Q4462" s="1" t="str">
        <f aca="false">IF(P4462="","",IFERROR(IF(AND(H4462="W7",OR(F4462="causal",F4462="predictive")),IF(AND(K4462=1,L4462=1,M4462=1),"adequate","partial"),INDEX(Fit_Matrix!$B:$B,MATCH(P4462,Fit_Matrix!$A:$A,0))),"CHECK KEY"))</f>
        <v/>
      </c>
    </row>
    <row r="4463" customFormat="false" ht="15" hidden="false" customHeight="true" outlineLevel="0" collapsed="false">
      <c r="P4463" s="1" t="str">
        <f aca="false">IF(OR(F4463="",H4463="",J4463=""),"",J4463&amp;"|"&amp;F4463&amp;"|"&amp;IF(H4463="W3","W3_"&amp;IF(I4463="","unknown",I4463),H4463))</f>
        <v/>
      </c>
      <c r="Q4463" s="1" t="str">
        <f aca="false">IF(P4463="","",IFERROR(IF(AND(H4463="W7",OR(F4463="causal",F4463="predictive")),IF(AND(K4463=1,L4463=1,M4463=1),"adequate","partial"),INDEX(Fit_Matrix!$B:$B,MATCH(P4463,Fit_Matrix!$A:$A,0))),"CHECK KEY"))</f>
        <v/>
      </c>
    </row>
    <row r="4464" customFormat="false" ht="15" hidden="false" customHeight="true" outlineLevel="0" collapsed="false">
      <c r="P4464" s="1" t="str">
        <f aca="false">IF(OR(F4464="",H4464="",J4464=""),"",J4464&amp;"|"&amp;F4464&amp;"|"&amp;IF(H4464="W3","W3_"&amp;IF(I4464="","unknown",I4464),H4464))</f>
        <v/>
      </c>
      <c r="Q4464" s="1" t="str">
        <f aca="false">IF(P4464="","",IFERROR(IF(AND(H4464="W7",OR(F4464="causal",F4464="predictive")),IF(AND(K4464=1,L4464=1,M4464=1),"adequate","partial"),INDEX(Fit_Matrix!$B:$B,MATCH(P4464,Fit_Matrix!$A:$A,0))),"CHECK KEY"))</f>
        <v/>
      </c>
    </row>
    <row r="4465" customFormat="false" ht="15" hidden="false" customHeight="true" outlineLevel="0" collapsed="false">
      <c r="P4465" s="1" t="str">
        <f aca="false">IF(OR(F4465="",H4465="",J4465=""),"",J4465&amp;"|"&amp;F4465&amp;"|"&amp;IF(H4465="W3","W3_"&amp;IF(I4465="","unknown",I4465),H4465))</f>
        <v/>
      </c>
      <c r="Q4465" s="1" t="str">
        <f aca="false">IF(P4465="","",IFERROR(IF(AND(H4465="W7",OR(F4465="causal",F4465="predictive")),IF(AND(K4465=1,L4465=1,M4465=1),"adequate","partial"),INDEX(Fit_Matrix!$B:$B,MATCH(P4465,Fit_Matrix!$A:$A,0))),"CHECK KEY"))</f>
        <v/>
      </c>
    </row>
    <row r="4466" customFormat="false" ht="15" hidden="false" customHeight="true" outlineLevel="0" collapsed="false">
      <c r="P4466" s="1" t="str">
        <f aca="false">IF(OR(F4466="",H4466="",J4466=""),"",J4466&amp;"|"&amp;F4466&amp;"|"&amp;IF(H4466="W3","W3_"&amp;IF(I4466="","unknown",I4466),H4466))</f>
        <v/>
      </c>
      <c r="Q4466" s="1" t="str">
        <f aca="false">IF(P4466="","",IFERROR(IF(AND(H4466="W7",OR(F4466="causal",F4466="predictive")),IF(AND(K4466=1,L4466=1,M4466=1),"adequate","partial"),INDEX(Fit_Matrix!$B:$B,MATCH(P4466,Fit_Matrix!$A:$A,0))),"CHECK KEY"))</f>
        <v/>
      </c>
    </row>
    <row r="4467" customFormat="false" ht="15" hidden="false" customHeight="true" outlineLevel="0" collapsed="false">
      <c r="P4467" s="1" t="str">
        <f aca="false">IF(OR(F4467="",H4467="",J4467=""),"",J4467&amp;"|"&amp;F4467&amp;"|"&amp;IF(H4467="W3","W3_"&amp;IF(I4467="","unknown",I4467),H4467))</f>
        <v/>
      </c>
      <c r="Q4467" s="1" t="str">
        <f aca="false">IF(P4467="","",IFERROR(IF(AND(H4467="W7",OR(F4467="causal",F4467="predictive")),IF(AND(K4467=1,L4467=1,M4467=1),"adequate","partial"),INDEX(Fit_Matrix!$B:$B,MATCH(P4467,Fit_Matrix!$A:$A,0))),"CHECK KEY"))</f>
        <v/>
      </c>
    </row>
    <row r="4468" customFormat="false" ht="15" hidden="false" customHeight="true" outlineLevel="0" collapsed="false">
      <c r="P4468" s="1" t="str">
        <f aca="false">IF(OR(F4468="",H4468="",J4468=""),"",J4468&amp;"|"&amp;F4468&amp;"|"&amp;IF(H4468="W3","W3_"&amp;IF(I4468="","unknown",I4468),H4468))</f>
        <v/>
      </c>
      <c r="Q4468" s="1" t="str">
        <f aca="false">IF(P4468="","",IFERROR(IF(AND(H4468="W7",OR(F4468="causal",F4468="predictive")),IF(AND(K4468=1,L4468=1,M4468=1),"adequate","partial"),INDEX(Fit_Matrix!$B:$B,MATCH(P4468,Fit_Matrix!$A:$A,0))),"CHECK KEY"))</f>
        <v/>
      </c>
    </row>
    <row r="4469" customFormat="false" ht="15" hidden="false" customHeight="true" outlineLevel="0" collapsed="false">
      <c r="P4469" s="1" t="str">
        <f aca="false">IF(OR(F4469="",H4469="",J4469=""),"",J4469&amp;"|"&amp;F4469&amp;"|"&amp;IF(H4469="W3","W3_"&amp;IF(I4469="","unknown",I4469),H4469))</f>
        <v/>
      </c>
      <c r="Q4469" s="1" t="str">
        <f aca="false">IF(P4469="","",IFERROR(IF(AND(H4469="W7",OR(F4469="causal",F4469="predictive")),IF(AND(K4469=1,L4469=1,M4469=1),"adequate","partial"),INDEX(Fit_Matrix!$B:$B,MATCH(P4469,Fit_Matrix!$A:$A,0))),"CHECK KEY"))</f>
        <v/>
      </c>
    </row>
    <row r="4470" customFormat="false" ht="15" hidden="false" customHeight="true" outlineLevel="0" collapsed="false">
      <c r="P4470" s="1" t="str">
        <f aca="false">IF(OR(F4470="",H4470="",J4470=""),"",J4470&amp;"|"&amp;F4470&amp;"|"&amp;IF(H4470="W3","W3_"&amp;IF(I4470="","unknown",I4470),H4470))</f>
        <v/>
      </c>
      <c r="Q4470" s="1" t="str">
        <f aca="false">IF(P4470="","",IFERROR(IF(AND(H4470="W7",OR(F4470="causal",F4470="predictive")),IF(AND(K4470=1,L4470=1,M4470=1),"adequate","partial"),INDEX(Fit_Matrix!$B:$B,MATCH(P4470,Fit_Matrix!$A:$A,0))),"CHECK KEY"))</f>
        <v/>
      </c>
    </row>
    <row r="4471" customFormat="false" ht="15" hidden="false" customHeight="true" outlineLevel="0" collapsed="false">
      <c r="P4471" s="1" t="str">
        <f aca="false">IF(OR(F4471="",H4471="",J4471=""),"",J4471&amp;"|"&amp;F4471&amp;"|"&amp;IF(H4471="W3","W3_"&amp;IF(I4471="","unknown",I4471),H4471))</f>
        <v/>
      </c>
      <c r="Q4471" s="1" t="str">
        <f aca="false">IF(P4471="","",IFERROR(IF(AND(H4471="W7",OR(F4471="causal",F4471="predictive")),IF(AND(K4471=1,L4471=1,M4471=1),"adequate","partial"),INDEX(Fit_Matrix!$B:$B,MATCH(P4471,Fit_Matrix!$A:$A,0))),"CHECK KEY"))</f>
        <v/>
      </c>
    </row>
    <row r="4472" customFormat="false" ht="15" hidden="false" customHeight="true" outlineLevel="0" collapsed="false">
      <c r="P4472" s="1" t="str">
        <f aca="false">IF(OR(F4472="",H4472="",J4472=""),"",J4472&amp;"|"&amp;F4472&amp;"|"&amp;IF(H4472="W3","W3_"&amp;IF(I4472="","unknown",I4472),H4472))</f>
        <v/>
      </c>
      <c r="Q4472" s="1" t="str">
        <f aca="false">IF(P4472="","",IFERROR(IF(AND(H4472="W7",OR(F4472="causal",F4472="predictive")),IF(AND(K4472=1,L4472=1,M4472=1),"adequate","partial"),INDEX(Fit_Matrix!$B:$B,MATCH(P4472,Fit_Matrix!$A:$A,0))),"CHECK KEY"))</f>
        <v/>
      </c>
    </row>
    <row r="4473" customFormat="false" ht="15" hidden="false" customHeight="true" outlineLevel="0" collapsed="false">
      <c r="P4473" s="1" t="str">
        <f aca="false">IF(OR(F4473="",H4473="",J4473=""),"",J4473&amp;"|"&amp;F4473&amp;"|"&amp;IF(H4473="W3","W3_"&amp;IF(I4473="","unknown",I4473),H4473))</f>
        <v/>
      </c>
      <c r="Q4473" s="1" t="str">
        <f aca="false">IF(P4473="","",IFERROR(IF(AND(H4473="W7",OR(F4473="causal",F4473="predictive")),IF(AND(K4473=1,L4473=1,M4473=1),"adequate","partial"),INDEX(Fit_Matrix!$B:$B,MATCH(P4473,Fit_Matrix!$A:$A,0))),"CHECK KEY"))</f>
        <v/>
      </c>
    </row>
    <row r="4474" customFormat="false" ht="15" hidden="false" customHeight="true" outlineLevel="0" collapsed="false">
      <c r="P4474" s="1" t="str">
        <f aca="false">IF(OR(F4474="",H4474="",J4474=""),"",J4474&amp;"|"&amp;F4474&amp;"|"&amp;IF(H4474="W3","W3_"&amp;IF(I4474="","unknown",I4474),H4474))</f>
        <v/>
      </c>
      <c r="Q4474" s="1" t="str">
        <f aca="false">IF(P4474="","",IFERROR(IF(AND(H4474="W7",OR(F4474="causal",F4474="predictive")),IF(AND(K4474=1,L4474=1,M4474=1),"adequate","partial"),INDEX(Fit_Matrix!$B:$B,MATCH(P4474,Fit_Matrix!$A:$A,0))),"CHECK KEY"))</f>
        <v/>
      </c>
    </row>
    <row r="4475" customFormat="false" ht="15" hidden="false" customHeight="true" outlineLevel="0" collapsed="false">
      <c r="P4475" s="1" t="str">
        <f aca="false">IF(OR(F4475="",H4475="",J4475=""),"",J4475&amp;"|"&amp;F4475&amp;"|"&amp;IF(H4475="W3","W3_"&amp;IF(I4475="","unknown",I4475),H4475))</f>
        <v/>
      </c>
      <c r="Q4475" s="1" t="str">
        <f aca="false">IF(P4475="","",IFERROR(IF(AND(H4475="W7",OR(F4475="causal",F4475="predictive")),IF(AND(K4475=1,L4475=1,M4475=1),"adequate","partial"),INDEX(Fit_Matrix!$B:$B,MATCH(P4475,Fit_Matrix!$A:$A,0))),"CHECK KEY"))</f>
        <v/>
      </c>
    </row>
    <row r="4476" customFormat="false" ht="15" hidden="false" customHeight="true" outlineLevel="0" collapsed="false">
      <c r="P4476" s="1" t="str">
        <f aca="false">IF(OR(F4476="",H4476="",J4476=""),"",J4476&amp;"|"&amp;F4476&amp;"|"&amp;IF(H4476="W3","W3_"&amp;IF(I4476="","unknown",I4476),H4476))</f>
        <v/>
      </c>
      <c r="Q4476" s="1" t="str">
        <f aca="false">IF(P4476="","",IFERROR(IF(AND(H4476="W7",OR(F4476="causal",F4476="predictive")),IF(AND(K4476=1,L4476=1,M4476=1),"adequate","partial"),INDEX(Fit_Matrix!$B:$B,MATCH(P4476,Fit_Matrix!$A:$A,0))),"CHECK KEY"))</f>
        <v/>
      </c>
    </row>
    <row r="4477" customFormat="false" ht="15" hidden="false" customHeight="true" outlineLevel="0" collapsed="false">
      <c r="P4477" s="1" t="str">
        <f aca="false">IF(OR(F4477="",H4477="",J4477=""),"",J4477&amp;"|"&amp;F4477&amp;"|"&amp;IF(H4477="W3","W3_"&amp;IF(I4477="","unknown",I4477),H4477))</f>
        <v/>
      </c>
      <c r="Q4477" s="1" t="str">
        <f aca="false">IF(P4477="","",IFERROR(IF(AND(H4477="W7",OR(F4477="causal",F4477="predictive")),IF(AND(K4477=1,L4477=1,M4477=1),"adequate","partial"),INDEX(Fit_Matrix!$B:$B,MATCH(P4477,Fit_Matrix!$A:$A,0))),"CHECK KEY"))</f>
        <v/>
      </c>
    </row>
    <row r="4478" customFormat="false" ht="15" hidden="false" customHeight="true" outlineLevel="0" collapsed="false">
      <c r="P4478" s="1" t="str">
        <f aca="false">IF(OR(F4478="",H4478="",J4478=""),"",J4478&amp;"|"&amp;F4478&amp;"|"&amp;IF(H4478="W3","W3_"&amp;IF(I4478="","unknown",I4478),H4478))</f>
        <v/>
      </c>
      <c r="Q4478" s="1" t="str">
        <f aca="false">IF(P4478="","",IFERROR(IF(AND(H4478="W7",OR(F4478="causal",F4478="predictive")),IF(AND(K4478=1,L4478=1,M4478=1),"adequate","partial"),INDEX(Fit_Matrix!$B:$B,MATCH(P4478,Fit_Matrix!$A:$A,0))),"CHECK KEY"))</f>
        <v/>
      </c>
    </row>
    <row r="4479" customFormat="false" ht="15" hidden="false" customHeight="true" outlineLevel="0" collapsed="false">
      <c r="P4479" s="1" t="str">
        <f aca="false">IF(OR(F4479="",H4479="",J4479=""),"",J4479&amp;"|"&amp;F4479&amp;"|"&amp;IF(H4479="W3","W3_"&amp;IF(I4479="","unknown",I4479),H4479))</f>
        <v/>
      </c>
      <c r="Q4479" s="1" t="str">
        <f aca="false">IF(P4479="","",IFERROR(IF(AND(H4479="W7",OR(F4479="causal",F4479="predictive")),IF(AND(K4479=1,L4479=1,M4479=1),"adequate","partial"),INDEX(Fit_Matrix!$B:$B,MATCH(P4479,Fit_Matrix!$A:$A,0))),"CHECK KEY"))</f>
        <v/>
      </c>
    </row>
    <row r="4480" customFormat="false" ht="15" hidden="false" customHeight="true" outlineLevel="0" collapsed="false">
      <c r="P4480" s="1" t="str">
        <f aca="false">IF(OR(F4480="",H4480="",J4480=""),"",J4480&amp;"|"&amp;F4480&amp;"|"&amp;IF(H4480="W3","W3_"&amp;IF(I4480="","unknown",I4480),H4480))</f>
        <v/>
      </c>
      <c r="Q4480" s="1" t="str">
        <f aca="false">IF(P4480="","",IFERROR(IF(AND(H4480="W7",OR(F4480="causal",F4480="predictive")),IF(AND(K4480=1,L4480=1,M4480=1),"adequate","partial"),INDEX(Fit_Matrix!$B:$B,MATCH(P4480,Fit_Matrix!$A:$A,0))),"CHECK KEY"))</f>
        <v/>
      </c>
    </row>
    <row r="4481" customFormat="false" ht="15" hidden="false" customHeight="true" outlineLevel="0" collapsed="false">
      <c r="P4481" s="1" t="str">
        <f aca="false">IF(OR(F4481="",H4481="",J4481=""),"",J4481&amp;"|"&amp;F4481&amp;"|"&amp;IF(H4481="W3","W3_"&amp;IF(I4481="","unknown",I4481),H4481))</f>
        <v/>
      </c>
      <c r="Q4481" s="1" t="str">
        <f aca="false">IF(P4481="","",IFERROR(IF(AND(H4481="W7",OR(F4481="causal",F4481="predictive")),IF(AND(K4481=1,L4481=1,M4481=1),"adequate","partial"),INDEX(Fit_Matrix!$B:$B,MATCH(P4481,Fit_Matrix!$A:$A,0))),"CHECK KEY"))</f>
        <v/>
      </c>
    </row>
    <row r="4482" customFormat="false" ht="15" hidden="false" customHeight="true" outlineLevel="0" collapsed="false">
      <c r="P4482" s="1" t="str">
        <f aca="false">IF(OR(F4482="",H4482="",J4482=""),"",J4482&amp;"|"&amp;F4482&amp;"|"&amp;IF(H4482="W3","W3_"&amp;IF(I4482="","unknown",I4482),H4482))</f>
        <v/>
      </c>
      <c r="Q4482" s="1" t="str">
        <f aca="false">IF(P4482="","",IFERROR(IF(AND(H4482="W7",OR(F4482="causal",F4482="predictive")),IF(AND(K4482=1,L4482=1,M4482=1),"adequate","partial"),INDEX(Fit_Matrix!$B:$B,MATCH(P4482,Fit_Matrix!$A:$A,0))),"CHECK KEY"))</f>
        <v/>
      </c>
    </row>
    <row r="4483" customFormat="false" ht="15" hidden="false" customHeight="true" outlineLevel="0" collapsed="false">
      <c r="P4483" s="1" t="str">
        <f aca="false">IF(OR(F4483="",H4483="",J4483=""),"",J4483&amp;"|"&amp;F4483&amp;"|"&amp;IF(H4483="W3","W3_"&amp;IF(I4483="","unknown",I4483),H4483))</f>
        <v/>
      </c>
      <c r="Q4483" s="1" t="str">
        <f aca="false">IF(P4483="","",IFERROR(IF(AND(H4483="W7",OR(F4483="causal",F4483="predictive")),IF(AND(K4483=1,L4483=1,M4483=1),"adequate","partial"),INDEX(Fit_Matrix!$B:$B,MATCH(P4483,Fit_Matrix!$A:$A,0))),"CHECK KEY"))</f>
        <v/>
      </c>
    </row>
    <row r="4484" customFormat="false" ht="15" hidden="false" customHeight="true" outlineLevel="0" collapsed="false">
      <c r="P4484" s="1" t="str">
        <f aca="false">IF(OR(F4484="",H4484="",J4484=""),"",J4484&amp;"|"&amp;F4484&amp;"|"&amp;IF(H4484="W3","W3_"&amp;IF(I4484="","unknown",I4484),H4484))</f>
        <v/>
      </c>
      <c r="Q4484" s="1" t="str">
        <f aca="false">IF(P4484="","",IFERROR(IF(AND(H4484="W7",OR(F4484="causal",F4484="predictive")),IF(AND(K4484=1,L4484=1,M4484=1),"adequate","partial"),INDEX(Fit_Matrix!$B:$B,MATCH(P4484,Fit_Matrix!$A:$A,0))),"CHECK KEY"))</f>
        <v/>
      </c>
    </row>
    <row r="4485" customFormat="false" ht="15" hidden="false" customHeight="true" outlineLevel="0" collapsed="false">
      <c r="P4485" s="1" t="str">
        <f aca="false">IF(OR(F4485="",H4485="",J4485=""),"",J4485&amp;"|"&amp;F4485&amp;"|"&amp;IF(H4485="W3","W3_"&amp;IF(I4485="","unknown",I4485),H4485))</f>
        <v/>
      </c>
      <c r="Q4485" s="1" t="str">
        <f aca="false">IF(P4485="","",IFERROR(IF(AND(H4485="W7",OR(F4485="causal",F4485="predictive")),IF(AND(K4485=1,L4485=1,M4485=1),"adequate","partial"),INDEX(Fit_Matrix!$B:$B,MATCH(P4485,Fit_Matrix!$A:$A,0))),"CHECK KEY"))</f>
        <v/>
      </c>
    </row>
    <row r="4486" customFormat="false" ht="15" hidden="false" customHeight="true" outlineLevel="0" collapsed="false">
      <c r="P4486" s="1" t="str">
        <f aca="false">IF(OR(F4486="",H4486="",J4486=""),"",J4486&amp;"|"&amp;F4486&amp;"|"&amp;IF(H4486="W3","W3_"&amp;IF(I4486="","unknown",I4486),H4486))</f>
        <v/>
      </c>
      <c r="Q4486" s="1" t="str">
        <f aca="false">IF(P4486="","",IFERROR(IF(AND(H4486="W7",OR(F4486="causal",F4486="predictive")),IF(AND(K4486=1,L4486=1,M4486=1),"adequate","partial"),INDEX(Fit_Matrix!$B:$B,MATCH(P4486,Fit_Matrix!$A:$A,0))),"CHECK KEY"))</f>
        <v/>
      </c>
    </row>
    <row r="4487" customFormat="false" ht="15" hidden="false" customHeight="true" outlineLevel="0" collapsed="false">
      <c r="P4487" s="1" t="str">
        <f aca="false">IF(OR(F4487="",H4487="",J4487=""),"",J4487&amp;"|"&amp;F4487&amp;"|"&amp;IF(H4487="W3","W3_"&amp;IF(I4487="","unknown",I4487),H4487))</f>
        <v/>
      </c>
      <c r="Q4487" s="1" t="str">
        <f aca="false">IF(P4487="","",IFERROR(IF(AND(H4487="W7",OR(F4487="causal",F4487="predictive")),IF(AND(K4487=1,L4487=1,M4487=1),"adequate","partial"),INDEX(Fit_Matrix!$B:$B,MATCH(P4487,Fit_Matrix!$A:$A,0))),"CHECK KEY"))</f>
        <v/>
      </c>
    </row>
    <row r="4488" customFormat="false" ht="15" hidden="false" customHeight="true" outlineLevel="0" collapsed="false">
      <c r="P4488" s="1" t="str">
        <f aca="false">IF(OR(F4488="",H4488="",J4488=""),"",J4488&amp;"|"&amp;F4488&amp;"|"&amp;IF(H4488="W3","W3_"&amp;IF(I4488="","unknown",I4488),H4488))</f>
        <v/>
      </c>
      <c r="Q4488" s="1" t="str">
        <f aca="false">IF(P4488="","",IFERROR(IF(AND(H4488="W7",OR(F4488="causal",F4488="predictive")),IF(AND(K4488=1,L4488=1,M4488=1),"adequate","partial"),INDEX(Fit_Matrix!$B:$B,MATCH(P4488,Fit_Matrix!$A:$A,0))),"CHECK KEY"))</f>
        <v/>
      </c>
    </row>
    <row r="4489" customFormat="false" ht="15" hidden="false" customHeight="true" outlineLevel="0" collapsed="false">
      <c r="P4489" s="1" t="str">
        <f aca="false">IF(OR(F4489="",H4489="",J4489=""),"",J4489&amp;"|"&amp;F4489&amp;"|"&amp;IF(H4489="W3","W3_"&amp;IF(I4489="","unknown",I4489),H4489))</f>
        <v/>
      </c>
      <c r="Q4489" s="1" t="str">
        <f aca="false">IF(P4489="","",IFERROR(IF(AND(H4489="W7",OR(F4489="causal",F4489="predictive")),IF(AND(K4489=1,L4489=1,M4489=1),"adequate","partial"),INDEX(Fit_Matrix!$B:$B,MATCH(P4489,Fit_Matrix!$A:$A,0))),"CHECK KEY"))</f>
        <v/>
      </c>
    </row>
    <row r="4490" customFormat="false" ht="15" hidden="false" customHeight="true" outlineLevel="0" collapsed="false">
      <c r="P4490" s="1" t="str">
        <f aca="false">IF(OR(F4490="",H4490="",J4490=""),"",J4490&amp;"|"&amp;F4490&amp;"|"&amp;IF(H4490="W3","W3_"&amp;IF(I4490="","unknown",I4490),H4490))</f>
        <v/>
      </c>
      <c r="Q4490" s="1" t="str">
        <f aca="false">IF(P4490="","",IFERROR(IF(AND(H4490="W7",OR(F4490="causal",F4490="predictive")),IF(AND(K4490=1,L4490=1,M4490=1),"adequate","partial"),INDEX(Fit_Matrix!$B:$B,MATCH(P4490,Fit_Matrix!$A:$A,0))),"CHECK KEY"))</f>
        <v/>
      </c>
    </row>
    <row r="4491" customFormat="false" ht="15" hidden="false" customHeight="true" outlineLevel="0" collapsed="false">
      <c r="P4491" s="1" t="str">
        <f aca="false">IF(OR(F4491="",H4491="",J4491=""),"",J4491&amp;"|"&amp;F4491&amp;"|"&amp;IF(H4491="W3","W3_"&amp;IF(I4491="","unknown",I4491),H4491))</f>
        <v/>
      </c>
      <c r="Q4491" s="1" t="str">
        <f aca="false">IF(P4491="","",IFERROR(IF(AND(H4491="W7",OR(F4491="causal",F4491="predictive")),IF(AND(K4491=1,L4491=1,M4491=1),"adequate","partial"),INDEX(Fit_Matrix!$B:$B,MATCH(P4491,Fit_Matrix!$A:$A,0))),"CHECK KEY"))</f>
        <v/>
      </c>
    </row>
    <row r="4492" customFormat="false" ht="15" hidden="false" customHeight="true" outlineLevel="0" collapsed="false">
      <c r="P4492" s="1" t="str">
        <f aca="false">IF(OR(F4492="",H4492="",J4492=""),"",J4492&amp;"|"&amp;F4492&amp;"|"&amp;IF(H4492="W3","W3_"&amp;IF(I4492="","unknown",I4492),H4492))</f>
        <v/>
      </c>
      <c r="Q4492" s="1" t="str">
        <f aca="false">IF(P4492="","",IFERROR(IF(AND(H4492="W7",OR(F4492="causal",F4492="predictive")),IF(AND(K4492=1,L4492=1,M4492=1),"adequate","partial"),INDEX(Fit_Matrix!$B:$B,MATCH(P4492,Fit_Matrix!$A:$A,0))),"CHECK KEY"))</f>
        <v/>
      </c>
    </row>
    <row r="4493" customFormat="false" ht="15" hidden="false" customHeight="true" outlineLevel="0" collapsed="false">
      <c r="P4493" s="1" t="str">
        <f aca="false">IF(OR(F4493="",H4493="",J4493=""),"",J4493&amp;"|"&amp;F4493&amp;"|"&amp;IF(H4493="W3","W3_"&amp;IF(I4493="","unknown",I4493),H4493))</f>
        <v/>
      </c>
      <c r="Q4493" s="1" t="str">
        <f aca="false">IF(P4493="","",IFERROR(IF(AND(H4493="W7",OR(F4493="causal",F4493="predictive")),IF(AND(K4493=1,L4493=1,M4493=1),"adequate","partial"),INDEX(Fit_Matrix!$B:$B,MATCH(P4493,Fit_Matrix!$A:$A,0))),"CHECK KEY"))</f>
        <v/>
      </c>
    </row>
    <row r="4494" customFormat="false" ht="15" hidden="false" customHeight="true" outlineLevel="0" collapsed="false">
      <c r="P4494" s="1" t="str">
        <f aca="false">IF(OR(F4494="",H4494="",J4494=""),"",J4494&amp;"|"&amp;F4494&amp;"|"&amp;IF(H4494="W3","W3_"&amp;IF(I4494="","unknown",I4494),H4494))</f>
        <v/>
      </c>
      <c r="Q4494" s="1" t="str">
        <f aca="false">IF(P4494="","",IFERROR(IF(AND(H4494="W7",OR(F4494="causal",F4494="predictive")),IF(AND(K4494=1,L4494=1,M4494=1),"adequate","partial"),INDEX(Fit_Matrix!$B:$B,MATCH(P4494,Fit_Matrix!$A:$A,0))),"CHECK KEY"))</f>
        <v/>
      </c>
    </row>
    <row r="4495" customFormat="false" ht="15" hidden="false" customHeight="true" outlineLevel="0" collapsed="false">
      <c r="P4495" s="1" t="str">
        <f aca="false">IF(OR(F4495="",H4495="",J4495=""),"",J4495&amp;"|"&amp;F4495&amp;"|"&amp;IF(H4495="W3","W3_"&amp;IF(I4495="","unknown",I4495),H4495))</f>
        <v/>
      </c>
      <c r="Q4495" s="1" t="str">
        <f aca="false">IF(P4495="","",IFERROR(IF(AND(H4495="W7",OR(F4495="causal",F4495="predictive")),IF(AND(K4495=1,L4495=1,M4495=1),"adequate","partial"),INDEX(Fit_Matrix!$B:$B,MATCH(P4495,Fit_Matrix!$A:$A,0))),"CHECK KEY"))</f>
        <v/>
      </c>
    </row>
    <row r="4496" customFormat="false" ht="15" hidden="false" customHeight="true" outlineLevel="0" collapsed="false">
      <c r="P4496" s="1" t="str">
        <f aca="false">IF(OR(F4496="",H4496="",J4496=""),"",J4496&amp;"|"&amp;F4496&amp;"|"&amp;IF(H4496="W3","W3_"&amp;IF(I4496="","unknown",I4496),H4496))</f>
        <v/>
      </c>
      <c r="Q4496" s="1" t="str">
        <f aca="false">IF(P4496="","",IFERROR(IF(AND(H4496="W7",OR(F4496="causal",F4496="predictive")),IF(AND(K4496=1,L4496=1,M4496=1),"adequate","partial"),INDEX(Fit_Matrix!$B:$B,MATCH(P4496,Fit_Matrix!$A:$A,0))),"CHECK KEY"))</f>
        <v/>
      </c>
    </row>
    <row r="4497" customFormat="false" ht="15" hidden="false" customHeight="true" outlineLevel="0" collapsed="false">
      <c r="P4497" s="1" t="str">
        <f aca="false">IF(OR(F4497="",H4497="",J4497=""),"",J4497&amp;"|"&amp;F4497&amp;"|"&amp;IF(H4497="W3","W3_"&amp;IF(I4497="","unknown",I4497),H4497))</f>
        <v/>
      </c>
      <c r="Q4497" s="1" t="str">
        <f aca="false">IF(P4497="","",IFERROR(IF(AND(H4497="W7",OR(F4497="causal",F4497="predictive")),IF(AND(K4497=1,L4497=1,M4497=1),"adequate","partial"),INDEX(Fit_Matrix!$B:$B,MATCH(P4497,Fit_Matrix!$A:$A,0))),"CHECK KEY"))</f>
        <v/>
      </c>
    </row>
    <row r="4498" customFormat="false" ht="15" hidden="false" customHeight="true" outlineLevel="0" collapsed="false">
      <c r="P4498" s="1" t="str">
        <f aca="false">IF(OR(F4498="",H4498="",J4498=""),"",J4498&amp;"|"&amp;F4498&amp;"|"&amp;IF(H4498="W3","W3_"&amp;IF(I4498="","unknown",I4498),H4498))</f>
        <v/>
      </c>
      <c r="Q4498" s="1" t="str">
        <f aca="false">IF(P4498="","",IFERROR(IF(AND(H4498="W7",OR(F4498="causal",F4498="predictive")),IF(AND(K4498=1,L4498=1,M4498=1),"adequate","partial"),INDEX(Fit_Matrix!$B:$B,MATCH(P4498,Fit_Matrix!$A:$A,0))),"CHECK KEY"))</f>
        <v/>
      </c>
    </row>
    <row r="4499" customFormat="false" ht="15" hidden="false" customHeight="true" outlineLevel="0" collapsed="false">
      <c r="P4499" s="1" t="str">
        <f aca="false">IF(OR(F4499="",H4499="",J4499=""),"",J4499&amp;"|"&amp;F4499&amp;"|"&amp;IF(H4499="W3","W3_"&amp;IF(I4499="","unknown",I4499),H4499))</f>
        <v/>
      </c>
      <c r="Q4499" s="1" t="str">
        <f aca="false">IF(P4499="","",IFERROR(IF(AND(H4499="W7",OR(F4499="causal",F4499="predictive")),IF(AND(K4499=1,L4499=1,M4499=1),"adequate","partial"),INDEX(Fit_Matrix!$B:$B,MATCH(P4499,Fit_Matrix!$A:$A,0))),"CHECK KEY"))</f>
        <v/>
      </c>
    </row>
    <row r="4500" customFormat="false" ht="15" hidden="false" customHeight="true" outlineLevel="0" collapsed="false">
      <c r="P4500" s="1" t="str">
        <f aca="false">IF(OR(F4500="",H4500="",J4500=""),"",J4500&amp;"|"&amp;F4500&amp;"|"&amp;IF(H4500="W3","W3_"&amp;IF(I4500="","unknown",I4500),H4500))</f>
        <v/>
      </c>
      <c r="Q4500" s="1" t="str">
        <f aca="false">IF(P4500="","",IFERROR(IF(AND(H4500="W7",OR(F4500="causal",F4500="predictive")),IF(AND(K4500=1,L4500=1,M4500=1),"adequate","partial"),INDEX(Fit_Matrix!$B:$B,MATCH(P4500,Fit_Matrix!$A:$A,0))),"CHECK KEY"))</f>
        <v/>
      </c>
    </row>
    <row r="4501" customFormat="false" ht="15" hidden="false" customHeight="true" outlineLevel="0" collapsed="false">
      <c r="P4501" s="1" t="str">
        <f aca="false">IF(OR(F4501="",H4501="",J4501=""),"",J4501&amp;"|"&amp;F4501&amp;"|"&amp;IF(H4501="W3","W3_"&amp;IF(I4501="","unknown",I4501),H4501))</f>
        <v/>
      </c>
      <c r="Q4501" s="1" t="str">
        <f aca="false">IF(P4501="","",IFERROR(IF(AND(H4501="W7",OR(F4501="causal",F4501="predictive")),IF(AND(K4501=1,L4501=1,M4501=1),"adequate","partial"),INDEX(Fit_Matrix!$B:$B,MATCH(P4501,Fit_Matrix!$A:$A,0))),"CHECK KEY"))</f>
        <v/>
      </c>
    </row>
    <row r="4502" customFormat="false" ht="15" hidden="false" customHeight="true" outlineLevel="0" collapsed="false">
      <c r="P4502" s="1" t="str">
        <f aca="false">IF(OR(F4502="",H4502="",J4502=""),"",J4502&amp;"|"&amp;F4502&amp;"|"&amp;IF(H4502="W3","W3_"&amp;IF(I4502="","unknown",I4502),H4502))</f>
        <v/>
      </c>
      <c r="Q4502" s="1" t="str">
        <f aca="false">IF(P4502="","",IFERROR(IF(AND(H4502="W7",OR(F4502="causal",F4502="predictive")),IF(AND(K4502=1,L4502=1,M4502=1),"adequate","partial"),INDEX(Fit_Matrix!$B:$B,MATCH(P4502,Fit_Matrix!$A:$A,0))),"CHECK KEY"))</f>
        <v/>
      </c>
    </row>
    <row r="4503" customFormat="false" ht="15" hidden="false" customHeight="true" outlineLevel="0" collapsed="false">
      <c r="P4503" s="1" t="str">
        <f aca="false">IF(OR(F4503="",H4503="",J4503=""),"",J4503&amp;"|"&amp;F4503&amp;"|"&amp;IF(H4503="W3","W3_"&amp;IF(I4503="","unknown",I4503),H4503))</f>
        <v/>
      </c>
      <c r="Q4503" s="1" t="str">
        <f aca="false">IF(P4503="","",IFERROR(IF(AND(H4503="W7",OR(F4503="causal",F4503="predictive")),IF(AND(K4503=1,L4503=1,M4503=1),"adequate","partial"),INDEX(Fit_Matrix!$B:$B,MATCH(P4503,Fit_Matrix!$A:$A,0))),"CHECK KEY"))</f>
        <v/>
      </c>
    </row>
    <row r="4504" customFormat="false" ht="15" hidden="false" customHeight="true" outlineLevel="0" collapsed="false">
      <c r="P4504" s="1" t="str">
        <f aca="false">IF(OR(F4504="",H4504="",J4504=""),"",J4504&amp;"|"&amp;F4504&amp;"|"&amp;IF(H4504="W3","W3_"&amp;IF(I4504="","unknown",I4504),H4504))</f>
        <v/>
      </c>
      <c r="Q4504" s="1" t="str">
        <f aca="false">IF(P4504="","",IFERROR(IF(AND(H4504="W7",OR(F4504="causal",F4504="predictive")),IF(AND(K4504=1,L4504=1,M4504=1),"adequate","partial"),INDEX(Fit_Matrix!$B:$B,MATCH(P4504,Fit_Matrix!$A:$A,0))),"CHECK KEY"))</f>
        <v/>
      </c>
    </row>
    <row r="4505" customFormat="false" ht="15" hidden="false" customHeight="true" outlineLevel="0" collapsed="false">
      <c r="P4505" s="1" t="str">
        <f aca="false">IF(OR(F4505="",H4505="",J4505=""),"",J4505&amp;"|"&amp;F4505&amp;"|"&amp;IF(H4505="W3","W3_"&amp;IF(I4505="","unknown",I4505),H4505))</f>
        <v/>
      </c>
      <c r="Q4505" s="1" t="str">
        <f aca="false">IF(P4505="","",IFERROR(IF(AND(H4505="W7",OR(F4505="causal",F4505="predictive")),IF(AND(K4505=1,L4505=1,M4505=1),"adequate","partial"),INDEX(Fit_Matrix!$B:$B,MATCH(P4505,Fit_Matrix!$A:$A,0))),"CHECK KEY"))</f>
        <v/>
      </c>
    </row>
    <row r="4506" customFormat="false" ht="15" hidden="false" customHeight="true" outlineLevel="0" collapsed="false">
      <c r="P4506" s="1" t="str">
        <f aca="false">IF(OR(F4506="",H4506="",J4506=""),"",J4506&amp;"|"&amp;F4506&amp;"|"&amp;IF(H4506="W3","W3_"&amp;IF(I4506="","unknown",I4506),H4506))</f>
        <v/>
      </c>
      <c r="Q4506" s="1" t="str">
        <f aca="false">IF(P4506="","",IFERROR(IF(AND(H4506="W7",OR(F4506="causal",F4506="predictive")),IF(AND(K4506=1,L4506=1,M4506=1),"adequate","partial"),INDEX(Fit_Matrix!$B:$B,MATCH(P4506,Fit_Matrix!$A:$A,0))),"CHECK KEY"))</f>
        <v/>
      </c>
    </row>
    <row r="4507" customFormat="false" ht="15" hidden="false" customHeight="true" outlineLevel="0" collapsed="false">
      <c r="P4507" s="1" t="str">
        <f aca="false">IF(OR(F4507="",H4507="",J4507=""),"",J4507&amp;"|"&amp;F4507&amp;"|"&amp;IF(H4507="W3","W3_"&amp;IF(I4507="","unknown",I4507),H4507))</f>
        <v/>
      </c>
      <c r="Q4507" s="1" t="str">
        <f aca="false">IF(P4507="","",IFERROR(IF(AND(H4507="W7",OR(F4507="causal",F4507="predictive")),IF(AND(K4507=1,L4507=1,M4507=1),"adequate","partial"),INDEX(Fit_Matrix!$B:$B,MATCH(P4507,Fit_Matrix!$A:$A,0))),"CHECK KEY"))</f>
        <v/>
      </c>
    </row>
    <row r="4508" customFormat="false" ht="15" hidden="false" customHeight="true" outlineLevel="0" collapsed="false">
      <c r="P4508" s="1" t="str">
        <f aca="false">IF(OR(F4508="",H4508="",J4508=""),"",J4508&amp;"|"&amp;F4508&amp;"|"&amp;IF(H4508="W3","W3_"&amp;IF(I4508="","unknown",I4508),H4508))</f>
        <v/>
      </c>
      <c r="Q4508" s="1" t="str">
        <f aca="false">IF(P4508="","",IFERROR(IF(AND(H4508="W7",OR(F4508="causal",F4508="predictive")),IF(AND(K4508=1,L4508=1,M4508=1),"adequate","partial"),INDEX(Fit_Matrix!$B:$B,MATCH(P4508,Fit_Matrix!$A:$A,0))),"CHECK KEY"))</f>
        <v/>
      </c>
    </row>
    <row r="4509" customFormat="false" ht="15" hidden="false" customHeight="true" outlineLevel="0" collapsed="false">
      <c r="P4509" s="1" t="str">
        <f aca="false">IF(OR(F4509="",H4509="",J4509=""),"",J4509&amp;"|"&amp;F4509&amp;"|"&amp;IF(H4509="W3","W3_"&amp;IF(I4509="","unknown",I4509),H4509))</f>
        <v/>
      </c>
      <c r="Q4509" s="1" t="str">
        <f aca="false">IF(P4509="","",IFERROR(IF(AND(H4509="W7",OR(F4509="causal",F4509="predictive")),IF(AND(K4509=1,L4509=1,M4509=1),"adequate","partial"),INDEX(Fit_Matrix!$B:$B,MATCH(P4509,Fit_Matrix!$A:$A,0))),"CHECK KEY"))</f>
        <v/>
      </c>
    </row>
    <row r="4510" customFormat="false" ht="15" hidden="false" customHeight="true" outlineLevel="0" collapsed="false">
      <c r="P4510" s="1" t="str">
        <f aca="false">IF(OR(F4510="",H4510="",J4510=""),"",J4510&amp;"|"&amp;F4510&amp;"|"&amp;IF(H4510="W3","W3_"&amp;IF(I4510="","unknown",I4510),H4510))</f>
        <v/>
      </c>
      <c r="Q4510" s="1" t="str">
        <f aca="false">IF(P4510="","",IFERROR(IF(AND(H4510="W7",OR(F4510="causal",F4510="predictive")),IF(AND(K4510=1,L4510=1,M4510=1),"adequate","partial"),INDEX(Fit_Matrix!$B:$B,MATCH(P4510,Fit_Matrix!$A:$A,0))),"CHECK KEY"))</f>
        <v/>
      </c>
    </row>
    <row r="4511" customFormat="false" ht="15" hidden="false" customHeight="true" outlineLevel="0" collapsed="false">
      <c r="P4511" s="1" t="str">
        <f aca="false">IF(OR(F4511="",H4511="",J4511=""),"",J4511&amp;"|"&amp;F4511&amp;"|"&amp;IF(H4511="W3","W3_"&amp;IF(I4511="","unknown",I4511),H4511))</f>
        <v/>
      </c>
      <c r="Q4511" s="1" t="str">
        <f aca="false">IF(P4511="","",IFERROR(IF(AND(H4511="W7",OR(F4511="causal",F4511="predictive")),IF(AND(K4511=1,L4511=1,M4511=1),"adequate","partial"),INDEX(Fit_Matrix!$B:$B,MATCH(P4511,Fit_Matrix!$A:$A,0))),"CHECK KEY"))</f>
        <v/>
      </c>
    </row>
    <row r="4512" customFormat="false" ht="15" hidden="false" customHeight="true" outlineLevel="0" collapsed="false">
      <c r="P4512" s="1" t="str">
        <f aca="false">IF(OR(F4512="",H4512="",J4512=""),"",J4512&amp;"|"&amp;F4512&amp;"|"&amp;IF(H4512="W3","W3_"&amp;IF(I4512="","unknown",I4512),H4512))</f>
        <v/>
      </c>
      <c r="Q4512" s="1" t="str">
        <f aca="false">IF(P4512="","",IFERROR(IF(AND(H4512="W7",OR(F4512="causal",F4512="predictive")),IF(AND(K4512=1,L4512=1,M4512=1),"adequate","partial"),INDEX(Fit_Matrix!$B:$B,MATCH(P4512,Fit_Matrix!$A:$A,0))),"CHECK KEY"))</f>
        <v/>
      </c>
    </row>
    <row r="4513" customFormat="false" ht="15" hidden="false" customHeight="true" outlineLevel="0" collapsed="false">
      <c r="P4513" s="1" t="str">
        <f aca="false">IF(OR(F4513="",H4513="",J4513=""),"",J4513&amp;"|"&amp;F4513&amp;"|"&amp;IF(H4513="W3","W3_"&amp;IF(I4513="","unknown",I4513),H4513))</f>
        <v/>
      </c>
      <c r="Q4513" s="1" t="str">
        <f aca="false">IF(P4513="","",IFERROR(IF(AND(H4513="W7",OR(F4513="causal",F4513="predictive")),IF(AND(K4513=1,L4513=1,M4513=1),"adequate","partial"),INDEX(Fit_Matrix!$B:$B,MATCH(P4513,Fit_Matrix!$A:$A,0))),"CHECK KEY"))</f>
        <v/>
      </c>
    </row>
    <row r="4514" customFormat="false" ht="15" hidden="false" customHeight="true" outlineLevel="0" collapsed="false">
      <c r="P4514" s="1" t="str">
        <f aca="false">IF(OR(F4514="",H4514="",J4514=""),"",J4514&amp;"|"&amp;F4514&amp;"|"&amp;IF(H4514="W3","W3_"&amp;IF(I4514="","unknown",I4514),H4514))</f>
        <v/>
      </c>
      <c r="Q4514" s="1" t="str">
        <f aca="false">IF(P4514="","",IFERROR(IF(AND(H4514="W7",OR(F4514="causal",F4514="predictive")),IF(AND(K4514=1,L4514=1,M4514=1),"adequate","partial"),INDEX(Fit_Matrix!$B:$B,MATCH(P4514,Fit_Matrix!$A:$A,0))),"CHECK KEY"))</f>
        <v/>
      </c>
    </row>
    <row r="4515" customFormat="false" ht="15" hidden="false" customHeight="true" outlineLevel="0" collapsed="false">
      <c r="P4515" s="1" t="str">
        <f aca="false">IF(OR(F4515="",H4515="",J4515=""),"",J4515&amp;"|"&amp;F4515&amp;"|"&amp;IF(H4515="W3","W3_"&amp;IF(I4515="","unknown",I4515),H4515))</f>
        <v/>
      </c>
      <c r="Q4515" s="1" t="str">
        <f aca="false">IF(P4515="","",IFERROR(IF(AND(H4515="W7",OR(F4515="causal",F4515="predictive")),IF(AND(K4515=1,L4515=1,M4515=1),"adequate","partial"),INDEX(Fit_Matrix!$B:$B,MATCH(P4515,Fit_Matrix!$A:$A,0))),"CHECK KEY"))</f>
        <v/>
      </c>
    </row>
    <row r="4516" customFormat="false" ht="15" hidden="false" customHeight="true" outlineLevel="0" collapsed="false">
      <c r="P4516" s="1" t="str">
        <f aca="false">IF(OR(F4516="",H4516="",J4516=""),"",J4516&amp;"|"&amp;F4516&amp;"|"&amp;IF(H4516="W3","W3_"&amp;IF(I4516="","unknown",I4516),H4516))</f>
        <v/>
      </c>
      <c r="Q4516" s="1" t="str">
        <f aca="false">IF(P4516="","",IFERROR(IF(AND(H4516="W7",OR(F4516="causal",F4516="predictive")),IF(AND(K4516=1,L4516=1,M4516=1),"adequate","partial"),INDEX(Fit_Matrix!$B:$B,MATCH(P4516,Fit_Matrix!$A:$A,0))),"CHECK KEY"))</f>
        <v/>
      </c>
    </row>
    <row r="4517" customFormat="false" ht="15" hidden="false" customHeight="true" outlineLevel="0" collapsed="false">
      <c r="P4517" s="1" t="str">
        <f aca="false">IF(OR(F4517="",H4517="",J4517=""),"",J4517&amp;"|"&amp;F4517&amp;"|"&amp;IF(H4517="W3","W3_"&amp;IF(I4517="","unknown",I4517),H4517))</f>
        <v/>
      </c>
      <c r="Q4517" s="1" t="str">
        <f aca="false">IF(P4517="","",IFERROR(IF(AND(H4517="W7",OR(F4517="causal",F4517="predictive")),IF(AND(K4517=1,L4517=1,M4517=1),"adequate","partial"),INDEX(Fit_Matrix!$B:$B,MATCH(P4517,Fit_Matrix!$A:$A,0))),"CHECK KEY"))</f>
        <v/>
      </c>
    </row>
    <row r="4518" customFormat="false" ht="15" hidden="false" customHeight="true" outlineLevel="0" collapsed="false">
      <c r="P4518" s="1" t="str">
        <f aca="false">IF(OR(F4518="",H4518="",J4518=""),"",J4518&amp;"|"&amp;F4518&amp;"|"&amp;IF(H4518="W3","W3_"&amp;IF(I4518="","unknown",I4518),H4518))</f>
        <v/>
      </c>
      <c r="Q4518" s="1" t="str">
        <f aca="false">IF(P4518="","",IFERROR(IF(AND(H4518="W7",OR(F4518="causal",F4518="predictive")),IF(AND(K4518=1,L4518=1,M4518=1),"adequate","partial"),INDEX(Fit_Matrix!$B:$B,MATCH(P4518,Fit_Matrix!$A:$A,0))),"CHECK KEY"))</f>
        <v/>
      </c>
    </row>
    <row r="4519" customFormat="false" ht="15" hidden="false" customHeight="true" outlineLevel="0" collapsed="false">
      <c r="P4519" s="1" t="str">
        <f aca="false">IF(OR(F4519="",H4519="",J4519=""),"",J4519&amp;"|"&amp;F4519&amp;"|"&amp;IF(H4519="W3","W3_"&amp;IF(I4519="","unknown",I4519),H4519))</f>
        <v/>
      </c>
      <c r="Q4519" s="1" t="str">
        <f aca="false">IF(P4519="","",IFERROR(IF(AND(H4519="W7",OR(F4519="causal",F4519="predictive")),IF(AND(K4519=1,L4519=1,M4519=1),"adequate","partial"),INDEX(Fit_Matrix!$B:$B,MATCH(P4519,Fit_Matrix!$A:$A,0))),"CHECK KEY"))</f>
        <v/>
      </c>
    </row>
    <row r="4520" customFormat="false" ht="15" hidden="false" customHeight="true" outlineLevel="0" collapsed="false">
      <c r="P4520" s="1" t="str">
        <f aca="false">IF(OR(F4520="",H4520="",J4520=""),"",J4520&amp;"|"&amp;F4520&amp;"|"&amp;IF(H4520="W3","W3_"&amp;IF(I4520="","unknown",I4520),H4520))</f>
        <v/>
      </c>
      <c r="Q4520" s="1" t="str">
        <f aca="false">IF(P4520="","",IFERROR(IF(AND(H4520="W7",OR(F4520="causal",F4520="predictive")),IF(AND(K4520=1,L4520=1,M4520=1),"adequate","partial"),INDEX(Fit_Matrix!$B:$B,MATCH(P4520,Fit_Matrix!$A:$A,0))),"CHECK KEY"))</f>
        <v/>
      </c>
    </row>
    <row r="4521" customFormat="false" ht="15" hidden="false" customHeight="true" outlineLevel="0" collapsed="false">
      <c r="P4521" s="1" t="str">
        <f aca="false">IF(OR(F4521="",H4521="",J4521=""),"",J4521&amp;"|"&amp;F4521&amp;"|"&amp;IF(H4521="W3","W3_"&amp;IF(I4521="","unknown",I4521),H4521))</f>
        <v/>
      </c>
      <c r="Q4521" s="1" t="str">
        <f aca="false">IF(P4521="","",IFERROR(IF(AND(H4521="W7",OR(F4521="causal",F4521="predictive")),IF(AND(K4521=1,L4521=1,M4521=1),"adequate","partial"),INDEX(Fit_Matrix!$B:$B,MATCH(P4521,Fit_Matrix!$A:$A,0))),"CHECK KEY"))</f>
        <v/>
      </c>
    </row>
    <row r="4522" customFormat="false" ht="15" hidden="false" customHeight="true" outlineLevel="0" collapsed="false">
      <c r="P4522" s="1" t="str">
        <f aca="false">IF(OR(F4522="",H4522="",J4522=""),"",J4522&amp;"|"&amp;F4522&amp;"|"&amp;IF(H4522="W3","W3_"&amp;IF(I4522="","unknown",I4522),H4522))</f>
        <v/>
      </c>
      <c r="Q4522" s="1" t="str">
        <f aca="false">IF(P4522="","",IFERROR(IF(AND(H4522="W7",OR(F4522="causal",F4522="predictive")),IF(AND(K4522=1,L4522=1,M4522=1),"adequate","partial"),INDEX(Fit_Matrix!$B:$B,MATCH(P4522,Fit_Matrix!$A:$A,0))),"CHECK KEY"))</f>
        <v/>
      </c>
    </row>
    <row r="4523" customFormat="false" ht="15" hidden="false" customHeight="true" outlineLevel="0" collapsed="false">
      <c r="P4523" s="1" t="str">
        <f aca="false">IF(OR(F4523="",H4523="",J4523=""),"",J4523&amp;"|"&amp;F4523&amp;"|"&amp;IF(H4523="W3","W3_"&amp;IF(I4523="","unknown",I4523),H4523))</f>
        <v/>
      </c>
      <c r="Q4523" s="1" t="str">
        <f aca="false">IF(P4523="","",IFERROR(IF(AND(H4523="W7",OR(F4523="causal",F4523="predictive")),IF(AND(K4523=1,L4523=1,M4523=1),"adequate","partial"),INDEX(Fit_Matrix!$B:$B,MATCH(P4523,Fit_Matrix!$A:$A,0))),"CHECK KEY"))</f>
        <v/>
      </c>
    </row>
    <row r="4524" customFormat="false" ht="15" hidden="false" customHeight="true" outlineLevel="0" collapsed="false">
      <c r="P4524" s="1" t="str">
        <f aca="false">IF(OR(F4524="",H4524="",J4524=""),"",J4524&amp;"|"&amp;F4524&amp;"|"&amp;IF(H4524="W3","W3_"&amp;IF(I4524="","unknown",I4524),H4524))</f>
        <v/>
      </c>
      <c r="Q4524" s="1" t="str">
        <f aca="false">IF(P4524="","",IFERROR(IF(AND(H4524="W7",OR(F4524="causal",F4524="predictive")),IF(AND(K4524=1,L4524=1,M4524=1),"adequate","partial"),INDEX(Fit_Matrix!$B:$B,MATCH(P4524,Fit_Matrix!$A:$A,0))),"CHECK KEY"))</f>
        <v/>
      </c>
    </row>
    <row r="4525" customFormat="false" ht="15" hidden="false" customHeight="true" outlineLevel="0" collapsed="false">
      <c r="P4525" s="1" t="str">
        <f aca="false">IF(OR(F4525="",H4525="",J4525=""),"",J4525&amp;"|"&amp;F4525&amp;"|"&amp;IF(H4525="W3","W3_"&amp;IF(I4525="","unknown",I4525),H4525))</f>
        <v/>
      </c>
      <c r="Q4525" s="1" t="str">
        <f aca="false">IF(P4525="","",IFERROR(IF(AND(H4525="W7",OR(F4525="causal",F4525="predictive")),IF(AND(K4525=1,L4525=1,M4525=1),"adequate","partial"),INDEX(Fit_Matrix!$B:$B,MATCH(P4525,Fit_Matrix!$A:$A,0))),"CHECK KEY"))</f>
        <v/>
      </c>
    </row>
    <row r="4526" customFormat="false" ht="15" hidden="false" customHeight="true" outlineLevel="0" collapsed="false">
      <c r="P4526" s="1" t="str">
        <f aca="false">IF(OR(F4526="",H4526="",J4526=""),"",J4526&amp;"|"&amp;F4526&amp;"|"&amp;IF(H4526="W3","W3_"&amp;IF(I4526="","unknown",I4526),H4526))</f>
        <v/>
      </c>
      <c r="Q4526" s="1" t="str">
        <f aca="false">IF(P4526="","",IFERROR(IF(AND(H4526="W7",OR(F4526="causal",F4526="predictive")),IF(AND(K4526=1,L4526=1,M4526=1),"adequate","partial"),INDEX(Fit_Matrix!$B:$B,MATCH(P4526,Fit_Matrix!$A:$A,0))),"CHECK KEY"))</f>
        <v/>
      </c>
    </row>
    <row r="4527" customFormat="false" ht="15" hidden="false" customHeight="true" outlineLevel="0" collapsed="false">
      <c r="P4527" s="1" t="str">
        <f aca="false">IF(OR(F4527="",H4527="",J4527=""),"",J4527&amp;"|"&amp;F4527&amp;"|"&amp;IF(H4527="W3","W3_"&amp;IF(I4527="","unknown",I4527),H4527))</f>
        <v/>
      </c>
      <c r="Q4527" s="1" t="str">
        <f aca="false">IF(P4527="","",IFERROR(IF(AND(H4527="W7",OR(F4527="causal",F4527="predictive")),IF(AND(K4527=1,L4527=1,M4527=1),"adequate","partial"),INDEX(Fit_Matrix!$B:$B,MATCH(P4527,Fit_Matrix!$A:$A,0))),"CHECK KEY"))</f>
        <v/>
      </c>
    </row>
    <row r="4528" customFormat="false" ht="15" hidden="false" customHeight="true" outlineLevel="0" collapsed="false">
      <c r="P4528" s="1" t="str">
        <f aca="false">IF(OR(F4528="",H4528="",J4528=""),"",J4528&amp;"|"&amp;F4528&amp;"|"&amp;IF(H4528="W3","W3_"&amp;IF(I4528="","unknown",I4528),H4528))</f>
        <v/>
      </c>
      <c r="Q4528" s="1" t="str">
        <f aca="false">IF(P4528="","",IFERROR(IF(AND(H4528="W7",OR(F4528="causal",F4528="predictive")),IF(AND(K4528=1,L4528=1,M4528=1),"adequate","partial"),INDEX(Fit_Matrix!$B:$B,MATCH(P4528,Fit_Matrix!$A:$A,0))),"CHECK KEY"))</f>
        <v/>
      </c>
    </row>
    <row r="4529" customFormat="false" ht="15" hidden="false" customHeight="true" outlineLevel="0" collapsed="false">
      <c r="P4529" s="1" t="str">
        <f aca="false">IF(OR(F4529="",H4529="",J4529=""),"",J4529&amp;"|"&amp;F4529&amp;"|"&amp;IF(H4529="W3","W3_"&amp;IF(I4529="","unknown",I4529),H4529))</f>
        <v/>
      </c>
      <c r="Q4529" s="1" t="str">
        <f aca="false">IF(P4529="","",IFERROR(IF(AND(H4529="W7",OR(F4529="causal",F4529="predictive")),IF(AND(K4529=1,L4529=1,M4529=1),"adequate","partial"),INDEX(Fit_Matrix!$B:$B,MATCH(P4529,Fit_Matrix!$A:$A,0))),"CHECK KEY"))</f>
        <v/>
      </c>
    </row>
    <row r="4530" customFormat="false" ht="15" hidden="false" customHeight="true" outlineLevel="0" collapsed="false">
      <c r="P4530" s="1" t="str">
        <f aca="false">IF(OR(F4530="",H4530="",J4530=""),"",J4530&amp;"|"&amp;F4530&amp;"|"&amp;IF(H4530="W3","W3_"&amp;IF(I4530="","unknown",I4530),H4530))</f>
        <v/>
      </c>
      <c r="Q4530" s="1" t="str">
        <f aca="false">IF(P4530="","",IFERROR(IF(AND(H4530="W7",OR(F4530="causal",F4530="predictive")),IF(AND(K4530=1,L4530=1,M4530=1),"adequate","partial"),INDEX(Fit_Matrix!$B:$B,MATCH(P4530,Fit_Matrix!$A:$A,0))),"CHECK KEY"))</f>
        <v/>
      </c>
    </row>
    <row r="4531" customFormat="false" ht="15" hidden="false" customHeight="true" outlineLevel="0" collapsed="false">
      <c r="P4531" s="1" t="str">
        <f aca="false">IF(OR(F4531="",H4531="",J4531=""),"",J4531&amp;"|"&amp;F4531&amp;"|"&amp;IF(H4531="W3","W3_"&amp;IF(I4531="","unknown",I4531),H4531))</f>
        <v/>
      </c>
      <c r="Q4531" s="1" t="str">
        <f aca="false">IF(P4531="","",IFERROR(IF(AND(H4531="W7",OR(F4531="causal",F4531="predictive")),IF(AND(K4531=1,L4531=1,M4531=1),"adequate","partial"),INDEX(Fit_Matrix!$B:$B,MATCH(P4531,Fit_Matrix!$A:$A,0))),"CHECK KEY"))</f>
        <v/>
      </c>
    </row>
    <row r="4532" customFormat="false" ht="15" hidden="false" customHeight="true" outlineLevel="0" collapsed="false">
      <c r="P4532" s="1" t="str">
        <f aca="false">IF(OR(F4532="",H4532="",J4532=""),"",J4532&amp;"|"&amp;F4532&amp;"|"&amp;IF(H4532="W3","W3_"&amp;IF(I4532="","unknown",I4532),H4532))</f>
        <v/>
      </c>
      <c r="Q4532" s="1" t="str">
        <f aca="false">IF(P4532="","",IFERROR(IF(AND(H4532="W7",OR(F4532="causal",F4532="predictive")),IF(AND(K4532=1,L4532=1,M4532=1),"adequate","partial"),INDEX(Fit_Matrix!$B:$B,MATCH(P4532,Fit_Matrix!$A:$A,0))),"CHECK KEY"))</f>
        <v/>
      </c>
    </row>
    <row r="4533" customFormat="false" ht="15" hidden="false" customHeight="true" outlineLevel="0" collapsed="false">
      <c r="P4533" s="1" t="str">
        <f aca="false">IF(OR(F4533="",H4533="",J4533=""),"",J4533&amp;"|"&amp;F4533&amp;"|"&amp;IF(H4533="W3","W3_"&amp;IF(I4533="","unknown",I4533),H4533))</f>
        <v/>
      </c>
      <c r="Q4533" s="1" t="str">
        <f aca="false">IF(P4533="","",IFERROR(IF(AND(H4533="W7",OR(F4533="causal",F4533="predictive")),IF(AND(K4533=1,L4533=1,M4533=1),"adequate","partial"),INDEX(Fit_Matrix!$B:$B,MATCH(P4533,Fit_Matrix!$A:$A,0))),"CHECK KEY"))</f>
        <v/>
      </c>
    </row>
    <row r="4534" customFormat="false" ht="15" hidden="false" customHeight="true" outlineLevel="0" collapsed="false">
      <c r="P4534" s="1" t="str">
        <f aca="false">IF(OR(F4534="",H4534="",J4534=""),"",J4534&amp;"|"&amp;F4534&amp;"|"&amp;IF(H4534="W3","W3_"&amp;IF(I4534="","unknown",I4534),H4534))</f>
        <v/>
      </c>
      <c r="Q4534" s="1" t="str">
        <f aca="false">IF(P4534="","",IFERROR(IF(AND(H4534="W7",OR(F4534="causal",F4534="predictive")),IF(AND(K4534=1,L4534=1,M4534=1),"adequate","partial"),INDEX(Fit_Matrix!$B:$B,MATCH(P4534,Fit_Matrix!$A:$A,0))),"CHECK KEY"))</f>
        <v/>
      </c>
    </row>
    <row r="4535" customFormat="false" ht="15" hidden="false" customHeight="true" outlineLevel="0" collapsed="false">
      <c r="P4535" s="1" t="str">
        <f aca="false">IF(OR(F4535="",H4535="",J4535=""),"",J4535&amp;"|"&amp;F4535&amp;"|"&amp;IF(H4535="W3","W3_"&amp;IF(I4535="","unknown",I4535),H4535))</f>
        <v/>
      </c>
      <c r="Q4535" s="1" t="str">
        <f aca="false">IF(P4535="","",IFERROR(IF(AND(H4535="W7",OR(F4535="causal",F4535="predictive")),IF(AND(K4535=1,L4535=1,M4535=1),"adequate","partial"),INDEX(Fit_Matrix!$B:$B,MATCH(P4535,Fit_Matrix!$A:$A,0))),"CHECK KEY"))</f>
        <v/>
      </c>
    </row>
    <row r="4536" customFormat="false" ht="15" hidden="false" customHeight="true" outlineLevel="0" collapsed="false">
      <c r="P4536" s="1" t="str">
        <f aca="false">IF(OR(F4536="",H4536="",J4536=""),"",J4536&amp;"|"&amp;F4536&amp;"|"&amp;IF(H4536="W3","W3_"&amp;IF(I4536="","unknown",I4536),H4536))</f>
        <v/>
      </c>
      <c r="Q4536" s="1" t="str">
        <f aca="false">IF(P4536="","",IFERROR(IF(AND(H4536="W7",OR(F4536="causal",F4536="predictive")),IF(AND(K4536=1,L4536=1,M4536=1),"adequate","partial"),INDEX(Fit_Matrix!$B:$B,MATCH(P4536,Fit_Matrix!$A:$A,0))),"CHECK KEY"))</f>
        <v/>
      </c>
    </row>
    <row r="4537" customFormat="false" ht="15" hidden="false" customHeight="true" outlineLevel="0" collapsed="false">
      <c r="P4537" s="1" t="str">
        <f aca="false">IF(OR(F4537="",H4537="",J4537=""),"",J4537&amp;"|"&amp;F4537&amp;"|"&amp;IF(H4537="W3","W3_"&amp;IF(I4537="","unknown",I4537),H4537))</f>
        <v/>
      </c>
      <c r="Q4537" s="1" t="str">
        <f aca="false">IF(P4537="","",IFERROR(IF(AND(H4537="W7",OR(F4537="causal",F4537="predictive")),IF(AND(K4537=1,L4537=1,M4537=1),"adequate","partial"),INDEX(Fit_Matrix!$B:$B,MATCH(P4537,Fit_Matrix!$A:$A,0))),"CHECK KEY"))</f>
        <v/>
      </c>
    </row>
    <row r="4538" customFormat="false" ht="15" hidden="false" customHeight="true" outlineLevel="0" collapsed="false">
      <c r="P4538" s="1" t="str">
        <f aca="false">IF(OR(F4538="",H4538="",J4538=""),"",J4538&amp;"|"&amp;F4538&amp;"|"&amp;IF(H4538="W3","W3_"&amp;IF(I4538="","unknown",I4538),H4538))</f>
        <v/>
      </c>
      <c r="Q4538" s="1" t="str">
        <f aca="false">IF(P4538="","",IFERROR(IF(AND(H4538="W7",OR(F4538="causal",F4538="predictive")),IF(AND(K4538=1,L4538=1,M4538=1),"adequate","partial"),INDEX(Fit_Matrix!$B:$B,MATCH(P4538,Fit_Matrix!$A:$A,0))),"CHECK KEY"))</f>
        <v/>
      </c>
    </row>
    <row r="4539" customFormat="false" ht="15" hidden="false" customHeight="true" outlineLevel="0" collapsed="false">
      <c r="P4539" s="1" t="str">
        <f aca="false">IF(OR(F4539="",H4539="",J4539=""),"",J4539&amp;"|"&amp;F4539&amp;"|"&amp;IF(H4539="W3","W3_"&amp;IF(I4539="","unknown",I4539),H4539))</f>
        <v/>
      </c>
      <c r="Q4539" s="1" t="str">
        <f aca="false">IF(P4539="","",IFERROR(IF(AND(H4539="W7",OR(F4539="causal",F4539="predictive")),IF(AND(K4539=1,L4539=1,M4539=1),"adequate","partial"),INDEX(Fit_Matrix!$B:$B,MATCH(P4539,Fit_Matrix!$A:$A,0))),"CHECK KEY"))</f>
        <v/>
      </c>
    </row>
    <row r="4540" customFormat="false" ht="15" hidden="false" customHeight="true" outlineLevel="0" collapsed="false">
      <c r="P4540" s="1" t="str">
        <f aca="false">IF(OR(F4540="",H4540="",J4540=""),"",J4540&amp;"|"&amp;F4540&amp;"|"&amp;IF(H4540="W3","W3_"&amp;IF(I4540="","unknown",I4540),H4540))</f>
        <v/>
      </c>
      <c r="Q4540" s="1" t="str">
        <f aca="false">IF(P4540="","",IFERROR(IF(AND(H4540="W7",OR(F4540="causal",F4540="predictive")),IF(AND(K4540=1,L4540=1,M4540=1),"adequate","partial"),INDEX(Fit_Matrix!$B:$B,MATCH(P4540,Fit_Matrix!$A:$A,0))),"CHECK KEY"))</f>
        <v/>
      </c>
    </row>
    <row r="4541" customFormat="false" ht="15" hidden="false" customHeight="true" outlineLevel="0" collapsed="false">
      <c r="P4541" s="1" t="str">
        <f aca="false">IF(OR(F4541="",H4541="",J4541=""),"",J4541&amp;"|"&amp;F4541&amp;"|"&amp;IF(H4541="W3","W3_"&amp;IF(I4541="","unknown",I4541),H4541))</f>
        <v/>
      </c>
      <c r="Q4541" s="1" t="str">
        <f aca="false">IF(P4541="","",IFERROR(IF(AND(H4541="W7",OR(F4541="causal",F4541="predictive")),IF(AND(K4541=1,L4541=1,M4541=1),"adequate","partial"),INDEX(Fit_Matrix!$B:$B,MATCH(P4541,Fit_Matrix!$A:$A,0))),"CHECK KEY"))</f>
        <v/>
      </c>
    </row>
    <row r="4542" customFormat="false" ht="15" hidden="false" customHeight="true" outlineLevel="0" collapsed="false">
      <c r="P4542" s="1" t="str">
        <f aca="false">IF(OR(F4542="",H4542="",J4542=""),"",J4542&amp;"|"&amp;F4542&amp;"|"&amp;IF(H4542="W3","W3_"&amp;IF(I4542="","unknown",I4542),H4542))</f>
        <v/>
      </c>
      <c r="Q4542" s="1" t="str">
        <f aca="false">IF(P4542="","",IFERROR(IF(AND(H4542="W7",OR(F4542="causal",F4542="predictive")),IF(AND(K4542=1,L4542=1,M4542=1),"adequate","partial"),INDEX(Fit_Matrix!$B:$B,MATCH(P4542,Fit_Matrix!$A:$A,0))),"CHECK KEY"))</f>
        <v/>
      </c>
    </row>
    <row r="4543" customFormat="false" ht="15" hidden="false" customHeight="true" outlineLevel="0" collapsed="false">
      <c r="P4543" s="1" t="str">
        <f aca="false">IF(OR(F4543="",H4543="",J4543=""),"",J4543&amp;"|"&amp;F4543&amp;"|"&amp;IF(H4543="W3","W3_"&amp;IF(I4543="","unknown",I4543),H4543))</f>
        <v/>
      </c>
      <c r="Q4543" s="1" t="str">
        <f aca="false">IF(P4543="","",IFERROR(IF(AND(H4543="W7",OR(F4543="causal",F4543="predictive")),IF(AND(K4543=1,L4543=1,M4543=1),"adequate","partial"),INDEX(Fit_Matrix!$B:$B,MATCH(P4543,Fit_Matrix!$A:$A,0))),"CHECK KEY"))</f>
        <v/>
      </c>
    </row>
    <row r="4544" customFormat="false" ht="15" hidden="false" customHeight="true" outlineLevel="0" collapsed="false">
      <c r="P4544" s="1" t="str">
        <f aca="false">IF(OR(F4544="",H4544="",J4544=""),"",J4544&amp;"|"&amp;F4544&amp;"|"&amp;IF(H4544="W3","W3_"&amp;IF(I4544="","unknown",I4544),H4544))</f>
        <v/>
      </c>
      <c r="Q4544" s="1" t="str">
        <f aca="false">IF(P4544="","",IFERROR(IF(AND(H4544="W7",OR(F4544="causal",F4544="predictive")),IF(AND(K4544=1,L4544=1,M4544=1),"adequate","partial"),INDEX(Fit_Matrix!$B:$B,MATCH(P4544,Fit_Matrix!$A:$A,0))),"CHECK KEY"))</f>
        <v/>
      </c>
    </row>
    <row r="4545" customFormat="false" ht="15" hidden="false" customHeight="true" outlineLevel="0" collapsed="false">
      <c r="P4545" s="1" t="str">
        <f aca="false">IF(OR(F4545="",H4545="",J4545=""),"",J4545&amp;"|"&amp;F4545&amp;"|"&amp;IF(H4545="W3","W3_"&amp;IF(I4545="","unknown",I4545),H4545))</f>
        <v/>
      </c>
      <c r="Q4545" s="1" t="str">
        <f aca="false">IF(P4545="","",IFERROR(IF(AND(H4545="W7",OR(F4545="causal",F4545="predictive")),IF(AND(K4545=1,L4545=1,M4545=1),"adequate","partial"),INDEX(Fit_Matrix!$B:$B,MATCH(P4545,Fit_Matrix!$A:$A,0))),"CHECK KEY"))</f>
        <v/>
      </c>
    </row>
    <row r="4546" customFormat="false" ht="15" hidden="false" customHeight="true" outlineLevel="0" collapsed="false">
      <c r="P4546" s="1" t="str">
        <f aca="false">IF(OR(F4546="",H4546="",J4546=""),"",J4546&amp;"|"&amp;F4546&amp;"|"&amp;IF(H4546="W3","W3_"&amp;IF(I4546="","unknown",I4546),H4546))</f>
        <v/>
      </c>
      <c r="Q4546" s="1" t="str">
        <f aca="false">IF(P4546="","",IFERROR(IF(AND(H4546="W7",OR(F4546="causal",F4546="predictive")),IF(AND(K4546=1,L4546=1,M4546=1),"adequate","partial"),INDEX(Fit_Matrix!$B:$B,MATCH(P4546,Fit_Matrix!$A:$A,0))),"CHECK KEY"))</f>
        <v/>
      </c>
    </row>
    <row r="4547" customFormat="false" ht="15" hidden="false" customHeight="true" outlineLevel="0" collapsed="false">
      <c r="P4547" s="1" t="str">
        <f aca="false">IF(OR(F4547="",H4547="",J4547=""),"",J4547&amp;"|"&amp;F4547&amp;"|"&amp;IF(H4547="W3","W3_"&amp;IF(I4547="","unknown",I4547),H4547))</f>
        <v/>
      </c>
      <c r="Q4547" s="1" t="str">
        <f aca="false">IF(P4547="","",IFERROR(IF(AND(H4547="W7",OR(F4547="causal",F4547="predictive")),IF(AND(K4547=1,L4547=1,M4547=1),"adequate","partial"),INDEX(Fit_Matrix!$B:$B,MATCH(P4547,Fit_Matrix!$A:$A,0))),"CHECK KEY"))</f>
        <v/>
      </c>
    </row>
    <row r="4548" customFormat="false" ht="15" hidden="false" customHeight="true" outlineLevel="0" collapsed="false">
      <c r="P4548" s="1" t="str">
        <f aca="false">IF(OR(F4548="",H4548="",J4548=""),"",J4548&amp;"|"&amp;F4548&amp;"|"&amp;IF(H4548="W3","W3_"&amp;IF(I4548="","unknown",I4548),H4548))</f>
        <v/>
      </c>
      <c r="Q4548" s="1" t="str">
        <f aca="false">IF(P4548="","",IFERROR(IF(AND(H4548="W7",OR(F4548="causal",F4548="predictive")),IF(AND(K4548=1,L4548=1,M4548=1),"adequate","partial"),INDEX(Fit_Matrix!$B:$B,MATCH(P4548,Fit_Matrix!$A:$A,0))),"CHECK KEY"))</f>
        <v/>
      </c>
    </row>
    <row r="4549" customFormat="false" ht="15" hidden="false" customHeight="true" outlineLevel="0" collapsed="false">
      <c r="P4549" s="1" t="str">
        <f aca="false">IF(OR(F4549="",H4549="",J4549=""),"",J4549&amp;"|"&amp;F4549&amp;"|"&amp;IF(H4549="W3","W3_"&amp;IF(I4549="","unknown",I4549),H4549))</f>
        <v/>
      </c>
      <c r="Q4549" s="1" t="str">
        <f aca="false">IF(P4549="","",IFERROR(IF(AND(H4549="W7",OR(F4549="causal",F4549="predictive")),IF(AND(K4549=1,L4549=1,M4549=1),"adequate","partial"),INDEX(Fit_Matrix!$B:$B,MATCH(P4549,Fit_Matrix!$A:$A,0))),"CHECK KEY"))</f>
        <v/>
      </c>
    </row>
    <row r="4550" customFormat="false" ht="15" hidden="false" customHeight="true" outlineLevel="0" collapsed="false">
      <c r="P4550" s="1" t="str">
        <f aca="false">IF(OR(F4550="",H4550="",J4550=""),"",J4550&amp;"|"&amp;F4550&amp;"|"&amp;IF(H4550="W3","W3_"&amp;IF(I4550="","unknown",I4550),H4550))</f>
        <v/>
      </c>
      <c r="Q4550" s="1" t="str">
        <f aca="false">IF(P4550="","",IFERROR(IF(AND(H4550="W7",OR(F4550="causal",F4550="predictive")),IF(AND(K4550=1,L4550=1,M4550=1),"adequate","partial"),INDEX(Fit_Matrix!$B:$B,MATCH(P4550,Fit_Matrix!$A:$A,0))),"CHECK KEY"))</f>
        <v/>
      </c>
    </row>
    <row r="4551" customFormat="false" ht="15" hidden="false" customHeight="true" outlineLevel="0" collapsed="false">
      <c r="P4551" s="1" t="str">
        <f aca="false">IF(OR(F4551="",H4551="",J4551=""),"",J4551&amp;"|"&amp;F4551&amp;"|"&amp;IF(H4551="W3","W3_"&amp;IF(I4551="","unknown",I4551),H4551))</f>
        <v/>
      </c>
      <c r="Q4551" s="1" t="str">
        <f aca="false">IF(P4551="","",IFERROR(IF(AND(H4551="W7",OR(F4551="causal",F4551="predictive")),IF(AND(K4551=1,L4551=1,M4551=1),"adequate","partial"),INDEX(Fit_Matrix!$B:$B,MATCH(P4551,Fit_Matrix!$A:$A,0))),"CHECK KEY"))</f>
        <v/>
      </c>
    </row>
    <row r="4552" customFormat="false" ht="15" hidden="false" customHeight="true" outlineLevel="0" collapsed="false">
      <c r="P4552" s="1" t="str">
        <f aca="false">IF(OR(F4552="",H4552="",J4552=""),"",J4552&amp;"|"&amp;F4552&amp;"|"&amp;IF(H4552="W3","W3_"&amp;IF(I4552="","unknown",I4552),H4552))</f>
        <v/>
      </c>
      <c r="Q4552" s="1" t="str">
        <f aca="false">IF(P4552="","",IFERROR(IF(AND(H4552="W7",OR(F4552="causal",F4552="predictive")),IF(AND(K4552=1,L4552=1,M4552=1),"adequate","partial"),INDEX(Fit_Matrix!$B:$B,MATCH(P4552,Fit_Matrix!$A:$A,0))),"CHECK KEY"))</f>
        <v/>
      </c>
    </row>
    <row r="4553" customFormat="false" ht="15" hidden="false" customHeight="true" outlineLevel="0" collapsed="false">
      <c r="P4553" s="1" t="str">
        <f aca="false">IF(OR(F4553="",H4553="",J4553=""),"",J4553&amp;"|"&amp;F4553&amp;"|"&amp;IF(H4553="W3","W3_"&amp;IF(I4553="","unknown",I4553),H4553))</f>
        <v/>
      </c>
      <c r="Q4553" s="1" t="str">
        <f aca="false">IF(P4553="","",IFERROR(IF(AND(H4553="W7",OR(F4553="causal",F4553="predictive")),IF(AND(K4553=1,L4553=1,M4553=1),"adequate","partial"),INDEX(Fit_Matrix!$B:$B,MATCH(P4553,Fit_Matrix!$A:$A,0))),"CHECK KEY"))</f>
        <v/>
      </c>
    </row>
    <row r="4554" customFormat="false" ht="15" hidden="false" customHeight="true" outlineLevel="0" collapsed="false">
      <c r="P4554" s="1" t="str">
        <f aca="false">IF(OR(F4554="",H4554="",J4554=""),"",J4554&amp;"|"&amp;F4554&amp;"|"&amp;IF(H4554="W3","W3_"&amp;IF(I4554="","unknown",I4554),H4554))</f>
        <v/>
      </c>
      <c r="Q4554" s="1" t="str">
        <f aca="false">IF(P4554="","",IFERROR(IF(AND(H4554="W7",OR(F4554="causal",F4554="predictive")),IF(AND(K4554=1,L4554=1,M4554=1),"adequate","partial"),INDEX(Fit_Matrix!$B:$B,MATCH(P4554,Fit_Matrix!$A:$A,0))),"CHECK KEY"))</f>
        <v/>
      </c>
    </row>
    <row r="4555" customFormat="false" ht="15" hidden="false" customHeight="true" outlineLevel="0" collapsed="false">
      <c r="P4555" s="1" t="str">
        <f aca="false">IF(OR(F4555="",H4555="",J4555=""),"",J4555&amp;"|"&amp;F4555&amp;"|"&amp;IF(H4555="W3","W3_"&amp;IF(I4555="","unknown",I4555),H4555))</f>
        <v/>
      </c>
      <c r="Q4555" s="1" t="str">
        <f aca="false">IF(P4555="","",IFERROR(IF(AND(H4555="W7",OR(F4555="causal",F4555="predictive")),IF(AND(K4555=1,L4555=1,M4555=1),"adequate","partial"),INDEX(Fit_Matrix!$B:$B,MATCH(P4555,Fit_Matrix!$A:$A,0))),"CHECK KEY"))</f>
        <v/>
      </c>
    </row>
    <row r="4556" customFormat="false" ht="15" hidden="false" customHeight="true" outlineLevel="0" collapsed="false">
      <c r="P4556" s="1" t="str">
        <f aca="false">IF(OR(F4556="",H4556="",J4556=""),"",J4556&amp;"|"&amp;F4556&amp;"|"&amp;IF(H4556="W3","W3_"&amp;IF(I4556="","unknown",I4556),H4556))</f>
        <v/>
      </c>
      <c r="Q4556" s="1" t="str">
        <f aca="false">IF(P4556="","",IFERROR(IF(AND(H4556="W7",OR(F4556="causal",F4556="predictive")),IF(AND(K4556=1,L4556=1,M4556=1),"adequate","partial"),INDEX(Fit_Matrix!$B:$B,MATCH(P4556,Fit_Matrix!$A:$A,0))),"CHECK KEY"))</f>
        <v/>
      </c>
    </row>
    <row r="4557" customFormat="false" ht="15" hidden="false" customHeight="true" outlineLevel="0" collapsed="false">
      <c r="P4557" s="1" t="str">
        <f aca="false">IF(OR(F4557="",H4557="",J4557=""),"",J4557&amp;"|"&amp;F4557&amp;"|"&amp;IF(H4557="W3","W3_"&amp;IF(I4557="","unknown",I4557),H4557))</f>
        <v/>
      </c>
      <c r="Q4557" s="1" t="str">
        <f aca="false">IF(P4557="","",IFERROR(IF(AND(H4557="W7",OR(F4557="causal",F4557="predictive")),IF(AND(K4557=1,L4557=1,M4557=1),"adequate","partial"),INDEX(Fit_Matrix!$B:$B,MATCH(P4557,Fit_Matrix!$A:$A,0))),"CHECK KEY"))</f>
        <v/>
      </c>
    </row>
    <row r="4558" customFormat="false" ht="15" hidden="false" customHeight="true" outlineLevel="0" collapsed="false">
      <c r="P4558" s="1" t="str">
        <f aca="false">IF(OR(F4558="",H4558="",J4558=""),"",J4558&amp;"|"&amp;F4558&amp;"|"&amp;IF(H4558="W3","W3_"&amp;IF(I4558="","unknown",I4558),H4558))</f>
        <v/>
      </c>
      <c r="Q4558" s="1" t="str">
        <f aca="false">IF(P4558="","",IFERROR(IF(AND(H4558="W7",OR(F4558="causal",F4558="predictive")),IF(AND(K4558=1,L4558=1,M4558=1),"adequate","partial"),INDEX(Fit_Matrix!$B:$B,MATCH(P4558,Fit_Matrix!$A:$A,0))),"CHECK KEY"))</f>
        <v/>
      </c>
    </row>
    <row r="4559" customFormat="false" ht="15" hidden="false" customHeight="true" outlineLevel="0" collapsed="false">
      <c r="P4559" s="1" t="str">
        <f aca="false">IF(OR(F4559="",H4559="",J4559=""),"",J4559&amp;"|"&amp;F4559&amp;"|"&amp;IF(H4559="W3","W3_"&amp;IF(I4559="","unknown",I4559),H4559))</f>
        <v/>
      </c>
      <c r="Q4559" s="1" t="str">
        <f aca="false">IF(P4559="","",IFERROR(IF(AND(H4559="W7",OR(F4559="causal",F4559="predictive")),IF(AND(K4559=1,L4559=1,M4559=1),"adequate","partial"),INDEX(Fit_Matrix!$B:$B,MATCH(P4559,Fit_Matrix!$A:$A,0))),"CHECK KEY"))</f>
        <v/>
      </c>
    </row>
    <row r="4560" customFormat="false" ht="15" hidden="false" customHeight="true" outlineLevel="0" collapsed="false">
      <c r="P4560" s="1" t="str">
        <f aca="false">IF(OR(F4560="",H4560="",J4560=""),"",J4560&amp;"|"&amp;F4560&amp;"|"&amp;IF(H4560="W3","W3_"&amp;IF(I4560="","unknown",I4560),H4560))</f>
        <v/>
      </c>
      <c r="Q4560" s="1" t="str">
        <f aca="false">IF(P4560="","",IFERROR(IF(AND(H4560="W7",OR(F4560="causal",F4560="predictive")),IF(AND(K4560=1,L4560=1,M4560=1),"adequate","partial"),INDEX(Fit_Matrix!$B:$B,MATCH(P4560,Fit_Matrix!$A:$A,0))),"CHECK KEY"))</f>
        <v/>
      </c>
    </row>
    <row r="4561" customFormat="false" ht="15" hidden="false" customHeight="true" outlineLevel="0" collapsed="false">
      <c r="P4561" s="1" t="str">
        <f aca="false">IF(OR(F4561="",H4561="",J4561=""),"",J4561&amp;"|"&amp;F4561&amp;"|"&amp;IF(H4561="W3","W3_"&amp;IF(I4561="","unknown",I4561),H4561))</f>
        <v/>
      </c>
      <c r="Q4561" s="1" t="str">
        <f aca="false">IF(P4561="","",IFERROR(IF(AND(H4561="W7",OR(F4561="causal",F4561="predictive")),IF(AND(K4561=1,L4561=1,M4561=1),"adequate","partial"),INDEX(Fit_Matrix!$B:$B,MATCH(P4561,Fit_Matrix!$A:$A,0))),"CHECK KEY"))</f>
        <v/>
      </c>
    </row>
    <row r="4562" customFormat="false" ht="15" hidden="false" customHeight="true" outlineLevel="0" collapsed="false">
      <c r="P4562" s="1" t="str">
        <f aca="false">IF(OR(F4562="",H4562="",J4562=""),"",J4562&amp;"|"&amp;F4562&amp;"|"&amp;IF(H4562="W3","W3_"&amp;IF(I4562="","unknown",I4562),H4562))</f>
        <v/>
      </c>
      <c r="Q4562" s="1" t="str">
        <f aca="false">IF(P4562="","",IFERROR(IF(AND(H4562="W7",OR(F4562="causal",F4562="predictive")),IF(AND(K4562=1,L4562=1,M4562=1),"adequate","partial"),INDEX(Fit_Matrix!$B:$B,MATCH(P4562,Fit_Matrix!$A:$A,0))),"CHECK KEY"))</f>
        <v/>
      </c>
    </row>
    <row r="4563" customFormat="false" ht="15" hidden="false" customHeight="true" outlineLevel="0" collapsed="false">
      <c r="P4563" s="1" t="str">
        <f aca="false">IF(OR(F4563="",H4563="",J4563=""),"",J4563&amp;"|"&amp;F4563&amp;"|"&amp;IF(H4563="W3","W3_"&amp;IF(I4563="","unknown",I4563),H4563))</f>
        <v/>
      </c>
      <c r="Q4563" s="1" t="str">
        <f aca="false">IF(P4563="","",IFERROR(IF(AND(H4563="W7",OR(F4563="causal",F4563="predictive")),IF(AND(K4563=1,L4563=1,M4563=1),"adequate","partial"),INDEX(Fit_Matrix!$B:$B,MATCH(P4563,Fit_Matrix!$A:$A,0))),"CHECK KEY"))</f>
        <v/>
      </c>
    </row>
    <row r="4564" customFormat="false" ht="15" hidden="false" customHeight="true" outlineLevel="0" collapsed="false">
      <c r="P4564" s="1" t="str">
        <f aca="false">IF(OR(F4564="",H4564="",J4564=""),"",J4564&amp;"|"&amp;F4564&amp;"|"&amp;IF(H4564="W3","W3_"&amp;IF(I4564="","unknown",I4564),H4564))</f>
        <v/>
      </c>
      <c r="Q4564" s="1" t="str">
        <f aca="false">IF(P4564="","",IFERROR(IF(AND(H4564="W7",OR(F4564="causal",F4564="predictive")),IF(AND(K4564=1,L4564=1,M4564=1),"adequate","partial"),INDEX(Fit_Matrix!$B:$B,MATCH(P4564,Fit_Matrix!$A:$A,0))),"CHECK KEY"))</f>
        <v/>
      </c>
    </row>
    <row r="4565" customFormat="false" ht="15" hidden="false" customHeight="true" outlineLevel="0" collapsed="false">
      <c r="P4565" s="1" t="str">
        <f aca="false">IF(OR(F4565="",H4565="",J4565=""),"",J4565&amp;"|"&amp;F4565&amp;"|"&amp;IF(H4565="W3","W3_"&amp;IF(I4565="","unknown",I4565),H4565))</f>
        <v/>
      </c>
      <c r="Q4565" s="1" t="str">
        <f aca="false">IF(P4565="","",IFERROR(IF(AND(H4565="W7",OR(F4565="causal",F4565="predictive")),IF(AND(K4565=1,L4565=1,M4565=1),"adequate","partial"),INDEX(Fit_Matrix!$B:$B,MATCH(P4565,Fit_Matrix!$A:$A,0))),"CHECK KEY"))</f>
        <v/>
      </c>
    </row>
    <row r="4566" customFormat="false" ht="15" hidden="false" customHeight="true" outlineLevel="0" collapsed="false">
      <c r="P4566" s="1" t="str">
        <f aca="false">IF(OR(F4566="",H4566="",J4566=""),"",J4566&amp;"|"&amp;F4566&amp;"|"&amp;IF(H4566="W3","W3_"&amp;IF(I4566="","unknown",I4566),H4566))</f>
        <v/>
      </c>
      <c r="Q4566" s="1" t="str">
        <f aca="false">IF(P4566="","",IFERROR(IF(AND(H4566="W7",OR(F4566="causal",F4566="predictive")),IF(AND(K4566=1,L4566=1,M4566=1),"adequate","partial"),INDEX(Fit_Matrix!$B:$B,MATCH(P4566,Fit_Matrix!$A:$A,0))),"CHECK KEY"))</f>
        <v/>
      </c>
    </row>
    <row r="4567" customFormat="false" ht="15" hidden="false" customHeight="true" outlineLevel="0" collapsed="false">
      <c r="P4567" s="1" t="str">
        <f aca="false">IF(OR(F4567="",H4567="",J4567=""),"",J4567&amp;"|"&amp;F4567&amp;"|"&amp;IF(H4567="W3","W3_"&amp;IF(I4567="","unknown",I4567),H4567))</f>
        <v/>
      </c>
      <c r="Q4567" s="1" t="str">
        <f aca="false">IF(P4567="","",IFERROR(IF(AND(H4567="W7",OR(F4567="causal",F4567="predictive")),IF(AND(K4567=1,L4567=1,M4567=1),"adequate","partial"),INDEX(Fit_Matrix!$B:$B,MATCH(P4567,Fit_Matrix!$A:$A,0))),"CHECK KEY"))</f>
        <v/>
      </c>
    </row>
    <row r="4568" customFormat="false" ht="15" hidden="false" customHeight="true" outlineLevel="0" collapsed="false">
      <c r="P4568" s="1" t="str">
        <f aca="false">IF(OR(F4568="",H4568="",J4568=""),"",J4568&amp;"|"&amp;F4568&amp;"|"&amp;IF(H4568="W3","W3_"&amp;IF(I4568="","unknown",I4568),H4568))</f>
        <v/>
      </c>
      <c r="Q4568" s="1" t="str">
        <f aca="false">IF(P4568="","",IFERROR(IF(AND(H4568="W7",OR(F4568="causal",F4568="predictive")),IF(AND(K4568=1,L4568=1,M4568=1),"adequate","partial"),INDEX(Fit_Matrix!$B:$B,MATCH(P4568,Fit_Matrix!$A:$A,0))),"CHECK KEY"))</f>
        <v/>
      </c>
    </row>
    <row r="4569" customFormat="false" ht="15" hidden="false" customHeight="true" outlineLevel="0" collapsed="false">
      <c r="P4569" s="1" t="str">
        <f aca="false">IF(OR(F4569="",H4569="",J4569=""),"",J4569&amp;"|"&amp;F4569&amp;"|"&amp;IF(H4569="W3","W3_"&amp;IF(I4569="","unknown",I4569),H4569))</f>
        <v/>
      </c>
      <c r="Q4569" s="1" t="str">
        <f aca="false">IF(P4569="","",IFERROR(IF(AND(H4569="W7",OR(F4569="causal",F4569="predictive")),IF(AND(K4569=1,L4569=1,M4569=1),"adequate","partial"),INDEX(Fit_Matrix!$B:$B,MATCH(P4569,Fit_Matrix!$A:$A,0))),"CHECK KEY"))</f>
        <v/>
      </c>
    </row>
    <row r="4570" customFormat="false" ht="15" hidden="false" customHeight="true" outlineLevel="0" collapsed="false">
      <c r="P4570" s="1" t="str">
        <f aca="false">IF(OR(F4570="",H4570="",J4570=""),"",J4570&amp;"|"&amp;F4570&amp;"|"&amp;IF(H4570="W3","W3_"&amp;IF(I4570="","unknown",I4570),H4570))</f>
        <v/>
      </c>
      <c r="Q4570" s="1" t="str">
        <f aca="false">IF(P4570="","",IFERROR(IF(AND(H4570="W7",OR(F4570="causal",F4570="predictive")),IF(AND(K4570=1,L4570=1,M4570=1),"adequate","partial"),INDEX(Fit_Matrix!$B:$B,MATCH(P4570,Fit_Matrix!$A:$A,0))),"CHECK KEY"))</f>
        <v/>
      </c>
    </row>
    <row r="4571" customFormat="false" ht="15" hidden="false" customHeight="true" outlineLevel="0" collapsed="false">
      <c r="P4571" s="1" t="str">
        <f aca="false">IF(OR(F4571="",H4571="",J4571=""),"",J4571&amp;"|"&amp;F4571&amp;"|"&amp;IF(H4571="W3","W3_"&amp;IF(I4571="","unknown",I4571),H4571))</f>
        <v/>
      </c>
      <c r="Q4571" s="1" t="str">
        <f aca="false">IF(P4571="","",IFERROR(IF(AND(H4571="W7",OR(F4571="causal",F4571="predictive")),IF(AND(K4571=1,L4571=1,M4571=1),"adequate","partial"),INDEX(Fit_Matrix!$B:$B,MATCH(P4571,Fit_Matrix!$A:$A,0))),"CHECK KEY"))</f>
        <v/>
      </c>
    </row>
    <row r="4572" customFormat="false" ht="15" hidden="false" customHeight="true" outlineLevel="0" collapsed="false">
      <c r="P4572" s="1" t="str">
        <f aca="false">IF(OR(F4572="",H4572="",J4572=""),"",J4572&amp;"|"&amp;F4572&amp;"|"&amp;IF(H4572="W3","W3_"&amp;IF(I4572="","unknown",I4572),H4572))</f>
        <v/>
      </c>
      <c r="Q4572" s="1" t="str">
        <f aca="false">IF(P4572="","",IFERROR(IF(AND(H4572="W7",OR(F4572="causal",F4572="predictive")),IF(AND(K4572=1,L4572=1,M4572=1),"adequate","partial"),INDEX(Fit_Matrix!$B:$B,MATCH(P4572,Fit_Matrix!$A:$A,0))),"CHECK KEY"))</f>
        <v/>
      </c>
    </row>
    <row r="4573" customFormat="false" ht="15" hidden="false" customHeight="true" outlineLevel="0" collapsed="false">
      <c r="P4573" s="1" t="str">
        <f aca="false">IF(OR(F4573="",H4573="",J4573=""),"",J4573&amp;"|"&amp;F4573&amp;"|"&amp;IF(H4573="W3","W3_"&amp;IF(I4573="","unknown",I4573),H4573))</f>
        <v/>
      </c>
      <c r="Q4573" s="1" t="str">
        <f aca="false">IF(P4573="","",IFERROR(IF(AND(H4573="W7",OR(F4573="causal",F4573="predictive")),IF(AND(K4573=1,L4573=1,M4573=1),"adequate","partial"),INDEX(Fit_Matrix!$B:$B,MATCH(P4573,Fit_Matrix!$A:$A,0))),"CHECK KEY"))</f>
        <v/>
      </c>
    </row>
    <row r="4574" customFormat="false" ht="15" hidden="false" customHeight="true" outlineLevel="0" collapsed="false">
      <c r="P4574" s="1" t="str">
        <f aca="false">IF(OR(F4574="",H4574="",J4574=""),"",J4574&amp;"|"&amp;F4574&amp;"|"&amp;IF(H4574="W3","W3_"&amp;IF(I4574="","unknown",I4574),H4574))</f>
        <v/>
      </c>
      <c r="Q4574" s="1" t="str">
        <f aca="false">IF(P4574="","",IFERROR(IF(AND(H4574="W7",OR(F4574="causal",F4574="predictive")),IF(AND(K4574=1,L4574=1,M4574=1),"adequate","partial"),INDEX(Fit_Matrix!$B:$B,MATCH(P4574,Fit_Matrix!$A:$A,0))),"CHECK KEY"))</f>
        <v/>
      </c>
    </row>
    <row r="4575" customFormat="false" ht="15" hidden="false" customHeight="true" outlineLevel="0" collapsed="false">
      <c r="P4575" s="1" t="str">
        <f aca="false">IF(OR(F4575="",H4575="",J4575=""),"",J4575&amp;"|"&amp;F4575&amp;"|"&amp;IF(H4575="W3","W3_"&amp;IF(I4575="","unknown",I4575),H4575))</f>
        <v/>
      </c>
      <c r="Q4575" s="1" t="str">
        <f aca="false">IF(P4575="","",IFERROR(IF(AND(H4575="W7",OR(F4575="causal",F4575="predictive")),IF(AND(K4575=1,L4575=1,M4575=1),"adequate","partial"),INDEX(Fit_Matrix!$B:$B,MATCH(P4575,Fit_Matrix!$A:$A,0))),"CHECK KEY"))</f>
        <v/>
      </c>
    </row>
    <row r="4576" customFormat="false" ht="15" hidden="false" customHeight="true" outlineLevel="0" collapsed="false">
      <c r="P4576" s="1" t="str">
        <f aca="false">IF(OR(F4576="",H4576="",J4576=""),"",J4576&amp;"|"&amp;F4576&amp;"|"&amp;IF(H4576="W3","W3_"&amp;IF(I4576="","unknown",I4576),H4576))</f>
        <v/>
      </c>
      <c r="Q4576" s="1" t="str">
        <f aca="false">IF(P4576="","",IFERROR(IF(AND(H4576="W7",OR(F4576="causal",F4576="predictive")),IF(AND(K4576=1,L4576=1,M4576=1),"adequate","partial"),INDEX(Fit_Matrix!$B:$B,MATCH(P4576,Fit_Matrix!$A:$A,0))),"CHECK KEY"))</f>
        <v/>
      </c>
    </row>
    <row r="4577" customFormat="false" ht="15" hidden="false" customHeight="true" outlineLevel="0" collapsed="false">
      <c r="P4577" s="1" t="str">
        <f aca="false">IF(OR(F4577="",H4577="",J4577=""),"",J4577&amp;"|"&amp;F4577&amp;"|"&amp;IF(H4577="W3","W3_"&amp;IF(I4577="","unknown",I4577),H4577))</f>
        <v/>
      </c>
      <c r="Q4577" s="1" t="str">
        <f aca="false">IF(P4577="","",IFERROR(IF(AND(H4577="W7",OR(F4577="causal",F4577="predictive")),IF(AND(K4577=1,L4577=1,M4577=1),"adequate","partial"),INDEX(Fit_Matrix!$B:$B,MATCH(P4577,Fit_Matrix!$A:$A,0))),"CHECK KEY"))</f>
        <v/>
      </c>
    </row>
    <row r="4578" customFormat="false" ht="15" hidden="false" customHeight="true" outlineLevel="0" collapsed="false">
      <c r="P4578" s="1" t="str">
        <f aca="false">IF(OR(F4578="",H4578="",J4578=""),"",J4578&amp;"|"&amp;F4578&amp;"|"&amp;IF(H4578="W3","W3_"&amp;IF(I4578="","unknown",I4578),H4578))</f>
        <v/>
      </c>
      <c r="Q4578" s="1" t="str">
        <f aca="false">IF(P4578="","",IFERROR(IF(AND(H4578="W7",OR(F4578="causal",F4578="predictive")),IF(AND(K4578=1,L4578=1,M4578=1),"adequate","partial"),INDEX(Fit_Matrix!$B:$B,MATCH(P4578,Fit_Matrix!$A:$A,0))),"CHECK KEY"))</f>
        <v/>
      </c>
    </row>
    <row r="4579" customFormat="false" ht="15" hidden="false" customHeight="true" outlineLevel="0" collapsed="false">
      <c r="P4579" s="1" t="str">
        <f aca="false">IF(OR(F4579="",H4579="",J4579=""),"",J4579&amp;"|"&amp;F4579&amp;"|"&amp;IF(H4579="W3","W3_"&amp;IF(I4579="","unknown",I4579),H4579))</f>
        <v/>
      </c>
      <c r="Q4579" s="1" t="str">
        <f aca="false">IF(P4579="","",IFERROR(IF(AND(H4579="W7",OR(F4579="causal",F4579="predictive")),IF(AND(K4579=1,L4579=1,M4579=1),"adequate","partial"),INDEX(Fit_Matrix!$B:$B,MATCH(P4579,Fit_Matrix!$A:$A,0))),"CHECK KEY"))</f>
        <v/>
      </c>
    </row>
    <row r="4580" customFormat="false" ht="15" hidden="false" customHeight="true" outlineLevel="0" collapsed="false">
      <c r="P4580" s="1" t="str">
        <f aca="false">IF(OR(F4580="",H4580="",J4580=""),"",J4580&amp;"|"&amp;F4580&amp;"|"&amp;IF(H4580="W3","W3_"&amp;IF(I4580="","unknown",I4580),H4580))</f>
        <v/>
      </c>
      <c r="Q4580" s="1" t="str">
        <f aca="false">IF(P4580="","",IFERROR(IF(AND(H4580="W7",OR(F4580="causal",F4580="predictive")),IF(AND(K4580=1,L4580=1,M4580=1),"adequate","partial"),INDEX(Fit_Matrix!$B:$B,MATCH(P4580,Fit_Matrix!$A:$A,0))),"CHECK KEY"))</f>
        <v/>
      </c>
    </row>
    <row r="4581" customFormat="false" ht="15" hidden="false" customHeight="true" outlineLevel="0" collapsed="false">
      <c r="P4581" s="1" t="str">
        <f aca="false">IF(OR(F4581="",H4581="",J4581=""),"",J4581&amp;"|"&amp;F4581&amp;"|"&amp;IF(H4581="W3","W3_"&amp;IF(I4581="","unknown",I4581),H4581))</f>
        <v/>
      </c>
      <c r="Q4581" s="1" t="str">
        <f aca="false">IF(P4581="","",IFERROR(IF(AND(H4581="W7",OR(F4581="causal",F4581="predictive")),IF(AND(K4581=1,L4581=1,M4581=1),"adequate","partial"),INDEX(Fit_Matrix!$B:$B,MATCH(P4581,Fit_Matrix!$A:$A,0))),"CHECK KEY"))</f>
        <v/>
      </c>
    </row>
    <row r="4582" customFormat="false" ht="15" hidden="false" customHeight="true" outlineLevel="0" collapsed="false">
      <c r="P4582" s="1" t="str">
        <f aca="false">IF(OR(F4582="",H4582="",J4582=""),"",J4582&amp;"|"&amp;F4582&amp;"|"&amp;IF(H4582="W3","W3_"&amp;IF(I4582="","unknown",I4582),H4582))</f>
        <v/>
      </c>
      <c r="Q4582" s="1" t="str">
        <f aca="false">IF(P4582="","",IFERROR(IF(AND(H4582="W7",OR(F4582="causal",F4582="predictive")),IF(AND(K4582=1,L4582=1,M4582=1),"adequate","partial"),INDEX(Fit_Matrix!$B:$B,MATCH(P4582,Fit_Matrix!$A:$A,0))),"CHECK KEY"))</f>
        <v/>
      </c>
    </row>
    <row r="4583" customFormat="false" ht="15" hidden="false" customHeight="true" outlineLevel="0" collapsed="false">
      <c r="P4583" s="1" t="str">
        <f aca="false">IF(OR(F4583="",H4583="",J4583=""),"",J4583&amp;"|"&amp;F4583&amp;"|"&amp;IF(H4583="W3","W3_"&amp;IF(I4583="","unknown",I4583),H4583))</f>
        <v/>
      </c>
      <c r="Q4583" s="1" t="str">
        <f aca="false">IF(P4583="","",IFERROR(IF(AND(H4583="W7",OR(F4583="causal",F4583="predictive")),IF(AND(K4583=1,L4583=1,M4583=1),"adequate","partial"),INDEX(Fit_Matrix!$B:$B,MATCH(P4583,Fit_Matrix!$A:$A,0))),"CHECK KEY"))</f>
        <v/>
      </c>
    </row>
    <row r="4584" customFormat="false" ht="15" hidden="false" customHeight="true" outlineLevel="0" collapsed="false">
      <c r="P4584" s="1" t="str">
        <f aca="false">IF(OR(F4584="",H4584="",J4584=""),"",J4584&amp;"|"&amp;F4584&amp;"|"&amp;IF(H4584="W3","W3_"&amp;IF(I4584="","unknown",I4584),H4584))</f>
        <v/>
      </c>
      <c r="Q4584" s="1" t="str">
        <f aca="false">IF(P4584="","",IFERROR(IF(AND(H4584="W7",OR(F4584="causal",F4584="predictive")),IF(AND(K4584=1,L4584=1,M4584=1),"adequate","partial"),INDEX(Fit_Matrix!$B:$B,MATCH(P4584,Fit_Matrix!$A:$A,0))),"CHECK KEY"))</f>
        <v/>
      </c>
    </row>
    <row r="4585" customFormat="false" ht="15" hidden="false" customHeight="true" outlineLevel="0" collapsed="false">
      <c r="P4585" s="1" t="str">
        <f aca="false">IF(OR(F4585="",H4585="",J4585=""),"",J4585&amp;"|"&amp;F4585&amp;"|"&amp;IF(H4585="W3","W3_"&amp;IF(I4585="","unknown",I4585),H4585))</f>
        <v/>
      </c>
      <c r="Q4585" s="1" t="str">
        <f aca="false">IF(P4585="","",IFERROR(IF(AND(H4585="W7",OR(F4585="causal",F4585="predictive")),IF(AND(K4585=1,L4585=1,M4585=1),"adequate","partial"),INDEX(Fit_Matrix!$B:$B,MATCH(P4585,Fit_Matrix!$A:$A,0))),"CHECK KEY"))</f>
        <v/>
      </c>
    </row>
    <row r="4586" customFormat="false" ht="15" hidden="false" customHeight="true" outlineLevel="0" collapsed="false">
      <c r="P4586" s="1" t="str">
        <f aca="false">IF(OR(F4586="",H4586="",J4586=""),"",J4586&amp;"|"&amp;F4586&amp;"|"&amp;IF(H4586="W3","W3_"&amp;IF(I4586="","unknown",I4586),H4586))</f>
        <v/>
      </c>
      <c r="Q4586" s="1" t="str">
        <f aca="false">IF(P4586="","",IFERROR(IF(AND(H4586="W7",OR(F4586="causal",F4586="predictive")),IF(AND(K4586=1,L4586=1,M4586=1),"adequate","partial"),INDEX(Fit_Matrix!$B:$B,MATCH(P4586,Fit_Matrix!$A:$A,0))),"CHECK KEY"))</f>
        <v/>
      </c>
    </row>
    <row r="4587" customFormat="false" ht="15" hidden="false" customHeight="true" outlineLevel="0" collapsed="false">
      <c r="P4587" s="1" t="str">
        <f aca="false">IF(OR(F4587="",H4587="",J4587=""),"",J4587&amp;"|"&amp;F4587&amp;"|"&amp;IF(H4587="W3","W3_"&amp;IF(I4587="","unknown",I4587),H4587))</f>
        <v/>
      </c>
      <c r="Q4587" s="1" t="str">
        <f aca="false">IF(P4587="","",IFERROR(IF(AND(H4587="W7",OR(F4587="causal",F4587="predictive")),IF(AND(K4587=1,L4587=1,M4587=1),"adequate","partial"),INDEX(Fit_Matrix!$B:$B,MATCH(P4587,Fit_Matrix!$A:$A,0))),"CHECK KEY"))</f>
        <v/>
      </c>
    </row>
    <row r="4588" customFormat="false" ht="15" hidden="false" customHeight="true" outlineLevel="0" collapsed="false">
      <c r="P4588" s="1" t="str">
        <f aca="false">IF(OR(F4588="",H4588="",J4588=""),"",J4588&amp;"|"&amp;F4588&amp;"|"&amp;IF(H4588="W3","W3_"&amp;IF(I4588="","unknown",I4588),H4588))</f>
        <v/>
      </c>
      <c r="Q4588" s="1" t="str">
        <f aca="false">IF(P4588="","",IFERROR(IF(AND(H4588="W7",OR(F4588="causal",F4588="predictive")),IF(AND(K4588=1,L4588=1,M4588=1),"adequate","partial"),INDEX(Fit_Matrix!$B:$B,MATCH(P4588,Fit_Matrix!$A:$A,0))),"CHECK KEY"))</f>
        <v/>
      </c>
    </row>
    <row r="4589" customFormat="false" ht="15" hidden="false" customHeight="true" outlineLevel="0" collapsed="false">
      <c r="P4589" s="1" t="str">
        <f aca="false">IF(OR(F4589="",H4589="",J4589=""),"",J4589&amp;"|"&amp;F4589&amp;"|"&amp;IF(H4589="W3","W3_"&amp;IF(I4589="","unknown",I4589),H4589))</f>
        <v/>
      </c>
      <c r="Q4589" s="1" t="str">
        <f aca="false">IF(P4589="","",IFERROR(IF(AND(H4589="W7",OR(F4589="causal",F4589="predictive")),IF(AND(K4589=1,L4589=1,M4589=1),"adequate","partial"),INDEX(Fit_Matrix!$B:$B,MATCH(P4589,Fit_Matrix!$A:$A,0))),"CHECK KEY"))</f>
        <v/>
      </c>
    </row>
    <row r="4590" customFormat="false" ht="15" hidden="false" customHeight="true" outlineLevel="0" collapsed="false">
      <c r="P4590" s="1" t="str">
        <f aca="false">IF(OR(F4590="",H4590="",J4590=""),"",J4590&amp;"|"&amp;F4590&amp;"|"&amp;IF(H4590="W3","W3_"&amp;IF(I4590="","unknown",I4590),H4590))</f>
        <v/>
      </c>
      <c r="Q4590" s="1" t="str">
        <f aca="false">IF(P4590="","",IFERROR(IF(AND(H4590="W7",OR(F4590="causal",F4590="predictive")),IF(AND(K4590=1,L4590=1,M4590=1),"adequate","partial"),INDEX(Fit_Matrix!$B:$B,MATCH(P4590,Fit_Matrix!$A:$A,0))),"CHECK KEY"))</f>
        <v/>
      </c>
    </row>
    <row r="4591" customFormat="false" ht="15" hidden="false" customHeight="true" outlineLevel="0" collapsed="false">
      <c r="P4591" s="1" t="str">
        <f aca="false">IF(OR(F4591="",H4591="",J4591=""),"",J4591&amp;"|"&amp;F4591&amp;"|"&amp;IF(H4591="W3","W3_"&amp;IF(I4591="","unknown",I4591),H4591))</f>
        <v/>
      </c>
      <c r="Q4591" s="1" t="str">
        <f aca="false">IF(P4591="","",IFERROR(IF(AND(H4591="W7",OR(F4591="causal",F4591="predictive")),IF(AND(K4591=1,L4591=1,M4591=1),"adequate","partial"),INDEX(Fit_Matrix!$B:$B,MATCH(P4591,Fit_Matrix!$A:$A,0))),"CHECK KEY"))</f>
        <v/>
      </c>
    </row>
    <row r="4592" customFormat="false" ht="15" hidden="false" customHeight="true" outlineLevel="0" collapsed="false">
      <c r="P4592" s="1" t="str">
        <f aca="false">IF(OR(F4592="",H4592="",J4592=""),"",J4592&amp;"|"&amp;F4592&amp;"|"&amp;IF(H4592="W3","W3_"&amp;IF(I4592="","unknown",I4592),H4592))</f>
        <v/>
      </c>
      <c r="Q4592" s="1" t="str">
        <f aca="false">IF(P4592="","",IFERROR(IF(AND(H4592="W7",OR(F4592="causal",F4592="predictive")),IF(AND(K4592=1,L4592=1,M4592=1),"adequate","partial"),INDEX(Fit_Matrix!$B:$B,MATCH(P4592,Fit_Matrix!$A:$A,0))),"CHECK KEY"))</f>
        <v/>
      </c>
    </row>
    <row r="4593" customFormat="false" ht="15" hidden="false" customHeight="true" outlineLevel="0" collapsed="false">
      <c r="P4593" s="1" t="str">
        <f aca="false">IF(OR(F4593="",H4593="",J4593=""),"",J4593&amp;"|"&amp;F4593&amp;"|"&amp;IF(H4593="W3","W3_"&amp;IF(I4593="","unknown",I4593),H4593))</f>
        <v/>
      </c>
      <c r="Q4593" s="1" t="str">
        <f aca="false">IF(P4593="","",IFERROR(IF(AND(H4593="W7",OR(F4593="causal",F4593="predictive")),IF(AND(K4593=1,L4593=1,M4593=1),"adequate","partial"),INDEX(Fit_Matrix!$B:$B,MATCH(P4593,Fit_Matrix!$A:$A,0))),"CHECK KEY"))</f>
        <v/>
      </c>
    </row>
    <row r="4594" customFormat="false" ht="15" hidden="false" customHeight="true" outlineLevel="0" collapsed="false">
      <c r="P4594" s="1" t="str">
        <f aca="false">IF(OR(F4594="",H4594="",J4594=""),"",J4594&amp;"|"&amp;F4594&amp;"|"&amp;IF(H4594="W3","W3_"&amp;IF(I4594="","unknown",I4594),H4594))</f>
        <v/>
      </c>
      <c r="Q4594" s="1" t="str">
        <f aca="false">IF(P4594="","",IFERROR(IF(AND(H4594="W7",OR(F4594="causal",F4594="predictive")),IF(AND(K4594=1,L4594=1,M4594=1),"adequate","partial"),INDEX(Fit_Matrix!$B:$B,MATCH(P4594,Fit_Matrix!$A:$A,0))),"CHECK KEY"))</f>
        <v/>
      </c>
    </row>
    <row r="4595" customFormat="false" ht="15" hidden="false" customHeight="true" outlineLevel="0" collapsed="false">
      <c r="P4595" s="1" t="str">
        <f aca="false">IF(OR(F4595="",H4595="",J4595=""),"",J4595&amp;"|"&amp;F4595&amp;"|"&amp;IF(H4595="W3","W3_"&amp;IF(I4595="","unknown",I4595),H4595))</f>
        <v/>
      </c>
      <c r="Q4595" s="1" t="str">
        <f aca="false">IF(P4595="","",IFERROR(IF(AND(H4595="W7",OR(F4595="causal",F4595="predictive")),IF(AND(K4595=1,L4595=1,M4595=1),"adequate","partial"),INDEX(Fit_Matrix!$B:$B,MATCH(P4595,Fit_Matrix!$A:$A,0))),"CHECK KEY"))</f>
        <v/>
      </c>
    </row>
    <row r="4596" customFormat="false" ht="15" hidden="false" customHeight="true" outlineLevel="0" collapsed="false">
      <c r="P4596" s="1" t="str">
        <f aca="false">IF(OR(F4596="",H4596="",J4596=""),"",J4596&amp;"|"&amp;F4596&amp;"|"&amp;IF(H4596="W3","W3_"&amp;IF(I4596="","unknown",I4596),H4596))</f>
        <v/>
      </c>
      <c r="Q4596" s="1" t="str">
        <f aca="false">IF(P4596="","",IFERROR(IF(AND(H4596="W7",OR(F4596="causal",F4596="predictive")),IF(AND(K4596=1,L4596=1,M4596=1),"adequate","partial"),INDEX(Fit_Matrix!$B:$B,MATCH(P4596,Fit_Matrix!$A:$A,0))),"CHECK KEY"))</f>
        <v/>
      </c>
    </row>
    <row r="4597" customFormat="false" ht="15" hidden="false" customHeight="true" outlineLevel="0" collapsed="false">
      <c r="P4597" s="1" t="str">
        <f aca="false">IF(OR(F4597="",H4597="",J4597=""),"",J4597&amp;"|"&amp;F4597&amp;"|"&amp;IF(H4597="W3","W3_"&amp;IF(I4597="","unknown",I4597),H4597))</f>
        <v/>
      </c>
      <c r="Q4597" s="1" t="str">
        <f aca="false">IF(P4597="","",IFERROR(IF(AND(H4597="W7",OR(F4597="causal",F4597="predictive")),IF(AND(K4597=1,L4597=1,M4597=1),"adequate","partial"),INDEX(Fit_Matrix!$B:$B,MATCH(P4597,Fit_Matrix!$A:$A,0))),"CHECK KEY"))</f>
        <v/>
      </c>
    </row>
    <row r="4598" customFormat="false" ht="15" hidden="false" customHeight="true" outlineLevel="0" collapsed="false">
      <c r="P4598" s="1" t="str">
        <f aca="false">IF(OR(F4598="",H4598="",J4598=""),"",J4598&amp;"|"&amp;F4598&amp;"|"&amp;IF(H4598="W3","W3_"&amp;IF(I4598="","unknown",I4598),H4598))</f>
        <v/>
      </c>
      <c r="Q4598" s="1" t="str">
        <f aca="false">IF(P4598="","",IFERROR(IF(AND(H4598="W7",OR(F4598="causal",F4598="predictive")),IF(AND(K4598=1,L4598=1,M4598=1),"adequate","partial"),INDEX(Fit_Matrix!$B:$B,MATCH(P4598,Fit_Matrix!$A:$A,0))),"CHECK KEY"))</f>
        <v/>
      </c>
    </row>
    <row r="4599" customFormat="false" ht="15" hidden="false" customHeight="true" outlineLevel="0" collapsed="false">
      <c r="P4599" s="1" t="str">
        <f aca="false">IF(OR(F4599="",H4599="",J4599=""),"",J4599&amp;"|"&amp;F4599&amp;"|"&amp;IF(H4599="W3","W3_"&amp;IF(I4599="","unknown",I4599),H4599))</f>
        <v/>
      </c>
      <c r="Q4599" s="1" t="str">
        <f aca="false">IF(P4599="","",IFERROR(IF(AND(H4599="W7",OR(F4599="causal",F4599="predictive")),IF(AND(K4599=1,L4599=1,M4599=1),"adequate","partial"),INDEX(Fit_Matrix!$B:$B,MATCH(P4599,Fit_Matrix!$A:$A,0))),"CHECK KEY"))</f>
        <v/>
      </c>
    </row>
    <row r="4600" customFormat="false" ht="15" hidden="false" customHeight="true" outlineLevel="0" collapsed="false">
      <c r="P4600" s="1" t="str">
        <f aca="false">IF(OR(F4600="",H4600="",J4600=""),"",J4600&amp;"|"&amp;F4600&amp;"|"&amp;IF(H4600="W3","W3_"&amp;IF(I4600="","unknown",I4600),H4600))</f>
        <v/>
      </c>
      <c r="Q4600" s="1" t="str">
        <f aca="false">IF(P4600="","",IFERROR(IF(AND(H4600="W7",OR(F4600="causal",F4600="predictive")),IF(AND(K4600=1,L4600=1,M4600=1),"adequate","partial"),INDEX(Fit_Matrix!$B:$B,MATCH(P4600,Fit_Matrix!$A:$A,0))),"CHECK KEY"))</f>
        <v/>
      </c>
    </row>
    <row r="4601" customFormat="false" ht="15" hidden="false" customHeight="true" outlineLevel="0" collapsed="false">
      <c r="P4601" s="1" t="str">
        <f aca="false">IF(OR(F4601="",H4601="",J4601=""),"",J4601&amp;"|"&amp;F4601&amp;"|"&amp;IF(H4601="W3","W3_"&amp;IF(I4601="","unknown",I4601),H4601))</f>
        <v/>
      </c>
      <c r="Q4601" s="1" t="str">
        <f aca="false">IF(P4601="","",IFERROR(IF(AND(H4601="W7",OR(F4601="causal",F4601="predictive")),IF(AND(K4601=1,L4601=1,M4601=1),"adequate","partial"),INDEX(Fit_Matrix!$B:$B,MATCH(P4601,Fit_Matrix!$A:$A,0))),"CHECK KEY"))</f>
        <v/>
      </c>
    </row>
    <row r="4602" customFormat="false" ht="15" hidden="false" customHeight="true" outlineLevel="0" collapsed="false">
      <c r="P4602" s="1" t="str">
        <f aca="false">IF(OR(F4602="",H4602="",J4602=""),"",J4602&amp;"|"&amp;F4602&amp;"|"&amp;IF(H4602="W3","W3_"&amp;IF(I4602="","unknown",I4602),H4602))</f>
        <v/>
      </c>
      <c r="Q4602" s="1" t="str">
        <f aca="false">IF(P4602="","",IFERROR(IF(AND(H4602="W7",OR(F4602="causal",F4602="predictive")),IF(AND(K4602=1,L4602=1,M4602=1),"adequate","partial"),INDEX(Fit_Matrix!$B:$B,MATCH(P4602,Fit_Matrix!$A:$A,0))),"CHECK KEY"))</f>
        <v/>
      </c>
    </row>
    <row r="4603" customFormat="false" ht="15" hidden="false" customHeight="true" outlineLevel="0" collapsed="false">
      <c r="P4603" s="1" t="str">
        <f aca="false">IF(OR(F4603="",H4603="",J4603=""),"",J4603&amp;"|"&amp;F4603&amp;"|"&amp;IF(H4603="W3","W3_"&amp;IF(I4603="","unknown",I4603),H4603))</f>
        <v/>
      </c>
      <c r="Q4603" s="1" t="str">
        <f aca="false">IF(P4603="","",IFERROR(IF(AND(H4603="W7",OR(F4603="causal",F4603="predictive")),IF(AND(K4603=1,L4603=1,M4603=1),"adequate","partial"),INDEX(Fit_Matrix!$B:$B,MATCH(P4603,Fit_Matrix!$A:$A,0))),"CHECK KEY"))</f>
        <v/>
      </c>
    </row>
    <row r="4604" customFormat="false" ht="15" hidden="false" customHeight="true" outlineLevel="0" collapsed="false">
      <c r="P4604" s="1" t="str">
        <f aca="false">IF(OR(F4604="",H4604="",J4604=""),"",J4604&amp;"|"&amp;F4604&amp;"|"&amp;IF(H4604="W3","W3_"&amp;IF(I4604="","unknown",I4604),H4604))</f>
        <v/>
      </c>
      <c r="Q4604" s="1" t="str">
        <f aca="false">IF(P4604="","",IFERROR(IF(AND(H4604="W7",OR(F4604="causal",F4604="predictive")),IF(AND(K4604=1,L4604=1,M4604=1),"adequate","partial"),INDEX(Fit_Matrix!$B:$B,MATCH(P4604,Fit_Matrix!$A:$A,0))),"CHECK KEY"))</f>
        <v/>
      </c>
    </row>
    <row r="4605" customFormat="false" ht="15" hidden="false" customHeight="true" outlineLevel="0" collapsed="false">
      <c r="P4605" s="1" t="str">
        <f aca="false">IF(OR(F4605="",H4605="",J4605=""),"",J4605&amp;"|"&amp;F4605&amp;"|"&amp;IF(H4605="W3","W3_"&amp;IF(I4605="","unknown",I4605),H4605))</f>
        <v/>
      </c>
      <c r="Q4605" s="1" t="str">
        <f aca="false">IF(P4605="","",IFERROR(IF(AND(H4605="W7",OR(F4605="causal",F4605="predictive")),IF(AND(K4605=1,L4605=1,M4605=1),"adequate","partial"),INDEX(Fit_Matrix!$B:$B,MATCH(P4605,Fit_Matrix!$A:$A,0))),"CHECK KEY"))</f>
        <v/>
      </c>
    </row>
    <row r="4606" customFormat="false" ht="15" hidden="false" customHeight="true" outlineLevel="0" collapsed="false">
      <c r="P4606" s="1" t="str">
        <f aca="false">IF(OR(F4606="",H4606="",J4606=""),"",J4606&amp;"|"&amp;F4606&amp;"|"&amp;IF(H4606="W3","W3_"&amp;IF(I4606="","unknown",I4606),H4606))</f>
        <v/>
      </c>
      <c r="Q4606" s="1" t="str">
        <f aca="false">IF(P4606="","",IFERROR(IF(AND(H4606="W7",OR(F4606="causal",F4606="predictive")),IF(AND(K4606=1,L4606=1,M4606=1),"adequate","partial"),INDEX(Fit_Matrix!$B:$B,MATCH(P4606,Fit_Matrix!$A:$A,0))),"CHECK KEY"))</f>
        <v/>
      </c>
    </row>
    <row r="4607" customFormat="false" ht="15" hidden="false" customHeight="true" outlineLevel="0" collapsed="false">
      <c r="P4607" s="1" t="str">
        <f aca="false">IF(OR(F4607="",H4607="",J4607=""),"",J4607&amp;"|"&amp;F4607&amp;"|"&amp;IF(H4607="W3","W3_"&amp;IF(I4607="","unknown",I4607),H4607))</f>
        <v/>
      </c>
      <c r="Q4607" s="1" t="str">
        <f aca="false">IF(P4607="","",IFERROR(IF(AND(H4607="W7",OR(F4607="causal",F4607="predictive")),IF(AND(K4607=1,L4607=1,M4607=1),"adequate","partial"),INDEX(Fit_Matrix!$B:$B,MATCH(P4607,Fit_Matrix!$A:$A,0))),"CHECK KEY"))</f>
        <v/>
      </c>
    </row>
    <row r="4608" customFormat="false" ht="15" hidden="false" customHeight="true" outlineLevel="0" collapsed="false">
      <c r="P4608" s="1" t="str">
        <f aca="false">IF(OR(F4608="",H4608="",J4608=""),"",J4608&amp;"|"&amp;F4608&amp;"|"&amp;IF(H4608="W3","W3_"&amp;IF(I4608="","unknown",I4608),H4608))</f>
        <v/>
      </c>
      <c r="Q4608" s="1" t="str">
        <f aca="false">IF(P4608="","",IFERROR(IF(AND(H4608="W7",OR(F4608="causal",F4608="predictive")),IF(AND(K4608=1,L4608=1,M4608=1),"adequate","partial"),INDEX(Fit_Matrix!$B:$B,MATCH(P4608,Fit_Matrix!$A:$A,0))),"CHECK KEY"))</f>
        <v/>
      </c>
    </row>
    <row r="4609" customFormat="false" ht="15" hidden="false" customHeight="true" outlineLevel="0" collapsed="false">
      <c r="P4609" s="1" t="str">
        <f aca="false">IF(OR(F4609="",H4609="",J4609=""),"",J4609&amp;"|"&amp;F4609&amp;"|"&amp;IF(H4609="W3","W3_"&amp;IF(I4609="","unknown",I4609),H4609))</f>
        <v/>
      </c>
      <c r="Q4609" s="1" t="str">
        <f aca="false">IF(P4609="","",IFERROR(IF(AND(H4609="W7",OR(F4609="causal",F4609="predictive")),IF(AND(K4609=1,L4609=1,M4609=1),"adequate","partial"),INDEX(Fit_Matrix!$B:$B,MATCH(P4609,Fit_Matrix!$A:$A,0))),"CHECK KEY"))</f>
        <v/>
      </c>
    </row>
    <row r="4610" customFormat="false" ht="15" hidden="false" customHeight="true" outlineLevel="0" collapsed="false">
      <c r="P4610" s="1" t="str">
        <f aca="false">IF(OR(F4610="",H4610="",J4610=""),"",J4610&amp;"|"&amp;F4610&amp;"|"&amp;IF(H4610="W3","W3_"&amp;IF(I4610="","unknown",I4610),H4610))</f>
        <v/>
      </c>
      <c r="Q4610" s="1" t="str">
        <f aca="false">IF(P4610="","",IFERROR(IF(AND(H4610="W7",OR(F4610="causal",F4610="predictive")),IF(AND(K4610=1,L4610=1,M4610=1),"adequate","partial"),INDEX(Fit_Matrix!$B:$B,MATCH(P4610,Fit_Matrix!$A:$A,0))),"CHECK KEY"))</f>
        <v/>
      </c>
    </row>
    <row r="4611" customFormat="false" ht="15" hidden="false" customHeight="true" outlineLevel="0" collapsed="false">
      <c r="P4611" s="1" t="str">
        <f aca="false">IF(OR(F4611="",H4611="",J4611=""),"",J4611&amp;"|"&amp;F4611&amp;"|"&amp;IF(H4611="W3","W3_"&amp;IF(I4611="","unknown",I4611),H4611))</f>
        <v/>
      </c>
      <c r="Q4611" s="1" t="str">
        <f aca="false">IF(P4611="","",IFERROR(IF(AND(H4611="W7",OR(F4611="causal",F4611="predictive")),IF(AND(K4611=1,L4611=1,M4611=1),"adequate","partial"),INDEX(Fit_Matrix!$B:$B,MATCH(P4611,Fit_Matrix!$A:$A,0))),"CHECK KEY"))</f>
        <v/>
      </c>
    </row>
    <row r="4612" customFormat="false" ht="15" hidden="false" customHeight="true" outlineLevel="0" collapsed="false">
      <c r="P4612" s="1" t="str">
        <f aca="false">IF(OR(F4612="",H4612="",J4612=""),"",J4612&amp;"|"&amp;F4612&amp;"|"&amp;IF(H4612="W3","W3_"&amp;IF(I4612="","unknown",I4612),H4612))</f>
        <v/>
      </c>
      <c r="Q4612" s="1" t="str">
        <f aca="false">IF(P4612="","",IFERROR(IF(AND(H4612="W7",OR(F4612="causal",F4612="predictive")),IF(AND(K4612=1,L4612=1,M4612=1),"adequate","partial"),INDEX(Fit_Matrix!$B:$B,MATCH(P4612,Fit_Matrix!$A:$A,0))),"CHECK KEY"))</f>
        <v/>
      </c>
    </row>
    <row r="4613" customFormat="false" ht="15" hidden="false" customHeight="true" outlineLevel="0" collapsed="false">
      <c r="P4613" s="1" t="str">
        <f aca="false">IF(OR(F4613="",H4613="",J4613=""),"",J4613&amp;"|"&amp;F4613&amp;"|"&amp;IF(H4613="W3","W3_"&amp;IF(I4613="","unknown",I4613),H4613))</f>
        <v/>
      </c>
      <c r="Q4613" s="1" t="str">
        <f aca="false">IF(P4613="","",IFERROR(IF(AND(H4613="W7",OR(F4613="causal",F4613="predictive")),IF(AND(K4613=1,L4613=1,M4613=1),"adequate","partial"),INDEX(Fit_Matrix!$B:$B,MATCH(P4613,Fit_Matrix!$A:$A,0))),"CHECK KEY"))</f>
        <v/>
      </c>
    </row>
    <row r="4614" customFormat="false" ht="15" hidden="false" customHeight="true" outlineLevel="0" collapsed="false">
      <c r="P4614" s="1" t="str">
        <f aca="false">IF(OR(F4614="",H4614="",J4614=""),"",J4614&amp;"|"&amp;F4614&amp;"|"&amp;IF(H4614="W3","W3_"&amp;IF(I4614="","unknown",I4614),H4614))</f>
        <v/>
      </c>
      <c r="Q4614" s="1" t="str">
        <f aca="false">IF(P4614="","",IFERROR(IF(AND(H4614="W7",OR(F4614="causal",F4614="predictive")),IF(AND(K4614=1,L4614=1,M4614=1),"adequate","partial"),INDEX(Fit_Matrix!$B:$B,MATCH(P4614,Fit_Matrix!$A:$A,0))),"CHECK KEY"))</f>
        <v/>
      </c>
    </row>
    <row r="4615" customFormat="false" ht="15" hidden="false" customHeight="true" outlineLevel="0" collapsed="false">
      <c r="P4615" s="1" t="str">
        <f aca="false">IF(OR(F4615="",H4615="",J4615=""),"",J4615&amp;"|"&amp;F4615&amp;"|"&amp;IF(H4615="W3","W3_"&amp;IF(I4615="","unknown",I4615),H4615))</f>
        <v/>
      </c>
      <c r="Q4615" s="1" t="str">
        <f aca="false">IF(P4615="","",IFERROR(IF(AND(H4615="W7",OR(F4615="causal",F4615="predictive")),IF(AND(K4615=1,L4615=1,M4615=1),"adequate","partial"),INDEX(Fit_Matrix!$B:$B,MATCH(P4615,Fit_Matrix!$A:$A,0))),"CHECK KEY"))</f>
        <v/>
      </c>
    </row>
    <row r="4616" customFormat="false" ht="15" hidden="false" customHeight="true" outlineLevel="0" collapsed="false">
      <c r="P4616" s="1" t="str">
        <f aca="false">IF(OR(F4616="",H4616="",J4616=""),"",J4616&amp;"|"&amp;F4616&amp;"|"&amp;IF(H4616="W3","W3_"&amp;IF(I4616="","unknown",I4616),H4616))</f>
        <v/>
      </c>
      <c r="Q4616" s="1" t="str">
        <f aca="false">IF(P4616="","",IFERROR(IF(AND(H4616="W7",OR(F4616="causal",F4616="predictive")),IF(AND(K4616=1,L4616=1,M4616=1),"adequate","partial"),INDEX(Fit_Matrix!$B:$B,MATCH(P4616,Fit_Matrix!$A:$A,0))),"CHECK KEY"))</f>
        <v/>
      </c>
    </row>
    <row r="4617" customFormat="false" ht="15" hidden="false" customHeight="true" outlineLevel="0" collapsed="false">
      <c r="P4617" s="1" t="str">
        <f aca="false">IF(OR(F4617="",H4617="",J4617=""),"",J4617&amp;"|"&amp;F4617&amp;"|"&amp;IF(H4617="W3","W3_"&amp;IF(I4617="","unknown",I4617),H4617))</f>
        <v/>
      </c>
      <c r="Q4617" s="1" t="str">
        <f aca="false">IF(P4617="","",IFERROR(IF(AND(H4617="W7",OR(F4617="causal",F4617="predictive")),IF(AND(K4617=1,L4617=1,M4617=1),"adequate","partial"),INDEX(Fit_Matrix!$B:$B,MATCH(P4617,Fit_Matrix!$A:$A,0))),"CHECK KEY"))</f>
        <v/>
      </c>
    </row>
    <row r="4618" customFormat="false" ht="15" hidden="false" customHeight="true" outlineLevel="0" collapsed="false">
      <c r="P4618" s="1" t="str">
        <f aca="false">IF(OR(F4618="",H4618="",J4618=""),"",J4618&amp;"|"&amp;F4618&amp;"|"&amp;IF(H4618="W3","W3_"&amp;IF(I4618="","unknown",I4618),H4618))</f>
        <v/>
      </c>
      <c r="Q4618" s="1" t="str">
        <f aca="false">IF(P4618="","",IFERROR(IF(AND(H4618="W7",OR(F4618="causal",F4618="predictive")),IF(AND(K4618=1,L4618=1,M4618=1),"adequate","partial"),INDEX(Fit_Matrix!$B:$B,MATCH(P4618,Fit_Matrix!$A:$A,0))),"CHECK KEY"))</f>
        <v/>
      </c>
    </row>
    <row r="4619" customFormat="false" ht="15" hidden="false" customHeight="true" outlineLevel="0" collapsed="false">
      <c r="P4619" s="1" t="str">
        <f aca="false">IF(OR(F4619="",H4619="",J4619=""),"",J4619&amp;"|"&amp;F4619&amp;"|"&amp;IF(H4619="W3","W3_"&amp;IF(I4619="","unknown",I4619),H4619))</f>
        <v/>
      </c>
      <c r="Q4619" s="1" t="str">
        <f aca="false">IF(P4619="","",IFERROR(IF(AND(H4619="W7",OR(F4619="causal",F4619="predictive")),IF(AND(K4619=1,L4619=1,M4619=1),"adequate","partial"),INDEX(Fit_Matrix!$B:$B,MATCH(P4619,Fit_Matrix!$A:$A,0))),"CHECK KEY"))</f>
        <v/>
      </c>
    </row>
    <row r="4620" customFormat="false" ht="15" hidden="false" customHeight="true" outlineLevel="0" collapsed="false">
      <c r="P4620" s="1" t="str">
        <f aca="false">IF(OR(F4620="",H4620="",J4620=""),"",J4620&amp;"|"&amp;F4620&amp;"|"&amp;IF(H4620="W3","W3_"&amp;IF(I4620="","unknown",I4620),H4620))</f>
        <v/>
      </c>
      <c r="Q4620" s="1" t="str">
        <f aca="false">IF(P4620="","",IFERROR(IF(AND(H4620="W7",OR(F4620="causal",F4620="predictive")),IF(AND(K4620=1,L4620=1,M4620=1),"adequate","partial"),INDEX(Fit_Matrix!$B:$B,MATCH(P4620,Fit_Matrix!$A:$A,0))),"CHECK KEY"))</f>
        <v/>
      </c>
    </row>
    <row r="4621" customFormat="false" ht="15" hidden="false" customHeight="true" outlineLevel="0" collapsed="false">
      <c r="P4621" s="1" t="str">
        <f aca="false">IF(OR(F4621="",H4621="",J4621=""),"",J4621&amp;"|"&amp;F4621&amp;"|"&amp;IF(H4621="W3","W3_"&amp;IF(I4621="","unknown",I4621),H4621))</f>
        <v/>
      </c>
      <c r="Q4621" s="1" t="str">
        <f aca="false">IF(P4621="","",IFERROR(IF(AND(H4621="W7",OR(F4621="causal",F4621="predictive")),IF(AND(K4621=1,L4621=1,M4621=1),"adequate","partial"),INDEX(Fit_Matrix!$B:$B,MATCH(P4621,Fit_Matrix!$A:$A,0))),"CHECK KEY"))</f>
        <v/>
      </c>
    </row>
    <row r="4622" customFormat="false" ht="15" hidden="false" customHeight="true" outlineLevel="0" collapsed="false">
      <c r="P4622" s="1" t="str">
        <f aca="false">IF(OR(F4622="",H4622="",J4622=""),"",J4622&amp;"|"&amp;F4622&amp;"|"&amp;IF(H4622="W3","W3_"&amp;IF(I4622="","unknown",I4622),H4622))</f>
        <v/>
      </c>
      <c r="Q4622" s="1" t="str">
        <f aca="false">IF(P4622="","",IFERROR(IF(AND(H4622="W7",OR(F4622="causal",F4622="predictive")),IF(AND(K4622=1,L4622=1,M4622=1),"adequate","partial"),INDEX(Fit_Matrix!$B:$B,MATCH(P4622,Fit_Matrix!$A:$A,0))),"CHECK KEY"))</f>
        <v/>
      </c>
    </row>
    <row r="4623" customFormat="false" ht="15" hidden="false" customHeight="true" outlineLevel="0" collapsed="false">
      <c r="P4623" s="1" t="str">
        <f aca="false">IF(OR(F4623="",H4623="",J4623=""),"",J4623&amp;"|"&amp;F4623&amp;"|"&amp;IF(H4623="W3","W3_"&amp;IF(I4623="","unknown",I4623),H4623))</f>
        <v/>
      </c>
      <c r="Q4623" s="1" t="str">
        <f aca="false">IF(P4623="","",IFERROR(IF(AND(H4623="W7",OR(F4623="causal",F4623="predictive")),IF(AND(K4623=1,L4623=1,M4623=1),"adequate","partial"),INDEX(Fit_Matrix!$B:$B,MATCH(P4623,Fit_Matrix!$A:$A,0))),"CHECK KEY"))</f>
        <v/>
      </c>
    </row>
    <row r="4624" customFormat="false" ht="15" hidden="false" customHeight="true" outlineLevel="0" collapsed="false">
      <c r="P4624" s="1" t="str">
        <f aca="false">IF(OR(F4624="",H4624="",J4624=""),"",J4624&amp;"|"&amp;F4624&amp;"|"&amp;IF(H4624="W3","W3_"&amp;IF(I4624="","unknown",I4624),H4624))</f>
        <v/>
      </c>
      <c r="Q4624" s="1" t="str">
        <f aca="false">IF(P4624="","",IFERROR(IF(AND(H4624="W7",OR(F4624="causal",F4624="predictive")),IF(AND(K4624=1,L4624=1,M4624=1),"adequate","partial"),INDEX(Fit_Matrix!$B:$B,MATCH(P4624,Fit_Matrix!$A:$A,0))),"CHECK KEY"))</f>
        <v/>
      </c>
    </row>
    <row r="4625" customFormat="false" ht="15" hidden="false" customHeight="true" outlineLevel="0" collapsed="false">
      <c r="P4625" s="1" t="str">
        <f aca="false">IF(OR(F4625="",H4625="",J4625=""),"",J4625&amp;"|"&amp;F4625&amp;"|"&amp;IF(H4625="W3","W3_"&amp;IF(I4625="","unknown",I4625),H4625))</f>
        <v/>
      </c>
      <c r="Q4625" s="1" t="str">
        <f aca="false">IF(P4625="","",IFERROR(IF(AND(H4625="W7",OR(F4625="causal",F4625="predictive")),IF(AND(K4625=1,L4625=1,M4625=1),"adequate","partial"),INDEX(Fit_Matrix!$B:$B,MATCH(P4625,Fit_Matrix!$A:$A,0))),"CHECK KEY"))</f>
        <v/>
      </c>
    </row>
    <row r="4626" customFormat="false" ht="15" hidden="false" customHeight="true" outlineLevel="0" collapsed="false">
      <c r="P4626" s="1" t="str">
        <f aca="false">IF(OR(F4626="",H4626="",J4626=""),"",J4626&amp;"|"&amp;F4626&amp;"|"&amp;IF(H4626="W3","W3_"&amp;IF(I4626="","unknown",I4626),H4626))</f>
        <v/>
      </c>
      <c r="Q4626" s="1" t="str">
        <f aca="false">IF(P4626="","",IFERROR(IF(AND(H4626="W7",OR(F4626="causal",F4626="predictive")),IF(AND(K4626=1,L4626=1,M4626=1),"adequate","partial"),INDEX(Fit_Matrix!$B:$B,MATCH(P4626,Fit_Matrix!$A:$A,0))),"CHECK KEY"))</f>
        <v/>
      </c>
    </row>
    <row r="4627" customFormat="false" ht="15" hidden="false" customHeight="true" outlineLevel="0" collapsed="false">
      <c r="P4627" s="1" t="str">
        <f aca="false">IF(OR(F4627="",H4627="",J4627=""),"",J4627&amp;"|"&amp;F4627&amp;"|"&amp;IF(H4627="W3","W3_"&amp;IF(I4627="","unknown",I4627),H4627))</f>
        <v/>
      </c>
      <c r="Q4627" s="1" t="str">
        <f aca="false">IF(P4627="","",IFERROR(IF(AND(H4627="W7",OR(F4627="causal",F4627="predictive")),IF(AND(K4627=1,L4627=1,M4627=1),"adequate","partial"),INDEX(Fit_Matrix!$B:$B,MATCH(P4627,Fit_Matrix!$A:$A,0))),"CHECK KEY"))</f>
        <v/>
      </c>
    </row>
    <row r="4628" customFormat="false" ht="15" hidden="false" customHeight="true" outlineLevel="0" collapsed="false">
      <c r="P4628" s="1" t="str">
        <f aca="false">IF(OR(F4628="",H4628="",J4628=""),"",J4628&amp;"|"&amp;F4628&amp;"|"&amp;IF(H4628="W3","W3_"&amp;IF(I4628="","unknown",I4628),H4628))</f>
        <v/>
      </c>
      <c r="Q4628" s="1" t="str">
        <f aca="false">IF(P4628="","",IFERROR(IF(AND(H4628="W7",OR(F4628="causal",F4628="predictive")),IF(AND(K4628=1,L4628=1,M4628=1),"adequate","partial"),INDEX(Fit_Matrix!$B:$B,MATCH(P4628,Fit_Matrix!$A:$A,0))),"CHECK KEY"))</f>
        <v/>
      </c>
    </row>
    <row r="4629" customFormat="false" ht="15" hidden="false" customHeight="true" outlineLevel="0" collapsed="false">
      <c r="P4629" s="1" t="str">
        <f aca="false">IF(OR(F4629="",H4629="",J4629=""),"",J4629&amp;"|"&amp;F4629&amp;"|"&amp;IF(H4629="W3","W3_"&amp;IF(I4629="","unknown",I4629),H4629))</f>
        <v/>
      </c>
      <c r="Q4629" s="1" t="str">
        <f aca="false">IF(P4629="","",IFERROR(IF(AND(H4629="W7",OR(F4629="causal",F4629="predictive")),IF(AND(K4629=1,L4629=1,M4629=1),"adequate","partial"),INDEX(Fit_Matrix!$B:$B,MATCH(P4629,Fit_Matrix!$A:$A,0))),"CHECK KEY"))</f>
        <v/>
      </c>
    </row>
    <row r="4630" customFormat="false" ht="15" hidden="false" customHeight="true" outlineLevel="0" collapsed="false">
      <c r="P4630" s="1" t="str">
        <f aca="false">IF(OR(F4630="",H4630="",J4630=""),"",J4630&amp;"|"&amp;F4630&amp;"|"&amp;IF(H4630="W3","W3_"&amp;IF(I4630="","unknown",I4630),H4630))</f>
        <v/>
      </c>
      <c r="Q4630" s="1" t="str">
        <f aca="false">IF(P4630="","",IFERROR(IF(AND(H4630="W7",OR(F4630="causal",F4630="predictive")),IF(AND(K4630=1,L4630=1,M4630=1),"adequate","partial"),INDEX(Fit_Matrix!$B:$B,MATCH(P4630,Fit_Matrix!$A:$A,0))),"CHECK KEY"))</f>
        <v/>
      </c>
    </row>
    <row r="4631" customFormat="false" ht="15" hidden="false" customHeight="true" outlineLevel="0" collapsed="false">
      <c r="P4631" s="1" t="str">
        <f aca="false">IF(OR(F4631="",H4631="",J4631=""),"",J4631&amp;"|"&amp;F4631&amp;"|"&amp;IF(H4631="W3","W3_"&amp;IF(I4631="","unknown",I4631),H4631))</f>
        <v/>
      </c>
      <c r="Q4631" s="1" t="str">
        <f aca="false">IF(P4631="","",IFERROR(IF(AND(H4631="W7",OR(F4631="causal",F4631="predictive")),IF(AND(K4631=1,L4631=1,M4631=1),"adequate","partial"),INDEX(Fit_Matrix!$B:$B,MATCH(P4631,Fit_Matrix!$A:$A,0))),"CHECK KEY"))</f>
        <v/>
      </c>
    </row>
    <row r="4632" customFormat="false" ht="15" hidden="false" customHeight="true" outlineLevel="0" collapsed="false">
      <c r="P4632" s="1" t="str">
        <f aca="false">IF(OR(F4632="",H4632="",J4632=""),"",J4632&amp;"|"&amp;F4632&amp;"|"&amp;IF(H4632="W3","W3_"&amp;IF(I4632="","unknown",I4632),H4632))</f>
        <v/>
      </c>
      <c r="Q4632" s="1" t="str">
        <f aca="false">IF(P4632="","",IFERROR(IF(AND(H4632="W7",OR(F4632="causal",F4632="predictive")),IF(AND(K4632=1,L4632=1,M4632=1),"adequate","partial"),INDEX(Fit_Matrix!$B:$B,MATCH(P4632,Fit_Matrix!$A:$A,0))),"CHECK KEY"))</f>
        <v/>
      </c>
    </row>
    <row r="4633" customFormat="false" ht="15" hidden="false" customHeight="true" outlineLevel="0" collapsed="false">
      <c r="P4633" s="1" t="str">
        <f aca="false">IF(OR(F4633="",H4633="",J4633=""),"",J4633&amp;"|"&amp;F4633&amp;"|"&amp;IF(H4633="W3","W3_"&amp;IF(I4633="","unknown",I4633),H4633))</f>
        <v/>
      </c>
      <c r="Q4633" s="1" t="str">
        <f aca="false">IF(P4633="","",IFERROR(IF(AND(H4633="W7",OR(F4633="causal",F4633="predictive")),IF(AND(K4633=1,L4633=1,M4633=1),"adequate","partial"),INDEX(Fit_Matrix!$B:$B,MATCH(P4633,Fit_Matrix!$A:$A,0))),"CHECK KEY"))</f>
        <v/>
      </c>
    </row>
    <row r="4634" customFormat="false" ht="15" hidden="false" customHeight="true" outlineLevel="0" collapsed="false">
      <c r="P4634" s="1" t="str">
        <f aca="false">IF(OR(F4634="",H4634="",J4634=""),"",J4634&amp;"|"&amp;F4634&amp;"|"&amp;IF(H4634="W3","W3_"&amp;IF(I4634="","unknown",I4634),H4634))</f>
        <v/>
      </c>
      <c r="Q4634" s="1" t="str">
        <f aca="false">IF(P4634="","",IFERROR(IF(AND(H4634="W7",OR(F4634="causal",F4634="predictive")),IF(AND(K4634=1,L4634=1,M4634=1),"adequate","partial"),INDEX(Fit_Matrix!$B:$B,MATCH(P4634,Fit_Matrix!$A:$A,0))),"CHECK KEY"))</f>
        <v/>
      </c>
    </row>
    <row r="4635" customFormat="false" ht="15" hidden="false" customHeight="true" outlineLevel="0" collapsed="false">
      <c r="P4635" s="1" t="str">
        <f aca="false">IF(OR(F4635="",H4635="",J4635=""),"",J4635&amp;"|"&amp;F4635&amp;"|"&amp;IF(H4635="W3","W3_"&amp;IF(I4635="","unknown",I4635),H4635))</f>
        <v/>
      </c>
      <c r="Q4635" s="1" t="str">
        <f aca="false">IF(P4635="","",IFERROR(IF(AND(H4635="W7",OR(F4635="causal",F4635="predictive")),IF(AND(K4635=1,L4635=1,M4635=1),"adequate","partial"),INDEX(Fit_Matrix!$B:$B,MATCH(P4635,Fit_Matrix!$A:$A,0))),"CHECK KEY"))</f>
        <v/>
      </c>
    </row>
    <row r="4636" customFormat="false" ht="15" hidden="false" customHeight="true" outlineLevel="0" collapsed="false">
      <c r="P4636" s="1" t="str">
        <f aca="false">IF(OR(F4636="",H4636="",J4636=""),"",J4636&amp;"|"&amp;F4636&amp;"|"&amp;IF(H4636="W3","W3_"&amp;IF(I4636="","unknown",I4636),H4636))</f>
        <v/>
      </c>
      <c r="Q4636" s="1" t="str">
        <f aca="false">IF(P4636="","",IFERROR(IF(AND(H4636="W7",OR(F4636="causal",F4636="predictive")),IF(AND(K4636=1,L4636=1,M4636=1),"adequate","partial"),INDEX(Fit_Matrix!$B:$B,MATCH(P4636,Fit_Matrix!$A:$A,0))),"CHECK KEY"))</f>
        <v/>
      </c>
    </row>
    <row r="4637" customFormat="false" ht="15" hidden="false" customHeight="true" outlineLevel="0" collapsed="false">
      <c r="P4637" s="1" t="str">
        <f aca="false">IF(OR(F4637="",H4637="",J4637=""),"",J4637&amp;"|"&amp;F4637&amp;"|"&amp;IF(H4637="W3","W3_"&amp;IF(I4637="","unknown",I4637),H4637))</f>
        <v/>
      </c>
      <c r="Q4637" s="1" t="str">
        <f aca="false">IF(P4637="","",IFERROR(IF(AND(H4637="W7",OR(F4637="causal",F4637="predictive")),IF(AND(K4637=1,L4637=1,M4637=1),"adequate","partial"),INDEX(Fit_Matrix!$B:$B,MATCH(P4637,Fit_Matrix!$A:$A,0))),"CHECK KEY"))</f>
        <v/>
      </c>
    </row>
    <row r="4638" customFormat="false" ht="15" hidden="false" customHeight="true" outlineLevel="0" collapsed="false">
      <c r="P4638" s="1" t="str">
        <f aca="false">IF(OR(F4638="",H4638="",J4638=""),"",J4638&amp;"|"&amp;F4638&amp;"|"&amp;IF(H4638="W3","W3_"&amp;IF(I4638="","unknown",I4638),H4638))</f>
        <v/>
      </c>
      <c r="Q4638" s="1" t="str">
        <f aca="false">IF(P4638="","",IFERROR(IF(AND(H4638="W7",OR(F4638="causal",F4638="predictive")),IF(AND(K4638=1,L4638=1,M4638=1),"adequate","partial"),INDEX(Fit_Matrix!$B:$B,MATCH(P4638,Fit_Matrix!$A:$A,0))),"CHECK KEY"))</f>
        <v/>
      </c>
    </row>
    <row r="4639" customFormat="false" ht="15" hidden="false" customHeight="true" outlineLevel="0" collapsed="false">
      <c r="P4639" s="1" t="str">
        <f aca="false">IF(OR(F4639="",H4639="",J4639=""),"",J4639&amp;"|"&amp;F4639&amp;"|"&amp;IF(H4639="W3","W3_"&amp;IF(I4639="","unknown",I4639),H4639))</f>
        <v/>
      </c>
      <c r="Q4639" s="1" t="str">
        <f aca="false">IF(P4639="","",IFERROR(IF(AND(H4639="W7",OR(F4639="causal",F4639="predictive")),IF(AND(K4639=1,L4639=1,M4639=1),"adequate","partial"),INDEX(Fit_Matrix!$B:$B,MATCH(P4639,Fit_Matrix!$A:$A,0))),"CHECK KEY"))</f>
        <v/>
      </c>
    </row>
    <row r="4640" customFormat="false" ht="15" hidden="false" customHeight="true" outlineLevel="0" collapsed="false">
      <c r="P4640" s="1" t="str">
        <f aca="false">IF(OR(F4640="",H4640="",J4640=""),"",J4640&amp;"|"&amp;F4640&amp;"|"&amp;IF(H4640="W3","W3_"&amp;IF(I4640="","unknown",I4640),H4640))</f>
        <v/>
      </c>
      <c r="Q4640" s="1" t="str">
        <f aca="false">IF(P4640="","",IFERROR(IF(AND(H4640="W7",OR(F4640="causal",F4640="predictive")),IF(AND(K4640=1,L4640=1,M4640=1),"adequate","partial"),INDEX(Fit_Matrix!$B:$B,MATCH(P4640,Fit_Matrix!$A:$A,0))),"CHECK KEY"))</f>
        <v/>
      </c>
    </row>
    <row r="4641" customFormat="false" ht="15" hidden="false" customHeight="true" outlineLevel="0" collapsed="false">
      <c r="P4641" s="1" t="str">
        <f aca="false">IF(OR(F4641="",H4641="",J4641=""),"",J4641&amp;"|"&amp;F4641&amp;"|"&amp;IF(H4641="W3","W3_"&amp;IF(I4641="","unknown",I4641),H4641))</f>
        <v/>
      </c>
      <c r="Q4641" s="1" t="str">
        <f aca="false">IF(P4641="","",IFERROR(IF(AND(H4641="W7",OR(F4641="causal",F4641="predictive")),IF(AND(K4641=1,L4641=1,M4641=1),"adequate","partial"),INDEX(Fit_Matrix!$B:$B,MATCH(P4641,Fit_Matrix!$A:$A,0))),"CHECK KEY"))</f>
        <v/>
      </c>
    </row>
    <row r="4642" customFormat="false" ht="15" hidden="false" customHeight="true" outlineLevel="0" collapsed="false">
      <c r="P4642" s="1" t="str">
        <f aca="false">IF(OR(F4642="",H4642="",J4642=""),"",J4642&amp;"|"&amp;F4642&amp;"|"&amp;IF(H4642="W3","W3_"&amp;IF(I4642="","unknown",I4642),H4642))</f>
        <v/>
      </c>
      <c r="Q4642" s="1" t="str">
        <f aca="false">IF(P4642="","",IFERROR(IF(AND(H4642="W7",OR(F4642="causal",F4642="predictive")),IF(AND(K4642=1,L4642=1,M4642=1),"adequate","partial"),INDEX(Fit_Matrix!$B:$B,MATCH(P4642,Fit_Matrix!$A:$A,0))),"CHECK KEY"))</f>
        <v/>
      </c>
    </row>
    <row r="4643" customFormat="false" ht="15" hidden="false" customHeight="true" outlineLevel="0" collapsed="false">
      <c r="P4643" s="1" t="str">
        <f aca="false">IF(OR(F4643="",H4643="",J4643=""),"",J4643&amp;"|"&amp;F4643&amp;"|"&amp;IF(H4643="W3","W3_"&amp;IF(I4643="","unknown",I4643),H4643))</f>
        <v/>
      </c>
      <c r="Q4643" s="1" t="str">
        <f aca="false">IF(P4643="","",IFERROR(IF(AND(H4643="W7",OR(F4643="causal",F4643="predictive")),IF(AND(K4643=1,L4643=1,M4643=1),"adequate","partial"),INDEX(Fit_Matrix!$B:$B,MATCH(P4643,Fit_Matrix!$A:$A,0))),"CHECK KEY"))</f>
        <v/>
      </c>
    </row>
    <row r="4644" customFormat="false" ht="15" hidden="false" customHeight="true" outlineLevel="0" collapsed="false">
      <c r="P4644" s="1" t="str">
        <f aca="false">IF(OR(F4644="",H4644="",J4644=""),"",J4644&amp;"|"&amp;F4644&amp;"|"&amp;IF(H4644="W3","W3_"&amp;IF(I4644="","unknown",I4644),H4644))</f>
        <v/>
      </c>
      <c r="Q4644" s="1" t="str">
        <f aca="false">IF(P4644="","",IFERROR(IF(AND(H4644="W7",OR(F4644="causal",F4644="predictive")),IF(AND(K4644=1,L4644=1,M4644=1),"adequate","partial"),INDEX(Fit_Matrix!$B:$B,MATCH(P4644,Fit_Matrix!$A:$A,0))),"CHECK KEY"))</f>
        <v/>
      </c>
    </row>
    <row r="4645" customFormat="false" ht="15" hidden="false" customHeight="true" outlineLevel="0" collapsed="false">
      <c r="P4645" s="1" t="str">
        <f aca="false">IF(OR(F4645="",H4645="",J4645=""),"",J4645&amp;"|"&amp;F4645&amp;"|"&amp;IF(H4645="W3","W3_"&amp;IF(I4645="","unknown",I4645),H4645))</f>
        <v/>
      </c>
      <c r="Q4645" s="1" t="str">
        <f aca="false">IF(P4645="","",IFERROR(IF(AND(H4645="W7",OR(F4645="causal",F4645="predictive")),IF(AND(K4645=1,L4645=1,M4645=1),"adequate","partial"),INDEX(Fit_Matrix!$B:$B,MATCH(P4645,Fit_Matrix!$A:$A,0))),"CHECK KEY"))</f>
        <v/>
      </c>
    </row>
    <row r="4646" customFormat="false" ht="15" hidden="false" customHeight="true" outlineLevel="0" collapsed="false">
      <c r="P4646" s="1" t="str">
        <f aca="false">IF(OR(F4646="",H4646="",J4646=""),"",J4646&amp;"|"&amp;F4646&amp;"|"&amp;IF(H4646="W3","W3_"&amp;IF(I4646="","unknown",I4646),H4646))</f>
        <v/>
      </c>
      <c r="Q4646" s="1" t="str">
        <f aca="false">IF(P4646="","",IFERROR(IF(AND(H4646="W7",OR(F4646="causal",F4646="predictive")),IF(AND(K4646=1,L4646=1,M4646=1),"adequate","partial"),INDEX(Fit_Matrix!$B:$B,MATCH(P4646,Fit_Matrix!$A:$A,0))),"CHECK KEY"))</f>
        <v/>
      </c>
    </row>
    <row r="4647" customFormat="false" ht="15" hidden="false" customHeight="true" outlineLevel="0" collapsed="false">
      <c r="P4647" s="1" t="str">
        <f aca="false">IF(OR(F4647="",H4647="",J4647=""),"",J4647&amp;"|"&amp;F4647&amp;"|"&amp;IF(H4647="W3","W3_"&amp;IF(I4647="","unknown",I4647),H4647))</f>
        <v/>
      </c>
      <c r="Q4647" s="1" t="str">
        <f aca="false">IF(P4647="","",IFERROR(IF(AND(H4647="W7",OR(F4647="causal",F4647="predictive")),IF(AND(K4647=1,L4647=1,M4647=1),"adequate","partial"),INDEX(Fit_Matrix!$B:$B,MATCH(P4647,Fit_Matrix!$A:$A,0))),"CHECK KEY"))</f>
        <v/>
      </c>
    </row>
    <row r="4648" customFormat="false" ht="15" hidden="false" customHeight="true" outlineLevel="0" collapsed="false">
      <c r="P4648" s="1" t="str">
        <f aca="false">IF(OR(F4648="",H4648="",J4648=""),"",J4648&amp;"|"&amp;F4648&amp;"|"&amp;IF(H4648="W3","W3_"&amp;IF(I4648="","unknown",I4648),H4648))</f>
        <v/>
      </c>
      <c r="Q4648" s="1" t="str">
        <f aca="false">IF(P4648="","",IFERROR(IF(AND(H4648="W7",OR(F4648="causal",F4648="predictive")),IF(AND(K4648=1,L4648=1,M4648=1),"adequate","partial"),INDEX(Fit_Matrix!$B:$B,MATCH(P4648,Fit_Matrix!$A:$A,0))),"CHECK KEY"))</f>
        <v/>
      </c>
    </row>
    <row r="4649" customFormat="false" ht="15" hidden="false" customHeight="true" outlineLevel="0" collapsed="false">
      <c r="P4649" s="1" t="str">
        <f aca="false">IF(OR(F4649="",H4649="",J4649=""),"",J4649&amp;"|"&amp;F4649&amp;"|"&amp;IF(H4649="W3","W3_"&amp;IF(I4649="","unknown",I4649),H4649))</f>
        <v/>
      </c>
      <c r="Q4649" s="1" t="str">
        <f aca="false">IF(P4649="","",IFERROR(IF(AND(H4649="W7",OR(F4649="causal",F4649="predictive")),IF(AND(K4649=1,L4649=1,M4649=1),"adequate","partial"),INDEX(Fit_Matrix!$B:$B,MATCH(P4649,Fit_Matrix!$A:$A,0))),"CHECK KEY"))</f>
        <v/>
      </c>
    </row>
    <row r="4650" customFormat="false" ht="15" hidden="false" customHeight="true" outlineLevel="0" collapsed="false">
      <c r="P4650" s="1" t="str">
        <f aca="false">IF(OR(F4650="",H4650="",J4650=""),"",J4650&amp;"|"&amp;F4650&amp;"|"&amp;IF(H4650="W3","W3_"&amp;IF(I4650="","unknown",I4650),H4650))</f>
        <v/>
      </c>
      <c r="Q4650" s="1" t="str">
        <f aca="false">IF(P4650="","",IFERROR(IF(AND(H4650="W7",OR(F4650="causal",F4650="predictive")),IF(AND(K4650=1,L4650=1,M4650=1),"adequate","partial"),INDEX(Fit_Matrix!$B:$B,MATCH(P4650,Fit_Matrix!$A:$A,0))),"CHECK KEY"))</f>
        <v/>
      </c>
    </row>
    <row r="4651" customFormat="false" ht="15" hidden="false" customHeight="true" outlineLevel="0" collapsed="false">
      <c r="P4651" s="1" t="str">
        <f aca="false">IF(OR(F4651="",H4651="",J4651=""),"",J4651&amp;"|"&amp;F4651&amp;"|"&amp;IF(H4651="W3","W3_"&amp;IF(I4651="","unknown",I4651),H4651))</f>
        <v/>
      </c>
      <c r="Q4651" s="1" t="str">
        <f aca="false">IF(P4651="","",IFERROR(IF(AND(H4651="W7",OR(F4651="causal",F4651="predictive")),IF(AND(K4651=1,L4651=1,M4651=1),"adequate","partial"),INDEX(Fit_Matrix!$B:$B,MATCH(P4651,Fit_Matrix!$A:$A,0))),"CHECK KEY"))</f>
        <v/>
      </c>
    </row>
    <row r="4652" customFormat="false" ht="15" hidden="false" customHeight="true" outlineLevel="0" collapsed="false">
      <c r="P4652" s="1" t="str">
        <f aca="false">IF(OR(F4652="",H4652="",J4652=""),"",J4652&amp;"|"&amp;F4652&amp;"|"&amp;IF(H4652="W3","W3_"&amp;IF(I4652="","unknown",I4652),H4652))</f>
        <v/>
      </c>
      <c r="Q4652" s="1" t="str">
        <f aca="false">IF(P4652="","",IFERROR(IF(AND(H4652="W7",OR(F4652="causal",F4652="predictive")),IF(AND(K4652=1,L4652=1,M4652=1),"adequate","partial"),INDEX(Fit_Matrix!$B:$B,MATCH(P4652,Fit_Matrix!$A:$A,0))),"CHECK KEY"))</f>
        <v/>
      </c>
    </row>
    <row r="4653" customFormat="false" ht="15" hidden="false" customHeight="true" outlineLevel="0" collapsed="false">
      <c r="P4653" s="1" t="str">
        <f aca="false">IF(OR(F4653="",H4653="",J4653=""),"",J4653&amp;"|"&amp;F4653&amp;"|"&amp;IF(H4653="W3","W3_"&amp;IF(I4653="","unknown",I4653),H4653))</f>
        <v/>
      </c>
      <c r="Q4653" s="1" t="str">
        <f aca="false">IF(P4653="","",IFERROR(IF(AND(H4653="W7",OR(F4653="causal",F4653="predictive")),IF(AND(K4653=1,L4653=1,M4653=1),"adequate","partial"),INDEX(Fit_Matrix!$B:$B,MATCH(P4653,Fit_Matrix!$A:$A,0))),"CHECK KEY"))</f>
        <v/>
      </c>
    </row>
    <row r="4654" customFormat="false" ht="15" hidden="false" customHeight="true" outlineLevel="0" collapsed="false">
      <c r="P4654" s="1" t="str">
        <f aca="false">IF(OR(F4654="",H4654="",J4654=""),"",J4654&amp;"|"&amp;F4654&amp;"|"&amp;IF(H4654="W3","W3_"&amp;IF(I4654="","unknown",I4654),H4654))</f>
        <v/>
      </c>
      <c r="Q4654" s="1" t="str">
        <f aca="false">IF(P4654="","",IFERROR(IF(AND(H4654="W7",OR(F4654="causal",F4654="predictive")),IF(AND(K4654=1,L4654=1,M4654=1),"adequate","partial"),INDEX(Fit_Matrix!$B:$B,MATCH(P4654,Fit_Matrix!$A:$A,0))),"CHECK KEY"))</f>
        <v/>
      </c>
    </row>
    <row r="4655" customFormat="false" ht="15" hidden="false" customHeight="true" outlineLevel="0" collapsed="false">
      <c r="P4655" s="1" t="str">
        <f aca="false">IF(OR(F4655="",H4655="",J4655=""),"",J4655&amp;"|"&amp;F4655&amp;"|"&amp;IF(H4655="W3","W3_"&amp;IF(I4655="","unknown",I4655),H4655))</f>
        <v/>
      </c>
      <c r="Q4655" s="1" t="str">
        <f aca="false">IF(P4655="","",IFERROR(IF(AND(H4655="W7",OR(F4655="causal",F4655="predictive")),IF(AND(K4655=1,L4655=1,M4655=1),"adequate","partial"),INDEX(Fit_Matrix!$B:$B,MATCH(P4655,Fit_Matrix!$A:$A,0))),"CHECK KEY"))</f>
        <v/>
      </c>
    </row>
    <row r="4656" customFormat="false" ht="15" hidden="false" customHeight="true" outlineLevel="0" collapsed="false">
      <c r="P4656" s="1" t="str">
        <f aca="false">IF(OR(F4656="",H4656="",J4656=""),"",J4656&amp;"|"&amp;F4656&amp;"|"&amp;IF(H4656="W3","W3_"&amp;IF(I4656="","unknown",I4656),H4656))</f>
        <v/>
      </c>
      <c r="Q4656" s="1" t="str">
        <f aca="false">IF(P4656="","",IFERROR(IF(AND(H4656="W7",OR(F4656="causal",F4656="predictive")),IF(AND(K4656=1,L4656=1,M4656=1),"adequate","partial"),INDEX(Fit_Matrix!$B:$B,MATCH(P4656,Fit_Matrix!$A:$A,0))),"CHECK KEY"))</f>
        <v/>
      </c>
    </row>
    <row r="4657" customFormat="false" ht="15" hidden="false" customHeight="true" outlineLevel="0" collapsed="false">
      <c r="P4657" s="1" t="str">
        <f aca="false">IF(OR(F4657="",H4657="",J4657=""),"",J4657&amp;"|"&amp;F4657&amp;"|"&amp;IF(H4657="W3","W3_"&amp;IF(I4657="","unknown",I4657),H4657))</f>
        <v/>
      </c>
      <c r="Q4657" s="1" t="str">
        <f aca="false">IF(P4657="","",IFERROR(IF(AND(H4657="W7",OR(F4657="causal",F4657="predictive")),IF(AND(K4657=1,L4657=1,M4657=1),"adequate","partial"),INDEX(Fit_Matrix!$B:$B,MATCH(P4657,Fit_Matrix!$A:$A,0))),"CHECK KEY"))</f>
        <v/>
      </c>
    </row>
    <row r="4658" customFormat="false" ht="15" hidden="false" customHeight="true" outlineLevel="0" collapsed="false">
      <c r="P4658" s="1" t="str">
        <f aca="false">IF(OR(F4658="",H4658="",J4658=""),"",J4658&amp;"|"&amp;F4658&amp;"|"&amp;IF(H4658="W3","W3_"&amp;IF(I4658="","unknown",I4658),H4658))</f>
        <v/>
      </c>
      <c r="Q4658" s="1" t="str">
        <f aca="false">IF(P4658="","",IFERROR(IF(AND(H4658="W7",OR(F4658="causal",F4658="predictive")),IF(AND(K4658=1,L4658=1,M4658=1),"adequate","partial"),INDEX(Fit_Matrix!$B:$B,MATCH(P4658,Fit_Matrix!$A:$A,0))),"CHECK KEY"))</f>
        <v/>
      </c>
    </row>
    <row r="4659" customFormat="false" ht="15" hidden="false" customHeight="true" outlineLevel="0" collapsed="false">
      <c r="P4659" s="1" t="str">
        <f aca="false">IF(OR(F4659="",H4659="",J4659=""),"",J4659&amp;"|"&amp;F4659&amp;"|"&amp;IF(H4659="W3","W3_"&amp;IF(I4659="","unknown",I4659),H4659))</f>
        <v/>
      </c>
      <c r="Q4659" s="1" t="str">
        <f aca="false">IF(P4659="","",IFERROR(IF(AND(H4659="W7",OR(F4659="causal",F4659="predictive")),IF(AND(K4659=1,L4659=1,M4659=1),"adequate","partial"),INDEX(Fit_Matrix!$B:$B,MATCH(P4659,Fit_Matrix!$A:$A,0))),"CHECK KEY"))</f>
        <v/>
      </c>
    </row>
    <row r="4660" customFormat="false" ht="15" hidden="false" customHeight="true" outlineLevel="0" collapsed="false">
      <c r="P4660" s="1" t="str">
        <f aca="false">IF(OR(F4660="",H4660="",J4660=""),"",J4660&amp;"|"&amp;F4660&amp;"|"&amp;IF(H4660="W3","W3_"&amp;IF(I4660="","unknown",I4660),H4660))</f>
        <v/>
      </c>
      <c r="Q4660" s="1" t="str">
        <f aca="false">IF(P4660="","",IFERROR(IF(AND(H4660="W7",OR(F4660="causal",F4660="predictive")),IF(AND(K4660=1,L4660=1,M4660=1),"adequate","partial"),INDEX(Fit_Matrix!$B:$B,MATCH(P4660,Fit_Matrix!$A:$A,0))),"CHECK KEY"))</f>
        <v/>
      </c>
    </row>
    <row r="4661" customFormat="false" ht="15" hidden="false" customHeight="true" outlineLevel="0" collapsed="false">
      <c r="P4661" s="1" t="str">
        <f aca="false">IF(OR(F4661="",H4661="",J4661=""),"",J4661&amp;"|"&amp;F4661&amp;"|"&amp;IF(H4661="W3","W3_"&amp;IF(I4661="","unknown",I4661),H4661))</f>
        <v/>
      </c>
      <c r="Q4661" s="1" t="str">
        <f aca="false">IF(P4661="","",IFERROR(IF(AND(H4661="W7",OR(F4661="causal",F4661="predictive")),IF(AND(K4661=1,L4661=1,M4661=1),"adequate","partial"),INDEX(Fit_Matrix!$B:$B,MATCH(P4661,Fit_Matrix!$A:$A,0))),"CHECK KEY"))</f>
        <v/>
      </c>
    </row>
    <row r="4662" customFormat="false" ht="15" hidden="false" customHeight="true" outlineLevel="0" collapsed="false">
      <c r="P4662" s="1" t="str">
        <f aca="false">IF(OR(F4662="",H4662="",J4662=""),"",J4662&amp;"|"&amp;F4662&amp;"|"&amp;IF(H4662="W3","W3_"&amp;IF(I4662="","unknown",I4662),H4662))</f>
        <v/>
      </c>
      <c r="Q4662" s="1" t="str">
        <f aca="false">IF(P4662="","",IFERROR(IF(AND(H4662="W7",OR(F4662="causal",F4662="predictive")),IF(AND(K4662=1,L4662=1,M4662=1),"adequate","partial"),INDEX(Fit_Matrix!$B:$B,MATCH(P4662,Fit_Matrix!$A:$A,0))),"CHECK KEY"))</f>
        <v/>
      </c>
    </row>
    <row r="4663" customFormat="false" ht="15" hidden="false" customHeight="true" outlineLevel="0" collapsed="false">
      <c r="P4663" s="1" t="str">
        <f aca="false">IF(OR(F4663="",H4663="",J4663=""),"",J4663&amp;"|"&amp;F4663&amp;"|"&amp;IF(H4663="W3","W3_"&amp;IF(I4663="","unknown",I4663),H4663))</f>
        <v/>
      </c>
      <c r="Q4663" s="1" t="str">
        <f aca="false">IF(P4663="","",IFERROR(IF(AND(H4663="W7",OR(F4663="causal",F4663="predictive")),IF(AND(K4663=1,L4663=1,M4663=1),"adequate","partial"),INDEX(Fit_Matrix!$B:$B,MATCH(P4663,Fit_Matrix!$A:$A,0))),"CHECK KEY"))</f>
        <v/>
      </c>
    </row>
    <row r="4664" customFormat="false" ht="15" hidden="false" customHeight="true" outlineLevel="0" collapsed="false">
      <c r="P4664" s="1" t="str">
        <f aca="false">IF(OR(F4664="",H4664="",J4664=""),"",J4664&amp;"|"&amp;F4664&amp;"|"&amp;IF(H4664="W3","W3_"&amp;IF(I4664="","unknown",I4664),H4664))</f>
        <v/>
      </c>
      <c r="Q4664" s="1" t="str">
        <f aca="false">IF(P4664="","",IFERROR(IF(AND(H4664="W7",OR(F4664="causal",F4664="predictive")),IF(AND(K4664=1,L4664=1,M4664=1),"adequate","partial"),INDEX(Fit_Matrix!$B:$B,MATCH(P4664,Fit_Matrix!$A:$A,0))),"CHECK KEY"))</f>
        <v/>
      </c>
    </row>
    <row r="4665" customFormat="false" ht="15" hidden="false" customHeight="true" outlineLevel="0" collapsed="false">
      <c r="P4665" s="1" t="str">
        <f aca="false">IF(OR(F4665="",H4665="",J4665=""),"",J4665&amp;"|"&amp;F4665&amp;"|"&amp;IF(H4665="W3","W3_"&amp;IF(I4665="","unknown",I4665),H4665))</f>
        <v/>
      </c>
      <c r="Q4665" s="1" t="str">
        <f aca="false">IF(P4665="","",IFERROR(IF(AND(H4665="W7",OR(F4665="causal",F4665="predictive")),IF(AND(K4665=1,L4665=1,M4665=1),"adequate","partial"),INDEX(Fit_Matrix!$B:$B,MATCH(P4665,Fit_Matrix!$A:$A,0))),"CHECK KEY"))</f>
        <v/>
      </c>
    </row>
    <row r="4666" customFormat="false" ht="15" hidden="false" customHeight="true" outlineLevel="0" collapsed="false">
      <c r="P4666" s="1" t="str">
        <f aca="false">IF(OR(F4666="",H4666="",J4666=""),"",J4666&amp;"|"&amp;F4666&amp;"|"&amp;IF(H4666="W3","W3_"&amp;IF(I4666="","unknown",I4666),H4666))</f>
        <v/>
      </c>
      <c r="Q4666" s="1" t="str">
        <f aca="false">IF(P4666="","",IFERROR(IF(AND(H4666="W7",OR(F4666="causal",F4666="predictive")),IF(AND(K4666=1,L4666=1,M4666=1),"adequate","partial"),INDEX(Fit_Matrix!$B:$B,MATCH(P4666,Fit_Matrix!$A:$A,0))),"CHECK KEY"))</f>
        <v/>
      </c>
    </row>
    <row r="4667" customFormat="false" ht="15" hidden="false" customHeight="true" outlineLevel="0" collapsed="false">
      <c r="P4667" s="1" t="str">
        <f aca="false">IF(OR(F4667="",H4667="",J4667=""),"",J4667&amp;"|"&amp;F4667&amp;"|"&amp;IF(H4667="W3","W3_"&amp;IF(I4667="","unknown",I4667),H4667))</f>
        <v/>
      </c>
      <c r="Q4667" s="1" t="str">
        <f aca="false">IF(P4667="","",IFERROR(IF(AND(H4667="W7",OR(F4667="causal",F4667="predictive")),IF(AND(K4667=1,L4667=1,M4667=1),"adequate","partial"),INDEX(Fit_Matrix!$B:$B,MATCH(P4667,Fit_Matrix!$A:$A,0))),"CHECK KEY"))</f>
        <v/>
      </c>
    </row>
    <row r="4668" customFormat="false" ht="15" hidden="false" customHeight="true" outlineLevel="0" collapsed="false">
      <c r="P4668" s="1" t="str">
        <f aca="false">IF(OR(F4668="",H4668="",J4668=""),"",J4668&amp;"|"&amp;F4668&amp;"|"&amp;IF(H4668="W3","W3_"&amp;IF(I4668="","unknown",I4668),H4668))</f>
        <v/>
      </c>
      <c r="Q4668" s="1" t="str">
        <f aca="false">IF(P4668="","",IFERROR(IF(AND(H4668="W7",OR(F4668="causal",F4668="predictive")),IF(AND(K4668=1,L4668=1,M4668=1),"adequate","partial"),INDEX(Fit_Matrix!$B:$B,MATCH(P4668,Fit_Matrix!$A:$A,0))),"CHECK KEY"))</f>
        <v/>
      </c>
    </row>
    <row r="4669" customFormat="false" ht="15" hidden="false" customHeight="true" outlineLevel="0" collapsed="false">
      <c r="P4669" s="1" t="str">
        <f aca="false">IF(OR(F4669="",H4669="",J4669=""),"",J4669&amp;"|"&amp;F4669&amp;"|"&amp;IF(H4669="W3","W3_"&amp;IF(I4669="","unknown",I4669),H4669))</f>
        <v/>
      </c>
      <c r="Q4669" s="1" t="str">
        <f aca="false">IF(P4669="","",IFERROR(IF(AND(H4669="W7",OR(F4669="causal",F4669="predictive")),IF(AND(K4669=1,L4669=1,M4669=1),"adequate","partial"),INDEX(Fit_Matrix!$B:$B,MATCH(P4669,Fit_Matrix!$A:$A,0))),"CHECK KEY"))</f>
        <v/>
      </c>
    </row>
    <row r="4670" customFormat="false" ht="15" hidden="false" customHeight="true" outlineLevel="0" collapsed="false">
      <c r="P4670" s="1" t="str">
        <f aca="false">IF(OR(F4670="",H4670="",J4670=""),"",J4670&amp;"|"&amp;F4670&amp;"|"&amp;IF(H4670="W3","W3_"&amp;IF(I4670="","unknown",I4670),H4670))</f>
        <v/>
      </c>
      <c r="Q4670" s="1" t="str">
        <f aca="false">IF(P4670="","",IFERROR(IF(AND(H4670="W7",OR(F4670="causal",F4670="predictive")),IF(AND(K4670=1,L4670=1,M4670=1),"adequate","partial"),INDEX(Fit_Matrix!$B:$B,MATCH(P4670,Fit_Matrix!$A:$A,0))),"CHECK KEY"))</f>
        <v/>
      </c>
    </row>
    <row r="4671" customFormat="false" ht="15" hidden="false" customHeight="true" outlineLevel="0" collapsed="false">
      <c r="P4671" s="1" t="str">
        <f aca="false">IF(OR(F4671="",H4671="",J4671=""),"",J4671&amp;"|"&amp;F4671&amp;"|"&amp;IF(H4671="W3","W3_"&amp;IF(I4671="","unknown",I4671),H4671))</f>
        <v/>
      </c>
      <c r="Q4671" s="1" t="str">
        <f aca="false">IF(P4671="","",IFERROR(IF(AND(H4671="W7",OR(F4671="causal",F4671="predictive")),IF(AND(K4671=1,L4671=1,M4671=1),"adequate","partial"),INDEX(Fit_Matrix!$B:$B,MATCH(P4671,Fit_Matrix!$A:$A,0))),"CHECK KEY"))</f>
        <v/>
      </c>
    </row>
    <row r="4672" customFormat="false" ht="15" hidden="false" customHeight="true" outlineLevel="0" collapsed="false">
      <c r="P4672" s="1" t="str">
        <f aca="false">IF(OR(F4672="",H4672="",J4672=""),"",J4672&amp;"|"&amp;F4672&amp;"|"&amp;IF(H4672="W3","W3_"&amp;IF(I4672="","unknown",I4672),H4672))</f>
        <v/>
      </c>
      <c r="Q4672" s="1" t="str">
        <f aca="false">IF(P4672="","",IFERROR(IF(AND(H4672="W7",OR(F4672="causal",F4672="predictive")),IF(AND(K4672=1,L4672=1,M4672=1),"adequate","partial"),INDEX(Fit_Matrix!$B:$B,MATCH(P4672,Fit_Matrix!$A:$A,0))),"CHECK KEY"))</f>
        <v/>
      </c>
    </row>
    <row r="4673" customFormat="false" ht="15" hidden="false" customHeight="true" outlineLevel="0" collapsed="false">
      <c r="P4673" s="1" t="str">
        <f aca="false">IF(OR(F4673="",H4673="",J4673=""),"",J4673&amp;"|"&amp;F4673&amp;"|"&amp;IF(H4673="W3","W3_"&amp;IF(I4673="","unknown",I4673),H4673))</f>
        <v/>
      </c>
      <c r="Q4673" s="1" t="str">
        <f aca="false">IF(P4673="","",IFERROR(IF(AND(H4673="W7",OR(F4673="causal",F4673="predictive")),IF(AND(K4673=1,L4673=1,M4673=1),"adequate","partial"),INDEX(Fit_Matrix!$B:$B,MATCH(P4673,Fit_Matrix!$A:$A,0))),"CHECK KEY"))</f>
        <v/>
      </c>
    </row>
    <row r="4674" customFormat="false" ht="15" hidden="false" customHeight="true" outlineLevel="0" collapsed="false">
      <c r="P4674" s="1" t="str">
        <f aca="false">IF(OR(F4674="",H4674="",J4674=""),"",J4674&amp;"|"&amp;F4674&amp;"|"&amp;IF(H4674="W3","W3_"&amp;IF(I4674="","unknown",I4674),H4674))</f>
        <v/>
      </c>
      <c r="Q4674" s="1" t="str">
        <f aca="false">IF(P4674="","",IFERROR(IF(AND(H4674="W7",OR(F4674="causal",F4674="predictive")),IF(AND(K4674=1,L4674=1,M4674=1),"adequate","partial"),INDEX(Fit_Matrix!$B:$B,MATCH(P4674,Fit_Matrix!$A:$A,0))),"CHECK KEY"))</f>
        <v/>
      </c>
    </row>
    <row r="4675" customFormat="false" ht="15" hidden="false" customHeight="true" outlineLevel="0" collapsed="false">
      <c r="P4675" s="1" t="str">
        <f aca="false">IF(OR(F4675="",H4675="",J4675=""),"",J4675&amp;"|"&amp;F4675&amp;"|"&amp;IF(H4675="W3","W3_"&amp;IF(I4675="","unknown",I4675),H4675))</f>
        <v/>
      </c>
      <c r="Q4675" s="1" t="str">
        <f aca="false">IF(P4675="","",IFERROR(IF(AND(H4675="W7",OR(F4675="causal",F4675="predictive")),IF(AND(K4675=1,L4675=1,M4675=1),"adequate","partial"),INDEX(Fit_Matrix!$B:$B,MATCH(P4675,Fit_Matrix!$A:$A,0))),"CHECK KEY"))</f>
        <v/>
      </c>
    </row>
    <row r="4676" customFormat="false" ht="15" hidden="false" customHeight="true" outlineLevel="0" collapsed="false">
      <c r="P4676" s="1" t="str">
        <f aca="false">IF(OR(F4676="",H4676="",J4676=""),"",J4676&amp;"|"&amp;F4676&amp;"|"&amp;IF(H4676="W3","W3_"&amp;IF(I4676="","unknown",I4676),H4676))</f>
        <v/>
      </c>
      <c r="Q4676" s="1" t="str">
        <f aca="false">IF(P4676="","",IFERROR(IF(AND(H4676="W7",OR(F4676="causal",F4676="predictive")),IF(AND(K4676=1,L4676=1,M4676=1),"adequate","partial"),INDEX(Fit_Matrix!$B:$B,MATCH(P4676,Fit_Matrix!$A:$A,0))),"CHECK KEY"))</f>
        <v/>
      </c>
    </row>
    <row r="4677" customFormat="false" ht="15" hidden="false" customHeight="true" outlineLevel="0" collapsed="false">
      <c r="P4677" s="1" t="str">
        <f aca="false">IF(OR(F4677="",H4677="",J4677=""),"",J4677&amp;"|"&amp;F4677&amp;"|"&amp;IF(H4677="W3","W3_"&amp;IF(I4677="","unknown",I4677),H4677))</f>
        <v/>
      </c>
      <c r="Q4677" s="1" t="str">
        <f aca="false">IF(P4677="","",IFERROR(IF(AND(H4677="W7",OR(F4677="causal",F4677="predictive")),IF(AND(K4677=1,L4677=1,M4677=1),"adequate","partial"),INDEX(Fit_Matrix!$B:$B,MATCH(P4677,Fit_Matrix!$A:$A,0))),"CHECK KEY"))</f>
        <v/>
      </c>
    </row>
    <row r="4678" customFormat="false" ht="15" hidden="false" customHeight="true" outlineLevel="0" collapsed="false">
      <c r="P4678" s="1" t="str">
        <f aca="false">IF(OR(F4678="",H4678="",J4678=""),"",J4678&amp;"|"&amp;F4678&amp;"|"&amp;IF(H4678="W3","W3_"&amp;IF(I4678="","unknown",I4678),H4678))</f>
        <v/>
      </c>
      <c r="Q4678" s="1" t="str">
        <f aca="false">IF(P4678="","",IFERROR(IF(AND(H4678="W7",OR(F4678="causal",F4678="predictive")),IF(AND(K4678=1,L4678=1,M4678=1),"adequate","partial"),INDEX(Fit_Matrix!$B:$B,MATCH(P4678,Fit_Matrix!$A:$A,0))),"CHECK KEY"))</f>
        <v/>
      </c>
    </row>
    <row r="4679" customFormat="false" ht="15" hidden="false" customHeight="true" outlineLevel="0" collapsed="false">
      <c r="P4679" s="1" t="str">
        <f aca="false">IF(OR(F4679="",H4679="",J4679=""),"",J4679&amp;"|"&amp;F4679&amp;"|"&amp;IF(H4679="W3","W3_"&amp;IF(I4679="","unknown",I4679),H4679))</f>
        <v/>
      </c>
      <c r="Q4679" s="1" t="str">
        <f aca="false">IF(P4679="","",IFERROR(IF(AND(H4679="W7",OR(F4679="causal",F4679="predictive")),IF(AND(K4679=1,L4679=1,M4679=1),"adequate","partial"),INDEX(Fit_Matrix!$B:$B,MATCH(P4679,Fit_Matrix!$A:$A,0))),"CHECK KEY"))</f>
        <v/>
      </c>
    </row>
    <row r="4680" customFormat="false" ht="15" hidden="false" customHeight="true" outlineLevel="0" collapsed="false">
      <c r="P4680" s="1" t="str">
        <f aca="false">IF(OR(F4680="",H4680="",J4680=""),"",J4680&amp;"|"&amp;F4680&amp;"|"&amp;IF(H4680="W3","W3_"&amp;IF(I4680="","unknown",I4680),H4680))</f>
        <v/>
      </c>
      <c r="Q4680" s="1" t="str">
        <f aca="false">IF(P4680="","",IFERROR(IF(AND(H4680="W7",OR(F4680="causal",F4680="predictive")),IF(AND(K4680=1,L4680=1,M4680=1),"adequate","partial"),INDEX(Fit_Matrix!$B:$B,MATCH(P4680,Fit_Matrix!$A:$A,0))),"CHECK KEY"))</f>
        <v/>
      </c>
    </row>
    <row r="4681" customFormat="false" ht="15" hidden="false" customHeight="true" outlineLevel="0" collapsed="false">
      <c r="P4681" s="1" t="str">
        <f aca="false">IF(OR(F4681="",H4681="",J4681=""),"",J4681&amp;"|"&amp;F4681&amp;"|"&amp;IF(H4681="W3","W3_"&amp;IF(I4681="","unknown",I4681),H4681))</f>
        <v/>
      </c>
      <c r="Q4681" s="1" t="str">
        <f aca="false">IF(P4681="","",IFERROR(IF(AND(H4681="W7",OR(F4681="causal",F4681="predictive")),IF(AND(K4681=1,L4681=1,M4681=1),"adequate","partial"),INDEX(Fit_Matrix!$B:$B,MATCH(P4681,Fit_Matrix!$A:$A,0))),"CHECK KEY"))</f>
        <v/>
      </c>
    </row>
    <row r="4682" customFormat="false" ht="15" hidden="false" customHeight="true" outlineLevel="0" collapsed="false">
      <c r="P4682" s="1" t="str">
        <f aca="false">IF(OR(F4682="",H4682="",J4682=""),"",J4682&amp;"|"&amp;F4682&amp;"|"&amp;IF(H4682="W3","W3_"&amp;IF(I4682="","unknown",I4682),H4682))</f>
        <v/>
      </c>
      <c r="Q4682" s="1" t="str">
        <f aca="false">IF(P4682="","",IFERROR(IF(AND(H4682="W7",OR(F4682="causal",F4682="predictive")),IF(AND(K4682=1,L4682=1,M4682=1),"adequate","partial"),INDEX(Fit_Matrix!$B:$B,MATCH(P4682,Fit_Matrix!$A:$A,0))),"CHECK KEY"))</f>
        <v/>
      </c>
    </row>
    <row r="4683" customFormat="false" ht="15" hidden="false" customHeight="true" outlineLevel="0" collapsed="false">
      <c r="P4683" s="1" t="str">
        <f aca="false">IF(OR(F4683="",H4683="",J4683=""),"",J4683&amp;"|"&amp;F4683&amp;"|"&amp;IF(H4683="W3","W3_"&amp;IF(I4683="","unknown",I4683),H4683))</f>
        <v/>
      </c>
      <c r="Q4683" s="1" t="str">
        <f aca="false">IF(P4683="","",IFERROR(IF(AND(H4683="W7",OR(F4683="causal",F4683="predictive")),IF(AND(K4683=1,L4683=1,M4683=1),"adequate","partial"),INDEX(Fit_Matrix!$B:$B,MATCH(P4683,Fit_Matrix!$A:$A,0))),"CHECK KEY"))</f>
        <v/>
      </c>
    </row>
    <row r="4684" customFormat="false" ht="15" hidden="false" customHeight="true" outlineLevel="0" collapsed="false">
      <c r="P4684" s="1" t="str">
        <f aca="false">IF(OR(F4684="",H4684="",J4684=""),"",J4684&amp;"|"&amp;F4684&amp;"|"&amp;IF(H4684="W3","W3_"&amp;IF(I4684="","unknown",I4684),H4684))</f>
        <v/>
      </c>
      <c r="Q4684" s="1" t="str">
        <f aca="false">IF(P4684="","",IFERROR(IF(AND(H4684="W7",OR(F4684="causal",F4684="predictive")),IF(AND(K4684=1,L4684=1,M4684=1),"adequate","partial"),INDEX(Fit_Matrix!$B:$B,MATCH(P4684,Fit_Matrix!$A:$A,0))),"CHECK KEY"))</f>
        <v/>
      </c>
    </row>
    <row r="4685" customFormat="false" ht="15" hidden="false" customHeight="true" outlineLevel="0" collapsed="false">
      <c r="P4685" s="1" t="str">
        <f aca="false">IF(OR(F4685="",H4685="",J4685=""),"",J4685&amp;"|"&amp;F4685&amp;"|"&amp;IF(H4685="W3","W3_"&amp;IF(I4685="","unknown",I4685),H4685))</f>
        <v/>
      </c>
      <c r="Q4685" s="1" t="str">
        <f aca="false">IF(P4685="","",IFERROR(IF(AND(H4685="W7",OR(F4685="causal",F4685="predictive")),IF(AND(K4685=1,L4685=1,M4685=1),"adequate","partial"),INDEX(Fit_Matrix!$B:$B,MATCH(P4685,Fit_Matrix!$A:$A,0))),"CHECK KEY"))</f>
        <v/>
      </c>
    </row>
    <row r="4686" customFormat="false" ht="15" hidden="false" customHeight="true" outlineLevel="0" collapsed="false">
      <c r="P4686" s="1" t="str">
        <f aca="false">IF(OR(F4686="",H4686="",J4686=""),"",J4686&amp;"|"&amp;F4686&amp;"|"&amp;IF(H4686="W3","W3_"&amp;IF(I4686="","unknown",I4686),H4686))</f>
        <v/>
      </c>
      <c r="Q4686" s="1" t="str">
        <f aca="false">IF(P4686="","",IFERROR(IF(AND(H4686="W7",OR(F4686="causal",F4686="predictive")),IF(AND(K4686=1,L4686=1,M4686=1),"adequate","partial"),INDEX(Fit_Matrix!$B:$B,MATCH(P4686,Fit_Matrix!$A:$A,0))),"CHECK KEY"))</f>
        <v/>
      </c>
    </row>
    <row r="4687" customFormat="false" ht="15" hidden="false" customHeight="true" outlineLevel="0" collapsed="false">
      <c r="P4687" s="1" t="str">
        <f aca="false">IF(OR(F4687="",H4687="",J4687=""),"",J4687&amp;"|"&amp;F4687&amp;"|"&amp;IF(H4687="W3","W3_"&amp;IF(I4687="","unknown",I4687),H4687))</f>
        <v/>
      </c>
      <c r="Q4687" s="1" t="str">
        <f aca="false">IF(P4687="","",IFERROR(IF(AND(H4687="W7",OR(F4687="causal",F4687="predictive")),IF(AND(K4687=1,L4687=1,M4687=1),"adequate","partial"),INDEX(Fit_Matrix!$B:$B,MATCH(P4687,Fit_Matrix!$A:$A,0))),"CHECK KEY"))</f>
        <v/>
      </c>
    </row>
    <row r="4688" customFormat="false" ht="15" hidden="false" customHeight="true" outlineLevel="0" collapsed="false">
      <c r="P4688" s="1" t="str">
        <f aca="false">IF(OR(F4688="",H4688="",J4688=""),"",J4688&amp;"|"&amp;F4688&amp;"|"&amp;IF(H4688="W3","W3_"&amp;IF(I4688="","unknown",I4688),H4688))</f>
        <v/>
      </c>
      <c r="Q4688" s="1" t="str">
        <f aca="false">IF(P4688="","",IFERROR(IF(AND(H4688="W7",OR(F4688="causal",F4688="predictive")),IF(AND(K4688=1,L4688=1,M4688=1),"adequate","partial"),INDEX(Fit_Matrix!$B:$B,MATCH(P4688,Fit_Matrix!$A:$A,0))),"CHECK KEY"))</f>
        <v/>
      </c>
    </row>
    <row r="4689" customFormat="false" ht="15" hidden="false" customHeight="true" outlineLevel="0" collapsed="false">
      <c r="P4689" s="1" t="str">
        <f aca="false">IF(OR(F4689="",H4689="",J4689=""),"",J4689&amp;"|"&amp;F4689&amp;"|"&amp;IF(H4689="W3","W3_"&amp;IF(I4689="","unknown",I4689),H4689))</f>
        <v/>
      </c>
      <c r="Q4689" s="1" t="str">
        <f aca="false">IF(P4689="","",IFERROR(IF(AND(H4689="W7",OR(F4689="causal",F4689="predictive")),IF(AND(K4689=1,L4689=1,M4689=1),"adequate","partial"),INDEX(Fit_Matrix!$B:$B,MATCH(P4689,Fit_Matrix!$A:$A,0))),"CHECK KEY"))</f>
        <v/>
      </c>
    </row>
    <row r="4690" customFormat="false" ht="15" hidden="false" customHeight="true" outlineLevel="0" collapsed="false">
      <c r="P4690" s="1" t="str">
        <f aca="false">IF(OR(F4690="",H4690="",J4690=""),"",J4690&amp;"|"&amp;F4690&amp;"|"&amp;IF(H4690="W3","W3_"&amp;IF(I4690="","unknown",I4690),H4690))</f>
        <v/>
      </c>
      <c r="Q4690" s="1" t="str">
        <f aca="false">IF(P4690="","",IFERROR(IF(AND(H4690="W7",OR(F4690="causal",F4690="predictive")),IF(AND(K4690=1,L4690=1,M4690=1),"adequate","partial"),INDEX(Fit_Matrix!$B:$B,MATCH(P4690,Fit_Matrix!$A:$A,0))),"CHECK KEY"))</f>
        <v/>
      </c>
    </row>
    <row r="4691" customFormat="false" ht="15" hidden="false" customHeight="true" outlineLevel="0" collapsed="false">
      <c r="P4691" s="1" t="str">
        <f aca="false">IF(OR(F4691="",H4691="",J4691=""),"",J4691&amp;"|"&amp;F4691&amp;"|"&amp;IF(H4691="W3","W3_"&amp;IF(I4691="","unknown",I4691),H4691))</f>
        <v/>
      </c>
      <c r="Q4691" s="1" t="str">
        <f aca="false">IF(P4691="","",IFERROR(IF(AND(H4691="W7",OR(F4691="causal",F4691="predictive")),IF(AND(K4691=1,L4691=1,M4691=1),"adequate","partial"),INDEX(Fit_Matrix!$B:$B,MATCH(P4691,Fit_Matrix!$A:$A,0))),"CHECK KEY"))</f>
        <v/>
      </c>
    </row>
    <row r="4692" customFormat="false" ht="15" hidden="false" customHeight="true" outlineLevel="0" collapsed="false">
      <c r="P4692" s="1" t="str">
        <f aca="false">IF(OR(F4692="",H4692="",J4692=""),"",J4692&amp;"|"&amp;F4692&amp;"|"&amp;IF(H4692="W3","W3_"&amp;IF(I4692="","unknown",I4692),H4692))</f>
        <v/>
      </c>
      <c r="Q4692" s="1" t="str">
        <f aca="false">IF(P4692="","",IFERROR(IF(AND(H4692="W7",OR(F4692="causal",F4692="predictive")),IF(AND(K4692=1,L4692=1,M4692=1),"adequate","partial"),INDEX(Fit_Matrix!$B:$B,MATCH(P4692,Fit_Matrix!$A:$A,0))),"CHECK KEY"))</f>
        <v/>
      </c>
    </row>
    <row r="4693" customFormat="false" ht="15" hidden="false" customHeight="true" outlineLevel="0" collapsed="false">
      <c r="P4693" s="1" t="str">
        <f aca="false">IF(OR(F4693="",H4693="",J4693=""),"",J4693&amp;"|"&amp;F4693&amp;"|"&amp;IF(H4693="W3","W3_"&amp;IF(I4693="","unknown",I4693),H4693))</f>
        <v/>
      </c>
      <c r="Q4693" s="1" t="str">
        <f aca="false">IF(P4693="","",IFERROR(IF(AND(H4693="W7",OR(F4693="causal",F4693="predictive")),IF(AND(K4693=1,L4693=1,M4693=1),"adequate","partial"),INDEX(Fit_Matrix!$B:$B,MATCH(P4693,Fit_Matrix!$A:$A,0))),"CHECK KEY"))</f>
        <v/>
      </c>
    </row>
    <row r="4694" customFormat="false" ht="15" hidden="false" customHeight="true" outlineLevel="0" collapsed="false">
      <c r="P4694" s="1" t="str">
        <f aca="false">IF(OR(F4694="",H4694="",J4694=""),"",J4694&amp;"|"&amp;F4694&amp;"|"&amp;IF(H4694="W3","W3_"&amp;IF(I4694="","unknown",I4694),H4694))</f>
        <v/>
      </c>
      <c r="Q4694" s="1" t="str">
        <f aca="false">IF(P4694="","",IFERROR(IF(AND(H4694="W7",OR(F4694="causal",F4694="predictive")),IF(AND(K4694=1,L4694=1,M4694=1),"adequate","partial"),INDEX(Fit_Matrix!$B:$B,MATCH(P4694,Fit_Matrix!$A:$A,0))),"CHECK KEY"))</f>
        <v/>
      </c>
    </row>
    <row r="4695" customFormat="false" ht="15" hidden="false" customHeight="true" outlineLevel="0" collapsed="false">
      <c r="P4695" s="1" t="str">
        <f aca="false">IF(OR(F4695="",H4695="",J4695=""),"",J4695&amp;"|"&amp;F4695&amp;"|"&amp;IF(H4695="W3","W3_"&amp;IF(I4695="","unknown",I4695),H4695))</f>
        <v/>
      </c>
      <c r="Q4695" s="1" t="str">
        <f aca="false">IF(P4695="","",IFERROR(IF(AND(H4695="W7",OR(F4695="causal",F4695="predictive")),IF(AND(K4695=1,L4695=1,M4695=1),"adequate","partial"),INDEX(Fit_Matrix!$B:$B,MATCH(P4695,Fit_Matrix!$A:$A,0))),"CHECK KEY"))</f>
        <v/>
      </c>
    </row>
    <row r="4696" customFormat="false" ht="15" hidden="false" customHeight="true" outlineLevel="0" collapsed="false">
      <c r="P4696" s="1" t="str">
        <f aca="false">IF(OR(F4696="",H4696="",J4696=""),"",J4696&amp;"|"&amp;F4696&amp;"|"&amp;IF(H4696="W3","W3_"&amp;IF(I4696="","unknown",I4696),H4696))</f>
        <v/>
      </c>
      <c r="Q4696" s="1" t="str">
        <f aca="false">IF(P4696="","",IFERROR(IF(AND(H4696="W7",OR(F4696="causal",F4696="predictive")),IF(AND(K4696=1,L4696=1,M4696=1),"adequate","partial"),INDEX(Fit_Matrix!$B:$B,MATCH(P4696,Fit_Matrix!$A:$A,0))),"CHECK KEY"))</f>
        <v/>
      </c>
    </row>
    <row r="4697" customFormat="false" ht="15" hidden="false" customHeight="true" outlineLevel="0" collapsed="false">
      <c r="P4697" s="1" t="str">
        <f aca="false">IF(OR(F4697="",H4697="",J4697=""),"",J4697&amp;"|"&amp;F4697&amp;"|"&amp;IF(H4697="W3","W3_"&amp;IF(I4697="","unknown",I4697),H4697))</f>
        <v/>
      </c>
      <c r="Q4697" s="1" t="str">
        <f aca="false">IF(P4697="","",IFERROR(IF(AND(H4697="W7",OR(F4697="causal",F4697="predictive")),IF(AND(K4697=1,L4697=1,M4697=1),"adequate","partial"),INDEX(Fit_Matrix!$B:$B,MATCH(P4697,Fit_Matrix!$A:$A,0))),"CHECK KEY"))</f>
        <v/>
      </c>
    </row>
    <row r="4698" customFormat="false" ht="15" hidden="false" customHeight="true" outlineLevel="0" collapsed="false">
      <c r="P4698" s="1" t="str">
        <f aca="false">IF(OR(F4698="",H4698="",J4698=""),"",J4698&amp;"|"&amp;F4698&amp;"|"&amp;IF(H4698="W3","W3_"&amp;IF(I4698="","unknown",I4698),H4698))</f>
        <v/>
      </c>
      <c r="Q4698" s="1" t="str">
        <f aca="false">IF(P4698="","",IFERROR(IF(AND(H4698="W7",OR(F4698="causal",F4698="predictive")),IF(AND(K4698=1,L4698=1,M4698=1),"adequate","partial"),INDEX(Fit_Matrix!$B:$B,MATCH(P4698,Fit_Matrix!$A:$A,0))),"CHECK KEY"))</f>
        <v/>
      </c>
    </row>
    <row r="4699" customFormat="false" ht="15" hidden="false" customHeight="true" outlineLevel="0" collapsed="false">
      <c r="P4699" s="1" t="str">
        <f aca="false">IF(OR(F4699="",H4699="",J4699=""),"",J4699&amp;"|"&amp;F4699&amp;"|"&amp;IF(H4699="W3","W3_"&amp;IF(I4699="","unknown",I4699),H4699))</f>
        <v/>
      </c>
      <c r="Q4699" s="1" t="str">
        <f aca="false">IF(P4699="","",IFERROR(IF(AND(H4699="W7",OR(F4699="causal",F4699="predictive")),IF(AND(K4699=1,L4699=1,M4699=1),"adequate","partial"),INDEX(Fit_Matrix!$B:$B,MATCH(P4699,Fit_Matrix!$A:$A,0))),"CHECK KEY"))</f>
        <v/>
      </c>
    </row>
    <row r="4700" customFormat="false" ht="15" hidden="false" customHeight="true" outlineLevel="0" collapsed="false">
      <c r="P4700" s="1" t="str">
        <f aca="false">IF(OR(F4700="",H4700="",J4700=""),"",J4700&amp;"|"&amp;F4700&amp;"|"&amp;IF(H4700="W3","W3_"&amp;IF(I4700="","unknown",I4700),H4700))</f>
        <v/>
      </c>
      <c r="Q4700" s="1" t="str">
        <f aca="false">IF(P4700="","",IFERROR(IF(AND(H4700="W7",OR(F4700="causal",F4700="predictive")),IF(AND(K4700=1,L4700=1,M4700=1),"adequate","partial"),INDEX(Fit_Matrix!$B:$B,MATCH(P4700,Fit_Matrix!$A:$A,0))),"CHECK KEY"))</f>
        <v/>
      </c>
    </row>
    <row r="4701" customFormat="false" ht="15" hidden="false" customHeight="true" outlineLevel="0" collapsed="false">
      <c r="P4701" s="1" t="str">
        <f aca="false">IF(OR(F4701="",H4701="",J4701=""),"",J4701&amp;"|"&amp;F4701&amp;"|"&amp;IF(H4701="W3","W3_"&amp;IF(I4701="","unknown",I4701),H4701))</f>
        <v/>
      </c>
      <c r="Q4701" s="1" t="str">
        <f aca="false">IF(P4701="","",IFERROR(IF(AND(H4701="W7",OR(F4701="causal",F4701="predictive")),IF(AND(K4701=1,L4701=1,M4701=1),"adequate","partial"),INDEX(Fit_Matrix!$B:$B,MATCH(P4701,Fit_Matrix!$A:$A,0))),"CHECK KEY"))</f>
        <v/>
      </c>
    </row>
    <row r="4702" customFormat="false" ht="15" hidden="false" customHeight="true" outlineLevel="0" collapsed="false">
      <c r="P4702" s="1" t="str">
        <f aca="false">IF(OR(F4702="",H4702="",J4702=""),"",J4702&amp;"|"&amp;F4702&amp;"|"&amp;IF(H4702="W3","W3_"&amp;IF(I4702="","unknown",I4702),H4702))</f>
        <v/>
      </c>
      <c r="Q4702" s="1" t="str">
        <f aca="false">IF(P4702="","",IFERROR(IF(AND(H4702="W7",OR(F4702="causal",F4702="predictive")),IF(AND(K4702=1,L4702=1,M4702=1),"adequate","partial"),INDEX(Fit_Matrix!$B:$B,MATCH(P4702,Fit_Matrix!$A:$A,0))),"CHECK KEY"))</f>
        <v/>
      </c>
    </row>
    <row r="4703" customFormat="false" ht="15" hidden="false" customHeight="true" outlineLevel="0" collapsed="false">
      <c r="P4703" s="1" t="str">
        <f aca="false">IF(OR(F4703="",H4703="",J4703=""),"",J4703&amp;"|"&amp;F4703&amp;"|"&amp;IF(H4703="W3","W3_"&amp;IF(I4703="","unknown",I4703),H4703))</f>
        <v/>
      </c>
      <c r="Q4703" s="1" t="str">
        <f aca="false">IF(P4703="","",IFERROR(IF(AND(H4703="W7",OR(F4703="causal",F4703="predictive")),IF(AND(K4703=1,L4703=1,M4703=1),"adequate","partial"),INDEX(Fit_Matrix!$B:$B,MATCH(P4703,Fit_Matrix!$A:$A,0))),"CHECK KEY"))</f>
        <v/>
      </c>
    </row>
    <row r="4704" customFormat="false" ht="15" hidden="false" customHeight="true" outlineLevel="0" collapsed="false">
      <c r="P4704" s="1" t="str">
        <f aca="false">IF(OR(F4704="",H4704="",J4704=""),"",J4704&amp;"|"&amp;F4704&amp;"|"&amp;IF(H4704="W3","W3_"&amp;IF(I4704="","unknown",I4704),H4704))</f>
        <v/>
      </c>
      <c r="Q4704" s="1" t="str">
        <f aca="false">IF(P4704="","",IFERROR(IF(AND(H4704="W7",OR(F4704="causal",F4704="predictive")),IF(AND(K4704=1,L4704=1,M4704=1),"adequate","partial"),INDEX(Fit_Matrix!$B:$B,MATCH(P4704,Fit_Matrix!$A:$A,0))),"CHECK KEY"))</f>
        <v/>
      </c>
    </row>
    <row r="4705" customFormat="false" ht="15" hidden="false" customHeight="true" outlineLevel="0" collapsed="false">
      <c r="P4705" s="1" t="str">
        <f aca="false">IF(OR(F4705="",H4705="",J4705=""),"",J4705&amp;"|"&amp;F4705&amp;"|"&amp;IF(H4705="W3","W3_"&amp;IF(I4705="","unknown",I4705),H4705))</f>
        <v/>
      </c>
      <c r="Q4705" s="1" t="str">
        <f aca="false">IF(P4705="","",IFERROR(IF(AND(H4705="W7",OR(F4705="causal",F4705="predictive")),IF(AND(K4705=1,L4705=1,M4705=1),"adequate","partial"),INDEX(Fit_Matrix!$B:$B,MATCH(P4705,Fit_Matrix!$A:$A,0))),"CHECK KEY"))</f>
        <v/>
      </c>
    </row>
    <row r="4706" customFormat="false" ht="15" hidden="false" customHeight="true" outlineLevel="0" collapsed="false">
      <c r="P4706" s="1" t="str">
        <f aca="false">IF(OR(F4706="",H4706="",J4706=""),"",J4706&amp;"|"&amp;F4706&amp;"|"&amp;IF(H4706="W3","W3_"&amp;IF(I4706="","unknown",I4706),H4706))</f>
        <v/>
      </c>
      <c r="Q4706" s="1" t="str">
        <f aca="false">IF(P4706="","",IFERROR(IF(AND(H4706="W7",OR(F4706="causal",F4706="predictive")),IF(AND(K4706=1,L4706=1,M4706=1),"adequate","partial"),INDEX(Fit_Matrix!$B:$B,MATCH(P4706,Fit_Matrix!$A:$A,0))),"CHECK KEY"))</f>
        <v/>
      </c>
    </row>
    <row r="4707" customFormat="false" ht="15" hidden="false" customHeight="true" outlineLevel="0" collapsed="false">
      <c r="P4707" s="1" t="str">
        <f aca="false">IF(OR(F4707="",H4707="",J4707=""),"",J4707&amp;"|"&amp;F4707&amp;"|"&amp;IF(H4707="W3","W3_"&amp;IF(I4707="","unknown",I4707),H4707))</f>
        <v/>
      </c>
      <c r="Q4707" s="1" t="str">
        <f aca="false">IF(P4707="","",IFERROR(IF(AND(H4707="W7",OR(F4707="causal",F4707="predictive")),IF(AND(K4707=1,L4707=1,M4707=1),"adequate","partial"),INDEX(Fit_Matrix!$B:$B,MATCH(P4707,Fit_Matrix!$A:$A,0))),"CHECK KEY"))</f>
        <v/>
      </c>
    </row>
    <row r="4708" customFormat="false" ht="15" hidden="false" customHeight="true" outlineLevel="0" collapsed="false">
      <c r="P4708" s="1" t="str">
        <f aca="false">IF(OR(F4708="",H4708="",J4708=""),"",J4708&amp;"|"&amp;F4708&amp;"|"&amp;IF(H4708="W3","W3_"&amp;IF(I4708="","unknown",I4708),H4708))</f>
        <v/>
      </c>
      <c r="Q4708" s="1" t="str">
        <f aca="false">IF(P4708="","",IFERROR(IF(AND(H4708="W7",OR(F4708="causal",F4708="predictive")),IF(AND(K4708=1,L4708=1,M4708=1),"adequate","partial"),INDEX(Fit_Matrix!$B:$B,MATCH(P4708,Fit_Matrix!$A:$A,0))),"CHECK KEY"))</f>
        <v/>
      </c>
    </row>
    <row r="4709" customFormat="false" ht="15" hidden="false" customHeight="true" outlineLevel="0" collapsed="false">
      <c r="P4709" s="1" t="str">
        <f aca="false">IF(OR(F4709="",H4709="",J4709=""),"",J4709&amp;"|"&amp;F4709&amp;"|"&amp;IF(H4709="W3","W3_"&amp;IF(I4709="","unknown",I4709),H4709))</f>
        <v/>
      </c>
      <c r="Q4709" s="1" t="str">
        <f aca="false">IF(P4709="","",IFERROR(IF(AND(H4709="W7",OR(F4709="causal",F4709="predictive")),IF(AND(K4709=1,L4709=1,M4709=1),"adequate","partial"),INDEX(Fit_Matrix!$B:$B,MATCH(P4709,Fit_Matrix!$A:$A,0))),"CHECK KEY"))</f>
        <v/>
      </c>
    </row>
    <row r="4710" customFormat="false" ht="15" hidden="false" customHeight="true" outlineLevel="0" collapsed="false">
      <c r="P4710" s="1" t="str">
        <f aca="false">IF(OR(F4710="",H4710="",J4710=""),"",J4710&amp;"|"&amp;F4710&amp;"|"&amp;IF(H4710="W3","W3_"&amp;IF(I4710="","unknown",I4710),H4710))</f>
        <v/>
      </c>
      <c r="Q4710" s="1" t="str">
        <f aca="false">IF(P4710="","",IFERROR(IF(AND(H4710="W7",OR(F4710="causal",F4710="predictive")),IF(AND(K4710=1,L4710=1,M4710=1),"adequate","partial"),INDEX(Fit_Matrix!$B:$B,MATCH(P4710,Fit_Matrix!$A:$A,0))),"CHECK KEY"))</f>
        <v/>
      </c>
    </row>
    <row r="4711" customFormat="false" ht="15" hidden="false" customHeight="true" outlineLevel="0" collapsed="false">
      <c r="P4711" s="1" t="str">
        <f aca="false">IF(OR(F4711="",H4711="",J4711=""),"",J4711&amp;"|"&amp;F4711&amp;"|"&amp;IF(H4711="W3","W3_"&amp;IF(I4711="","unknown",I4711),H4711))</f>
        <v/>
      </c>
      <c r="Q4711" s="1" t="str">
        <f aca="false">IF(P4711="","",IFERROR(IF(AND(H4711="W7",OR(F4711="causal",F4711="predictive")),IF(AND(K4711=1,L4711=1,M4711=1),"adequate","partial"),INDEX(Fit_Matrix!$B:$B,MATCH(P4711,Fit_Matrix!$A:$A,0))),"CHECK KEY"))</f>
        <v/>
      </c>
    </row>
    <row r="4712" customFormat="false" ht="15" hidden="false" customHeight="true" outlineLevel="0" collapsed="false">
      <c r="P4712" s="1" t="str">
        <f aca="false">IF(OR(F4712="",H4712="",J4712=""),"",J4712&amp;"|"&amp;F4712&amp;"|"&amp;IF(H4712="W3","W3_"&amp;IF(I4712="","unknown",I4712),H4712))</f>
        <v/>
      </c>
      <c r="Q4712" s="1" t="str">
        <f aca="false">IF(P4712="","",IFERROR(IF(AND(H4712="W7",OR(F4712="causal",F4712="predictive")),IF(AND(K4712=1,L4712=1,M4712=1),"adequate","partial"),INDEX(Fit_Matrix!$B:$B,MATCH(P4712,Fit_Matrix!$A:$A,0))),"CHECK KEY"))</f>
        <v/>
      </c>
    </row>
    <row r="4713" customFormat="false" ht="15" hidden="false" customHeight="true" outlineLevel="0" collapsed="false">
      <c r="P4713" s="1" t="str">
        <f aca="false">IF(OR(F4713="",H4713="",J4713=""),"",J4713&amp;"|"&amp;F4713&amp;"|"&amp;IF(H4713="W3","W3_"&amp;IF(I4713="","unknown",I4713),H4713))</f>
        <v/>
      </c>
      <c r="Q4713" s="1" t="str">
        <f aca="false">IF(P4713="","",IFERROR(IF(AND(H4713="W7",OR(F4713="causal",F4713="predictive")),IF(AND(K4713=1,L4713=1,M4713=1),"adequate","partial"),INDEX(Fit_Matrix!$B:$B,MATCH(P4713,Fit_Matrix!$A:$A,0))),"CHECK KEY"))</f>
        <v/>
      </c>
    </row>
    <row r="4714" customFormat="false" ht="15" hidden="false" customHeight="true" outlineLevel="0" collapsed="false">
      <c r="P4714" s="1" t="str">
        <f aca="false">IF(OR(F4714="",H4714="",J4714=""),"",J4714&amp;"|"&amp;F4714&amp;"|"&amp;IF(H4714="W3","W3_"&amp;IF(I4714="","unknown",I4714),H4714))</f>
        <v/>
      </c>
      <c r="Q4714" s="1" t="str">
        <f aca="false">IF(P4714="","",IFERROR(IF(AND(H4714="W7",OR(F4714="causal",F4714="predictive")),IF(AND(K4714=1,L4714=1,M4714=1),"adequate","partial"),INDEX(Fit_Matrix!$B:$B,MATCH(P4714,Fit_Matrix!$A:$A,0))),"CHECK KEY"))</f>
        <v/>
      </c>
    </row>
    <row r="4715" customFormat="false" ht="15" hidden="false" customHeight="true" outlineLevel="0" collapsed="false">
      <c r="P4715" s="1" t="str">
        <f aca="false">IF(OR(F4715="",H4715="",J4715=""),"",J4715&amp;"|"&amp;F4715&amp;"|"&amp;IF(H4715="W3","W3_"&amp;IF(I4715="","unknown",I4715),H4715))</f>
        <v/>
      </c>
      <c r="Q4715" s="1" t="str">
        <f aca="false">IF(P4715="","",IFERROR(IF(AND(H4715="W7",OR(F4715="causal",F4715="predictive")),IF(AND(K4715=1,L4715=1,M4715=1),"adequate","partial"),INDEX(Fit_Matrix!$B:$B,MATCH(P4715,Fit_Matrix!$A:$A,0))),"CHECK KEY"))</f>
        <v/>
      </c>
    </row>
    <row r="4716" customFormat="false" ht="15" hidden="false" customHeight="true" outlineLevel="0" collapsed="false">
      <c r="P4716" s="1" t="str">
        <f aca="false">IF(OR(F4716="",H4716="",J4716=""),"",J4716&amp;"|"&amp;F4716&amp;"|"&amp;IF(H4716="W3","W3_"&amp;IF(I4716="","unknown",I4716),H4716))</f>
        <v/>
      </c>
      <c r="Q4716" s="1" t="str">
        <f aca="false">IF(P4716="","",IFERROR(IF(AND(H4716="W7",OR(F4716="causal",F4716="predictive")),IF(AND(K4716=1,L4716=1,M4716=1),"adequate","partial"),INDEX(Fit_Matrix!$B:$B,MATCH(P4716,Fit_Matrix!$A:$A,0))),"CHECK KEY"))</f>
        <v/>
      </c>
    </row>
    <row r="4717" customFormat="false" ht="15" hidden="false" customHeight="true" outlineLevel="0" collapsed="false">
      <c r="P4717" s="1" t="str">
        <f aca="false">IF(OR(F4717="",H4717="",J4717=""),"",J4717&amp;"|"&amp;F4717&amp;"|"&amp;IF(H4717="W3","W3_"&amp;IF(I4717="","unknown",I4717),H4717))</f>
        <v/>
      </c>
      <c r="Q4717" s="1" t="str">
        <f aca="false">IF(P4717="","",IFERROR(IF(AND(H4717="W7",OR(F4717="causal",F4717="predictive")),IF(AND(K4717=1,L4717=1,M4717=1),"adequate","partial"),INDEX(Fit_Matrix!$B:$B,MATCH(P4717,Fit_Matrix!$A:$A,0))),"CHECK KEY"))</f>
        <v/>
      </c>
    </row>
    <row r="4718" customFormat="false" ht="15" hidden="false" customHeight="true" outlineLevel="0" collapsed="false">
      <c r="P4718" s="1" t="str">
        <f aca="false">IF(OR(F4718="",H4718="",J4718=""),"",J4718&amp;"|"&amp;F4718&amp;"|"&amp;IF(H4718="W3","W3_"&amp;IF(I4718="","unknown",I4718),H4718))</f>
        <v/>
      </c>
      <c r="Q4718" s="1" t="str">
        <f aca="false">IF(P4718="","",IFERROR(IF(AND(H4718="W7",OR(F4718="causal",F4718="predictive")),IF(AND(K4718=1,L4718=1,M4718=1),"adequate","partial"),INDEX(Fit_Matrix!$B:$B,MATCH(P4718,Fit_Matrix!$A:$A,0))),"CHECK KEY"))</f>
        <v/>
      </c>
    </row>
    <row r="4719" customFormat="false" ht="15" hidden="false" customHeight="true" outlineLevel="0" collapsed="false">
      <c r="P4719" s="1" t="str">
        <f aca="false">IF(OR(F4719="",H4719="",J4719=""),"",J4719&amp;"|"&amp;F4719&amp;"|"&amp;IF(H4719="W3","W3_"&amp;IF(I4719="","unknown",I4719),H4719))</f>
        <v/>
      </c>
      <c r="Q4719" s="1" t="str">
        <f aca="false">IF(P4719="","",IFERROR(IF(AND(H4719="W7",OR(F4719="causal",F4719="predictive")),IF(AND(K4719=1,L4719=1,M4719=1),"adequate","partial"),INDEX(Fit_Matrix!$B:$B,MATCH(P4719,Fit_Matrix!$A:$A,0))),"CHECK KEY"))</f>
        <v/>
      </c>
    </row>
    <row r="4720" customFormat="false" ht="15" hidden="false" customHeight="true" outlineLevel="0" collapsed="false">
      <c r="P4720" s="1" t="str">
        <f aca="false">IF(OR(F4720="",H4720="",J4720=""),"",J4720&amp;"|"&amp;F4720&amp;"|"&amp;IF(H4720="W3","W3_"&amp;IF(I4720="","unknown",I4720),H4720))</f>
        <v/>
      </c>
      <c r="Q4720" s="1" t="str">
        <f aca="false">IF(P4720="","",IFERROR(IF(AND(H4720="W7",OR(F4720="causal",F4720="predictive")),IF(AND(K4720=1,L4720=1,M4720=1),"adequate","partial"),INDEX(Fit_Matrix!$B:$B,MATCH(P4720,Fit_Matrix!$A:$A,0))),"CHECK KEY"))</f>
        <v/>
      </c>
    </row>
    <row r="4721" customFormat="false" ht="15" hidden="false" customHeight="true" outlineLevel="0" collapsed="false">
      <c r="P4721" s="1" t="str">
        <f aca="false">IF(OR(F4721="",H4721="",J4721=""),"",J4721&amp;"|"&amp;F4721&amp;"|"&amp;IF(H4721="W3","W3_"&amp;IF(I4721="","unknown",I4721),H4721))</f>
        <v/>
      </c>
      <c r="Q4721" s="1" t="str">
        <f aca="false">IF(P4721="","",IFERROR(IF(AND(H4721="W7",OR(F4721="causal",F4721="predictive")),IF(AND(K4721=1,L4721=1,M4721=1),"adequate","partial"),INDEX(Fit_Matrix!$B:$B,MATCH(P4721,Fit_Matrix!$A:$A,0))),"CHECK KEY"))</f>
        <v/>
      </c>
    </row>
    <row r="4722" customFormat="false" ht="15" hidden="false" customHeight="true" outlineLevel="0" collapsed="false">
      <c r="P4722" s="1" t="str">
        <f aca="false">IF(OR(F4722="",H4722="",J4722=""),"",J4722&amp;"|"&amp;F4722&amp;"|"&amp;IF(H4722="W3","W3_"&amp;IF(I4722="","unknown",I4722),H4722))</f>
        <v/>
      </c>
      <c r="Q4722" s="1" t="str">
        <f aca="false">IF(P4722="","",IFERROR(IF(AND(H4722="W7",OR(F4722="causal",F4722="predictive")),IF(AND(K4722=1,L4722=1,M4722=1),"adequate","partial"),INDEX(Fit_Matrix!$B:$B,MATCH(P4722,Fit_Matrix!$A:$A,0))),"CHECK KEY"))</f>
        <v/>
      </c>
    </row>
    <row r="4723" customFormat="false" ht="15" hidden="false" customHeight="true" outlineLevel="0" collapsed="false">
      <c r="P4723" s="1" t="str">
        <f aca="false">IF(OR(F4723="",H4723="",J4723=""),"",J4723&amp;"|"&amp;F4723&amp;"|"&amp;IF(H4723="W3","W3_"&amp;IF(I4723="","unknown",I4723),H4723))</f>
        <v/>
      </c>
      <c r="Q4723" s="1" t="str">
        <f aca="false">IF(P4723="","",IFERROR(IF(AND(H4723="W7",OR(F4723="causal",F4723="predictive")),IF(AND(K4723=1,L4723=1,M4723=1),"adequate","partial"),INDEX(Fit_Matrix!$B:$B,MATCH(P4723,Fit_Matrix!$A:$A,0))),"CHECK KEY"))</f>
        <v/>
      </c>
    </row>
    <row r="4724" customFormat="false" ht="15" hidden="false" customHeight="true" outlineLevel="0" collapsed="false">
      <c r="P4724" s="1" t="str">
        <f aca="false">IF(OR(F4724="",H4724="",J4724=""),"",J4724&amp;"|"&amp;F4724&amp;"|"&amp;IF(H4724="W3","W3_"&amp;IF(I4724="","unknown",I4724),H4724))</f>
        <v/>
      </c>
      <c r="Q4724" s="1" t="str">
        <f aca="false">IF(P4724="","",IFERROR(IF(AND(H4724="W7",OR(F4724="causal",F4724="predictive")),IF(AND(K4724=1,L4724=1,M4724=1),"adequate","partial"),INDEX(Fit_Matrix!$B:$B,MATCH(P4724,Fit_Matrix!$A:$A,0))),"CHECK KEY"))</f>
        <v/>
      </c>
    </row>
    <row r="4725" customFormat="false" ht="15" hidden="false" customHeight="true" outlineLevel="0" collapsed="false">
      <c r="P4725" s="1" t="str">
        <f aca="false">IF(OR(F4725="",H4725="",J4725=""),"",J4725&amp;"|"&amp;F4725&amp;"|"&amp;IF(H4725="W3","W3_"&amp;IF(I4725="","unknown",I4725),H4725))</f>
        <v/>
      </c>
      <c r="Q4725" s="1" t="str">
        <f aca="false">IF(P4725="","",IFERROR(IF(AND(H4725="W7",OR(F4725="causal",F4725="predictive")),IF(AND(K4725=1,L4725=1,M4725=1),"adequate","partial"),INDEX(Fit_Matrix!$B:$B,MATCH(P4725,Fit_Matrix!$A:$A,0))),"CHECK KEY"))</f>
        <v/>
      </c>
    </row>
    <row r="4726" customFormat="false" ht="15" hidden="false" customHeight="true" outlineLevel="0" collapsed="false">
      <c r="P4726" s="1" t="str">
        <f aca="false">IF(OR(F4726="",H4726="",J4726=""),"",J4726&amp;"|"&amp;F4726&amp;"|"&amp;IF(H4726="W3","W3_"&amp;IF(I4726="","unknown",I4726),H4726))</f>
        <v/>
      </c>
      <c r="Q4726" s="1" t="str">
        <f aca="false">IF(P4726="","",IFERROR(IF(AND(H4726="W7",OR(F4726="causal",F4726="predictive")),IF(AND(K4726=1,L4726=1,M4726=1),"adequate","partial"),INDEX(Fit_Matrix!$B:$B,MATCH(P4726,Fit_Matrix!$A:$A,0))),"CHECK KEY"))</f>
        <v/>
      </c>
    </row>
    <row r="4727" customFormat="false" ht="15" hidden="false" customHeight="true" outlineLevel="0" collapsed="false">
      <c r="P4727" s="1" t="str">
        <f aca="false">IF(OR(F4727="",H4727="",J4727=""),"",J4727&amp;"|"&amp;F4727&amp;"|"&amp;IF(H4727="W3","W3_"&amp;IF(I4727="","unknown",I4727),H4727))</f>
        <v/>
      </c>
      <c r="Q4727" s="1" t="str">
        <f aca="false">IF(P4727="","",IFERROR(IF(AND(H4727="W7",OR(F4727="causal",F4727="predictive")),IF(AND(K4727=1,L4727=1,M4727=1),"adequate","partial"),INDEX(Fit_Matrix!$B:$B,MATCH(P4727,Fit_Matrix!$A:$A,0))),"CHECK KEY"))</f>
        <v/>
      </c>
    </row>
    <row r="4728" customFormat="false" ht="15" hidden="false" customHeight="true" outlineLevel="0" collapsed="false">
      <c r="P4728" s="1" t="str">
        <f aca="false">IF(OR(F4728="",H4728="",J4728=""),"",J4728&amp;"|"&amp;F4728&amp;"|"&amp;IF(H4728="W3","W3_"&amp;IF(I4728="","unknown",I4728),H4728))</f>
        <v/>
      </c>
      <c r="Q4728" s="1" t="str">
        <f aca="false">IF(P4728="","",IFERROR(IF(AND(H4728="W7",OR(F4728="causal",F4728="predictive")),IF(AND(K4728=1,L4728=1,M4728=1),"adequate","partial"),INDEX(Fit_Matrix!$B:$B,MATCH(P4728,Fit_Matrix!$A:$A,0))),"CHECK KEY"))</f>
        <v/>
      </c>
    </row>
    <row r="4729" customFormat="false" ht="15" hidden="false" customHeight="true" outlineLevel="0" collapsed="false">
      <c r="P4729" s="1" t="str">
        <f aca="false">IF(OR(F4729="",H4729="",J4729=""),"",J4729&amp;"|"&amp;F4729&amp;"|"&amp;IF(H4729="W3","W3_"&amp;IF(I4729="","unknown",I4729),H4729))</f>
        <v/>
      </c>
      <c r="Q4729" s="1" t="str">
        <f aca="false">IF(P4729="","",IFERROR(IF(AND(H4729="W7",OR(F4729="causal",F4729="predictive")),IF(AND(K4729=1,L4729=1,M4729=1),"adequate","partial"),INDEX(Fit_Matrix!$B:$B,MATCH(P4729,Fit_Matrix!$A:$A,0))),"CHECK KEY"))</f>
        <v/>
      </c>
    </row>
    <row r="4730" customFormat="false" ht="15" hidden="false" customHeight="true" outlineLevel="0" collapsed="false">
      <c r="P4730" s="1" t="str">
        <f aca="false">IF(OR(F4730="",H4730="",J4730=""),"",J4730&amp;"|"&amp;F4730&amp;"|"&amp;IF(H4730="W3","W3_"&amp;IF(I4730="","unknown",I4730),H4730))</f>
        <v/>
      </c>
      <c r="Q4730" s="1" t="str">
        <f aca="false">IF(P4730="","",IFERROR(IF(AND(H4730="W7",OR(F4730="causal",F4730="predictive")),IF(AND(K4730=1,L4730=1,M4730=1),"adequate","partial"),INDEX(Fit_Matrix!$B:$B,MATCH(P4730,Fit_Matrix!$A:$A,0))),"CHECK KEY"))</f>
        <v/>
      </c>
    </row>
    <row r="4731" customFormat="false" ht="15" hidden="false" customHeight="true" outlineLevel="0" collapsed="false">
      <c r="P4731" s="1" t="str">
        <f aca="false">IF(OR(F4731="",H4731="",J4731=""),"",J4731&amp;"|"&amp;F4731&amp;"|"&amp;IF(H4731="W3","W3_"&amp;IF(I4731="","unknown",I4731),H4731))</f>
        <v/>
      </c>
      <c r="Q4731" s="1" t="str">
        <f aca="false">IF(P4731="","",IFERROR(IF(AND(H4731="W7",OR(F4731="causal",F4731="predictive")),IF(AND(K4731=1,L4731=1,M4731=1),"adequate","partial"),INDEX(Fit_Matrix!$B:$B,MATCH(P4731,Fit_Matrix!$A:$A,0))),"CHECK KEY"))</f>
        <v/>
      </c>
    </row>
    <row r="4732" customFormat="false" ht="15" hidden="false" customHeight="true" outlineLevel="0" collapsed="false">
      <c r="P4732" s="1" t="str">
        <f aca="false">IF(OR(F4732="",H4732="",J4732=""),"",J4732&amp;"|"&amp;F4732&amp;"|"&amp;IF(H4732="W3","W3_"&amp;IF(I4732="","unknown",I4732),H4732))</f>
        <v/>
      </c>
      <c r="Q4732" s="1" t="str">
        <f aca="false">IF(P4732="","",IFERROR(IF(AND(H4732="W7",OR(F4732="causal",F4732="predictive")),IF(AND(K4732=1,L4732=1,M4732=1),"adequate","partial"),INDEX(Fit_Matrix!$B:$B,MATCH(P4732,Fit_Matrix!$A:$A,0))),"CHECK KEY"))</f>
        <v/>
      </c>
    </row>
    <row r="4733" customFormat="false" ht="15" hidden="false" customHeight="true" outlineLevel="0" collapsed="false">
      <c r="P4733" s="1" t="str">
        <f aca="false">IF(OR(F4733="",H4733="",J4733=""),"",J4733&amp;"|"&amp;F4733&amp;"|"&amp;IF(H4733="W3","W3_"&amp;IF(I4733="","unknown",I4733),H4733))</f>
        <v/>
      </c>
      <c r="Q4733" s="1" t="str">
        <f aca="false">IF(P4733="","",IFERROR(IF(AND(H4733="W7",OR(F4733="causal",F4733="predictive")),IF(AND(K4733=1,L4733=1,M4733=1),"adequate","partial"),INDEX(Fit_Matrix!$B:$B,MATCH(P4733,Fit_Matrix!$A:$A,0))),"CHECK KEY"))</f>
        <v/>
      </c>
    </row>
    <row r="4734" customFormat="false" ht="15" hidden="false" customHeight="true" outlineLevel="0" collapsed="false">
      <c r="P4734" s="1" t="str">
        <f aca="false">IF(OR(F4734="",H4734="",J4734=""),"",J4734&amp;"|"&amp;F4734&amp;"|"&amp;IF(H4734="W3","W3_"&amp;IF(I4734="","unknown",I4734),H4734))</f>
        <v/>
      </c>
      <c r="Q4734" s="1" t="str">
        <f aca="false">IF(P4734="","",IFERROR(IF(AND(H4734="W7",OR(F4734="causal",F4734="predictive")),IF(AND(K4734=1,L4734=1,M4734=1),"adequate","partial"),INDEX(Fit_Matrix!$B:$B,MATCH(P4734,Fit_Matrix!$A:$A,0))),"CHECK KEY"))</f>
        <v/>
      </c>
    </row>
    <row r="4735" customFormat="false" ht="15" hidden="false" customHeight="true" outlineLevel="0" collapsed="false">
      <c r="P4735" s="1" t="str">
        <f aca="false">IF(OR(F4735="",H4735="",J4735=""),"",J4735&amp;"|"&amp;F4735&amp;"|"&amp;IF(H4735="W3","W3_"&amp;IF(I4735="","unknown",I4735),H4735))</f>
        <v/>
      </c>
      <c r="Q4735" s="1" t="str">
        <f aca="false">IF(P4735="","",IFERROR(IF(AND(H4735="W7",OR(F4735="causal",F4735="predictive")),IF(AND(K4735=1,L4735=1,M4735=1),"adequate","partial"),INDEX(Fit_Matrix!$B:$B,MATCH(P4735,Fit_Matrix!$A:$A,0))),"CHECK KEY"))</f>
        <v/>
      </c>
    </row>
    <row r="4736" customFormat="false" ht="15" hidden="false" customHeight="true" outlineLevel="0" collapsed="false">
      <c r="P4736" s="1" t="str">
        <f aca="false">IF(OR(F4736="",H4736="",J4736=""),"",J4736&amp;"|"&amp;F4736&amp;"|"&amp;IF(H4736="W3","W3_"&amp;IF(I4736="","unknown",I4736),H4736))</f>
        <v/>
      </c>
      <c r="Q4736" s="1" t="str">
        <f aca="false">IF(P4736="","",IFERROR(IF(AND(H4736="W7",OR(F4736="causal",F4736="predictive")),IF(AND(K4736=1,L4736=1,M4736=1),"adequate","partial"),INDEX(Fit_Matrix!$B:$B,MATCH(P4736,Fit_Matrix!$A:$A,0))),"CHECK KEY"))</f>
        <v/>
      </c>
    </row>
    <row r="4737" customFormat="false" ht="15" hidden="false" customHeight="true" outlineLevel="0" collapsed="false">
      <c r="P4737" s="1" t="str">
        <f aca="false">IF(OR(F4737="",H4737="",J4737=""),"",J4737&amp;"|"&amp;F4737&amp;"|"&amp;IF(H4737="W3","W3_"&amp;IF(I4737="","unknown",I4737),H4737))</f>
        <v/>
      </c>
      <c r="Q4737" s="1" t="str">
        <f aca="false">IF(P4737="","",IFERROR(IF(AND(H4737="W7",OR(F4737="causal",F4737="predictive")),IF(AND(K4737=1,L4737=1,M4737=1),"adequate","partial"),INDEX(Fit_Matrix!$B:$B,MATCH(P4737,Fit_Matrix!$A:$A,0))),"CHECK KEY"))</f>
        <v/>
      </c>
    </row>
    <row r="4738" customFormat="false" ht="15" hidden="false" customHeight="true" outlineLevel="0" collapsed="false">
      <c r="P4738" s="1" t="str">
        <f aca="false">IF(OR(F4738="",H4738="",J4738=""),"",J4738&amp;"|"&amp;F4738&amp;"|"&amp;IF(H4738="W3","W3_"&amp;IF(I4738="","unknown",I4738),H4738))</f>
        <v/>
      </c>
      <c r="Q4738" s="1" t="str">
        <f aca="false">IF(P4738="","",IFERROR(IF(AND(H4738="W7",OR(F4738="causal",F4738="predictive")),IF(AND(K4738=1,L4738=1,M4738=1),"adequate","partial"),INDEX(Fit_Matrix!$B:$B,MATCH(P4738,Fit_Matrix!$A:$A,0))),"CHECK KEY"))</f>
        <v/>
      </c>
    </row>
    <row r="4739" customFormat="false" ht="15" hidden="false" customHeight="true" outlineLevel="0" collapsed="false">
      <c r="P4739" s="1" t="str">
        <f aca="false">IF(OR(F4739="",H4739="",J4739=""),"",J4739&amp;"|"&amp;F4739&amp;"|"&amp;IF(H4739="W3","W3_"&amp;IF(I4739="","unknown",I4739),H4739))</f>
        <v/>
      </c>
      <c r="Q4739" s="1" t="str">
        <f aca="false">IF(P4739="","",IFERROR(IF(AND(H4739="W7",OR(F4739="causal",F4739="predictive")),IF(AND(K4739=1,L4739=1,M4739=1),"adequate","partial"),INDEX(Fit_Matrix!$B:$B,MATCH(P4739,Fit_Matrix!$A:$A,0))),"CHECK KEY"))</f>
        <v/>
      </c>
    </row>
    <row r="4740" customFormat="false" ht="15" hidden="false" customHeight="true" outlineLevel="0" collapsed="false">
      <c r="P4740" s="1" t="str">
        <f aca="false">IF(OR(F4740="",H4740="",J4740=""),"",J4740&amp;"|"&amp;F4740&amp;"|"&amp;IF(H4740="W3","W3_"&amp;IF(I4740="","unknown",I4740),H4740))</f>
        <v/>
      </c>
      <c r="Q4740" s="1" t="str">
        <f aca="false">IF(P4740="","",IFERROR(IF(AND(H4740="W7",OR(F4740="causal",F4740="predictive")),IF(AND(K4740=1,L4740=1,M4740=1),"adequate","partial"),INDEX(Fit_Matrix!$B:$B,MATCH(P4740,Fit_Matrix!$A:$A,0))),"CHECK KEY"))</f>
        <v/>
      </c>
    </row>
    <row r="4741" customFormat="false" ht="15" hidden="false" customHeight="true" outlineLevel="0" collapsed="false">
      <c r="P4741" s="1" t="str">
        <f aca="false">IF(OR(F4741="",H4741="",J4741=""),"",J4741&amp;"|"&amp;F4741&amp;"|"&amp;IF(H4741="W3","W3_"&amp;IF(I4741="","unknown",I4741),H4741))</f>
        <v/>
      </c>
      <c r="Q4741" s="1" t="str">
        <f aca="false">IF(P4741="","",IFERROR(IF(AND(H4741="W7",OR(F4741="causal",F4741="predictive")),IF(AND(K4741=1,L4741=1,M4741=1),"adequate","partial"),INDEX(Fit_Matrix!$B:$B,MATCH(P4741,Fit_Matrix!$A:$A,0))),"CHECK KEY"))</f>
        <v/>
      </c>
    </row>
    <row r="4742" customFormat="false" ht="15" hidden="false" customHeight="true" outlineLevel="0" collapsed="false">
      <c r="P4742" s="1" t="str">
        <f aca="false">IF(OR(F4742="",H4742="",J4742=""),"",J4742&amp;"|"&amp;F4742&amp;"|"&amp;IF(H4742="W3","W3_"&amp;IF(I4742="","unknown",I4742),H4742))</f>
        <v/>
      </c>
      <c r="Q4742" s="1" t="str">
        <f aca="false">IF(P4742="","",IFERROR(IF(AND(H4742="W7",OR(F4742="causal",F4742="predictive")),IF(AND(K4742=1,L4742=1,M4742=1),"adequate","partial"),INDEX(Fit_Matrix!$B:$B,MATCH(P4742,Fit_Matrix!$A:$A,0))),"CHECK KEY"))</f>
        <v/>
      </c>
    </row>
    <row r="4743" customFormat="false" ht="15" hidden="false" customHeight="true" outlineLevel="0" collapsed="false">
      <c r="P4743" s="1" t="str">
        <f aca="false">IF(OR(F4743="",H4743="",J4743=""),"",J4743&amp;"|"&amp;F4743&amp;"|"&amp;IF(H4743="W3","W3_"&amp;IF(I4743="","unknown",I4743),H4743))</f>
        <v/>
      </c>
      <c r="Q4743" s="1" t="str">
        <f aca="false">IF(P4743="","",IFERROR(IF(AND(H4743="W7",OR(F4743="causal",F4743="predictive")),IF(AND(K4743=1,L4743=1,M4743=1),"adequate","partial"),INDEX(Fit_Matrix!$B:$B,MATCH(P4743,Fit_Matrix!$A:$A,0))),"CHECK KEY"))</f>
        <v/>
      </c>
    </row>
    <row r="4744" customFormat="false" ht="15" hidden="false" customHeight="true" outlineLevel="0" collapsed="false">
      <c r="P4744" s="1" t="str">
        <f aca="false">IF(OR(F4744="",H4744="",J4744=""),"",J4744&amp;"|"&amp;F4744&amp;"|"&amp;IF(H4744="W3","W3_"&amp;IF(I4744="","unknown",I4744),H4744))</f>
        <v/>
      </c>
      <c r="Q4744" s="1" t="str">
        <f aca="false">IF(P4744="","",IFERROR(IF(AND(H4744="W7",OR(F4744="causal",F4744="predictive")),IF(AND(K4744=1,L4744=1,M4744=1),"adequate","partial"),INDEX(Fit_Matrix!$B:$B,MATCH(P4744,Fit_Matrix!$A:$A,0))),"CHECK KEY"))</f>
        <v/>
      </c>
    </row>
    <row r="4745" customFormat="false" ht="15" hidden="false" customHeight="true" outlineLevel="0" collapsed="false">
      <c r="P4745" s="1" t="str">
        <f aca="false">IF(OR(F4745="",H4745="",J4745=""),"",J4745&amp;"|"&amp;F4745&amp;"|"&amp;IF(H4745="W3","W3_"&amp;IF(I4745="","unknown",I4745),H4745))</f>
        <v/>
      </c>
      <c r="Q4745" s="1" t="str">
        <f aca="false">IF(P4745="","",IFERROR(IF(AND(H4745="W7",OR(F4745="causal",F4745="predictive")),IF(AND(K4745=1,L4745=1,M4745=1),"adequate","partial"),INDEX(Fit_Matrix!$B:$B,MATCH(P4745,Fit_Matrix!$A:$A,0))),"CHECK KEY"))</f>
        <v/>
      </c>
    </row>
    <row r="4746" customFormat="false" ht="15" hidden="false" customHeight="true" outlineLevel="0" collapsed="false">
      <c r="P4746" s="1" t="str">
        <f aca="false">IF(OR(F4746="",H4746="",J4746=""),"",J4746&amp;"|"&amp;F4746&amp;"|"&amp;IF(H4746="W3","W3_"&amp;IF(I4746="","unknown",I4746),H4746))</f>
        <v/>
      </c>
      <c r="Q4746" s="1" t="str">
        <f aca="false">IF(P4746="","",IFERROR(IF(AND(H4746="W7",OR(F4746="causal",F4746="predictive")),IF(AND(K4746=1,L4746=1,M4746=1),"adequate","partial"),INDEX(Fit_Matrix!$B:$B,MATCH(P4746,Fit_Matrix!$A:$A,0))),"CHECK KEY"))</f>
        <v/>
      </c>
    </row>
    <row r="4747" customFormat="false" ht="15" hidden="false" customHeight="true" outlineLevel="0" collapsed="false">
      <c r="P4747" s="1" t="str">
        <f aca="false">IF(OR(F4747="",H4747="",J4747=""),"",J4747&amp;"|"&amp;F4747&amp;"|"&amp;IF(H4747="W3","W3_"&amp;IF(I4747="","unknown",I4747),H4747))</f>
        <v/>
      </c>
      <c r="Q4747" s="1" t="str">
        <f aca="false">IF(P4747="","",IFERROR(IF(AND(H4747="W7",OR(F4747="causal",F4747="predictive")),IF(AND(K4747=1,L4747=1,M4747=1),"adequate","partial"),INDEX(Fit_Matrix!$B:$B,MATCH(P4747,Fit_Matrix!$A:$A,0))),"CHECK KEY"))</f>
        <v/>
      </c>
    </row>
    <row r="4748" customFormat="false" ht="15" hidden="false" customHeight="true" outlineLevel="0" collapsed="false">
      <c r="P4748" s="1" t="str">
        <f aca="false">IF(OR(F4748="",H4748="",J4748=""),"",J4748&amp;"|"&amp;F4748&amp;"|"&amp;IF(H4748="W3","W3_"&amp;IF(I4748="","unknown",I4748),H4748))</f>
        <v/>
      </c>
      <c r="Q4748" s="1" t="str">
        <f aca="false">IF(P4748="","",IFERROR(IF(AND(H4748="W7",OR(F4748="causal",F4748="predictive")),IF(AND(K4748=1,L4748=1,M4748=1),"adequate","partial"),INDEX(Fit_Matrix!$B:$B,MATCH(P4748,Fit_Matrix!$A:$A,0))),"CHECK KEY"))</f>
        <v/>
      </c>
    </row>
    <row r="4749" customFormat="false" ht="15" hidden="false" customHeight="true" outlineLevel="0" collapsed="false">
      <c r="P4749" s="1" t="str">
        <f aca="false">IF(OR(F4749="",H4749="",J4749=""),"",J4749&amp;"|"&amp;F4749&amp;"|"&amp;IF(H4749="W3","W3_"&amp;IF(I4749="","unknown",I4749),H4749))</f>
        <v/>
      </c>
      <c r="Q4749" s="1" t="str">
        <f aca="false">IF(P4749="","",IFERROR(IF(AND(H4749="W7",OR(F4749="causal",F4749="predictive")),IF(AND(K4749=1,L4749=1,M4749=1),"adequate","partial"),INDEX(Fit_Matrix!$B:$B,MATCH(P4749,Fit_Matrix!$A:$A,0))),"CHECK KEY"))</f>
        <v/>
      </c>
    </row>
    <row r="4750" customFormat="false" ht="15" hidden="false" customHeight="true" outlineLevel="0" collapsed="false">
      <c r="P4750" s="1" t="str">
        <f aca="false">IF(OR(F4750="",H4750="",J4750=""),"",J4750&amp;"|"&amp;F4750&amp;"|"&amp;IF(H4750="W3","W3_"&amp;IF(I4750="","unknown",I4750),H4750))</f>
        <v/>
      </c>
      <c r="Q4750" s="1" t="str">
        <f aca="false">IF(P4750="","",IFERROR(IF(AND(H4750="W7",OR(F4750="causal",F4750="predictive")),IF(AND(K4750=1,L4750=1,M4750=1),"adequate","partial"),INDEX(Fit_Matrix!$B:$B,MATCH(P4750,Fit_Matrix!$A:$A,0))),"CHECK KEY"))</f>
        <v/>
      </c>
    </row>
    <row r="4751" customFormat="false" ht="15" hidden="false" customHeight="true" outlineLevel="0" collapsed="false">
      <c r="P4751" s="1" t="str">
        <f aca="false">IF(OR(F4751="",H4751="",J4751=""),"",J4751&amp;"|"&amp;F4751&amp;"|"&amp;IF(H4751="W3","W3_"&amp;IF(I4751="","unknown",I4751),H4751))</f>
        <v/>
      </c>
      <c r="Q4751" s="1" t="str">
        <f aca="false">IF(P4751="","",IFERROR(IF(AND(H4751="W7",OR(F4751="causal",F4751="predictive")),IF(AND(K4751=1,L4751=1,M4751=1),"adequate","partial"),INDEX(Fit_Matrix!$B:$B,MATCH(P4751,Fit_Matrix!$A:$A,0))),"CHECK KEY"))</f>
        <v/>
      </c>
    </row>
    <row r="4752" customFormat="false" ht="15" hidden="false" customHeight="true" outlineLevel="0" collapsed="false">
      <c r="P4752" s="1" t="str">
        <f aca="false">IF(OR(F4752="",H4752="",J4752=""),"",J4752&amp;"|"&amp;F4752&amp;"|"&amp;IF(H4752="W3","W3_"&amp;IF(I4752="","unknown",I4752),H4752))</f>
        <v/>
      </c>
      <c r="Q4752" s="1" t="str">
        <f aca="false">IF(P4752="","",IFERROR(IF(AND(H4752="W7",OR(F4752="causal",F4752="predictive")),IF(AND(K4752=1,L4752=1,M4752=1),"adequate","partial"),INDEX(Fit_Matrix!$B:$B,MATCH(P4752,Fit_Matrix!$A:$A,0))),"CHECK KEY"))</f>
        <v/>
      </c>
    </row>
    <row r="4753" customFormat="false" ht="15" hidden="false" customHeight="true" outlineLevel="0" collapsed="false">
      <c r="P4753" s="1" t="str">
        <f aca="false">IF(OR(F4753="",H4753="",J4753=""),"",J4753&amp;"|"&amp;F4753&amp;"|"&amp;IF(H4753="W3","W3_"&amp;IF(I4753="","unknown",I4753),H4753))</f>
        <v/>
      </c>
      <c r="Q4753" s="1" t="str">
        <f aca="false">IF(P4753="","",IFERROR(IF(AND(H4753="W7",OR(F4753="causal",F4753="predictive")),IF(AND(K4753=1,L4753=1,M4753=1),"adequate","partial"),INDEX(Fit_Matrix!$B:$B,MATCH(P4753,Fit_Matrix!$A:$A,0))),"CHECK KEY"))</f>
        <v/>
      </c>
    </row>
    <row r="4754" customFormat="false" ht="15" hidden="false" customHeight="true" outlineLevel="0" collapsed="false">
      <c r="P4754" s="1" t="str">
        <f aca="false">IF(OR(F4754="",H4754="",J4754=""),"",J4754&amp;"|"&amp;F4754&amp;"|"&amp;IF(H4754="W3","W3_"&amp;IF(I4754="","unknown",I4754),H4754))</f>
        <v/>
      </c>
      <c r="Q4754" s="1" t="str">
        <f aca="false">IF(P4754="","",IFERROR(IF(AND(H4754="W7",OR(F4754="causal",F4754="predictive")),IF(AND(K4754=1,L4754=1,M4754=1),"adequate","partial"),INDEX(Fit_Matrix!$B:$B,MATCH(P4754,Fit_Matrix!$A:$A,0))),"CHECK KEY"))</f>
        <v/>
      </c>
    </row>
    <row r="4755" customFormat="false" ht="15" hidden="false" customHeight="true" outlineLevel="0" collapsed="false">
      <c r="P4755" s="1" t="str">
        <f aca="false">IF(OR(F4755="",H4755="",J4755=""),"",J4755&amp;"|"&amp;F4755&amp;"|"&amp;IF(H4755="W3","W3_"&amp;IF(I4755="","unknown",I4755),H4755))</f>
        <v/>
      </c>
      <c r="Q4755" s="1" t="str">
        <f aca="false">IF(P4755="","",IFERROR(IF(AND(H4755="W7",OR(F4755="causal",F4755="predictive")),IF(AND(K4755=1,L4755=1,M4755=1),"adequate","partial"),INDEX(Fit_Matrix!$B:$B,MATCH(P4755,Fit_Matrix!$A:$A,0))),"CHECK KEY"))</f>
        <v/>
      </c>
    </row>
    <row r="4756" customFormat="false" ht="15" hidden="false" customHeight="true" outlineLevel="0" collapsed="false">
      <c r="P4756" s="1" t="str">
        <f aca="false">IF(OR(F4756="",H4756="",J4756=""),"",J4756&amp;"|"&amp;F4756&amp;"|"&amp;IF(H4756="W3","W3_"&amp;IF(I4756="","unknown",I4756),H4756))</f>
        <v/>
      </c>
      <c r="Q4756" s="1" t="str">
        <f aca="false">IF(P4756="","",IFERROR(IF(AND(H4756="W7",OR(F4756="causal",F4756="predictive")),IF(AND(K4756=1,L4756=1,M4756=1),"adequate","partial"),INDEX(Fit_Matrix!$B:$B,MATCH(P4756,Fit_Matrix!$A:$A,0))),"CHECK KEY"))</f>
        <v/>
      </c>
    </row>
    <row r="4757" customFormat="false" ht="15" hidden="false" customHeight="true" outlineLevel="0" collapsed="false">
      <c r="P4757" s="1" t="str">
        <f aca="false">IF(OR(F4757="",H4757="",J4757=""),"",J4757&amp;"|"&amp;F4757&amp;"|"&amp;IF(H4757="W3","W3_"&amp;IF(I4757="","unknown",I4757),H4757))</f>
        <v/>
      </c>
      <c r="Q4757" s="1" t="str">
        <f aca="false">IF(P4757="","",IFERROR(IF(AND(H4757="W7",OR(F4757="causal",F4757="predictive")),IF(AND(K4757=1,L4757=1,M4757=1),"adequate","partial"),INDEX(Fit_Matrix!$B:$B,MATCH(P4757,Fit_Matrix!$A:$A,0))),"CHECK KEY"))</f>
        <v/>
      </c>
    </row>
    <row r="4758" customFormat="false" ht="15" hidden="false" customHeight="true" outlineLevel="0" collapsed="false">
      <c r="P4758" s="1" t="str">
        <f aca="false">IF(OR(F4758="",H4758="",J4758=""),"",J4758&amp;"|"&amp;F4758&amp;"|"&amp;IF(H4758="W3","W3_"&amp;IF(I4758="","unknown",I4758),H4758))</f>
        <v/>
      </c>
      <c r="Q4758" s="1" t="str">
        <f aca="false">IF(P4758="","",IFERROR(IF(AND(H4758="W7",OR(F4758="causal",F4758="predictive")),IF(AND(K4758=1,L4758=1,M4758=1),"adequate","partial"),INDEX(Fit_Matrix!$B:$B,MATCH(P4758,Fit_Matrix!$A:$A,0))),"CHECK KEY"))</f>
        <v/>
      </c>
    </row>
    <row r="4759" customFormat="false" ht="15" hidden="false" customHeight="true" outlineLevel="0" collapsed="false">
      <c r="P4759" s="1" t="str">
        <f aca="false">IF(OR(F4759="",H4759="",J4759=""),"",J4759&amp;"|"&amp;F4759&amp;"|"&amp;IF(H4759="W3","W3_"&amp;IF(I4759="","unknown",I4759),H4759))</f>
        <v/>
      </c>
      <c r="Q4759" s="1" t="str">
        <f aca="false">IF(P4759="","",IFERROR(IF(AND(H4759="W7",OR(F4759="causal",F4759="predictive")),IF(AND(K4759=1,L4759=1,M4759=1),"adequate","partial"),INDEX(Fit_Matrix!$B:$B,MATCH(P4759,Fit_Matrix!$A:$A,0))),"CHECK KEY"))</f>
        <v/>
      </c>
    </row>
    <row r="4760" customFormat="false" ht="15" hidden="false" customHeight="true" outlineLevel="0" collapsed="false">
      <c r="P4760" s="1" t="str">
        <f aca="false">IF(OR(F4760="",H4760="",J4760=""),"",J4760&amp;"|"&amp;F4760&amp;"|"&amp;IF(H4760="W3","W3_"&amp;IF(I4760="","unknown",I4760),H4760))</f>
        <v/>
      </c>
      <c r="Q4760" s="1" t="str">
        <f aca="false">IF(P4760="","",IFERROR(IF(AND(H4760="W7",OR(F4760="causal",F4760="predictive")),IF(AND(K4760=1,L4760=1,M4760=1),"adequate","partial"),INDEX(Fit_Matrix!$B:$B,MATCH(P4760,Fit_Matrix!$A:$A,0))),"CHECK KEY"))</f>
        <v/>
      </c>
    </row>
    <row r="4761" customFormat="false" ht="15" hidden="false" customHeight="true" outlineLevel="0" collapsed="false">
      <c r="P4761" s="1" t="str">
        <f aca="false">IF(OR(F4761="",H4761="",J4761=""),"",J4761&amp;"|"&amp;F4761&amp;"|"&amp;IF(H4761="W3","W3_"&amp;IF(I4761="","unknown",I4761),H4761))</f>
        <v/>
      </c>
      <c r="Q4761" s="1" t="str">
        <f aca="false">IF(P4761="","",IFERROR(IF(AND(H4761="W7",OR(F4761="causal",F4761="predictive")),IF(AND(K4761=1,L4761=1,M4761=1),"adequate","partial"),INDEX(Fit_Matrix!$B:$B,MATCH(P4761,Fit_Matrix!$A:$A,0))),"CHECK KEY"))</f>
        <v/>
      </c>
    </row>
    <row r="4762" customFormat="false" ht="15" hidden="false" customHeight="true" outlineLevel="0" collapsed="false">
      <c r="P4762" s="1" t="str">
        <f aca="false">IF(OR(F4762="",H4762="",J4762=""),"",J4762&amp;"|"&amp;F4762&amp;"|"&amp;IF(H4762="W3","W3_"&amp;IF(I4762="","unknown",I4762),H4762))</f>
        <v/>
      </c>
      <c r="Q4762" s="1" t="str">
        <f aca="false">IF(P4762="","",IFERROR(IF(AND(H4762="W7",OR(F4762="causal",F4762="predictive")),IF(AND(K4762=1,L4762=1,M4762=1),"adequate","partial"),INDEX(Fit_Matrix!$B:$B,MATCH(P4762,Fit_Matrix!$A:$A,0))),"CHECK KEY"))</f>
        <v/>
      </c>
    </row>
    <row r="4763" customFormat="false" ht="15" hidden="false" customHeight="true" outlineLevel="0" collapsed="false">
      <c r="P4763" s="1" t="str">
        <f aca="false">IF(OR(F4763="",H4763="",J4763=""),"",J4763&amp;"|"&amp;F4763&amp;"|"&amp;IF(H4763="W3","W3_"&amp;IF(I4763="","unknown",I4763),H4763))</f>
        <v/>
      </c>
      <c r="Q4763" s="1" t="str">
        <f aca="false">IF(P4763="","",IFERROR(IF(AND(H4763="W7",OR(F4763="causal",F4763="predictive")),IF(AND(K4763=1,L4763=1,M4763=1),"adequate","partial"),INDEX(Fit_Matrix!$B:$B,MATCH(P4763,Fit_Matrix!$A:$A,0))),"CHECK KEY"))</f>
        <v/>
      </c>
    </row>
    <row r="4764" customFormat="false" ht="15" hidden="false" customHeight="true" outlineLevel="0" collapsed="false">
      <c r="P4764" s="1" t="str">
        <f aca="false">IF(OR(F4764="",H4764="",J4764=""),"",J4764&amp;"|"&amp;F4764&amp;"|"&amp;IF(H4764="W3","W3_"&amp;IF(I4764="","unknown",I4764),H4764))</f>
        <v/>
      </c>
      <c r="Q4764" s="1" t="str">
        <f aca="false">IF(P4764="","",IFERROR(IF(AND(H4764="W7",OR(F4764="causal",F4764="predictive")),IF(AND(K4764=1,L4764=1,M4764=1),"adequate","partial"),INDEX(Fit_Matrix!$B:$B,MATCH(P4764,Fit_Matrix!$A:$A,0))),"CHECK KEY"))</f>
        <v/>
      </c>
    </row>
    <row r="4765" customFormat="false" ht="15" hidden="false" customHeight="true" outlineLevel="0" collapsed="false">
      <c r="P4765" s="1" t="str">
        <f aca="false">IF(OR(F4765="",H4765="",J4765=""),"",J4765&amp;"|"&amp;F4765&amp;"|"&amp;IF(H4765="W3","W3_"&amp;IF(I4765="","unknown",I4765),H4765))</f>
        <v/>
      </c>
      <c r="Q4765" s="1" t="str">
        <f aca="false">IF(P4765="","",IFERROR(IF(AND(H4765="W7",OR(F4765="causal",F4765="predictive")),IF(AND(K4765=1,L4765=1,M4765=1),"adequate","partial"),INDEX(Fit_Matrix!$B:$B,MATCH(P4765,Fit_Matrix!$A:$A,0))),"CHECK KEY"))</f>
        <v/>
      </c>
    </row>
    <row r="4766" customFormat="false" ht="15" hidden="false" customHeight="true" outlineLevel="0" collapsed="false">
      <c r="P4766" s="1" t="str">
        <f aca="false">IF(OR(F4766="",H4766="",J4766=""),"",J4766&amp;"|"&amp;F4766&amp;"|"&amp;IF(H4766="W3","W3_"&amp;IF(I4766="","unknown",I4766),H4766))</f>
        <v/>
      </c>
      <c r="Q4766" s="1" t="str">
        <f aca="false">IF(P4766="","",IFERROR(IF(AND(H4766="W7",OR(F4766="causal",F4766="predictive")),IF(AND(K4766=1,L4766=1,M4766=1),"adequate","partial"),INDEX(Fit_Matrix!$B:$B,MATCH(P4766,Fit_Matrix!$A:$A,0))),"CHECK KEY"))</f>
        <v/>
      </c>
    </row>
    <row r="4767" customFormat="false" ht="15" hidden="false" customHeight="true" outlineLevel="0" collapsed="false">
      <c r="P4767" s="1" t="str">
        <f aca="false">IF(OR(F4767="",H4767="",J4767=""),"",J4767&amp;"|"&amp;F4767&amp;"|"&amp;IF(H4767="W3","W3_"&amp;IF(I4767="","unknown",I4767),H4767))</f>
        <v/>
      </c>
      <c r="Q4767" s="1" t="str">
        <f aca="false">IF(P4767="","",IFERROR(IF(AND(H4767="W7",OR(F4767="causal",F4767="predictive")),IF(AND(K4767=1,L4767=1,M4767=1),"adequate","partial"),INDEX(Fit_Matrix!$B:$B,MATCH(P4767,Fit_Matrix!$A:$A,0))),"CHECK KEY"))</f>
        <v/>
      </c>
    </row>
    <row r="4768" customFormat="false" ht="15" hidden="false" customHeight="true" outlineLevel="0" collapsed="false">
      <c r="P4768" s="1" t="str">
        <f aca="false">IF(OR(F4768="",H4768="",J4768=""),"",J4768&amp;"|"&amp;F4768&amp;"|"&amp;IF(H4768="W3","W3_"&amp;IF(I4768="","unknown",I4768),H4768))</f>
        <v/>
      </c>
      <c r="Q4768" s="1" t="str">
        <f aca="false">IF(P4768="","",IFERROR(IF(AND(H4768="W7",OR(F4768="causal",F4768="predictive")),IF(AND(K4768=1,L4768=1,M4768=1),"adequate","partial"),INDEX(Fit_Matrix!$B:$B,MATCH(P4768,Fit_Matrix!$A:$A,0))),"CHECK KEY"))</f>
        <v/>
      </c>
    </row>
    <row r="4769" customFormat="false" ht="15" hidden="false" customHeight="true" outlineLevel="0" collapsed="false">
      <c r="P4769" s="1" t="str">
        <f aca="false">IF(OR(F4769="",H4769="",J4769=""),"",J4769&amp;"|"&amp;F4769&amp;"|"&amp;IF(H4769="W3","W3_"&amp;IF(I4769="","unknown",I4769),H4769))</f>
        <v/>
      </c>
      <c r="Q4769" s="1" t="str">
        <f aca="false">IF(P4769="","",IFERROR(IF(AND(H4769="W7",OR(F4769="causal",F4769="predictive")),IF(AND(K4769=1,L4769=1,M4769=1),"adequate","partial"),INDEX(Fit_Matrix!$B:$B,MATCH(P4769,Fit_Matrix!$A:$A,0))),"CHECK KEY"))</f>
        <v/>
      </c>
    </row>
    <row r="4770" customFormat="false" ht="15" hidden="false" customHeight="true" outlineLevel="0" collapsed="false">
      <c r="P4770" s="1" t="str">
        <f aca="false">IF(OR(F4770="",H4770="",J4770=""),"",J4770&amp;"|"&amp;F4770&amp;"|"&amp;IF(H4770="W3","W3_"&amp;IF(I4770="","unknown",I4770),H4770))</f>
        <v/>
      </c>
      <c r="Q4770" s="1" t="str">
        <f aca="false">IF(P4770="","",IFERROR(IF(AND(H4770="W7",OR(F4770="causal",F4770="predictive")),IF(AND(K4770=1,L4770=1,M4770=1),"adequate","partial"),INDEX(Fit_Matrix!$B:$B,MATCH(P4770,Fit_Matrix!$A:$A,0))),"CHECK KEY"))</f>
        <v/>
      </c>
    </row>
    <row r="4771" customFormat="false" ht="15" hidden="false" customHeight="true" outlineLevel="0" collapsed="false">
      <c r="P4771" s="1" t="str">
        <f aca="false">IF(OR(F4771="",H4771="",J4771=""),"",J4771&amp;"|"&amp;F4771&amp;"|"&amp;IF(H4771="W3","W3_"&amp;IF(I4771="","unknown",I4771),H4771))</f>
        <v/>
      </c>
      <c r="Q4771" s="1" t="str">
        <f aca="false">IF(P4771="","",IFERROR(IF(AND(H4771="W7",OR(F4771="causal",F4771="predictive")),IF(AND(K4771=1,L4771=1,M4771=1),"adequate","partial"),INDEX(Fit_Matrix!$B:$B,MATCH(P4771,Fit_Matrix!$A:$A,0))),"CHECK KEY"))</f>
        <v/>
      </c>
    </row>
    <row r="4772" customFormat="false" ht="15" hidden="false" customHeight="true" outlineLevel="0" collapsed="false">
      <c r="P4772" s="1" t="str">
        <f aca="false">IF(OR(F4772="",H4772="",J4772=""),"",J4772&amp;"|"&amp;F4772&amp;"|"&amp;IF(H4772="W3","W3_"&amp;IF(I4772="","unknown",I4772),H4772))</f>
        <v/>
      </c>
      <c r="Q4772" s="1" t="str">
        <f aca="false">IF(P4772="","",IFERROR(IF(AND(H4772="W7",OR(F4772="causal",F4772="predictive")),IF(AND(K4772=1,L4772=1,M4772=1),"adequate","partial"),INDEX(Fit_Matrix!$B:$B,MATCH(P4772,Fit_Matrix!$A:$A,0))),"CHECK KEY"))</f>
        <v/>
      </c>
    </row>
    <row r="4773" customFormat="false" ht="15" hidden="false" customHeight="true" outlineLevel="0" collapsed="false">
      <c r="P4773" s="1" t="str">
        <f aca="false">IF(OR(F4773="",H4773="",J4773=""),"",J4773&amp;"|"&amp;F4773&amp;"|"&amp;IF(H4773="W3","W3_"&amp;IF(I4773="","unknown",I4773),H4773))</f>
        <v/>
      </c>
      <c r="Q4773" s="1" t="str">
        <f aca="false">IF(P4773="","",IFERROR(IF(AND(H4773="W7",OR(F4773="causal",F4773="predictive")),IF(AND(K4773=1,L4773=1,M4773=1),"adequate","partial"),INDEX(Fit_Matrix!$B:$B,MATCH(P4773,Fit_Matrix!$A:$A,0))),"CHECK KEY"))</f>
        <v/>
      </c>
    </row>
    <row r="4774" customFormat="false" ht="15" hidden="false" customHeight="true" outlineLevel="0" collapsed="false">
      <c r="P4774" s="1" t="str">
        <f aca="false">IF(OR(F4774="",H4774="",J4774=""),"",J4774&amp;"|"&amp;F4774&amp;"|"&amp;IF(H4774="W3","W3_"&amp;IF(I4774="","unknown",I4774),H4774))</f>
        <v/>
      </c>
      <c r="Q4774" s="1" t="str">
        <f aca="false">IF(P4774="","",IFERROR(IF(AND(H4774="W7",OR(F4774="causal",F4774="predictive")),IF(AND(K4774=1,L4774=1,M4774=1),"adequate","partial"),INDEX(Fit_Matrix!$B:$B,MATCH(P4774,Fit_Matrix!$A:$A,0))),"CHECK KEY"))</f>
        <v/>
      </c>
    </row>
    <row r="4775" customFormat="false" ht="15" hidden="false" customHeight="true" outlineLevel="0" collapsed="false">
      <c r="P4775" s="1" t="str">
        <f aca="false">IF(OR(F4775="",H4775="",J4775=""),"",J4775&amp;"|"&amp;F4775&amp;"|"&amp;IF(H4775="W3","W3_"&amp;IF(I4775="","unknown",I4775),H4775))</f>
        <v/>
      </c>
      <c r="Q4775" s="1" t="str">
        <f aca="false">IF(P4775="","",IFERROR(IF(AND(H4775="W7",OR(F4775="causal",F4775="predictive")),IF(AND(K4775=1,L4775=1,M4775=1),"adequate","partial"),INDEX(Fit_Matrix!$B:$B,MATCH(P4775,Fit_Matrix!$A:$A,0))),"CHECK KEY"))</f>
        <v/>
      </c>
    </row>
    <row r="4776" customFormat="false" ht="15" hidden="false" customHeight="true" outlineLevel="0" collapsed="false">
      <c r="P4776" s="1" t="str">
        <f aca="false">IF(OR(F4776="",H4776="",J4776=""),"",J4776&amp;"|"&amp;F4776&amp;"|"&amp;IF(H4776="W3","W3_"&amp;IF(I4776="","unknown",I4776),H4776))</f>
        <v/>
      </c>
      <c r="Q4776" s="1" t="str">
        <f aca="false">IF(P4776="","",IFERROR(IF(AND(H4776="W7",OR(F4776="causal",F4776="predictive")),IF(AND(K4776=1,L4776=1,M4776=1),"adequate","partial"),INDEX(Fit_Matrix!$B:$B,MATCH(P4776,Fit_Matrix!$A:$A,0))),"CHECK KEY"))</f>
        <v/>
      </c>
    </row>
    <row r="4777" customFormat="false" ht="15" hidden="false" customHeight="true" outlineLevel="0" collapsed="false">
      <c r="P4777" s="1" t="str">
        <f aca="false">IF(OR(F4777="",H4777="",J4777=""),"",J4777&amp;"|"&amp;F4777&amp;"|"&amp;IF(H4777="W3","W3_"&amp;IF(I4777="","unknown",I4777),H4777))</f>
        <v/>
      </c>
      <c r="Q4777" s="1" t="str">
        <f aca="false">IF(P4777="","",IFERROR(IF(AND(H4777="W7",OR(F4777="causal",F4777="predictive")),IF(AND(K4777=1,L4777=1,M4777=1),"adequate","partial"),INDEX(Fit_Matrix!$B:$B,MATCH(P4777,Fit_Matrix!$A:$A,0))),"CHECK KEY"))</f>
        <v/>
      </c>
    </row>
    <row r="4778" customFormat="false" ht="15" hidden="false" customHeight="true" outlineLevel="0" collapsed="false">
      <c r="P4778" s="1" t="str">
        <f aca="false">IF(OR(F4778="",H4778="",J4778=""),"",J4778&amp;"|"&amp;F4778&amp;"|"&amp;IF(H4778="W3","W3_"&amp;IF(I4778="","unknown",I4778),H4778))</f>
        <v/>
      </c>
      <c r="Q4778" s="1" t="str">
        <f aca="false">IF(P4778="","",IFERROR(IF(AND(H4778="W7",OR(F4778="causal",F4778="predictive")),IF(AND(K4778=1,L4778=1,M4778=1),"adequate","partial"),INDEX(Fit_Matrix!$B:$B,MATCH(P4778,Fit_Matrix!$A:$A,0))),"CHECK KEY"))</f>
        <v/>
      </c>
    </row>
    <row r="4779" customFormat="false" ht="15" hidden="false" customHeight="true" outlineLevel="0" collapsed="false">
      <c r="P4779" s="1" t="str">
        <f aca="false">IF(OR(F4779="",H4779="",J4779=""),"",J4779&amp;"|"&amp;F4779&amp;"|"&amp;IF(H4779="W3","W3_"&amp;IF(I4779="","unknown",I4779),H4779))</f>
        <v/>
      </c>
      <c r="Q4779" s="1" t="str">
        <f aca="false">IF(P4779="","",IFERROR(IF(AND(H4779="W7",OR(F4779="causal",F4779="predictive")),IF(AND(K4779=1,L4779=1,M4779=1),"adequate","partial"),INDEX(Fit_Matrix!$B:$B,MATCH(P4779,Fit_Matrix!$A:$A,0))),"CHECK KEY"))</f>
        <v/>
      </c>
    </row>
    <row r="4780" customFormat="false" ht="15" hidden="false" customHeight="true" outlineLevel="0" collapsed="false">
      <c r="P4780" s="1" t="str">
        <f aca="false">IF(OR(F4780="",H4780="",J4780=""),"",J4780&amp;"|"&amp;F4780&amp;"|"&amp;IF(H4780="W3","W3_"&amp;IF(I4780="","unknown",I4780),H4780))</f>
        <v/>
      </c>
      <c r="Q4780" s="1" t="str">
        <f aca="false">IF(P4780="","",IFERROR(IF(AND(H4780="W7",OR(F4780="causal",F4780="predictive")),IF(AND(K4780=1,L4780=1,M4780=1),"adequate","partial"),INDEX(Fit_Matrix!$B:$B,MATCH(P4780,Fit_Matrix!$A:$A,0))),"CHECK KEY"))</f>
        <v/>
      </c>
    </row>
    <row r="4781" customFormat="false" ht="15" hidden="false" customHeight="true" outlineLevel="0" collapsed="false">
      <c r="P4781" s="1" t="str">
        <f aca="false">IF(OR(F4781="",H4781="",J4781=""),"",J4781&amp;"|"&amp;F4781&amp;"|"&amp;IF(H4781="W3","W3_"&amp;IF(I4781="","unknown",I4781),H4781))</f>
        <v/>
      </c>
      <c r="Q4781" s="1" t="str">
        <f aca="false">IF(P4781="","",IFERROR(IF(AND(H4781="W7",OR(F4781="causal",F4781="predictive")),IF(AND(K4781=1,L4781=1,M4781=1),"adequate","partial"),INDEX(Fit_Matrix!$B:$B,MATCH(P4781,Fit_Matrix!$A:$A,0))),"CHECK KEY"))</f>
        <v/>
      </c>
    </row>
    <row r="4782" customFormat="false" ht="15" hidden="false" customHeight="true" outlineLevel="0" collapsed="false">
      <c r="P4782" s="1" t="str">
        <f aca="false">IF(OR(F4782="",H4782="",J4782=""),"",J4782&amp;"|"&amp;F4782&amp;"|"&amp;IF(H4782="W3","W3_"&amp;IF(I4782="","unknown",I4782),H4782))</f>
        <v/>
      </c>
      <c r="Q4782" s="1" t="str">
        <f aca="false">IF(P4782="","",IFERROR(IF(AND(H4782="W7",OR(F4782="causal",F4782="predictive")),IF(AND(K4782=1,L4782=1,M4782=1),"adequate","partial"),INDEX(Fit_Matrix!$B:$B,MATCH(P4782,Fit_Matrix!$A:$A,0))),"CHECK KEY"))</f>
        <v/>
      </c>
    </row>
    <row r="4783" customFormat="false" ht="15" hidden="false" customHeight="true" outlineLevel="0" collapsed="false">
      <c r="P4783" s="1" t="str">
        <f aca="false">IF(OR(F4783="",H4783="",J4783=""),"",J4783&amp;"|"&amp;F4783&amp;"|"&amp;IF(H4783="W3","W3_"&amp;IF(I4783="","unknown",I4783),H4783))</f>
        <v/>
      </c>
      <c r="Q4783" s="1" t="str">
        <f aca="false">IF(P4783="","",IFERROR(IF(AND(H4783="W7",OR(F4783="causal",F4783="predictive")),IF(AND(K4783=1,L4783=1,M4783=1),"adequate","partial"),INDEX(Fit_Matrix!$B:$B,MATCH(P4783,Fit_Matrix!$A:$A,0))),"CHECK KEY"))</f>
        <v/>
      </c>
    </row>
    <row r="4784" customFormat="false" ht="15" hidden="false" customHeight="true" outlineLevel="0" collapsed="false">
      <c r="P4784" s="1" t="str">
        <f aca="false">IF(OR(F4784="",H4784="",J4784=""),"",J4784&amp;"|"&amp;F4784&amp;"|"&amp;IF(H4784="W3","W3_"&amp;IF(I4784="","unknown",I4784),H4784))</f>
        <v/>
      </c>
      <c r="Q4784" s="1" t="str">
        <f aca="false">IF(P4784="","",IFERROR(IF(AND(H4784="W7",OR(F4784="causal",F4784="predictive")),IF(AND(K4784=1,L4784=1,M4784=1),"adequate","partial"),INDEX(Fit_Matrix!$B:$B,MATCH(P4784,Fit_Matrix!$A:$A,0))),"CHECK KEY"))</f>
        <v/>
      </c>
    </row>
    <row r="4785" customFormat="false" ht="15" hidden="false" customHeight="true" outlineLevel="0" collapsed="false">
      <c r="P4785" s="1" t="str">
        <f aca="false">IF(OR(F4785="",H4785="",J4785=""),"",J4785&amp;"|"&amp;F4785&amp;"|"&amp;IF(H4785="W3","W3_"&amp;IF(I4785="","unknown",I4785),H4785))</f>
        <v/>
      </c>
      <c r="Q4785" s="1" t="str">
        <f aca="false">IF(P4785="","",IFERROR(IF(AND(H4785="W7",OR(F4785="causal",F4785="predictive")),IF(AND(K4785=1,L4785=1,M4785=1),"adequate","partial"),INDEX(Fit_Matrix!$B:$B,MATCH(P4785,Fit_Matrix!$A:$A,0))),"CHECK KEY"))</f>
        <v/>
      </c>
    </row>
    <row r="4786" customFormat="false" ht="15" hidden="false" customHeight="true" outlineLevel="0" collapsed="false">
      <c r="P4786" s="1" t="str">
        <f aca="false">IF(OR(F4786="",H4786="",J4786=""),"",J4786&amp;"|"&amp;F4786&amp;"|"&amp;IF(H4786="W3","W3_"&amp;IF(I4786="","unknown",I4786),H4786))</f>
        <v/>
      </c>
      <c r="Q4786" s="1" t="str">
        <f aca="false">IF(P4786="","",IFERROR(IF(AND(H4786="W7",OR(F4786="causal",F4786="predictive")),IF(AND(K4786=1,L4786=1,M4786=1),"adequate","partial"),INDEX(Fit_Matrix!$B:$B,MATCH(P4786,Fit_Matrix!$A:$A,0))),"CHECK KEY"))</f>
        <v/>
      </c>
    </row>
    <row r="4787" customFormat="false" ht="15" hidden="false" customHeight="true" outlineLevel="0" collapsed="false">
      <c r="P4787" s="1" t="str">
        <f aca="false">IF(OR(F4787="",H4787="",J4787=""),"",J4787&amp;"|"&amp;F4787&amp;"|"&amp;IF(H4787="W3","W3_"&amp;IF(I4787="","unknown",I4787),H4787))</f>
        <v/>
      </c>
      <c r="Q4787" s="1" t="str">
        <f aca="false">IF(P4787="","",IFERROR(IF(AND(H4787="W7",OR(F4787="causal",F4787="predictive")),IF(AND(K4787=1,L4787=1,M4787=1),"adequate","partial"),INDEX(Fit_Matrix!$B:$B,MATCH(P4787,Fit_Matrix!$A:$A,0))),"CHECK KEY"))</f>
        <v/>
      </c>
    </row>
    <row r="4788" customFormat="false" ht="15" hidden="false" customHeight="true" outlineLevel="0" collapsed="false">
      <c r="P4788" s="1" t="str">
        <f aca="false">IF(OR(F4788="",H4788="",J4788=""),"",J4788&amp;"|"&amp;F4788&amp;"|"&amp;IF(H4788="W3","W3_"&amp;IF(I4788="","unknown",I4788),H4788))</f>
        <v/>
      </c>
      <c r="Q4788" s="1" t="str">
        <f aca="false">IF(P4788="","",IFERROR(IF(AND(H4788="W7",OR(F4788="causal",F4788="predictive")),IF(AND(K4788=1,L4788=1,M4788=1),"adequate","partial"),INDEX(Fit_Matrix!$B:$B,MATCH(P4788,Fit_Matrix!$A:$A,0))),"CHECK KEY"))</f>
        <v/>
      </c>
    </row>
    <row r="4789" customFormat="false" ht="15" hidden="false" customHeight="true" outlineLevel="0" collapsed="false">
      <c r="P4789" s="1" t="str">
        <f aca="false">IF(OR(F4789="",H4789="",J4789=""),"",J4789&amp;"|"&amp;F4789&amp;"|"&amp;IF(H4789="W3","W3_"&amp;IF(I4789="","unknown",I4789),H4789))</f>
        <v/>
      </c>
      <c r="Q4789" s="1" t="str">
        <f aca="false">IF(P4789="","",IFERROR(IF(AND(H4789="W7",OR(F4789="causal",F4789="predictive")),IF(AND(K4789=1,L4789=1,M4789=1),"adequate","partial"),INDEX(Fit_Matrix!$B:$B,MATCH(P4789,Fit_Matrix!$A:$A,0))),"CHECK KEY"))</f>
        <v/>
      </c>
    </row>
    <row r="4790" customFormat="false" ht="15" hidden="false" customHeight="true" outlineLevel="0" collapsed="false">
      <c r="P4790" s="1" t="str">
        <f aca="false">IF(OR(F4790="",H4790="",J4790=""),"",J4790&amp;"|"&amp;F4790&amp;"|"&amp;IF(H4790="W3","W3_"&amp;IF(I4790="","unknown",I4790),H4790))</f>
        <v/>
      </c>
      <c r="Q4790" s="1" t="str">
        <f aca="false">IF(P4790="","",IFERROR(IF(AND(H4790="W7",OR(F4790="causal",F4790="predictive")),IF(AND(K4790=1,L4790=1,M4790=1),"adequate","partial"),INDEX(Fit_Matrix!$B:$B,MATCH(P4790,Fit_Matrix!$A:$A,0))),"CHECK KEY"))</f>
        <v/>
      </c>
    </row>
    <row r="4791" customFormat="false" ht="15" hidden="false" customHeight="true" outlineLevel="0" collapsed="false">
      <c r="P4791" s="1" t="str">
        <f aca="false">IF(OR(F4791="",H4791="",J4791=""),"",J4791&amp;"|"&amp;F4791&amp;"|"&amp;IF(H4791="W3","W3_"&amp;IF(I4791="","unknown",I4791),H4791))</f>
        <v/>
      </c>
      <c r="Q4791" s="1" t="str">
        <f aca="false">IF(P4791="","",IFERROR(IF(AND(H4791="W7",OR(F4791="causal",F4791="predictive")),IF(AND(K4791=1,L4791=1,M4791=1),"adequate","partial"),INDEX(Fit_Matrix!$B:$B,MATCH(P4791,Fit_Matrix!$A:$A,0))),"CHECK KEY"))</f>
        <v/>
      </c>
    </row>
    <row r="4792" customFormat="false" ht="15" hidden="false" customHeight="true" outlineLevel="0" collapsed="false">
      <c r="P4792" s="1" t="str">
        <f aca="false">IF(OR(F4792="",H4792="",J4792=""),"",J4792&amp;"|"&amp;F4792&amp;"|"&amp;IF(H4792="W3","W3_"&amp;IF(I4792="","unknown",I4792),H4792))</f>
        <v/>
      </c>
      <c r="Q4792" s="1" t="str">
        <f aca="false">IF(P4792="","",IFERROR(IF(AND(H4792="W7",OR(F4792="causal",F4792="predictive")),IF(AND(K4792=1,L4792=1,M4792=1),"adequate","partial"),INDEX(Fit_Matrix!$B:$B,MATCH(P4792,Fit_Matrix!$A:$A,0))),"CHECK KEY"))</f>
        <v/>
      </c>
    </row>
    <row r="4793" customFormat="false" ht="15" hidden="false" customHeight="true" outlineLevel="0" collapsed="false">
      <c r="P4793" s="1" t="str">
        <f aca="false">IF(OR(F4793="",H4793="",J4793=""),"",J4793&amp;"|"&amp;F4793&amp;"|"&amp;IF(H4793="W3","W3_"&amp;IF(I4793="","unknown",I4793),H4793))</f>
        <v/>
      </c>
      <c r="Q4793" s="1" t="str">
        <f aca="false">IF(P4793="","",IFERROR(IF(AND(H4793="W7",OR(F4793="causal",F4793="predictive")),IF(AND(K4793=1,L4793=1,M4793=1),"adequate","partial"),INDEX(Fit_Matrix!$B:$B,MATCH(P4793,Fit_Matrix!$A:$A,0))),"CHECK KEY"))</f>
        <v/>
      </c>
    </row>
    <row r="4794" customFormat="false" ht="15" hidden="false" customHeight="true" outlineLevel="0" collapsed="false">
      <c r="P4794" s="1" t="str">
        <f aca="false">IF(OR(F4794="",H4794="",J4794=""),"",J4794&amp;"|"&amp;F4794&amp;"|"&amp;IF(H4794="W3","W3_"&amp;IF(I4794="","unknown",I4794),H4794))</f>
        <v/>
      </c>
      <c r="Q4794" s="1" t="str">
        <f aca="false">IF(P4794="","",IFERROR(IF(AND(H4794="W7",OR(F4794="causal",F4794="predictive")),IF(AND(K4794=1,L4794=1,M4794=1),"adequate","partial"),INDEX(Fit_Matrix!$B:$B,MATCH(P4794,Fit_Matrix!$A:$A,0))),"CHECK KEY"))</f>
        <v/>
      </c>
    </row>
    <row r="4795" customFormat="false" ht="15" hidden="false" customHeight="true" outlineLevel="0" collapsed="false">
      <c r="P4795" s="1" t="str">
        <f aca="false">IF(OR(F4795="",H4795="",J4795=""),"",J4795&amp;"|"&amp;F4795&amp;"|"&amp;IF(H4795="W3","W3_"&amp;IF(I4795="","unknown",I4795),H4795))</f>
        <v/>
      </c>
      <c r="Q4795" s="1" t="str">
        <f aca="false">IF(P4795="","",IFERROR(IF(AND(H4795="W7",OR(F4795="causal",F4795="predictive")),IF(AND(K4795=1,L4795=1,M4795=1),"adequate","partial"),INDEX(Fit_Matrix!$B:$B,MATCH(P4795,Fit_Matrix!$A:$A,0))),"CHECK KEY"))</f>
        <v/>
      </c>
    </row>
    <row r="4796" customFormat="false" ht="15" hidden="false" customHeight="true" outlineLevel="0" collapsed="false">
      <c r="P4796" s="1" t="str">
        <f aca="false">IF(OR(F4796="",H4796="",J4796=""),"",J4796&amp;"|"&amp;F4796&amp;"|"&amp;IF(H4796="W3","W3_"&amp;IF(I4796="","unknown",I4796),H4796))</f>
        <v/>
      </c>
      <c r="Q4796" s="1" t="str">
        <f aca="false">IF(P4796="","",IFERROR(IF(AND(H4796="W7",OR(F4796="causal",F4796="predictive")),IF(AND(K4796=1,L4796=1,M4796=1),"adequate","partial"),INDEX(Fit_Matrix!$B:$B,MATCH(P4796,Fit_Matrix!$A:$A,0))),"CHECK KEY"))</f>
        <v/>
      </c>
    </row>
    <row r="4797" customFormat="false" ht="15" hidden="false" customHeight="true" outlineLevel="0" collapsed="false">
      <c r="P4797" s="1" t="str">
        <f aca="false">IF(OR(F4797="",H4797="",J4797=""),"",J4797&amp;"|"&amp;F4797&amp;"|"&amp;IF(H4797="W3","W3_"&amp;IF(I4797="","unknown",I4797),H4797))</f>
        <v/>
      </c>
      <c r="Q4797" s="1" t="str">
        <f aca="false">IF(P4797="","",IFERROR(IF(AND(H4797="W7",OR(F4797="causal",F4797="predictive")),IF(AND(K4797=1,L4797=1,M4797=1),"adequate","partial"),INDEX(Fit_Matrix!$B:$B,MATCH(P4797,Fit_Matrix!$A:$A,0))),"CHECK KEY"))</f>
        <v/>
      </c>
    </row>
    <row r="4798" customFormat="false" ht="15" hidden="false" customHeight="true" outlineLevel="0" collapsed="false">
      <c r="P4798" s="1" t="str">
        <f aca="false">IF(OR(F4798="",H4798="",J4798=""),"",J4798&amp;"|"&amp;F4798&amp;"|"&amp;IF(H4798="W3","W3_"&amp;IF(I4798="","unknown",I4798),H4798))</f>
        <v/>
      </c>
      <c r="Q4798" s="1" t="str">
        <f aca="false">IF(P4798="","",IFERROR(IF(AND(H4798="W7",OR(F4798="causal",F4798="predictive")),IF(AND(K4798=1,L4798=1,M4798=1),"adequate","partial"),INDEX(Fit_Matrix!$B:$B,MATCH(P4798,Fit_Matrix!$A:$A,0))),"CHECK KEY"))</f>
        <v/>
      </c>
    </row>
    <row r="4799" customFormat="false" ht="15" hidden="false" customHeight="true" outlineLevel="0" collapsed="false">
      <c r="P4799" s="1" t="str">
        <f aca="false">IF(OR(F4799="",H4799="",J4799=""),"",J4799&amp;"|"&amp;F4799&amp;"|"&amp;IF(H4799="W3","W3_"&amp;IF(I4799="","unknown",I4799),H4799))</f>
        <v/>
      </c>
      <c r="Q4799" s="1" t="str">
        <f aca="false">IF(P4799="","",IFERROR(IF(AND(H4799="W7",OR(F4799="causal",F4799="predictive")),IF(AND(K4799=1,L4799=1,M4799=1),"adequate","partial"),INDEX(Fit_Matrix!$B:$B,MATCH(P4799,Fit_Matrix!$A:$A,0))),"CHECK KEY"))</f>
        <v/>
      </c>
    </row>
    <row r="4800" customFormat="false" ht="15" hidden="false" customHeight="true" outlineLevel="0" collapsed="false">
      <c r="P4800" s="1" t="str">
        <f aca="false">IF(OR(F4800="",H4800="",J4800=""),"",J4800&amp;"|"&amp;F4800&amp;"|"&amp;IF(H4800="W3","W3_"&amp;IF(I4800="","unknown",I4800),H4800))</f>
        <v/>
      </c>
      <c r="Q4800" s="1" t="str">
        <f aca="false">IF(P4800="","",IFERROR(IF(AND(H4800="W7",OR(F4800="causal",F4800="predictive")),IF(AND(K4800=1,L4800=1,M4800=1),"adequate","partial"),INDEX(Fit_Matrix!$B:$B,MATCH(P4800,Fit_Matrix!$A:$A,0))),"CHECK KEY"))</f>
        <v/>
      </c>
    </row>
    <row r="4801" customFormat="false" ht="15" hidden="false" customHeight="true" outlineLevel="0" collapsed="false">
      <c r="P4801" s="1" t="str">
        <f aca="false">IF(OR(F4801="",H4801="",J4801=""),"",J4801&amp;"|"&amp;F4801&amp;"|"&amp;IF(H4801="W3","W3_"&amp;IF(I4801="","unknown",I4801),H4801))</f>
        <v/>
      </c>
      <c r="Q4801" s="1" t="str">
        <f aca="false">IF(P4801="","",IFERROR(IF(AND(H4801="W7",OR(F4801="causal",F4801="predictive")),IF(AND(K4801=1,L4801=1,M4801=1),"adequate","partial"),INDEX(Fit_Matrix!$B:$B,MATCH(P4801,Fit_Matrix!$A:$A,0))),"CHECK KEY"))</f>
        <v/>
      </c>
    </row>
    <row r="4802" customFormat="false" ht="15" hidden="false" customHeight="true" outlineLevel="0" collapsed="false">
      <c r="P4802" s="1" t="str">
        <f aca="false">IF(OR(F4802="",H4802="",J4802=""),"",J4802&amp;"|"&amp;F4802&amp;"|"&amp;IF(H4802="W3","W3_"&amp;IF(I4802="","unknown",I4802),H4802))</f>
        <v/>
      </c>
      <c r="Q4802" s="1" t="str">
        <f aca="false">IF(P4802="","",IFERROR(IF(AND(H4802="W7",OR(F4802="causal",F4802="predictive")),IF(AND(K4802=1,L4802=1,M4802=1),"adequate","partial"),INDEX(Fit_Matrix!$B:$B,MATCH(P4802,Fit_Matrix!$A:$A,0))),"CHECK KEY"))</f>
        <v/>
      </c>
    </row>
    <row r="4803" customFormat="false" ht="15" hidden="false" customHeight="true" outlineLevel="0" collapsed="false">
      <c r="P4803" s="1" t="str">
        <f aca="false">IF(OR(F4803="",H4803="",J4803=""),"",J4803&amp;"|"&amp;F4803&amp;"|"&amp;IF(H4803="W3","W3_"&amp;IF(I4803="","unknown",I4803),H4803))</f>
        <v/>
      </c>
      <c r="Q4803" s="1" t="str">
        <f aca="false">IF(P4803="","",IFERROR(IF(AND(H4803="W7",OR(F4803="causal",F4803="predictive")),IF(AND(K4803=1,L4803=1,M4803=1),"adequate","partial"),INDEX(Fit_Matrix!$B:$B,MATCH(P4803,Fit_Matrix!$A:$A,0))),"CHECK KEY"))</f>
        <v/>
      </c>
    </row>
    <row r="4804" customFormat="false" ht="15" hidden="false" customHeight="true" outlineLevel="0" collapsed="false">
      <c r="P4804" s="1" t="str">
        <f aca="false">IF(OR(F4804="",H4804="",J4804=""),"",J4804&amp;"|"&amp;F4804&amp;"|"&amp;IF(H4804="W3","W3_"&amp;IF(I4804="","unknown",I4804),H4804))</f>
        <v/>
      </c>
      <c r="Q4804" s="1" t="str">
        <f aca="false">IF(P4804="","",IFERROR(IF(AND(H4804="W7",OR(F4804="causal",F4804="predictive")),IF(AND(K4804=1,L4804=1,M4804=1),"adequate","partial"),INDEX(Fit_Matrix!$B:$B,MATCH(P4804,Fit_Matrix!$A:$A,0))),"CHECK KEY"))</f>
        <v/>
      </c>
    </row>
    <row r="4805" customFormat="false" ht="15" hidden="false" customHeight="true" outlineLevel="0" collapsed="false">
      <c r="P4805" s="1" t="str">
        <f aca="false">IF(OR(F4805="",H4805="",J4805=""),"",J4805&amp;"|"&amp;F4805&amp;"|"&amp;IF(H4805="W3","W3_"&amp;IF(I4805="","unknown",I4805),H4805))</f>
        <v/>
      </c>
      <c r="Q4805" s="1" t="str">
        <f aca="false">IF(P4805="","",IFERROR(IF(AND(H4805="W7",OR(F4805="causal",F4805="predictive")),IF(AND(K4805=1,L4805=1,M4805=1),"adequate","partial"),INDEX(Fit_Matrix!$B:$B,MATCH(P4805,Fit_Matrix!$A:$A,0))),"CHECK KEY"))</f>
        <v/>
      </c>
    </row>
    <row r="4806" customFormat="false" ht="15" hidden="false" customHeight="true" outlineLevel="0" collapsed="false">
      <c r="P4806" s="1" t="str">
        <f aca="false">IF(OR(F4806="",H4806="",J4806=""),"",J4806&amp;"|"&amp;F4806&amp;"|"&amp;IF(H4806="W3","W3_"&amp;IF(I4806="","unknown",I4806),H4806))</f>
        <v/>
      </c>
      <c r="Q4806" s="1" t="str">
        <f aca="false">IF(P4806="","",IFERROR(IF(AND(H4806="W7",OR(F4806="causal",F4806="predictive")),IF(AND(K4806=1,L4806=1,M4806=1),"adequate","partial"),INDEX(Fit_Matrix!$B:$B,MATCH(P4806,Fit_Matrix!$A:$A,0))),"CHECK KEY"))</f>
        <v/>
      </c>
    </row>
    <row r="4807" customFormat="false" ht="15" hidden="false" customHeight="true" outlineLevel="0" collapsed="false">
      <c r="P4807" s="1" t="str">
        <f aca="false">IF(OR(F4807="",H4807="",J4807=""),"",J4807&amp;"|"&amp;F4807&amp;"|"&amp;IF(H4807="W3","W3_"&amp;IF(I4807="","unknown",I4807),H4807))</f>
        <v/>
      </c>
      <c r="Q4807" s="1" t="str">
        <f aca="false">IF(P4807="","",IFERROR(IF(AND(H4807="W7",OR(F4807="causal",F4807="predictive")),IF(AND(K4807=1,L4807=1,M4807=1),"adequate","partial"),INDEX(Fit_Matrix!$B:$B,MATCH(P4807,Fit_Matrix!$A:$A,0))),"CHECK KEY"))</f>
        <v/>
      </c>
    </row>
    <row r="4808" customFormat="false" ht="15" hidden="false" customHeight="true" outlineLevel="0" collapsed="false">
      <c r="P4808" s="1" t="str">
        <f aca="false">IF(OR(F4808="",H4808="",J4808=""),"",J4808&amp;"|"&amp;F4808&amp;"|"&amp;IF(H4808="W3","W3_"&amp;IF(I4808="","unknown",I4808),H4808))</f>
        <v/>
      </c>
      <c r="Q4808" s="1" t="str">
        <f aca="false">IF(P4808="","",IFERROR(IF(AND(H4808="W7",OR(F4808="causal",F4808="predictive")),IF(AND(K4808=1,L4808=1,M4808=1),"adequate","partial"),INDEX(Fit_Matrix!$B:$B,MATCH(P4808,Fit_Matrix!$A:$A,0))),"CHECK KEY"))</f>
        <v/>
      </c>
    </row>
    <row r="4809" customFormat="false" ht="15" hidden="false" customHeight="true" outlineLevel="0" collapsed="false">
      <c r="P4809" s="1" t="str">
        <f aca="false">IF(OR(F4809="",H4809="",J4809=""),"",J4809&amp;"|"&amp;F4809&amp;"|"&amp;IF(H4809="W3","W3_"&amp;IF(I4809="","unknown",I4809),H4809))</f>
        <v/>
      </c>
      <c r="Q4809" s="1" t="str">
        <f aca="false">IF(P4809="","",IFERROR(IF(AND(H4809="W7",OR(F4809="causal",F4809="predictive")),IF(AND(K4809=1,L4809=1,M4809=1),"adequate","partial"),INDEX(Fit_Matrix!$B:$B,MATCH(P4809,Fit_Matrix!$A:$A,0))),"CHECK KEY"))</f>
        <v/>
      </c>
    </row>
    <row r="4810" customFormat="false" ht="15" hidden="false" customHeight="true" outlineLevel="0" collapsed="false">
      <c r="P4810" s="1" t="str">
        <f aca="false">IF(OR(F4810="",H4810="",J4810=""),"",J4810&amp;"|"&amp;F4810&amp;"|"&amp;IF(H4810="W3","W3_"&amp;IF(I4810="","unknown",I4810),H4810))</f>
        <v/>
      </c>
      <c r="Q4810" s="1" t="str">
        <f aca="false">IF(P4810="","",IFERROR(IF(AND(H4810="W7",OR(F4810="causal",F4810="predictive")),IF(AND(K4810=1,L4810=1,M4810=1),"adequate","partial"),INDEX(Fit_Matrix!$B:$B,MATCH(P4810,Fit_Matrix!$A:$A,0))),"CHECK KEY"))</f>
        <v/>
      </c>
    </row>
    <row r="4811" customFormat="false" ht="15" hidden="false" customHeight="true" outlineLevel="0" collapsed="false">
      <c r="P4811" s="1" t="str">
        <f aca="false">IF(OR(F4811="",H4811="",J4811=""),"",J4811&amp;"|"&amp;F4811&amp;"|"&amp;IF(H4811="W3","W3_"&amp;IF(I4811="","unknown",I4811),H4811))</f>
        <v/>
      </c>
      <c r="Q4811" s="1" t="str">
        <f aca="false">IF(P4811="","",IFERROR(IF(AND(H4811="W7",OR(F4811="causal",F4811="predictive")),IF(AND(K4811=1,L4811=1,M4811=1),"adequate","partial"),INDEX(Fit_Matrix!$B:$B,MATCH(P4811,Fit_Matrix!$A:$A,0))),"CHECK KEY"))</f>
        <v/>
      </c>
    </row>
    <row r="4812" customFormat="false" ht="15" hidden="false" customHeight="true" outlineLevel="0" collapsed="false">
      <c r="P4812" s="1" t="str">
        <f aca="false">IF(OR(F4812="",H4812="",J4812=""),"",J4812&amp;"|"&amp;F4812&amp;"|"&amp;IF(H4812="W3","W3_"&amp;IF(I4812="","unknown",I4812),H4812))</f>
        <v/>
      </c>
      <c r="Q4812" s="1" t="str">
        <f aca="false">IF(P4812="","",IFERROR(IF(AND(H4812="W7",OR(F4812="causal",F4812="predictive")),IF(AND(K4812=1,L4812=1,M4812=1),"adequate","partial"),INDEX(Fit_Matrix!$B:$B,MATCH(P4812,Fit_Matrix!$A:$A,0))),"CHECK KEY"))</f>
        <v/>
      </c>
    </row>
    <row r="4813" customFormat="false" ht="15" hidden="false" customHeight="true" outlineLevel="0" collapsed="false">
      <c r="P4813" s="1" t="str">
        <f aca="false">IF(OR(F4813="",H4813="",J4813=""),"",J4813&amp;"|"&amp;F4813&amp;"|"&amp;IF(H4813="W3","W3_"&amp;IF(I4813="","unknown",I4813),H4813))</f>
        <v/>
      </c>
      <c r="Q4813" s="1" t="str">
        <f aca="false">IF(P4813="","",IFERROR(IF(AND(H4813="W7",OR(F4813="causal",F4813="predictive")),IF(AND(K4813=1,L4813=1,M4813=1),"adequate","partial"),INDEX(Fit_Matrix!$B:$B,MATCH(P4813,Fit_Matrix!$A:$A,0))),"CHECK KEY"))</f>
        <v/>
      </c>
    </row>
    <row r="4814" customFormat="false" ht="15" hidden="false" customHeight="true" outlineLevel="0" collapsed="false">
      <c r="P4814" s="1" t="str">
        <f aca="false">IF(OR(F4814="",H4814="",J4814=""),"",J4814&amp;"|"&amp;F4814&amp;"|"&amp;IF(H4814="W3","W3_"&amp;IF(I4814="","unknown",I4814),H4814))</f>
        <v/>
      </c>
      <c r="Q4814" s="1" t="str">
        <f aca="false">IF(P4814="","",IFERROR(IF(AND(H4814="W7",OR(F4814="causal",F4814="predictive")),IF(AND(K4814=1,L4814=1,M4814=1),"adequate","partial"),INDEX(Fit_Matrix!$B:$B,MATCH(P4814,Fit_Matrix!$A:$A,0))),"CHECK KEY"))</f>
        <v/>
      </c>
    </row>
    <row r="4815" customFormat="false" ht="15" hidden="false" customHeight="true" outlineLevel="0" collapsed="false">
      <c r="P4815" s="1" t="str">
        <f aca="false">IF(OR(F4815="",H4815="",J4815=""),"",J4815&amp;"|"&amp;F4815&amp;"|"&amp;IF(H4815="W3","W3_"&amp;IF(I4815="","unknown",I4815),H4815))</f>
        <v/>
      </c>
      <c r="Q4815" s="1" t="str">
        <f aca="false">IF(P4815="","",IFERROR(IF(AND(H4815="W7",OR(F4815="causal",F4815="predictive")),IF(AND(K4815=1,L4815=1,M4815=1),"adequate","partial"),INDEX(Fit_Matrix!$B:$B,MATCH(P4815,Fit_Matrix!$A:$A,0))),"CHECK KEY"))</f>
        <v/>
      </c>
    </row>
    <row r="4816" customFormat="false" ht="15" hidden="false" customHeight="true" outlineLevel="0" collapsed="false">
      <c r="P4816" s="1" t="str">
        <f aca="false">IF(OR(F4816="",H4816="",J4816=""),"",J4816&amp;"|"&amp;F4816&amp;"|"&amp;IF(H4816="W3","W3_"&amp;IF(I4816="","unknown",I4816),H4816))</f>
        <v/>
      </c>
      <c r="Q4816" s="1" t="str">
        <f aca="false">IF(P4816="","",IFERROR(IF(AND(H4816="W7",OR(F4816="causal",F4816="predictive")),IF(AND(K4816=1,L4816=1,M4816=1),"adequate","partial"),INDEX(Fit_Matrix!$B:$B,MATCH(P4816,Fit_Matrix!$A:$A,0))),"CHECK KEY"))</f>
        <v/>
      </c>
    </row>
    <row r="4817" customFormat="false" ht="15" hidden="false" customHeight="true" outlineLevel="0" collapsed="false">
      <c r="P4817" s="1" t="str">
        <f aca="false">IF(OR(F4817="",H4817="",J4817=""),"",J4817&amp;"|"&amp;F4817&amp;"|"&amp;IF(H4817="W3","W3_"&amp;IF(I4817="","unknown",I4817),H4817))</f>
        <v/>
      </c>
      <c r="Q4817" s="1" t="str">
        <f aca="false">IF(P4817="","",IFERROR(IF(AND(H4817="W7",OR(F4817="causal",F4817="predictive")),IF(AND(K4817=1,L4817=1,M4817=1),"adequate","partial"),INDEX(Fit_Matrix!$B:$B,MATCH(P4817,Fit_Matrix!$A:$A,0))),"CHECK KEY"))</f>
        <v/>
      </c>
    </row>
    <row r="4818" customFormat="false" ht="15" hidden="false" customHeight="true" outlineLevel="0" collapsed="false">
      <c r="P4818" s="1" t="str">
        <f aca="false">IF(OR(F4818="",H4818="",J4818=""),"",J4818&amp;"|"&amp;F4818&amp;"|"&amp;IF(H4818="W3","W3_"&amp;IF(I4818="","unknown",I4818),H4818))</f>
        <v/>
      </c>
      <c r="Q4818" s="1" t="str">
        <f aca="false">IF(P4818="","",IFERROR(IF(AND(H4818="W7",OR(F4818="causal",F4818="predictive")),IF(AND(K4818=1,L4818=1,M4818=1),"adequate","partial"),INDEX(Fit_Matrix!$B:$B,MATCH(P4818,Fit_Matrix!$A:$A,0))),"CHECK KEY"))</f>
        <v/>
      </c>
    </row>
    <row r="4819" customFormat="false" ht="15" hidden="false" customHeight="true" outlineLevel="0" collapsed="false">
      <c r="P4819" s="1" t="str">
        <f aca="false">IF(OR(F4819="",H4819="",J4819=""),"",J4819&amp;"|"&amp;F4819&amp;"|"&amp;IF(H4819="W3","W3_"&amp;IF(I4819="","unknown",I4819),H4819))</f>
        <v/>
      </c>
      <c r="Q4819" s="1" t="str">
        <f aca="false">IF(P4819="","",IFERROR(IF(AND(H4819="W7",OR(F4819="causal",F4819="predictive")),IF(AND(K4819=1,L4819=1,M4819=1),"adequate","partial"),INDEX(Fit_Matrix!$B:$B,MATCH(P4819,Fit_Matrix!$A:$A,0))),"CHECK KEY"))</f>
        <v/>
      </c>
    </row>
    <row r="4820" customFormat="false" ht="15" hidden="false" customHeight="true" outlineLevel="0" collapsed="false">
      <c r="P4820" s="1" t="str">
        <f aca="false">IF(OR(F4820="",H4820="",J4820=""),"",J4820&amp;"|"&amp;F4820&amp;"|"&amp;IF(H4820="W3","W3_"&amp;IF(I4820="","unknown",I4820),H4820))</f>
        <v/>
      </c>
      <c r="Q4820" s="1" t="str">
        <f aca="false">IF(P4820="","",IFERROR(IF(AND(H4820="W7",OR(F4820="causal",F4820="predictive")),IF(AND(K4820=1,L4820=1,M4820=1),"adequate","partial"),INDEX(Fit_Matrix!$B:$B,MATCH(P4820,Fit_Matrix!$A:$A,0))),"CHECK KEY"))</f>
        <v/>
      </c>
    </row>
    <row r="4821" customFormat="false" ht="15" hidden="false" customHeight="true" outlineLevel="0" collapsed="false">
      <c r="P4821" s="1" t="str">
        <f aca="false">IF(OR(F4821="",H4821="",J4821=""),"",J4821&amp;"|"&amp;F4821&amp;"|"&amp;IF(H4821="W3","W3_"&amp;IF(I4821="","unknown",I4821),H4821))</f>
        <v/>
      </c>
      <c r="Q4821" s="1" t="str">
        <f aca="false">IF(P4821="","",IFERROR(IF(AND(H4821="W7",OR(F4821="causal",F4821="predictive")),IF(AND(K4821=1,L4821=1,M4821=1),"adequate","partial"),INDEX(Fit_Matrix!$B:$B,MATCH(P4821,Fit_Matrix!$A:$A,0))),"CHECK KEY"))</f>
        <v/>
      </c>
    </row>
    <row r="4822" customFormat="false" ht="15" hidden="false" customHeight="true" outlineLevel="0" collapsed="false">
      <c r="P4822" s="1" t="str">
        <f aca="false">IF(OR(F4822="",H4822="",J4822=""),"",J4822&amp;"|"&amp;F4822&amp;"|"&amp;IF(H4822="W3","W3_"&amp;IF(I4822="","unknown",I4822),H4822))</f>
        <v/>
      </c>
      <c r="Q4822" s="1" t="str">
        <f aca="false">IF(P4822="","",IFERROR(IF(AND(H4822="W7",OR(F4822="causal",F4822="predictive")),IF(AND(K4822=1,L4822=1,M4822=1),"adequate","partial"),INDEX(Fit_Matrix!$B:$B,MATCH(P4822,Fit_Matrix!$A:$A,0))),"CHECK KEY"))</f>
        <v/>
      </c>
    </row>
    <row r="4823" customFormat="false" ht="15" hidden="false" customHeight="true" outlineLevel="0" collapsed="false">
      <c r="P4823" s="1" t="str">
        <f aca="false">IF(OR(F4823="",H4823="",J4823=""),"",J4823&amp;"|"&amp;F4823&amp;"|"&amp;IF(H4823="W3","W3_"&amp;IF(I4823="","unknown",I4823),H4823))</f>
        <v/>
      </c>
      <c r="Q4823" s="1" t="str">
        <f aca="false">IF(P4823="","",IFERROR(IF(AND(H4823="W7",OR(F4823="causal",F4823="predictive")),IF(AND(K4823=1,L4823=1,M4823=1),"adequate","partial"),INDEX(Fit_Matrix!$B:$B,MATCH(P4823,Fit_Matrix!$A:$A,0))),"CHECK KEY"))</f>
        <v/>
      </c>
    </row>
    <row r="4824" customFormat="false" ht="15" hidden="false" customHeight="true" outlineLevel="0" collapsed="false">
      <c r="P4824" s="1" t="str">
        <f aca="false">IF(OR(F4824="",H4824="",J4824=""),"",J4824&amp;"|"&amp;F4824&amp;"|"&amp;IF(H4824="W3","W3_"&amp;IF(I4824="","unknown",I4824),H4824))</f>
        <v/>
      </c>
      <c r="Q4824" s="1" t="str">
        <f aca="false">IF(P4824="","",IFERROR(IF(AND(H4824="W7",OR(F4824="causal",F4824="predictive")),IF(AND(K4824=1,L4824=1,M4824=1),"adequate","partial"),INDEX(Fit_Matrix!$B:$B,MATCH(P4824,Fit_Matrix!$A:$A,0))),"CHECK KEY"))</f>
        <v/>
      </c>
    </row>
    <row r="4825" customFormat="false" ht="15" hidden="false" customHeight="true" outlineLevel="0" collapsed="false">
      <c r="P4825" s="1" t="str">
        <f aca="false">IF(OR(F4825="",H4825="",J4825=""),"",J4825&amp;"|"&amp;F4825&amp;"|"&amp;IF(H4825="W3","W3_"&amp;IF(I4825="","unknown",I4825),H4825))</f>
        <v/>
      </c>
      <c r="Q4825" s="1" t="str">
        <f aca="false">IF(P4825="","",IFERROR(IF(AND(H4825="W7",OR(F4825="causal",F4825="predictive")),IF(AND(K4825=1,L4825=1,M4825=1),"adequate","partial"),INDEX(Fit_Matrix!$B:$B,MATCH(P4825,Fit_Matrix!$A:$A,0))),"CHECK KEY"))</f>
        <v/>
      </c>
    </row>
    <row r="4826" customFormat="false" ht="15" hidden="false" customHeight="true" outlineLevel="0" collapsed="false">
      <c r="P4826" s="1" t="str">
        <f aca="false">IF(OR(F4826="",H4826="",J4826=""),"",J4826&amp;"|"&amp;F4826&amp;"|"&amp;IF(H4826="W3","W3_"&amp;IF(I4826="","unknown",I4826),H4826))</f>
        <v/>
      </c>
      <c r="Q4826" s="1" t="str">
        <f aca="false">IF(P4826="","",IFERROR(IF(AND(H4826="W7",OR(F4826="causal",F4826="predictive")),IF(AND(K4826=1,L4826=1,M4826=1),"adequate","partial"),INDEX(Fit_Matrix!$B:$B,MATCH(P4826,Fit_Matrix!$A:$A,0))),"CHECK KEY"))</f>
        <v/>
      </c>
    </row>
    <row r="4827" customFormat="false" ht="15" hidden="false" customHeight="true" outlineLevel="0" collapsed="false">
      <c r="P4827" s="1" t="str">
        <f aca="false">IF(OR(F4827="",H4827="",J4827=""),"",J4827&amp;"|"&amp;F4827&amp;"|"&amp;IF(H4827="W3","W3_"&amp;IF(I4827="","unknown",I4827),H4827))</f>
        <v/>
      </c>
      <c r="Q4827" s="1" t="str">
        <f aca="false">IF(P4827="","",IFERROR(IF(AND(H4827="W7",OR(F4827="causal",F4827="predictive")),IF(AND(K4827=1,L4827=1,M4827=1),"adequate","partial"),INDEX(Fit_Matrix!$B:$B,MATCH(P4827,Fit_Matrix!$A:$A,0))),"CHECK KEY"))</f>
        <v/>
      </c>
    </row>
    <row r="4828" customFormat="false" ht="15" hidden="false" customHeight="true" outlineLevel="0" collapsed="false">
      <c r="P4828" s="1" t="str">
        <f aca="false">IF(OR(F4828="",H4828="",J4828=""),"",J4828&amp;"|"&amp;F4828&amp;"|"&amp;IF(H4828="W3","W3_"&amp;IF(I4828="","unknown",I4828),H4828))</f>
        <v/>
      </c>
      <c r="Q4828" s="1" t="str">
        <f aca="false">IF(P4828="","",IFERROR(IF(AND(H4828="W7",OR(F4828="causal",F4828="predictive")),IF(AND(K4828=1,L4828=1,M4828=1),"adequate","partial"),INDEX(Fit_Matrix!$B:$B,MATCH(P4828,Fit_Matrix!$A:$A,0))),"CHECK KEY"))</f>
        <v/>
      </c>
    </row>
    <row r="4829" customFormat="false" ht="15" hidden="false" customHeight="true" outlineLevel="0" collapsed="false">
      <c r="P4829" s="1" t="str">
        <f aca="false">IF(OR(F4829="",H4829="",J4829=""),"",J4829&amp;"|"&amp;F4829&amp;"|"&amp;IF(H4829="W3","W3_"&amp;IF(I4829="","unknown",I4829),H4829))</f>
        <v/>
      </c>
      <c r="Q4829" s="1" t="str">
        <f aca="false">IF(P4829="","",IFERROR(IF(AND(H4829="W7",OR(F4829="causal",F4829="predictive")),IF(AND(K4829=1,L4829=1,M4829=1),"adequate","partial"),INDEX(Fit_Matrix!$B:$B,MATCH(P4829,Fit_Matrix!$A:$A,0))),"CHECK KEY"))</f>
        <v/>
      </c>
    </row>
    <row r="4830" customFormat="false" ht="15" hidden="false" customHeight="true" outlineLevel="0" collapsed="false">
      <c r="P4830" s="1" t="str">
        <f aca="false">IF(OR(F4830="",H4830="",J4830=""),"",J4830&amp;"|"&amp;F4830&amp;"|"&amp;IF(H4830="W3","W3_"&amp;IF(I4830="","unknown",I4830),H4830))</f>
        <v/>
      </c>
      <c r="Q4830" s="1" t="str">
        <f aca="false">IF(P4830="","",IFERROR(IF(AND(H4830="W7",OR(F4830="causal",F4830="predictive")),IF(AND(K4830=1,L4830=1,M4830=1),"adequate","partial"),INDEX(Fit_Matrix!$B:$B,MATCH(P4830,Fit_Matrix!$A:$A,0))),"CHECK KEY"))</f>
        <v/>
      </c>
    </row>
    <row r="4831" customFormat="false" ht="15" hidden="false" customHeight="true" outlineLevel="0" collapsed="false">
      <c r="P4831" s="1" t="str">
        <f aca="false">IF(OR(F4831="",H4831="",J4831=""),"",J4831&amp;"|"&amp;F4831&amp;"|"&amp;IF(H4831="W3","W3_"&amp;IF(I4831="","unknown",I4831),H4831))</f>
        <v/>
      </c>
      <c r="Q4831" s="1" t="str">
        <f aca="false">IF(P4831="","",IFERROR(IF(AND(H4831="W7",OR(F4831="causal",F4831="predictive")),IF(AND(K4831=1,L4831=1,M4831=1),"adequate","partial"),INDEX(Fit_Matrix!$B:$B,MATCH(P4831,Fit_Matrix!$A:$A,0))),"CHECK KEY"))</f>
        <v/>
      </c>
    </row>
    <row r="4832" customFormat="false" ht="15" hidden="false" customHeight="true" outlineLevel="0" collapsed="false">
      <c r="P4832" s="1" t="str">
        <f aca="false">IF(OR(F4832="",H4832="",J4832=""),"",J4832&amp;"|"&amp;F4832&amp;"|"&amp;IF(H4832="W3","W3_"&amp;IF(I4832="","unknown",I4832),H4832))</f>
        <v/>
      </c>
      <c r="Q4832" s="1" t="str">
        <f aca="false">IF(P4832="","",IFERROR(IF(AND(H4832="W7",OR(F4832="causal",F4832="predictive")),IF(AND(K4832=1,L4832=1,M4832=1),"adequate","partial"),INDEX(Fit_Matrix!$B:$B,MATCH(P4832,Fit_Matrix!$A:$A,0))),"CHECK KEY"))</f>
        <v/>
      </c>
    </row>
    <row r="4833" customFormat="false" ht="15" hidden="false" customHeight="true" outlineLevel="0" collapsed="false">
      <c r="P4833" s="1" t="str">
        <f aca="false">IF(OR(F4833="",H4833="",J4833=""),"",J4833&amp;"|"&amp;F4833&amp;"|"&amp;IF(H4833="W3","W3_"&amp;IF(I4833="","unknown",I4833),H4833))</f>
        <v/>
      </c>
      <c r="Q4833" s="1" t="str">
        <f aca="false">IF(P4833="","",IFERROR(IF(AND(H4833="W7",OR(F4833="causal",F4833="predictive")),IF(AND(K4833=1,L4833=1,M4833=1),"adequate","partial"),INDEX(Fit_Matrix!$B:$B,MATCH(P4833,Fit_Matrix!$A:$A,0))),"CHECK KEY"))</f>
        <v/>
      </c>
    </row>
    <row r="4834" customFormat="false" ht="15" hidden="false" customHeight="true" outlineLevel="0" collapsed="false">
      <c r="P4834" s="1" t="str">
        <f aca="false">IF(OR(F4834="",H4834="",J4834=""),"",J4834&amp;"|"&amp;F4834&amp;"|"&amp;IF(H4834="W3","W3_"&amp;IF(I4834="","unknown",I4834),H4834))</f>
        <v/>
      </c>
      <c r="Q4834" s="1" t="str">
        <f aca="false">IF(P4834="","",IFERROR(IF(AND(H4834="W7",OR(F4834="causal",F4834="predictive")),IF(AND(K4834=1,L4834=1,M4834=1),"adequate","partial"),INDEX(Fit_Matrix!$B:$B,MATCH(P4834,Fit_Matrix!$A:$A,0))),"CHECK KEY"))</f>
        <v/>
      </c>
    </row>
    <row r="4835" customFormat="false" ht="15" hidden="false" customHeight="true" outlineLevel="0" collapsed="false">
      <c r="P4835" s="1" t="str">
        <f aca="false">IF(OR(F4835="",H4835="",J4835=""),"",J4835&amp;"|"&amp;F4835&amp;"|"&amp;IF(H4835="W3","W3_"&amp;IF(I4835="","unknown",I4835),H4835))</f>
        <v/>
      </c>
      <c r="Q4835" s="1" t="str">
        <f aca="false">IF(P4835="","",IFERROR(IF(AND(H4835="W7",OR(F4835="causal",F4835="predictive")),IF(AND(K4835=1,L4835=1,M4835=1),"adequate","partial"),INDEX(Fit_Matrix!$B:$B,MATCH(P4835,Fit_Matrix!$A:$A,0))),"CHECK KEY"))</f>
        <v/>
      </c>
    </row>
    <row r="4836" customFormat="false" ht="15" hidden="false" customHeight="true" outlineLevel="0" collapsed="false">
      <c r="P4836" s="1" t="str">
        <f aca="false">IF(OR(F4836="",H4836="",J4836=""),"",J4836&amp;"|"&amp;F4836&amp;"|"&amp;IF(H4836="W3","W3_"&amp;IF(I4836="","unknown",I4836),H4836))</f>
        <v/>
      </c>
      <c r="Q4836" s="1" t="str">
        <f aca="false">IF(P4836="","",IFERROR(IF(AND(H4836="W7",OR(F4836="causal",F4836="predictive")),IF(AND(K4836=1,L4836=1,M4836=1),"adequate","partial"),INDEX(Fit_Matrix!$B:$B,MATCH(P4836,Fit_Matrix!$A:$A,0))),"CHECK KEY"))</f>
        <v/>
      </c>
    </row>
    <row r="4837" customFormat="false" ht="15" hidden="false" customHeight="true" outlineLevel="0" collapsed="false">
      <c r="P4837" s="1" t="str">
        <f aca="false">IF(OR(F4837="",H4837="",J4837=""),"",J4837&amp;"|"&amp;F4837&amp;"|"&amp;IF(H4837="W3","W3_"&amp;IF(I4837="","unknown",I4837),H4837))</f>
        <v/>
      </c>
      <c r="Q4837" s="1" t="str">
        <f aca="false">IF(P4837="","",IFERROR(IF(AND(H4837="W7",OR(F4837="causal",F4837="predictive")),IF(AND(K4837=1,L4837=1,M4837=1),"adequate","partial"),INDEX(Fit_Matrix!$B:$B,MATCH(P4837,Fit_Matrix!$A:$A,0))),"CHECK KEY"))</f>
        <v/>
      </c>
    </row>
    <row r="4838" customFormat="false" ht="15" hidden="false" customHeight="true" outlineLevel="0" collapsed="false">
      <c r="P4838" s="1" t="str">
        <f aca="false">IF(OR(F4838="",H4838="",J4838=""),"",J4838&amp;"|"&amp;F4838&amp;"|"&amp;IF(H4838="W3","W3_"&amp;IF(I4838="","unknown",I4838),H4838))</f>
        <v/>
      </c>
      <c r="Q4838" s="1" t="str">
        <f aca="false">IF(P4838="","",IFERROR(IF(AND(H4838="W7",OR(F4838="causal",F4838="predictive")),IF(AND(K4838=1,L4838=1,M4838=1),"adequate","partial"),INDEX(Fit_Matrix!$B:$B,MATCH(P4838,Fit_Matrix!$A:$A,0))),"CHECK KEY"))</f>
        <v/>
      </c>
    </row>
    <row r="4839" customFormat="false" ht="15" hidden="false" customHeight="true" outlineLevel="0" collapsed="false">
      <c r="P4839" s="1" t="str">
        <f aca="false">IF(OR(F4839="",H4839="",J4839=""),"",J4839&amp;"|"&amp;F4839&amp;"|"&amp;IF(H4839="W3","W3_"&amp;IF(I4839="","unknown",I4839),H4839))</f>
        <v/>
      </c>
      <c r="Q4839" s="1" t="str">
        <f aca="false">IF(P4839="","",IFERROR(IF(AND(H4839="W7",OR(F4839="causal",F4839="predictive")),IF(AND(K4839=1,L4839=1,M4839=1),"adequate","partial"),INDEX(Fit_Matrix!$B:$B,MATCH(P4839,Fit_Matrix!$A:$A,0))),"CHECK KEY"))</f>
        <v/>
      </c>
    </row>
    <row r="4840" customFormat="false" ht="15" hidden="false" customHeight="true" outlineLevel="0" collapsed="false">
      <c r="P4840" s="1" t="str">
        <f aca="false">IF(OR(F4840="",H4840="",J4840=""),"",J4840&amp;"|"&amp;F4840&amp;"|"&amp;IF(H4840="W3","W3_"&amp;IF(I4840="","unknown",I4840),H4840))</f>
        <v/>
      </c>
      <c r="Q4840" s="1" t="str">
        <f aca="false">IF(P4840="","",IFERROR(IF(AND(H4840="W7",OR(F4840="causal",F4840="predictive")),IF(AND(K4840=1,L4840=1,M4840=1),"adequate","partial"),INDEX(Fit_Matrix!$B:$B,MATCH(P4840,Fit_Matrix!$A:$A,0))),"CHECK KEY"))</f>
        <v/>
      </c>
    </row>
    <row r="4841" customFormat="false" ht="15" hidden="false" customHeight="true" outlineLevel="0" collapsed="false">
      <c r="P4841" s="1" t="str">
        <f aca="false">IF(OR(F4841="",H4841="",J4841=""),"",J4841&amp;"|"&amp;F4841&amp;"|"&amp;IF(H4841="W3","W3_"&amp;IF(I4841="","unknown",I4841),H4841))</f>
        <v/>
      </c>
      <c r="Q4841" s="1" t="str">
        <f aca="false">IF(P4841="","",IFERROR(IF(AND(H4841="W7",OR(F4841="causal",F4841="predictive")),IF(AND(K4841=1,L4841=1,M4841=1),"adequate","partial"),INDEX(Fit_Matrix!$B:$B,MATCH(P4841,Fit_Matrix!$A:$A,0))),"CHECK KEY"))</f>
        <v/>
      </c>
    </row>
    <row r="4842" customFormat="false" ht="15" hidden="false" customHeight="true" outlineLevel="0" collapsed="false">
      <c r="P4842" s="1" t="str">
        <f aca="false">IF(OR(F4842="",H4842="",J4842=""),"",J4842&amp;"|"&amp;F4842&amp;"|"&amp;IF(H4842="W3","W3_"&amp;IF(I4842="","unknown",I4842),H4842))</f>
        <v/>
      </c>
      <c r="Q4842" s="1" t="str">
        <f aca="false">IF(P4842="","",IFERROR(IF(AND(H4842="W7",OR(F4842="causal",F4842="predictive")),IF(AND(K4842=1,L4842=1,M4842=1),"adequate","partial"),INDEX(Fit_Matrix!$B:$B,MATCH(P4842,Fit_Matrix!$A:$A,0))),"CHECK KEY"))</f>
        <v/>
      </c>
    </row>
    <row r="4843" customFormat="false" ht="15" hidden="false" customHeight="true" outlineLevel="0" collapsed="false">
      <c r="P4843" s="1" t="str">
        <f aca="false">IF(OR(F4843="",H4843="",J4843=""),"",J4843&amp;"|"&amp;F4843&amp;"|"&amp;IF(H4843="W3","W3_"&amp;IF(I4843="","unknown",I4843),H4843))</f>
        <v/>
      </c>
      <c r="Q4843" s="1" t="str">
        <f aca="false">IF(P4843="","",IFERROR(IF(AND(H4843="W7",OR(F4843="causal",F4843="predictive")),IF(AND(K4843=1,L4843=1,M4843=1),"adequate","partial"),INDEX(Fit_Matrix!$B:$B,MATCH(P4843,Fit_Matrix!$A:$A,0))),"CHECK KEY"))</f>
        <v/>
      </c>
    </row>
    <row r="4844" customFormat="false" ht="15" hidden="false" customHeight="true" outlineLevel="0" collapsed="false">
      <c r="P4844" s="1" t="str">
        <f aca="false">IF(OR(F4844="",H4844="",J4844=""),"",J4844&amp;"|"&amp;F4844&amp;"|"&amp;IF(H4844="W3","W3_"&amp;IF(I4844="","unknown",I4844),H4844))</f>
        <v/>
      </c>
      <c r="Q4844" s="1" t="str">
        <f aca="false">IF(P4844="","",IFERROR(IF(AND(H4844="W7",OR(F4844="causal",F4844="predictive")),IF(AND(K4844=1,L4844=1,M4844=1),"adequate","partial"),INDEX(Fit_Matrix!$B:$B,MATCH(P4844,Fit_Matrix!$A:$A,0))),"CHECK KEY"))</f>
        <v/>
      </c>
    </row>
    <row r="4845" customFormat="false" ht="15" hidden="false" customHeight="true" outlineLevel="0" collapsed="false">
      <c r="P4845" s="1" t="str">
        <f aca="false">IF(OR(F4845="",H4845="",J4845=""),"",J4845&amp;"|"&amp;F4845&amp;"|"&amp;IF(H4845="W3","W3_"&amp;IF(I4845="","unknown",I4845),H4845))</f>
        <v/>
      </c>
      <c r="Q4845" s="1" t="str">
        <f aca="false">IF(P4845="","",IFERROR(IF(AND(H4845="W7",OR(F4845="causal",F4845="predictive")),IF(AND(K4845=1,L4845=1,M4845=1),"adequate","partial"),INDEX(Fit_Matrix!$B:$B,MATCH(P4845,Fit_Matrix!$A:$A,0))),"CHECK KEY"))</f>
        <v/>
      </c>
    </row>
    <row r="4846" customFormat="false" ht="15" hidden="false" customHeight="true" outlineLevel="0" collapsed="false">
      <c r="P4846" s="1" t="str">
        <f aca="false">IF(OR(F4846="",H4846="",J4846=""),"",J4846&amp;"|"&amp;F4846&amp;"|"&amp;IF(H4846="W3","W3_"&amp;IF(I4846="","unknown",I4846),H4846))</f>
        <v/>
      </c>
      <c r="Q4846" s="1" t="str">
        <f aca="false">IF(P4846="","",IFERROR(IF(AND(H4846="W7",OR(F4846="causal",F4846="predictive")),IF(AND(K4846=1,L4846=1,M4846=1),"adequate","partial"),INDEX(Fit_Matrix!$B:$B,MATCH(P4846,Fit_Matrix!$A:$A,0))),"CHECK KEY"))</f>
        <v/>
      </c>
    </row>
    <row r="4847" customFormat="false" ht="15" hidden="false" customHeight="true" outlineLevel="0" collapsed="false">
      <c r="P4847" s="1" t="str">
        <f aca="false">IF(OR(F4847="",H4847="",J4847=""),"",J4847&amp;"|"&amp;F4847&amp;"|"&amp;IF(H4847="W3","W3_"&amp;IF(I4847="","unknown",I4847),H4847))</f>
        <v/>
      </c>
      <c r="Q4847" s="1" t="str">
        <f aca="false">IF(P4847="","",IFERROR(IF(AND(H4847="W7",OR(F4847="causal",F4847="predictive")),IF(AND(K4847=1,L4847=1,M4847=1),"adequate","partial"),INDEX(Fit_Matrix!$B:$B,MATCH(P4847,Fit_Matrix!$A:$A,0))),"CHECK KEY"))</f>
        <v/>
      </c>
    </row>
    <row r="4848" customFormat="false" ht="15" hidden="false" customHeight="true" outlineLevel="0" collapsed="false">
      <c r="P4848" s="1" t="str">
        <f aca="false">IF(OR(F4848="",H4848="",J4848=""),"",J4848&amp;"|"&amp;F4848&amp;"|"&amp;IF(H4848="W3","W3_"&amp;IF(I4848="","unknown",I4848),H4848))</f>
        <v/>
      </c>
      <c r="Q4848" s="1" t="str">
        <f aca="false">IF(P4848="","",IFERROR(IF(AND(H4848="W7",OR(F4848="causal",F4848="predictive")),IF(AND(K4848=1,L4848=1,M4848=1),"adequate","partial"),INDEX(Fit_Matrix!$B:$B,MATCH(P4848,Fit_Matrix!$A:$A,0))),"CHECK KEY"))</f>
        <v/>
      </c>
    </row>
    <row r="4849" customFormat="false" ht="15" hidden="false" customHeight="true" outlineLevel="0" collapsed="false">
      <c r="P4849" s="1" t="str">
        <f aca="false">IF(OR(F4849="",H4849="",J4849=""),"",J4849&amp;"|"&amp;F4849&amp;"|"&amp;IF(H4849="W3","W3_"&amp;IF(I4849="","unknown",I4849),H4849))</f>
        <v/>
      </c>
      <c r="Q4849" s="1" t="str">
        <f aca="false">IF(P4849="","",IFERROR(IF(AND(H4849="W7",OR(F4849="causal",F4849="predictive")),IF(AND(K4849=1,L4849=1,M4849=1),"adequate","partial"),INDEX(Fit_Matrix!$B:$B,MATCH(P4849,Fit_Matrix!$A:$A,0))),"CHECK KEY"))</f>
        <v/>
      </c>
    </row>
    <row r="4850" customFormat="false" ht="15" hidden="false" customHeight="true" outlineLevel="0" collapsed="false">
      <c r="P4850" s="1" t="str">
        <f aca="false">IF(OR(F4850="",H4850="",J4850=""),"",J4850&amp;"|"&amp;F4850&amp;"|"&amp;IF(H4850="W3","W3_"&amp;IF(I4850="","unknown",I4850),H4850))</f>
        <v/>
      </c>
      <c r="Q4850" s="1" t="str">
        <f aca="false">IF(P4850="","",IFERROR(IF(AND(H4850="W7",OR(F4850="causal",F4850="predictive")),IF(AND(K4850=1,L4850=1,M4850=1),"adequate","partial"),INDEX(Fit_Matrix!$B:$B,MATCH(P4850,Fit_Matrix!$A:$A,0))),"CHECK KEY"))</f>
        <v/>
      </c>
    </row>
    <row r="4851" customFormat="false" ht="15" hidden="false" customHeight="true" outlineLevel="0" collapsed="false">
      <c r="P4851" s="1" t="str">
        <f aca="false">IF(OR(F4851="",H4851="",J4851=""),"",J4851&amp;"|"&amp;F4851&amp;"|"&amp;IF(H4851="W3","W3_"&amp;IF(I4851="","unknown",I4851),H4851))</f>
        <v/>
      </c>
      <c r="Q4851" s="1" t="str">
        <f aca="false">IF(P4851="","",IFERROR(IF(AND(H4851="W7",OR(F4851="causal",F4851="predictive")),IF(AND(K4851=1,L4851=1,M4851=1),"adequate","partial"),INDEX(Fit_Matrix!$B:$B,MATCH(P4851,Fit_Matrix!$A:$A,0))),"CHECK KEY"))</f>
        <v/>
      </c>
    </row>
    <row r="4852" customFormat="false" ht="15" hidden="false" customHeight="true" outlineLevel="0" collapsed="false">
      <c r="P4852" s="1" t="str">
        <f aca="false">IF(OR(F4852="",H4852="",J4852=""),"",J4852&amp;"|"&amp;F4852&amp;"|"&amp;IF(H4852="W3","W3_"&amp;IF(I4852="","unknown",I4852),H4852))</f>
        <v/>
      </c>
      <c r="Q4852" s="1" t="str">
        <f aca="false">IF(P4852="","",IFERROR(IF(AND(H4852="W7",OR(F4852="causal",F4852="predictive")),IF(AND(K4852=1,L4852=1,M4852=1),"adequate","partial"),INDEX(Fit_Matrix!$B:$B,MATCH(P4852,Fit_Matrix!$A:$A,0))),"CHECK KEY"))</f>
        <v/>
      </c>
    </row>
    <row r="4853" customFormat="false" ht="15" hidden="false" customHeight="true" outlineLevel="0" collapsed="false">
      <c r="P4853" s="1" t="str">
        <f aca="false">IF(OR(F4853="",H4853="",J4853=""),"",J4853&amp;"|"&amp;F4853&amp;"|"&amp;IF(H4853="W3","W3_"&amp;IF(I4853="","unknown",I4853),H4853))</f>
        <v/>
      </c>
      <c r="Q4853" s="1" t="str">
        <f aca="false">IF(P4853="","",IFERROR(IF(AND(H4853="W7",OR(F4853="causal",F4853="predictive")),IF(AND(K4853=1,L4853=1,M4853=1),"adequate","partial"),INDEX(Fit_Matrix!$B:$B,MATCH(P4853,Fit_Matrix!$A:$A,0))),"CHECK KEY"))</f>
        <v/>
      </c>
    </row>
    <row r="4854" customFormat="false" ht="15" hidden="false" customHeight="true" outlineLevel="0" collapsed="false">
      <c r="P4854" s="1" t="str">
        <f aca="false">IF(OR(F4854="",H4854="",J4854=""),"",J4854&amp;"|"&amp;F4854&amp;"|"&amp;IF(H4854="W3","W3_"&amp;IF(I4854="","unknown",I4854),H4854))</f>
        <v/>
      </c>
      <c r="Q4854" s="1" t="str">
        <f aca="false">IF(P4854="","",IFERROR(IF(AND(H4854="W7",OR(F4854="causal",F4854="predictive")),IF(AND(K4854=1,L4854=1,M4854=1),"adequate","partial"),INDEX(Fit_Matrix!$B:$B,MATCH(P4854,Fit_Matrix!$A:$A,0))),"CHECK KEY"))</f>
        <v/>
      </c>
    </row>
    <row r="4855" customFormat="false" ht="15" hidden="false" customHeight="true" outlineLevel="0" collapsed="false">
      <c r="P4855" s="1" t="str">
        <f aca="false">IF(OR(F4855="",H4855="",J4855=""),"",J4855&amp;"|"&amp;F4855&amp;"|"&amp;IF(H4855="W3","W3_"&amp;IF(I4855="","unknown",I4855),H4855))</f>
        <v/>
      </c>
      <c r="Q4855" s="1" t="str">
        <f aca="false">IF(P4855="","",IFERROR(IF(AND(H4855="W7",OR(F4855="causal",F4855="predictive")),IF(AND(K4855=1,L4855=1,M4855=1),"adequate","partial"),INDEX(Fit_Matrix!$B:$B,MATCH(P4855,Fit_Matrix!$A:$A,0))),"CHECK KEY"))</f>
        <v/>
      </c>
    </row>
    <row r="4856" customFormat="false" ht="15" hidden="false" customHeight="true" outlineLevel="0" collapsed="false">
      <c r="P4856" s="1" t="str">
        <f aca="false">IF(OR(F4856="",H4856="",J4856=""),"",J4856&amp;"|"&amp;F4856&amp;"|"&amp;IF(H4856="W3","W3_"&amp;IF(I4856="","unknown",I4856),H4856))</f>
        <v/>
      </c>
      <c r="Q4856" s="1" t="str">
        <f aca="false">IF(P4856="","",IFERROR(IF(AND(H4856="W7",OR(F4856="causal",F4856="predictive")),IF(AND(K4856=1,L4856=1,M4856=1),"adequate","partial"),INDEX(Fit_Matrix!$B:$B,MATCH(P4856,Fit_Matrix!$A:$A,0))),"CHECK KEY"))</f>
        <v/>
      </c>
    </row>
    <row r="4857" customFormat="false" ht="15" hidden="false" customHeight="true" outlineLevel="0" collapsed="false">
      <c r="P4857" s="1" t="str">
        <f aca="false">IF(OR(F4857="",H4857="",J4857=""),"",J4857&amp;"|"&amp;F4857&amp;"|"&amp;IF(H4857="W3","W3_"&amp;IF(I4857="","unknown",I4857),H4857))</f>
        <v/>
      </c>
      <c r="Q4857" s="1" t="str">
        <f aca="false">IF(P4857="","",IFERROR(IF(AND(H4857="W7",OR(F4857="causal",F4857="predictive")),IF(AND(K4857=1,L4857=1,M4857=1),"adequate","partial"),INDEX(Fit_Matrix!$B:$B,MATCH(P4857,Fit_Matrix!$A:$A,0))),"CHECK KEY"))</f>
        <v/>
      </c>
    </row>
    <row r="4858" customFormat="false" ht="15" hidden="false" customHeight="true" outlineLevel="0" collapsed="false">
      <c r="P4858" s="1" t="str">
        <f aca="false">IF(OR(F4858="",H4858="",J4858=""),"",J4858&amp;"|"&amp;F4858&amp;"|"&amp;IF(H4858="W3","W3_"&amp;IF(I4858="","unknown",I4858),H4858))</f>
        <v/>
      </c>
      <c r="Q4858" s="1" t="str">
        <f aca="false">IF(P4858="","",IFERROR(IF(AND(H4858="W7",OR(F4858="causal",F4858="predictive")),IF(AND(K4858=1,L4858=1,M4858=1),"adequate","partial"),INDEX(Fit_Matrix!$B:$B,MATCH(P4858,Fit_Matrix!$A:$A,0))),"CHECK KEY"))</f>
        <v/>
      </c>
    </row>
    <row r="4859" customFormat="false" ht="15" hidden="false" customHeight="true" outlineLevel="0" collapsed="false">
      <c r="P4859" s="1" t="str">
        <f aca="false">IF(OR(F4859="",H4859="",J4859=""),"",J4859&amp;"|"&amp;F4859&amp;"|"&amp;IF(H4859="W3","W3_"&amp;IF(I4859="","unknown",I4859),H4859))</f>
        <v/>
      </c>
      <c r="Q4859" s="1" t="str">
        <f aca="false">IF(P4859="","",IFERROR(IF(AND(H4859="W7",OR(F4859="causal",F4859="predictive")),IF(AND(K4859=1,L4859=1,M4859=1),"adequate","partial"),INDEX(Fit_Matrix!$B:$B,MATCH(P4859,Fit_Matrix!$A:$A,0))),"CHECK KEY"))</f>
        <v/>
      </c>
    </row>
    <row r="4860" customFormat="false" ht="15" hidden="false" customHeight="true" outlineLevel="0" collapsed="false">
      <c r="P4860" s="1" t="str">
        <f aca="false">IF(OR(F4860="",H4860="",J4860=""),"",J4860&amp;"|"&amp;F4860&amp;"|"&amp;IF(H4860="W3","W3_"&amp;IF(I4860="","unknown",I4860),H4860))</f>
        <v/>
      </c>
      <c r="Q4860" s="1" t="str">
        <f aca="false">IF(P4860="","",IFERROR(IF(AND(H4860="W7",OR(F4860="causal",F4860="predictive")),IF(AND(K4860=1,L4860=1,M4860=1),"adequate","partial"),INDEX(Fit_Matrix!$B:$B,MATCH(P4860,Fit_Matrix!$A:$A,0))),"CHECK KEY"))</f>
        <v/>
      </c>
    </row>
    <row r="4861" customFormat="false" ht="15" hidden="false" customHeight="true" outlineLevel="0" collapsed="false">
      <c r="P4861" s="1" t="str">
        <f aca="false">IF(OR(F4861="",H4861="",J4861=""),"",J4861&amp;"|"&amp;F4861&amp;"|"&amp;IF(H4861="W3","W3_"&amp;IF(I4861="","unknown",I4861),H4861))</f>
        <v/>
      </c>
      <c r="Q4861" s="1" t="str">
        <f aca="false">IF(P4861="","",IFERROR(IF(AND(H4861="W7",OR(F4861="causal",F4861="predictive")),IF(AND(K4861=1,L4861=1,M4861=1),"adequate","partial"),INDEX(Fit_Matrix!$B:$B,MATCH(P4861,Fit_Matrix!$A:$A,0))),"CHECK KEY"))</f>
        <v/>
      </c>
    </row>
    <row r="4862" customFormat="false" ht="15" hidden="false" customHeight="true" outlineLevel="0" collapsed="false">
      <c r="P4862" s="1" t="str">
        <f aca="false">IF(OR(F4862="",H4862="",J4862=""),"",J4862&amp;"|"&amp;F4862&amp;"|"&amp;IF(H4862="W3","W3_"&amp;IF(I4862="","unknown",I4862),H4862))</f>
        <v/>
      </c>
      <c r="Q4862" s="1" t="str">
        <f aca="false">IF(P4862="","",IFERROR(IF(AND(H4862="W7",OR(F4862="causal",F4862="predictive")),IF(AND(K4862=1,L4862=1,M4862=1),"adequate","partial"),INDEX(Fit_Matrix!$B:$B,MATCH(P4862,Fit_Matrix!$A:$A,0))),"CHECK KEY"))</f>
        <v/>
      </c>
    </row>
    <row r="4863" customFormat="false" ht="15" hidden="false" customHeight="true" outlineLevel="0" collapsed="false">
      <c r="P4863" s="1" t="str">
        <f aca="false">IF(OR(F4863="",H4863="",J4863=""),"",J4863&amp;"|"&amp;F4863&amp;"|"&amp;IF(H4863="W3","W3_"&amp;IF(I4863="","unknown",I4863),H4863))</f>
        <v/>
      </c>
      <c r="Q4863" s="1" t="str">
        <f aca="false">IF(P4863="","",IFERROR(IF(AND(H4863="W7",OR(F4863="causal",F4863="predictive")),IF(AND(K4863=1,L4863=1,M4863=1),"adequate","partial"),INDEX(Fit_Matrix!$B:$B,MATCH(P4863,Fit_Matrix!$A:$A,0))),"CHECK KEY"))</f>
        <v/>
      </c>
    </row>
    <row r="4864" customFormat="false" ht="15" hidden="false" customHeight="true" outlineLevel="0" collapsed="false">
      <c r="P4864" s="1" t="str">
        <f aca="false">IF(OR(F4864="",H4864="",J4864=""),"",J4864&amp;"|"&amp;F4864&amp;"|"&amp;IF(H4864="W3","W3_"&amp;IF(I4864="","unknown",I4864),H4864))</f>
        <v/>
      </c>
      <c r="Q4864" s="1" t="str">
        <f aca="false">IF(P4864="","",IFERROR(IF(AND(H4864="W7",OR(F4864="causal",F4864="predictive")),IF(AND(K4864=1,L4864=1,M4864=1),"adequate","partial"),INDEX(Fit_Matrix!$B:$B,MATCH(P4864,Fit_Matrix!$A:$A,0))),"CHECK KEY"))</f>
        <v/>
      </c>
    </row>
    <row r="4865" customFormat="false" ht="15" hidden="false" customHeight="true" outlineLevel="0" collapsed="false">
      <c r="P4865" s="1" t="str">
        <f aca="false">IF(OR(F4865="",H4865="",J4865=""),"",J4865&amp;"|"&amp;F4865&amp;"|"&amp;IF(H4865="W3","W3_"&amp;IF(I4865="","unknown",I4865),H4865))</f>
        <v/>
      </c>
      <c r="Q4865" s="1" t="str">
        <f aca="false">IF(P4865="","",IFERROR(IF(AND(H4865="W7",OR(F4865="causal",F4865="predictive")),IF(AND(K4865=1,L4865=1,M4865=1),"adequate","partial"),INDEX(Fit_Matrix!$B:$B,MATCH(P4865,Fit_Matrix!$A:$A,0))),"CHECK KEY"))</f>
        <v/>
      </c>
    </row>
    <row r="4866" customFormat="false" ht="15" hidden="false" customHeight="true" outlineLevel="0" collapsed="false">
      <c r="P4866" s="1" t="str">
        <f aca="false">IF(OR(F4866="",H4866="",J4866=""),"",J4866&amp;"|"&amp;F4866&amp;"|"&amp;IF(H4866="W3","W3_"&amp;IF(I4866="","unknown",I4866),H4866))</f>
        <v/>
      </c>
      <c r="Q4866" s="1" t="str">
        <f aca="false">IF(P4866="","",IFERROR(IF(AND(H4866="W7",OR(F4866="causal",F4866="predictive")),IF(AND(K4866=1,L4866=1,M4866=1),"adequate","partial"),INDEX(Fit_Matrix!$B:$B,MATCH(P4866,Fit_Matrix!$A:$A,0))),"CHECK KEY"))</f>
        <v/>
      </c>
    </row>
    <row r="4867" customFormat="false" ht="15" hidden="false" customHeight="true" outlineLevel="0" collapsed="false">
      <c r="P4867" s="1" t="str">
        <f aca="false">IF(OR(F4867="",H4867="",J4867=""),"",J4867&amp;"|"&amp;F4867&amp;"|"&amp;IF(H4867="W3","W3_"&amp;IF(I4867="","unknown",I4867),H4867))</f>
        <v/>
      </c>
      <c r="Q4867" s="1" t="str">
        <f aca="false">IF(P4867="","",IFERROR(IF(AND(H4867="W7",OR(F4867="causal",F4867="predictive")),IF(AND(K4867=1,L4867=1,M4867=1),"adequate","partial"),INDEX(Fit_Matrix!$B:$B,MATCH(P4867,Fit_Matrix!$A:$A,0))),"CHECK KEY"))</f>
        <v/>
      </c>
    </row>
    <row r="4868" customFormat="false" ht="15" hidden="false" customHeight="true" outlineLevel="0" collapsed="false">
      <c r="P4868" s="1" t="str">
        <f aca="false">IF(OR(F4868="",H4868="",J4868=""),"",J4868&amp;"|"&amp;F4868&amp;"|"&amp;IF(H4868="W3","W3_"&amp;IF(I4868="","unknown",I4868),H4868))</f>
        <v/>
      </c>
      <c r="Q4868" s="1" t="str">
        <f aca="false">IF(P4868="","",IFERROR(IF(AND(H4868="W7",OR(F4868="causal",F4868="predictive")),IF(AND(K4868=1,L4868=1,M4868=1),"adequate","partial"),INDEX(Fit_Matrix!$B:$B,MATCH(P4868,Fit_Matrix!$A:$A,0))),"CHECK KEY"))</f>
        <v/>
      </c>
    </row>
    <row r="4869" customFormat="false" ht="15" hidden="false" customHeight="true" outlineLevel="0" collapsed="false">
      <c r="P4869" s="1" t="str">
        <f aca="false">IF(OR(F4869="",H4869="",J4869=""),"",J4869&amp;"|"&amp;F4869&amp;"|"&amp;IF(H4869="W3","W3_"&amp;IF(I4869="","unknown",I4869),H4869))</f>
        <v/>
      </c>
      <c r="Q4869" s="1" t="str">
        <f aca="false">IF(P4869="","",IFERROR(IF(AND(H4869="W7",OR(F4869="causal",F4869="predictive")),IF(AND(K4869=1,L4869=1,M4869=1),"adequate","partial"),INDEX(Fit_Matrix!$B:$B,MATCH(P4869,Fit_Matrix!$A:$A,0))),"CHECK KEY"))</f>
        <v/>
      </c>
    </row>
    <row r="4870" customFormat="false" ht="15" hidden="false" customHeight="true" outlineLevel="0" collapsed="false">
      <c r="P4870" s="1" t="str">
        <f aca="false">IF(OR(F4870="",H4870="",J4870=""),"",J4870&amp;"|"&amp;F4870&amp;"|"&amp;IF(H4870="W3","W3_"&amp;IF(I4870="","unknown",I4870),H4870))</f>
        <v/>
      </c>
      <c r="Q4870" s="1" t="str">
        <f aca="false">IF(P4870="","",IFERROR(IF(AND(H4870="W7",OR(F4870="causal",F4870="predictive")),IF(AND(K4870=1,L4870=1,M4870=1),"adequate","partial"),INDEX(Fit_Matrix!$B:$B,MATCH(P4870,Fit_Matrix!$A:$A,0))),"CHECK KEY"))</f>
        <v/>
      </c>
    </row>
    <row r="4871" customFormat="false" ht="15" hidden="false" customHeight="true" outlineLevel="0" collapsed="false">
      <c r="P4871" s="1" t="str">
        <f aca="false">IF(OR(F4871="",H4871="",J4871=""),"",J4871&amp;"|"&amp;F4871&amp;"|"&amp;IF(H4871="W3","W3_"&amp;IF(I4871="","unknown",I4871),H4871))</f>
        <v/>
      </c>
      <c r="Q4871" s="1" t="str">
        <f aca="false">IF(P4871="","",IFERROR(IF(AND(H4871="W7",OR(F4871="causal",F4871="predictive")),IF(AND(K4871=1,L4871=1,M4871=1),"adequate","partial"),INDEX(Fit_Matrix!$B:$B,MATCH(P4871,Fit_Matrix!$A:$A,0))),"CHECK KEY"))</f>
        <v/>
      </c>
    </row>
    <row r="4872" customFormat="false" ht="15" hidden="false" customHeight="true" outlineLevel="0" collapsed="false">
      <c r="P4872" s="1" t="str">
        <f aca="false">IF(OR(F4872="",H4872="",J4872=""),"",J4872&amp;"|"&amp;F4872&amp;"|"&amp;IF(H4872="W3","W3_"&amp;IF(I4872="","unknown",I4872),H4872))</f>
        <v/>
      </c>
      <c r="Q4872" s="1" t="str">
        <f aca="false">IF(P4872="","",IFERROR(IF(AND(H4872="W7",OR(F4872="causal",F4872="predictive")),IF(AND(K4872=1,L4872=1,M4872=1),"adequate","partial"),INDEX(Fit_Matrix!$B:$B,MATCH(P4872,Fit_Matrix!$A:$A,0))),"CHECK KEY"))</f>
        <v/>
      </c>
    </row>
    <row r="4873" customFormat="false" ht="15" hidden="false" customHeight="true" outlineLevel="0" collapsed="false">
      <c r="P4873" s="1" t="str">
        <f aca="false">IF(OR(F4873="",H4873="",J4873=""),"",J4873&amp;"|"&amp;F4873&amp;"|"&amp;IF(H4873="W3","W3_"&amp;IF(I4873="","unknown",I4873),H4873))</f>
        <v/>
      </c>
      <c r="Q4873" s="1" t="str">
        <f aca="false">IF(P4873="","",IFERROR(IF(AND(H4873="W7",OR(F4873="causal",F4873="predictive")),IF(AND(K4873=1,L4873=1,M4873=1),"adequate","partial"),INDEX(Fit_Matrix!$B:$B,MATCH(P4873,Fit_Matrix!$A:$A,0))),"CHECK KEY"))</f>
        <v/>
      </c>
    </row>
    <row r="4874" customFormat="false" ht="15" hidden="false" customHeight="true" outlineLevel="0" collapsed="false">
      <c r="P4874" s="1" t="str">
        <f aca="false">IF(OR(F4874="",H4874="",J4874=""),"",J4874&amp;"|"&amp;F4874&amp;"|"&amp;IF(H4874="W3","W3_"&amp;IF(I4874="","unknown",I4874),H4874))</f>
        <v/>
      </c>
      <c r="Q4874" s="1" t="str">
        <f aca="false">IF(P4874="","",IFERROR(IF(AND(H4874="W7",OR(F4874="causal",F4874="predictive")),IF(AND(K4874=1,L4874=1,M4874=1),"adequate","partial"),INDEX(Fit_Matrix!$B:$B,MATCH(P4874,Fit_Matrix!$A:$A,0))),"CHECK KEY"))</f>
        <v/>
      </c>
    </row>
    <row r="4875" customFormat="false" ht="15" hidden="false" customHeight="true" outlineLevel="0" collapsed="false">
      <c r="P4875" s="1" t="str">
        <f aca="false">IF(OR(F4875="",H4875="",J4875=""),"",J4875&amp;"|"&amp;F4875&amp;"|"&amp;IF(H4875="W3","W3_"&amp;IF(I4875="","unknown",I4875),H4875))</f>
        <v/>
      </c>
      <c r="Q4875" s="1" t="str">
        <f aca="false">IF(P4875="","",IFERROR(IF(AND(H4875="W7",OR(F4875="causal",F4875="predictive")),IF(AND(K4875=1,L4875=1,M4875=1),"adequate","partial"),INDEX(Fit_Matrix!$B:$B,MATCH(P4875,Fit_Matrix!$A:$A,0))),"CHECK KEY"))</f>
        <v/>
      </c>
    </row>
    <row r="4876" customFormat="false" ht="15" hidden="false" customHeight="true" outlineLevel="0" collapsed="false">
      <c r="P4876" s="1" t="str">
        <f aca="false">IF(OR(F4876="",H4876="",J4876=""),"",J4876&amp;"|"&amp;F4876&amp;"|"&amp;IF(H4876="W3","W3_"&amp;IF(I4876="","unknown",I4876),H4876))</f>
        <v/>
      </c>
      <c r="Q4876" s="1" t="str">
        <f aca="false">IF(P4876="","",IFERROR(IF(AND(H4876="W7",OR(F4876="causal",F4876="predictive")),IF(AND(K4876=1,L4876=1,M4876=1),"adequate","partial"),INDEX(Fit_Matrix!$B:$B,MATCH(P4876,Fit_Matrix!$A:$A,0))),"CHECK KEY"))</f>
        <v/>
      </c>
    </row>
    <row r="4877" customFormat="false" ht="15" hidden="false" customHeight="true" outlineLevel="0" collapsed="false">
      <c r="P4877" s="1" t="str">
        <f aca="false">IF(OR(F4877="",H4877="",J4877=""),"",J4877&amp;"|"&amp;F4877&amp;"|"&amp;IF(H4877="W3","W3_"&amp;IF(I4877="","unknown",I4877),H4877))</f>
        <v/>
      </c>
      <c r="Q4877" s="1" t="str">
        <f aca="false">IF(P4877="","",IFERROR(IF(AND(H4877="W7",OR(F4877="causal",F4877="predictive")),IF(AND(K4877=1,L4877=1,M4877=1),"adequate","partial"),INDEX(Fit_Matrix!$B:$B,MATCH(P4877,Fit_Matrix!$A:$A,0))),"CHECK KEY"))</f>
        <v/>
      </c>
    </row>
    <row r="4878" customFormat="false" ht="15" hidden="false" customHeight="true" outlineLevel="0" collapsed="false">
      <c r="P4878" s="1" t="str">
        <f aca="false">IF(OR(F4878="",H4878="",J4878=""),"",J4878&amp;"|"&amp;F4878&amp;"|"&amp;IF(H4878="W3","W3_"&amp;IF(I4878="","unknown",I4878),H4878))</f>
        <v/>
      </c>
      <c r="Q4878" s="1" t="str">
        <f aca="false">IF(P4878="","",IFERROR(IF(AND(H4878="W7",OR(F4878="causal",F4878="predictive")),IF(AND(K4878=1,L4878=1,M4878=1),"adequate","partial"),INDEX(Fit_Matrix!$B:$B,MATCH(P4878,Fit_Matrix!$A:$A,0))),"CHECK KEY"))</f>
        <v/>
      </c>
    </row>
    <row r="4879" customFormat="false" ht="15" hidden="false" customHeight="true" outlineLevel="0" collapsed="false">
      <c r="P4879" s="1" t="str">
        <f aca="false">IF(OR(F4879="",H4879="",J4879=""),"",J4879&amp;"|"&amp;F4879&amp;"|"&amp;IF(H4879="W3","W3_"&amp;IF(I4879="","unknown",I4879),H4879))</f>
        <v/>
      </c>
      <c r="Q4879" s="1" t="str">
        <f aca="false">IF(P4879="","",IFERROR(IF(AND(H4879="W7",OR(F4879="causal",F4879="predictive")),IF(AND(K4879=1,L4879=1,M4879=1),"adequate","partial"),INDEX(Fit_Matrix!$B:$B,MATCH(P4879,Fit_Matrix!$A:$A,0))),"CHECK KEY"))</f>
        <v/>
      </c>
    </row>
    <row r="4880" customFormat="false" ht="15" hidden="false" customHeight="true" outlineLevel="0" collapsed="false">
      <c r="P4880" s="1" t="str">
        <f aca="false">IF(OR(F4880="",H4880="",J4880=""),"",J4880&amp;"|"&amp;F4880&amp;"|"&amp;IF(H4880="W3","W3_"&amp;IF(I4880="","unknown",I4880),H4880))</f>
        <v/>
      </c>
      <c r="Q4880" s="1" t="str">
        <f aca="false">IF(P4880="","",IFERROR(IF(AND(H4880="W7",OR(F4880="causal",F4880="predictive")),IF(AND(K4880=1,L4880=1,M4880=1),"adequate","partial"),INDEX(Fit_Matrix!$B:$B,MATCH(P4880,Fit_Matrix!$A:$A,0))),"CHECK KEY"))</f>
        <v/>
      </c>
    </row>
    <row r="4881" customFormat="false" ht="15" hidden="false" customHeight="true" outlineLevel="0" collapsed="false">
      <c r="P4881" s="1" t="str">
        <f aca="false">IF(OR(F4881="",H4881="",J4881=""),"",J4881&amp;"|"&amp;F4881&amp;"|"&amp;IF(H4881="W3","W3_"&amp;IF(I4881="","unknown",I4881),H4881))</f>
        <v/>
      </c>
      <c r="Q4881" s="1" t="str">
        <f aca="false">IF(P4881="","",IFERROR(IF(AND(H4881="W7",OR(F4881="causal",F4881="predictive")),IF(AND(K4881=1,L4881=1,M4881=1),"adequate","partial"),INDEX(Fit_Matrix!$B:$B,MATCH(P4881,Fit_Matrix!$A:$A,0))),"CHECK KEY"))</f>
        <v/>
      </c>
    </row>
    <row r="4882" customFormat="false" ht="15" hidden="false" customHeight="true" outlineLevel="0" collapsed="false">
      <c r="P4882" s="1" t="str">
        <f aca="false">IF(OR(F4882="",H4882="",J4882=""),"",J4882&amp;"|"&amp;F4882&amp;"|"&amp;IF(H4882="W3","W3_"&amp;IF(I4882="","unknown",I4882),H4882))</f>
        <v/>
      </c>
      <c r="Q4882" s="1" t="str">
        <f aca="false">IF(P4882="","",IFERROR(IF(AND(H4882="W7",OR(F4882="causal",F4882="predictive")),IF(AND(K4882=1,L4882=1,M4882=1),"adequate","partial"),INDEX(Fit_Matrix!$B:$B,MATCH(P4882,Fit_Matrix!$A:$A,0))),"CHECK KEY"))</f>
        <v/>
      </c>
    </row>
    <row r="4883" customFormat="false" ht="15" hidden="false" customHeight="true" outlineLevel="0" collapsed="false">
      <c r="P4883" s="1" t="str">
        <f aca="false">IF(OR(F4883="",H4883="",J4883=""),"",J4883&amp;"|"&amp;F4883&amp;"|"&amp;IF(H4883="W3","W3_"&amp;IF(I4883="","unknown",I4883),H4883))</f>
        <v/>
      </c>
      <c r="Q4883" s="1" t="str">
        <f aca="false">IF(P4883="","",IFERROR(IF(AND(H4883="W7",OR(F4883="causal",F4883="predictive")),IF(AND(K4883=1,L4883=1,M4883=1),"adequate","partial"),INDEX(Fit_Matrix!$B:$B,MATCH(P4883,Fit_Matrix!$A:$A,0))),"CHECK KEY"))</f>
        <v/>
      </c>
    </row>
    <row r="4884" customFormat="false" ht="15" hidden="false" customHeight="true" outlineLevel="0" collapsed="false">
      <c r="P4884" s="1" t="str">
        <f aca="false">IF(OR(F4884="",H4884="",J4884=""),"",J4884&amp;"|"&amp;F4884&amp;"|"&amp;IF(H4884="W3","W3_"&amp;IF(I4884="","unknown",I4884),H4884))</f>
        <v/>
      </c>
      <c r="Q4884" s="1" t="str">
        <f aca="false">IF(P4884="","",IFERROR(IF(AND(H4884="W7",OR(F4884="causal",F4884="predictive")),IF(AND(K4884=1,L4884=1,M4884=1),"adequate","partial"),INDEX(Fit_Matrix!$B:$B,MATCH(P4884,Fit_Matrix!$A:$A,0))),"CHECK KEY"))</f>
        <v/>
      </c>
    </row>
    <row r="4885" customFormat="false" ht="15" hidden="false" customHeight="true" outlineLevel="0" collapsed="false">
      <c r="P4885" s="1" t="str">
        <f aca="false">IF(OR(F4885="",H4885="",J4885=""),"",J4885&amp;"|"&amp;F4885&amp;"|"&amp;IF(H4885="W3","W3_"&amp;IF(I4885="","unknown",I4885),H4885))</f>
        <v/>
      </c>
      <c r="Q4885" s="1" t="str">
        <f aca="false">IF(P4885="","",IFERROR(IF(AND(H4885="W7",OR(F4885="causal",F4885="predictive")),IF(AND(K4885=1,L4885=1,M4885=1),"adequate","partial"),INDEX(Fit_Matrix!$B:$B,MATCH(P4885,Fit_Matrix!$A:$A,0))),"CHECK KEY"))</f>
        <v/>
      </c>
    </row>
    <row r="4886" customFormat="false" ht="15" hidden="false" customHeight="true" outlineLevel="0" collapsed="false">
      <c r="P4886" s="1" t="str">
        <f aca="false">IF(OR(F4886="",H4886="",J4886=""),"",J4886&amp;"|"&amp;F4886&amp;"|"&amp;IF(H4886="W3","W3_"&amp;IF(I4886="","unknown",I4886),H4886))</f>
        <v/>
      </c>
      <c r="Q4886" s="1" t="str">
        <f aca="false">IF(P4886="","",IFERROR(IF(AND(H4886="W7",OR(F4886="causal",F4886="predictive")),IF(AND(K4886=1,L4886=1,M4886=1),"adequate","partial"),INDEX(Fit_Matrix!$B:$B,MATCH(P4886,Fit_Matrix!$A:$A,0))),"CHECK KEY"))</f>
        <v/>
      </c>
    </row>
    <row r="4887" customFormat="false" ht="15" hidden="false" customHeight="true" outlineLevel="0" collapsed="false">
      <c r="P4887" s="1" t="str">
        <f aca="false">IF(OR(F4887="",H4887="",J4887=""),"",J4887&amp;"|"&amp;F4887&amp;"|"&amp;IF(H4887="W3","W3_"&amp;IF(I4887="","unknown",I4887),H4887))</f>
        <v/>
      </c>
      <c r="Q4887" s="1" t="str">
        <f aca="false">IF(P4887="","",IFERROR(IF(AND(H4887="W7",OR(F4887="causal",F4887="predictive")),IF(AND(K4887=1,L4887=1,M4887=1),"adequate","partial"),INDEX(Fit_Matrix!$B:$B,MATCH(P4887,Fit_Matrix!$A:$A,0))),"CHECK KEY"))</f>
        <v/>
      </c>
    </row>
    <row r="4888" customFormat="false" ht="15" hidden="false" customHeight="true" outlineLevel="0" collapsed="false">
      <c r="P4888" s="1" t="str">
        <f aca="false">IF(OR(F4888="",H4888="",J4888=""),"",J4888&amp;"|"&amp;F4888&amp;"|"&amp;IF(H4888="W3","W3_"&amp;IF(I4888="","unknown",I4888),H4888))</f>
        <v/>
      </c>
      <c r="Q4888" s="1" t="str">
        <f aca="false">IF(P4888="","",IFERROR(IF(AND(H4888="W7",OR(F4888="causal",F4888="predictive")),IF(AND(K4888=1,L4888=1,M4888=1),"adequate","partial"),INDEX(Fit_Matrix!$B:$B,MATCH(P4888,Fit_Matrix!$A:$A,0))),"CHECK KEY"))</f>
        <v/>
      </c>
    </row>
    <row r="4889" customFormat="false" ht="15" hidden="false" customHeight="true" outlineLevel="0" collapsed="false">
      <c r="P4889" s="1" t="str">
        <f aca="false">IF(OR(F4889="",H4889="",J4889=""),"",J4889&amp;"|"&amp;F4889&amp;"|"&amp;IF(H4889="W3","W3_"&amp;IF(I4889="","unknown",I4889),H4889))</f>
        <v/>
      </c>
      <c r="Q4889" s="1" t="str">
        <f aca="false">IF(P4889="","",IFERROR(IF(AND(H4889="W7",OR(F4889="causal",F4889="predictive")),IF(AND(K4889=1,L4889=1,M4889=1),"adequate","partial"),INDEX(Fit_Matrix!$B:$B,MATCH(P4889,Fit_Matrix!$A:$A,0))),"CHECK KEY"))</f>
        <v/>
      </c>
    </row>
    <row r="4890" customFormat="false" ht="15" hidden="false" customHeight="true" outlineLevel="0" collapsed="false">
      <c r="P4890" s="1" t="str">
        <f aca="false">IF(OR(F4890="",H4890="",J4890=""),"",J4890&amp;"|"&amp;F4890&amp;"|"&amp;IF(H4890="W3","W3_"&amp;IF(I4890="","unknown",I4890),H4890))</f>
        <v/>
      </c>
      <c r="Q4890" s="1" t="str">
        <f aca="false">IF(P4890="","",IFERROR(IF(AND(H4890="W7",OR(F4890="causal",F4890="predictive")),IF(AND(K4890=1,L4890=1,M4890=1),"adequate","partial"),INDEX(Fit_Matrix!$B:$B,MATCH(P4890,Fit_Matrix!$A:$A,0))),"CHECK KEY"))</f>
        <v/>
      </c>
    </row>
    <row r="4891" customFormat="false" ht="15" hidden="false" customHeight="true" outlineLevel="0" collapsed="false">
      <c r="P4891" s="1" t="str">
        <f aca="false">IF(OR(F4891="",H4891="",J4891=""),"",J4891&amp;"|"&amp;F4891&amp;"|"&amp;IF(H4891="W3","W3_"&amp;IF(I4891="","unknown",I4891),H4891))</f>
        <v/>
      </c>
      <c r="Q4891" s="1" t="str">
        <f aca="false">IF(P4891="","",IFERROR(IF(AND(H4891="W7",OR(F4891="causal",F4891="predictive")),IF(AND(K4891=1,L4891=1,M4891=1),"adequate","partial"),INDEX(Fit_Matrix!$B:$B,MATCH(P4891,Fit_Matrix!$A:$A,0))),"CHECK KEY"))</f>
        <v/>
      </c>
    </row>
    <row r="4892" customFormat="false" ht="15" hidden="false" customHeight="true" outlineLevel="0" collapsed="false">
      <c r="P4892" s="1" t="str">
        <f aca="false">IF(OR(F4892="",H4892="",J4892=""),"",J4892&amp;"|"&amp;F4892&amp;"|"&amp;IF(H4892="W3","W3_"&amp;IF(I4892="","unknown",I4892),H4892))</f>
        <v/>
      </c>
      <c r="Q4892" s="1" t="str">
        <f aca="false">IF(P4892="","",IFERROR(IF(AND(H4892="W7",OR(F4892="causal",F4892="predictive")),IF(AND(K4892=1,L4892=1,M4892=1),"adequate","partial"),INDEX(Fit_Matrix!$B:$B,MATCH(P4892,Fit_Matrix!$A:$A,0))),"CHECK KEY"))</f>
        <v/>
      </c>
    </row>
    <row r="4893" customFormat="false" ht="15" hidden="false" customHeight="true" outlineLevel="0" collapsed="false">
      <c r="P4893" s="1" t="str">
        <f aca="false">IF(OR(F4893="",H4893="",J4893=""),"",J4893&amp;"|"&amp;F4893&amp;"|"&amp;IF(H4893="W3","W3_"&amp;IF(I4893="","unknown",I4893),H4893))</f>
        <v/>
      </c>
      <c r="Q4893" s="1" t="str">
        <f aca="false">IF(P4893="","",IFERROR(IF(AND(H4893="W7",OR(F4893="causal",F4893="predictive")),IF(AND(K4893=1,L4893=1,M4893=1),"adequate","partial"),INDEX(Fit_Matrix!$B:$B,MATCH(P4893,Fit_Matrix!$A:$A,0))),"CHECK KEY"))</f>
        <v/>
      </c>
    </row>
    <row r="4894" customFormat="false" ht="15" hidden="false" customHeight="true" outlineLevel="0" collapsed="false">
      <c r="P4894" s="1" t="str">
        <f aca="false">IF(OR(F4894="",H4894="",J4894=""),"",J4894&amp;"|"&amp;F4894&amp;"|"&amp;IF(H4894="W3","W3_"&amp;IF(I4894="","unknown",I4894),H4894))</f>
        <v/>
      </c>
      <c r="Q4894" s="1" t="str">
        <f aca="false">IF(P4894="","",IFERROR(IF(AND(H4894="W7",OR(F4894="causal",F4894="predictive")),IF(AND(K4894=1,L4894=1,M4894=1),"adequate","partial"),INDEX(Fit_Matrix!$B:$B,MATCH(P4894,Fit_Matrix!$A:$A,0))),"CHECK KEY"))</f>
        <v/>
      </c>
    </row>
    <row r="4895" customFormat="false" ht="15" hidden="false" customHeight="true" outlineLevel="0" collapsed="false">
      <c r="P4895" s="1" t="str">
        <f aca="false">IF(OR(F4895="",H4895="",J4895=""),"",J4895&amp;"|"&amp;F4895&amp;"|"&amp;IF(H4895="W3","W3_"&amp;IF(I4895="","unknown",I4895),H4895))</f>
        <v/>
      </c>
      <c r="Q4895" s="1" t="str">
        <f aca="false">IF(P4895="","",IFERROR(IF(AND(H4895="W7",OR(F4895="causal",F4895="predictive")),IF(AND(K4895=1,L4895=1,M4895=1),"adequate","partial"),INDEX(Fit_Matrix!$B:$B,MATCH(P4895,Fit_Matrix!$A:$A,0))),"CHECK KEY"))</f>
        <v/>
      </c>
    </row>
    <row r="4896" customFormat="false" ht="15" hidden="false" customHeight="true" outlineLevel="0" collapsed="false">
      <c r="P4896" s="1" t="str">
        <f aca="false">IF(OR(F4896="",H4896="",J4896=""),"",J4896&amp;"|"&amp;F4896&amp;"|"&amp;IF(H4896="W3","W3_"&amp;IF(I4896="","unknown",I4896),H4896))</f>
        <v/>
      </c>
      <c r="Q4896" s="1" t="str">
        <f aca="false">IF(P4896="","",IFERROR(IF(AND(H4896="W7",OR(F4896="causal",F4896="predictive")),IF(AND(K4896=1,L4896=1,M4896=1),"adequate","partial"),INDEX(Fit_Matrix!$B:$B,MATCH(P4896,Fit_Matrix!$A:$A,0))),"CHECK KEY"))</f>
        <v/>
      </c>
    </row>
    <row r="4897" customFormat="false" ht="15" hidden="false" customHeight="true" outlineLevel="0" collapsed="false">
      <c r="P4897" s="1" t="str">
        <f aca="false">IF(OR(F4897="",H4897="",J4897=""),"",J4897&amp;"|"&amp;F4897&amp;"|"&amp;IF(H4897="W3","W3_"&amp;IF(I4897="","unknown",I4897),H4897))</f>
        <v/>
      </c>
      <c r="Q4897" s="1" t="str">
        <f aca="false">IF(P4897="","",IFERROR(IF(AND(H4897="W7",OR(F4897="causal",F4897="predictive")),IF(AND(K4897=1,L4897=1,M4897=1),"adequate","partial"),INDEX(Fit_Matrix!$B:$B,MATCH(P4897,Fit_Matrix!$A:$A,0))),"CHECK KEY"))</f>
        <v/>
      </c>
    </row>
    <row r="4898" customFormat="false" ht="15" hidden="false" customHeight="true" outlineLevel="0" collapsed="false">
      <c r="P4898" s="1" t="str">
        <f aca="false">IF(OR(F4898="",H4898="",J4898=""),"",J4898&amp;"|"&amp;F4898&amp;"|"&amp;IF(H4898="W3","W3_"&amp;IF(I4898="","unknown",I4898),H4898))</f>
        <v/>
      </c>
      <c r="Q4898" s="1" t="str">
        <f aca="false">IF(P4898="","",IFERROR(IF(AND(H4898="W7",OR(F4898="causal",F4898="predictive")),IF(AND(K4898=1,L4898=1,M4898=1),"adequate","partial"),INDEX(Fit_Matrix!$B:$B,MATCH(P4898,Fit_Matrix!$A:$A,0))),"CHECK KEY"))</f>
        <v/>
      </c>
    </row>
    <row r="4899" customFormat="false" ht="15" hidden="false" customHeight="true" outlineLevel="0" collapsed="false">
      <c r="P4899" s="1" t="str">
        <f aca="false">IF(OR(F4899="",H4899="",J4899=""),"",J4899&amp;"|"&amp;F4899&amp;"|"&amp;IF(H4899="W3","W3_"&amp;IF(I4899="","unknown",I4899),H4899))</f>
        <v/>
      </c>
      <c r="Q4899" s="1" t="str">
        <f aca="false">IF(P4899="","",IFERROR(IF(AND(H4899="W7",OR(F4899="causal",F4899="predictive")),IF(AND(K4899=1,L4899=1,M4899=1),"adequate","partial"),INDEX(Fit_Matrix!$B:$B,MATCH(P4899,Fit_Matrix!$A:$A,0))),"CHECK KEY"))</f>
        <v/>
      </c>
    </row>
    <row r="4900" customFormat="false" ht="15" hidden="false" customHeight="true" outlineLevel="0" collapsed="false">
      <c r="P4900" s="1" t="str">
        <f aca="false">IF(OR(F4900="",H4900="",J4900=""),"",J4900&amp;"|"&amp;F4900&amp;"|"&amp;IF(H4900="W3","W3_"&amp;IF(I4900="","unknown",I4900),H4900))</f>
        <v/>
      </c>
      <c r="Q4900" s="1" t="str">
        <f aca="false">IF(P4900="","",IFERROR(IF(AND(H4900="W7",OR(F4900="causal",F4900="predictive")),IF(AND(K4900=1,L4900=1,M4900=1),"adequate","partial"),INDEX(Fit_Matrix!$B:$B,MATCH(P4900,Fit_Matrix!$A:$A,0))),"CHECK KEY"))</f>
        <v/>
      </c>
    </row>
    <row r="4901" customFormat="false" ht="15" hidden="false" customHeight="true" outlineLevel="0" collapsed="false">
      <c r="P4901" s="1" t="str">
        <f aca="false">IF(OR(F4901="",H4901="",J4901=""),"",J4901&amp;"|"&amp;F4901&amp;"|"&amp;IF(H4901="W3","W3_"&amp;IF(I4901="","unknown",I4901),H4901))</f>
        <v/>
      </c>
      <c r="Q4901" s="1" t="str">
        <f aca="false">IF(P4901="","",IFERROR(IF(AND(H4901="W7",OR(F4901="causal",F4901="predictive")),IF(AND(K4901=1,L4901=1,M4901=1),"adequate","partial"),INDEX(Fit_Matrix!$B:$B,MATCH(P4901,Fit_Matrix!$A:$A,0))),"CHECK KEY"))</f>
        <v/>
      </c>
    </row>
    <row r="4902" customFormat="false" ht="15" hidden="false" customHeight="true" outlineLevel="0" collapsed="false">
      <c r="P4902" s="1" t="str">
        <f aca="false">IF(OR(F4902="",H4902="",J4902=""),"",J4902&amp;"|"&amp;F4902&amp;"|"&amp;IF(H4902="W3","W3_"&amp;IF(I4902="","unknown",I4902),H4902))</f>
        <v/>
      </c>
      <c r="Q4902" s="1" t="str">
        <f aca="false">IF(P4902="","",IFERROR(IF(AND(H4902="W7",OR(F4902="causal",F4902="predictive")),IF(AND(K4902=1,L4902=1,M4902=1),"adequate","partial"),INDEX(Fit_Matrix!$B:$B,MATCH(P4902,Fit_Matrix!$A:$A,0))),"CHECK KEY"))</f>
        <v/>
      </c>
    </row>
    <row r="4903" customFormat="false" ht="15" hidden="false" customHeight="true" outlineLevel="0" collapsed="false">
      <c r="P4903" s="1" t="str">
        <f aca="false">IF(OR(F4903="",H4903="",J4903=""),"",J4903&amp;"|"&amp;F4903&amp;"|"&amp;IF(H4903="W3","W3_"&amp;IF(I4903="","unknown",I4903),H4903))</f>
        <v/>
      </c>
      <c r="Q4903" s="1" t="str">
        <f aca="false">IF(P4903="","",IFERROR(IF(AND(H4903="W7",OR(F4903="causal",F4903="predictive")),IF(AND(K4903=1,L4903=1,M4903=1),"adequate","partial"),INDEX(Fit_Matrix!$B:$B,MATCH(P4903,Fit_Matrix!$A:$A,0))),"CHECK KEY"))</f>
        <v/>
      </c>
    </row>
    <row r="4904" customFormat="false" ht="15" hidden="false" customHeight="true" outlineLevel="0" collapsed="false">
      <c r="P4904" s="1" t="str">
        <f aca="false">IF(OR(F4904="",H4904="",J4904=""),"",J4904&amp;"|"&amp;F4904&amp;"|"&amp;IF(H4904="W3","W3_"&amp;IF(I4904="","unknown",I4904),H4904))</f>
        <v/>
      </c>
      <c r="Q4904" s="1" t="str">
        <f aca="false">IF(P4904="","",IFERROR(IF(AND(H4904="W7",OR(F4904="causal",F4904="predictive")),IF(AND(K4904=1,L4904=1,M4904=1),"adequate","partial"),INDEX(Fit_Matrix!$B:$B,MATCH(P4904,Fit_Matrix!$A:$A,0))),"CHECK KEY"))</f>
        <v/>
      </c>
    </row>
    <row r="4905" customFormat="false" ht="15" hidden="false" customHeight="true" outlineLevel="0" collapsed="false">
      <c r="P4905" s="1" t="str">
        <f aca="false">IF(OR(F4905="",H4905="",J4905=""),"",J4905&amp;"|"&amp;F4905&amp;"|"&amp;IF(H4905="W3","W3_"&amp;IF(I4905="","unknown",I4905),H4905))</f>
        <v/>
      </c>
      <c r="Q4905" s="1" t="str">
        <f aca="false">IF(P4905="","",IFERROR(IF(AND(H4905="W7",OR(F4905="causal",F4905="predictive")),IF(AND(K4905=1,L4905=1,M4905=1),"adequate","partial"),INDEX(Fit_Matrix!$B:$B,MATCH(P4905,Fit_Matrix!$A:$A,0))),"CHECK KEY"))</f>
        <v/>
      </c>
    </row>
    <row r="4906" customFormat="false" ht="15" hidden="false" customHeight="true" outlineLevel="0" collapsed="false">
      <c r="P4906" s="1" t="str">
        <f aca="false">IF(OR(F4906="",H4906="",J4906=""),"",J4906&amp;"|"&amp;F4906&amp;"|"&amp;IF(H4906="W3","W3_"&amp;IF(I4906="","unknown",I4906),H4906))</f>
        <v/>
      </c>
      <c r="Q4906" s="1" t="str">
        <f aca="false">IF(P4906="","",IFERROR(IF(AND(H4906="W7",OR(F4906="causal",F4906="predictive")),IF(AND(K4906=1,L4906=1,M4906=1),"adequate","partial"),INDEX(Fit_Matrix!$B:$B,MATCH(P4906,Fit_Matrix!$A:$A,0))),"CHECK KEY"))</f>
        <v/>
      </c>
    </row>
    <row r="4907" customFormat="false" ht="15" hidden="false" customHeight="true" outlineLevel="0" collapsed="false">
      <c r="P4907" s="1" t="str">
        <f aca="false">IF(OR(F4907="",H4907="",J4907=""),"",J4907&amp;"|"&amp;F4907&amp;"|"&amp;IF(H4907="W3","W3_"&amp;IF(I4907="","unknown",I4907),H4907))</f>
        <v/>
      </c>
      <c r="Q4907" s="1" t="str">
        <f aca="false">IF(P4907="","",IFERROR(IF(AND(H4907="W7",OR(F4907="causal",F4907="predictive")),IF(AND(K4907=1,L4907=1,M4907=1),"adequate","partial"),INDEX(Fit_Matrix!$B:$B,MATCH(P4907,Fit_Matrix!$A:$A,0))),"CHECK KEY"))</f>
        <v/>
      </c>
    </row>
    <row r="4908" customFormat="false" ht="15" hidden="false" customHeight="true" outlineLevel="0" collapsed="false">
      <c r="P4908" s="1" t="str">
        <f aca="false">IF(OR(F4908="",H4908="",J4908=""),"",J4908&amp;"|"&amp;F4908&amp;"|"&amp;IF(H4908="W3","W3_"&amp;IF(I4908="","unknown",I4908),H4908))</f>
        <v/>
      </c>
      <c r="Q4908" s="1" t="str">
        <f aca="false">IF(P4908="","",IFERROR(IF(AND(H4908="W7",OR(F4908="causal",F4908="predictive")),IF(AND(K4908=1,L4908=1,M4908=1),"adequate","partial"),INDEX(Fit_Matrix!$B:$B,MATCH(P4908,Fit_Matrix!$A:$A,0))),"CHECK KEY"))</f>
        <v/>
      </c>
    </row>
    <row r="4909" customFormat="false" ht="15" hidden="false" customHeight="true" outlineLevel="0" collapsed="false">
      <c r="P4909" s="1" t="str">
        <f aca="false">IF(OR(F4909="",H4909="",J4909=""),"",J4909&amp;"|"&amp;F4909&amp;"|"&amp;IF(H4909="W3","W3_"&amp;IF(I4909="","unknown",I4909),H4909))</f>
        <v/>
      </c>
      <c r="Q4909" s="1" t="str">
        <f aca="false">IF(P4909="","",IFERROR(IF(AND(H4909="W7",OR(F4909="causal",F4909="predictive")),IF(AND(K4909=1,L4909=1,M4909=1),"adequate","partial"),INDEX(Fit_Matrix!$B:$B,MATCH(P4909,Fit_Matrix!$A:$A,0))),"CHECK KEY"))</f>
        <v/>
      </c>
    </row>
    <row r="4910" customFormat="false" ht="15" hidden="false" customHeight="true" outlineLevel="0" collapsed="false">
      <c r="P4910" s="1" t="str">
        <f aca="false">IF(OR(F4910="",H4910="",J4910=""),"",J4910&amp;"|"&amp;F4910&amp;"|"&amp;IF(H4910="W3","W3_"&amp;IF(I4910="","unknown",I4910),H4910))</f>
        <v/>
      </c>
      <c r="Q4910" s="1" t="str">
        <f aca="false">IF(P4910="","",IFERROR(IF(AND(H4910="W7",OR(F4910="causal",F4910="predictive")),IF(AND(K4910=1,L4910=1,M4910=1),"adequate","partial"),INDEX(Fit_Matrix!$B:$B,MATCH(P4910,Fit_Matrix!$A:$A,0))),"CHECK KEY"))</f>
        <v/>
      </c>
    </row>
    <row r="4911" customFormat="false" ht="15" hidden="false" customHeight="true" outlineLevel="0" collapsed="false">
      <c r="P4911" s="1" t="str">
        <f aca="false">IF(OR(F4911="",H4911="",J4911=""),"",J4911&amp;"|"&amp;F4911&amp;"|"&amp;IF(H4911="W3","W3_"&amp;IF(I4911="","unknown",I4911),H4911))</f>
        <v/>
      </c>
      <c r="Q4911" s="1" t="str">
        <f aca="false">IF(P4911="","",IFERROR(IF(AND(H4911="W7",OR(F4911="causal",F4911="predictive")),IF(AND(K4911=1,L4911=1,M4911=1),"adequate","partial"),INDEX(Fit_Matrix!$B:$B,MATCH(P4911,Fit_Matrix!$A:$A,0))),"CHECK KEY"))</f>
        <v/>
      </c>
    </row>
    <row r="4912" customFormat="false" ht="15" hidden="false" customHeight="true" outlineLevel="0" collapsed="false">
      <c r="P4912" s="1" t="str">
        <f aca="false">IF(OR(F4912="",H4912="",J4912=""),"",J4912&amp;"|"&amp;F4912&amp;"|"&amp;IF(H4912="W3","W3_"&amp;IF(I4912="","unknown",I4912),H4912))</f>
        <v/>
      </c>
      <c r="Q4912" s="1" t="str">
        <f aca="false">IF(P4912="","",IFERROR(IF(AND(H4912="W7",OR(F4912="causal",F4912="predictive")),IF(AND(K4912=1,L4912=1,M4912=1),"adequate","partial"),INDEX(Fit_Matrix!$B:$B,MATCH(P4912,Fit_Matrix!$A:$A,0))),"CHECK KEY"))</f>
        <v/>
      </c>
    </row>
    <row r="4913" customFormat="false" ht="15" hidden="false" customHeight="true" outlineLevel="0" collapsed="false">
      <c r="P4913" s="1" t="str">
        <f aca="false">IF(OR(F4913="",H4913="",J4913=""),"",J4913&amp;"|"&amp;F4913&amp;"|"&amp;IF(H4913="W3","W3_"&amp;IF(I4913="","unknown",I4913),H4913))</f>
        <v/>
      </c>
      <c r="Q4913" s="1" t="str">
        <f aca="false">IF(P4913="","",IFERROR(IF(AND(H4913="W7",OR(F4913="causal",F4913="predictive")),IF(AND(K4913=1,L4913=1,M4913=1),"adequate","partial"),INDEX(Fit_Matrix!$B:$B,MATCH(P4913,Fit_Matrix!$A:$A,0))),"CHECK KEY"))</f>
        <v/>
      </c>
    </row>
    <row r="4914" customFormat="false" ht="15" hidden="false" customHeight="true" outlineLevel="0" collapsed="false">
      <c r="P4914" s="1" t="str">
        <f aca="false">IF(OR(F4914="",H4914="",J4914=""),"",J4914&amp;"|"&amp;F4914&amp;"|"&amp;IF(H4914="W3","W3_"&amp;IF(I4914="","unknown",I4914),H4914))</f>
        <v/>
      </c>
      <c r="Q4914" s="1" t="str">
        <f aca="false">IF(P4914="","",IFERROR(IF(AND(H4914="W7",OR(F4914="causal",F4914="predictive")),IF(AND(K4914=1,L4914=1,M4914=1),"adequate","partial"),INDEX(Fit_Matrix!$B:$B,MATCH(P4914,Fit_Matrix!$A:$A,0))),"CHECK KEY"))</f>
        <v/>
      </c>
    </row>
    <row r="4915" customFormat="false" ht="15" hidden="false" customHeight="true" outlineLevel="0" collapsed="false">
      <c r="P4915" s="1" t="str">
        <f aca="false">IF(OR(F4915="",H4915="",J4915=""),"",J4915&amp;"|"&amp;F4915&amp;"|"&amp;IF(H4915="W3","W3_"&amp;IF(I4915="","unknown",I4915),H4915))</f>
        <v/>
      </c>
      <c r="Q4915" s="1" t="str">
        <f aca="false">IF(P4915="","",IFERROR(IF(AND(H4915="W7",OR(F4915="causal",F4915="predictive")),IF(AND(K4915=1,L4915=1,M4915=1),"adequate","partial"),INDEX(Fit_Matrix!$B:$B,MATCH(P4915,Fit_Matrix!$A:$A,0))),"CHECK KEY"))</f>
        <v/>
      </c>
    </row>
    <row r="4916" customFormat="false" ht="15" hidden="false" customHeight="true" outlineLevel="0" collapsed="false">
      <c r="P4916" s="1" t="str">
        <f aca="false">IF(OR(F4916="",H4916="",J4916=""),"",J4916&amp;"|"&amp;F4916&amp;"|"&amp;IF(H4916="W3","W3_"&amp;IF(I4916="","unknown",I4916),H4916))</f>
        <v/>
      </c>
      <c r="Q4916" s="1" t="str">
        <f aca="false">IF(P4916="","",IFERROR(IF(AND(H4916="W7",OR(F4916="causal",F4916="predictive")),IF(AND(K4916=1,L4916=1,M4916=1),"adequate","partial"),INDEX(Fit_Matrix!$B:$B,MATCH(P4916,Fit_Matrix!$A:$A,0))),"CHECK KEY"))</f>
        <v/>
      </c>
    </row>
    <row r="4917" customFormat="false" ht="15" hidden="false" customHeight="true" outlineLevel="0" collapsed="false">
      <c r="P4917" s="1" t="str">
        <f aca="false">IF(OR(F4917="",H4917="",J4917=""),"",J4917&amp;"|"&amp;F4917&amp;"|"&amp;IF(H4917="W3","W3_"&amp;IF(I4917="","unknown",I4917),H4917))</f>
        <v/>
      </c>
      <c r="Q4917" s="1" t="str">
        <f aca="false">IF(P4917="","",IFERROR(IF(AND(H4917="W7",OR(F4917="causal",F4917="predictive")),IF(AND(K4917=1,L4917=1,M4917=1),"adequate","partial"),INDEX(Fit_Matrix!$B:$B,MATCH(P4917,Fit_Matrix!$A:$A,0))),"CHECK KEY"))</f>
        <v/>
      </c>
    </row>
    <row r="4918" customFormat="false" ht="15" hidden="false" customHeight="true" outlineLevel="0" collapsed="false">
      <c r="P4918" s="1" t="str">
        <f aca="false">IF(OR(F4918="",H4918="",J4918=""),"",J4918&amp;"|"&amp;F4918&amp;"|"&amp;IF(H4918="W3","W3_"&amp;IF(I4918="","unknown",I4918),H4918))</f>
        <v/>
      </c>
      <c r="Q4918" s="1" t="str">
        <f aca="false">IF(P4918="","",IFERROR(IF(AND(H4918="W7",OR(F4918="causal",F4918="predictive")),IF(AND(K4918=1,L4918=1,M4918=1),"adequate","partial"),INDEX(Fit_Matrix!$B:$B,MATCH(P4918,Fit_Matrix!$A:$A,0))),"CHECK KEY"))</f>
        <v/>
      </c>
    </row>
    <row r="4919" customFormat="false" ht="15" hidden="false" customHeight="true" outlineLevel="0" collapsed="false">
      <c r="P4919" s="1" t="str">
        <f aca="false">IF(OR(F4919="",H4919="",J4919=""),"",J4919&amp;"|"&amp;F4919&amp;"|"&amp;IF(H4919="W3","W3_"&amp;IF(I4919="","unknown",I4919),H4919))</f>
        <v/>
      </c>
      <c r="Q4919" s="1" t="str">
        <f aca="false">IF(P4919="","",IFERROR(IF(AND(H4919="W7",OR(F4919="causal",F4919="predictive")),IF(AND(K4919=1,L4919=1,M4919=1),"adequate","partial"),INDEX(Fit_Matrix!$B:$B,MATCH(P4919,Fit_Matrix!$A:$A,0))),"CHECK KEY"))</f>
        <v/>
      </c>
    </row>
    <row r="4920" customFormat="false" ht="15" hidden="false" customHeight="true" outlineLevel="0" collapsed="false">
      <c r="P4920" s="1" t="str">
        <f aca="false">IF(OR(F4920="",H4920="",J4920=""),"",J4920&amp;"|"&amp;F4920&amp;"|"&amp;IF(H4920="W3","W3_"&amp;IF(I4920="","unknown",I4920),H4920))</f>
        <v/>
      </c>
      <c r="Q4920" s="1" t="str">
        <f aca="false">IF(P4920="","",IFERROR(IF(AND(H4920="W7",OR(F4920="causal",F4920="predictive")),IF(AND(K4920=1,L4920=1,M4920=1),"adequate","partial"),INDEX(Fit_Matrix!$B:$B,MATCH(P4920,Fit_Matrix!$A:$A,0))),"CHECK KEY"))</f>
        <v/>
      </c>
    </row>
    <row r="4921" customFormat="false" ht="15" hidden="false" customHeight="true" outlineLevel="0" collapsed="false">
      <c r="P4921" s="1" t="str">
        <f aca="false">IF(OR(F4921="",H4921="",J4921=""),"",J4921&amp;"|"&amp;F4921&amp;"|"&amp;IF(H4921="W3","W3_"&amp;IF(I4921="","unknown",I4921),H4921))</f>
        <v/>
      </c>
      <c r="Q4921" s="1" t="str">
        <f aca="false">IF(P4921="","",IFERROR(IF(AND(H4921="W7",OR(F4921="causal",F4921="predictive")),IF(AND(K4921=1,L4921=1,M4921=1),"adequate","partial"),INDEX(Fit_Matrix!$B:$B,MATCH(P4921,Fit_Matrix!$A:$A,0))),"CHECK KEY"))</f>
        <v/>
      </c>
    </row>
    <row r="4922" customFormat="false" ht="15" hidden="false" customHeight="true" outlineLevel="0" collapsed="false">
      <c r="P4922" s="1" t="str">
        <f aca="false">IF(OR(F4922="",H4922="",J4922=""),"",J4922&amp;"|"&amp;F4922&amp;"|"&amp;IF(H4922="W3","W3_"&amp;IF(I4922="","unknown",I4922),H4922))</f>
        <v/>
      </c>
      <c r="Q4922" s="1" t="str">
        <f aca="false">IF(P4922="","",IFERROR(IF(AND(H4922="W7",OR(F4922="causal",F4922="predictive")),IF(AND(K4922=1,L4922=1,M4922=1),"adequate","partial"),INDEX(Fit_Matrix!$B:$B,MATCH(P4922,Fit_Matrix!$A:$A,0))),"CHECK KEY"))</f>
        <v/>
      </c>
    </row>
    <row r="4923" customFormat="false" ht="15" hidden="false" customHeight="true" outlineLevel="0" collapsed="false">
      <c r="P4923" s="1" t="str">
        <f aca="false">IF(OR(F4923="",H4923="",J4923=""),"",J4923&amp;"|"&amp;F4923&amp;"|"&amp;IF(H4923="W3","W3_"&amp;IF(I4923="","unknown",I4923),H4923))</f>
        <v/>
      </c>
      <c r="Q4923" s="1" t="str">
        <f aca="false">IF(P4923="","",IFERROR(IF(AND(H4923="W7",OR(F4923="causal",F4923="predictive")),IF(AND(K4923=1,L4923=1,M4923=1),"adequate","partial"),INDEX(Fit_Matrix!$B:$B,MATCH(P4923,Fit_Matrix!$A:$A,0))),"CHECK KEY"))</f>
        <v/>
      </c>
    </row>
    <row r="4924" customFormat="false" ht="15" hidden="false" customHeight="true" outlineLevel="0" collapsed="false">
      <c r="P4924" s="1" t="str">
        <f aca="false">IF(OR(F4924="",H4924="",J4924=""),"",J4924&amp;"|"&amp;F4924&amp;"|"&amp;IF(H4924="W3","W3_"&amp;IF(I4924="","unknown",I4924),H4924))</f>
        <v/>
      </c>
      <c r="Q4924" s="1" t="str">
        <f aca="false">IF(P4924="","",IFERROR(IF(AND(H4924="W7",OR(F4924="causal",F4924="predictive")),IF(AND(K4924=1,L4924=1,M4924=1),"adequate","partial"),INDEX(Fit_Matrix!$B:$B,MATCH(P4924,Fit_Matrix!$A:$A,0))),"CHECK KEY"))</f>
        <v/>
      </c>
    </row>
    <row r="4925" customFormat="false" ht="15" hidden="false" customHeight="true" outlineLevel="0" collapsed="false">
      <c r="P4925" s="1" t="str">
        <f aca="false">IF(OR(F4925="",H4925="",J4925=""),"",J4925&amp;"|"&amp;F4925&amp;"|"&amp;IF(H4925="W3","W3_"&amp;IF(I4925="","unknown",I4925),H4925))</f>
        <v/>
      </c>
      <c r="Q4925" s="1" t="str">
        <f aca="false">IF(P4925="","",IFERROR(IF(AND(H4925="W7",OR(F4925="causal",F4925="predictive")),IF(AND(K4925=1,L4925=1,M4925=1),"adequate","partial"),INDEX(Fit_Matrix!$B:$B,MATCH(P4925,Fit_Matrix!$A:$A,0))),"CHECK KEY"))</f>
        <v/>
      </c>
    </row>
    <row r="4926" customFormat="false" ht="15" hidden="false" customHeight="true" outlineLevel="0" collapsed="false">
      <c r="P4926" s="1" t="str">
        <f aca="false">IF(OR(F4926="",H4926="",J4926=""),"",J4926&amp;"|"&amp;F4926&amp;"|"&amp;IF(H4926="W3","W3_"&amp;IF(I4926="","unknown",I4926),H4926))</f>
        <v/>
      </c>
      <c r="Q4926" s="1" t="str">
        <f aca="false">IF(P4926="","",IFERROR(IF(AND(H4926="W7",OR(F4926="causal",F4926="predictive")),IF(AND(K4926=1,L4926=1,M4926=1),"adequate","partial"),INDEX(Fit_Matrix!$B:$B,MATCH(P4926,Fit_Matrix!$A:$A,0))),"CHECK KEY"))</f>
        <v/>
      </c>
    </row>
    <row r="4927" customFormat="false" ht="15" hidden="false" customHeight="true" outlineLevel="0" collapsed="false">
      <c r="P4927" s="1" t="str">
        <f aca="false">IF(OR(F4927="",H4927="",J4927=""),"",J4927&amp;"|"&amp;F4927&amp;"|"&amp;IF(H4927="W3","W3_"&amp;IF(I4927="","unknown",I4927),H4927))</f>
        <v/>
      </c>
      <c r="Q4927" s="1" t="str">
        <f aca="false">IF(P4927="","",IFERROR(IF(AND(H4927="W7",OR(F4927="causal",F4927="predictive")),IF(AND(K4927=1,L4927=1,M4927=1),"adequate","partial"),INDEX(Fit_Matrix!$B:$B,MATCH(P4927,Fit_Matrix!$A:$A,0))),"CHECK KEY"))</f>
        <v/>
      </c>
    </row>
    <row r="4928" customFormat="false" ht="15" hidden="false" customHeight="true" outlineLevel="0" collapsed="false">
      <c r="P4928" s="1" t="str">
        <f aca="false">IF(OR(F4928="",H4928="",J4928=""),"",J4928&amp;"|"&amp;F4928&amp;"|"&amp;IF(H4928="W3","W3_"&amp;IF(I4928="","unknown",I4928),H4928))</f>
        <v/>
      </c>
      <c r="Q4928" s="1" t="str">
        <f aca="false">IF(P4928="","",IFERROR(IF(AND(H4928="W7",OR(F4928="causal",F4928="predictive")),IF(AND(K4928=1,L4928=1,M4928=1),"adequate","partial"),INDEX(Fit_Matrix!$B:$B,MATCH(P4928,Fit_Matrix!$A:$A,0))),"CHECK KEY"))</f>
        <v/>
      </c>
    </row>
    <row r="4929" customFormat="false" ht="15" hidden="false" customHeight="true" outlineLevel="0" collapsed="false">
      <c r="P4929" s="1" t="str">
        <f aca="false">IF(OR(F4929="",H4929="",J4929=""),"",J4929&amp;"|"&amp;F4929&amp;"|"&amp;IF(H4929="W3","W3_"&amp;IF(I4929="","unknown",I4929),H4929))</f>
        <v/>
      </c>
      <c r="Q4929" s="1" t="str">
        <f aca="false">IF(P4929="","",IFERROR(IF(AND(H4929="W7",OR(F4929="causal",F4929="predictive")),IF(AND(K4929=1,L4929=1,M4929=1),"adequate","partial"),INDEX(Fit_Matrix!$B:$B,MATCH(P4929,Fit_Matrix!$A:$A,0))),"CHECK KEY"))</f>
        <v/>
      </c>
    </row>
    <row r="4930" customFormat="false" ht="15" hidden="false" customHeight="true" outlineLevel="0" collapsed="false">
      <c r="P4930" s="1" t="str">
        <f aca="false">IF(OR(F4930="",H4930="",J4930=""),"",J4930&amp;"|"&amp;F4930&amp;"|"&amp;IF(H4930="W3","W3_"&amp;IF(I4930="","unknown",I4930),H4930))</f>
        <v/>
      </c>
      <c r="Q4930" s="1" t="str">
        <f aca="false">IF(P4930="","",IFERROR(IF(AND(H4930="W7",OR(F4930="causal",F4930="predictive")),IF(AND(K4930=1,L4930=1,M4930=1),"adequate","partial"),INDEX(Fit_Matrix!$B:$B,MATCH(P4930,Fit_Matrix!$A:$A,0))),"CHECK KEY"))</f>
        <v/>
      </c>
    </row>
    <row r="4931" customFormat="false" ht="15" hidden="false" customHeight="true" outlineLevel="0" collapsed="false">
      <c r="P4931" s="1" t="str">
        <f aca="false">IF(OR(F4931="",H4931="",J4931=""),"",J4931&amp;"|"&amp;F4931&amp;"|"&amp;IF(H4931="W3","W3_"&amp;IF(I4931="","unknown",I4931),H4931))</f>
        <v/>
      </c>
      <c r="Q4931" s="1" t="str">
        <f aca="false">IF(P4931="","",IFERROR(IF(AND(H4931="W7",OR(F4931="causal",F4931="predictive")),IF(AND(K4931=1,L4931=1,M4931=1),"adequate","partial"),INDEX(Fit_Matrix!$B:$B,MATCH(P4931,Fit_Matrix!$A:$A,0))),"CHECK KEY"))</f>
        <v/>
      </c>
    </row>
    <row r="4932" customFormat="false" ht="15" hidden="false" customHeight="true" outlineLevel="0" collapsed="false">
      <c r="P4932" s="1" t="str">
        <f aca="false">IF(OR(F4932="",H4932="",J4932=""),"",J4932&amp;"|"&amp;F4932&amp;"|"&amp;IF(H4932="W3","W3_"&amp;IF(I4932="","unknown",I4932),H4932))</f>
        <v/>
      </c>
      <c r="Q4932" s="1" t="str">
        <f aca="false">IF(P4932="","",IFERROR(IF(AND(H4932="W7",OR(F4932="causal",F4932="predictive")),IF(AND(K4932=1,L4932=1,M4932=1),"adequate","partial"),INDEX(Fit_Matrix!$B:$B,MATCH(P4932,Fit_Matrix!$A:$A,0))),"CHECK KEY"))</f>
        <v/>
      </c>
    </row>
    <row r="4933" customFormat="false" ht="15" hidden="false" customHeight="true" outlineLevel="0" collapsed="false">
      <c r="P4933" s="1" t="str">
        <f aca="false">IF(OR(F4933="",H4933="",J4933=""),"",J4933&amp;"|"&amp;F4933&amp;"|"&amp;IF(H4933="W3","W3_"&amp;IF(I4933="","unknown",I4933),H4933))</f>
        <v/>
      </c>
      <c r="Q4933" s="1" t="str">
        <f aca="false">IF(P4933="","",IFERROR(IF(AND(H4933="W7",OR(F4933="causal",F4933="predictive")),IF(AND(K4933=1,L4933=1,M4933=1),"adequate","partial"),INDEX(Fit_Matrix!$B:$B,MATCH(P4933,Fit_Matrix!$A:$A,0))),"CHECK KEY"))</f>
        <v/>
      </c>
    </row>
    <row r="4934" customFormat="false" ht="15" hidden="false" customHeight="true" outlineLevel="0" collapsed="false">
      <c r="P4934" s="1" t="str">
        <f aca="false">IF(OR(F4934="",H4934="",J4934=""),"",J4934&amp;"|"&amp;F4934&amp;"|"&amp;IF(H4934="W3","W3_"&amp;IF(I4934="","unknown",I4934),H4934))</f>
        <v/>
      </c>
      <c r="Q4934" s="1" t="str">
        <f aca="false">IF(P4934="","",IFERROR(IF(AND(H4934="W7",OR(F4934="causal",F4934="predictive")),IF(AND(K4934=1,L4934=1,M4934=1),"adequate","partial"),INDEX(Fit_Matrix!$B:$B,MATCH(P4934,Fit_Matrix!$A:$A,0))),"CHECK KEY"))</f>
        <v/>
      </c>
    </row>
    <row r="4935" customFormat="false" ht="15" hidden="false" customHeight="true" outlineLevel="0" collapsed="false">
      <c r="P4935" s="1" t="str">
        <f aca="false">IF(OR(F4935="",H4935="",J4935=""),"",J4935&amp;"|"&amp;F4935&amp;"|"&amp;IF(H4935="W3","W3_"&amp;IF(I4935="","unknown",I4935),H4935))</f>
        <v/>
      </c>
      <c r="Q4935" s="1" t="str">
        <f aca="false">IF(P4935="","",IFERROR(IF(AND(H4935="W7",OR(F4935="causal",F4935="predictive")),IF(AND(K4935=1,L4935=1,M4935=1),"adequate","partial"),INDEX(Fit_Matrix!$B:$B,MATCH(P4935,Fit_Matrix!$A:$A,0))),"CHECK KEY"))</f>
        <v/>
      </c>
    </row>
    <row r="4936" customFormat="false" ht="15" hidden="false" customHeight="true" outlineLevel="0" collapsed="false">
      <c r="P4936" s="1" t="str">
        <f aca="false">IF(OR(F4936="",H4936="",J4936=""),"",J4936&amp;"|"&amp;F4936&amp;"|"&amp;IF(H4936="W3","W3_"&amp;IF(I4936="","unknown",I4936),H4936))</f>
        <v/>
      </c>
      <c r="Q4936" s="1" t="str">
        <f aca="false">IF(P4936="","",IFERROR(IF(AND(H4936="W7",OR(F4936="causal",F4936="predictive")),IF(AND(K4936=1,L4936=1,M4936=1),"adequate","partial"),INDEX(Fit_Matrix!$B:$B,MATCH(P4936,Fit_Matrix!$A:$A,0))),"CHECK KEY"))</f>
        <v/>
      </c>
    </row>
    <row r="4937" customFormat="false" ht="15" hidden="false" customHeight="true" outlineLevel="0" collapsed="false">
      <c r="P4937" s="1" t="str">
        <f aca="false">IF(OR(F4937="",H4937="",J4937=""),"",J4937&amp;"|"&amp;F4937&amp;"|"&amp;IF(H4937="W3","W3_"&amp;IF(I4937="","unknown",I4937),H4937))</f>
        <v/>
      </c>
      <c r="Q4937" s="1" t="str">
        <f aca="false">IF(P4937="","",IFERROR(IF(AND(H4937="W7",OR(F4937="causal",F4937="predictive")),IF(AND(K4937=1,L4937=1,M4937=1),"adequate","partial"),INDEX(Fit_Matrix!$B:$B,MATCH(P4937,Fit_Matrix!$A:$A,0))),"CHECK KEY"))</f>
        <v/>
      </c>
    </row>
    <row r="4938" customFormat="false" ht="15" hidden="false" customHeight="true" outlineLevel="0" collapsed="false">
      <c r="P4938" s="1" t="str">
        <f aca="false">IF(OR(F4938="",H4938="",J4938=""),"",J4938&amp;"|"&amp;F4938&amp;"|"&amp;IF(H4938="W3","W3_"&amp;IF(I4938="","unknown",I4938),H4938))</f>
        <v/>
      </c>
      <c r="Q4938" s="1" t="str">
        <f aca="false">IF(P4938="","",IFERROR(IF(AND(H4938="W7",OR(F4938="causal",F4938="predictive")),IF(AND(K4938=1,L4938=1,M4938=1),"adequate","partial"),INDEX(Fit_Matrix!$B:$B,MATCH(P4938,Fit_Matrix!$A:$A,0))),"CHECK KEY"))</f>
        <v/>
      </c>
    </row>
    <row r="4939" customFormat="false" ht="15" hidden="false" customHeight="true" outlineLevel="0" collapsed="false">
      <c r="P4939" s="1" t="str">
        <f aca="false">IF(OR(F4939="",H4939="",J4939=""),"",J4939&amp;"|"&amp;F4939&amp;"|"&amp;IF(H4939="W3","W3_"&amp;IF(I4939="","unknown",I4939),H4939))</f>
        <v/>
      </c>
      <c r="Q4939" s="1" t="str">
        <f aca="false">IF(P4939="","",IFERROR(IF(AND(H4939="W7",OR(F4939="causal",F4939="predictive")),IF(AND(K4939=1,L4939=1,M4939=1),"adequate","partial"),INDEX(Fit_Matrix!$B:$B,MATCH(P4939,Fit_Matrix!$A:$A,0))),"CHECK KEY"))</f>
        <v/>
      </c>
    </row>
    <row r="4940" customFormat="false" ht="15" hidden="false" customHeight="true" outlineLevel="0" collapsed="false">
      <c r="P4940" s="1" t="str">
        <f aca="false">IF(OR(F4940="",H4940="",J4940=""),"",J4940&amp;"|"&amp;F4940&amp;"|"&amp;IF(H4940="W3","W3_"&amp;IF(I4940="","unknown",I4940),H4940))</f>
        <v/>
      </c>
      <c r="Q4940" s="1" t="str">
        <f aca="false">IF(P4940="","",IFERROR(IF(AND(H4940="W7",OR(F4940="causal",F4940="predictive")),IF(AND(K4940=1,L4940=1,M4940=1),"adequate","partial"),INDEX(Fit_Matrix!$B:$B,MATCH(P4940,Fit_Matrix!$A:$A,0))),"CHECK KEY"))</f>
        <v/>
      </c>
    </row>
    <row r="4941" customFormat="false" ht="15" hidden="false" customHeight="true" outlineLevel="0" collapsed="false">
      <c r="P4941" s="1" t="str">
        <f aca="false">IF(OR(F4941="",H4941="",J4941=""),"",J4941&amp;"|"&amp;F4941&amp;"|"&amp;IF(H4941="W3","W3_"&amp;IF(I4941="","unknown",I4941),H4941))</f>
        <v/>
      </c>
      <c r="Q4941" s="1" t="str">
        <f aca="false">IF(P4941="","",IFERROR(IF(AND(H4941="W7",OR(F4941="causal",F4941="predictive")),IF(AND(K4941=1,L4941=1,M4941=1),"adequate","partial"),INDEX(Fit_Matrix!$B:$B,MATCH(P4941,Fit_Matrix!$A:$A,0))),"CHECK KEY"))</f>
        <v/>
      </c>
    </row>
    <row r="4942" customFormat="false" ht="15" hidden="false" customHeight="true" outlineLevel="0" collapsed="false">
      <c r="P4942" s="1" t="str">
        <f aca="false">IF(OR(F4942="",H4942="",J4942=""),"",J4942&amp;"|"&amp;F4942&amp;"|"&amp;IF(H4942="W3","W3_"&amp;IF(I4942="","unknown",I4942),H4942))</f>
        <v/>
      </c>
      <c r="Q4942" s="1" t="str">
        <f aca="false">IF(P4942="","",IFERROR(IF(AND(H4942="W7",OR(F4942="causal",F4942="predictive")),IF(AND(K4942=1,L4942=1,M4942=1),"adequate","partial"),INDEX(Fit_Matrix!$B:$B,MATCH(P4942,Fit_Matrix!$A:$A,0))),"CHECK KEY"))</f>
        <v/>
      </c>
    </row>
    <row r="4943" customFormat="false" ht="15" hidden="false" customHeight="true" outlineLevel="0" collapsed="false">
      <c r="P4943" s="1" t="str">
        <f aca="false">IF(OR(F4943="",H4943="",J4943=""),"",J4943&amp;"|"&amp;F4943&amp;"|"&amp;IF(H4943="W3","W3_"&amp;IF(I4943="","unknown",I4943),H4943))</f>
        <v/>
      </c>
      <c r="Q4943" s="1" t="str">
        <f aca="false">IF(P4943="","",IFERROR(IF(AND(H4943="W7",OR(F4943="causal",F4943="predictive")),IF(AND(K4943=1,L4943=1,M4943=1),"adequate","partial"),INDEX(Fit_Matrix!$B:$B,MATCH(P4943,Fit_Matrix!$A:$A,0))),"CHECK KEY"))</f>
        <v/>
      </c>
    </row>
    <row r="4944" customFormat="false" ht="15" hidden="false" customHeight="true" outlineLevel="0" collapsed="false">
      <c r="P4944" s="1" t="str">
        <f aca="false">IF(OR(F4944="",H4944="",J4944=""),"",J4944&amp;"|"&amp;F4944&amp;"|"&amp;IF(H4944="W3","W3_"&amp;IF(I4944="","unknown",I4944),H4944))</f>
        <v/>
      </c>
      <c r="Q4944" s="1" t="str">
        <f aca="false">IF(P4944="","",IFERROR(IF(AND(H4944="W7",OR(F4944="causal",F4944="predictive")),IF(AND(K4944=1,L4944=1,M4944=1),"adequate","partial"),INDEX(Fit_Matrix!$B:$B,MATCH(P4944,Fit_Matrix!$A:$A,0))),"CHECK KEY"))</f>
        <v/>
      </c>
    </row>
    <row r="4945" customFormat="false" ht="15" hidden="false" customHeight="true" outlineLevel="0" collapsed="false">
      <c r="P4945" s="1" t="str">
        <f aca="false">IF(OR(F4945="",H4945="",J4945=""),"",J4945&amp;"|"&amp;F4945&amp;"|"&amp;IF(H4945="W3","W3_"&amp;IF(I4945="","unknown",I4945),H4945))</f>
        <v/>
      </c>
      <c r="Q4945" s="1" t="str">
        <f aca="false">IF(P4945="","",IFERROR(IF(AND(H4945="W7",OR(F4945="causal",F4945="predictive")),IF(AND(K4945=1,L4945=1,M4945=1),"adequate","partial"),INDEX(Fit_Matrix!$B:$B,MATCH(P4945,Fit_Matrix!$A:$A,0))),"CHECK KEY"))</f>
        <v/>
      </c>
    </row>
    <row r="4946" customFormat="false" ht="15" hidden="false" customHeight="true" outlineLevel="0" collapsed="false">
      <c r="P4946" s="1" t="str">
        <f aca="false">IF(OR(F4946="",H4946="",J4946=""),"",J4946&amp;"|"&amp;F4946&amp;"|"&amp;IF(H4946="W3","W3_"&amp;IF(I4946="","unknown",I4946),H4946))</f>
        <v/>
      </c>
      <c r="Q4946" s="1" t="str">
        <f aca="false">IF(P4946="","",IFERROR(IF(AND(H4946="W7",OR(F4946="causal",F4946="predictive")),IF(AND(K4946=1,L4946=1,M4946=1),"adequate","partial"),INDEX(Fit_Matrix!$B:$B,MATCH(P4946,Fit_Matrix!$A:$A,0))),"CHECK KEY"))</f>
        <v/>
      </c>
    </row>
    <row r="4947" customFormat="false" ht="15" hidden="false" customHeight="true" outlineLevel="0" collapsed="false">
      <c r="P4947" s="1" t="str">
        <f aca="false">IF(OR(F4947="",H4947="",J4947=""),"",J4947&amp;"|"&amp;F4947&amp;"|"&amp;IF(H4947="W3","W3_"&amp;IF(I4947="","unknown",I4947),H4947))</f>
        <v/>
      </c>
      <c r="Q4947" s="1" t="str">
        <f aca="false">IF(P4947="","",IFERROR(IF(AND(H4947="W7",OR(F4947="causal",F4947="predictive")),IF(AND(K4947=1,L4947=1,M4947=1),"adequate","partial"),INDEX(Fit_Matrix!$B:$B,MATCH(P4947,Fit_Matrix!$A:$A,0))),"CHECK KEY"))</f>
        <v/>
      </c>
    </row>
    <row r="4948" customFormat="false" ht="15" hidden="false" customHeight="true" outlineLevel="0" collapsed="false">
      <c r="P4948" s="1" t="str">
        <f aca="false">IF(OR(F4948="",H4948="",J4948=""),"",J4948&amp;"|"&amp;F4948&amp;"|"&amp;IF(H4948="W3","W3_"&amp;IF(I4948="","unknown",I4948),H4948))</f>
        <v/>
      </c>
      <c r="Q4948" s="1" t="str">
        <f aca="false">IF(P4948="","",IFERROR(IF(AND(H4948="W7",OR(F4948="causal",F4948="predictive")),IF(AND(K4948=1,L4948=1,M4948=1),"adequate","partial"),INDEX(Fit_Matrix!$B:$B,MATCH(P4948,Fit_Matrix!$A:$A,0))),"CHECK KEY"))</f>
        <v/>
      </c>
    </row>
    <row r="4949" customFormat="false" ht="15" hidden="false" customHeight="true" outlineLevel="0" collapsed="false">
      <c r="P4949" s="1" t="str">
        <f aca="false">IF(OR(F4949="",H4949="",J4949=""),"",J4949&amp;"|"&amp;F4949&amp;"|"&amp;IF(H4949="W3","W3_"&amp;IF(I4949="","unknown",I4949),H4949))</f>
        <v/>
      </c>
      <c r="Q4949" s="1" t="str">
        <f aca="false">IF(P4949="","",IFERROR(IF(AND(H4949="W7",OR(F4949="causal",F4949="predictive")),IF(AND(K4949=1,L4949=1,M4949=1),"adequate","partial"),INDEX(Fit_Matrix!$B:$B,MATCH(P4949,Fit_Matrix!$A:$A,0))),"CHECK KEY"))</f>
        <v/>
      </c>
    </row>
    <row r="4950" customFormat="false" ht="15" hidden="false" customHeight="true" outlineLevel="0" collapsed="false">
      <c r="P4950" s="1" t="str">
        <f aca="false">IF(OR(F4950="",H4950="",J4950=""),"",J4950&amp;"|"&amp;F4950&amp;"|"&amp;IF(H4950="W3","W3_"&amp;IF(I4950="","unknown",I4950),H4950))</f>
        <v/>
      </c>
      <c r="Q4950" s="1" t="str">
        <f aca="false">IF(P4950="","",IFERROR(IF(AND(H4950="W7",OR(F4950="causal",F4950="predictive")),IF(AND(K4950=1,L4950=1,M4950=1),"adequate","partial"),INDEX(Fit_Matrix!$B:$B,MATCH(P4950,Fit_Matrix!$A:$A,0))),"CHECK KEY"))</f>
        <v/>
      </c>
    </row>
    <row r="4951" customFormat="false" ht="15" hidden="false" customHeight="true" outlineLevel="0" collapsed="false">
      <c r="P4951" s="1" t="str">
        <f aca="false">IF(OR(F4951="",H4951="",J4951=""),"",J4951&amp;"|"&amp;F4951&amp;"|"&amp;IF(H4951="W3","W3_"&amp;IF(I4951="","unknown",I4951),H4951))</f>
        <v/>
      </c>
      <c r="Q4951" s="1" t="str">
        <f aca="false">IF(P4951="","",IFERROR(IF(AND(H4951="W7",OR(F4951="causal",F4951="predictive")),IF(AND(K4951=1,L4951=1,M4951=1),"adequate","partial"),INDEX(Fit_Matrix!$B:$B,MATCH(P4951,Fit_Matrix!$A:$A,0))),"CHECK KEY"))</f>
        <v/>
      </c>
    </row>
    <row r="4952" customFormat="false" ht="15" hidden="false" customHeight="true" outlineLevel="0" collapsed="false">
      <c r="P4952" s="1" t="str">
        <f aca="false">IF(OR(F4952="",H4952="",J4952=""),"",J4952&amp;"|"&amp;F4952&amp;"|"&amp;IF(H4952="W3","W3_"&amp;IF(I4952="","unknown",I4952),H4952))</f>
        <v/>
      </c>
      <c r="Q4952" s="1" t="str">
        <f aca="false">IF(P4952="","",IFERROR(IF(AND(H4952="W7",OR(F4952="causal",F4952="predictive")),IF(AND(K4952=1,L4952=1,M4952=1),"adequate","partial"),INDEX(Fit_Matrix!$B:$B,MATCH(P4952,Fit_Matrix!$A:$A,0))),"CHECK KEY"))</f>
        <v/>
      </c>
    </row>
    <row r="4953" customFormat="false" ht="15" hidden="false" customHeight="true" outlineLevel="0" collapsed="false">
      <c r="P4953" s="1" t="str">
        <f aca="false">IF(OR(F4953="",H4953="",J4953=""),"",J4953&amp;"|"&amp;F4953&amp;"|"&amp;IF(H4953="W3","W3_"&amp;IF(I4953="","unknown",I4953),H4953))</f>
        <v/>
      </c>
      <c r="Q4953" s="1" t="str">
        <f aca="false">IF(P4953="","",IFERROR(IF(AND(H4953="W7",OR(F4953="causal",F4953="predictive")),IF(AND(K4953=1,L4953=1,M4953=1),"adequate","partial"),INDEX(Fit_Matrix!$B:$B,MATCH(P4953,Fit_Matrix!$A:$A,0))),"CHECK KEY"))</f>
        <v/>
      </c>
    </row>
    <row r="4954" customFormat="false" ht="15" hidden="false" customHeight="true" outlineLevel="0" collapsed="false">
      <c r="P4954" s="1" t="str">
        <f aca="false">IF(OR(F4954="",H4954="",J4954=""),"",J4954&amp;"|"&amp;F4954&amp;"|"&amp;IF(H4954="W3","W3_"&amp;IF(I4954="","unknown",I4954),H4954))</f>
        <v/>
      </c>
      <c r="Q4954" s="1" t="str">
        <f aca="false">IF(P4954="","",IFERROR(IF(AND(H4954="W7",OR(F4954="causal",F4954="predictive")),IF(AND(K4954=1,L4954=1,M4954=1),"adequate","partial"),INDEX(Fit_Matrix!$B:$B,MATCH(P4954,Fit_Matrix!$A:$A,0))),"CHECK KEY"))</f>
        <v/>
      </c>
    </row>
    <row r="4955" customFormat="false" ht="15" hidden="false" customHeight="true" outlineLevel="0" collapsed="false">
      <c r="P4955" s="1" t="str">
        <f aca="false">IF(OR(F4955="",H4955="",J4955=""),"",J4955&amp;"|"&amp;F4955&amp;"|"&amp;IF(H4955="W3","W3_"&amp;IF(I4955="","unknown",I4955),H4955))</f>
        <v/>
      </c>
      <c r="Q4955" s="1" t="str">
        <f aca="false">IF(P4955="","",IFERROR(IF(AND(H4955="W7",OR(F4955="causal",F4955="predictive")),IF(AND(K4955=1,L4955=1,M4955=1),"adequate","partial"),INDEX(Fit_Matrix!$B:$B,MATCH(P4955,Fit_Matrix!$A:$A,0))),"CHECK KEY"))</f>
        <v/>
      </c>
    </row>
    <row r="4956" customFormat="false" ht="15" hidden="false" customHeight="true" outlineLevel="0" collapsed="false">
      <c r="P4956" s="1" t="str">
        <f aca="false">IF(OR(F4956="",H4956="",J4956=""),"",J4956&amp;"|"&amp;F4956&amp;"|"&amp;IF(H4956="W3","W3_"&amp;IF(I4956="","unknown",I4956),H4956))</f>
        <v/>
      </c>
      <c r="Q4956" s="1" t="str">
        <f aca="false">IF(P4956="","",IFERROR(IF(AND(H4956="W7",OR(F4956="causal",F4956="predictive")),IF(AND(K4956=1,L4956=1,M4956=1),"adequate","partial"),INDEX(Fit_Matrix!$B:$B,MATCH(P4956,Fit_Matrix!$A:$A,0))),"CHECK KEY"))</f>
        <v/>
      </c>
    </row>
    <row r="4957" customFormat="false" ht="15" hidden="false" customHeight="true" outlineLevel="0" collapsed="false">
      <c r="P4957" s="1" t="str">
        <f aca="false">IF(OR(F4957="",H4957="",J4957=""),"",J4957&amp;"|"&amp;F4957&amp;"|"&amp;IF(H4957="W3","W3_"&amp;IF(I4957="","unknown",I4957),H4957))</f>
        <v/>
      </c>
      <c r="Q4957" s="1" t="str">
        <f aca="false">IF(P4957="","",IFERROR(IF(AND(H4957="W7",OR(F4957="causal",F4957="predictive")),IF(AND(K4957=1,L4957=1,M4957=1),"adequate","partial"),INDEX(Fit_Matrix!$B:$B,MATCH(P4957,Fit_Matrix!$A:$A,0))),"CHECK KEY"))</f>
        <v/>
      </c>
    </row>
    <row r="4958" customFormat="false" ht="15" hidden="false" customHeight="true" outlineLevel="0" collapsed="false">
      <c r="P4958" s="1" t="str">
        <f aca="false">IF(OR(F4958="",H4958="",J4958=""),"",J4958&amp;"|"&amp;F4958&amp;"|"&amp;IF(H4958="W3","W3_"&amp;IF(I4958="","unknown",I4958),H4958))</f>
        <v/>
      </c>
      <c r="Q4958" s="1" t="str">
        <f aca="false">IF(P4958="","",IFERROR(IF(AND(H4958="W7",OR(F4958="causal",F4958="predictive")),IF(AND(K4958=1,L4958=1,M4958=1),"adequate","partial"),INDEX(Fit_Matrix!$B:$B,MATCH(P4958,Fit_Matrix!$A:$A,0))),"CHECK KEY"))</f>
        <v/>
      </c>
    </row>
    <row r="4959" customFormat="false" ht="15" hidden="false" customHeight="true" outlineLevel="0" collapsed="false">
      <c r="P4959" s="1" t="str">
        <f aca="false">IF(OR(F4959="",H4959="",J4959=""),"",J4959&amp;"|"&amp;F4959&amp;"|"&amp;IF(H4959="W3","W3_"&amp;IF(I4959="","unknown",I4959),H4959))</f>
        <v/>
      </c>
      <c r="Q4959" s="1" t="str">
        <f aca="false">IF(P4959="","",IFERROR(IF(AND(H4959="W7",OR(F4959="causal",F4959="predictive")),IF(AND(K4959=1,L4959=1,M4959=1),"adequate","partial"),INDEX(Fit_Matrix!$B:$B,MATCH(P4959,Fit_Matrix!$A:$A,0))),"CHECK KEY"))</f>
        <v/>
      </c>
    </row>
    <row r="4960" customFormat="false" ht="15" hidden="false" customHeight="true" outlineLevel="0" collapsed="false">
      <c r="P4960" s="1" t="str">
        <f aca="false">IF(OR(F4960="",H4960="",J4960=""),"",J4960&amp;"|"&amp;F4960&amp;"|"&amp;IF(H4960="W3","W3_"&amp;IF(I4960="","unknown",I4960),H4960))</f>
        <v/>
      </c>
      <c r="Q4960" s="1" t="str">
        <f aca="false">IF(P4960="","",IFERROR(IF(AND(H4960="W7",OR(F4960="causal",F4960="predictive")),IF(AND(K4960=1,L4960=1,M4960=1),"adequate","partial"),INDEX(Fit_Matrix!$B:$B,MATCH(P4960,Fit_Matrix!$A:$A,0))),"CHECK KEY"))</f>
        <v/>
      </c>
    </row>
    <row r="4961" customFormat="false" ht="15" hidden="false" customHeight="true" outlineLevel="0" collapsed="false">
      <c r="P4961" s="1" t="str">
        <f aca="false">IF(OR(F4961="",H4961="",J4961=""),"",J4961&amp;"|"&amp;F4961&amp;"|"&amp;IF(H4961="W3","W3_"&amp;IF(I4961="","unknown",I4961),H4961))</f>
        <v/>
      </c>
      <c r="Q4961" s="1" t="str">
        <f aca="false">IF(P4961="","",IFERROR(IF(AND(H4961="W7",OR(F4961="causal",F4961="predictive")),IF(AND(K4961=1,L4961=1,M4961=1),"adequate","partial"),INDEX(Fit_Matrix!$B:$B,MATCH(P4961,Fit_Matrix!$A:$A,0))),"CHECK KEY"))</f>
        <v/>
      </c>
    </row>
    <row r="4962" customFormat="false" ht="15" hidden="false" customHeight="true" outlineLevel="0" collapsed="false">
      <c r="P4962" s="1" t="str">
        <f aca="false">IF(OR(F4962="",H4962="",J4962=""),"",J4962&amp;"|"&amp;F4962&amp;"|"&amp;IF(H4962="W3","W3_"&amp;IF(I4962="","unknown",I4962),H4962))</f>
        <v/>
      </c>
      <c r="Q4962" s="1" t="str">
        <f aca="false">IF(P4962="","",IFERROR(IF(AND(H4962="W7",OR(F4962="causal",F4962="predictive")),IF(AND(K4962=1,L4962=1,M4962=1),"adequate","partial"),INDEX(Fit_Matrix!$B:$B,MATCH(P4962,Fit_Matrix!$A:$A,0))),"CHECK KEY"))</f>
        <v/>
      </c>
    </row>
    <row r="4963" customFormat="false" ht="15" hidden="false" customHeight="true" outlineLevel="0" collapsed="false">
      <c r="P4963" s="1" t="str">
        <f aca="false">IF(OR(F4963="",H4963="",J4963=""),"",J4963&amp;"|"&amp;F4963&amp;"|"&amp;IF(H4963="W3","W3_"&amp;IF(I4963="","unknown",I4963),H4963))</f>
        <v/>
      </c>
      <c r="Q4963" s="1" t="str">
        <f aca="false">IF(P4963="","",IFERROR(IF(AND(H4963="W7",OR(F4963="causal",F4963="predictive")),IF(AND(K4963=1,L4963=1,M4963=1),"adequate","partial"),INDEX(Fit_Matrix!$B:$B,MATCH(P4963,Fit_Matrix!$A:$A,0))),"CHECK KEY"))</f>
        <v/>
      </c>
    </row>
    <row r="4964" customFormat="false" ht="15" hidden="false" customHeight="true" outlineLevel="0" collapsed="false">
      <c r="P4964" s="1" t="str">
        <f aca="false">IF(OR(F4964="",H4964="",J4964=""),"",J4964&amp;"|"&amp;F4964&amp;"|"&amp;IF(H4964="W3","W3_"&amp;IF(I4964="","unknown",I4964),H4964))</f>
        <v/>
      </c>
      <c r="Q4964" s="1" t="str">
        <f aca="false">IF(P4964="","",IFERROR(IF(AND(H4964="W7",OR(F4964="causal",F4964="predictive")),IF(AND(K4964=1,L4964=1,M4964=1),"adequate","partial"),INDEX(Fit_Matrix!$B:$B,MATCH(P4964,Fit_Matrix!$A:$A,0))),"CHECK KEY"))</f>
        <v/>
      </c>
    </row>
    <row r="4965" customFormat="false" ht="15" hidden="false" customHeight="true" outlineLevel="0" collapsed="false">
      <c r="P4965" s="1" t="str">
        <f aca="false">IF(OR(F4965="",H4965="",J4965=""),"",J4965&amp;"|"&amp;F4965&amp;"|"&amp;IF(H4965="W3","W3_"&amp;IF(I4965="","unknown",I4965),H4965))</f>
        <v/>
      </c>
      <c r="Q4965" s="1" t="str">
        <f aca="false">IF(P4965="","",IFERROR(IF(AND(H4965="W7",OR(F4965="causal",F4965="predictive")),IF(AND(K4965=1,L4965=1,M4965=1),"adequate","partial"),INDEX(Fit_Matrix!$B:$B,MATCH(P4965,Fit_Matrix!$A:$A,0))),"CHECK KEY"))</f>
        <v/>
      </c>
    </row>
    <row r="4966" customFormat="false" ht="15" hidden="false" customHeight="true" outlineLevel="0" collapsed="false">
      <c r="P4966" s="1" t="str">
        <f aca="false">IF(OR(F4966="",H4966="",J4966=""),"",J4966&amp;"|"&amp;F4966&amp;"|"&amp;IF(H4966="W3","W3_"&amp;IF(I4966="","unknown",I4966),H4966))</f>
        <v/>
      </c>
      <c r="Q4966" s="1" t="str">
        <f aca="false">IF(P4966="","",IFERROR(IF(AND(H4966="W7",OR(F4966="causal",F4966="predictive")),IF(AND(K4966=1,L4966=1,M4966=1),"adequate","partial"),INDEX(Fit_Matrix!$B:$B,MATCH(P4966,Fit_Matrix!$A:$A,0))),"CHECK KEY"))</f>
        <v/>
      </c>
    </row>
    <row r="4967" customFormat="false" ht="15" hidden="false" customHeight="true" outlineLevel="0" collapsed="false">
      <c r="P4967" s="1" t="str">
        <f aca="false">IF(OR(F4967="",H4967="",J4967=""),"",J4967&amp;"|"&amp;F4967&amp;"|"&amp;IF(H4967="W3","W3_"&amp;IF(I4967="","unknown",I4967),H4967))</f>
        <v/>
      </c>
      <c r="Q4967" s="1" t="str">
        <f aca="false">IF(P4967="","",IFERROR(IF(AND(H4967="W7",OR(F4967="causal",F4967="predictive")),IF(AND(K4967=1,L4967=1,M4967=1),"adequate","partial"),INDEX(Fit_Matrix!$B:$B,MATCH(P4967,Fit_Matrix!$A:$A,0))),"CHECK KEY"))</f>
        <v/>
      </c>
    </row>
    <row r="4968" customFormat="false" ht="15" hidden="false" customHeight="true" outlineLevel="0" collapsed="false">
      <c r="P4968" s="1" t="str">
        <f aca="false">IF(OR(F4968="",H4968="",J4968=""),"",J4968&amp;"|"&amp;F4968&amp;"|"&amp;IF(H4968="W3","W3_"&amp;IF(I4968="","unknown",I4968),H4968))</f>
        <v/>
      </c>
      <c r="Q4968" s="1" t="str">
        <f aca="false">IF(P4968="","",IFERROR(IF(AND(H4968="W7",OR(F4968="causal",F4968="predictive")),IF(AND(K4968=1,L4968=1,M4968=1),"adequate","partial"),INDEX(Fit_Matrix!$B:$B,MATCH(P4968,Fit_Matrix!$A:$A,0))),"CHECK KEY"))</f>
        <v/>
      </c>
    </row>
    <row r="4969" customFormat="false" ht="15" hidden="false" customHeight="true" outlineLevel="0" collapsed="false">
      <c r="P4969" s="1" t="str">
        <f aca="false">IF(OR(F4969="",H4969="",J4969=""),"",J4969&amp;"|"&amp;F4969&amp;"|"&amp;IF(H4969="W3","W3_"&amp;IF(I4969="","unknown",I4969),H4969))</f>
        <v/>
      </c>
      <c r="Q4969" s="1" t="str">
        <f aca="false">IF(P4969="","",IFERROR(IF(AND(H4969="W7",OR(F4969="causal",F4969="predictive")),IF(AND(K4969=1,L4969=1,M4969=1),"adequate","partial"),INDEX(Fit_Matrix!$B:$B,MATCH(P4969,Fit_Matrix!$A:$A,0))),"CHECK KEY"))</f>
        <v/>
      </c>
    </row>
    <row r="4970" customFormat="false" ht="15" hidden="false" customHeight="true" outlineLevel="0" collapsed="false">
      <c r="P4970" s="1" t="str">
        <f aca="false">IF(OR(F4970="",H4970="",J4970=""),"",J4970&amp;"|"&amp;F4970&amp;"|"&amp;IF(H4970="W3","W3_"&amp;IF(I4970="","unknown",I4970),H4970))</f>
        <v/>
      </c>
      <c r="Q4970" s="1" t="str">
        <f aca="false">IF(P4970="","",IFERROR(IF(AND(H4970="W7",OR(F4970="causal",F4970="predictive")),IF(AND(K4970=1,L4970=1,M4970=1),"adequate","partial"),INDEX(Fit_Matrix!$B:$B,MATCH(P4970,Fit_Matrix!$A:$A,0))),"CHECK KEY"))</f>
        <v/>
      </c>
    </row>
    <row r="4971" customFormat="false" ht="15" hidden="false" customHeight="true" outlineLevel="0" collapsed="false">
      <c r="P4971" s="1" t="str">
        <f aca="false">IF(OR(F4971="",H4971="",J4971=""),"",J4971&amp;"|"&amp;F4971&amp;"|"&amp;IF(H4971="W3","W3_"&amp;IF(I4971="","unknown",I4971),H4971))</f>
        <v/>
      </c>
      <c r="Q4971" s="1" t="str">
        <f aca="false">IF(P4971="","",IFERROR(IF(AND(H4971="W7",OR(F4971="causal",F4971="predictive")),IF(AND(K4971=1,L4971=1,M4971=1),"adequate","partial"),INDEX(Fit_Matrix!$B:$B,MATCH(P4971,Fit_Matrix!$A:$A,0))),"CHECK KEY"))</f>
        <v/>
      </c>
    </row>
    <row r="4972" customFormat="false" ht="15" hidden="false" customHeight="true" outlineLevel="0" collapsed="false">
      <c r="P4972" s="1" t="str">
        <f aca="false">IF(OR(F4972="",H4972="",J4972=""),"",J4972&amp;"|"&amp;F4972&amp;"|"&amp;IF(H4972="W3","W3_"&amp;IF(I4972="","unknown",I4972),H4972))</f>
        <v/>
      </c>
      <c r="Q4972" s="1" t="str">
        <f aca="false">IF(P4972="","",IFERROR(IF(AND(H4972="W7",OR(F4972="causal",F4972="predictive")),IF(AND(K4972=1,L4972=1,M4972=1),"adequate","partial"),INDEX(Fit_Matrix!$B:$B,MATCH(P4972,Fit_Matrix!$A:$A,0))),"CHECK KEY"))</f>
        <v/>
      </c>
    </row>
    <row r="4973" customFormat="false" ht="15" hidden="false" customHeight="true" outlineLevel="0" collapsed="false">
      <c r="P4973" s="1" t="str">
        <f aca="false">IF(OR(F4973="",H4973="",J4973=""),"",J4973&amp;"|"&amp;F4973&amp;"|"&amp;IF(H4973="W3","W3_"&amp;IF(I4973="","unknown",I4973),H4973))</f>
        <v/>
      </c>
      <c r="Q4973" s="1" t="str">
        <f aca="false">IF(P4973="","",IFERROR(IF(AND(H4973="W7",OR(F4973="causal",F4973="predictive")),IF(AND(K4973=1,L4973=1,M4973=1),"adequate","partial"),INDEX(Fit_Matrix!$B:$B,MATCH(P4973,Fit_Matrix!$A:$A,0))),"CHECK KEY"))</f>
        <v/>
      </c>
    </row>
    <row r="4974" customFormat="false" ht="15" hidden="false" customHeight="true" outlineLevel="0" collapsed="false">
      <c r="P4974" s="1" t="str">
        <f aca="false">IF(OR(F4974="",H4974="",J4974=""),"",J4974&amp;"|"&amp;F4974&amp;"|"&amp;IF(H4974="W3","W3_"&amp;IF(I4974="","unknown",I4974),H4974))</f>
        <v/>
      </c>
      <c r="Q4974" s="1" t="str">
        <f aca="false">IF(P4974="","",IFERROR(IF(AND(H4974="W7",OR(F4974="causal",F4974="predictive")),IF(AND(K4974=1,L4974=1,M4974=1),"adequate","partial"),INDEX(Fit_Matrix!$B:$B,MATCH(P4974,Fit_Matrix!$A:$A,0))),"CHECK KEY"))</f>
        <v/>
      </c>
    </row>
    <row r="4975" customFormat="false" ht="15" hidden="false" customHeight="true" outlineLevel="0" collapsed="false">
      <c r="P4975" s="1" t="str">
        <f aca="false">IF(OR(F4975="",H4975="",J4975=""),"",J4975&amp;"|"&amp;F4975&amp;"|"&amp;IF(H4975="W3","W3_"&amp;IF(I4975="","unknown",I4975),H4975))</f>
        <v/>
      </c>
      <c r="Q4975" s="1" t="str">
        <f aca="false">IF(P4975="","",IFERROR(IF(AND(H4975="W7",OR(F4975="causal",F4975="predictive")),IF(AND(K4975=1,L4975=1,M4975=1),"adequate","partial"),INDEX(Fit_Matrix!$B:$B,MATCH(P4975,Fit_Matrix!$A:$A,0))),"CHECK KEY"))</f>
        <v/>
      </c>
    </row>
    <row r="4976" customFormat="false" ht="15" hidden="false" customHeight="true" outlineLevel="0" collapsed="false">
      <c r="P4976" s="1" t="str">
        <f aca="false">IF(OR(F4976="",H4976="",J4976=""),"",J4976&amp;"|"&amp;F4976&amp;"|"&amp;IF(H4976="W3","W3_"&amp;IF(I4976="","unknown",I4976),H4976))</f>
        <v/>
      </c>
      <c r="Q4976" s="1" t="str">
        <f aca="false">IF(P4976="","",IFERROR(IF(AND(H4976="W7",OR(F4976="causal",F4976="predictive")),IF(AND(K4976=1,L4976=1,M4976=1),"adequate","partial"),INDEX(Fit_Matrix!$B:$B,MATCH(P4976,Fit_Matrix!$A:$A,0))),"CHECK KEY"))</f>
        <v/>
      </c>
    </row>
    <row r="4977" customFormat="false" ht="15" hidden="false" customHeight="true" outlineLevel="0" collapsed="false">
      <c r="P4977" s="1" t="str">
        <f aca="false">IF(OR(F4977="",H4977="",J4977=""),"",J4977&amp;"|"&amp;F4977&amp;"|"&amp;IF(H4977="W3","W3_"&amp;IF(I4977="","unknown",I4977),H4977))</f>
        <v/>
      </c>
      <c r="Q4977" s="1" t="str">
        <f aca="false">IF(P4977="","",IFERROR(IF(AND(H4977="W7",OR(F4977="causal",F4977="predictive")),IF(AND(K4977=1,L4977=1,M4977=1),"adequate","partial"),INDEX(Fit_Matrix!$B:$B,MATCH(P4977,Fit_Matrix!$A:$A,0))),"CHECK KEY"))</f>
        <v/>
      </c>
    </row>
    <row r="4978" customFormat="false" ht="15" hidden="false" customHeight="true" outlineLevel="0" collapsed="false">
      <c r="P4978" s="1" t="str">
        <f aca="false">IF(OR(F4978="",H4978="",J4978=""),"",J4978&amp;"|"&amp;F4978&amp;"|"&amp;IF(H4978="W3","W3_"&amp;IF(I4978="","unknown",I4978),H4978))</f>
        <v/>
      </c>
      <c r="Q4978" s="1" t="str">
        <f aca="false">IF(P4978="","",IFERROR(IF(AND(H4978="W7",OR(F4978="causal",F4978="predictive")),IF(AND(K4978=1,L4978=1,M4978=1),"adequate","partial"),INDEX(Fit_Matrix!$B:$B,MATCH(P4978,Fit_Matrix!$A:$A,0))),"CHECK KEY"))</f>
        <v/>
      </c>
    </row>
    <row r="4979" customFormat="false" ht="15" hidden="false" customHeight="true" outlineLevel="0" collapsed="false">
      <c r="P4979" s="1" t="str">
        <f aca="false">IF(OR(F4979="",H4979="",J4979=""),"",J4979&amp;"|"&amp;F4979&amp;"|"&amp;IF(H4979="W3","W3_"&amp;IF(I4979="","unknown",I4979),H4979))</f>
        <v/>
      </c>
      <c r="Q4979" s="1" t="str">
        <f aca="false">IF(P4979="","",IFERROR(IF(AND(H4979="W7",OR(F4979="causal",F4979="predictive")),IF(AND(K4979=1,L4979=1,M4979=1),"adequate","partial"),INDEX(Fit_Matrix!$B:$B,MATCH(P4979,Fit_Matrix!$A:$A,0))),"CHECK KEY"))</f>
        <v/>
      </c>
    </row>
    <row r="4980" customFormat="false" ht="15" hidden="false" customHeight="true" outlineLevel="0" collapsed="false">
      <c r="P4980" s="1" t="str">
        <f aca="false">IF(OR(F4980="",H4980="",J4980=""),"",J4980&amp;"|"&amp;F4980&amp;"|"&amp;IF(H4980="W3","W3_"&amp;IF(I4980="","unknown",I4980),H4980))</f>
        <v/>
      </c>
      <c r="Q4980" s="1" t="str">
        <f aca="false">IF(P4980="","",IFERROR(IF(AND(H4980="W7",OR(F4980="causal",F4980="predictive")),IF(AND(K4980=1,L4980=1,M4980=1),"adequate","partial"),INDEX(Fit_Matrix!$B:$B,MATCH(P4980,Fit_Matrix!$A:$A,0))),"CHECK KEY"))</f>
        <v/>
      </c>
    </row>
    <row r="4981" customFormat="false" ht="15" hidden="false" customHeight="true" outlineLevel="0" collapsed="false">
      <c r="P4981" s="1" t="str">
        <f aca="false">IF(OR(F4981="",H4981="",J4981=""),"",J4981&amp;"|"&amp;F4981&amp;"|"&amp;IF(H4981="W3","W3_"&amp;IF(I4981="","unknown",I4981),H4981))</f>
        <v/>
      </c>
      <c r="Q4981" s="1" t="str">
        <f aca="false">IF(P4981="","",IFERROR(IF(AND(H4981="W7",OR(F4981="causal",F4981="predictive")),IF(AND(K4981=1,L4981=1,M4981=1),"adequate","partial"),INDEX(Fit_Matrix!$B:$B,MATCH(P4981,Fit_Matrix!$A:$A,0))),"CHECK KEY"))</f>
        <v/>
      </c>
    </row>
    <row r="4982" customFormat="false" ht="15" hidden="false" customHeight="true" outlineLevel="0" collapsed="false">
      <c r="P4982" s="1" t="str">
        <f aca="false">IF(OR(F4982="",H4982="",J4982=""),"",J4982&amp;"|"&amp;F4982&amp;"|"&amp;IF(H4982="W3","W3_"&amp;IF(I4982="","unknown",I4982),H4982))</f>
        <v/>
      </c>
      <c r="Q4982" s="1" t="str">
        <f aca="false">IF(P4982="","",IFERROR(IF(AND(H4982="W7",OR(F4982="causal",F4982="predictive")),IF(AND(K4982=1,L4982=1,M4982=1),"adequate","partial"),INDEX(Fit_Matrix!$B:$B,MATCH(P4982,Fit_Matrix!$A:$A,0))),"CHECK KEY"))</f>
        <v/>
      </c>
    </row>
    <row r="4983" customFormat="false" ht="15" hidden="false" customHeight="true" outlineLevel="0" collapsed="false">
      <c r="P4983" s="1" t="str">
        <f aca="false">IF(OR(F4983="",H4983="",J4983=""),"",J4983&amp;"|"&amp;F4983&amp;"|"&amp;IF(H4983="W3","W3_"&amp;IF(I4983="","unknown",I4983),H4983))</f>
        <v/>
      </c>
      <c r="Q4983" s="1" t="str">
        <f aca="false">IF(P4983="","",IFERROR(IF(AND(H4983="W7",OR(F4983="causal",F4983="predictive")),IF(AND(K4983=1,L4983=1,M4983=1),"adequate","partial"),INDEX(Fit_Matrix!$B:$B,MATCH(P4983,Fit_Matrix!$A:$A,0))),"CHECK KEY"))</f>
        <v/>
      </c>
    </row>
    <row r="4984" customFormat="false" ht="15" hidden="false" customHeight="true" outlineLevel="0" collapsed="false">
      <c r="P4984" s="1" t="str">
        <f aca="false">IF(OR(F4984="",H4984="",J4984=""),"",J4984&amp;"|"&amp;F4984&amp;"|"&amp;IF(H4984="W3","W3_"&amp;IF(I4984="","unknown",I4984),H4984))</f>
        <v/>
      </c>
      <c r="Q4984" s="1" t="str">
        <f aca="false">IF(P4984="","",IFERROR(IF(AND(H4984="W7",OR(F4984="causal",F4984="predictive")),IF(AND(K4984=1,L4984=1,M4984=1),"adequate","partial"),INDEX(Fit_Matrix!$B:$B,MATCH(P4984,Fit_Matrix!$A:$A,0))),"CHECK KEY"))</f>
        <v/>
      </c>
    </row>
    <row r="4985" customFormat="false" ht="15" hidden="false" customHeight="true" outlineLevel="0" collapsed="false">
      <c r="P4985" s="1" t="str">
        <f aca="false">IF(OR(F4985="",H4985="",J4985=""),"",J4985&amp;"|"&amp;F4985&amp;"|"&amp;IF(H4985="W3","W3_"&amp;IF(I4985="","unknown",I4985),H4985))</f>
        <v/>
      </c>
      <c r="Q4985" s="1" t="str">
        <f aca="false">IF(P4985="","",IFERROR(IF(AND(H4985="W7",OR(F4985="causal",F4985="predictive")),IF(AND(K4985=1,L4985=1,M4985=1),"adequate","partial"),INDEX(Fit_Matrix!$B:$B,MATCH(P4985,Fit_Matrix!$A:$A,0))),"CHECK KEY"))</f>
        <v/>
      </c>
    </row>
    <row r="4986" customFormat="false" ht="15" hidden="false" customHeight="true" outlineLevel="0" collapsed="false">
      <c r="P4986" s="1" t="str">
        <f aca="false">IF(OR(F4986="",H4986="",J4986=""),"",J4986&amp;"|"&amp;F4986&amp;"|"&amp;IF(H4986="W3","W3_"&amp;IF(I4986="","unknown",I4986),H4986))</f>
        <v/>
      </c>
      <c r="Q4986" s="1" t="str">
        <f aca="false">IF(P4986="","",IFERROR(IF(AND(H4986="W7",OR(F4986="causal",F4986="predictive")),IF(AND(K4986=1,L4986=1,M4986=1),"adequate","partial"),INDEX(Fit_Matrix!$B:$B,MATCH(P4986,Fit_Matrix!$A:$A,0))),"CHECK KEY"))</f>
        <v/>
      </c>
    </row>
    <row r="4987" customFormat="false" ht="15" hidden="false" customHeight="true" outlineLevel="0" collapsed="false">
      <c r="P4987" s="1" t="str">
        <f aca="false">IF(OR(F4987="",H4987="",J4987=""),"",J4987&amp;"|"&amp;F4987&amp;"|"&amp;IF(H4987="W3","W3_"&amp;IF(I4987="","unknown",I4987),H4987))</f>
        <v/>
      </c>
      <c r="Q4987" s="1" t="str">
        <f aca="false">IF(P4987="","",IFERROR(IF(AND(H4987="W7",OR(F4987="causal",F4987="predictive")),IF(AND(K4987=1,L4987=1,M4987=1),"adequate","partial"),INDEX(Fit_Matrix!$B:$B,MATCH(P4987,Fit_Matrix!$A:$A,0))),"CHECK KEY"))</f>
        <v/>
      </c>
    </row>
    <row r="4988" customFormat="false" ht="15" hidden="false" customHeight="true" outlineLevel="0" collapsed="false">
      <c r="P4988" s="1" t="str">
        <f aca="false">IF(OR(F4988="",H4988="",J4988=""),"",J4988&amp;"|"&amp;F4988&amp;"|"&amp;IF(H4988="W3","W3_"&amp;IF(I4988="","unknown",I4988),H4988))</f>
        <v/>
      </c>
      <c r="Q4988" s="1" t="str">
        <f aca="false">IF(P4988="","",IFERROR(IF(AND(H4988="W7",OR(F4988="causal",F4988="predictive")),IF(AND(K4988=1,L4988=1,M4988=1),"adequate","partial"),INDEX(Fit_Matrix!$B:$B,MATCH(P4988,Fit_Matrix!$A:$A,0))),"CHECK KEY"))</f>
        <v/>
      </c>
    </row>
    <row r="4989" customFormat="false" ht="15" hidden="false" customHeight="true" outlineLevel="0" collapsed="false">
      <c r="P4989" s="1" t="str">
        <f aca="false">IF(OR(F4989="",H4989="",J4989=""),"",J4989&amp;"|"&amp;F4989&amp;"|"&amp;IF(H4989="W3","W3_"&amp;IF(I4989="","unknown",I4989),H4989))</f>
        <v/>
      </c>
      <c r="Q4989" s="1" t="str">
        <f aca="false">IF(P4989="","",IFERROR(IF(AND(H4989="W7",OR(F4989="causal",F4989="predictive")),IF(AND(K4989=1,L4989=1,M4989=1),"adequate","partial"),INDEX(Fit_Matrix!$B:$B,MATCH(P4989,Fit_Matrix!$A:$A,0))),"CHECK KEY"))</f>
        <v/>
      </c>
    </row>
    <row r="4990" customFormat="false" ht="15" hidden="false" customHeight="true" outlineLevel="0" collapsed="false">
      <c r="P4990" s="1" t="str">
        <f aca="false">IF(OR(F4990="",H4990="",J4990=""),"",J4990&amp;"|"&amp;F4990&amp;"|"&amp;IF(H4990="W3","W3_"&amp;IF(I4990="","unknown",I4990),H4990))</f>
        <v/>
      </c>
      <c r="Q4990" s="1" t="str">
        <f aca="false">IF(P4990="","",IFERROR(IF(AND(H4990="W7",OR(F4990="causal",F4990="predictive")),IF(AND(K4990=1,L4990=1,M4990=1),"adequate","partial"),INDEX(Fit_Matrix!$B:$B,MATCH(P4990,Fit_Matrix!$A:$A,0))),"CHECK KEY"))</f>
        <v/>
      </c>
    </row>
    <row r="4991" customFormat="false" ht="15" hidden="false" customHeight="true" outlineLevel="0" collapsed="false">
      <c r="P4991" s="1" t="str">
        <f aca="false">IF(OR(F4991="",H4991="",J4991=""),"",J4991&amp;"|"&amp;F4991&amp;"|"&amp;IF(H4991="W3","W3_"&amp;IF(I4991="","unknown",I4991),H4991))</f>
        <v/>
      </c>
      <c r="Q4991" s="1" t="str">
        <f aca="false">IF(P4991="","",IFERROR(IF(AND(H4991="W7",OR(F4991="causal",F4991="predictive")),IF(AND(K4991=1,L4991=1,M4991=1),"adequate","partial"),INDEX(Fit_Matrix!$B:$B,MATCH(P4991,Fit_Matrix!$A:$A,0))),"CHECK KEY"))</f>
        <v/>
      </c>
    </row>
    <row r="4992" customFormat="false" ht="15" hidden="false" customHeight="true" outlineLevel="0" collapsed="false">
      <c r="P4992" s="1" t="str">
        <f aca="false">IF(OR(F4992="",H4992="",J4992=""),"",J4992&amp;"|"&amp;F4992&amp;"|"&amp;IF(H4992="W3","W3_"&amp;IF(I4992="","unknown",I4992),H4992))</f>
        <v/>
      </c>
      <c r="Q4992" s="1" t="str">
        <f aca="false">IF(P4992="","",IFERROR(IF(AND(H4992="W7",OR(F4992="causal",F4992="predictive")),IF(AND(K4992=1,L4992=1,M4992=1),"adequate","partial"),INDEX(Fit_Matrix!$B:$B,MATCH(P4992,Fit_Matrix!$A:$A,0))),"CHECK KEY"))</f>
        <v/>
      </c>
    </row>
    <row r="4993" customFormat="false" ht="15" hidden="false" customHeight="true" outlineLevel="0" collapsed="false">
      <c r="P4993" s="1" t="str">
        <f aca="false">IF(OR(F4993="",H4993="",J4993=""),"",J4993&amp;"|"&amp;F4993&amp;"|"&amp;IF(H4993="W3","W3_"&amp;IF(I4993="","unknown",I4993),H4993))</f>
        <v/>
      </c>
      <c r="Q4993" s="1" t="str">
        <f aca="false">IF(P4993="","",IFERROR(IF(AND(H4993="W7",OR(F4993="causal",F4993="predictive")),IF(AND(K4993=1,L4993=1,M4993=1),"adequate","partial"),INDEX(Fit_Matrix!$B:$B,MATCH(P4993,Fit_Matrix!$A:$A,0))),"CHECK KEY"))</f>
        <v/>
      </c>
    </row>
    <row r="4994" customFormat="false" ht="15" hidden="false" customHeight="true" outlineLevel="0" collapsed="false">
      <c r="P4994" s="1" t="str">
        <f aca="false">IF(OR(F4994="",H4994="",J4994=""),"",J4994&amp;"|"&amp;F4994&amp;"|"&amp;IF(H4994="W3","W3_"&amp;IF(I4994="","unknown",I4994),H4994))</f>
        <v/>
      </c>
      <c r="Q4994" s="1" t="str">
        <f aca="false">IF(P4994="","",IFERROR(IF(AND(H4994="W7",OR(F4994="causal",F4994="predictive")),IF(AND(K4994=1,L4994=1,M4994=1),"adequate","partial"),INDEX(Fit_Matrix!$B:$B,MATCH(P4994,Fit_Matrix!$A:$A,0))),"CHECK KEY"))</f>
        <v/>
      </c>
    </row>
    <row r="4995" customFormat="false" ht="15" hidden="false" customHeight="true" outlineLevel="0" collapsed="false">
      <c r="P4995" s="1" t="str">
        <f aca="false">IF(OR(F4995="",H4995="",J4995=""),"",J4995&amp;"|"&amp;F4995&amp;"|"&amp;IF(H4995="W3","W3_"&amp;IF(I4995="","unknown",I4995),H4995))</f>
        <v/>
      </c>
      <c r="Q4995" s="1" t="str">
        <f aca="false">IF(P4995="","",IFERROR(IF(AND(H4995="W7",OR(F4995="causal",F4995="predictive")),IF(AND(K4995=1,L4995=1,M4995=1),"adequate","partial"),INDEX(Fit_Matrix!$B:$B,MATCH(P4995,Fit_Matrix!$A:$A,0))),"CHECK KEY"))</f>
        <v/>
      </c>
    </row>
    <row r="4996" customFormat="false" ht="15" hidden="false" customHeight="true" outlineLevel="0" collapsed="false">
      <c r="P4996" s="1" t="str">
        <f aca="false">IF(OR(F4996="",H4996="",J4996=""),"",J4996&amp;"|"&amp;F4996&amp;"|"&amp;IF(H4996="W3","W3_"&amp;IF(I4996="","unknown",I4996),H4996))</f>
        <v/>
      </c>
      <c r="Q4996" s="1" t="str">
        <f aca="false">IF(P4996="","",IFERROR(IF(AND(H4996="W7",OR(F4996="causal",F4996="predictive")),IF(AND(K4996=1,L4996=1,M4996=1),"adequate","partial"),INDEX(Fit_Matrix!$B:$B,MATCH(P4996,Fit_Matrix!$A:$A,0))),"CHECK KEY"))</f>
        <v/>
      </c>
    </row>
    <row r="4997" customFormat="false" ht="15" hidden="false" customHeight="true" outlineLevel="0" collapsed="false">
      <c r="P4997" s="1" t="str">
        <f aca="false">IF(OR(F4997="",H4997="",J4997=""),"",J4997&amp;"|"&amp;F4997&amp;"|"&amp;IF(H4997="W3","W3_"&amp;IF(I4997="","unknown",I4997),H4997))</f>
        <v/>
      </c>
      <c r="Q4997" s="1" t="str">
        <f aca="false">IF(P4997="","",IFERROR(IF(AND(H4997="W7",OR(F4997="causal",F4997="predictive")),IF(AND(K4997=1,L4997=1,M4997=1),"adequate","partial"),INDEX(Fit_Matrix!$B:$B,MATCH(P4997,Fit_Matrix!$A:$A,0))),"CHECK KEY"))</f>
        <v/>
      </c>
    </row>
    <row r="4998" customFormat="false" ht="15" hidden="false" customHeight="true" outlineLevel="0" collapsed="false">
      <c r="P4998" s="1" t="str">
        <f aca="false">IF(OR(F4998="",H4998="",J4998=""),"",J4998&amp;"|"&amp;F4998&amp;"|"&amp;IF(H4998="W3","W3_"&amp;IF(I4998="","unknown",I4998),H4998))</f>
        <v/>
      </c>
      <c r="Q4998" s="1" t="str">
        <f aca="false">IF(P4998="","",IFERROR(IF(AND(H4998="W7",OR(F4998="causal",F4998="predictive")),IF(AND(K4998=1,L4998=1,M4998=1),"adequate","partial"),INDEX(Fit_Matrix!$B:$B,MATCH(P4998,Fit_Matrix!$A:$A,0))),"CHECK KEY"))</f>
        <v/>
      </c>
    </row>
    <row r="4999" customFormat="false" ht="15" hidden="false" customHeight="true" outlineLevel="0" collapsed="false">
      <c r="P4999" s="1" t="str">
        <f aca="false">IF(OR(F4999="",H4999="",J4999=""),"",J4999&amp;"|"&amp;F4999&amp;"|"&amp;IF(H4999="W3","W3_"&amp;IF(I4999="","unknown",I4999),H4999))</f>
        <v/>
      </c>
      <c r="Q4999" s="1" t="str">
        <f aca="false">IF(P4999="","",IFERROR(IF(AND(H4999="W7",OR(F4999="causal",F4999="predictive")),IF(AND(K4999=1,L4999=1,M4999=1),"adequate","partial"),INDEX(Fit_Matrix!$B:$B,MATCH(P4999,Fit_Matrix!$A:$A,0))),"CHECK KEY"))</f>
        <v/>
      </c>
    </row>
    <row r="5000" customFormat="false" ht="15" hidden="false" customHeight="true" outlineLevel="0" collapsed="false">
      <c r="P5000" s="1" t="str">
        <f aca="false">IF(OR(F5000="",H5000="",J5000=""),"",J5000&amp;"|"&amp;F5000&amp;"|"&amp;IF(H5000="W3","W3_"&amp;IF(I5000="","unknown",I5000),H5000))</f>
        <v/>
      </c>
      <c r="Q5000" s="1" t="str">
        <f aca="false">IF(P5000="","",IFERROR(IF(AND(H5000="W7",OR(F5000="causal",F5000="predictive")),IF(AND(K5000=1,L5000=1,M5000=1),"adequate","partial"),INDEX(Fit_Matrix!$B:$B,MATCH(P5000,Fit_Matrix!$A:$A,0))),"CHECK KEY"))</f>
        <v/>
      </c>
    </row>
  </sheetData>
  <dataValidations count="7">
    <dataValidation allowBlank="true" errorStyle="stop" operator="between" showDropDown="false" showErrorMessage="false" showInputMessage="false" sqref="F2:F5000" type="list">
      <formula1>"descriptive,conceptual,causal,predictive,normative,other"</formula1>
      <formula2>0</formula2>
    </dataValidation>
    <dataValidation allowBlank="true" errorStyle="stop" operator="between" showDropDown="false" showErrorMessage="false" showInputMessage="false" sqref="H2:H5000" type="list">
      <formula1>"W1,W2,W3,W4,W5,W6,W7,W8"</formula1>
      <formula2>0</formula2>
    </dataValidation>
    <dataValidation allowBlank="true" errorStyle="stop" operator="between" showDropDown="false" showErrorMessage="false" showInputMessage="false" sqref="I2:I5000" type="list">
      <formula1>"to_W1W2,to_W3,to_W4W8,unknown"</formula1>
      <formula2>0</formula2>
    </dataValidation>
    <dataValidation allowBlank="true" errorStyle="stop" operator="between" showDropDown="false" showErrorMessage="false" showInputMessage="false" sqref="J2:J5000" type="list">
      <formula1>"P1,P2,P3,P4"</formula1>
      <formula2>0</formula2>
    </dataValidation>
    <dataValidation allowBlank="true" errorStyle="stop" operator="between" showDropDown="false" showErrorMessage="false" showInputMessage="false" sqref="K2:M5000" type="list">
      <formula1>"0,1,NA"</formula1>
      <formula2>0</formula2>
    </dataValidation>
    <dataValidation allowBlank="true" errorStyle="stop" operator="between" showDropDown="false" showErrorMessage="false" showInputMessage="false" sqref="O2:O5000" type="list">
      <formula1>"supporting,neutral,critical"</formula1>
      <formula2>0</formula2>
    </dataValidation>
    <dataValidation allowBlank="true" errorStyle="stop" operator="between" showDropDown="false" showErrorMessage="false" showInputMessage="false" sqref="R2:R5000" type="list">
      <formula1>"adequate,partial,inadequate"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0"/>
    <col collapsed="false" customWidth="true" hidden="false" outlineLevel="0" max="3" min="3" style="1" width="50"/>
    <col collapsed="false" customWidth="true" hidden="false" outlineLevel="0" max="4" min="4" style="1" width="16"/>
    <col collapsed="false" customWidth="true" hidden="false" outlineLevel="0" max="5" min="5" style="1" width="14"/>
  </cols>
  <sheetData>
    <row r="1" customFormat="false" ht="15" hidden="false" customHeight="true" outlineLevel="0" collapsed="false">
      <c r="A1" s="5" t="s">
        <v>487</v>
      </c>
      <c r="B1" s="5" t="s">
        <v>488</v>
      </c>
      <c r="C1" s="5" t="s">
        <v>489</v>
      </c>
      <c r="D1" s="5" t="s">
        <v>490</v>
      </c>
      <c r="E1" s="5" t="s">
        <v>491</v>
      </c>
    </row>
    <row r="2" customFormat="false" ht="15" hidden="false" customHeight="true" outlineLevel="0" collapsed="false">
      <c r="A2" s="1" t="s">
        <v>492</v>
      </c>
      <c r="B2" s="1" t="s">
        <v>493</v>
      </c>
      <c r="C2" s="1" t="s">
        <v>494</v>
      </c>
      <c r="D2" s="1" t="s">
        <v>495</v>
      </c>
      <c r="E2" s="1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2"/>
  </cols>
  <sheetData>
    <row r="1" customFormat="false" ht="15" hidden="false" customHeight="true" outlineLevel="0" collapsed="false">
      <c r="A1" s="4" t="s">
        <v>497</v>
      </c>
      <c r="B1" s="3"/>
      <c r="C1" s="3"/>
    </row>
    <row r="2" customFormat="false" ht="15" hidden="false" customHeight="true" outlineLevel="0" collapsed="false">
      <c r="A2" s="3"/>
      <c r="B2" s="3"/>
      <c r="C2" s="3"/>
    </row>
    <row r="3" customFormat="false" ht="15" hidden="false" customHeight="true" outlineLevel="0" collapsed="false">
      <c r="A3" s="3" t="s">
        <v>498</v>
      </c>
      <c r="B3" s="3" t="n">
        <f aca="false">COUNTA(Claims!A2:A5000)</f>
        <v>21</v>
      </c>
      <c r="C3" s="3"/>
    </row>
    <row r="4" customFormat="false" ht="15" hidden="false" customHeight="true" outlineLevel="0" collapsed="false">
      <c r="A4" s="3" t="s">
        <v>499</v>
      </c>
      <c r="B4" s="3" t="n">
        <f aca="false">COUNTA(Articles!A2:A2000)</f>
        <v>2</v>
      </c>
      <c r="C4" s="3"/>
    </row>
    <row r="5" customFormat="false" ht="15" hidden="false" customHeight="true" outlineLevel="0" collapsed="false">
      <c r="A5" s="3"/>
      <c r="B5" s="3"/>
      <c r="C5" s="3"/>
    </row>
    <row r="6" customFormat="false" ht="15" hidden="false" customHeight="true" outlineLevel="0" collapsed="false">
      <c r="A6" s="4" t="s">
        <v>500</v>
      </c>
      <c r="B6" s="4" t="s">
        <v>501</v>
      </c>
      <c r="C6" s="4" t="s">
        <v>502</v>
      </c>
    </row>
    <row r="7" customFormat="false" ht="15" hidden="false" customHeight="true" outlineLevel="0" collapsed="false">
      <c r="A7" s="3" t="s">
        <v>422</v>
      </c>
      <c r="B7" s="3" t="n">
        <f aca="false">COUNTIF(Claims!F2:F5000,"descriptive")</f>
        <v>4</v>
      </c>
      <c r="C7" s="7" t="n">
        <f aca="false">IF($B$3=0,0,B7/$B$3)</f>
        <v>0.19047619047619</v>
      </c>
    </row>
    <row r="8" customFormat="false" ht="15" hidden="false" customHeight="true" outlineLevel="0" collapsed="false">
      <c r="A8" s="3" t="s">
        <v>393</v>
      </c>
      <c r="B8" s="3" t="n">
        <f aca="false">COUNTIF(Claims!F2:F5000,"conceptual")</f>
        <v>3</v>
      </c>
      <c r="C8" s="7" t="n">
        <f aca="false">IF($B$3=0,0,B8/$B$3)</f>
        <v>0.142857142857143</v>
      </c>
    </row>
    <row r="9" customFormat="false" ht="15" hidden="false" customHeight="true" outlineLevel="0" collapsed="false">
      <c r="A9" s="3" t="s">
        <v>413</v>
      </c>
      <c r="B9" s="3" t="n">
        <f aca="false">COUNTIF(Claims!F2:F5000,"causal")</f>
        <v>3</v>
      </c>
      <c r="C9" s="7" t="n">
        <f aca="false">IF($B$3=0,0,B9/$B$3)</f>
        <v>0.142857142857143</v>
      </c>
    </row>
    <row r="10" customFormat="false" ht="15" hidden="false" customHeight="true" outlineLevel="0" collapsed="false">
      <c r="A10" s="3" t="s">
        <v>401</v>
      </c>
      <c r="B10" s="3" t="n">
        <f aca="false">COUNTIF(Claims!F2:F5000,"predictive")</f>
        <v>10</v>
      </c>
      <c r="C10" s="7" t="n">
        <f aca="false">IF($B$3=0,0,B10/$B$3)</f>
        <v>0.476190476190476</v>
      </c>
    </row>
    <row r="11" customFormat="false" ht="15" hidden="false" customHeight="true" outlineLevel="0" collapsed="false">
      <c r="A11" s="3" t="s">
        <v>473</v>
      </c>
      <c r="B11" s="3" t="n">
        <f aca="false">COUNTIF(Claims!F2:F5000,"normative")</f>
        <v>1</v>
      </c>
      <c r="C11" s="7" t="n">
        <f aca="false">IF($B$3=0,0,B11/$B$3)</f>
        <v>0.0476190476190476</v>
      </c>
    </row>
    <row r="12" customFormat="false" ht="15" hidden="false" customHeight="true" outlineLevel="0" collapsed="false">
      <c r="A12" s="3" t="s">
        <v>503</v>
      </c>
      <c r="B12" s="3" t="n">
        <f aca="false">COUNTIF(Claims!F2:F5000,"other")</f>
        <v>0</v>
      </c>
      <c r="C12" s="7" t="n">
        <f aca="false">IF($B$3=0,0,B12/$B$3)</f>
        <v>0</v>
      </c>
    </row>
    <row r="13" customFormat="false" ht="15" hidden="false" customHeight="true" outlineLevel="0" collapsed="false">
      <c r="A13" s="3"/>
      <c r="B13" s="3"/>
      <c r="C13" s="3"/>
    </row>
    <row r="14" customFormat="false" ht="15" hidden="false" customHeight="true" outlineLevel="0" collapsed="false">
      <c r="A14" s="4" t="s">
        <v>504</v>
      </c>
      <c r="B14" s="3"/>
      <c r="C14" s="3"/>
    </row>
    <row r="15" customFormat="false" ht="15" hidden="false" customHeight="true" outlineLevel="0" collapsed="false">
      <c r="A15" s="3" t="s">
        <v>505</v>
      </c>
      <c r="B15" s="3" t="n">
        <f aca="false">COUNTIF(Claims!H2:H5000,"W1")</f>
        <v>0</v>
      </c>
      <c r="C15" s="7" t="n">
        <f aca="false">IF($B$3=0,0,B15/$B$3)</f>
        <v>0</v>
      </c>
    </row>
    <row r="16" customFormat="false" ht="15" hidden="false" customHeight="true" outlineLevel="0" collapsed="false">
      <c r="A16" s="3" t="s">
        <v>481</v>
      </c>
      <c r="B16" s="3" t="n">
        <f aca="false">COUNTIF(Claims!H2:H5000,"W2")</f>
        <v>1</v>
      </c>
      <c r="C16" s="7" t="n">
        <f aca="false">IF($B$3=0,0,B16/$B$3)</f>
        <v>0.0476190476190476</v>
      </c>
    </row>
    <row r="17" customFormat="false" ht="15" hidden="false" customHeight="true" outlineLevel="0" collapsed="false">
      <c r="A17" s="3" t="s">
        <v>415</v>
      </c>
      <c r="B17" s="3" t="n">
        <f aca="false">COUNTIF(Claims!H2:H5000,"W3")</f>
        <v>7</v>
      </c>
      <c r="C17" s="7" t="n">
        <f aca="false">IF($B$3=0,0,B17/$B$3)</f>
        <v>0.333333333333333</v>
      </c>
    </row>
    <row r="18" customFormat="false" ht="15" hidden="false" customHeight="true" outlineLevel="0" collapsed="false">
      <c r="A18" s="3" t="s">
        <v>395</v>
      </c>
      <c r="B18" s="3" t="n">
        <f aca="false">COUNTIF(Claims!H2:H5000,"W4")</f>
        <v>5</v>
      </c>
      <c r="C18" s="7" t="n">
        <f aca="false">IF($B$3=0,0,B18/$B$3)</f>
        <v>0.238095238095238</v>
      </c>
    </row>
    <row r="19" customFormat="false" ht="15" hidden="false" customHeight="true" outlineLevel="0" collapsed="false">
      <c r="A19" s="3" t="s">
        <v>436</v>
      </c>
      <c r="B19" s="3" t="n">
        <f aca="false">COUNTIF(Claims!H2:H5000,"W5")</f>
        <v>3</v>
      </c>
      <c r="C19" s="7" t="n">
        <f aca="false">IF($B$3=0,0,B19/$B$3)</f>
        <v>0.142857142857143</v>
      </c>
    </row>
    <row r="20" customFormat="false" ht="15" hidden="false" customHeight="true" outlineLevel="0" collapsed="false">
      <c r="A20" s="3" t="s">
        <v>423</v>
      </c>
      <c r="B20" s="3" t="n">
        <f aca="false">COUNTIF(Claims!H2:H5000,"W6")</f>
        <v>2</v>
      </c>
      <c r="C20" s="7" t="n">
        <f aca="false">IF($B$3=0,0,B20/$B$3)</f>
        <v>0.0952380952380952</v>
      </c>
    </row>
    <row r="21" customFormat="false" ht="15" hidden="false" customHeight="true" outlineLevel="0" collapsed="false">
      <c r="A21" s="3" t="s">
        <v>403</v>
      </c>
      <c r="B21" s="3" t="n">
        <f aca="false">COUNTIF(Claims!H2:H5000,"W7")</f>
        <v>3</v>
      </c>
      <c r="C21" s="7" t="n">
        <f aca="false">IF($B$3=0,0,B21/$B$3)</f>
        <v>0.142857142857143</v>
      </c>
    </row>
    <row r="22" customFormat="false" ht="15" hidden="false" customHeight="true" outlineLevel="0" collapsed="false">
      <c r="A22" s="3" t="s">
        <v>506</v>
      </c>
      <c r="B22" s="3" t="n">
        <f aca="false">COUNTIF(Claims!H2:H5000,"W8")</f>
        <v>0</v>
      </c>
      <c r="C22" s="7" t="n">
        <f aca="false">IF($B$3=0,0,B22/$B$3)</f>
        <v>0</v>
      </c>
    </row>
    <row r="23" customFormat="false" ht="15" hidden="false" customHeight="true" outlineLevel="0" collapsed="false">
      <c r="A23" s="3"/>
      <c r="B23" s="3"/>
      <c r="C23" s="3"/>
    </row>
    <row r="24" customFormat="false" ht="15" hidden="false" customHeight="true" outlineLevel="0" collapsed="false">
      <c r="A24" s="4" t="s">
        <v>507</v>
      </c>
      <c r="B24" s="3"/>
      <c r="C24" s="3"/>
    </row>
    <row r="25" customFormat="false" ht="15" hidden="false" customHeight="true" outlineLevel="0" collapsed="false">
      <c r="A25" s="3" t="s">
        <v>40</v>
      </c>
      <c r="B25" s="3" t="n">
        <f aca="false">COUNTIF(Claims!R2:R5000,"adequate")</f>
        <v>11</v>
      </c>
      <c r="C25" s="7" t="n">
        <f aca="false">IF($B$3=0,0,B25/$B$3)</f>
        <v>0.523809523809524</v>
      </c>
    </row>
    <row r="26" customFormat="false" ht="15" hidden="false" customHeight="true" outlineLevel="0" collapsed="false">
      <c r="A26" s="3" t="s">
        <v>44</v>
      </c>
      <c r="B26" s="3" t="n">
        <f aca="false">COUNTIF(Claims!R2:R5000,"partial")</f>
        <v>10</v>
      </c>
      <c r="C26" s="7" t="n">
        <f aca="false">IF($B$3=0,0,B26/$B$3)</f>
        <v>0.476190476190476</v>
      </c>
    </row>
    <row r="27" customFormat="false" ht="15" hidden="false" customHeight="true" outlineLevel="0" collapsed="false">
      <c r="A27" s="3" t="s">
        <v>49</v>
      </c>
      <c r="B27" s="3" t="n">
        <f aca="false">COUNTIF(Claims!R2:R5000,"inadequate")</f>
        <v>0</v>
      </c>
      <c r="C27" s="7" t="n">
        <f aca="false">IF($B$3=0,0,B27/$B$3)</f>
        <v>0</v>
      </c>
    </row>
    <row r="28" customFormat="false" ht="15" hidden="false" customHeight="true" outlineLevel="0" collapsed="false">
      <c r="A28" s="3"/>
      <c r="B28" s="3"/>
      <c r="C28" s="3"/>
    </row>
    <row r="29" customFormat="false" ht="15" hidden="false" customHeight="true" outlineLevel="0" collapsed="false">
      <c r="A29" s="4" t="s">
        <v>508</v>
      </c>
      <c r="B29" s="3"/>
      <c r="C29" s="3"/>
    </row>
    <row r="30" customFormat="false" ht="15" hidden="false" customHeight="true" outlineLevel="0" collapsed="false">
      <c r="A30" s="3" t="s">
        <v>509</v>
      </c>
      <c r="B30" s="3" t="n">
        <f aca="false">COUNTIF(Claims!K2:K5000,"0")+COUNTIF(Claims!K2:K5000,"1")</f>
        <v>11</v>
      </c>
      <c r="C30" s="3"/>
    </row>
    <row r="31" customFormat="false" ht="15" hidden="false" customHeight="true" outlineLevel="0" collapsed="false">
      <c r="A31" s="3" t="s">
        <v>510</v>
      </c>
      <c r="B31" s="3" t="n">
        <f aca="false">COUNTIF(Claims!K2:K5000,"1")</f>
        <v>5</v>
      </c>
      <c r="C31" s="7" t="n">
        <f aca="false">IF($B$30=0,0,B31/$B$30)</f>
        <v>0.454545454545455</v>
      </c>
    </row>
    <row r="32" customFormat="false" ht="15" hidden="false" customHeight="true" outlineLevel="0" collapsed="false">
      <c r="A32" s="3" t="s">
        <v>511</v>
      </c>
      <c r="B32" s="3" t="n">
        <f aca="false">COUNTIF(Claims!L2:L5000,"1")</f>
        <v>10</v>
      </c>
      <c r="C32" s="7" t="n">
        <f aca="false">IF($B$30=0,0,B32/$B$30)</f>
        <v>0.909090909090909</v>
      </c>
    </row>
    <row r="33" customFormat="false" ht="15" hidden="false" customHeight="true" outlineLevel="0" collapsed="false">
      <c r="A33" s="3" t="s">
        <v>512</v>
      </c>
      <c r="B33" s="3" t="n">
        <f aca="false">COUNTIF(Claims!M2:M5000,"1")</f>
        <v>0</v>
      </c>
      <c r="C33" s="7" t="n">
        <f aca="false">IF($B$30=0,0,B33/$B$30)</f>
        <v>0</v>
      </c>
    </row>
    <row r="34" customFormat="false" ht="15" hidden="false" customHeight="true" outlineLevel="0" collapsed="false">
      <c r="A34" s="3" t="s">
        <v>513</v>
      </c>
      <c r="B34" s="3" t="n">
        <f aca="false">COUNTIFS(Claims!K2:K5000,"1",Claims!L2:L5000,"1",Claims!M2:M5000,"1")</f>
        <v>0</v>
      </c>
      <c r="C34" s="7" t="n">
        <f aca="false">IF($B$30=0,0,B34/$B$30)</f>
        <v>0</v>
      </c>
    </row>
    <row r="35" customFormat="false" ht="15" hidden="false" customHeight="true" outlineLevel="0" collapsed="false">
      <c r="A35" s="3" t="s">
        <v>514</v>
      </c>
      <c r="B35" s="3" t="n">
        <f aca="false">COUNTIFS(Claims!K2:K5000,"0",Claims!L2:L5000,"0",Claims!M2:M5000,"0")</f>
        <v>1</v>
      </c>
      <c r="C35" s="7" t="n">
        <f aca="false">IF($B$30=0,0,B35/$B$30)</f>
        <v>0.0909090909090909</v>
      </c>
    </row>
    <row r="36" customFormat="false" ht="15" hidden="false" customHeight="true" outlineLevel="0" collapsed="false">
      <c r="A36" s="3"/>
      <c r="B36" s="3"/>
      <c r="C36" s="3"/>
    </row>
    <row r="37" customFormat="false" ht="15" hidden="false" customHeight="true" outlineLevel="0" collapsed="false">
      <c r="A37" s="3" t="s">
        <v>515</v>
      </c>
      <c r="B37" s="3" t="n">
        <f aca="false">COUNTIF(Claims!Q2:Q5000,"CHECK KEY")</f>
        <v>0</v>
      </c>
      <c r="C37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2026-09-06T21:13:11Z</dcterms:created>
  <dc:creator>openpyxl</dc:creator>
  <dc:description/>
  <dc:language>en-US</dc:language>
  <cp:lastModifiedBy/>
  <dcterms:modified xsi:type="dcterms:W3CDTF">2026-09-06T21:20:08Z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