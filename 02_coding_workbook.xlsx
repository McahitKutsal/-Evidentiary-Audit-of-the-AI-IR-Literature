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Projects\Review-Paper\"/>
    </mc:Choice>
  </mc:AlternateContent>
  <xr:revisionPtr revIDLastSave="0" documentId="13_ncr:1_{343BE142-1E38-482A-A03D-21C109B83D21}" xr6:coauthVersionLast="47" xr6:coauthVersionMax="47" xr10:uidLastSave="{00000000-0000-0000-0000-000000000000}"/>
  <bookViews>
    <workbookView xWindow="6960" yWindow="5535" windowWidth="28800" windowHeight="15345" tabRatio="500" xr2:uid="{00000000-000D-0000-FFFF-FFFF00000000}"/>
  </bookViews>
  <sheets>
    <sheet name="Legend" sheetId="1" r:id="rId1"/>
    <sheet name="Fit_Matrix" sheetId="2" r:id="rId2"/>
    <sheet name="Canonical_Claims" sheetId="3" r:id="rId3"/>
    <sheet name="Articles" sheetId="4" r:id="rId4"/>
    <sheet name="Claims" sheetId="5" r:id="rId5"/>
    <sheet name="Change_Log" sheetId="6" r:id="rId6"/>
    <sheet name="Summary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6" i="7" l="1"/>
  <c r="B43" i="7"/>
  <c r="C42" i="7"/>
  <c r="B42" i="7"/>
  <c r="C41" i="7"/>
  <c r="B41" i="7"/>
  <c r="C40" i="7"/>
  <c r="B40" i="7"/>
  <c r="B35" i="7"/>
  <c r="B34" i="7"/>
  <c r="B33" i="7"/>
  <c r="B32" i="7"/>
  <c r="B31" i="7"/>
  <c r="B30" i="7"/>
  <c r="B27" i="7"/>
  <c r="B26" i="7"/>
  <c r="B25" i="7"/>
  <c r="B22" i="7"/>
  <c r="B21" i="7"/>
  <c r="B20" i="7"/>
  <c r="B19" i="7"/>
  <c r="B18" i="7"/>
  <c r="B17" i="7"/>
  <c r="B16" i="7"/>
  <c r="B15" i="7"/>
  <c r="B12" i="7"/>
  <c r="B11" i="7"/>
  <c r="B10" i="7"/>
  <c r="B9" i="7"/>
  <c r="B8" i="7"/>
  <c r="B7" i="7"/>
  <c r="B4" i="7"/>
  <c r="B3" i="7"/>
  <c r="C17" i="7" s="1"/>
  <c r="AA5000" i="5"/>
  <c r="Q5000" i="5"/>
  <c r="P5000" i="5"/>
  <c r="AA4998" i="5"/>
  <c r="P4998" i="5"/>
  <c r="Q4998" i="5" s="1"/>
  <c r="AA4997" i="5"/>
  <c r="P4997" i="5"/>
  <c r="Q4997" i="5" s="1"/>
  <c r="AA4996" i="5"/>
  <c r="P4996" i="5"/>
  <c r="Q4996" i="5" s="1"/>
  <c r="AA4995" i="5"/>
  <c r="P4995" i="5"/>
  <c r="Q4995" i="5" s="1"/>
  <c r="AA4994" i="5"/>
  <c r="P4994" i="5"/>
  <c r="Q4994" i="5" s="1"/>
  <c r="AA4993" i="5"/>
  <c r="P4993" i="5"/>
  <c r="Q4993" i="5" s="1"/>
  <c r="AA4992" i="5"/>
  <c r="P4992" i="5"/>
  <c r="Q4992" i="5" s="1"/>
  <c r="AA4991" i="5"/>
  <c r="P4991" i="5"/>
  <c r="Q4991" i="5" s="1"/>
  <c r="AA4990" i="5"/>
  <c r="P4990" i="5"/>
  <c r="Q4990" i="5" s="1"/>
  <c r="AA4989" i="5"/>
  <c r="P4989" i="5"/>
  <c r="Q4989" i="5" s="1"/>
  <c r="AA4988" i="5"/>
  <c r="P4988" i="5"/>
  <c r="Q4988" i="5" s="1"/>
  <c r="AA4987" i="5"/>
  <c r="P4987" i="5"/>
  <c r="Q4987" i="5" s="1"/>
  <c r="AA4986" i="5"/>
  <c r="P4986" i="5"/>
  <c r="Q4986" i="5" s="1"/>
  <c r="AA4985" i="5"/>
  <c r="P4985" i="5"/>
  <c r="Q4985" i="5" s="1"/>
  <c r="AA4984" i="5"/>
  <c r="Q4984" i="5"/>
  <c r="P4984" i="5"/>
  <c r="AA4983" i="5"/>
  <c r="Q4983" i="5"/>
  <c r="P4983" i="5"/>
  <c r="AA4982" i="5"/>
  <c r="P4982" i="5"/>
  <c r="Q4982" i="5" s="1"/>
  <c r="AA4981" i="5"/>
  <c r="P4981" i="5"/>
  <c r="Q4981" i="5" s="1"/>
  <c r="AA4980" i="5"/>
  <c r="P4980" i="5"/>
  <c r="Q4980" i="5" s="1"/>
  <c r="AA4979" i="5"/>
  <c r="Q4979" i="5"/>
  <c r="P4979" i="5"/>
  <c r="AA4978" i="5"/>
  <c r="P4978" i="5"/>
  <c r="Q4978" i="5" s="1"/>
  <c r="AA4977" i="5"/>
  <c r="P4977" i="5"/>
  <c r="Q4977" i="5" s="1"/>
  <c r="AA4976" i="5"/>
  <c r="P4976" i="5"/>
  <c r="Q4976" i="5" s="1"/>
  <c r="AA4975" i="5"/>
  <c r="P4975" i="5"/>
  <c r="Q4975" i="5" s="1"/>
  <c r="AA4974" i="5"/>
  <c r="P4974" i="5"/>
  <c r="Q4974" i="5" s="1"/>
  <c r="AA4973" i="5"/>
  <c r="P4973" i="5"/>
  <c r="Q4973" i="5" s="1"/>
  <c r="AA4972" i="5"/>
  <c r="Q4972" i="5"/>
  <c r="P4972" i="5"/>
  <c r="AA4971" i="5"/>
  <c r="Q4971" i="5"/>
  <c r="P4971" i="5"/>
  <c r="AA4970" i="5"/>
  <c r="P4970" i="5"/>
  <c r="Q4970" i="5" s="1"/>
  <c r="AA4969" i="5"/>
  <c r="P4969" i="5"/>
  <c r="Q4969" i="5" s="1"/>
  <c r="AA4968" i="5"/>
  <c r="P4968" i="5"/>
  <c r="Q4968" i="5" s="1"/>
  <c r="AA4967" i="5"/>
  <c r="P4967" i="5"/>
  <c r="Q4967" i="5" s="1"/>
  <c r="AA4966" i="5"/>
  <c r="P4966" i="5"/>
  <c r="Q4966" i="5" s="1"/>
  <c r="AA4965" i="5"/>
  <c r="P4965" i="5"/>
  <c r="Q4965" i="5" s="1"/>
  <c r="AA4964" i="5"/>
  <c r="P4964" i="5"/>
  <c r="Q4964" i="5" s="1"/>
  <c r="AA4963" i="5"/>
  <c r="P4963" i="5"/>
  <c r="Q4963" i="5" s="1"/>
  <c r="AA4962" i="5"/>
  <c r="P4962" i="5"/>
  <c r="Q4962" i="5" s="1"/>
  <c r="AA4961" i="5"/>
  <c r="P4961" i="5"/>
  <c r="Q4961" i="5" s="1"/>
  <c r="AA4960" i="5"/>
  <c r="P4960" i="5"/>
  <c r="Q4960" i="5" s="1"/>
  <c r="AA4959" i="5"/>
  <c r="P4959" i="5"/>
  <c r="Q4959" i="5" s="1"/>
  <c r="AA4958" i="5"/>
  <c r="P4958" i="5"/>
  <c r="Q4958" i="5" s="1"/>
  <c r="AA4957" i="5"/>
  <c r="P4957" i="5"/>
  <c r="Q4957" i="5" s="1"/>
  <c r="AA4956" i="5"/>
  <c r="P4956" i="5"/>
  <c r="Q4956" i="5" s="1"/>
  <c r="AA4955" i="5"/>
  <c r="P4955" i="5"/>
  <c r="Q4955" i="5" s="1"/>
  <c r="AA4954" i="5"/>
  <c r="P4954" i="5"/>
  <c r="Q4954" i="5" s="1"/>
  <c r="AA4953" i="5"/>
  <c r="P4953" i="5"/>
  <c r="Q4953" i="5" s="1"/>
  <c r="AA4952" i="5"/>
  <c r="Q4952" i="5"/>
  <c r="P4952" i="5"/>
  <c r="AA4951" i="5"/>
  <c r="Q4951" i="5"/>
  <c r="P4951" i="5"/>
  <c r="AA4950" i="5"/>
  <c r="P4950" i="5"/>
  <c r="Q4950" i="5" s="1"/>
  <c r="AA4949" i="5"/>
  <c r="P4949" i="5"/>
  <c r="Q4949" i="5" s="1"/>
  <c r="AA4948" i="5"/>
  <c r="P4948" i="5"/>
  <c r="Q4948" i="5" s="1"/>
  <c r="AA4947" i="5"/>
  <c r="Q4947" i="5"/>
  <c r="P4947" i="5"/>
  <c r="AA4946" i="5"/>
  <c r="P4946" i="5"/>
  <c r="Q4946" i="5" s="1"/>
  <c r="AA4945" i="5"/>
  <c r="P4945" i="5"/>
  <c r="Q4945" i="5" s="1"/>
  <c r="AA4944" i="5"/>
  <c r="P4944" i="5"/>
  <c r="Q4944" i="5" s="1"/>
  <c r="AA4943" i="5"/>
  <c r="P4943" i="5"/>
  <c r="Q4943" i="5" s="1"/>
  <c r="AA4942" i="5"/>
  <c r="P4942" i="5"/>
  <c r="Q4942" i="5" s="1"/>
  <c r="AA4941" i="5"/>
  <c r="P4941" i="5"/>
  <c r="Q4941" i="5" s="1"/>
  <c r="AA4940" i="5"/>
  <c r="Q4940" i="5"/>
  <c r="P4940" i="5"/>
  <c r="AA4939" i="5"/>
  <c r="Q4939" i="5"/>
  <c r="P4939" i="5"/>
  <c r="AA4938" i="5"/>
  <c r="P4938" i="5"/>
  <c r="Q4938" i="5" s="1"/>
  <c r="AA4937" i="5"/>
  <c r="P4937" i="5"/>
  <c r="Q4937" i="5" s="1"/>
  <c r="AA4936" i="5"/>
  <c r="P4936" i="5"/>
  <c r="Q4936" i="5" s="1"/>
  <c r="AA4935" i="5"/>
  <c r="P4935" i="5"/>
  <c r="Q4935" i="5" s="1"/>
  <c r="AA4934" i="5"/>
  <c r="P4934" i="5"/>
  <c r="Q4934" i="5" s="1"/>
  <c r="AA4933" i="5"/>
  <c r="P4933" i="5"/>
  <c r="Q4933" i="5" s="1"/>
  <c r="AA4932" i="5"/>
  <c r="P4932" i="5"/>
  <c r="Q4932" i="5" s="1"/>
  <c r="AA4931" i="5"/>
  <c r="P4931" i="5"/>
  <c r="Q4931" i="5" s="1"/>
  <c r="AA4930" i="5"/>
  <c r="P4930" i="5"/>
  <c r="Q4930" i="5" s="1"/>
  <c r="AA4929" i="5"/>
  <c r="P4929" i="5"/>
  <c r="Q4929" i="5" s="1"/>
  <c r="AA4928" i="5"/>
  <c r="P4928" i="5"/>
  <c r="Q4928" i="5" s="1"/>
  <c r="AA4927" i="5"/>
  <c r="Q4927" i="5"/>
  <c r="P4927" i="5"/>
  <c r="AA4926" i="5"/>
  <c r="P4926" i="5"/>
  <c r="Q4926" i="5" s="1"/>
  <c r="AA4925" i="5"/>
  <c r="P4925" i="5"/>
  <c r="Q4925" i="5" s="1"/>
  <c r="AA4924" i="5"/>
  <c r="P4924" i="5"/>
  <c r="Q4924" i="5" s="1"/>
  <c r="AA4923" i="5"/>
  <c r="P4923" i="5"/>
  <c r="Q4923" i="5" s="1"/>
  <c r="AA4922" i="5"/>
  <c r="P4922" i="5"/>
  <c r="Q4922" i="5" s="1"/>
  <c r="AA4921" i="5"/>
  <c r="P4921" i="5"/>
  <c r="Q4921" i="5" s="1"/>
  <c r="AA4920" i="5"/>
  <c r="P4920" i="5"/>
  <c r="Q4920" i="5" s="1"/>
  <c r="AA4919" i="5"/>
  <c r="P4919" i="5"/>
  <c r="Q4919" i="5" s="1"/>
  <c r="AA4918" i="5"/>
  <c r="P4918" i="5"/>
  <c r="Q4918" i="5" s="1"/>
  <c r="AA4917" i="5"/>
  <c r="P4917" i="5"/>
  <c r="Q4917" i="5" s="1"/>
  <c r="AA4916" i="5"/>
  <c r="P4916" i="5"/>
  <c r="Q4916" i="5" s="1"/>
  <c r="AA4915" i="5"/>
  <c r="P4915" i="5"/>
  <c r="Q4915" i="5" s="1"/>
  <c r="AA4914" i="5"/>
  <c r="P4914" i="5"/>
  <c r="Q4914" i="5" s="1"/>
  <c r="AA4913" i="5"/>
  <c r="Q4913" i="5"/>
  <c r="P4913" i="5"/>
  <c r="AA4912" i="5"/>
  <c r="P4912" i="5"/>
  <c r="Q4912" i="5" s="1"/>
  <c r="AA4911" i="5"/>
  <c r="P4911" i="5"/>
  <c r="Q4911" i="5" s="1"/>
  <c r="AA4910" i="5"/>
  <c r="P4910" i="5"/>
  <c r="Q4910" i="5" s="1"/>
  <c r="AA4909" i="5"/>
  <c r="Q4909" i="5"/>
  <c r="P4909" i="5"/>
  <c r="AA4908" i="5"/>
  <c r="P4908" i="5"/>
  <c r="Q4908" i="5" s="1"/>
  <c r="AA4907" i="5"/>
  <c r="Q4907" i="5"/>
  <c r="P4907" i="5"/>
  <c r="AA4906" i="5"/>
  <c r="Q4906" i="5"/>
  <c r="P4906" i="5"/>
  <c r="AA4905" i="5"/>
  <c r="P4905" i="5"/>
  <c r="Q4905" i="5" s="1"/>
  <c r="AA4904" i="5"/>
  <c r="P4904" i="5"/>
  <c r="Q4904" i="5" s="1"/>
  <c r="AA4903" i="5"/>
  <c r="P4903" i="5"/>
  <c r="Q4903" i="5" s="1"/>
  <c r="AA4902" i="5"/>
  <c r="P4902" i="5"/>
  <c r="Q4902" i="5" s="1"/>
  <c r="AA4901" i="5"/>
  <c r="P4901" i="5"/>
  <c r="Q4901" i="5" s="1"/>
  <c r="AA4900" i="5"/>
  <c r="P4900" i="5"/>
  <c r="Q4900" i="5" s="1"/>
  <c r="AA4899" i="5"/>
  <c r="P4899" i="5"/>
  <c r="Q4899" i="5" s="1"/>
  <c r="AA4898" i="5"/>
  <c r="P4898" i="5"/>
  <c r="Q4898" i="5" s="1"/>
  <c r="AA4897" i="5"/>
  <c r="Q4897" i="5"/>
  <c r="P4897" i="5"/>
  <c r="AA4896" i="5"/>
  <c r="P4896" i="5"/>
  <c r="Q4896" i="5" s="1"/>
  <c r="AA4895" i="5"/>
  <c r="Q4895" i="5"/>
  <c r="P4895" i="5"/>
  <c r="AA4894" i="5"/>
  <c r="P4894" i="5"/>
  <c r="Q4894" i="5" s="1"/>
  <c r="AA4893" i="5"/>
  <c r="Q4893" i="5"/>
  <c r="P4893" i="5"/>
  <c r="AA4892" i="5"/>
  <c r="P4892" i="5"/>
  <c r="Q4892" i="5" s="1"/>
  <c r="AA4891" i="5"/>
  <c r="Q4891" i="5"/>
  <c r="P4891" i="5"/>
  <c r="AA4890" i="5"/>
  <c r="Q4890" i="5"/>
  <c r="P4890" i="5"/>
  <c r="AA4889" i="5"/>
  <c r="P4889" i="5"/>
  <c r="Q4889" i="5" s="1"/>
  <c r="AA4888" i="5"/>
  <c r="Q4888" i="5"/>
  <c r="P4888" i="5"/>
  <c r="AA4887" i="5"/>
  <c r="P4887" i="5"/>
  <c r="Q4887" i="5" s="1"/>
  <c r="AA4886" i="5"/>
  <c r="P4886" i="5"/>
  <c r="Q4886" i="5" s="1"/>
  <c r="AA4885" i="5"/>
  <c r="P4885" i="5"/>
  <c r="Q4885" i="5" s="1"/>
  <c r="AA4884" i="5"/>
  <c r="P4884" i="5"/>
  <c r="Q4884" i="5" s="1"/>
  <c r="AA4883" i="5"/>
  <c r="P4883" i="5"/>
  <c r="Q4883" i="5" s="1"/>
  <c r="AA4882" i="5"/>
  <c r="P4882" i="5"/>
  <c r="Q4882" i="5" s="1"/>
  <c r="AA4881" i="5"/>
  <c r="Q4881" i="5"/>
  <c r="P4881" i="5"/>
  <c r="AA4880" i="5"/>
  <c r="P4880" i="5"/>
  <c r="Q4880" i="5" s="1"/>
  <c r="AA4879" i="5"/>
  <c r="P4879" i="5"/>
  <c r="Q4879" i="5" s="1"/>
  <c r="AA4878" i="5"/>
  <c r="P4878" i="5"/>
  <c r="Q4878" i="5" s="1"/>
  <c r="AA4877" i="5"/>
  <c r="P4877" i="5"/>
  <c r="Q4877" i="5" s="1"/>
  <c r="AA4876" i="5"/>
  <c r="Q4876" i="5"/>
  <c r="P4876" i="5"/>
  <c r="AA4875" i="5"/>
  <c r="Q4875" i="5"/>
  <c r="P4875" i="5"/>
  <c r="AA4874" i="5"/>
  <c r="P4874" i="5"/>
  <c r="Q4874" i="5" s="1"/>
  <c r="AA4873" i="5"/>
  <c r="P4873" i="5"/>
  <c r="Q4873" i="5" s="1"/>
  <c r="AA4872" i="5"/>
  <c r="Q4872" i="5"/>
  <c r="P4872" i="5"/>
  <c r="AA4871" i="5"/>
  <c r="Q4871" i="5"/>
  <c r="P4871" i="5"/>
  <c r="AA4870" i="5"/>
  <c r="P4870" i="5"/>
  <c r="Q4870" i="5" s="1"/>
  <c r="AA4869" i="5"/>
  <c r="P4869" i="5"/>
  <c r="Q4869" i="5" s="1"/>
  <c r="AA4868" i="5"/>
  <c r="P4868" i="5"/>
  <c r="Q4868" i="5" s="1"/>
  <c r="AA4867" i="5"/>
  <c r="P4867" i="5"/>
  <c r="Q4867" i="5" s="1"/>
  <c r="AA4866" i="5"/>
  <c r="P4866" i="5"/>
  <c r="Q4866" i="5" s="1"/>
  <c r="AA4865" i="5"/>
  <c r="Q4865" i="5"/>
  <c r="P4865" i="5"/>
  <c r="AA4864" i="5"/>
  <c r="P4864" i="5"/>
  <c r="Q4864" i="5" s="1"/>
  <c r="AA4863" i="5"/>
  <c r="P4863" i="5"/>
  <c r="Q4863" i="5" s="1"/>
  <c r="AA4862" i="5"/>
  <c r="P4862" i="5"/>
  <c r="Q4862" i="5" s="1"/>
  <c r="AA4861" i="5"/>
  <c r="P4861" i="5"/>
  <c r="Q4861" i="5" s="1"/>
  <c r="AA4860" i="5"/>
  <c r="Q4860" i="5"/>
  <c r="P4860" i="5"/>
  <c r="AA4859" i="5"/>
  <c r="Q4859" i="5"/>
  <c r="P4859" i="5"/>
  <c r="AA4858" i="5"/>
  <c r="P4858" i="5"/>
  <c r="Q4858" i="5" s="1"/>
  <c r="AA4857" i="5"/>
  <c r="P4857" i="5"/>
  <c r="Q4857" i="5" s="1"/>
  <c r="AA4856" i="5"/>
  <c r="P4856" i="5"/>
  <c r="Q4856" i="5" s="1"/>
  <c r="AA4855" i="5"/>
  <c r="P4855" i="5"/>
  <c r="Q4855" i="5" s="1"/>
  <c r="AA4854" i="5"/>
  <c r="P4854" i="5"/>
  <c r="Q4854" i="5" s="1"/>
  <c r="AA4853" i="5"/>
  <c r="P4853" i="5"/>
  <c r="Q4853" i="5" s="1"/>
  <c r="AA4852" i="5"/>
  <c r="P4852" i="5"/>
  <c r="Q4852" i="5" s="1"/>
  <c r="AA4851" i="5"/>
  <c r="Q4851" i="5"/>
  <c r="P4851" i="5"/>
  <c r="AA4850" i="5"/>
  <c r="P4850" i="5"/>
  <c r="Q4850" i="5" s="1"/>
  <c r="AA4849" i="5"/>
  <c r="Q4849" i="5"/>
  <c r="P4849" i="5"/>
  <c r="AA4848" i="5"/>
  <c r="P4848" i="5"/>
  <c r="Q4848" i="5" s="1"/>
  <c r="AA4847" i="5"/>
  <c r="P4847" i="5"/>
  <c r="Q4847" i="5" s="1"/>
  <c r="AA4846" i="5"/>
  <c r="P4846" i="5"/>
  <c r="Q4846" i="5" s="1"/>
  <c r="AA4845" i="5"/>
  <c r="Q4845" i="5"/>
  <c r="P4845" i="5"/>
  <c r="AA4844" i="5"/>
  <c r="Q4844" i="5"/>
  <c r="P4844" i="5"/>
  <c r="AA4843" i="5"/>
  <c r="P4843" i="5"/>
  <c r="Q4843" i="5" s="1"/>
  <c r="AA4842" i="5"/>
  <c r="Q4842" i="5"/>
  <c r="P4842" i="5"/>
  <c r="AA4841" i="5"/>
  <c r="P4841" i="5"/>
  <c r="Q4841" i="5" s="1"/>
  <c r="AA4840" i="5"/>
  <c r="P4840" i="5"/>
  <c r="Q4840" i="5" s="1"/>
  <c r="AA4839" i="5"/>
  <c r="Q4839" i="5"/>
  <c r="P4839" i="5"/>
  <c r="AA4838" i="5"/>
  <c r="P4838" i="5"/>
  <c r="Q4838" i="5" s="1"/>
  <c r="AA4837" i="5"/>
  <c r="P4837" i="5"/>
  <c r="Q4837" i="5" s="1"/>
  <c r="AA4836" i="5"/>
  <c r="P4836" i="5"/>
  <c r="Q4836" i="5" s="1"/>
  <c r="AA4835" i="5"/>
  <c r="Q4835" i="5"/>
  <c r="P4835" i="5"/>
  <c r="AA4834" i="5"/>
  <c r="P4834" i="5"/>
  <c r="Q4834" i="5" s="1"/>
  <c r="AA4833" i="5"/>
  <c r="Q4833" i="5"/>
  <c r="P4833" i="5"/>
  <c r="AA4832" i="5"/>
  <c r="P4832" i="5"/>
  <c r="Q4832" i="5" s="1"/>
  <c r="AA4831" i="5"/>
  <c r="Q4831" i="5"/>
  <c r="P4831" i="5"/>
  <c r="AA4830" i="5"/>
  <c r="P4830" i="5"/>
  <c r="Q4830" i="5" s="1"/>
  <c r="AA4829" i="5"/>
  <c r="P4829" i="5"/>
  <c r="Q4829" i="5" s="1"/>
  <c r="AA4828" i="5"/>
  <c r="Q4828" i="5"/>
  <c r="P4828" i="5"/>
  <c r="AA4827" i="5"/>
  <c r="Q4827" i="5"/>
  <c r="P4827" i="5"/>
  <c r="AA4826" i="5"/>
  <c r="P4826" i="5"/>
  <c r="Q4826" i="5" s="1"/>
  <c r="AA4825" i="5"/>
  <c r="P4825" i="5"/>
  <c r="Q4825" i="5" s="1"/>
  <c r="AA4824" i="5"/>
  <c r="P4824" i="5"/>
  <c r="Q4824" i="5" s="1"/>
  <c r="AA4823" i="5"/>
  <c r="Q4823" i="5"/>
  <c r="P4823" i="5"/>
  <c r="AA4822" i="5"/>
  <c r="P4822" i="5"/>
  <c r="Q4822" i="5" s="1"/>
  <c r="AA4821" i="5"/>
  <c r="P4821" i="5"/>
  <c r="Q4821" i="5" s="1"/>
  <c r="AA4820" i="5"/>
  <c r="P4820" i="5"/>
  <c r="Q4820" i="5" s="1"/>
  <c r="AA4819" i="5"/>
  <c r="Q4819" i="5"/>
  <c r="P4819" i="5"/>
  <c r="AA4818" i="5"/>
  <c r="P4818" i="5"/>
  <c r="Q4818" i="5" s="1"/>
  <c r="AA4817" i="5"/>
  <c r="P4817" i="5"/>
  <c r="Q4817" i="5" s="1"/>
  <c r="AA4816" i="5"/>
  <c r="P4816" i="5"/>
  <c r="Q4816" i="5" s="1"/>
  <c r="AA4815" i="5"/>
  <c r="Q4815" i="5"/>
  <c r="P4815" i="5"/>
  <c r="AA4814" i="5"/>
  <c r="P4814" i="5"/>
  <c r="Q4814" i="5" s="1"/>
  <c r="AA4813" i="5"/>
  <c r="P4813" i="5"/>
  <c r="Q4813" i="5" s="1"/>
  <c r="AA4812" i="5"/>
  <c r="P4812" i="5"/>
  <c r="Q4812" i="5" s="1"/>
  <c r="AA4811" i="5"/>
  <c r="P4811" i="5"/>
  <c r="Q4811" i="5" s="1"/>
  <c r="AA4810" i="5"/>
  <c r="P4810" i="5"/>
  <c r="Q4810" i="5" s="1"/>
  <c r="AA4809" i="5"/>
  <c r="P4809" i="5"/>
  <c r="Q4809" i="5" s="1"/>
  <c r="AA4808" i="5"/>
  <c r="P4808" i="5"/>
  <c r="Q4808" i="5" s="1"/>
  <c r="AA4807" i="5"/>
  <c r="Q4807" i="5"/>
  <c r="P4807" i="5"/>
  <c r="AA4806" i="5"/>
  <c r="P4806" i="5"/>
  <c r="Q4806" i="5" s="1"/>
  <c r="AA4805" i="5"/>
  <c r="P4805" i="5"/>
  <c r="Q4805" i="5" s="1"/>
  <c r="AA4804" i="5"/>
  <c r="P4804" i="5"/>
  <c r="Q4804" i="5" s="1"/>
  <c r="AA4803" i="5"/>
  <c r="P4803" i="5"/>
  <c r="Q4803" i="5" s="1"/>
  <c r="AA4802" i="5"/>
  <c r="P4802" i="5"/>
  <c r="Q4802" i="5" s="1"/>
  <c r="AA4801" i="5"/>
  <c r="P4801" i="5"/>
  <c r="Q4801" i="5" s="1"/>
  <c r="AA4800" i="5"/>
  <c r="P4800" i="5"/>
  <c r="Q4800" i="5" s="1"/>
  <c r="AA4799" i="5"/>
  <c r="P4799" i="5"/>
  <c r="Q4799" i="5" s="1"/>
  <c r="AA4798" i="5"/>
  <c r="P4798" i="5"/>
  <c r="Q4798" i="5" s="1"/>
  <c r="AA4797" i="5"/>
  <c r="P4797" i="5"/>
  <c r="Q4797" i="5" s="1"/>
  <c r="AA4796" i="5"/>
  <c r="P4796" i="5"/>
  <c r="Q4796" i="5" s="1"/>
  <c r="AA4795" i="5"/>
  <c r="Q4795" i="5"/>
  <c r="P4795" i="5"/>
  <c r="AA4794" i="5"/>
  <c r="Q4794" i="5"/>
  <c r="P4794" i="5"/>
  <c r="AA4793" i="5"/>
  <c r="P4793" i="5"/>
  <c r="Q4793" i="5" s="1"/>
  <c r="AA4792" i="5"/>
  <c r="P4792" i="5"/>
  <c r="Q4792" i="5" s="1"/>
  <c r="AA4791" i="5"/>
  <c r="P4791" i="5"/>
  <c r="Q4791" i="5" s="1"/>
  <c r="AA4790" i="5"/>
  <c r="P4790" i="5"/>
  <c r="Q4790" i="5" s="1"/>
  <c r="AA4789" i="5"/>
  <c r="P4789" i="5"/>
  <c r="Q4789" i="5" s="1"/>
  <c r="AA4788" i="5"/>
  <c r="P4788" i="5"/>
  <c r="Q4788" i="5" s="1"/>
  <c r="AA4787" i="5"/>
  <c r="Q4787" i="5"/>
  <c r="P4787" i="5"/>
  <c r="AA4786" i="5"/>
  <c r="P4786" i="5"/>
  <c r="Q4786" i="5" s="1"/>
  <c r="AA4785" i="5"/>
  <c r="P4785" i="5"/>
  <c r="Q4785" i="5" s="1"/>
  <c r="AA4784" i="5"/>
  <c r="P4784" i="5"/>
  <c r="Q4784" i="5" s="1"/>
  <c r="AA4783" i="5"/>
  <c r="P4783" i="5"/>
  <c r="Q4783" i="5" s="1"/>
  <c r="AA4782" i="5"/>
  <c r="Q4782" i="5"/>
  <c r="P4782" i="5"/>
  <c r="AA4781" i="5"/>
  <c r="Q4781" i="5"/>
  <c r="P4781" i="5"/>
  <c r="AA4780" i="5"/>
  <c r="P4780" i="5"/>
  <c r="Q4780" i="5" s="1"/>
  <c r="AA4779" i="5"/>
  <c r="Q4779" i="5"/>
  <c r="P4779" i="5"/>
  <c r="AA4778" i="5"/>
  <c r="Q4778" i="5"/>
  <c r="P4778" i="5"/>
  <c r="AA4777" i="5"/>
  <c r="P4777" i="5"/>
  <c r="Q4777" i="5" s="1"/>
  <c r="AA4776" i="5"/>
  <c r="P4776" i="5"/>
  <c r="Q4776" i="5" s="1"/>
  <c r="AA4775" i="5"/>
  <c r="P4775" i="5"/>
  <c r="Q4775" i="5" s="1"/>
  <c r="AA4774" i="5"/>
  <c r="P4774" i="5"/>
  <c r="Q4774" i="5" s="1"/>
  <c r="AA4773" i="5"/>
  <c r="P4773" i="5"/>
  <c r="Q4773" i="5" s="1"/>
  <c r="AA4772" i="5"/>
  <c r="P4772" i="5"/>
  <c r="Q4772" i="5" s="1"/>
  <c r="AA4771" i="5"/>
  <c r="P4771" i="5"/>
  <c r="Q4771" i="5" s="1"/>
  <c r="AA4770" i="5"/>
  <c r="P4770" i="5"/>
  <c r="Q4770" i="5" s="1"/>
  <c r="AA4769" i="5"/>
  <c r="Q4769" i="5"/>
  <c r="P4769" i="5"/>
  <c r="AA4768" i="5"/>
  <c r="P4768" i="5"/>
  <c r="Q4768" i="5" s="1"/>
  <c r="AA4767" i="5"/>
  <c r="P4767" i="5"/>
  <c r="Q4767" i="5" s="1"/>
  <c r="AA4766" i="5"/>
  <c r="P4766" i="5"/>
  <c r="Q4766" i="5" s="1"/>
  <c r="AA4765" i="5"/>
  <c r="Q4765" i="5"/>
  <c r="P4765" i="5"/>
  <c r="AA4764" i="5"/>
  <c r="P4764" i="5"/>
  <c r="Q4764" i="5" s="1"/>
  <c r="AA4763" i="5"/>
  <c r="Q4763" i="5"/>
  <c r="P4763" i="5"/>
  <c r="AA4762" i="5"/>
  <c r="Q4762" i="5"/>
  <c r="P4762" i="5"/>
  <c r="AA4761" i="5"/>
  <c r="P4761" i="5"/>
  <c r="Q4761" i="5" s="1"/>
  <c r="AA4760" i="5"/>
  <c r="P4760" i="5"/>
  <c r="Q4760" i="5" s="1"/>
  <c r="AA4759" i="5"/>
  <c r="P4759" i="5"/>
  <c r="Q4759" i="5" s="1"/>
  <c r="AA4758" i="5"/>
  <c r="P4758" i="5"/>
  <c r="Q4758" i="5" s="1"/>
  <c r="AA4757" i="5"/>
  <c r="P4757" i="5"/>
  <c r="Q4757" i="5" s="1"/>
  <c r="AA4756" i="5"/>
  <c r="P4756" i="5"/>
  <c r="Q4756" i="5" s="1"/>
  <c r="AA4755" i="5"/>
  <c r="P4755" i="5"/>
  <c r="Q4755" i="5" s="1"/>
  <c r="AA4754" i="5"/>
  <c r="P4754" i="5"/>
  <c r="Q4754" i="5" s="1"/>
  <c r="AA4753" i="5"/>
  <c r="Q4753" i="5"/>
  <c r="P4753" i="5"/>
  <c r="AA4752" i="5"/>
  <c r="P4752" i="5"/>
  <c r="Q4752" i="5" s="1"/>
  <c r="AA4751" i="5"/>
  <c r="Q4751" i="5"/>
  <c r="P4751" i="5"/>
  <c r="AA4750" i="5"/>
  <c r="P4750" i="5"/>
  <c r="Q4750" i="5" s="1"/>
  <c r="AA4749" i="5"/>
  <c r="Q4749" i="5"/>
  <c r="P4749" i="5"/>
  <c r="AA4748" i="5"/>
  <c r="P4748" i="5"/>
  <c r="Q4748" i="5" s="1"/>
  <c r="AA4747" i="5"/>
  <c r="Q4747" i="5"/>
  <c r="P4747" i="5"/>
  <c r="AA4746" i="5"/>
  <c r="Q4746" i="5"/>
  <c r="P4746" i="5"/>
  <c r="AA4745" i="5"/>
  <c r="P4745" i="5"/>
  <c r="Q4745" i="5" s="1"/>
  <c r="AA4744" i="5"/>
  <c r="Q4744" i="5"/>
  <c r="P4744" i="5"/>
  <c r="AA4743" i="5"/>
  <c r="P4743" i="5"/>
  <c r="Q4743" i="5" s="1"/>
  <c r="AA4742" i="5"/>
  <c r="P4742" i="5"/>
  <c r="Q4742" i="5" s="1"/>
  <c r="AA4741" i="5"/>
  <c r="P4741" i="5"/>
  <c r="Q4741" i="5" s="1"/>
  <c r="AA4740" i="5"/>
  <c r="P4740" i="5"/>
  <c r="Q4740" i="5" s="1"/>
  <c r="AA4739" i="5"/>
  <c r="P4739" i="5"/>
  <c r="Q4739" i="5" s="1"/>
  <c r="AA4738" i="5"/>
  <c r="P4738" i="5"/>
  <c r="Q4738" i="5" s="1"/>
  <c r="AA4737" i="5"/>
  <c r="P4737" i="5"/>
  <c r="Q4737" i="5" s="1"/>
  <c r="AA4736" i="5"/>
  <c r="P4736" i="5"/>
  <c r="Q4736" i="5" s="1"/>
  <c r="AA4735" i="5"/>
  <c r="Q4735" i="5"/>
  <c r="P4735" i="5"/>
  <c r="AA4734" i="5"/>
  <c r="P4734" i="5"/>
  <c r="Q4734" i="5" s="1"/>
  <c r="AA4733" i="5"/>
  <c r="Q4733" i="5"/>
  <c r="P4733" i="5"/>
  <c r="AA4732" i="5"/>
  <c r="P4732" i="5"/>
  <c r="Q4732" i="5" s="1"/>
  <c r="AA4731" i="5"/>
  <c r="P4731" i="5"/>
  <c r="Q4731" i="5" s="1"/>
  <c r="AA4730" i="5"/>
  <c r="P4730" i="5"/>
  <c r="Q4730" i="5" s="1"/>
  <c r="AA4729" i="5"/>
  <c r="P4729" i="5"/>
  <c r="Q4729" i="5" s="1"/>
  <c r="AA4728" i="5"/>
  <c r="P4728" i="5"/>
  <c r="Q4728" i="5" s="1"/>
  <c r="AA4727" i="5"/>
  <c r="P4727" i="5"/>
  <c r="Q4727" i="5" s="1"/>
  <c r="AA4726" i="5"/>
  <c r="P4726" i="5"/>
  <c r="Q4726" i="5" s="1"/>
  <c r="AA4725" i="5"/>
  <c r="P4725" i="5"/>
  <c r="Q4725" i="5" s="1"/>
  <c r="AA4724" i="5"/>
  <c r="P4724" i="5"/>
  <c r="Q4724" i="5" s="1"/>
  <c r="AA4723" i="5"/>
  <c r="P4723" i="5"/>
  <c r="Q4723" i="5" s="1"/>
  <c r="AA4722" i="5"/>
  <c r="P4722" i="5"/>
  <c r="Q4722" i="5" s="1"/>
  <c r="AA4721" i="5"/>
  <c r="Q4721" i="5"/>
  <c r="P4721" i="5"/>
  <c r="AA4720" i="5"/>
  <c r="P4720" i="5"/>
  <c r="Q4720" i="5" s="1"/>
  <c r="AA4719" i="5"/>
  <c r="Q4719" i="5"/>
  <c r="P4719" i="5"/>
  <c r="AA4718" i="5"/>
  <c r="Q4718" i="5"/>
  <c r="P4718" i="5"/>
  <c r="AA4717" i="5"/>
  <c r="P4717" i="5"/>
  <c r="Q4717" i="5" s="1"/>
  <c r="AA4716" i="5"/>
  <c r="Q4716" i="5"/>
  <c r="P4716" i="5"/>
  <c r="AA4715" i="5"/>
  <c r="Q4715" i="5"/>
  <c r="P4715" i="5"/>
  <c r="AA4714" i="5"/>
  <c r="P4714" i="5"/>
  <c r="Q4714" i="5" s="1"/>
  <c r="AA4713" i="5"/>
  <c r="P4713" i="5"/>
  <c r="Q4713" i="5" s="1"/>
  <c r="AA4712" i="5"/>
  <c r="P4712" i="5"/>
  <c r="Q4712" i="5" s="1"/>
  <c r="AA4711" i="5"/>
  <c r="Q4711" i="5"/>
  <c r="P4711" i="5"/>
  <c r="AA4710" i="5"/>
  <c r="P4710" i="5"/>
  <c r="Q4710" i="5" s="1"/>
  <c r="AA4709" i="5"/>
  <c r="P4709" i="5"/>
  <c r="Q4709" i="5" s="1"/>
  <c r="AA4708" i="5"/>
  <c r="P4708" i="5"/>
  <c r="Q4708" i="5" s="1"/>
  <c r="AA4707" i="5"/>
  <c r="Q4707" i="5"/>
  <c r="P4707" i="5"/>
  <c r="AA4706" i="5"/>
  <c r="P4706" i="5"/>
  <c r="Q4706" i="5" s="1"/>
  <c r="AA4705" i="5"/>
  <c r="Q4705" i="5"/>
  <c r="P4705" i="5"/>
  <c r="AA4704" i="5"/>
  <c r="P4704" i="5"/>
  <c r="Q4704" i="5" s="1"/>
  <c r="AA4703" i="5"/>
  <c r="P4703" i="5"/>
  <c r="Q4703" i="5" s="1"/>
  <c r="AA4702" i="5"/>
  <c r="P4702" i="5"/>
  <c r="Q4702" i="5" s="1"/>
  <c r="AA4701" i="5"/>
  <c r="P4701" i="5"/>
  <c r="Q4701" i="5" s="1"/>
  <c r="AA4700" i="5"/>
  <c r="Q4700" i="5"/>
  <c r="P4700" i="5"/>
  <c r="AA4699" i="5"/>
  <c r="Q4699" i="5"/>
  <c r="P4699" i="5"/>
  <c r="AA4698" i="5"/>
  <c r="P4698" i="5"/>
  <c r="Q4698" i="5" s="1"/>
  <c r="AA4697" i="5"/>
  <c r="P4697" i="5"/>
  <c r="Q4697" i="5" s="1"/>
  <c r="AA4696" i="5"/>
  <c r="P4696" i="5"/>
  <c r="Q4696" i="5" s="1"/>
  <c r="AA4695" i="5"/>
  <c r="P4695" i="5"/>
  <c r="Q4695" i="5" s="1"/>
  <c r="AA4694" i="5"/>
  <c r="P4694" i="5"/>
  <c r="Q4694" i="5" s="1"/>
  <c r="AA4693" i="5"/>
  <c r="P4693" i="5"/>
  <c r="Q4693" i="5" s="1"/>
  <c r="AA4692" i="5"/>
  <c r="P4692" i="5"/>
  <c r="Q4692" i="5" s="1"/>
  <c r="AA4691" i="5"/>
  <c r="P4691" i="5"/>
  <c r="Q4691" i="5" s="1"/>
  <c r="AA4690" i="5"/>
  <c r="P4690" i="5"/>
  <c r="Q4690" i="5" s="1"/>
  <c r="AA4689" i="5"/>
  <c r="Q4689" i="5"/>
  <c r="P4689" i="5"/>
  <c r="AA4688" i="5"/>
  <c r="P4688" i="5"/>
  <c r="Q4688" i="5" s="1"/>
  <c r="AA4687" i="5"/>
  <c r="Q4687" i="5"/>
  <c r="P4687" i="5"/>
  <c r="AA4686" i="5"/>
  <c r="P4686" i="5"/>
  <c r="Q4686" i="5" s="1"/>
  <c r="AA4685" i="5"/>
  <c r="Q4685" i="5"/>
  <c r="P4685" i="5"/>
  <c r="AA4684" i="5"/>
  <c r="P4684" i="5"/>
  <c r="Q4684" i="5" s="1"/>
  <c r="AA4683" i="5"/>
  <c r="Q4683" i="5"/>
  <c r="P4683" i="5"/>
  <c r="AA4682" i="5"/>
  <c r="Q4682" i="5"/>
  <c r="P4682" i="5"/>
  <c r="AA4681" i="5"/>
  <c r="P4681" i="5"/>
  <c r="Q4681" i="5" s="1"/>
  <c r="AA4680" i="5"/>
  <c r="Q4680" i="5"/>
  <c r="P4680" i="5"/>
  <c r="AA4679" i="5"/>
  <c r="P4679" i="5"/>
  <c r="Q4679" i="5" s="1"/>
  <c r="AA4678" i="5"/>
  <c r="P4678" i="5"/>
  <c r="Q4678" i="5" s="1"/>
  <c r="AA4677" i="5"/>
  <c r="P4677" i="5"/>
  <c r="Q4677" i="5" s="1"/>
  <c r="AA4676" i="5"/>
  <c r="P4676" i="5"/>
  <c r="Q4676" i="5" s="1"/>
  <c r="AA4675" i="5"/>
  <c r="P4675" i="5"/>
  <c r="Q4675" i="5" s="1"/>
  <c r="AA4674" i="5"/>
  <c r="P4674" i="5"/>
  <c r="Q4674" i="5" s="1"/>
  <c r="AA4673" i="5"/>
  <c r="Q4673" i="5"/>
  <c r="P4673" i="5"/>
  <c r="AA4672" i="5"/>
  <c r="P4672" i="5"/>
  <c r="Q4672" i="5" s="1"/>
  <c r="AA4671" i="5"/>
  <c r="P4671" i="5"/>
  <c r="Q4671" i="5" s="1"/>
  <c r="AA4670" i="5"/>
  <c r="Q4670" i="5"/>
  <c r="P4670" i="5"/>
  <c r="AA4669" i="5"/>
  <c r="Q4669" i="5"/>
  <c r="P4669" i="5"/>
  <c r="AA4668" i="5"/>
  <c r="P4668" i="5"/>
  <c r="Q4668" i="5" s="1"/>
  <c r="AA4667" i="5"/>
  <c r="P4667" i="5"/>
  <c r="Q4667" i="5" s="1"/>
  <c r="AA4666" i="5"/>
  <c r="P4666" i="5"/>
  <c r="Q4666" i="5" s="1"/>
  <c r="AA4665" i="5"/>
  <c r="P4665" i="5"/>
  <c r="Q4665" i="5" s="1"/>
  <c r="AA4664" i="5"/>
  <c r="Q4664" i="5"/>
  <c r="P4664" i="5"/>
  <c r="AA4663" i="5"/>
  <c r="Q4663" i="5"/>
  <c r="P4663" i="5"/>
  <c r="AA4662" i="5"/>
  <c r="P4662" i="5"/>
  <c r="Q4662" i="5" s="1"/>
  <c r="AA4661" i="5"/>
  <c r="P4661" i="5"/>
  <c r="Q4661" i="5" s="1"/>
  <c r="AA4660" i="5"/>
  <c r="P4660" i="5"/>
  <c r="Q4660" i="5" s="1"/>
  <c r="AA4659" i="5"/>
  <c r="P4659" i="5"/>
  <c r="Q4659" i="5" s="1"/>
  <c r="AA4658" i="5"/>
  <c r="P4658" i="5"/>
  <c r="Q4658" i="5" s="1"/>
  <c r="AA4657" i="5"/>
  <c r="Q4657" i="5"/>
  <c r="P4657" i="5"/>
  <c r="AA4656" i="5"/>
  <c r="P4656" i="5"/>
  <c r="Q4656" i="5" s="1"/>
  <c r="AA4655" i="5"/>
  <c r="P4655" i="5"/>
  <c r="Q4655" i="5" s="1"/>
  <c r="AA4654" i="5"/>
  <c r="P4654" i="5"/>
  <c r="Q4654" i="5" s="1"/>
  <c r="AA4653" i="5"/>
  <c r="P4653" i="5"/>
  <c r="Q4653" i="5" s="1"/>
  <c r="AA4652" i="5"/>
  <c r="P4652" i="5"/>
  <c r="Q4652" i="5" s="1"/>
  <c r="AA4651" i="5"/>
  <c r="P4651" i="5"/>
  <c r="Q4651" i="5" s="1"/>
  <c r="AA4650" i="5"/>
  <c r="P4650" i="5"/>
  <c r="Q4650" i="5" s="1"/>
  <c r="AA4649" i="5"/>
  <c r="P4649" i="5"/>
  <c r="Q4649" i="5" s="1"/>
  <c r="AA4648" i="5"/>
  <c r="P4648" i="5"/>
  <c r="Q4648" i="5" s="1"/>
  <c r="AA4647" i="5"/>
  <c r="P4647" i="5"/>
  <c r="Q4647" i="5" s="1"/>
  <c r="AA4646" i="5"/>
  <c r="P4646" i="5"/>
  <c r="Q4646" i="5" s="1"/>
  <c r="AA4645" i="5"/>
  <c r="P4645" i="5"/>
  <c r="Q4645" i="5" s="1"/>
  <c r="AA4644" i="5"/>
  <c r="P4644" i="5"/>
  <c r="Q4644" i="5" s="1"/>
  <c r="AA4643" i="5"/>
  <c r="Q4643" i="5"/>
  <c r="P4643" i="5"/>
  <c r="AA4642" i="5"/>
  <c r="P4642" i="5"/>
  <c r="Q4642" i="5" s="1"/>
  <c r="AA4641" i="5"/>
  <c r="Q4641" i="5"/>
  <c r="P4641" i="5"/>
  <c r="AA4640" i="5"/>
  <c r="P4640" i="5"/>
  <c r="Q4640" i="5" s="1"/>
  <c r="AA4639" i="5"/>
  <c r="P4639" i="5"/>
  <c r="Q4639" i="5" s="1"/>
  <c r="AA4638" i="5"/>
  <c r="P4638" i="5"/>
  <c r="Q4638" i="5" s="1"/>
  <c r="AA4637" i="5"/>
  <c r="P4637" i="5"/>
  <c r="Q4637" i="5" s="1"/>
  <c r="AA4636" i="5"/>
  <c r="Q4636" i="5"/>
  <c r="P4636" i="5"/>
  <c r="AA4635" i="5"/>
  <c r="Q4635" i="5"/>
  <c r="P4635" i="5"/>
  <c r="AA4634" i="5"/>
  <c r="P4634" i="5"/>
  <c r="Q4634" i="5" s="1"/>
  <c r="AA4633" i="5"/>
  <c r="P4633" i="5"/>
  <c r="Q4633" i="5" s="1"/>
  <c r="AA4632" i="5"/>
  <c r="P4632" i="5"/>
  <c r="Q4632" i="5" s="1"/>
  <c r="AA4631" i="5"/>
  <c r="P4631" i="5"/>
  <c r="Q4631" i="5" s="1"/>
  <c r="AA4630" i="5"/>
  <c r="P4630" i="5"/>
  <c r="Q4630" i="5" s="1"/>
  <c r="AA4629" i="5"/>
  <c r="P4629" i="5"/>
  <c r="Q4629" i="5" s="1"/>
  <c r="AA4628" i="5"/>
  <c r="P4628" i="5"/>
  <c r="Q4628" i="5" s="1"/>
  <c r="AA4627" i="5"/>
  <c r="P4627" i="5"/>
  <c r="Q4627" i="5" s="1"/>
  <c r="AA4626" i="5"/>
  <c r="Q4626" i="5"/>
  <c r="P4626" i="5"/>
  <c r="AA4625" i="5"/>
  <c r="Q4625" i="5"/>
  <c r="P4625" i="5"/>
  <c r="AA4624" i="5"/>
  <c r="P4624" i="5"/>
  <c r="Q4624" i="5" s="1"/>
  <c r="AA4623" i="5"/>
  <c r="Q4623" i="5"/>
  <c r="P4623" i="5"/>
  <c r="AA4622" i="5"/>
  <c r="P4622" i="5"/>
  <c r="Q4622" i="5" s="1"/>
  <c r="AA4621" i="5"/>
  <c r="P4621" i="5"/>
  <c r="Q4621" i="5" s="1"/>
  <c r="AA4620" i="5"/>
  <c r="Q4620" i="5"/>
  <c r="P4620" i="5"/>
  <c r="AA4619" i="5"/>
  <c r="Q4619" i="5"/>
  <c r="P4619" i="5"/>
  <c r="AA4618" i="5"/>
  <c r="P4618" i="5"/>
  <c r="Q4618" i="5" s="1"/>
  <c r="AA4617" i="5"/>
  <c r="P4617" i="5"/>
  <c r="Q4617" i="5" s="1"/>
  <c r="AA4616" i="5"/>
  <c r="Q4616" i="5"/>
  <c r="P4616" i="5"/>
  <c r="AA4615" i="5"/>
  <c r="P4615" i="5"/>
  <c r="Q4615" i="5" s="1"/>
  <c r="AA4614" i="5"/>
  <c r="P4614" i="5"/>
  <c r="Q4614" i="5" s="1"/>
  <c r="AA4613" i="5"/>
  <c r="P4613" i="5"/>
  <c r="Q4613" i="5" s="1"/>
  <c r="AA4612" i="5"/>
  <c r="P4612" i="5"/>
  <c r="Q4612" i="5" s="1"/>
  <c r="AA4611" i="5"/>
  <c r="P4611" i="5"/>
  <c r="Q4611" i="5" s="1"/>
  <c r="AA4610" i="5"/>
  <c r="P4610" i="5"/>
  <c r="Q4610" i="5" s="1"/>
  <c r="AA4609" i="5"/>
  <c r="P4609" i="5"/>
  <c r="Q4609" i="5" s="1"/>
  <c r="AA4608" i="5"/>
  <c r="P4608" i="5"/>
  <c r="Q4608" i="5" s="1"/>
  <c r="AA4607" i="5"/>
  <c r="Q4607" i="5"/>
  <c r="P4607" i="5"/>
  <c r="AA4606" i="5"/>
  <c r="P4606" i="5"/>
  <c r="Q4606" i="5" s="1"/>
  <c r="AA4605" i="5"/>
  <c r="P4605" i="5"/>
  <c r="Q4605" i="5" s="1"/>
  <c r="AA4604" i="5"/>
  <c r="P4604" i="5"/>
  <c r="Q4604" i="5" s="1"/>
  <c r="AA4603" i="5"/>
  <c r="P4603" i="5"/>
  <c r="Q4603" i="5" s="1"/>
  <c r="AA4602" i="5"/>
  <c r="P4602" i="5"/>
  <c r="Q4602" i="5" s="1"/>
  <c r="AA4601" i="5"/>
  <c r="P4601" i="5"/>
  <c r="Q4601" i="5" s="1"/>
  <c r="AA4600" i="5"/>
  <c r="P4600" i="5"/>
  <c r="Q4600" i="5" s="1"/>
  <c r="AA4599" i="5"/>
  <c r="P4599" i="5"/>
  <c r="Q4599" i="5" s="1"/>
  <c r="AA4598" i="5"/>
  <c r="P4598" i="5"/>
  <c r="Q4598" i="5" s="1"/>
  <c r="AA4597" i="5"/>
  <c r="P4597" i="5"/>
  <c r="Q4597" i="5" s="1"/>
  <c r="AA4596" i="5"/>
  <c r="P4596" i="5"/>
  <c r="Q4596" i="5" s="1"/>
  <c r="AA4595" i="5"/>
  <c r="P4595" i="5"/>
  <c r="Q4595" i="5" s="1"/>
  <c r="AA4594" i="5"/>
  <c r="Q4594" i="5"/>
  <c r="P4594" i="5"/>
  <c r="AA4593" i="5"/>
  <c r="P4593" i="5"/>
  <c r="Q4593" i="5" s="1"/>
  <c r="AA4592" i="5"/>
  <c r="P4592" i="5"/>
  <c r="Q4592" i="5" s="1"/>
  <c r="AA4591" i="5"/>
  <c r="P4591" i="5"/>
  <c r="Q4591" i="5" s="1"/>
  <c r="AA4590" i="5"/>
  <c r="P4590" i="5"/>
  <c r="Q4590" i="5" s="1"/>
  <c r="AA4589" i="5"/>
  <c r="Q4589" i="5"/>
  <c r="P4589" i="5"/>
  <c r="AA4588" i="5"/>
  <c r="Q4588" i="5"/>
  <c r="P4588" i="5"/>
  <c r="AA4587" i="5"/>
  <c r="P4587" i="5"/>
  <c r="Q4587" i="5" s="1"/>
  <c r="AA4586" i="5"/>
  <c r="Q4586" i="5"/>
  <c r="P4586" i="5"/>
  <c r="AA4585" i="5"/>
  <c r="P4585" i="5"/>
  <c r="Q4585" i="5" s="1"/>
  <c r="AA4584" i="5"/>
  <c r="P4584" i="5"/>
  <c r="Q4584" i="5" s="1"/>
  <c r="AA4583" i="5"/>
  <c r="P4583" i="5"/>
  <c r="Q4583" i="5" s="1"/>
  <c r="AA4582" i="5"/>
  <c r="P4582" i="5"/>
  <c r="Q4582" i="5" s="1"/>
  <c r="AA4581" i="5"/>
  <c r="P4581" i="5"/>
  <c r="Q4581" i="5" s="1"/>
  <c r="AA4580" i="5"/>
  <c r="P4580" i="5"/>
  <c r="Q4580" i="5" s="1"/>
  <c r="AA4579" i="5"/>
  <c r="P4579" i="5"/>
  <c r="Q4579" i="5" s="1"/>
  <c r="AA4578" i="5"/>
  <c r="P4578" i="5"/>
  <c r="Q4578" i="5" s="1"/>
  <c r="AA4577" i="5"/>
  <c r="P4577" i="5"/>
  <c r="Q4577" i="5" s="1"/>
  <c r="AA4576" i="5"/>
  <c r="P4576" i="5"/>
  <c r="Q4576" i="5" s="1"/>
  <c r="AA4575" i="5"/>
  <c r="Q4575" i="5"/>
  <c r="P4575" i="5"/>
  <c r="AA4574" i="5"/>
  <c r="P4574" i="5"/>
  <c r="Q4574" i="5" s="1"/>
  <c r="AA4573" i="5"/>
  <c r="Q4573" i="5"/>
  <c r="P4573" i="5"/>
  <c r="AA4572" i="5"/>
  <c r="Q4572" i="5"/>
  <c r="P4572" i="5"/>
  <c r="AA4571" i="5"/>
  <c r="P4571" i="5"/>
  <c r="Q4571" i="5" s="1"/>
  <c r="AA4570" i="5"/>
  <c r="Q4570" i="5"/>
  <c r="P4570" i="5"/>
  <c r="AA4569" i="5"/>
  <c r="P4569" i="5"/>
  <c r="Q4569" i="5" s="1"/>
  <c r="AA4568" i="5"/>
  <c r="Q4568" i="5"/>
  <c r="P4568" i="5"/>
  <c r="AA4567" i="5"/>
  <c r="Q4567" i="5"/>
  <c r="P4567" i="5"/>
  <c r="AA4566" i="5"/>
  <c r="P4566" i="5"/>
  <c r="Q4566" i="5" s="1"/>
  <c r="AA4565" i="5"/>
  <c r="P4565" i="5"/>
  <c r="Q4565" i="5" s="1"/>
  <c r="AA4564" i="5"/>
  <c r="P4564" i="5"/>
  <c r="Q4564" i="5" s="1"/>
  <c r="AA4563" i="5"/>
  <c r="P4563" i="5"/>
  <c r="Q4563" i="5" s="1"/>
  <c r="AA4562" i="5"/>
  <c r="Q4562" i="5"/>
  <c r="P4562" i="5"/>
  <c r="AA4561" i="5"/>
  <c r="P4561" i="5"/>
  <c r="Q4561" i="5" s="1"/>
  <c r="AA4560" i="5"/>
  <c r="P4560" i="5"/>
  <c r="Q4560" i="5" s="1"/>
  <c r="AA4559" i="5"/>
  <c r="P4559" i="5"/>
  <c r="Q4559" i="5" s="1"/>
  <c r="AA4558" i="5"/>
  <c r="P4558" i="5"/>
  <c r="Q4558" i="5" s="1"/>
  <c r="AA4557" i="5"/>
  <c r="Q4557" i="5"/>
  <c r="P4557" i="5"/>
  <c r="AA4556" i="5"/>
  <c r="Q4556" i="5"/>
  <c r="P4556" i="5"/>
  <c r="AA4555" i="5"/>
  <c r="P4555" i="5"/>
  <c r="Q4555" i="5" s="1"/>
  <c r="AA4554" i="5"/>
  <c r="P4554" i="5"/>
  <c r="Q4554" i="5" s="1"/>
  <c r="AA4553" i="5"/>
  <c r="P4553" i="5"/>
  <c r="Q4553" i="5" s="1"/>
  <c r="AA4552" i="5"/>
  <c r="P4552" i="5"/>
  <c r="Q4552" i="5" s="1"/>
  <c r="AA4551" i="5"/>
  <c r="Q4551" i="5"/>
  <c r="P4551" i="5"/>
  <c r="AA4550" i="5"/>
  <c r="P4550" i="5"/>
  <c r="Q4550" i="5" s="1"/>
  <c r="AA4549" i="5"/>
  <c r="P4549" i="5"/>
  <c r="Q4549" i="5" s="1"/>
  <c r="AA4548" i="5"/>
  <c r="P4548" i="5"/>
  <c r="Q4548" i="5" s="1"/>
  <c r="AA4547" i="5"/>
  <c r="P4547" i="5"/>
  <c r="Q4547" i="5" s="1"/>
  <c r="AA4546" i="5"/>
  <c r="P4546" i="5"/>
  <c r="Q4546" i="5" s="1"/>
  <c r="AA4545" i="5"/>
  <c r="Q4545" i="5"/>
  <c r="P4545" i="5"/>
  <c r="AA4544" i="5"/>
  <c r="P4544" i="5"/>
  <c r="Q4544" i="5" s="1"/>
  <c r="AA4543" i="5"/>
  <c r="Q4543" i="5"/>
  <c r="P4543" i="5"/>
  <c r="AA4542" i="5"/>
  <c r="P4542" i="5"/>
  <c r="Q4542" i="5" s="1"/>
  <c r="AA4541" i="5"/>
  <c r="P4541" i="5"/>
  <c r="Q4541" i="5" s="1"/>
  <c r="AA4540" i="5"/>
  <c r="P4540" i="5"/>
  <c r="Q4540" i="5" s="1"/>
  <c r="AA4539" i="5"/>
  <c r="Q4539" i="5"/>
  <c r="P4539" i="5"/>
  <c r="AA4538" i="5"/>
  <c r="P4538" i="5"/>
  <c r="Q4538" i="5" s="1"/>
  <c r="AA4537" i="5"/>
  <c r="P4537" i="5"/>
  <c r="Q4537" i="5" s="1"/>
  <c r="AA4536" i="5"/>
  <c r="P4536" i="5"/>
  <c r="Q4536" i="5" s="1"/>
  <c r="AA4535" i="5"/>
  <c r="Q4535" i="5"/>
  <c r="P4535" i="5"/>
  <c r="AA4534" i="5"/>
  <c r="P4534" i="5"/>
  <c r="Q4534" i="5" s="1"/>
  <c r="AA4533" i="5"/>
  <c r="P4533" i="5"/>
  <c r="Q4533" i="5" s="1"/>
  <c r="AA4532" i="5"/>
  <c r="P4532" i="5"/>
  <c r="Q4532" i="5" s="1"/>
  <c r="AA4531" i="5"/>
  <c r="Q4531" i="5"/>
  <c r="P4531" i="5"/>
  <c r="AA4530" i="5"/>
  <c r="P4530" i="5"/>
  <c r="Q4530" i="5" s="1"/>
  <c r="AA4529" i="5"/>
  <c r="P4529" i="5"/>
  <c r="Q4529" i="5" s="1"/>
  <c r="AA4528" i="5"/>
  <c r="P4528" i="5"/>
  <c r="Q4528" i="5" s="1"/>
  <c r="AA4527" i="5"/>
  <c r="P4527" i="5"/>
  <c r="Q4527" i="5" s="1"/>
  <c r="AA4526" i="5"/>
  <c r="P4526" i="5"/>
  <c r="Q4526" i="5" s="1"/>
  <c r="AA4525" i="5"/>
  <c r="P4525" i="5"/>
  <c r="Q4525" i="5" s="1"/>
  <c r="AA4524" i="5"/>
  <c r="P4524" i="5"/>
  <c r="Q4524" i="5" s="1"/>
  <c r="AA4523" i="5"/>
  <c r="Q4523" i="5"/>
  <c r="P4523" i="5"/>
  <c r="AA4522" i="5"/>
  <c r="Q4522" i="5"/>
  <c r="P4522" i="5"/>
  <c r="AA4521" i="5"/>
  <c r="P4521" i="5"/>
  <c r="Q4521" i="5" s="1"/>
  <c r="AA4520" i="5"/>
  <c r="P4520" i="5"/>
  <c r="Q4520" i="5" s="1"/>
  <c r="AA4519" i="5"/>
  <c r="Q4519" i="5"/>
  <c r="P4519" i="5"/>
  <c r="AA4518" i="5"/>
  <c r="P4518" i="5"/>
  <c r="Q4518" i="5" s="1"/>
  <c r="AA4517" i="5"/>
  <c r="P4517" i="5"/>
  <c r="Q4517" i="5" s="1"/>
  <c r="AA4516" i="5"/>
  <c r="P4516" i="5"/>
  <c r="Q4516" i="5" s="1"/>
  <c r="AA4515" i="5"/>
  <c r="P4515" i="5"/>
  <c r="Q4515" i="5" s="1"/>
  <c r="AA4514" i="5"/>
  <c r="P4514" i="5"/>
  <c r="Q4514" i="5" s="1"/>
  <c r="AA4513" i="5"/>
  <c r="P4513" i="5"/>
  <c r="Q4513" i="5" s="1"/>
  <c r="AA4512" i="5"/>
  <c r="P4512" i="5"/>
  <c r="Q4512" i="5" s="1"/>
  <c r="AA4511" i="5"/>
  <c r="P4511" i="5"/>
  <c r="Q4511" i="5" s="1"/>
  <c r="AA4510" i="5"/>
  <c r="Q4510" i="5"/>
  <c r="P4510" i="5"/>
  <c r="AA4509" i="5"/>
  <c r="Q4509" i="5"/>
  <c r="P4509" i="5"/>
  <c r="AA4508" i="5"/>
  <c r="P4508" i="5"/>
  <c r="Q4508" i="5" s="1"/>
  <c r="AA4507" i="5"/>
  <c r="Q4507" i="5"/>
  <c r="P4507" i="5"/>
  <c r="AA4506" i="5"/>
  <c r="Q4506" i="5"/>
  <c r="P4506" i="5"/>
  <c r="AA4505" i="5"/>
  <c r="P4505" i="5"/>
  <c r="Q4505" i="5" s="1"/>
  <c r="AA4504" i="5"/>
  <c r="Q4504" i="5"/>
  <c r="P4504" i="5"/>
  <c r="AA4503" i="5"/>
  <c r="P4503" i="5"/>
  <c r="Q4503" i="5" s="1"/>
  <c r="AA4502" i="5"/>
  <c r="P4502" i="5"/>
  <c r="Q4502" i="5" s="1"/>
  <c r="AA4501" i="5"/>
  <c r="P4501" i="5"/>
  <c r="Q4501" i="5" s="1"/>
  <c r="AA4500" i="5"/>
  <c r="P4500" i="5"/>
  <c r="Q4500" i="5" s="1"/>
  <c r="AA4499" i="5"/>
  <c r="P4499" i="5"/>
  <c r="Q4499" i="5" s="1"/>
  <c r="AA4498" i="5"/>
  <c r="P4498" i="5"/>
  <c r="Q4498" i="5" s="1"/>
  <c r="AA4497" i="5"/>
  <c r="P4497" i="5"/>
  <c r="Q4497" i="5" s="1"/>
  <c r="AA4496" i="5"/>
  <c r="P4496" i="5"/>
  <c r="Q4496" i="5" s="1"/>
  <c r="AA4495" i="5"/>
  <c r="Q4495" i="5"/>
  <c r="P4495" i="5"/>
  <c r="AA4494" i="5"/>
  <c r="Q4494" i="5"/>
  <c r="P4494" i="5"/>
  <c r="AA4493" i="5"/>
  <c r="P4493" i="5"/>
  <c r="Q4493" i="5" s="1"/>
  <c r="AA4492" i="5"/>
  <c r="Q4492" i="5"/>
  <c r="P4492" i="5"/>
  <c r="AA4491" i="5"/>
  <c r="Q4491" i="5"/>
  <c r="P4491" i="5"/>
  <c r="AA4490" i="5"/>
  <c r="P4490" i="5"/>
  <c r="Q4490" i="5" s="1"/>
  <c r="AA4489" i="5"/>
  <c r="P4489" i="5"/>
  <c r="Q4489" i="5" s="1"/>
  <c r="AA4488" i="5"/>
  <c r="P4488" i="5"/>
  <c r="Q4488" i="5" s="1"/>
  <c r="AA4487" i="5"/>
  <c r="Q4487" i="5"/>
  <c r="P4487" i="5"/>
  <c r="AA4486" i="5"/>
  <c r="P4486" i="5"/>
  <c r="Q4486" i="5" s="1"/>
  <c r="AA4485" i="5"/>
  <c r="Q4485" i="5"/>
  <c r="P4485" i="5"/>
  <c r="AA4484" i="5"/>
  <c r="P4484" i="5"/>
  <c r="Q4484" i="5" s="1"/>
  <c r="AA4483" i="5"/>
  <c r="P4483" i="5"/>
  <c r="Q4483" i="5" s="1"/>
  <c r="AA4482" i="5"/>
  <c r="P4482" i="5"/>
  <c r="Q4482" i="5" s="1"/>
  <c r="AA4481" i="5"/>
  <c r="Q4481" i="5"/>
  <c r="P4481" i="5"/>
  <c r="AA4480" i="5"/>
  <c r="P4480" i="5"/>
  <c r="Q4480" i="5" s="1"/>
  <c r="AA4479" i="5"/>
  <c r="Q4479" i="5"/>
  <c r="P4479" i="5"/>
  <c r="AA4478" i="5"/>
  <c r="P4478" i="5"/>
  <c r="Q4478" i="5" s="1"/>
  <c r="AA4477" i="5"/>
  <c r="P4477" i="5"/>
  <c r="Q4477" i="5" s="1"/>
  <c r="AA4476" i="5"/>
  <c r="P4476" i="5"/>
  <c r="Q4476" i="5" s="1"/>
  <c r="AA4475" i="5"/>
  <c r="P4475" i="5"/>
  <c r="Q4475" i="5" s="1"/>
  <c r="AA4474" i="5"/>
  <c r="Q4474" i="5"/>
  <c r="P4474" i="5"/>
  <c r="AA4473" i="5"/>
  <c r="Q4473" i="5"/>
  <c r="P4473" i="5"/>
  <c r="AA4472" i="5"/>
  <c r="P4472" i="5"/>
  <c r="Q4472" i="5" s="1"/>
  <c r="AA4471" i="5"/>
  <c r="P4471" i="5"/>
  <c r="Q4471" i="5" s="1"/>
  <c r="AA4470" i="5"/>
  <c r="P4470" i="5"/>
  <c r="Q4470" i="5" s="1"/>
  <c r="AA4469" i="5"/>
  <c r="P4469" i="5"/>
  <c r="Q4469" i="5" s="1"/>
  <c r="AA4468" i="5"/>
  <c r="P4468" i="5"/>
  <c r="Q4468" i="5" s="1"/>
  <c r="AA4467" i="5"/>
  <c r="Q4467" i="5"/>
  <c r="P4467" i="5"/>
  <c r="AA4466" i="5"/>
  <c r="P4466" i="5"/>
  <c r="Q4466" i="5" s="1"/>
  <c r="AA4465" i="5"/>
  <c r="P4465" i="5"/>
  <c r="Q4465" i="5" s="1"/>
  <c r="AA4464" i="5"/>
  <c r="P4464" i="5"/>
  <c r="Q4464" i="5" s="1"/>
  <c r="AA4463" i="5"/>
  <c r="Q4463" i="5"/>
  <c r="P4463" i="5"/>
  <c r="AA4462" i="5"/>
  <c r="P4462" i="5"/>
  <c r="Q4462" i="5" s="1"/>
  <c r="AA4461" i="5"/>
  <c r="P4461" i="5"/>
  <c r="Q4461" i="5" s="1"/>
  <c r="AA4460" i="5"/>
  <c r="P4460" i="5"/>
  <c r="Q4460" i="5" s="1"/>
  <c r="AA4459" i="5"/>
  <c r="P4459" i="5"/>
  <c r="Q4459" i="5" s="1"/>
  <c r="AA4458" i="5"/>
  <c r="P4458" i="5"/>
  <c r="Q4458" i="5" s="1"/>
  <c r="AA4457" i="5"/>
  <c r="Q4457" i="5"/>
  <c r="P4457" i="5"/>
  <c r="AA4456" i="5"/>
  <c r="P4456" i="5"/>
  <c r="Q4456" i="5" s="1"/>
  <c r="AA4455" i="5"/>
  <c r="Q4455" i="5"/>
  <c r="P4455" i="5"/>
  <c r="AA4454" i="5"/>
  <c r="P4454" i="5"/>
  <c r="Q4454" i="5" s="1"/>
  <c r="AA4453" i="5"/>
  <c r="P4453" i="5"/>
  <c r="Q4453" i="5" s="1"/>
  <c r="AA4452" i="5"/>
  <c r="P4452" i="5"/>
  <c r="Q4452" i="5" s="1"/>
  <c r="AA4451" i="5"/>
  <c r="Q4451" i="5"/>
  <c r="P4451" i="5"/>
  <c r="AA4450" i="5"/>
  <c r="P4450" i="5"/>
  <c r="Q4450" i="5" s="1"/>
  <c r="AA4449" i="5"/>
  <c r="Q4449" i="5"/>
  <c r="P4449" i="5"/>
  <c r="AA4448" i="5"/>
  <c r="P4448" i="5"/>
  <c r="Q4448" i="5" s="1"/>
  <c r="AA4447" i="5"/>
  <c r="P4447" i="5"/>
  <c r="Q4447" i="5" s="1"/>
  <c r="AA4446" i="5"/>
  <c r="P4446" i="5"/>
  <c r="Q4446" i="5" s="1"/>
  <c r="AA4445" i="5"/>
  <c r="P4445" i="5"/>
  <c r="Q4445" i="5" s="1"/>
  <c r="AA4444" i="5"/>
  <c r="Q4444" i="5"/>
  <c r="P4444" i="5"/>
  <c r="AA4443" i="5"/>
  <c r="Q4443" i="5"/>
  <c r="P4443" i="5"/>
  <c r="AA4442" i="5"/>
  <c r="P4442" i="5"/>
  <c r="Q4442" i="5" s="1"/>
  <c r="AA4441" i="5"/>
  <c r="P4441" i="5"/>
  <c r="Q4441" i="5" s="1"/>
  <c r="AA4440" i="5"/>
  <c r="Q4440" i="5"/>
  <c r="P4440" i="5"/>
  <c r="AA4439" i="5"/>
  <c r="Q4439" i="5"/>
  <c r="P4439" i="5"/>
  <c r="AA4438" i="5"/>
  <c r="P4438" i="5"/>
  <c r="Q4438" i="5" s="1"/>
  <c r="AA4437" i="5"/>
  <c r="P4437" i="5"/>
  <c r="Q4437" i="5" s="1"/>
  <c r="AA4436" i="5"/>
  <c r="P4436" i="5"/>
  <c r="Q4436" i="5" s="1"/>
  <c r="AA4435" i="5"/>
  <c r="P4435" i="5"/>
  <c r="Q4435" i="5" s="1"/>
  <c r="AA4434" i="5"/>
  <c r="Q4434" i="5"/>
  <c r="P4434" i="5"/>
  <c r="AA4433" i="5"/>
  <c r="Q4433" i="5"/>
  <c r="P4433" i="5"/>
  <c r="AA4432" i="5"/>
  <c r="P4432" i="5"/>
  <c r="Q4432" i="5" s="1"/>
  <c r="AA4431" i="5"/>
  <c r="P4431" i="5"/>
  <c r="Q4431" i="5" s="1"/>
  <c r="AA4430" i="5"/>
  <c r="P4430" i="5"/>
  <c r="Q4430" i="5" s="1"/>
  <c r="AA4429" i="5"/>
  <c r="P4429" i="5"/>
  <c r="Q4429" i="5" s="1"/>
  <c r="AA4428" i="5"/>
  <c r="P4428" i="5"/>
  <c r="Q4428" i="5" s="1"/>
  <c r="AA4427" i="5"/>
  <c r="P4427" i="5"/>
  <c r="Q4427" i="5" s="1"/>
  <c r="AA4426" i="5"/>
  <c r="P4426" i="5"/>
  <c r="Q4426" i="5" s="1"/>
  <c r="AA4425" i="5"/>
  <c r="Q4425" i="5"/>
  <c r="P4425" i="5"/>
  <c r="AA4424" i="5"/>
  <c r="P4424" i="5"/>
  <c r="Q4424" i="5" s="1"/>
  <c r="AA4423" i="5"/>
  <c r="P4423" i="5"/>
  <c r="Q4423" i="5" s="1"/>
  <c r="AA4422" i="5"/>
  <c r="P4422" i="5"/>
  <c r="Q4422" i="5" s="1"/>
  <c r="AA4421" i="5"/>
  <c r="P4421" i="5"/>
  <c r="Q4421" i="5" s="1"/>
  <c r="AA4420" i="5"/>
  <c r="P4420" i="5"/>
  <c r="Q4420" i="5" s="1"/>
  <c r="AA4419" i="5"/>
  <c r="Q4419" i="5"/>
  <c r="P4419" i="5"/>
  <c r="AA4418" i="5"/>
  <c r="P4418" i="5"/>
  <c r="Q4418" i="5" s="1"/>
  <c r="AA4417" i="5"/>
  <c r="Q4417" i="5"/>
  <c r="P4417" i="5"/>
  <c r="AA4416" i="5"/>
  <c r="P4416" i="5"/>
  <c r="Q4416" i="5" s="1"/>
  <c r="AA4415" i="5"/>
  <c r="P4415" i="5"/>
  <c r="Q4415" i="5" s="1"/>
  <c r="AA4414" i="5"/>
  <c r="P4414" i="5"/>
  <c r="Q4414" i="5" s="1"/>
  <c r="AA4413" i="5"/>
  <c r="Q4413" i="5"/>
  <c r="P4413" i="5"/>
  <c r="AA4412" i="5"/>
  <c r="Q4412" i="5"/>
  <c r="P4412" i="5"/>
  <c r="AA4411" i="5"/>
  <c r="P4411" i="5"/>
  <c r="Q4411" i="5" s="1"/>
  <c r="AA4410" i="5"/>
  <c r="P4410" i="5"/>
  <c r="Q4410" i="5" s="1"/>
  <c r="AA4409" i="5"/>
  <c r="P4409" i="5"/>
  <c r="Q4409" i="5" s="1"/>
  <c r="AA4408" i="5"/>
  <c r="P4408" i="5"/>
  <c r="Q4408" i="5" s="1"/>
  <c r="AA4407" i="5"/>
  <c r="P4407" i="5"/>
  <c r="Q4407" i="5" s="1"/>
  <c r="AA4406" i="5"/>
  <c r="P4406" i="5"/>
  <c r="Q4406" i="5" s="1"/>
  <c r="AA4405" i="5"/>
  <c r="P4405" i="5"/>
  <c r="Q4405" i="5" s="1"/>
  <c r="AA4404" i="5"/>
  <c r="P4404" i="5"/>
  <c r="Q4404" i="5" s="1"/>
  <c r="AA4403" i="5"/>
  <c r="P4403" i="5"/>
  <c r="Q4403" i="5" s="1"/>
  <c r="AA4402" i="5"/>
  <c r="Q4402" i="5"/>
  <c r="P4402" i="5"/>
  <c r="AA4401" i="5"/>
  <c r="Q4401" i="5"/>
  <c r="P4401" i="5"/>
  <c r="AA4400" i="5"/>
  <c r="P4400" i="5"/>
  <c r="Q4400" i="5" s="1"/>
  <c r="AA4399" i="5"/>
  <c r="Q4399" i="5"/>
  <c r="P4399" i="5"/>
  <c r="AA4398" i="5"/>
  <c r="P4398" i="5"/>
  <c r="Q4398" i="5" s="1"/>
  <c r="AA4397" i="5"/>
  <c r="P4397" i="5"/>
  <c r="Q4397" i="5" s="1"/>
  <c r="AA4396" i="5"/>
  <c r="Q4396" i="5"/>
  <c r="P4396" i="5"/>
  <c r="AA4395" i="5"/>
  <c r="Q4395" i="5"/>
  <c r="P4395" i="5"/>
  <c r="AA4394" i="5"/>
  <c r="P4394" i="5"/>
  <c r="Q4394" i="5" s="1"/>
  <c r="AA4393" i="5"/>
  <c r="P4393" i="5"/>
  <c r="Q4393" i="5" s="1"/>
  <c r="AA4392" i="5"/>
  <c r="P4392" i="5"/>
  <c r="Q4392" i="5" s="1"/>
  <c r="AA4391" i="5"/>
  <c r="P4391" i="5"/>
  <c r="Q4391" i="5" s="1"/>
  <c r="AA4390" i="5"/>
  <c r="P4390" i="5"/>
  <c r="Q4390" i="5" s="1"/>
  <c r="AA4389" i="5"/>
  <c r="P4389" i="5"/>
  <c r="Q4389" i="5" s="1"/>
  <c r="AA4388" i="5"/>
  <c r="P4388" i="5"/>
  <c r="Q4388" i="5" s="1"/>
  <c r="AA4387" i="5"/>
  <c r="P4387" i="5"/>
  <c r="Q4387" i="5" s="1"/>
  <c r="AA4386" i="5"/>
  <c r="P4386" i="5"/>
  <c r="Q4386" i="5" s="1"/>
  <c r="AA4385" i="5"/>
  <c r="Q4385" i="5"/>
  <c r="P4385" i="5"/>
  <c r="AA4384" i="5"/>
  <c r="P4384" i="5"/>
  <c r="Q4384" i="5" s="1"/>
  <c r="AA4383" i="5"/>
  <c r="P4383" i="5"/>
  <c r="Q4383" i="5" s="1"/>
  <c r="AA4382" i="5"/>
  <c r="P4382" i="5"/>
  <c r="Q4382" i="5" s="1"/>
  <c r="AA4381" i="5"/>
  <c r="P4381" i="5"/>
  <c r="Q4381" i="5" s="1"/>
  <c r="AA4380" i="5"/>
  <c r="P4380" i="5"/>
  <c r="Q4380" i="5" s="1"/>
  <c r="AA4379" i="5"/>
  <c r="P4379" i="5"/>
  <c r="Q4379" i="5" s="1"/>
  <c r="AA4378" i="5"/>
  <c r="P4378" i="5"/>
  <c r="Q4378" i="5" s="1"/>
  <c r="AA4377" i="5"/>
  <c r="P4377" i="5"/>
  <c r="Q4377" i="5" s="1"/>
  <c r="AA4376" i="5"/>
  <c r="P4376" i="5"/>
  <c r="Q4376" i="5" s="1"/>
  <c r="AA4375" i="5"/>
  <c r="P4375" i="5"/>
  <c r="Q4375" i="5" s="1"/>
  <c r="AA4374" i="5"/>
  <c r="P4374" i="5"/>
  <c r="Q4374" i="5" s="1"/>
  <c r="AA4373" i="5"/>
  <c r="Q4373" i="5"/>
  <c r="P4373" i="5"/>
  <c r="AA4372" i="5"/>
  <c r="P4372" i="5"/>
  <c r="Q4372" i="5" s="1"/>
  <c r="AA4371" i="5"/>
  <c r="P4371" i="5"/>
  <c r="Q4371" i="5" s="1"/>
  <c r="AA4370" i="5"/>
  <c r="P4370" i="5"/>
  <c r="Q4370" i="5" s="1"/>
  <c r="AA4369" i="5"/>
  <c r="P4369" i="5"/>
  <c r="Q4369" i="5" s="1"/>
  <c r="AA4368" i="5"/>
  <c r="P4368" i="5"/>
  <c r="Q4368" i="5" s="1"/>
  <c r="AA4367" i="5"/>
  <c r="Q4367" i="5"/>
  <c r="P4367" i="5"/>
  <c r="AA4366" i="5"/>
  <c r="Q4366" i="5"/>
  <c r="P4366" i="5"/>
  <c r="AA4365" i="5"/>
  <c r="P4365" i="5"/>
  <c r="Q4365" i="5" s="1"/>
  <c r="AA4364" i="5"/>
  <c r="P4364" i="5"/>
  <c r="Q4364" i="5" s="1"/>
  <c r="AA4363" i="5"/>
  <c r="P4363" i="5"/>
  <c r="Q4363" i="5" s="1"/>
  <c r="AA4362" i="5"/>
  <c r="Q4362" i="5"/>
  <c r="P4362" i="5"/>
  <c r="AA4361" i="5"/>
  <c r="Q4361" i="5"/>
  <c r="P4361" i="5"/>
  <c r="AA4360" i="5"/>
  <c r="P4360" i="5"/>
  <c r="Q4360" i="5" s="1"/>
  <c r="AA4359" i="5"/>
  <c r="P4359" i="5"/>
  <c r="Q4359" i="5" s="1"/>
  <c r="AA4358" i="5"/>
  <c r="P4358" i="5"/>
  <c r="Q4358" i="5" s="1"/>
  <c r="AA4357" i="5"/>
  <c r="P4357" i="5"/>
  <c r="Q4357" i="5" s="1"/>
  <c r="AA4356" i="5"/>
  <c r="P4356" i="5"/>
  <c r="Q4356" i="5" s="1"/>
  <c r="AA4355" i="5"/>
  <c r="Q4355" i="5"/>
  <c r="P4355" i="5"/>
  <c r="AA4354" i="5"/>
  <c r="Q4354" i="5"/>
  <c r="P4354" i="5"/>
  <c r="AA4353" i="5"/>
  <c r="P4353" i="5"/>
  <c r="Q4353" i="5" s="1"/>
  <c r="AA4352" i="5"/>
  <c r="P4352" i="5"/>
  <c r="Q4352" i="5" s="1"/>
  <c r="AA4351" i="5"/>
  <c r="P4351" i="5"/>
  <c r="Q4351" i="5" s="1"/>
  <c r="AA4350" i="5"/>
  <c r="Q4350" i="5"/>
  <c r="P4350" i="5"/>
  <c r="AA4349" i="5"/>
  <c r="Q4349" i="5"/>
  <c r="P4349" i="5"/>
  <c r="AA4348" i="5"/>
  <c r="P4348" i="5"/>
  <c r="Q4348" i="5" s="1"/>
  <c r="AA4347" i="5"/>
  <c r="Q4347" i="5"/>
  <c r="P4347" i="5"/>
  <c r="AA4346" i="5"/>
  <c r="Q4346" i="5"/>
  <c r="P4346" i="5"/>
  <c r="AA4345" i="5"/>
  <c r="P4345" i="5"/>
  <c r="Q4345" i="5" s="1"/>
  <c r="AA4344" i="5"/>
  <c r="Q4344" i="5"/>
  <c r="P4344" i="5"/>
  <c r="AA4343" i="5"/>
  <c r="Q4343" i="5"/>
  <c r="P4343" i="5"/>
  <c r="AA4342" i="5"/>
  <c r="P4342" i="5"/>
  <c r="Q4342" i="5" s="1"/>
  <c r="AA4341" i="5"/>
  <c r="P4341" i="5"/>
  <c r="Q4341" i="5" s="1"/>
  <c r="AA4340" i="5"/>
  <c r="P4340" i="5"/>
  <c r="Q4340" i="5" s="1"/>
  <c r="AA4339" i="5"/>
  <c r="Q4339" i="5"/>
  <c r="P4339" i="5"/>
  <c r="AA4338" i="5"/>
  <c r="P4338" i="5"/>
  <c r="Q4338" i="5" s="1"/>
  <c r="AA4337" i="5"/>
  <c r="Q4337" i="5"/>
  <c r="P4337" i="5"/>
  <c r="AA4336" i="5"/>
  <c r="P4336" i="5"/>
  <c r="Q4336" i="5" s="1"/>
  <c r="AA4335" i="5"/>
  <c r="P4335" i="5"/>
  <c r="Q4335" i="5" s="1"/>
  <c r="AA4334" i="5"/>
  <c r="Q4334" i="5"/>
  <c r="P4334" i="5"/>
  <c r="AA4333" i="5"/>
  <c r="Q4333" i="5"/>
  <c r="P4333" i="5"/>
  <c r="AA4332" i="5"/>
  <c r="P4332" i="5"/>
  <c r="Q4332" i="5" s="1"/>
  <c r="AA4331" i="5"/>
  <c r="P4331" i="5"/>
  <c r="Q4331" i="5" s="1"/>
  <c r="AA4330" i="5"/>
  <c r="P4330" i="5"/>
  <c r="Q4330" i="5" s="1"/>
  <c r="AA4329" i="5"/>
  <c r="Q4329" i="5"/>
  <c r="P4329" i="5"/>
  <c r="AA4328" i="5"/>
  <c r="Q4328" i="5"/>
  <c r="P4328" i="5"/>
  <c r="AA4327" i="5"/>
  <c r="P4327" i="5"/>
  <c r="Q4327" i="5" s="1"/>
  <c r="AA4326" i="5"/>
  <c r="P4326" i="5"/>
  <c r="Q4326" i="5" s="1"/>
  <c r="AA4325" i="5"/>
  <c r="P4325" i="5"/>
  <c r="Q4325" i="5" s="1"/>
  <c r="AA4324" i="5"/>
  <c r="P4324" i="5"/>
  <c r="Q4324" i="5" s="1"/>
  <c r="AA4323" i="5"/>
  <c r="Q4323" i="5"/>
  <c r="P4323" i="5"/>
  <c r="AA4322" i="5"/>
  <c r="Q4322" i="5"/>
  <c r="P4322" i="5"/>
  <c r="AA4321" i="5"/>
  <c r="P4321" i="5"/>
  <c r="Q4321" i="5" s="1"/>
  <c r="AA4320" i="5"/>
  <c r="P4320" i="5"/>
  <c r="Q4320" i="5" s="1"/>
  <c r="AA4319" i="5"/>
  <c r="P4319" i="5"/>
  <c r="Q4319" i="5" s="1"/>
  <c r="AA4318" i="5"/>
  <c r="P4318" i="5"/>
  <c r="Q4318" i="5" s="1"/>
  <c r="AA4317" i="5"/>
  <c r="Q4317" i="5"/>
  <c r="P4317" i="5"/>
  <c r="AA4316" i="5"/>
  <c r="Q4316" i="5"/>
  <c r="P4316" i="5"/>
  <c r="AA4315" i="5"/>
  <c r="P4315" i="5"/>
  <c r="Q4315" i="5" s="1"/>
  <c r="AA4314" i="5"/>
  <c r="Q4314" i="5"/>
  <c r="P4314" i="5"/>
  <c r="AA4313" i="5"/>
  <c r="P4313" i="5"/>
  <c r="Q4313" i="5" s="1"/>
  <c r="AA4312" i="5"/>
  <c r="P4312" i="5"/>
  <c r="Q4312" i="5" s="1"/>
  <c r="AA4311" i="5"/>
  <c r="P4311" i="5"/>
  <c r="Q4311" i="5" s="1"/>
  <c r="AA4310" i="5"/>
  <c r="P4310" i="5"/>
  <c r="Q4310" i="5" s="1"/>
  <c r="AA4309" i="5"/>
  <c r="Q4309" i="5"/>
  <c r="P4309" i="5"/>
  <c r="AA4308" i="5"/>
  <c r="P4308" i="5"/>
  <c r="Q4308" i="5" s="1"/>
  <c r="AA4307" i="5"/>
  <c r="P4307" i="5"/>
  <c r="Q4307" i="5" s="1"/>
  <c r="AA4306" i="5"/>
  <c r="P4306" i="5"/>
  <c r="Q4306" i="5" s="1"/>
  <c r="AA4305" i="5"/>
  <c r="P4305" i="5"/>
  <c r="Q4305" i="5" s="1"/>
  <c r="AA4304" i="5"/>
  <c r="P4304" i="5"/>
  <c r="Q4304" i="5" s="1"/>
  <c r="AA4303" i="5"/>
  <c r="Q4303" i="5"/>
  <c r="P4303" i="5"/>
  <c r="AA4302" i="5"/>
  <c r="P4302" i="5"/>
  <c r="Q4302" i="5" s="1"/>
  <c r="AA4301" i="5"/>
  <c r="P4301" i="5"/>
  <c r="Q4301" i="5" s="1"/>
  <c r="AA4300" i="5"/>
  <c r="P4300" i="5"/>
  <c r="Q4300" i="5" s="1"/>
  <c r="AA4299" i="5"/>
  <c r="P4299" i="5"/>
  <c r="Q4299" i="5" s="1"/>
  <c r="AA4298" i="5"/>
  <c r="P4298" i="5"/>
  <c r="Q4298" i="5" s="1"/>
  <c r="AA4297" i="5"/>
  <c r="P4297" i="5"/>
  <c r="Q4297" i="5" s="1"/>
  <c r="AA4296" i="5"/>
  <c r="P4296" i="5"/>
  <c r="Q4296" i="5" s="1"/>
  <c r="AA4295" i="5"/>
  <c r="Q4295" i="5"/>
  <c r="P4295" i="5"/>
  <c r="AA4294" i="5"/>
  <c r="P4294" i="5"/>
  <c r="Q4294" i="5" s="1"/>
  <c r="AA4293" i="5"/>
  <c r="P4293" i="5"/>
  <c r="Q4293" i="5" s="1"/>
  <c r="AA4292" i="5"/>
  <c r="P4292" i="5"/>
  <c r="Q4292" i="5" s="1"/>
  <c r="AA4291" i="5"/>
  <c r="Q4291" i="5"/>
  <c r="P4291" i="5"/>
  <c r="AA4290" i="5"/>
  <c r="P4290" i="5"/>
  <c r="Q4290" i="5" s="1"/>
  <c r="AA4289" i="5"/>
  <c r="Q4289" i="5"/>
  <c r="P4289" i="5"/>
  <c r="AA4288" i="5"/>
  <c r="P4288" i="5"/>
  <c r="Q4288" i="5" s="1"/>
  <c r="AA4287" i="5"/>
  <c r="Q4287" i="5"/>
  <c r="P4287" i="5"/>
  <c r="AA4286" i="5"/>
  <c r="P4286" i="5"/>
  <c r="Q4286" i="5" s="1"/>
  <c r="AA4285" i="5"/>
  <c r="Q4285" i="5"/>
  <c r="P4285" i="5"/>
  <c r="AA4284" i="5"/>
  <c r="Q4284" i="5"/>
  <c r="P4284" i="5"/>
  <c r="AA4283" i="5"/>
  <c r="P4283" i="5"/>
  <c r="Q4283" i="5" s="1"/>
  <c r="AA4282" i="5"/>
  <c r="P4282" i="5"/>
  <c r="Q4282" i="5" s="1"/>
  <c r="AA4281" i="5"/>
  <c r="P4281" i="5"/>
  <c r="Q4281" i="5" s="1"/>
  <c r="AA4280" i="5"/>
  <c r="P4280" i="5"/>
  <c r="Q4280" i="5" s="1"/>
  <c r="AA4279" i="5"/>
  <c r="P4279" i="5"/>
  <c r="Q4279" i="5" s="1"/>
  <c r="AA4278" i="5"/>
  <c r="P4278" i="5"/>
  <c r="Q4278" i="5" s="1"/>
  <c r="AA4277" i="5"/>
  <c r="Q4277" i="5"/>
  <c r="P4277" i="5"/>
  <c r="AA4276" i="5"/>
  <c r="P4276" i="5"/>
  <c r="Q4276" i="5" s="1"/>
  <c r="AA4275" i="5"/>
  <c r="Q4275" i="5"/>
  <c r="P4275" i="5"/>
  <c r="AA4274" i="5"/>
  <c r="P4274" i="5"/>
  <c r="Q4274" i="5" s="1"/>
  <c r="AA4273" i="5"/>
  <c r="P4273" i="5"/>
  <c r="Q4273" i="5" s="1"/>
  <c r="AA4272" i="5"/>
  <c r="P4272" i="5"/>
  <c r="Q4272" i="5" s="1"/>
  <c r="AA4271" i="5"/>
  <c r="P4271" i="5"/>
  <c r="Q4271" i="5" s="1"/>
  <c r="AA4270" i="5"/>
  <c r="P4270" i="5"/>
  <c r="Q4270" i="5" s="1"/>
  <c r="AA4269" i="5"/>
  <c r="P4269" i="5"/>
  <c r="Q4269" i="5" s="1"/>
  <c r="AA4268" i="5"/>
  <c r="P4268" i="5"/>
  <c r="Q4268" i="5" s="1"/>
  <c r="AA4267" i="5"/>
  <c r="P4267" i="5"/>
  <c r="Q4267" i="5" s="1"/>
  <c r="AA4266" i="5"/>
  <c r="P4266" i="5"/>
  <c r="Q4266" i="5" s="1"/>
  <c r="AA4265" i="5"/>
  <c r="Q4265" i="5"/>
  <c r="P4265" i="5"/>
  <c r="AA4264" i="5"/>
  <c r="P4264" i="5"/>
  <c r="Q4264" i="5" s="1"/>
  <c r="AA4263" i="5"/>
  <c r="Q4263" i="5"/>
  <c r="P4263" i="5"/>
  <c r="AA4262" i="5"/>
  <c r="P4262" i="5"/>
  <c r="Q4262" i="5" s="1"/>
  <c r="AA4261" i="5"/>
  <c r="P4261" i="5"/>
  <c r="Q4261" i="5" s="1"/>
  <c r="AA4260" i="5"/>
  <c r="P4260" i="5"/>
  <c r="Q4260" i="5" s="1"/>
  <c r="AA4259" i="5"/>
  <c r="Q4259" i="5"/>
  <c r="P4259" i="5"/>
  <c r="AA4258" i="5"/>
  <c r="P4258" i="5"/>
  <c r="Q4258" i="5" s="1"/>
  <c r="AA4257" i="5"/>
  <c r="Q4257" i="5"/>
  <c r="P4257" i="5"/>
  <c r="AA4256" i="5"/>
  <c r="P4256" i="5"/>
  <c r="Q4256" i="5" s="1"/>
  <c r="AA4255" i="5"/>
  <c r="P4255" i="5"/>
  <c r="Q4255" i="5" s="1"/>
  <c r="AA4254" i="5"/>
  <c r="P4254" i="5"/>
  <c r="Q4254" i="5" s="1"/>
  <c r="AA4253" i="5"/>
  <c r="P4253" i="5"/>
  <c r="Q4253" i="5" s="1"/>
  <c r="AA4252" i="5"/>
  <c r="P4252" i="5"/>
  <c r="Q4252" i="5" s="1"/>
  <c r="AA4251" i="5"/>
  <c r="Q4251" i="5"/>
  <c r="P4251" i="5"/>
  <c r="AA4250" i="5"/>
  <c r="Q4250" i="5"/>
  <c r="P4250" i="5"/>
  <c r="AA4249" i="5"/>
  <c r="P4249" i="5"/>
  <c r="Q4249" i="5" s="1"/>
  <c r="AA4248" i="5"/>
  <c r="P4248" i="5"/>
  <c r="Q4248" i="5" s="1"/>
  <c r="AA4247" i="5"/>
  <c r="P4247" i="5"/>
  <c r="Q4247" i="5" s="1"/>
  <c r="AA4246" i="5"/>
  <c r="P4246" i="5"/>
  <c r="Q4246" i="5" s="1"/>
  <c r="AA4245" i="5"/>
  <c r="P4245" i="5"/>
  <c r="Q4245" i="5" s="1"/>
  <c r="AA4244" i="5"/>
  <c r="P4244" i="5"/>
  <c r="Q4244" i="5" s="1"/>
  <c r="AA4243" i="5"/>
  <c r="P4243" i="5"/>
  <c r="Q4243" i="5" s="1"/>
  <c r="AA4242" i="5"/>
  <c r="P4242" i="5"/>
  <c r="Q4242" i="5" s="1"/>
  <c r="AA4241" i="5"/>
  <c r="P4241" i="5"/>
  <c r="Q4241" i="5" s="1"/>
  <c r="AA4240" i="5"/>
  <c r="P4240" i="5"/>
  <c r="Q4240" i="5" s="1"/>
  <c r="AA4239" i="5"/>
  <c r="P4239" i="5"/>
  <c r="Q4239" i="5" s="1"/>
  <c r="AA4238" i="5"/>
  <c r="P4238" i="5"/>
  <c r="Q4238" i="5" s="1"/>
  <c r="AA4237" i="5"/>
  <c r="P4237" i="5"/>
  <c r="Q4237" i="5" s="1"/>
  <c r="AA4236" i="5"/>
  <c r="Q4236" i="5"/>
  <c r="P4236" i="5"/>
  <c r="AA4235" i="5"/>
  <c r="Q4235" i="5"/>
  <c r="P4235" i="5"/>
  <c r="AA4234" i="5"/>
  <c r="Q4234" i="5"/>
  <c r="P4234" i="5"/>
  <c r="AA4233" i="5"/>
  <c r="P4233" i="5"/>
  <c r="Q4233" i="5" s="1"/>
  <c r="AA4232" i="5"/>
  <c r="P4232" i="5"/>
  <c r="Q4232" i="5" s="1"/>
  <c r="AA4231" i="5"/>
  <c r="P4231" i="5"/>
  <c r="Q4231" i="5" s="1"/>
  <c r="AA4230" i="5"/>
  <c r="P4230" i="5"/>
  <c r="Q4230" i="5" s="1"/>
  <c r="AA4229" i="5"/>
  <c r="P4229" i="5"/>
  <c r="Q4229" i="5" s="1"/>
  <c r="AA4228" i="5"/>
  <c r="P4228" i="5"/>
  <c r="Q4228" i="5" s="1"/>
  <c r="AA4227" i="5"/>
  <c r="P4227" i="5"/>
  <c r="Q4227" i="5" s="1"/>
  <c r="AA4226" i="5"/>
  <c r="P4226" i="5"/>
  <c r="Q4226" i="5" s="1"/>
  <c r="AA4225" i="5"/>
  <c r="P4225" i="5"/>
  <c r="Q4225" i="5" s="1"/>
  <c r="AA4224" i="5"/>
  <c r="P4224" i="5"/>
  <c r="Q4224" i="5" s="1"/>
  <c r="AA4223" i="5"/>
  <c r="Q4223" i="5"/>
  <c r="P4223" i="5"/>
  <c r="AA4222" i="5"/>
  <c r="P4222" i="5"/>
  <c r="Q4222" i="5" s="1"/>
  <c r="AA4221" i="5"/>
  <c r="P4221" i="5"/>
  <c r="Q4221" i="5" s="1"/>
  <c r="AA4220" i="5"/>
  <c r="P4220" i="5"/>
  <c r="Q4220" i="5" s="1"/>
  <c r="AA4219" i="5"/>
  <c r="Q4219" i="5"/>
  <c r="P4219" i="5"/>
  <c r="AA4218" i="5"/>
  <c r="Q4218" i="5"/>
  <c r="P4218" i="5"/>
  <c r="AA4217" i="5"/>
  <c r="Q4217" i="5"/>
  <c r="P4217" i="5"/>
  <c r="AA4216" i="5"/>
  <c r="P4216" i="5"/>
  <c r="Q4216" i="5" s="1"/>
  <c r="AA4215" i="5"/>
  <c r="Q4215" i="5"/>
  <c r="P4215" i="5"/>
  <c r="AA4214" i="5"/>
  <c r="P4214" i="5"/>
  <c r="Q4214" i="5" s="1"/>
  <c r="AA4213" i="5"/>
  <c r="Q4213" i="5"/>
  <c r="P4213" i="5"/>
  <c r="AA4212" i="5"/>
  <c r="P4212" i="5"/>
  <c r="Q4212" i="5" s="1"/>
  <c r="AA4211" i="5"/>
  <c r="Q4211" i="5"/>
  <c r="P4211" i="5"/>
  <c r="AA4210" i="5"/>
  <c r="P4210" i="5"/>
  <c r="Q4210" i="5" s="1"/>
  <c r="AA4209" i="5"/>
  <c r="P4209" i="5"/>
  <c r="Q4209" i="5" s="1"/>
  <c r="AA4208" i="5"/>
  <c r="P4208" i="5"/>
  <c r="Q4208" i="5" s="1"/>
  <c r="AA4207" i="5"/>
  <c r="Q4207" i="5"/>
  <c r="P4207" i="5"/>
  <c r="AA4206" i="5"/>
  <c r="P4206" i="5"/>
  <c r="Q4206" i="5" s="1"/>
  <c r="AA4205" i="5"/>
  <c r="Q4205" i="5"/>
  <c r="P4205" i="5"/>
  <c r="AA4204" i="5"/>
  <c r="Q4204" i="5"/>
  <c r="P4204" i="5"/>
  <c r="AA4203" i="5"/>
  <c r="Q4203" i="5"/>
  <c r="P4203" i="5"/>
  <c r="AA4202" i="5"/>
  <c r="Q4202" i="5"/>
  <c r="P4202" i="5"/>
  <c r="AA4201" i="5"/>
  <c r="P4201" i="5"/>
  <c r="Q4201" i="5" s="1"/>
  <c r="AA4200" i="5"/>
  <c r="P4200" i="5"/>
  <c r="Q4200" i="5" s="1"/>
  <c r="AA4199" i="5"/>
  <c r="P4199" i="5"/>
  <c r="Q4199" i="5" s="1"/>
  <c r="AA4198" i="5"/>
  <c r="P4198" i="5"/>
  <c r="Q4198" i="5" s="1"/>
  <c r="AA4197" i="5"/>
  <c r="P4197" i="5"/>
  <c r="Q4197" i="5" s="1"/>
  <c r="AA4196" i="5"/>
  <c r="P4196" i="5"/>
  <c r="Q4196" i="5" s="1"/>
  <c r="AA4195" i="5"/>
  <c r="P4195" i="5"/>
  <c r="Q4195" i="5" s="1"/>
  <c r="AA4194" i="5"/>
  <c r="P4194" i="5"/>
  <c r="Q4194" i="5" s="1"/>
  <c r="AA4193" i="5"/>
  <c r="P4193" i="5"/>
  <c r="Q4193" i="5" s="1"/>
  <c r="AA4192" i="5"/>
  <c r="P4192" i="5"/>
  <c r="Q4192" i="5" s="1"/>
  <c r="AA4191" i="5"/>
  <c r="Q4191" i="5"/>
  <c r="P4191" i="5"/>
  <c r="AA4190" i="5"/>
  <c r="Q4190" i="5"/>
  <c r="P4190" i="5"/>
  <c r="AA4189" i="5"/>
  <c r="P4189" i="5"/>
  <c r="Q4189" i="5" s="1"/>
  <c r="AA4188" i="5"/>
  <c r="Q4188" i="5"/>
  <c r="P4188" i="5"/>
  <c r="AA4187" i="5"/>
  <c r="P4187" i="5"/>
  <c r="Q4187" i="5" s="1"/>
  <c r="AA4186" i="5"/>
  <c r="P4186" i="5"/>
  <c r="Q4186" i="5" s="1"/>
  <c r="AA4185" i="5"/>
  <c r="P4185" i="5"/>
  <c r="Q4185" i="5" s="1"/>
  <c r="AA4184" i="5"/>
  <c r="Q4184" i="5"/>
  <c r="P4184" i="5"/>
  <c r="AA4183" i="5"/>
  <c r="P4183" i="5"/>
  <c r="Q4183" i="5" s="1"/>
  <c r="AA4182" i="5"/>
  <c r="P4182" i="5"/>
  <c r="Q4182" i="5" s="1"/>
  <c r="AA4181" i="5"/>
  <c r="P4181" i="5"/>
  <c r="Q4181" i="5" s="1"/>
  <c r="AA4180" i="5"/>
  <c r="P4180" i="5"/>
  <c r="Q4180" i="5" s="1"/>
  <c r="AA4179" i="5"/>
  <c r="P4179" i="5"/>
  <c r="Q4179" i="5" s="1"/>
  <c r="AA4178" i="5"/>
  <c r="P4178" i="5"/>
  <c r="Q4178" i="5" s="1"/>
  <c r="AA4177" i="5"/>
  <c r="P4177" i="5"/>
  <c r="Q4177" i="5" s="1"/>
  <c r="AA4176" i="5"/>
  <c r="P4176" i="5"/>
  <c r="Q4176" i="5" s="1"/>
  <c r="AA4175" i="5"/>
  <c r="Q4175" i="5"/>
  <c r="P4175" i="5"/>
  <c r="AA4174" i="5"/>
  <c r="P4174" i="5"/>
  <c r="Q4174" i="5" s="1"/>
  <c r="AA4173" i="5"/>
  <c r="P4173" i="5"/>
  <c r="Q4173" i="5" s="1"/>
  <c r="AA4172" i="5"/>
  <c r="P4172" i="5"/>
  <c r="Q4172" i="5" s="1"/>
  <c r="AA4171" i="5"/>
  <c r="P4171" i="5"/>
  <c r="Q4171" i="5" s="1"/>
  <c r="AA4170" i="5"/>
  <c r="P4170" i="5"/>
  <c r="Q4170" i="5" s="1"/>
  <c r="AA4169" i="5"/>
  <c r="P4169" i="5"/>
  <c r="Q4169" i="5" s="1"/>
  <c r="AA4168" i="5"/>
  <c r="Q4168" i="5"/>
  <c r="P4168" i="5"/>
  <c r="AA4167" i="5"/>
  <c r="P4167" i="5"/>
  <c r="Q4167" i="5" s="1"/>
  <c r="AA4166" i="5"/>
  <c r="P4166" i="5"/>
  <c r="Q4166" i="5" s="1"/>
  <c r="AA4165" i="5"/>
  <c r="P4165" i="5"/>
  <c r="Q4165" i="5" s="1"/>
  <c r="AA4164" i="5"/>
  <c r="P4164" i="5"/>
  <c r="Q4164" i="5" s="1"/>
  <c r="AA4163" i="5"/>
  <c r="P4163" i="5"/>
  <c r="Q4163" i="5" s="1"/>
  <c r="AA4162" i="5"/>
  <c r="P4162" i="5"/>
  <c r="Q4162" i="5" s="1"/>
  <c r="AA4161" i="5"/>
  <c r="P4161" i="5"/>
  <c r="Q4161" i="5" s="1"/>
  <c r="AA4160" i="5"/>
  <c r="P4160" i="5"/>
  <c r="Q4160" i="5" s="1"/>
  <c r="AA4159" i="5"/>
  <c r="Q4159" i="5"/>
  <c r="P4159" i="5"/>
  <c r="AA4158" i="5"/>
  <c r="Q4158" i="5"/>
  <c r="P4158" i="5"/>
  <c r="AA4157" i="5"/>
  <c r="P4157" i="5"/>
  <c r="Q4157" i="5" s="1"/>
  <c r="AA4156" i="5"/>
  <c r="Q4156" i="5"/>
  <c r="P4156" i="5"/>
  <c r="AA4155" i="5"/>
  <c r="P4155" i="5"/>
  <c r="Q4155" i="5" s="1"/>
  <c r="AA4154" i="5"/>
  <c r="P4154" i="5"/>
  <c r="Q4154" i="5" s="1"/>
  <c r="AA4153" i="5"/>
  <c r="Q4153" i="5"/>
  <c r="P4153" i="5"/>
  <c r="AA4152" i="5"/>
  <c r="P4152" i="5"/>
  <c r="Q4152" i="5" s="1"/>
  <c r="AA4151" i="5"/>
  <c r="P4151" i="5"/>
  <c r="Q4151" i="5" s="1"/>
  <c r="AA4150" i="5"/>
  <c r="P4150" i="5"/>
  <c r="Q4150" i="5" s="1"/>
  <c r="AA4149" i="5"/>
  <c r="P4149" i="5"/>
  <c r="Q4149" i="5" s="1"/>
  <c r="AA4148" i="5"/>
  <c r="P4148" i="5"/>
  <c r="Q4148" i="5" s="1"/>
  <c r="AA4147" i="5"/>
  <c r="P4147" i="5"/>
  <c r="Q4147" i="5" s="1"/>
  <c r="AA4146" i="5"/>
  <c r="P4146" i="5"/>
  <c r="Q4146" i="5" s="1"/>
  <c r="AA4145" i="5"/>
  <c r="P4145" i="5"/>
  <c r="Q4145" i="5" s="1"/>
  <c r="AA4144" i="5"/>
  <c r="P4144" i="5"/>
  <c r="Q4144" i="5" s="1"/>
  <c r="AA4143" i="5"/>
  <c r="P4143" i="5"/>
  <c r="Q4143" i="5" s="1"/>
  <c r="AA4142" i="5"/>
  <c r="Q4142" i="5"/>
  <c r="P4142" i="5"/>
  <c r="AA4141" i="5"/>
  <c r="Q4141" i="5"/>
  <c r="P4141" i="5"/>
  <c r="AA4140" i="5"/>
  <c r="Q4140" i="5"/>
  <c r="P4140" i="5"/>
  <c r="AA4139" i="5"/>
  <c r="Q4139" i="5"/>
  <c r="P4139" i="5"/>
  <c r="AA4138" i="5"/>
  <c r="P4138" i="5"/>
  <c r="Q4138" i="5" s="1"/>
  <c r="AA4137" i="5"/>
  <c r="P4137" i="5"/>
  <c r="Q4137" i="5" s="1"/>
  <c r="AA4136" i="5"/>
  <c r="P4136" i="5"/>
  <c r="Q4136" i="5" s="1"/>
  <c r="AA4135" i="5"/>
  <c r="Q4135" i="5"/>
  <c r="P4135" i="5"/>
  <c r="AA4134" i="5"/>
  <c r="P4134" i="5"/>
  <c r="Q4134" i="5" s="1"/>
  <c r="AA4133" i="5"/>
  <c r="P4133" i="5"/>
  <c r="Q4133" i="5" s="1"/>
  <c r="AA4132" i="5"/>
  <c r="P4132" i="5"/>
  <c r="Q4132" i="5" s="1"/>
  <c r="AA4131" i="5"/>
  <c r="P4131" i="5"/>
  <c r="Q4131" i="5" s="1"/>
  <c r="AA4130" i="5"/>
  <c r="P4130" i="5"/>
  <c r="Q4130" i="5" s="1"/>
  <c r="AA4129" i="5"/>
  <c r="P4129" i="5"/>
  <c r="Q4129" i="5" s="1"/>
  <c r="AA4128" i="5"/>
  <c r="P4128" i="5"/>
  <c r="Q4128" i="5" s="1"/>
  <c r="AA4127" i="5"/>
  <c r="P4127" i="5"/>
  <c r="Q4127" i="5" s="1"/>
  <c r="AA4126" i="5"/>
  <c r="P4126" i="5"/>
  <c r="Q4126" i="5" s="1"/>
  <c r="AA4125" i="5"/>
  <c r="P4125" i="5"/>
  <c r="Q4125" i="5" s="1"/>
  <c r="AA4124" i="5"/>
  <c r="Q4124" i="5"/>
  <c r="P4124" i="5"/>
  <c r="AA4123" i="5"/>
  <c r="Q4123" i="5"/>
  <c r="P4123" i="5"/>
  <c r="AA4122" i="5"/>
  <c r="P4122" i="5"/>
  <c r="Q4122" i="5" s="1"/>
  <c r="AA4121" i="5"/>
  <c r="P4121" i="5"/>
  <c r="Q4121" i="5" s="1"/>
  <c r="AA4120" i="5"/>
  <c r="P4120" i="5"/>
  <c r="Q4120" i="5" s="1"/>
  <c r="AA4119" i="5"/>
  <c r="Q4119" i="5"/>
  <c r="P4119" i="5"/>
  <c r="AA4118" i="5"/>
  <c r="P4118" i="5"/>
  <c r="Q4118" i="5" s="1"/>
  <c r="AA4117" i="5"/>
  <c r="P4117" i="5"/>
  <c r="Q4117" i="5" s="1"/>
  <c r="AA4116" i="5"/>
  <c r="P4116" i="5"/>
  <c r="Q4116" i="5" s="1"/>
  <c r="AA4115" i="5"/>
  <c r="P4115" i="5"/>
  <c r="Q4115" i="5" s="1"/>
  <c r="AA4114" i="5"/>
  <c r="Q4114" i="5"/>
  <c r="P4114" i="5"/>
  <c r="AA4113" i="5"/>
  <c r="P4113" i="5"/>
  <c r="Q4113" i="5" s="1"/>
  <c r="AA4112" i="5"/>
  <c r="P4112" i="5"/>
  <c r="Q4112" i="5" s="1"/>
  <c r="AA4111" i="5"/>
  <c r="Q4111" i="5"/>
  <c r="P4111" i="5"/>
  <c r="AA4110" i="5"/>
  <c r="P4110" i="5"/>
  <c r="Q4110" i="5" s="1"/>
  <c r="AA4109" i="5"/>
  <c r="P4109" i="5"/>
  <c r="Q4109" i="5" s="1"/>
  <c r="AA4108" i="5"/>
  <c r="P4108" i="5"/>
  <c r="Q4108" i="5" s="1"/>
  <c r="AA4107" i="5"/>
  <c r="P4107" i="5"/>
  <c r="Q4107" i="5" s="1"/>
  <c r="AA4106" i="5"/>
  <c r="P4106" i="5"/>
  <c r="Q4106" i="5" s="1"/>
  <c r="AA4105" i="5"/>
  <c r="P4105" i="5"/>
  <c r="Q4105" i="5" s="1"/>
  <c r="AA4104" i="5"/>
  <c r="P4104" i="5"/>
  <c r="Q4104" i="5" s="1"/>
  <c r="AA4103" i="5"/>
  <c r="Q4103" i="5"/>
  <c r="P4103" i="5"/>
  <c r="AA4102" i="5"/>
  <c r="P4102" i="5"/>
  <c r="Q4102" i="5" s="1"/>
  <c r="AA4101" i="5"/>
  <c r="P4101" i="5"/>
  <c r="Q4101" i="5" s="1"/>
  <c r="AA4100" i="5"/>
  <c r="P4100" i="5"/>
  <c r="Q4100" i="5" s="1"/>
  <c r="AA4099" i="5"/>
  <c r="P4099" i="5"/>
  <c r="Q4099" i="5" s="1"/>
  <c r="AA4098" i="5"/>
  <c r="Q4098" i="5"/>
  <c r="P4098" i="5"/>
  <c r="AA4097" i="5"/>
  <c r="P4097" i="5"/>
  <c r="Q4097" i="5" s="1"/>
  <c r="AA4096" i="5"/>
  <c r="P4096" i="5"/>
  <c r="Q4096" i="5" s="1"/>
  <c r="AA4095" i="5"/>
  <c r="Q4095" i="5"/>
  <c r="P4095" i="5"/>
  <c r="AA4094" i="5"/>
  <c r="P4094" i="5"/>
  <c r="Q4094" i="5" s="1"/>
  <c r="AA4093" i="5"/>
  <c r="P4093" i="5"/>
  <c r="Q4093" i="5" s="1"/>
  <c r="AA4092" i="5"/>
  <c r="P4092" i="5"/>
  <c r="Q4092" i="5" s="1"/>
  <c r="AA4091" i="5"/>
  <c r="Q4091" i="5"/>
  <c r="P4091" i="5"/>
  <c r="AA4090" i="5"/>
  <c r="P4090" i="5"/>
  <c r="Q4090" i="5" s="1"/>
  <c r="AA4089" i="5"/>
  <c r="Q4089" i="5"/>
  <c r="P4089" i="5"/>
  <c r="AA4088" i="5"/>
  <c r="P4088" i="5"/>
  <c r="Q4088" i="5" s="1"/>
  <c r="AA4087" i="5"/>
  <c r="P4087" i="5"/>
  <c r="Q4087" i="5" s="1"/>
  <c r="AA4086" i="5"/>
  <c r="P4086" i="5"/>
  <c r="Q4086" i="5" s="1"/>
  <c r="AA4085" i="5"/>
  <c r="Q4085" i="5"/>
  <c r="P4085" i="5"/>
  <c r="AA4084" i="5"/>
  <c r="P4084" i="5"/>
  <c r="Q4084" i="5" s="1"/>
  <c r="AA4083" i="5"/>
  <c r="Q4083" i="5"/>
  <c r="P4083" i="5"/>
  <c r="AA4082" i="5"/>
  <c r="P4082" i="5"/>
  <c r="Q4082" i="5" s="1"/>
  <c r="AA4081" i="5"/>
  <c r="P4081" i="5"/>
  <c r="Q4081" i="5" s="1"/>
  <c r="AA4080" i="5"/>
  <c r="P4080" i="5"/>
  <c r="Q4080" i="5" s="1"/>
  <c r="AA4079" i="5"/>
  <c r="Q4079" i="5"/>
  <c r="P4079" i="5"/>
  <c r="AA4078" i="5"/>
  <c r="P4078" i="5"/>
  <c r="Q4078" i="5" s="1"/>
  <c r="AA4077" i="5"/>
  <c r="P4077" i="5"/>
  <c r="Q4077" i="5" s="1"/>
  <c r="AA4076" i="5"/>
  <c r="P4076" i="5"/>
  <c r="Q4076" i="5" s="1"/>
  <c r="AA4075" i="5"/>
  <c r="P4075" i="5"/>
  <c r="Q4075" i="5" s="1"/>
  <c r="AA4074" i="5"/>
  <c r="Q4074" i="5"/>
  <c r="P4074" i="5"/>
  <c r="AA4073" i="5"/>
  <c r="P4073" i="5"/>
  <c r="Q4073" i="5" s="1"/>
  <c r="AA4072" i="5"/>
  <c r="P4072" i="5"/>
  <c r="Q4072" i="5" s="1"/>
  <c r="AA4071" i="5"/>
  <c r="Q4071" i="5"/>
  <c r="P4071" i="5"/>
  <c r="AA4070" i="5"/>
  <c r="P4070" i="5"/>
  <c r="Q4070" i="5" s="1"/>
  <c r="AA4069" i="5"/>
  <c r="P4069" i="5"/>
  <c r="Q4069" i="5" s="1"/>
  <c r="AA4068" i="5"/>
  <c r="Q4068" i="5"/>
  <c r="P4068" i="5"/>
  <c r="AA4067" i="5"/>
  <c r="P4067" i="5"/>
  <c r="Q4067" i="5" s="1"/>
  <c r="AA4066" i="5"/>
  <c r="P4066" i="5"/>
  <c r="Q4066" i="5" s="1"/>
  <c r="AA4065" i="5"/>
  <c r="P4065" i="5"/>
  <c r="Q4065" i="5" s="1"/>
  <c r="AA4064" i="5"/>
  <c r="P4064" i="5"/>
  <c r="Q4064" i="5" s="1"/>
  <c r="AA4063" i="5"/>
  <c r="Q4063" i="5"/>
  <c r="P4063" i="5"/>
  <c r="AA4062" i="5"/>
  <c r="Q4062" i="5"/>
  <c r="P4062" i="5"/>
  <c r="AA4061" i="5"/>
  <c r="P4061" i="5"/>
  <c r="Q4061" i="5" s="1"/>
  <c r="AA4060" i="5"/>
  <c r="Q4060" i="5"/>
  <c r="P4060" i="5"/>
  <c r="AA4059" i="5"/>
  <c r="P4059" i="5"/>
  <c r="Q4059" i="5" s="1"/>
  <c r="AA4058" i="5"/>
  <c r="P4058" i="5"/>
  <c r="Q4058" i="5" s="1"/>
  <c r="AA4057" i="5"/>
  <c r="P4057" i="5"/>
  <c r="Q4057" i="5" s="1"/>
  <c r="AA4056" i="5"/>
  <c r="P4056" i="5"/>
  <c r="Q4056" i="5" s="1"/>
  <c r="AA4055" i="5"/>
  <c r="P4055" i="5"/>
  <c r="Q4055" i="5" s="1"/>
  <c r="AA4054" i="5"/>
  <c r="P4054" i="5"/>
  <c r="Q4054" i="5" s="1"/>
  <c r="AA4053" i="5"/>
  <c r="P4053" i="5"/>
  <c r="Q4053" i="5" s="1"/>
  <c r="AA4052" i="5"/>
  <c r="P4052" i="5"/>
  <c r="Q4052" i="5" s="1"/>
  <c r="AA4051" i="5"/>
  <c r="P4051" i="5"/>
  <c r="Q4051" i="5" s="1"/>
  <c r="AA4050" i="5"/>
  <c r="Q4050" i="5"/>
  <c r="P4050" i="5"/>
  <c r="AA4049" i="5"/>
  <c r="P4049" i="5"/>
  <c r="Q4049" i="5" s="1"/>
  <c r="AA4048" i="5"/>
  <c r="P4048" i="5"/>
  <c r="Q4048" i="5" s="1"/>
  <c r="AA4047" i="5"/>
  <c r="P4047" i="5"/>
  <c r="Q4047" i="5" s="1"/>
  <c r="AA4046" i="5"/>
  <c r="P4046" i="5"/>
  <c r="Q4046" i="5" s="1"/>
  <c r="AA4045" i="5"/>
  <c r="Q4045" i="5"/>
  <c r="P4045" i="5"/>
  <c r="AA4044" i="5"/>
  <c r="Q4044" i="5"/>
  <c r="P4044" i="5"/>
  <c r="AA4043" i="5"/>
  <c r="P4043" i="5"/>
  <c r="Q4043" i="5" s="1"/>
  <c r="AA4042" i="5"/>
  <c r="P4042" i="5"/>
  <c r="Q4042" i="5" s="1"/>
  <c r="AA4041" i="5"/>
  <c r="P4041" i="5"/>
  <c r="Q4041" i="5" s="1"/>
  <c r="AA4040" i="5"/>
  <c r="Q4040" i="5"/>
  <c r="P4040" i="5"/>
  <c r="AA4039" i="5"/>
  <c r="P4039" i="5"/>
  <c r="Q4039" i="5" s="1"/>
  <c r="AA4038" i="5"/>
  <c r="P4038" i="5"/>
  <c r="Q4038" i="5" s="1"/>
  <c r="AA4037" i="5"/>
  <c r="P4037" i="5"/>
  <c r="Q4037" i="5" s="1"/>
  <c r="AA4036" i="5"/>
  <c r="P4036" i="5"/>
  <c r="Q4036" i="5" s="1"/>
  <c r="AA4035" i="5"/>
  <c r="P4035" i="5"/>
  <c r="Q4035" i="5" s="1"/>
  <c r="AA4034" i="5"/>
  <c r="Q4034" i="5"/>
  <c r="P4034" i="5"/>
  <c r="AA4033" i="5"/>
  <c r="P4033" i="5"/>
  <c r="Q4033" i="5" s="1"/>
  <c r="AA4032" i="5"/>
  <c r="P4032" i="5"/>
  <c r="Q4032" i="5" s="1"/>
  <c r="AA4031" i="5"/>
  <c r="Q4031" i="5"/>
  <c r="P4031" i="5"/>
  <c r="AA4030" i="5"/>
  <c r="P4030" i="5"/>
  <c r="Q4030" i="5" s="1"/>
  <c r="AA4029" i="5"/>
  <c r="P4029" i="5"/>
  <c r="Q4029" i="5" s="1"/>
  <c r="AA4028" i="5"/>
  <c r="Q4028" i="5"/>
  <c r="P4028" i="5"/>
  <c r="AA4027" i="5"/>
  <c r="P4027" i="5"/>
  <c r="Q4027" i="5" s="1"/>
  <c r="AA4026" i="5"/>
  <c r="Q4026" i="5"/>
  <c r="P4026" i="5"/>
  <c r="AA4025" i="5"/>
  <c r="P4025" i="5"/>
  <c r="Q4025" i="5" s="1"/>
  <c r="AA4024" i="5"/>
  <c r="P4024" i="5"/>
  <c r="Q4024" i="5" s="1"/>
  <c r="AA4023" i="5"/>
  <c r="P4023" i="5"/>
  <c r="Q4023" i="5" s="1"/>
  <c r="AA4022" i="5"/>
  <c r="P4022" i="5"/>
  <c r="Q4022" i="5" s="1"/>
  <c r="AA4021" i="5"/>
  <c r="P4021" i="5"/>
  <c r="Q4021" i="5" s="1"/>
  <c r="AA4020" i="5"/>
  <c r="Q4020" i="5"/>
  <c r="P4020" i="5"/>
  <c r="AA4019" i="5"/>
  <c r="P4019" i="5"/>
  <c r="Q4019" i="5" s="1"/>
  <c r="AA4018" i="5"/>
  <c r="P4018" i="5"/>
  <c r="Q4018" i="5" s="1"/>
  <c r="AA4017" i="5"/>
  <c r="P4017" i="5"/>
  <c r="Q4017" i="5" s="1"/>
  <c r="AA4016" i="5"/>
  <c r="P4016" i="5"/>
  <c r="Q4016" i="5" s="1"/>
  <c r="AA4015" i="5"/>
  <c r="Q4015" i="5"/>
  <c r="P4015" i="5"/>
  <c r="AA4014" i="5"/>
  <c r="Q4014" i="5"/>
  <c r="P4014" i="5"/>
  <c r="AA4013" i="5"/>
  <c r="P4013" i="5"/>
  <c r="Q4013" i="5" s="1"/>
  <c r="AA4012" i="5"/>
  <c r="Q4012" i="5"/>
  <c r="P4012" i="5"/>
  <c r="AA4011" i="5"/>
  <c r="Q4011" i="5"/>
  <c r="P4011" i="5"/>
  <c r="AA4010" i="5"/>
  <c r="P4010" i="5"/>
  <c r="Q4010" i="5" s="1"/>
  <c r="AA4009" i="5"/>
  <c r="Q4009" i="5"/>
  <c r="P4009" i="5"/>
  <c r="AA4008" i="5"/>
  <c r="P4008" i="5"/>
  <c r="Q4008" i="5" s="1"/>
  <c r="AA4007" i="5"/>
  <c r="Q4007" i="5"/>
  <c r="P4007" i="5"/>
  <c r="AA4006" i="5"/>
  <c r="P4006" i="5"/>
  <c r="Q4006" i="5" s="1"/>
  <c r="AA4005" i="5"/>
  <c r="P4005" i="5"/>
  <c r="Q4005" i="5" s="1"/>
  <c r="AA4004" i="5"/>
  <c r="P4004" i="5"/>
  <c r="Q4004" i="5" s="1"/>
  <c r="AA4003" i="5"/>
  <c r="P4003" i="5"/>
  <c r="Q4003" i="5" s="1"/>
  <c r="AA4002" i="5"/>
  <c r="P4002" i="5"/>
  <c r="Q4002" i="5" s="1"/>
  <c r="AA4001" i="5"/>
  <c r="Q4001" i="5"/>
  <c r="P4001" i="5"/>
  <c r="AA4000" i="5"/>
  <c r="P4000" i="5"/>
  <c r="Q4000" i="5" s="1"/>
  <c r="AA3999" i="5"/>
  <c r="P3999" i="5"/>
  <c r="Q3999" i="5" s="1"/>
  <c r="AA3998" i="5"/>
  <c r="Q3998" i="5"/>
  <c r="P3998" i="5"/>
  <c r="AA3997" i="5"/>
  <c r="P3997" i="5"/>
  <c r="Q3997" i="5" s="1"/>
  <c r="AA3996" i="5"/>
  <c r="P3996" i="5"/>
  <c r="Q3996" i="5" s="1"/>
  <c r="AA3995" i="5"/>
  <c r="Q3995" i="5"/>
  <c r="P3995" i="5"/>
  <c r="AA3994" i="5"/>
  <c r="P3994" i="5"/>
  <c r="Q3994" i="5" s="1"/>
  <c r="AA3993" i="5"/>
  <c r="P3993" i="5"/>
  <c r="Q3993" i="5" s="1"/>
  <c r="AA3992" i="5"/>
  <c r="Q3992" i="5"/>
  <c r="P3992" i="5"/>
  <c r="AA3991" i="5"/>
  <c r="P3991" i="5"/>
  <c r="Q3991" i="5" s="1"/>
  <c r="AA3990" i="5"/>
  <c r="P3990" i="5"/>
  <c r="Q3990" i="5" s="1"/>
  <c r="AA3989" i="5"/>
  <c r="Q3989" i="5"/>
  <c r="P3989" i="5"/>
  <c r="AA3988" i="5"/>
  <c r="P3988" i="5"/>
  <c r="Q3988" i="5" s="1"/>
  <c r="AA3987" i="5"/>
  <c r="Q3987" i="5"/>
  <c r="P3987" i="5"/>
  <c r="AA3986" i="5"/>
  <c r="P3986" i="5"/>
  <c r="Q3986" i="5" s="1"/>
  <c r="AA3985" i="5"/>
  <c r="P3985" i="5"/>
  <c r="Q3985" i="5" s="1"/>
  <c r="AA3984" i="5"/>
  <c r="P3984" i="5"/>
  <c r="Q3984" i="5" s="1"/>
  <c r="AA3983" i="5"/>
  <c r="P3983" i="5"/>
  <c r="Q3983" i="5" s="1"/>
  <c r="AA3982" i="5"/>
  <c r="Q3982" i="5"/>
  <c r="P3982" i="5"/>
  <c r="AA3981" i="5"/>
  <c r="Q3981" i="5"/>
  <c r="P3981" i="5"/>
  <c r="AA3980" i="5"/>
  <c r="P3980" i="5"/>
  <c r="Q3980" i="5" s="1"/>
  <c r="AA3979" i="5"/>
  <c r="P3979" i="5"/>
  <c r="Q3979" i="5" s="1"/>
  <c r="AA3978" i="5"/>
  <c r="P3978" i="5"/>
  <c r="Q3978" i="5" s="1"/>
  <c r="AA3977" i="5"/>
  <c r="P3977" i="5"/>
  <c r="Q3977" i="5" s="1"/>
  <c r="AA3976" i="5"/>
  <c r="Q3976" i="5"/>
  <c r="P3976" i="5"/>
  <c r="AA3975" i="5"/>
  <c r="P3975" i="5"/>
  <c r="Q3975" i="5" s="1"/>
  <c r="AA3974" i="5"/>
  <c r="P3974" i="5"/>
  <c r="Q3974" i="5" s="1"/>
  <c r="AA3973" i="5"/>
  <c r="P3973" i="5"/>
  <c r="Q3973" i="5" s="1"/>
  <c r="AA3972" i="5"/>
  <c r="Q3972" i="5"/>
  <c r="P3972" i="5"/>
  <c r="AA3971" i="5"/>
  <c r="Q3971" i="5"/>
  <c r="P3971" i="5"/>
  <c r="AA3970" i="5"/>
  <c r="P3970" i="5"/>
  <c r="Q3970" i="5" s="1"/>
  <c r="AA3969" i="5"/>
  <c r="Q3969" i="5"/>
  <c r="P3969" i="5"/>
  <c r="AA3968" i="5"/>
  <c r="P3968" i="5"/>
  <c r="Q3968" i="5" s="1"/>
  <c r="AA3967" i="5"/>
  <c r="Q3967" i="5"/>
  <c r="P3967" i="5"/>
  <c r="AA3966" i="5"/>
  <c r="Q3966" i="5"/>
  <c r="P3966" i="5"/>
  <c r="AA3965" i="5"/>
  <c r="Q3965" i="5"/>
  <c r="P3965" i="5"/>
  <c r="AA3964" i="5"/>
  <c r="P3964" i="5"/>
  <c r="Q3964" i="5" s="1"/>
  <c r="AA3963" i="5"/>
  <c r="Q3963" i="5"/>
  <c r="P3963" i="5"/>
  <c r="AA3962" i="5"/>
  <c r="P3962" i="5"/>
  <c r="Q3962" i="5" s="1"/>
  <c r="AA3961" i="5"/>
  <c r="P3961" i="5"/>
  <c r="Q3961" i="5" s="1"/>
  <c r="AA3960" i="5"/>
  <c r="Q3960" i="5"/>
  <c r="P3960" i="5"/>
  <c r="AA3959" i="5"/>
  <c r="P3959" i="5"/>
  <c r="Q3959" i="5" s="1"/>
  <c r="AA3958" i="5"/>
  <c r="P3958" i="5"/>
  <c r="Q3958" i="5" s="1"/>
  <c r="AA3957" i="5"/>
  <c r="P3957" i="5"/>
  <c r="Q3957" i="5" s="1"/>
  <c r="AA3956" i="5"/>
  <c r="P3956" i="5"/>
  <c r="Q3956" i="5" s="1"/>
  <c r="AA3955" i="5"/>
  <c r="P3955" i="5"/>
  <c r="Q3955" i="5" s="1"/>
  <c r="AA3954" i="5"/>
  <c r="P3954" i="5"/>
  <c r="Q3954" i="5" s="1"/>
  <c r="AA3953" i="5"/>
  <c r="P3953" i="5"/>
  <c r="Q3953" i="5" s="1"/>
  <c r="AA3952" i="5"/>
  <c r="P3952" i="5"/>
  <c r="Q3952" i="5" s="1"/>
  <c r="AA3951" i="5"/>
  <c r="Q3951" i="5"/>
  <c r="P3951" i="5"/>
  <c r="AA3950" i="5"/>
  <c r="P3950" i="5"/>
  <c r="Q3950" i="5" s="1"/>
  <c r="AA3949" i="5"/>
  <c r="Q3949" i="5"/>
  <c r="P3949" i="5"/>
  <c r="AA3948" i="5"/>
  <c r="P3948" i="5"/>
  <c r="Q3948" i="5" s="1"/>
  <c r="AA3947" i="5"/>
  <c r="Q3947" i="5"/>
  <c r="P3947" i="5"/>
  <c r="AA3946" i="5"/>
  <c r="P3946" i="5"/>
  <c r="Q3946" i="5" s="1"/>
  <c r="AA3945" i="5"/>
  <c r="P3945" i="5"/>
  <c r="Q3945" i="5" s="1"/>
  <c r="AA3944" i="5"/>
  <c r="P3944" i="5"/>
  <c r="Q3944" i="5" s="1"/>
  <c r="AA3943" i="5"/>
  <c r="Q3943" i="5"/>
  <c r="P3943" i="5"/>
  <c r="AA3942" i="5"/>
  <c r="P3942" i="5"/>
  <c r="Q3942" i="5" s="1"/>
  <c r="AA3941" i="5"/>
  <c r="P3941" i="5"/>
  <c r="Q3941" i="5" s="1"/>
  <c r="AA3940" i="5"/>
  <c r="Q3940" i="5"/>
  <c r="P3940" i="5"/>
  <c r="AA3939" i="5"/>
  <c r="P3939" i="5"/>
  <c r="Q3939" i="5" s="1"/>
  <c r="AA3938" i="5"/>
  <c r="P3938" i="5"/>
  <c r="Q3938" i="5" s="1"/>
  <c r="AA3937" i="5"/>
  <c r="P3937" i="5"/>
  <c r="Q3937" i="5" s="1"/>
  <c r="AA3936" i="5"/>
  <c r="P3936" i="5"/>
  <c r="Q3936" i="5" s="1"/>
  <c r="AA3935" i="5"/>
  <c r="P3935" i="5"/>
  <c r="Q3935" i="5" s="1"/>
  <c r="AA3934" i="5"/>
  <c r="P3934" i="5"/>
  <c r="Q3934" i="5" s="1"/>
  <c r="AA3933" i="5"/>
  <c r="Q3933" i="5"/>
  <c r="P3933" i="5"/>
  <c r="AA3932" i="5"/>
  <c r="P3932" i="5"/>
  <c r="Q3932" i="5" s="1"/>
  <c r="AA3931" i="5"/>
  <c r="Q3931" i="5"/>
  <c r="P3931" i="5"/>
  <c r="AA3930" i="5"/>
  <c r="Q3930" i="5"/>
  <c r="P3930" i="5"/>
  <c r="AA3929" i="5"/>
  <c r="P3929" i="5"/>
  <c r="Q3929" i="5" s="1"/>
  <c r="AA3928" i="5"/>
  <c r="P3928" i="5"/>
  <c r="Q3928" i="5" s="1"/>
  <c r="AA3927" i="5"/>
  <c r="P3927" i="5"/>
  <c r="Q3927" i="5" s="1"/>
  <c r="AA3926" i="5"/>
  <c r="P3926" i="5"/>
  <c r="Q3926" i="5" s="1"/>
  <c r="AA3925" i="5"/>
  <c r="P3925" i="5"/>
  <c r="Q3925" i="5" s="1"/>
  <c r="AA3924" i="5"/>
  <c r="P3924" i="5"/>
  <c r="Q3924" i="5" s="1"/>
  <c r="AA3923" i="5"/>
  <c r="P3923" i="5"/>
  <c r="Q3923" i="5" s="1"/>
  <c r="AA3922" i="5"/>
  <c r="Q3922" i="5"/>
  <c r="P3922" i="5"/>
  <c r="AA3921" i="5"/>
  <c r="P3921" i="5"/>
  <c r="Q3921" i="5" s="1"/>
  <c r="AA3920" i="5"/>
  <c r="P3920" i="5"/>
  <c r="Q3920" i="5" s="1"/>
  <c r="AA3919" i="5"/>
  <c r="P3919" i="5"/>
  <c r="Q3919" i="5" s="1"/>
  <c r="AA3918" i="5"/>
  <c r="Q3918" i="5"/>
  <c r="P3918" i="5"/>
  <c r="AA3917" i="5"/>
  <c r="P3917" i="5"/>
  <c r="Q3917" i="5" s="1"/>
  <c r="AA3916" i="5"/>
  <c r="Q3916" i="5"/>
  <c r="P3916" i="5"/>
  <c r="AA3915" i="5"/>
  <c r="Q3915" i="5"/>
  <c r="P3915" i="5"/>
  <c r="AA3914" i="5"/>
  <c r="Q3914" i="5"/>
  <c r="P3914" i="5"/>
  <c r="AA3913" i="5"/>
  <c r="P3913" i="5"/>
  <c r="Q3913" i="5" s="1"/>
  <c r="AA3912" i="5"/>
  <c r="Q3912" i="5"/>
  <c r="P3912" i="5"/>
  <c r="AA3911" i="5"/>
  <c r="P3911" i="5"/>
  <c r="Q3911" i="5" s="1"/>
  <c r="AA3910" i="5"/>
  <c r="P3910" i="5"/>
  <c r="Q3910" i="5" s="1"/>
  <c r="AA3909" i="5"/>
  <c r="P3909" i="5"/>
  <c r="Q3909" i="5" s="1"/>
  <c r="AA3908" i="5"/>
  <c r="P3908" i="5"/>
  <c r="Q3908" i="5" s="1"/>
  <c r="AA3907" i="5"/>
  <c r="P3907" i="5"/>
  <c r="Q3907" i="5" s="1"/>
  <c r="AA3906" i="5"/>
  <c r="P3906" i="5"/>
  <c r="Q3906" i="5" s="1"/>
  <c r="AA3905" i="5"/>
  <c r="P3905" i="5"/>
  <c r="Q3905" i="5" s="1"/>
  <c r="AA3904" i="5"/>
  <c r="P3904" i="5"/>
  <c r="Q3904" i="5" s="1"/>
  <c r="AA3903" i="5"/>
  <c r="P3903" i="5"/>
  <c r="Q3903" i="5" s="1"/>
  <c r="AA3902" i="5"/>
  <c r="P3902" i="5"/>
  <c r="Q3902" i="5" s="1"/>
  <c r="AA3901" i="5"/>
  <c r="P3901" i="5"/>
  <c r="Q3901" i="5" s="1"/>
  <c r="AA3900" i="5"/>
  <c r="P3900" i="5"/>
  <c r="Q3900" i="5" s="1"/>
  <c r="AA3899" i="5"/>
  <c r="Q3899" i="5"/>
  <c r="P3899" i="5"/>
  <c r="AA3898" i="5"/>
  <c r="P3898" i="5"/>
  <c r="Q3898" i="5" s="1"/>
  <c r="AA3897" i="5"/>
  <c r="Q3897" i="5"/>
  <c r="P3897" i="5"/>
  <c r="AA3896" i="5"/>
  <c r="P3896" i="5"/>
  <c r="Q3896" i="5" s="1"/>
  <c r="AA3895" i="5"/>
  <c r="P3895" i="5"/>
  <c r="Q3895" i="5" s="1"/>
  <c r="AA3894" i="5"/>
  <c r="P3894" i="5"/>
  <c r="Q3894" i="5" s="1"/>
  <c r="AA3893" i="5"/>
  <c r="P3893" i="5"/>
  <c r="Q3893" i="5" s="1"/>
  <c r="AA3892" i="5"/>
  <c r="P3892" i="5"/>
  <c r="Q3892" i="5" s="1"/>
  <c r="AA3891" i="5"/>
  <c r="Q3891" i="5"/>
  <c r="P3891" i="5"/>
  <c r="AA3890" i="5"/>
  <c r="P3890" i="5"/>
  <c r="Q3890" i="5" s="1"/>
  <c r="AA3889" i="5"/>
  <c r="Q3889" i="5"/>
  <c r="P3889" i="5"/>
  <c r="AA3888" i="5"/>
  <c r="P3888" i="5"/>
  <c r="Q3888" i="5" s="1"/>
  <c r="AA3887" i="5"/>
  <c r="P3887" i="5"/>
  <c r="Q3887" i="5" s="1"/>
  <c r="AA3886" i="5"/>
  <c r="Q3886" i="5"/>
  <c r="P3886" i="5"/>
  <c r="AA3885" i="5"/>
  <c r="P3885" i="5"/>
  <c r="Q3885" i="5" s="1"/>
  <c r="AA3884" i="5"/>
  <c r="P3884" i="5"/>
  <c r="Q3884" i="5" s="1"/>
  <c r="AA3883" i="5"/>
  <c r="P3883" i="5"/>
  <c r="Q3883" i="5" s="1"/>
  <c r="AA3882" i="5"/>
  <c r="P3882" i="5"/>
  <c r="Q3882" i="5" s="1"/>
  <c r="AA3881" i="5"/>
  <c r="P3881" i="5"/>
  <c r="Q3881" i="5" s="1"/>
  <c r="AA3880" i="5"/>
  <c r="P3880" i="5"/>
  <c r="Q3880" i="5" s="1"/>
  <c r="AA3879" i="5"/>
  <c r="Q3879" i="5"/>
  <c r="P3879" i="5"/>
  <c r="AA3878" i="5"/>
  <c r="P3878" i="5"/>
  <c r="Q3878" i="5" s="1"/>
  <c r="AA3877" i="5"/>
  <c r="P3877" i="5"/>
  <c r="Q3877" i="5" s="1"/>
  <c r="AA3876" i="5"/>
  <c r="P3876" i="5"/>
  <c r="Q3876" i="5" s="1"/>
  <c r="AA3875" i="5"/>
  <c r="P3875" i="5"/>
  <c r="Q3875" i="5" s="1"/>
  <c r="AA3874" i="5"/>
  <c r="P3874" i="5"/>
  <c r="Q3874" i="5" s="1"/>
  <c r="AA3873" i="5"/>
  <c r="P3873" i="5"/>
  <c r="Q3873" i="5" s="1"/>
  <c r="AA3872" i="5"/>
  <c r="P3872" i="5"/>
  <c r="Q3872" i="5" s="1"/>
  <c r="AA3871" i="5"/>
  <c r="P3871" i="5"/>
  <c r="Q3871" i="5" s="1"/>
  <c r="AA3870" i="5"/>
  <c r="P3870" i="5"/>
  <c r="Q3870" i="5" s="1"/>
  <c r="AA3869" i="5"/>
  <c r="P3869" i="5"/>
  <c r="Q3869" i="5" s="1"/>
  <c r="AA3868" i="5"/>
  <c r="P3868" i="5"/>
  <c r="Q3868" i="5" s="1"/>
  <c r="AA3867" i="5"/>
  <c r="P3867" i="5"/>
  <c r="Q3867" i="5" s="1"/>
  <c r="AA3866" i="5"/>
  <c r="P3866" i="5"/>
  <c r="Q3866" i="5" s="1"/>
  <c r="AA3865" i="5"/>
  <c r="Q3865" i="5"/>
  <c r="P3865" i="5"/>
  <c r="AA3864" i="5"/>
  <c r="P3864" i="5"/>
  <c r="Q3864" i="5" s="1"/>
  <c r="AA3863" i="5"/>
  <c r="Q3863" i="5"/>
  <c r="P3863" i="5"/>
  <c r="AA3862" i="5"/>
  <c r="Q3862" i="5"/>
  <c r="P3862" i="5"/>
  <c r="AA3861" i="5"/>
  <c r="P3861" i="5"/>
  <c r="Q3861" i="5" s="1"/>
  <c r="AA3860" i="5"/>
  <c r="Q3860" i="5"/>
  <c r="P3860" i="5"/>
  <c r="AA3859" i="5"/>
  <c r="P3859" i="5"/>
  <c r="Q3859" i="5" s="1"/>
  <c r="AA3858" i="5"/>
  <c r="P3858" i="5"/>
  <c r="Q3858" i="5" s="1"/>
  <c r="AA3857" i="5"/>
  <c r="P3857" i="5"/>
  <c r="Q3857" i="5" s="1"/>
  <c r="AA3856" i="5"/>
  <c r="P3856" i="5"/>
  <c r="Q3856" i="5" s="1"/>
  <c r="AA3855" i="5"/>
  <c r="P3855" i="5"/>
  <c r="Q3855" i="5" s="1"/>
  <c r="AA3854" i="5"/>
  <c r="P3854" i="5"/>
  <c r="Q3854" i="5" s="1"/>
  <c r="AA3853" i="5"/>
  <c r="P3853" i="5"/>
  <c r="Q3853" i="5" s="1"/>
  <c r="AA3852" i="5"/>
  <c r="P3852" i="5"/>
  <c r="Q3852" i="5" s="1"/>
  <c r="AA3851" i="5"/>
  <c r="P3851" i="5"/>
  <c r="Q3851" i="5" s="1"/>
  <c r="AA3850" i="5"/>
  <c r="P3850" i="5"/>
  <c r="Q3850" i="5" s="1"/>
  <c r="AA3849" i="5"/>
  <c r="P3849" i="5"/>
  <c r="Q3849" i="5" s="1"/>
  <c r="AA3848" i="5"/>
  <c r="P3848" i="5"/>
  <c r="Q3848" i="5" s="1"/>
  <c r="AA3847" i="5"/>
  <c r="P3847" i="5"/>
  <c r="Q3847" i="5" s="1"/>
  <c r="AA3846" i="5"/>
  <c r="Q3846" i="5"/>
  <c r="P3846" i="5"/>
  <c r="AA3845" i="5"/>
  <c r="P3845" i="5"/>
  <c r="Q3845" i="5" s="1"/>
  <c r="AA3844" i="5"/>
  <c r="P3844" i="5"/>
  <c r="Q3844" i="5" s="1"/>
  <c r="AA3843" i="5"/>
  <c r="P3843" i="5"/>
  <c r="Q3843" i="5" s="1"/>
  <c r="AA3842" i="5"/>
  <c r="P3842" i="5"/>
  <c r="Q3842" i="5" s="1"/>
  <c r="AA3841" i="5"/>
  <c r="P3841" i="5"/>
  <c r="Q3841" i="5" s="1"/>
  <c r="AA3840" i="5"/>
  <c r="P3840" i="5"/>
  <c r="Q3840" i="5" s="1"/>
  <c r="AA3839" i="5"/>
  <c r="P3839" i="5"/>
  <c r="Q3839" i="5" s="1"/>
  <c r="AA3838" i="5"/>
  <c r="P3838" i="5"/>
  <c r="Q3838" i="5" s="1"/>
  <c r="AA3837" i="5"/>
  <c r="P3837" i="5"/>
  <c r="Q3837" i="5" s="1"/>
  <c r="AA3836" i="5"/>
  <c r="P3836" i="5"/>
  <c r="Q3836" i="5" s="1"/>
  <c r="AA3835" i="5"/>
  <c r="Q3835" i="5"/>
  <c r="P3835" i="5"/>
  <c r="AA3834" i="5"/>
  <c r="P3834" i="5"/>
  <c r="Q3834" i="5" s="1"/>
  <c r="AA3833" i="5"/>
  <c r="P3833" i="5"/>
  <c r="Q3833" i="5" s="1"/>
  <c r="AA3832" i="5"/>
  <c r="P3832" i="5"/>
  <c r="Q3832" i="5" s="1"/>
  <c r="AA3831" i="5"/>
  <c r="Q3831" i="5"/>
  <c r="P3831" i="5"/>
  <c r="AA3830" i="5"/>
  <c r="P3830" i="5"/>
  <c r="Q3830" i="5" s="1"/>
  <c r="AA3829" i="5"/>
  <c r="Q3829" i="5"/>
  <c r="P3829" i="5"/>
  <c r="AA3828" i="5"/>
  <c r="P3828" i="5"/>
  <c r="Q3828" i="5" s="1"/>
  <c r="AA3827" i="5"/>
  <c r="P3827" i="5"/>
  <c r="Q3827" i="5" s="1"/>
  <c r="AA3826" i="5"/>
  <c r="Q3826" i="5"/>
  <c r="P3826" i="5"/>
  <c r="AA3825" i="5"/>
  <c r="P3825" i="5"/>
  <c r="Q3825" i="5" s="1"/>
  <c r="AA3824" i="5"/>
  <c r="P3824" i="5"/>
  <c r="Q3824" i="5" s="1"/>
  <c r="AA3823" i="5"/>
  <c r="Q3823" i="5"/>
  <c r="P3823" i="5"/>
  <c r="AA3822" i="5"/>
  <c r="Q3822" i="5"/>
  <c r="P3822" i="5"/>
  <c r="AA3821" i="5"/>
  <c r="P3821" i="5"/>
  <c r="Q3821" i="5" s="1"/>
  <c r="AA3820" i="5"/>
  <c r="Q3820" i="5"/>
  <c r="P3820" i="5"/>
  <c r="AA3819" i="5"/>
  <c r="P3819" i="5"/>
  <c r="Q3819" i="5" s="1"/>
  <c r="AA3818" i="5"/>
  <c r="Q3818" i="5"/>
  <c r="P3818" i="5"/>
  <c r="AA3817" i="5"/>
  <c r="P3817" i="5"/>
  <c r="Q3817" i="5" s="1"/>
  <c r="AA3816" i="5"/>
  <c r="P3816" i="5"/>
  <c r="Q3816" i="5" s="1"/>
  <c r="AA3815" i="5"/>
  <c r="P3815" i="5"/>
  <c r="Q3815" i="5" s="1"/>
  <c r="AA3814" i="5"/>
  <c r="P3814" i="5"/>
  <c r="Q3814" i="5" s="1"/>
  <c r="AA3813" i="5"/>
  <c r="P3813" i="5"/>
  <c r="Q3813" i="5" s="1"/>
  <c r="AA3812" i="5"/>
  <c r="P3812" i="5"/>
  <c r="Q3812" i="5" s="1"/>
  <c r="AA3811" i="5"/>
  <c r="P3811" i="5"/>
  <c r="Q3811" i="5" s="1"/>
  <c r="AA3810" i="5"/>
  <c r="P3810" i="5"/>
  <c r="Q3810" i="5" s="1"/>
  <c r="AA3809" i="5"/>
  <c r="Q3809" i="5"/>
  <c r="P3809" i="5"/>
  <c r="AA3808" i="5"/>
  <c r="P3808" i="5"/>
  <c r="Q3808" i="5" s="1"/>
  <c r="AA3807" i="5"/>
  <c r="P3807" i="5"/>
  <c r="Q3807" i="5" s="1"/>
  <c r="AA3806" i="5"/>
  <c r="P3806" i="5"/>
  <c r="Q3806" i="5" s="1"/>
  <c r="AA3805" i="5"/>
  <c r="P3805" i="5"/>
  <c r="Q3805" i="5" s="1"/>
  <c r="AA3804" i="5"/>
  <c r="P3804" i="5"/>
  <c r="Q3804" i="5" s="1"/>
  <c r="AA3803" i="5"/>
  <c r="P3803" i="5"/>
  <c r="Q3803" i="5" s="1"/>
  <c r="AA3802" i="5"/>
  <c r="P3802" i="5"/>
  <c r="Q3802" i="5" s="1"/>
  <c r="AA3801" i="5"/>
  <c r="P3801" i="5"/>
  <c r="Q3801" i="5" s="1"/>
  <c r="AA3800" i="5"/>
  <c r="P3800" i="5"/>
  <c r="Q3800" i="5" s="1"/>
  <c r="AA3799" i="5"/>
  <c r="Q3799" i="5"/>
  <c r="P3799" i="5"/>
  <c r="AA3798" i="5"/>
  <c r="P3798" i="5"/>
  <c r="Q3798" i="5" s="1"/>
  <c r="AA3797" i="5"/>
  <c r="P3797" i="5"/>
  <c r="Q3797" i="5" s="1"/>
  <c r="AA3796" i="5"/>
  <c r="P3796" i="5"/>
  <c r="Q3796" i="5" s="1"/>
  <c r="AA3795" i="5"/>
  <c r="Q3795" i="5"/>
  <c r="P3795" i="5"/>
  <c r="AA3794" i="5"/>
  <c r="P3794" i="5"/>
  <c r="Q3794" i="5" s="1"/>
  <c r="AA3793" i="5"/>
  <c r="P3793" i="5"/>
  <c r="Q3793" i="5" s="1"/>
  <c r="AA3792" i="5"/>
  <c r="P3792" i="5"/>
  <c r="Q3792" i="5" s="1"/>
  <c r="AA3791" i="5"/>
  <c r="Q3791" i="5"/>
  <c r="P3791" i="5"/>
  <c r="AA3790" i="5"/>
  <c r="P3790" i="5"/>
  <c r="Q3790" i="5" s="1"/>
  <c r="AA3789" i="5"/>
  <c r="P3789" i="5"/>
  <c r="Q3789" i="5" s="1"/>
  <c r="AA3788" i="5"/>
  <c r="P3788" i="5"/>
  <c r="Q3788" i="5" s="1"/>
  <c r="AA3787" i="5"/>
  <c r="P3787" i="5"/>
  <c r="Q3787" i="5" s="1"/>
  <c r="AA3786" i="5"/>
  <c r="Q3786" i="5"/>
  <c r="P3786" i="5"/>
  <c r="AA3785" i="5"/>
  <c r="Q3785" i="5"/>
  <c r="P3785" i="5"/>
  <c r="AA3784" i="5"/>
  <c r="P3784" i="5"/>
  <c r="Q3784" i="5" s="1"/>
  <c r="AA3783" i="5"/>
  <c r="P3783" i="5"/>
  <c r="Q3783" i="5" s="1"/>
  <c r="AA3782" i="5"/>
  <c r="P3782" i="5"/>
  <c r="Q3782" i="5" s="1"/>
  <c r="AA3781" i="5"/>
  <c r="P3781" i="5"/>
  <c r="Q3781" i="5" s="1"/>
  <c r="AA3780" i="5"/>
  <c r="P3780" i="5"/>
  <c r="Q3780" i="5" s="1"/>
  <c r="AA3779" i="5"/>
  <c r="P3779" i="5"/>
  <c r="Q3779" i="5" s="1"/>
  <c r="AA3778" i="5"/>
  <c r="P3778" i="5"/>
  <c r="Q3778" i="5" s="1"/>
  <c r="AA3777" i="5"/>
  <c r="P3777" i="5"/>
  <c r="Q3777" i="5" s="1"/>
  <c r="AA3776" i="5"/>
  <c r="P3776" i="5"/>
  <c r="Q3776" i="5" s="1"/>
  <c r="AA3775" i="5"/>
  <c r="P3775" i="5"/>
  <c r="Q3775" i="5" s="1"/>
  <c r="AA3774" i="5"/>
  <c r="P3774" i="5"/>
  <c r="Q3774" i="5" s="1"/>
  <c r="AA3773" i="5"/>
  <c r="P3773" i="5"/>
  <c r="Q3773" i="5" s="1"/>
  <c r="AA3772" i="5"/>
  <c r="Q3772" i="5"/>
  <c r="P3772" i="5"/>
  <c r="AA3771" i="5"/>
  <c r="Q3771" i="5"/>
  <c r="P3771" i="5"/>
  <c r="AA3770" i="5"/>
  <c r="P3770" i="5"/>
  <c r="Q3770" i="5" s="1"/>
  <c r="AA3769" i="5"/>
  <c r="P3769" i="5"/>
  <c r="Q3769" i="5" s="1"/>
  <c r="AA3768" i="5"/>
  <c r="P3768" i="5"/>
  <c r="Q3768" i="5" s="1"/>
  <c r="AA3767" i="5"/>
  <c r="P3767" i="5"/>
  <c r="Q3767" i="5" s="1"/>
  <c r="AA3766" i="5"/>
  <c r="P3766" i="5"/>
  <c r="Q3766" i="5" s="1"/>
  <c r="AA3765" i="5"/>
  <c r="P3765" i="5"/>
  <c r="Q3765" i="5" s="1"/>
  <c r="AA3764" i="5"/>
  <c r="P3764" i="5"/>
  <c r="Q3764" i="5" s="1"/>
  <c r="AA3763" i="5"/>
  <c r="P3763" i="5"/>
  <c r="Q3763" i="5" s="1"/>
  <c r="AA3762" i="5"/>
  <c r="P3762" i="5"/>
  <c r="Q3762" i="5" s="1"/>
  <c r="AA3761" i="5"/>
  <c r="P3761" i="5"/>
  <c r="Q3761" i="5" s="1"/>
  <c r="AA3760" i="5"/>
  <c r="P3760" i="5"/>
  <c r="Q3760" i="5" s="1"/>
  <c r="AA3759" i="5"/>
  <c r="Q3759" i="5"/>
  <c r="P3759" i="5"/>
  <c r="AA3758" i="5"/>
  <c r="P3758" i="5"/>
  <c r="Q3758" i="5" s="1"/>
  <c r="AA3757" i="5"/>
  <c r="P3757" i="5"/>
  <c r="Q3757" i="5" s="1"/>
  <c r="AA3756" i="5"/>
  <c r="P3756" i="5"/>
  <c r="Q3756" i="5" s="1"/>
  <c r="AA3755" i="5"/>
  <c r="P3755" i="5"/>
  <c r="Q3755" i="5" s="1"/>
  <c r="AA3754" i="5"/>
  <c r="P3754" i="5"/>
  <c r="Q3754" i="5" s="1"/>
  <c r="AA3753" i="5"/>
  <c r="P3753" i="5"/>
  <c r="Q3753" i="5" s="1"/>
  <c r="AA3752" i="5"/>
  <c r="P3752" i="5"/>
  <c r="Q3752" i="5" s="1"/>
  <c r="AA3751" i="5"/>
  <c r="P3751" i="5"/>
  <c r="Q3751" i="5" s="1"/>
  <c r="AA3750" i="5"/>
  <c r="P3750" i="5"/>
  <c r="Q3750" i="5" s="1"/>
  <c r="AA3749" i="5"/>
  <c r="Q3749" i="5"/>
  <c r="P3749" i="5"/>
  <c r="AA3748" i="5"/>
  <c r="Q3748" i="5"/>
  <c r="P3748" i="5"/>
  <c r="AA3747" i="5"/>
  <c r="P3747" i="5"/>
  <c r="Q3747" i="5" s="1"/>
  <c r="AA3746" i="5"/>
  <c r="Q3746" i="5"/>
  <c r="P3746" i="5"/>
  <c r="AA3745" i="5"/>
  <c r="P3745" i="5"/>
  <c r="Q3745" i="5" s="1"/>
  <c r="AA3744" i="5"/>
  <c r="P3744" i="5"/>
  <c r="Q3744" i="5" s="1"/>
  <c r="AA3743" i="5"/>
  <c r="P3743" i="5"/>
  <c r="Q3743" i="5" s="1"/>
  <c r="AA3742" i="5"/>
  <c r="P3742" i="5"/>
  <c r="Q3742" i="5" s="1"/>
  <c r="AA3741" i="5"/>
  <c r="P3741" i="5"/>
  <c r="Q3741" i="5" s="1"/>
  <c r="AA3740" i="5"/>
  <c r="Q3740" i="5"/>
  <c r="P3740" i="5"/>
  <c r="AA3739" i="5"/>
  <c r="Q3739" i="5"/>
  <c r="P3739" i="5"/>
  <c r="AA3738" i="5"/>
  <c r="Q3738" i="5"/>
  <c r="P3738" i="5"/>
  <c r="AA3737" i="5"/>
  <c r="P3737" i="5"/>
  <c r="Q3737" i="5" s="1"/>
  <c r="AA3736" i="5"/>
  <c r="P3736" i="5"/>
  <c r="Q3736" i="5" s="1"/>
  <c r="AA3735" i="5"/>
  <c r="Q3735" i="5"/>
  <c r="P3735" i="5"/>
  <c r="AA3734" i="5"/>
  <c r="P3734" i="5"/>
  <c r="Q3734" i="5" s="1"/>
  <c r="AA3733" i="5"/>
  <c r="P3733" i="5"/>
  <c r="Q3733" i="5" s="1"/>
  <c r="AA3732" i="5"/>
  <c r="P3732" i="5"/>
  <c r="Q3732" i="5" s="1"/>
  <c r="AA3731" i="5"/>
  <c r="P3731" i="5"/>
  <c r="Q3731" i="5" s="1"/>
  <c r="AA3730" i="5"/>
  <c r="P3730" i="5"/>
  <c r="Q3730" i="5" s="1"/>
  <c r="AA3729" i="5"/>
  <c r="Q3729" i="5"/>
  <c r="P3729" i="5"/>
  <c r="AA3728" i="5"/>
  <c r="P3728" i="5"/>
  <c r="Q3728" i="5" s="1"/>
  <c r="AA3727" i="5"/>
  <c r="P3727" i="5"/>
  <c r="Q3727" i="5" s="1"/>
  <c r="AA3726" i="5"/>
  <c r="P3726" i="5"/>
  <c r="Q3726" i="5" s="1"/>
  <c r="AA3725" i="5"/>
  <c r="Q3725" i="5"/>
  <c r="P3725" i="5"/>
  <c r="AA3724" i="5"/>
  <c r="P3724" i="5"/>
  <c r="Q3724" i="5" s="1"/>
  <c r="AA3723" i="5"/>
  <c r="Q3723" i="5"/>
  <c r="P3723" i="5"/>
  <c r="AA3722" i="5"/>
  <c r="P3722" i="5"/>
  <c r="Q3722" i="5" s="1"/>
  <c r="AA3721" i="5"/>
  <c r="P3721" i="5"/>
  <c r="Q3721" i="5" s="1"/>
  <c r="AA3720" i="5"/>
  <c r="Q3720" i="5"/>
  <c r="P3720" i="5"/>
  <c r="AA3719" i="5"/>
  <c r="P3719" i="5"/>
  <c r="Q3719" i="5" s="1"/>
  <c r="AA3718" i="5"/>
  <c r="P3718" i="5"/>
  <c r="Q3718" i="5" s="1"/>
  <c r="AA3717" i="5"/>
  <c r="P3717" i="5"/>
  <c r="Q3717" i="5" s="1"/>
  <c r="AA3716" i="5"/>
  <c r="P3716" i="5"/>
  <c r="Q3716" i="5" s="1"/>
  <c r="AA3715" i="5"/>
  <c r="Q3715" i="5"/>
  <c r="P3715" i="5"/>
  <c r="AA3714" i="5"/>
  <c r="P3714" i="5"/>
  <c r="Q3714" i="5" s="1"/>
  <c r="AA3713" i="5"/>
  <c r="Q3713" i="5"/>
  <c r="P3713" i="5"/>
  <c r="AA3712" i="5"/>
  <c r="P3712" i="5"/>
  <c r="Q3712" i="5" s="1"/>
  <c r="AA3711" i="5"/>
  <c r="P3711" i="5"/>
  <c r="Q3711" i="5" s="1"/>
  <c r="AA3710" i="5"/>
  <c r="Q3710" i="5"/>
  <c r="P3710" i="5"/>
  <c r="AA3709" i="5"/>
  <c r="P3709" i="5"/>
  <c r="Q3709" i="5" s="1"/>
  <c r="AA3708" i="5"/>
  <c r="Q3708" i="5"/>
  <c r="P3708" i="5"/>
  <c r="AA3707" i="5"/>
  <c r="Q3707" i="5"/>
  <c r="P3707" i="5"/>
  <c r="AA3706" i="5"/>
  <c r="P3706" i="5"/>
  <c r="Q3706" i="5" s="1"/>
  <c r="AA3705" i="5"/>
  <c r="Q3705" i="5"/>
  <c r="P3705" i="5"/>
  <c r="AA3704" i="5"/>
  <c r="P3704" i="5"/>
  <c r="Q3704" i="5" s="1"/>
  <c r="AA3703" i="5"/>
  <c r="P3703" i="5"/>
  <c r="Q3703" i="5" s="1"/>
  <c r="AA3702" i="5"/>
  <c r="P3702" i="5"/>
  <c r="Q3702" i="5" s="1"/>
  <c r="AA3701" i="5"/>
  <c r="P3701" i="5"/>
  <c r="Q3701" i="5" s="1"/>
  <c r="AA3700" i="5"/>
  <c r="P3700" i="5"/>
  <c r="Q3700" i="5" s="1"/>
  <c r="AA3699" i="5"/>
  <c r="P3699" i="5"/>
  <c r="Q3699" i="5" s="1"/>
  <c r="AA3698" i="5"/>
  <c r="Q3698" i="5"/>
  <c r="P3698" i="5"/>
  <c r="AA3697" i="5"/>
  <c r="P3697" i="5"/>
  <c r="Q3697" i="5" s="1"/>
  <c r="AA3696" i="5"/>
  <c r="P3696" i="5"/>
  <c r="Q3696" i="5" s="1"/>
  <c r="AA3695" i="5"/>
  <c r="Q3695" i="5"/>
  <c r="P3695" i="5"/>
  <c r="AA3694" i="5"/>
  <c r="P3694" i="5"/>
  <c r="Q3694" i="5" s="1"/>
  <c r="AA3693" i="5"/>
  <c r="P3693" i="5"/>
  <c r="Q3693" i="5" s="1"/>
  <c r="AA3692" i="5"/>
  <c r="P3692" i="5"/>
  <c r="Q3692" i="5" s="1"/>
  <c r="AA3691" i="5"/>
  <c r="Q3691" i="5"/>
  <c r="P3691" i="5"/>
  <c r="AA3690" i="5"/>
  <c r="Q3690" i="5"/>
  <c r="P3690" i="5"/>
  <c r="AA3689" i="5"/>
  <c r="P3689" i="5"/>
  <c r="Q3689" i="5" s="1"/>
  <c r="AA3688" i="5"/>
  <c r="Q3688" i="5"/>
  <c r="P3688" i="5"/>
  <c r="AA3687" i="5"/>
  <c r="Q3687" i="5"/>
  <c r="P3687" i="5"/>
  <c r="AA3686" i="5"/>
  <c r="P3686" i="5"/>
  <c r="Q3686" i="5" s="1"/>
  <c r="AA3685" i="5"/>
  <c r="Q3685" i="5"/>
  <c r="P3685" i="5"/>
  <c r="AA3684" i="5"/>
  <c r="Q3684" i="5"/>
  <c r="P3684" i="5"/>
  <c r="AA3683" i="5"/>
  <c r="P3683" i="5"/>
  <c r="Q3683" i="5" s="1"/>
  <c r="AA3682" i="5"/>
  <c r="P3682" i="5"/>
  <c r="Q3682" i="5" s="1"/>
  <c r="AA3681" i="5"/>
  <c r="Q3681" i="5"/>
  <c r="P3681" i="5"/>
  <c r="AA3680" i="5"/>
  <c r="P3680" i="5"/>
  <c r="Q3680" i="5" s="1"/>
  <c r="AA3679" i="5"/>
  <c r="P3679" i="5"/>
  <c r="Q3679" i="5" s="1"/>
  <c r="AA3678" i="5"/>
  <c r="P3678" i="5"/>
  <c r="Q3678" i="5" s="1"/>
  <c r="AA3677" i="5"/>
  <c r="P3677" i="5"/>
  <c r="Q3677" i="5" s="1"/>
  <c r="AA3676" i="5"/>
  <c r="Q3676" i="5"/>
  <c r="P3676" i="5"/>
  <c r="AA3675" i="5"/>
  <c r="P3675" i="5"/>
  <c r="Q3675" i="5" s="1"/>
  <c r="AA3674" i="5"/>
  <c r="P3674" i="5"/>
  <c r="Q3674" i="5" s="1"/>
  <c r="AA3673" i="5"/>
  <c r="P3673" i="5"/>
  <c r="Q3673" i="5" s="1"/>
  <c r="AA3672" i="5"/>
  <c r="P3672" i="5"/>
  <c r="Q3672" i="5" s="1"/>
  <c r="AA3671" i="5"/>
  <c r="P3671" i="5"/>
  <c r="Q3671" i="5" s="1"/>
  <c r="AA3670" i="5"/>
  <c r="P3670" i="5"/>
  <c r="Q3670" i="5" s="1"/>
  <c r="AA3669" i="5"/>
  <c r="P3669" i="5"/>
  <c r="Q3669" i="5" s="1"/>
  <c r="AA3668" i="5"/>
  <c r="P3668" i="5"/>
  <c r="Q3668" i="5" s="1"/>
  <c r="AA3667" i="5"/>
  <c r="P3667" i="5"/>
  <c r="Q3667" i="5" s="1"/>
  <c r="AA3666" i="5"/>
  <c r="Q3666" i="5"/>
  <c r="P3666" i="5"/>
  <c r="AA3665" i="5"/>
  <c r="P3665" i="5"/>
  <c r="Q3665" i="5" s="1"/>
  <c r="AA3664" i="5"/>
  <c r="P3664" i="5"/>
  <c r="Q3664" i="5" s="1"/>
  <c r="AA3663" i="5"/>
  <c r="P3663" i="5"/>
  <c r="Q3663" i="5" s="1"/>
  <c r="AA3662" i="5"/>
  <c r="P3662" i="5"/>
  <c r="Q3662" i="5" s="1"/>
  <c r="AA3661" i="5"/>
  <c r="P3661" i="5"/>
  <c r="Q3661" i="5" s="1"/>
  <c r="AA3660" i="5"/>
  <c r="P3660" i="5"/>
  <c r="Q3660" i="5" s="1"/>
  <c r="AA3659" i="5"/>
  <c r="Q3659" i="5"/>
  <c r="P3659" i="5"/>
  <c r="AA3658" i="5"/>
  <c r="P3658" i="5"/>
  <c r="Q3658" i="5" s="1"/>
  <c r="AA3657" i="5"/>
  <c r="P3657" i="5"/>
  <c r="Q3657" i="5" s="1"/>
  <c r="AA3656" i="5"/>
  <c r="P3656" i="5"/>
  <c r="Q3656" i="5" s="1"/>
  <c r="AA3655" i="5"/>
  <c r="Q3655" i="5"/>
  <c r="P3655" i="5"/>
  <c r="AA3654" i="5"/>
  <c r="P3654" i="5"/>
  <c r="Q3654" i="5" s="1"/>
  <c r="AA3653" i="5"/>
  <c r="Q3653" i="5"/>
  <c r="P3653" i="5"/>
  <c r="AA3652" i="5"/>
  <c r="Q3652" i="5"/>
  <c r="P3652" i="5"/>
  <c r="AA3651" i="5"/>
  <c r="P3651" i="5"/>
  <c r="Q3651" i="5" s="1"/>
  <c r="AA3650" i="5"/>
  <c r="Q3650" i="5"/>
  <c r="P3650" i="5"/>
  <c r="AA3649" i="5"/>
  <c r="P3649" i="5"/>
  <c r="Q3649" i="5" s="1"/>
  <c r="AA3648" i="5"/>
  <c r="P3648" i="5"/>
  <c r="Q3648" i="5" s="1"/>
  <c r="AA3647" i="5"/>
  <c r="P3647" i="5"/>
  <c r="Q3647" i="5" s="1"/>
  <c r="AA3646" i="5"/>
  <c r="P3646" i="5"/>
  <c r="Q3646" i="5" s="1"/>
  <c r="AA3645" i="5"/>
  <c r="P3645" i="5"/>
  <c r="Q3645" i="5" s="1"/>
  <c r="AA3644" i="5"/>
  <c r="P3644" i="5"/>
  <c r="Q3644" i="5" s="1"/>
  <c r="AA3643" i="5"/>
  <c r="P3643" i="5"/>
  <c r="Q3643" i="5" s="1"/>
  <c r="AA3642" i="5"/>
  <c r="P3642" i="5"/>
  <c r="Q3642" i="5" s="1"/>
  <c r="AA3641" i="5"/>
  <c r="P3641" i="5"/>
  <c r="Q3641" i="5" s="1"/>
  <c r="AA3640" i="5"/>
  <c r="P3640" i="5"/>
  <c r="Q3640" i="5" s="1"/>
  <c r="AA3639" i="5"/>
  <c r="P3639" i="5"/>
  <c r="Q3639" i="5" s="1"/>
  <c r="AA3638" i="5"/>
  <c r="P3638" i="5"/>
  <c r="Q3638" i="5" s="1"/>
  <c r="AA3637" i="5"/>
  <c r="P3637" i="5"/>
  <c r="Q3637" i="5" s="1"/>
  <c r="AA3636" i="5"/>
  <c r="Q3636" i="5"/>
  <c r="P3636" i="5"/>
  <c r="AA3635" i="5"/>
  <c r="Q3635" i="5"/>
  <c r="P3635" i="5"/>
  <c r="AA3634" i="5"/>
  <c r="P3634" i="5"/>
  <c r="Q3634" i="5" s="1"/>
  <c r="AA3633" i="5"/>
  <c r="P3633" i="5"/>
  <c r="Q3633" i="5" s="1"/>
  <c r="AA3632" i="5"/>
  <c r="Q3632" i="5"/>
  <c r="P3632" i="5"/>
  <c r="AA3631" i="5"/>
  <c r="Q3631" i="5"/>
  <c r="P3631" i="5"/>
  <c r="AA3630" i="5"/>
  <c r="Q3630" i="5"/>
  <c r="P3630" i="5"/>
  <c r="AA3629" i="5"/>
  <c r="P3629" i="5"/>
  <c r="Q3629" i="5" s="1"/>
  <c r="AA3628" i="5"/>
  <c r="P3628" i="5"/>
  <c r="Q3628" i="5" s="1"/>
  <c r="AA3627" i="5"/>
  <c r="P3627" i="5"/>
  <c r="Q3627" i="5" s="1"/>
  <c r="AA3626" i="5"/>
  <c r="P3626" i="5"/>
  <c r="Q3626" i="5" s="1"/>
  <c r="AA3625" i="5"/>
  <c r="Q3625" i="5"/>
  <c r="P3625" i="5"/>
  <c r="AA3624" i="5"/>
  <c r="Q3624" i="5"/>
  <c r="P3624" i="5"/>
  <c r="AA3623" i="5"/>
  <c r="P3623" i="5"/>
  <c r="Q3623" i="5" s="1"/>
  <c r="AA3622" i="5"/>
  <c r="P3622" i="5"/>
  <c r="Q3622" i="5" s="1"/>
  <c r="AA3621" i="5"/>
  <c r="Q3621" i="5"/>
  <c r="P3621" i="5"/>
  <c r="AA3620" i="5"/>
  <c r="P3620" i="5"/>
  <c r="Q3620" i="5" s="1"/>
  <c r="AA3619" i="5"/>
  <c r="P3619" i="5"/>
  <c r="Q3619" i="5" s="1"/>
  <c r="AA3618" i="5"/>
  <c r="P3618" i="5"/>
  <c r="Q3618" i="5" s="1"/>
  <c r="AA3617" i="5"/>
  <c r="P3617" i="5"/>
  <c r="Q3617" i="5" s="1"/>
  <c r="AA3616" i="5"/>
  <c r="P3616" i="5"/>
  <c r="Q3616" i="5" s="1"/>
  <c r="AA3615" i="5"/>
  <c r="P3615" i="5"/>
  <c r="Q3615" i="5" s="1"/>
  <c r="AA3614" i="5"/>
  <c r="P3614" i="5"/>
  <c r="Q3614" i="5" s="1"/>
  <c r="AA3613" i="5"/>
  <c r="Q3613" i="5"/>
  <c r="P3613" i="5"/>
  <c r="AA3612" i="5"/>
  <c r="P3612" i="5"/>
  <c r="Q3612" i="5" s="1"/>
  <c r="AA3611" i="5"/>
  <c r="P3611" i="5"/>
  <c r="Q3611" i="5" s="1"/>
  <c r="AA3610" i="5"/>
  <c r="Q3610" i="5"/>
  <c r="P3610" i="5"/>
  <c r="AA3609" i="5"/>
  <c r="P3609" i="5"/>
  <c r="Q3609" i="5" s="1"/>
  <c r="AA3608" i="5"/>
  <c r="P3608" i="5"/>
  <c r="Q3608" i="5" s="1"/>
  <c r="AA3607" i="5"/>
  <c r="P3607" i="5"/>
  <c r="Q3607" i="5" s="1"/>
  <c r="AA3606" i="5"/>
  <c r="P3606" i="5"/>
  <c r="Q3606" i="5" s="1"/>
  <c r="AA3605" i="5"/>
  <c r="P3605" i="5"/>
  <c r="Q3605" i="5" s="1"/>
  <c r="AA3604" i="5"/>
  <c r="P3604" i="5"/>
  <c r="Q3604" i="5" s="1"/>
  <c r="AA3603" i="5"/>
  <c r="P3603" i="5"/>
  <c r="Q3603" i="5" s="1"/>
  <c r="AA3602" i="5"/>
  <c r="P3602" i="5"/>
  <c r="Q3602" i="5" s="1"/>
  <c r="AA3601" i="5"/>
  <c r="P3601" i="5"/>
  <c r="Q3601" i="5" s="1"/>
  <c r="AA3600" i="5"/>
  <c r="P3600" i="5"/>
  <c r="Q3600" i="5" s="1"/>
  <c r="AA3599" i="5"/>
  <c r="Q3599" i="5"/>
  <c r="P3599" i="5"/>
  <c r="AA3598" i="5"/>
  <c r="P3598" i="5"/>
  <c r="Q3598" i="5" s="1"/>
  <c r="AA3597" i="5"/>
  <c r="P3597" i="5"/>
  <c r="Q3597" i="5" s="1"/>
  <c r="AA3596" i="5"/>
  <c r="P3596" i="5"/>
  <c r="Q3596" i="5" s="1"/>
  <c r="AA3595" i="5"/>
  <c r="P3595" i="5"/>
  <c r="Q3595" i="5" s="1"/>
  <c r="AA3594" i="5"/>
  <c r="Q3594" i="5"/>
  <c r="P3594" i="5"/>
  <c r="AA3593" i="5"/>
  <c r="P3593" i="5"/>
  <c r="Q3593" i="5" s="1"/>
  <c r="AA3592" i="5"/>
  <c r="Q3592" i="5"/>
  <c r="P3592" i="5"/>
  <c r="AA3591" i="5"/>
  <c r="P3591" i="5"/>
  <c r="Q3591" i="5" s="1"/>
  <c r="AA3590" i="5"/>
  <c r="P3590" i="5"/>
  <c r="Q3590" i="5" s="1"/>
  <c r="AA3589" i="5"/>
  <c r="P3589" i="5"/>
  <c r="Q3589" i="5" s="1"/>
  <c r="AA3588" i="5"/>
  <c r="P3588" i="5"/>
  <c r="Q3588" i="5" s="1"/>
  <c r="AA3587" i="5"/>
  <c r="Q3587" i="5"/>
  <c r="P3587" i="5"/>
  <c r="AA3586" i="5"/>
  <c r="P3586" i="5"/>
  <c r="Q3586" i="5" s="1"/>
  <c r="AA3585" i="5"/>
  <c r="P3585" i="5"/>
  <c r="Q3585" i="5" s="1"/>
  <c r="AA3584" i="5"/>
  <c r="P3584" i="5"/>
  <c r="Q3584" i="5" s="1"/>
  <c r="AA3583" i="5"/>
  <c r="P3583" i="5"/>
  <c r="Q3583" i="5" s="1"/>
  <c r="AA3582" i="5"/>
  <c r="Q3582" i="5"/>
  <c r="P3582" i="5"/>
  <c r="AA3581" i="5"/>
  <c r="Q3581" i="5"/>
  <c r="P3581" i="5"/>
  <c r="AA3580" i="5"/>
  <c r="P3580" i="5"/>
  <c r="Q3580" i="5" s="1"/>
  <c r="AA3579" i="5"/>
  <c r="P3579" i="5"/>
  <c r="Q3579" i="5" s="1"/>
  <c r="AA3578" i="5"/>
  <c r="P3578" i="5"/>
  <c r="Q3578" i="5" s="1"/>
  <c r="AA3577" i="5"/>
  <c r="P3577" i="5"/>
  <c r="Q3577" i="5" s="1"/>
  <c r="AA3576" i="5"/>
  <c r="Q3576" i="5"/>
  <c r="P3576" i="5"/>
  <c r="AA3575" i="5"/>
  <c r="Q3575" i="5"/>
  <c r="P3575" i="5"/>
  <c r="AA3574" i="5"/>
  <c r="P3574" i="5"/>
  <c r="Q3574" i="5" s="1"/>
  <c r="AA3573" i="5"/>
  <c r="P3573" i="5"/>
  <c r="Q3573" i="5" s="1"/>
  <c r="AA3572" i="5"/>
  <c r="Q3572" i="5"/>
  <c r="P3572" i="5"/>
  <c r="AA3571" i="5"/>
  <c r="P3571" i="5"/>
  <c r="Q3571" i="5" s="1"/>
  <c r="AA3570" i="5"/>
  <c r="P3570" i="5"/>
  <c r="Q3570" i="5" s="1"/>
  <c r="AA3569" i="5"/>
  <c r="P3569" i="5"/>
  <c r="Q3569" i="5" s="1"/>
  <c r="AA3568" i="5"/>
  <c r="Q3568" i="5"/>
  <c r="P3568" i="5"/>
  <c r="AA3567" i="5"/>
  <c r="P3567" i="5"/>
  <c r="Q3567" i="5" s="1"/>
  <c r="AA3566" i="5"/>
  <c r="P3566" i="5"/>
  <c r="Q3566" i="5" s="1"/>
  <c r="AA3565" i="5"/>
  <c r="Q3565" i="5"/>
  <c r="P3565" i="5"/>
  <c r="AA3564" i="5"/>
  <c r="P3564" i="5"/>
  <c r="Q3564" i="5" s="1"/>
  <c r="AA3563" i="5"/>
  <c r="P3563" i="5"/>
  <c r="Q3563" i="5" s="1"/>
  <c r="AA3562" i="5"/>
  <c r="P3562" i="5"/>
  <c r="Q3562" i="5" s="1"/>
  <c r="AA3561" i="5"/>
  <c r="P3561" i="5"/>
  <c r="Q3561" i="5" s="1"/>
  <c r="AA3560" i="5"/>
  <c r="P3560" i="5"/>
  <c r="Q3560" i="5" s="1"/>
  <c r="AA3559" i="5"/>
  <c r="P3559" i="5"/>
  <c r="Q3559" i="5" s="1"/>
  <c r="AA3558" i="5"/>
  <c r="Q3558" i="5"/>
  <c r="P3558" i="5"/>
  <c r="AA3557" i="5"/>
  <c r="P3557" i="5"/>
  <c r="Q3557" i="5" s="1"/>
  <c r="AA3556" i="5"/>
  <c r="Q3556" i="5"/>
  <c r="P3556" i="5"/>
  <c r="AA3555" i="5"/>
  <c r="Q3555" i="5"/>
  <c r="P3555" i="5"/>
  <c r="AA3554" i="5"/>
  <c r="P3554" i="5"/>
  <c r="Q3554" i="5" s="1"/>
  <c r="AA3553" i="5"/>
  <c r="P3553" i="5"/>
  <c r="Q3553" i="5" s="1"/>
  <c r="AA3552" i="5"/>
  <c r="P3552" i="5"/>
  <c r="Q3552" i="5" s="1"/>
  <c r="AA3551" i="5"/>
  <c r="P3551" i="5"/>
  <c r="Q3551" i="5" s="1"/>
  <c r="AA3550" i="5"/>
  <c r="Q3550" i="5"/>
  <c r="P3550" i="5"/>
  <c r="AA3549" i="5"/>
  <c r="P3549" i="5"/>
  <c r="Q3549" i="5" s="1"/>
  <c r="AA3548" i="5"/>
  <c r="P3548" i="5"/>
  <c r="Q3548" i="5" s="1"/>
  <c r="AA3547" i="5"/>
  <c r="Q3547" i="5"/>
  <c r="P3547" i="5"/>
  <c r="AA3546" i="5"/>
  <c r="P3546" i="5"/>
  <c r="Q3546" i="5" s="1"/>
  <c r="AA3545" i="5"/>
  <c r="P3545" i="5"/>
  <c r="Q3545" i="5" s="1"/>
  <c r="AA3544" i="5"/>
  <c r="Q3544" i="5"/>
  <c r="P3544" i="5"/>
  <c r="AA3543" i="5"/>
  <c r="P3543" i="5"/>
  <c r="Q3543" i="5" s="1"/>
  <c r="AA3542" i="5"/>
  <c r="P3542" i="5"/>
  <c r="Q3542" i="5" s="1"/>
  <c r="AA3541" i="5"/>
  <c r="Q3541" i="5"/>
  <c r="P3541" i="5"/>
  <c r="AA3540" i="5"/>
  <c r="P3540" i="5"/>
  <c r="Q3540" i="5" s="1"/>
  <c r="AA3539" i="5"/>
  <c r="P3539" i="5"/>
  <c r="Q3539" i="5" s="1"/>
  <c r="AA3538" i="5"/>
  <c r="P3538" i="5"/>
  <c r="Q3538" i="5" s="1"/>
  <c r="AA3537" i="5"/>
  <c r="P3537" i="5"/>
  <c r="Q3537" i="5" s="1"/>
  <c r="AA3536" i="5"/>
  <c r="Q3536" i="5"/>
  <c r="P3536" i="5"/>
  <c r="AA3535" i="5"/>
  <c r="P3535" i="5"/>
  <c r="Q3535" i="5" s="1"/>
  <c r="AA3534" i="5"/>
  <c r="Q3534" i="5"/>
  <c r="P3534" i="5"/>
  <c r="AA3533" i="5"/>
  <c r="Q3533" i="5"/>
  <c r="P3533" i="5"/>
  <c r="AA3532" i="5"/>
  <c r="P3532" i="5"/>
  <c r="Q3532" i="5" s="1"/>
  <c r="AA3531" i="5"/>
  <c r="P3531" i="5"/>
  <c r="Q3531" i="5" s="1"/>
  <c r="AA3530" i="5"/>
  <c r="Q3530" i="5"/>
  <c r="P3530" i="5"/>
  <c r="AA3529" i="5"/>
  <c r="P3529" i="5"/>
  <c r="Q3529" i="5" s="1"/>
  <c r="AA3528" i="5"/>
  <c r="P3528" i="5"/>
  <c r="Q3528" i="5" s="1"/>
  <c r="AA3527" i="5"/>
  <c r="Q3527" i="5"/>
  <c r="P3527" i="5"/>
  <c r="AA3526" i="5"/>
  <c r="P3526" i="5"/>
  <c r="Q3526" i="5" s="1"/>
  <c r="AA3525" i="5"/>
  <c r="P3525" i="5"/>
  <c r="Q3525" i="5" s="1"/>
  <c r="AA3524" i="5"/>
  <c r="P3524" i="5"/>
  <c r="Q3524" i="5" s="1"/>
  <c r="AA3523" i="5"/>
  <c r="P3523" i="5"/>
  <c r="Q3523" i="5" s="1"/>
  <c r="AA3522" i="5"/>
  <c r="P3522" i="5"/>
  <c r="Q3522" i="5" s="1"/>
  <c r="AA3521" i="5"/>
  <c r="P3521" i="5"/>
  <c r="Q3521" i="5" s="1"/>
  <c r="AA3520" i="5"/>
  <c r="P3520" i="5"/>
  <c r="Q3520" i="5" s="1"/>
  <c r="AA3519" i="5"/>
  <c r="P3519" i="5"/>
  <c r="Q3519" i="5" s="1"/>
  <c r="AA3518" i="5"/>
  <c r="P3518" i="5"/>
  <c r="Q3518" i="5" s="1"/>
  <c r="AA3517" i="5"/>
  <c r="P3517" i="5"/>
  <c r="Q3517" i="5" s="1"/>
  <c r="AA3516" i="5"/>
  <c r="P3516" i="5"/>
  <c r="Q3516" i="5" s="1"/>
  <c r="AA3515" i="5"/>
  <c r="Q3515" i="5"/>
  <c r="P3515" i="5"/>
  <c r="AA3514" i="5"/>
  <c r="P3514" i="5"/>
  <c r="Q3514" i="5" s="1"/>
  <c r="AA3513" i="5"/>
  <c r="P3513" i="5"/>
  <c r="Q3513" i="5" s="1"/>
  <c r="AA3512" i="5"/>
  <c r="P3512" i="5"/>
  <c r="Q3512" i="5" s="1"/>
  <c r="AA3511" i="5"/>
  <c r="P3511" i="5"/>
  <c r="Q3511" i="5" s="1"/>
  <c r="AA3510" i="5"/>
  <c r="P3510" i="5"/>
  <c r="Q3510" i="5" s="1"/>
  <c r="AA3509" i="5"/>
  <c r="Q3509" i="5"/>
  <c r="P3509" i="5"/>
  <c r="AA3508" i="5"/>
  <c r="P3508" i="5"/>
  <c r="Q3508" i="5" s="1"/>
  <c r="AA3507" i="5"/>
  <c r="Q3507" i="5"/>
  <c r="P3507" i="5"/>
  <c r="AA3506" i="5"/>
  <c r="P3506" i="5"/>
  <c r="Q3506" i="5" s="1"/>
  <c r="AA3505" i="5"/>
  <c r="P3505" i="5"/>
  <c r="Q3505" i="5" s="1"/>
  <c r="AA3504" i="5"/>
  <c r="P3504" i="5"/>
  <c r="Q3504" i="5" s="1"/>
  <c r="AA3503" i="5"/>
  <c r="P3503" i="5"/>
  <c r="Q3503" i="5" s="1"/>
  <c r="AA3502" i="5"/>
  <c r="P3502" i="5"/>
  <c r="Q3502" i="5" s="1"/>
  <c r="AA3501" i="5"/>
  <c r="P3501" i="5"/>
  <c r="Q3501" i="5" s="1"/>
  <c r="AA3500" i="5"/>
  <c r="P3500" i="5"/>
  <c r="Q3500" i="5" s="1"/>
  <c r="AA3499" i="5"/>
  <c r="P3499" i="5"/>
  <c r="Q3499" i="5" s="1"/>
  <c r="AA3498" i="5"/>
  <c r="Q3498" i="5"/>
  <c r="P3498" i="5"/>
  <c r="AA3497" i="5"/>
  <c r="P3497" i="5"/>
  <c r="Q3497" i="5" s="1"/>
  <c r="AA3496" i="5"/>
  <c r="P3496" i="5"/>
  <c r="Q3496" i="5" s="1"/>
  <c r="AA3495" i="5"/>
  <c r="P3495" i="5"/>
  <c r="Q3495" i="5" s="1"/>
  <c r="AA3494" i="5"/>
  <c r="P3494" i="5"/>
  <c r="Q3494" i="5" s="1"/>
  <c r="AA3493" i="5"/>
  <c r="P3493" i="5"/>
  <c r="Q3493" i="5" s="1"/>
  <c r="AA3492" i="5"/>
  <c r="Q3492" i="5"/>
  <c r="P3492" i="5"/>
  <c r="AA3491" i="5"/>
  <c r="P3491" i="5"/>
  <c r="Q3491" i="5" s="1"/>
  <c r="AA3490" i="5"/>
  <c r="P3490" i="5"/>
  <c r="Q3490" i="5" s="1"/>
  <c r="AA3489" i="5"/>
  <c r="P3489" i="5"/>
  <c r="Q3489" i="5" s="1"/>
  <c r="AA3488" i="5"/>
  <c r="P3488" i="5"/>
  <c r="Q3488" i="5" s="1"/>
  <c r="AA3487" i="5"/>
  <c r="P3487" i="5"/>
  <c r="Q3487" i="5" s="1"/>
  <c r="AA3486" i="5"/>
  <c r="P3486" i="5"/>
  <c r="Q3486" i="5" s="1"/>
  <c r="AA3485" i="5"/>
  <c r="Q3485" i="5"/>
  <c r="P3485" i="5"/>
  <c r="AA3484" i="5"/>
  <c r="P3484" i="5"/>
  <c r="Q3484" i="5" s="1"/>
  <c r="AA3483" i="5"/>
  <c r="Q3483" i="5"/>
  <c r="P3483" i="5"/>
  <c r="AA3482" i="5"/>
  <c r="P3482" i="5"/>
  <c r="Q3482" i="5" s="1"/>
  <c r="AA3481" i="5"/>
  <c r="P3481" i="5"/>
  <c r="Q3481" i="5" s="1"/>
  <c r="AA3480" i="5"/>
  <c r="P3480" i="5"/>
  <c r="Q3480" i="5" s="1"/>
  <c r="AA3479" i="5"/>
  <c r="P3479" i="5"/>
  <c r="Q3479" i="5" s="1"/>
  <c r="AA3478" i="5"/>
  <c r="Q3478" i="5"/>
  <c r="P3478" i="5"/>
  <c r="AA3477" i="5"/>
  <c r="P3477" i="5"/>
  <c r="Q3477" i="5" s="1"/>
  <c r="AA3476" i="5"/>
  <c r="P3476" i="5"/>
  <c r="Q3476" i="5" s="1"/>
  <c r="AA3475" i="5"/>
  <c r="P3475" i="5"/>
  <c r="Q3475" i="5" s="1"/>
  <c r="AA3474" i="5"/>
  <c r="P3474" i="5"/>
  <c r="Q3474" i="5" s="1"/>
  <c r="AA3473" i="5"/>
  <c r="P3473" i="5"/>
  <c r="Q3473" i="5" s="1"/>
  <c r="AA3472" i="5"/>
  <c r="P3472" i="5"/>
  <c r="Q3472" i="5" s="1"/>
  <c r="AA3471" i="5"/>
  <c r="P3471" i="5"/>
  <c r="Q3471" i="5" s="1"/>
  <c r="AA3470" i="5"/>
  <c r="Q3470" i="5"/>
  <c r="P3470" i="5"/>
  <c r="AA3469" i="5"/>
  <c r="P3469" i="5"/>
  <c r="Q3469" i="5" s="1"/>
  <c r="AA3468" i="5"/>
  <c r="P3468" i="5"/>
  <c r="Q3468" i="5" s="1"/>
  <c r="AA3467" i="5"/>
  <c r="Q3467" i="5"/>
  <c r="P3467" i="5"/>
  <c r="AA3466" i="5"/>
  <c r="P3466" i="5"/>
  <c r="Q3466" i="5" s="1"/>
  <c r="AA3465" i="5"/>
  <c r="P3465" i="5"/>
  <c r="Q3465" i="5" s="1"/>
  <c r="AA3464" i="5"/>
  <c r="P3464" i="5"/>
  <c r="Q3464" i="5" s="1"/>
  <c r="AA3463" i="5"/>
  <c r="P3463" i="5"/>
  <c r="Q3463" i="5" s="1"/>
  <c r="AA3462" i="5"/>
  <c r="P3462" i="5"/>
  <c r="Q3462" i="5" s="1"/>
  <c r="AA3461" i="5"/>
  <c r="P3461" i="5"/>
  <c r="Q3461" i="5" s="1"/>
  <c r="AA3460" i="5"/>
  <c r="Q3460" i="5"/>
  <c r="P3460" i="5"/>
  <c r="AA3459" i="5"/>
  <c r="P3459" i="5"/>
  <c r="Q3459" i="5" s="1"/>
  <c r="AA3458" i="5"/>
  <c r="Q3458" i="5"/>
  <c r="P3458" i="5"/>
  <c r="AA3457" i="5"/>
  <c r="P3457" i="5"/>
  <c r="Q3457" i="5" s="1"/>
  <c r="AA3456" i="5"/>
  <c r="Q3456" i="5"/>
  <c r="P3456" i="5"/>
  <c r="AA3455" i="5"/>
  <c r="P3455" i="5"/>
  <c r="Q3455" i="5" s="1"/>
  <c r="AA3454" i="5"/>
  <c r="P3454" i="5"/>
  <c r="Q3454" i="5" s="1"/>
  <c r="AA3453" i="5"/>
  <c r="P3453" i="5"/>
  <c r="Q3453" i="5" s="1"/>
  <c r="AA3452" i="5"/>
  <c r="P3452" i="5"/>
  <c r="Q3452" i="5" s="1"/>
  <c r="AA3451" i="5"/>
  <c r="P3451" i="5"/>
  <c r="Q3451" i="5" s="1"/>
  <c r="AA3450" i="5"/>
  <c r="P3450" i="5"/>
  <c r="Q3450" i="5" s="1"/>
  <c r="AA3449" i="5"/>
  <c r="Q3449" i="5"/>
  <c r="P3449" i="5"/>
  <c r="AA3448" i="5"/>
  <c r="P3448" i="5"/>
  <c r="Q3448" i="5" s="1"/>
  <c r="AA3447" i="5"/>
  <c r="P3447" i="5"/>
  <c r="Q3447" i="5" s="1"/>
  <c r="AA3446" i="5"/>
  <c r="Q3446" i="5"/>
  <c r="P3446" i="5"/>
  <c r="AA3445" i="5"/>
  <c r="P3445" i="5"/>
  <c r="Q3445" i="5" s="1"/>
  <c r="AA3444" i="5"/>
  <c r="P3444" i="5"/>
  <c r="Q3444" i="5" s="1"/>
  <c r="AA3443" i="5"/>
  <c r="Q3443" i="5"/>
  <c r="P3443" i="5"/>
  <c r="AA3442" i="5"/>
  <c r="P3442" i="5"/>
  <c r="Q3442" i="5" s="1"/>
  <c r="AA3441" i="5"/>
  <c r="P3441" i="5"/>
  <c r="Q3441" i="5" s="1"/>
  <c r="AA3440" i="5"/>
  <c r="P3440" i="5"/>
  <c r="Q3440" i="5" s="1"/>
  <c r="AA3439" i="5"/>
  <c r="P3439" i="5"/>
  <c r="Q3439" i="5" s="1"/>
  <c r="AA3438" i="5"/>
  <c r="Q3438" i="5"/>
  <c r="P3438" i="5"/>
  <c r="AA3437" i="5"/>
  <c r="P3437" i="5"/>
  <c r="Q3437" i="5" s="1"/>
  <c r="AA3436" i="5"/>
  <c r="P3436" i="5"/>
  <c r="Q3436" i="5" s="1"/>
  <c r="AA3435" i="5"/>
  <c r="P3435" i="5"/>
  <c r="Q3435" i="5" s="1"/>
  <c r="AA3434" i="5"/>
  <c r="P3434" i="5"/>
  <c r="Q3434" i="5" s="1"/>
  <c r="AA3433" i="5"/>
  <c r="P3433" i="5"/>
  <c r="Q3433" i="5" s="1"/>
  <c r="AA3432" i="5"/>
  <c r="Q3432" i="5"/>
  <c r="P3432" i="5"/>
  <c r="AA3431" i="5"/>
  <c r="Q3431" i="5"/>
  <c r="P3431" i="5"/>
  <c r="AA3430" i="5"/>
  <c r="P3430" i="5"/>
  <c r="Q3430" i="5" s="1"/>
  <c r="AA3429" i="5"/>
  <c r="Q3429" i="5"/>
  <c r="P3429" i="5"/>
  <c r="AA3428" i="5"/>
  <c r="P3428" i="5"/>
  <c r="Q3428" i="5" s="1"/>
  <c r="AA3427" i="5"/>
  <c r="Q3427" i="5"/>
  <c r="P3427" i="5"/>
  <c r="AA3426" i="5"/>
  <c r="P3426" i="5"/>
  <c r="Q3426" i="5" s="1"/>
  <c r="AA3425" i="5"/>
  <c r="P3425" i="5"/>
  <c r="Q3425" i="5" s="1"/>
  <c r="AA3424" i="5"/>
  <c r="P3424" i="5"/>
  <c r="Q3424" i="5" s="1"/>
  <c r="AA3423" i="5"/>
  <c r="Q3423" i="5"/>
  <c r="P3423" i="5"/>
  <c r="AA3422" i="5"/>
  <c r="P3422" i="5"/>
  <c r="Q3422" i="5" s="1"/>
  <c r="AA3421" i="5"/>
  <c r="P3421" i="5"/>
  <c r="Q3421" i="5" s="1"/>
  <c r="AA3420" i="5"/>
  <c r="Q3420" i="5"/>
  <c r="P3420" i="5"/>
  <c r="AA3419" i="5"/>
  <c r="P3419" i="5"/>
  <c r="Q3419" i="5" s="1"/>
  <c r="AA3418" i="5"/>
  <c r="P3418" i="5"/>
  <c r="Q3418" i="5" s="1"/>
  <c r="AA3417" i="5"/>
  <c r="Q3417" i="5"/>
  <c r="P3417" i="5"/>
  <c r="AA3416" i="5"/>
  <c r="P3416" i="5"/>
  <c r="Q3416" i="5" s="1"/>
  <c r="AA3415" i="5"/>
  <c r="P3415" i="5"/>
  <c r="Q3415" i="5" s="1"/>
  <c r="AA3414" i="5"/>
  <c r="P3414" i="5"/>
  <c r="Q3414" i="5" s="1"/>
  <c r="AA3413" i="5"/>
  <c r="P3413" i="5"/>
  <c r="Q3413" i="5" s="1"/>
  <c r="AA3412" i="5"/>
  <c r="P3412" i="5"/>
  <c r="Q3412" i="5" s="1"/>
  <c r="AA3411" i="5"/>
  <c r="P3411" i="5"/>
  <c r="Q3411" i="5" s="1"/>
  <c r="AA3410" i="5"/>
  <c r="P3410" i="5"/>
  <c r="Q3410" i="5" s="1"/>
  <c r="AA3409" i="5"/>
  <c r="P3409" i="5"/>
  <c r="Q3409" i="5" s="1"/>
  <c r="AA3408" i="5"/>
  <c r="P3408" i="5"/>
  <c r="Q3408" i="5" s="1"/>
  <c r="AA3407" i="5"/>
  <c r="P3407" i="5"/>
  <c r="Q3407" i="5" s="1"/>
  <c r="AA3406" i="5"/>
  <c r="P3406" i="5"/>
  <c r="Q3406" i="5" s="1"/>
  <c r="AA3405" i="5"/>
  <c r="P3405" i="5"/>
  <c r="Q3405" i="5" s="1"/>
  <c r="AA3404" i="5"/>
  <c r="Q3404" i="5"/>
  <c r="P3404" i="5"/>
  <c r="AA3403" i="5"/>
  <c r="Q3403" i="5"/>
  <c r="P3403" i="5"/>
  <c r="AA3402" i="5"/>
  <c r="P3402" i="5"/>
  <c r="Q3402" i="5" s="1"/>
  <c r="AA3401" i="5"/>
  <c r="P3401" i="5"/>
  <c r="Q3401" i="5" s="1"/>
  <c r="AA3400" i="5"/>
  <c r="Q3400" i="5"/>
  <c r="P3400" i="5"/>
  <c r="AA3399" i="5"/>
  <c r="P3399" i="5"/>
  <c r="Q3399" i="5" s="1"/>
  <c r="AA3398" i="5"/>
  <c r="P3398" i="5"/>
  <c r="Q3398" i="5" s="1"/>
  <c r="AA3397" i="5"/>
  <c r="P3397" i="5"/>
  <c r="Q3397" i="5" s="1"/>
  <c r="AA3396" i="5"/>
  <c r="Q3396" i="5"/>
  <c r="P3396" i="5"/>
  <c r="AA3395" i="5"/>
  <c r="P3395" i="5"/>
  <c r="Q3395" i="5" s="1"/>
  <c r="AA3394" i="5"/>
  <c r="Q3394" i="5"/>
  <c r="P3394" i="5"/>
  <c r="AA3393" i="5"/>
  <c r="P3393" i="5"/>
  <c r="Q3393" i="5" s="1"/>
  <c r="AA3392" i="5"/>
  <c r="P3392" i="5"/>
  <c r="Q3392" i="5" s="1"/>
  <c r="AA3391" i="5"/>
  <c r="P3391" i="5"/>
  <c r="Q3391" i="5" s="1"/>
  <c r="AA3390" i="5"/>
  <c r="P3390" i="5"/>
  <c r="Q3390" i="5" s="1"/>
  <c r="AA3389" i="5"/>
  <c r="P3389" i="5"/>
  <c r="Q3389" i="5" s="1"/>
  <c r="AA3388" i="5"/>
  <c r="Q3388" i="5"/>
  <c r="P3388" i="5"/>
  <c r="AA3387" i="5"/>
  <c r="Q3387" i="5"/>
  <c r="P3387" i="5"/>
  <c r="AA3386" i="5"/>
  <c r="P3386" i="5"/>
  <c r="Q3386" i="5" s="1"/>
  <c r="AA3385" i="5"/>
  <c r="Q3385" i="5"/>
  <c r="P3385" i="5"/>
  <c r="AA3384" i="5"/>
  <c r="P3384" i="5"/>
  <c r="Q3384" i="5" s="1"/>
  <c r="AA3383" i="5"/>
  <c r="Q3383" i="5"/>
  <c r="P3383" i="5"/>
  <c r="AA3382" i="5"/>
  <c r="Q3382" i="5"/>
  <c r="P3382" i="5"/>
  <c r="AA3381" i="5"/>
  <c r="P3381" i="5"/>
  <c r="Q3381" i="5" s="1"/>
  <c r="AA3380" i="5"/>
  <c r="P3380" i="5"/>
  <c r="Q3380" i="5" s="1"/>
  <c r="AA3379" i="5"/>
  <c r="P3379" i="5"/>
  <c r="Q3379" i="5" s="1"/>
  <c r="AA3378" i="5"/>
  <c r="Q3378" i="5"/>
  <c r="P3378" i="5"/>
  <c r="AA3377" i="5"/>
  <c r="P3377" i="5"/>
  <c r="Q3377" i="5" s="1"/>
  <c r="AA3376" i="5"/>
  <c r="Q3376" i="5"/>
  <c r="P3376" i="5"/>
  <c r="AA3375" i="5"/>
  <c r="Q3375" i="5"/>
  <c r="P3375" i="5"/>
  <c r="AA3374" i="5"/>
  <c r="Q3374" i="5"/>
  <c r="P3374" i="5"/>
  <c r="AA3373" i="5"/>
  <c r="P3373" i="5"/>
  <c r="Q3373" i="5" s="1"/>
  <c r="AA3372" i="5"/>
  <c r="Q3372" i="5"/>
  <c r="P3372" i="5"/>
  <c r="AA3371" i="5"/>
  <c r="P3371" i="5"/>
  <c r="Q3371" i="5" s="1"/>
  <c r="AA3370" i="5"/>
  <c r="P3370" i="5"/>
  <c r="Q3370" i="5" s="1"/>
  <c r="AA3369" i="5"/>
  <c r="Q3369" i="5"/>
  <c r="P3369" i="5"/>
  <c r="AA3368" i="5"/>
  <c r="P3368" i="5"/>
  <c r="Q3368" i="5" s="1"/>
  <c r="AA3367" i="5"/>
  <c r="P3367" i="5"/>
  <c r="Q3367" i="5" s="1"/>
  <c r="AA3366" i="5"/>
  <c r="P3366" i="5"/>
  <c r="Q3366" i="5" s="1"/>
  <c r="AA3365" i="5"/>
  <c r="Q3365" i="5"/>
  <c r="P3365" i="5"/>
  <c r="AA3364" i="5"/>
  <c r="P3364" i="5"/>
  <c r="Q3364" i="5" s="1"/>
  <c r="AA3363" i="5"/>
  <c r="P3363" i="5"/>
  <c r="Q3363" i="5" s="1"/>
  <c r="AA3362" i="5"/>
  <c r="P3362" i="5"/>
  <c r="Q3362" i="5" s="1"/>
  <c r="AA3361" i="5"/>
  <c r="P3361" i="5"/>
  <c r="Q3361" i="5" s="1"/>
  <c r="AA3360" i="5"/>
  <c r="Q3360" i="5"/>
  <c r="P3360" i="5"/>
  <c r="AA3359" i="5"/>
  <c r="P3359" i="5"/>
  <c r="Q3359" i="5" s="1"/>
  <c r="AA3358" i="5"/>
  <c r="P3358" i="5"/>
  <c r="Q3358" i="5" s="1"/>
  <c r="AA3357" i="5"/>
  <c r="P3357" i="5"/>
  <c r="Q3357" i="5" s="1"/>
  <c r="AA3356" i="5"/>
  <c r="P3356" i="5"/>
  <c r="Q3356" i="5" s="1"/>
  <c r="AA3355" i="5"/>
  <c r="P3355" i="5"/>
  <c r="Q3355" i="5" s="1"/>
  <c r="AA3354" i="5"/>
  <c r="Q3354" i="5"/>
  <c r="P3354" i="5"/>
  <c r="AA3353" i="5"/>
  <c r="P3353" i="5"/>
  <c r="Q3353" i="5" s="1"/>
  <c r="AA3352" i="5"/>
  <c r="P3352" i="5"/>
  <c r="Q3352" i="5" s="1"/>
  <c r="AA3351" i="5"/>
  <c r="P3351" i="5"/>
  <c r="Q3351" i="5" s="1"/>
  <c r="AA3350" i="5"/>
  <c r="P3350" i="5"/>
  <c r="Q3350" i="5" s="1"/>
  <c r="AA3349" i="5"/>
  <c r="P3349" i="5"/>
  <c r="Q3349" i="5" s="1"/>
  <c r="AA3348" i="5"/>
  <c r="P3348" i="5"/>
  <c r="Q3348" i="5" s="1"/>
  <c r="AA3347" i="5"/>
  <c r="Q3347" i="5"/>
  <c r="P3347" i="5"/>
  <c r="AA3346" i="5"/>
  <c r="P3346" i="5"/>
  <c r="Q3346" i="5" s="1"/>
  <c r="AA3345" i="5"/>
  <c r="P3345" i="5"/>
  <c r="Q3345" i="5" s="1"/>
  <c r="AA3344" i="5"/>
  <c r="P3344" i="5"/>
  <c r="Q3344" i="5" s="1"/>
  <c r="AA3343" i="5"/>
  <c r="Q3343" i="5"/>
  <c r="P3343" i="5"/>
  <c r="AA3342" i="5"/>
  <c r="P3342" i="5"/>
  <c r="Q3342" i="5" s="1"/>
  <c r="AA3341" i="5"/>
  <c r="P3341" i="5"/>
  <c r="Q3341" i="5" s="1"/>
  <c r="AA3340" i="5"/>
  <c r="Q3340" i="5"/>
  <c r="P3340" i="5"/>
  <c r="AA3339" i="5"/>
  <c r="P3339" i="5"/>
  <c r="Q3339" i="5" s="1"/>
  <c r="AA3338" i="5"/>
  <c r="P3338" i="5"/>
  <c r="Q3338" i="5" s="1"/>
  <c r="AA3337" i="5"/>
  <c r="Q3337" i="5"/>
  <c r="P3337" i="5"/>
  <c r="AA3336" i="5"/>
  <c r="Q3336" i="5"/>
  <c r="P3336" i="5"/>
  <c r="AA3335" i="5"/>
  <c r="P3335" i="5"/>
  <c r="Q3335" i="5" s="1"/>
  <c r="AA3334" i="5"/>
  <c r="P3334" i="5"/>
  <c r="Q3334" i="5" s="1"/>
  <c r="AA3333" i="5"/>
  <c r="P3333" i="5"/>
  <c r="Q3333" i="5" s="1"/>
  <c r="AA3332" i="5"/>
  <c r="P3332" i="5"/>
  <c r="Q3332" i="5" s="1"/>
  <c r="AA3331" i="5"/>
  <c r="Q3331" i="5"/>
  <c r="P3331" i="5"/>
  <c r="AA3330" i="5"/>
  <c r="Q3330" i="5"/>
  <c r="P3330" i="5"/>
  <c r="AA3329" i="5"/>
  <c r="P3329" i="5"/>
  <c r="Q3329" i="5" s="1"/>
  <c r="AA3328" i="5"/>
  <c r="P3328" i="5"/>
  <c r="Q3328" i="5" s="1"/>
  <c r="AA3327" i="5"/>
  <c r="Q3327" i="5"/>
  <c r="P3327" i="5"/>
  <c r="AA3326" i="5"/>
  <c r="P3326" i="5"/>
  <c r="Q3326" i="5" s="1"/>
  <c r="AA3325" i="5"/>
  <c r="Q3325" i="5"/>
  <c r="P3325" i="5"/>
  <c r="AA3324" i="5"/>
  <c r="Q3324" i="5"/>
  <c r="P3324" i="5"/>
  <c r="AA3323" i="5"/>
  <c r="P3323" i="5"/>
  <c r="Q3323" i="5" s="1"/>
  <c r="AA3322" i="5"/>
  <c r="P3322" i="5"/>
  <c r="Q3322" i="5" s="1"/>
  <c r="AA3321" i="5"/>
  <c r="P3321" i="5"/>
  <c r="Q3321" i="5" s="1"/>
  <c r="AA3320" i="5"/>
  <c r="Q3320" i="5"/>
  <c r="P3320" i="5"/>
  <c r="AA3319" i="5"/>
  <c r="Q3319" i="5"/>
  <c r="P3319" i="5"/>
  <c r="AA3318" i="5"/>
  <c r="P3318" i="5"/>
  <c r="Q3318" i="5" s="1"/>
  <c r="AA3317" i="5"/>
  <c r="P3317" i="5"/>
  <c r="Q3317" i="5" s="1"/>
  <c r="AA3316" i="5"/>
  <c r="Q3316" i="5"/>
  <c r="P3316" i="5"/>
  <c r="AA3315" i="5"/>
  <c r="P3315" i="5"/>
  <c r="Q3315" i="5" s="1"/>
  <c r="AA3314" i="5"/>
  <c r="P3314" i="5"/>
  <c r="Q3314" i="5" s="1"/>
  <c r="AA3313" i="5"/>
  <c r="P3313" i="5"/>
  <c r="Q3313" i="5" s="1"/>
  <c r="AA3312" i="5"/>
  <c r="P3312" i="5"/>
  <c r="Q3312" i="5" s="1"/>
  <c r="AA3311" i="5"/>
  <c r="P3311" i="5"/>
  <c r="Q3311" i="5" s="1"/>
  <c r="AA3310" i="5"/>
  <c r="P3310" i="5"/>
  <c r="Q3310" i="5" s="1"/>
  <c r="AA3309" i="5"/>
  <c r="P3309" i="5"/>
  <c r="Q3309" i="5" s="1"/>
  <c r="AA3308" i="5"/>
  <c r="Q3308" i="5"/>
  <c r="P3308" i="5"/>
  <c r="AA3307" i="5"/>
  <c r="P3307" i="5"/>
  <c r="Q3307" i="5" s="1"/>
  <c r="AA3306" i="5"/>
  <c r="P3306" i="5"/>
  <c r="Q3306" i="5" s="1"/>
  <c r="AA3305" i="5"/>
  <c r="Q3305" i="5"/>
  <c r="P3305" i="5"/>
  <c r="AA3304" i="5"/>
  <c r="P3304" i="5"/>
  <c r="Q3304" i="5" s="1"/>
  <c r="AA3303" i="5"/>
  <c r="P3303" i="5"/>
  <c r="Q3303" i="5" s="1"/>
  <c r="AA3302" i="5"/>
  <c r="P3302" i="5"/>
  <c r="Q3302" i="5" s="1"/>
  <c r="AA3301" i="5"/>
  <c r="P3301" i="5"/>
  <c r="Q3301" i="5" s="1"/>
  <c r="AA3300" i="5"/>
  <c r="P3300" i="5"/>
  <c r="Q3300" i="5" s="1"/>
  <c r="AA3299" i="5"/>
  <c r="P3299" i="5"/>
  <c r="Q3299" i="5" s="1"/>
  <c r="AA3298" i="5"/>
  <c r="P3298" i="5"/>
  <c r="Q3298" i="5" s="1"/>
  <c r="AA3297" i="5"/>
  <c r="P3297" i="5"/>
  <c r="Q3297" i="5" s="1"/>
  <c r="AA3296" i="5"/>
  <c r="Q3296" i="5"/>
  <c r="P3296" i="5"/>
  <c r="AA3295" i="5"/>
  <c r="P3295" i="5"/>
  <c r="Q3295" i="5" s="1"/>
  <c r="AA3294" i="5"/>
  <c r="Q3294" i="5"/>
  <c r="P3294" i="5"/>
  <c r="AA3293" i="5"/>
  <c r="P3293" i="5"/>
  <c r="Q3293" i="5" s="1"/>
  <c r="AA3292" i="5"/>
  <c r="P3292" i="5"/>
  <c r="Q3292" i="5" s="1"/>
  <c r="AA3291" i="5"/>
  <c r="P3291" i="5"/>
  <c r="Q3291" i="5" s="1"/>
  <c r="AA3290" i="5"/>
  <c r="P3290" i="5"/>
  <c r="Q3290" i="5" s="1"/>
  <c r="AA3289" i="5"/>
  <c r="P3289" i="5"/>
  <c r="Q3289" i="5" s="1"/>
  <c r="AA3288" i="5"/>
  <c r="Q3288" i="5"/>
  <c r="P3288" i="5"/>
  <c r="AA3287" i="5"/>
  <c r="Q3287" i="5"/>
  <c r="P3287" i="5"/>
  <c r="AA3286" i="5"/>
  <c r="P3286" i="5"/>
  <c r="Q3286" i="5" s="1"/>
  <c r="AA3285" i="5"/>
  <c r="Q3285" i="5"/>
  <c r="P3285" i="5"/>
  <c r="AA3284" i="5"/>
  <c r="P3284" i="5"/>
  <c r="Q3284" i="5" s="1"/>
  <c r="AA3283" i="5"/>
  <c r="P3283" i="5"/>
  <c r="Q3283" i="5" s="1"/>
  <c r="AA3282" i="5"/>
  <c r="P3282" i="5"/>
  <c r="Q3282" i="5" s="1"/>
  <c r="AA3281" i="5"/>
  <c r="P3281" i="5"/>
  <c r="Q3281" i="5" s="1"/>
  <c r="AA3280" i="5"/>
  <c r="Q3280" i="5"/>
  <c r="P3280" i="5"/>
  <c r="AA3279" i="5"/>
  <c r="P3279" i="5"/>
  <c r="Q3279" i="5" s="1"/>
  <c r="AA3278" i="5"/>
  <c r="Q3278" i="5"/>
  <c r="P3278" i="5"/>
  <c r="AA3277" i="5"/>
  <c r="Q3277" i="5"/>
  <c r="P3277" i="5"/>
  <c r="AA3276" i="5"/>
  <c r="P3276" i="5"/>
  <c r="Q3276" i="5" s="1"/>
  <c r="AA3275" i="5"/>
  <c r="P3275" i="5"/>
  <c r="Q3275" i="5" s="1"/>
  <c r="AA3274" i="5"/>
  <c r="Q3274" i="5"/>
  <c r="P3274" i="5"/>
  <c r="AA3273" i="5"/>
  <c r="P3273" i="5"/>
  <c r="Q3273" i="5" s="1"/>
  <c r="AA3272" i="5"/>
  <c r="P3272" i="5"/>
  <c r="Q3272" i="5" s="1"/>
  <c r="AA3271" i="5"/>
  <c r="Q3271" i="5"/>
  <c r="P3271" i="5"/>
  <c r="AA3270" i="5"/>
  <c r="P3270" i="5"/>
  <c r="Q3270" i="5" s="1"/>
  <c r="AA3269" i="5"/>
  <c r="P3269" i="5"/>
  <c r="Q3269" i="5" s="1"/>
  <c r="AA3268" i="5"/>
  <c r="P3268" i="5"/>
  <c r="Q3268" i="5" s="1"/>
  <c r="AA3267" i="5"/>
  <c r="P3267" i="5"/>
  <c r="Q3267" i="5" s="1"/>
  <c r="AA3266" i="5"/>
  <c r="P3266" i="5"/>
  <c r="Q3266" i="5" s="1"/>
  <c r="AA3265" i="5"/>
  <c r="P3265" i="5"/>
  <c r="Q3265" i="5" s="1"/>
  <c r="AA3264" i="5"/>
  <c r="P3264" i="5"/>
  <c r="Q3264" i="5" s="1"/>
  <c r="AA3263" i="5"/>
  <c r="Q3263" i="5"/>
  <c r="P3263" i="5"/>
  <c r="AA3262" i="5"/>
  <c r="Q3262" i="5"/>
  <c r="P3262" i="5"/>
  <c r="AA3261" i="5"/>
  <c r="P3261" i="5"/>
  <c r="Q3261" i="5" s="1"/>
  <c r="AA3260" i="5"/>
  <c r="Q3260" i="5"/>
  <c r="P3260" i="5"/>
  <c r="AA3259" i="5"/>
  <c r="Q3259" i="5"/>
  <c r="P3259" i="5"/>
  <c r="AA3258" i="5"/>
  <c r="P3258" i="5"/>
  <c r="Q3258" i="5" s="1"/>
  <c r="AA3257" i="5"/>
  <c r="Q3257" i="5"/>
  <c r="P3257" i="5"/>
  <c r="AA3256" i="5"/>
  <c r="Q3256" i="5"/>
  <c r="P3256" i="5"/>
  <c r="AA3255" i="5"/>
  <c r="P3255" i="5"/>
  <c r="Q3255" i="5" s="1"/>
  <c r="AA3254" i="5"/>
  <c r="P3254" i="5"/>
  <c r="Q3254" i="5" s="1"/>
  <c r="AA3253" i="5"/>
  <c r="P3253" i="5"/>
  <c r="Q3253" i="5" s="1"/>
  <c r="AA3252" i="5"/>
  <c r="P3252" i="5"/>
  <c r="Q3252" i="5" s="1"/>
  <c r="AA3251" i="5"/>
  <c r="P3251" i="5"/>
  <c r="Q3251" i="5" s="1"/>
  <c r="AA3250" i="5"/>
  <c r="Q3250" i="5"/>
  <c r="P3250" i="5"/>
  <c r="AA3249" i="5"/>
  <c r="P3249" i="5"/>
  <c r="Q3249" i="5" s="1"/>
  <c r="AA3248" i="5"/>
  <c r="Q3248" i="5"/>
  <c r="P3248" i="5"/>
  <c r="AA3247" i="5"/>
  <c r="P3247" i="5"/>
  <c r="Q3247" i="5" s="1"/>
  <c r="AA3246" i="5"/>
  <c r="P3246" i="5"/>
  <c r="Q3246" i="5" s="1"/>
  <c r="AA3245" i="5"/>
  <c r="P3245" i="5"/>
  <c r="Q3245" i="5" s="1"/>
  <c r="AA3244" i="5"/>
  <c r="Q3244" i="5"/>
  <c r="P3244" i="5"/>
  <c r="AA3243" i="5"/>
  <c r="P3243" i="5"/>
  <c r="Q3243" i="5" s="1"/>
  <c r="AA3242" i="5"/>
  <c r="Q3242" i="5"/>
  <c r="P3242" i="5"/>
  <c r="AA3241" i="5"/>
  <c r="P3241" i="5"/>
  <c r="Q3241" i="5" s="1"/>
  <c r="AA3240" i="5"/>
  <c r="P3240" i="5"/>
  <c r="Q3240" i="5" s="1"/>
  <c r="AA3239" i="5"/>
  <c r="Q3239" i="5"/>
  <c r="P3239" i="5"/>
  <c r="AA3238" i="5"/>
  <c r="P3238" i="5"/>
  <c r="Q3238" i="5" s="1"/>
  <c r="AA3237" i="5"/>
  <c r="P3237" i="5"/>
  <c r="Q3237" i="5" s="1"/>
  <c r="AA3236" i="5"/>
  <c r="Q3236" i="5"/>
  <c r="P3236" i="5"/>
  <c r="AA3235" i="5"/>
  <c r="P3235" i="5"/>
  <c r="Q3235" i="5" s="1"/>
  <c r="AA3234" i="5"/>
  <c r="P3234" i="5"/>
  <c r="Q3234" i="5" s="1"/>
  <c r="AA3233" i="5"/>
  <c r="P3233" i="5"/>
  <c r="Q3233" i="5" s="1"/>
  <c r="AA3232" i="5"/>
  <c r="P3232" i="5"/>
  <c r="Q3232" i="5" s="1"/>
  <c r="AA3231" i="5"/>
  <c r="P3231" i="5"/>
  <c r="Q3231" i="5" s="1"/>
  <c r="AA3230" i="5"/>
  <c r="P3230" i="5"/>
  <c r="Q3230" i="5" s="1"/>
  <c r="AA3229" i="5"/>
  <c r="P3229" i="5"/>
  <c r="Q3229" i="5" s="1"/>
  <c r="AA3228" i="5"/>
  <c r="Q3228" i="5"/>
  <c r="P3228" i="5"/>
  <c r="AA3227" i="5"/>
  <c r="Q3227" i="5"/>
  <c r="P3227" i="5"/>
  <c r="AA3226" i="5"/>
  <c r="P3226" i="5"/>
  <c r="Q3226" i="5" s="1"/>
  <c r="AA3225" i="5"/>
  <c r="Q3225" i="5"/>
  <c r="P3225" i="5"/>
  <c r="AA3224" i="5"/>
  <c r="Q3224" i="5"/>
  <c r="P3224" i="5"/>
  <c r="AA3223" i="5"/>
  <c r="P3223" i="5"/>
  <c r="Q3223" i="5" s="1"/>
  <c r="AA3222" i="5"/>
  <c r="Q3222" i="5"/>
  <c r="P3222" i="5"/>
  <c r="AA3221" i="5"/>
  <c r="Q3221" i="5"/>
  <c r="P3221" i="5"/>
  <c r="AA3220" i="5"/>
  <c r="P3220" i="5"/>
  <c r="Q3220" i="5" s="1"/>
  <c r="AA3219" i="5"/>
  <c r="P3219" i="5"/>
  <c r="Q3219" i="5" s="1"/>
  <c r="AA3218" i="5"/>
  <c r="P3218" i="5"/>
  <c r="Q3218" i="5" s="1"/>
  <c r="AA3217" i="5"/>
  <c r="P3217" i="5"/>
  <c r="Q3217" i="5" s="1"/>
  <c r="AA3216" i="5"/>
  <c r="Q3216" i="5"/>
  <c r="P3216" i="5"/>
  <c r="AA3215" i="5"/>
  <c r="P3215" i="5"/>
  <c r="Q3215" i="5" s="1"/>
  <c r="AA3214" i="5"/>
  <c r="P3214" i="5"/>
  <c r="Q3214" i="5" s="1"/>
  <c r="AA3213" i="5"/>
  <c r="P3213" i="5"/>
  <c r="Q3213" i="5" s="1"/>
  <c r="AA3212" i="5"/>
  <c r="P3212" i="5"/>
  <c r="Q3212" i="5" s="1"/>
  <c r="AA3211" i="5"/>
  <c r="P3211" i="5"/>
  <c r="Q3211" i="5" s="1"/>
  <c r="AA3210" i="5"/>
  <c r="Q3210" i="5"/>
  <c r="P3210" i="5"/>
  <c r="AA3209" i="5"/>
  <c r="P3209" i="5"/>
  <c r="Q3209" i="5" s="1"/>
  <c r="AA3208" i="5"/>
  <c r="P3208" i="5"/>
  <c r="Q3208" i="5" s="1"/>
  <c r="AA3207" i="5"/>
  <c r="P3207" i="5"/>
  <c r="Q3207" i="5" s="1"/>
  <c r="AA3206" i="5"/>
  <c r="P3206" i="5"/>
  <c r="Q3206" i="5" s="1"/>
  <c r="AA3205" i="5"/>
  <c r="P3205" i="5"/>
  <c r="Q3205" i="5" s="1"/>
  <c r="AA3204" i="5"/>
  <c r="P3204" i="5"/>
  <c r="Q3204" i="5" s="1"/>
  <c r="AA3203" i="5"/>
  <c r="P3203" i="5"/>
  <c r="Q3203" i="5" s="1"/>
  <c r="AA3202" i="5"/>
  <c r="P3202" i="5"/>
  <c r="Q3202" i="5" s="1"/>
  <c r="AA3201" i="5"/>
  <c r="P3201" i="5"/>
  <c r="Q3201" i="5" s="1"/>
  <c r="AA3200" i="5"/>
  <c r="P3200" i="5"/>
  <c r="Q3200" i="5" s="1"/>
  <c r="AA3199" i="5"/>
  <c r="P3199" i="5"/>
  <c r="Q3199" i="5" s="1"/>
  <c r="AA3198" i="5"/>
  <c r="P3198" i="5"/>
  <c r="Q3198" i="5" s="1"/>
  <c r="AA3197" i="5"/>
  <c r="P3197" i="5"/>
  <c r="Q3197" i="5" s="1"/>
  <c r="AA3196" i="5"/>
  <c r="P3196" i="5"/>
  <c r="Q3196" i="5" s="1"/>
  <c r="AA3195" i="5"/>
  <c r="P3195" i="5"/>
  <c r="Q3195" i="5" s="1"/>
  <c r="AA3194" i="5"/>
  <c r="P3194" i="5"/>
  <c r="Q3194" i="5" s="1"/>
  <c r="AA3193" i="5"/>
  <c r="P3193" i="5"/>
  <c r="Q3193" i="5" s="1"/>
  <c r="AA3192" i="5"/>
  <c r="P3192" i="5"/>
  <c r="Q3192" i="5" s="1"/>
  <c r="AA3191" i="5"/>
  <c r="Q3191" i="5"/>
  <c r="P3191" i="5"/>
  <c r="AA3190" i="5"/>
  <c r="P3190" i="5"/>
  <c r="Q3190" i="5" s="1"/>
  <c r="AA3189" i="5"/>
  <c r="Q3189" i="5"/>
  <c r="P3189" i="5"/>
  <c r="AA3188" i="5"/>
  <c r="P3188" i="5"/>
  <c r="Q3188" i="5" s="1"/>
  <c r="AA3187" i="5"/>
  <c r="Q3187" i="5"/>
  <c r="P3187" i="5"/>
  <c r="AA3186" i="5"/>
  <c r="P3186" i="5"/>
  <c r="Q3186" i="5" s="1"/>
  <c r="AA3185" i="5"/>
  <c r="P3185" i="5"/>
  <c r="Q3185" i="5" s="1"/>
  <c r="AA3184" i="5"/>
  <c r="P3184" i="5"/>
  <c r="Q3184" i="5" s="1"/>
  <c r="AA3183" i="5"/>
  <c r="P3183" i="5"/>
  <c r="Q3183" i="5" s="1"/>
  <c r="AA3182" i="5"/>
  <c r="Q3182" i="5"/>
  <c r="P3182" i="5"/>
  <c r="AA3181" i="5"/>
  <c r="P3181" i="5"/>
  <c r="Q3181" i="5" s="1"/>
  <c r="AA3180" i="5"/>
  <c r="Q3180" i="5"/>
  <c r="P3180" i="5"/>
  <c r="AA3179" i="5"/>
  <c r="Q3179" i="5"/>
  <c r="P3179" i="5"/>
  <c r="AA3178" i="5"/>
  <c r="P3178" i="5"/>
  <c r="Q3178" i="5" s="1"/>
  <c r="AA3177" i="5"/>
  <c r="P3177" i="5"/>
  <c r="Q3177" i="5" s="1"/>
  <c r="AA3176" i="5"/>
  <c r="Q3176" i="5"/>
  <c r="P3176" i="5"/>
  <c r="AA3175" i="5"/>
  <c r="Q3175" i="5"/>
  <c r="P3175" i="5"/>
  <c r="AA3174" i="5"/>
  <c r="P3174" i="5"/>
  <c r="Q3174" i="5" s="1"/>
  <c r="AA3173" i="5"/>
  <c r="P3173" i="5"/>
  <c r="Q3173" i="5" s="1"/>
  <c r="AA3172" i="5"/>
  <c r="Q3172" i="5"/>
  <c r="P3172" i="5"/>
  <c r="AA3171" i="5"/>
  <c r="P3171" i="5"/>
  <c r="Q3171" i="5" s="1"/>
  <c r="AA3170" i="5"/>
  <c r="Q3170" i="5"/>
  <c r="P3170" i="5"/>
  <c r="AA3169" i="5"/>
  <c r="P3169" i="5"/>
  <c r="Q3169" i="5" s="1"/>
  <c r="AA3168" i="5"/>
  <c r="Q3168" i="5"/>
  <c r="P3168" i="5"/>
  <c r="AA3167" i="5"/>
  <c r="Q3167" i="5"/>
  <c r="P3167" i="5"/>
  <c r="AA3166" i="5"/>
  <c r="P3166" i="5"/>
  <c r="Q3166" i="5" s="1"/>
  <c r="AA3165" i="5"/>
  <c r="P3165" i="5"/>
  <c r="Q3165" i="5" s="1"/>
  <c r="AA3164" i="5"/>
  <c r="Q3164" i="5"/>
  <c r="P3164" i="5"/>
  <c r="AA3163" i="5"/>
  <c r="P3163" i="5"/>
  <c r="Q3163" i="5" s="1"/>
  <c r="AA3162" i="5"/>
  <c r="P3162" i="5"/>
  <c r="Q3162" i="5" s="1"/>
  <c r="AA3161" i="5"/>
  <c r="P3161" i="5"/>
  <c r="Q3161" i="5" s="1"/>
  <c r="AA3160" i="5"/>
  <c r="P3160" i="5"/>
  <c r="Q3160" i="5" s="1"/>
  <c r="AA3159" i="5"/>
  <c r="P3159" i="5"/>
  <c r="Q3159" i="5" s="1"/>
  <c r="AA3158" i="5"/>
  <c r="P3158" i="5"/>
  <c r="Q3158" i="5" s="1"/>
  <c r="AA3157" i="5"/>
  <c r="P3157" i="5"/>
  <c r="Q3157" i="5" s="1"/>
  <c r="AA3156" i="5"/>
  <c r="P3156" i="5"/>
  <c r="Q3156" i="5" s="1"/>
  <c r="AA3155" i="5"/>
  <c r="Q3155" i="5"/>
  <c r="P3155" i="5"/>
  <c r="AA3154" i="5"/>
  <c r="P3154" i="5"/>
  <c r="Q3154" i="5" s="1"/>
  <c r="AA3153" i="5"/>
  <c r="P3153" i="5"/>
  <c r="Q3153" i="5" s="1"/>
  <c r="AA3152" i="5"/>
  <c r="P3152" i="5"/>
  <c r="Q3152" i="5" s="1"/>
  <c r="AA3151" i="5"/>
  <c r="P3151" i="5"/>
  <c r="Q3151" i="5" s="1"/>
  <c r="AA3150" i="5"/>
  <c r="Q3150" i="5"/>
  <c r="P3150" i="5"/>
  <c r="AA3149" i="5"/>
  <c r="Q3149" i="5"/>
  <c r="P3149" i="5"/>
  <c r="AA3148" i="5"/>
  <c r="P3148" i="5"/>
  <c r="Q3148" i="5" s="1"/>
  <c r="AA3147" i="5"/>
  <c r="Q3147" i="5"/>
  <c r="P3147" i="5"/>
  <c r="AA3146" i="5"/>
  <c r="P3146" i="5"/>
  <c r="Q3146" i="5" s="1"/>
  <c r="AA3145" i="5"/>
  <c r="P3145" i="5"/>
  <c r="Q3145" i="5" s="1"/>
  <c r="AA3144" i="5"/>
  <c r="Q3144" i="5"/>
  <c r="P3144" i="5"/>
  <c r="AA3143" i="5"/>
  <c r="P3143" i="5"/>
  <c r="Q3143" i="5" s="1"/>
  <c r="AA3142" i="5"/>
  <c r="P3142" i="5"/>
  <c r="Q3142" i="5" s="1"/>
  <c r="AA3141" i="5"/>
  <c r="Q3141" i="5"/>
  <c r="P3141" i="5"/>
  <c r="AA3140" i="5"/>
  <c r="P3140" i="5"/>
  <c r="Q3140" i="5" s="1"/>
  <c r="AA3139" i="5"/>
  <c r="P3139" i="5"/>
  <c r="Q3139" i="5" s="1"/>
  <c r="AA3138" i="5"/>
  <c r="Q3138" i="5"/>
  <c r="P3138" i="5"/>
  <c r="AA3137" i="5"/>
  <c r="P3137" i="5"/>
  <c r="Q3137" i="5" s="1"/>
  <c r="AA3136" i="5"/>
  <c r="P3136" i="5"/>
  <c r="Q3136" i="5" s="1"/>
  <c r="AA3135" i="5"/>
  <c r="P3135" i="5"/>
  <c r="Q3135" i="5" s="1"/>
  <c r="AA3134" i="5"/>
  <c r="P3134" i="5"/>
  <c r="Q3134" i="5" s="1"/>
  <c r="AA3133" i="5"/>
  <c r="P3133" i="5"/>
  <c r="Q3133" i="5" s="1"/>
  <c r="AA3132" i="5"/>
  <c r="P3132" i="5"/>
  <c r="Q3132" i="5" s="1"/>
  <c r="AA3131" i="5"/>
  <c r="P3131" i="5"/>
  <c r="Q3131" i="5" s="1"/>
  <c r="AA3130" i="5"/>
  <c r="P3130" i="5"/>
  <c r="Q3130" i="5" s="1"/>
  <c r="AA3129" i="5"/>
  <c r="Q3129" i="5"/>
  <c r="P3129" i="5"/>
  <c r="AA3128" i="5"/>
  <c r="P3128" i="5"/>
  <c r="Q3128" i="5" s="1"/>
  <c r="AA3127" i="5"/>
  <c r="Q3127" i="5"/>
  <c r="P3127" i="5"/>
  <c r="AA3126" i="5"/>
  <c r="P3126" i="5"/>
  <c r="Q3126" i="5" s="1"/>
  <c r="AA3125" i="5"/>
  <c r="P3125" i="5"/>
  <c r="Q3125" i="5" s="1"/>
  <c r="AA3124" i="5"/>
  <c r="P3124" i="5"/>
  <c r="Q3124" i="5" s="1"/>
  <c r="AA3123" i="5"/>
  <c r="P3123" i="5"/>
  <c r="Q3123" i="5" s="1"/>
  <c r="AA3122" i="5"/>
  <c r="P3122" i="5"/>
  <c r="Q3122" i="5" s="1"/>
  <c r="AA3121" i="5"/>
  <c r="P3121" i="5"/>
  <c r="Q3121" i="5" s="1"/>
  <c r="AA3120" i="5"/>
  <c r="Q3120" i="5"/>
  <c r="P3120" i="5"/>
  <c r="AA3119" i="5"/>
  <c r="Q3119" i="5"/>
  <c r="P3119" i="5"/>
  <c r="AA3118" i="5"/>
  <c r="P3118" i="5"/>
  <c r="Q3118" i="5" s="1"/>
  <c r="AA3117" i="5"/>
  <c r="P3117" i="5"/>
  <c r="Q3117" i="5" s="1"/>
  <c r="AA3116" i="5"/>
  <c r="P3116" i="5"/>
  <c r="Q3116" i="5" s="1"/>
  <c r="AA3115" i="5"/>
  <c r="Q3115" i="5"/>
  <c r="P3115" i="5"/>
  <c r="AA3114" i="5"/>
  <c r="P3114" i="5"/>
  <c r="Q3114" i="5" s="1"/>
  <c r="AA3113" i="5"/>
  <c r="Q3113" i="5"/>
  <c r="P3113" i="5"/>
  <c r="AA3112" i="5"/>
  <c r="P3112" i="5"/>
  <c r="Q3112" i="5" s="1"/>
  <c r="AA3111" i="5"/>
  <c r="Q3111" i="5"/>
  <c r="P3111" i="5"/>
  <c r="AA3110" i="5"/>
  <c r="Q3110" i="5"/>
  <c r="P3110" i="5"/>
  <c r="AA3109" i="5"/>
  <c r="P3109" i="5"/>
  <c r="Q3109" i="5" s="1"/>
  <c r="AA3108" i="5"/>
  <c r="P3108" i="5"/>
  <c r="Q3108" i="5" s="1"/>
  <c r="AA3107" i="5"/>
  <c r="P3107" i="5"/>
  <c r="Q3107" i="5" s="1"/>
  <c r="AA3106" i="5"/>
  <c r="P3106" i="5"/>
  <c r="Q3106" i="5" s="1"/>
  <c r="AA3105" i="5"/>
  <c r="P3105" i="5"/>
  <c r="Q3105" i="5" s="1"/>
  <c r="AA3104" i="5"/>
  <c r="P3104" i="5"/>
  <c r="Q3104" i="5" s="1"/>
  <c r="AA3103" i="5"/>
  <c r="P3103" i="5"/>
  <c r="Q3103" i="5" s="1"/>
  <c r="AA3102" i="5"/>
  <c r="Q3102" i="5"/>
  <c r="P3102" i="5"/>
  <c r="AA3101" i="5"/>
  <c r="Q3101" i="5"/>
  <c r="P3101" i="5"/>
  <c r="AA3100" i="5"/>
  <c r="P3100" i="5"/>
  <c r="Q3100" i="5" s="1"/>
  <c r="AA3099" i="5"/>
  <c r="Q3099" i="5"/>
  <c r="P3099" i="5"/>
  <c r="AA3098" i="5"/>
  <c r="Q3098" i="5"/>
  <c r="P3098" i="5"/>
  <c r="AA3097" i="5"/>
  <c r="P3097" i="5"/>
  <c r="Q3097" i="5" s="1"/>
  <c r="AA3096" i="5"/>
  <c r="P3096" i="5"/>
  <c r="Q3096" i="5" s="1"/>
  <c r="AA3095" i="5"/>
  <c r="Q3095" i="5"/>
  <c r="P3095" i="5"/>
  <c r="AA3094" i="5"/>
  <c r="P3094" i="5"/>
  <c r="Q3094" i="5" s="1"/>
  <c r="AA3093" i="5"/>
  <c r="Q3093" i="5"/>
  <c r="P3093" i="5"/>
  <c r="AA3092" i="5"/>
  <c r="Q3092" i="5"/>
  <c r="P3092" i="5"/>
  <c r="AA3091" i="5"/>
  <c r="P3091" i="5"/>
  <c r="Q3091" i="5" s="1"/>
  <c r="AA3090" i="5"/>
  <c r="P3090" i="5"/>
  <c r="Q3090" i="5" s="1"/>
  <c r="AA3089" i="5"/>
  <c r="P3089" i="5"/>
  <c r="Q3089" i="5" s="1"/>
  <c r="AA3088" i="5"/>
  <c r="P3088" i="5"/>
  <c r="Q3088" i="5" s="1"/>
  <c r="AA3087" i="5"/>
  <c r="Q3087" i="5"/>
  <c r="P3087" i="5"/>
  <c r="AA3086" i="5"/>
  <c r="P3086" i="5"/>
  <c r="Q3086" i="5" s="1"/>
  <c r="AA3085" i="5"/>
  <c r="P3085" i="5"/>
  <c r="Q3085" i="5" s="1"/>
  <c r="AA3084" i="5"/>
  <c r="Q3084" i="5"/>
  <c r="P3084" i="5"/>
  <c r="AA3083" i="5"/>
  <c r="Q3083" i="5"/>
  <c r="P3083" i="5"/>
  <c r="AA3082" i="5"/>
  <c r="P3082" i="5"/>
  <c r="Q3082" i="5" s="1"/>
  <c r="AA3081" i="5"/>
  <c r="Q3081" i="5"/>
  <c r="P3081" i="5"/>
  <c r="AA3080" i="5"/>
  <c r="Q3080" i="5"/>
  <c r="P3080" i="5"/>
  <c r="AA3079" i="5"/>
  <c r="P3079" i="5"/>
  <c r="Q3079" i="5" s="1"/>
  <c r="AA3078" i="5"/>
  <c r="P3078" i="5"/>
  <c r="Q3078" i="5" s="1"/>
  <c r="AA3077" i="5"/>
  <c r="Q3077" i="5"/>
  <c r="P3077" i="5"/>
  <c r="AA3076" i="5"/>
  <c r="P3076" i="5"/>
  <c r="Q3076" i="5" s="1"/>
  <c r="AA3075" i="5"/>
  <c r="P3075" i="5"/>
  <c r="Q3075" i="5" s="1"/>
  <c r="AA3074" i="5"/>
  <c r="P3074" i="5"/>
  <c r="Q3074" i="5" s="1"/>
  <c r="AA3073" i="5"/>
  <c r="P3073" i="5"/>
  <c r="Q3073" i="5" s="1"/>
  <c r="AA3072" i="5"/>
  <c r="P3072" i="5"/>
  <c r="Q3072" i="5" s="1"/>
  <c r="AA3071" i="5"/>
  <c r="P3071" i="5"/>
  <c r="Q3071" i="5" s="1"/>
  <c r="AA3070" i="5"/>
  <c r="P3070" i="5"/>
  <c r="Q3070" i="5" s="1"/>
  <c r="AA3069" i="5"/>
  <c r="P3069" i="5"/>
  <c r="Q3069" i="5" s="1"/>
  <c r="AA3068" i="5"/>
  <c r="P3068" i="5"/>
  <c r="Q3068" i="5" s="1"/>
  <c r="AA3067" i="5"/>
  <c r="P3067" i="5"/>
  <c r="Q3067" i="5" s="1"/>
  <c r="AA3066" i="5"/>
  <c r="P3066" i="5"/>
  <c r="Q3066" i="5" s="1"/>
  <c r="AA3065" i="5"/>
  <c r="P3065" i="5"/>
  <c r="Q3065" i="5" s="1"/>
  <c r="AA3064" i="5"/>
  <c r="P3064" i="5"/>
  <c r="Q3064" i="5" s="1"/>
  <c r="AA3063" i="5"/>
  <c r="P3063" i="5"/>
  <c r="Q3063" i="5" s="1"/>
  <c r="AA3062" i="5"/>
  <c r="P3062" i="5"/>
  <c r="Q3062" i="5" s="1"/>
  <c r="AA3061" i="5"/>
  <c r="Q3061" i="5"/>
  <c r="P3061" i="5"/>
  <c r="AA3060" i="5"/>
  <c r="P3060" i="5"/>
  <c r="Q3060" i="5" s="1"/>
  <c r="AA3059" i="5"/>
  <c r="Q3059" i="5"/>
  <c r="P3059" i="5"/>
  <c r="AA3058" i="5"/>
  <c r="P3058" i="5"/>
  <c r="Q3058" i="5" s="1"/>
  <c r="AA3057" i="5"/>
  <c r="P3057" i="5"/>
  <c r="Q3057" i="5" s="1"/>
  <c r="AA3056" i="5"/>
  <c r="Q3056" i="5"/>
  <c r="P3056" i="5"/>
  <c r="AA3055" i="5"/>
  <c r="P3055" i="5"/>
  <c r="Q3055" i="5" s="1"/>
  <c r="AA3054" i="5"/>
  <c r="P3054" i="5"/>
  <c r="Q3054" i="5" s="1"/>
  <c r="AA3053" i="5"/>
  <c r="P3053" i="5"/>
  <c r="Q3053" i="5" s="1"/>
  <c r="AA3052" i="5"/>
  <c r="P3052" i="5"/>
  <c r="Q3052" i="5" s="1"/>
  <c r="AA3051" i="5"/>
  <c r="Q3051" i="5"/>
  <c r="P3051" i="5"/>
  <c r="AA3050" i="5"/>
  <c r="Q3050" i="5"/>
  <c r="P3050" i="5"/>
  <c r="AA3049" i="5"/>
  <c r="Q3049" i="5"/>
  <c r="P3049" i="5"/>
  <c r="AA3048" i="5"/>
  <c r="Q3048" i="5"/>
  <c r="P3048" i="5"/>
  <c r="AA3047" i="5"/>
  <c r="P3047" i="5"/>
  <c r="Q3047" i="5" s="1"/>
  <c r="AA3046" i="5"/>
  <c r="P3046" i="5"/>
  <c r="Q3046" i="5" s="1"/>
  <c r="AA3045" i="5"/>
  <c r="P3045" i="5"/>
  <c r="Q3045" i="5" s="1"/>
  <c r="AA3044" i="5"/>
  <c r="P3044" i="5"/>
  <c r="Q3044" i="5" s="1"/>
  <c r="AA3043" i="5"/>
  <c r="P3043" i="5"/>
  <c r="Q3043" i="5" s="1"/>
  <c r="AA3042" i="5"/>
  <c r="Q3042" i="5"/>
  <c r="P3042" i="5"/>
  <c r="AA3041" i="5"/>
  <c r="Q3041" i="5"/>
  <c r="P3041" i="5"/>
  <c r="AA3040" i="5"/>
  <c r="P3040" i="5"/>
  <c r="Q3040" i="5" s="1"/>
  <c r="AA3039" i="5"/>
  <c r="Q3039" i="5"/>
  <c r="P3039" i="5"/>
  <c r="AA3038" i="5"/>
  <c r="P3038" i="5"/>
  <c r="Q3038" i="5" s="1"/>
  <c r="AA3037" i="5"/>
  <c r="P3037" i="5"/>
  <c r="Q3037" i="5" s="1"/>
  <c r="AA3036" i="5"/>
  <c r="P3036" i="5"/>
  <c r="Q3036" i="5" s="1"/>
  <c r="AA3035" i="5"/>
  <c r="Q3035" i="5"/>
  <c r="P3035" i="5"/>
  <c r="AA3034" i="5"/>
  <c r="P3034" i="5"/>
  <c r="Q3034" i="5" s="1"/>
  <c r="AA3033" i="5"/>
  <c r="Q3033" i="5"/>
  <c r="P3033" i="5"/>
  <c r="AA3032" i="5"/>
  <c r="P3032" i="5"/>
  <c r="Q3032" i="5" s="1"/>
  <c r="AA3031" i="5"/>
  <c r="P3031" i="5"/>
  <c r="Q3031" i="5" s="1"/>
  <c r="AA3030" i="5"/>
  <c r="P3030" i="5"/>
  <c r="Q3030" i="5" s="1"/>
  <c r="AA3029" i="5"/>
  <c r="P3029" i="5"/>
  <c r="Q3029" i="5" s="1"/>
  <c r="AA3028" i="5"/>
  <c r="P3028" i="5"/>
  <c r="Q3028" i="5" s="1"/>
  <c r="AA3027" i="5"/>
  <c r="Q3027" i="5"/>
  <c r="P3027" i="5"/>
  <c r="AA3026" i="5"/>
  <c r="P3026" i="5"/>
  <c r="Q3026" i="5" s="1"/>
  <c r="AA3025" i="5"/>
  <c r="Q3025" i="5"/>
  <c r="P3025" i="5"/>
  <c r="AA3024" i="5"/>
  <c r="Q3024" i="5"/>
  <c r="P3024" i="5"/>
  <c r="AA3023" i="5"/>
  <c r="P3023" i="5"/>
  <c r="Q3023" i="5" s="1"/>
  <c r="AA3022" i="5"/>
  <c r="P3022" i="5"/>
  <c r="Q3022" i="5" s="1"/>
  <c r="AA3021" i="5"/>
  <c r="P3021" i="5"/>
  <c r="Q3021" i="5" s="1"/>
  <c r="AA3020" i="5"/>
  <c r="P3020" i="5"/>
  <c r="Q3020" i="5" s="1"/>
  <c r="AA3019" i="5"/>
  <c r="P3019" i="5"/>
  <c r="Q3019" i="5" s="1"/>
  <c r="AA3018" i="5"/>
  <c r="Q3018" i="5"/>
  <c r="P3018" i="5"/>
  <c r="AA3017" i="5"/>
  <c r="P3017" i="5"/>
  <c r="Q3017" i="5" s="1"/>
  <c r="AA3016" i="5"/>
  <c r="P3016" i="5"/>
  <c r="Q3016" i="5" s="1"/>
  <c r="AA3015" i="5"/>
  <c r="P3015" i="5"/>
  <c r="Q3015" i="5" s="1"/>
  <c r="AA3014" i="5"/>
  <c r="P3014" i="5"/>
  <c r="Q3014" i="5" s="1"/>
  <c r="AA3013" i="5"/>
  <c r="P3013" i="5"/>
  <c r="Q3013" i="5" s="1"/>
  <c r="AA3012" i="5"/>
  <c r="P3012" i="5"/>
  <c r="Q3012" i="5" s="1"/>
  <c r="AA3011" i="5"/>
  <c r="Q3011" i="5"/>
  <c r="P3011" i="5"/>
  <c r="AA3010" i="5"/>
  <c r="Q3010" i="5"/>
  <c r="P3010" i="5"/>
  <c r="AA3009" i="5"/>
  <c r="P3009" i="5"/>
  <c r="Q3009" i="5" s="1"/>
  <c r="AA3008" i="5"/>
  <c r="P3008" i="5"/>
  <c r="Q3008" i="5" s="1"/>
  <c r="AA3007" i="5"/>
  <c r="P3007" i="5"/>
  <c r="Q3007" i="5" s="1"/>
  <c r="AA3006" i="5"/>
  <c r="P3006" i="5"/>
  <c r="Q3006" i="5" s="1"/>
  <c r="AA3005" i="5"/>
  <c r="P3005" i="5"/>
  <c r="Q3005" i="5" s="1"/>
  <c r="AA3004" i="5"/>
  <c r="P3004" i="5"/>
  <c r="Q3004" i="5" s="1"/>
  <c r="AA3003" i="5"/>
  <c r="P3003" i="5"/>
  <c r="Q3003" i="5" s="1"/>
  <c r="AA3002" i="5"/>
  <c r="Q3002" i="5"/>
  <c r="P3002" i="5"/>
  <c r="AA3001" i="5"/>
  <c r="Q3001" i="5"/>
  <c r="P3001" i="5"/>
  <c r="AA3000" i="5"/>
  <c r="Q3000" i="5"/>
  <c r="P3000" i="5"/>
  <c r="AA2999" i="5"/>
  <c r="P2999" i="5"/>
  <c r="Q2999" i="5" s="1"/>
  <c r="AA2998" i="5"/>
  <c r="P2998" i="5"/>
  <c r="Q2998" i="5" s="1"/>
  <c r="AA2997" i="5"/>
  <c r="Q2997" i="5"/>
  <c r="P2997" i="5"/>
  <c r="AA2996" i="5"/>
  <c r="Q2996" i="5"/>
  <c r="P2996" i="5"/>
  <c r="AA2995" i="5"/>
  <c r="P2995" i="5"/>
  <c r="Q2995" i="5" s="1"/>
  <c r="AA2994" i="5"/>
  <c r="P2994" i="5"/>
  <c r="Q2994" i="5" s="1"/>
  <c r="AA2993" i="5"/>
  <c r="Q2993" i="5"/>
  <c r="P2993" i="5"/>
  <c r="AA2992" i="5"/>
  <c r="P2992" i="5"/>
  <c r="Q2992" i="5" s="1"/>
  <c r="AA2991" i="5"/>
  <c r="Q2991" i="5"/>
  <c r="P2991" i="5"/>
  <c r="AA2990" i="5"/>
  <c r="P2990" i="5"/>
  <c r="Q2990" i="5" s="1"/>
  <c r="AA2989" i="5"/>
  <c r="P2989" i="5"/>
  <c r="Q2989" i="5" s="1"/>
  <c r="AA2988" i="5"/>
  <c r="P2988" i="5"/>
  <c r="Q2988" i="5" s="1"/>
  <c r="AA2987" i="5"/>
  <c r="Q2987" i="5"/>
  <c r="P2987" i="5"/>
  <c r="AA2986" i="5"/>
  <c r="P2986" i="5"/>
  <c r="Q2986" i="5" s="1"/>
  <c r="AA2985" i="5"/>
  <c r="Q2985" i="5"/>
  <c r="P2985" i="5"/>
  <c r="AA2984" i="5"/>
  <c r="Q2984" i="5"/>
  <c r="P2984" i="5"/>
  <c r="AA2983" i="5"/>
  <c r="P2983" i="5"/>
  <c r="Q2983" i="5" s="1"/>
  <c r="AA2982" i="5"/>
  <c r="P2982" i="5"/>
  <c r="Q2982" i="5" s="1"/>
  <c r="AA2981" i="5"/>
  <c r="P2981" i="5"/>
  <c r="Q2981" i="5" s="1"/>
  <c r="AA2980" i="5"/>
  <c r="P2980" i="5"/>
  <c r="Q2980" i="5" s="1"/>
  <c r="AA2979" i="5"/>
  <c r="P2979" i="5"/>
  <c r="Q2979" i="5" s="1"/>
  <c r="AA2978" i="5"/>
  <c r="P2978" i="5"/>
  <c r="Q2978" i="5" s="1"/>
  <c r="AA2977" i="5"/>
  <c r="P2977" i="5"/>
  <c r="Q2977" i="5" s="1"/>
  <c r="AA2976" i="5"/>
  <c r="Q2976" i="5"/>
  <c r="P2976" i="5"/>
  <c r="AA2975" i="5"/>
  <c r="P2975" i="5"/>
  <c r="Q2975" i="5" s="1"/>
  <c r="AA2974" i="5"/>
  <c r="P2974" i="5"/>
  <c r="Q2974" i="5" s="1"/>
  <c r="AA2973" i="5"/>
  <c r="P2973" i="5"/>
  <c r="Q2973" i="5" s="1"/>
  <c r="AA2972" i="5"/>
  <c r="P2972" i="5"/>
  <c r="Q2972" i="5" s="1"/>
  <c r="AA2971" i="5"/>
  <c r="P2971" i="5"/>
  <c r="Q2971" i="5" s="1"/>
  <c r="AA2970" i="5"/>
  <c r="Q2970" i="5"/>
  <c r="P2970" i="5"/>
  <c r="AA2969" i="5"/>
  <c r="P2969" i="5"/>
  <c r="Q2969" i="5" s="1"/>
  <c r="AA2968" i="5"/>
  <c r="Q2968" i="5"/>
  <c r="P2968" i="5"/>
  <c r="AA2967" i="5"/>
  <c r="P2967" i="5"/>
  <c r="Q2967" i="5" s="1"/>
  <c r="AA2966" i="5"/>
  <c r="Q2966" i="5"/>
  <c r="P2966" i="5"/>
  <c r="AA2965" i="5"/>
  <c r="Q2965" i="5"/>
  <c r="P2965" i="5"/>
  <c r="AA2964" i="5"/>
  <c r="P2964" i="5"/>
  <c r="Q2964" i="5" s="1"/>
  <c r="AA2963" i="5"/>
  <c r="P2963" i="5"/>
  <c r="Q2963" i="5" s="1"/>
  <c r="AA2962" i="5"/>
  <c r="Q2962" i="5"/>
  <c r="P2962" i="5"/>
  <c r="AA2961" i="5"/>
  <c r="P2961" i="5"/>
  <c r="Q2961" i="5" s="1"/>
  <c r="AA2960" i="5"/>
  <c r="Q2960" i="5"/>
  <c r="P2960" i="5"/>
  <c r="AA2959" i="5"/>
  <c r="Q2959" i="5"/>
  <c r="P2959" i="5"/>
  <c r="AA2958" i="5"/>
  <c r="P2958" i="5"/>
  <c r="Q2958" i="5" s="1"/>
  <c r="AA2957" i="5"/>
  <c r="P2957" i="5"/>
  <c r="Q2957" i="5" s="1"/>
  <c r="AA2956" i="5"/>
  <c r="Q2956" i="5"/>
  <c r="P2956" i="5"/>
  <c r="AA2955" i="5"/>
  <c r="Q2955" i="5"/>
  <c r="P2955" i="5"/>
  <c r="AA2954" i="5"/>
  <c r="Q2954" i="5"/>
  <c r="P2954" i="5"/>
  <c r="AA2953" i="5"/>
  <c r="P2953" i="5"/>
  <c r="Q2953" i="5" s="1"/>
  <c r="AA2952" i="5"/>
  <c r="P2952" i="5"/>
  <c r="Q2952" i="5" s="1"/>
  <c r="AA2951" i="5"/>
  <c r="P2951" i="5"/>
  <c r="Q2951" i="5" s="1"/>
  <c r="AA2950" i="5"/>
  <c r="Q2950" i="5"/>
  <c r="P2950" i="5"/>
  <c r="AA2949" i="5"/>
  <c r="P2949" i="5"/>
  <c r="Q2949" i="5" s="1"/>
  <c r="AA2948" i="5"/>
  <c r="P2948" i="5"/>
  <c r="Q2948" i="5" s="1"/>
  <c r="AA2947" i="5"/>
  <c r="Q2947" i="5"/>
  <c r="P2947" i="5"/>
  <c r="AA2946" i="5"/>
  <c r="Q2946" i="5"/>
  <c r="P2946" i="5"/>
  <c r="AA2945" i="5"/>
  <c r="P2945" i="5"/>
  <c r="Q2945" i="5" s="1"/>
  <c r="AA2944" i="5"/>
  <c r="Q2944" i="5"/>
  <c r="P2944" i="5"/>
  <c r="AA2943" i="5"/>
  <c r="Q2943" i="5"/>
  <c r="P2943" i="5"/>
  <c r="AA2942" i="5"/>
  <c r="P2942" i="5"/>
  <c r="Q2942" i="5" s="1"/>
  <c r="AA2941" i="5"/>
  <c r="P2941" i="5"/>
  <c r="Q2941" i="5" s="1"/>
  <c r="AA2940" i="5"/>
  <c r="Q2940" i="5"/>
  <c r="P2940" i="5"/>
  <c r="AA2939" i="5"/>
  <c r="P2939" i="5"/>
  <c r="Q2939" i="5" s="1"/>
  <c r="AA2938" i="5"/>
  <c r="P2938" i="5"/>
  <c r="Q2938" i="5" s="1"/>
  <c r="AA2937" i="5"/>
  <c r="P2937" i="5"/>
  <c r="Q2937" i="5" s="1"/>
  <c r="AA2936" i="5"/>
  <c r="Q2936" i="5"/>
  <c r="P2936" i="5"/>
  <c r="AA2935" i="5"/>
  <c r="P2935" i="5"/>
  <c r="Q2935" i="5" s="1"/>
  <c r="AA2934" i="5"/>
  <c r="Q2934" i="5"/>
  <c r="P2934" i="5"/>
  <c r="AA2933" i="5"/>
  <c r="P2933" i="5"/>
  <c r="Q2933" i="5" s="1"/>
  <c r="AA2932" i="5"/>
  <c r="Q2932" i="5"/>
  <c r="P2932" i="5"/>
  <c r="AA2931" i="5"/>
  <c r="P2931" i="5"/>
  <c r="Q2931" i="5" s="1"/>
  <c r="AA2930" i="5"/>
  <c r="Q2930" i="5"/>
  <c r="P2930" i="5"/>
  <c r="AA2929" i="5"/>
  <c r="P2929" i="5"/>
  <c r="Q2929" i="5" s="1"/>
  <c r="AA2928" i="5"/>
  <c r="Q2928" i="5"/>
  <c r="P2928" i="5"/>
  <c r="AA2927" i="5"/>
  <c r="P2927" i="5"/>
  <c r="Q2927" i="5" s="1"/>
  <c r="AA2926" i="5"/>
  <c r="P2926" i="5"/>
  <c r="Q2926" i="5" s="1"/>
  <c r="AA2925" i="5"/>
  <c r="P2925" i="5"/>
  <c r="Q2925" i="5" s="1"/>
  <c r="AA2924" i="5"/>
  <c r="P2924" i="5"/>
  <c r="Q2924" i="5" s="1"/>
  <c r="AA2923" i="5"/>
  <c r="Q2923" i="5"/>
  <c r="P2923" i="5"/>
  <c r="AA2922" i="5"/>
  <c r="P2922" i="5"/>
  <c r="Q2922" i="5" s="1"/>
  <c r="AA2921" i="5"/>
  <c r="Q2921" i="5"/>
  <c r="P2921" i="5"/>
  <c r="AA2920" i="5"/>
  <c r="P2920" i="5"/>
  <c r="Q2920" i="5" s="1"/>
  <c r="AA2919" i="5"/>
  <c r="P2919" i="5"/>
  <c r="Q2919" i="5" s="1"/>
  <c r="AA2918" i="5"/>
  <c r="P2918" i="5"/>
  <c r="Q2918" i="5" s="1"/>
  <c r="AA2917" i="5"/>
  <c r="P2917" i="5"/>
  <c r="Q2917" i="5" s="1"/>
  <c r="AA2916" i="5"/>
  <c r="P2916" i="5"/>
  <c r="Q2916" i="5" s="1"/>
  <c r="AA2915" i="5"/>
  <c r="P2915" i="5"/>
  <c r="Q2915" i="5" s="1"/>
  <c r="AA2914" i="5"/>
  <c r="Q2914" i="5"/>
  <c r="P2914" i="5"/>
  <c r="AA2913" i="5"/>
  <c r="Q2913" i="5"/>
  <c r="P2913" i="5"/>
  <c r="AA2912" i="5"/>
  <c r="P2912" i="5"/>
  <c r="Q2912" i="5" s="1"/>
  <c r="AA2911" i="5"/>
  <c r="P2911" i="5"/>
  <c r="Q2911" i="5" s="1"/>
  <c r="AA2910" i="5"/>
  <c r="P2910" i="5"/>
  <c r="Q2910" i="5" s="1"/>
  <c r="AA2909" i="5"/>
  <c r="P2909" i="5"/>
  <c r="Q2909" i="5" s="1"/>
  <c r="AA2908" i="5"/>
  <c r="P2908" i="5"/>
  <c r="Q2908" i="5" s="1"/>
  <c r="AA2907" i="5"/>
  <c r="P2907" i="5"/>
  <c r="Q2907" i="5" s="1"/>
  <c r="AA2906" i="5"/>
  <c r="Q2906" i="5"/>
  <c r="P2906" i="5"/>
  <c r="AA2905" i="5"/>
  <c r="P2905" i="5"/>
  <c r="Q2905" i="5" s="1"/>
  <c r="AA2904" i="5"/>
  <c r="P2904" i="5"/>
  <c r="Q2904" i="5" s="1"/>
  <c r="AA2903" i="5"/>
  <c r="P2903" i="5"/>
  <c r="Q2903" i="5" s="1"/>
  <c r="AA2902" i="5"/>
  <c r="P2902" i="5"/>
  <c r="Q2902" i="5" s="1"/>
  <c r="AA2901" i="5"/>
  <c r="P2901" i="5"/>
  <c r="Q2901" i="5" s="1"/>
  <c r="AA2900" i="5"/>
  <c r="Q2900" i="5"/>
  <c r="P2900" i="5"/>
  <c r="AA2899" i="5"/>
  <c r="P2899" i="5"/>
  <c r="Q2899" i="5" s="1"/>
  <c r="AA2898" i="5"/>
  <c r="Q2898" i="5"/>
  <c r="P2898" i="5"/>
  <c r="AA2897" i="5"/>
  <c r="P2897" i="5"/>
  <c r="Q2897" i="5" s="1"/>
  <c r="AA2896" i="5"/>
  <c r="P2896" i="5"/>
  <c r="Q2896" i="5" s="1"/>
  <c r="AA2895" i="5"/>
  <c r="P2895" i="5"/>
  <c r="Q2895" i="5" s="1"/>
  <c r="AA2894" i="5"/>
  <c r="P2894" i="5"/>
  <c r="Q2894" i="5" s="1"/>
  <c r="AA2893" i="5"/>
  <c r="Q2893" i="5"/>
  <c r="P2893" i="5"/>
  <c r="AA2892" i="5"/>
  <c r="Q2892" i="5"/>
  <c r="P2892" i="5"/>
  <c r="AA2891" i="5"/>
  <c r="P2891" i="5"/>
  <c r="Q2891" i="5" s="1"/>
  <c r="AA2890" i="5"/>
  <c r="P2890" i="5"/>
  <c r="Q2890" i="5" s="1"/>
  <c r="AA2889" i="5"/>
  <c r="P2889" i="5"/>
  <c r="Q2889" i="5" s="1"/>
  <c r="AA2888" i="5"/>
  <c r="P2888" i="5"/>
  <c r="Q2888" i="5" s="1"/>
  <c r="AA2887" i="5"/>
  <c r="P2887" i="5"/>
  <c r="Q2887" i="5" s="1"/>
  <c r="AA2886" i="5"/>
  <c r="P2886" i="5"/>
  <c r="Q2886" i="5" s="1"/>
  <c r="AA2885" i="5"/>
  <c r="P2885" i="5"/>
  <c r="Q2885" i="5" s="1"/>
  <c r="AA2884" i="5"/>
  <c r="Q2884" i="5"/>
  <c r="P2884" i="5"/>
  <c r="AA2883" i="5"/>
  <c r="P2883" i="5"/>
  <c r="Q2883" i="5" s="1"/>
  <c r="AA2882" i="5"/>
  <c r="Q2882" i="5"/>
  <c r="P2882" i="5"/>
  <c r="AA2881" i="5"/>
  <c r="P2881" i="5"/>
  <c r="Q2881" i="5" s="1"/>
  <c r="AA2880" i="5"/>
  <c r="P2880" i="5"/>
  <c r="Q2880" i="5" s="1"/>
  <c r="AA2879" i="5"/>
  <c r="P2879" i="5"/>
  <c r="Q2879" i="5" s="1"/>
  <c r="AA2878" i="5"/>
  <c r="P2878" i="5"/>
  <c r="Q2878" i="5" s="1"/>
  <c r="AA2877" i="5"/>
  <c r="Q2877" i="5"/>
  <c r="P2877" i="5"/>
  <c r="AA2876" i="5"/>
  <c r="Q2876" i="5"/>
  <c r="P2876" i="5"/>
  <c r="AA2875" i="5"/>
  <c r="P2875" i="5"/>
  <c r="Q2875" i="5" s="1"/>
  <c r="AA2874" i="5"/>
  <c r="P2874" i="5"/>
  <c r="Q2874" i="5" s="1"/>
  <c r="AA2873" i="5"/>
  <c r="P2873" i="5"/>
  <c r="Q2873" i="5" s="1"/>
  <c r="AA2872" i="5"/>
  <c r="P2872" i="5"/>
  <c r="Q2872" i="5" s="1"/>
  <c r="AA2871" i="5"/>
  <c r="P2871" i="5"/>
  <c r="Q2871" i="5" s="1"/>
  <c r="AA2870" i="5"/>
  <c r="P2870" i="5"/>
  <c r="Q2870" i="5" s="1"/>
  <c r="AA2869" i="5"/>
  <c r="Q2869" i="5"/>
  <c r="P2869" i="5"/>
  <c r="AA2868" i="5"/>
  <c r="P2868" i="5"/>
  <c r="Q2868" i="5" s="1"/>
  <c r="AA2867" i="5"/>
  <c r="Q2867" i="5"/>
  <c r="P2867" i="5"/>
  <c r="AA2866" i="5"/>
  <c r="Q2866" i="5"/>
  <c r="P2866" i="5"/>
  <c r="AA2865" i="5"/>
  <c r="P2865" i="5"/>
  <c r="Q2865" i="5" s="1"/>
  <c r="AA2864" i="5"/>
  <c r="P2864" i="5"/>
  <c r="Q2864" i="5" s="1"/>
  <c r="AA2863" i="5"/>
  <c r="Q2863" i="5"/>
  <c r="P2863" i="5"/>
  <c r="AA2862" i="5"/>
  <c r="P2862" i="5"/>
  <c r="Q2862" i="5" s="1"/>
  <c r="AA2861" i="5"/>
  <c r="Q2861" i="5"/>
  <c r="P2861" i="5"/>
  <c r="AA2860" i="5"/>
  <c r="P2860" i="5"/>
  <c r="Q2860" i="5" s="1"/>
  <c r="AA2859" i="5"/>
  <c r="P2859" i="5"/>
  <c r="Q2859" i="5" s="1"/>
  <c r="AA2858" i="5"/>
  <c r="Q2858" i="5"/>
  <c r="P2858" i="5"/>
  <c r="AA2857" i="5"/>
  <c r="Q2857" i="5"/>
  <c r="P2857" i="5"/>
  <c r="AA2856" i="5"/>
  <c r="P2856" i="5"/>
  <c r="Q2856" i="5" s="1"/>
  <c r="AA2855" i="5"/>
  <c r="P2855" i="5"/>
  <c r="Q2855" i="5" s="1"/>
  <c r="AA2854" i="5"/>
  <c r="P2854" i="5"/>
  <c r="Q2854" i="5" s="1"/>
  <c r="AA2853" i="5"/>
  <c r="Q2853" i="5"/>
  <c r="P2853" i="5"/>
  <c r="AA2852" i="5"/>
  <c r="P2852" i="5"/>
  <c r="Q2852" i="5" s="1"/>
  <c r="AA2851" i="5"/>
  <c r="Q2851" i="5"/>
  <c r="P2851" i="5"/>
  <c r="AA2850" i="5"/>
  <c r="P2850" i="5"/>
  <c r="Q2850" i="5" s="1"/>
  <c r="AA2849" i="5"/>
  <c r="P2849" i="5"/>
  <c r="Q2849" i="5" s="1"/>
  <c r="AA2848" i="5"/>
  <c r="P2848" i="5"/>
  <c r="Q2848" i="5" s="1"/>
  <c r="AA2847" i="5"/>
  <c r="P2847" i="5"/>
  <c r="Q2847" i="5" s="1"/>
  <c r="AA2846" i="5"/>
  <c r="P2846" i="5"/>
  <c r="Q2846" i="5" s="1"/>
  <c r="AA2845" i="5"/>
  <c r="P2845" i="5"/>
  <c r="Q2845" i="5" s="1"/>
  <c r="AA2844" i="5"/>
  <c r="P2844" i="5"/>
  <c r="Q2844" i="5" s="1"/>
  <c r="AA2843" i="5"/>
  <c r="Q2843" i="5"/>
  <c r="P2843" i="5"/>
  <c r="AA2842" i="5"/>
  <c r="Q2842" i="5"/>
  <c r="P2842" i="5"/>
  <c r="AA2841" i="5"/>
  <c r="P2841" i="5"/>
  <c r="Q2841" i="5" s="1"/>
  <c r="AA2840" i="5"/>
  <c r="Q2840" i="5"/>
  <c r="P2840" i="5"/>
  <c r="AA2839" i="5"/>
  <c r="P2839" i="5"/>
  <c r="Q2839" i="5" s="1"/>
  <c r="AA2838" i="5"/>
  <c r="Q2838" i="5"/>
  <c r="P2838" i="5"/>
  <c r="AA2837" i="5"/>
  <c r="P2837" i="5"/>
  <c r="Q2837" i="5" s="1"/>
  <c r="AA2836" i="5"/>
  <c r="P2836" i="5"/>
  <c r="Q2836" i="5" s="1"/>
  <c r="AA2835" i="5"/>
  <c r="P2835" i="5"/>
  <c r="Q2835" i="5" s="1"/>
  <c r="AA2834" i="5"/>
  <c r="P2834" i="5"/>
  <c r="Q2834" i="5" s="1"/>
  <c r="AA2833" i="5"/>
  <c r="P2833" i="5"/>
  <c r="Q2833" i="5" s="1"/>
  <c r="AA2832" i="5"/>
  <c r="Q2832" i="5"/>
  <c r="P2832" i="5"/>
  <c r="AA2831" i="5"/>
  <c r="Q2831" i="5"/>
  <c r="P2831" i="5"/>
  <c r="AA2830" i="5"/>
  <c r="P2830" i="5"/>
  <c r="Q2830" i="5" s="1"/>
  <c r="AA2829" i="5"/>
  <c r="P2829" i="5"/>
  <c r="Q2829" i="5" s="1"/>
  <c r="AA2828" i="5"/>
  <c r="Q2828" i="5"/>
  <c r="P2828" i="5"/>
  <c r="AA2827" i="5"/>
  <c r="P2827" i="5"/>
  <c r="Q2827" i="5" s="1"/>
  <c r="AA2826" i="5"/>
  <c r="Q2826" i="5"/>
  <c r="P2826" i="5"/>
  <c r="AA2825" i="5"/>
  <c r="Q2825" i="5"/>
  <c r="P2825" i="5"/>
  <c r="AA2824" i="5"/>
  <c r="P2824" i="5"/>
  <c r="Q2824" i="5" s="1"/>
  <c r="AA2823" i="5"/>
  <c r="P2823" i="5"/>
  <c r="Q2823" i="5" s="1"/>
  <c r="AA2822" i="5"/>
  <c r="Q2822" i="5"/>
  <c r="P2822" i="5"/>
  <c r="AA2821" i="5"/>
  <c r="P2821" i="5"/>
  <c r="Q2821" i="5" s="1"/>
  <c r="AA2820" i="5"/>
  <c r="P2820" i="5"/>
  <c r="Q2820" i="5" s="1"/>
  <c r="AA2819" i="5"/>
  <c r="Q2819" i="5"/>
  <c r="P2819" i="5"/>
  <c r="AA2818" i="5"/>
  <c r="P2818" i="5"/>
  <c r="Q2818" i="5" s="1"/>
  <c r="AA2817" i="5"/>
  <c r="P2817" i="5"/>
  <c r="Q2817" i="5" s="1"/>
  <c r="AA2816" i="5"/>
  <c r="Q2816" i="5"/>
  <c r="P2816" i="5"/>
  <c r="AA2815" i="5"/>
  <c r="P2815" i="5"/>
  <c r="Q2815" i="5" s="1"/>
  <c r="AA2814" i="5"/>
  <c r="P2814" i="5"/>
  <c r="Q2814" i="5" s="1"/>
  <c r="AA2813" i="5"/>
  <c r="P2813" i="5"/>
  <c r="Q2813" i="5" s="1"/>
  <c r="AA2812" i="5"/>
  <c r="P2812" i="5"/>
  <c r="Q2812" i="5" s="1"/>
  <c r="AA2811" i="5"/>
  <c r="P2811" i="5"/>
  <c r="Q2811" i="5" s="1"/>
  <c r="AA2810" i="5"/>
  <c r="P2810" i="5"/>
  <c r="Q2810" i="5" s="1"/>
  <c r="AA2809" i="5"/>
  <c r="Q2809" i="5"/>
  <c r="P2809" i="5"/>
  <c r="AA2808" i="5"/>
  <c r="Q2808" i="5"/>
  <c r="P2808" i="5"/>
  <c r="AA2807" i="5"/>
  <c r="P2807" i="5"/>
  <c r="Q2807" i="5" s="1"/>
  <c r="AA2806" i="5"/>
  <c r="P2806" i="5"/>
  <c r="Q2806" i="5" s="1"/>
  <c r="AA2805" i="5"/>
  <c r="P2805" i="5"/>
  <c r="Q2805" i="5" s="1"/>
  <c r="AA2804" i="5"/>
  <c r="P2804" i="5"/>
  <c r="Q2804" i="5" s="1"/>
  <c r="AA2803" i="5"/>
  <c r="Q2803" i="5"/>
  <c r="P2803" i="5"/>
  <c r="AA2802" i="5"/>
  <c r="Q2802" i="5"/>
  <c r="P2802" i="5"/>
  <c r="AA2801" i="5"/>
  <c r="P2801" i="5"/>
  <c r="Q2801" i="5" s="1"/>
  <c r="AA2800" i="5"/>
  <c r="Q2800" i="5"/>
  <c r="P2800" i="5"/>
  <c r="AA2799" i="5"/>
  <c r="P2799" i="5"/>
  <c r="Q2799" i="5" s="1"/>
  <c r="AA2798" i="5"/>
  <c r="P2798" i="5"/>
  <c r="Q2798" i="5" s="1"/>
  <c r="AA2797" i="5"/>
  <c r="P2797" i="5"/>
  <c r="Q2797" i="5" s="1"/>
  <c r="AA2796" i="5"/>
  <c r="P2796" i="5"/>
  <c r="Q2796" i="5" s="1"/>
  <c r="AA2795" i="5"/>
  <c r="Q2795" i="5"/>
  <c r="P2795" i="5"/>
  <c r="AA2794" i="5"/>
  <c r="P2794" i="5"/>
  <c r="Q2794" i="5" s="1"/>
  <c r="AA2793" i="5"/>
  <c r="Q2793" i="5"/>
  <c r="P2793" i="5"/>
  <c r="AA2792" i="5"/>
  <c r="P2792" i="5"/>
  <c r="Q2792" i="5" s="1"/>
  <c r="AA2791" i="5"/>
  <c r="P2791" i="5"/>
  <c r="Q2791" i="5" s="1"/>
  <c r="AA2790" i="5"/>
  <c r="P2790" i="5"/>
  <c r="Q2790" i="5" s="1"/>
  <c r="AA2789" i="5"/>
  <c r="Q2789" i="5"/>
  <c r="P2789" i="5"/>
  <c r="AA2788" i="5"/>
  <c r="P2788" i="5"/>
  <c r="Q2788" i="5" s="1"/>
  <c r="AA2787" i="5"/>
  <c r="P2787" i="5"/>
  <c r="Q2787" i="5" s="1"/>
  <c r="AA2786" i="5"/>
  <c r="Q2786" i="5"/>
  <c r="P2786" i="5"/>
  <c r="AA2785" i="5"/>
  <c r="P2785" i="5"/>
  <c r="Q2785" i="5" s="1"/>
  <c r="AA2784" i="5"/>
  <c r="Q2784" i="5"/>
  <c r="P2784" i="5"/>
  <c r="AA2783" i="5"/>
  <c r="P2783" i="5"/>
  <c r="Q2783" i="5" s="1"/>
  <c r="AA2782" i="5"/>
  <c r="P2782" i="5"/>
  <c r="Q2782" i="5" s="1"/>
  <c r="AA2781" i="5"/>
  <c r="P2781" i="5"/>
  <c r="Q2781" i="5" s="1"/>
  <c r="AA2780" i="5"/>
  <c r="P2780" i="5"/>
  <c r="Q2780" i="5" s="1"/>
  <c r="AA2779" i="5"/>
  <c r="P2779" i="5"/>
  <c r="Q2779" i="5" s="1"/>
  <c r="AA2778" i="5"/>
  <c r="P2778" i="5"/>
  <c r="Q2778" i="5" s="1"/>
  <c r="AA2777" i="5"/>
  <c r="Q2777" i="5"/>
  <c r="P2777" i="5"/>
  <c r="AA2776" i="5"/>
  <c r="P2776" i="5"/>
  <c r="Q2776" i="5" s="1"/>
  <c r="AA2775" i="5"/>
  <c r="P2775" i="5"/>
  <c r="Q2775" i="5" s="1"/>
  <c r="AA2774" i="5"/>
  <c r="P2774" i="5"/>
  <c r="Q2774" i="5" s="1"/>
  <c r="AA2773" i="5"/>
  <c r="P2773" i="5"/>
  <c r="Q2773" i="5" s="1"/>
  <c r="AA2772" i="5"/>
  <c r="P2772" i="5"/>
  <c r="Q2772" i="5" s="1"/>
  <c r="AA2771" i="5"/>
  <c r="P2771" i="5"/>
  <c r="Q2771" i="5" s="1"/>
  <c r="AA2770" i="5"/>
  <c r="P2770" i="5"/>
  <c r="Q2770" i="5" s="1"/>
  <c r="AA2769" i="5"/>
  <c r="Q2769" i="5"/>
  <c r="P2769" i="5"/>
  <c r="AA2768" i="5"/>
  <c r="Q2768" i="5"/>
  <c r="P2768" i="5"/>
  <c r="AA2767" i="5"/>
  <c r="P2767" i="5"/>
  <c r="Q2767" i="5" s="1"/>
  <c r="AA2766" i="5"/>
  <c r="P2766" i="5"/>
  <c r="Q2766" i="5" s="1"/>
  <c r="AA2765" i="5"/>
  <c r="Q2765" i="5"/>
  <c r="P2765" i="5"/>
  <c r="AA2764" i="5"/>
  <c r="Q2764" i="5"/>
  <c r="P2764" i="5"/>
  <c r="AA2763" i="5"/>
  <c r="P2763" i="5"/>
  <c r="Q2763" i="5" s="1"/>
  <c r="AA2762" i="5"/>
  <c r="Q2762" i="5"/>
  <c r="P2762" i="5"/>
  <c r="AA2761" i="5"/>
  <c r="P2761" i="5"/>
  <c r="Q2761" i="5" s="1"/>
  <c r="AA2760" i="5"/>
  <c r="P2760" i="5"/>
  <c r="Q2760" i="5" s="1"/>
  <c r="AA2759" i="5"/>
  <c r="P2759" i="5"/>
  <c r="Q2759" i="5" s="1"/>
  <c r="AA2758" i="5"/>
  <c r="P2758" i="5"/>
  <c r="Q2758" i="5" s="1"/>
  <c r="AA2757" i="5"/>
  <c r="P2757" i="5"/>
  <c r="Q2757" i="5" s="1"/>
  <c r="AA2756" i="5"/>
  <c r="Q2756" i="5"/>
  <c r="P2756" i="5"/>
  <c r="AA2755" i="5"/>
  <c r="P2755" i="5"/>
  <c r="Q2755" i="5" s="1"/>
  <c r="AA2754" i="5"/>
  <c r="P2754" i="5"/>
  <c r="Q2754" i="5" s="1"/>
  <c r="AA2753" i="5"/>
  <c r="P2753" i="5"/>
  <c r="Q2753" i="5" s="1"/>
  <c r="AA2752" i="5"/>
  <c r="P2752" i="5"/>
  <c r="Q2752" i="5" s="1"/>
  <c r="AA2751" i="5"/>
  <c r="P2751" i="5"/>
  <c r="Q2751" i="5" s="1"/>
  <c r="AA2750" i="5"/>
  <c r="P2750" i="5"/>
  <c r="Q2750" i="5" s="1"/>
  <c r="AA2749" i="5"/>
  <c r="P2749" i="5"/>
  <c r="Q2749" i="5" s="1"/>
  <c r="AA2748" i="5"/>
  <c r="Q2748" i="5"/>
  <c r="P2748" i="5"/>
  <c r="AA2747" i="5"/>
  <c r="P2747" i="5"/>
  <c r="Q2747" i="5" s="1"/>
  <c r="AA2746" i="5"/>
  <c r="P2746" i="5"/>
  <c r="Q2746" i="5" s="1"/>
  <c r="AA2745" i="5"/>
  <c r="Q2745" i="5"/>
  <c r="P2745" i="5"/>
  <c r="AA2744" i="5"/>
  <c r="P2744" i="5"/>
  <c r="Q2744" i="5" s="1"/>
  <c r="AA2743" i="5"/>
  <c r="P2743" i="5"/>
  <c r="Q2743" i="5" s="1"/>
  <c r="AA2742" i="5"/>
  <c r="P2742" i="5"/>
  <c r="Q2742" i="5" s="1"/>
  <c r="AA2741" i="5"/>
  <c r="Q2741" i="5"/>
  <c r="P2741" i="5"/>
  <c r="AA2740" i="5"/>
  <c r="P2740" i="5"/>
  <c r="Q2740" i="5" s="1"/>
  <c r="AA2739" i="5"/>
  <c r="Q2739" i="5"/>
  <c r="P2739" i="5"/>
  <c r="AA2738" i="5"/>
  <c r="Q2738" i="5"/>
  <c r="P2738" i="5"/>
  <c r="AA2737" i="5"/>
  <c r="Q2737" i="5"/>
  <c r="P2737" i="5"/>
  <c r="AA2736" i="5"/>
  <c r="P2736" i="5"/>
  <c r="Q2736" i="5" s="1"/>
  <c r="AA2735" i="5"/>
  <c r="P2735" i="5"/>
  <c r="Q2735" i="5" s="1"/>
  <c r="AA2734" i="5"/>
  <c r="P2734" i="5"/>
  <c r="Q2734" i="5" s="1"/>
  <c r="AA2733" i="5"/>
  <c r="Q2733" i="5"/>
  <c r="P2733" i="5"/>
  <c r="AA2732" i="5"/>
  <c r="P2732" i="5"/>
  <c r="Q2732" i="5" s="1"/>
  <c r="AA2731" i="5"/>
  <c r="P2731" i="5"/>
  <c r="Q2731" i="5" s="1"/>
  <c r="AA2730" i="5"/>
  <c r="P2730" i="5"/>
  <c r="Q2730" i="5" s="1"/>
  <c r="AA2729" i="5"/>
  <c r="Q2729" i="5"/>
  <c r="P2729" i="5"/>
  <c r="AA2728" i="5"/>
  <c r="P2728" i="5"/>
  <c r="Q2728" i="5" s="1"/>
  <c r="AA2727" i="5"/>
  <c r="P2727" i="5"/>
  <c r="Q2727" i="5" s="1"/>
  <c r="AA2726" i="5"/>
  <c r="P2726" i="5"/>
  <c r="Q2726" i="5" s="1"/>
  <c r="AA2725" i="5"/>
  <c r="P2725" i="5"/>
  <c r="Q2725" i="5" s="1"/>
  <c r="AA2724" i="5"/>
  <c r="P2724" i="5"/>
  <c r="Q2724" i="5" s="1"/>
  <c r="AA2723" i="5"/>
  <c r="P2723" i="5"/>
  <c r="Q2723" i="5" s="1"/>
  <c r="AA2722" i="5"/>
  <c r="P2722" i="5"/>
  <c r="Q2722" i="5" s="1"/>
  <c r="AA2721" i="5"/>
  <c r="P2721" i="5"/>
  <c r="Q2721" i="5" s="1"/>
  <c r="AA2720" i="5"/>
  <c r="P2720" i="5"/>
  <c r="Q2720" i="5" s="1"/>
  <c r="AA2719" i="5"/>
  <c r="P2719" i="5"/>
  <c r="Q2719" i="5" s="1"/>
  <c r="AA2718" i="5"/>
  <c r="P2718" i="5"/>
  <c r="Q2718" i="5" s="1"/>
  <c r="AA2717" i="5"/>
  <c r="P2717" i="5"/>
  <c r="Q2717" i="5" s="1"/>
  <c r="AA2716" i="5"/>
  <c r="P2716" i="5"/>
  <c r="Q2716" i="5" s="1"/>
  <c r="AA2715" i="5"/>
  <c r="P2715" i="5"/>
  <c r="Q2715" i="5" s="1"/>
  <c r="AA2714" i="5"/>
  <c r="P2714" i="5"/>
  <c r="Q2714" i="5" s="1"/>
  <c r="AA2713" i="5"/>
  <c r="Q2713" i="5"/>
  <c r="P2713" i="5"/>
  <c r="AA2712" i="5"/>
  <c r="P2712" i="5"/>
  <c r="Q2712" i="5" s="1"/>
  <c r="AA2711" i="5"/>
  <c r="P2711" i="5"/>
  <c r="Q2711" i="5" s="1"/>
  <c r="AA2710" i="5"/>
  <c r="Q2710" i="5"/>
  <c r="P2710" i="5"/>
  <c r="AA2709" i="5"/>
  <c r="P2709" i="5"/>
  <c r="Q2709" i="5" s="1"/>
  <c r="AA2708" i="5"/>
  <c r="P2708" i="5"/>
  <c r="Q2708" i="5" s="1"/>
  <c r="AA2707" i="5"/>
  <c r="Q2707" i="5"/>
  <c r="P2707" i="5"/>
  <c r="AA2706" i="5"/>
  <c r="Q2706" i="5"/>
  <c r="P2706" i="5"/>
  <c r="AA2705" i="5"/>
  <c r="P2705" i="5"/>
  <c r="Q2705" i="5" s="1"/>
  <c r="AA2704" i="5"/>
  <c r="P2704" i="5"/>
  <c r="Q2704" i="5" s="1"/>
  <c r="AA2703" i="5"/>
  <c r="Q2703" i="5"/>
  <c r="P2703" i="5"/>
  <c r="AA2702" i="5"/>
  <c r="P2702" i="5"/>
  <c r="Q2702" i="5" s="1"/>
  <c r="AA2701" i="5"/>
  <c r="Q2701" i="5"/>
  <c r="P2701" i="5"/>
  <c r="AA2700" i="5"/>
  <c r="P2700" i="5"/>
  <c r="Q2700" i="5" s="1"/>
  <c r="AA2699" i="5"/>
  <c r="Q2699" i="5"/>
  <c r="P2699" i="5"/>
  <c r="AA2698" i="5"/>
  <c r="Q2698" i="5"/>
  <c r="P2698" i="5"/>
  <c r="AA2697" i="5"/>
  <c r="P2697" i="5"/>
  <c r="Q2697" i="5" s="1"/>
  <c r="AA2696" i="5"/>
  <c r="P2696" i="5"/>
  <c r="Q2696" i="5" s="1"/>
  <c r="AA2695" i="5"/>
  <c r="P2695" i="5"/>
  <c r="Q2695" i="5" s="1"/>
  <c r="AA2694" i="5"/>
  <c r="Q2694" i="5"/>
  <c r="P2694" i="5"/>
  <c r="AA2693" i="5"/>
  <c r="P2693" i="5"/>
  <c r="Q2693" i="5" s="1"/>
  <c r="AA2692" i="5"/>
  <c r="P2692" i="5"/>
  <c r="Q2692" i="5" s="1"/>
  <c r="AA2691" i="5"/>
  <c r="Q2691" i="5"/>
  <c r="P2691" i="5"/>
  <c r="AA2690" i="5"/>
  <c r="P2690" i="5"/>
  <c r="Q2690" i="5" s="1"/>
  <c r="AA2689" i="5"/>
  <c r="Q2689" i="5"/>
  <c r="P2689" i="5"/>
  <c r="AA2688" i="5"/>
  <c r="Q2688" i="5"/>
  <c r="P2688" i="5"/>
  <c r="AA2687" i="5"/>
  <c r="Q2687" i="5"/>
  <c r="P2687" i="5"/>
  <c r="AA2686" i="5"/>
  <c r="P2686" i="5"/>
  <c r="Q2686" i="5" s="1"/>
  <c r="AA2685" i="5"/>
  <c r="P2685" i="5"/>
  <c r="Q2685" i="5" s="1"/>
  <c r="AA2684" i="5"/>
  <c r="P2684" i="5"/>
  <c r="Q2684" i="5" s="1"/>
  <c r="AA2683" i="5"/>
  <c r="Q2683" i="5"/>
  <c r="P2683" i="5"/>
  <c r="AA2682" i="5"/>
  <c r="P2682" i="5"/>
  <c r="Q2682" i="5" s="1"/>
  <c r="AA2681" i="5"/>
  <c r="P2681" i="5"/>
  <c r="Q2681" i="5" s="1"/>
  <c r="AA2680" i="5"/>
  <c r="P2680" i="5"/>
  <c r="Q2680" i="5" s="1"/>
  <c r="AA2679" i="5"/>
  <c r="P2679" i="5"/>
  <c r="Q2679" i="5" s="1"/>
  <c r="AA2678" i="5"/>
  <c r="Q2678" i="5"/>
  <c r="P2678" i="5"/>
  <c r="AA2677" i="5"/>
  <c r="P2677" i="5"/>
  <c r="Q2677" i="5" s="1"/>
  <c r="AA2676" i="5"/>
  <c r="P2676" i="5"/>
  <c r="Q2676" i="5" s="1"/>
  <c r="AA2675" i="5"/>
  <c r="Q2675" i="5"/>
  <c r="P2675" i="5"/>
  <c r="AA2674" i="5"/>
  <c r="Q2674" i="5"/>
  <c r="P2674" i="5"/>
  <c r="AA2673" i="5"/>
  <c r="P2673" i="5"/>
  <c r="Q2673" i="5" s="1"/>
  <c r="AA2672" i="5"/>
  <c r="Q2672" i="5"/>
  <c r="P2672" i="5"/>
  <c r="AA2671" i="5"/>
  <c r="P2671" i="5"/>
  <c r="Q2671" i="5" s="1"/>
  <c r="AA2670" i="5"/>
  <c r="P2670" i="5"/>
  <c r="Q2670" i="5" s="1"/>
  <c r="AA2669" i="5"/>
  <c r="P2669" i="5"/>
  <c r="Q2669" i="5" s="1"/>
  <c r="AA2668" i="5"/>
  <c r="P2668" i="5"/>
  <c r="Q2668" i="5" s="1"/>
  <c r="AA2667" i="5"/>
  <c r="P2667" i="5"/>
  <c r="Q2667" i="5" s="1"/>
  <c r="AA2666" i="5"/>
  <c r="P2666" i="5"/>
  <c r="Q2666" i="5" s="1"/>
  <c r="AA2665" i="5"/>
  <c r="Q2665" i="5"/>
  <c r="P2665" i="5"/>
  <c r="AA2664" i="5"/>
  <c r="Q2664" i="5"/>
  <c r="P2664" i="5"/>
  <c r="AA2663" i="5"/>
  <c r="P2663" i="5"/>
  <c r="Q2663" i="5" s="1"/>
  <c r="AA2662" i="5"/>
  <c r="P2662" i="5"/>
  <c r="Q2662" i="5" s="1"/>
  <c r="AA2661" i="5"/>
  <c r="Q2661" i="5"/>
  <c r="P2661" i="5"/>
  <c r="AA2660" i="5"/>
  <c r="P2660" i="5"/>
  <c r="Q2660" i="5" s="1"/>
  <c r="AA2659" i="5"/>
  <c r="Q2659" i="5"/>
  <c r="P2659" i="5"/>
  <c r="AA2658" i="5"/>
  <c r="Q2658" i="5"/>
  <c r="P2658" i="5"/>
  <c r="AA2657" i="5"/>
  <c r="P2657" i="5"/>
  <c r="Q2657" i="5" s="1"/>
  <c r="AA2656" i="5"/>
  <c r="Q2656" i="5"/>
  <c r="P2656" i="5"/>
  <c r="AA2655" i="5"/>
  <c r="P2655" i="5"/>
  <c r="Q2655" i="5" s="1"/>
  <c r="AA2654" i="5"/>
  <c r="P2654" i="5"/>
  <c r="Q2654" i="5" s="1"/>
  <c r="AA2653" i="5"/>
  <c r="P2653" i="5"/>
  <c r="Q2653" i="5" s="1"/>
  <c r="AA2652" i="5"/>
  <c r="P2652" i="5"/>
  <c r="Q2652" i="5" s="1"/>
  <c r="AA2651" i="5"/>
  <c r="P2651" i="5"/>
  <c r="Q2651" i="5" s="1"/>
  <c r="AA2650" i="5"/>
  <c r="Q2650" i="5"/>
  <c r="P2650" i="5"/>
  <c r="AA2649" i="5"/>
  <c r="Q2649" i="5"/>
  <c r="P2649" i="5"/>
  <c r="AA2648" i="5"/>
  <c r="P2648" i="5"/>
  <c r="Q2648" i="5" s="1"/>
  <c r="AA2647" i="5"/>
  <c r="P2647" i="5"/>
  <c r="Q2647" i="5" s="1"/>
  <c r="AA2646" i="5"/>
  <c r="P2646" i="5"/>
  <c r="Q2646" i="5" s="1"/>
  <c r="AA2645" i="5"/>
  <c r="P2645" i="5"/>
  <c r="Q2645" i="5" s="1"/>
  <c r="AA2644" i="5"/>
  <c r="P2644" i="5"/>
  <c r="Q2644" i="5" s="1"/>
  <c r="AA2643" i="5"/>
  <c r="P2643" i="5"/>
  <c r="Q2643" i="5" s="1"/>
  <c r="AA2642" i="5"/>
  <c r="P2642" i="5"/>
  <c r="Q2642" i="5" s="1"/>
  <c r="AA2641" i="5"/>
  <c r="Q2641" i="5"/>
  <c r="P2641" i="5"/>
  <c r="AA2640" i="5"/>
  <c r="P2640" i="5"/>
  <c r="Q2640" i="5" s="1"/>
  <c r="AA2639" i="5"/>
  <c r="Q2639" i="5"/>
  <c r="P2639" i="5"/>
  <c r="AA2638" i="5"/>
  <c r="P2638" i="5"/>
  <c r="Q2638" i="5" s="1"/>
  <c r="AA2637" i="5"/>
  <c r="Q2637" i="5"/>
  <c r="P2637" i="5"/>
  <c r="AA2636" i="5"/>
  <c r="Q2636" i="5"/>
  <c r="P2636" i="5"/>
  <c r="AA2635" i="5"/>
  <c r="P2635" i="5"/>
  <c r="Q2635" i="5" s="1"/>
  <c r="AA2634" i="5"/>
  <c r="P2634" i="5"/>
  <c r="Q2634" i="5" s="1"/>
  <c r="AA2633" i="5"/>
  <c r="Q2633" i="5"/>
  <c r="P2633" i="5"/>
  <c r="AA2632" i="5"/>
  <c r="P2632" i="5"/>
  <c r="Q2632" i="5" s="1"/>
  <c r="AA2631" i="5"/>
  <c r="P2631" i="5"/>
  <c r="Q2631" i="5" s="1"/>
  <c r="AA2630" i="5"/>
  <c r="P2630" i="5"/>
  <c r="Q2630" i="5" s="1"/>
  <c r="AA2629" i="5"/>
  <c r="P2629" i="5"/>
  <c r="Q2629" i="5" s="1"/>
  <c r="AA2628" i="5"/>
  <c r="Q2628" i="5"/>
  <c r="P2628" i="5"/>
  <c r="AA2627" i="5"/>
  <c r="P2627" i="5"/>
  <c r="Q2627" i="5" s="1"/>
  <c r="AA2626" i="5"/>
  <c r="Q2626" i="5"/>
  <c r="P2626" i="5"/>
  <c r="AA2625" i="5"/>
  <c r="P2625" i="5"/>
  <c r="Q2625" i="5" s="1"/>
  <c r="AA2624" i="5"/>
  <c r="P2624" i="5"/>
  <c r="Q2624" i="5" s="1"/>
  <c r="AA2623" i="5"/>
  <c r="P2623" i="5"/>
  <c r="Q2623" i="5" s="1"/>
  <c r="AA2622" i="5"/>
  <c r="P2622" i="5"/>
  <c r="Q2622" i="5" s="1"/>
  <c r="AA2621" i="5"/>
  <c r="P2621" i="5"/>
  <c r="Q2621" i="5" s="1"/>
  <c r="AA2620" i="5"/>
  <c r="Q2620" i="5"/>
  <c r="P2620" i="5"/>
  <c r="AA2619" i="5"/>
  <c r="P2619" i="5"/>
  <c r="Q2619" i="5" s="1"/>
  <c r="AA2618" i="5"/>
  <c r="P2618" i="5"/>
  <c r="Q2618" i="5" s="1"/>
  <c r="AA2617" i="5"/>
  <c r="Q2617" i="5"/>
  <c r="P2617" i="5"/>
  <c r="AA2616" i="5"/>
  <c r="P2616" i="5"/>
  <c r="Q2616" i="5" s="1"/>
  <c r="AA2615" i="5"/>
  <c r="P2615" i="5"/>
  <c r="Q2615" i="5" s="1"/>
  <c r="AA2614" i="5"/>
  <c r="P2614" i="5"/>
  <c r="Q2614" i="5" s="1"/>
  <c r="AA2613" i="5"/>
  <c r="Q2613" i="5"/>
  <c r="P2613" i="5"/>
  <c r="AA2612" i="5"/>
  <c r="P2612" i="5"/>
  <c r="Q2612" i="5" s="1"/>
  <c r="AA2611" i="5"/>
  <c r="P2611" i="5"/>
  <c r="Q2611" i="5" s="1"/>
  <c r="AA2610" i="5"/>
  <c r="Q2610" i="5"/>
  <c r="P2610" i="5"/>
  <c r="AA2609" i="5"/>
  <c r="P2609" i="5"/>
  <c r="Q2609" i="5" s="1"/>
  <c r="AA2608" i="5"/>
  <c r="P2608" i="5"/>
  <c r="Q2608" i="5" s="1"/>
  <c r="AA2607" i="5"/>
  <c r="P2607" i="5"/>
  <c r="Q2607" i="5" s="1"/>
  <c r="AA2606" i="5"/>
  <c r="P2606" i="5"/>
  <c r="Q2606" i="5" s="1"/>
  <c r="AA2605" i="5"/>
  <c r="Q2605" i="5"/>
  <c r="P2605" i="5"/>
  <c r="AA2604" i="5"/>
  <c r="P2604" i="5"/>
  <c r="Q2604" i="5" s="1"/>
  <c r="AA2603" i="5"/>
  <c r="P2603" i="5"/>
  <c r="Q2603" i="5" s="1"/>
  <c r="AA2602" i="5"/>
  <c r="P2602" i="5"/>
  <c r="Q2602" i="5" s="1"/>
  <c r="AA2601" i="5"/>
  <c r="Q2601" i="5"/>
  <c r="P2601" i="5"/>
  <c r="AA2600" i="5"/>
  <c r="Q2600" i="5"/>
  <c r="P2600" i="5"/>
  <c r="AA2599" i="5"/>
  <c r="P2599" i="5"/>
  <c r="Q2599" i="5" s="1"/>
  <c r="AA2598" i="5"/>
  <c r="P2598" i="5"/>
  <c r="Q2598" i="5" s="1"/>
  <c r="AA2597" i="5"/>
  <c r="Q2597" i="5"/>
  <c r="P2597" i="5"/>
  <c r="AA2596" i="5"/>
  <c r="P2596" i="5"/>
  <c r="Q2596" i="5" s="1"/>
  <c r="AA2595" i="5"/>
  <c r="Q2595" i="5"/>
  <c r="P2595" i="5"/>
  <c r="AA2594" i="5"/>
  <c r="P2594" i="5"/>
  <c r="Q2594" i="5" s="1"/>
  <c r="AA2593" i="5"/>
  <c r="P2593" i="5"/>
  <c r="Q2593" i="5" s="1"/>
  <c r="AA2592" i="5"/>
  <c r="P2592" i="5"/>
  <c r="Q2592" i="5" s="1"/>
  <c r="AA2591" i="5"/>
  <c r="P2591" i="5"/>
  <c r="Q2591" i="5" s="1"/>
  <c r="AA2590" i="5"/>
  <c r="P2590" i="5"/>
  <c r="Q2590" i="5" s="1"/>
  <c r="AA2589" i="5"/>
  <c r="P2589" i="5"/>
  <c r="Q2589" i="5" s="1"/>
  <c r="AA2588" i="5"/>
  <c r="P2588" i="5"/>
  <c r="Q2588" i="5" s="1"/>
  <c r="AA2587" i="5"/>
  <c r="P2587" i="5"/>
  <c r="Q2587" i="5" s="1"/>
  <c r="AA2586" i="5"/>
  <c r="Q2586" i="5"/>
  <c r="P2586" i="5"/>
  <c r="AA2585" i="5"/>
  <c r="Q2585" i="5"/>
  <c r="P2585" i="5"/>
  <c r="AA2584" i="5"/>
  <c r="P2584" i="5"/>
  <c r="Q2584" i="5" s="1"/>
  <c r="AA2583" i="5"/>
  <c r="P2583" i="5"/>
  <c r="Q2583" i="5" s="1"/>
  <c r="AA2582" i="5"/>
  <c r="Q2582" i="5"/>
  <c r="P2582" i="5"/>
  <c r="AA2581" i="5"/>
  <c r="Q2581" i="5"/>
  <c r="P2581" i="5"/>
  <c r="AA2580" i="5"/>
  <c r="P2580" i="5"/>
  <c r="Q2580" i="5" s="1"/>
  <c r="AA2579" i="5"/>
  <c r="Q2579" i="5"/>
  <c r="P2579" i="5"/>
  <c r="AA2578" i="5"/>
  <c r="P2578" i="5"/>
  <c r="Q2578" i="5" s="1"/>
  <c r="AA2577" i="5"/>
  <c r="P2577" i="5"/>
  <c r="Q2577" i="5" s="1"/>
  <c r="AA2576" i="5"/>
  <c r="Q2576" i="5"/>
  <c r="P2576" i="5"/>
  <c r="AA2575" i="5"/>
  <c r="Q2575" i="5"/>
  <c r="P2575" i="5"/>
  <c r="AA2574" i="5"/>
  <c r="P2574" i="5"/>
  <c r="Q2574" i="5" s="1"/>
  <c r="AA2573" i="5"/>
  <c r="Q2573" i="5"/>
  <c r="P2573" i="5"/>
  <c r="AA2572" i="5"/>
  <c r="P2572" i="5"/>
  <c r="Q2572" i="5" s="1"/>
  <c r="AA2571" i="5"/>
  <c r="P2571" i="5"/>
  <c r="Q2571" i="5" s="1"/>
  <c r="AA2570" i="5"/>
  <c r="Q2570" i="5"/>
  <c r="P2570" i="5"/>
  <c r="AA2569" i="5"/>
  <c r="P2569" i="5"/>
  <c r="Q2569" i="5" s="1"/>
  <c r="AA2568" i="5"/>
  <c r="P2568" i="5"/>
  <c r="Q2568" i="5" s="1"/>
  <c r="AA2567" i="5"/>
  <c r="P2567" i="5"/>
  <c r="Q2567" i="5" s="1"/>
  <c r="AA2566" i="5"/>
  <c r="P2566" i="5"/>
  <c r="Q2566" i="5" s="1"/>
  <c r="AA2565" i="5"/>
  <c r="P2565" i="5"/>
  <c r="Q2565" i="5" s="1"/>
  <c r="AA2564" i="5"/>
  <c r="Q2564" i="5"/>
  <c r="P2564" i="5"/>
  <c r="AA2563" i="5"/>
  <c r="Q2563" i="5"/>
  <c r="P2563" i="5"/>
  <c r="AA2562" i="5"/>
  <c r="P2562" i="5"/>
  <c r="Q2562" i="5" s="1"/>
  <c r="AA2561" i="5"/>
  <c r="Q2561" i="5"/>
  <c r="P2561" i="5"/>
  <c r="AA2560" i="5"/>
  <c r="P2560" i="5"/>
  <c r="Q2560" i="5" s="1"/>
  <c r="AA2559" i="5"/>
  <c r="P2559" i="5"/>
  <c r="Q2559" i="5" s="1"/>
  <c r="AA2558" i="5"/>
  <c r="P2558" i="5"/>
  <c r="Q2558" i="5" s="1"/>
  <c r="AA2557" i="5"/>
  <c r="P2557" i="5"/>
  <c r="Q2557" i="5" s="1"/>
  <c r="AA2556" i="5"/>
  <c r="Q2556" i="5"/>
  <c r="P2556" i="5"/>
  <c r="AA2555" i="5"/>
  <c r="P2555" i="5"/>
  <c r="Q2555" i="5" s="1"/>
  <c r="AA2554" i="5"/>
  <c r="P2554" i="5"/>
  <c r="Q2554" i="5" s="1"/>
  <c r="AA2553" i="5"/>
  <c r="Q2553" i="5"/>
  <c r="P2553" i="5"/>
  <c r="AA2552" i="5"/>
  <c r="P2552" i="5"/>
  <c r="Q2552" i="5" s="1"/>
  <c r="AA2551" i="5"/>
  <c r="P2551" i="5"/>
  <c r="Q2551" i="5" s="1"/>
  <c r="AA2550" i="5"/>
  <c r="Q2550" i="5"/>
  <c r="P2550" i="5"/>
  <c r="AA2549" i="5"/>
  <c r="P2549" i="5"/>
  <c r="Q2549" i="5" s="1"/>
  <c r="AA2548" i="5"/>
  <c r="P2548" i="5"/>
  <c r="Q2548" i="5" s="1"/>
  <c r="AA2547" i="5"/>
  <c r="Q2547" i="5"/>
  <c r="P2547" i="5"/>
  <c r="AA2546" i="5"/>
  <c r="P2546" i="5"/>
  <c r="Q2546" i="5" s="1"/>
  <c r="AA2545" i="5"/>
  <c r="Q2545" i="5"/>
  <c r="P2545" i="5"/>
  <c r="AA2544" i="5"/>
  <c r="P2544" i="5"/>
  <c r="Q2544" i="5" s="1"/>
  <c r="AA2543" i="5"/>
  <c r="Q2543" i="5"/>
  <c r="P2543" i="5"/>
  <c r="AA2542" i="5"/>
  <c r="P2542" i="5"/>
  <c r="Q2542" i="5" s="1"/>
  <c r="AA2541" i="5"/>
  <c r="P2541" i="5"/>
  <c r="Q2541" i="5" s="1"/>
  <c r="AA2540" i="5"/>
  <c r="Q2540" i="5"/>
  <c r="P2540" i="5"/>
  <c r="AA2539" i="5"/>
  <c r="P2539" i="5"/>
  <c r="Q2539" i="5" s="1"/>
  <c r="AA2538" i="5"/>
  <c r="Q2538" i="5"/>
  <c r="P2538" i="5"/>
  <c r="AA2537" i="5"/>
  <c r="P2537" i="5"/>
  <c r="Q2537" i="5" s="1"/>
  <c r="AA2536" i="5"/>
  <c r="P2536" i="5"/>
  <c r="Q2536" i="5" s="1"/>
  <c r="AA2535" i="5"/>
  <c r="P2535" i="5"/>
  <c r="Q2535" i="5" s="1"/>
  <c r="AA2534" i="5"/>
  <c r="P2534" i="5"/>
  <c r="Q2534" i="5" s="1"/>
  <c r="AA2533" i="5"/>
  <c r="P2533" i="5"/>
  <c r="Q2533" i="5" s="1"/>
  <c r="AA2532" i="5"/>
  <c r="P2532" i="5"/>
  <c r="Q2532" i="5" s="1"/>
  <c r="AA2531" i="5"/>
  <c r="Q2531" i="5"/>
  <c r="P2531" i="5"/>
  <c r="AA2530" i="5"/>
  <c r="P2530" i="5"/>
  <c r="Q2530" i="5" s="1"/>
  <c r="AA2529" i="5"/>
  <c r="Q2529" i="5"/>
  <c r="P2529" i="5"/>
  <c r="AA2528" i="5"/>
  <c r="P2528" i="5"/>
  <c r="Q2528" i="5" s="1"/>
  <c r="AA2527" i="5"/>
  <c r="P2527" i="5"/>
  <c r="Q2527" i="5" s="1"/>
  <c r="AA2526" i="5"/>
  <c r="P2526" i="5"/>
  <c r="Q2526" i="5" s="1"/>
  <c r="AA2525" i="5"/>
  <c r="P2525" i="5"/>
  <c r="Q2525" i="5" s="1"/>
  <c r="AA2524" i="5"/>
  <c r="Q2524" i="5"/>
  <c r="P2524" i="5"/>
  <c r="AA2523" i="5"/>
  <c r="P2523" i="5"/>
  <c r="Q2523" i="5" s="1"/>
  <c r="AA2522" i="5"/>
  <c r="P2522" i="5"/>
  <c r="Q2522" i="5" s="1"/>
  <c r="AA2521" i="5"/>
  <c r="Q2521" i="5"/>
  <c r="P2521" i="5"/>
  <c r="AA2520" i="5"/>
  <c r="P2520" i="5"/>
  <c r="Q2520" i="5" s="1"/>
  <c r="AA2519" i="5"/>
  <c r="P2519" i="5"/>
  <c r="Q2519" i="5" s="1"/>
  <c r="AA2518" i="5"/>
  <c r="Q2518" i="5"/>
  <c r="P2518" i="5"/>
  <c r="AA2517" i="5"/>
  <c r="P2517" i="5"/>
  <c r="Q2517" i="5" s="1"/>
  <c r="AA2516" i="5"/>
  <c r="P2516" i="5"/>
  <c r="Q2516" i="5" s="1"/>
  <c r="AA2515" i="5"/>
  <c r="Q2515" i="5"/>
  <c r="P2515" i="5"/>
  <c r="AA2514" i="5"/>
  <c r="P2514" i="5"/>
  <c r="Q2514" i="5" s="1"/>
  <c r="AA2513" i="5"/>
  <c r="P2513" i="5"/>
  <c r="Q2513" i="5" s="1"/>
  <c r="AA2512" i="5"/>
  <c r="Q2512" i="5"/>
  <c r="P2512" i="5"/>
  <c r="AA2511" i="5"/>
  <c r="P2511" i="5"/>
  <c r="Q2511" i="5" s="1"/>
  <c r="AA2510" i="5"/>
  <c r="P2510" i="5"/>
  <c r="Q2510" i="5" s="1"/>
  <c r="AA2509" i="5"/>
  <c r="P2509" i="5"/>
  <c r="Q2509" i="5" s="1"/>
  <c r="AA2508" i="5"/>
  <c r="Q2508" i="5"/>
  <c r="P2508" i="5"/>
  <c r="AA2507" i="5"/>
  <c r="P2507" i="5"/>
  <c r="Q2507" i="5" s="1"/>
  <c r="AA2506" i="5"/>
  <c r="P2506" i="5"/>
  <c r="Q2506" i="5" s="1"/>
  <c r="AA2505" i="5"/>
  <c r="Q2505" i="5"/>
  <c r="P2505" i="5"/>
  <c r="AA2504" i="5"/>
  <c r="P2504" i="5"/>
  <c r="Q2504" i="5" s="1"/>
  <c r="AA2503" i="5"/>
  <c r="P2503" i="5"/>
  <c r="Q2503" i="5" s="1"/>
  <c r="AA2502" i="5"/>
  <c r="Q2502" i="5"/>
  <c r="P2502" i="5"/>
  <c r="AA2501" i="5"/>
  <c r="P2501" i="5"/>
  <c r="Q2501" i="5" s="1"/>
  <c r="AA2500" i="5"/>
  <c r="P2500" i="5"/>
  <c r="Q2500" i="5" s="1"/>
  <c r="AA2499" i="5"/>
  <c r="P2499" i="5"/>
  <c r="Q2499" i="5" s="1"/>
  <c r="AA2498" i="5"/>
  <c r="P2498" i="5"/>
  <c r="Q2498" i="5" s="1"/>
  <c r="AA2497" i="5"/>
  <c r="Q2497" i="5"/>
  <c r="P2497" i="5"/>
  <c r="AA2496" i="5"/>
  <c r="Q2496" i="5"/>
  <c r="P2496" i="5"/>
  <c r="AA2495" i="5"/>
  <c r="P2495" i="5"/>
  <c r="Q2495" i="5" s="1"/>
  <c r="AA2494" i="5"/>
  <c r="P2494" i="5"/>
  <c r="Q2494" i="5" s="1"/>
  <c r="AA2493" i="5"/>
  <c r="P2493" i="5"/>
  <c r="Q2493" i="5" s="1"/>
  <c r="AA2492" i="5"/>
  <c r="P2492" i="5"/>
  <c r="Q2492" i="5" s="1"/>
  <c r="AA2491" i="5"/>
  <c r="P2491" i="5"/>
  <c r="Q2491" i="5" s="1"/>
  <c r="AA2490" i="5"/>
  <c r="P2490" i="5"/>
  <c r="Q2490" i="5" s="1"/>
  <c r="AA2489" i="5"/>
  <c r="P2489" i="5"/>
  <c r="Q2489" i="5" s="1"/>
  <c r="AA2488" i="5"/>
  <c r="P2488" i="5"/>
  <c r="Q2488" i="5" s="1"/>
  <c r="AA2487" i="5"/>
  <c r="P2487" i="5"/>
  <c r="Q2487" i="5" s="1"/>
  <c r="AA2486" i="5"/>
  <c r="Q2486" i="5"/>
  <c r="P2486" i="5"/>
  <c r="AA2485" i="5"/>
  <c r="P2485" i="5"/>
  <c r="Q2485" i="5" s="1"/>
  <c r="AA2484" i="5"/>
  <c r="Q2484" i="5"/>
  <c r="P2484" i="5"/>
  <c r="AA2483" i="5"/>
  <c r="P2483" i="5"/>
  <c r="Q2483" i="5" s="1"/>
  <c r="AA2482" i="5"/>
  <c r="P2482" i="5"/>
  <c r="Q2482" i="5" s="1"/>
  <c r="AA2481" i="5"/>
  <c r="P2481" i="5"/>
  <c r="Q2481" i="5" s="1"/>
  <c r="AA2480" i="5"/>
  <c r="P2480" i="5"/>
  <c r="Q2480" i="5" s="1"/>
  <c r="AA2479" i="5"/>
  <c r="P2479" i="5"/>
  <c r="Q2479" i="5" s="1"/>
  <c r="AA2478" i="5"/>
  <c r="P2478" i="5"/>
  <c r="Q2478" i="5" s="1"/>
  <c r="AA2477" i="5"/>
  <c r="P2477" i="5"/>
  <c r="Q2477" i="5" s="1"/>
  <c r="AA2476" i="5"/>
  <c r="P2476" i="5"/>
  <c r="Q2476" i="5" s="1"/>
  <c r="AA2475" i="5"/>
  <c r="P2475" i="5"/>
  <c r="Q2475" i="5" s="1"/>
  <c r="AA2474" i="5"/>
  <c r="P2474" i="5"/>
  <c r="Q2474" i="5" s="1"/>
  <c r="AA2473" i="5"/>
  <c r="P2473" i="5"/>
  <c r="Q2473" i="5" s="1"/>
  <c r="AA2472" i="5"/>
  <c r="Q2472" i="5"/>
  <c r="P2472" i="5"/>
  <c r="AA2471" i="5"/>
  <c r="P2471" i="5"/>
  <c r="Q2471" i="5" s="1"/>
  <c r="AA2470" i="5"/>
  <c r="Q2470" i="5"/>
  <c r="P2470" i="5"/>
  <c r="AA2469" i="5"/>
  <c r="P2469" i="5"/>
  <c r="Q2469" i="5" s="1"/>
  <c r="AA2468" i="5"/>
  <c r="P2468" i="5"/>
  <c r="Q2468" i="5" s="1"/>
  <c r="AA2467" i="5"/>
  <c r="P2467" i="5"/>
  <c r="Q2467" i="5" s="1"/>
  <c r="AA2466" i="5"/>
  <c r="P2466" i="5"/>
  <c r="Q2466" i="5" s="1"/>
  <c r="AA2465" i="5"/>
  <c r="Q2465" i="5"/>
  <c r="P2465" i="5"/>
  <c r="AA2464" i="5"/>
  <c r="Q2464" i="5"/>
  <c r="P2464" i="5"/>
  <c r="AA2463" i="5"/>
  <c r="P2463" i="5"/>
  <c r="Q2463" i="5" s="1"/>
  <c r="AA2462" i="5"/>
  <c r="P2462" i="5"/>
  <c r="Q2462" i="5" s="1"/>
  <c r="AA2461" i="5"/>
  <c r="P2461" i="5"/>
  <c r="Q2461" i="5" s="1"/>
  <c r="AA2460" i="5"/>
  <c r="Q2460" i="5"/>
  <c r="P2460" i="5"/>
  <c r="AA2459" i="5"/>
  <c r="P2459" i="5"/>
  <c r="Q2459" i="5" s="1"/>
  <c r="AA2458" i="5"/>
  <c r="P2458" i="5"/>
  <c r="Q2458" i="5" s="1"/>
  <c r="AA2457" i="5"/>
  <c r="Q2457" i="5"/>
  <c r="P2457" i="5"/>
  <c r="AA2456" i="5"/>
  <c r="P2456" i="5"/>
  <c r="Q2456" i="5" s="1"/>
  <c r="AA2455" i="5"/>
  <c r="P2455" i="5"/>
  <c r="Q2455" i="5" s="1"/>
  <c r="AA2454" i="5"/>
  <c r="P2454" i="5"/>
  <c r="Q2454" i="5" s="1"/>
  <c r="AA2453" i="5"/>
  <c r="P2453" i="5"/>
  <c r="Q2453" i="5" s="1"/>
  <c r="AA2452" i="5"/>
  <c r="Q2452" i="5"/>
  <c r="P2452" i="5"/>
  <c r="AA2451" i="5"/>
  <c r="Q2451" i="5"/>
  <c r="P2451" i="5"/>
  <c r="AA2450" i="5"/>
  <c r="P2450" i="5"/>
  <c r="Q2450" i="5" s="1"/>
  <c r="AA2449" i="5"/>
  <c r="P2449" i="5"/>
  <c r="Q2449" i="5" s="1"/>
  <c r="AA2448" i="5"/>
  <c r="Q2448" i="5"/>
  <c r="P2448" i="5"/>
  <c r="AA2447" i="5"/>
  <c r="P2447" i="5"/>
  <c r="Q2447" i="5" s="1"/>
  <c r="AA2446" i="5"/>
  <c r="P2446" i="5"/>
  <c r="Q2446" i="5" s="1"/>
  <c r="AA2445" i="5"/>
  <c r="Q2445" i="5"/>
  <c r="P2445" i="5"/>
  <c r="AA2444" i="5"/>
  <c r="P2444" i="5"/>
  <c r="Q2444" i="5" s="1"/>
  <c r="AA2443" i="5"/>
  <c r="P2443" i="5"/>
  <c r="Q2443" i="5" s="1"/>
  <c r="AA2442" i="5"/>
  <c r="P2442" i="5"/>
  <c r="Q2442" i="5" s="1"/>
  <c r="AA2441" i="5"/>
  <c r="P2441" i="5"/>
  <c r="Q2441" i="5" s="1"/>
  <c r="AA2440" i="5"/>
  <c r="P2440" i="5"/>
  <c r="Q2440" i="5" s="1"/>
  <c r="AA2439" i="5"/>
  <c r="P2439" i="5"/>
  <c r="Q2439" i="5" s="1"/>
  <c r="AA2438" i="5"/>
  <c r="P2438" i="5"/>
  <c r="Q2438" i="5" s="1"/>
  <c r="AA2437" i="5"/>
  <c r="P2437" i="5"/>
  <c r="Q2437" i="5" s="1"/>
  <c r="AA2436" i="5"/>
  <c r="P2436" i="5"/>
  <c r="Q2436" i="5" s="1"/>
  <c r="AA2435" i="5"/>
  <c r="P2435" i="5"/>
  <c r="Q2435" i="5" s="1"/>
  <c r="AA2434" i="5"/>
  <c r="Q2434" i="5"/>
  <c r="P2434" i="5"/>
  <c r="AA2433" i="5"/>
  <c r="Q2433" i="5"/>
  <c r="P2433" i="5"/>
  <c r="AA2432" i="5"/>
  <c r="P2432" i="5"/>
  <c r="Q2432" i="5" s="1"/>
  <c r="AA2431" i="5"/>
  <c r="P2431" i="5"/>
  <c r="Q2431" i="5" s="1"/>
  <c r="AA2430" i="5"/>
  <c r="P2430" i="5"/>
  <c r="Q2430" i="5" s="1"/>
  <c r="AA2429" i="5"/>
  <c r="P2429" i="5"/>
  <c r="Q2429" i="5" s="1"/>
  <c r="AA2428" i="5"/>
  <c r="P2428" i="5"/>
  <c r="Q2428" i="5" s="1"/>
  <c r="AA2427" i="5"/>
  <c r="P2427" i="5"/>
  <c r="Q2427" i="5" s="1"/>
  <c r="AA2426" i="5"/>
  <c r="P2426" i="5"/>
  <c r="Q2426" i="5" s="1"/>
  <c r="AA2425" i="5"/>
  <c r="P2425" i="5"/>
  <c r="Q2425" i="5" s="1"/>
  <c r="AA2424" i="5"/>
  <c r="P2424" i="5"/>
  <c r="Q2424" i="5" s="1"/>
  <c r="AA2423" i="5"/>
  <c r="P2423" i="5"/>
  <c r="Q2423" i="5" s="1"/>
  <c r="AA2422" i="5"/>
  <c r="P2422" i="5"/>
  <c r="Q2422" i="5" s="1"/>
  <c r="AA2421" i="5"/>
  <c r="P2421" i="5"/>
  <c r="Q2421" i="5" s="1"/>
  <c r="AA2420" i="5"/>
  <c r="P2420" i="5"/>
  <c r="Q2420" i="5" s="1"/>
  <c r="AA2419" i="5"/>
  <c r="P2419" i="5"/>
  <c r="Q2419" i="5" s="1"/>
  <c r="AA2418" i="5"/>
  <c r="P2418" i="5"/>
  <c r="Q2418" i="5" s="1"/>
  <c r="AA2417" i="5"/>
  <c r="Q2417" i="5"/>
  <c r="P2417" i="5"/>
  <c r="AA2416" i="5"/>
  <c r="Q2416" i="5"/>
  <c r="P2416" i="5"/>
  <c r="AA2415" i="5"/>
  <c r="P2415" i="5"/>
  <c r="Q2415" i="5" s="1"/>
  <c r="AA2414" i="5"/>
  <c r="P2414" i="5"/>
  <c r="Q2414" i="5" s="1"/>
  <c r="AA2413" i="5"/>
  <c r="Q2413" i="5"/>
  <c r="P2413" i="5"/>
  <c r="AA2412" i="5"/>
  <c r="P2412" i="5"/>
  <c r="Q2412" i="5" s="1"/>
  <c r="AA2411" i="5"/>
  <c r="P2411" i="5"/>
  <c r="Q2411" i="5" s="1"/>
  <c r="AA2410" i="5"/>
  <c r="P2410" i="5"/>
  <c r="Q2410" i="5" s="1"/>
  <c r="AA2409" i="5"/>
  <c r="Q2409" i="5"/>
  <c r="P2409" i="5"/>
  <c r="AA2408" i="5"/>
  <c r="P2408" i="5"/>
  <c r="Q2408" i="5" s="1"/>
  <c r="AA2407" i="5"/>
  <c r="P2407" i="5"/>
  <c r="Q2407" i="5" s="1"/>
  <c r="AA2406" i="5"/>
  <c r="Q2406" i="5"/>
  <c r="P2406" i="5"/>
  <c r="AA2405" i="5"/>
  <c r="P2405" i="5"/>
  <c r="Q2405" i="5" s="1"/>
  <c r="AA2404" i="5"/>
  <c r="P2404" i="5"/>
  <c r="Q2404" i="5" s="1"/>
  <c r="AA2403" i="5"/>
  <c r="P2403" i="5"/>
  <c r="Q2403" i="5" s="1"/>
  <c r="AA2402" i="5"/>
  <c r="P2402" i="5"/>
  <c r="Q2402" i="5" s="1"/>
  <c r="AA2401" i="5"/>
  <c r="Q2401" i="5"/>
  <c r="P2401" i="5"/>
  <c r="AA2400" i="5"/>
  <c r="Q2400" i="5"/>
  <c r="P2400" i="5"/>
  <c r="AA2399" i="5"/>
  <c r="P2399" i="5"/>
  <c r="Q2399" i="5" s="1"/>
  <c r="AA2398" i="5"/>
  <c r="P2398" i="5"/>
  <c r="Q2398" i="5" s="1"/>
  <c r="AA2397" i="5"/>
  <c r="P2397" i="5"/>
  <c r="Q2397" i="5" s="1"/>
  <c r="AA2396" i="5"/>
  <c r="P2396" i="5"/>
  <c r="Q2396" i="5" s="1"/>
  <c r="AA2395" i="5"/>
  <c r="P2395" i="5"/>
  <c r="Q2395" i="5" s="1"/>
  <c r="AA2394" i="5"/>
  <c r="Q2394" i="5"/>
  <c r="P2394" i="5"/>
  <c r="AA2393" i="5"/>
  <c r="Q2393" i="5"/>
  <c r="P2393" i="5"/>
  <c r="AA2392" i="5"/>
  <c r="P2392" i="5"/>
  <c r="Q2392" i="5" s="1"/>
  <c r="AA2391" i="5"/>
  <c r="P2391" i="5"/>
  <c r="Q2391" i="5" s="1"/>
  <c r="AA2390" i="5"/>
  <c r="Q2390" i="5"/>
  <c r="P2390" i="5"/>
  <c r="AA2389" i="5"/>
  <c r="P2389" i="5"/>
  <c r="Q2389" i="5" s="1"/>
  <c r="AA2388" i="5"/>
  <c r="P2388" i="5"/>
  <c r="Q2388" i="5" s="1"/>
  <c r="AA2387" i="5"/>
  <c r="P2387" i="5"/>
  <c r="Q2387" i="5" s="1"/>
  <c r="AA2386" i="5"/>
  <c r="P2386" i="5"/>
  <c r="Q2386" i="5" s="1"/>
  <c r="AA2385" i="5"/>
  <c r="Q2385" i="5"/>
  <c r="P2385" i="5"/>
  <c r="AA2384" i="5"/>
  <c r="Q2384" i="5"/>
  <c r="P2384" i="5"/>
  <c r="AA2383" i="5"/>
  <c r="P2383" i="5"/>
  <c r="Q2383" i="5" s="1"/>
  <c r="AA2382" i="5"/>
  <c r="P2382" i="5"/>
  <c r="Q2382" i="5" s="1"/>
  <c r="AA2381" i="5"/>
  <c r="P2381" i="5"/>
  <c r="Q2381" i="5" s="1"/>
  <c r="AA2380" i="5"/>
  <c r="Q2380" i="5"/>
  <c r="P2380" i="5"/>
  <c r="AA2379" i="5"/>
  <c r="P2379" i="5"/>
  <c r="Q2379" i="5" s="1"/>
  <c r="AA2378" i="5"/>
  <c r="Q2378" i="5"/>
  <c r="P2378" i="5"/>
  <c r="AA2377" i="5"/>
  <c r="P2377" i="5"/>
  <c r="Q2377" i="5" s="1"/>
  <c r="AA2376" i="5"/>
  <c r="Q2376" i="5"/>
  <c r="P2376" i="5"/>
  <c r="AA2375" i="5"/>
  <c r="P2375" i="5"/>
  <c r="Q2375" i="5" s="1"/>
  <c r="AA2374" i="5"/>
  <c r="Q2374" i="5"/>
  <c r="P2374" i="5"/>
  <c r="AA2373" i="5"/>
  <c r="P2373" i="5"/>
  <c r="Q2373" i="5" s="1"/>
  <c r="AA2372" i="5"/>
  <c r="P2372" i="5"/>
  <c r="Q2372" i="5" s="1"/>
  <c r="AA2371" i="5"/>
  <c r="Q2371" i="5"/>
  <c r="P2371" i="5"/>
  <c r="AA2370" i="5"/>
  <c r="P2370" i="5"/>
  <c r="Q2370" i="5" s="1"/>
  <c r="AA2369" i="5"/>
  <c r="Q2369" i="5"/>
  <c r="P2369" i="5"/>
  <c r="AA2368" i="5"/>
  <c r="P2368" i="5"/>
  <c r="Q2368" i="5" s="1"/>
  <c r="AA2367" i="5"/>
  <c r="Q2367" i="5"/>
  <c r="P2367" i="5"/>
  <c r="AA2366" i="5"/>
  <c r="P2366" i="5"/>
  <c r="Q2366" i="5" s="1"/>
  <c r="AA2365" i="5"/>
  <c r="P2365" i="5"/>
  <c r="Q2365" i="5" s="1"/>
  <c r="AA2364" i="5"/>
  <c r="Q2364" i="5"/>
  <c r="P2364" i="5"/>
  <c r="AA2363" i="5"/>
  <c r="P2363" i="5"/>
  <c r="Q2363" i="5" s="1"/>
  <c r="AA2362" i="5"/>
  <c r="P2362" i="5"/>
  <c r="Q2362" i="5" s="1"/>
  <c r="AA2361" i="5"/>
  <c r="Q2361" i="5"/>
  <c r="P2361" i="5"/>
  <c r="AA2360" i="5"/>
  <c r="P2360" i="5"/>
  <c r="Q2360" i="5" s="1"/>
  <c r="AA2359" i="5"/>
  <c r="P2359" i="5"/>
  <c r="Q2359" i="5" s="1"/>
  <c r="AA2358" i="5"/>
  <c r="Q2358" i="5"/>
  <c r="P2358" i="5"/>
  <c r="AA2357" i="5"/>
  <c r="P2357" i="5"/>
  <c r="Q2357" i="5" s="1"/>
  <c r="AA2356" i="5"/>
  <c r="Q2356" i="5"/>
  <c r="P2356" i="5"/>
  <c r="AA2355" i="5"/>
  <c r="P2355" i="5"/>
  <c r="Q2355" i="5" s="1"/>
  <c r="AA2354" i="5"/>
  <c r="P2354" i="5"/>
  <c r="Q2354" i="5" s="1"/>
  <c r="AA2353" i="5"/>
  <c r="P2353" i="5"/>
  <c r="Q2353" i="5" s="1"/>
  <c r="AA2352" i="5"/>
  <c r="Q2352" i="5"/>
  <c r="P2352" i="5"/>
  <c r="AA2351" i="5"/>
  <c r="P2351" i="5"/>
  <c r="Q2351" i="5" s="1"/>
  <c r="AA2350" i="5"/>
  <c r="P2350" i="5"/>
  <c r="Q2350" i="5" s="1"/>
  <c r="AA2349" i="5"/>
  <c r="P2349" i="5"/>
  <c r="Q2349" i="5" s="1"/>
  <c r="AA2348" i="5"/>
  <c r="Q2348" i="5"/>
  <c r="P2348" i="5"/>
  <c r="AA2347" i="5"/>
  <c r="P2347" i="5"/>
  <c r="Q2347" i="5" s="1"/>
  <c r="AA2346" i="5"/>
  <c r="Q2346" i="5"/>
  <c r="P2346" i="5"/>
  <c r="AA2345" i="5"/>
  <c r="P2345" i="5"/>
  <c r="Q2345" i="5" s="1"/>
  <c r="AA2344" i="5"/>
  <c r="P2344" i="5"/>
  <c r="Q2344" i="5" s="1"/>
  <c r="AA2343" i="5"/>
  <c r="Q2343" i="5"/>
  <c r="P2343" i="5"/>
  <c r="AA2342" i="5"/>
  <c r="P2342" i="5"/>
  <c r="Q2342" i="5" s="1"/>
  <c r="AA2341" i="5"/>
  <c r="P2341" i="5"/>
  <c r="Q2341" i="5" s="1"/>
  <c r="AA2340" i="5"/>
  <c r="P2340" i="5"/>
  <c r="Q2340" i="5" s="1"/>
  <c r="AA2339" i="5"/>
  <c r="P2339" i="5"/>
  <c r="Q2339" i="5" s="1"/>
  <c r="AA2338" i="5"/>
  <c r="P2338" i="5"/>
  <c r="Q2338" i="5" s="1"/>
  <c r="AA2337" i="5"/>
  <c r="Q2337" i="5"/>
  <c r="P2337" i="5"/>
  <c r="AA2336" i="5"/>
  <c r="P2336" i="5"/>
  <c r="Q2336" i="5" s="1"/>
  <c r="AA2335" i="5"/>
  <c r="P2335" i="5"/>
  <c r="Q2335" i="5" s="1"/>
  <c r="AA2334" i="5"/>
  <c r="P2334" i="5"/>
  <c r="Q2334" i="5" s="1"/>
  <c r="AA2333" i="5"/>
  <c r="P2333" i="5"/>
  <c r="Q2333" i="5" s="1"/>
  <c r="AA2332" i="5"/>
  <c r="P2332" i="5"/>
  <c r="Q2332" i="5" s="1"/>
  <c r="AA2331" i="5"/>
  <c r="P2331" i="5"/>
  <c r="Q2331" i="5" s="1"/>
  <c r="AA2330" i="5"/>
  <c r="P2330" i="5"/>
  <c r="Q2330" i="5" s="1"/>
  <c r="AA2329" i="5"/>
  <c r="P2329" i="5"/>
  <c r="Q2329" i="5" s="1"/>
  <c r="AA2328" i="5"/>
  <c r="P2328" i="5"/>
  <c r="Q2328" i="5" s="1"/>
  <c r="AA2327" i="5"/>
  <c r="Q2327" i="5"/>
  <c r="P2327" i="5"/>
  <c r="AA2326" i="5"/>
  <c r="Q2326" i="5"/>
  <c r="P2326" i="5"/>
  <c r="AA2325" i="5"/>
  <c r="P2325" i="5"/>
  <c r="Q2325" i="5" s="1"/>
  <c r="AA2324" i="5"/>
  <c r="P2324" i="5"/>
  <c r="Q2324" i="5" s="1"/>
  <c r="AA2323" i="5"/>
  <c r="P2323" i="5"/>
  <c r="Q2323" i="5" s="1"/>
  <c r="AA2322" i="5"/>
  <c r="P2322" i="5"/>
  <c r="Q2322" i="5" s="1"/>
  <c r="AA2321" i="5"/>
  <c r="Q2321" i="5"/>
  <c r="P2321" i="5"/>
  <c r="AA2320" i="5"/>
  <c r="Q2320" i="5"/>
  <c r="P2320" i="5"/>
  <c r="AA2319" i="5"/>
  <c r="P2319" i="5"/>
  <c r="Q2319" i="5" s="1"/>
  <c r="AA2318" i="5"/>
  <c r="P2318" i="5"/>
  <c r="Q2318" i="5" s="1"/>
  <c r="AA2317" i="5"/>
  <c r="P2317" i="5"/>
  <c r="Q2317" i="5" s="1"/>
  <c r="AA2316" i="5"/>
  <c r="P2316" i="5"/>
  <c r="Q2316" i="5" s="1"/>
  <c r="AA2315" i="5"/>
  <c r="P2315" i="5"/>
  <c r="Q2315" i="5" s="1"/>
  <c r="AA2314" i="5"/>
  <c r="Q2314" i="5"/>
  <c r="P2314" i="5"/>
  <c r="AA2313" i="5"/>
  <c r="Q2313" i="5"/>
  <c r="P2313" i="5"/>
  <c r="AA2312" i="5"/>
  <c r="P2312" i="5"/>
  <c r="Q2312" i="5" s="1"/>
  <c r="AA2311" i="5"/>
  <c r="P2311" i="5"/>
  <c r="Q2311" i="5" s="1"/>
  <c r="AA2310" i="5"/>
  <c r="P2310" i="5"/>
  <c r="Q2310" i="5" s="1"/>
  <c r="AA2309" i="5"/>
  <c r="P2309" i="5"/>
  <c r="Q2309" i="5" s="1"/>
  <c r="AA2308" i="5"/>
  <c r="P2308" i="5"/>
  <c r="Q2308" i="5" s="1"/>
  <c r="AA2307" i="5"/>
  <c r="Q2307" i="5"/>
  <c r="P2307" i="5"/>
  <c r="AA2306" i="5"/>
  <c r="P2306" i="5"/>
  <c r="Q2306" i="5" s="1"/>
  <c r="AA2305" i="5"/>
  <c r="Q2305" i="5"/>
  <c r="P2305" i="5"/>
  <c r="AA2304" i="5"/>
  <c r="P2304" i="5"/>
  <c r="Q2304" i="5" s="1"/>
  <c r="AA2303" i="5"/>
  <c r="P2303" i="5"/>
  <c r="Q2303" i="5" s="1"/>
  <c r="AA2302" i="5"/>
  <c r="P2302" i="5"/>
  <c r="Q2302" i="5" s="1"/>
  <c r="AA2301" i="5"/>
  <c r="P2301" i="5"/>
  <c r="Q2301" i="5" s="1"/>
  <c r="AA2300" i="5"/>
  <c r="P2300" i="5"/>
  <c r="Q2300" i="5" s="1"/>
  <c r="AA2299" i="5"/>
  <c r="P2299" i="5"/>
  <c r="Q2299" i="5" s="1"/>
  <c r="AA2298" i="5"/>
  <c r="P2298" i="5"/>
  <c r="Q2298" i="5" s="1"/>
  <c r="AA2297" i="5"/>
  <c r="P2297" i="5"/>
  <c r="Q2297" i="5" s="1"/>
  <c r="AA2296" i="5"/>
  <c r="P2296" i="5"/>
  <c r="Q2296" i="5" s="1"/>
  <c r="AA2295" i="5"/>
  <c r="Q2295" i="5"/>
  <c r="P2295" i="5"/>
  <c r="AA2294" i="5"/>
  <c r="Q2294" i="5"/>
  <c r="P2294" i="5"/>
  <c r="AA2293" i="5"/>
  <c r="P2293" i="5"/>
  <c r="Q2293" i="5" s="1"/>
  <c r="AA2292" i="5"/>
  <c r="P2292" i="5"/>
  <c r="Q2292" i="5" s="1"/>
  <c r="AA2291" i="5"/>
  <c r="P2291" i="5"/>
  <c r="Q2291" i="5" s="1"/>
  <c r="AA2290" i="5"/>
  <c r="Q2290" i="5"/>
  <c r="P2290" i="5"/>
  <c r="AA2289" i="5"/>
  <c r="P2289" i="5"/>
  <c r="Q2289" i="5" s="1"/>
  <c r="AA2288" i="5"/>
  <c r="Q2288" i="5"/>
  <c r="P2288" i="5"/>
  <c r="AA2287" i="5"/>
  <c r="Q2287" i="5"/>
  <c r="P2287" i="5"/>
  <c r="AA2286" i="5"/>
  <c r="P2286" i="5"/>
  <c r="Q2286" i="5" s="1"/>
  <c r="AA2285" i="5"/>
  <c r="P2285" i="5"/>
  <c r="Q2285" i="5" s="1"/>
  <c r="AA2284" i="5"/>
  <c r="P2284" i="5"/>
  <c r="Q2284" i="5" s="1"/>
  <c r="AA2283" i="5"/>
  <c r="P2283" i="5"/>
  <c r="Q2283" i="5" s="1"/>
  <c r="AA2282" i="5"/>
  <c r="P2282" i="5"/>
  <c r="Q2282" i="5" s="1"/>
  <c r="AA2281" i="5"/>
  <c r="P2281" i="5"/>
  <c r="Q2281" i="5" s="1"/>
  <c r="AA2280" i="5"/>
  <c r="Q2280" i="5"/>
  <c r="P2280" i="5"/>
  <c r="AA2279" i="5"/>
  <c r="P2279" i="5"/>
  <c r="Q2279" i="5" s="1"/>
  <c r="AA2278" i="5"/>
  <c r="Q2278" i="5"/>
  <c r="P2278" i="5"/>
  <c r="AA2277" i="5"/>
  <c r="P2277" i="5"/>
  <c r="Q2277" i="5" s="1"/>
  <c r="AA2276" i="5"/>
  <c r="P2276" i="5"/>
  <c r="Q2276" i="5" s="1"/>
  <c r="AA2275" i="5"/>
  <c r="P2275" i="5"/>
  <c r="Q2275" i="5" s="1"/>
  <c r="AA2274" i="5"/>
  <c r="P2274" i="5"/>
  <c r="Q2274" i="5" s="1"/>
  <c r="AA2273" i="5"/>
  <c r="Q2273" i="5"/>
  <c r="P2273" i="5"/>
  <c r="AA2272" i="5"/>
  <c r="P2272" i="5"/>
  <c r="Q2272" i="5" s="1"/>
  <c r="AA2271" i="5"/>
  <c r="P2271" i="5"/>
  <c r="Q2271" i="5" s="1"/>
  <c r="AA2270" i="5"/>
  <c r="P2270" i="5"/>
  <c r="Q2270" i="5" s="1"/>
  <c r="AA2269" i="5"/>
  <c r="Q2269" i="5"/>
  <c r="P2269" i="5"/>
  <c r="AA2268" i="5"/>
  <c r="Q2268" i="5"/>
  <c r="P2268" i="5"/>
  <c r="AA2267" i="5"/>
  <c r="P2267" i="5"/>
  <c r="Q2267" i="5" s="1"/>
  <c r="AA2266" i="5"/>
  <c r="P2266" i="5"/>
  <c r="Q2266" i="5" s="1"/>
  <c r="AA2265" i="5"/>
  <c r="Q2265" i="5"/>
  <c r="P2265" i="5"/>
  <c r="AA2264" i="5"/>
  <c r="P2264" i="5"/>
  <c r="Q2264" i="5" s="1"/>
  <c r="AA2263" i="5"/>
  <c r="Q2263" i="5"/>
  <c r="P2263" i="5"/>
  <c r="AA2262" i="5"/>
  <c r="Q2262" i="5"/>
  <c r="P2262" i="5"/>
  <c r="AA2261" i="5"/>
  <c r="P2261" i="5"/>
  <c r="Q2261" i="5" s="1"/>
  <c r="AA2260" i="5"/>
  <c r="P2260" i="5"/>
  <c r="Q2260" i="5" s="1"/>
  <c r="AA2259" i="5"/>
  <c r="P2259" i="5"/>
  <c r="Q2259" i="5" s="1"/>
  <c r="AA2258" i="5"/>
  <c r="Q2258" i="5"/>
  <c r="P2258" i="5"/>
  <c r="AA2257" i="5"/>
  <c r="Q2257" i="5"/>
  <c r="P2257" i="5"/>
  <c r="AA2256" i="5"/>
  <c r="P2256" i="5"/>
  <c r="Q2256" i="5" s="1"/>
  <c r="AA2255" i="5"/>
  <c r="P2255" i="5"/>
  <c r="Q2255" i="5" s="1"/>
  <c r="AA2254" i="5"/>
  <c r="P2254" i="5"/>
  <c r="Q2254" i="5" s="1"/>
  <c r="AA2253" i="5"/>
  <c r="Q2253" i="5"/>
  <c r="P2253" i="5"/>
  <c r="AA2252" i="5"/>
  <c r="P2252" i="5"/>
  <c r="Q2252" i="5" s="1"/>
  <c r="AA2251" i="5"/>
  <c r="P2251" i="5"/>
  <c r="Q2251" i="5" s="1"/>
  <c r="AA2250" i="5"/>
  <c r="P2250" i="5"/>
  <c r="Q2250" i="5" s="1"/>
  <c r="AA2249" i="5"/>
  <c r="P2249" i="5"/>
  <c r="Q2249" i="5" s="1"/>
  <c r="AA2248" i="5"/>
  <c r="P2248" i="5"/>
  <c r="Q2248" i="5" s="1"/>
  <c r="AA2247" i="5"/>
  <c r="P2247" i="5"/>
  <c r="Q2247" i="5" s="1"/>
  <c r="AA2246" i="5"/>
  <c r="P2246" i="5"/>
  <c r="Q2246" i="5" s="1"/>
  <c r="AA2245" i="5"/>
  <c r="Q2245" i="5"/>
  <c r="P2245" i="5"/>
  <c r="AA2244" i="5"/>
  <c r="P2244" i="5"/>
  <c r="Q2244" i="5" s="1"/>
  <c r="AA2243" i="5"/>
  <c r="Q2243" i="5"/>
  <c r="P2243" i="5"/>
  <c r="AA2242" i="5"/>
  <c r="P2242" i="5"/>
  <c r="Q2242" i="5" s="1"/>
  <c r="AA2241" i="5"/>
  <c r="P2241" i="5"/>
  <c r="Q2241" i="5" s="1"/>
  <c r="AA2240" i="5"/>
  <c r="P2240" i="5"/>
  <c r="Q2240" i="5" s="1"/>
  <c r="AA2239" i="5"/>
  <c r="Q2239" i="5"/>
  <c r="P2239" i="5"/>
  <c r="AA2238" i="5"/>
  <c r="P2238" i="5"/>
  <c r="Q2238" i="5" s="1"/>
  <c r="AA2237" i="5"/>
  <c r="P2237" i="5"/>
  <c r="Q2237" i="5" s="1"/>
  <c r="AA2236" i="5"/>
  <c r="P2236" i="5"/>
  <c r="Q2236" i="5" s="1"/>
  <c r="AA2235" i="5"/>
  <c r="P2235" i="5"/>
  <c r="Q2235" i="5" s="1"/>
  <c r="AA2234" i="5"/>
  <c r="P2234" i="5"/>
  <c r="Q2234" i="5" s="1"/>
  <c r="AA2233" i="5"/>
  <c r="P2233" i="5"/>
  <c r="Q2233" i="5" s="1"/>
  <c r="AA2232" i="5"/>
  <c r="Q2232" i="5"/>
  <c r="P2232" i="5"/>
  <c r="AA2231" i="5"/>
  <c r="P2231" i="5"/>
  <c r="Q2231" i="5" s="1"/>
  <c r="AA2230" i="5"/>
  <c r="Q2230" i="5"/>
  <c r="P2230" i="5"/>
  <c r="AA2229" i="5"/>
  <c r="P2229" i="5"/>
  <c r="Q2229" i="5" s="1"/>
  <c r="AA2228" i="5"/>
  <c r="P2228" i="5"/>
  <c r="Q2228" i="5" s="1"/>
  <c r="AA2227" i="5"/>
  <c r="P2227" i="5"/>
  <c r="Q2227" i="5" s="1"/>
  <c r="AA2226" i="5"/>
  <c r="P2226" i="5"/>
  <c r="Q2226" i="5" s="1"/>
  <c r="AA2225" i="5"/>
  <c r="P2225" i="5"/>
  <c r="Q2225" i="5" s="1"/>
  <c r="AA2224" i="5"/>
  <c r="P2224" i="5"/>
  <c r="Q2224" i="5" s="1"/>
  <c r="AA2223" i="5"/>
  <c r="P2223" i="5"/>
  <c r="Q2223" i="5" s="1"/>
  <c r="AA2222" i="5"/>
  <c r="P2222" i="5"/>
  <c r="Q2222" i="5" s="1"/>
  <c r="AA2221" i="5"/>
  <c r="P2221" i="5"/>
  <c r="Q2221" i="5" s="1"/>
  <c r="AA2220" i="5"/>
  <c r="P2220" i="5"/>
  <c r="Q2220" i="5" s="1"/>
  <c r="AA2219" i="5"/>
  <c r="P2219" i="5"/>
  <c r="Q2219" i="5" s="1"/>
  <c r="AA2218" i="5"/>
  <c r="P2218" i="5"/>
  <c r="Q2218" i="5" s="1"/>
  <c r="AA2217" i="5"/>
  <c r="Q2217" i="5"/>
  <c r="P2217" i="5"/>
  <c r="AA2216" i="5"/>
  <c r="P2216" i="5"/>
  <c r="Q2216" i="5" s="1"/>
  <c r="AA2215" i="5"/>
  <c r="P2215" i="5"/>
  <c r="Q2215" i="5" s="1"/>
  <c r="AA2214" i="5"/>
  <c r="P2214" i="5"/>
  <c r="Q2214" i="5" s="1"/>
  <c r="AA2213" i="5"/>
  <c r="Q2213" i="5"/>
  <c r="P2213" i="5"/>
  <c r="AA2212" i="5"/>
  <c r="P2212" i="5"/>
  <c r="Q2212" i="5" s="1"/>
  <c r="AA2211" i="5"/>
  <c r="Q2211" i="5"/>
  <c r="P2211" i="5"/>
  <c r="AA2210" i="5"/>
  <c r="P2210" i="5"/>
  <c r="Q2210" i="5" s="1"/>
  <c r="AA2209" i="5"/>
  <c r="P2209" i="5"/>
  <c r="Q2209" i="5" s="1"/>
  <c r="AA2208" i="5"/>
  <c r="P2208" i="5"/>
  <c r="Q2208" i="5" s="1"/>
  <c r="AA2207" i="5"/>
  <c r="Q2207" i="5"/>
  <c r="P2207" i="5"/>
  <c r="AA2206" i="5"/>
  <c r="P2206" i="5"/>
  <c r="Q2206" i="5" s="1"/>
  <c r="AA2205" i="5"/>
  <c r="P2205" i="5"/>
  <c r="Q2205" i="5" s="1"/>
  <c r="AA2204" i="5"/>
  <c r="Q2204" i="5"/>
  <c r="P2204" i="5"/>
  <c r="AA2203" i="5"/>
  <c r="P2203" i="5"/>
  <c r="Q2203" i="5" s="1"/>
  <c r="AA2202" i="5"/>
  <c r="P2202" i="5"/>
  <c r="Q2202" i="5" s="1"/>
  <c r="AA2201" i="5"/>
  <c r="P2201" i="5"/>
  <c r="Q2201" i="5" s="1"/>
  <c r="AA2200" i="5"/>
  <c r="P2200" i="5"/>
  <c r="Q2200" i="5" s="1"/>
  <c r="AA2199" i="5"/>
  <c r="P2199" i="5"/>
  <c r="Q2199" i="5" s="1"/>
  <c r="AA2198" i="5"/>
  <c r="P2198" i="5"/>
  <c r="Q2198" i="5" s="1"/>
  <c r="AA2197" i="5"/>
  <c r="P2197" i="5"/>
  <c r="Q2197" i="5" s="1"/>
  <c r="AA2196" i="5"/>
  <c r="P2196" i="5"/>
  <c r="Q2196" i="5" s="1"/>
  <c r="AA2195" i="5"/>
  <c r="P2195" i="5"/>
  <c r="Q2195" i="5" s="1"/>
  <c r="AA2194" i="5"/>
  <c r="P2194" i="5"/>
  <c r="Q2194" i="5" s="1"/>
  <c r="AA2193" i="5"/>
  <c r="Q2193" i="5"/>
  <c r="P2193" i="5"/>
  <c r="AA2192" i="5"/>
  <c r="Q2192" i="5"/>
  <c r="P2192" i="5"/>
  <c r="AA2191" i="5"/>
  <c r="P2191" i="5"/>
  <c r="Q2191" i="5" s="1"/>
  <c r="AA2190" i="5"/>
  <c r="P2190" i="5"/>
  <c r="Q2190" i="5" s="1"/>
  <c r="AA2189" i="5"/>
  <c r="P2189" i="5"/>
  <c r="Q2189" i="5" s="1"/>
  <c r="AA2188" i="5"/>
  <c r="P2188" i="5"/>
  <c r="Q2188" i="5" s="1"/>
  <c r="AA2187" i="5"/>
  <c r="P2187" i="5"/>
  <c r="Q2187" i="5" s="1"/>
  <c r="AA2186" i="5"/>
  <c r="P2186" i="5"/>
  <c r="Q2186" i="5" s="1"/>
  <c r="AA2185" i="5"/>
  <c r="P2185" i="5"/>
  <c r="Q2185" i="5" s="1"/>
  <c r="AA2184" i="5"/>
  <c r="P2184" i="5"/>
  <c r="Q2184" i="5" s="1"/>
  <c r="AA2183" i="5"/>
  <c r="Q2183" i="5"/>
  <c r="P2183" i="5"/>
  <c r="AA2182" i="5"/>
  <c r="Q2182" i="5"/>
  <c r="P2182" i="5"/>
  <c r="AA2181" i="5"/>
  <c r="P2181" i="5"/>
  <c r="Q2181" i="5" s="1"/>
  <c r="AA2180" i="5"/>
  <c r="P2180" i="5"/>
  <c r="Q2180" i="5" s="1"/>
  <c r="AA2179" i="5"/>
  <c r="P2179" i="5"/>
  <c r="Q2179" i="5" s="1"/>
  <c r="AA2178" i="5"/>
  <c r="P2178" i="5"/>
  <c r="Q2178" i="5" s="1"/>
  <c r="AA2177" i="5"/>
  <c r="P2177" i="5"/>
  <c r="Q2177" i="5" s="1"/>
  <c r="AA2176" i="5"/>
  <c r="P2176" i="5"/>
  <c r="Q2176" i="5" s="1"/>
  <c r="AA2175" i="5"/>
  <c r="P2175" i="5"/>
  <c r="Q2175" i="5" s="1"/>
  <c r="AA2174" i="5"/>
  <c r="P2174" i="5"/>
  <c r="Q2174" i="5" s="1"/>
  <c r="AA2173" i="5"/>
  <c r="P2173" i="5"/>
  <c r="Q2173" i="5" s="1"/>
  <c r="AA2172" i="5"/>
  <c r="P2172" i="5"/>
  <c r="Q2172" i="5" s="1"/>
  <c r="AA2171" i="5"/>
  <c r="P2171" i="5"/>
  <c r="Q2171" i="5" s="1"/>
  <c r="AA2170" i="5"/>
  <c r="P2170" i="5"/>
  <c r="Q2170" i="5" s="1"/>
  <c r="AA2169" i="5"/>
  <c r="P2169" i="5"/>
  <c r="Q2169" i="5" s="1"/>
  <c r="AA2168" i="5"/>
  <c r="P2168" i="5"/>
  <c r="Q2168" i="5" s="1"/>
  <c r="AA2167" i="5"/>
  <c r="Q2167" i="5"/>
  <c r="P2167" i="5"/>
  <c r="AA2166" i="5"/>
  <c r="Q2166" i="5"/>
  <c r="P2166" i="5"/>
  <c r="AA2165" i="5"/>
  <c r="P2165" i="5"/>
  <c r="Q2165" i="5" s="1"/>
  <c r="AA2164" i="5"/>
  <c r="Q2164" i="5"/>
  <c r="P2164" i="5"/>
  <c r="AA2163" i="5"/>
  <c r="Q2163" i="5"/>
  <c r="P2163" i="5"/>
  <c r="AA2162" i="5"/>
  <c r="P2162" i="5"/>
  <c r="Q2162" i="5" s="1"/>
  <c r="AA2161" i="5"/>
  <c r="Q2161" i="5"/>
  <c r="P2161" i="5"/>
  <c r="AA2160" i="5"/>
  <c r="P2160" i="5"/>
  <c r="Q2160" i="5" s="1"/>
  <c r="AA2159" i="5"/>
  <c r="Q2159" i="5"/>
  <c r="P2159" i="5"/>
  <c r="AA2158" i="5"/>
  <c r="P2158" i="5"/>
  <c r="Q2158" i="5" s="1"/>
  <c r="AA2157" i="5"/>
  <c r="P2157" i="5"/>
  <c r="Q2157" i="5" s="1"/>
  <c r="AA2156" i="5"/>
  <c r="Q2156" i="5"/>
  <c r="P2156" i="5"/>
  <c r="AA2155" i="5"/>
  <c r="P2155" i="5"/>
  <c r="Q2155" i="5" s="1"/>
  <c r="AA2154" i="5"/>
  <c r="P2154" i="5"/>
  <c r="Q2154" i="5" s="1"/>
  <c r="AA2153" i="5"/>
  <c r="Q2153" i="5"/>
  <c r="P2153" i="5"/>
  <c r="AA2152" i="5"/>
  <c r="P2152" i="5"/>
  <c r="Q2152" i="5" s="1"/>
  <c r="AA2151" i="5"/>
  <c r="P2151" i="5"/>
  <c r="Q2151" i="5" s="1"/>
  <c r="AA2150" i="5"/>
  <c r="Q2150" i="5"/>
  <c r="P2150" i="5"/>
  <c r="AA2149" i="5"/>
  <c r="P2149" i="5"/>
  <c r="Q2149" i="5" s="1"/>
  <c r="AA2148" i="5"/>
  <c r="P2148" i="5"/>
  <c r="Q2148" i="5" s="1"/>
  <c r="AA2147" i="5"/>
  <c r="P2147" i="5"/>
  <c r="Q2147" i="5" s="1"/>
  <c r="AA2146" i="5"/>
  <c r="P2146" i="5"/>
  <c r="Q2146" i="5" s="1"/>
  <c r="AA2145" i="5"/>
  <c r="Q2145" i="5"/>
  <c r="P2145" i="5"/>
  <c r="AA2144" i="5"/>
  <c r="P2144" i="5"/>
  <c r="Q2144" i="5" s="1"/>
  <c r="AA2143" i="5"/>
  <c r="Q2143" i="5"/>
  <c r="P2143" i="5"/>
  <c r="AA2142" i="5"/>
  <c r="P2142" i="5"/>
  <c r="Q2142" i="5" s="1"/>
  <c r="AA2141" i="5"/>
  <c r="Q2141" i="5"/>
  <c r="P2141" i="5"/>
  <c r="AA2140" i="5"/>
  <c r="P2140" i="5"/>
  <c r="Q2140" i="5" s="1"/>
  <c r="AA2139" i="5"/>
  <c r="P2139" i="5"/>
  <c r="Q2139" i="5" s="1"/>
  <c r="AA2138" i="5"/>
  <c r="P2138" i="5"/>
  <c r="Q2138" i="5" s="1"/>
  <c r="AA2137" i="5"/>
  <c r="P2137" i="5"/>
  <c r="Q2137" i="5" s="1"/>
  <c r="AA2136" i="5"/>
  <c r="Q2136" i="5"/>
  <c r="P2136" i="5"/>
  <c r="AA2135" i="5"/>
  <c r="Q2135" i="5"/>
  <c r="P2135" i="5"/>
  <c r="AA2134" i="5"/>
  <c r="P2134" i="5"/>
  <c r="Q2134" i="5" s="1"/>
  <c r="AA2133" i="5"/>
  <c r="Q2133" i="5"/>
  <c r="P2133" i="5"/>
  <c r="AA2132" i="5"/>
  <c r="P2132" i="5"/>
  <c r="Q2132" i="5" s="1"/>
  <c r="AA2131" i="5"/>
  <c r="Q2131" i="5"/>
  <c r="P2131" i="5"/>
  <c r="AA2130" i="5"/>
  <c r="P2130" i="5"/>
  <c r="Q2130" i="5" s="1"/>
  <c r="AA2129" i="5"/>
  <c r="P2129" i="5"/>
  <c r="Q2129" i="5" s="1"/>
  <c r="AA2128" i="5"/>
  <c r="P2128" i="5"/>
  <c r="Q2128" i="5" s="1"/>
  <c r="AA2127" i="5"/>
  <c r="P2127" i="5"/>
  <c r="Q2127" i="5" s="1"/>
  <c r="AA2126" i="5"/>
  <c r="P2126" i="5"/>
  <c r="Q2126" i="5" s="1"/>
  <c r="AA2125" i="5"/>
  <c r="P2125" i="5"/>
  <c r="Q2125" i="5" s="1"/>
  <c r="AA2124" i="5"/>
  <c r="Q2124" i="5"/>
  <c r="P2124" i="5"/>
  <c r="AA2123" i="5"/>
  <c r="P2123" i="5"/>
  <c r="Q2123" i="5" s="1"/>
  <c r="AA2122" i="5"/>
  <c r="P2122" i="5"/>
  <c r="Q2122" i="5" s="1"/>
  <c r="AA2121" i="5"/>
  <c r="Q2121" i="5"/>
  <c r="P2121" i="5"/>
  <c r="AA2120" i="5"/>
  <c r="P2120" i="5"/>
  <c r="Q2120" i="5" s="1"/>
  <c r="AA2119" i="5"/>
  <c r="P2119" i="5"/>
  <c r="Q2119" i="5" s="1"/>
  <c r="AA2118" i="5"/>
  <c r="Q2118" i="5"/>
  <c r="P2118" i="5"/>
  <c r="AA2117" i="5"/>
  <c r="P2117" i="5"/>
  <c r="Q2117" i="5" s="1"/>
  <c r="AA2116" i="5"/>
  <c r="P2116" i="5"/>
  <c r="Q2116" i="5" s="1"/>
  <c r="AA2115" i="5"/>
  <c r="P2115" i="5"/>
  <c r="Q2115" i="5" s="1"/>
  <c r="AA2114" i="5"/>
  <c r="Q2114" i="5"/>
  <c r="P2114" i="5"/>
  <c r="AA2113" i="5"/>
  <c r="Q2113" i="5"/>
  <c r="P2113" i="5"/>
  <c r="AA2112" i="5"/>
  <c r="P2112" i="5"/>
  <c r="Q2112" i="5" s="1"/>
  <c r="AA2111" i="5"/>
  <c r="Q2111" i="5"/>
  <c r="P2111" i="5"/>
  <c r="AA2110" i="5"/>
  <c r="P2110" i="5"/>
  <c r="Q2110" i="5" s="1"/>
  <c r="AA2109" i="5"/>
  <c r="P2109" i="5"/>
  <c r="Q2109" i="5" s="1"/>
  <c r="AA2108" i="5"/>
  <c r="P2108" i="5"/>
  <c r="Q2108" i="5" s="1"/>
  <c r="AA2107" i="5"/>
  <c r="P2107" i="5"/>
  <c r="Q2107" i="5" s="1"/>
  <c r="AA2106" i="5"/>
  <c r="P2106" i="5"/>
  <c r="Q2106" i="5" s="1"/>
  <c r="AA2105" i="5"/>
  <c r="P2105" i="5"/>
  <c r="Q2105" i="5" s="1"/>
  <c r="AA2104" i="5"/>
  <c r="P2104" i="5"/>
  <c r="Q2104" i="5" s="1"/>
  <c r="AA2103" i="5"/>
  <c r="P2103" i="5"/>
  <c r="Q2103" i="5" s="1"/>
  <c r="AA2102" i="5"/>
  <c r="Q2102" i="5"/>
  <c r="P2102" i="5"/>
  <c r="AA2101" i="5"/>
  <c r="P2101" i="5"/>
  <c r="Q2101" i="5" s="1"/>
  <c r="AA2100" i="5"/>
  <c r="P2100" i="5"/>
  <c r="Q2100" i="5" s="1"/>
  <c r="AA2099" i="5"/>
  <c r="P2099" i="5"/>
  <c r="Q2099" i="5" s="1"/>
  <c r="AA2098" i="5"/>
  <c r="P2098" i="5"/>
  <c r="Q2098" i="5" s="1"/>
  <c r="AA2097" i="5"/>
  <c r="Q2097" i="5"/>
  <c r="P2097" i="5"/>
  <c r="AA2096" i="5"/>
  <c r="P2096" i="5"/>
  <c r="Q2096" i="5" s="1"/>
  <c r="AA2095" i="5"/>
  <c r="P2095" i="5"/>
  <c r="Q2095" i="5" s="1"/>
  <c r="AA2094" i="5"/>
  <c r="P2094" i="5"/>
  <c r="Q2094" i="5" s="1"/>
  <c r="AA2093" i="5"/>
  <c r="P2093" i="5"/>
  <c r="Q2093" i="5" s="1"/>
  <c r="AA2092" i="5"/>
  <c r="Q2092" i="5"/>
  <c r="P2092" i="5"/>
  <c r="AA2091" i="5"/>
  <c r="P2091" i="5"/>
  <c r="Q2091" i="5" s="1"/>
  <c r="AA2090" i="5"/>
  <c r="P2090" i="5"/>
  <c r="Q2090" i="5" s="1"/>
  <c r="AA2089" i="5"/>
  <c r="Q2089" i="5"/>
  <c r="P2089" i="5"/>
  <c r="AA2088" i="5"/>
  <c r="P2088" i="5"/>
  <c r="Q2088" i="5" s="1"/>
  <c r="AA2087" i="5"/>
  <c r="Q2087" i="5"/>
  <c r="P2087" i="5"/>
  <c r="AA2086" i="5"/>
  <c r="P2086" i="5"/>
  <c r="Q2086" i="5" s="1"/>
  <c r="AA2085" i="5"/>
  <c r="Q2085" i="5"/>
  <c r="P2085" i="5"/>
  <c r="AA2084" i="5"/>
  <c r="P2084" i="5"/>
  <c r="Q2084" i="5" s="1"/>
  <c r="AA2083" i="5"/>
  <c r="Q2083" i="5"/>
  <c r="P2083" i="5"/>
  <c r="AA2082" i="5"/>
  <c r="P2082" i="5"/>
  <c r="Q2082" i="5" s="1"/>
  <c r="AA2081" i="5"/>
  <c r="Q2081" i="5"/>
  <c r="P2081" i="5"/>
  <c r="AA2080" i="5"/>
  <c r="P2080" i="5"/>
  <c r="Q2080" i="5" s="1"/>
  <c r="AA2079" i="5"/>
  <c r="Q2079" i="5"/>
  <c r="P2079" i="5"/>
  <c r="AA2078" i="5"/>
  <c r="P2078" i="5"/>
  <c r="Q2078" i="5" s="1"/>
  <c r="AA2077" i="5"/>
  <c r="P2077" i="5"/>
  <c r="Q2077" i="5" s="1"/>
  <c r="AA2076" i="5"/>
  <c r="Q2076" i="5"/>
  <c r="P2076" i="5"/>
  <c r="AA2075" i="5"/>
  <c r="P2075" i="5"/>
  <c r="Q2075" i="5" s="1"/>
  <c r="AA2074" i="5"/>
  <c r="Q2074" i="5"/>
  <c r="P2074" i="5"/>
  <c r="AA2073" i="5"/>
  <c r="P2073" i="5"/>
  <c r="Q2073" i="5" s="1"/>
  <c r="AA2072" i="5"/>
  <c r="P2072" i="5"/>
  <c r="Q2072" i="5" s="1"/>
  <c r="AA2071" i="5"/>
  <c r="P2071" i="5"/>
  <c r="Q2071" i="5" s="1"/>
  <c r="AA2070" i="5"/>
  <c r="P2070" i="5"/>
  <c r="Q2070" i="5" s="1"/>
  <c r="AA2069" i="5"/>
  <c r="P2069" i="5"/>
  <c r="Q2069" i="5" s="1"/>
  <c r="AA2068" i="5"/>
  <c r="P2068" i="5"/>
  <c r="Q2068" i="5" s="1"/>
  <c r="AA2067" i="5"/>
  <c r="P2067" i="5"/>
  <c r="Q2067" i="5" s="1"/>
  <c r="AA2066" i="5"/>
  <c r="P2066" i="5"/>
  <c r="Q2066" i="5" s="1"/>
  <c r="AA2065" i="5"/>
  <c r="P2065" i="5"/>
  <c r="Q2065" i="5" s="1"/>
  <c r="AA2064" i="5"/>
  <c r="Q2064" i="5"/>
  <c r="P2064" i="5"/>
  <c r="AA2063" i="5"/>
  <c r="P2063" i="5"/>
  <c r="Q2063" i="5" s="1"/>
  <c r="AA2062" i="5"/>
  <c r="P2062" i="5"/>
  <c r="Q2062" i="5" s="1"/>
  <c r="AA2061" i="5"/>
  <c r="P2061" i="5"/>
  <c r="Q2061" i="5" s="1"/>
  <c r="AA2060" i="5"/>
  <c r="P2060" i="5"/>
  <c r="Q2060" i="5" s="1"/>
  <c r="AA2059" i="5"/>
  <c r="P2059" i="5"/>
  <c r="Q2059" i="5" s="1"/>
  <c r="AA2058" i="5"/>
  <c r="Q2058" i="5"/>
  <c r="P2058" i="5"/>
  <c r="AA2057" i="5"/>
  <c r="P2057" i="5"/>
  <c r="Q2057" i="5" s="1"/>
  <c r="AA2056" i="5"/>
  <c r="P2056" i="5"/>
  <c r="Q2056" i="5" s="1"/>
  <c r="AA2055" i="5"/>
  <c r="Q2055" i="5"/>
  <c r="P2055" i="5"/>
  <c r="AA2054" i="5"/>
  <c r="P2054" i="5"/>
  <c r="Q2054" i="5" s="1"/>
  <c r="AA2053" i="5"/>
  <c r="P2053" i="5"/>
  <c r="Q2053" i="5" s="1"/>
  <c r="AA2052" i="5"/>
  <c r="Q2052" i="5"/>
  <c r="P2052" i="5"/>
  <c r="AA2051" i="5"/>
  <c r="P2051" i="5"/>
  <c r="Q2051" i="5" s="1"/>
  <c r="AA2050" i="5"/>
  <c r="P2050" i="5"/>
  <c r="Q2050" i="5" s="1"/>
  <c r="AA2049" i="5"/>
  <c r="P2049" i="5"/>
  <c r="Q2049" i="5" s="1"/>
  <c r="AA2048" i="5"/>
  <c r="P2048" i="5"/>
  <c r="Q2048" i="5" s="1"/>
  <c r="AA2047" i="5"/>
  <c r="P2047" i="5"/>
  <c r="Q2047" i="5" s="1"/>
  <c r="AA2046" i="5"/>
  <c r="P2046" i="5"/>
  <c r="Q2046" i="5" s="1"/>
  <c r="AA2045" i="5"/>
  <c r="P2045" i="5"/>
  <c r="Q2045" i="5" s="1"/>
  <c r="AA2044" i="5"/>
  <c r="P2044" i="5"/>
  <c r="Q2044" i="5" s="1"/>
  <c r="AA2043" i="5"/>
  <c r="P2043" i="5"/>
  <c r="Q2043" i="5" s="1"/>
  <c r="AA2042" i="5"/>
  <c r="P2042" i="5"/>
  <c r="Q2042" i="5" s="1"/>
  <c r="AA2041" i="5"/>
  <c r="Q2041" i="5"/>
  <c r="P2041" i="5"/>
  <c r="AA2040" i="5"/>
  <c r="P2040" i="5"/>
  <c r="Q2040" i="5" s="1"/>
  <c r="AA2039" i="5"/>
  <c r="Q2039" i="5"/>
  <c r="P2039" i="5"/>
  <c r="AA2038" i="5"/>
  <c r="P2038" i="5"/>
  <c r="Q2038" i="5" s="1"/>
  <c r="AA2037" i="5"/>
  <c r="P2037" i="5"/>
  <c r="Q2037" i="5" s="1"/>
  <c r="AA2036" i="5"/>
  <c r="Q2036" i="5"/>
  <c r="P2036" i="5"/>
  <c r="AA2035" i="5"/>
  <c r="Q2035" i="5"/>
  <c r="P2035" i="5"/>
  <c r="AA2034" i="5"/>
  <c r="P2034" i="5"/>
  <c r="Q2034" i="5" s="1"/>
  <c r="AA2033" i="5"/>
  <c r="Q2033" i="5"/>
  <c r="P2033" i="5"/>
  <c r="AA2032" i="5"/>
  <c r="P2032" i="5"/>
  <c r="Q2032" i="5" s="1"/>
  <c r="AA2031" i="5"/>
  <c r="P2031" i="5"/>
  <c r="Q2031" i="5" s="1"/>
  <c r="AA2030" i="5"/>
  <c r="P2030" i="5"/>
  <c r="Q2030" i="5" s="1"/>
  <c r="AA2029" i="5"/>
  <c r="P2029" i="5"/>
  <c r="Q2029" i="5" s="1"/>
  <c r="AA2028" i="5"/>
  <c r="P2028" i="5"/>
  <c r="Q2028" i="5" s="1"/>
  <c r="AA2027" i="5"/>
  <c r="P2027" i="5"/>
  <c r="Q2027" i="5" s="1"/>
  <c r="AA2026" i="5"/>
  <c r="P2026" i="5"/>
  <c r="Q2026" i="5" s="1"/>
  <c r="AA2025" i="5"/>
  <c r="P2025" i="5"/>
  <c r="Q2025" i="5" s="1"/>
  <c r="AA2024" i="5"/>
  <c r="Q2024" i="5"/>
  <c r="P2024" i="5"/>
  <c r="AA2023" i="5"/>
  <c r="P2023" i="5"/>
  <c r="Q2023" i="5" s="1"/>
  <c r="AA2022" i="5"/>
  <c r="P2022" i="5"/>
  <c r="Q2022" i="5" s="1"/>
  <c r="AA2021" i="5"/>
  <c r="P2021" i="5"/>
  <c r="Q2021" i="5" s="1"/>
  <c r="AA2020" i="5"/>
  <c r="P2020" i="5"/>
  <c r="Q2020" i="5" s="1"/>
  <c r="AA2019" i="5"/>
  <c r="P2019" i="5"/>
  <c r="Q2019" i="5" s="1"/>
  <c r="AA2018" i="5"/>
  <c r="P2018" i="5"/>
  <c r="Q2018" i="5" s="1"/>
  <c r="AA2017" i="5"/>
  <c r="P2017" i="5"/>
  <c r="Q2017" i="5" s="1"/>
  <c r="AA2016" i="5"/>
  <c r="P2016" i="5"/>
  <c r="Q2016" i="5" s="1"/>
  <c r="AA2015" i="5"/>
  <c r="P2015" i="5"/>
  <c r="Q2015" i="5" s="1"/>
  <c r="AA2014" i="5"/>
  <c r="P2014" i="5"/>
  <c r="Q2014" i="5" s="1"/>
  <c r="AA2013" i="5"/>
  <c r="P2013" i="5"/>
  <c r="Q2013" i="5" s="1"/>
  <c r="AA2012" i="5"/>
  <c r="P2012" i="5"/>
  <c r="Q2012" i="5" s="1"/>
  <c r="AA2011" i="5"/>
  <c r="P2011" i="5"/>
  <c r="Q2011" i="5" s="1"/>
  <c r="AA2010" i="5"/>
  <c r="P2010" i="5"/>
  <c r="Q2010" i="5" s="1"/>
  <c r="AA2009" i="5"/>
  <c r="P2009" i="5"/>
  <c r="Q2009" i="5" s="1"/>
  <c r="AA2008" i="5"/>
  <c r="P2008" i="5"/>
  <c r="Q2008" i="5" s="1"/>
  <c r="AA2007" i="5"/>
  <c r="Q2007" i="5"/>
  <c r="P2007" i="5"/>
  <c r="AA2006" i="5"/>
  <c r="P2006" i="5"/>
  <c r="Q2006" i="5" s="1"/>
  <c r="AA2005" i="5"/>
  <c r="P2005" i="5"/>
  <c r="Q2005" i="5" s="1"/>
  <c r="AA2004" i="5"/>
  <c r="Q2004" i="5"/>
  <c r="P2004" i="5"/>
  <c r="AA2003" i="5"/>
  <c r="P2003" i="5"/>
  <c r="Q2003" i="5" s="1"/>
  <c r="AA2002" i="5"/>
  <c r="P2002" i="5"/>
  <c r="Q2002" i="5" s="1"/>
  <c r="AA2001" i="5"/>
  <c r="Q2001" i="5"/>
  <c r="P2001" i="5"/>
  <c r="AA2000" i="5"/>
  <c r="P2000" i="5"/>
  <c r="Q2000" i="5" s="1"/>
  <c r="AA1999" i="5"/>
  <c r="P1999" i="5"/>
  <c r="Q1999" i="5" s="1"/>
  <c r="AA1998" i="5"/>
  <c r="P1998" i="5"/>
  <c r="Q1998" i="5" s="1"/>
  <c r="AA1997" i="5"/>
  <c r="Q1997" i="5"/>
  <c r="P1997" i="5"/>
  <c r="AA1996" i="5"/>
  <c r="Q1996" i="5"/>
  <c r="P1996" i="5"/>
  <c r="AA1995" i="5"/>
  <c r="P1995" i="5"/>
  <c r="Q1995" i="5" s="1"/>
  <c r="AA1994" i="5"/>
  <c r="P1994" i="5"/>
  <c r="Q1994" i="5" s="1"/>
  <c r="AA1993" i="5"/>
  <c r="P1993" i="5"/>
  <c r="Q1993" i="5" s="1"/>
  <c r="AA1992" i="5"/>
  <c r="P1992" i="5"/>
  <c r="Q1992" i="5" s="1"/>
  <c r="AA1991" i="5"/>
  <c r="P1991" i="5"/>
  <c r="Q1991" i="5" s="1"/>
  <c r="AA1990" i="5"/>
  <c r="P1990" i="5"/>
  <c r="Q1990" i="5" s="1"/>
  <c r="AA1989" i="5"/>
  <c r="P1989" i="5"/>
  <c r="Q1989" i="5" s="1"/>
  <c r="AA1988" i="5"/>
  <c r="P1988" i="5"/>
  <c r="Q1988" i="5" s="1"/>
  <c r="AA1987" i="5"/>
  <c r="Q1987" i="5"/>
  <c r="P1987" i="5"/>
  <c r="AA1986" i="5"/>
  <c r="Q1986" i="5"/>
  <c r="P1986" i="5"/>
  <c r="AA1985" i="5"/>
  <c r="P1985" i="5"/>
  <c r="Q1985" i="5" s="1"/>
  <c r="AA1984" i="5"/>
  <c r="P1984" i="5"/>
  <c r="Q1984" i="5" s="1"/>
  <c r="AA1983" i="5"/>
  <c r="P1983" i="5"/>
  <c r="Q1983" i="5" s="1"/>
  <c r="AA1982" i="5"/>
  <c r="P1982" i="5"/>
  <c r="Q1982" i="5" s="1"/>
  <c r="AA1981" i="5"/>
  <c r="P1981" i="5"/>
  <c r="Q1981" i="5" s="1"/>
  <c r="AA1980" i="5"/>
  <c r="P1980" i="5"/>
  <c r="Q1980" i="5" s="1"/>
  <c r="AA1979" i="5"/>
  <c r="P1979" i="5"/>
  <c r="Q1979" i="5" s="1"/>
  <c r="AA1978" i="5"/>
  <c r="P1978" i="5"/>
  <c r="Q1978" i="5" s="1"/>
  <c r="AA1977" i="5"/>
  <c r="Q1977" i="5"/>
  <c r="P1977" i="5"/>
  <c r="AA1976" i="5"/>
  <c r="Q1976" i="5"/>
  <c r="P1976" i="5"/>
  <c r="AA1975" i="5"/>
  <c r="P1975" i="5"/>
  <c r="Q1975" i="5" s="1"/>
  <c r="AA1974" i="5"/>
  <c r="P1974" i="5"/>
  <c r="Q1974" i="5" s="1"/>
  <c r="AA1973" i="5"/>
  <c r="P1973" i="5"/>
  <c r="Q1973" i="5" s="1"/>
  <c r="AA1972" i="5"/>
  <c r="P1972" i="5"/>
  <c r="Q1972" i="5" s="1"/>
  <c r="AA1971" i="5"/>
  <c r="P1971" i="5"/>
  <c r="Q1971" i="5" s="1"/>
  <c r="AA1970" i="5"/>
  <c r="Q1970" i="5"/>
  <c r="P1970" i="5"/>
  <c r="AA1969" i="5"/>
  <c r="P1969" i="5"/>
  <c r="Q1969" i="5" s="1"/>
  <c r="AA1968" i="5"/>
  <c r="P1968" i="5"/>
  <c r="Q1968" i="5" s="1"/>
  <c r="AA1967" i="5"/>
  <c r="P1967" i="5"/>
  <c r="Q1967" i="5" s="1"/>
  <c r="AA1966" i="5"/>
  <c r="P1966" i="5"/>
  <c r="Q1966" i="5" s="1"/>
  <c r="AA1965" i="5"/>
  <c r="P1965" i="5"/>
  <c r="Q1965" i="5" s="1"/>
  <c r="AA1964" i="5"/>
  <c r="Q1964" i="5"/>
  <c r="P1964" i="5"/>
  <c r="AA1963" i="5"/>
  <c r="P1963" i="5"/>
  <c r="Q1963" i="5" s="1"/>
  <c r="AA1962" i="5"/>
  <c r="P1962" i="5"/>
  <c r="Q1962" i="5" s="1"/>
  <c r="AA1961" i="5"/>
  <c r="Q1961" i="5"/>
  <c r="P1961" i="5"/>
  <c r="AA1960" i="5"/>
  <c r="P1960" i="5"/>
  <c r="Q1960" i="5" s="1"/>
  <c r="AA1959" i="5"/>
  <c r="P1959" i="5"/>
  <c r="Q1959" i="5" s="1"/>
  <c r="AA1958" i="5"/>
  <c r="Q1958" i="5"/>
  <c r="P1958" i="5"/>
  <c r="AA1957" i="5"/>
  <c r="Q1957" i="5"/>
  <c r="P1957" i="5"/>
  <c r="AA1956" i="5"/>
  <c r="P1956" i="5"/>
  <c r="Q1956" i="5" s="1"/>
  <c r="AA1955" i="5"/>
  <c r="P1955" i="5"/>
  <c r="Q1955" i="5" s="1"/>
  <c r="AA1954" i="5"/>
  <c r="P1954" i="5"/>
  <c r="Q1954" i="5" s="1"/>
  <c r="AA1953" i="5"/>
  <c r="P1953" i="5"/>
  <c r="Q1953" i="5" s="1"/>
  <c r="AA1952" i="5"/>
  <c r="Q1952" i="5"/>
  <c r="P1952" i="5"/>
  <c r="AA1951" i="5"/>
  <c r="Q1951" i="5"/>
  <c r="P1951" i="5"/>
  <c r="AA1950" i="5"/>
  <c r="P1950" i="5"/>
  <c r="Q1950" i="5" s="1"/>
  <c r="AA1949" i="5"/>
  <c r="P1949" i="5"/>
  <c r="Q1949" i="5" s="1"/>
  <c r="AA1948" i="5"/>
  <c r="P1948" i="5"/>
  <c r="Q1948" i="5" s="1"/>
  <c r="AA1947" i="5"/>
  <c r="P1947" i="5"/>
  <c r="Q1947" i="5" s="1"/>
  <c r="AA1946" i="5"/>
  <c r="Q1946" i="5"/>
  <c r="P1946" i="5"/>
  <c r="AA1945" i="5"/>
  <c r="P1945" i="5"/>
  <c r="Q1945" i="5" s="1"/>
  <c r="AA1944" i="5"/>
  <c r="P1944" i="5"/>
  <c r="Q1944" i="5" s="1"/>
  <c r="AA1943" i="5"/>
  <c r="P1943" i="5"/>
  <c r="Q1943" i="5" s="1"/>
  <c r="AA1942" i="5"/>
  <c r="Q1942" i="5"/>
  <c r="P1942" i="5"/>
  <c r="AA1941" i="5"/>
  <c r="P1941" i="5"/>
  <c r="Q1941" i="5" s="1"/>
  <c r="AA1940" i="5"/>
  <c r="P1940" i="5"/>
  <c r="Q1940" i="5" s="1"/>
  <c r="AA1939" i="5"/>
  <c r="Q1939" i="5"/>
  <c r="P1939" i="5"/>
  <c r="AA1938" i="5"/>
  <c r="P1938" i="5"/>
  <c r="Q1938" i="5" s="1"/>
  <c r="AA1937" i="5"/>
  <c r="Q1937" i="5"/>
  <c r="P1937" i="5"/>
  <c r="AA1936" i="5"/>
  <c r="P1936" i="5"/>
  <c r="Q1936" i="5" s="1"/>
  <c r="AA1935" i="5"/>
  <c r="P1935" i="5"/>
  <c r="Q1935" i="5" s="1"/>
  <c r="AA1934" i="5"/>
  <c r="P1934" i="5"/>
  <c r="Q1934" i="5" s="1"/>
  <c r="AA1933" i="5"/>
  <c r="P1933" i="5"/>
  <c r="Q1933" i="5" s="1"/>
  <c r="AA1932" i="5"/>
  <c r="P1932" i="5"/>
  <c r="Q1932" i="5" s="1"/>
  <c r="AA1931" i="5"/>
  <c r="P1931" i="5"/>
  <c r="Q1931" i="5" s="1"/>
  <c r="AA1930" i="5"/>
  <c r="P1930" i="5"/>
  <c r="Q1930" i="5" s="1"/>
  <c r="AA1929" i="5"/>
  <c r="Q1929" i="5"/>
  <c r="P1929" i="5"/>
  <c r="AA1928" i="5"/>
  <c r="P1928" i="5"/>
  <c r="Q1928" i="5" s="1"/>
  <c r="AA1927" i="5"/>
  <c r="Q1927" i="5"/>
  <c r="P1927" i="5"/>
  <c r="AA1926" i="5"/>
  <c r="P1926" i="5"/>
  <c r="Q1926" i="5" s="1"/>
  <c r="AA1925" i="5"/>
  <c r="P1925" i="5"/>
  <c r="Q1925" i="5" s="1"/>
  <c r="AA1924" i="5"/>
  <c r="P1924" i="5"/>
  <c r="Q1924" i="5" s="1"/>
  <c r="AA1923" i="5"/>
  <c r="Q1923" i="5"/>
  <c r="P1923" i="5"/>
  <c r="AA1922" i="5"/>
  <c r="P1922" i="5"/>
  <c r="Q1922" i="5" s="1"/>
  <c r="AA1921" i="5"/>
  <c r="Q1921" i="5"/>
  <c r="P1921" i="5"/>
  <c r="AA1920" i="5"/>
  <c r="P1920" i="5"/>
  <c r="Q1920" i="5" s="1"/>
  <c r="AA1919" i="5"/>
  <c r="P1919" i="5"/>
  <c r="Q1919" i="5" s="1"/>
  <c r="AA1918" i="5"/>
  <c r="P1918" i="5"/>
  <c r="Q1918" i="5" s="1"/>
  <c r="AA1917" i="5"/>
  <c r="P1917" i="5"/>
  <c r="Q1917" i="5" s="1"/>
  <c r="AA1916" i="5"/>
  <c r="P1916" i="5"/>
  <c r="Q1916" i="5" s="1"/>
  <c r="AA1915" i="5"/>
  <c r="P1915" i="5"/>
  <c r="Q1915" i="5" s="1"/>
  <c r="AA1914" i="5"/>
  <c r="Q1914" i="5"/>
  <c r="P1914" i="5"/>
  <c r="AA1913" i="5"/>
  <c r="Q1913" i="5"/>
  <c r="P1913" i="5"/>
  <c r="AA1912" i="5"/>
  <c r="P1912" i="5"/>
  <c r="Q1912" i="5" s="1"/>
  <c r="AA1911" i="5"/>
  <c r="P1911" i="5"/>
  <c r="Q1911" i="5" s="1"/>
  <c r="AA1910" i="5"/>
  <c r="P1910" i="5"/>
  <c r="Q1910" i="5" s="1"/>
  <c r="AA1909" i="5"/>
  <c r="Q1909" i="5"/>
  <c r="P1909" i="5"/>
  <c r="AA1908" i="5"/>
  <c r="P1908" i="5"/>
  <c r="Q1908" i="5" s="1"/>
  <c r="AA1907" i="5"/>
  <c r="Q1907" i="5"/>
  <c r="P1907" i="5"/>
  <c r="AA1906" i="5"/>
  <c r="P1906" i="5"/>
  <c r="Q1906" i="5" s="1"/>
  <c r="AA1905" i="5"/>
  <c r="P1905" i="5"/>
  <c r="Q1905" i="5" s="1"/>
  <c r="AA1904" i="5"/>
  <c r="P1904" i="5"/>
  <c r="Q1904" i="5" s="1"/>
  <c r="AA1903" i="5"/>
  <c r="P1903" i="5"/>
  <c r="Q1903" i="5" s="1"/>
  <c r="AA1902" i="5"/>
  <c r="P1902" i="5"/>
  <c r="Q1902" i="5" s="1"/>
  <c r="AA1901" i="5"/>
  <c r="P1901" i="5"/>
  <c r="Q1901" i="5" s="1"/>
  <c r="AA1900" i="5"/>
  <c r="P1900" i="5"/>
  <c r="Q1900" i="5" s="1"/>
  <c r="AA1899" i="5"/>
  <c r="P1899" i="5"/>
  <c r="Q1899" i="5" s="1"/>
  <c r="AA1898" i="5"/>
  <c r="Q1898" i="5"/>
  <c r="P1898" i="5"/>
  <c r="AA1897" i="5"/>
  <c r="Q1897" i="5"/>
  <c r="P1897" i="5"/>
  <c r="AA1896" i="5"/>
  <c r="P1896" i="5"/>
  <c r="Q1896" i="5" s="1"/>
  <c r="AA1895" i="5"/>
  <c r="P1895" i="5"/>
  <c r="Q1895" i="5" s="1"/>
  <c r="AA1894" i="5"/>
  <c r="P1894" i="5"/>
  <c r="Q1894" i="5" s="1"/>
  <c r="AA1893" i="5"/>
  <c r="Q1893" i="5"/>
  <c r="P1893" i="5"/>
  <c r="AA1892" i="5"/>
  <c r="P1892" i="5"/>
  <c r="Q1892" i="5" s="1"/>
  <c r="AA1891" i="5"/>
  <c r="P1891" i="5"/>
  <c r="Q1891" i="5" s="1"/>
  <c r="AA1890" i="5"/>
  <c r="P1890" i="5"/>
  <c r="Q1890" i="5" s="1"/>
  <c r="AA1889" i="5"/>
  <c r="P1889" i="5"/>
  <c r="Q1889" i="5" s="1"/>
  <c r="AA1888" i="5"/>
  <c r="P1888" i="5"/>
  <c r="Q1888" i="5" s="1"/>
  <c r="AA1887" i="5"/>
  <c r="P1887" i="5"/>
  <c r="Q1887" i="5" s="1"/>
  <c r="AA1886" i="5"/>
  <c r="P1886" i="5"/>
  <c r="Q1886" i="5" s="1"/>
  <c r="AA1885" i="5"/>
  <c r="P1885" i="5"/>
  <c r="Q1885" i="5" s="1"/>
  <c r="AA1884" i="5"/>
  <c r="P1884" i="5"/>
  <c r="Q1884" i="5" s="1"/>
  <c r="AA1883" i="5"/>
  <c r="P1883" i="5"/>
  <c r="Q1883" i="5" s="1"/>
  <c r="AA1882" i="5"/>
  <c r="P1882" i="5"/>
  <c r="Q1882" i="5" s="1"/>
  <c r="AA1881" i="5"/>
  <c r="P1881" i="5"/>
  <c r="Q1881" i="5" s="1"/>
  <c r="AA1880" i="5"/>
  <c r="P1880" i="5"/>
  <c r="Q1880" i="5" s="1"/>
  <c r="AA1879" i="5"/>
  <c r="Q1879" i="5"/>
  <c r="P1879" i="5"/>
  <c r="AA1878" i="5"/>
  <c r="Q1878" i="5"/>
  <c r="P1878" i="5"/>
  <c r="AA1877" i="5"/>
  <c r="P1877" i="5"/>
  <c r="Q1877" i="5" s="1"/>
  <c r="AA1876" i="5"/>
  <c r="P1876" i="5"/>
  <c r="Q1876" i="5" s="1"/>
  <c r="AA1875" i="5"/>
  <c r="P1875" i="5"/>
  <c r="Q1875" i="5" s="1"/>
  <c r="AA1874" i="5"/>
  <c r="P1874" i="5"/>
  <c r="Q1874" i="5" s="1"/>
  <c r="AA1873" i="5"/>
  <c r="Q1873" i="5"/>
  <c r="P1873" i="5"/>
  <c r="AA1872" i="5"/>
  <c r="P1872" i="5"/>
  <c r="Q1872" i="5" s="1"/>
  <c r="AA1871" i="5"/>
  <c r="P1871" i="5"/>
  <c r="Q1871" i="5" s="1"/>
  <c r="AA1870" i="5"/>
  <c r="P1870" i="5"/>
  <c r="Q1870" i="5" s="1"/>
  <c r="AA1869" i="5"/>
  <c r="P1869" i="5"/>
  <c r="Q1869" i="5" s="1"/>
  <c r="AA1868" i="5"/>
  <c r="Q1868" i="5"/>
  <c r="P1868" i="5"/>
  <c r="AA1867" i="5"/>
  <c r="P1867" i="5"/>
  <c r="Q1867" i="5" s="1"/>
  <c r="AA1866" i="5"/>
  <c r="P1866" i="5"/>
  <c r="Q1866" i="5" s="1"/>
  <c r="AA1865" i="5"/>
  <c r="Q1865" i="5"/>
  <c r="P1865" i="5"/>
  <c r="AA1864" i="5"/>
  <c r="P1864" i="5"/>
  <c r="Q1864" i="5" s="1"/>
  <c r="AA1863" i="5"/>
  <c r="P1863" i="5"/>
  <c r="Q1863" i="5" s="1"/>
  <c r="AA1862" i="5"/>
  <c r="P1862" i="5"/>
  <c r="Q1862" i="5" s="1"/>
  <c r="AA1861" i="5"/>
  <c r="Q1861" i="5"/>
  <c r="P1861" i="5"/>
  <c r="AA1860" i="5"/>
  <c r="P1860" i="5"/>
  <c r="Q1860" i="5" s="1"/>
  <c r="AA1859" i="5"/>
  <c r="P1859" i="5"/>
  <c r="Q1859" i="5" s="1"/>
  <c r="AA1858" i="5"/>
  <c r="Q1858" i="5"/>
  <c r="P1858" i="5"/>
  <c r="AA1857" i="5"/>
  <c r="P1857" i="5"/>
  <c r="Q1857" i="5" s="1"/>
  <c r="AA1856" i="5"/>
  <c r="P1856" i="5"/>
  <c r="Q1856" i="5" s="1"/>
  <c r="AA1855" i="5"/>
  <c r="Q1855" i="5"/>
  <c r="P1855" i="5"/>
  <c r="AA1854" i="5"/>
  <c r="P1854" i="5"/>
  <c r="Q1854" i="5" s="1"/>
  <c r="AA1853" i="5"/>
  <c r="Q1853" i="5"/>
  <c r="P1853" i="5"/>
  <c r="AA1852" i="5"/>
  <c r="P1852" i="5"/>
  <c r="Q1852" i="5" s="1"/>
  <c r="AA1851" i="5"/>
  <c r="P1851" i="5"/>
  <c r="Q1851" i="5" s="1"/>
  <c r="AA1850" i="5"/>
  <c r="P1850" i="5"/>
  <c r="Q1850" i="5" s="1"/>
  <c r="AA1849" i="5"/>
  <c r="Q1849" i="5"/>
  <c r="P1849" i="5"/>
  <c r="AA1848" i="5"/>
  <c r="P1848" i="5"/>
  <c r="Q1848" i="5" s="1"/>
  <c r="AA1847" i="5"/>
  <c r="P1847" i="5"/>
  <c r="Q1847" i="5" s="1"/>
  <c r="AA1846" i="5"/>
  <c r="Q1846" i="5"/>
  <c r="P1846" i="5"/>
  <c r="AA1845" i="5"/>
  <c r="P1845" i="5"/>
  <c r="Q1845" i="5" s="1"/>
  <c r="AA1844" i="5"/>
  <c r="P1844" i="5"/>
  <c r="Q1844" i="5" s="1"/>
  <c r="AA1843" i="5"/>
  <c r="Q1843" i="5"/>
  <c r="P1843" i="5"/>
  <c r="AA1842" i="5"/>
  <c r="P1842" i="5"/>
  <c r="Q1842" i="5" s="1"/>
  <c r="AA1841" i="5"/>
  <c r="P1841" i="5"/>
  <c r="Q1841" i="5" s="1"/>
  <c r="AA1840" i="5"/>
  <c r="P1840" i="5"/>
  <c r="Q1840" i="5" s="1"/>
  <c r="AA1839" i="5"/>
  <c r="P1839" i="5"/>
  <c r="Q1839" i="5" s="1"/>
  <c r="AA1838" i="5"/>
  <c r="P1838" i="5"/>
  <c r="Q1838" i="5" s="1"/>
  <c r="AA1837" i="5"/>
  <c r="P1837" i="5"/>
  <c r="Q1837" i="5" s="1"/>
  <c r="AA1836" i="5"/>
  <c r="P1836" i="5"/>
  <c r="Q1836" i="5" s="1"/>
  <c r="AA1835" i="5"/>
  <c r="P1835" i="5"/>
  <c r="Q1835" i="5" s="1"/>
  <c r="AA1834" i="5"/>
  <c r="P1834" i="5"/>
  <c r="Q1834" i="5" s="1"/>
  <c r="AA1833" i="5"/>
  <c r="P1833" i="5"/>
  <c r="Q1833" i="5" s="1"/>
  <c r="AA1832" i="5"/>
  <c r="P1832" i="5"/>
  <c r="Q1832" i="5" s="1"/>
  <c r="AA1831" i="5"/>
  <c r="P1831" i="5"/>
  <c r="Q1831" i="5" s="1"/>
  <c r="AA1830" i="5"/>
  <c r="Q1830" i="5"/>
  <c r="P1830" i="5"/>
  <c r="AA1829" i="5"/>
  <c r="P1829" i="5"/>
  <c r="Q1829" i="5" s="1"/>
  <c r="AA1828" i="5"/>
  <c r="P1828" i="5"/>
  <c r="Q1828" i="5" s="1"/>
  <c r="AA1827" i="5"/>
  <c r="P1827" i="5"/>
  <c r="Q1827" i="5" s="1"/>
  <c r="AA1826" i="5"/>
  <c r="P1826" i="5"/>
  <c r="Q1826" i="5" s="1"/>
  <c r="AA1825" i="5"/>
  <c r="P1825" i="5"/>
  <c r="Q1825" i="5" s="1"/>
  <c r="AA1824" i="5"/>
  <c r="P1824" i="5"/>
  <c r="Q1824" i="5" s="1"/>
  <c r="AA1823" i="5"/>
  <c r="Q1823" i="5"/>
  <c r="P1823" i="5"/>
  <c r="AA1822" i="5"/>
  <c r="P1822" i="5"/>
  <c r="Q1822" i="5" s="1"/>
  <c r="AA1821" i="5"/>
  <c r="P1821" i="5"/>
  <c r="Q1821" i="5" s="1"/>
  <c r="AA1820" i="5"/>
  <c r="Q1820" i="5"/>
  <c r="P1820" i="5"/>
  <c r="AA1819" i="5"/>
  <c r="P1819" i="5"/>
  <c r="Q1819" i="5" s="1"/>
  <c r="AA1818" i="5"/>
  <c r="P1818" i="5"/>
  <c r="Q1818" i="5" s="1"/>
  <c r="AA1817" i="5"/>
  <c r="Q1817" i="5"/>
  <c r="P1817" i="5"/>
  <c r="AA1816" i="5"/>
  <c r="P1816" i="5"/>
  <c r="Q1816" i="5" s="1"/>
  <c r="AA1815" i="5"/>
  <c r="P1815" i="5"/>
  <c r="Q1815" i="5" s="1"/>
  <c r="AA1814" i="5"/>
  <c r="Q1814" i="5"/>
  <c r="P1814" i="5"/>
  <c r="AA1813" i="5"/>
  <c r="P1813" i="5"/>
  <c r="Q1813" i="5" s="1"/>
  <c r="AA1812" i="5"/>
  <c r="P1812" i="5"/>
  <c r="Q1812" i="5" s="1"/>
  <c r="AA1811" i="5"/>
  <c r="Q1811" i="5"/>
  <c r="P1811" i="5"/>
  <c r="AA1810" i="5"/>
  <c r="P1810" i="5"/>
  <c r="Q1810" i="5" s="1"/>
  <c r="AA1809" i="5"/>
  <c r="P1809" i="5"/>
  <c r="Q1809" i="5" s="1"/>
  <c r="AA1808" i="5"/>
  <c r="P1808" i="5"/>
  <c r="Q1808" i="5" s="1"/>
  <c r="AA1807" i="5"/>
  <c r="P1807" i="5"/>
  <c r="Q1807" i="5" s="1"/>
  <c r="AA1806" i="5"/>
  <c r="P1806" i="5"/>
  <c r="Q1806" i="5" s="1"/>
  <c r="AA1805" i="5"/>
  <c r="P1805" i="5"/>
  <c r="Q1805" i="5" s="1"/>
  <c r="AA1804" i="5"/>
  <c r="P1804" i="5"/>
  <c r="Q1804" i="5" s="1"/>
  <c r="AA1803" i="5"/>
  <c r="P1803" i="5"/>
  <c r="Q1803" i="5" s="1"/>
  <c r="AA1802" i="5"/>
  <c r="P1802" i="5"/>
  <c r="Q1802" i="5" s="1"/>
  <c r="AA1801" i="5"/>
  <c r="P1801" i="5"/>
  <c r="Q1801" i="5" s="1"/>
  <c r="AA1800" i="5"/>
  <c r="Q1800" i="5"/>
  <c r="P1800" i="5"/>
  <c r="AA1799" i="5"/>
  <c r="P1799" i="5"/>
  <c r="Q1799" i="5" s="1"/>
  <c r="AA1798" i="5"/>
  <c r="Q1798" i="5"/>
  <c r="P1798" i="5"/>
  <c r="AA1797" i="5"/>
  <c r="P1797" i="5"/>
  <c r="Q1797" i="5" s="1"/>
  <c r="AA1796" i="5"/>
  <c r="P1796" i="5"/>
  <c r="Q1796" i="5" s="1"/>
  <c r="AA1795" i="5"/>
  <c r="P1795" i="5"/>
  <c r="Q1795" i="5" s="1"/>
  <c r="AA1794" i="5"/>
  <c r="P1794" i="5"/>
  <c r="Q1794" i="5" s="1"/>
  <c r="AA1793" i="5"/>
  <c r="Q1793" i="5"/>
  <c r="P1793" i="5"/>
  <c r="AA1792" i="5"/>
  <c r="P1792" i="5"/>
  <c r="Q1792" i="5" s="1"/>
  <c r="AA1791" i="5"/>
  <c r="Q1791" i="5"/>
  <c r="P1791" i="5"/>
  <c r="AA1790" i="5"/>
  <c r="P1790" i="5"/>
  <c r="Q1790" i="5" s="1"/>
  <c r="AA1789" i="5"/>
  <c r="P1789" i="5"/>
  <c r="Q1789" i="5" s="1"/>
  <c r="AA1788" i="5"/>
  <c r="P1788" i="5"/>
  <c r="Q1788" i="5" s="1"/>
  <c r="AA1787" i="5"/>
  <c r="P1787" i="5"/>
  <c r="Q1787" i="5" s="1"/>
  <c r="AA1786" i="5"/>
  <c r="P1786" i="5"/>
  <c r="Q1786" i="5" s="1"/>
  <c r="AA1785" i="5"/>
  <c r="P1785" i="5"/>
  <c r="Q1785" i="5" s="1"/>
  <c r="AA1784" i="5"/>
  <c r="P1784" i="5"/>
  <c r="Q1784" i="5" s="1"/>
  <c r="AA1783" i="5"/>
  <c r="P1783" i="5"/>
  <c r="Q1783" i="5" s="1"/>
  <c r="AA1782" i="5"/>
  <c r="Q1782" i="5"/>
  <c r="P1782" i="5"/>
  <c r="AA1781" i="5"/>
  <c r="P1781" i="5"/>
  <c r="Q1781" i="5" s="1"/>
  <c r="AA1780" i="5"/>
  <c r="Q1780" i="5"/>
  <c r="P1780" i="5"/>
  <c r="AA1779" i="5"/>
  <c r="Q1779" i="5"/>
  <c r="P1779" i="5"/>
  <c r="AA1778" i="5"/>
  <c r="P1778" i="5"/>
  <c r="Q1778" i="5" s="1"/>
  <c r="AA1777" i="5"/>
  <c r="Q1777" i="5"/>
  <c r="P1777" i="5"/>
  <c r="AA1776" i="5"/>
  <c r="P1776" i="5"/>
  <c r="Q1776" i="5" s="1"/>
  <c r="AA1775" i="5"/>
  <c r="P1775" i="5"/>
  <c r="Q1775" i="5" s="1"/>
  <c r="AA1774" i="5"/>
  <c r="P1774" i="5"/>
  <c r="Q1774" i="5" s="1"/>
  <c r="AA1773" i="5"/>
  <c r="P1773" i="5"/>
  <c r="Q1773" i="5" s="1"/>
  <c r="AA1772" i="5"/>
  <c r="Q1772" i="5"/>
  <c r="P1772" i="5"/>
  <c r="AA1771" i="5"/>
  <c r="P1771" i="5"/>
  <c r="Q1771" i="5" s="1"/>
  <c r="AA1770" i="5"/>
  <c r="P1770" i="5"/>
  <c r="Q1770" i="5" s="1"/>
  <c r="AA1769" i="5"/>
  <c r="P1769" i="5"/>
  <c r="Q1769" i="5" s="1"/>
  <c r="AA1768" i="5"/>
  <c r="P1768" i="5"/>
  <c r="Q1768" i="5" s="1"/>
  <c r="AA1767" i="5"/>
  <c r="P1767" i="5"/>
  <c r="Q1767" i="5" s="1"/>
  <c r="AA1766" i="5"/>
  <c r="Q1766" i="5"/>
  <c r="P1766" i="5"/>
  <c r="AA1765" i="5"/>
  <c r="P1765" i="5"/>
  <c r="Q1765" i="5" s="1"/>
  <c r="AA1764" i="5"/>
  <c r="P1764" i="5"/>
  <c r="Q1764" i="5" s="1"/>
  <c r="AA1763" i="5"/>
  <c r="Q1763" i="5"/>
  <c r="P1763" i="5"/>
  <c r="AA1762" i="5"/>
  <c r="P1762" i="5"/>
  <c r="Q1762" i="5" s="1"/>
  <c r="AA1761" i="5"/>
  <c r="Q1761" i="5"/>
  <c r="P1761" i="5"/>
  <c r="AA1760" i="5"/>
  <c r="P1760" i="5"/>
  <c r="Q1760" i="5" s="1"/>
  <c r="AA1759" i="5"/>
  <c r="P1759" i="5"/>
  <c r="Q1759" i="5" s="1"/>
  <c r="AA1758" i="5"/>
  <c r="P1758" i="5"/>
  <c r="Q1758" i="5" s="1"/>
  <c r="AA1757" i="5"/>
  <c r="P1757" i="5"/>
  <c r="Q1757" i="5" s="1"/>
  <c r="AA1756" i="5"/>
  <c r="P1756" i="5"/>
  <c r="Q1756" i="5" s="1"/>
  <c r="AA1755" i="5"/>
  <c r="P1755" i="5"/>
  <c r="Q1755" i="5" s="1"/>
  <c r="AA1754" i="5"/>
  <c r="P1754" i="5"/>
  <c r="Q1754" i="5" s="1"/>
  <c r="AA1753" i="5"/>
  <c r="Q1753" i="5"/>
  <c r="P1753" i="5"/>
  <c r="AA1752" i="5"/>
  <c r="Q1752" i="5"/>
  <c r="P1752" i="5"/>
  <c r="AA1751" i="5"/>
  <c r="P1751" i="5"/>
  <c r="Q1751" i="5" s="1"/>
  <c r="AA1750" i="5"/>
  <c r="Q1750" i="5"/>
  <c r="P1750" i="5"/>
  <c r="AA1749" i="5"/>
  <c r="P1749" i="5"/>
  <c r="Q1749" i="5" s="1"/>
  <c r="AA1748" i="5"/>
  <c r="P1748" i="5"/>
  <c r="Q1748" i="5" s="1"/>
  <c r="AA1747" i="5"/>
  <c r="P1747" i="5"/>
  <c r="Q1747" i="5" s="1"/>
  <c r="AA1746" i="5"/>
  <c r="Q1746" i="5"/>
  <c r="P1746" i="5"/>
  <c r="AA1745" i="5"/>
  <c r="P1745" i="5"/>
  <c r="Q1745" i="5" s="1"/>
  <c r="AA1744" i="5"/>
  <c r="P1744" i="5"/>
  <c r="Q1744" i="5" s="1"/>
  <c r="AA1743" i="5"/>
  <c r="P1743" i="5"/>
  <c r="Q1743" i="5" s="1"/>
  <c r="AA1742" i="5"/>
  <c r="P1742" i="5"/>
  <c r="Q1742" i="5" s="1"/>
  <c r="AA1741" i="5"/>
  <c r="P1741" i="5"/>
  <c r="Q1741" i="5" s="1"/>
  <c r="AA1740" i="5"/>
  <c r="P1740" i="5"/>
  <c r="Q1740" i="5" s="1"/>
  <c r="AA1739" i="5"/>
  <c r="P1739" i="5"/>
  <c r="Q1739" i="5" s="1"/>
  <c r="AA1738" i="5"/>
  <c r="P1738" i="5"/>
  <c r="Q1738" i="5" s="1"/>
  <c r="AA1737" i="5"/>
  <c r="P1737" i="5"/>
  <c r="Q1737" i="5" s="1"/>
  <c r="AA1736" i="5"/>
  <c r="Q1736" i="5"/>
  <c r="P1736" i="5"/>
  <c r="AA1735" i="5"/>
  <c r="P1735" i="5"/>
  <c r="Q1735" i="5" s="1"/>
  <c r="AA1734" i="5"/>
  <c r="Q1734" i="5"/>
  <c r="P1734" i="5"/>
  <c r="AA1733" i="5"/>
  <c r="P1733" i="5"/>
  <c r="Q1733" i="5" s="1"/>
  <c r="AA1732" i="5"/>
  <c r="Q1732" i="5"/>
  <c r="P1732" i="5"/>
  <c r="AA1731" i="5"/>
  <c r="P1731" i="5"/>
  <c r="Q1731" i="5" s="1"/>
  <c r="AA1730" i="5"/>
  <c r="P1730" i="5"/>
  <c r="Q1730" i="5" s="1"/>
  <c r="AA1729" i="5"/>
  <c r="P1729" i="5"/>
  <c r="Q1729" i="5" s="1"/>
  <c r="AA1728" i="5"/>
  <c r="Q1728" i="5"/>
  <c r="P1728" i="5"/>
  <c r="AA1727" i="5"/>
  <c r="P1727" i="5"/>
  <c r="Q1727" i="5" s="1"/>
  <c r="AA1726" i="5"/>
  <c r="P1726" i="5"/>
  <c r="Q1726" i="5" s="1"/>
  <c r="AA1725" i="5"/>
  <c r="Q1725" i="5"/>
  <c r="P1725" i="5"/>
  <c r="AA1724" i="5"/>
  <c r="P1724" i="5"/>
  <c r="Q1724" i="5" s="1"/>
  <c r="AA1723" i="5"/>
  <c r="P1723" i="5"/>
  <c r="Q1723" i="5" s="1"/>
  <c r="AA1722" i="5"/>
  <c r="Q1722" i="5"/>
  <c r="P1722" i="5"/>
  <c r="AA1721" i="5"/>
  <c r="P1721" i="5"/>
  <c r="Q1721" i="5" s="1"/>
  <c r="AA1720" i="5"/>
  <c r="Q1720" i="5"/>
  <c r="P1720" i="5"/>
  <c r="AA1719" i="5"/>
  <c r="P1719" i="5"/>
  <c r="Q1719" i="5" s="1"/>
  <c r="AA1718" i="5"/>
  <c r="Q1718" i="5"/>
  <c r="P1718" i="5"/>
  <c r="AA1717" i="5"/>
  <c r="P1717" i="5"/>
  <c r="Q1717" i="5" s="1"/>
  <c r="AA1716" i="5"/>
  <c r="P1716" i="5"/>
  <c r="Q1716" i="5" s="1"/>
  <c r="AA1715" i="5"/>
  <c r="Q1715" i="5"/>
  <c r="P1715" i="5"/>
  <c r="AA1714" i="5"/>
  <c r="P1714" i="5"/>
  <c r="Q1714" i="5" s="1"/>
  <c r="AA1713" i="5"/>
  <c r="Q1713" i="5"/>
  <c r="P1713" i="5"/>
  <c r="AA1712" i="5"/>
  <c r="P1712" i="5"/>
  <c r="Q1712" i="5" s="1"/>
  <c r="AA1711" i="5"/>
  <c r="P1711" i="5"/>
  <c r="Q1711" i="5" s="1"/>
  <c r="AA1710" i="5"/>
  <c r="P1710" i="5"/>
  <c r="Q1710" i="5" s="1"/>
  <c r="AA1709" i="5"/>
  <c r="Q1709" i="5"/>
  <c r="P1709" i="5"/>
  <c r="AA1708" i="5"/>
  <c r="P1708" i="5"/>
  <c r="Q1708" i="5" s="1"/>
  <c r="AA1707" i="5"/>
  <c r="P1707" i="5"/>
  <c r="Q1707" i="5" s="1"/>
  <c r="AA1706" i="5"/>
  <c r="P1706" i="5"/>
  <c r="Q1706" i="5" s="1"/>
  <c r="AA1705" i="5"/>
  <c r="P1705" i="5"/>
  <c r="Q1705" i="5" s="1"/>
  <c r="AA1704" i="5"/>
  <c r="P1704" i="5"/>
  <c r="Q1704" i="5" s="1"/>
  <c r="AA1703" i="5"/>
  <c r="P1703" i="5"/>
  <c r="Q1703" i="5" s="1"/>
  <c r="AA1702" i="5"/>
  <c r="Q1702" i="5"/>
  <c r="P1702" i="5"/>
  <c r="AA1701" i="5"/>
  <c r="P1701" i="5"/>
  <c r="Q1701" i="5" s="1"/>
  <c r="AA1700" i="5"/>
  <c r="P1700" i="5"/>
  <c r="Q1700" i="5" s="1"/>
  <c r="AA1699" i="5"/>
  <c r="P1699" i="5"/>
  <c r="Q1699" i="5" s="1"/>
  <c r="AA1698" i="5"/>
  <c r="P1698" i="5"/>
  <c r="Q1698" i="5" s="1"/>
  <c r="AA1697" i="5"/>
  <c r="P1697" i="5"/>
  <c r="Q1697" i="5" s="1"/>
  <c r="AA1696" i="5"/>
  <c r="P1696" i="5"/>
  <c r="Q1696" i="5" s="1"/>
  <c r="AA1695" i="5"/>
  <c r="Q1695" i="5"/>
  <c r="P1695" i="5"/>
  <c r="AA1694" i="5"/>
  <c r="P1694" i="5"/>
  <c r="Q1694" i="5" s="1"/>
  <c r="AA1693" i="5"/>
  <c r="P1693" i="5"/>
  <c r="Q1693" i="5" s="1"/>
  <c r="AA1692" i="5"/>
  <c r="P1692" i="5"/>
  <c r="Q1692" i="5" s="1"/>
  <c r="AA1691" i="5"/>
  <c r="P1691" i="5"/>
  <c r="Q1691" i="5" s="1"/>
  <c r="AA1690" i="5"/>
  <c r="P1690" i="5"/>
  <c r="Q1690" i="5" s="1"/>
  <c r="AA1689" i="5"/>
  <c r="Q1689" i="5"/>
  <c r="P1689" i="5"/>
  <c r="AA1688" i="5"/>
  <c r="P1688" i="5"/>
  <c r="Q1688" i="5" s="1"/>
  <c r="AA1687" i="5"/>
  <c r="P1687" i="5"/>
  <c r="Q1687" i="5" s="1"/>
  <c r="AA1686" i="5"/>
  <c r="Q1686" i="5"/>
  <c r="P1686" i="5"/>
  <c r="AA1685" i="5"/>
  <c r="Q1685" i="5"/>
  <c r="P1685" i="5"/>
  <c r="AA1684" i="5"/>
  <c r="P1684" i="5"/>
  <c r="Q1684" i="5" s="1"/>
  <c r="AA1683" i="5"/>
  <c r="P1683" i="5"/>
  <c r="Q1683" i="5" s="1"/>
  <c r="AA1682" i="5"/>
  <c r="P1682" i="5"/>
  <c r="Q1682" i="5" s="1"/>
  <c r="AA1681" i="5"/>
  <c r="P1681" i="5"/>
  <c r="Q1681" i="5" s="1"/>
  <c r="AA1680" i="5"/>
  <c r="P1680" i="5"/>
  <c r="Q1680" i="5" s="1"/>
  <c r="AA1679" i="5"/>
  <c r="P1679" i="5"/>
  <c r="Q1679" i="5" s="1"/>
  <c r="AA1678" i="5"/>
  <c r="P1678" i="5"/>
  <c r="Q1678" i="5" s="1"/>
  <c r="AA1677" i="5"/>
  <c r="P1677" i="5"/>
  <c r="Q1677" i="5" s="1"/>
  <c r="AA1676" i="5"/>
  <c r="P1676" i="5"/>
  <c r="Q1676" i="5" s="1"/>
  <c r="AA1675" i="5"/>
  <c r="P1675" i="5"/>
  <c r="Q1675" i="5" s="1"/>
  <c r="AA1674" i="5"/>
  <c r="P1674" i="5"/>
  <c r="Q1674" i="5" s="1"/>
  <c r="AA1673" i="5"/>
  <c r="P1673" i="5"/>
  <c r="Q1673" i="5" s="1"/>
  <c r="AA1672" i="5"/>
  <c r="P1672" i="5"/>
  <c r="Q1672" i="5" s="1"/>
  <c r="AA1671" i="5"/>
  <c r="P1671" i="5"/>
  <c r="Q1671" i="5" s="1"/>
  <c r="AA1670" i="5"/>
  <c r="Q1670" i="5"/>
  <c r="P1670" i="5"/>
  <c r="AA1669" i="5"/>
  <c r="P1669" i="5"/>
  <c r="Q1669" i="5" s="1"/>
  <c r="AA1668" i="5"/>
  <c r="P1668" i="5"/>
  <c r="Q1668" i="5" s="1"/>
  <c r="AA1667" i="5"/>
  <c r="P1667" i="5"/>
  <c r="Q1667" i="5" s="1"/>
  <c r="AA1666" i="5"/>
  <c r="P1666" i="5"/>
  <c r="Q1666" i="5" s="1"/>
  <c r="AA1665" i="5"/>
  <c r="P1665" i="5"/>
  <c r="Q1665" i="5" s="1"/>
  <c r="AA1664" i="5"/>
  <c r="P1664" i="5"/>
  <c r="Q1664" i="5" s="1"/>
  <c r="AA1663" i="5"/>
  <c r="P1663" i="5"/>
  <c r="Q1663" i="5" s="1"/>
  <c r="AA1662" i="5"/>
  <c r="P1662" i="5"/>
  <c r="Q1662" i="5" s="1"/>
  <c r="AA1661" i="5"/>
  <c r="P1661" i="5"/>
  <c r="Q1661" i="5" s="1"/>
  <c r="AA1660" i="5"/>
  <c r="P1660" i="5"/>
  <c r="Q1660" i="5" s="1"/>
  <c r="AA1659" i="5"/>
  <c r="P1659" i="5"/>
  <c r="Q1659" i="5" s="1"/>
  <c r="AA1658" i="5"/>
  <c r="P1658" i="5"/>
  <c r="Q1658" i="5" s="1"/>
  <c r="AA1657" i="5"/>
  <c r="Q1657" i="5"/>
  <c r="P1657" i="5"/>
  <c r="AA1656" i="5"/>
  <c r="P1656" i="5"/>
  <c r="Q1656" i="5" s="1"/>
  <c r="AA1655" i="5"/>
  <c r="P1655" i="5"/>
  <c r="Q1655" i="5" s="1"/>
  <c r="AA1654" i="5"/>
  <c r="Q1654" i="5"/>
  <c r="P1654" i="5"/>
  <c r="AA1653" i="5"/>
  <c r="Q1653" i="5"/>
  <c r="P1653" i="5"/>
  <c r="AA1652" i="5"/>
  <c r="P1652" i="5"/>
  <c r="Q1652" i="5" s="1"/>
  <c r="AA1651" i="5"/>
  <c r="Q1651" i="5"/>
  <c r="P1651" i="5"/>
  <c r="AA1650" i="5"/>
  <c r="P1650" i="5"/>
  <c r="Q1650" i="5" s="1"/>
  <c r="AA1649" i="5"/>
  <c r="P1649" i="5"/>
  <c r="Q1649" i="5" s="1"/>
  <c r="AA1648" i="5"/>
  <c r="P1648" i="5"/>
  <c r="Q1648" i="5" s="1"/>
  <c r="AA1647" i="5"/>
  <c r="P1647" i="5"/>
  <c r="Q1647" i="5" s="1"/>
  <c r="AA1646" i="5"/>
  <c r="P1646" i="5"/>
  <c r="Q1646" i="5" s="1"/>
  <c r="AA1645" i="5"/>
  <c r="P1645" i="5"/>
  <c r="Q1645" i="5" s="1"/>
  <c r="AA1644" i="5"/>
  <c r="P1644" i="5"/>
  <c r="Q1644" i="5" s="1"/>
  <c r="AA1643" i="5"/>
  <c r="P1643" i="5"/>
  <c r="Q1643" i="5" s="1"/>
  <c r="AA1642" i="5"/>
  <c r="Q1642" i="5"/>
  <c r="P1642" i="5"/>
  <c r="AA1641" i="5"/>
  <c r="P1641" i="5"/>
  <c r="Q1641" i="5" s="1"/>
  <c r="AA1640" i="5"/>
  <c r="Q1640" i="5"/>
  <c r="P1640" i="5"/>
  <c r="AA1639" i="5"/>
  <c r="Q1639" i="5"/>
  <c r="P1639" i="5"/>
  <c r="AA1638" i="5"/>
  <c r="P1638" i="5"/>
  <c r="Q1638" i="5" s="1"/>
  <c r="AA1637" i="5"/>
  <c r="P1637" i="5"/>
  <c r="Q1637" i="5" s="1"/>
  <c r="AA1636" i="5"/>
  <c r="P1636" i="5"/>
  <c r="Q1636" i="5" s="1"/>
  <c r="AA1635" i="5"/>
  <c r="P1635" i="5"/>
  <c r="Q1635" i="5" s="1"/>
  <c r="AA1634" i="5"/>
  <c r="P1634" i="5"/>
  <c r="Q1634" i="5" s="1"/>
  <c r="AA1633" i="5"/>
  <c r="P1633" i="5"/>
  <c r="Q1633" i="5" s="1"/>
  <c r="AA1632" i="5"/>
  <c r="P1632" i="5"/>
  <c r="Q1632" i="5" s="1"/>
  <c r="AA1631" i="5"/>
  <c r="P1631" i="5"/>
  <c r="Q1631" i="5" s="1"/>
  <c r="AA1630" i="5"/>
  <c r="P1630" i="5"/>
  <c r="Q1630" i="5" s="1"/>
  <c r="AA1629" i="5"/>
  <c r="P1629" i="5"/>
  <c r="Q1629" i="5" s="1"/>
  <c r="AA1628" i="5"/>
  <c r="Q1628" i="5"/>
  <c r="P1628" i="5"/>
  <c r="AA1627" i="5"/>
  <c r="P1627" i="5"/>
  <c r="Q1627" i="5" s="1"/>
  <c r="AA1626" i="5"/>
  <c r="P1626" i="5"/>
  <c r="Q1626" i="5" s="1"/>
  <c r="AA1625" i="5"/>
  <c r="P1625" i="5"/>
  <c r="Q1625" i="5" s="1"/>
  <c r="AA1624" i="5"/>
  <c r="Q1624" i="5"/>
  <c r="P1624" i="5"/>
  <c r="AA1623" i="5"/>
  <c r="P1623" i="5"/>
  <c r="Q1623" i="5" s="1"/>
  <c r="AA1622" i="5"/>
  <c r="P1622" i="5"/>
  <c r="Q1622" i="5" s="1"/>
  <c r="AA1621" i="5"/>
  <c r="P1621" i="5"/>
  <c r="Q1621" i="5" s="1"/>
  <c r="AA1620" i="5"/>
  <c r="P1620" i="5"/>
  <c r="Q1620" i="5" s="1"/>
  <c r="AA1619" i="5"/>
  <c r="P1619" i="5"/>
  <c r="Q1619" i="5" s="1"/>
  <c r="AA1618" i="5"/>
  <c r="P1618" i="5"/>
  <c r="Q1618" i="5" s="1"/>
  <c r="AA1617" i="5"/>
  <c r="P1617" i="5"/>
  <c r="Q1617" i="5" s="1"/>
  <c r="AA1616" i="5"/>
  <c r="P1616" i="5"/>
  <c r="Q1616" i="5" s="1"/>
  <c r="AA1615" i="5"/>
  <c r="Q1615" i="5"/>
  <c r="P1615" i="5"/>
  <c r="AA1614" i="5"/>
  <c r="P1614" i="5"/>
  <c r="Q1614" i="5" s="1"/>
  <c r="AA1613" i="5"/>
  <c r="P1613" i="5"/>
  <c r="Q1613" i="5" s="1"/>
  <c r="AA1612" i="5"/>
  <c r="Q1612" i="5"/>
  <c r="P1612" i="5"/>
  <c r="AA1611" i="5"/>
  <c r="P1611" i="5"/>
  <c r="Q1611" i="5" s="1"/>
  <c r="AA1610" i="5"/>
  <c r="P1610" i="5"/>
  <c r="Q1610" i="5" s="1"/>
  <c r="AA1609" i="5"/>
  <c r="P1609" i="5"/>
  <c r="Q1609" i="5" s="1"/>
  <c r="AA1608" i="5"/>
  <c r="P1608" i="5"/>
  <c r="Q1608" i="5" s="1"/>
  <c r="AA1607" i="5"/>
  <c r="P1607" i="5"/>
  <c r="Q1607" i="5" s="1"/>
  <c r="AA1606" i="5"/>
  <c r="Q1606" i="5"/>
  <c r="P1606" i="5"/>
  <c r="AA1605" i="5"/>
  <c r="Q1605" i="5"/>
  <c r="P1605" i="5"/>
  <c r="AA1604" i="5"/>
  <c r="P1604" i="5"/>
  <c r="Q1604" i="5" s="1"/>
  <c r="AA1603" i="5"/>
  <c r="P1603" i="5"/>
  <c r="Q1603" i="5" s="1"/>
  <c r="AA1602" i="5"/>
  <c r="Q1602" i="5"/>
  <c r="P1602" i="5"/>
  <c r="AA1601" i="5"/>
  <c r="Q1601" i="5"/>
  <c r="P1601" i="5"/>
  <c r="AA1600" i="5"/>
  <c r="Q1600" i="5"/>
  <c r="P1600" i="5"/>
  <c r="AA1599" i="5"/>
  <c r="P1599" i="5"/>
  <c r="Q1599" i="5" s="1"/>
  <c r="AA1598" i="5"/>
  <c r="P1598" i="5"/>
  <c r="Q1598" i="5" s="1"/>
  <c r="AA1597" i="5"/>
  <c r="P1597" i="5"/>
  <c r="Q1597" i="5" s="1"/>
  <c r="AA1596" i="5"/>
  <c r="P1596" i="5"/>
  <c r="Q1596" i="5" s="1"/>
  <c r="AA1595" i="5"/>
  <c r="P1595" i="5"/>
  <c r="Q1595" i="5" s="1"/>
  <c r="AA1594" i="5"/>
  <c r="Q1594" i="5"/>
  <c r="P1594" i="5"/>
  <c r="AA1593" i="5"/>
  <c r="Q1593" i="5"/>
  <c r="P1593" i="5"/>
  <c r="AA1592" i="5"/>
  <c r="P1592" i="5"/>
  <c r="Q1592" i="5" s="1"/>
  <c r="AA1591" i="5"/>
  <c r="Q1591" i="5"/>
  <c r="P1591" i="5"/>
  <c r="AA1590" i="5"/>
  <c r="P1590" i="5"/>
  <c r="Q1590" i="5" s="1"/>
  <c r="AA1589" i="5"/>
  <c r="P1589" i="5"/>
  <c r="Q1589" i="5" s="1"/>
  <c r="AA1588" i="5"/>
  <c r="P1588" i="5"/>
  <c r="Q1588" i="5" s="1"/>
  <c r="AA1587" i="5"/>
  <c r="P1587" i="5"/>
  <c r="Q1587" i="5" s="1"/>
  <c r="AA1586" i="5"/>
  <c r="P1586" i="5"/>
  <c r="Q1586" i="5" s="1"/>
  <c r="AA1585" i="5"/>
  <c r="P1585" i="5"/>
  <c r="Q1585" i="5" s="1"/>
  <c r="AA1584" i="5"/>
  <c r="P1584" i="5"/>
  <c r="Q1584" i="5" s="1"/>
  <c r="AA1583" i="5"/>
  <c r="Q1583" i="5"/>
  <c r="P1583" i="5"/>
  <c r="AA1582" i="5"/>
  <c r="Q1582" i="5"/>
  <c r="P1582" i="5"/>
  <c r="AA1581" i="5"/>
  <c r="P1581" i="5"/>
  <c r="Q1581" i="5" s="1"/>
  <c r="AA1580" i="5"/>
  <c r="P1580" i="5"/>
  <c r="Q1580" i="5" s="1"/>
  <c r="AA1579" i="5"/>
  <c r="P1579" i="5"/>
  <c r="Q1579" i="5" s="1"/>
  <c r="AA1578" i="5"/>
  <c r="Q1578" i="5"/>
  <c r="P1578" i="5"/>
  <c r="AA1577" i="5"/>
  <c r="P1577" i="5"/>
  <c r="Q1577" i="5" s="1"/>
  <c r="AA1576" i="5"/>
  <c r="P1576" i="5"/>
  <c r="Q1576" i="5" s="1"/>
  <c r="AA1575" i="5"/>
  <c r="P1575" i="5"/>
  <c r="Q1575" i="5" s="1"/>
  <c r="AA1574" i="5"/>
  <c r="P1574" i="5"/>
  <c r="Q1574" i="5" s="1"/>
  <c r="AA1573" i="5"/>
  <c r="P1573" i="5"/>
  <c r="Q1573" i="5" s="1"/>
  <c r="AA1572" i="5"/>
  <c r="Q1572" i="5"/>
  <c r="P1572" i="5"/>
  <c r="AA1571" i="5"/>
  <c r="P1571" i="5"/>
  <c r="Q1571" i="5" s="1"/>
  <c r="AA1570" i="5"/>
  <c r="Q1570" i="5"/>
  <c r="P1570" i="5"/>
  <c r="AA1569" i="5"/>
  <c r="Q1569" i="5"/>
  <c r="P1569" i="5"/>
  <c r="AA1568" i="5"/>
  <c r="P1568" i="5"/>
  <c r="Q1568" i="5" s="1"/>
  <c r="AA1567" i="5"/>
  <c r="P1567" i="5"/>
  <c r="Q1567" i="5" s="1"/>
  <c r="AA1566" i="5"/>
  <c r="P1566" i="5"/>
  <c r="Q1566" i="5" s="1"/>
  <c r="AA1565" i="5"/>
  <c r="P1565" i="5"/>
  <c r="Q1565" i="5" s="1"/>
  <c r="AA1564" i="5"/>
  <c r="P1564" i="5"/>
  <c r="Q1564" i="5" s="1"/>
  <c r="AA1563" i="5"/>
  <c r="Q1563" i="5"/>
  <c r="P1563" i="5"/>
  <c r="AA1562" i="5"/>
  <c r="P1562" i="5"/>
  <c r="Q1562" i="5" s="1"/>
  <c r="AA1561" i="5"/>
  <c r="Q1561" i="5"/>
  <c r="P1561" i="5"/>
  <c r="AA1560" i="5"/>
  <c r="P1560" i="5"/>
  <c r="Q1560" i="5" s="1"/>
  <c r="AA1559" i="5"/>
  <c r="Q1559" i="5"/>
  <c r="P1559" i="5"/>
  <c r="AA1558" i="5"/>
  <c r="P1558" i="5"/>
  <c r="Q1558" i="5" s="1"/>
  <c r="AA1557" i="5"/>
  <c r="Q1557" i="5"/>
  <c r="P1557" i="5"/>
  <c r="AA1556" i="5"/>
  <c r="Q1556" i="5"/>
  <c r="P1556" i="5"/>
  <c r="AA1555" i="5"/>
  <c r="Q1555" i="5"/>
  <c r="P1555" i="5"/>
  <c r="AA1554" i="5"/>
  <c r="P1554" i="5"/>
  <c r="Q1554" i="5" s="1"/>
  <c r="AA1553" i="5"/>
  <c r="Q1553" i="5"/>
  <c r="P1553" i="5"/>
  <c r="AA1552" i="5"/>
  <c r="P1552" i="5"/>
  <c r="Q1552" i="5" s="1"/>
  <c r="AA1551" i="5"/>
  <c r="P1551" i="5"/>
  <c r="Q1551" i="5" s="1"/>
  <c r="AA1550" i="5"/>
  <c r="P1550" i="5"/>
  <c r="Q1550" i="5" s="1"/>
  <c r="AA1549" i="5"/>
  <c r="P1549" i="5"/>
  <c r="Q1549" i="5" s="1"/>
  <c r="AA1548" i="5"/>
  <c r="Q1548" i="5"/>
  <c r="P1548" i="5"/>
  <c r="AA1547" i="5"/>
  <c r="P1547" i="5"/>
  <c r="Q1547" i="5" s="1"/>
  <c r="AA1546" i="5"/>
  <c r="Q1546" i="5"/>
  <c r="P1546" i="5"/>
  <c r="AA1545" i="5"/>
  <c r="P1545" i="5"/>
  <c r="Q1545" i="5" s="1"/>
  <c r="AA1544" i="5"/>
  <c r="Q1544" i="5"/>
  <c r="P1544" i="5"/>
  <c r="AA1543" i="5"/>
  <c r="P1543" i="5"/>
  <c r="Q1543" i="5" s="1"/>
  <c r="AA1542" i="5"/>
  <c r="Q1542" i="5"/>
  <c r="P1542" i="5"/>
  <c r="AA1541" i="5"/>
  <c r="P1541" i="5"/>
  <c r="Q1541" i="5" s="1"/>
  <c r="AA1540" i="5"/>
  <c r="P1540" i="5"/>
  <c r="Q1540" i="5" s="1"/>
  <c r="AA1539" i="5"/>
  <c r="P1539" i="5"/>
  <c r="Q1539" i="5" s="1"/>
  <c r="AA1538" i="5"/>
  <c r="P1538" i="5"/>
  <c r="Q1538" i="5" s="1"/>
  <c r="AA1537" i="5"/>
  <c r="P1537" i="5"/>
  <c r="Q1537" i="5" s="1"/>
  <c r="AA1536" i="5"/>
  <c r="P1536" i="5"/>
  <c r="Q1536" i="5" s="1"/>
  <c r="AA1535" i="5"/>
  <c r="Q1535" i="5"/>
  <c r="P1535" i="5"/>
  <c r="AA1534" i="5"/>
  <c r="Q1534" i="5"/>
  <c r="P1534" i="5"/>
  <c r="AA1533" i="5"/>
  <c r="P1533" i="5"/>
  <c r="Q1533" i="5" s="1"/>
  <c r="AA1532" i="5"/>
  <c r="P1532" i="5"/>
  <c r="Q1532" i="5" s="1"/>
  <c r="AA1531" i="5"/>
  <c r="Q1531" i="5"/>
  <c r="P1531" i="5"/>
  <c r="AA1530" i="5"/>
  <c r="P1530" i="5"/>
  <c r="Q1530" i="5" s="1"/>
  <c r="AA1529" i="5"/>
  <c r="P1529" i="5"/>
  <c r="Q1529" i="5" s="1"/>
  <c r="AA1528" i="5"/>
  <c r="P1528" i="5"/>
  <c r="Q1528" i="5" s="1"/>
  <c r="AA1527" i="5"/>
  <c r="Q1527" i="5"/>
  <c r="P1527" i="5"/>
  <c r="AA1526" i="5"/>
  <c r="P1526" i="5"/>
  <c r="Q1526" i="5" s="1"/>
  <c r="AA1525" i="5"/>
  <c r="P1525" i="5"/>
  <c r="Q1525" i="5" s="1"/>
  <c r="AA1524" i="5"/>
  <c r="P1524" i="5"/>
  <c r="Q1524" i="5" s="1"/>
  <c r="AA1523" i="5"/>
  <c r="P1523" i="5"/>
  <c r="Q1523" i="5" s="1"/>
  <c r="AA1522" i="5"/>
  <c r="P1522" i="5"/>
  <c r="Q1522" i="5" s="1"/>
  <c r="AA1521" i="5"/>
  <c r="Q1521" i="5"/>
  <c r="P1521" i="5"/>
  <c r="AA1520" i="5"/>
  <c r="P1520" i="5"/>
  <c r="Q1520" i="5" s="1"/>
  <c r="AA1519" i="5"/>
  <c r="P1519" i="5"/>
  <c r="Q1519" i="5" s="1"/>
  <c r="AA1518" i="5"/>
  <c r="P1518" i="5"/>
  <c r="Q1518" i="5" s="1"/>
  <c r="AA1517" i="5"/>
  <c r="P1517" i="5"/>
  <c r="Q1517" i="5" s="1"/>
  <c r="AA1516" i="5"/>
  <c r="Q1516" i="5"/>
  <c r="P1516" i="5"/>
  <c r="AA1515" i="5"/>
  <c r="P1515" i="5"/>
  <c r="Q1515" i="5" s="1"/>
  <c r="AA1514" i="5"/>
  <c r="P1514" i="5"/>
  <c r="Q1514" i="5" s="1"/>
  <c r="AA1513" i="5"/>
  <c r="P1513" i="5"/>
  <c r="Q1513" i="5" s="1"/>
  <c r="AA1512" i="5"/>
  <c r="P1512" i="5"/>
  <c r="Q1512" i="5" s="1"/>
  <c r="AA1511" i="5"/>
  <c r="P1511" i="5"/>
  <c r="Q1511" i="5" s="1"/>
  <c r="AA1510" i="5"/>
  <c r="P1510" i="5"/>
  <c r="Q1510" i="5" s="1"/>
  <c r="AA1509" i="5"/>
  <c r="P1509" i="5"/>
  <c r="Q1509" i="5" s="1"/>
  <c r="AA1508" i="5"/>
  <c r="P1508" i="5"/>
  <c r="Q1508" i="5" s="1"/>
  <c r="AA1507" i="5"/>
  <c r="P1507" i="5"/>
  <c r="Q1507" i="5" s="1"/>
  <c r="AA1506" i="5"/>
  <c r="P1506" i="5"/>
  <c r="Q1506" i="5" s="1"/>
  <c r="AA1505" i="5"/>
  <c r="P1505" i="5"/>
  <c r="Q1505" i="5" s="1"/>
  <c r="AA1504" i="5"/>
  <c r="P1504" i="5"/>
  <c r="Q1504" i="5" s="1"/>
  <c r="AA1503" i="5"/>
  <c r="P1503" i="5"/>
  <c r="Q1503" i="5" s="1"/>
  <c r="AA1502" i="5"/>
  <c r="P1502" i="5"/>
  <c r="Q1502" i="5" s="1"/>
  <c r="AA1501" i="5"/>
  <c r="P1501" i="5"/>
  <c r="Q1501" i="5" s="1"/>
  <c r="AA1500" i="5"/>
  <c r="P1500" i="5"/>
  <c r="Q1500" i="5" s="1"/>
  <c r="AA1499" i="5"/>
  <c r="P1499" i="5"/>
  <c r="Q1499" i="5" s="1"/>
  <c r="AA1498" i="5"/>
  <c r="P1498" i="5"/>
  <c r="Q1498" i="5" s="1"/>
  <c r="AA1497" i="5"/>
  <c r="P1497" i="5"/>
  <c r="Q1497" i="5" s="1"/>
  <c r="AA1496" i="5"/>
  <c r="P1496" i="5"/>
  <c r="Q1496" i="5" s="1"/>
  <c r="AA1495" i="5"/>
  <c r="P1495" i="5"/>
  <c r="Q1495" i="5" s="1"/>
  <c r="AA1494" i="5"/>
  <c r="P1494" i="5"/>
  <c r="Q1494" i="5" s="1"/>
  <c r="AA1493" i="5"/>
  <c r="P1493" i="5"/>
  <c r="Q1493" i="5" s="1"/>
  <c r="AA1492" i="5"/>
  <c r="P1492" i="5"/>
  <c r="Q1492" i="5" s="1"/>
  <c r="AA1491" i="5"/>
  <c r="Q1491" i="5"/>
  <c r="P1491" i="5"/>
  <c r="AA1490" i="5"/>
  <c r="Q1490" i="5"/>
  <c r="P1490" i="5"/>
  <c r="AA1489" i="5"/>
  <c r="Q1489" i="5"/>
  <c r="P1489" i="5"/>
  <c r="AA1488" i="5"/>
  <c r="P1488" i="5"/>
  <c r="Q1488" i="5" s="1"/>
  <c r="AA1487" i="5"/>
  <c r="P1487" i="5"/>
  <c r="Q1487" i="5" s="1"/>
  <c r="AA1486" i="5"/>
  <c r="P1486" i="5"/>
  <c r="Q1486" i="5" s="1"/>
  <c r="AA1485" i="5"/>
  <c r="Q1485" i="5"/>
  <c r="P1485" i="5"/>
  <c r="AA1484" i="5"/>
  <c r="Q1484" i="5"/>
  <c r="P1484" i="5"/>
  <c r="AA1483" i="5"/>
  <c r="P1483" i="5"/>
  <c r="Q1483" i="5" s="1"/>
  <c r="AA1482" i="5"/>
  <c r="Q1482" i="5"/>
  <c r="P1482" i="5"/>
  <c r="AA1481" i="5"/>
  <c r="P1481" i="5"/>
  <c r="Q1481" i="5" s="1"/>
  <c r="AA1480" i="5"/>
  <c r="P1480" i="5"/>
  <c r="Q1480" i="5" s="1"/>
  <c r="AA1479" i="5"/>
  <c r="P1479" i="5"/>
  <c r="Q1479" i="5" s="1"/>
  <c r="AA1478" i="5"/>
  <c r="P1478" i="5"/>
  <c r="Q1478" i="5" s="1"/>
  <c r="AA1477" i="5"/>
  <c r="P1477" i="5"/>
  <c r="Q1477" i="5" s="1"/>
  <c r="AA1476" i="5"/>
  <c r="P1476" i="5"/>
  <c r="Q1476" i="5" s="1"/>
  <c r="AA1475" i="5"/>
  <c r="P1475" i="5"/>
  <c r="Q1475" i="5" s="1"/>
  <c r="AA1474" i="5"/>
  <c r="P1474" i="5"/>
  <c r="Q1474" i="5" s="1"/>
  <c r="AA1473" i="5"/>
  <c r="Q1473" i="5"/>
  <c r="P1473" i="5"/>
  <c r="AA1472" i="5"/>
  <c r="P1472" i="5"/>
  <c r="Q1472" i="5" s="1"/>
  <c r="AA1471" i="5"/>
  <c r="P1471" i="5"/>
  <c r="Q1471" i="5" s="1"/>
  <c r="AA1470" i="5"/>
  <c r="P1470" i="5"/>
  <c r="Q1470" i="5" s="1"/>
  <c r="AA1469" i="5"/>
  <c r="Q1469" i="5"/>
  <c r="P1469" i="5"/>
  <c r="AA1468" i="5"/>
  <c r="P1468" i="5"/>
  <c r="Q1468" i="5" s="1"/>
  <c r="AA1467" i="5"/>
  <c r="P1467" i="5"/>
  <c r="Q1467" i="5" s="1"/>
  <c r="AA1466" i="5"/>
  <c r="P1466" i="5"/>
  <c r="Q1466" i="5" s="1"/>
  <c r="AA1465" i="5"/>
  <c r="P1465" i="5"/>
  <c r="Q1465" i="5" s="1"/>
  <c r="AA1464" i="5"/>
  <c r="P1464" i="5"/>
  <c r="Q1464" i="5" s="1"/>
  <c r="AA1463" i="5"/>
  <c r="P1463" i="5"/>
  <c r="Q1463" i="5" s="1"/>
  <c r="AA1462" i="5"/>
  <c r="P1462" i="5"/>
  <c r="Q1462" i="5" s="1"/>
  <c r="AA1461" i="5"/>
  <c r="Q1461" i="5"/>
  <c r="P1461" i="5"/>
  <c r="AA1460" i="5"/>
  <c r="Q1460" i="5"/>
  <c r="P1460" i="5"/>
  <c r="AA1459" i="5"/>
  <c r="P1459" i="5"/>
  <c r="Q1459" i="5" s="1"/>
  <c r="AA1458" i="5"/>
  <c r="P1458" i="5"/>
  <c r="Q1458" i="5" s="1"/>
  <c r="AA1457" i="5"/>
  <c r="P1457" i="5"/>
  <c r="Q1457" i="5" s="1"/>
  <c r="AA1456" i="5"/>
  <c r="P1456" i="5"/>
  <c r="Q1456" i="5" s="1"/>
  <c r="AA1455" i="5"/>
  <c r="P1455" i="5"/>
  <c r="Q1455" i="5" s="1"/>
  <c r="AA1454" i="5"/>
  <c r="P1454" i="5"/>
  <c r="Q1454" i="5" s="1"/>
  <c r="AA1453" i="5"/>
  <c r="Q1453" i="5"/>
  <c r="P1453" i="5"/>
  <c r="AA1452" i="5"/>
  <c r="P1452" i="5"/>
  <c r="Q1452" i="5" s="1"/>
  <c r="AA1451" i="5"/>
  <c r="P1451" i="5"/>
  <c r="Q1451" i="5" s="1"/>
  <c r="AA1450" i="5"/>
  <c r="P1450" i="5"/>
  <c r="Q1450" i="5" s="1"/>
  <c r="AA1449" i="5"/>
  <c r="Q1449" i="5"/>
  <c r="P1449" i="5"/>
  <c r="AA1448" i="5"/>
  <c r="P1448" i="5"/>
  <c r="Q1448" i="5" s="1"/>
  <c r="AA1447" i="5"/>
  <c r="P1447" i="5"/>
  <c r="Q1447" i="5" s="1"/>
  <c r="AA1446" i="5"/>
  <c r="Q1446" i="5"/>
  <c r="P1446" i="5"/>
  <c r="AA1445" i="5"/>
  <c r="P1445" i="5"/>
  <c r="Q1445" i="5" s="1"/>
  <c r="AA1444" i="5"/>
  <c r="P1444" i="5"/>
  <c r="Q1444" i="5" s="1"/>
  <c r="AA1443" i="5"/>
  <c r="Q1443" i="5"/>
  <c r="P1443" i="5"/>
  <c r="AA1442" i="5"/>
  <c r="P1442" i="5"/>
  <c r="Q1442" i="5" s="1"/>
  <c r="AA1441" i="5"/>
  <c r="P1441" i="5"/>
  <c r="Q1441" i="5" s="1"/>
  <c r="AA1440" i="5"/>
  <c r="P1440" i="5"/>
  <c r="Q1440" i="5" s="1"/>
  <c r="AA1439" i="5"/>
  <c r="P1439" i="5"/>
  <c r="Q1439" i="5" s="1"/>
  <c r="AA1438" i="5"/>
  <c r="P1438" i="5"/>
  <c r="Q1438" i="5" s="1"/>
  <c r="AA1437" i="5"/>
  <c r="Q1437" i="5"/>
  <c r="P1437" i="5"/>
  <c r="AA1436" i="5"/>
  <c r="P1436" i="5"/>
  <c r="Q1436" i="5" s="1"/>
  <c r="AA1435" i="5"/>
  <c r="P1435" i="5"/>
  <c r="Q1435" i="5" s="1"/>
  <c r="AA1434" i="5"/>
  <c r="P1434" i="5"/>
  <c r="Q1434" i="5" s="1"/>
  <c r="AA1433" i="5"/>
  <c r="P1433" i="5"/>
  <c r="Q1433" i="5" s="1"/>
  <c r="AA1432" i="5"/>
  <c r="P1432" i="5"/>
  <c r="Q1432" i="5" s="1"/>
  <c r="AA1431" i="5"/>
  <c r="P1431" i="5"/>
  <c r="Q1431" i="5" s="1"/>
  <c r="AA1430" i="5"/>
  <c r="P1430" i="5"/>
  <c r="Q1430" i="5" s="1"/>
  <c r="AA1429" i="5"/>
  <c r="P1429" i="5"/>
  <c r="Q1429" i="5" s="1"/>
  <c r="AA1428" i="5"/>
  <c r="P1428" i="5"/>
  <c r="Q1428" i="5" s="1"/>
  <c r="AA1427" i="5"/>
  <c r="P1427" i="5"/>
  <c r="Q1427" i="5" s="1"/>
  <c r="AA1426" i="5"/>
  <c r="P1426" i="5"/>
  <c r="Q1426" i="5" s="1"/>
  <c r="AA1425" i="5"/>
  <c r="P1425" i="5"/>
  <c r="Q1425" i="5" s="1"/>
  <c r="AA1424" i="5"/>
  <c r="P1424" i="5"/>
  <c r="Q1424" i="5" s="1"/>
  <c r="AA1423" i="5"/>
  <c r="P1423" i="5"/>
  <c r="Q1423" i="5" s="1"/>
  <c r="AA1422" i="5"/>
  <c r="P1422" i="5"/>
  <c r="Q1422" i="5" s="1"/>
  <c r="AA1421" i="5"/>
  <c r="P1421" i="5"/>
  <c r="Q1421" i="5" s="1"/>
  <c r="AA1420" i="5"/>
  <c r="P1420" i="5"/>
  <c r="Q1420" i="5" s="1"/>
  <c r="AA1419" i="5"/>
  <c r="Q1419" i="5"/>
  <c r="P1419" i="5"/>
  <c r="AA1418" i="5"/>
  <c r="P1418" i="5"/>
  <c r="Q1418" i="5" s="1"/>
  <c r="AA1417" i="5"/>
  <c r="P1417" i="5"/>
  <c r="Q1417" i="5" s="1"/>
  <c r="AA1416" i="5"/>
  <c r="P1416" i="5"/>
  <c r="Q1416" i="5" s="1"/>
  <c r="AA1415" i="5"/>
  <c r="P1415" i="5"/>
  <c r="Q1415" i="5" s="1"/>
  <c r="AA1414" i="5"/>
  <c r="P1414" i="5"/>
  <c r="Q1414" i="5" s="1"/>
  <c r="AA1413" i="5"/>
  <c r="P1413" i="5"/>
  <c r="Q1413" i="5" s="1"/>
  <c r="AA1412" i="5"/>
  <c r="Q1412" i="5"/>
  <c r="P1412" i="5"/>
  <c r="AA1411" i="5"/>
  <c r="P1411" i="5"/>
  <c r="Q1411" i="5" s="1"/>
  <c r="AA1410" i="5"/>
  <c r="P1410" i="5"/>
  <c r="Q1410" i="5" s="1"/>
  <c r="AA1409" i="5"/>
  <c r="Q1409" i="5"/>
  <c r="P1409" i="5"/>
  <c r="AA1408" i="5"/>
  <c r="P1408" i="5"/>
  <c r="Q1408" i="5" s="1"/>
  <c r="AA1407" i="5"/>
  <c r="P1407" i="5"/>
  <c r="Q1407" i="5" s="1"/>
  <c r="AA1406" i="5"/>
  <c r="P1406" i="5"/>
  <c r="Q1406" i="5" s="1"/>
  <c r="AA1405" i="5"/>
  <c r="P1405" i="5"/>
  <c r="Q1405" i="5" s="1"/>
  <c r="AA1404" i="5"/>
  <c r="P1404" i="5"/>
  <c r="Q1404" i="5" s="1"/>
  <c r="AA1403" i="5"/>
  <c r="P1403" i="5"/>
  <c r="Q1403" i="5" s="1"/>
  <c r="AA1402" i="5"/>
  <c r="P1402" i="5"/>
  <c r="Q1402" i="5" s="1"/>
  <c r="AA1401" i="5"/>
  <c r="P1401" i="5"/>
  <c r="Q1401" i="5" s="1"/>
  <c r="AA1400" i="5"/>
  <c r="P1400" i="5"/>
  <c r="Q1400" i="5" s="1"/>
  <c r="AA1399" i="5"/>
  <c r="P1399" i="5"/>
  <c r="Q1399" i="5" s="1"/>
  <c r="AA1398" i="5"/>
  <c r="Q1398" i="5"/>
  <c r="P1398" i="5"/>
  <c r="AA1397" i="5"/>
  <c r="P1397" i="5"/>
  <c r="Q1397" i="5" s="1"/>
  <c r="AA1396" i="5"/>
  <c r="P1396" i="5"/>
  <c r="Q1396" i="5" s="1"/>
  <c r="AA1395" i="5"/>
  <c r="P1395" i="5"/>
  <c r="Q1395" i="5" s="1"/>
  <c r="AA1394" i="5"/>
  <c r="P1394" i="5"/>
  <c r="Q1394" i="5" s="1"/>
  <c r="AA1393" i="5"/>
  <c r="P1393" i="5"/>
  <c r="Q1393" i="5" s="1"/>
  <c r="AA1392" i="5"/>
  <c r="P1392" i="5"/>
  <c r="Q1392" i="5" s="1"/>
  <c r="AA1391" i="5"/>
  <c r="Q1391" i="5"/>
  <c r="P1391" i="5"/>
  <c r="AA1390" i="5"/>
  <c r="Q1390" i="5"/>
  <c r="P1390" i="5"/>
  <c r="AA1389" i="5"/>
  <c r="Q1389" i="5"/>
  <c r="P1389" i="5"/>
  <c r="AA1388" i="5"/>
  <c r="Q1388" i="5"/>
  <c r="P1388" i="5"/>
  <c r="AA1387" i="5"/>
  <c r="P1387" i="5"/>
  <c r="Q1387" i="5" s="1"/>
  <c r="AA1386" i="5"/>
  <c r="P1386" i="5"/>
  <c r="Q1386" i="5" s="1"/>
  <c r="AA1385" i="5"/>
  <c r="P1385" i="5"/>
  <c r="Q1385" i="5" s="1"/>
  <c r="AA1384" i="5"/>
  <c r="Q1384" i="5"/>
  <c r="P1384" i="5"/>
  <c r="AA1383" i="5"/>
  <c r="Q1383" i="5"/>
  <c r="P1383" i="5"/>
  <c r="AA1382" i="5"/>
  <c r="Q1382" i="5"/>
  <c r="P1382" i="5"/>
  <c r="AA1381" i="5"/>
  <c r="P1381" i="5"/>
  <c r="Q1381" i="5" s="1"/>
  <c r="AA1380" i="5"/>
  <c r="P1380" i="5"/>
  <c r="Q1380" i="5" s="1"/>
  <c r="AA1379" i="5"/>
  <c r="P1379" i="5"/>
  <c r="Q1379" i="5" s="1"/>
  <c r="AA1378" i="5"/>
  <c r="P1378" i="5"/>
  <c r="Q1378" i="5" s="1"/>
  <c r="AA1377" i="5"/>
  <c r="P1377" i="5"/>
  <c r="Q1377" i="5" s="1"/>
  <c r="AA1376" i="5"/>
  <c r="P1376" i="5"/>
  <c r="Q1376" i="5" s="1"/>
  <c r="AA1375" i="5"/>
  <c r="P1375" i="5"/>
  <c r="Q1375" i="5" s="1"/>
  <c r="AA1374" i="5"/>
  <c r="P1374" i="5"/>
  <c r="Q1374" i="5" s="1"/>
  <c r="AA1373" i="5"/>
  <c r="P1373" i="5"/>
  <c r="Q1373" i="5" s="1"/>
  <c r="AA1372" i="5"/>
  <c r="Q1372" i="5"/>
  <c r="P1372" i="5"/>
  <c r="AA1371" i="5"/>
  <c r="Q1371" i="5"/>
  <c r="P1371" i="5"/>
  <c r="AA1370" i="5"/>
  <c r="Q1370" i="5"/>
  <c r="P1370" i="5"/>
  <c r="AA1369" i="5"/>
  <c r="P1369" i="5"/>
  <c r="Q1369" i="5" s="1"/>
  <c r="AA1368" i="5"/>
  <c r="P1368" i="5"/>
  <c r="Q1368" i="5" s="1"/>
  <c r="AA1367" i="5"/>
  <c r="P1367" i="5"/>
  <c r="Q1367" i="5" s="1"/>
  <c r="AA1366" i="5"/>
  <c r="P1366" i="5"/>
  <c r="Q1366" i="5" s="1"/>
  <c r="AA1365" i="5"/>
  <c r="P1365" i="5"/>
  <c r="Q1365" i="5" s="1"/>
  <c r="AA1364" i="5"/>
  <c r="P1364" i="5"/>
  <c r="Q1364" i="5" s="1"/>
  <c r="AA1363" i="5"/>
  <c r="Q1363" i="5"/>
  <c r="P1363" i="5"/>
  <c r="AA1362" i="5"/>
  <c r="P1362" i="5"/>
  <c r="Q1362" i="5" s="1"/>
  <c r="AA1361" i="5"/>
  <c r="P1361" i="5"/>
  <c r="Q1361" i="5" s="1"/>
  <c r="AA1360" i="5"/>
  <c r="P1360" i="5"/>
  <c r="Q1360" i="5" s="1"/>
  <c r="AA1359" i="5"/>
  <c r="Q1359" i="5"/>
  <c r="P1359" i="5"/>
  <c r="AA1358" i="5"/>
  <c r="P1358" i="5"/>
  <c r="Q1358" i="5" s="1"/>
  <c r="AA1357" i="5"/>
  <c r="P1357" i="5"/>
  <c r="Q1357" i="5" s="1"/>
  <c r="AA1356" i="5"/>
  <c r="P1356" i="5"/>
  <c r="Q1356" i="5" s="1"/>
  <c r="AA1355" i="5"/>
  <c r="Q1355" i="5"/>
  <c r="P1355" i="5"/>
  <c r="AA1354" i="5"/>
  <c r="P1354" i="5"/>
  <c r="Q1354" i="5" s="1"/>
  <c r="AA1353" i="5"/>
  <c r="Q1353" i="5"/>
  <c r="P1353" i="5"/>
  <c r="AA1352" i="5"/>
  <c r="Q1352" i="5"/>
  <c r="P1352" i="5"/>
  <c r="AA1351" i="5"/>
  <c r="Q1351" i="5"/>
  <c r="P1351" i="5"/>
  <c r="AA1350" i="5"/>
  <c r="P1350" i="5"/>
  <c r="Q1350" i="5" s="1"/>
  <c r="AA1349" i="5"/>
  <c r="Q1349" i="5"/>
  <c r="P1349" i="5"/>
  <c r="AA1348" i="5"/>
  <c r="P1348" i="5"/>
  <c r="Q1348" i="5" s="1"/>
  <c r="AA1347" i="5"/>
  <c r="P1347" i="5"/>
  <c r="Q1347" i="5" s="1"/>
  <c r="AA1346" i="5"/>
  <c r="P1346" i="5"/>
  <c r="Q1346" i="5" s="1"/>
  <c r="AA1345" i="5"/>
  <c r="P1345" i="5"/>
  <c r="Q1345" i="5" s="1"/>
  <c r="AA1344" i="5"/>
  <c r="P1344" i="5"/>
  <c r="Q1344" i="5" s="1"/>
  <c r="AA1343" i="5"/>
  <c r="P1343" i="5"/>
  <c r="Q1343" i="5" s="1"/>
  <c r="AA1342" i="5"/>
  <c r="P1342" i="5"/>
  <c r="Q1342" i="5" s="1"/>
  <c r="AA1341" i="5"/>
  <c r="P1341" i="5"/>
  <c r="Q1341" i="5" s="1"/>
  <c r="AA1340" i="5"/>
  <c r="Q1340" i="5"/>
  <c r="P1340" i="5"/>
  <c r="AA1339" i="5"/>
  <c r="P1339" i="5"/>
  <c r="Q1339" i="5" s="1"/>
  <c r="AA1338" i="5"/>
  <c r="P1338" i="5"/>
  <c r="Q1338" i="5" s="1"/>
  <c r="AA1337" i="5"/>
  <c r="Q1337" i="5"/>
  <c r="P1337" i="5"/>
  <c r="AA1336" i="5"/>
  <c r="P1336" i="5"/>
  <c r="Q1336" i="5" s="1"/>
  <c r="AA1335" i="5"/>
  <c r="P1335" i="5"/>
  <c r="Q1335" i="5" s="1"/>
  <c r="AA1334" i="5"/>
  <c r="P1334" i="5"/>
  <c r="Q1334" i="5" s="1"/>
  <c r="AA1333" i="5"/>
  <c r="P1333" i="5"/>
  <c r="Q1333" i="5" s="1"/>
  <c r="AA1332" i="5"/>
  <c r="P1332" i="5"/>
  <c r="Q1332" i="5" s="1"/>
  <c r="AA1331" i="5"/>
  <c r="Q1331" i="5"/>
  <c r="P1331" i="5"/>
  <c r="AA1330" i="5"/>
  <c r="P1330" i="5"/>
  <c r="Q1330" i="5" s="1"/>
  <c r="AA1329" i="5"/>
  <c r="P1329" i="5"/>
  <c r="Q1329" i="5" s="1"/>
  <c r="AA1328" i="5"/>
  <c r="P1328" i="5"/>
  <c r="Q1328" i="5" s="1"/>
  <c r="AA1327" i="5"/>
  <c r="P1327" i="5"/>
  <c r="Q1327" i="5" s="1"/>
  <c r="AA1326" i="5"/>
  <c r="P1326" i="5"/>
  <c r="Q1326" i="5" s="1"/>
  <c r="AA1325" i="5"/>
  <c r="P1325" i="5"/>
  <c r="Q1325" i="5" s="1"/>
  <c r="AA1324" i="5"/>
  <c r="Q1324" i="5"/>
  <c r="P1324" i="5"/>
  <c r="AA1323" i="5"/>
  <c r="Q1323" i="5"/>
  <c r="P1323" i="5"/>
  <c r="AA1322" i="5"/>
  <c r="P1322" i="5"/>
  <c r="Q1322" i="5" s="1"/>
  <c r="AA1321" i="5"/>
  <c r="P1321" i="5"/>
  <c r="Q1321" i="5" s="1"/>
  <c r="AA1320" i="5"/>
  <c r="Q1320" i="5"/>
  <c r="P1320" i="5"/>
  <c r="AA1319" i="5"/>
  <c r="P1319" i="5"/>
  <c r="Q1319" i="5" s="1"/>
  <c r="AA1318" i="5"/>
  <c r="P1318" i="5"/>
  <c r="Q1318" i="5" s="1"/>
  <c r="AA1317" i="5"/>
  <c r="Q1317" i="5"/>
  <c r="P1317" i="5"/>
  <c r="AA1316" i="5"/>
  <c r="P1316" i="5"/>
  <c r="Q1316" i="5" s="1"/>
  <c r="AA1315" i="5"/>
  <c r="P1315" i="5"/>
  <c r="Q1315" i="5" s="1"/>
  <c r="AA1314" i="5"/>
  <c r="P1314" i="5"/>
  <c r="Q1314" i="5" s="1"/>
  <c r="AA1313" i="5"/>
  <c r="Q1313" i="5"/>
  <c r="P1313" i="5"/>
  <c r="AA1312" i="5"/>
  <c r="P1312" i="5"/>
  <c r="Q1312" i="5" s="1"/>
  <c r="AA1311" i="5"/>
  <c r="Q1311" i="5"/>
  <c r="P1311" i="5"/>
  <c r="AA1310" i="5"/>
  <c r="Q1310" i="5"/>
  <c r="P1310" i="5"/>
  <c r="AA1309" i="5"/>
  <c r="P1309" i="5"/>
  <c r="Q1309" i="5" s="1"/>
  <c r="AA1308" i="5"/>
  <c r="P1308" i="5"/>
  <c r="Q1308" i="5" s="1"/>
  <c r="AA1307" i="5"/>
  <c r="Q1307" i="5"/>
  <c r="P1307" i="5"/>
  <c r="AA1306" i="5"/>
  <c r="P1306" i="5"/>
  <c r="Q1306" i="5" s="1"/>
  <c r="AA1305" i="5"/>
  <c r="P1305" i="5"/>
  <c r="Q1305" i="5" s="1"/>
  <c r="AA1304" i="5"/>
  <c r="P1304" i="5"/>
  <c r="Q1304" i="5" s="1"/>
  <c r="AA1303" i="5"/>
  <c r="Q1303" i="5"/>
  <c r="P1303" i="5"/>
  <c r="AA1302" i="5"/>
  <c r="Q1302" i="5"/>
  <c r="P1302" i="5"/>
  <c r="AA1301" i="5"/>
  <c r="Q1301" i="5"/>
  <c r="P1301" i="5"/>
  <c r="AA1300" i="5"/>
  <c r="Q1300" i="5"/>
  <c r="P1300" i="5"/>
  <c r="AA1299" i="5"/>
  <c r="Q1299" i="5"/>
  <c r="P1299" i="5"/>
  <c r="AA1298" i="5"/>
  <c r="P1298" i="5"/>
  <c r="Q1298" i="5" s="1"/>
  <c r="AA1297" i="5"/>
  <c r="P1297" i="5"/>
  <c r="Q1297" i="5" s="1"/>
  <c r="AA1296" i="5"/>
  <c r="P1296" i="5"/>
  <c r="Q1296" i="5" s="1"/>
  <c r="AA1295" i="5"/>
  <c r="P1295" i="5"/>
  <c r="Q1295" i="5" s="1"/>
  <c r="AA1294" i="5"/>
  <c r="P1294" i="5"/>
  <c r="Q1294" i="5" s="1"/>
  <c r="AA1293" i="5"/>
  <c r="Q1293" i="5"/>
  <c r="P1293" i="5"/>
  <c r="AA1292" i="5"/>
  <c r="P1292" i="5"/>
  <c r="Q1292" i="5" s="1"/>
  <c r="AA1291" i="5"/>
  <c r="Q1291" i="5"/>
  <c r="P1291" i="5"/>
  <c r="AA1290" i="5"/>
  <c r="P1290" i="5"/>
  <c r="Q1290" i="5" s="1"/>
  <c r="AA1289" i="5"/>
  <c r="Q1289" i="5"/>
  <c r="P1289" i="5"/>
  <c r="AA1288" i="5"/>
  <c r="P1288" i="5"/>
  <c r="Q1288" i="5" s="1"/>
  <c r="AA1287" i="5"/>
  <c r="P1287" i="5"/>
  <c r="Q1287" i="5" s="1"/>
  <c r="AA1286" i="5"/>
  <c r="P1286" i="5"/>
  <c r="Q1286" i="5" s="1"/>
  <c r="AA1285" i="5"/>
  <c r="Q1285" i="5"/>
  <c r="P1285" i="5"/>
  <c r="AA1284" i="5"/>
  <c r="P1284" i="5"/>
  <c r="Q1284" i="5" s="1"/>
  <c r="AA1283" i="5"/>
  <c r="Q1283" i="5"/>
  <c r="P1283" i="5"/>
  <c r="AA1282" i="5"/>
  <c r="P1282" i="5"/>
  <c r="Q1282" i="5" s="1"/>
  <c r="AA1281" i="5"/>
  <c r="P1281" i="5"/>
  <c r="Q1281" i="5" s="1"/>
  <c r="AA1280" i="5"/>
  <c r="P1280" i="5"/>
  <c r="Q1280" i="5" s="1"/>
  <c r="AA1279" i="5"/>
  <c r="Q1279" i="5"/>
  <c r="P1279" i="5"/>
  <c r="AA1278" i="5"/>
  <c r="P1278" i="5"/>
  <c r="Q1278" i="5" s="1"/>
  <c r="AA1277" i="5"/>
  <c r="Q1277" i="5"/>
  <c r="P1277" i="5"/>
  <c r="AA1276" i="5"/>
  <c r="P1276" i="5"/>
  <c r="Q1276" i="5" s="1"/>
  <c r="AA1275" i="5"/>
  <c r="P1275" i="5"/>
  <c r="Q1275" i="5" s="1"/>
  <c r="AA1274" i="5"/>
  <c r="P1274" i="5"/>
  <c r="Q1274" i="5" s="1"/>
  <c r="AA1273" i="5"/>
  <c r="P1273" i="5"/>
  <c r="Q1273" i="5" s="1"/>
  <c r="AA1272" i="5"/>
  <c r="P1272" i="5"/>
  <c r="Q1272" i="5" s="1"/>
  <c r="AA1271" i="5"/>
  <c r="P1271" i="5"/>
  <c r="Q1271" i="5" s="1"/>
  <c r="AA1270" i="5"/>
  <c r="P1270" i="5"/>
  <c r="Q1270" i="5" s="1"/>
  <c r="AA1269" i="5"/>
  <c r="P1269" i="5"/>
  <c r="Q1269" i="5" s="1"/>
  <c r="AA1268" i="5"/>
  <c r="P1268" i="5"/>
  <c r="Q1268" i="5" s="1"/>
  <c r="AA1267" i="5"/>
  <c r="P1267" i="5"/>
  <c r="Q1267" i="5" s="1"/>
  <c r="AA1266" i="5"/>
  <c r="P1266" i="5"/>
  <c r="Q1266" i="5" s="1"/>
  <c r="AA1265" i="5"/>
  <c r="Q1265" i="5"/>
  <c r="P1265" i="5"/>
  <c r="AA1264" i="5"/>
  <c r="P1264" i="5"/>
  <c r="Q1264" i="5" s="1"/>
  <c r="AA1263" i="5"/>
  <c r="Q1263" i="5"/>
  <c r="P1263" i="5"/>
  <c r="AA1262" i="5"/>
  <c r="Q1262" i="5"/>
  <c r="P1262" i="5"/>
  <c r="AA1261" i="5"/>
  <c r="Q1261" i="5"/>
  <c r="P1261" i="5"/>
  <c r="AA1260" i="5"/>
  <c r="P1260" i="5"/>
  <c r="Q1260" i="5" s="1"/>
  <c r="AA1259" i="5"/>
  <c r="Q1259" i="5"/>
  <c r="P1259" i="5"/>
  <c r="AA1258" i="5"/>
  <c r="P1258" i="5"/>
  <c r="Q1258" i="5" s="1"/>
  <c r="AA1257" i="5"/>
  <c r="P1257" i="5"/>
  <c r="Q1257" i="5" s="1"/>
  <c r="AA1256" i="5"/>
  <c r="P1256" i="5"/>
  <c r="Q1256" i="5" s="1"/>
  <c r="AA1255" i="5"/>
  <c r="P1255" i="5"/>
  <c r="Q1255" i="5" s="1"/>
  <c r="AA1254" i="5"/>
  <c r="P1254" i="5"/>
  <c r="Q1254" i="5" s="1"/>
  <c r="AA1253" i="5"/>
  <c r="P1253" i="5"/>
  <c r="Q1253" i="5" s="1"/>
  <c r="AA1252" i="5"/>
  <c r="Q1252" i="5"/>
  <c r="P1252" i="5"/>
  <c r="AA1251" i="5"/>
  <c r="Q1251" i="5"/>
  <c r="P1251" i="5"/>
  <c r="AA1250" i="5"/>
  <c r="P1250" i="5"/>
  <c r="Q1250" i="5" s="1"/>
  <c r="AA1249" i="5"/>
  <c r="P1249" i="5"/>
  <c r="Q1249" i="5" s="1"/>
  <c r="AA1248" i="5"/>
  <c r="P1248" i="5"/>
  <c r="Q1248" i="5" s="1"/>
  <c r="AA1247" i="5"/>
  <c r="P1247" i="5"/>
  <c r="Q1247" i="5" s="1"/>
  <c r="AA1246" i="5"/>
  <c r="P1246" i="5"/>
  <c r="Q1246" i="5" s="1"/>
  <c r="AA1245" i="5"/>
  <c r="P1245" i="5"/>
  <c r="Q1245" i="5" s="1"/>
  <c r="AA1244" i="5"/>
  <c r="P1244" i="5"/>
  <c r="Q1244" i="5" s="1"/>
  <c r="AA1243" i="5"/>
  <c r="Q1243" i="5"/>
  <c r="P1243" i="5"/>
  <c r="AA1242" i="5"/>
  <c r="P1242" i="5"/>
  <c r="Q1242" i="5" s="1"/>
  <c r="AA1241" i="5"/>
  <c r="P1241" i="5"/>
  <c r="Q1241" i="5" s="1"/>
  <c r="AA1240" i="5"/>
  <c r="P1240" i="5"/>
  <c r="Q1240" i="5" s="1"/>
  <c r="AA1239" i="5"/>
  <c r="Q1239" i="5"/>
  <c r="P1239" i="5"/>
  <c r="AA1238" i="5"/>
  <c r="P1238" i="5"/>
  <c r="Q1238" i="5" s="1"/>
  <c r="AA1237" i="5"/>
  <c r="Q1237" i="5"/>
  <c r="P1237" i="5"/>
  <c r="AA1236" i="5"/>
  <c r="P1236" i="5"/>
  <c r="Q1236" i="5" s="1"/>
  <c r="AA1235" i="5"/>
  <c r="P1235" i="5"/>
  <c r="Q1235" i="5" s="1"/>
  <c r="AA1234" i="5"/>
  <c r="P1234" i="5"/>
  <c r="Q1234" i="5" s="1"/>
  <c r="AA1233" i="5"/>
  <c r="Q1233" i="5"/>
  <c r="P1233" i="5"/>
  <c r="AA1232" i="5"/>
  <c r="P1232" i="5"/>
  <c r="Q1232" i="5" s="1"/>
  <c r="AA1231" i="5"/>
  <c r="P1231" i="5"/>
  <c r="Q1231" i="5" s="1"/>
  <c r="AA1230" i="5"/>
  <c r="Q1230" i="5"/>
  <c r="P1230" i="5"/>
  <c r="AA1229" i="5"/>
  <c r="P1229" i="5"/>
  <c r="Q1229" i="5" s="1"/>
  <c r="AA1228" i="5"/>
  <c r="Q1228" i="5"/>
  <c r="P1228" i="5"/>
  <c r="AA1227" i="5"/>
  <c r="P1227" i="5"/>
  <c r="Q1227" i="5" s="1"/>
  <c r="AA1226" i="5"/>
  <c r="Q1226" i="5"/>
  <c r="P1226" i="5"/>
  <c r="AA1225" i="5"/>
  <c r="P1225" i="5"/>
  <c r="Q1225" i="5" s="1"/>
  <c r="AA1224" i="5"/>
  <c r="P1224" i="5"/>
  <c r="Q1224" i="5" s="1"/>
  <c r="AA1223" i="5"/>
  <c r="P1223" i="5"/>
  <c r="Q1223" i="5" s="1"/>
  <c r="AA1222" i="5"/>
  <c r="P1222" i="5"/>
  <c r="Q1222" i="5" s="1"/>
  <c r="AA1221" i="5"/>
  <c r="P1221" i="5"/>
  <c r="Q1221" i="5" s="1"/>
  <c r="AA1220" i="5"/>
  <c r="P1220" i="5"/>
  <c r="Q1220" i="5" s="1"/>
  <c r="AA1219" i="5"/>
  <c r="P1219" i="5"/>
  <c r="Q1219" i="5" s="1"/>
  <c r="AA1218" i="5"/>
  <c r="P1218" i="5"/>
  <c r="Q1218" i="5" s="1"/>
  <c r="AA1217" i="5"/>
  <c r="P1217" i="5"/>
  <c r="Q1217" i="5" s="1"/>
  <c r="AA1216" i="5"/>
  <c r="P1216" i="5"/>
  <c r="Q1216" i="5" s="1"/>
  <c r="AA1215" i="5"/>
  <c r="Q1215" i="5"/>
  <c r="P1215" i="5"/>
  <c r="AA1214" i="5"/>
  <c r="Q1214" i="5"/>
  <c r="P1214" i="5"/>
  <c r="AA1213" i="5"/>
  <c r="P1213" i="5"/>
  <c r="Q1213" i="5" s="1"/>
  <c r="AA1212" i="5"/>
  <c r="P1212" i="5"/>
  <c r="Q1212" i="5" s="1"/>
  <c r="AA1211" i="5"/>
  <c r="P1211" i="5"/>
  <c r="Q1211" i="5" s="1"/>
  <c r="AA1210" i="5"/>
  <c r="P1210" i="5"/>
  <c r="Q1210" i="5" s="1"/>
  <c r="AA1209" i="5"/>
  <c r="P1209" i="5"/>
  <c r="Q1209" i="5" s="1"/>
  <c r="AA1208" i="5"/>
  <c r="Q1208" i="5"/>
  <c r="P1208" i="5"/>
  <c r="AA1207" i="5"/>
  <c r="Q1207" i="5"/>
  <c r="P1207" i="5"/>
  <c r="AA1206" i="5"/>
  <c r="P1206" i="5"/>
  <c r="Q1206" i="5" s="1"/>
  <c r="AA1205" i="5"/>
  <c r="P1205" i="5"/>
  <c r="Q1205" i="5" s="1"/>
  <c r="AA1204" i="5"/>
  <c r="P1204" i="5"/>
  <c r="Q1204" i="5" s="1"/>
  <c r="AA1203" i="5"/>
  <c r="Q1203" i="5"/>
  <c r="P1203" i="5"/>
  <c r="AA1202" i="5"/>
  <c r="P1202" i="5"/>
  <c r="Q1202" i="5" s="1"/>
  <c r="AA1201" i="5"/>
  <c r="P1201" i="5"/>
  <c r="Q1201" i="5" s="1"/>
  <c r="AA1200" i="5"/>
  <c r="P1200" i="5"/>
  <c r="Q1200" i="5" s="1"/>
  <c r="AA1199" i="5"/>
  <c r="P1199" i="5"/>
  <c r="Q1199" i="5" s="1"/>
  <c r="AA1198" i="5"/>
  <c r="P1198" i="5"/>
  <c r="Q1198" i="5" s="1"/>
  <c r="AA1197" i="5"/>
  <c r="P1197" i="5"/>
  <c r="Q1197" i="5" s="1"/>
  <c r="AA1196" i="5"/>
  <c r="P1196" i="5"/>
  <c r="Q1196" i="5" s="1"/>
  <c r="AA1195" i="5"/>
  <c r="P1195" i="5"/>
  <c r="Q1195" i="5" s="1"/>
  <c r="AA1194" i="5"/>
  <c r="P1194" i="5"/>
  <c r="Q1194" i="5" s="1"/>
  <c r="AA1193" i="5"/>
  <c r="Q1193" i="5"/>
  <c r="P1193" i="5"/>
  <c r="AA1192" i="5"/>
  <c r="P1192" i="5"/>
  <c r="Q1192" i="5" s="1"/>
  <c r="AA1191" i="5"/>
  <c r="Q1191" i="5"/>
  <c r="P1191" i="5"/>
  <c r="AA1190" i="5"/>
  <c r="P1190" i="5"/>
  <c r="Q1190" i="5" s="1"/>
  <c r="AA1189" i="5"/>
  <c r="P1189" i="5"/>
  <c r="Q1189" i="5" s="1"/>
  <c r="AA1188" i="5"/>
  <c r="P1188" i="5"/>
  <c r="Q1188" i="5" s="1"/>
  <c r="AA1187" i="5"/>
  <c r="P1187" i="5"/>
  <c r="Q1187" i="5" s="1"/>
  <c r="AA1186" i="5"/>
  <c r="P1186" i="5"/>
  <c r="Q1186" i="5" s="1"/>
  <c r="AA1185" i="5"/>
  <c r="P1185" i="5"/>
  <c r="Q1185" i="5" s="1"/>
  <c r="AA1184" i="5"/>
  <c r="P1184" i="5"/>
  <c r="Q1184" i="5" s="1"/>
  <c r="AA1183" i="5"/>
  <c r="Q1183" i="5"/>
  <c r="P1183" i="5"/>
  <c r="AA1182" i="5"/>
  <c r="Q1182" i="5"/>
  <c r="P1182" i="5"/>
  <c r="AA1181" i="5"/>
  <c r="Q1181" i="5"/>
  <c r="P1181" i="5"/>
  <c r="AA1180" i="5"/>
  <c r="P1180" i="5"/>
  <c r="Q1180" i="5" s="1"/>
  <c r="AA1179" i="5"/>
  <c r="P1179" i="5"/>
  <c r="Q1179" i="5" s="1"/>
  <c r="AA1178" i="5"/>
  <c r="P1178" i="5"/>
  <c r="Q1178" i="5" s="1"/>
  <c r="AA1177" i="5"/>
  <c r="P1177" i="5"/>
  <c r="Q1177" i="5" s="1"/>
  <c r="AA1176" i="5"/>
  <c r="Q1176" i="5"/>
  <c r="P1176" i="5"/>
  <c r="AA1175" i="5"/>
  <c r="P1175" i="5"/>
  <c r="Q1175" i="5" s="1"/>
  <c r="AA1174" i="5"/>
  <c r="Q1174" i="5"/>
  <c r="P1174" i="5"/>
  <c r="AA1173" i="5"/>
  <c r="Q1173" i="5"/>
  <c r="P1173" i="5"/>
  <c r="AA1172" i="5"/>
  <c r="P1172" i="5"/>
  <c r="Q1172" i="5" s="1"/>
  <c r="AA1171" i="5"/>
  <c r="P1171" i="5"/>
  <c r="Q1171" i="5" s="1"/>
  <c r="AA1170" i="5"/>
  <c r="Q1170" i="5"/>
  <c r="P1170" i="5"/>
  <c r="AA1169" i="5"/>
  <c r="P1169" i="5"/>
  <c r="Q1169" i="5" s="1"/>
  <c r="AA1168" i="5"/>
  <c r="P1168" i="5"/>
  <c r="Q1168" i="5" s="1"/>
  <c r="AA1167" i="5"/>
  <c r="P1167" i="5"/>
  <c r="Q1167" i="5" s="1"/>
  <c r="AA1166" i="5"/>
  <c r="Q1166" i="5"/>
  <c r="P1166" i="5"/>
  <c r="AA1165" i="5"/>
  <c r="P1165" i="5"/>
  <c r="Q1165" i="5" s="1"/>
  <c r="AA1164" i="5"/>
  <c r="Q1164" i="5"/>
  <c r="P1164" i="5"/>
  <c r="AA1163" i="5"/>
  <c r="P1163" i="5"/>
  <c r="Q1163" i="5" s="1"/>
  <c r="AA1162" i="5"/>
  <c r="Q1162" i="5"/>
  <c r="P1162" i="5"/>
  <c r="AA1161" i="5"/>
  <c r="P1161" i="5"/>
  <c r="Q1161" i="5" s="1"/>
  <c r="AA1160" i="5"/>
  <c r="P1160" i="5"/>
  <c r="Q1160" i="5" s="1"/>
  <c r="AA1159" i="5"/>
  <c r="P1159" i="5"/>
  <c r="Q1159" i="5" s="1"/>
  <c r="AA1158" i="5"/>
  <c r="Q1158" i="5"/>
  <c r="P1158" i="5"/>
  <c r="AA1157" i="5"/>
  <c r="P1157" i="5"/>
  <c r="Q1157" i="5" s="1"/>
  <c r="AA1156" i="5"/>
  <c r="Q1156" i="5"/>
  <c r="P1156" i="5"/>
  <c r="AA1155" i="5"/>
  <c r="Q1155" i="5"/>
  <c r="P1155" i="5"/>
  <c r="AA1154" i="5"/>
  <c r="P1154" i="5"/>
  <c r="Q1154" i="5" s="1"/>
  <c r="AA1153" i="5"/>
  <c r="P1153" i="5"/>
  <c r="Q1153" i="5" s="1"/>
  <c r="AA1152" i="5"/>
  <c r="P1152" i="5"/>
  <c r="Q1152" i="5" s="1"/>
  <c r="AA1151" i="5"/>
  <c r="P1151" i="5"/>
  <c r="Q1151" i="5" s="1"/>
  <c r="AA1150" i="5"/>
  <c r="P1150" i="5"/>
  <c r="Q1150" i="5" s="1"/>
  <c r="AA1149" i="5"/>
  <c r="P1149" i="5"/>
  <c r="Q1149" i="5" s="1"/>
  <c r="AA1148" i="5"/>
  <c r="P1148" i="5"/>
  <c r="Q1148" i="5" s="1"/>
  <c r="AA1147" i="5"/>
  <c r="Q1147" i="5"/>
  <c r="P1147" i="5"/>
  <c r="AA1146" i="5"/>
  <c r="P1146" i="5"/>
  <c r="Q1146" i="5" s="1"/>
  <c r="AA1145" i="5"/>
  <c r="P1145" i="5"/>
  <c r="Q1145" i="5" s="1"/>
  <c r="AA1144" i="5"/>
  <c r="Q1144" i="5"/>
  <c r="P1144" i="5"/>
  <c r="AA1143" i="5"/>
  <c r="P1143" i="5"/>
  <c r="Q1143" i="5" s="1"/>
  <c r="AA1142" i="5"/>
  <c r="Q1142" i="5"/>
  <c r="P1142" i="5"/>
  <c r="AA1141" i="5"/>
  <c r="Q1141" i="5"/>
  <c r="P1141" i="5"/>
  <c r="AA1140" i="5"/>
  <c r="P1140" i="5"/>
  <c r="Q1140" i="5" s="1"/>
  <c r="AA1139" i="5"/>
  <c r="P1139" i="5"/>
  <c r="Q1139" i="5" s="1"/>
  <c r="AA1138" i="5"/>
  <c r="P1138" i="5"/>
  <c r="Q1138" i="5" s="1"/>
  <c r="AA1137" i="5"/>
  <c r="P1137" i="5"/>
  <c r="Q1137" i="5" s="1"/>
  <c r="AA1136" i="5"/>
  <c r="P1136" i="5"/>
  <c r="Q1136" i="5" s="1"/>
  <c r="AA1135" i="5"/>
  <c r="P1135" i="5"/>
  <c r="Q1135" i="5" s="1"/>
  <c r="AA1134" i="5"/>
  <c r="Q1134" i="5"/>
  <c r="P1134" i="5"/>
  <c r="AA1133" i="5"/>
  <c r="Q1133" i="5"/>
  <c r="P1133" i="5"/>
  <c r="AA1132" i="5"/>
  <c r="Q1132" i="5"/>
  <c r="P1132" i="5"/>
  <c r="AA1131" i="5"/>
  <c r="P1131" i="5"/>
  <c r="Q1131" i="5" s="1"/>
  <c r="AA1130" i="5"/>
  <c r="Q1130" i="5"/>
  <c r="P1130" i="5"/>
  <c r="AA1129" i="5"/>
  <c r="P1129" i="5"/>
  <c r="Q1129" i="5" s="1"/>
  <c r="AA1128" i="5"/>
  <c r="Q1128" i="5"/>
  <c r="P1128" i="5"/>
  <c r="AA1127" i="5"/>
  <c r="Q1127" i="5"/>
  <c r="P1127" i="5"/>
  <c r="AA1126" i="5"/>
  <c r="Q1126" i="5"/>
  <c r="P1126" i="5"/>
  <c r="AA1125" i="5"/>
  <c r="P1125" i="5"/>
  <c r="Q1125" i="5" s="1"/>
  <c r="AA1124" i="5"/>
  <c r="P1124" i="5"/>
  <c r="Q1124" i="5" s="1"/>
  <c r="AA1123" i="5"/>
  <c r="P1123" i="5"/>
  <c r="Q1123" i="5" s="1"/>
  <c r="AA1122" i="5"/>
  <c r="P1122" i="5"/>
  <c r="Q1122" i="5" s="1"/>
  <c r="AA1121" i="5"/>
  <c r="P1121" i="5"/>
  <c r="Q1121" i="5" s="1"/>
  <c r="AA1120" i="5"/>
  <c r="P1120" i="5"/>
  <c r="Q1120" i="5" s="1"/>
  <c r="AA1119" i="5"/>
  <c r="P1119" i="5"/>
  <c r="Q1119" i="5" s="1"/>
  <c r="AA1118" i="5"/>
  <c r="P1118" i="5"/>
  <c r="Q1118" i="5" s="1"/>
  <c r="AA1117" i="5"/>
  <c r="P1117" i="5"/>
  <c r="Q1117" i="5" s="1"/>
  <c r="AA1116" i="5"/>
  <c r="P1116" i="5"/>
  <c r="Q1116" i="5" s="1"/>
  <c r="AA1115" i="5"/>
  <c r="P1115" i="5"/>
  <c r="Q1115" i="5" s="1"/>
  <c r="AA1114" i="5"/>
  <c r="P1114" i="5"/>
  <c r="Q1114" i="5" s="1"/>
  <c r="AA1113" i="5"/>
  <c r="Q1113" i="5"/>
  <c r="P1113" i="5"/>
  <c r="AA1112" i="5"/>
  <c r="P1112" i="5"/>
  <c r="Q1112" i="5" s="1"/>
  <c r="AA1111" i="5"/>
  <c r="P1111" i="5"/>
  <c r="Q1111" i="5" s="1"/>
  <c r="AA1110" i="5"/>
  <c r="P1110" i="5"/>
  <c r="Q1110" i="5" s="1"/>
  <c r="AA1109" i="5"/>
  <c r="Q1109" i="5"/>
  <c r="P1109" i="5"/>
  <c r="AA1108" i="5"/>
  <c r="P1108" i="5"/>
  <c r="Q1108" i="5" s="1"/>
  <c r="AA1107" i="5"/>
  <c r="Q1107" i="5"/>
  <c r="P1107" i="5"/>
  <c r="AA1106" i="5"/>
  <c r="P1106" i="5"/>
  <c r="Q1106" i="5" s="1"/>
  <c r="AA1105" i="5"/>
  <c r="P1105" i="5"/>
  <c r="Q1105" i="5" s="1"/>
  <c r="AA1104" i="5"/>
  <c r="P1104" i="5"/>
  <c r="Q1104" i="5" s="1"/>
  <c r="AA1103" i="5"/>
  <c r="P1103" i="5"/>
  <c r="Q1103" i="5" s="1"/>
  <c r="AA1102" i="5"/>
  <c r="Q1102" i="5"/>
  <c r="P1102" i="5"/>
  <c r="AA1101" i="5"/>
  <c r="P1101" i="5"/>
  <c r="Q1101" i="5" s="1"/>
  <c r="AA1100" i="5"/>
  <c r="P1100" i="5"/>
  <c r="Q1100" i="5" s="1"/>
  <c r="AA1099" i="5"/>
  <c r="P1099" i="5"/>
  <c r="Q1099" i="5" s="1"/>
  <c r="AA1098" i="5"/>
  <c r="Q1098" i="5"/>
  <c r="P1098" i="5"/>
  <c r="AA1097" i="5"/>
  <c r="P1097" i="5"/>
  <c r="Q1097" i="5" s="1"/>
  <c r="AA1096" i="5"/>
  <c r="P1096" i="5"/>
  <c r="Q1096" i="5" s="1"/>
  <c r="AA1095" i="5"/>
  <c r="P1095" i="5"/>
  <c r="Q1095" i="5" s="1"/>
  <c r="AA1094" i="5"/>
  <c r="P1094" i="5"/>
  <c r="Q1094" i="5" s="1"/>
  <c r="AA1093" i="5"/>
  <c r="P1093" i="5"/>
  <c r="Q1093" i="5" s="1"/>
  <c r="AA1092" i="5"/>
  <c r="P1092" i="5"/>
  <c r="Q1092" i="5" s="1"/>
  <c r="AA1091" i="5"/>
  <c r="P1091" i="5"/>
  <c r="Q1091" i="5" s="1"/>
  <c r="AA1090" i="5"/>
  <c r="Q1090" i="5"/>
  <c r="P1090" i="5"/>
  <c r="AA1089" i="5"/>
  <c r="Q1089" i="5"/>
  <c r="P1089" i="5"/>
  <c r="AA1088" i="5"/>
  <c r="P1088" i="5"/>
  <c r="Q1088" i="5" s="1"/>
  <c r="AA1087" i="5"/>
  <c r="P1087" i="5"/>
  <c r="Q1087" i="5" s="1"/>
  <c r="AA1086" i="5"/>
  <c r="Q1086" i="5"/>
  <c r="P1086" i="5"/>
  <c r="AA1085" i="5"/>
  <c r="Q1085" i="5"/>
  <c r="P1085" i="5"/>
  <c r="AA1084" i="5"/>
  <c r="Q1084" i="5"/>
  <c r="P1084" i="5"/>
  <c r="AA1083" i="5"/>
  <c r="Q1083" i="5"/>
  <c r="P1083" i="5"/>
  <c r="AA1082" i="5"/>
  <c r="Q1082" i="5"/>
  <c r="P1082" i="5"/>
  <c r="AA1081" i="5"/>
  <c r="Q1081" i="5"/>
  <c r="P1081" i="5"/>
  <c r="AA1080" i="5"/>
  <c r="P1080" i="5"/>
  <c r="Q1080" i="5" s="1"/>
  <c r="AA1079" i="5"/>
  <c r="P1079" i="5"/>
  <c r="Q1079" i="5" s="1"/>
  <c r="AA1078" i="5"/>
  <c r="P1078" i="5"/>
  <c r="Q1078" i="5" s="1"/>
  <c r="AA1077" i="5"/>
  <c r="P1077" i="5"/>
  <c r="Q1077" i="5" s="1"/>
  <c r="AA1076" i="5"/>
  <c r="P1076" i="5"/>
  <c r="Q1076" i="5" s="1"/>
  <c r="AA1075" i="5"/>
  <c r="P1075" i="5"/>
  <c r="Q1075" i="5" s="1"/>
  <c r="AA1074" i="5"/>
  <c r="P1074" i="5"/>
  <c r="Q1074" i="5" s="1"/>
  <c r="AA1073" i="5"/>
  <c r="P1073" i="5"/>
  <c r="Q1073" i="5" s="1"/>
  <c r="AA1072" i="5"/>
  <c r="P1072" i="5"/>
  <c r="Q1072" i="5" s="1"/>
  <c r="AA1071" i="5"/>
  <c r="P1071" i="5"/>
  <c r="Q1071" i="5" s="1"/>
  <c r="AA1070" i="5"/>
  <c r="P1070" i="5"/>
  <c r="Q1070" i="5" s="1"/>
  <c r="AA1069" i="5"/>
  <c r="P1069" i="5"/>
  <c r="Q1069" i="5" s="1"/>
  <c r="AA1068" i="5"/>
  <c r="Q1068" i="5"/>
  <c r="P1068" i="5"/>
  <c r="AA1067" i="5"/>
  <c r="P1067" i="5"/>
  <c r="Q1067" i="5" s="1"/>
  <c r="AA1066" i="5"/>
  <c r="P1066" i="5"/>
  <c r="Q1066" i="5" s="1"/>
  <c r="AA1065" i="5"/>
  <c r="P1065" i="5"/>
  <c r="Q1065" i="5" s="1"/>
  <c r="AA1064" i="5"/>
  <c r="Q1064" i="5"/>
  <c r="P1064" i="5"/>
  <c r="AA1063" i="5"/>
  <c r="P1063" i="5"/>
  <c r="Q1063" i="5" s="1"/>
  <c r="AA1062" i="5"/>
  <c r="P1062" i="5"/>
  <c r="Q1062" i="5" s="1"/>
  <c r="AA1061" i="5"/>
  <c r="P1061" i="5"/>
  <c r="Q1061" i="5" s="1"/>
  <c r="AA1060" i="5"/>
  <c r="P1060" i="5"/>
  <c r="Q1060" i="5" s="1"/>
  <c r="AA1059" i="5"/>
  <c r="P1059" i="5"/>
  <c r="Q1059" i="5" s="1"/>
  <c r="AA1058" i="5"/>
  <c r="Q1058" i="5"/>
  <c r="P1058" i="5"/>
  <c r="AA1057" i="5"/>
  <c r="Q1057" i="5"/>
  <c r="P1057" i="5"/>
  <c r="AA1056" i="5"/>
  <c r="P1056" i="5"/>
  <c r="Q1056" i="5" s="1"/>
  <c r="AA1055" i="5"/>
  <c r="P1055" i="5"/>
  <c r="Q1055" i="5" s="1"/>
  <c r="AA1054" i="5"/>
  <c r="Q1054" i="5"/>
  <c r="P1054" i="5"/>
  <c r="AA1053" i="5"/>
  <c r="P1053" i="5"/>
  <c r="Q1053" i="5" s="1"/>
  <c r="AA1052" i="5"/>
  <c r="P1052" i="5"/>
  <c r="Q1052" i="5" s="1"/>
  <c r="AA1051" i="5"/>
  <c r="P1051" i="5"/>
  <c r="Q1051" i="5" s="1"/>
  <c r="AA1050" i="5"/>
  <c r="P1050" i="5"/>
  <c r="Q1050" i="5" s="1"/>
  <c r="AA1049" i="5"/>
  <c r="P1049" i="5"/>
  <c r="Q1049" i="5" s="1"/>
  <c r="AA1048" i="5"/>
  <c r="Q1048" i="5"/>
  <c r="P1048" i="5"/>
  <c r="AA1047" i="5"/>
  <c r="P1047" i="5"/>
  <c r="Q1047" i="5" s="1"/>
  <c r="AA1046" i="5"/>
  <c r="Q1046" i="5"/>
  <c r="P1046" i="5"/>
  <c r="AA1045" i="5"/>
  <c r="Q1045" i="5"/>
  <c r="P1045" i="5"/>
  <c r="AA1044" i="5"/>
  <c r="P1044" i="5"/>
  <c r="Q1044" i="5" s="1"/>
  <c r="AA1043" i="5"/>
  <c r="P1043" i="5"/>
  <c r="Q1043" i="5" s="1"/>
  <c r="AA1042" i="5"/>
  <c r="P1042" i="5"/>
  <c r="Q1042" i="5" s="1"/>
  <c r="AA1041" i="5"/>
  <c r="P1041" i="5"/>
  <c r="Q1041" i="5" s="1"/>
  <c r="AA1040" i="5"/>
  <c r="P1040" i="5"/>
  <c r="Q1040" i="5" s="1"/>
  <c r="AA1039" i="5"/>
  <c r="P1039" i="5"/>
  <c r="Q1039" i="5" s="1"/>
  <c r="AA1038" i="5"/>
  <c r="P1038" i="5"/>
  <c r="Q1038" i="5" s="1"/>
  <c r="AA1037" i="5"/>
  <c r="P1037" i="5"/>
  <c r="Q1037" i="5" s="1"/>
  <c r="AA1036" i="5"/>
  <c r="Q1036" i="5"/>
  <c r="P1036" i="5"/>
  <c r="AA1035" i="5"/>
  <c r="Q1035" i="5"/>
  <c r="P1035" i="5"/>
  <c r="AA1034" i="5"/>
  <c r="P1034" i="5"/>
  <c r="Q1034" i="5" s="1"/>
  <c r="AA1033" i="5"/>
  <c r="P1033" i="5"/>
  <c r="Q1033" i="5" s="1"/>
  <c r="AA1032" i="5"/>
  <c r="P1032" i="5"/>
  <c r="Q1032" i="5" s="1"/>
  <c r="AA1031" i="5"/>
  <c r="P1031" i="5"/>
  <c r="Q1031" i="5" s="1"/>
  <c r="AA1030" i="5"/>
  <c r="P1030" i="5"/>
  <c r="Q1030" i="5" s="1"/>
  <c r="AA1029" i="5"/>
  <c r="P1029" i="5"/>
  <c r="Q1029" i="5" s="1"/>
  <c r="AA1028" i="5"/>
  <c r="Q1028" i="5"/>
  <c r="P1028" i="5"/>
  <c r="AA1027" i="5"/>
  <c r="P1027" i="5"/>
  <c r="Q1027" i="5" s="1"/>
  <c r="AA1026" i="5"/>
  <c r="P1026" i="5"/>
  <c r="Q1026" i="5" s="1"/>
  <c r="AA1025" i="5"/>
  <c r="P1025" i="5"/>
  <c r="Q1025" i="5" s="1"/>
  <c r="AA1024" i="5"/>
  <c r="P1024" i="5"/>
  <c r="Q1024" i="5" s="1"/>
  <c r="AA1023" i="5"/>
  <c r="Q1023" i="5"/>
  <c r="P1023" i="5"/>
  <c r="AA1022" i="5"/>
  <c r="P1022" i="5"/>
  <c r="Q1022" i="5" s="1"/>
  <c r="AA1021" i="5"/>
  <c r="P1021" i="5"/>
  <c r="Q1021" i="5" s="1"/>
  <c r="AA1020" i="5"/>
  <c r="P1020" i="5"/>
  <c r="Q1020" i="5" s="1"/>
  <c r="AA1019" i="5"/>
  <c r="P1019" i="5"/>
  <c r="Q1019" i="5" s="1"/>
  <c r="AA1018" i="5"/>
  <c r="P1018" i="5"/>
  <c r="Q1018" i="5" s="1"/>
  <c r="AA1017" i="5"/>
  <c r="P1017" i="5"/>
  <c r="Q1017" i="5" s="1"/>
  <c r="AA1016" i="5"/>
  <c r="Q1016" i="5"/>
  <c r="P1016" i="5"/>
  <c r="AA1015" i="5"/>
  <c r="P1015" i="5"/>
  <c r="Q1015" i="5" s="1"/>
  <c r="AA1014" i="5"/>
  <c r="P1014" i="5"/>
  <c r="Q1014" i="5" s="1"/>
  <c r="AA1013" i="5"/>
  <c r="P1013" i="5"/>
  <c r="Q1013" i="5" s="1"/>
  <c r="AA1012" i="5"/>
  <c r="P1012" i="5"/>
  <c r="Q1012" i="5" s="1"/>
  <c r="AA1011" i="5"/>
  <c r="Q1011" i="5"/>
  <c r="P1011" i="5"/>
  <c r="AA1010" i="5"/>
  <c r="P1010" i="5"/>
  <c r="Q1010" i="5" s="1"/>
  <c r="AA1009" i="5"/>
  <c r="P1009" i="5"/>
  <c r="Q1009" i="5" s="1"/>
  <c r="AA1008" i="5"/>
  <c r="P1008" i="5"/>
  <c r="Q1008" i="5" s="1"/>
  <c r="AA1007" i="5"/>
  <c r="Q1007" i="5"/>
  <c r="P1007" i="5"/>
  <c r="AA1006" i="5"/>
  <c r="Q1006" i="5"/>
  <c r="P1006" i="5"/>
  <c r="AA1005" i="5"/>
  <c r="P1005" i="5"/>
  <c r="Q1005" i="5" s="1"/>
  <c r="AA1004" i="5"/>
  <c r="P1004" i="5"/>
  <c r="Q1004" i="5" s="1"/>
  <c r="AA1003" i="5"/>
  <c r="Q1003" i="5"/>
  <c r="P1003" i="5"/>
  <c r="AA1002" i="5"/>
  <c r="P1002" i="5"/>
  <c r="Q1002" i="5" s="1"/>
  <c r="AA1001" i="5"/>
  <c r="P1001" i="5"/>
  <c r="Q1001" i="5" s="1"/>
  <c r="AA1000" i="5"/>
  <c r="Q1000" i="5"/>
  <c r="P1000" i="5"/>
  <c r="AA999" i="5"/>
  <c r="P999" i="5"/>
  <c r="Q999" i="5" s="1"/>
  <c r="AA998" i="5"/>
  <c r="P998" i="5"/>
  <c r="Q998" i="5" s="1"/>
  <c r="AA997" i="5"/>
  <c r="P997" i="5"/>
  <c r="Q997" i="5" s="1"/>
  <c r="AA996" i="5"/>
  <c r="Q996" i="5"/>
  <c r="P996" i="5"/>
  <c r="AA995" i="5"/>
  <c r="P995" i="5"/>
  <c r="Q995" i="5" s="1"/>
  <c r="AA994" i="5"/>
  <c r="P994" i="5"/>
  <c r="Q994" i="5" s="1"/>
  <c r="AA993" i="5"/>
  <c r="P993" i="5"/>
  <c r="Q993" i="5" s="1"/>
  <c r="AA992" i="5"/>
  <c r="P992" i="5"/>
  <c r="Q992" i="5" s="1"/>
  <c r="AA991" i="5"/>
  <c r="P991" i="5"/>
  <c r="Q991" i="5" s="1"/>
  <c r="AA990" i="5"/>
  <c r="P990" i="5"/>
  <c r="Q990" i="5" s="1"/>
  <c r="AA989" i="5"/>
  <c r="P989" i="5"/>
  <c r="Q989" i="5" s="1"/>
  <c r="AA988" i="5"/>
  <c r="Q988" i="5"/>
  <c r="P988" i="5"/>
  <c r="AA987" i="5"/>
  <c r="P987" i="5"/>
  <c r="Q987" i="5" s="1"/>
  <c r="AA986" i="5"/>
  <c r="Q986" i="5"/>
  <c r="P986" i="5"/>
  <c r="AA985" i="5"/>
  <c r="P985" i="5"/>
  <c r="Q985" i="5" s="1"/>
  <c r="AA984" i="5"/>
  <c r="P984" i="5"/>
  <c r="Q984" i="5" s="1"/>
  <c r="AA983" i="5"/>
  <c r="Q983" i="5"/>
  <c r="P983" i="5"/>
  <c r="AA982" i="5"/>
  <c r="P982" i="5"/>
  <c r="Q982" i="5" s="1"/>
  <c r="AA981" i="5"/>
  <c r="P981" i="5"/>
  <c r="Q981" i="5" s="1"/>
  <c r="AA980" i="5"/>
  <c r="P980" i="5"/>
  <c r="Q980" i="5" s="1"/>
  <c r="AA979" i="5"/>
  <c r="P979" i="5"/>
  <c r="Q979" i="5" s="1"/>
  <c r="AA978" i="5"/>
  <c r="P978" i="5"/>
  <c r="Q978" i="5" s="1"/>
  <c r="AA977" i="5"/>
  <c r="P977" i="5"/>
  <c r="Q977" i="5" s="1"/>
  <c r="AA976" i="5"/>
  <c r="P976" i="5"/>
  <c r="Q976" i="5" s="1"/>
  <c r="AA975" i="5"/>
  <c r="Q975" i="5"/>
  <c r="P975" i="5"/>
  <c r="AA974" i="5"/>
  <c r="Q974" i="5"/>
  <c r="P974" i="5"/>
  <c r="AA973" i="5"/>
  <c r="P973" i="5"/>
  <c r="Q973" i="5" s="1"/>
  <c r="AA972" i="5"/>
  <c r="P972" i="5"/>
  <c r="Q972" i="5" s="1"/>
  <c r="AA971" i="5"/>
  <c r="P971" i="5"/>
  <c r="Q971" i="5" s="1"/>
  <c r="AA970" i="5"/>
  <c r="P970" i="5"/>
  <c r="Q970" i="5" s="1"/>
  <c r="AA969" i="5"/>
  <c r="P969" i="5"/>
  <c r="Q969" i="5" s="1"/>
  <c r="AA968" i="5"/>
  <c r="P968" i="5"/>
  <c r="Q968" i="5" s="1"/>
  <c r="AA967" i="5"/>
  <c r="P967" i="5"/>
  <c r="Q967" i="5" s="1"/>
  <c r="AA966" i="5"/>
  <c r="Q966" i="5"/>
  <c r="P966" i="5"/>
  <c r="AA965" i="5"/>
  <c r="P965" i="5"/>
  <c r="Q965" i="5" s="1"/>
  <c r="AA964" i="5"/>
  <c r="P964" i="5"/>
  <c r="Q964" i="5" s="1"/>
  <c r="AA963" i="5"/>
  <c r="P963" i="5"/>
  <c r="Q963" i="5" s="1"/>
  <c r="AA962" i="5"/>
  <c r="P962" i="5"/>
  <c r="Q962" i="5" s="1"/>
  <c r="AA961" i="5"/>
  <c r="P961" i="5"/>
  <c r="Q961" i="5" s="1"/>
  <c r="AA960" i="5"/>
  <c r="P960" i="5"/>
  <c r="Q960" i="5" s="1"/>
  <c r="AA959" i="5"/>
  <c r="P959" i="5"/>
  <c r="Q959" i="5" s="1"/>
  <c r="AA958" i="5"/>
  <c r="P958" i="5"/>
  <c r="Q958" i="5" s="1"/>
  <c r="AA957" i="5"/>
  <c r="Q957" i="5"/>
  <c r="P957" i="5"/>
  <c r="AA956" i="5"/>
  <c r="P956" i="5"/>
  <c r="Q956" i="5" s="1"/>
  <c r="AA955" i="5"/>
  <c r="Q955" i="5"/>
  <c r="P955" i="5"/>
  <c r="AA954" i="5"/>
  <c r="P954" i="5"/>
  <c r="Q954" i="5" s="1"/>
  <c r="AA953" i="5"/>
  <c r="P953" i="5"/>
  <c r="Q953" i="5" s="1"/>
  <c r="AA952" i="5"/>
  <c r="P952" i="5"/>
  <c r="Q952" i="5" s="1"/>
  <c r="AA951" i="5"/>
  <c r="Q951" i="5"/>
  <c r="P951" i="5"/>
  <c r="AA950" i="5"/>
  <c r="Q950" i="5"/>
  <c r="P950" i="5"/>
  <c r="AA949" i="5"/>
  <c r="P949" i="5"/>
  <c r="Q949" i="5" s="1"/>
  <c r="AA948" i="5"/>
  <c r="P948" i="5"/>
  <c r="Q948" i="5" s="1"/>
  <c r="AA947" i="5"/>
  <c r="P947" i="5"/>
  <c r="Q947" i="5" s="1"/>
  <c r="AA946" i="5"/>
  <c r="P946" i="5"/>
  <c r="Q946" i="5" s="1"/>
  <c r="AA945" i="5"/>
  <c r="P945" i="5"/>
  <c r="Q945" i="5" s="1"/>
  <c r="AA944" i="5"/>
  <c r="P944" i="5"/>
  <c r="Q944" i="5" s="1"/>
  <c r="AA943" i="5"/>
  <c r="P943" i="5"/>
  <c r="Q943" i="5" s="1"/>
  <c r="AA942" i="5"/>
  <c r="Q942" i="5"/>
  <c r="P942" i="5"/>
  <c r="AA941" i="5"/>
  <c r="P941" i="5"/>
  <c r="Q941" i="5" s="1"/>
  <c r="AA940" i="5"/>
  <c r="P940" i="5"/>
  <c r="Q940" i="5" s="1"/>
  <c r="AA939" i="5"/>
  <c r="P939" i="5"/>
  <c r="Q939" i="5" s="1"/>
  <c r="AA938" i="5"/>
  <c r="P938" i="5"/>
  <c r="Q938" i="5" s="1"/>
  <c r="AA937" i="5"/>
  <c r="P937" i="5"/>
  <c r="Q937" i="5" s="1"/>
  <c r="AA936" i="5"/>
  <c r="P936" i="5"/>
  <c r="Q936" i="5" s="1"/>
  <c r="AA935" i="5"/>
  <c r="P935" i="5"/>
  <c r="Q935" i="5" s="1"/>
  <c r="AA934" i="5"/>
  <c r="Q934" i="5"/>
  <c r="P934" i="5"/>
  <c r="AA933" i="5"/>
  <c r="P933" i="5"/>
  <c r="Q933" i="5" s="1"/>
  <c r="AA932" i="5"/>
  <c r="Q932" i="5"/>
  <c r="P932" i="5"/>
  <c r="AA931" i="5"/>
  <c r="P931" i="5"/>
  <c r="Q931" i="5" s="1"/>
  <c r="AA930" i="5"/>
  <c r="P930" i="5"/>
  <c r="Q930" i="5" s="1"/>
  <c r="AA929" i="5"/>
  <c r="P929" i="5"/>
  <c r="Q929" i="5" s="1"/>
  <c r="AA928" i="5"/>
  <c r="P928" i="5"/>
  <c r="Q928" i="5" s="1"/>
  <c r="AA927" i="5"/>
  <c r="P927" i="5"/>
  <c r="Q927" i="5" s="1"/>
  <c r="AA926" i="5"/>
  <c r="P926" i="5"/>
  <c r="Q926" i="5" s="1"/>
  <c r="AA925" i="5"/>
  <c r="P925" i="5"/>
  <c r="Q925" i="5" s="1"/>
  <c r="AA924" i="5"/>
  <c r="P924" i="5"/>
  <c r="Q924" i="5" s="1"/>
  <c r="AA923" i="5"/>
  <c r="Q923" i="5"/>
  <c r="P923" i="5"/>
  <c r="AA922" i="5"/>
  <c r="P922" i="5"/>
  <c r="Q922" i="5" s="1"/>
  <c r="AA921" i="5"/>
  <c r="P921" i="5"/>
  <c r="Q921" i="5" s="1"/>
  <c r="AA920" i="5"/>
  <c r="P920" i="5"/>
  <c r="Q920" i="5" s="1"/>
  <c r="AA919" i="5"/>
  <c r="Q919" i="5"/>
  <c r="P919" i="5"/>
  <c r="AA918" i="5"/>
  <c r="P918" i="5"/>
  <c r="Q918" i="5" s="1"/>
  <c r="AA917" i="5"/>
  <c r="P917" i="5"/>
  <c r="Q917" i="5" s="1"/>
  <c r="AA916" i="5"/>
  <c r="P916" i="5"/>
  <c r="Q916" i="5" s="1"/>
  <c r="AA915" i="5"/>
  <c r="P915" i="5"/>
  <c r="Q915" i="5" s="1"/>
  <c r="AA914" i="5"/>
  <c r="P914" i="5"/>
  <c r="Q914" i="5" s="1"/>
  <c r="AA913" i="5"/>
  <c r="P913" i="5"/>
  <c r="Q913" i="5" s="1"/>
  <c r="AA912" i="5"/>
  <c r="P912" i="5"/>
  <c r="Q912" i="5" s="1"/>
  <c r="AA911" i="5"/>
  <c r="Q911" i="5"/>
  <c r="P911" i="5"/>
  <c r="AA910" i="5"/>
  <c r="P910" i="5"/>
  <c r="Q910" i="5" s="1"/>
  <c r="AA909" i="5"/>
  <c r="Q909" i="5"/>
  <c r="P909" i="5"/>
  <c r="AA908" i="5"/>
  <c r="P908" i="5"/>
  <c r="Q908" i="5" s="1"/>
  <c r="AA907" i="5"/>
  <c r="Q907" i="5"/>
  <c r="P907" i="5"/>
  <c r="AA906" i="5"/>
  <c r="P906" i="5"/>
  <c r="Q906" i="5" s="1"/>
  <c r="AA905" i="5"/>
  <c r="P905" i="5"/>
  <c r="Q905" i="5" s="1"/>
  <c r="AA904" i="5"/>
  <c r="P904" i="5"/>
  <c r="Q904" i="5" s="1"/>
  <c r="AA903" i="5"/>
  <c r="Q903" i="5"/>
  <c r="P903" i="5"/>
  <c r="AA902" i="5"/>
  <c r="P902" i="5"/>
  <c r="Q902" i="5" s="1"/>
  <c r="AA901" i="5"/>
  <c r="Q901" i="5"/>
  <c r="P901" i="5"/>
  <c r="AA900" i="5"/>
  <c r="P900" i="5"/>
  <c r="Q900" i="5" s="1"/>
  <c r="AA899" i="5"/>
  <c r="Q899" i="5"/>
  <c r="P899" i="5"/>
  <c r="AA898" i="5"/>
  <c r="Q898" i="5"/>
  <c r="P898" i="5"/>
  <c r="AA897" i="5"/>
  <c r="Q897" i="5"/>
  <c r="P897" i="5"/>
  <c r="AA896" i="5"/>
  <c r="P896" i="5"/>
  <c r="Q896" i="5" s="1"/>
  <c r="AA895" i="5"/>
  <c r="P895" i="5"/>
  <c r="Q895" i="5" s="1"/>
  <c r="AA894" i="5"/>
  <c r="P894" i="5"/>
  <c r="Q894" i="5" s="1"/>
  <c r="AA893" i="5"/>
  <c r="P893" i="5"/>
  <c r="Q893" i="5" s="1"/>
  <c r="AA892" i="5"/>
  <c r="P892" i="5"/>
  <c r="Q892" i="5" s="1"/>
  <c r="AA891" i="5"/>
  <c r="Q891" i="5"/>
  <c r="P891" i="5"/>
  <c r="AA890" i="5"/>
  <c r="P890" i="5"/>
  <c r="Q890" i="5" s="1"/>
  <c r="AA889" i="5"/>
  <c r="P889" i="5"/>
  <c r="Q889" i="5" s="1"/>
  <c r="AA888" i="5"/>
  <c r="Q888" i="5"/>
  <c r="P888" i="5"/>
  <c r="AA887" i="5"/>
  <c r="P887" i="5"/>
  <c r="Q887" i="5" s="1"/>
  <c r="AA886" i="5"/>
  <c r="P886" i="5"/>
  <c r="Q886" i="5" s="1"/>
  <c r="AA885" i="5"/>
  <c r="P885" i="5"/>
  <c r="Q885" i="5" s="1"/>
  <c r="AA884" i="5"/>
  <c r="Q884" i="5"/>
  <c r="P884" i="5"/>
  <c r="AA883" i="5"/>
  <c r="P883" i="5"/>
  <c r="Q883" i="5" s="1"/>
  <c r="AA882" i="5"/>
  <c r="P882" i="5"/>
  <c r="Q882" i="5" s="1"/>
  <c r="AA881" i="5"/>
  <c r="P881" i="5"/>
  <c r="Q881" i="5" s="1"/>
  <c r="AA880" i="5"/>
  <c r="P880" i="5"/>
  <c r="Q880" i="5" s="1"/>
  <c r="AA879" i="5"/>
  <c r="P879" i="5"/>
  <c r="Q879" i="5" s="1"/>
  <c r="AA878" i="5"/>
  <c r="Q878" i="5"/>
  <c r="P878" i="5"/>
  <c r="AA877" i="5"/>
  <c r="P877" i="5"/>
  <c r="Q877" i="5" s="1"/>
  <c r="AA876" i="5"/>
  <c r="Q876" i="5"/>
  <c r="P876" i="5"/>
  <c r="AA875" i="5"/>
  <c r="P875" i="5"/>
  <c r="Q875" i="5" s="1"/>
  <c r="AA874" i="5"/>
  <c r="P874" i="5"/>
  <c r="Q874" i="5" s="1"/>
  <c r="AA873" i="5"/>
  <c r="P873" i="5"/>
  <c r="Q873" i="5" s="1"/>
  <c r="AA872" i="5"/>
  <c r="Q872" i="5"/>
  <c r="P872" i="5"/>
  <c r="AA871" i="5"/>
  <c r="P871" i="5"/>
  <c r="Q871" i="5" s="1"/>
  <c r="AA870" i="5"/>
  <c r="Q870" i="5"/>
  <c r="P870" i="5"/>
  <c r="AA869" i="5"/>
  <c r="P869" i="5"/>
  <c r="Q869" i="5" s="1"/>
  <c r="AA868" i="5"/>
  <c r="Q868" i="5"/>
  <c r="P868" i="5"/>
  <c r="AA867" i="5"/>
  <c r="Q867" i="5"/>
  <c r="P867" i="5"/>
  <c r="AA866" i="5"/>
  <c r="Q866" i="5"/>
  <c r="P866" i="5"/>
  <c r="AA865" i="5"/>
  <c r="Q865" i="5"/>
  <c r="P865" i="5"/>
  <c r="AA864" i="5"/>
  <c r="P864" i="5"/>
  <c r="Q864" i="5" s="1"/>
  <c r="AA863" i="5"/>
  <c r="Q863" i="5"/>
  <c r="P863" i="5"/>
  <c r="AA862" i="5"/>
  <c r="P862" i="5"/>
  <c r="Q862" i="5" s="1"/>
  <c r="AA861" i="5"/>
  <c r="Q861" i="5"/>
  <c r="P861" i="5"/>
  <c r="AA860" i="5"/>
  <c r="P860" i="5"/>
  <c r="Q860" i="5" s="1"/>
  <c r="AA859" i="5"/>
  <c r="Q859" i="5"/>
  <c r="P859" i="5"/>
  <c r="AA858" i="5"/>
  <c r="P858" i="5"/>
  <c r="Q858" i="5" s="1"/>
  <c r="AA857" i="5"/>
  <c r="P857" i="5"/>
  <c r="Q857" i="5" s="1"/>
  <c r="AA856" i="5"/>
  <c r="P856" i="5"/>
  <c r="Q856" i="5" s="1"/>
  <c r="AA855" i="5"/>
  <c r="P855" i="5"/>
  <c r="Q855" i="5" s="1"/>
  <c r="AA854" i="5"/>
  <c r="P854" i="5"/>
  <c r="Q854" i="5" s="1"/>
  <c r="AA853" i="5"/>
  <c r="P853" i="5"/>
  <c r="Q853" i="5" s="1"/>
  <c r="AA852" i="5"/>
  <c r="P852" i="5"/>
  <c r="Q852" i="5" s="1"/>
  <c r="AA851" i="5"/>
  <c r="Q851" i="5"/>
  <c r="P851" i="5"/>
  <c r="AA850" i="5"/>
  <c r="P850" i="5"/>
  <c r="Q850" i="5" s="1"/>
  <c r="AA849" i="5"/>
  <c r="Q849" i="5"/>
  <c r="P849" i="5"/>
  <c r="AA848" i="5"/>
  <c r="P848" i="5"/>
  <c r="Q848" i="5" s="1"/>
  <c r="AA847" i="5"/>
  <c r="P847" i="5"/>
  <c r="Q847" i="5" s="1"/>
  <c r="AA846" i="5"/>
  <c r="P846" i="5"/>
  <c r="Q846" i="5" s="1"/>
  <c r="AA845" i="5"/>
  <c r="P845" i="5"/>
  <c r="Q845" i="5" s="1"/>
  <c r="AA844" i="5"/>
  <c r="P844" i="5"/>
  <c r="Q844" i="5" s="1"/>
  <c r="AA843" i="5"/>
  <c r="P843" i="5"/>
  <c r="Q843" i="5" s="1"/>
  <c r="AA842" i="5"/>
  <c r="Q842" i="5"/>
  <c r="P842" i="5"/>
  <c r="AA841" i="5"/>
  <c r="P841" i="5"/>
  <c r="Q841" i="5" s="1"/>
  <c r="AA840" i="5"/>
  <c r="P840" i="5"/>
  <c r="Q840" i="5" s="1"/>
  <c r="AA839" i="5"/>
  <c r="P839" i="5"/>
  <c r="Q839" i="5" s="1"/>
  <c r="AA838" i="5"/>
  <c r="Q838" i="5"/>
  <c r="P838" i="5"/>
  <c r="AA837" i="5"/>
  <c r="P837" i="5"/>
  <c r="Q837" i="5" s="1"/>
  <c r="AA836" i="5"/>
  <c r="Q836" i="5"/>
  <c r="P836" i="5"/>
  <c r="AA835" i="5"/>
  <c r="P835" i="5"/>
  <c r="Q835" i="5" s="1"/>
  <c r="AA834" i="5"/>
  <c r="P834" i="5"/>
  <c r="Q834" i="5" s="1"/>
  <c r="AA833" i="5"/>
  <c r="P833" i="5"/>
  <c r="Q833" i="5" s="1"/>
  <c r="AA832" i="5"/>
  <c r="P832" i="5"/>
  <c r="Q832" i="5" s="1"/>
  <c r="AA831" i="5"/>
  <c r="P831" i="5"/>
  <c r="Q831" i="5" s="1"/>
  <c r="AA830" i="5"/>
  <c r="P830" i="5"/>
  <c r="Q830" i="5" s="1"/>
  <c r="AA829" i="5"/>
  <c r="P829" i="5"/>
  <c r="Q829" i="5" s="1"/>
  <c r="AA828" i="5"/>
  <c r="P828" i="5"/>
  <c r="Q828" i="5" s="1"/>
  <c r="AA827" i="5"/>
  <c r="P827" i="5"/>
  <c r="Q827" i="5" s="1"/>
  <c r="AA826" i="5"/>
  <c r="P826" i="5"/>
  <c r="Q826" i="5" s="1"/>
  <c r="AA825" i="5"/>
  <c r="P825" i="5"/>
  <c r="Q825" i="5" s="1"/>
  <c r="AA824" i="5"/>
  <c r="P824" i="5"/>
  <c r="Q824" i="5" s="1"/>
  <c r="AA823" i="5"/>
  <c r="P823" i="5"/>
  <c r="Q823" i="5" s="1"/>
  <c r="AA822" i="5"/>
  <c r="P822" i="5"/>
  <c r="Q822" i="5" s="1"/>
  <c r="AA821" i="5"/>
  <c r="P821" i="5"/>
  <c r="Q821" i="5" s="1"/>
  <c r="AA820" i="5"/>
  <c r="Q820" i="5"/>
  <c r="P820" i="5"/>
  <c r="AA819" i="5"/>
  <c r="P819" i="5"/>
  <c r="Q819" i="5" s="1"/>
  <c r="AA818" i="5"/>
  <c r="P818" i="5"/>
  <c r="Q818" i="5" s="1"/>
  <c r="AA817" i="5"/>
  <c r="Q817" i="5"/>
  <c r="P817" i="5"/>
  <c r="AA816" i="5"/>
  <c r="P816" i="5"/>
  <c r="Q816" i="5" s="1"/>
  <c r="AA815" i="5"/>
  <c r="P815" i="5"/>
  <c r="Q815" i="5" s="1"/>
  <c r="AA814" i="5"/>
  <c r="P814" i="5"/>
  <c r="Q814" i="5" s="1"/>
  <c r="AA813" i="5"/>
  <c r="Q813" i="5"/>
  <c r="P813" i="5"/>
  <c r="AA812" i="5"/>
  <c r="Q812" i="5"/>
  <c r="P812" i="5"/>
  <c r="AA811" i="5"/>
  <c r="Q811" i="5"/>
  <c r="P811" i="5"/>
  <c r="AA810" i="5"/>
  <c r="Q810" i="5"/>
  <c r="P810" i="5"/>
  <c r="AA809" i="5"/>
  <c r="P809" i="5"/>
  <c r="Q809" i="5" s="1"/>
  <c r="AA808" i="5"/>
  <c r="P808" i="5"/>
  <c r="Q808" i="5" s="1"/>
  <c r="AA807" i="5"/>
  <c r="P807" i="5"/>
  <c r="Q807" i="5" s="1"/>
  <c r="AA806" i="5"/>
  <c r="P806" i="5"/>
  <c r="Q806" i="5" s="1"/>
  <c r="AA805" i="5"/>
  <c r="P805" i="5"/>
  <c r="Q805" i="5" s="1"/>
  <c r="AA804" i="5"/>
  <c r="Q804" i="5"/>
  <c r="P804" i="5"/>
  <c r="AA803" i="5"/>
  <c r="Q803" i="5"/>
  <c r="P803" i="5"/>
  <c r="AA802" i="5"/>
  <c r="Q802" i="5"/>
  <c r="P802" i="5"/>
  <c r="AA801" i="5"/>
  <c r="P801" i="5"/>
  <c r="Q801" i="5" s="1"/>
  <c r="AA800" i="5"/>
  <c r="P800" i="5"/>
  <c r="Q800" i="5" s="1"/>
  <c r="AA799" i="5"/>
  <c r="Q799" i="5"/>
  <c r="P799" i="5"/>
  <c r="AA798" i="5"/>
  <c r="P798" i="5"/>
  <c r="Q798" i="5" s="1"/>
  <c r="AA797" i="5"/>
  <c r="P797" i="5"/>
  <c r="Q797" i="5" s="1"/>
  <c r="AA796" i="5"/>
  <c r="P796" i="5"/>
  <c r="Q796" i="5" s="1"/>
  <c r="AA795" i="5"/>
  <c r="Q795" i="5"/>
  <c r="P795" i="5"/>
  <c r="AA794" i="5"/>
  <c r="P794" i="5"/>
  <c r="Q794" i="5" s="1"/>
  <c r="AA793" i="5"/>
  <c r="P793" i="5"/>
  <c r="Q793" i="5" s="1"/>
  <c r="AA792" i="5"/>
  <c r="P792" i="5"/>
  <c r="Q792" i="5" s="1"/>
  <c r="AA791" i="5"/>
  <c r="P791" i="5"/>
  <c r="Q791" i="5" s="1"/>
  <c r="AA790" i="5"/>
  <c r="P790" i="5"/>
  <c r="Q790" i="5" s="1"/>
  <c r="AA789" i="5"/>
  <c r="P789" i="5"/>
  <c r="Q789" i="5" s="1"/>
  <c r="AA788" i="5"/>
  <c r="Q788" i="5"/>
  <c r="P788" i="5"/>
  <c r="AA787" i="5"/>
  <c r="Q787" i="5"/>
  <c r="P787" i="5"/>
  <c r="AA786" i="5"/>
  <c r="P786" i="5"/>
  <c r="Q786" i="5" s="1"/>
  <c r="AA785" i="5"/>
  <c r="P785" i="5"/>
  <c r="Q785" i="5" s="1"/>
  <c r="AA784" i="5"/>
  <c r="P784" i="5"/>
  <c r="Q784" i="5" s="1"/>
  <c r="AA783" i="5"/>
  <c r="Q783" i="5"/>
  <c r="P783" i="5"/>
  <c r="AA782" i="5"/>
  <c r="P782" i="5"/>
  <c r="Q782" i="5" s="1"/>
  <c r="AA781" i="5"/>
  <c r="P781" i="5"/>
  <c r="Q781" i="5" s="1"/>
  <c r="AA780" i="5"/>
  <c r="P780" i="5"/>
  <c r="Q780" i="5" s="1"/>
  <c r="AA779" i="5"/>
  <c r="P779" i="5"/>
  <c r="Q779" i="5" s="1"/>
  <c r="AA778" i="5"/>
  <c r="P778" i="5"/>
  <c r="Q778" i="5" s="1"/>
  <c r="AA777" i="5"/>
  <c r="P777" i="5"/>
  <c r="Q777" i="5" s="1"/>
  <c r="AA776" i="5"/>
  <c r="P776" i="5"/>
  <c r="Q776" i="5" s="1"/>
  <c r="AA775" i="5"/>
  <c r="P775" i="5"/>
  <c r="Q775" i="5" s="1"/>
  <c r="AA774" i="5"/>
  <c r="P774" i="5"/>
  <c r="Q774" i="5" s="1"/>
  <c r="AA773" i="5"/>
  <c r="P773" i="5"/>
  <c r="Q773" i="5" s="1"/>
  <c r="AA772" i="5"/>
  <c r="P772" i="5"/>
  <c r="Q772" i="5" s="1"/>
  <c r="AA771" i="5"/>
  <c r="Q771" i="5"/>
  <c r="P771" i="5"/>
  <c r="AA770" i="5"/>
  <c r="P770" i="5"/>
  <c r="Q770" i="5" s="1"/>
  <c r="AA769" i="5"/>
  <c r="Q769" i="5"/>
  <c r="P769" i="5"/>
  <c r="AA768" i="5"/>
  <c r="P768" i="5"/>
  <c r="Q768" i="5" s="1"/>
  <c r="AA767" i="5"/>
  <c r="P767" i="5"/>
  <c r="Q767" i="5" s="1"/>
  <c r="AA766" i="5"/>
  <c r="P766" i="5"/>
  <c r="Q766" i="5" s="1"/>
  <c r="AA765" i="5"/>
  <c r="P765" i="5"/>
  <c r="Q765" i="5" s="1"/>
  <c r="AA764" i="5"/>
  <c r="P764" i="5"/>
  <c r="Q764" i="5" s="1"/>
  <c r="AA763" i="5"/>
  <c r="P763" i="5"/>
  <c r="Q763" i="5" s="1"/>
  <c r="AA762" i="5"/>
  <c r="P762" i="5"/>
  <c r="Q762" i="5" s="1"/>
  <c r="AA761" i="5"/>
  <c r="P761" i="5"/>
  <c r="Q761" i="5" s="1"/>
  <c r="AA760" i="5"/>
  <c r="P760" i="5"/>
  <c r="Q760" i="5" s="1"/>
  <c r="AA759" i="5"/>
  <c r="P759" i="5"/>
  <c r="Q759" i="5" s="1"/>
  <c r="AA758" i="5"/>
  <c r="P758" i="5"/>
  <c r="Q758" i="5" s="1"/>
  <c r="AA757" i="5"/>
  <c r="P757" i="5"/>
  <c r="Q757" i="5" s="1"/>
  <c r="AA756" i="5"/>
  <c r="Q756" i="5"/>
  <c r="P756" i="5"/>
  <c r="AA755" i="5"/>
  <c r="P755" i="5"/>
  <c r="Q755" i="5" s="1"/>
  <c r="AA754" i="5"/>
  <c r="P754" i="5"/>
  <c r="Q754" i="5" s="1"/>
  <c r="AA753" i="5"/>
  <c r="P753" i="5"/>
  <c r="Q753" i="5" s="1"/>
  <c r="AA752" i="5"/>
  <c r="P752" i="5"/>
  <c r="Q752" i="5" s="1"/>
  <c r="AA751" i="5"/>
  <c r="P751" i="5"/>
  <c r="Q751" i="5" s="1"/>
  <c r="AA750" i="5"/>
  <c r="P750" i="5"/>
  <c r="Q750" i="5" s="1"/>
  <c r="AA749" i="5"/>
  <c r="P749" i="5"/>
  <c r="Q749" i="5" s="1"/>
  <c r="AA748" i="5"/>
  <c r="P748" i="5"/>
  <c r="Q748" i="5" s="1"/>
  <c r="AA747" i="5"/>
  <c r="P747" i="5"/>
  <c r="Q747" i="5" s="1"/>
  <c r="AA746" i="5"/>
  <c r="P746" i="5"/>
  <c r="Q746" i="5" s="1"/>
  <c r="AA745" i="5"/>
  <c r="P745" i="5"/>
  <c r="Q745" i="5" s="1"/>
  <c r="AA744" i="5"/>
  <c r="P744" i="5"/>
  <c r="Q744" i="5" s="1"/>
  <c r="AA743" i="5"/>
  <c r="P743" i="5"/>
  <c r="Q743" i="5" s="1"/>
  <c r="AA742" i="5"/>
  <c r="P742" i="5"/>
  <c r="Q742" i="5" s="1"/>
  <c r="AA741" i="5"/>
  <c r="P741" i="5"/>
  <c r="Q741" i="5" s="1"/>
  <c r="AA740" i="5"/>
  <c r="Q740" i="5"/>
  <c r="P740" i="5"/>
  <c r="AA739" i="5"/>
  <c r="P739" i="5"/>
  <c r="Q739" i="5" s="1"/>
  <c r="AA738" i="5"/>
  <c r="Q738" i="5"/>
  <c r="P738" i="5"/>
  <c r="AA737" i="5"/>
  <c r="P737" i="5"/>
  <c r="Q737" i="5" s="1"/>
  <c r="AA736" i="5"/>
  <c r="P736" i="5"/>
  <c r="Q736" i="5" s="1"/>
  <c r="AA735" i="5"/>
  <c r="Q735" i="5"/>
  <c r="P735" i="5"/>
  <c r="AA734" i="5"/>
  <c r="P734" i="5"/>
  <c r="Q734" i="5" s="1"/>
  <c r="AA733" i="5"/>
  <c r="P733" i="5"/>
  <c r="Q733" i="5" s="1"/>
  <c r="AA732" i="5"/>
  <c r="P732" i="5"/>
  <c r="Q732" i="5" s="1"/>
  <c r="AA731" i="5"/>
  <c r="P731" i="5"/>
  <c r="Q731" i="5" s="1"/>
  <c r="AA730" i="5"/>
  <c r="P730" i="5"/>
  <c r="Q730" i="5" s="1"/>
  <c r="AA729" i="5"/>
  <c r="P729" i="5"/>
  <c r="Q729" i="5" s="1"/>
  <c r="AA728" i="5"/>
  <c r="P728" i="5"/>
  <c r="Q728" i="5" s="1"/>
  <c r="AA727" i="5"/>
  <c r="P727" i="5"/>
  <c r="Q727" i="5" s="1"/>
  <c r="AA726" i="5"/>
  <c r="P726" i="5"/>
  <c r="Q726" i="5" s="1"/>
  <c r="AA725" i="5"/>
  <c r="Q725" i="5"/>
  <c r="P725" i="5"/>
  <c r="AA724" i="5"/>
  <c r="Q724" i="5"/>
  <c r="P724" i="5"/>
  <c r="AA723" i="5"/>
  <c r="Q723" i="5"/>
  <c r="P723" i="5"/>
  <c r="AA722" i="5"/>
  <c r="P722" i="5"/>
  <c r="Q722" i="5" s="1"/>
  <c r="AA721" i="5"/>
  <c r="P721" i="5"/>
  <c r="Q721" i="5" s="1"/>
  <c r="AA720" i="5"/>
  <c r="P720" i="5"/>
  <c r="Q720" i="5" s="1"/>
  <c r="AA719" i="5"/>
  <c r="P719" i="5"/>
  <c r="Q719" i="5" s="1"/>
  <c r="AA718" i="5"/>
  <c r="P718" i="5"/>
  <c r="Q718" i="5" s="1"/>
  <c r="AA717" i="5"/>
  <c r="P717" i="5"/>
  <c r="Q717" i="5" s="1"/>
  <c r="AA716" i="5"/>
  <c r="P716" i="5"/>
  <c r="Q716" i="5" s="1"/>
  <c r="AA715" i="5"/>
  <c r="P715" i="5"/>
  <c r="Q715" i="5" s="1"/>
  <c r="AA714" i="5"/>
  <c r="P714" i="5"/>
  <c r="Q714" i="5" s="1"/>
  <c r="AA713" i="5"/>
  <c r="P713" i="5"/>
  <c r="Q713" i="5" s="1"/>
  <c r="AA712" i="5"/>
  <c r="P712" i="5"/>
  <c r="Q712" i="5" s="1"/>
  <c r="AA711" i="5"/>
  <c r="Q711" i="5"/>
  <c r="P711" i="5"/>
  <c r="AA710" i="5"/>
  <c r="Q710" i="5"/>
  <c r="P710" i="5"/>
  <c r="AA709" i="5"/>
  <c r="P709" i="5"/>
  <c r="Q709" i="5" s="1"/>
  <c r="AA708" i="5"/>
  <c r="P708" i="5"/>
  <c r="Q708" i="5" s="1"/>
  <c r="AA707" i="5"/>
  <c r="P707" i="5"/>
  <c r="Q707" i="5" s="1"/>
  <c r="AA706" i="5"/>
  <c r="P706" i="5"/>
  <c r="Q706" i="5" s="1"/>
  <c r="AA705" i="5"/>
  <c r="P705" i="5"/>
  <c r="Q705" i="5" s="1"/>
  <c r="AA704" i="5"/>
  <c r="P704" i="5"/>
  <c r="Q704" i="5" s="1"/>
  <c r="AA703" i="5"/>
  <c r="P703" i="5"/>
  <c r="Q703" i="5" s="1"/>
  <c r="AA702" i="5"/>
  <c r="Q702" i="5"/>
  <c r="P702" i="5"/>
  <c r="AA701" i="5"/>
  <c r="P701" i="5"/>
  <c r="Q701" i="5" s="1"/>
  <c r="AA700" i="5"/>
  <c r="P700" i="5"/>
  <c r="Q700" i="5" s="1"/>
  <c r="AA699" i="5"/>
  <c r="P699" i="5"/>
  <c r="Q699" i="5" s="1"/>
  <c r="AA698" i="5"/>
  <c r="P698" i="5"/>
  <c r="Q698" i="5" s="1"/>
  <c r="AA697" i="5"/>
  <c r="P697" i="5"/>
  <c r="Q697" i="5" s="1"/>
  <c r="AA696" i="5"/>
  <c r="Q696" i="5"/>
  <c r="P696" i="5"/>
  <c r="AA695" i="5"/>
  <c r="Q695" i="5"/>
  <c r="P695" i="5"/>
  <c r="AA694" i="5"/>
  <c r="Q694" i="5"/>
  <c r="P694" i="5"/>
  <c r="AA693" i="5"/>
  <c r="Q693" i="5"/>
  <c r="P693" i="5"/>
  <c r="AA692" i="5"/>
  <c r="Q692" i="5"/>
  <c r="P692" i="5"/>
  <c r="AA691" i="5"/>
  <c r="P691" i="5"/>
  <c r="Q691" i="5" s="1"/>
  <c r="AA690" i="5"/>
  <c r="P690" i="5"/>
  <c r="Q690" i="5" s="1"/>
  <c r="AA689" i="5"/>
  <c r="Q689" i="5"/>
  <c r="P689" i="5"/>
  <c r="AA688" i="5"/>
  <c r="P688" i="5"/>
  <c r="Q688" i="5" s="1"/>
  <c r="AA687" i="5"/>
  <c r="P687" i="5"/>
  <c r="Q687" i="5" s="1"/>
  <c r="AA686" i="5"/>
  <c r="P686" i="5"/>
  <c r="Q686" i="5" s="1"/>
  <c r="AA685" i="5"/>
  <c r="Q685" i="5"/>
  <c r="P685" i="5"/>
  <c r="AA684" i="5"/>
  <c r="P684" i="5"/>
  <c r="Q684" i="5" s="1"/>
  <c r="AA683" i="5"/>
  <c r="Q683" i="5"/>
  <c r="P683" i="5"/>
  <c r="AA682" i="5"/>
  <c r="P682" i="5"/>
  <c r="Q682" i="5" s="1"/>
  <c r="AA681" i="5"/>
  <c r="P681" i="5"/>
  <c r="Q681" i="5" s="1"/>
  <c r="AA680" i="5"/>
  <c r="P680" i="5"/>
  <c r="Q680" i="5" s="1"/>
  <c r="AA679" i="5"/>
  <c r="P679" i="5"/>
  <c r="Q679" i="5" s="1"/>
  <c r="AA678" i="5"/>
  <c r="P678" i="5"/>
  <c r="Q678" i="5" s="1"/>
  <c r="AA677" i="5"/>
  <c r="P677" i="5"/>
  <c r="Q677" i="5" s="1"/>
  <c r="AA676" i="5"/>
  <c r="Q676" i="5"/>
  <c r="P676" i="5"/>
  <c r="AA675" i="5"/>
  <c r="P675" i="5"/>
  <c r="Q675" i="5" s="1"/>
  <c r="AA674" i="5"/>
  <c r="Q674" i="5"/>
  <c r="P674" i="5"/>
  <c r="AA673" i="5"/>
  <c r="P673" i="5"/>
  <c r="Q673" i="5" s="1"/>
  <c r="AA672" i="5"/>
  <c r="P672" i="5"/>
  <c r="Q672" i="5" s="1"/>
  <c r="AA671" i="5"/>
  <c r="P671" i="5"/>
  <c r="Q671" i="5" s="1"/>
  <c r="AA670" i="5"/>
  <c r="P670" i="5"/>
  <c r="Q670" i="5" s="1"/>
  <c r="AA669" i="5"/>
  <c r="P669" i="5"/>
  <c r="Q669" i="5" s="1"/>
  <c r="AA668" i="5"/>
  <c r="P668" i="5"/>
  <c r="Q668" i="5" s="1"/>
  <c r="AA667" i="5"/>
  <c r="Q667" i="5"/>
  <c r="P667" i="5"/>
  <c r="AA666" i="5"/>
  <c r="P666" i="5"/>
  <c r="Q666" i="5" s="1"/>
  <c r="AA665" i="5"/>
  <c r="P665" i="5"/>
  <c r="Q665" i="5" s="1"/>
  <c r="AA664" i="5"/>
  <c r="Q664" i="5"/>
  <c r="P664" i="5"/>
  <c r="AA663" i="5"/>
  <c r="Q663" i="5"/>
  <c r="P663" i="5"/>
  <c r="AA662" i="5"/>
  <c r="P662" i="5"/>
  <c r="Q662" i="5" s="1"/>
  <c r="AA661" i="5"/>
  <c r="P661" i="5"/>
  <c r="Q661" i="5" s="1"/>
  <c r="AA660" i="5"/>
  <c r="Q660" i="5"/>
  <c r="P660" i="5"/>
  <c r="AA659" i="5"/>
  <c r="P659" i="5"/>
  <c r="Q659" i="5" s="1"/>
  <c r="AA658" i="5"/>
  <c r="P658" i="5"/>
  <c r="Q658" i="5" s="1"/>
  <c r="AA657" i="5"/>
  <c r="P657" i="5"/>
  <c r="Q657" i="5" s="1"/>
  <c r="AA656" i="5"/>
  <c r="P656" i="5"/>
  <c r="Q656" i="5" s="1"/>
  <c r="AA655" i="5"/>
  <c r="Q655" i="5"/>
  <c r="P655" i="5"/>
  <c r="AA654" i="5"/>
  <c r="P654" i="5"/>
  <c r="Q654" i="5" s="1"/>
  <c r="AA653" i="5"/>
  <c r="Q653" i="5"/>
  <c r="P653" i="5"/>
  <c r="AA652" i="5"/>
  <c r="Q652" i="5"/>
  <c r="P652" i="5"/>
  <c r="AA651" i="5"/>
  <c r="Q651" i="5"/>
  <c r="P651" i="5"/>
  <c r="AA650" i="5"/>
  <c r="Q650" i="5"/>
  <c r="P650" i="5"/>
  <c r="AA649" i="5"/>
  <c r="P649" i="5"/>
  <c r="Q649" i="5" s="1"/>
  <c r="AA648" i="5"/>
  <c r="P648" i="5"/>
  <c r="Q648" i="5" s="1"/>
  <c r="AA647" i="5"/>
  <c r="Q647" i="5"/>
  <c r="P647" i="5"/>
  <c r="AA646" i="5"/>
  <c r="Q646" i="5"/>
  <c r="P646" i="5"/>
  <c r="AA645" i="5"/>
  <c r="Q645" i="5"/>
  <c r="P645" i="5"/>
  <c r="AA644" i="5"/>
  <c r="Q644" i="5"/>
  <c r="P644" i="5"/>
  <c r="AA643" i="5"/>
  <c r="Q643" i="5"/>
  <c r="P643" i="5"/>
  <c r="AA642" i="5"/>
  <c r="P642" i="5"/>
  <c r="Q642" i="5" s="1"/>
  <c r="AA641" i="5"/>
  <c r="P641" i="5"/>
  <c r="Q641" i="5" s="1"/>
  <c r="AA640" i="5"/>
  <c r="P640" i="5"/>
  <c r="Q640" i="5" s="1"/>
  <c r="AA639" i="5"/>
  <c r="P639" i="5"/>
  <c r="Q639" i="5" s="1"/>
  <c r="AA638" i="5"/>
  <c r="P638" i="5"/>
  <c r="Q638" i="5" s="1"/>
  <c r="AA637" i="5"/>
  <c r="P637" i="5"/>
  <c r="Q637" i="5" s="1"/>
  <c r="AA636" i="5"/>
  <c r="P636" i="5"/>
  <c r="Q636" i="5" s="1"/>
  <c r="AA635" i="5"/>
  <c r="Q635" i="5"/>
  <c r="P635" i="5"/>
  <c r="AA634" i="5"/>
  <c r="Q634" i="5"/>
  <c r="P634" i="5"/>
  <c r="AA633" i="5"/>
  <c r="P633" i="5"/>
  <c r="Q633" i="5" s="1"/>
  <c r="AA632" i="5"/>
  <c r="P632" i="5"/>
  <c r="Q632" i="5" s="1"/>
  <c r="AA631" i="5"/>
  <c r="P631" i="5"/>
  <c r="Q631" i="5" s="1"/>
  <c r="AA630" i="5"/>
  <c r="P630" i="5"/>
  <c r="Q630" i="5" s="1"/>
  <c r="AA629" i="5"/>
  <c r="P629" i="5"/>
  <c r="Q629" i="5" s="1"/>
  <c r="AA628" i="5"/>
  <c r="P628" i="5"/>
  <c r="Q628" i="5" s="1"/>
  <c r="AA627" i="5"/>
  <c r="P627" i="5"/>
  <c r="Q627" i="5" s="1"/>
  <c r="AA626" i="5"/>
  <c r="P626" i="5"/>
  <c r="Q626" i="5" s="1"/>
  <c r="AA625" i="5"/>
  <c r="Q625" i="5"/>
  <c r="P625" i="5"/>
  <c r="AA624" i="5"/>
  <c r="P624" i="5"/>
  <c r="Q624" i="5" s="1"/>
  <c r="AA623" i="5"/>
  <c r="P623" i="5"/>
  <c r="Q623" i="5" s="1"/>
  <c r="AA622" i="5"/>
  <c r="Q622" i="5"/>
  <c r="P622" i="5"/>
  <c r="AA621" i="5"/>
  <c r="Q621" i="5"/>
  <c r="P621" i="5"/>
  <c r="AA620" i="5"/>
  <c r="Q620" i="5"/>
  <c r="P620" i="5"/>
  <c r="AA619" i="5"/>
  <c r="Q619" i="5"/>
  <c r="P619" i="5"/>
  <c r="AA618" i="5"/>
  <c r="P618" i="5"/>
  <c r="Q618" i="5" s="1"/>
  <c r="AA617" i="5"/>
  <c r="P617" i="5"/>
  <c r="Q617" i="5" s="1"/>
  <c r="AA616" i="5"/>
  <c r="Q616" i="5"/>
  <c r="P616" i="5"/>
  <c r="AA615" i="5"/>
  <c r="Q615" i="5"/>
  <c r="P615" i="5"/>
  <c r="AA614" i="5"/>
  <c r="Q614" i="5"/>
  <c r="P614" i="5"/>
  <c r="AA613" i="5"/>
  <c r="Q613" i="5"/>
  <c r="P613" i="5"/>
  <c r="AA612" i="5"/>
  <c r="Q612" i="5"/>
  <c r="P612" i="5"/>
  <c r="AA611" i="5"/>
  <c r="P611" i="5"/>
  <c r="Q611" i="5" s="1"/>
  <c r="AA610" i="5"/>
  <c r="P610" i="5"/>
  <c r="Q610" i="5" s="1"/>
  <c r="AA609" i="5"/>
  <c r="P609" i="5"/>
  <c r="Q609" i="5" s="1"/>
  <c r="AA608" i="5"/>
  <c r="P608" i="5"/>
  <c r="Q608" i="5" s="1"/>
  <c r="AA607" i="5"/>
  <c r="Q607" i="5"/>
  <c r="P607" i="5"/>
  <c r="AA606" i="5"/>
  <c r="P606" i="5"/>
  <c r="Q606" i="5" s="1"/>
  <c r="AA605" i="5"/>
  <c r="Q605" i="5"/>
  <c r="P605" i="5"/>
  <c r="AA604" i="5"/>
  <c r="Q604" i="5"/>
  <c r="P604" i="5"/>
  <c r="AA603" i="5"/>
  <c r="Q603" i="5"/>
  <c r="P603" i="5"/>
  <c r="AA602" i="5"/>
  <c r="Q602" i="5"/>
  <c r="P602" i="5"/>
  <c r="AA601" i="5"/>
  <c r="P601" i="5"/>
  <c r="Q601" i="5" s="1"/>
  <c r="AA600" i="5"/>
  <c r="P600" i="5"/>
  <c r="Q600" i="5" s="1"/>
  <c r="AA599" i="5"/>
  <c r="P599" i="5"/>
  <c r="Q599" i="5" s="1"/>
  <c r="AA598" i="5"/>
  <c r="P598" i="5"/>
  <c r="Q598" i="5" s="1"/>
  <c r="AA597" i="5"/>
  <c r="Q597" i="5"/>
  <c r="P597" i="5"/>
  <c r="AA596" i="5"/>
  <c r="P596" i="5"/>
  <c r="Q596" i="5" s="1"/>
  <c r="AA595" i="5"/>
  <c r="Q595" i="5"/>
  <c r="P595" i="5"/>
  <c r="AA594" i="5"/>
  <c r="P594" i="5"/>
  <c r="Q594" i="5" s="1"/>
  <c r="AA593" i="5"/>
  <c r="Q593" i="5"/>
  <c r="P593" i="5"/>
  <c r="AA592" i="5"/>
  <c r="P592" i="5"/>
  <c r="Q592" i="5" s="1"/>
  <c r="AA591" i="5"/>
  <c r="P591" i="5"/>
  <c r="Q591" i="5" s="1"/>
  <c r="AA590" i="5"/>
  <c r="P590" i="5"/>
  <c r="Q590" i="5" s="1"/>
  <c r="AA589" i="5"/>
  <c r="P589" i="5"/>
  <c r="Q589" i="5" s="1"/>
  <c r="AA588" i="5"/>
  <c r="P588" i="5"/>
  <c r="Q588" i="5" s="1"/>
  <c r="AA587" i="5"/>
  <c r="P587" i="5"/>
  <c r="Q587" i="5" s="1"/>
  <c r="AA586" i="5"/>
  <c r="Q586" i="5"/>
  <c r="P586" i="5"/>
  <c r="AA585" i="5"/>
  <c r="P585" i="5"/>
  <c r="Q585" i="5" s="1"/>
  <c r="AA584" i="5"/>
  <c r="P584" i="5"/>
  <c r="Q584" i="5" s="1"/>
  <c r="AA583" i="5"/>
  <c r="P583" i="5"/>
  <c r="Q583" i="5" s="1"/>
  <c r="AA582" i="5"/>
  <c r="Q582" i="5"/>
  <c r="P582" i="5"/>
  <c r="AA581" i="5"/>
  <c r="P581" i="5"/>
  <c r="Q581" i="5" s="1"/>
  <c r="AA580" i="5"/>
  <c r="Q580" i="5"/>
  <c r="P580" i="5"/>
  <c r="AA579" i="5"/>
  <c r="P579" i="5"/>
  <c r="Q579" i="5" s="1"/>
  <c r="AA578" i="5"/>
  <c r="P578" i="5"/>
  <c r="Q578" i="5" s="1"/>
  <c r="AA577" i="5"/>
  <c r="P577" i="5"/>
  <c r="Q577" i="5" s="1"/>
  <c r="AA576" i="5"/>
  <c r="P576" i="5"/>
  <c r="Q576" i="5" s="1"/>
  <c r="AA575" i="5"/>
  <c r="P575" i="5"/>
  <c r="Q575" i="5" s="1"/>
  <c r="AA574" i="5"/>
  <c r="Q574" i="5"/>
  <c r="P574" i="5"/>
  <c r="AA573" i="5"/>
  <c r="P573" i="5"/>
  <c r="Q573" i="5" s="1"/>
  <c r="AA572" i="5"/>
  <c r="Q572" i="5"/>
  <c r="P572" i="5"/>
  <c r="AA571" i="5"/>
  <c r="Q571" i="5"/>
  <c r="P571" i="5"/>
  <c r="AA570" i="5"/>
  <c r="Q570" i="5"/>
  <c r="P570" i="5"/>
  <c r="AA569" i="5"/>
  <c r="P569" i="5"/>
  <c r="Q569" i="5" s="1"/>
  <c r="AA568" i="5"/>
  <c r="Q568" i="5"/>
  <c r="P568" i="5"/>
  <c r="AA567" i="5"/>
  <c r="P567" i="5"/>
  <c r="Q567" i="5" s="1"/>
  <c r="AA566" i="5"/>
  <c r="Q566" i="5"/>
  <c r="P566" i="5"/>
  <c r="AA565" i="5"/>
  <c r="P565" i="5"/>
  <c r="Q565" i="5" s="1"/>
  <c r="AA564" i="5"/>
  <c r="Q564" i="5"/>
  <c r="P564" i="5"/>
  <c r="AA563" i="5"/>
  <c r="P563" i="5"/>
  <c r="Q563" i="5" s="1"/>
  <c r="AA562" i="5"/>
  <c r="P562" i="5"/>
  <c r="Q562" i="5" s="1"/>
  <c r="AA561" i="5"/>
  <c r="P561" i="5"/>
  <c r="Q561" i="5" s="1"/>
  <c r="AA560" i="5"/>
  <c r="P560" i="5"/>
  <c r="Q560" i="5" s="1"/>
  <c r="AA559" i="5"/>
  <c r="P559" i="5"/>
  <c r="Q559" i="5" s="1"/>
  <c r="AA558" i="5"/>
  <c r="Q558" i="5"/>
  <c r="P558" i="5"/>
  <c r="AA557" i="5"/>
  <c r="Q557" i="5"/>
  <c r="P557" i="5"/>
  <c r="AA556" i="5"/>
  <c r="P556" i="5"/>
  <c r="Q556" i="5" s="1"/>
  <c r="AA555" i="5"/>
  <c r="P555" i="5"/>
  <c r="Q555" i="5" s="1"/>
  <c r="AA554" i="5"/>
  <c r="P554" i="5"/>
  <c r="Q554" i="5" s="1"/>
  <c r="AA553" i="5"/>
  <c r="P553" i="5"/>
  <c r="Q553" i="5" s="1"/>
  <c r="AA552" i="5"/>
  <c r="P552" i="5"/>
  <c r="Q552" i="5" s="1"/>
  <c r="AA551" i="5"/>
  <c r="P551" i="5"/>
  <c r="Q551" i="5" s="1"/>
  <c r="AA550" i="5"/>
  <c r="P550" i="5"/>
  <c r="Q550" i="5" s="1"/>
  <c r="AA549" i="5"/>
  <c r="P549" i="5"/>
  <c r="Q549" i="5" s="1"/>
  <c r="AA548" i="5"/>
  <c r="P548" i="5"/>
  <c r="Q548" i="5" s="1"/>
  <c r="AA547" i="5"/>
  <c r="P547" i="5"/>
  <c r="Q547" i="5" s="1"/>
  <c r="AA546" i="5"/>
  <c r="P546" i="5"/>
  <c r="Q546" i="5" s="1"/>
  <c r="AA545" i="5"/>
  <c r="P545" i="5"/>
  <c r="Q545" i="5" s="1"/>
  <c r="AA544" i="5"/>
  <c r="P544" i="5"/>
  <c r="Q544" i="5" s="1"/>
  <c r="AA543" i="5"/>
  <c r="Q543" i="5"/>
  <c r="P543" i="5"/>
  <c r="AA542" i="5"/>
  <c r="Q542" i="5"/>
  <c r="P542" i="5"/>
  <c r="AA541" i="5"/>
  <c r="P541" i="5"/>
  <c r="Q541" i="5" s="1"/>
  <c r="AA540" i="5"/>
  <c r="P540" i="5"/>
  <c r="Q540" i="5" s="1"/>
  <c r="AA539" i="5"/>
  <c r="Q539" i="5"/>
  <c r="P539" i="5"/>
  <c r="AA538" i="5"/>
  <c r="P538" i="5"/>
  <c r="Q538" i="5" s="1"/>
  <c r="AA537" i="5"/>
  <c r="P537" i="5"/>
  <c r="Q537" i="5" s="1"/>
  <c r="AA536" i="5"/>
  <c r="P536" i="5"/>
  <c r="Q536" i="5" s="1"/>
  <c r="AA535" i="5"/>
  <c r="Q535" i="5"/>
  <c r="P535" i="5"/>
  <c r="AA534" i="5"/>
  <c r="P534" i="5"/>
  <c r="Q534" i="5" s="1"/>
  <c r="AA533" i="5"/>
  <c r="Q533" i="5"/>
  <c r="P533" i="5"/>
  <c r="AA532" i="5"/>
  <c r="Q532" i="5"/>
  <c r="P532" i="5"/>
  <c r="AA531" i="5"/>
  <c r="P531" i="5"/>
  <c r="Q531" i="5" s="1"/>
  <c r="AA530" i="5"/>
  <c r="P530" i="5"/>
  <c r="Q530" i="5" s="1"/>
  <c r="AA529" i="5"/>
  <c r="P529" i="5"/>
  <c r="Q529" i="5" s="1"/>
  <c r="AA528" i="5"/>
  <c r="P528" i="5"/>
  <c r="Q528" i="5" s="1"/>
  <c r="AA527" i="5"/>
  <c r="P527" i="5"/>
  <c r="Q527" i="5" s="1"/>
  <c r="AA526" i="5"/>
  <c r="P526" i="5"/>
  <c r="Q526" i="5" s="1"/>
  <c r="AA525" i="5"/>
  <c r="Q525" i="5"/>
  <c r="P525" i="5"/>
  <c r="AA524" i="5"/>
  <c r="P524" i="5"/>
  <c r="Q524" i="5" s="1"/>
  <c r="AA523" i="5"/>
  <c r="Q523" i="5"/>
  <c r="P523" i="5"/>
  <c r="AA522" i="5"/>
  <c r="Q522" i="5"/>
  <c r="P522" i="5"/>
  <c r="AA521" i="5"/>
  <c r="P521" i="5"/>
  <c r="Q521" i="5" s="1"/>
  <c r="AA520" i="5"/>
  <c r="P520" i="5"/>
  <c r="Q520" i="5" s="1"/>
  <c r="AA519" i="5"/>
  <c r="Q519" i="5"/>
  <c r="P519" i="5"/>
  <c r="AA518" i="5"/>
  <c r="P518" i="5"/>
  <c r="Q518" i="5" s="1"/>
  <c r="AA517" i="5"/>
  <c r="Q517" i="5"/>
  <c r="P517" i="5"/>
  <c r="AA516" i="5"/>
  <c r="Q516" i="5"/>
  <c r="P516" i="5"/>
  <c r="AA515" i="5"/>
  <c r="Q515" i="5"/>
  <c r="P515" i="5"/>
  <c r="AA514" i="5"/>
  <c r="P514" i="5"/>
  <c r="Q514" i="5" s="1"/>
  <c r="AA513" i="5"/>
  <c r="Q513" i="5"/>
  <c r="P513" i="5"/>
  <c r="AA512" i="5"/>
  <c r="P512" i="5"/>
  <c r="Q512" i="5" s="1"/>
  <c r="AA511" i="5"/>
  <c r="P511" i="5"/>
  <c r="Q511" i="5" s="1"/>
  <c r="AA510" i="5"/>
  <c r="P510" i="5"/>
  <c r="Q510" i="5" s="1"/>
  <c r="AA509" i="5"/>
  <c r="P509" i="5"/>
  <c r="Q509" i="5" s="1"/>
  <c r="AA508" i="5"/>
  <c r="P508" i="5"/>
  <c r="Q508" i="5" s="1"/>
  <c r="AA507" i="5"/>
  <c r="Q507" i="5"/>
  <c r="P507" i="5"/>
  <c r="AA506" i="5"/>
  <c r="P506" i="5"/>
  <c r="Q506" i="5" s="1"/>
  <c r="AA505" i="5"/>
  <c r="P505" i="5"/>
  <c r="Q505" i="5" s="1"/>
  <c r="AA504" i="5"/>
  <c r="Q504" i="5"/>
  <c r="P504" i="5"/>
  <c r="AA503" i="5"/>
  <c r="Q503" i="5"/>
  <c r="P503" i="5"/>
  <c r="AA502" i="5"/>
  <c r="P502" i="5"/>
  <c r="Q502" i="5" s="1"/>
  <c r="AA501" i="5"/>
  <c r="P501" i="5"/>
  <c r="Q501" i="5" s="1"/>
  <c r="AA500" i="5"/>
  <c r="Q500" i="5"/>
  <c r="P500" i="5"/>
  <c r="AA499" i="5"/>
  <c r="P499" i="5"/>
  <c r="Q499" i="5" s="1"/>
  <c r="AA498" i="5"/>
  <c r="P498" i="5"/>
  <c r="Q498" i="5" s="1"/>
  <c r="AA497" i="5"/>
  <c r="Q497" i="5"/>
  <c r="P497" i="5"/>
  <c r="AA496" i="5"/>
  <c r="P496" i="5"/>
  <c r="Q496" i="5" s="1"/>
  <c r="AA495" i="5"/>
  <c r="P495" i="5"/>
  <c r="Q495" i="5" s="1"/>
  <c r="AA494" i="5"/>
  <c r="Q494" i="5"/>
  <c r="P494" i="5"/>
  <c r="AA493" i="5"/>
  <c r="P493" i="5"/>
  <c r="Q493" i="5" s="1"/>
  <c r="AA492" i="5"/>
  <c r="Q492" i="5"/>
  <c r="P492" i="5"/>
  <c r="AA491" i="5"/>
  <c r="Q491" i="5"/>
  <c r="P491" i="5"/>
  <c r="AA490" i="5"/>
  <c r="P490" i="5"/>
  <c r="Q490" i="5" s="1"/>
  <c r="AA489" i="5"/>
  <c r="P489" i="5"/>
  <c r="Q489" i="5" s="1"/>
  <c r="AA488" i="5"/>
  <c r="Q488" i="5"/>
  <c r="P488" i="5"/>
  <c r="AA487" i="5"/>
  <c r="P487" i="5"/>
  <c r="Q487" i="5" s="1"/>
  <c r="AA486" i="5"/>
  <c r="Q486" i="5"/>
  <c r="P486" i="5"/>
  <c r="AA485" i="5"/>
  <c r="Q485" i="5"/>
  <c r="P485" i="5"/>
  <c r="AA484" i="5"/>
  <c r="Q484" i="5"/>
  <c r="P484" i="5"/>
  <c r="AA483" i="5"/>
  <c r="P483" i="5"/>
  <c r="Q483" i="5" s="1"/>
  <c r="AA482" i="5"/>
  <c r="Q482" i="5"/>
  <c r="P482" i="5"/>
  <c r="AA481" i="5"/>
  <c r="Q481" i="5"/>
  <c r="P481" i="5"/>
  <c r="AA480" i="5"/>
  <c r="P480" i="5"/>
  <c r="Q480" i="5" s="1"/>
  <c r="AA479" i="5"/>
  <c r="P479" i="5"/>
  <c r="Q479" i="5" s="1"/>
  <c r="AA478" i="5"/>
  <c r="P478" i="5"/>
  <c r="Q478" i="5" s="1"/>
  <c r="AA477" i="5"/>
  <c r="Q477" i="5"/>
  <c r="P477" i="5"/>
  <c r="AA476" i="5"/>
  <c r="P476" i="5"/>
  <c r="Q476" i="5" s="1"/>
  <c r="AA475" i="5"/>
  <c r="Q475" i="5"/>
  <c r="P475" i="5"/>
  <c r="AA474" i="5"/>
  <c r="Q474" i="5"/>
  <c r="P474" i="5"/>
  <c r="AA473" i="5"/>
  <c r="P473" i="5"/>
  <c r="Q473" i="5" s="1"/>
  <c r="AA472" i="5"/>
  <c r="P472" i="5"/>
  <c r="Q472" i="5" s="1"/>
  <c r="AA471" i="5"/>
  <c r="P471" i="5"/>
  <c r="Q471" i="5" s="1"/>
  <c r="AA470" i="5"/>
  <c r="P470" i="5"/>
  <c r="Q470" i="5" s="1"/>
  <c r="AA469" i="5"/>
  <c r="P469" i="5"/>
  <c r="Q469" i="5" s="1"/>
  <c r="AA468" i="5"/>
  <c r="P468" i="5"/>
  <c r="Q468" i="5" s="1"/>
  <c r="AA467" i="5"/>
  <c r="P467" i="5"/>
  <c r="Q467" i="5" s="1"/>
  <c r="AA466" i="5"/>
  <c r="P466" i="5"/>
  <c r="Q466" i="5" s="1"/>
  <c r="AA465" i="5"/>
  <c r="Q465" i="5"/>
  <c r="P465" i="5"/>
  <c r="AA464" i="5"/>
  <c r="P464" i="5"/>
  <c r="Q464" i="5" s="1"/>
  <c r="AA463" i="5"/>
  <c r="P463" i="5"/>
  <c r="Q463" i="5" s="1"/>
  <c r="AA462" i="5"/>
  <c r="P462" i="5"/>
  <c r="Q462" i="5" s="1"/>
  <c r="AA461" i="5"/>
  <c r="P461" i="5"/>
  <c r="Q461" i="5" s="1"/>
  <c r="AA460" i="5"/>
  <c r="P460" i="5"/>
  <c r="Q460" i="5" s="1"/>
  <c r="AA459" i="5"/>
  <c r="P459" i="5"/>
  <c r="Q459" i="5" s="1"/>
  <c r="AA458" i="5"/>
  <c r="Q458" i="5"/>
  <c r="P458" i="5"/>
  <c r="AA457" i="5"/>
  <c r="P457" i="5"/>
  <c r="Q457" i="5" s="1"/>
  <c r="AA456" i="5"/>
  <c r="P456" i="5"/>
  <c r="Q456" i="5" s="1"/>
  <c r="AA455" i="5"/>
  <c r="P455" i="5"/>
  <c r="Q455" i="5" s="1"/>
  <c r="AA454" i="5"/>
  <c r="P454" i="5"/>
  <c r="Q454" i="5" s="1"/>
  <c r="AA453" i="5"/>
  <c r="P453" i="5"/>
  <c r="Q453" i="5" s="1"/>
  <c r="AA452" i="5"/>
  <c r="Q452" i="5"/>
  <c r="P452" i="5"/>
  <c r="AA451" i="5"/>
  <c r="P451" i="5"/>
  <c r="Q451" i="5" s="1"/>
  <c r="AA450" i="5"/>
  <c r="P450" i="5"/>
  <c r="Q450" i="5" s="1"/>
  <c r="AA449" i="5"/>
  <c r="P449" i="5"/>
  <c r="Q449" i="5" s="1"/>
  <c r="AA448" i="5"/>
  <c r="P448" i="5"/>
  <c r="Q448" i="5" s="1"/>
  <c r="AA447" i="5"/>
  <c r="Q447" i="5"/>
  <c r="P447" i="5"/>
  <c r="AA446" i="5"/>
  <c r="Q446" i="5"/>
  <c r="P446" i="5"/>
  <c r="AA445" i="5"/>
  <c r="P445" i="5"/>
  <c r="Q445" i="5" s="1"/>
  <c r="AA444" i="5"/>
  <c r="P444" i="5"/>
  <c r="Q444" i="5" s="1"/>
  <c r="AA443" i="5"/>
  <c r="Q443" i="5"/>
  <c r="P443" i="5"/>
  <c r="AA442" i="5"/>
  <c r="Q442" i="5"/>
  <c r="P442" i="5"/>
  <c r="AA441" i="5"/>
  <c r="P441" i="5"/>
  <c r="Q441" i="5" s="1"/>
  <c r="AA440" i="5"/>
  <c r="Q440" i="5"/>
  <c r="P440" i="5"/>
  <c r="AA439" i="5"/>
  <c r="P439" i="5"/>
  <c r="Q439" i="5" s="1"/>
  <c r="AA438" i="5"/>
  <c r="P438" i="5"/>
  <c r="Q438" i="5" s="1"/>
  <c r="AA437" i="5"/>
  <c r="P437" i="5"/>
  <c r="Q437" i="5" s="1"/>
  <c r="AA436" i="5"/>
  <c r="P436" i="5"/>
  <c r="Q436" i="5" s="1"/>
  <c r="AA435" i="5"/>
  <c r="P435" i="5"/>
  <c r="Q435" i="5" s="1"/>
  <c r="AA434" i="5"/>
  <c r="P434" i="5"/>
  <c r="Q434" i="5" s="1"/>
  <c r="AA433" i="5"/>
  <c r="Q433" i="5"/>
  <c r="P433" i="5"/>
  <c r="AA432" i="5"/>
  <c r="P432" i="5"/>
  <c r="Q432" i="5" s="1"/>
  <c r="AA431" i="5"/>
  <c r="P431" i="5"/>
  <c r="Q431" i="5" s="1"/>
  <c r="AA430" i="5"/>
  <c r="Q430" i="5"/>
  <c r="P430" i="5"/>
  <c r="AA429" i="5"/>
  <c r="Q429" i="5"/>
  <c r="P429" i="5"/>
  <c r="AA428" i="5"/>
  <c r="P428" i="5"/>
  <c r="Q428" i="5" s="1"/>
  <c r="AA427" i="5"/>
  <c r="Q427" i="5"/>
  <c r="P427" i="5"/>
  <c r="AA426" i="5"/>
  <c r="Q426" i="5"/>
  <c r="P426" i="5"/>
  <c r="AA425" i="5"/>
  <c r="P425" i="5"/>
  <c r="Q425" i="5" s="1"/>
  <c r="AA424" i="5"/>
  <c r="P424" i="5"/>
  <c r="Q424" i="5" s="1"/>
  <c r="AA423" i="5"/>
  <c r="P423" i="5"/>
  <c r="Q423" i="5" s="1"/>
  <c r="AA422" i="5"/>
  <c r="P422" i="5"/>
  <c r="Q422" i="5" s="1"/>
  <c r="AA421" i="5"/>
  <c r="P421" i="5"/>
  <c r="Q421" i="5" s="1"/>
  <c r="AA420" i="5"/>
  <c r="Q420" i="5"/>
  <c r="P420" i="5"/>
  <c r="AA419" i="5"/>
  <c r="Q419" i="5"/>
  <c r="P419" i="5"/>
  <c r="AA418" i="5"/>
  <c r="Q418" i="5"/>
  <c r="P418" i="5"/>
  <c r="AA417" i="5"/>
  <c r="Q417" i="5"/>
  <c r="P417" i="5"/>
  <c r="AA416" i="5"/>
  <c r="P416" i="5"/>
  <c r="Q416" i="5" s="1"/>
  <c r="AA415" i="5"/>
  <c r="Q415" i="5"/>
  <c r="P415" i="5"/>
  <c r="AA414" i="5"/>
  <c r="P414" i="5"/>
  <c r="Q414" i="5" s="1"/>
  <c r="AA413" i="5"/>
  <c r="P413" i="5"/>
  <c r="Q413" i="5" s="1"/>
  <c r="AA412" i="5"/>
  <c r="P412" i="5"/>
  <c r="Q412" i="5" s="1"/>
  <c r="AA411" i="5"/>
  <c r="P411" i="5"/>
  <c r="Q411" i="5" s="1"/>
  <c r="AA410" i="5"/>
  <c r="P410" i="5"/>
  <c r="Q410" i="5" s="1"/>
  <c r="AA409" i="5"/>
  <c r="P409" i="5"/>
  <c r="Q409" i="5" s="1"/>
  <c r="AA408" i="5"/>
  <c r="Q408" i="5"/>
  <c r="P408" i="5"/>
  <c r="AA407" i="5"/>
  <c r="P407" i="5"/>
  <c r="Q407" i="5" s="1"/>
  <c r="AA406" i="5"/>
  <c r="Q406" i="5"/>
  <c r="P406" i="5"/>
  <c r="AA405" i="5"/>
  <c r="Q405" i="5"/>
  <c r="P405" i="5"/>
  <c r="AA404" i="5"/>
  <c r="Q404" i="5"/>
  <c r="P404" i="5"/>
  <c r="AA403" i="5"/>
  <c r="P403" i="5"/>
  <c r="Q403" i="5" s="1"/>
  <c r="AA402" i="5"/>
  <c r="Q402" i="5"/>
  <c r="P402" i="5"/>
  <c r="AA401" i="5"/>
  <c r="P401" i="5"/>
  <c r="Q401" i="5" s="1"/>
  <c r="AA400" i="5"/>
  <c r="P400" i="5"/>
  <c r="Q400" i="5" s="1"/>
  <c r="AA399" i="5"/>
  <c r="P399" i="5"/>
  <c r="Q399" i="5" s="1"/>
  <c r="AA398" i="5"/>
  <c r="P398" i="5"/>
  <c r="Q398" i="5" s="1"/>
  <c r="AA397" i="5"/>
  <c r="P397" i="5"/>
  <c r="Q397" i="5" s="1"/>
  <c r="AA396" i="5"/>
  <c r="P396" i="5"/>
  <c r="Q396" i="5" s="1"/>
  <c r="AA395" i="5"/>
  <c r="P395" i="5"/>
  <c r="Q395" i="5" s="1"/>
  <c r="AA394" i="5"/>
  <c r="P394" i="5"/>
  <c r="Q394" i="5" s="1"/>
  <c r="AA393" i="5"/>
  <c r="P393" i="5"/>
  <c r="Q393" i="5" s="1"/>
  <c r="AA392" i="5"/>
  <c r="P392" i="5"/>
  <c r="Q392" i="5" s="1"/>
  <c r="AA391" i="5"/>
  <c r="P391" i="5"/>
  <c r="Q391" i="5" s="1"/>
  <c r="AA390" i="5"/>
  <c r="Q390" i="5"/>
  <c r="P390" i="5"/>
  <c r="AA389" i="5"/>
  <c r="P389" i="5"/>
  <c r="Q389" i="5" s="1"/>
  <c r="AA388" i="5"/>
  <c r="Q388" i="5"/>
  <c r="P388" i="5"/>
  <c r="AA387" i="5"/>
  <c r="Q387" i="5"/>
  <c r="P387" i="5"/>
  <c r="AA386" i="5"/>
  <c r="Q386" i="5"/>
  <c r="P386" i="5"/>
  <c r="AA385" i="5"/>
  <c r="P385" i="5"/>
  <c r="Q385" i="5" s="1"/>
  <c r="AA384" i="5"/>
  <c r="P384" i="5"/>
  <c r="Q384" i="5" s="1"/>
  <c r="AA383" i="5"/>
  <c r="P383" i="5"/>
  <c r="Q383" i="5" s="1"/>
  <c r="AA382" i="5"/>
  <c r="P382" i="5"/>
  <c r="Q382" i="5" s="1"/>
  <c r="AA381" i="5"/>
  <c r="P381" i="5"/>
  <c r="Q381" i="5" s="1"/>
  <c r="AA380" i="5"/>
  <c r="P380" i="5"/>
  <c r="Q380" i="5" s="1"/>
  <c r="AA379" i="5"/>
  <c r="P379" i="5"/>
  <c r="Q379" i="5" s="1"/>
  <c r="AA378" i="5"/>
  <c r="P378" i="5"/>
  <c r="Q378" i="5" s="1"/>
  <c r="AA377" i="5"/>
  <c r="P377" i="5"/>
  <c r="Q377" i="5" s="1"/>
  <c r="AA376" i="5"/>
  <c r="P376" i="5"/>
  <c r="Q376" i="5" s="1"/>
  <c r="AA375" i="5"/>
  <c r="P375" i="5"/>
  <c r="Q375" i="5" s="1"/>
  <c r="AA374" i="5"/>
  <c r="P374" i="5"/>
  <c r="Q374" i="5" s="1"/>
  <c r="AA373" i="5"/>
  <c r="P373" i="5"/>
  <c r="Q373" i="5" s="1"/>
  <c r="AA372" i="5"/>
  <c r="Q372" i="5"/>
  <c r="P372" i="5"/>
  <c r="AA371" i="5"/>
  <c r="P371" i="5"/>
  <c r="Q371" i="5" s="1"/>
  <c r="AA370" i="5"/>
  <c r="Q370" i="5"/>
  <c r="P370" i="5"/>
  <c r="AA369" i="5"/>
  <c r="P369" i="5"/>
  <c r="Q369" i="5" s="1"/>
  <c r="AA368" i="5"/>
  <c r="Q368" i="5"/>
  <c r="P368" i="5"/>
  <c r="AA367" i="5"/>
  <c r="Q367" i="5"/>
  <c r="P367" i="5"/>
  <c r="AA366" i="5"/>
  <c r="P366" i="5"/>
  <c r="Q366" i="5" s="1"/>
  <c r="AA365" i="5"/>
  <c r="P365" i="5"/>
  <c r="Q365" i="5" s="1"/>
  <c r="AA364" i="5"/>
  <c r="P364" i="5"/>
  <c r="Q364" i="5" s="1"/>
  <c r="AA363" i="5"/>
  <c r="P363" i="5"/>
  <c r="Q363" i="5" s="1"/>
  <c r="AA362" i="5"/>
  <c r="P362" i="5"/>
  <c r="Q362" i="5" s="1"/>
  <c r="AA361" i="5"/>
  <c r="P361" i="5"/>
  <c r="Q361" i="5" s="1"/>
  <c r="AA360" i="5"/>
  <c r="Q360" i="5"/>
  <c r="P360" i="5"/>
  <c r="AA359" i="5"/>
  <c r="P359" i="5"/>
  <c r="Q359" i="5" s="1"/>
  <c r="AA358" i="5"/>
  <c r="P358" i="5"/>
  <c r="Q358" i="5" s="1"/>
  <c r="AA357" i="5"/>
  <c r="P357" i="5"/>
  <c r="Q357" i="5" s="1"/>
  <c r="AA356" i="5"/>
  <c r="P356" i="5"/>
  <c r="Q356" i="5" s="1"/>
  <c r="AA355" i="5"/>
  <c r="P355" i="5"/>
  <c r="Q355" i="5" s="1"/>
  <c r="AA354" i="5"/>
  <c r="Q354" i="5"/>
  <c r="P354" i="5"/>
  <c r="AA353" i="5"/>
  <c r="P353" i="5"/>
  <c r="Q353" i="5" s="1"/>
  <c r="AA352" i="5"/>
  <c r="Q352" i="5"/>
  <c r="P352" i="5"/>
  <c r="AA351" i="5"/>
  <c r="Q351" i="5"/>
  <c r="P351" i="5"/>
  <c r="AA350" i="5"/>
  <c r="Q350" i="5"/>
  <c r="P350" i="5"/>
  <c r="AA349" i="5"/>
  <c r="P349" i="5"/>
  <c r="Q349" i="5" s="1"/>
  <c r="AA348" i="5"/>
  <c r="P348" i="5"/>
  <c r="Q348" i="5" s="1"/>
  <c r="AA347" i="5"/>
  <c r="P347" i="5"/>
  <c r="Q347" i="5" s="1"/>
  <c r="AA346" i="5"/>
  <c r="P346" i="5"/>
  <c r="Q346" i="5" s="1"/>
  <c r="AA345" i="5"/>
  <c r="P345" i="5"/>
  <c r="Q345" i="5" s="1"/>
  <c r="AA344" i="5"/>
  <c r="Q344" i="5"/>
  <c r="P344" i="5"/>
  <c r="AA343" i="5"/>
  <c r="Q343" i="5"/>
  <c r="P343" i="5"/>
  <c r="AA342" i="5"/>
  <c r="Q342" i="5"/>
  <c r="P342" i="5"/>
  <c r="AA341" i="5"/>
  <c r="P341" i="5"/>
  <c r="Q341" i="5" s="1"/>
  <c r="AA340" i="5"/>
  <c r="P340" i="5"/>
  <c r="Q340" i="5" s="1"/>
  <c r="AA339" i="5"/>
  <c r="P339" i="5"/>
  <c r="Q339" i="5" s="1"/>
  <c r="AA338" i="5"/>
  <c r="P338" i="5"/>
  <c r="Q338" i="5" s="1"/>
  <c r="AA337" i="5"/>
  <c r="P337" i="5"/>
  <c r="Q337" i="5" s="1"/>
  <c r="AA336" i="5"/>
  <c r="P336" i="5"/>
  <c r="Q336" i="5" s="1"/>
  <c r="AA335" i="5"/>
  <c r="Q335" i="5"/>
  <c r="P335" i="5"/>
  <c r="AA334" i="5"/>
  <c r="Q334" i="5"/>
  <c r="P334" i="5"/>
  <c r="AA333" i="5"/>
  <c r="P333" i="5"/>
  <c r="Q333" i="5" s="1"/>
  <c r="AA332" i="5"/>
  <c r="P332" i="5"/>
  <c r="Q332" i="5" s="1"/>
  <c r="AA331" i="5"/>
  <c r="P331" i="5"/>
  <c r="Q331" i="5" s="1"/>
  <c r="AA330" i="5"/>
  <c r="P330" i="5"/>
  <c r="Q330" i="5" s="1"/>
  <c r="AA329" i="5"/>
  <c r="P329" i="5"/>
  <c r="Q329" i="5" s="1"/>
  <c r="AA328" i="5"/>
  <c r="Q328" i="5"/>
  <c r="P328" i="5"/>
  <c r="AA327" i="5"/>
  <c r="Q327" i="5"/>
  <c r="P327" i="5"/>
  <c r="AA326" i="5"/>
  <c r="Q326" i="5"/>
  <c r="P326" i="5"/>
  <c r="AA325" i="5"/>
  <c r="Q325" i="5"/>
  <c r="P325" i="5"/>
  <c r="AA324" i="5"/>
  <c r="Q324" i="5"/>
  <c r="P324" i="5"/>
  <c r="AA323" i="5"/>
  <c r="P323" i="5"/>
  <c r="Q323" i="5" s="1"/>
  <c r="AA322" i="5"/>
  <c r="P322" i="5"/>
  <c r="Q322" i="5" s="1"/>
  <c r="AA321" i="5"/>
  <c r="P321" i="5"/>
  <c r="Q321" i="5" s="1"/>
  <c r="AA320" i="5"/>
  <c r="Q320" i="5"/>
  <c r="P320" i="5"/>
  <c r="AA319" i="5"/>
  <c r="Q319" i="5"/>
  <c r="P319" i="5"/>
  <c r="AA318" i="5"/>
  <c r="P318" i="5"/>
  <c r="Q318" i="5" s="1"/>
  <c r="AA317" i="5"/>
  <c r="P317" i="5"/>
  <c r="Q317" i="5" s="1"/>
  <c r="AA316" i="5"/>
  <c r="P316" i="5"/>
  <c r="Q316" i="5" s="1"/>
  <c r="AA315" i="5"/>
  <c r="P315" i="5"/>
  <c r="Q315" i="5" s="1"/>
  <c r="AA314" i="5"/>
  <c r="P314" i="5"/>
  <c r="Q314" i="5" s="1"/>
  <c r="AA313" i="5"/>
  <c r="P313" i="5"/>
  <c r="Q313" i="5" s="1"/>
  <c r="AA312" i="5"/>
  <c r="Q312" i="5"/>
  <c r="P312" i="5"/>
  <c r="AA311" i="5"/>
  <c r="P311" i="5"/>
  <c r="Q311" i="5" s="1"/>
  <c r="AA310" i="5"/>
  <c r="Q310" i="5"/>
  <c r="P310" i="5"/>
  <c r="AA309" i="5"/>
  <c r="Q309" i="5"/>
  <c r="P309" i="5"/>
  <c r="AA308" i="5"/>
  <c r="Q308" i="5"/>
  <c r="P308" i="5"/>
  <c r="AA307" i="5"/>
  <c r="Q307" i="5"/>
  <c r="P307" i="5"/>
  <c r="AA306" i="5"/>
  <c r="Q306" i="5"/>
  <c r="P306" i="5"/>
  <c r="AA305" i="5"/>
  <c r="P305" i="5"/>
  <c r="Q305" i="5" s="1"/>
  <c r="AA304" i="5"/>
  <c r="P304" i="5"/>
  <c r="Q304" i="5" s="1"/>
  <c r="AA303" i="5"/>
  <c r="Q303" i="5"/>
  <c r="P303" i="5"/>
  <c r="AA302" i="5"/>
  <c r="Q302" i="5"/>
  <c r="P302" i="5"/>
  <c r="AA301" i="5"/>
  <c r="P301" i="5"/>
  <c r="Q301" i="5" s="1"/>
  <c r="AA300" i="5"/>
  <c r="P300" i="5"/>
  <c r="Q300" i="5" s="1"/>
  <c r="AA299" i="5"/>
  <c r="P299" i="5"/>
  <c r="Q299" i="5" s="1"/>
  <c r="AA298" i="5"/>
  <c r="P298" i="5"/>
  <c r="Q298" i="5" s="1"/>
  <c r="AA297" i="5"/>
  <c r="P297" i="5"/>
  <c r="Q297" i="5" s="1"/>
  <c r="AA296" i="5"/>
  <c r="Q296" i="5"/>
  <c r="P296" i="5"/>
  <c r="AA295" i="5"/>
  <c r="Q295" i="5"/>
  <c r="P295" i="5"/>
  <c r="AA294" i="5"/>
  <c r="Q294" i="5"/>
  <c r="P294" i="5"/>
  <c r="AA293" i="5"/>
  <c r="P293" i="5"/>
  <c r="Q293" i="5" s="1"/>
  <c r="AA292" i="5"/>
  <c r="Q292" i="5"/>
  <c r="P292" i="5"/>
  <c r="AA291" i="5"/>
  <c r="Q291" i="5"/>
  <c r="P291" i="5"/>
  <c r="AA290" i="5"/>
  <c r="Q290" i="5"/>
  <c r="P290" i="5"/>
  <c r="AA289" i="5"/>
  <c r="P289" i="5"/>
  <c r="Q289" i="5" s="1"/>
  <c r="AA288" i="5"/>
  <c r="P288" i="5"/>
  <c r="Q288" i="5" s="1"/>
  <c r="AA287" i="5"/>
  <c r="Q287" i="5"/>
  <c r="P287" i="5"/>
  <c r="AA286" i="5"/>
  <c r="P286" i="5"/>
  <c r="Q286" i="5" s="1"/>
  <c r="AA285" i="5"/>
  <c r="P285" i="5"/>
  <c r="Q285" i="5" s="1"/>
  <c r="AA284" i="5"/>
  <c r="P284" i="5"/>
  <c r="Q284" i="5" s="1"/>
  <c r="AA283" i="5"/>
  <c r="P283" i="5"/>
  <c r="Q283" i="5" s="1"/>
  <c r="AA282" i="5"/>
  <c r="P282" i="5"/>
  <c r="Q282" i="5" s="1"/>
  <c r="AA281" i="5"/>
  <c r="P281" i="5"/>
  <c r="Q281" i="5" s="1"/>
  <c r="AA280" i="5"/>
  <c r="Q280" i="5"/>
  <c r="P280" i="5"/>
  <c r="AA279" i="5"/>
  <c r="P279" i="5"/>
  <c r="Q279" i="5" s="1"/>
  <c r="AA278" i="5"/>
  <c r="Q278" i="5"/>
  <c r="P278" i="5"/>
  <c r="AA277" i="5"/>
  <c r="Q277" i="5"/>
  <c r="P277" i="5"/>
  <c r="AA276" i="5"/>
  <c r="Q276" i="5"/>
  <c r="P276" i="5"/>
  <c r="AA275" i="5"/>
  <c r="P275" i="5"/>
  <c r="Q275" i="5" s="1"/>
  <c r="AA274" i="5"/>
  <c r="Q274" i="5"/>
  <c r="P274" i="5"/>
  <c r="AA273" i="5"/>
  <c r="P273" i="5"/>
  <c r="Q273" i="5" s="1"/>
  <c r="AA272" i="5"/>
  <c r="P272" i="5"/>
  <c r="Q272" i="5" s="1"/>
  <c r="AA271" i="5"/>
  <c r="P271" i="5"/>
  <c r="Q271" i="5" s="1"/>
  <c r="AA270" i="5"/>
  <c r="P270" i="5"/>
  <c r="Q270" i="5" s="1"/>
  <c r="AA269" i="5"/>
  <c r="P269" i="5"/>
  <c r="Q269" i="5" s="1"/>
  <c r="AA268" i="5"/>
  <c r="P268" i="5"/>
  <c r="Q268" i="5" s="1"/>
  <c r="AA267" i="5"/>
  <c r="P267" i="5"/>
  <c r="Q267" i="5" s="1"/>
  <c r="AA266" i="5"/>
  <c r="P266" i="5"/>
  <c r="Q266" i="5" s="1"/>
  <c r="AA265" i="5"/>
  <c r="P265" i="5"/>
  <c r="Q265" i="5" s="1"/>
  <c r="AA264" i="5"/>
  <c r="P264" i="5"/>
  <c r="Q264" i="5" s="1"/>
  <c r="AA263" i="5"/>
  <c r="P263" i="5"/>
  <c r="Q263" i="5" s="1"/>
  <c r="AA262" i="5"/>
  <c r="Q262" i="5"/>
  <c r="P262" i="5"/>
  <c r="AA261" i="5"/>
  <c r="P261" i="5"/>
  <c r="Q261" i="5" s="1"/>
  <c r="AA260" i="5"/>
  <c r="Q260" i="5"/>
  <c r="P260" i="5"/>
  <c r="AA259" i="5"/>
  <c r="Q259" i="5"/>
  <c r="P259" i="5"/>
  <c r="AA258" i="5"/>
  <c r="Q258" i="5"/>
  <c r="P258" i="5"/>
  <c r="AA257" i="5"/>
  <c r="P257" i="5"/>
  <c r="Q257" i="5" s="1"/>
  <c r="AA256" i="5"/>
  <c r="P256" i="5"/>
  <c r="Q256" i="5" s="1"/>
  <c r="AA255" i="5"/>
  <c r="P255" i="5"/>
  <c r="Q255" i="5" s="1"/>
  <c r="AA254" i="5"/>
  <c r="P254" i="5"/>
  <c r="Q254" i="5" s="1"/>
  <c r="AA253" i="5"/>
  <c r="P253" i="5"/>
  <c r="Q253" i="5" s="1"/>
  <c r="AA252" i="5"/>
  <c r="P252" i="5"/>
  <c r="Q252" i="5" s="1"/>
  <c r="AA251" i="5"/>
  <c r="P251" i="5"/>
  <c r="Q251" i="5" s="1"/>
  <c r="AA250" i="5"/>
  <c r="P250" i="5"/>
  <c r="Q250" i="5" s="1"/>
  <c r="AA249" i="5"/>
  <c r="P249" i="5"/>
  <c r="Q249" i="5" s="1"/>
  <c r="AA248" i="5"/>
  <c r="P248" i="5"/>
  <c r="Q248" i="5" s="1"/>
  <c r="AA247" i="5"/>
  <c r="P247" i="5"/>
  <c r="Q247" i="5" s="1"/>
  <c r="AA246" i="5"/>
  <c r="P246" i="5"/>
  <c r="Q246" i="5" s="1"/>
  <c r="AA245" i="5"/>
  <c r="P245" i="5"/>
  <c r="Q245" i="5" s="1"/>
  <c r="AA244" i="5"/>
  <c r="Q244" i="5"/>
  <c r="P244" i="5"/>
  <c r="AA243" i="5"/>
  <c r="P243" i="5"/>
  <c r="Q243" i="5" s="1"/>
  <c r="AA242" i="5"/>
  <c r="Q242" i="5"/>
  <c r="P242" i="5"/>
  <c r="AA241" i="5"/>
  <c r="P241" i="5"/>
  <c r="Q241" i="5" s="1"/>
  <c r="AA240" i="5"/>
  <c r="Q240" i="5"/>
  <c r="P240" i="5"/>
  <c r="AA239" i="5"/>
  <c r="Q239" i="5"/>
  <c r="P239" i="5"/>
  <c r="AA238" i="5"/>
  <c r="P238" i="5"/>
  <c r="Q238" i="5" s="1"/>
  <c r="AA237" i="5"/>
  <c r="P237" i="5"/>
  <c r="Q237" i="5" s="1"/>
  <c r="AA236" i="5"/>
  <c r="P236" i="5"/>
  <c r="Q236" i="5" s="1"/>
  <c r="AA235" i="5"/>
  <c r="P235" i="5"/>
  <c r="Q235" i="5" s="1"/>
  <c r="AA234" i="5"/>
  <c r="P234" i="5"/>
  <c r="Q234" i="5" s="1"/>
  <c r="AA233" i="5"/>
  <c r="P233" i="5"/>
  <c r="Q233" i="5" s="1"/>
  <c r="AA232" i="5"/>
  <c r="Q232" i="5"/>
  <c r="P232" i="5"/>
  <c r="AA231" i="5"/>
  <c r="P231" i="5"/>
  <c r="Q231" i="5" s="1"/>
  <c r="AA230" i="5"/>
  <c r="P230" i="5"/>
  <c r="Q230" i="5" s="1"/>
  <c r="AA229" i="5"/>
  <c r="P229" i="5"/>
  <c r="Q229" i="5" s="1"/>
  <c r="AA228" i="5"/>
  <c r="P228" i="5"/>
  <c r="Q228" i="5" s="1"/>
  <c r="AA227" i="5"/>
  <c r="P227" i="5"/>
  <c r="Q227" i="5" s="1"/>
  <c r="AA226" i="5"/>
  <c r="Q226" i="5"/>
  <c r="P226" i="5"/>
  <c r="AA225" i="5"/>
  <c r="P225" i="5"/>
  <c r="Q225" i="5" s="1"/>
  <c r="AA224" i="5"/>
  <c r="Q224" i="5"/>
  <c r="P224" i="5"/>
  <c r="AA223" i="5"/>
  <c r="Q223" i="5"/>
  <c r="P223" i="5"/>
  <c r="AA222" i="5"/>
  <c r="Q222" i="5"/>
  <c r="P222" i="5"/>
  <c r="AA221" i="5"/>
  <c r="P221" i="5"/>
  <c r="Q221" i="5" s="1"/>
  <c r="AA220" i="5"/>
  <c r="P220" i="5"/>
  <c r="Q220" i="5" s="1"/>
  <c r="AA219" i="5"/>
  <c r="P219" i="5"/>
  <c r="Q219" i="5" s="1"/>
  <c r="AA218" i="5"/>
  <c r="P218" i="5"/>
  <c r="Q218" i="5" s="1"/>
  <c r="AA217" i="5"/>
  <c r="P217" i="5"/>
  <c r="Q217" i="5" s="1"/>
  <c r="AA216" i="5"/>
  <c r="Q216" i="5"/>
  <c r="P216" i="5"/>
  <c r="AA215" i="5"/>
  <c r="Q215" i="5"/>
  <c r="P215" i="5"/>
  <c r="AA214" i="5"/>
  <c r="Q214" i="5"/>
  <c r="P214" i="5"/>
  <c r="AA213" i="5"/>
  <c r="P213" i="5"/>
  <c r="Q213" i="5" s="1"/>
  <c r="AA212" i="5"/>
  <c r="P212" i="5"/>
  <c r="Q212" i="5" s="1"/>
  <c r="AA211" i="5"/>
  <c r="P211" i="5"/>
  <c r="Q211" i="5" s="1"/>
  <c r="AA210" i="5"/>
  <c r="P210" i="5"/>
  <c r="Q210" i="5" s="1"/>
  <c r="AA209" i="5"/>
  <c r="P209" i="5"/>
  <c r="Q209" i="5" s="1"/>
  <c r="AA208" i="5"/>
  <c r="P208" i="5"/>
  <c r="Q208" i="5" s="1"/>
  <c r="AA207" i="5"/>
  <c r="Q207" i="5"/>
  <c r="P207" i="5"/>
  <c r="AA206" i="5"/>
  <c r="Q206" i="5"/>
  <c r="P206" i="5"/>
  <c r="AA205" i="5"/>
  <c r="P205" i="5"/>
  <c r="Q205" i="5" s="1"/>
  <c r="AA204" i="5"/>
  <c r="P204" i="5"/>
  <c r="Q204" i="5" s="1"/>
  <c r="AA203" i="5"/>
  <c r="P203" i="5"/>
  <c r="Q203" i="5" s="1"/>
  <c r="AA202" i="5"/>
  <c r="P202" i="5"/>
  <c r="Q202" i="5" s="1"/>
  <c r="AA201" i="5"/>
  <c r="P201" i="5"/>
  <c r="Q201" i="5" s="1"/>
  <c r="AA200" i="5"/>
  <c r="Q200" i="5"/>
  <c r="P200" i="5"/>
  <c r="AA199" i="5"/>
  <c r="Q199" i="5"/>
  <c r="P199" i="5"/>
  <c r="AA198" i="5"/>
  <c r="Q198" i="5"/>
  <c r="P198" i="5"/>
  <c r="AA197" i="5"/>
  <c r="Q197" i="5"/>
  <c r="P197" i="5"/>
  <c r="AA196" i="5"/>
  <c r="Q196" i="5"/>
  <c r="P196" i="5"/>
  <c r="AA195" i="5"/>
  <c r="P195" i="5"/>
  <c r="Q195" i="5" s="1"/>
  <c r="AA194" i="5"/>
  <c r="P194" i="5"/>
  <c r="Q194" i="5" s="1"/>
  <c r="AA193" i="5"/>
  <c r="P193" i="5"/>
  <c r="Q193" i="5" s="1"/>
  <c r="AA192" i="5"/>
  <c r="Q192" i="5"/>
  <c r="P192" i="5"/>
  <c r="AA191" i="5"/>
  <c r="Q191" i="5"/>
  <c r="P191" i="5"/>
  <c r="AA190" i="5"/>
  <c r="P190" i="5"/>
  <c r="Q190" i="5" s="1"/>
  <c r="AA189" i="5"/>
  <c r="P189" i="5"/>
  <c r="Q189" i="5" s="1"/>
  <c r="AA188" i="5"/>
  <c r="P188" i="5"/>
  <c r="Q188" i="5" s="1"/>
  <c r="AA187" i="5"/>
  <c r="P187" i="5"/>
  <c r="Q187" i="5" s="1"/>
  <c r="AA186" i="5"/>
  <c r="P186" i="5"/>
  <c r="Q186" i="5" s="1"/>
  <c r="AA185" i="5"/>
  <c r="P185" i="5"/>
  <c r="Q185" i="5" s="1"/>
  <c r="AA184" i="5"/>
  <c r="Q184" i="5"/>
  <c r="P184" i="5"/>
  <c r="AA183" i="5"/>
  <c r="P183" i="5"/>
  <c r="Q183" i="5" s="1"/>
  <c r="AA182" i="5"/>
  <c r="Q182" i="5"/>
  <c r="P182" i="5"/>
  <c r="AA181" i="5"/>
  <c r="Q181" i="5"/>
  <c r="P181" i="5"/>
  <c r="AA180" i="5"/>
  <c r="Q180" i="5"/>
  <c r="P180" i="5"/>
  <c r="AA179" i="5"/>
  <c r="Q179" i="5"/>
  <c r="P179" i="5"/>
  <c r="AA178" i="5"/>
  <c r="Q178" i="5"/>
  <c r="P178" i="5"/>
  <c r="AA177" i="5"/>
  <c r="P177" i="5"/>
  <c r="Q177" i="5" s="1"/>
  <c r="AA176" i="5"/>
  <c r="P176" i="5"/>
  <c r="Q176" i="5" s="1"/>
  <c r="AA175" i="5"/>
  <c r="Q175" i="5"/>
  <c r="P175" i="5"/>
  <c r="AA174" i="5"/>
  <c r="Q174" i="5"/>
  <c r="P174" i="5"/>
  <c r="AA173" i="5"/>
  <c r="P173" i="5"/>
  <c r="Q173" i="5" s="1"/>
  <c r="AA172" i="5"/>
  <c r="P172" i="5"/>
  <c r="Q172" i="5" s="1"/>
  <c r="AA171" i="5"/>
  <c r="P171" i="5"/>
  <c r="Q171" i="5" s="1"/>
  <c r="AA170" i="5"/>
  <c r="P170" i="5"/>
  <c r="Q170" i="5" s="1"/>
  <c r="AA169" i="5"/>
  <c r="P169" i="5"/>
  <c r="Q169" i="5" s="1"/>
  <c r="AA168" i="5"/>
  <c r="Q168" i="5"/>
  <c r="P168" i="5"/>
  <c r="AA167" i="5"/>
  <c r="Q167" i="5"/>
  <c r="P167" i="5"/>
  <c r="AA166" i="5"/>
  <c r="Q166" i="5"/>
  <c r="P166" i="5"/>
  <c r="AA165" i="5"/>
  <c r="P165" i="5"/>
  <c r="Q165" i="5" s="1"/>
  <c r="AA164" i="5"/>
  <c r="Q164" i="5"/>
  <c r="P164" i="5"/>
  <c r="AA163" i="5"/>
  <c r="Q163" i="5"/>
  <c r="P163" i="5"/>
  <c r="AA162" i="5"/>
  <c r="Q162" i="5"/>
  <c r="P162" i="5"/>
  <c r="AA161" i="5"/>
  <c r="P161" i="5"/>
  <c r="Q161" i="5" s="1"/>
  <c r="AA160" i="5"/>
  <c r="P160" i="5"/>
  <c r="Q160" i="5" s="1"/>
  <c r="AA159" i="5"/>
  <c r="Q159" i="5"/>
  <c r="P159" i="5"/>
  <c r="AA158" i="5"/>
  <c r="P158" i="5"/>
  <c r="Q158" i="5" s="1"/>
  <c r="AA157" i="5"/>
  <c r="P157" i="5"/>
  <c r="Q157" i="5" s="1"/>
  <c r="AA156" i="5"/>
  <c r="P156" i="5"/>
  <c r="Q156" i="5" s="1"/>
  <c r="AA155" i="5"/>
  <c r="P155" i="5"/>
  <c r="Q155" i="5" s="1"/>
  <c r="AA154" i="5"/>
  <c r="P154" i="5"/>
  <c r="Q154" i="5" s="1"/>
  <c r="AA153" i="5"/>
  <c r="P153" i="5"/>
  <c r="Q153" i="5" s="1"/>
  <c r="AA152" i="5"/>
  <c r="Q152" i="5"/>
  <c r="P152" i="5"/>
  <c r="AA151" i="5"/>
  <c r="P151" i="5"/>
  <c r="Q151" i="5" s="1"/>
  <c r="AA150" i="5"/>
  <c r="Q150" i="5"/>
  <c r="P150" i="5"/>
  <c r="AA149" i="5"/>
  <c r="Q149" i="5"/>
  <c r="P149" i="5"/>
  <c r="AA148" i="5"/>
  <c r="Q148" i="5"/>
  <c r="P148" i="5"/>
  <c r="AA147" i="5"/>
  <c r="P147" i="5"/>
  <c r="Q147" i="5" s="1"/>
  <c r="AA146" i="5"/>
  <c r="Q146" i="5"/>
  <c r="P146" i="5"/>
  <c r="AA145" i="5"/>
  <c r="P145" i="5"/>
  <c r="Q145" i="5" s="1"/>
  <c r="AA144" i="5"/>
  <c r="P144" i="5"/>
  <c r="Q144" i="5" s="1"/>
  <c r="AA143" i="5"/>
  <c r="P143" i="5"/>
  <c r="Q143" i="5" s="1"/>
  <c r="AA142" i="5"/>
  <c r="P142" i="5"/>
  <c r="Q142" i="5" s="1"/>
  <c r="AA141" i="5"/>
  <c r="P141" i="5"/>
  <c r="Q141" i="5" s="1"/>
  <c r="AA140" i="5"/>
  <c r="P140" i="5"/>
  <c r="Q140" i="5" s="1"/>
  <c r="AA139" i="5"/>
  <c r="P139" i="5"/>
  <c r="Q139" i="5" s="1"/>
  <c r="AA138" i="5"/>
  <c r="P138" i="5"/>
  <c r="Q138" i="5" s="1"/>
  <c r="AA137" i="5"/>
  <c r="P137" i="5"/>
  <c r="Q137" i="5" s="1"/>
  <c r="AA136" i="5"/>
  <c r="P136" i="5"/>
  <c r="Q136" i="5" s="1"/>
  <c r="AA135" i="5"/>
  <c r="P135" i="5"/>
  <c r="Q135" i="5" s="1"/>
  <c r="AA134" i="5"/>
  <c r="Q134" i="5"/>
  <c r="P134" i="5"/>
  <c r="AA133" i="5"/>
  <c r="P133" i="5"/>
  <c r="Q133" i="5" s="1"/>
  <c r="AA132" i="5"/>
  <c r="Q132" i="5"/>
  <c r="P132" i="5"/>
  <c r="AA131" i="5"/>
  <c r="Q131" i="5"/>
  <c r="P131" i="5"/>
  <c r="AA130" i="5"/>
  <c r="Q130" i="5"/>
  <c r="P130" i="5"/>
  <c r="AA129" i="5"/>
  <c r="P129" i="5"/>
  <c r="Q129" i="5" s="1"/>
  <c r="AA128" i="5"/>
  <c r="P128" i="5"/>
  <c r="Q128" i="5" s="1"/>
  <c r="AA127" i="5"/>
  <c r="P127" i="5"/>
  <c r="Q127" i="5" s="1"/>
  <c r="AA126" i="5"/>
  <c r="P126" i="5"/>
  <c r="Q126" i="5" s="1"/>
  <c r="AA125" i="5"/>
  <c r="P125" i="5"/>
  <c r="Q125" i="5" s="1"/>
  <c r="AA124" i="5"/>
  <c r="P124" i="5"/>
  <c r="Q124" i="5" s="1"/>
  <c r="AA123" i="5"/>
  <c r="P123" i="5"/>
  <c r="Q123" i="5" s="1"/>
  <c r="AA122" i="5"/>
  <c r="P122" i="5"/>
  <c r="Q122" i="5" s="1"/>
  <c r="AA121" i="5"/>
  <c r="P121" i="5"/>
  <c r="Q121" i="5" s="1"/>
  <c r="AA120" i="5"/>
  <c r="P120" i="5"/>
  <c r="Q120" i="5" s="1"/>
  <c r="AA119" i="5"/>
  <c r="P119" i="5"/>
  <c r="Q119" i="5" s="1"/>
  <c r="AA118" i="5"/>
  <c r="P118" i="5"/>
  <c r="Q118" i="5" s="1"/>
  <c r="AA117" i="5"/>
  <c r="P117" i="5"/>
  <c r="Q117" i="5" s="1"/>
  <c r="AA116" i="5"/>
  <c r="Q116" i="5"/>
  <c r="P116" i="5"/>
  <c r="AA115" i="5"/>
  <c r="P115" i="5"/>
  <c r="Q115" i="5" s="1"/>
  <c r="AA114" i="5"/>
  <c r="Q114" i="5"/>
  <c r="P114" i="5"/>
  <c r="AA113" i="5"/>
  <c r="P113" i="5"/>
  <c r="Q113" i="5" s="1"/>
  <c r="AA112" i="5"/>
  <c r="Q112" i="5"/>
  <c r="P112" i="5"/>
  <c r="AA111" i="5"/>
  <c r="Q111" i="5"/>
  <c r="P111" i="5"/>
  <c r="AA110" i="5"/>
  <c r="P110" i="5"/>
  <c r="Q110" i="5" s="1"/>
  <c r="AA109" i="5"/>
  <c r="P109" i="5"/>
  <c r="Q109" i="5" s="1"/>
  <c r="AA108" i="5"/>
  <c r="P108" i="5"/>
  <c r="Q108" i="5" s="1"/>
  <c r="AA107" i="5"/>
  <c r="P107" i="5"/>
  <c r="Q107" i="5" s="1"/>
  <c r="AA106" i="5"/>
  <c r="P106" i="5"/>
  <c r="Q106" i="5" s="1"/>
  <c r="AA105" i="5"/>
  <c r="P105" i="5"/>
  <c r="Q105" i="5" s="1"/>
  <c r="AA104" i="5"/>
  <c r="P104" i="5"/>
  <c r="Q104" i="5" s="1"/>
  <c r="AA103" i="5"/>
  <c r="Q103" i="5"/>
  <c r="P103" i="5"/>
  <c r="AA102" i="5"/>
  <c r="P102" i="5"/>
  <c r="Q102" i="5" s="1"/>
  <c r="AA101" i="5"/>
  <c r="Q101" i="5"/>
  <c r="P101" i="5"/>
  <c r="AA100" i="5"/>
  <c r="Q100" i="5"/>
  <c r="P100" i="5"/>
  <c r="AA99" i="5"/>
  <c r="Q99" i="5"/>
  <c r="P99" i="5"/>
  <c r="AA98" i="5"/>
  <c r="P98" i="5"/>
  <c r="Q98" i="5" s="1"/>
  <c r="AA97" i="5"/>
  <c r="P97" i="5"/>
  <c r="Q97" i="5" s="1"/>
  <c r="AA96" i="5"/>
  <c r="P96" i="5"/>
  <c r="Q96" i="5" s="1"/>
  <c r="AA95" i="5"/>
  <c r="P95" i="5"/>
  <c r="Q95" i="5" s="1"/>
  <c r="AA94" i="5"/>
  <c r="P94" i="5"/>
  <c r="Q94" i="5" s="1"/>
  <c r="AA93" i="5"/>
  <c r="P93" i="5"/>
  <c r="Q93" i="5" s="1"/>
  <c r="AA92" i="5"/>
  <c r="P92" i="5"/>
  <c r="Q92" i="5" s="1"/>
  <c r="AA91" i="5"/>
  <c r="P91" i="5"/>
  <c r="Q91" i="5" s="1"/>
  <c r="AA90" i="5"/>
  <c r="P90" i="5"/>
  <c r="Q90" i="5" s="1"/>
  <c r="AA89" i="5"/>
  <c r="P89" i="5"/>
  <c r="Q89" i="5" s="1"/>
  <c r="AA88" i="5"/>
  <c r="Q88" i="5"/>
  <c r="P88" i="5"/>
  <c r="AA87" i="5"/>
  <c r="Q87" i="5"/>
  <c r="P87" i="5"/>
  <c r="AA86" i="5"/>
  <c r="Q86" i="5"/>
  <c r="P86" i="5"/>
  <c r="AA85" i="5"/>
  <c r="P85" i="5"/>
  <c r="Q85" i="5" s="1"/>
  <c r="AA84" i="5"/>
  <c r="Q84" i="5"/>
  <c r="P84" i="5"/>
  <c r="AA83" i="5"/>
  <c r="Q83" i="5"/>
  <c r="P83" i="5"/>
  <c r="AA82" i="5"/>
  <c r="Q82" i="5"/>
  <c r="P82" i="5"/>
  <c r="AA81" i="5"/>
  <c r="P81" i="5"/>
  <c r="Q81" i="5" s="1"/>
  <c r="AA80" i="5"/>
  <c r="P80" i="5"/>
  <c r="Q80" i="5" s="1"/>
  <c r="AA79" i="5"/>
  <c r="Q79" i="5"/>
  <c r="P79" i="5"/>
  <c r="AA78" i="5"/>
  <c r="P78" i="5"/>
  <c r="Q78" i="5" s="1"/>
  <c r="AA77" i="5"/>
  <c r="P77" i="5"/>
  <c r="Q77" i="5" s="1"/>
  <c r="AA76" i="5"/>
  <c r="P76" i="5"/>
  <c r="Q76" i="5" s="1"/>
  <c r="AA75" i="5"/>
  <c r="P75" i="5"/>
  <c r="Q75" i="5" s="1"/>
  <c r="AA74" i="5"/>
  <c r="P74" i="5"/>
  <c r="Q74" i="5" s="1"/>
  <c r="AA73" i="5"/>
  <c r="P73" i="5"/>
  <c r="Q73" i="5" s="1"/>
  <c r="AA72" i="5"/>
  <c r="P72" i="5"/>
  <c r="Q72" i="5" s="1"/>
  <c r="AA71" i="5"/>
  <c r="Q71" i="5"/>
  <c r="P71" i="5"/>
  <c r="AA70" i="5"/>
  <c r="Q70" i="5"/>
  <c r="P70" i="5"/>
  <c r="AA69" i="5"/>
  <c r="Q69" i="5"/>
  <c r="P69" i="5"/>
  <c r="AA68" i="5"/>
  <c r="Q68" i="5"/>
  <c r="P68" i="5"/>
  <c r="AA67" i="5"/>
  <c r="Q67" i="5"/>
  <c r="P67" i="5"/>
  <c r="AA66" i="5"/>
  <c r="P66" i="5"/>
  <c r="Q66" i="5" s="1"/>
  <c r="AA65" i="5"/>
  <c r="P65" i="5"/>
  <c r="Q65" i="5" s="1"/>
  <c r="AA64" i="5"/>
  <c r="Q64" i="5"/>
  <c r="P64" i="5"/>
  <c r="AA63" i="5"/>
  <c r="Q63" i="5"/>
  <c r="P63" i="5"/>
  <c r="AA62" i="5"/>
  <c r="P62" i="5"/>
  <c r="Q62" i="5" s="1"/>
  <c r="AA61" i="5"/>
  <c r="P61" i="5"/>
  <c r="Q61" i="5" s="1"/>
  <c r="AA60" i="5"/>
  <c r="P60" i="5"/>
  <c r="Q60" i="5" s="1"/>
  <c r="AA59" i="5"/>
  <c r="P59" i="5"/>
  <c r="Q59" i="5" s="1"/>
  <c r="AA58" i="5"/>
  <c r="P58" i="5"/>
  <c r="Q58" i="5" s="1"/>
  <c r="AA57" i="5"/>
  <c r="P57" i="5"/>
  <c r="Q57" i="5" s="1"/>
  <c r="AA56" i="5"/>
  <c r="Q56" i="5"/>
  <c r="P56" i="5"/>
  <c r="AA55" i="5"/>
  <c r="Q55" i="5"/>
  <c r="P55" i="5"/>
  <c r="AA54" i="5"/>
  <c r="Q54" i="5"/>
  <c r="P54" i="5"/>
  <c r="AA53" i="5"/>
  <c r="P53" i="5"/>
  <c r="Q53" i="5" s="1"/>
  <c r="AA52" i="5"/>
  <c r="P52" i="5"/>
  <c r="Q52" i="5" s="1"/>
  <c r="AA51" i="5"/>
  <c r="P51" i="5"/>
  <c r="Q51" i="5" s="1"/>
  <c r="AA50" i="5"/>
  <c r="P50" i="5"/>
  <c r="Q50" i="5" s="1"/>
  <c r="AA49" i="5"/>
  <c r="P49" i="5"/>
  <c r="Q49" i="5" s="1"/>
  <c r="AA48" i="5"/>
  <c r="P48" i="5"/>
  <c r="Q48" i="5" s="1"/>
  <c r="AA47" i="5"/>
  <c r="Q47" i="5"/>
  <c r="P47" i="5"/>
  <c r="AA46" i="5"/>
  <c r="P46" i="5"/>
  <c r="Q46" i="5" s="1"/>
  <c r="AA45" i="5"/>
  <c r="P45" i="5"/>
  <c r="Q45" i="5" s="1"/>
  <c r="AA44" i="5"/>
  <c r="P44" i="5"/>
  <c r="Q44" i="5" s="1"/>
  <c r="AA43" i="5"/>
  <c r="P43" i="5"/>
  <c r="Q43" i="5" s="1"/>
  <c r="AA42" i="5"/>
  <c r="P42" i="5"/>
  <c r="Q42" i="5" s="1"/>
  <c r="AA41" i="5"/>
  <c r="P41" i="5"/>
  <c r="Q41" i="5" s="1"/>
  <c r="AA40" i="5"/>
  <c r="P40" i="5"/>
  <c r="Q40" i="5" s="1"/>
  <c r="AA39" i="5"/>
  <c r="P39" i="5"/>
  <c r="Q39" i="5" s="1"/>
  <c r="AA38" i="5"/>
  <c r="P38" i="5"/>
  <c r="Q38" i="5" s="1"/>
  <c r="AA37" i="5"/>
  <c r="P37" i="5"/>
  <c r="Q37" i="5" s="1"/>
  <c r="AA36" i="5"/>
  <c r="P36" i="5"/>
  <c r="Q36" i="5" s="1"/>
  <c r="AA35" i="5"/>
  <c r="Q35" i="5"/>
  <c r="P35" i="5"/>
  <c r="AA34" i="5"/>
  <c r="P34" i="5"/>
  <c r="Q34" i="5" s="1"/>
  <c r="AA33" i="5"/>
  <c r="P33" i="5"/>
  <c r="Q33" i="5" s="1"/>
  <c r="AA32" i="5"/>
  <c r="Q32" i="5"/>
  <c r="P32" i="5"/>
  <c r="AA31" i="5"/>
  <c r="Q31" i="5"/>
  <c r="P31" i="5"/>
  <c r="AA30" i="5"/>
  <c r="P30" i="5"/>
  <c r="Q30" i="5" s="1"/>
  <c r="AA29" i="5"/>
  <c r="P29" i="5"/>
  <c r="Q29" i="5" s="1"/>
  <c r="AA28" i="5"/>
  <c r="P28" i="5"/>
  <c r="Q28" i="5" s="1"/>
  <c r="AA27" i="5"/>
  <c r="P27" i="5"/>
  <c r="Q27" i="5" s="1"/>
  <c r="AA26" i="5"/>
  <c r="P26" i="5"/>
  <c r="Q26" i="5" s="1"/>
  <c r="AA25" i="5"/>
  <c r="P25" i="5"/>
  <c r="Q25" i="5" s="1"/>
  <c r="AA24" i="5"/>
  <c r="P24" i="5"/>
  <c r="Q24" i="5" s="1"/>
  <c r="AA23" i="5"/>
  <c r="P23" i="5"/>
  <c r="Q23" i="5" s="1"/>
  <c r="AA22" i="5"/>
  <c r="Q22" i="5"/>
  <c r="P22" i="5"/>
  <c r="AA21" i="5"/>
  <c r="P21" i="5"/>
  <c r="Q21" i="5" s="1"/>
  <c r="AA20" i="5"/>
  <c r="Q20" i="5"/>
  <c r="P20" i="5"/>
  <c r="AA19" i="5"/>
  <c r="Q19" i="5"/>
  <c r="P19" i="5"/>
  <c r="AA18" i="5"/>
  <c r="Q18" i="5"/>
  <c r="P18" i="5"/>
  <c r="AA17" i="5"/>
  <c r="P17" i="5"/>
  <c r="Q17" i="5" s="1"/>
  <c r="AA16" i="5"/>
  <c r="P16" i="5"/>
  <c r="Q16" i="5" s="1"/>
  <c r="AA15" i="5"/>
  <c r="P15" i="5"/>
  <c r="Q15" i="5" s="1"/>
  <c r="AA14" i="5"/>
  <c r="P14" i="5"/>
  <c r="Q14" i="5" s="1"/>
  <c r="AA13" i="5"/>
  <c r="P13" i="5"/>
  <c r="Q13" i="5" s="1"/>
  <c r="AA12" i="5"/>
  <c r="P12" i="5"/>
  <c r="Q12" i="5" s="1"/>
  <c r="AA11" i="5"/>
  <c r="P11" i="5"/>
  <c r="Q11" i="5" s="1"/>
  <c r="AA10" i="5"/>
  <c r="P10" i="5"/>
  <c r="Q10" i="5" s="1"/>
  <c r="AA9" i="5"/>
  <c r="P9" i="5"/>
  <c r="Q9" i="5" s="1"/>
  <c r="AA8" i="5"/>
  <c r="P8" i="5"/>
  <c r="Q8" i="5" s="1"/>
  <c r="AA7" i="5"/>
  <c r="Q7" i="5"/>
  <c r="P7" i="5"/>
  <c r="AA6" i="5"/>
  <c r="Q6" i="5"/>
  <c r="P6" i="5"/>
  <c r="AA5" i="5"/>
  <c r="Q5" i="5"/>
  <c r="P5" i="5"/>
  <c r="AA4" i="5"/>
  <c r="P4" i="5"/>
  <c r="Q4" i="5" s="1"/>
  <c r="AA3" i="5"/>
  <c r="Q3" i="5"/>
  <c r="P3" i="5"/>
  <c r="AA2" i="5"/>
  <c r="Q2" i="5"/>
  <c r="P2" i="5"/>
  <c r="N2000" i="4"/>
  <c r="N1999" i="4"/>
  <c r="N1998" i="4"/>
  <c r="N1997" i="4"/>
  <c r="N1996" i="4"/>
  <c r="N1995" i="4"/>
  <c r="N1994" i="4"/>
  <c r="N1993" i="4"/>
  <c r="N1992" i="4"/>
  <c r="N1991" i="4"/>
  <c r="N1990" i="4"/>
  <c r="N1989" i="4"/>
  <c r="N1988" i="4"/>
  <c r="N1987" i="4"/>
  <c r="N1986" i="4"/>
  <c r="N1985" i="4"/>
  <c r="N1984" i="4"/>
  <c r="N1983" i="4"/>
  <c r="N1982" i="4"/>
  <c r="N1981" i="4"/>
  <c r="N1980" i="4"/>
  <c r="N1979" i="4"/>
  <c r="N1978" i="4"/>
  <c r="N1977" i="4"/>
  <c r="N1976" i="4"/>
  <c r="N1975" i="4"/>
  <c r="N1974" i="4"/>
  <c r="N1973" i="4"/>
  <c r="N1972" i="4"/>
  <c r="N1971" i="4"/>
  <c r="N1970" i="4"/>
  <c r="N1969" i="4"/>
  <c r="N1968" i="4"/>
  <c r="N1967" i="4"/>
  <c r="N1966" i="4"/>
  <c r="N1965" i="4"/>
  <c r="N1964" i="4"/>
  <c r="N1963" i="4"/>
  <c r="N1962" i="4"/>
  <c r="N1961" i="4"/>
  <c r="N1960" i="4"/>
  <c r="N1959" i="4"/>
  <c r="N1958" i="4"/>
  <c r="N1957" i="4"/>
  <c r="N1956" i="4"/>
  <c r="N1955" i="4"/>
  <c r="N1954" i="4"/>
  <c r="N1953" i="4"/>
  <c r="N1952" i="4"/>
  <c r="N1951" i="4"/>
  <c r="N1950" i="4"/>
  <c r="N1949" i="4"/>
  <c r="N1948" i="4"/>
  <c r="N1947" i="4"/>
  <c r="N1946" i="4"/>
  <c r="N1945" i="4"/>
  <c r="N1944" i="4"/>
  <c r="N1943" i="4"/>
  <c r="N1942" i="4"/>
  <c r="N1941" i="4"/>
  <c r="N1940" i="4"/>
  <c r="N1939" i="4"/>
  <c r="N1938" i="4"/>
  <c r="N1937" i="4"/>
  <c r="N1936" i="4"/>
  <c r="N1935" i="4"/>
  <c r="N1934" i="4"/>
  <c r="N1933" i="4"/>
  <c r="N1932" i="4"/>
  <c r="N1931" i="4"/>
  <c r="N1930" i="4"/>
  <c r="N1929" i="4"/>
  <c r="N1928" i="4"/>
  <c r="N1927" i="4"/>
  <c r="N1926" i="4"/>
  <c r="N1925" i="4"/>
  <c r="N1924" i="4"/>
  <c r="N1923" i="4"/>
  <c r="N1922" i="4"/>
  <c r="N1921" i="4"/>
  <c r="N1920" i="4"/>
  <c r="N1919" i="4"/>
  <c r="N1918" i="4"/>
  <c r="N1917" i="4"/>
  <c r="N1916" i="4"/>
  <c r="N1915" i="4"/>
  <c r="N1914" i="4"/>
  <c r="N1913" i="4"/>
  <c r="N1912" i="4"/>
  <c r="N1911" i="4"/>
  <c r="N1910" i="4"/>
  <c r="N1909" i="4"/>
  <c r="N1908" i="4"/>
  <c r="N1907" i="4"/>
  <c r="N1906" i="4"/>
  <c r="N1905" i="4"/>
  <c r="N1904" i="4"/>
  <c r="N1903" i="4"/>
  <c r="N1902" i="4"/>
  <c r="N1901" i="4"/>
  <c r="N1900" i="4"/>
  <c r="N1899" i="4"/>
  <c r="N1898" i="4"/>
  <c r="N1897" i="4"/>
  <c r="N1896" i="4"/>
  <c r="N1895" i="4"/>
  <c r="N1894" i="4"/>
  <c r="N1893" i="4"/>
  <c r="N1892" i="4"/>
  <c r="N1891" i="4"/>
  <c r="N1890" i="4"/>
  <c r="N1889" i="4"/>
  <c r="N1888" i="4"/>
  <c r="N1887" i="4"/>
  <c r="N1886" i="4"/>
  <c r="N1885" i="4"/>
  <c r="N1884" i="4"/>
  <c r="N1883" i="4"/>
  <c r="N1882" i="4"/>
  <c r="N1881" i="4"/>
  <c r="N1880" i="4"/>
  <c r="N1879" i="4"/>
  <c r="N1878" i="4"/>
  <c r="N1877" i="4"/>
  <c r="N1876" i="4"/>
  <c r="N1875" i="4"/>
  <c r="N1874" i="4"/>
  <c r="N1873" i="4"/>
  <c r="N1872" i="4"/>
  <c r="N1871" i="4"/>
  <c r="N1870" i="4"/>
  <c r="N1869" i="4"/>
  <c r="N1868" i="4"/>
  <c r="N1867" i="4"/>
  <c r="N1866" i="4"/>
  <c r="N1865" i="4"/>
  <c r="N1864" i="4"/>
  <c r="N1863" i="4"/>
  <c r="N1862" i="4"/>
  <c r="N1861" i="4"/>
  <c r="N1860" i="4"/>
  <c r="N1859" i="4"/>
  <c r="N1858" i="4"/>
  <c r="N1857" i="4"/>
  <c r="N1856" i="4"/>
  <c r="N1855" i="4"/>
  <c r="N1854" i="4"/>
  <c r="N1853" i="4"/>
  <c r="N1852" i="4"/>
  <c r="N1851" i="4"/>
  <c r="N1850" i="4"/>
  <c r="N1849" i="4"/>
  <c r="N1848" i="4"/>
  <c r="N1847" i="4"/>
  <c r="N1846" i="4"/>
  <c r="N1845" i="4"/>
  <c r="N1844" i="4"/>
  <c r="N1843" i="4"/>
  <c r="N1842" i="4"/>
  <c r="N1841" i="4"/>
  <c r="N1840" i="4"/>
  <c r="N1839" i="4"/>
  <c r="N1838" i="4"/>
  <c r="N1837" i="4"/>
  <c r="N1836" i="4"/>
  <c r="N1835" i="4"/>
  <c r="N1834" i="4"/>
  <c r="N1833" i="4"/>
  <c r="N1832" i="4"/>
  <c r="N1831" i="4"/>
  <c r="N1830" i="4"/>
  <c r="N1829" i="4"/>
  <c r="N1828" i="4"/>
  <c r="N1827" i="4"/>
  <c r="N1826" i="4"/>
  <c r="N1825" i="4"/>
  <c r="N1824" i="4"/>
  <c r="N1823" i="4"/>
  <c r="N1822" i="4"/>
  <c r="N1821" i="4"/>
  <c r="N1820" i="4"/>
  <c r="N1819" i="4"/>
  <c r="N1818" i="4"/>
  <c r="N1817" i="4"/>
  <c r="N1816" i="4"/>
  <c r="N1815" i="4"/>
  <c r="N1814" i="4"/>
  <c r="N1813" i="4"/>
  <c r="N1812" i="4"/>
  <c r="N1811" i="4"/>
  <c r="N1810" i="4"/>
  <c r="N1809" i="4"/>
  <c r="N1808" i="4"/>
  <c r="N1807" i="4"/>
  <c r="N1806" i="4"/>
  <c r="N1805" i="4"/>
  <c r="N1804" i="4"/>
  <c r="N1803" i="4"/>
  <c r="N1802" i="4"/>
  <c r="N1801" i="4"/>
  <c r="N1800" i="4"/>
  <c r="N1799" i="4"/>
  <c r="N1798" i="4"/>
  <c r="N1797" i="4"/>
  <c r="N1796" i="4"/>
  <c r="N1795" i="4"/>
  <c r="N1794" i="4"/>
  <c r="N1793" i="4"/>
  <c r="N1792" i="4"/>
  <c r="N1791" i="4"/>
  <c r="N1790" i="4"/>
  <c r="N1789" i="4"/>
  <c r="N1788" i="4"/>
  <c r="N1787" i="4"/>
  <c r="N1786" i="4"/>
  <c r="N1785" i="4"/>
  <c r="N1784" i="4"/>
  <c r="N1783" i="4"/>
  <c r="N1782" i="4"/>
  <c r="N1781" i="4"/>
  <c r="N1780" i="4"/>
  <c r="N1779" i="4"/>
  <c r="N1778" i="4"/>
  <c r="N1777" i="4"/>
  <c r="N1776" i="4"/>
  <c r="N1775" i="4"/>
  <c r="N1774" i="4"/>
  <c r="N1773" i="4"/>
  <c r="N1772" i="4"/>
  <c r="N1771" i="4"/>
  <c r="N1770" i="4"/>
  <c r="N1769" i="4"/>
  <c r="N1768" i="4"/>
  <c r="N1767" i="4"/>
  <c r="N1766" i="4"/>
  <c r="N1765" i="4"/>
  <c r="N1764" i="4"/>
  <c r="N1763" i="4"/>
  <c r="N1762" i="4"/>
  <c r="N1761" i="4"/>
  <c r="N1760" i="4"/>
  <c r="N1759" i="4"/>
  <c r="N1758" i="4"/>
  <c r="N1757" i="4"/>
  <c r="N1756" i="4"/>
  <c r="N1755" i="4"/>
  <c r="N1754" i="4"/>
  <c r="N1753" i="4"/>
  <c r="N1752" i="4"/>
  <c r="N1751" i="4"/>
  <c r="N1750" i="4"/>
  <c r="N1749" i="4"/>
  <c r="N1748" i="4"/>
  <c r="N1747" i="4"/>
  <c r="N1746" i="4"/>
  <c r="N1745" i="4"/>
  <c r="N1744" i="4"/>
  <c r="N1743" i="4"/>
  <c r="N1742" i="4"/>
  <c r="N1741" i="4"/>
  <c r="N1740" i="4"/>
  <c r="N1739" i="4"/>
  <c r="N1738" i="4"/>
  <c r="N1737" i="4"/>
  <c r="N1736" i="4"/>
  <c r="N1735" i="4"/>
  <c r="N1734" i="4"/>
  <c r="N1733" i="4"/>
  <c r="N1732" i="4"/>
  <c r="N1731" i="4"/>
  <c r="N1730" i="4"/>
  <c r="N1729" i="4"/>
  <c r="N1728" i="4"/>
  <c r="N1727" i="4"/>
  <c r="N1726" i="4"/>
  <c r="N1725" i="4"/>
  <c r="N1724" i="4"/>
  <c r="N1723" i="4"/>
  <c r="N1722" i="4"/>
  <c r="N1721" i="4"/>
  <c r="N1720" i="4"/>
  <c r="N1719" i="4"/>
  <c r="N1718" i="4"/>
  <c r="N1717" i="4"/>
  <c r="N1716" i="4"/>
  <c r="N1715" i="4"/>
  <c r="N1714" i="4"/>
  <c r="N1713" i="4"/>
  <c r="N1712" i="4"/>
  <c r="N1711" i="4"/>
  <c r="N1710" i="4"/>
  <c r="N1709" i="4"/>
  <c r="N1708" i="4"/>
  <c r="N1707" i="4"/>
  <c r="N1706" i="4"/>
  <c r="N1705" i="4"/>
  <c r="N1704" i="4"/>
  <c r="N1703" i="4"/>
  <c r="N1702" i="4"/>
  <c r="N1701" i="4"/>
  <c r="N1700" i="4"/>
  <c r="N1699" i="4"/>
  <c r="N1698" i="4"/>
  <c r="N1697" i="4"/>
  <c r="N1696" i="4"/>
  <c r="N1695" i="4"/>
  <c r="N1694" i="4"/>
  <c r="N1693" i="4"/>
  <c r="N1692" i="4"/>
  <c r="N1691" i="4"/>
  <c r="N1690" i="4"/>
  <c r="N1689" i="4"/>
  <c r="N1688" i="4"/>
  <c r="N1687" i="4"/>
  <c r="N1686" i="4"/>
  <c r="N1685" i="4"/>
  <c r="N1684" i="4"/>
  <c r="N1683" i="4"/>
  <c r="N1682" i="4"/>
  <c r="N1681" i="4"/>
  <c r="N1680" i="4"/>
  <c r="N1679" i="4"/>
  <c r="N1678" i="4"/>
  <c r="N1677" i="4"/>
  <c r="N1676" i="4"/>
  <c r="N1675" i="4"/>
  <c r="N1674" i="4"/>
  <c r="N1673" i="4"/>
  <c r="N1672" i="4"/>
  <c r="N1671" i="4"/>
  <c r="N1670" i="4"/>
  <c r="N1669" i="4"/>
  <c r="N1668" i="4"/>
  <c r="N1667" i="4"/>
  <c r="N1666" i="4"/>
  <c r="N1665" i="4"/>
  <c r="N1664" i="4"/>
  <c r="N1663" i="4"/>
  <c r="N1662" i="4"/>
  <c r="N1661" i="4"/>
  <c r="N1660" i="4"/>
  <c r="N1659" i="4"/>
  <c r="N1658" i="4"/>
  <c r="N1657" i="4"/>
  <c r="N1656" i="4"/>
  <c r="N1655" i="4"/>
  <c r="N1654" i="4"/>
  <c r="N1653" i="4"/>
  <c r="N1652" i="4"/>
  <c r="N1651" i="4"/>
  <c r="N1650" i="4"/>
  <c r="N1649" i="4"/>
  <c r="N1648" i="4"/>
  <c r="N1647" i="4"/>
  <c r="N1646" i="4"/>
  <c r="N1645" i="4"/>
  <c r="N1644" i="4"/>
  <c r="N1643" i="4"/>
  <c r="N1642" i="4"/>
  <c r="N1641" i="4"/>
  <c r="N1640" i="4"/>
  <c r="N1639" i="4"/>
  <c r="N1638" i="4"/>
  <c r="N1637" i="4"/>
  <c r="N1636" i="4"/>
  <c r="N1635" i="4"/>
  <c r="N1634" i="4"/>
  <c r="N1633" i="4"/>
  <c r="N1632" i="4"/>
  <c r="N1631" i="4"/>
  <c r="N1630" i="4"/>
  <c r="N1629" i="4"/>
  <c r="N1628" i="4"/>
  <c r="N1627" i="4"/>
  <c r="N1626" i="4"/>
  <c r="N1625" i="4"/>
  <c r="N1624" i="4"/>
  <c r="N1623" i="4"/>
  <c r="N1622" i="4"/>
  <c r="N1621" i="4"/>
  <c r="N1620" i="4"/>
  <c r="N1619" i="4"/>
  <c r="N1618" i="4"/>
  <c r="N1617" i="4"/>
  <c r="N1616" i="4"/>
  <c r="N1615" i="4"/>
  <c r="N1614" i="4"/>
  <c r="N1613" i="4"/>
  <c r="N1612" i="4"/>
  <c r="N1611" i="4"/>
  <c r="N1610" i="4"/>
  <c r="N1609" i="4"/>
  <c r="N1608" i="4"/>
  <c r="N1607" i="4"/>
  <c r="N1606" i="4"/>
  <c r="N1605" i="4"/>
  <c r="N1604" i="4"/>
  <c r="N1603" i="4"/>
  <c r="N1602" i="4"/>
  <c r="N1601" i="4"/>
  <c r="N1600" i="4"/>
  <c r="N1599" i="4"/>
  <c r="N1598" i="4"/>
  <c r="N1597" i="4"/>
  <c r="N1596" i="4"/>
  <c r="N1595" i="4"/>
  <c r="N1594" i="4"/>
  <c r="N1593" i="4"/>
  <c r="N1592" i="4"/>
  <c r="N1591" i="4"/>
  <c r="N1590" i="4"/>
  <c r="N1589" i="4"/>
  <c r="N1588" i="4"/>
  <c r="N1587" i="4"/>
  <c r="N1586" i="4"/>
  <c r="N1585" i="4"/>
  <c r="N1584" i="4"/>
  <c r="N1583" i="4"/>
  <c r="N1582" i="4"/>
  <c r="N1581" i="4"/>
  <c r="N1580" i="4"/>
  <c r="N1579" i="4"/>
  <c r="N1578" i="4"/>
  <c r="N1577" i="4"/>
  <c r="N1576" i="4"/>
  <c r="N1575" i="4"/>
  <c r="N1574" i="4"/>
  <c r="N1573" i="4"/>
  <c r="N1572" i="4"/>
  <c r="N1571" i="4"/>
  <c r="N1570" i="4"/>
  <c r="N1569" i="4"/>
  <c r="N1568" i="4"/>
  <c r="N1567" i="4"/>
  <c r="N1566" i="4"/>
  <c r="N1565" i="4"/>
  <c r="N1564" i="4"/>
  <c r="N1563" i="4"/>
  <c r="N1562" i="4"/>
  <c r="N1561" i="4"/>
  <c r="N1560" i="4"/>
  <c r="N1559" i="4"/>
  <c r="N1558" i="4"/>
  <c r="N1557" i="4"/>
  <c r="N1556" i="4"/>
  <c r="N1555" i="4"/>
  <c r="N1554" i="4"/>
  <c r="N1553" i="4"/>
  <c r="N1552" i="4"/>
  <c r="N1551" i="4"/>
  <c r="N1550" i="4"/>
  <c r="N1549" i="4"/>
  <c r="N1548" i="4"/>
  <c r="N1547" i="4"/>
  <c r="N1546" i="4"/>
  <c r="N1545" i="4"/>
  <c r="N1544" i="4"/>
  <c r="N1543" i="4"/>
  <c r="N1542" i="4"/>
  <c r="N1541" i="4"/>
  <c r="N1540" i="4"/>
  <c r="N1539" i="4"/>
  <c r="N1538" i="4"/>
  <c r="N1537" i="4"/>
  <c r="N1536" i="4"/>
  <c r="N1535" i="4"/>
  <c r="N1534" i="4"/>
  <c r="N1533" i="4"/>
  <c r="N1532" i="4"/>
  <c r="N1531" i="4"/>
  <c r="N1530" i="4"/>
  <c r="N1529" i="4"/>
  <c r="N1528" i="4"/>
  <c r="N1527" i="4"/>
  <c r="N1526" i="4"/>
  <c r="N1525" i="4"/>
  <c r="N1524" i="4"/>
  <c r="N1523" i="4"/>
  <c r="N1522" i="4"/>
  <c r="N1521" i="4"/>
  <c r="N1520" i="4"/>
  <c r="N1519" i="4"/>
  <c r="N1518" i="4"/>
  <c r="N1517" i="4"/>
  <c r="N1516" i="4"/>
  <c r="N1515" i="4"/>
  <c r="N1514" i="4"/>
  <c r="N1513" i="4"/>
  <c r="N1512" i="4"/>
  <c r="N1511" i="4"/>
  <c r="N1510" i="4"/>
  <c r="N1509" i="4"/>
  <c r="N1508" i="4"/>
  <c r="N1507" i="4"/>
  <c r="N1506" i="4"/>
  <c r="N1505" i="4"/>
  <c r="N1504" i="4"/>
  <c r="N1503" i="4"/>
  <c r="N1502" i="4"/>
  <c r="N1501" i="4"/>
  <c r="N1500" i="4"/>
  <c r="N1499" i="4"/>
  <c r="N1498" i="4"/>
  <c r="N1497" i="4"/>
  <c r="N1496" i="4"/>
  <c r="N1495" i="4"/>
  <c r="N1494" i="4"/>
  <c r="N1493" i="4"/>
  <c r="N1492" i="4"/>
  <c r="N1491" i="4"/>
  <c r="N1490" i="4"/>
  <c r="N1489" i="4"/>
  <c r="N1488" i="4"/>
  <c r="N1487" i="4"/>
  <c r="N1486" i="4"/>
  <c r="N1485" i="4"/>
  <c r="N1484" i="4"/>
  <c r="N1483" i="4"/>
  <c r="N1482" i="4"/>
  <c r="N1481" i="4"/>
  <c r="N1480" i="4"/>
  <c r="N1479" i="4"/>
  <c r="N1478" i="4"/>
  <c r="N1477" i="4"/>
  <c r="N1476" i="4"/>
  <c r="N1475" i="4"/>
  <c r="N1474" i="4"/>
  <c r="N1473" i="4"/>
  <c r="N1472" i="4"/>
  <c r="N1471" i="4"/>
  <c r="N1470" i="4"/>
  <c r="N1469" i="4"/>
  <c r="N1468" i="4"/>
  <c r="N1467" i="4"/>
  <c r="N1466" i="4"/>
  <c r="N1465" i="4"/>
  <c r="N1464" i="4"/>
  <c r="N1463" i="4"/>
  <c r="N1462" i="4"/>
  <c r="N1461" i="4"/>
  <c r="N1460" i="4"/>
  <c r="N1459" i="4"/>
  <c r="N1458" i="4"/>
  <c r="N1457" i="4"/>
  <c r="N1456" i="4"/>
  <c r="N1455" i="4"/>
  <c r="N1454" i="4"/>
  <c r="N1453" i="4"/>
  <c r="N1452" i="4"/>
  <c r="N1451" i="4"/>
  <c r="N1450" i="4"/>
  <c r="N1449" i="4"/>
  <c r="N1448" i="4"/>
  <c r="N1447" i="4"/>
  <c r="N1446" i="4"/>
  <c r="N1445" i="4"/>
  <c r="N1444" i="4"/>
  <c r="N1443" i="4"/>
  <c r="N1442" i="4"/>
  <c r="N1441" i="4"/>
  <c r="N1440" i="4"/>
  <c r="N1439" i="4"/>
  <c r="N1438" i="4"/>
  <c r="N1437" i="4"/>
  <c r="N1436" i="4"/>
  <c r="N1435" i="4"/>
  <c r="N1434" i="4"/>
  <c r="N1433" i="4"/>
  <c r="N1432" i="4"/>
  <c r="N1431" i="4"/>
  <c r="N1430" i="4"/>
  <c r="N1429" i="4"/>
  <c r="N1428" i="4"/>
  <c r="N1427" i="4"/>
  <c r="N1426" i="4"/>
  <c r="N1425" i="4"/>
  <c r="N1424" i="4"/>
  <c r="N1423" i="4"/>
  <c r="N1422" i="4"/>
  <c r="N1421" i="4"/>
  <c r="N1420" i="4"/>
  <c r="N1419" i="4"/>
  <c r="N1418" i="4"/>
  <c r="N1417" i="4"/>
  <c r="N1416" i="4"/>
  <c r="N1415" i="4"/>
  <c r="N1414" i="4"/>
  <c r="N1413" i="4"/>
  <c r="N1412" i="4"/>
  <c r="N1411" i="4"/>
  <c r="N1410" i="4"/>
  <c r="N1409" i="4"/>
  <c r="N1408" i="4"/>
  <c r="N1407" i="4"/>
  <c r="N1406" i="4"/>
  <c r="N1405" i="4"/>
  <c r="N1404" i="4"/>
  <c r="N1403" i="4"/>
  <c r="N1402" i="4"/>
  <c r="N1401" i="4"/>
  <c r="N1400" i="4"/>
  <c r="N1399" i="4"/>
  <c r="N1398" i="4"/>
  <c r="N1397" i="4"/>
  <c r="N1396" i="4"/>
  <c r="N1395" i="4"/>
  <c r="N1394" i="4"/>
  <c r="N1393" i="4"/>
  <c r="N1392" i="4"/>
  <c r="N1391" i="4"/>
  <c r="N1390" i="4"/>
  <c r="N1389" i="4"/>
  <c r="N1388" i="4"/>
  <c r="N1387" i="4"/>
  <c r="N1386" i="4"/>
  <c r="N1385" i="4"/>
  <c r="N1384" i="4"/>
  <c r="N1383" i="4"/>
  <c r="N1382" i="4"/>
  <c r="N1381" i="4"/>
  <c r="N1380" i="4"/>
  <c r="N1379" i="4"/>
  <c r="N1378" i="4"/>
  <c r="N1377" i="4"/>
  <c r="N1376" i="4"/>
  <c r="N1375" i="4"/>
  <c r="N1374" i="4"/>
  <c r="N1373" i="4"/>
  <c r="N1372" i="4"/>
  <c r="N1371" i="4"/>
  <c r="N1370" i="4"/>
  <c r="N1369" i="4"/>
  <c r="N1368" i="4"/>
  <c r="N1367" i="4"/>
  <c r="N1366" i="4"/>
  <c r="N1365" i="4"/>
  <c r="N1364" i="4"/>
  <c r="N1363" i="4"/>
  <c r="N1362" i="4"/>
  <c r="N1361" i="4"/>
  <c r="N1360" i="4"/>
  <c r="N1359" i="4"/>
  <c r="N1358" i="4"/>
  <c r="N1357" i="4"/>
  <c r="N1356" i="4"/>
  <c r="N1355" i="4"/>
  <c r="N1354" i="4"/>
  <c r="N1353" i="4"/>
  <c r="N1352" i="4"/>
  <c r="N1351" i="4"/>
  <c r="N1350" i="4"/>
  <c r="N1349" i="4"/>
  <c r="N1348" i="4"/>
  <c r="N1347" i="4"/>
  <c r="N1346" i="4"/>
  <c r="N1345" i="4"/>
  <c r="N1344" i="4"/>
  <c r="N1343" i="4"/>
  <c r="N1342" i="4"/>
  <c r="N1341" i="4"/>
  <c r="N1340" i="4"/>
  <c r="N1339" i="4"/>
  <c r="N1338" i="4"/>
  <c r="N1337" i="4"/>
  <c r="N1336" i="4"/>
  <c r="N1335" i="4"/>
  <c r="N1334" i="4"/>
  <c r="N1333" i="4"/>
  <c r="N1332" i="4"/>
  <c r="N1331" i="4"/>
  <c r="N1330" i="4"/>
  <c r="N1329" i="4"/>
  <c r="N1328" i="4"/>
  <c r="N1327" i="4"/>
  <c r="N1326" i="4"/>
  <c r="N1325" i="4"/>
  <c r="N1324" i="4"/>
  <c r="N1323" i="4"/>
  <c r="N1322" i="4"/>
  <c r="N1321" i="4"/>
  <c r="N1320" i="4"/>
  <c r="N1319" i="4"/>
  <c r="N1318" i="4"/>
  <c r="N1317" i="4"/>
  <c r="N1316" i="4"/>
  <c r="N1315" i="4"/>
  <c r="N1314" i="4"/>
  <c r="N1313" i="4"/>
  <c r="N1312" i="4"/>
  <c r="N1311" i="4"/>
  <c r="N1310" i="4"/>
  <c r="N1309" i="4"/>
  <c r="N1308" i="4"/>
  <c r="N1307" i="4"/>
  <c r="N1306" i="4"/>
  <c r="N1305" i="4"/>
  <c r="N1304" i="4"/>
  <c r="N1303" i="4"/>
  <c r="N1302" i="4"/>
  <c r="N1301" i="4"/>
  <c r="N1300" i="4"/>
  <c r="N1299" i="4"/>
  <c r="N1298" i="4"/>
  <c r="N1297" i="4"/>
  <c r="N1296" i="4"/>
  <c r="N1295" i="4"/>
  <c r="N1294" i="4"/>
  <c r="N1293" i="4"/>
  <c r="N1292" i="4"/>
  <c r="N1291" i="4"/>
  <c r="N1290" i="4"/>
  <c r="N1289" i="4"/>
  <c r="N1288" i="4"/>
  <c r="N1287" i="4"/>
  <c r="N1286" i="4"/>
  <c r="N1285" i="4"/>
  <c r="N1284" i="4"/>
  <c r="N1283" i="4"/>
  <c r="N1282" i="4"/>
  <c r="N1281" i="4"/>
  <c r="N1280" i="4"/>
  <c r="N1279" i="4"/>
  <c r="N1278" i="4"/>
  <c r="N1277" i="4"/>
  <c r="N1276" i="4"/>
  <c r="N1275" i="4"/>
  <c r="N1274" i="4"/>
  <c r="N1273" i="4"/>
  <c r="N1272" i="4"/>
  <c r="N1271" i="4"/>
  <c r="N1270" i="4"/>
  <c r="N1269" i="4"/>
  <c r="N1268" i="4"/>
  <c r="N1267" i="4"/>
  <c r="N1266" i="4"/>
  <c r="N1265" i="4"/>
  <c r="N1264" i="4"/>
  <c r="N1263" i="4"/>
  <c r="N1262" i="4"/>
  <c r="N1261" i="4"/>
  <c r="N1260" i="4"/>
  <c r="N1259" i="4"/>
  <c r="N1258" i="4"/>
  <c r="N1257" i="4"/>
  <c r="N1256" i="4"/>
  <c r="N1255" i="4"/>
  <c r="N1254" i="4"/>
  <c r="N1253" i="4"/>
  <c r="N1252" i="4"/>
  <c r="N1251" i="4"/>
  <c r="N1250" i="4"/>
  <c r="N1249" i="4"/>
  <c r="N1248" i="4"/>
  <c r="N1247" i="4"/>
  <c r="N1246" i="4"/>
  <c r="N1245" i="4"/>
  <c r="N1244" i="4"/>
  <c r="N1243" i="4"/>
  <c r="N1242" i="4"/>
  <c r="N1241" i="4"/>
  <c r="N1240" i="4"/>
  <c r="N1239" i="4"/>
  <c r="N1238" i="4"/>
  <c r="N1237" i="4"/>
  <c r="N1236" i="4"/>
  <c r="N1235" i="4"/>
  <c r="N1234" i="4"/>
  <c r="N1233" i="4"/>
  <c r="N1232" i="4"/>
  <c r="N1231" i="4"/>
  <c r="N1230" i="4"/>
  <c r="N1229" i="4"/>
  <c r="N1228" i="4"/>
  <c r="N1227" i="4"/>
  <c r="N1226" i="4"/>
  <c r="N1225" i="4"/>
  <c r="N1224" i="4"/>
  <c r="N1223" i="4"/>
  <c r="N1222" i="4"/>
  <c r="N1221" i="4"/>
  <c r="N1220" i="4"/>
  <c r="N1219" i="4"/>
  <c r="N1218" i="4"/>
  <c r="N1217" i="4"/>
  <c r="N1216" i="4"/>
  <c r="N1215" i="4"/>
  <c r="N1214" i="4"/>
  <c r="N1213" i="4"/>
  <c r="N1212" i="4"/>
  <c r="N1211" i="4"/>
  <c r="N1210" i="4"/>
  <c r="N1209" i="4"/>
  <c r="N1208" i="4"/>
  <c r="N1207" i="4"/>
  <c r="N1206" i="4"/>
  <c r="N1205" i="4"/>
  <c r="N1204" i="4"/>
  <c r="N1203" i="4"/>
  <c r="N1202" i="4"/>
  <c r="N1201" i="4"/>
  <c r="N1200" i="4"/>
  <c r="N1199" i="4"/>
  <c r="N1198" i="4"/>
  <c r="N1197" i="4"/>
  <c r="N1196" i="4"/>
  <c r="N1195" i="4"/>
  <c r="N1194" i="4"/>
  <c r="N1193" i="4"/>
  <c r="N1192" i="4"/>
  <c r="N1191" i="4"/>
  <c r="N1190" i="4"/>
  <c r="N1189" i="4"/>
  <c r="N1188" i="4"/>
  <c r="N1187" i="4"/>
  <c r="N1186" i="4"/>
  <c r="N1185" i="4"/>
  <c r="N1184" i="4"/>
  <c r="N1183" i="4"/>
  <c r="N1182" i="4"/>
  <c r="N1181" i="4"/>
  <c r="N1180" i="4"/>
  <c r="N1179" i="4"/>
  <c r="N1178" i="4"/>
  <c r="N1177" i="4"/>
  <c r="N1176" i="4"/>
  <c r="N1175" i="4"/>
  <c r="N1174" i="4"/>
  <c r="N1173" i="4"/>
  <c r="N1172" i="4"/>
  <c r="N1171" i="4"/>
  <c r="N1170" i="4"/>
  <c r="N1169" i="4"/>
  <c r="N1168" i="4"/>
  <c r="N1167" i="4"/>
  <c r="N1166" i="4"/>
  <c r="N1165" i="4"/>
  <c r="N1164" i="4"/>
  <c r="N1163" i="4"/>
  <c r="N1162" i="4"/>
  <c r="N1161" i="4"/>
  <c r="N1160" i="4"/>
  <c r="N1159" i="4"/>
  <c r="N1158" i="4"/>
  <c r="N1157" i="4"/>
  <c r="N1156" i="4"/>
  <c r="N1155" i="4"/>
  <c r="N1154" i="4"/>
  <c r="N1153" i="4"/>
  <c r="N1152" i="4"/>
  <c r="N1151" i="4"/>
  <c r="N1150" i="4"/>
  <c r="N1149" i="4"/>
  <c r="N1148" i="4"/>
  <c r="N1147" i="4"/>
  <c r="N1146" i="4"/>
  <c r="N1145" i="4"/>
  <c r="N1144" i="4"/>
  <c r="N1143" i="4"/>
  <c r="N1142" i="4"/>
  <c r="N1141" i="4"/>
  <c r="N1140" i="4"/>
  <c r="N1139" i="4"/>
  <c r="N1138" i="4"/>
  <c r="N1137" i="4"/>
  <c r="N1136" i="4"/>
  <c r="N1135" i="4"/>
  <c r="N1134" i="4"/>
  <c r="N1133" i="4"/>
  <c r="N1132" i="4"/>
  <c r="N1131" i="4"/>
  <c r="N1130" i="4"/>
  <c r="N1129" i="4"/>
  <c r="N1128" i="4"/>
  <c r="N1127" i="4"/>
  <c r="N1126" i="4"/>
  <c r="N1125" i="4"/>
  <c r="N1124" i="4"/>
  <c r="N1123" i="4"/>
  <c r="N1122" i="4"/>
  <c r="N1121" i="4"/>
  <c r="N1120" i="4"/>
  <c r="N1119" i="4"/>
  <c r="N1118" i="4"/>
  <c r="N1117" i="4"/>
  <c r="N1116" i="4"/>
  <c r="N1115" i="4"/>
  <c r="N1114" i="4"/>
  <c r="N1113" i="4"/>
  <c r="N1112" i="4"/>
  <c r="N1111" i="4"/>
  <c r="N1110" i="4"/>
  <c r="N1109" i="4"/>
  <c r="N1108" i="4"/>
  <c r="N1107" i="4"/>
  <c r="N1106" i="4"/>
  <c r="N1105" i="4"/>
  <c r="N1104" i="4"/>
  <c r="N1103" i="4"/>
  <c r="N1102" i="4"/>
  <c r="N1101" i="4"/>
  <c r="N1100" i="4"/>
  <c r="N1099" i="4"/>
  <c r="N1098" i="4"/>
  <c r="N1097" i="4"/>
  <c r="N1096" i="4"/>
  <c r="N1095" i="4"/>
  <c r="N1094" i="4"/>
  <c r="N1093" i="4"/>
  <c r="N1092" i="4"/>
  <c r="N1091" i="4"/>
  <c r="N1090" i="4"/>
  <c r="N1089" i="4"/>
  <c r="N1088" i="4"/>
  <c r="N1087" i="4"/>
  <c r="N1086" i="4"/>
  <c r="N1085" i="4"/>
  <c r="N1084" i="4"/>
  <c r="N1083" i="4"/>
  <c r="N1082" i="4"/>
  <c r="N1081" i="4"/>
  <c r="N1080" i="4"/>
  <c r="N1079" i="4"/>
  <c r="N1078" i="4"/>
  <c r="N1077" i="4"/>
  <c r="N1076" i="4"/>
  <c r="N1075" i="4"/>
  <c r="N1074" i="4"/>
  <c r="N1073" i="4"/>
  <c r="N1072" i="4"/>
  <c r="N1071" i="4"/>
  <c r="N1070" i="4"/>
  <c r="N1069" i="4"/>
  <c r="N1068" i="4"/>
  <c r="N1067" i="4"/>
  <c r="N1066" i="4"/>
  <c r="N1065" i="4"/>
  <c r="N1064" i="4"/>
  <c r="N1063" i="4"/>
  <c r="N1062" i="4"/>
  <c r="N1061" i="4"/>
  <c r="N1060" i="4"/>
  <c r="N1059" i="4"/>
  <c r="N1058" i="4"/>
  <c r="N1057" i="4"/>
  <c r="N1056" i="4"/>
  <c r="N1055" i="4"/>
  <c r="N1054" i="4"/>
  <c r="N1053" i="4"/>
  <c r="N1052" i="4"/>
  <c r="N1051" i="4"/>
  <c r="N1050" i="4"/>
  <c r="N1049" i="4"/>
  <c r="N1048" i="4"/>
  <c r="N1047" i="4"/>
  <c r="N1046" i="4"/>
  <c r="N1045" i="4"/>
  <c r="N1044" i="4"/>
  <c r="N1043" i="4"/>
  <c r="N1042" i="4"/>
  <c r="N1041" i="4"/>
  <c r="N1040" i="4"/>
  <c r="N1039" i="4"/>
  <c r="N1038" i="4"/>
  <c r="N1037" i="4"/>
  <c r="N1036" i="4"/>
  <c r="N1035" i="4"/>
  <c r="N1034" i="4"/>
  <c r="N1033" i="4"/>
  <c r="N1032" i="4"/>
  <c r="N1031" i="4"/>
  <c r="N1030" i="4"/>
  <c r="N1029" i="4"/>
  <c r="N1028" i="4"/>
  <c r="N1027" i="4"/>
  <c r="N1026" i="4"/>
  <c r="N1025" i="4"/>
  <c r="N1024" i="4"/>
  <c r="N1023" i="4"/>
  <c r="N1022" i="4"/>
  <c r="N1021" i="4"/>
  <c r="N1020" i="4"/>
  <c r="N1019" i="4"/>
  <c r="N1018" i="4"/>
  <c r="N1017" i="4"/>
  <c r="N1016" i="4"/>
  <c r="N1015" i="4"/>
  <c r="N1014" i="4"/>
  <c r="N1013" i="4"/>
  <c r="N1012" i="4"/>
  <c r="N1011" i="4"/>
  <c r="N1010" i="4"/>
  <c r="N1009" i="4"/>
  <c r="N1008" i="4"/>
  <c r="N1007" i="4"/>
  <c r="N1006" i="4"/>
  <c r="N1005" i="4"/>
  <c r="N1004" i="4"/>
  <c r="N1003" i="4"/>
  <c r="N1002" i="4"/>
  <c r="N1001" i="4"/>
  <c r="N1000" i="4"/>
  <c r="N999" i="4"/>
  <c r="N998" i="4"/>
  <c r="N997" i="4"/>
  <c r="N996" i="4"/>
  <c r="N995" i="4"/>
  <c r="N994" i="4"/>
  <c r="N993" i="4"/>
  <c r="N992" i="4"/>
  <c r="N991" i="4"/>
  <c r="N990" i="4"/>
  <c r="N989" i="4"/>
  <c r="N988" i="4"/>
  <c r="N987" i="4"/>
  <c r="N986" i="4"/>
  <c r="N985" i="4"/>
  <c r="N984" i="4"/>
  <c r="N983" i="4"/>
  <c r="N982" i="4"/>
  <c r="N981" i="4"/>
  <c r="N980" i="4"/>
  <c r="N979" i="4"/>
  <c r="N978" i="4"/>
  <c r="N977" i="4"/>
  <c r="N976" i="4"/>
  <c r="N975" i="4"/>
  <c r="N974" i="4"/>
  <c r="N973" i="4"/>
  <c r="N972" i="4"/>
  <c r="N971" i="4"/>
  <c r="N970" i="4"/>
  <c r="N969" i="4"/>
  <c r="N968" i="4"/>
  <c r="N967" i="4"/>
  <c r="N966" i="4"/>
  <c r="N965" i="4"/>
  <c r="N964" i="4"/>
  <c r="N963" i="4"/>
  <c r="N962" i="4"/>
  <c r="N961" i="4"/>
  <c r="N960" i="4"/>
  <c r="N959" i="4"/>
  <c r="N958" i="4"/>
  <c r="N957" i="4"/>
  <c r="N956" i="4"/>
  <c r="N955" i="4"/>
  <c r="N954" i="4"/>
  <c r="N953" i="4"/>
  <c r="N952" i="4"/>
  <c r="N951" i="4"/>
  <c r="N950" i="4"/>
  <c r="N949" i="4"/>
  <c r="N948" i="4"/>
  <c r="N947" i="4"/>
  <c r="N946" i="4"/>
  <c r="N945" i="4"/>
  <c r="N944" i="4"/>
  <c r="N943" i="4"/>
  <c r="N942" i="4"/>
  <c r="N941" i="4"/>
  <c r="N940" i="4"/>
  <c r="N939" i="4"/>
  <c r="N938" i="4"/>
  <c r="N937" i="4"/>
  <c r="N936" i="4"/>
  <c r="N935" i="4"/>
  <c r="N934" i="4"/>
  <c r="N933" i="4"/>
  <c r="N932" i="4"/>
  <c r="N931" i="4"/>
  <c r="N930" i="4"/>
  <c r="N929" i="4"/>
  <c r="N928" i="4"/>
  <c r="N927" i="4"/>
  <c r="N926" i="4"/>
  <c r="N925" i="4"/>
  <c r="N924" i="4"/>
  <c r="N923" i="4"/>
  <c r="N922" i="4"/>
  <c r="N921" i="4"/>
  <c r="N920" i="4"/>
  <c r="N919" i="4"/>
  <c r="N918" i="4"/>
  <c r="N917" i="4"/>
  <c r="N916" i="4"/>
  <c r="N915" i="4"/>
  <c r="N914" i="4"/>
  <c r="N913" i="4"/>
  <c r="N912" i="4"/>
  <c r="N911" i="4"/>
  <c r="N910" i="4"/>
  <c r="N909" i="4"/>
  <c r="N908" i="4"/>
  <c r="N907" i="4"/>
  <c r="N906" i="4"/>
  <c r="N905" i="4"/>
  <c r="N904" i="4"/>
  <c r="N903" i="4"/>
  <c r="N902" i="4"/>
  <c r="N901" i="4"/>
  <c r="N900" i="4"/>
  <c r="N899" i="4"/>
  <c r="N898" i="4"/>
  <c r="N897" i="4"/>
  <c r="N896" i="4"/>
  <c r="N895" i="4"/>
  <c r="N894" i="4"/>
  <c r="N893" i="4"/>
  <c r="N892" i="4"/>
  <c r="N891" i="4"/>
  <c r="N890" i="4"/>
  <c r="N889" i="4"/>
  <c r="N888" i="4"/>
  <c r="N887" i="4"/>
  <c r="N886" i="4"/>
  <c r="N885" i="4"/>
  <c r="N884" i="4"/>
  <c r="N883" i="4"/>
  <c r="N882" i="4"/>
  <c r="N881" i="4"/>
  <c r="N880" i="4"/>
  <c r="N879" i="4"/>
  <c r="N878" i="4"/>
  <c r="N877" i="4"/>
  <c r="N876" i="4"/>
  <c r="N875" i="4"/>
  <c r="N874" i="4"/>
  <c r="N873" i="4"/>
  <c r="N872" i="4"/>
  <c r="N871" i="4"/>
  <c r="N870" i="4"/>
  <c r="N869" i="4"/>
  <c r="N868" i="4"/>
  <c r="N867" i="4"/>
  <c r="N866" i="4"/>
  <c r="N865" i="4"/>
  <c r="N864" i="4"/>
  <c r="N863" i="4"/>
  <c r="N862" i="4"/>
  <c r="N861" i="4"/>
  <c r="N860" i="4"/>
  <c r="N859" i="4"/>
  <c r="N858" i="4"/>
  <c r="N857" i="4"/>
  <c r="N856" i="4"/>
  <c r="N855" i="4"/>
  <c r="N854" i="4"/>
  <c r="N853" i="4"/>
  <c r="N852" i="4"/>
  <c r="N851" i="4"/>
  <c r="N850" i="4"/>
  <c r="N849" i="4"/>
  <c r="N848" i="4"/>
  <c r="N847" i="4"/>
  <c r="N846" i="4"/>
  <c r="N845" i="4"/>
  <c r="N844" i="4"/>
  <c r="N843" i="4"/>
  <c r="N842" i="4"/>
  <c r="N841" i="4"/>
  <c r="N840" i="4"/>
  <c r="N839" i="4"/>
  <c r="N838" i="4"/>
  <c r="N837" i="4"/>
  <c r="N836" i="4"/>
  <c r="N835" i="4"/>
  <c r="N834" i="4"/>
  <c r="N833" i="4"/>
  <c r="N832" i="4"/>
  <c r="N831" i="4"/>
  <c r="N830" i="4"/>
  <c r="N829" i="4"/>
  <c r="N828" i="4"/>
  <c r="N827" i="4"/>
  <c r="N826" i="4"/>
  <c r="N825" i="4"/>
  <c r="N824" i="4"/>
  <c r="N823" i="4"/>
  <c r="N822" i="4"/>
  <c r="N821" i="4"/>
  <c r="N820" i="4"/>
  <c r="N819" i="4"/>
  <c r="N818" i="4"/>
  <c r="N817" i="4"/>
  <c r="N816" i="4"/>
  <c r="N815" i="4"/>
  <c r="N814" i="4"/>
  <c r="N813" i="4"/>
  <c r="N812" i="4"/>
  <c r="N811" i="4"/>
  <c r="N810" i="4"/>
  <c r="N809" i="4"/>
  <c r="N808" i="4"/>
  <c r="N807" i="4"/>
  <c r="N806" i="4"/>
  <c r="N805" i="4"/>
  <c r="N804" i="4"/>
  <c r="N803" i="4"/>
  <c r="N802" i="4"/>
  <c r="N801" i="4"/>
  <c r="N800" i="4"/>
  <c r="N799" i="4"/>
  <c r="N798" i="4"/>
  <c r="N797" i="4"/>
  <c r="N796" i="4"/>
  <c r="N795" i="4"/>
  <c r="N794" i="4"/>
  <c r="N793" i="4"/>
  <c r="N792" i="4"/>
  <c r="N791" i="4"/>
  <c r="N790" i="4"/>
  <c r="N789" i="4"/>
  <c r="N788" i="4"/>
  <c r="N787" i="4"/>
  <c r="N786" i="4"/>
  <c r="N785" i="4"/>
  <c r="N784" i="4"/>
  <c r="N783" i="4"/>
  <c r="N782" i="4"/>
  <c r="N781" i="4"/>
  <c r="N780" i="4"/>
  <c r="N779" i="4"/>
  <c r="N778" i="4"/>
  <c r="N777" i="4"/>
  <c r="N776" i="4"/>
  <c r="N775" i="4"/>
  <c r="N774" i="4"/>
  <c r="N773" i="4"/>
  <c r="N772" i="4"/>
  <c r="N771" i="4"/>
  <c r="N770" i="4"/>
  <c r="N769" i="4"/>
  <c r="N768" i="4"/>
  <c r="N767" i="4"/>
  <c r="N766" i="4"/>
  <c r="N765" i="4"/>
  <c r="N764" i="4"/>
  <c r="N763" i="4"/>
  <c r="N762" i="4"/>
  <c r="N761" i="4"/>
  <c r="N760" i="4"/>
  <c r="N759" i="4"/>
  <c r="N758" i="4"/>
  <c r="N757" i="4"/>
  <c r="N756" i="4"/>
  <c r="N755" i="4"/>
  <c r="N754" i="4"/>
  <c r="N753" i="4"/>
  <c r="N752" i="4"/>
  <c r="N751" i="4"/>
  <c r="N750" i="4"/>
  <c r="N749" i="4"/>
  <c r="N748" i="4"/>
  <c r="N747" i="4"/>
  <c r="N746" i="4"/>
  <c r="N745" i="4"/>
  <c r="N744" i="4"/>
  <c r="N743" i="4"/>
  <c r="N742" i="4"/>
  <c r="N741" i="4"/>
  <c r="N740" i="4"/>
  <c r="N739" i="4"/>
  <c r="N738" i="4"/>
  <c r="N737" i="4"/>
  <c r="N736" i="4"/>
  <c r="N735" i="4"/>
  <c r="N734" i="4"/>
  <c r="N733" i="4"/>
  <c r="N732" i="4"/>
  <c r="N731" i="4"/>
  <c r="N730" i="4"/>
  <c r="N729" i="4"/>
  <c r="N728" i="4"/>
  <c r="N727" i="4"/>
  <c r="N726" i="4"/>
  <c r="N725" i="4"/>
  <c r="N724" i="4"/>
  <c r="N723" i="4"/>
  <c r="N722" i="4"/>
  <c r="N721" i="4"/>
  <c r="N720" i="4"/>
  <c r="N719" i="4"/>
  <c r="N718" i="4"/>
  <c r="N717" i="4"/>
  <c r="N716" i="4"/>
  <c r="N715" i="4"/>
  <c r="N714" i="4"/>
  <c r="N713" i="4"/>
  <c r="N712" i="4"/>
  <c r="N711" i="4"/>
  <c r="N710" i="4"/>
  <c r="N709" i="4"/>
  <c r="N708" i="4"/>
  <c r="N707" i="4"/>
  <c r="N706" i="4"/>
  <c r="N705" i="4"/>
  <c r="N704" i="4"/>
  <c r="N703" i="4"/>
  <c r="N702" i="4"/>
  <c r="N701" i="4"/>
  <c r="N700" i="4"/>
  <c r="N699" i="4"/>
  <c r="N698" i="4"/>
  <c r="N697" i="4"/>
  <c r="N696" i="4"/>
  <c r="N695" i="4"/>
  <c r="N694" i="4"/>
  <c r="N693" i="4"/>
  <c r="N692" i="4"/>
  <c r="N691" i="4"/>
  <c r="N690" i="4"/>
  <c r="N689" i="4"/>
  <c r="N688" i="4"/>
  <c r="N687" i="4"/>
  <c r="N686" i="4"/>
  <c r="N685" i="4"/>
  <c r="N684" i="4"/>
  <c r="N683" i="4"/>
  <c r="N682" i="4"/>
  <c r="N681" i="4"/>
  <c r="N680" i="4"/>
  <c r="N679" i="4"/>
  <c r="N678" i="4"/>
  <c r="N677" i="4"/>
  <c r="N676" i="4"/>
  <c r="N675" i="4"/>
  <c r="N674" i="4"/>
  <c r="N673" i="4"/>
  <c r="N672" i="4"/>
  <c r="N671" i="4"/>
  <c r="N670" i="4"/>
  <c r="N669" i="4"/>
  <c r="N668" i="4"/>
  <c r="N667" i="4"/>
  <c r="N666" i="4"/>
  <c r="N665" i="4"/>
  <c r="N664" i="4"/>
  <c r="N663" i="4"/>
  <c r="N662" i="4"/>
  <c r="N661" i="4"/>
  <c r="N660" i="4"/>
  <c r="N659" i="4"/>
  <c r="N658" i="4"/>
  <c r="N657" i="4"/>
  <c r="N656" i="4"/>
  <c r="N655" i="4"/>
  <c r="N654" i="4"/>
  <c r="N653" i="4"/>
  <c r="N652" i="4"/>
  <c r="N651" i="4"/>
  <c r="N650" i="4"/>
  <c r="N649" i="4"/>
  <c r="N648" i="4"/>
  <c r="N647" i="4"/>
  <c r="N646" i="4"/>
  <c r="N645" i="4"/>
  <c r="N644" i="4"/>
  <c r="N643" i="4"/>
  <c r="N642" i="4"/>
  <c r="N641" i="4"/>
  <c r="N640" i="4"/>
  <c r="N639" i="4"/>
  <c r="N638" i="4"/>
  <c r="N637" i="4"/>
  <c r="N636" i="4"/>
  <c r="N635" i="4"/>
  <c r="N634" i="4"/>
  <c r="N633" i="4"/>
  <c r="N632" i="4"/>
  <c r="N631" i="4"/>
  <c r="N630" i="4"/>
  <c r="N629" i="4"/>
  <c r="N628" i="4"/>
  <c r="N627" i="4"/>
  <c r="N626" i="4"/>
  <c r="N625" i="4"/>
  <c r="N624" i="4"/>
  <c r="N623" i="4"/>
  <c r="N622" i="4"/>
  <c r="N621" i="4"/>
  <c r="N620" i="4"/>
  <c r="N619" i="4"/>
  <c r="N618" i="4"/>
  <c r="N617" i="4"/>
  <c r="N616" i="4"/>
  <c r="N615" i="4"/>
  <c r="N614" i="4"/>
  <c r="N613" i="4"/>
  <c r="N612" i="4"/>
  <c r="N611" i="4"/>
  <c r="N610" i="4"/>
  <c r="N609" i="4"/>
  <c r="N608" i="4"/>
  <c r="N607" i="4"/>
  <c r="N606" i="4"/>
  <c r="N605" i="4"/>
  <c r="N604" i="4"/>
  <c r="N603" i="4"/>
  <c r="N602" i="4"/>
  <c r="N601" i="4"/>
  <c r="N600" i="4"/>
  <c r="N599" i="4"/>
  <c r="N598" i="4"/>
  <c r="N597" i="4"/>
  <c r="N596" i="4"/>
  <c r="N595" i="4"/>
  <c r="N594" i="4"/>
  <c r="N593" i="4"/>
  <c r="N592" i="4"/>
  <c r="N591" i="4"/>
  <c r="N590" i="4"/>
  <c r="N589" i="4"/>
  <c r="N588" i="4"/>
  <c r="N587" i="4"/>
  <c r="N586" i="4"/>
  <c r="N585" i="4"/>
  <c r="N584" i="4"/>
  <c r="N583" i="4"/>
  <c r="N582" i="4"/>
  <c r="N581" i="4"/>
  <c r="N580" i="4"/>
  <c r="N579" i="4"/>
  <c r="N578" i="4"/>
  <c r="N577" i="4"/>
  <c r="N576" i="4"/>
  <c r="N575" i="4"/>
  <c r="N574" i="4"/>
  <c r="N573" i="4"/>
  <c r="N572" i="4"/>
  <c r="N571" i="4"/>
  <c r="N570" i="4"/>
  <c r="N569" i="4"/>
  <c r="N568" i="4"/>
  <c r="N567" i="4"/>
  <c r="N566" i="4"/>
  <c r="N565" i="4"/>
  <c r="N564" i="4"/>
  <c r="N563" i="4"/>
  <c r="N562" i="4"/>
  <c r="N561" i="4"/>
  <c r="N560" i="4"/>
  <c r="N559" i="4"/>
  <c r="N558" i="4"/>
  <c r="N557" i="4"/>
  <c r="N556" i="4"/>
  <c r="N555" i="4"/>
  <c r="N554" i="4"/>
  <c r="N553" i="4"/>
  <c r="N552" i="4"/>
  <c r="N551" i="4"/>
  <c r="N550" i="4"/>
  <c r="N549" i="4"/>
  <c r="N548" i="4"/>
  <c r="N547" i="4"/>
  <c r="N546" i="4"/>
  <c r="N545" i="4"/>
  <c r="N544" i="4"/>
  <c r="N543" i="4"/>
  <c r="N542" i="4"/>
  <c r="N541" i="4"/>
  <c r="N540" i="4"/>
  <c r="N539" i="4"/>
  <c r="N538" i="4"/>
  <c r="N537" i="4"/>
  <c r="N536" i="4"/>
  <c r="N535" i="4"/>
  <c r="N534" i="4"/>
  <c r="N533" i="4"/>
  <c r="N532" i="4"/>
  <c r="N531" i="4"/>
  <c r="N530" i="4"/>
  <c r="N529" i="4"/>
  <c r="N528" i="4"/>
  <c r="N527" i="4"/>
  <c r="N526" i="4"/>
  <c r="N525" i="4"/>
  <c r="N524" i="4"/>
  <c r="N523" i="4"/>
  <c r="N522" i="4"/>
  <c r="N521" i="4"/>
  <c r="N520" i="4"/>
  <c r="N519" i="4"/>
  <c r="N518" i="4"/>
  <c r="N517" i="4"/>
  <c r="N516" i="4"/>
  <c r="N515" i="4"/>
  <c r="N514" i="4"/>
  <c r="N513" i="4"/>
  <c r="N512" i="4"/>
  <c r="N511" i="4"/>
  <c r="N510" i="4"/>
  <c r="N509" i="4"/>
  <c r="N508" i="4"/>
  <c r="N507" i="4"/>
  <c r="N506" i="4"/>
  <c r="N505" i="4"/>
  <c r="N504" i="4"/>
  <c r="N503" i="4"/>
  <c r="N502" i="4"/>
  <c r="N501" i="4"/>
  <c r="N500" i="4"/>
  <c r="N499" i="4"/>
  <c r="N498" i="4"/>
  <c r="N497" i="4"/>
  <c r="N496" i="4"/>
  <c r="N495" i="4"/>
  <c r="N494" i="4"/>
  <c r="N493" i="4"/>
  <c r="N492" i="4"/>
  <c r="N491" i="4"/>
  <c r="N490" i="4"/>
  <c r="N489" i="4"/>
  <c r="N488" i="4"/>
  <c r="N487" i="4"/>
  <c r="N486" i="4"/>
  <c r="N485" i="4"/>
  <c r="N484" i="4"/>
  <c r="N483" i="4"/>
  <c r="N482" i="4"/>
  <c r="N481" i="4"/>
  <c r="N480" i="4"/>
  <c r="N479" i="4"/>
  <c r="N478" i="4"/>
  <c r="N477" i="4"/>
  <c r="N476" i="4"/>
  <c r="N475" i="4"/>
  <c r="N474" i="4"/>
  <c r="N473" i="4"/>
  <c r="N472" i="4"/>
  <c r="N471" i="4"/>
  <c r="N470" i="4"/>
  <c r="N469" i="4"/>
  <c r="N468" i="4"/>
  <c r="N467" i="4"/>
  <c r="N466" i="4"/>
  <c r="N465" i="4"/>
  <c r="N464" i="4"/>
  <c r="N463" i="4"/>
  <c r="N462" i="4"/>
  <c r="N461" i="4"/>
  <c r="N460" i="4"/>
  <c r="N459" i="4"/>
  <c r="N458" i="4"/>
  <c r="N457" i="4"/>
  <c r="N456" i="4"/>
  <c r="N455" i="4"/>
  <c r="N454" i="4"/>
  <c r="N453" i="4"/>
  <c r="N452" i="4"/>
  <c r="N451" i="4"/>
  <c r="N450" i="4"/>
  <c r="N449" i="4"/>
  <c r="N448" i="4"/>
  <c r="N447" i="4"/>
  <c r="N446" i="4"/>
  <c r="N445" i="4"/>
  <c r="N444" i="4"/>
  <c r="N443" i="4"/>
  <c r="N442" i="4"/>
  <c r="N441" i="4"/>
  <c r="N440" i="4"/>
  <c r="N439" i="4"/>
  <c r="N438" i="4"/>
  <c r="N437" i="4"/>
  <c r="N436" i="4"/>
  <c r="N435" i="4"/>
  <c r="N434" i="4"/>
  <c r="N433" i="4"/>
  <c r="N432" i="4"/>
  <c r="N431" i="4"/>
  <c r="N430" i="4"/>
  <c r="N429" i="4"/>
  <c r="N428" i="4"/>
  <c r="N427" i="4"/>
  <c r="N426" i="4"/>
  <c r="N425" i="4"/>
  <c r="N424" i="4"/>
  <c r="N423" i="4"/>
  <c r="N422" i="4"/>
  <c r="N421" i="4"/>
  <c r="N420" i="4"/>
  <c r="N419" i="4"/>
  <c r="N418" i="4"/>
  <c r="N417" i="4"/>
  <c r="N416" i="4"/>
  <c r="N415" i="4"/>
  <c r="N414" i="4"/>
  <c r="N413" i="4"/>
  <c r="N412" i="4"/>
  <c r="N411" i="4"/>
  <c r="N410" i="4"/>
  <c r="N409" i="4"/>
  <c r="N408" i="4"/>
  <c r="N407" i="4"/>
  <c r="N406" i="4"/>
  <c r="N405" i="4"/>
  <c r="N404" i="4"/>
  <c r="N403" i="4"/>
  <c r="N402" i="4"/>
  <c r="N401" i="4"/>
  <c r="N400" i="4"/>
  <c r="N399" i="4"/>
  <c r="N398" i="4"/>
  <c r="N397" i="4"/>
  <c r="N396" i="4"/>
  <c r="N395" i="4"/>
  <c r="N394" i="4"/>
  <c r="N393" i="4"/>
  <c r="N392" i="4"/>
  <c r="N391" i="4"/>
  <c r="N390" i="4"/>
  <c r="N389" i="4"/>
  <c r="N388" i="4"/>
  <c r="N387" i="4"/>
  <c r="N386" i="4"/>
  <c r="N385" i="4"/>
  <c r="N384" i="4"/>
  <c r="N383" i="4"/>
  <c r="N382" i="4"/>
  <c r="N381" i="4"/>
  <c r="N380" i="4"/>
  <c r="N379" i="4"/>
  <c r="N378" i="4"/>
  <c r="N377" i="4"/>
  <c r="N376" i="4"/>
  <c r="N375" i="4"/>
  <c r="N374" i="4"/>
  <c r="N373" i="4"/>
  <c r="N372" i="4"/>
  <c r="N371" i="4"/>
  <c r="N370" i="4"/>
  <c r="N369" i="4"/>
  <c r="N368" i="4"/>
  <c r="N367" i="4"/>
  <c r="N366" i="4"/>
  <c r="N365" i="4"/>
  <c r="N364" i="4"/>
  <c r="N363" i="4"/>
  <c r="N362" i="4"/>
  <c r="N361" i="4"/>
  <c r="N360" i="4"/>
  <c r="N359" i="4"/>
  <c r="N358" i="4"/>
  <c r="N357" i="4"/>
  <c r="N356" i="4"/>
  <c r="N355" i="4"/>
  <c r="N354" i="4"/>
  <c r="N353" i="4"/>
  <c r="N352" i="4"/>
  <c r="N351" i="4"/>
  <c r="N350" i="4"/>
  <c r="N349" i="4"/>
  <c r="N348" i="4"/>
  <c r="N347" i="4"/>
  <c r="N346" i="4"/>
  <c r="N345" i="4"/>
  <c r="N344" i="4"/>
  <c r="N343" i="4"/>
  <c r="N342" i="4"/>
  <c r="N341" i="4"/>
  <c r="N340" i="4"/>
  <c r="N339" i="4"/>
  <c r="N338" i="4"/>
  <c r="N337" i="4"/>
  <c r="N336" i="4"/>
  <c r="N335" i="4"/>
  <c r="N334" i="4"/>
  <c r="N333" i="4"/>
  <c r="N332" i="4"/>
  <c r="N331" i="4"/>
  <c r="N330" i="4"/>
  <c r="N329" i="4"/>
  <c r="N328" i="4"/>
  <c r="N327" i="4"/>
  <c r="N326" i="4"/>
  <c r="N325" i="4"/>
  <c r="N324" i="4"/>
  <c r="N323" i="4"/>
  <c r="N322" i="4"/>
  <c r="N321" i="4"/>
  <c r="N320" i="4"/>
  <c r="N319" i="4"/>
  <c r="N318" i="4"/>
  <c r="N317" i="4"/>
  <c r="N316" i="4"/>
  <c r="N315" i="4"/>
  <c r="N314" i="4"/>
  <c r="N313" i="4"/>
  <c r="N312" i="4"/>
  <c r="N311" i="4"/>
  <c r="N310" i="4"/>
  <c r="N309" i="4"/>
  <c r="N308" i="4"/>
  <c r="N307" i="4"/>
  <c r="N306" i="4"/>
  <c r="N305" i="4"/>
  <c r="N304" i="4"/>
  <c r="N303" i="4"/>
  <c r="N302" i="4"/>
  <c r="N301" i="4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284" i="4"/>
  <c r="N283" i="4"/>
  <c r="N282" i="4"/>
  <c r="N281" i="4"/>
  <c r="N280" i="4"/>
  <c r="N279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C9" i="7" l="1"/>
  <c r="B37" i="7"/>
  <c r="B45" i="7"/>
  <c r="C27" i="7"/>
  <c r="C32" i="7"/>
  <c r="C16" i="7"/>
  <c r="C18" i="7"/>
  <c r="C8" i="7"/>
  <c r="C25" i="7"/>
  <c r="C15" i="7"/>
  <c r="C22" i="7"/>
  <c r="C12" i="7"/>
  <c r="C21" i="7"/>
  <c r="C11" i="7"/>
  <c r="C20" i="7"/>
  <c r="C10" i="7"/>
  <c r="C19" i="7"/>
  <c r="C7" i="7"/>
  <c r="C26" i="7"/>
  <c r="C33" i="7"/>
  <c r="C34" i="7"/>
  <c r="C35" i="7"/>
  <c r="C31" i="7"/>
</calcChain>
</file>

<file path=xl/sharedStrings.xml><?xml version="1.0" encoding="utf-8"?>
<sst xmlns="http://schemas.openxmlformats.org/spreadsheetml/2006/main" count="1215" uniqueCount="564">
  <si>
    <t>Evidentiary Audit Coding Workbook</t>
  </si>
  <si>
    <t>Sheets</t>
  </si>
  <si>
    <t>Articles</t>
  </si>
  <si>
    <t>One row per included article. Screening decision, positioning (P1–P4), citation data.</t>
  </si>
  <si>
    <t>Claims</t>
  </si>
  <si>
    <t>One row per extracted claim. Yellow cells are coder inputs; Fit is computed from the matrix and reviewed.</t>
  </si>
  <si>
    <t>Canonical_Claims</t>
  </si>
  <si>
    <t>Frozen list of canonical claims built in the pilot. Claims sheet references these IDs.</t>
  </si>
  <si>
    <t>Fit_Matrix</t>
  </si>
  <si>
    <t>Lookup table: claim type × primary warrant × positioning → fit. Edit only via the change log.</t>
  </si>
  <si>
    <t>Change_Log</t>
  </si>
  <si>
    <t>Every protocol change with date, reason, stage.</t>
  </si>
  <si>
    <t>Summary</t>
  </si>
  <si>
    <t>Live counts by claim type, warrant, fit, indicators. Formulas only.</t>
  </si>
  <si>
    <t>Conventions</t>
  </si>
  <si>
    <t>Yellow fill</t>
  </si>
  <si>
    <t>Coder enters a value (dropdowns where available).</t>
  </si>
  <si>
    <t>Grey header</t>
  </si>
  <si>
    <t>Do not edit.</t>
  </si>
  <si>
    <t>Row 2 in Claims/Articles</t>
  </si>
  <si>
    <t>Example row with realistic values; delete before real coding.</t>
  </si>
  <si>
    <t>Codes</t>
  </si>
  <si>
    <t>Claim type</t>
  </si>
  <si>
    <t>descriptive | conceptual | causal | predictive | normative | other</t>
  </si>
  <si>
    <t>Warrant</t>
  </si>
  <si>
    <t>W1 orig quant | W2 orig qual | W3 secondary | W4 analogy | W5 deduction | W6 authority | W7 declared conjecture | W8 none</t>
  </si>
  <si>
    <t>W3 sub-code</t>
  </si>
  <si>
    <t>to_W1W2 | to_W3 | to_W4W8 | unknown</t>
  </si>
  <si>
    <t>Positioning</t>
  </si>
  <si>
    <t>P1 neo-positivist | P2 interpretivist | P3 critical | P4 theory-building/policy</t>
  </si>
  <si>
    <t>Fit</t>
  </si>
  <si>
    <t>adequate | partial | inadequate. fit_final: copy fit_computed unless you override; an override requires override_reason.</t>
  </si>
  <si>
    <t>Indicators</t>
  </si>
  <si>
    <t>1 = present, 0 = absent, NA = not a predictive/causal-future claim</t>
  </si>
  <si>
    <t>Valence</t>
  </si>
  <si>
    <t>supporting | neutral | critical (only for W3 claims)</t>
  </si>
  <si>
    <t>Columns added 2026-09-10</t>
  </si>
  <si>
    <t>w4_developed</t>
  </si>
  <si>
    <t>1 = the analogy is developed over at least one full section; 0 = not; NA = rule does not apply. Read by the fit formula for predictive+W4 under P2/P3/P4.</t>
  </si>
  <si>
    <t>orig_scope_conditions</t>
  </si>
  <si>
    <t>Same three indicators, recorded for the ORIGINATING text of a W3 claim. Needed for Table 4, RQ3 and H2. unknown = source not retrievable.</t>
  </si>
  <si>
    <t>orig_conjectural_status</t>
  </si>
  <si>
    <t>See orig_scope_conditions.</t>
  </si>
  <si>
    <t>orig_falsifier</t>
  </si>
  <si>
    <t>w3_source_peer_reviewed</t>
  </si>
  <si>
    <t>1 = cited source is peer reviewed; 0 = grey. Recorded separately from the W3 sub-code, which turns on whether the source carries data.</t>
  </si>
  <si>
    <t>secondary_claim_type</t>
  </si>
  <si>
    <t>For a claim that is both causal and predictive (Appendix A.3). claim_type holds the primary; distributions are reported on the primary only.</t>
  </si>
  <si>
    <t>p4_causal_flag</t>
  </si>
  <si>
    <t>Derived. Marks causal claims in P4 articles so they can be tabulated separately.</t>
  </si>
  <si>
    <t>Indicator storage</t>
  </si>
  <si>
    <t>scope/conjectural/falsifier are NUMBERS 1 and 0, or the text NA. Do not type them as text; the fit formula tests both forms but the analysis script expects numbers.</t>
  </si>
  <si>
    <t>key</t>
  </si>
  <si>
    <t>fit</t>
  </si>
  <si>
    <t>note</t>
  </si>
  <si>
    <t>P1|descriptive|W1</t>
  </si>
  <si>
    <t>adequate</t>
  </si>
  <si>
    <t>P1|descriptive|W2</t>
  </si>
  <si>
    <t>P1|descriptive|W3_to_W1W2</t>
  </si>
  <si>
    <t>P1|descriptive|W3_to_W3</t>
  </si>
  <si>
    <t>partial</t>
  </si>
  <si>
    <t>P1|descriptive|W3_to_W4W8</t>
  </si>
  <si>
    <t>P1|descriptive|W3_unknown</t>
  </si>
  <si>
    <t>P1|descriptive|W4</t>
  </si>
  <si>
    <t>P1|descriptive|W5</t>
  </si>
  <si>
    <t>inadequate</t>
  </si>
  <si>
    <t>P1|descriptive|W6</t>
  </si>
  <si>
    <t>P1|descriptive|W7</t>
  </si>
  <si>
    <t>P1|descriptive|W8</t>
  </si>
  <si>
    <t>P1|conceptual|W1</t>
  </si>
  <si>
    <t>P1|conceptual|W2</t>
  </si>
  <si>
    <t>P1|conceptual|W3_to_W1W2</t>
  </si>
  <si>
    <t>P1|conceptual|W3_to_W3</t>
  </si>
  <si>
    <t>P1|conceptual|W3_to_W4W8</t>
  </si>
  <si>
    <t>P1|conceptual|W3_unknown</t>
  </si>
  <si>
    <t>P1|conceptual|W4</t>
  </si>
  <si>
    <t>P1|conceptual|W5</t>
  </si>
  <si>
    <t>P1|conceptual|W6</t>
  </si>
  <si>
    <t>P1|conceptual|W7</t>
  </si>
  <si>
    <t>P1|conceptual|W8</t>
  </si>
  <si>
    <t>P1|causal|W1</t>
  </si>
  <si>
    <t>P1|causal|W2</t>
  </si>
  <si>
    <t>P1|causal|W3_to_W1W2</t>
  </si>
  <si>
    <t>P1|causal|W3_to_W3</t>
  </si>
  <si>
    <t>P1|causal|W3_to_W4W8</t>
  </si>
  <si>
    <t>P1|causal|W3_unknown</t>
  </si>
  <si>
    <t>P1|causal|W4</t>
  </si>
  <si>
    <t>P1|causal|W5</t>
  </si>
  <si>
    <t>P1|causal|W6</t>
  </si>
  <si>
    <t>P1|causal|W7</t>
  </si>
  <si>
    <t>adequate only if all three indicators = 1; else partial (see Claims formula)</t>
  </si>
  <si>
    <t>P1|causal|W8</t>
  </si>
  <si>
    <t>P1|predictive|W1</t>
  </si>
  <si>
    <t>P1|predictive|W2</t>
  </si>
  <si>
    <t>P1|predictive|W3_to_W1W2</t>
  </si>
  <si>
    <t>P1|predictive|W3_to_W3</t>
  </si>
  <si>
    <t>P1|predictive|W3_to_W4W8</t>
  </si>
  <si>
    <t>P1|predictive|W3_unknown</t>
  </si>
  <si>
    <t>P1|predictive|W4</t>
  </si>
  <si>
    <t>P1|predictive|W5</t>
  </si>
  <si>
    <t>P1|predictive|W6</t>
  </si>
  <si>
    <t>P1|predictive|W7</t>
  </si>
  <si>
    <t>P1|predictive|W8</t>
  </si>
  <si>
    <t>P1|normative|W1</t>
  </si>
  <si>
    <t>P1|normative|W2</t>
  </si>
  <si>
    <t>P1|normative|W3_to_W1W2</t>
  </si>
  <si>
    <t>P1|normative|W3_to_W3</t>
  </si>
  <si>
    <t>P1|normative|W3_to_W4W8</t>
  </si>
  <si>
    <t>P1|normative|W3_unknown</t>
  </si>
  <si>
    <t>P1|normative|W4</t>
  </si>
  <si>
    <t>P1|normative|W5</t>
  </si>
  <si>
    <t>P1|normative|W6</t>
  </si>
  <si>
    <t>P1|normative|W7</t>
  </si>
  <si>
    <t>P1|normative|W8</t>
  </si>
  <si>
    <t>P1|other|W1</t>
  </si>
  <si>
    <t>P1|other|W2</t>
  </si>
  <si>
    <t>P1|other|W3_to_W1W2</t>
  </si>
  <si>
    <t>P1|other|W3_to_W3</t>
  </si>
  <si>
    <t>P1|other|W3_to_W4W8</t>
  </si>
  <si>
    <t>P1|other|W3_unknown</t>
  </si>
  <si>
    <t>P1|other|W4</t>
  </si>
  <si>
    <t>P1|other|W5</t>
  </si>
  <si>
    <t>P1|other|W6</t>
  </si>
  <si>
    <t>P1|other|W7</t>
  </si>
  <si>
    <t>P1|other|W8</t>
  </si>
  <si>
    <t>P2|descriptive|W1</t>
  </si>
  <si>
    <t>P2|descriptive|W2</t>
  </si>
  <si>
    <t>P2|descriptive|W3_to_W1W2</t>
  </si>
  <si>
    <t>P2|descriptive|W3_to_W3</t>
  </si>
  <si>
    <t>P2|descriptive|W3_to_W4W8</t>
  </si>
  <si>
    <t>P2|descriptive|W3_unknown</t>
  </si>
  <si>
    <t>P2|descriptive|W4</t>
  </si>
  <si>
    <t>P2|descriptive|W5</t>
  </si>
  <si>
    <t>P2|descriptive|W6</t>
  </si>
  <si>
    <t>P2|descriptive|W7</t>
  </si>
  <si>
    <t>P2|descriptive|W8</t>
  </si>
  <si>
    <t>P2|conceptual|W1</t>
  </si>
  <si>
    <t>P2|conceptual|W2</t>
  </si>
  <si>
    <t>P2|conceptual|W3_to_W1W2</t>
  </si>
  <si>
    <t>P2|conceptual|W3_to_W3</t>
  </si>
  <si>
    <t>P2|conceptual|W3_to_W4W8</t>
  </si>
  <si>
    <t>P2|conceptual|W3_unknown</t>
  </si>
  <si>
    <t>P2|conceptual|W4</t>
  </si>
  <si>
    <t>P2|conceptual|W5</t>
  </si>
  <si>
    <t>P2|conceptual|W6</t>
  </si>
  <si>
    <t>P2|conceptual|W7</t>
  </si>
  <si>
    <t>P2|conceptual|W8</t>
  </si>
  <si>
    <t>P2|causal|W1</t>
  </si>
  <si>
    <t>P2|causal|W2</t>
  </si>
  <si>
    <t>P2/P3: constitutive causal claim, documented practice suffices</t>
  </si>
  <si>
    <t>P2|causal|W3_to_W1W2</t>
  </si>
  <si>
    <t>P2|causal|W3_to_W3</t>
  </si>
  <si>
    <t>P2|causal|W3_to_W4W8</t>
  </si>
  <si>
    <t>P2|causal|W3_unknown</t>
  </si>
  <si>
    <t>P2|causal|W4</t>
  </si>
  <si>
    <t>P2|causal|W5</t>
  </si>
  <si>
    <t>P2|causal|W6</t>
  </si>
  <si>
    <t>P2|causal|W7</t>
  </si>
  <si>
    <t>P2|causal|W8</t>
  </si>
  <si>
    <t>P2|predictive|W1</t>
  </si>
  <si>
    <t>P2|predictive|W2</t>
  </si>
  <si>
    <t>P2|predictive|W3_to_W1W2</t>
  </si>
  <si>
    <t>P2|predictive|W3_to_W3</t>
  </si>
  <si>
    <t>P2|predictive|W3_to_W4W8</t>
  </si>
  <si>
    <t>P2|predictive|W3_unknown</t>
  </si>
  <si>
    <t>P2|predictive|W4</t>
  </si>
  <si>
    <t>baseline; upgraded to adequate by the Claims!Q formula only when w4_developed=1 (analogy developed over at least one full section)</t>
  </si>
  <si>
    <t>P2|predictive|W5</t>
  </si>
  <si>
    <t>P2|predictive|W6</t>
  </si>
  <si>
    <t>P2|predictive|W7</t>
  </si>
  <si>
    <t>P2|predictive|W8</t>
  </si>
  <si>
    <t>P2|normative|W1</t>
  </si>
  <si>
    <t>P2|normative|W2</t>
  </si>
  <si>
    <t>P2|normative|W3_to_W1W2</t>
  </si>
  <si>
    <t>P2|normative|W3_to_W3</t>
  </si>
  <si>
    <t>P2|normative|W3_to_W4W8</t>
  </si>
  <si>
    <t>P2|normative|W3_unknown</t>
  </si>
  <si>
    <t>P2|normative|W4</t>
  </si>
  <si>
    <t>P2|normative|W5</t>
  </si>
  <si>
    <t>P2|normative|W6</t>
  </si>
  <si>
    <t>P2|normative|W7</t>
  </si>
  <si>
    <t>P2|normative|W8</t>
  </si>
  <si>
    <t>P2|other|W1</t>
  </si>
  <si>
    <t>P2|other|W2</t>
  </si>
  <si>
    <t>P2|other|W3_to_W1W2</t>
  </si>
  <si>
    <t>P2|other|W3_to_W3</t>
  </si>
  <si>
    <t>P2|other|W3_to_W4W8</t>
  </si>
  <si>
    <t>P2|other|W3_unknown</t>
  </si>
  <si>
    <t>P2|other|W4</t>
  </si>
  <si>
    <t>P2|other|W5</t>
  </si>
  <si>
    <t>P2|other|W6</t>
  </si>
  <si>
    <t>P2|other|W7</t>
  </si>
  <si>
    <t>P2|other|W8</t>
  </si>
  <si>
    <t>P3|descriptive|W1</t>
  </si>
  <si>
    <t>P3|descriptive|W2</t>
  </si>
  <si>
    <t>P3|descriptive|W3_to_W1W2</t>
  </si>
  <si>
    <t>P3|descriptive|W3_to_W3</t>
  </si>
  <si>
    <t>P3|descriptive|W3_to_W4W8</t>
  </si>
  <si>
    <t>P3|descriptive|W3_unknown</t>
  </si>
  <si>
    <t>P3|descriptive|W4</t>
  </si>
  <si>
    <t>P3|descriptive|W5</t>
  </si>
  <si>
    <t>P3|descriptive|W6</t>
  </si>
  <si>
    <t>P3|descriptive|W7</t>
  </si>
  <si>
    <t>P3|descriptive|W8</t>
  </si>
  <si>
    <t>P3|conceptual|W1</t>
  </si>
  <si>
    <t>P3|conceptual|W2</t>
  </si>
  <si>
    <t>P3|conceptual|W3_to_W1W2</t>
  </si>
  <si>
    <t>P3|conceptual|W3_to_W3</t>
  </si>
  <si>
    <t>P3|conceptual|W3_to_W4W8</t>
  </si>
  <si>
    <t>P3|conceptual|W3_unknown</t>
  </si>
  <si>
    <t>P3|conceptual|W4</t>
  </si>
  <si>
    <t>P3|conceptual|W5</t>
  </si>
  <si>
    <t>P3|conceptual|W6</t>
  </si>
  <si>
    <t>P3|conceptual|W7</t>
  </si>
  <si>
    <t>P3|conceptual|W8</t>
  </si>
  <si>
    <t>P3|causal|W1</t>
  </si>
  <si>
    <t>P3|causal|W2</t>
  </si>
  <si>
    <t>P3|causal|W3_to_W1W2</t>
  </si>
  <si>
    <t>P3|causal|W3_to_W3</t>
  </si>
  <si>
    <t>P3|causal|W3_to_W4W8</t>
  </si>
  <si>
    <t>P3|causal|W3_unknown</t>
  </si>
  <si>
    <t>P3|causal|W4</t>
  </si>
  <si>
    <t>P3|causal|W5</t>
  </si>
  <si>
    <t>P3|causal|W6</t>
  </si>
  <si>
    <t>P3|causal|W7</t>
  </si>
  <si>
    <t>P3|causal|W8</t>
  </si>
  <si>
    <t>P3|predictive|W1</t>
  </si>
  <si>
    <t>P3|predictive|W2</t>
  </si>
  <si>
    <t>P3|predictive|W3_to_W1W2</t>
  </si>
  <si>
    <t>P3|predictive|W3_to_W3</t>
  </si>
  <si>
    <t>P3|predictive|W3_to_W4W8</t>
  </si>
  <si>
    <t>P3|predictive|W3_unknown</t>
  </si>
  <si>
    <t>P3|predictive|W4</t>
  </si>
  <si>
    <t>P3|predictive|W5</t>
  </si>
  <si>
    <t>P3|predictive|W6</t>
  </si>
  <si>
    <t>P3|predictive|W7</t>
  </si>
  <si>
    <t>P3|predictive|W8</t>
  </si>
  <si>
    <t>P3|normative|W1</t>
  </si>
  <si>
    <t>P3|normative|W2</t>
  </si>
  <si>
    <t>P3|normative|W3_to_W1W2</t>
  </si>
  <si>
    <t>P3|normative|W3_to_W3</t>
  </si>
  <si>
    <t>P3|normative|W3_to_W4W8</t>
  </si>
  <si>
    <t>P3|normative|W3_unknown</t>
  </si>
  <si>
    <t>P3|normative|W4</t>
  </si>
  <si>
    <t>P3|normative|W5</t>
  </si>
  <si>
    <t>P3|normative|W6</t>
  </si>
  <si>
    <t>P3|normative|W7</t>
  </si>
  <si>
    <t>P3|normative|W8</t>
  </si>
  <si>
    <t>P3|other|W1</t>
  </si>
  <si>
    <t>P3|other|W2</t>
  </si>
  <si>
    <t>P3|other|W3_to_W1W2</t>
  </si>
  <si>
    <t>P3|other|W3_to_W3</t>
  </si>
  <si>
    <t>P3|other|W3_to_W4W8</t>
  </si>
  <si>
    <t>P3|other|W3_unknown</t>
  </si>
  <si>
    <t>P3|other|W4</t>
  </si>
  <si>
    <t>P3|other|W5</t>
  </si>
  <si>
    <t>P3|other|W6</t>
  </si>
  <si>
    <t>P3|other|W7</t>
  </si>
  <si>
    <t>P3|other|W8</t>
  </si>
  <si>
    <t>P4|descriptive|W1</t>
  </si>
  <si>
    <t>P4|descriptive|W2</t>
  </si>
  <si>
    <t>P4|descriptive|W3_to_W1W2</t>
  </si>
  <si>
    <t>P4|descriptive|W3_to_W3</t>
  </si>
  <si>
    <t>P4|descriptive|W3_to_W4W8</t>
  </si>
  <si>
    <t>P4|descriptive|W3_unknown</t>
  </si>
  <si>
    <t>P4|descriptive|W4</t>
  </si>
  <si>
    <t>P4|descriptive|W5</t>
  </si>
  <si>
    <t>P4|descriptive|W6</t>
  </si>
  <si>
    <t>P4|descriptive|W7</t>
  </si>
  <si>
    <t>P4|descriptive|W8</t>
  </si>
  <si>
    <t>P4|conceptual|W1</t>
  </si>
  <si>
    <t>P4|conceptual|W2</t>
  </si>
  <si>
    <t>P4|conceptual|W3_to_W1W2</t>
  </si>
  <si>
    <t>P4|conceptual|W3_to_W3</t>
  </si>
  <si>
    <t>P4|conceptual|W3_to_W4W8</t>
  </si>
  <si>
    <t>P4|conceptual|W3_unknown</t>
  </si>
  <si>
    <t>P4|conceptual|W4</t>
  </si>
  <si>
    <t>P4|conceptual|W5</t>
  </si>
  <si>
    <t>P4|conceptual|W6</t>
  </si>
  <si>
    <t>P4|conceptual|W7</t>
  </si>
  <si>
    <t>P4|conceptual|W8</t>
  </si>
  <si>
    <t>P4|causal|W1</t>
  </si>
  <si>
    <t>P4 causal: coded but flagged</t>
  </si>
  <si>
    <t>P4|causal|W2</t>
  </si>
  <si>
    <t>P4|causal|W3_to_W1W2</t>
  </si>
  <si>
    <t>P4|causal|W3_to_W3</t>
  </si>
  <si>
    <t>P4|causal|W3_to_W4W8</t>
  </si>
  <si>
    <t>P4|causal|W3_unknown</t>
  </si>
  <si>
    <t>P4|causal|W4</t>
  </si>
  <si>
    <t>P4|causal|W5</t>
  </si>
  <si>
    <t>P4|causal|W6</t>
  </si>
  <si>
    <t>P4|causal|W7</t>
  </si>
  <si>
    <t>adequate only if all three indicators = 1; else partial (see Claims formula) P4 causal: coded but flagged</t>
  </si>
  <si>
    <t>P4|causal|W8</t>
  </si>
  <si>
    <t>P4|predictive|W1</t>
  </si>
  <si>
    <t>P4|predictive|W2</t>
  </si>
  <si>
    <t>P4|predictive|W3_to_W1W2</t>
  </si>
  <si>
    <t>P4|predictive|W3_to_W3</t>
  </si>
  <si>
    <t>P4|predictive|W3_to_W4W8</t>
  </si>
  <si>
    <t>P4|predictive|W3_unknown</t>
  </si>
  <si>
    <t>P4|predictive|W4</t>
  </si>
  <si>
    <t>P4|predictive|W5</t>
  </si>
  <si>
    <t>P4|predictive|W6</t>
  </si>
  <si>
    <t>P4|predictive|W7</t>
  </si>
  <si>
    <t>P4|predictive|W8</t>
  </si>
  <si>
    <t>P4|normative|W1</t>
  </si>
  <si>
    <t>P4|normative|W2</t>
  </si>
  <si>
    <t>P4|normative|W3_to_W1W2</t>
  </si>
  <si>
    <t>P4|normative|W3_to_W3</t>
  </si>
  <si>
    <t>P4|normative|W3_to_W4W8</t>
  </si>
  <si>
    <t>P4|normative|W3_unknown</t>
  </si>
  <si>
    <t>P4|normative|W4</t>
  </si>
  <si>
    <t>P4|normative|W5</t>
  </si>
  <si>
    <t>P4|normative|W6</t>
  </si>
  <si>
    <t>P4|normative|W7</t>
  </si>
  <si>
    <t>P4|normative|W8</t>
  </si>
  <si>
    <t>P4|other|W1</t>
  </si>
  <si>
    <t>P4|other|W2</t>
  </si>
  <si>
    <t>P4|other|W3_to_W1W2</t>
  </si>
  <si>
    <t>P4|other|W3_to_W3</t>
  </si>
  <si>
    <t>P4|other|W3_to_W4W8</t>
  </si>
  <si>
    <t>P4|other|W3_unknown</t>
  </si>
  <si>
    <t>P4|other|W4</t>
  </si>
  <si>
    <t>P4|other|W5</t>
  </si>
  <si>
    <t>P4|other|W6</t>
  </si>
  <si>
    <t>P4|other|W7</t>
  </si>
  <si>
    <t>P4|other|W8</t>
  </si>
  <si>
    <t>claim_id</t>
  </si>
  <si>
    <t>canonical_statement</t>
  </si>
  <si>
    <t>claim_family</t>
  </si>
  <si>
    <t>added_in_pilot_date</t>
  </si>
  <si>
    <t>notes</t>
  </si>
  <si>
    <t>C001</t>
  </si>
  <si>
    <t>Organisational adoption capacity, not access to algorithms, determines which states field military AI first</t>
  </si>
  <si>
    <t>diffusion and adoption</t>
  </si>
  <si>
    <t>C002</t>
  </si>
  <si>
    <t>AI-generated assessments compress crisis decision time and raise escalation risk</t>
  </si>
  <si>
    <t>crisis decision-making</t>
  </si>
  <si>
    <t>C003</t>
  </si>
  <si>
    <t>AI-enabled sensing degrades the survivability of second-strike nuclear forces</t>
  </si>
  <si>
    <t>strategic stability</t>
  </si>
  <si>
    <t>C004</t>
  </si>
  <si>
    <t>Autonomous weapons systems reshape norms of use through practice rather than deliberate regulation</t>
  </si>
  <si>
    <t>norms, agency, critique</t>
  </si>
  <si>
    <t>C005</t>
  </si>
  <si>
    <t>AI is a strategic asset over which great powers will compete</t>
  </si>
  <si>
    <t>balance of power / geoeconomics</t>
  </si>
  <si>
    <t>C006</t>
  </si>
  <si>
    <t>Uneven AI adoption capacity creates 'haves' and 'have-nots' inside alliances, straining burden-sharing and interoperability</t>
  </si>
  <si>
    <t>alliances</t>
  </si>
  <si>
    <t>pilot 2026-09-07</t>
  </si>
  <si>
    <t>from Lin-Greenberg 2020</t>
  </si>
  <si>
    <t>C007</t>
  </si>
  <si>
    <t>Commercially driven, dual-use AI diffuses rapidly and erodes first-mover advantage; militarily exclusive AI does the reverse</t>
  </si>
  <si>
    <t>from Horowitz 2018; two-scenario form</t>
  </si>
  <si>
    <t>C008</t>
  </si>
  <si>
    <t>Adversaries can use AI-enabled deception and data poisoning to disrupt command and control and trust</t>
  </si>
  <si>
    <t>strategic stability / alliances</t>
  </si>
  <si>
    <t>article_id</t>
  </si>
  <si>
    <t>author_year</t>
  </si>
  <si>
    <t>title</t>
  </si>
  <si>
    <t>journal</t>
  </si>
  <si>
    <t>year</t>
  </si>
  <si>
    <t>db_source</t>
  </si>
  <si>
    <t>screen_title_abstract</t>
  </si>
  <si>
    <t>screen_fulltext</t>
  </si>
  <si>
    <t>exclusion_reason</t>
  </si>
  <si>
    <t>positioning</t>
  </si>
  <si>
    <t>positioning_inferred</t>
  </si>
  <si>
    <t>citations_raw</t>
  </si>
  <si>
    <t>citation_date</t>
  </si>
  <si>
    <t>citations_per_year</t>
  </si>
  <si>
    <t>double_coded</t>
  </si>
  <si>
    <t>coder_A</t>
  </si>
  <si>
    <t>coder_B</t>
  </si>
  <si>
    <t>A002</t>
  </si>
  <si>
    <t>Horowitz 2018</t>
  </si>
  <si>
    <t>Artificial Intelligence, International Competition, and the Balance of Power</t>
  </si>
  <si>
    <t>Texas National Security Review</t>
  </si>
  <si>
    <t>pilot/open access</t>
  </si>
  <si>
    <t>include</t>
  </si>
  <si>
    <t>P4</t>
  </si>
  <si>
    <t>yes</t>
  </si>
  <si>
    <t>no</t>
  </si>
  <si>
    <t>CL</t>
  </si>
  <si>
    <t>PILOT: open-access full text; author states 'initial framework'; positioning inferred. Check TNSR indexing in WoS/Scopus before corpus inclusion.</t>
  </si>
  <si>
    <t>A003</t>
  </si>
  <si>
    <t>Lin-Greenberg 2020</t>
  </si>
  <si>
    <t>Allies and Artificial Intelligence: Obstacles to Operations and Decision-Making</t>
  </si>
  <si>
    <t>PILOT: author states article 'offers a framework for future hypothesis testing' (explicit P4). Check TNSR indexing.</t>
  </si>
  <si>
    <t>coder</t>
  </si>
  <si>
    <t>location</t>
  </si>
  <si>
    <t>claim_text</t>
  </si>
  <si>
    <t>claim_type</t>
  </si>
  <si>
    <t>warrants_present</t>
  </si>
  <si>
    <t>primary_warrant</t>
  </si>
  <si>
    <t>w3_subcode</t>
  </si>
  <si>
    <t>scope_conditions</t>
  </si>
  <si>
    <t>conjectural_status</t>
  </si>
  <si>
    <t>falsifier</t>
  </si>
  <si>
    <t>canonical_claim_id</t>
  </si>
  <si>
    <t>citation_valence</t>
  </si>
  <si>
    <t>fit_key</t>
  </si>
  <si>
    <t>fit_computed</t>
  </si>
  <si>
    <t>fit_final</t>
  </si>
  <si>
    <t>override_reason</t>
  </si>
  <si>
    <t>K0001</t>
  </si>
  <si>
    <t>abstract</t>
  </si>
  <si>
    <t>AI more closely resembles enabling technologies such as the combustion engine or electricity than a specific weapon</t>
  </si>
  <si>
    <t>conceptual</t>
  </si>
  <si>
    <t>W4;W5</t>
  </si>
  <si>
    <t>W4</t>
  </si>
  <si>
    <t>NA</t>
  </si>
  <si>
    <t>developed analogy (full subsection 'AI Is an Enabler')</t>
  </si>
  <si>
    <t>K0002</t>
  </si>
  <si>
    <t>introduction</t>
  </si>
  <si>
    <t>If commercially driven AI fuels innovation and military algorithms are close to civilian ones, AI will diffuse rapidly to militaries, limiting first-mover advantages</t>
  </si>
  <si>
    <t>predictive</t>
  </si>
  <si>
    <t>W5;W4;W7</t>
  </si>
  <si>
    <t>W7</t>
  </si>
  <si>
    <t>explicit scenario framing ('explores the possibility'); scope stated; no falsifier named. Codebook note: scenario-conditional claims land at partial under current rule</t>
  </si>
  <si>
    <t>K0003</t>
  </si>
  <si>
    <t>Military AI based more exclusively in defence research will generate larger first-mover advantages for early adopters</t>
  </si>
  <si>
    <t>second scenario; 'it is plausible that'</t>
  </si>
  <si>
    <t>K0004</t>
  </si>
  <si>
    <t>body (Technology and BoP)</t>
  </si>
  <si>
    <t>The impact of technological change on global politics depends more on how organisations adopt and use capabilities than on the technology itself</t>
  </si>
  <si>
    <t>causal</t>
  </si>
  <si>
    <t>W3;W4</t>
  </si>
  <si>
    <t>W3</t>
  </si>
  <si>
    <t>to_W1W2</t>
  </si>
  <si>
    <t>supporting</t>
  </si>
  <si>
    <t>cites Posen, Rosen, Horowitz 2010 (case-based W2); P4 causal flagged</t>
  </si>
  <si>
    <t>K0005</t>
  </si>
  <si>
    <t>body</t>
  </si>
  <si>
    <t>No applications of AI have yet been used in ways that would count as a military innovation</t>
  </si>
  <si>
    <t>descriptive</t>
  </si>
  <si>
    <t>W6</t>
  </si>
  <si>
    <t>warrant is Cummings (Chatham House report), expert judgment</t>
  </si>
  <si>
    <t>K0006</t>
  </si>
  <si>
    <t>Leading militaries often struggle to adopt organisationally disruptive innovations</t>
  </si>
  <si>
    <t>Royal Navy carrier case via Horowitz 2010</t>
  </si>
  <si>
    <t>K0007</t>
  </si>
  <si>
    <t>body (character of war)</t>
  </si>
  <si>
    <t>Narrow AI systems have the potential to increase the speed with which countries can fight</t>
  </si>
  <si>
    <t>W6;W4</t>
  </si>
  <si>
    <t>warrant: Work speech, Allen &amp; Husain; 'potential'</t>
  </si>
  <si>
    <t>K0008</t>
  </si>
  <si>
    <t>conclusion</t>
  </si>
  <si>
    <t>Major military powers will likely face security dilemmas over AI development regardless of diffusion speed</t>
  </si>
  <si>
    <t>W5</t>
  </si>
  <si>
    <t>deduction from Jervis; both scenarios covered</t>
  </si>
  <si>
    <t>K0009</t>
  </si>
  <si>
    <t>US military rhetoric on AI has not caught up to reality in spending</t>
  </si>
  <si>
    <t>W3;W2</t>
  </si>
  <si>
    <t>to_W4W8</t>
  </si>
  <si>
    <t>single programme decision (MQ-25) via news source</t>
  </si>
  <si>
    <t>K0010</t>
  </si>
  <si>
    <t>China is spending much more than the US on AI research and producing more deep-learning papers</t>
  </si>
  <si>
    <t>news source (NYT), no underlying dataset cited</t>
  </si>
  <si>
    <t>K0011</t>
  </si>
  <si>
    <t>AI's still-emerging development makes it harder to assess than many technological changes because adoption decisions are in their infancy</t>
  </si>
  <si>
    <t>K0012</t>
  </si>
  <si>
    <t>The data- and resource-intensive nature of AI creates barriers to burden-sharing and interoperability that can hamper multinational operations</t>
  </si>
  <si>
    <t>W5;W4;W6</t>
  </si>
  <si>
    <t>causal-future; scope: 'more vexing for coalitions lacking formalization'; Kosovo PGM analogy; Shanahan quote. P4 causal flagged</t>
  </si>
  <si>
    <t>K0013</t>
  </si>
  <si>
    <t>By accelerating the speed of combat, AI can strain the processes allies use to make decisions</t>
  </si>
  <si>
    <t>W4;W6</t>
  </si>
  <si>
    <t>developed analogy: NATO 1978 warning time, BMD pre-delegation (full subsection)</t>
  </si>
  <si>
    <t>K0014</t>
  </si>
  <si>
    <t>Adversaries can use AI-enabled deception (deepfakes, data poisoning) to interfere with alliance command and control and heighten mistrust</t>
  </si>
  <si>
    <t>W4;W3</t>
  </si>
  <si>
    <t>analogy to WWII deception; 2019 voice-clone fraud as illustration; full subsection</t>
  </si>
  <si>
    <t>K0015</t>
  </si>
  <si>
    <t>Not all states will develop military AI at the same rate; uneven distribution creates AI haves and have-nots within alliances</t>
  </si>
  <si>
    <t>W3;W5</t>
  </si>
  <si>
    <t>Oxford Insights readiness index (grey but data-based); asserted without hedge ('will')</t>
  </si>
  <si>
    <t>unknown</t>
  </si>
  <si>
    <t>K0016</t>
  </si>
  <si>
    <t>Public opposition among allied populations may lead governments to restrict use of AI-enabled military systems</t>
  </si>
  <si>
    <t>Ipsos 2019 survey; scope: South Korea, Germany</t>
  </si>
  <si>
    <t>K0017</t>
  </si>
  <si>
    <t>Cross-national variation in trust in AI will make decision-makers from some states more reluctant to rely on AI-enabled systems</t>
  </si>
  <si>
    <t>Ipsos 2018 survey</t>
  </si>
  <si>
    <t>K0018</t>
  </si>
  <si>
    <t>body (way forward)</t>
  </si>
  <si>
    <t>Pre-delegation of authority to lower-level commanders can help alliances respond to machine-speed operations</t>
  </si>
  <si>
    <t>normative</t>
  </si>
  <si>
    <t>empirical premise warranted by NATO 1978 and BMD analogies; normative inference not coded</t>
  </si>
  <si>
    <t>K0019</t>
  </si>
  <si>
    <t>States that master AI integration may gain influence within alliances even if conventionally weaker</t>
  </si>
  <si>
    <t>single-paragraph analogy (Estonia, cyber); w4_developed=0 so the P2-P4 full-section rule returns partial without an override</t>
  </si>
  <si>
    <t>K0020</t>
  </si>
  <si>
    <t>Most scholarly work on alliances has overlooked the effects of specific technologies, with the exception of nuclear weapons</t>
  </si>
  <si>
    <t>W2</t>
  </si>
  <si>
    <t>author's own literature review (footnotes 12-15)</t>
  </si>
  <si>
    <t>K0021</t>
  </si>
  <si>
    <t>This article offers a framework for future hypothesis testing</t>
  </si>
  <si>
    <t>W5;W7</t>
  </si>
  <si>
    <t>explicit self-declaration of status; positive example for Section 4.6</t>
  </si>
  <si>
    <t>date</t>
  </si>
  <si>
    <t>change</t>
  </si>
  <si>
    <t>reason</t>
  </si>
  <si>
    <t>stage</t>
  </si>
  <si>
    <t>approved_by</t>
  </si>
  <si>
    <t>2026-09-07</t>
  </si>
  <si>
    <t>Pilot rows K0001-K0021 entered by coder CL (Claude) on two open-access TNSR articles</t>
  </si>
  <si>
    <t>Pilot only; not protocol data; TNSR indexing status unverified</t>
  </si>
  <si>
    <t>pre-freeze pilot</t>
  </si>
  <si>
    <t>user</t>
  </si>
  <si>
    <t>2026-09-10</t>
  </si>
  <si>
    <t>Deposit target changed from OSF Registries to a public Git repository with a Zenodo-archived release; protocol section 15 added</t>
  </si>
  <si>
    <t>Investigator preference; equivalent public time-stamping and DOI</t>
  </si>
  <si>
    <t>pre-freeze</t>
  </si>
  <si>
    <t>MK</t>
  </si>
  <si>
    <t>fit_computed rewritten: indicator test now accepts numeric or text 0/1</t>
  </si>
  <si>
    <t>Indicators were stored as text, so AND(K=1,L=1,M=1) was always FALSE in Excel and no claim could ever score adequate under the W7 rule. Latent: the pilot had no 3/3 claim, so it never surfaced</t>
  </si>
  <si>
    <t>scope_conditions, conjectural_status and falsifier converted from text to numbers</t>
  </si>
  <si>
    <t>Same defect, fixed at the data layer as well as the formula layer</t>
  </si>
  <si>
    <t>Column w4_developed added; Fit_Matrix P2/P3/P4|predictive|W4 reset to partial</t>
  </si>
  <si>
    <t>Appendix A.5 requires the analogy to be developed over a full section, but the matrix granted adequate unconditionally and the condition had no input column</t>
  </si>
  <si>
    <t>Columns orig_scope_conditions, orig_conjectural_status, orig_falsifier added</t>
  </si>
  <si>
    <t>Table 4, RQ3 and H2 compare originating and citing text; only citing-text indicators existed, so the comparison could not be computed</t>
  </si>
  <si>
    <t>Column w3_source_peer_reviewed added</t>
  </si>
  <si>
    <t>Pilot note item 2: sub-code turns on whether the source carries data; peer-review status recorded separately</t>
  </si>
  <si>
    <t>Column secondary_claim_type added</t>
  </si>
  <si>
    <t>Appendix A.3 requires causal and predictive to be coded together, which a single claim_type column could not represent</t>
  </si>
  <si>
    <t>Column p4_causal_flag added (derived)</t>
  </si>
  <si>
    <t>Pilot note item 5: the P4 causal flag was free text in notes and could not be tabulated</t>
  </si>
  <si>
    <t>Licence set: CC BY 4.0 for text, protocol, codebook and data; MIT for the analysis script</t>
  </si>
  <si>
    <t>Required before deposit; matches the licence recorded on the Zenodo record</t>
  </si>
  <si>
    <t>Deposit v1 made: tag protocol-freeze, commit f50707436317a533fe9fa9a9a5f9e68213671e0b, DOI 10.5281/zenodo.22696658</t>
  </si>
  <si>
    <t>Recorded as a pre-freeze snapshot, NOT as the pre-registration. At that commit the sampling seed (protocol s.6) was unfilled and the codebook decisions in protocol s.16 were open. Superseded by deposit v2, not deleted</t>
  </si>
  <si>
    <t>Protocol section 16 added: conditions for the freeze</t>
  </si>
  <si>
    <t>Puts the freeze gate inside the pre-registered document instead of an external checklist</t>
  </si>
  <si>
    <t>Snapshot 2 deposited: tag protocol-freeze-v1, commit 2e709266a96dba93122dd7ee0c557b64324d79c8, DOI 10.5281/zenodo.22697017</t>
  </si>
  <si>
    <t>Second dated snapshot, taken after working notes were moved out of the deposit and the search contingency was folded into protocol s.3. Not the pre-registration: protocol s.16 gate still open. The freeze will be tagged preregistration-v1</t>
  </si>
  <si>
    <t>Live summary (formulas only)</t>
  </si>
  <si>
    <t>Total claims</t>
  </si>
  <si>
    <t>Total articles</t>
  </si>
  <si>
    <t>By claim type</t>
  </si>
  <si>
    <t>n</t>
  </si>
  <si>
    <t>share</t>
  </si>
  <si>
    <t>other</t>
  </si>
  <si>
    <t>By primary warrant</t>
  </si>
  <si>
    <t>W1</t>
  </si>
  <si>
    <t>W8</t>
  </si>
  <si>
    <t>By fit (final)</t>
  </si>
  <si>
    <t>Declared-forecast indicators (predictive+causal-future)</t>
  </si>
  <si>
    <t>claims eligible (not NA)</t>
  </si>
  <si>
    <t>scope conditions =1</t>
  </si>
  <si>
    <t>conjectural status =1</t>
  </si>
  <si>
    <t>falsifier =1</t>
  </si>
  <si>
    <t>all three =1 (declared forecasts)</t>
  </si>
  <si>
    <t>none =1 (circulated findings)</t>
  </si>
  <si>
    <t>Fit key errors (CHECK KEY)</t>
  </si>
  <si>
    <t>Transmission (Table 4): originating vs citing text, W3 claims</t>
  </si>
  <si>
    <t>scope conditions: originating =1 / citing =1 / pairs known</t>
  </si>
  <si>
    <t>conjectural status: originating =1 / citing =1 / pairs known</t>
  </si>
  <si>
    <t>falsifier: originating =1 / citing =1 / pairs known</t>
  </si>
  <si>
    <t>W3 claims with originating text retrieved (not unknown)</t>
  </si>
  <si>
    <t>P4 causal claims (flagged)</t>
  </si>
  <si>
    <t>predictive+W4 under P2/P3/P4 with analogy developed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</si>
</sst>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color theme="1"/>
      <name val="Calibri"/>
      <family val="2"/>
      <charset val="1"/>
    </font>
    <font>
      <b/>
      <sz val="12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DDDDDD"/>
        <bgColor rgb="FFDDDDDD"/>
      </patternFill>
    </fill>
    <fill>
      <patternFill patternType="solid">
        <fgColor rgb="FFEAEAEA"/>
        <bgColor rgb="FF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/>
    <xf numFmtId="0" fontId="2" fillId="3" borderId="0" xfId="0" applyFont="1" applyFill="1"/>
    <xf numFmtId="0" fontId="4" fillId="4" borderId="0" xfId="0" applyFont="1" applyFill="1" applyAlignment="1">
      <alignment vertical="center"/>
    </xf>
    <xf numFmtId="0" fontId="0" fillId="3" borderId="0" xfId="0" applyFill="1"/>
    <xf numFmtId="0" fontId="0" fillId="5" borderId="0" xfId="0" applyFill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zoomScaleNormal="100" workbookViewId="0"/>
  </sheetViews>
  <sheetFormatPr defaultColWidth="8.7109375" defaultRowHeight="15"/>
  <cols>
    <col min="1" max="1" width="24" style="1" customWidth="1"/>
    <col min="2" max="2" width="110" style="1" customWidth="1"/>
  </cols>
  <sheetData>
    <row r="1" spans="1:2" ht="15" customHeight="1">
      <c r="A1" s="2" t="s">
        <v>0</v>
      </c>
      <c r="B1" s="3"/>
    </row>
    <row r="2" spans="1:2" ht="15" customHeight="1">
      <c r="A2" s="3"/>
      <c r="B2" s="3"/>
    </row>
    <row r="3" spans="1:2" ht="15" customHeight="1">
      <c r="A3" s="4" t="s">
        <v>1</v>
      </c>
      <c r="B3" s="3"/>
    </row>
    <row r="4" spans="1:2" ht="15" customHeight="1">
      <c r="A4" s="3" t="s">
        <v>2</v>
      </c>
      <c r="B4" s="3" t="s">
        <v>3</v>
      </c>
    </row>
    <row r="5" spans="1:2" ht="15" customHeight="1">
      <c r="A5" s="3" t="s">
        <v>4</v>
      </c>
      <c r="B5" s="3" t="s">
        <v>5</v>
      </c>
    </row>
    <row r="6" spans="1:2" ht="15" customHeight="1">
      <c r="A6" s="3" t="s">
        <v>6</v>
      </c>
      <c r="B6" s="3" t="s">
        <v>7</v>
      </c>
    </row>
    <row r="7" spans="1:2" ht="15" customHeight="1">
      <c r="A7" s="3" t="s">
        <v>8</v>
      </c>
      <c r="B7" s="3" t="s">
        <v>9</v>
      </c>
    </row>
    <row r="8" spans="1:2" ht="15" customHeight="1">
      <c r="A8" s="3" t="s">
        <v>10</v>
      </c>
      <c r="B8" s="3" t="s">
        <v>11</v>
      </c>
    </row>
    <row r="9" spans="1:2" ht="15" customHeight="1">
      <c r="A9" s="3" t="s">
        <v>12</v>
      </c>
      <c r="B9" s="3" t="s">
        <v>13</v>
      </c>
    </row>
    <row r="10" spans="1:2" ht="15" customHeight="1">
      <c r="A10" s="3"/>
      <c r="B10" s="3"/>
    </row>
    <row r="11" spans="1:2" ht="15" customHeight="1">
      <c r="A11" s="4" t="s">
        <v>14</v>
      </c>
      <c r="B11" s="3"/>
    </row>
    <row r="12" spans="1:2" ht="15" customHeight="1">
      <c r="A12" s="3" t="s">
        <v>15</v>
      </c>
      <c r="B12" s="3" t="s">
        <v>16</v>
      </c>
    </row>
    <row r="13" spans="1:2" ht="15" customHeight="1">
      <c r="A13" s="3" t="s">
        <v>17</v>
      </c>
      <c r="B13" s="3" t="s">
        <v>18</v>
      </c>
    </row>
    <row r="14" spans="1:2" ht="15" customHeight="1">
      <c r="A14" s="3" t="s">
        <v>19</v>
      </c>
      <c r="B14" s="3" t="s">
        <v>20</v>
      </c>
    </row>
    <row r="15" spans="1:2" ht="15" customHeight="1">
      <c r="A15" s="3"/>
      <c r="B15" s="3"/>
    </row>
    <row r="16" spans="1:2" ht="15" customHeight="1">
      <c r="A16" s="4" t="s">
        <v>21</v>
      </c>
      <c r="B16" s="3"/>
    </row>
    <row r="17" spans="1:2" ht="15" customHeight="1">
      <c r="A17" s="3" t="s">
        <v>22</v>
      </c>
      <c r="B17" s="3" t="s">
        <v>23</v>
      </c>
    </row>
    <row r="18" spans="1:2" ht="15" customHeight="1">
      <c r="A18" s="3" t="s">
        <v>24</v>
      </c>
      <c r="B18" s="3" t="s">
        <v>25</v>
      </c>
    </row>
    <row r="19" spans="1:2" ht="15" customHeight="1">
      <c r="A19" s="3" t="s">
        <v>26</v>
      </c>
      <c r="B19" s="3" t="s">
        <v>27</v>
      </c>
    </row>
    <row r="20" spans="1:2" ht="15" customHeight="1">
      <c r="A20" s="3" t="s">
        <v>28</v>
      </c>
      <c r="B20" s="3" t="s">
        <v>29</v>
      </c>
    </row>
    <row r="21" spans="1:2" ht="15" customHeight="1">
      <c r="A21" s="3" t="s">
        <v>30</v>
      </c>
      <c r="B21" s="3" t="s">
        <v>31</v>
      </c>
    </row>
    <row r="22" spans="1:2" ht="15" customHeight="1">
      <c r="A22" s="3" t="s">
        <v>32</v>
      </c>
      <c r="B22" s="3" t="s">
        <v>33</v>
      </c>
    </row>
    <row r="23" spans="1:2" ht="15" customHeight="1">
      <c r="A23" s="3" t="s">
        <v>34</v>
      </c>
      <c r="B23" s="3" t="s">
        <v>35</v>
      </c>
    </row>
    <row r="25" spans="1:2">
      <c r="A25" s="5" t="s">
        <v>36</v>
      </c>
    </row>
    <row r="26" spans="1:2">
      <c r="A26" s="6" t="s">
        <v>37</v>
      </c>
      <c r="B26" t="s">
        <v>38</v>
      </c>
    </row>
    <row r="27" spans="1:2">
      <c r="A27" s="6" t="s">
        <v>39</v>
      </c>
      <c r="B27" t="s">
        <v>40</v>
      </c>
    </row>
    <row r="28" spans="1:2">
      <c r="A28" s="6" t="s">
        <v>41</v>
      </c>
      <c r="B28" t="s">
        <v>42</v>
      </c>
    </row>
    <row r="29" spans="1:2">
      <c r="A29" s="6" t="s">
        <v>43</v>
      </c>
      <c r="B29" t="s">
        <v>42</v>
      </c>
    </row>
    <row r="30" spans="1:2">
      <c r="A30" s="6" t="s">
        <v>44</v>
      </c>
      <c r="B30" t="s">
        <v>45</v>
      </c>
    </row>
    <row r="31" spans="1:2">
      <c r="A31" s="6" t="s">
        <v>46</v>
      </c>
      <c r="B31" t="s">
        <v>47</v>
      </c>
    </row>
    <row r="32" spans="1:2">
      <c r="A32" s="6" t="s">
        <v>48</v>
      </c>
      <c r="B32" t="s">
        <v>49</v>
      </c>
    </row>
    <row r="33" spans="1:2">
      <c r="A33" s="6" t="s">
        <v>50</v>
      </c>
      <c r="B33" t="s">
        <v>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36" style="1" customWidth="1"/>
    <col min="2" max="2" width="12" style="1" customWidth="1"/>
    <col min="3" max="3" width="60" style="1" customWidth="1"/>
  </cols>
  <sheetData>
    <row r="1" spans="1:3" ht="15" customHeight="1">
      <c r="A1" s="7" t="s">
        <v>52</v>
      </c>
      <c r="B1" s="7" t="s">
        <v>53</v>
      </c>
      <c r="C1" s="7" t="s">
        <v>54</v>
      </c>
    </row>
    <row r="2" spans="1:3" ht="15" customHeight="1">
      <c r="A2" s="3" t="s">
        <v>55</v>
      </c>
      <c r="B2" s="3" t="s">
        <v>56</v>
      </c>
      <c r="C2" s="3"/>
    </row>
    <row r="3" spans="1:3" ht="15" customHeight="1">
      <c r="A3" s="3" t="s">
        <v>57</v>
      </c>
      <c r="B3" s="3" t="s">
        <v>56</v>
      </c>
      <c r="C3" s="3"/>
    </row>
    <row r="4" spans="1:3" ht="15" customHeight="1">
      <c r="A4" s="3" t="s">
        <v>58</v>
      </c>
      <c r="B4" s="3" t="s">
        <v>56</v>
      </c>
      <c r="C4" s="3"/>
    </row>
    <row r="5" spans="1:3" ht="15" customHeight="1">
      <c r="A5" s="3" t="s">
        <v>59</v>
      </c>
      <c r="B5" s="3" t="s">
        <v>60</v>
      </c>
      <c r="C5" s="3"/>
    </row>
    <row r="6" spans="1:3" ht="15" customHeight="1">
      <c r="A6" s="3" t="s">
        <v>61</v>
      </c>
      <c r="B6" s="3" t="s">
        <v>60</v>
      </c>
      <c r="C6" s="3"/>
    </row>
    <row r="7" spans="1:3" ht="15" customHeight="1">
      <c r="A7" s="3" t="s">
        <v>62</v>
      </c>
      <c r="B7" s="3" t="s">
        <v>60</v>
      </c>
      <c r="C7" s="3"/>
    </row>
    <row r="8" spans="1:3" ht="15" customHeight="1">
      <c r="A8" s="3" t="s">
        <v>63</v>
      </c>
      <c r="B8" s="3" t="s">
        <v>60</v>
      </c>
      <c r="C8" s="3"/>
    </row>
    <row r="9" spans="1:3" ht="15" customHeight="1">
      <c r="A9" s="3" t="s">
        <v>64</v>
      </c>
      <c r="B9" s="3" t="s">
        <v>65</v>
      </c>
      <c r="C9" s="3"/>
    </row>
    <row r="10" spans="1:3" ht="15" customHeight="1">
      <c r="A10" s="3" t="s">
        <v>66</v>
      </c>
      <c r="B10" s="3" t="s">
        <v>60</v>
      </c>
      <c r="C10" s="3"/>
    </row>
    <row r="11" spans="1:3" ht="15" customHeight="1">
      <c r="A11" s="3" t="s">
        <v>67</v>
      </c>
      <c r="B11" s="3" t="s">
        <v>60</v>
      </c>
      <c r="C11" s="3"/>
    </row>
    <row r="12" spans="1:3" ht="15" customHeight="1">
      <c r="A12" s="3" t="s">
        <v>68</v>
      </c>
      <c r="B12" s="3" t="s">
        <v>65</v>
      </c>
      <c r="C12" s="3"/>
    </row>
    <row r="13" spans="1:3" ht="15" customHeight="1">
      <c r="A13" s="3" t="s">
        <v>69</v>
      </c>
      <c r="B13" s="3" t="s">
        <v>56</v>
      </c>
      <c r="C13" s="3"/>
    </row>
    <row r="14" spans="1:3" ht="15" customHeight="1">
      <c r="A14" s="3" t="s">
        <v>70</v>
      </c>
      <c r="B14" s="3" t="s">
        <v>56</v>
      </c>
      <c r="C14" s="3"/>
    </row>
    <row r="15" spans="1:3" ht="15" customHeight="1">
      <c r="A15" s="3" t="s">
        <v>71</v>
      </c>
      <c r="B15" s="3" t="s">
        <v>56</v>
      </c>
      <c r="C15" s="3"/>
    </row>
    <row r="16" spans="1:3" ht="15" customHeight="1">
      <c r="A16" s="3" t="s">
        <v>72</v>
      </c>
      <c r="B16" s="3" t="s">
        <v>56</v>
      </c>
      <c r="C16" s="3"/>
    </row>
    <row r="17" spans="1:3" ht="15" customHeight="1">
      <c r="A17" s="3" t="s">
        <v>73</v>
      </c>
      <c r="B17" s="3" t="s">
        <v>56</v>
      </c>
      <c r="C17" s="3"/>
    </row>
    <row r="18" spans="1:3" ht="15" customHeight="1">
      <c r="A18" s="3" t="s">
        <v>74</v>
      </c>
      <c r="B18" s="3" t="s">
        <v>56</v>
      </c>
      <c r="C18" s="3"/>
    </row>
    <row r="19" spans="1:3" ht="15" customHeight="1">
      <c r="A19" s="3" t="s">
        <v>75</v>
      </c>
      <c r="B19" s="3" t="s">
        <v>56</v>
      </c>
      <c r="C19" s="3"/>
    </row>
    <row r="20" spans="1:3" ht="15" customHeight="1">
      <c r="A20" s="3" t="s">
        <v>76</v>
      </c>
      <c r="B20" s="3" t="s">
        <v>56</v>
      </c>
      <c r="C20" s="3"/>
    </row>
    <row r="21" spans="1:3" ht="15" customHeight="1">
      <c r="A21" s="3" t="s">
        <v>77</v>
      </c>
      <c r="B21" s="3" t="s">
        <v>60</v>
      </c>
      <c r="C21" s="3"/>
    </row>
    <row r="22" spans="1:3" ht="15" customHeight="1">
      <c r="A22" s="3" t="s">
        <v>78</v>
      </c>
      <c r="B22" s="3" t="s">
        <v>56</v>
      </c>
      <c r="C22" s="3"/>
    </row>
    <row r="23" spans="1:3" ht="15" customHeight="1">
      <c r="A23" s="3" t="s">
        <v>79</v>
      </c>
      <c r="B23" s="3" t="s">
        <v>60</v>
      </c>
      <c r="C23" s="3"/>
    </row>
    <row r="24" spans="1:3" ht="15" customHeight="1">
      <c r="A24" s="3" t="s">
        <v>80</v>
      </c>
      <c r="B24" s="3" t="s">
        <v>56</v>
      </c>
      <c r="C24" s="3"/>
    </row>
    <row r="25" spans="1:3" ht="15" customHeight="1">
      <c r="A25" s="3" t="s">
        <v>81</v>
      </c>
      <c r="B25" s="3" t="s">
        <v>56</v>
      </c>
      <c r="C25" s="3"/>
    </row>
    <row r="26" spans="1:3" ht="15" customHeight="1">
      <c r="A26" s="3" t="s">
        <v>82</v>
      </c>
      <c r="B26" s="3" t="s">
        <v>56</v>
      </c>
      <c r="C26" s="3"/>
    </row>
    <row r="27" spans="1:3" ht="15" customHeight="1">
      <c r="A27" s="3" t="s">
        <v>83</v>
      </c>
      <c r="B27" s="3" t="s">
        <v>60</v>
      </c>
      <c r="C27" s="3"/>
    </row>
    <row r="28" spans="1:3" ht="15" customHeight="1">
      <c r="A28" s="3" t="s">
        <v>84</v>
      </c>
      <c r="B28" s="3" t="s">
        <v>60</v>
      </c>
      <c r="C28" s="3"/>
    </row>
    <row r="29" spans="1:3" ht="15" customHeight="1">
      <c r="A29" s="3" t="s">
        <v>85</v>
      </c>
      <c r="B29" s="3" t="s">
        <v>60</v>
      </c>
      <c r="C29" s="3"/>
    </row>
    <row r="30" spans="1:3" ht="15" customHeight="1">
      <c r="A30" s="3" t="s">
        <v>86</v>
      </c>
      <c r="B30" s="3" t="s">
        <v>60</v>
      </c>
      <c r="C30" s="3"/>
    </row>
    <row r="31" spans="1:3" ht="15" customHeight="1">
      <c r="A31" s="3" t="s">
        <v>87</v>
      </c>
      <c r="B31" s="3" t="s">
        <v>60</v>
      </c>
      <c r="C31" s="3"/>
    </row>
    <row r="32" spans="1:3" ht="15" customHeight="1">
      <c r="A32" s="3" t="s">
        <v>88</v>
      </c>
      <c r="B32" s="3" t="s">
        <v>65</v>
      </c>
      <c r="C32" s="3"/>
    </row>
    <row r="33" spans="1:3" ht="15" customHeight="1">
      <c r="A33" s="3" t="s">
        <v>89</v>
      </c>
      <c r="B33" s="3" t="s">
        <v>60</v>
      </c>
      <c r="C33" s="3" t="s">
        <v>90</v>
      </c>
    </row>
    <row r="34" spans="1:3" ht="15" customHeight="1">
      <c r="A34" s="3" t="s">
        <v>91</v>
      </c>
      <c r="B34" s="3" t="s">
        <v>65</v>
      </c>
      <c r="C34" s="3"/>
    </row>
    <row r="35" spans="1:3" ht="15" customHeight="1">
      <c r="A35" s="3" t="s">
        <v>92</v>
      </c>
      <c r="B35" s="3" t="s">
        <v>56</v>
      </c>
      <c r="C35" s="3"/>
    </row>
    <row r="36" spans="1:3" ht="15" customHeight="1">
      <c r="A36" s="3" t="s">
        <v>93</v>
      </c>
      <c r="B36" s="3" t="s">
        <v>56</v>
      </c>
      <c r="C36" s="3"/>
    </row>
    <row r="37" spans="1:3" ht="15" customHeight="1">
      <c r="A37" s="3" t="s">
        <v>94</v>
      </c>
      <c r="B37" s="3" t="s">
        <v>56</v>
      </c>
      <c r="C37" s="3"/>
    </row>
    <row r="38" spans="1:3" ht="15" customHeight="1">
      <c r="A38" s="3" t="s">
        <v>95</v>
      </c>
      <c r="B38" s="3" t="s">
        <v>60</v>
      </c>
      <c r="C38" s="3"/>
    </row>
    <row r="39" spans="1:3" ht="15" customHeight="1">
      <c r="A39" s="3" t="s">
        <v>96</v>
      </c>
      <c r="B39" s="3" t="s">
        <v>60</v>
      </c>
      <c r="C39" s="3"/>
    </row>
    <row r="40" spans="1:3" ht="15" customHeight="1">
      <c r="A40" s="3" t="s">
        <v>97</v>
      </c>
      <c r="B40" s="3" t="s">
        <v>60</v>
      </c>
      <c r="C40" s="3"/>
    </row>
    <row r="41" spans="1:3" ht="15" customHeight="1">
      <c r="A41" s="3" t="s">
        <v>98</v>
      </c>
      <c r="B41" s="3" t="s">
        <v>60</v>
      </c>
      <c r="C41" s="3"/>
    </row>
    <row r="42" spans="1:3" ht="15" customHeight="1">
      <c r="A42" s="3" t="s">
        <v>99</v>
      </c>
      <c r="B42" s="3" t="s">
        <v>60</v>
      </c>
      <c r="C42" s="3"/>
    </row>
    <row r="43" spans="1:3" ht="15" customHeight="1">
      <c r="A43" s="3" t="s">
        <v>100</v>
      </c>
      <c r="B43" s="3" t="s">
        <v>60</v>
      </c>
      <c r="C43" s="3"/>
    </row>
    <row r="44" spans="1:3" ht="15" customHeight="1">
      <c r="A44" s="3" t="s">
        <v>101</v>
      </c>
      <c r="B44" s="3" t="s">
        <v>56</v>
      </c>
      <c r="C44" s="3" t="s">
        <v>90</v>
      </c>
    </row>
    <row r="45" spans="1:3" ht="15" customHeight="1">
      <c r="A45" s="3" t="s">
        <v>102</v>
      </c>
      <c r="B45" s="3" t="s">
        <v>65</v>
      </c>
      <c r="C45" s="3"/>
    </row>
    <row r="46" spans="1:3" ht="15" customHeight="1">
      <c r="A46" s="3" t="s">
        <v>103</v>
      </c>
      <c r="B46" s="3" t="s">
        <v>56</v>
      </c>
      <c r="C46" s="3"/>
    </row>
    <row r="47" spans="1:3" ht="15" customHeight="1">
      <c r="A47" s="3" t="s">
        <v>104</v>
      </c>
      <c r="B47" s="3" t="s">
        <v>56</v>
      </c>
      <c r="C47" s="3"/>
    </row>
    <row r="48" spans="1:3" ht="15" customHeight="1">
      <c r="A48" s="3" t="s">
        <v>105</v>
      </c>
      <c r="B48" s="3" t="s">
        <v>56</v>
      </c>
      <c r="C48" s="3"/>
    </row>
    <row r="49" spans="1:3" ht="15" customHeight="1">
      <c r="A49" s="3" t="s">
        <v>106</v>
      </c>
      <c r="B49" s="3" t="s">
        <v>60</v>
      </c>
      <c r="C49" s="3"/>
    </row>
    <row r="50" spans="1:3" ht="15" customHeight="1">
      <c r="A50" s="3" t="s">
        <v>107</v>
      </c>
      <c r="B50" s="3" t="s">
        <v>60</v>
      </c>
      <c r="C50" s="3"/>
    </row>
    <row r="51" spans="1:3" ht="15" customHeight="1">
      <c r="A51" s="3" t="s">
        <v>108</v>
      </c>
      <c r="B51" s="3" t="s">
        <v>60</v>
      </c>
      <c r="C51" s="3"/>
    </row>
    <row r="52" spans="1:3" ht="15" customHeight="1">
      <c r="A52" s="3" t="s">
        <v>109</v>
      </c>
      <c r="B52" s="3" t="s">
        <v>60</v>
      </c>
      <c r="C52" s="3"/>
    </row>
    <row r="53" spans="1:3" ht="15" customHeight="1">
      <c r="A53" s="3" t="s">
        <v>110</v>
      </c>
      <c r="B53" s="3" t="s">
        <v>60</v>
      </c>
      <c r="C53" s="3"/>
    </row>
    <row r="54" spans="1:3" ht="15" customHeight="1">
      <c r="A54" s="3" t="s">
        <v>111</v>
      </c>
      <c r="B54" s="3" t="s">
        <v>60</v>
      </c>
      <c r="C54" s="3"/>
    </row>
    <row r="55" spans="1:3" ht="15" customHeight="1">
      <c r="A55" s="3" t="s">
        <v>112</v>
      </c>
      <c r="B55" s="3" t="s">
        <v>60</v>
      </c>
      <c r="C55" s="3"/>
    </row>
    <row r="56" spans="1:3" ht="15" customHeight="1">
      <c r="A56" s="3" t="s">
        <v>113</v>
      </c>
      <c r="B56" s="3" t="s">
        <v>65</v>
      </c>
      <c r="C56" s="3"/>
    </row>
    <row r="57" spans="1:3" ht="15" customHeight="1">
      <c r="A57" s="3" t="s">
        <v>114</v>
      </c>
      <c r="B57" s="3" t="s">
        <v>60</v>
      </c>
      <c r="C57" s="3"/>
    </row>
    <row r="58" spans="1:3" ht="15" customHeight="1">
      <c r="A58" s="3" t="s">
        <v>115</v>
      </c>
      <c r="B58" s="3" t="s">
        <v>60</v>
      </c>
      <c r="C58" s="3"/>
    </row>
    <row r="59" spans="1:3" ht="15" customHeight="1">
      <c r="A59" s="3" t="s">
        <v>116</v>
      </c>
      <c r="B59" s="3" t="s">
        <v>60</v>
      </c>
      <c r="C59" s="3"/>
    </row>
    <row r="60" spans="1:3" ht="15" customHeight="1">
      <c r="A60" s="3" t="s">
        <v>117</v>
      </c>
      <c r="B60" s="3" t="s">
        <v>60</v>
      </c>
      <c r="C60" s="3"/>
    </row>
    <row r="61" spans="1:3" ht="15" customHeight="1">
      <c r="A61" s="3" t="s">
        <v>118</v>
      </c>
      <c r="B61" s="3" t="s">
        <v>60</v>
      </c>
      <c r="C61" s="3"/>
    </row>
    <row r="62" spans="1:3" ht="15" customHeight="1">
      <c r="A62" s="3" t="s">
        <v>119</v>
      </c>
      <c r="B62" s="3" t="s">
        <v>60</v>
      </c>
      <c r="C62" s="3"/>
    </row>
    <row r="63" spans="1:3" ht="15" customHeight="1">
      <c r="A63" s="3" t="s">
        <v>120</v>
      </c>
      <c r="B63" s="3" t="s">
        <v>60</v>
      </c>
      <c r="C63" s="3"/>
    </row>
    <row r="64" spans="1:3" ht="15" customHeight="1">
      <c r="A64" s="3" t="s">
        <v>121</v>
      </c>
      <c r="B64" s="3" t="s">
        <v>60</v>
      </c>
      <c r="C64" s="3"/>
    </row>
    <row r="65" spans="1:3" ht="15" customHeight="1">
      <c r="A65" s="3" t="s">
        <v>122</v>
      </c>
      <c r="B65" s="3" t="s">
        <v>60</v>
      </c>
      <c r="C65" s="3"/>
    </row>
    <row r="66" spans="1:3" ht="15" customHeight="1">
      <c r="A66" s="3" t="s">
        <v>123</v>
      </c>
      <c r="B66" s="3" t="s">
        <v>60</v>
      </c>
      <c r="C66" s="3"/>
    </row>
    <row r="67" spans="1:3" ht="15" customHeight="1">
      <c r="A67" s="3" t="s">
        <v>124</v>
      </c>
      <c r="B67" s="3" t="s">
        <v>60</v>
      </c>
      <c r="C67" s="3"/>
    </row>
    <row r="68" spans="1:3" ht="15" customHeight="1">
      <c r="A68" s="3" t="s">
        <v>125</v>
      </c>
      <c r="B68" s="3" t="s">
        <v>56</v>
      </c>
      <c r="C68" s="3"/>
    </row>
    <row r="69" spans="1:3" ht="15" customHeight="1">
      <c r="A69" s="3" t="s">
        <v>126</v>
      </c>
      <c r="B69" s="3" t="s">
        <v>56</v>
      </c>
      <c r="C69" s="3"/>
    </row>
    <row r="70" spans="1:3" ht="15" customHeight="1">
      <c r="A70" s="3" t="s">
        <v>127</v>
      </c>
      <c r="B70" s="3" t="s">
        <v>56</v>
      </c>
      <c r="C70" s="3"/>
    </row>
    <row r="71" spans="1:3" ht="15" customHeight="1">
      <c r="A71" s="3" t="s">
        <v>128</v>
      </c>
      <c r="B71" s="3" t="s">
        <v>60</v>
      </c>
      <c r="C71" s="3"/>
    </row>
    <row r="72" spans="1:3" ht="15" customHeight="1">
      <c r="A72" s="3" t="s">
        <v>129</v>
      </c>
      <c r="B72" s="3" t="s">
        <v>60</v>
      </c>
      <c r="C72" s="3"/>
    </row>
    <row r="73" spans="1:3" ht="15" customHeight="1">
      <c r="A73" s="3" t="s">
        <v>130</v>
      </c>
      <c r="B73" s="3" t="s">
        <v>60</v>
      </c>
      <c r="C73" s="3"/>
    </row>
    <row r="74" spans="1:3" ht="15" customHeight="1">
      <c r="A74" s="3" t="s">
        <v>131</v>
      </c>
      <c r="B74" s="3" t="s">
        <v>60</v>
      </c>
      <c r="C74" s="3"/>
    </row>
    <row r="75" spans="1:3" ht="15" customHeight="1">
      <c r="A75" s="3" t="s">
        <v>132</v>
      </c>
      <c r="B75" s="3" t="s">
        <v>65</v>
      </c>
      <c r="C75" s="3"/>
    </row>
    <row r="76" spans="1:3" ht="15" customHeight="1">
      <c r="A76" s="3" t="s">
        <v>133</v>
      </c>
      <c r="B76" s="3" t="s">
        <v>60</v>
      </c>
      <c r="C76" s="3"/>
    </row>
    <row r="77" spans="1:3" ht="15" customHeight="1">
      <c r="A77" s="3" t="s">
        <v>134</v>
      </c>
      <c r="B77" s="3" t="s">
        <v>60</v>
      </c>
      <c r="C77" s="3"/>
    </row>
    <row r="78" spans="1:3" ht="15" customHeight="1">
      <c r="A78" s="3" t="s">
        <v>135</v>
      </c>
      <c r="B78" s="3" t="s">
        <v>65</v>
      </c>
      <c r="C78" s="3"/>
    </row>
    <row r="79" spans="1:3" ht="15" customHeight="1">
      <c r="A79" s="3" t="s">
        <v>136</v>
      </c>
      <c r="B79" s="3" t="s">
        <v>56</v>
      </c>
      <c r="C79" s="3"/>
    </row>
    <row r="80" spans="1:3" ht="15" customHeight="1">
      <c r="A80" s="3" t="s">
        <v>137</v>
      </c>
      <c r="B80" s="3" t="s">
        <v>56</v>
      </c>
      <c r="C80" s="3"/>
    </row>
    <row r="81" spans="1:3" ht="15" customHeight="1">
      <c r="A81" s="3" t="s">
        <v>138</v>
      </c>
      <c r="B81" s="3" t="s">
        <v>56</v>
      </c>
      <c r="C81" s="3"/>
    </row>
    <row r="82" spans="1:3" ht="15" customHeight="1">
      <c r="A82" s="3" t="s">
        <v>139</v>
      </c>
      <c r="B82" s="3" t="s">
        <v>56</v>
      </c>
      <c r="C82" s="3"/>
    </row>
    <row r="83" spans="1:3" ht="15" customHeight="1">
      <c r="A83" s="3" t="s">
        <v>140</v>
      </c>
      <c r="B83" s="3" t="s">
        <v>56</v>
      </c>
      <c r="C83" s="3"/>
    </row>
    <row r="84" spans="1:3" ht="15" customHeight="1">
      <c r="A84" s="3" t="s">
        <v>141</v>
      </c>
      <c r="B84" s="3" t="s">
        <v>56</v>
      </c>
      <c r="C84" s="3"/>
    </row>
    <row r="85" spans="1:3" ht="15" customHeight="1">
      <c r="A85" s="3" t="s">
        <v>142</v>
      </c>
      <c r="B85" s="3" t="s">
        <v>56</v>
      </c>
      <c r="C85" s="3"/>
    </row>
    <row r="86" spans="1:3" ht="15" customHeight="1">
      <c r="A86" s="3" t="s">
        <v>143</v>
      </c>
      <c r="B86" s="3" t="s">
        <v>56</v>
      </c>
      <c r="C86" s="3"/>
    </row>
    <row r="87" spans="1:3" ht="15" customHeight="1">
      <c r="A87" s="3" t="s">
        <v>144</v>
      </c>
      <c r="B87" s="3" t="s">
        <v>60</v>
      </c>
      <c r="C87" s="3"/>
    </row>
    <row r="88" spans="1:3" ht="15" customHeight="1">
      <c r="A88" s="3" t="s">
        <v>145</v>
      </c>
      <c r="B88" s="3" t="s">
        <v>56</v>
      </c>
      <c r="C88" s="3"/>
    </row>
    <row r="89" spans="1:3" ht="15" customHeight="1">
      <c r="A89" s="3" t="s">
        <v>146</v>
      </c>
      <c r="B89" s="3" t="s">
        <v>60</v>
      </c>
      <c r="C89" s="3"/>
    </row>
    <row r="90" spans="1:3" ht="15" customHeight="1">
      <c r="A90" s="3" t="s">
        <v>147</v>
      </c>
      <c r="B90" s="3" t="s">
        <v>56</v>
      </c>
      <c r="C90" s="3"/>
    </row>
    <row r="91" spans="1:3" ht="15" customHeight="1">
      <c r="A91" s="3" t="s">
        <v>148</v>
      </c>
      <c r="B91" s="3" t="s">
        <v>56</v>
      </c>
      <c r="C91" s="3" t="s">
        <v>149</v>
      </c>
    </row>
    <row r="92" spans="1:3" ht="15" customHeight="1">
      <c r="A92" s="3" t="s">
        <v>150</v>
      </c>
      <c r="B92" s="3" t="s">
        <v>56</v>
      </c>
      <c r="C92" s="3"/>
    </row>
    <row r="93" spans="1:3" ht="15" customHeight="1">
      <c r="A93" s="3" t="s">
        <v>151</v>
      </c>
      <c r="B93" s="3" t="s">
        <v>60</v>
      </c>
      <c r="C93" s="3"/>
    </row>
    <row r="94" spans="1:3" ht="15" customHeight="1">
      <c r="A94" s="3" t="s">
        <v>152</v>
      </c>
      <c r="B94" s="3" t="s">
        <v>60</v>
      </c>
      <c r="C94" s="3"/>
    </row>
    <row r="95" spans="1:3" ht="15" customHeight="1">
      <c r="A95" s="3" t="s">
        <v>153</v>
      </c>
      <c r="B95" s="3" t="s">
        <v>60</v>
      </c>
      <c r="C95" s="3"/>
    </row>
    <row r="96" spans="1:3" ht="15" customHeight="1">
      <c r="A96" s="3" t="s">
        <v>154</v>
      </c>
      <c r="B96" s="3" t="s">
        <v>60</v>
      </c>
      <c r="C96" s="3"/>
    </row>
    <row r="97" spans="1:3" ht="15" customHeight="1">
      <c r="A97" s="3" t="s">
        <v>155</v>
      </c>
      <c r="B97" s="3" t="s">
        <v>60</v>
      </c>
      <c r="C97" s="3"/>
    </row>
    <row r="98" spans="1:3" ht="15" customHeight="1">
      <c r="A98" s="3" t="s">
        <v>156</v>
      </c>
      <c r="B98" s="3" t="s">
        <v>65</v>
      </c>
      <c r="C98" s="3"/>
    </row>
    <row r="99" spans="1:3" ht="15" customHeight="1">
      <c r="A99" s="3" t="s">
        <v>157</v>
      </c>
      <c r="B99" s="3" t="s">
        <v>60</v>
      </c>
      <c r="C99" s="3" t="s">
        <v>90</v>
      </c>
    </row>
    <row r="100" spans="1:3" ht="15" customHeight="1">
      <c r="A100" s="3" t="s">
        <v>158</v>
      </c>
      <c r="B100" s="3" t="s">
        <v>65</v>
      </c>
      <c r="C100" s="3"/>
    </row>
    <row r="101" spans="1:3" ht="15" customHeight="1">
      <c r="A101" s="3" t="s">
        <v>159</v>
      </c>
      <c r="B101" s="3" t="s">
        <v>56</v>
      </c>
      <c r="C101" s="3"/>
    </row>
    <row r="102" spans="1:3" ht="15" customHeight="1">
      <c r="A102" s="3" t="s">
        <v>160</v>
      </c>
      <c r="B102" s="3" t="s">
        <v>56</v>
      </c>
      <c r="C102" s="3"/>
    </row>
    <row r="103" spans="1:3" ht="15" customHeight="1">
      <c r="A103" s="3" t="s">
        <v>161</v>
      </c>
      <c r="B103" s="3" t="s">
        <v>56</v>
      </c>
      <c r="C103" s="3"/>
    </row>
    <row r="104" spans="1:3" ht="15" customHeight="1">
      <c r="A104" s="3" t="s">
        <v>162</v>
      </c>
      <c r="B104" s="3" t="s">
        <v>60</v>
      </c>
      <c r="C104" s="3"/>
    </row>
    <row r="105" spans="1:3" ht="15" customHeight="1">
      <c r="A105" s="3" t="s">
        <v>163</v>
      </c>
      <c r="B105" s="3" t="s">
        <v>60</v>
      </c>
      <c r="C105" s="3"/>
    </row>
    <row r="106" spans="1:3" ht="15" customHeight="1">
      <c r="A106" s="3" t="s">
        <v>164</v>
      </c>
      <c r="B106" s="3" t="s">
        <v>60</v>
      </c>
      <c r="C106" s="3"/>
    </row>
    <row r="107" spans="1:3" ht="15" customHeight="1">
      <c r="A107" s="3" t="s">
        <v>165</v>
      </c>
      <c r="B107" s="3" t="s">
        <v>60</v>
      </c>
      <c r="C107" s="3" t="s">
        <v>166</v>
      </c>
    </row>
    <row r="108" spans="1:3" ht="15" customHeight="1">
      <c r="A108" s="3" t="s">
        <v>167</v>
      </c>
      <c r="B108" s="3" t="s">
        <v>60</v>
      </c>
      <c r="C108" s="3"/>
    </row>
    <row r="109" spans="1:3" ht="15" customHeight="1">
      <c r="A109" s="3" t="s">
        <v>168</v>
      </c>
      <c r="B109" s="3" t="s">
        <v>60</v>
      </c>
      <c r="C109" s="3"/>
    </row>
    <row r="110" spans="1:3" ht="15" customHeight="1">
      <c r="A110" s="3" t="s">
        <v>169</v>
      </c>
      <c r="B110" s="3" t="s">
        <v>56</v>
      </c>
      <c r="C110" s="3" t="s">
        <v>90</v>
      </c>
    </row>
    <row r="111" spans="1:3" ht="15" customHeight="1">
      <c r="A111" s="3" t="s">
        <v>170</v>
      </c>
      <c r="B111" s="3" t="s">
        <v>65</v>
      </c>
      <c r="C111" s="3"/>
    </row>
    <row r="112" spans="1:3" ht="15" customHeight="1">
      <c r="A112" s="3" t="s">
        <v>171</v>
      </c>
      <c r="B112" s="3" t="s">
        <v>56</v>
      </c>
      <c r="C112" s="3"/>
    </row>
    <row r="113" spans="1:3" ht="15" customHeight="1">
      <c r="A113" s="3" t="s">
        <v>172</v>
      </c>
      <c r="B113" s="3" t="s">
        <v>56</v>
      </c>
      <c r="C113" s="3"/>
    </row>
    <row r="114" spans="1:3" ht="15" customHeight="1">
      <c r="A114" s="3" t="s">
        <v>173</v>
      </c>
      <c r="B114" s="3" t="s">
        <v>56</v>
      </c>
      <c r="C114" s="3"/>
    </row>
    <row r="115" spans="1:3" ht="15" customHeight="1">
      <c r="A115" s="3" t="s">
        <v>174</v>
      </c>
      <c r="B115" s="3" t="s">
        <v>60</v>
      </c>
      <c r="C115" s="3"/>
    </row>
    <row r="116" spans="1:3" ht="15" customHeight="1">
      <c r="A116" s="3" t="s">
        <v>175</v>
      </c>
      <c r="B116" s="3" t="s">
        <v>60</v>
      </c>
      <c r="C116" s="3"/>
    </row>
    <row r="117" spans="1:3" ht="15" customHeight="1">
      <c r="A117" s="3" t="s">
        <v>176</v>
      </c>
      <c r="B117" s="3" t="s">
        <v>60</v>
      </c>
      <c r="C117" s="3"/>
    </row>
    <row r="118" spans="1:3" ht="15" customHeight="1">
      <c r="A118" s="3" t="s">
        <v>177</v>
      </c>
      <c r="B118" s="3" t="s">
        <v>60</v>
      </c>
      <c r="C118" s="3"/>
    </row>
    <row r="119" spans="1:3" ht="15" customHeight="1">
      <c r="A119" s="3" t="s">
        <v>178</v>
      </c>
      <c r="B119" s="3" t="s">
        <v>60</v>
      </c>
      <c r="C119" s="3"/>
    </row>
    <row r="120" spans="1:3" ht="15" customHeight="1">
      <c r="A120" s="3" t="s">
        <v>179</v>
      </c>
      <c r="B120" s="3" t="s">
        <v>60</v>
      </c>
      <c r="C120" s="3"/>
    </row>
    <row r="121" spans="1:3" ht="15" customHeight="1">
      <c r="A121" s="3" t="s">
        <v>180</v>
      </c>
      <c r="B121" s="3" t="s">
        <v>60</v>
      </c>
      <c r="C121" s="3"/>
    </row>
    <row r="122" spans="1:3" ht="15" customHeight="1">
      <c r="A122" s="3" t="s">
        <v>181</v>
      </c>
      <c r="B122" s="3" t="s">
        <v>65</v>
      </c>
      <c r="C122" s="3"/>
    </row>
    <row r="123" spans="1:3" ht="15" customHeight="1">
      <c r="A123" s="3" t="s">
        <v>182</v>
      </c>
      <c r="B123" s="3" t="s">
        <v>60</v>
      </c>
      <c r="C123" s="3"/>
    </row>
    <row r="124" spans="1:3" ht="15" customHeight="1">
      <c r="A124" s="3" t="s">
        <v>183</v>
      </c>
      <c r="B124" s="3" t="s">
        <v>60</v>
      </c>
      <c r="C124" s="3"/>
    </row>
    <row r="125" spans="1:3" ht="15" customHeight="1">
      <c r="A125" s="3" t="s">
        <v>184</v>
      </c>
      <c r="B125" s="3" t="s">
        <v>60</v>
      </c>
      <c r="C125" s="3"/>
    </row>
    <row r="126" spans="1:3" ht="15" customHeight="1">
      <c r="A126" s="3" t="s">
        <v>185</v>
      </c>
      <c r="B126" s="3" t="s">
        <v>60</v>
      </c>
      <c r="C126" s="3"/>
    </row>
    <row r="127" spans="1:3" ht="15" customHeight="1">
      <c r="A127" s="3" t="s">
        <v>186</v>
      </c>
      <c r="B127" s="3" t="s">
        <v>60</v>
      </c>
      <c r="C127" s="3"/>
    </row>
    <row r="128" spans="1:3" ht="15" customHeight="1">
      <c r="A128" s="3" t="s">
        <v>187</v>
      </c>
      <c r="B128" s="3" t="s">
        <v>60</v>
      </c>
      <c r="C128" s="3"/>
    </row>
    <row r="129" spans="1:3" ht="15" customHeight="1">
      <c r="A129" s="3" t="s">
        <v>188</v>
      </c>
      <c r="B129" s="3" t="s">
        <v>60</v>
      </c>
      <c r="C129" s="3"/>
    </row>
    <row r="130" spans="1:3" ht="15" customHeight="1">
      <c r="A130" s="3" t="s">
        <v>189</v>
      </c>
      <c r="B130" s="3" t="s">
        <v>60</v>
      </c>
      <c r="C130" s="3"/>
    </row>
    <row r="131" spans="1:3" ht="15" customHeight="1">
      <c r="A131" s="3" t="s">
        <v>190</v>
      </c>
      <c r="B131" s="3" t="s">
        <v>60</v>
      </c>
      <c r="C131" s="3"/>
    </row>
    <row r="132" spans="1:3" ht="15" customHeight="1">
      <c r="A132" s="3" t="s">
        <v>191</v>
      </c>
      <c r="B132" s="3" t="s">
        <v>60</v>
      </c>
      <c r="C132" s="3"/>
    </row>
    <row r="133" spans="1:3" ht="15" customHeight="1">
      <c r="A133" s="3" t="s">
        <v>192</v>
      </c>
      <c r="B133" s="3" t="s">
        <v>60</v>
      </c>
      <c r="C133" s="3"/>
    </row>
    <row r="134" spans="1:3" ht="15" customHeight="1">
      <c r="A134" s="3" t="s">
        <v>193</v>
      </c>
      <c r="B134" s="3" t="s">
        <v>56</v>
      </c>
      <c r="C134" s="3"/>
    </row>
    <row r="135" spans="1:3" ht="15" customHeight="1">
      <c r="A135" s="3" t="s">
        <v>194</v>
      </c>
      <c r="B135" s="3" t="s">
        <v>56</v>
      </c>
      <c r="C135" s="3"/>
    </row>
    <row r="136" spans="1:3" ht="15" customHeight="1">
      <c r="A136" s="3" t="s">
        <v>195</v>
      </c>
      <c r="B136" s="3" t="s">
        <v>56</v>
      </c>
      <c r="C136" s="3"/>
    </row>
    <row r="137" spans="1:3" ht="15" customHeight="1">
      <c r="A137" s="3" t="s">
        <v>196</v>
      </c>
      <c r="B137" s="3" t="s">
        <v>60</v>
      </c>
      <c r="C137" s="3"/>
    </row>
    <row r="138" spans="1:3" ht="15" customHeight="1">
      <c r="A138" s="3" t="s">
        <v>197</v>
      </c>
      <c r="B138" s="3" t="s">
        <v>60</v>
      </c>
      <c r="C138" s="3"/>
    </row>
    <row r="139" spans="1:3" ht="15" customHeight="1">
      <c r="A139" s="3" t="s">
        <v>198</v>
      </c>
      <c r="B139" s="3" t="s">
        <v>60</v>
      </c>
      <c r="C139" s="3"/>
    </row>
    <row r="140" spans="1:3" ht="15" customHeight="1">
      <c r="A140" s="3" t="s">
        <v>199</v>
      </c>
      <c r="B140" s="3" t="s">
        <v>60</v>
      </c>
      <c r="C140" s="3"/>
    </row>
    <row r="141" spans="1:3" ht="15" customHeight="1">
      <c r="A141" s="3" t="s">
        <v>200</v>
      </c>
      <c r="B141" s="3" t="s">
        <v>65</v>
      </c>
      <c r="C141" s="3"/>
    </row>
    <row r="142" spans="1:3" ht="15" customHeight="1">
      <c r="A142" s="3" t="s">
        <v>201</v>
      </c>
      <c r="B142" s="3" t="s">
        <v>60</v>
      </c>
      <c r="C142" s="3"/>
    </row>
    <row r="143" spans="1:3" ht="15" customHeight="1">
      <c r="A143" s="3" t="s">
        <v>202</v>
      </c>
      <c r="B143" s="3" t="s">
        <v>60</v>
      </c>
      <c r="C143" s="3"/>
    </row>
    <row r="144" spans="1:3" ht="15" customHeight="1">
      <c r="A144" s="3" t="s">
        <v>203</v>
      </c>
      <c r="B144" s="3" t="s">
        <v>65</v>
      </c>
      <c r="C144" s="3"/>
    </row>
    <row r="145" spans="1:3" ht="15" customHeight="1">
      <c r="A145" s="3" t="s">
        <v>204</v>
      </c>
      <c r="B145" s="3" t="s">
        <v>56</v>
      </c>
      <c r="C145" s="3"/>
    </row>
    <row r="146" spans="1:3" ht="15" customHeight="1">
      <c r="A146" s="3" t="s">
        <v>205</v>
      </c>
      <c r="B146" s="3" t="s">
        <v>56</v>
      </c>
      <c r="C146" s="3"/>
    </row>
    <row r="147" spans="1:3" ht="15" customHeight="1">
      <c r="A147" s="3" t="s">
        <v>206</v>
      </c>
      <c r="B147" s="3" t="s">
        <v>56</v>
      </c>
      <c r="C147" s="3"/>
    </row>
    <row r="148" spans="1:3" ht="15" customHeight="1">
      <c r="A148" s="3" t="s">
        <v>207</v>
      </c>
      <c r="B148" s="3" t="s">
        <v>56</v>
      </c>
      <c r="C148" s="3"/>
    </row>
    <row r="149" spans="1:3" ht="15" customHeight="1">
      <c r="A149" s="3" t="s">
        <v>208</v>
      </c>
      <c r="B149" s="3" t="s">
        <v>56</v>
      </c>
      <c r="C149" s="3"/>
    </row>
    <row r="150" spans="1:3" ht="15" customHeight="1">
      <c r="A150" s="3" t="s">
        <v>209</v>
      </c>
      <c r="B150" s="3" t="s">
        <v>56</v>
      </c>
      <c r="C150" s="3"/>
    </row>
    <row r="151" spans="1:3" ht="15" customHeight="1">
      <c r="A151" s="3" t="s">
        <v>210</v>
      </c>
      <c r="B151" s="3" t="s">
        <v>56</v>
      </c>
      <c r="C151" s="3"/>
    </row>
    <row r="152" spans="1:3" ht="15" customHeight="1">
      <c r="A152" s="3" t="s">
        <v>211</v>
      </c>
      <c r="B152" s="3" t="s">
        <v>56</v>
      </c>
      <c r="C152" s="3"/>
    </row>
    <row r="153" spans="1:3" ht="15" customHeight="1">
      <c r="A153" s="3" t="s">
        <v>212</v>
      </c>
      <c r="B153" s="3" t="s">
        <v>60</v>
      </c>
      <c r="C153" s="3"/>
    </row>
    <row r="154" spans="1:3" ht="15" customHeight="1">
      <c r="A154" s="3" t="s">
        <v>213</v>
      </c>
      <c r="B154" s="3" t="s">
        <v>56</v>
      </c>
      <c r="C154" s="3"/>
    </row>
    <row r="155" spans="1:3" ht="15" customHeight="1">
      <c r="A155" s="3" t="s">
        <v>214</v>
      </c>
      <c r="B155" s="3" t="s">
        <v>60</v>
      </c>
      <c r="C155" s="3"/>
    </row>
    <row r="156" spans="1:3" ht="15" customHeight="1">
      <c r="A156" s="3" t="s">
        <v>215</v>
      </c>
      <c r="B156" s="3" t="s">
        <v>56</v>
      </c>
      <c r="C156" s="3"/>
    </row>
    <row r="157" spans="1:3" ht="15" customHeight="1">
      <c r="A157" s="3" t="s">
        <v>216</v>
      </c>
      <c r="B157" s="3" t="s">
        <v>56</v>
      </c>
      <c r="C157" s="3" t="s">
        <v>149</v>
      </c>
    </row>
    <row r="158" spans="1:3" ht="15" customHeight="1">
      <c r="A158" s="3" t="s">
        <v>217</v>
      </c>
      <c r="B158" s="3" t="s">
        <v>56</v>
      </c>
      <c r="C158" s="3"/>
    </row>
    <row r="159" spans="1:3" ht="15" customHeight="1">
      <c r="A159" s="3" t="s">
        <v>218</v>
      </c>
      <c r="B159" s="3" t="s">
        <v>60</v>
      </c>
      <c r="C159" s="3"/>
    </row>
    <row r="160" spans="1:3" ht="15" customHeight="1">
      <c r="A160" s="3" t="s">
        <v>219</v>
      </c>
      <c r="B160" s="3" t="s">
        <v>60</v>
      </c>
      <c r="C160" s="3"/>
    </row>
    <row r="161" spans="1:3" ht="15" customHeight="1">
      <c r="A161" s="3" t="s">
        <v>220</v>
      </c>
      <c r="B161" s="3" t="s">
        <v>60</v>
      </c>
      <c r="C161" s="3"/>
    </row>
    <row r="162" spans="1:3" ht="15" customHeight="1">
      <c r="A162" s="3" t="s">
        <v>221</v>
      </c>
      <c r="B162" s="3" t="s">
        <v>60</v>
      </c>
      <c r="C162" s="3"/>
    </row>
    <row r="163" spans="1:3" ht="15" customHeight="1">
      <c r="A163" s="3" t="s">
        <v>222</v>
      </c>
      <c r="B163" s="3" t="s">
        <v>60</v>
      </c>
      <c r="C163" s="3"/>
    </row>
    <row r="164" spans="1:3" ht="15" customHeight="1">
      <c r="A164" s="3" t="s">
        <v>223</v>
      </c>
      <c r="B164" s="3" t="s">
        <v>65</v>
      </c>
      <c r="C164" s="3"/>
    </row>
    <row r="165" spans="1:3" ht="15" customHeight="1">
      <c r="A165" s="3" t="s">
        <v>224</v>
      </c>
      <c r="B165" s="3" t="s">
        <v>60</v>
      </c>
      <c r="C165" s="3" t="s">
        <v>90</v>
      </c>
    </row>
    <row r="166" spans="1:3" ht="15" customHeight="1">
      <c r="A166" s="3" t="s">
        <v>225</v>
      </c>
      <c r="B166" s="3" t="s">
        <v>65</v>
      </c>
      <c r="C166" s="3"/>
    </row>
    <row r="167" spans="1:3" ht="15" customHeight="1">
      <c r="A167" s="3" t="s">
        <v>226</v>
      </c>
      <c r="B167" s="3" t="s">
        <v>56</v>
      </c>
      <c r="C167" s="3"/>
    </row>
    <row r="168" spans="1:3" ht="15" customHeight="1">
      <c r="A168" s="3" t="s">
        <v>227</v>
      </c>
      <c r="B168" s="3" t="s">
        <v>56</v>
      </c>
      <c r="C168" s="3"/>
    </row>
    <row r="169" spans="1:3" ht="15" customHeight="1">
      <c r="A169" s="3" t="s">
        <v>228</v>
      </c>
      <c r="B169" s="3" t="s">
        <v>56</v>
      </c>
      <c r="C169" s="3"/>
    </row>
    <row r="170" spans="1:3" ht="15" customHeight="1">
      <c r="A170" s="3" t="s">
        <v>229</v>
      </c>
      <c r="B170" s="3" t="s">
        <v>60</v>
      </c>
      <c r="C170" s="3"/>
    </row>
    <row r="171" spans="1:3" ht="15" customHeight="1">
      <c r="A171" s="3" t="s">
        <v>230</v>
      </c>
      <c r="B171" s="3" t="s">
        <v>60</v>
      </c>
      <c r="C171" s="3"/>
    </row>
    <row r="172" spans="1:3" ht="15" customHeight="1">
      <c r="A172" s="3" t="s">
        <v>231</v>
      </c>
      <c r="B172" s="3" t="s">
        <v>60</v>
      </c>
      <c r="C172" s="3"/>
    </row>
    <row r="173" spans="1:3" ht="15" customHeight="1">
      <c r="A173" s="3" t="s">
        <v>232</v>
      </c>
      <c r="B173" s="3" t="s">
        <v>60</v>
      </c>
      <c r="C173" s="3" t="s">
        <v>166</v>
      </c>
    </row>
    <row r="174" spans="1:3" ht="15" customHeight="1">
      <c r="A174" s="3" t="s">
        <v>233</v>
      </c>
      <c r="B174" s="3" t="s">
        <v>60</v>
      </c>
      <c r="C174" s="3"/>
    </row>
    <row r="175" spans="1:3" ht="15" customHeight="1">
      <c r="A175" s="3" t="s">
        <v>234</v>
      </c>
      <c r="B175" s="3" t="s">
        <v>60</v>
      </c>
      <c r="C175" s="3"/>
    </row>
    <row r="176" spans="1:3" ht="15" customHeight="1">
      <c r="A176" s="3" t="s">
        <v>235</v>
      </c>
      <c r="B176" s="3" t="s">
        <v>56</v>
      </c>
      <c r="C176" s="3" t="s">
        <v>90</v>
      </c>
    </row>
    <row r="177" spans="1:3" ht="15" customHeight="1">
      <c r="A177" s="3" t="s">
        <v>236</v>
      </c>
      <c r="B177" s="3" t="s">
        <v>65</v>
      </c>
      <c r="C177" s="3"/>
    </row>
    <row r="178" spans="1:3" ht="15" customHeight="1">
      <c r="A178" s="3" t="s">
        <v>237</v>
      </c>
      <c r="B178" s="3" t="s">
        <v>56</v>
      </c>
      <c r="C178" s="3"/>
    </row>
    <row r="179" spans="1:3" ht="15" customHeight="1">
      <c r="A179" s="3" t="s">
        <v>238</v>
      </c>
      <c r="B179" s="3" t="s">
        <v>56</v>
      </c>
      <c r="C179" s="3"/>
    </row>
    <row r="180" spans="1:3" ht="15" customHeight="1">
      <c r="A180" s="3" t="s">
        <v>239</v>
      </c>
      <c r="B180" s="3" t="s">
        <v>56</v>
      </c>
      <c r="C180" s="3"/>
    </row>
    <row r="181" spans="1:3" ht="15" customHeight="1">
      <c r="A181" s="3" t="s">
        <v>240</v>
      </c>
      <c r="B181" s="3" t="s">
        <v>60</v>
      </c>
      <c r="C181" s="3"/>
    </row>
    <row r="182" spans="1:3" ht="15" customHeight="1">
      <c r="A182" s="3" t="s">
        <v>241</v>
      </c>
      <c r="B182" s="3" t="s">
        <v>60</v>
      </c>
      <c r="C182" s="3"/>
    </row>
    <row r="183" spans="1:3" ht="15" customHeight="1">
      <c r="A183" s="3" t="s">
        <v>242</v>
      </c>
      <c r="B183" s="3" t="s">
        <v>60</v>
      </c>
      <c r="C183" s="3"/>
    </row>
    <row r="184" spans="1:3" ht="15" customHeight="1">
      <c r="A184" s="3" t="s">
        <v>243</v>
      </c>
      <c r="B184" s="3" t="s">
        <v>60</v>
      </c>
      <c r="C184" s="3"/>
    </row>
    <row r="185" spans="1:3" ht="15" customHeight="1">
      <c r="A185" s="3" t="s">
        <v>244</v>
      </c>
      <c r="B185" s="3" t="s">
        <v>60</v>
      </c>
      <c r="C185" s="3"/>
    </row>
    <row r="186" spans="1:3" ht="15" customHeight="1">
      <c r="A186" s="3" t="s">
        <v>245</v>
      </c>
      <c r="B186" s="3" t="s">
        <v>60</v>
      </c>
      <c r="C186" s="3"/>
    </row>
    <row r="187" spans="1:3" ht="15" customHeight="1">
      <c r="A187" s="3" t="s">
        <v>246</v>
      </c>
      <c r="B187" s="3" t="s">
        <v>60</v>
      </c>
      <c r="C187" s="3"/>
    </row>
    <row r="188" spans="1:3" ht="15" customHeight="1">
      <c r="A188" s="3" t="s">
        <v>247</v>
      </c>
      <c r="B188" s="3" t="s">
        <v>65</v>
      </c>
      <c r="C188" s="3"/>
    </row>
    <row r="189" spans="1:3" ht="15" customHeight="1">
      <c r="A189" s="3" t="s">
        <v>248</v>
      </c>
      <c r="B189" s="3" t="s">
        <v>60</v>
      </c>
      <c r="C189" s="3"/>
    </row>
    <row r="190" spans="1:3" ht="15" customHeight="1">
      <c r="A190" s="3" t="s">
        <v>249</v>
      </c>
      <c r="B190" s="3" t="s">
        <v>60</v>
      </c>
      <c r="C190" s="3"/>
    </row>
    <row r="191" spans="1:3" ht="15" customHeight="1">
      <c r="A191" s="3" t="s">
        <v>250</v>
      </c>
      <c r="B191" s="3" t="s">
        <v>60</v>
      </c>
      <c r="C191" s="3"/>
    </row>
    <row r="192" spans="1:3" ht="15" customHeight="1">
      <c r="A192" s="3" t="s">
        <v>251</v>
      </c>
      <c r="B192" s="3" t="s">
        <v>60</v>
      </c>
      <c r="C192" s="3"/>
    </row>
    <row r="193" spans="1:3" ht="15" customHeight="1">
      <c r="A193" s="3" t="s">
        <v>252</v>
      </c>
      <c r="B193" s="3" t="s">
        <v>60</v>
      </c>
      <c r="C193" s="3"/>
    </row>
    <row r="194" spans="1:3" ht="15" customHeight="1">
      <c r="A194" s="3" t="s">
        <v>253</v>
      </c>
      <c r="B194" s="3" t="s">
        <v>60</v>
      </c>
      <c r="C194" s="3"/>
    </row>
    <row r="195" spans="1:3" ht="15" customHeight="1">
      <c r="A195" s="3" t="s">
        <v>254</v>
      </c>
      <c r="B195" s="3" t="s">
        <v>60</v>
      </c>
      <c r="C195" s="3"/>
    </row>
    <row r="196" spans="1:3" ht="15" customHeight="1">
      <c r="A196" s="3" t="s">
        <v>255</v>
      </c>
      <c r="B196" s="3" t="s">
        <v>60</v>
      </c>
      <c r="C196" s="3"/>
    </row>
    <row r="197" spans="1:3" ht="15" customHeight="1">
      <c r="A197" s="3" t="s">
        <v>256</v>
      </c>
      <c r="B197" s="3" t="s">
        <v>60</v>
      </c>
      <c r="C197" s="3"/>
    </row>
    <row r="198" spans="1:3" ht="15" customHeight="1">
      <c r="A198" s="3" t="s">
        <v>257</v>
      </c>
      <c r="B198" s="3" t="s">
        <v>60</v>
      </c>
      <c r="C198" s="3"/>
    </row>
    <row r="199" spans="1:3" ht="15" customHeight="1">
      <c r="A199" s="3" t="s">
        <v>258</v>
      </c>
      <c r="B199" s="3" t="s">
        <v>60</v>
      </c>
      <c r="C199" s="3"/>
    </row>
    <row r="200" spans="1:3" ht="15" customHeight="1">
      <c r="A200" s="3" t="s">
        <v>259</v>
      </c>
      <c r="B200" s="3" t="s">
        <v>56</v>
      </c>
      <c r="C200" s="3"/>
    </row>
    <row r="201" spans="1:3" ht="15" customHeight="1">
      <c r="A201" s="3" t="s">
        <v>260</v>
      </c>
      <c r="B201" s="3" t="s">
        <v>56</v>
      </c>
      <c r="C201" s="3"/>
    </row>
    <row r="202" spans="1:3" ht="15" customHeight="1">
      <c r="A202" s="3" t="s">
        <v>261</v>
      </c>
      <c r="B202" s="3" t="s">
        <v>56</v>
      </c>
      <c r="C202" s="3"/>
    </row>
    <row r="203" spans="1:3" ht="15" customHeight="1">
      <c r="A203" s="3" t="s">
        <v>262</v>
      </c>
      <c r="B203" s="3" t="s">
        <v>60</v>
      </c>
      <c r="C203" s="3"/>
    </row>
    <row r="204" spans="1:3" ht="15" customHeight="1">
      <c r="A204" s="3" t="s">
        <v>263</v>
      </c>
      <c r="B204" s="3" t="s">
        <v>60</v>
      </c>
      <c r="C204" s="3"/>
    </row>
    <row r="205" spans="1:3" ht="15" customHeight="1">
      <c r="A205" s="3" t="s">
        <v>264</v>
      </c>
      <c r="B205" s="3" t="s">
        <v>60</v>
      </c>
      <c r="C205" s="3"/>
    </row>
    <row r="206" spans="1:3" ht="15" customHeight="1">
      <c r="A206" s="3" t="s">
        <v>265</v>
      </c>
      <c r="B206" s="3" t="s">
        <v>60</v>
      </c>
      <c r="C206" s="3"/>
    </row>
    <row r="207" spans="1:3" ht="15" customHeight="1">
      <c r="A207" s="3" t="s">
        <v>266</v>
      </c>
      <c r="B207" s="3" t="s">
        <v>65</v>
      </c>
      <c r="C207" s="3"/>
    </row>
    <row r="208" spans="1:3" ht="15" customHeight="1">
      <c r="A208" s="3" t="s">
        <v>267</v>
      </c>
      <c r="B208" s="3" t="s">
        <v>60</v>
      </c>
      <c r="C208" s="3"/>
    </row>
    <row r="209" spans="1:3" ht="15" customHeight="1">
      <c r="A209" s="3" t="s">
        <v>268</v>
      </c>
      <c r="B209" s="3" t="s">
        <v>60</v>
      </c>
      <c r="C209" s="3"/>
    </row>
    <row r="210" spans="1:3" ht="15" customHeight="1">
      <c r="A210" s="3" t="s">
        <v>269</v>
      </c>
      <c r="B210" s="3" t="s">
        <v>65</v>
      </c>
      <c r="C210" s="3"/>
    </row>
    <row r="211" spans="1:3" ht="15" customHeight="1">
      <c r="A211" s="3" t="s">
        <v>270</v>
      </c>
      <c r="B211" s="3" t="s">
        <v>56</v>
      </c>
      <c r="C211" s="3"/>
    </row>
    <row r="212" spans="1:3" ht="15" customHeight="1">
      <c r="A212" s="3" t="s">
        <v>271</v>
      </c>
      <c r="B212" s="3" t="s">
        <v>56</v>
      </c>
      <c r="C212" s="3"/>
    </row>
    <row r="213" spans="1:3" ht="15" customHeight="1">
      <c r="A213" s="3" t="s">
        <v>272</v>
      </c>
      <c r="B213" s="3" t="s">
        <v>56</v>
      </c>
      <c r="C213" s="3"/>
    </row>
    <row r="214" spans="1:3" ht="15" customHeight="1">
      <c r="A214" s="3" t="s">
        <v>273</v>
      </c>
      <c r="B214" s="3" t="s">
        <v>56</v>
      </c>
      <c r="C214" s="3"/>
    </row>
    <row r="215" spans="1:3" ht="15" customHeight="1">
      <c r="A215" s="3" t="s">
        <v>274</v>
      </c>
      <c r="B215" s="3" t="s">
        <v>56</v>
      </c>
      <c r="C215" s="3"/>
    </row>
    <row r="216" spans="1:3" ht="15" customHeight="1">
      <c r="A216" s="3" t="s">
        <v>275</v>
      </c>
      <c r="B216" s="3" t="s">
        <v>56</v>
      </c>
      <c r="C216" s="3"/>
    </row>
    <row r="217" spans="1:3" ht="15" customHeight="1">
      <c r="A217" s="3" t="s">
        <v>276</v>
      </c>
      <c r="B217" s="3" t="s">
        <v>56</v>
      </c>
      <c r="C217" s="3"/>
    </row>
    <row r="218" spans="1:3" ht="15" customHeight="1">
      <c r="A218" s="3" t="s">
        <v>277</v>
      </c>
      <c r="B218" s="3" t="s">
        <v>56</v>
      </c>
      <c r="C218" s="3"/>
    </row>
    <row r="219" spans="1:3" ht="15" customHeight="1">
      <c r="A219" s="3" t="s">
        <v>278</v>
      </c>
      <c r="B219" s="3" t="s">
        <v>60</v>
      </c>
      <c r="C219" s="3"/>
    </row>
    <row r="220" spans="1:3" ht="15" customHeight="1">
      <c r="A220" s="3" t="s">
        <v>279</v>
      </c>
      <c r="B220" s="3" t="s">
        <v>56</v>
      </c>
      <c r="C220" s="3"/>
    </row>
    <row r="221" spans="1:3" ht="15" customHeight="1">
      <c r="A221" s="3" t="s">
        <v>280</v>
      </c>
      <c r="B221" s="3" t="s">
        <v>60</v>
      </c>
      <c r="C221" s="3"/>
    </row>
    <row r="222" spans="1:3" ht="15" customHeight="1">
      <c r="A222" s="3" t="s">
        <v>281</v>
      </c>
      <c r="B222" s="3" t="s">
        <v>56</v>
      </c>
      <c r="C222" s="3" t="s">
        <v>282</v>
      </c>
    </row>
    <row r="223" spans="1:3" ht="15" customHeight="1">
      <c r="A223" s="3" t="s">
        <v>283</v>
      </c>
      <c r="B223" s="3" t="s">
        <v>56</v>
      </c>
      <c r="C223" s="3" t="s">
        <v>282</v>
      </c>
    </row>
    <row r="224" spans="1:3" ht="15" customHeight="1">
      <c r="A224" s="3" t="s">
        <v>284</v>
      </c>
      <c r="B224" s="3" t="s">
        <v>56</v>
      </c>
      <c r="C224" s="3" t="s">
        <v>282</v>
      </c>
    </row>
    <row r="225" spans="1:3" ht="15" customHeight="1">
      <c r="A225" s="3" t="s">
        <v>285</v>
      </c>
      <c r="B225" s="3" t="s">
        <v>60</v>
      </c>
      <c r="C225" s="3" t="s">
        <v>282</v>
      </c>
    </row>
    <row r="226" spans="1:3" ht="15" customHeight="1">
      <c r="A226" s="3" t="s">
        <v>286</v>
      </c>
      <c r="B226" s="3" t="s">
        <v>60</v>
      </c>
      <c r="C226" s="3" t="s">
        <v>282</v>
      </c>
    </row>
    <row r="227" spans="1:3" ht="15" customHeight="1">
      <c r="A227" s="3" t="s">
        <v>287</v>
      </c>
      <c r="B227" s="3" t="s">
        <v>60</v>
      </c>
      <c r="C227" s="3" t="s">
        <v>282</v>
      </c>
    </row>
    <row r="228" spans="1:3" ht="15" customHeight="1">
      <c r="A228" s="3" t="s">
        <v>288</v>
      </c>
      <c r="B228" s="3" t="s">
        <v>60</v>
      </c>
      <c r="C228" s="3" t="s">
        <v>282</v>
      </c>
    </row>
    <row r="229" spans="1:3" ht="15" customHeight="1">
      <c r="A229" s="3" t="s">
        <v>289</v>
      </c>
      <c r="B229" s="3" t="s">
        <v>60</v>
      </c>
      <c r="C229" s="3" t="s">
        <v>282</v>
      </c>
    </row>
    <row r="230" spans="1:3" ht="15" customHeight="1">
      <c r="A230" s="3" t="s">
        <v>290</v>
      </c>
      <c r="B230" s="3" t="s">
        <v>65</v>
      </c>
      <c r="C230" s="3" t="s">
        <v>282</v>
      </c>
    </row>
    <row r="231" spans="1:3" ht="15" customHeight="1">
      <c r="A231" s="3" t="s">
        <v>291</v>
      </c>
      <c r="B231" s="3" t="s">
        <v>60</v>
      </c>
      <c r="C231" s="3" t="s">
        <v>292</v>
      </c>
    </row>
    <row r="232" spans="1:3" ht="15" customHeight="1">
      <c r="A232" s="3" t="s">
        <v>293</v>
      </c>
      <c r="B232" s="3" t="s">
        <v>65</v>
      </c>
      <c r="C232" s="3" t="s">
        <v>282</v>
      </c>
    </row>
    <row r="233" spans="1:3" ht="15" customHeight="1">
      <c r="A233" s="3" t="s">
        <v>294</v>
      </c>
      <c r="B233" s="3" t="s">
        <v>56</v>
      </c>
      <c r="C233" s="3"/>
    </row>
    <row r="234" spans="1:3" ht="15" customHeight="1">
      <c r="A234" s="3" t="s">
        <v>295</v>
      </c>
      <c r="B234" s="3" t="s">
        <v>56</v>
      </c>
      <c r="C234" s="3"/>
    </row>
    <row r="235" spans="1:3" ht="15" customHeight="1">
      <c r="A235" s="3" t="s">
        <v>296</v>
      </c>
      <c r="B235" s="3" t="s">
        <v>56</v>
      </c>
      <c r="C235" s="3"/>
    </row>
    <row r="236" spans="1:3" ht="15" customHeight="1">
      <c r="A236" s="3" t="s">
        <v>297</v>
      </c>
      <c r="B236" s="3" t="s">
        <v>60</v>
      </c>
      <c r="C236" s="3"/>
    </row>
    <row r="237" spans="1:3" ht="15" customHeight="1">
      <c r="A237" s="3" t="s">
        <v>298</v>
      </c>
      <c r="B237" s="3" t="s">
        <v>60</v>
      </c>
      <c r="C237" s="3"/>
    </row>
    <row r="238" spans="1:3" ht="15" customHeight="1">
      <c r="A238" s="3" t="s">
        <v>299</v>
      </c>
      <c r="B238" s="3" t="s">
        <v>60</v>
      </c>
      <c r="C238" s="3"/>
    </row>
    <row r="239" spans="1:3" ht="15" customHeight="1">
      <c r="A239" s="3" t="s">
        <v>300</v>
      </c>
      <c r="B239" s="3" t="s">
        <v>60</v>
      </c>
      <c r="C239" s="3" t="s">
        <v>166</v>
      </c>
    </row>
    <row r="240" spans="1:3" ht="15" customHeight="1">
      <c r="A240" s="3" t="s">
        <v>301</v>
      </c>
      <c r="B240" s="3" t="s">
        <v>60</v>
      </c>
      <c r="C240" s="3"/>
    </row>
    <row r="241" spans="1:3" ht="15" customHeight="1">
      <c r="A241" s="3" t="s">
        <v>302</v>
      </c>
      <c r="B241" s="3" t="s">
        <v>60</v>
      </c>
      <c r="C241" s="3"/>
    </row>
    <row r="242" spans="1:3" ht="15" customHeight="1">
      <c r="A242" s="3" t="s">
        <v>303</v>
      </c>
      <c r="B242" s="3" t="s">
        <v>56</v>
      </c>
      <c r="C242" s="3" t="s">
        <v>90</v>
      </c>
    </row>
    <row r="243" spans="1:3" ht="15" customHeight="1">
      <c r="A243" s="3" t="s">
        <v>304</v>
      </c>
      <c r="B243" s="3" t="s">
        <v>65</v>
      </c>
      <c r="C243" s="3"/>
    </row>
    <row r="244" spans="1:3" ht="15" customHeight="1">
      <c r="A244" s="3" t="s">
        <v>305</v>
      </c>
      <c r="B244" s="3" t="s">
        <v>56</v>
      </c>
      <c r="C244" s="3"/>
    </row>
    <row r="245" spans="1:3" ht="15" customHeight="1">
      <c r="A245" s="3" t="s">
        <v>306</v>
      </c>
      <c r="B245" s="3" t="s">
        <v>56</v>
      </c>
      <c r="C245" s="3"/>
    </row>
    <row r="246" spans="1:3" ht="15" customHeight="1">
      <c r="A246" s="3" t="s">
        <v>307</v>
      </c>
      <c r="B246" s="3" t="s">
        <v>56</v>
      </c>
      <c r="C246" s="3"/>
    </row>
    <row r="247" spans="1:3" ht="15" customHeight="1">
      <c r="A247" s="3" t="s">
        <v>308</v>
      </c>
      <c r="B247" s="3" t="s">
        <v>60</v>
      </c>
      <c r="C247" s="3"/>
    </row>
    <row r="248" spans="1:3" ht="15" customHeight="1">
      <c r="A248" s="3" t="s">
        <v>309</v>
      </c>
      <c r="B248" s="3" t="s">
        <v>60</v>
      </c>
      <c r="C248" s="3"/>
    </row>
    <row r="249" spans="1:3" ht="15" customHeight="1">
      <c r="A249" s="3" t="s">
        <v>310</v>
      </c>
      <c r="B249" s="3" t="s">
        <v>60</v>
      </c>
      <c r="C249" s="3"/>
    </row>
    <row r="250" spans="1:3" ht="15" customHeight="1">
      <c r="A250" s="3" t="s">
        <v>311</v>
      </c>
      <c r="B250" s="3" t="s">
        <v>60</v>
      </c>
      <c r="C250" s="3"/>
    </row>
    <row r="251" spans="1:3" ht="15" customHeight="1">
      <c r="A251" s="3" t="s">
        <v>312</v>
      </c>
      <c r="B251" s="3" t="s">
        <v>60</v>
      </c>
      <c r="C251" s="3"/>
    </row>
    <row r="252" spans="1:3" ht="15" customHeight="1">
      <c r="A252" s="3" t="s">
        <v>313</v>
      </c>
      <c r="B252" s="3" t="s">
        <v>60</v>
      </c>
      <c r="C252" s="3"/>
    </row>
    <row r="253" spans="1:3" ht="15" customHeight="1">
      <c r="A253" s="3" t="s">
        <v>314</v>
      </c>
      <c r="B253" s="3" t="s">
        <v>60</v>
      </c>
      <c r="C253" s="3"/>
    </row>
    <row r="254" spans="1:3" ht="15" customHeight="1">
      <c r="A254" s="3" t="s">
        <v>315</v>
      </c>
      <c r="B254" s="3" t="s">
        <v>65</v>
      </c>
      <c r="C254" s="3"/>
    </row>
    <row r="255" spans="1:3" ht="15" customHeight="1">
      <c r="A255" s="3" t="s">
        <v>316</v>
      </c>
      <c r="B255" s="3" t="s">
        <v>60</v>
      </c>
      <c r="C255" s="3"/>
    </row>
    <row r="256" spans="1:3" ht="15" customHeight="1">
      <c r="A256" s="3" t="s">
        <v>317</v>
      </c>
      <c r="B256" s="3" t="s">
        <v>60</v>
      </c>
      <c r="C256" s="3"/>
    </row>
    <row r="257" spans="1:3" ht="15" customHeight="1">
      <c r="A257" s="3" t="s">
        <v>318</v>
      </c>
      <c r="B257" s="3" t="s">
        <v>60</v>
      </c>
      <c r="C257" s="3"/>
    </row>
    <row r="258" spans="1:3" ht="15" customHeight="1">
      <c r="A258" s="3" t="s">
        <v>319</v>
      </c>
      <c r="B258" s="3" t="s">
        <v>60</v>
      </c>
      <c r="C258" s="3"/>
    </row>
    <row r="259" spans="1:3" ht="15" customHeight="1">
      <c r="A259" s="3" t="s">
        <v>320</v>
      </c>
      <c r="B259" s="3" t="s">
        <v>60</v>
      </c>
      <c r="C259" s="3"/>
    </row>
    <row r="260" spans="1:3" ht="15" customHeight="1">
      <c r="A260" s="3" t="s">
        <v>321</v>
      </c>
      <c r="B260" s="3" t="s">
        <v>60</v>
      </c>
      <c r="C260" s="3"/>
    </row>
    <row r="261" spans="1:3" ht="15" customHeight="1">
      <c r="A261" s="3" t="s">
        <v>322</v>
      </c>
      <c r="B261" s="3" t="s">
        <v>60</v>
      </c>
      <c r="C261" s="3"/>
    </row>
    <row r="262" spans="1:3" ht="15" customHeight="1">
      <c r="A262" s="3" t="s">
        <v>323</v>
      </c>
      <c r="B262" s="3" t="s">
        <v>60</v>
      </c>
      <c r="C262" s="3"/>
    </row>
    <row r="263" spans="1:3" ht="15" customHeight="1">
      <c r="A263" s="3" t="s">
        <v>324</v>
      </c>
      <c r="B263" s="3" t="s">
        <v>60</v>
      </c>
      <c r="C263" s="3"/>
    </row>
    <row r="264" spans="1:3" ht="15" customHeight="1">
      <c r="A264" s="3" t="s">
        <v>325</v>
      </c>
      <c r="B264" s="3" t="s">
        <v>60</v>
      </c>
      <c r="C264" s="3"/>
    </row>
    <row r="265" spans="1:3" ht="15" customHeight="1">
      <c r="A265" s="3" t="s">
        <v>326</v>
      </c>
      <c r="B265" s="3" t="s">
        <v>60</v>
      </c>
      <c r="C265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0" style="1" customWidth="1"/>
    <col min="2" max="2" width="80" style="1" customWidth="1"/>
    <col min="3" max="3" width="28" style="1" customWidth="1"/>
    <col min="4" max="4" width="16" style="1" customWidth="1"/>
    <col min="5" max="5" width="40" style="1" customWidth="1"/>
  </cols>
  <sheetData>
    <row r="1" spans="1:5" ht="15" customHeight="1">
      <c r="A1" s="7" t="s">
        <v>327</v>
      </c>
      <c r="B1" s="7" t="s">
        <v>328</v>
      </c>
      <c r="C1" s="7" t="s">
        <v>329</v>
      </c>
      <c r="D1" s="7" t="s">
        <v>330</v>
      </c>
      <c r="E1" s="7" t="s">
        <v>331</v>
      </c>
    </row>
    <row r="2" spans="1:5" ht="15" customHeight="1">
      <c r="A2" s="8" t="s">
        <v>332</v>
      </c>
      <c r="B2" s="8" t="s">
        <v>333</v>
      </c>
      <c r="C2" s="8" t="s">
        <v>334</v>
      </c>
      <c r="D2" s="8"/>
      <c r="E2" s="8"/>
    </row>
    <row r="3" spans="1:5" ht="15" customHeight="1">
      <c r="A3" s="8" t="s">
        <v>335</v>
      </c>
      <c r="B3" s="8" t="s">
        <v>336</v>
      </c>
      <c r="C3" s="8" t="s">
        <v>337</v>
      </c>
      <c r="D3" s="8"/>
      <c r="E3" s="8"/>
    </row>
    <row r="4" spans="1:5" ht="15" customHeight="1">
      <c r="A4" s="8" t="s">
        <v>338</v>
      </c>
      <c r="B4" s="8" t="s">
        <v>339</v>
      </c>
      <c r="C4" s="8" t="s">
        <v>340</v>
      </c>
      <c r="D4" s="8"/>
      <c r="E4" s="8"/>
    </row>
    <row r="5" spans="1:5" ht="15" customHeight="1">
      <c r="A5" s="8" t="s">
        <v>341</v>
      </c>
      <c r="B5" s="8" t="s">
        <v>342</v>
      </c>
      <c r="C5" s="8" t="s">
        <v>343</v>
      </c>
      <c r="D5" s="8"/>
      <c r="E5" s="8"/>
    </row>
    <row r="6" spans="1:5" ht="15" customHeight="1">
      <c r="A6" s="8" t="s">
        <v>344</v>
      </c>
      <c r="B6" s="8" t="s">
        <v>345</v>
      </c>
      <c r="C6" s="8" t="s">
        <v>346</v>
      </c>
      <c r="D6" s="8"/>
      <c r="E6" s="8"/>
    </row>
    <row r="7" spans="1:5" ht="15" customHeight="1">
      <c r="A7" s="8" t="s">
        <v>347</v>
      </c>
      <c r="B7" s="8" t="s">
        <v>348</v>
      </c>
      <c r="C7" s="8" t="s">
        <v>349</v>
      </c>
      <c r="D7" s="8" t="s">
        <v>350</v>
      </c>
      <c r="E7" s="8" t="s">
        <v>351</v>
      </c>
    </row>
    <row r="8" spans="1:5" ht="15" customHeight="1">
      <c r="A8" s="8" t="s">
        <v>352</v>
      </c>
      <c r="B8" s="8" t="s">
        <v>353</v>
      </c>
      <c r="C8" s="8" t="s">
        <v>334</v>
      </c>
      <c r="D8" s="8" t="s">
        <v>350</v>
      </c>
      <c r="E8" s="8" t="s">
        <v>354</v>
      </c>
    </row>
    <row r="9" spans="1:5" ht="15" customHeight="1">
      <c r="A9" s="8" t="s">
        <v>355</v>
      </c>
      <c r="B9" s="8" t="s">
        <v>356</v>
      </c>
      <c r="C9" s="8" t="s">
        <v>357</v>
      </c>
      <c r="D9" s="8" t="s">
        <v>350</v>
      </c>
      <c r="E9" s="8" t="s">
        <v>351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0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0" style="1" customWidth="1"/>
    <col min="2" max="2" width="22" style="1" customWidth="1"/>
    <col min="3" max="3" width="50" style="1" customWidth="1"/>
    <col min="4" max="4" width="28" style="1" customWidth="1"/>
    <col min="5" max="5" width="7" style="1" customWidth="1"/>
    <col min="6" max="6" width="10" style="1" customWidth="1"/>
    <col min="7" max="8" width="14" style="1" customWidth="1"/>
    <col min="9" max="9" width="24" style="1" customWidth="1"/>
    <col min="10" max="10" width="11" style="1" customWidth="1"/>
    <col min="11" max="13" width="12" style="1" customWidth="1"/>
    <col min="14" max="14" width="14" style="1" customWidth="1"/>
    <col min="15" max="15" width="12" style="1" customWidth="1"/>
    <col min="16" max="17" width="10" style="1" customWidth="1"/>
    <col min="18" max="18" width="30" style="1" customWidth="1"/>
  </cols>
  <sheetData>
    <row r="1" spans="1:18" ht="15" customHeight="1">
      <c r="A1" s="7" t="s">
        <v>358</v>
      </c>
      <c r="B1" s="7" t="s">
        <v>359</v>
      </c>
      <c r="C1" s="7" t="s">
        <v>360</v>
      </c>
      <c r="D1" s="7" t="s">
        <v>361</v>
      </c>
      <c r="E1" s="7" t="s">
        <v>362</v>
      </c>
      <c r="F1" s="7" t="s">
        <v>363</v>
      </c>
      <c r="G1" s="7" t="s">
        <v>364</v>
      </c>
      <c r="H1" s="7" t="s">
        <v>365</v>
      </c>
      <c r="I1" s="7" t="s">
        <v>366</v>
      </c>
      <c r="J1" s="7" t="s">
        <v>367</v>
      </c>
      <c r="K1" s="7" t="s">
        <v>368</v>
      </c>
      <c r="L1" s="7" t="s">
        <v>369</v>
      </c>
      <c r="M1" s="7" t="s">
        <v>370</v>
      </c>
      <c r="N1" s="7" t="s">
        <v>371</v>
      </c>
      <c r="O1" s="7" t="s">
        <v>372</v>
      </c>
      <c r="P1" s="7" t="s">
        <v>373</v>
      </c>
      <c r="Q1" s="7" t="s">
        <v>374</v>
      </c>
      <c r="R1" s="7" t="s">
        <v>331</v>
      </c>
    </row>
    <row r="2" spans="1:18" ht="15" customHeight="1">
      <c r="A2" s="8" t="s">
        <v>375</v>
      </c>
      <c r="B2" s="8" t="s">
        <v>376</v>
      </c>
      <c r="C2" s="8" t="s">
        <v>377</v>
      </c>
      <c r="D2" s="8" t="s">
        <v>378</v>
      </c>
      <c r="E2" s="8">
        <v>2018</v>
      </c>
      <c r="F2" s="8" t="s">
        <v>379</v>
      </c>
      <c r="G2" s="8" t="s">
        <v>380</v>
      </c>
      <c r="H2" s="8" t="s">
        <v>380</v>
      </c>
      <c r="I2" s="8"/>
      <c r="J2" s="8" t="s">
        <v>381</v>
      </c>
      <c r="K2" s="8" t="s">
        <v>382</v>
      </c>
      <c r="L2" s="8"/>
      <c r="M2" s="8"/>
      <c r="N2" s="3" t="str">
        <f t="shared" ref="N2:N65" si="0">IF(L2="","",IF(2026-E2&gt;0,L2/(2026-E2),L2))</f>
        <v/>
      </c>
      <c r="O2" s="8" t="s">
        <v>383</v>
      </c>
      <c r="P2" s="8" t="s">
        <v>384</v>
      </c>
      <c r="Q2" s="8"/>
      <c r="R2" s="8" t="s">
        <v>385</v>
      </c>
    </row>
    <row r="3" spans="1:18" ht="15" customHeight="1">
      <c r="A3" s="8" t="s">
        <v>386</v>
      </c>
      <c r="B3" s="8" t="s">
        <v>387</v>
      </c>
      <c r="C3" s="8" t="s">
        <v>388</v>
      </c>
      <c r="D3" s="8" t="s">
        <v>378</v>
      </c>
      <c r="E3" s="8">
        <v>2020</v>
      </c>
      <c r="F3" s="8" t="s">
        <v>379</v>
      </c>
      <c r="G3" s="8" t="s">
        <v>380</v>
      </c>
      <c r="H3" s="8" t="s">
        <v>380</v>
      </c>
      <c r="I3" s="8"/>
      <c r="J3" s="8" t="s">
        <v>381</v>
      </c>
      <c r="K3" s="8" t="s">
        <v>383</v>
      </c>
      <c r="L3" s="8"/>
      <c r="M3" s="8"/>
      <c r="N3" s="3" t="str">
        <f t="shared" si="0"/>
        <v/>
      </c>
      <c r="O3" s="8" t="s">
        <v>383</v>
      </c>
      <c r="P3" s="8" t="s">
        <v>384</v>
      </c>
      <c r="Q3" s="8"/>
      <c r="R3" s="8" t="s">
        <v>389</v>
      </c>
    </row>
    <row r="4" spans="1:18" ht="15" customHeight="1">
      <c r="N4" t="str">
        <f t="shared" si="0"/>
        <v/>
      </c>
    </row>
    <row r="5" spans="1:18" ht="15" customHeight="1">
      <c r="N5" t="str">
        <f t="shared" si="0"/>
        <v/>
      </c>
    </row>
    <row r="6" spans="1:18" ht="15" customHeight="1">
      <c r="N6" t="str">
        <f t="shared" si="0"/>
        <v/>
      </c>
    </row>
    <row r="7" spans="1:18" ht="15" customHeight="1">
      <c r="N7" t="str">
        <f t="shared" si="0"/>
        <v/>
      </c>
    </row>
    <row r="8" spans="1:18" ht="15" customHeight="1">
      <c r="N8" t="str">
        <f t="shared" si="0"/>
        <v/>
      </c>
    </row>
    <row r="9" spans="1:18" ht="15" customHeight="1">
      <c r="N9" t="str">
        <f t="shared" si="0"/>
        <v/>
      </c>
    </row>
    <row r="10" spans="1:18" ht="15" customHeight="1">
      <c r="N10" t="str">
        <f t="shared" si="0"/>
        <v/>
      </c>
    </row>
    <row r="11" spans="1:18" ht="15" customHeight="1">
      <c r="N11" t="str">
        <f t="shared" si="0"/>
        <v/>
      </c>
    </row>
    <row r="12" spans="1:18" ht="15" customHeight="1">
      <c r="N12" t="str">
        <f t="shared" si="0"/>
        <v/>
      </c>
    </row>
    <row r="13" spans="1:18" ht="15" customHeight="1">
      <c r="N13" t="str">
        <f t="shared" si="0"/>
        <v/>
      </c>
    </row>
    <row r="14" spans="1:18" ht="15" customHeight="1">
      <c r="N14" t="str">
        <f t="shared" si="0"/>
        <v/>
      </c>
    </row>
    <row r="15" spans="1:18" ht="15" customHeight="1">
      <c r="N15" t="str">
        <f t="shared" si="0"/>
        <v/>
      </c>
    </row>
    <row r="16" spans="1:18" ht="15" customHeight="1">
      <c r="N16" t="str">
        <f t="shared" si="0"/>
        <v/>
      </c>
    </row>
    <row r="17" spans="14:14" ht="15" customHeight="1">
      <c r="N17" t="str">
        <f t="shared" si="0"/>
        <v/>
      </c>
    </row>
    <row r="18" spans="14:14" ht="15" customHeight="1">
      <c r="N18" t="str">
        <f t="shared" si="0"/>
        <v/>
      </c>
    </row>
    <row r="19" spans="14:14" ht="15" customHeight="1">
      <c r="N19" t="str">
        <f t="shared" si="0"/>
        <v/>
      </c>
    </row>
    <row r="20" spans="14:14" ht="15" customHeight="1">
      <c r="N20" t="str">
        <f t="shared" si="0"/>
        <v/>
      </c>
    </row>
    <row r="21" spans="14:14" ht="15" customHeight="1">
      <c r="N21" t="str">
        <f t="shared" si="0"/>
        <v/>
      </c>
    </row>
    <row r="22" spans="14:14" ht="15" customHeight="1">
      <c r="N22" t="str">
        <f t="shared" si="0"/>
        <v/>
      </c>
    </row>
    <row r="23" spans="14:14" ht="15" customHeight="1">
      <c r="N23" t="str">
        <f t="shared" si="0"/>
        <v/>
      </c>
    </row>
    <row r="24" spans="14:14" ht="15" customHeight="1">
      <c r="N24" t="str">
        <f t="shared" si="0"/>
        <v/>
      </c>
    </row>
    <row r="25" spans="14:14" ht="15" customHeight="1">
      <c r="N25" t="str">
        <f t="shared" si="0"/>
        <v/>
      </c>
    </row>
    <row r="26" spans="14:14" ht="15" customHeight="1">
      <c r="N26" t="str">
        <f t="shared" si="0"/>
        <v/>
      </c>
    </row>
    <row r="27" spans="14:14" ht="15" customHeight="1">
      <c r="N27" t="str">
        <f t="shared" si="0"/>
        <v/>
      </c>
    </row>
    <row r="28" spans="14:14" ht="15" customHeight="1">
      <c r="N28" t="str">
        <f t="shared" si="0"/>
        <v/>
      </c>
    </row>
    <row r="29" spans="14:14" ht="15" customHeight="1">
      <c r="N29" t="str">
        <f t="shared" si="0"/>
        <v/>
      </c>
    </row>
    <row r="30" spans="14:14" ht="15" customHeight="1">
      <c r="N30" t="str">
        <f t="shared" si="0"/>
        <v/>
      </c>
    </row>
    <row r="31" spans="14:14" ht="15" customHeight="1">
      <c r="N31" t="str">
        <f t="shared" si="0"/>
        <v/>
      </c>
    </row>
    <row r="32" spans="14:14" ht="15" customHeight="1">
      <c r="N32" t="str">
        <f t="shared" si="0"/>
        <v/>
      </c>
    </row>
    <row r="33" spans="14:14" ht="15" customHeight="1">
      <c r="N33" t="str">
        <f t="shared" si="0"/>
        <v/>
      </c>
    </row>
    <row r="34" spans="14:14" ht="15" customHeight="1">
      <c r="N34" t="str">
        <f t="shared" si="0"/>
        <v/>
      </c>
    </row>
    <row r="35" spans="14:14" ht="15" customHeight="1">
      <c r="N35" t="str">
        <f t="shared" si="0"/>
        <v/>
      </c>
    </row>
    <row r="36" spans="14:14" ht="15" customHeight="1">
      <c r="N36" t="str">
        <f t="shared" si="0"/>
        <v/>
      </c>
    </row>
    <row r="37" spans="14:14" ht="15" customHeight="1">
      <c r="N37" t="str">
        <f t="shared" si="0"/>
        <v/>
      </c>
    </row>
    <row r="38" spans="14:14" ht="15" customHeight="1">
      <c r="N38" t="str">
        <f t="shared" si="0"/>
        <v/>
      </c>
    </row>
    <row r="39" spans="14:14" ht="15" customHeight="1">
      <c r="N39" t="str">
        <f t="shared" si="0"/>
        <v/>
      </c>
    </row>
    <row r="40" spans="14:14" ht="15" customHeight="1">
      <c r="N40" t="str">
        <f t="shared" si="0"/>
        <v/>
      </c>
    </row>
    <row r="41" spans="14:14" ht="15" customHeight="1">
      <c r="N41" t="str">
        <f t="shared" si="0"/>
        <v/>
      </c>
    </row>
    <row r="42" spans="14:14" ht="15" customHeight="1">
      <c r="N42" t="str">
        <f t="shared" si="0"/>
        <v/>
      </c>
    </row>
    <row r="43" spans="14:14" ht="15" customHeight="1">
      <c r="N43" t="str">
        <f t="shared" si="0"/>
        <v/>
      </c>
    </row>
    <row r="44" spans="14:14" ht="15" customHeight="1">
      <c r="N44" t="str">
        <f t="shared" si="0"/>
        <v/>
      </c>
    </row>
    <row r="45" spans="14:14" ht="15" customHeight="1">
      <c r="N45" t="str">
        <f t="shared" si="0"/>
        <v/>
      </c>
    </row>
    <row r="46" spans="14:14" ht="15" customHeight="1">
      <c r="N46" t="str">
        <f t="shared" si="0"/>
        <v/>
      </c>
    </row>
    <row r="47" spans="14:14" ht="15" customHeight="1">
      <c r="N47" t="str">
        <f t="shared" si="0"/>
        <v/>
      </c>
    </row>
    <row r="48" spans="14:14" ht="15" customHeight="1">
      <c r="N48" t="str">
        <f t="shared" si="0"/>
        <v/>
      </c>
    </row>
    <row r="49" spans="14:14" ht="15" customHeight="1">
      <c r="N49" t="str">
        <f t="shared" si="0"/>
        <v/>
      </c>
    </row>
    <row r="50" spans="14:14" ht="15" customHeight="1">
      <c r="N50" t="str">
        <f t="shared" si="0"/>
        <v/>
      </c>
    </row>
    <row r="51" spans="14:14" ht="15" customHeight="1">
      <c r="N51" t="str">
        <f t="shared" si="0"/>
        <v/>
      </c>
    </row>
    <row r="52" spans="14:14" ht="15" customHeight="1">
      <c r="N52" t="str">
        <f t="shared" si="0"/>
        <v/>
      </c>
    </row>
    <row r="53" spans="14:14" ht="15" customHeight="1">
      <c r="N53" t="str">
        <f t="shared" si="0"/>
        <v/>
      </c>
    </row>
    <row r="54" spans="14:14" ht="15" customHeight="1">
      <c r="N54" t="str">
        <f t="shared" si="0"/>
        <v/>
      </c>
    </row>
    <row r="55" spans="14:14" ht="15" customHeight="1">
      <c r="N55" t="str">
        <f t="shared" si="0"/>
        <v/>
      </c>
    </row>
    <row r="56" spans="14:14" ht="15" customHeight="1">
      <c r="N56" t="str">
        <f t="shared" si="0"/>
        <v/>
      </c>
    </row>
    <row r="57" spans="14:14" ht="15" customHeight="1">
      <c r="N57" t="str">
        <f t="shared" si="0"/>
        <v/>
      </c>
    </row>
    <row r="58" spans="14:14" ht="15" customHeight="1">
      <c r="N58" t="str">
        <f t="shared" si="0"/>
        <v/>
      </c>
    </row>
    <row r="59" spans="14:14" ht="15" customHeight="1">
      <c r="N59" t="str">
        <f t="shared" si="0"/>
        <v/>
      </c>
    </row>
    <row r="60" spans="14:14" ht="15" customHeight="1">
      <c r="N60" t="str">
        <f t="shared" si="0"/>
        <v/>
      </c>
    </row>
    <row r="61" spans="14:14" ht="15" customHeight="1">
      <c r="N61" t="str">
        <f t="shared" si="0"/>
        <v/>
      </c>
    </row>
    <row r="62" spans="14:14" ht="15" customHeight="1">
      <c r="N62" t="str">
        <f t="shared" si="0"/>
        <v/>
      </c>
    </row>
    <row r="63" spans="14:14" ht="15" customHeight="1">
      <c r="N63" t="str">
        <f t="shared" si="0"/>
        <v/>
      </c>
    </row>
    <row r="64" spans="14:14" ht="15" customHeight="1">
      <c r="N64" t="str">
        <f t="shared" si="0"/>
        <v/>
      </c>
    </row>
    <row r="65" spans="14:14" ht="15" customHeight="1">
      <c r="N65" t="str">
        <f t="shared" si="0"/>
        <v/>
      </c>
    </row>
    <row r="66" spans="14:14" ht="15" customHeight="1">
      <c r="N66" t="str">
        <f t="shared" ref="N66:N129" si="1">IF(L66="","",IF(2026-E66&gt;0,L66/(2026-E66),L66))</f>
        <v/>
      </c>
    </row>
    <row r="67" spans="14:14" ht="15" customHeight="1">
      <c r="N67" t="str">
        <f t="shared" si="1"/>
        <v/>
      </c>
    </row>
    <row r="68" spans="14:14" ht="15" customHeight="1">
      <c r="N68" t="str">
        <f t="shared" si="1"/>
        <v/>
      </c>
    </row>
    <row r="69" spans="14:14" ht="15" customHeight="1">
      <c r="N69" t="str">
        <f t="shared" si="1"/>
        <v/>
      </c>
    </row>
    <row r="70" spans="14:14" ht="15" customHeight="1">
      <c r="N70" t="str">
        <f t="shared" si="1"/>
        <v/>
      </c>
    </row>
    <row r="71" spans="14:14" ht="15" customHeight="1">
      <c r="N71" t="str">
        <f t="shared" si="1"/>
        <v/>
      </c>
    </row>
    <row r="72" spans="14:14" ht="15" customHeight="1">
      <c r="N72" t="str">
        <f t="shared" si="1"/>
        <v/>
      </c>
    </row>
    <row r="73" spans="14:14" ht="15" customHeight="1">
      <c r="N73" t="str">
        <f t="shared" si="1"/>
        <v/>
      </c>
    </row>
    <row r="74" spans="14:14" ht="15" customHeight="1">
      <c r="N74" t="str">
        <f t="shared" si="1"/>
        <v/>
      </c>
    </row>
    <row r="75" spans="14:14" ht="15" customHeight="1">
      <c r="N75" t="str">
        <f t="shared" si="1"/>
        <v/>
      </c>
    </row>
    <row r="76" spans="14:14" ht="15" customHeight="1">
      <c r="N76" t="str">
        <f t="shared" si="1"/>
        <v/>
      </c>
    </row>
    <row r="77" spans="14:14" ht="15" customHeight="1">
      <c r="N77" t="str">
        <f t="shared" si="1"/>
        <v/>
      </c>
    </row>
    <row r="78" spans="14:14" ht="15" customHeight="1">
      <c r="N78" t="str">
        <f t="shared" si="1"/>
        <v/>
      </c>
    </row>
    <row r="79" spans="14:14" ht="15" customHeight="1">
      <c r="N79" t="str">
        <f t="shared" si="1"/>
        <v/>
      </c>
    </row>
    <row r="80" spans="14:14" ht="15" customHeight="1">
      <c r="N80" t="str">
        <f t="shared" si="1"/>
        <v/>
      </c>
    </row>
    <row r="81" spans="14:14" ht="15" customHeight="1">
      <c r="N81" t="str">
        <f t="shared" si="1"/>
        <v/>
      </c>
    </row>
    <row r="82" spans="14:14" ht="15" customHeight="1">
      <c r="N82" t="str">
        <f t="shared" si="1"/>
        <v/>
      </c>
    </row>
    <row r="83" spans="14:14" ht="15" customHeight="1">
      <c r="N83" t="str">
        <f t="shared" si="1"/>
        <v/>
      </c>
    </row>
    <row r="84" spans="14:14" ht="15" customHeight="1">
      <c r="N84" t="str">
        <f t="shared" si="1"/>
        <v/>
      </c>
    </row>
    <row r="85" spans="14:14" ht="15" customHeight="1">
      <c r="N85" t="str">
        <f t="shared" si="1"/>
        <v/>
      </c>
    </row>
    <row r="86" spans="14:14" ht="15" customHeight="1">
      <c r="N86" t="str">
        <f t="shared" si="1"/>
        <v/>
      </c>
    </row>
    <row r="87" spans="14:14" ht="15" customHeight="1">
      <c r="N87" t="str">
        <f t="shared" si="1"/>
        <v/>
      </c>
    </row>
    <row r="88" spans="14:14" ht="15" customHeight="1">
      <c r="N88" t="str">
        <f t="shared" si="1"/>
        <v/>
      </c>
    </row>
    <row r="89" spans="14:14" ht="15" customHeight="1">
      <c r="N89" t="str">
        <f t="shared" si="1"/>
        <v/>
      </c>
    </row>
    <row r="90" spans="14:14" ht="15" customHeight="1">
      <c r="N90" t="str">
        <f t="shared" si="1"/>
        <v/>
      </c>
    </row>
    <row r="91" spans="14:14" ht="15" customHeight="1">
      <c r="N91" t="str">
        <f t="shared" si="1"/>
        <v/>
      </c>
    </row>
    <row r="92" spans="14:14" ht="15" customHeight="1">
      <c r="N92" t="str">
        <f t="shared" si="1"/>
        <v/>
      </c>
    </row>
    <row r="93" spans="14:14" ht="15" customHeight="1">
      <c r="N93" t="str">
        <f t="shared" si="1"/>
        <v/>
      </c>
    </row>
    <row r="94" spans="14:14" ht="15" customHeight="1">
      <c r="N94" t="str">
        <f t="shared" si="1"/>
        <v/>
      </c>
    </row>
    <row r="95" spans="14:14" ht="15" customHeight="1">
      <c r="N95" t="str">
        <f t="shared" si="1"/>
        <v/>
      </c>
    </row>
    <row r="96" spans="14:14" ht="15" customHeight="1">
      <c r="N96" t="str">
        <f t="shared" si="1"/>
        <v/>
      </c>
    </row>
    <row r="97" spans="14:14" ht="15" customHeight="1">
      <c r="N97" t="str">
        <f t="shared" si="1"/>
        <v/>
      </c>
    </row>
    <row r="98" spans="14:14" ht="15" customHeight="1">
      <c r="N98" t="str">
        <f t="shared" si="1"/>
        <v/>
      </c>
    </row>
    <row r="99" spans="14:14" ht="15" customHeight="1">
      <c r="N99" t="str">
        <f t="shared" si="1"/>
        <v/>
      </c>
    </row>
    <row r="100" spans="14:14" ht="15" customHeight="1">
      <c r="N100" t="str">
        <f t="shared" si="1"/>
        <v/>
      </c>
    </row>
    <row r="101" spans="14:14" ht="15" customHeight="1">
      <c r="N101" t="str">
        <f t="shared" si="1"/>
        <v/>
      </c>
    </row>
    <row r="102" spans="14:14" ht="15" customHeight="1">
      <c r="N102" t="str">
        <f t="shared" si="1"/>
        <v/>
      </c>
    </row>
    <row r="103" spans="14:14" ht="15" customHeight="1">
      <c r="N103" t="str">
        <f t="shared" si="1"/>
        <v/>
      </c>
    </row>
    <row r="104" spans="14:14" ht="15" customHeight="1">
      <c r="N104" t="str">
        <f t="shared" si="1"/>
        <v/>
      </c>
    </row>
    <row r="105" spans="14:14" ht="15" customHeight="1">
      <c r="N105" t="str">
        <f t="shared" si="1"/>
        <v/>
      </c>
    </row>
    <row r="106" spans="14:14" ht="15" customHeight="1">
      <c r="N106" t="str">
        <f t="shared" si="1"/>
        <v/>
      </c>
    </row>
    <row r="107" spans="14:14" ht="15" customHeight="1">
      <c r="N107" t="str">
        <f t="shared" si="1"/>
        <v/>
      </c>
    </row>
    <row r="108" spans="14:14" ht="15" customHeight="1">
      <c r="N108" t="str">
        <f t="shared" si="1"/>
        <v/>
      </c>
    </row>
    <row r="109" spans="14:14" ht="15" customHeight="1">
      <c r="N109" t="str">
        <f t="shared" si="1"/>
        <v/>
      </c>
    </row>
    <row r="110" spans="14:14" ht="15" customHeight="1">
      <c r="N110" t="str">
        <f t="shared" si="1"/>
        <v/>
      </c>
    </row>
    <row r="111" spans="14:14" ht="15" customHeight="1">
      <c r="N111" t="str">
        <f t="shared" si="1"/>
        <v/>
      </c>
    </row>
    <row r="112" spans="14:14" ht="15" customHeight="1">
      <c r="N112" t="str">
        <f t="shared" si="1"/>
        <v/>
      </c>
    </row>
    <row r="113" spans="14:14" ht="15" customHeight="1">
      <c r="N113" t="str">
        <f t="shared" si="1"/>
        <v/>
      </c>
    </row>
    <row r="114" spans="14:14" ht="15" customHeight="1">
      <c r="N114" t="str">
        <f t="shared" si="1"/>
        <v/>
      </c>
    </row>
    <row r="115" spans="14:14" ht="15" customHeight="1">
      <c r="N115" t="str">
        <f t="shared" si="1"/>
        <v/>
      </c>
    </row>
    <row r="116" spans="14:14" ht="15" customHeight="1">
      <c r="N116" t="str">
        <f t="shared" si="1"/>
        <v/>
      </c>
    </row>
    <row r="117" spans="14:14" ht="15" customHeight="1">
      <c r="N117" t="str">
        <f t="shared" si="1"/>
        <v/>
      </c>
    </row>
    <row r="118" spans="14:14" ht="15" customHeight="1">
      <c r="N118" t="str">
        <f t="shared" si="1"/>
        <v/>
      </c>
    </row>
    <row r="119" spans="14:14" ht="15" customHeight="1">
      <c r="N119" t="str">
        <f t="shared" si="1"/>
        <v/>
      </c>
    </row>
    <row r="120" spans="14:14" ht="15" customHeight="1">
      <c r="N120" t="str">
        <f t="shared" si="1"/>
        <v/>
      </c>
    </row>
    <row r="121" spans="14:14" ht="15" customHeight="1">
      <c r="N121" t="str">
        <f t="shared" si="1"/>
        <v/>
      </c>
    </row>
    <row r="122" spans="14:14" ht="15" customHeight="1">
      <c r="N122" t="str">
        <f t="shared" si="1"/>
        <v/>
      </c>
    </row>
    <row r="123" spans="14:14" ht="15" customHeight="1">
      <c r="N123" t="str">
        <f t="shared" si="1"/>
        <v/>
      </c>
    </row>
    <row r="124" spans="14:14" ht="15" customHeight="1">
      <c r="N124" t="str">
        <f t="shared" si="1"/>
        <v/>
      </c>
    </row>
    <row r="125" spans="14:14" ht="15" customHeight="1">
      <c r="N125" t="str">
        <f t="shared" si="1"/>
        <v/>
      </c>
    </row>
    <row r="126" spans="14:14" ht="15" customHeight="1">
      <c r="N126" t="str">
        <f t="shared" si="1"/>
        <v/>
      </c>
    </row>
    <row r="127" spans="14:14" ht="15" customHeight="1">
      <c r="N127" t="str">
        <f t="shared" si="1"/>
        <v/>
      </c>
    </row>
    <row r="128" spans="14:14" ht="15" customHeight="1">
      <c r="N128" t="str">
        <f t="shared" si="1"/>
        <v/>
      </c>
    </row>
    <row r="129" spans="14:14" ht="15" customHeight="1">
      <c r="N129" t="str">
        <f t="shared" si="1"/>
        <v/>
      </c>
    </row>
    <row r="130" spans="14:14" ht="15" customHeight="1">
      <c r="N130" t="str">
        <f t="shared" ref="N130:N193" si="2">IF(L130="","",IF(2026-E130&gt;0,L130/(2026-E130),L130))</f>
        <v/>
      </c>
    </row>
    <row r="131" spans="14:14" ht="15" customHeight="1">
      <c r="N131" t="str">
        <f t="shared" si="2"/>
        <v/>
      </c>
    </row>
    <row r="132" spans="14:14" ht="15" customHeight="1">
      <c r="N132" t="str">
        <f t="shared" si="2"/>
        <v/>
      </c>
    </row>
    <row r="133" spans="14:14" ht="15" customHeight="1">
      <c r="N133" t="str">
        <f t="shared" si="2"/>
        <v/>
      </c>
    </row>
    <row r="134" spans="14:14" ht="15" customHeight="1">
      <c r="N134" t="str">
        <f t="shared" si="2"/>
        <v/>
      </c>
    </row>
    <row r="135" spans="14:14" ht="15" customHeight="1">
      <c r="N135" t="str">
        <f t="shared" si="2"/>
        <v/>
      </c>
    </row>
    <row r="136" spans="14:14" ht="15" customHeight="1">
      <c r="N136" t="str">
        <f t="shared" si="2"/>
        <v/>
      </c>
    </row>
    <row r="137" spans="14:14" ht="15" customHeight="1">
      <c r="N137" t="str">
        <f t="shared" si="2"/>
        <v/>
      </c>
    </row>
    <row r="138" spans="14:14" ht="15" customHeight="1">
      <c r="N138" t="str">
        <f t="shared" si="2"/>
        <v/>
      </c>
    </row>
    <row r="139" spans="14:14" ht="15" customHeight="1">
      <c r="N139" t="str">
        <f t="shared" si="2"/>
        <v/>
      </c>
    </row>
    <row r="140" spans="14:14" ht="15" customHeight="1">
      <c r="N140" t="str">
        <f t="shared" si="2"/>
        <v/>
      </c>
    </row>
    <row r="141" spans="14:14" ht="15" customHeight="1">
      <c r="N141" t="str">
        <f t="shared" si="2"/>
        <v/>
      </c>
    </row>
    <row r="142" spans="14:14" ht="15" customHeight="1">
      <c r="N142" t="str">
        <f t="shared" si="2"/>
        <v/>
      </c>
    </row>
    <row r="143" spans="14:14" ht="15" customHeight="1">
      <c r="N143" t="str">
        <f t="shared" si="2"/>
        <v/>
      </c>
    </row>
    <row r="144" spans="14:14" ht="15" customHeight="1">
      <c r="N144" t="str">
        <f t="shared" si="2"/>
        <v/>
      </c>
    </row>
    <row r="145" spans="14:14" ht="15" customHeight="1">
      <c r="N145" t="str">
        <f t="shared" si="2"/>
        <v/>
      </c>
    </row>
    <row r="146" spans="14:14" ht="15" customHeight="1">
      <c r="N146" t="str">
        <f t="shared" si="2"/>
        <v/>
      </c>
    </row>
    <row r="147" spans="14:14" ht="15" customHeight="1">
      <c r="N147" t="str">
        <f t="shared" si="2"/>
        <v/>
      </c>
    </row>
    <row r="148" spans="14:14" ht="15" customHeight="1">
      <c r="N148" t="str">
        <f t="shared" si="2"/>
        <v/>
      </c>
    </row>
    <row r="149" spans="14:14" ht="15" customHeight="1">
      <c r="N149" t="str">
        <f t="shared" si="2"/>
        <v/>
      </c>
    </row>
    <row r="150" spans="14:14" ht="15" customHeight="1">
      <c r="N150" t="str">
        <f t="shared" si="2"/>
        <v/>
      </c>
    </row>
    <row r="151" spans="14:14" ht="15" customHeight="1">
      <c r="N151" t="str">
        <f t="shared" si="2"/>
        <v/>
      </c>
    </row>
    <row r="152" spans="14:14" ht="15" customHeight="1">
      <c r="N152" t="str">
        <f t="shared" si="2"/>
        <v/>
      </c>
    </row>
    <row r="153" spans="14:14" ht="15" customHeight="1">
      <c r="N153" t="str">
        <f t="shared" si="2"/>
        <v/>
      </c>
    </row>
    <row r="154" spans="14:14" ht="15" customHeight="1">
      <c r="N154" t="str">
        <f t="shared" si="2"/>
        <v/>
      </c>
    </row>
    <row r="155" spans="14:14" ht="15" customHeight="1">
      <c r="N155" t="str">
        <f t="shared" si="2"/>
        <v/>
      </c>
    </row>
    <row r="156" spans="14:14" ht="15" customHeight="1">
      <c r="N156" t="str">
        <f t="shared" si="2"/>
        <v/>
      </c>
    </row>
    <row r="157" spans="14:14" ht="15" customHeight="1">
      <c r="N157" t="str">
        <f t="shared" si="2"/>
        <v/>
      </c>
    </row>
    <row r="158" spans="14:14" ht="15" customHeight="1">
      <c r="N158" t="str">
        <f t="shared" si="2"/>
        <v/>
      </c>
    </row>
    <row r="159" spans="14:14" ht="15" customHeight="1">
      <c r="N159" t="str">
        <f t="shared" si="2"/>
        <v/>
      </c>
    </row>
    <row r="160" spans="14:14" ht="15" customHeight="1">
      <c r="N160" t="str">
        <f t="shared" si="2"/>
        <v/>
      </c>
    </row>
    <row r="161" spans="14:14" ht="15" customHeight="1">
      <c r="N161" t="str">
        <f t="shared" si="2"/>
        <v/>
      </c>
    </row>
    <row r="162" spans="14:14" ht="15" customHeight="1">
      <c r="N162" t="str">
        <f t="shared" si="2"/>
        <v/>
      </c>
    </row>
    <row r="163" spans="14:14" ht="15" customHeight="1">
      <c r="N163" t="str">
        <f t="shared" si="2"/>
        <v/>
      </c>
    </row>
    <row r="164" spans="14:14" ht="15" customHeight="1">
      <c r="N164" t="str">
        <f t="shared" si="2"/>
        <v/>
      </c>
    </row>
    <row r="165" spans="14:14" ht="15" customHeight="1">
      <c r="N165" t="str">
        <f t="shared" si="2"/>
        <v/>
      </c>
    </row>
    <row r="166" spans="14:14" ht="15" customHeight="1">
      <c r="N166" t="str">
        <f t="shared" si="2"/>
        <v/>
      </c>
    </row>
    <row r="167" spans="14:14" ht="15" customHeight="1">
      <c r="N167" t="str">
        <f t="shared" si="2"/>
        <v/>
      </c>
    </row>
    <row r="168" spans="14:14" ht="15" customHeight="1">
      <c r="N168" t="str">
        <f t="shared" si="2"/>
        <v/>
      </c>
    </row>
    <row r="169" spans="14:14" ht="15" customHeight="1">
      <c r="N169" t="str">
        <f t="shared" si="2"/>
        <v/>
      </c>
    </row>
    <row r="170" spans="14:14" ht="15" customHeight="1">
      <c r="N170" t="str">
        <f t="shared" si="2"/>
        <v/>
      </c>
    </row>
    <row r="171" spans="14:14" ht="15" customHeight="1">
      <c r="N171" t="str">
        <f t="shared" si="2"/>
        <v/>
      </c>
    </row>
    <row r="172" spans="14:14" ht="15" customHeight="1">
      <c r="N172" t="str">
        <f t="shared" si="2"/>
        <v/>
      </c>
    </row>
    <row r="173" spans="14:14" ht="15" customHeight="1">
      <c r="N173" t="str">
        <f t="shared" si="2"/>
        <v/>
      </c>
    </row>
    <row r="174" spans="14:14" ht="15" customHeight="1">
      <c r="N174" t="str">
        <f t="shared" si="2"/>
        <v/>
      </c>
    </row>
    <row r="175" spans="14:14" ht="15" customHeight="1">
      <c r="N175" t="str">
        <f t="shared" si="2"/>
        <v/>
      </c>
    </row>
    <row r="176" spans="14:14" ht="15" customHeight="1">
      <c r="N176" t="str">
        <f t="shared" si="2"/>
        <v/>
      </c>
    </row>
    <row r="177" spans="14:14" ht="15" customHeight="1">
      <c r="N177" t="str">
        <f t="shared" si="2"/>
        <v/>
      </c>
    </row>
    <row r="178" spans="14:14" ht="15" customHeight="1">
      <c r="N178" t="str">
        <f t="shared" si="2"/>
        <v/>
      </c>
    </row>
    <row r="179" spans="14:14" ht="15" customHeight="1">
      <c r="N179" t="str">
        <f t="shared" si="2"/>
        <v/>
      </c>
    </row>
    <row r="180" spans="14:14" ht="15" customHeight="1">
      <c r="N180" t="str">
        <f t="shared" si="2"/>
        <v/>
      </c>
    </row>
    <row r="181" spans="14:14" ht="15" customHeight="1">
      <c r="N181" t="str">
        <f t="shared" si="2"/>
        <v/>
      </c>
    </row>
    <row r="182" spans="14:14" ht="15" customHeight="1">
      <c r="N182" t="str">
        <f t="shared" si="2"/>
        <v/>
      </c>
    </row>
    <row r="183" spans="14:14" ht="15" customHeight="1">
      <c r="N183" t="str">
        <f t="shared" si="2"/>
        <v/>
      </c>
    </row>
    <row r="184" spans="14:14" ht="15" customHeight="1">
      <c r="N184" t="str">
        <f t="shared" si="2"/>
        <v/>
      </c>
    </row>
    <row r="185" spans="14:14" ht="15" customHeight="1">
      <c r="N185" t="str">
        <f t="shared" si="2"/>
        <v/>
      </c>
    </row>
    <row r="186" spans="14:14" ht="15" customHeight="1">
      <c r="N186" t="str">
        <f t="shared" si="2"/>
        <v/>
      </c>
    </row>
    <row r="187" spans="14:14" ht="15" customHeight="1">
      <c r="N187" t="str">
        <f t="shared" si="2"/>
        <v/>
      </c>
    </row>
    <row r="188" spans="14:14" ht="15" customHeight="1">
      <c r="N188" t="str">
        <f t="shared" si="2"/>
        <v/>
      </c>
    </row>
    <row r="189" spans="14:14" ht="15" customHeight="1">
      <c r="N189" t="str">
        <f t="shared" si="2"/>
        <v/>
      </c>
    </row>
    <row r="190" spans="14:14" ht="15" customHeight="1">
      <c r="N190" t="str">
        <f t="shared" si="2"/>
        <v/>
      </c>
    </row>
    <row r="191" spans="14:14" ht="15" customHeight="1">
      <c r="N191" t="str">
        <f t="shared" si="2"/>
        <v/>
      </c>
    </row>
    <row r="192" spans="14:14" ht="15" customHeight="1">
      <c r="N192" t="str">
        <f t="shared" si="2"/>
        <v/>
      </c>
    </row>
    <row r="193" spans="14:14" ht="15" customHeight="1">
      <c r="N193" t="str">
        <f t="shared" si="2"/>
        <v/>
      </c>
    </row>
    <row r="194" spans="14:14" ht="15" customHeight="1">
      <c r="N194" t="str">
        <f t="shared" ref="N194:N257" si="3">IF(L194="","",IF(2026-E194&gt;0,L194/(2026-E194),L194))</f>
        <v/>
      </c>
    </row>
    <row r="195" spans="14:14" ht="15" customHeight="1">
      <c r="N195" t="str">
        <f t="shared" si="3"/>
        <v/>
      </c>
    </row>
    <row r="196" spans="14:14" ht="15" customHeight="1">
      <c r="N196" t="str">
        <f t="shared" si="3"/>
        <v/>
      </c>
    </row>
    <row r="197" spans="14:14" ht="15" customHeight="1">
      <c r="N197" t="str">
        <f t="shared" si="3"/>
        <v/>
      </c>
    </row>
    <row r="198" spans="14:14" ht="15" customHeight="1">
      <c r="N198" t="str">
        <f t="shared" si="3"/>
        <v/>
      </c>
    </row>
    <row r="199" spans="14:14" ht="15" customHeight="1">
      <c r="N199" t="str">
        <f t="shared" si="3"/>
        <v/>
      </c>
    </row>
    <row r="200" spans="14:14" ht="15" customHeight="1">
      <c r="N200" t="str">
        <f t="shared" si="3"/>
        <v/>
      </c>
    </row>
    <row r="201" spans="14:14" ht="15" customHeight="1">
      <c r="N201" t="str">
        <f t="shared" si="3"/>
        <v/>
      </c>
    </row>
    <row r="202" spans="14:14" ht="15" customHeight="1">
      <c r="N202" t="str">
        <f t="shared" si="3"/>
        <v/>
      </c>
    </row>
    <row r="203" spans="14:14" ht="15" customHeight="1">
      <c r="N203" t="str">
        <f t="shared" si="3"/>
        <v/>
      </c>
    </row>
    <row r="204" spans="14:14" ht="15" customHeight="1">
      <c r="N204" t="str">
        <f t="shared" si="3"/>
        <v/>
      </c>
    </row>
    <row r="205" spans="14:14" ht="15" customHeight="1">
      <c r="N205" t="str">
        <f t="shared" si="3"/>
        <v/>
      </c>
    </row>
    <row r="206" spans="14:14" ht="15" customHeight="1">
      <c r="N206" t="str">
        <f t="shared" si="3"/>
        <v/>
      </c>
    </row>
    <row r="207" spans="14:14" ht="15" customHeight="1">
      <c r="N207" t="str">
        <f t="shared" si="3"/>
        <v/>
      </c>
    </row>
    <row r="208" spans="14:14" ht="15" customHeight="1">
      <c r="N208" t="str">
        <f t="shared" si="3"/>
        <v/>
      </c>
    </row>
    <row r="209" spans="14:14" ht="15" customHeight="1">
      <c r="N209" t="str">
        <f t="shared" si="3"/>
        <v/>
      </c>
    </row>
    <row r="210" spans="14:14" ht="15" customHeight="1">
      <c r="N210" t="str">
        <f t="shared" si="3"/>
        <v/>
      </c>
    </row>
    <row r="211" spans="14:14" ht="15" customHeight="1">
      <c r="N211" t="str">
        <f t="shared" si="3"/>
        <v/>
      </c>
    </row>
    <row r="212" spans="14:14" ht="15" customHeight="1">
      <c r="N212" t="str">
        <f t="shared" si="3"/>
        <v/>
      </c>
    </row>
    <row r="213" spans="14:14" ht="15" customHeight="1">
      <c r="N213" t="str">
        <f t="shared" si="3"/>
        <v/>
      </c>
    </row>
    <row r="214" spans="14:14" ht="15" customHeight="1">
      <c r="N214" t="str">
        <f t="shared" si="3"/>
        <v/>
      </c>
    </row>
    <row r="215" spans="14:14" ht="15" customHeight="1">
      <c r="N215" t="str">
        <f t="shared" si="3"/>
        <v/>
      </c>
    </row>
    <row r="216" spans="14:14" ht="15" customHeight="1">
      <c r="N216" t="str">
        <f t="shared" si="3"/>
        <v/>
      </c>
    </row>
    <row r="217" spans="14:14" ht="15" customHeight="1">
      <c r="N217" t="str">
        <f t="shared" si="3"/>
        <v/>
      </c>
    </row>
    <row r="218" spans="14:14" ht="15" customHeight="1">
      <c r="N218" t="str">
        <f t="shared" si="3"/>
        <v/>
      </c>
    </row>
    <row r="219" spans="14:14" ht="15" customHeight="1">
      <c r="N219" t="str">
        <f t="shared" si="3"/>
        <v/>
      </c>
    </row>
    <row r="220" spans="14:14" ht="15" customHeight="1">
      <c r="N220" t="str">
        <f t="shared" si="3"/>
        <v/>
      </c>
    </row>
    <row r="221" spans="14:14" ht="15" customHeight="1">
      <c r="N221" t="str">
        <f t="shared" si="3"/>
        <v/>
      </c>
    </row>
    <row r="222" spans="14:14" ht="15" customHeight="1">
      <c r="N222" t="str">
        <f t="shared" si="3"/>
        <v/>
      </c>
    </row>
    <row r="223" spans="14:14" ht="15" customHeight="1">
      <c r="N223" t="str">
        <f t="shared" si="3"/>
        <v/>
      </c>
    </row>
    <row r="224" spans="14:14" ht="15" customHeight="1">
      <c r="N224" t="str">
        <f t="shared" si="3"/>
        <v/>
      </c>
    </row>
    <row r="225" spans="14:14" ht="15" customHeight="1">
      <c r="N225" t="str">
        <f t="shared" si="3"/>
        <v/>
      </c>
    </row>
    <row r="226" spans="14:14" ht="15" customHeight="1">
      <c r="N226" t="str">
        <f t="shared" si="3"/>
        <v/>
      </c>
    </row>
    <row r="227" spans="14:14" ht="15" customHeight="1">
      <c r="N227" t="str">
        <f t="shared" si="3"/>
        <v/>
      </c>
    </row>
    <row r="228" spans="14:14" ht="15" customHeight="1">
      <c r="N228" t="str">
        <f t="shared" si="3"/>
        <v/>
      </c>
    </row>
    <row r="229" spans="14:14" ht="15" customHeight="1">
      <c r="N229" t="str">
        <f t="shared" si="3"/>
        <v/>
      </c>
    </row>
    <row r="230" spans="14:14" ht="15" customHeight="1">
      <c r="N230" t="str">
        <f t="shared" si="3"/>
        <v/>
      </c>
    </row>
    <row r="231" spans="14:14" ht="15" customHeight="1">
      <c r="N231" t="str">
        <f t="shared" si="3"/>
        <v/>
      </c>
    </row>
    <row r="232" spans="14:14" ht="15" customHeight="1">
      <c r="N232" t="str">
        <f t="shared" si="3"/>
        <v/>
      </c>
    </row>
    <row r="233" spans="14:14" ht="15" customHeight="1">
      <c r="N233" t="str">
        <f t="shared" si="3"/>
        <v/>
      </c>
    </row>
    <row r="234" spans="14:14" ht="15" customHeight="1">
      <c r="N234" t="str">
        <f t="shared" si="3"/>
        <v/>
      </c>
    </row>
    <row r="235" spans="14:14" ht="15" customHeight="1">
      <c r="N235" t="str">
        <f t="shared" si="3"/>
        <v/>
      </c>
    </row>
    <row r="236" spans="14:14" ht="15" customHeight="1">
      <c r="N236" t="str">
        <f t="shared" si="3"/>
        <v/>
      </c>
    </row>
    <row r="237" spans="14:14" ht="15" customHeight="1">
      <c r="N237" t="str">
        <f t="shared" si="3"/>
        <v/>
      </c>
    </row>
    <row r="238" spans="14:14" ht="15" customHeight="1">
      <c r="N238" t="str">
        <f t="shared" si="3"/>
        <v/>
      </c>
    </row>
    <row r="239" spans="14:14" ht="15" customHeight="1">
      <c r="N239" t="str">
        <f t="shared" si="3"/>
        <v/>
      </c>
    </row>
    <row r="240" spans="14:14" ht="15" customHeight="1">
      <c r="N240" t="str">
        <f t="shared" si="3"/>
        <v/>
      </c>
    </row>
    <row r="241" spans="14:14" ht="15" customHeight="1">
      <c r="N241" t="str">
        <f t="shared" si="3"/>
        <v/>
      </c>
    </row>
    <row r="242" spans="14:14" ht="15" customHeight="1">
      <c r="N242" t="str">
        <f t="shared" si="3"/>
        <v/>
      </c>
    </row>
    <row r="243" spans="14:14" ht="15" customHeight="1">
      <c r="N243" t="str">
        <f t="shared" si="3"/>
        <v/>
      </c>
    </row>
    <row r="244" spans="14:14" ht="15" customHeight="1">
      <c r="N244" t="str">
        <f t="shared" si="3"/>
        <v/>
      </c>
    </row>
    <row r="245" spans="14:14" ht="15" customHeight="1">
      <c r="N245" t="str">
        <f t="shared" si="3"/>
        <v/>
      </c>
    </row>
    <row r="246" spans="14:14" ht="15" customHeight="1">
      <c r="N246" t="str">
        <f t="shared" si="3"/>
        <v/>
      </c>
    </row>
    <row r="247" spans="14:14" ht="15" customHeight="1">
      <c r="N247" t="str">
        <f t="shared" si="3"/>
        <v/>
      </c>
    </row>
    <row r="248" spans="14:14" ht="15" customHeight="1">
      <c r="N248" t="str">
        <f t="shared" si="3"/>
        <v/>
      </c>
    </row>
    <row r="249" spans="14:14" ht="15" customHeight="1">
      <c r="N249" t="str">
        <f t="shared" si="3"/>
        <v/>
      </c>
    </row>
    <row r="250" spans="14:14" ht="15" customHeight="1">
      <c r="N250" t="str">
        <f t="shared" si="3"/>
        <v/>
      </c>
    </row>
    <row r="251" spans="14:14" ht="15" customHeight="1">
      <c r="N251" t="str">
        <f t="shared" si="3"/>
        <v/>
      </c>
    </row>
    <row r="252" spans="14:14" ht="15" customHeight="1">
      <c r="N252" t="str">
        <f t="shared" si="3"/>
        <v/>
      </c>
    </row>
    <row r="253" spans="14:14" ht="15" customHeight="1">
      <c r="N253" t="str">
        <f t="shared" si="3"/>
        <v/>
      </c>
    </row>
    <row r="254" spans="14:14" ht="15" customHeight="1">
      <c r="N254" t="str">
        <f t="shared" si="3"/>
        <v/>
      </c>
    </row>
    <row r="255" spans="14:14" ht="15" customHeight="1">
      <c r="N255" t="str">
        <f t="shared" si="3"/>
        <v/>
      </c>
    </row>
    <row r="256" spans="14:14" ht="15" customHeight="1">
      <c r="N256" t="str">
        <f t="shared" si="3"/>
        <v/>
      </c>
    </row>
    <row r="257" spans="14:14" ht="15" customHeight="1">
      <c r="N257" t="str">
        <f t="shared" si="3"/>
        <v/>
      </c>
    </row>
    <row r="258" spans="14:14" ht="15" customHeight="1">
      <c r="N258" t="str">
        <f t="shared" ref="N258:N321" si="4">IF(L258="","",IF(2026-E258&gt;0,L258/(2026-E258),L258))</f>
        <v/>
      </c>
    </row>
    <row r="259" spans="14:14" ht="15" customHeight="1">
      <c r="N259" t="str">
        <f t="shared" si="4"/>
        <v/>
      </c>
    </row>
    <row r="260" spans="14:14" ht="15" customHeight="1">
      <c r="N260" t="str">
        <f t="shared" si="4"/>
        <v/>
      </c>
    </row>
    <row r="261" spans="14:14" ht="15" customHeight="1">
      <c r="N261" t="str">
        <f t="shared" si="4"/>
        <v/>
      </c>
    </row>
    <row r="262" spans="14:14" ht="15" customHeight="1">
      <c r="N262" t="str">
        <f t="shared" si="4"/>
        <v/>
      </c>
    </row>
    <row r="263" spans="14:14" ht="15" customHeight="1">
      <c r="N263" t="str">
        <f t="shared" si="4"/>
        <v/>
      </c>
    </row>
    <row r="264" spans="14:14" ht="15" customHeight="1">
      <c r="N264" t="str">
        <f t="shared" si="4"/>
        <v/>
      </c>
    </row>
    <row r="265" spans="14:14" ht="15" customHeight="1">
      <c r="N265" t="str">
        <f t="shared" si="4"/>
        <v/>
      </c>
    </row>
    <row r="266" spans="14:14" ht="15" customHeight="1">
      <c r="N266" t="str">
        <f t="shared" si="4"/>
        <v/>
      </c>
    </row>
    <row r="267" spans="14:14" ht="15" customHeight="1">
      <c r="N267" t="str">
        <f t="shared" si="4"/>
        <v/>
      </c>
    </row>
    <row r="268" spans="14:14" ht="15" customHeight="1">
      <c r="N268" t="str">
        <f t="shared" si="4"/>
        <v/>
      </c>
    </row>
    <row r="269" spans="14:14" ht="15" customHeight="1">
      <c r="N269" t="str">
        <f t="shared" si="4"/>
        <v/>
      </c>
    </row>
    <row r="270" spans="14:14" ht="15" customHeight="1">
      <c r="N270" t="str">
        <f t="shared" si="4"/>
        <v/>
      </c>
    </row>
    <row r="271" spans="14:14" ht="15" customHeight="1">
      <c r="N271" t="str">
        <f t="shared" si="4"/>
        <v/>
      </c>
    </row>
    <row r="272" spans="14:14" ht="15" customHeight="1">
      <c r="N272" t="str">
        <f t="shared" si="4"/>
        <v/>
      </c>
    </row>
    <row r="273" spans="14:14" ht="15" customHeight="1">
      <c r="N273" t="str">
        <f t="shared" si="4"/>
        <v/>
      </c>
    </row>
    <row r="274" spans="14:14" ht="15" customHeight="1">
      <c r="N274" t="str">
        <f t="shared" si="4"/>
        <v/>
      </c>
    </row>
    <row r="275" spans="14:14" ht="15" customHeight="1">
      <c r="N275" t="str">
        <f t="shared" si="4"/>
        <v/>
      </c>
    </row>
    <row r="276" spans="14:14" ht="15" customHeight="1">
      <c r="N276" t="str">
        <f t="shared" si="4"/>
        <v/>
      </c>
    </row>
    <row r="277" spans="14:14" ht="15" customHeight="1">
      <c r="N277" t="str">
        <f t="shared" si="4"/>
        <v/>
      </c>
    </row>
    <row r="278" spans="14:14" ht="15" customHeight="1">
      <c r="N278" t="str">
        <f t="shared" si="4"/>
        <v/>
      </c>
    </row>
    <row r="279" spans="14:14" ht="15" customHeight="1">
      <c r="N279" t="str">
        <f t="shared" si="4"/>
        <v/>
      </c>
    </row>
    <row r="280" spans="14:14" ht="15" customHeight="1">
      <c r="N280" t="str">
        <f t="shared" si="4"/>
        <v/>
      </c>
    </row>
    <row r="281" spans="14:14" ht="15" customHeight="1">
      <c r="N281" t="str">
        <f t="shared" si="4"/>
        <v/>
      </c>
    </row>
    <row r="282" spans="14:14" ht="15" customHeight="1">
      <c r="N282" t="str">
        <f t="shared" si="4"/>
        <v/>
      </c>
    </row>
    <row r="283" spans="14:14" ht="15" customHeight="1">
      <c r="N283" t="str">
        <f t="shared" si="4"/>
        <v/>
      </c>
    </row>
    <row r="284" spans="14:14" ht="15" customHeight="1">
      <c r="N284" t="str">
        <f t="shared" si="4"/>
        <v/>
      </c>
    </row>
    <row r="285" spans="14:14" ht="15" customHeight="1">
      <c r="N285" t="str">
        <f t="shared" si="4"/>
        <v/>
      </c>
    </row>
    <row r="286" spans="14:14" ht="15" customHeight="1">
      <c r="N286" t="str">
        <f t="shared" si="4"/>
        <v/>
      </c>
    </row>
    <row r="287" spans="14:14" ht="15" customHeight="1">
      <c r="N287" t="str">
        <f t="shared" si="4"/>
        <v/>
      </c>
    </row>
    <row r="288" spans="14:14" ht="15" customHeight="1">
      <c r="N288" t="str">
        <f t="shared" si="4"/>
        <v/>
      </c>
    </row>
    <row r="289" spans="14:14" ht="15" customHeight="1">
      <c r="N289" t="str">
        <f t="shared" si="4"/>
        <v/>
      </c>
    </row>
    <row r="290" spans="14:14" ht="15" customHeight="1">
      <c r="N290" t="str">
        <f t="shared" si="4"/>
        <v/>
      </c>
    </row>
    <row r="291" spans="14:14" ht="15" customHeight="1">
      <c r="N291" t="str">
        <f t="shared" si="4"/>
        <v/>
      </c>
    </row>
    <row r="292" spans="14:14" ht="15" customHeight="1">
      <c r="N292" t="str">
        <f t="shared" si="4"/>
        <v/>
      </c>
    </row>
    <row r="293" spans="14:14" ht="15" customHeight="1">
      <c r="N293" t="str">
        <f t="shared" si="4"/>
        <v/>
      </c>
    </row>
    <row r="294" spans="14:14" ht="15" customHeight="1">
      <c r="N294" t="str">
        <f t="shared" si="4"/>
        <v/>
      </c>
    </row>
    <row r="295" spans="14:14" ht="15" customHeight="1">
      <c r="N295" t="str">
        <f t="shared" si="4"/>
        <v/>
      </c>
    </row>
    <row r="296" spans="14:14" ht="15" customHeight="1">
      <c r="N296" t="str">
        <f t="shared" si="4"/>
        <v/>
      </c>
    </row>
    <row r="297" spans="14:14" ht="15" customHeight="1">
      <c r="N297" t="str">
        <f t="shared" si="4"/>
        <v/>
      </c>
    </row>
    <row r="298" spans="14:14" ht="15" customHeight="1">
      <c r="N298" t="str">
        <f t="shared" si="4"/>
        <v/>
      </c>
    </row>
    <row r="299" spans="14:14" ht="15" customHeight="1">
      <c r="N299" t="str">
        <f t="shared" si="4"/>
        <v/>
      </c>
    </row>
    <row r="300" spans="14:14" ht="15" customHeight="1">
      <c r="N300" t="str">
        <f t="shared" si="4"/>
        <v/>
      </c>
    </row>
    <row r="301" spans="14:14" ht="15" customHeight="1">
      <c r="N301" t="str">
        <f t="shared" si="4"/>
        <v/>
      </c>
    </row>
    <row r="302" spans="14:14" ht="15" customHeight="1">
      <c r="N302" t="str">
        <f t="shared" si="4"/>
        <v/>
      </c>
    </row>
    <row r="303" spans="14:14" ht="15" customHeight="1">
      <c r="N303" t="str">
        <f t="shared" si="4"/>
        <v/>
      </c>
    </row>
    <row r="304" spans="14:14" ht="15" customHeight="1">
      <c r="N304" t="str">
        <f t="shared" si="4"/>
        <v/>
      </c>
    </row>
    <row r="305" spans="14:14" ht="15" customHeight="1">
      <c r="N305" t="str">
        <f t="shared" si="4"/>
        <v/>
      </c>
    </row>
    <row r="306" spans="14:14" ht="15" customHeight="1">
      <c r="N306" t="str">
        <f t="shared" si="4"/>
        <v/>
      </c>
    </row>
    <row r="307" spans="14:14" ht="15" customHeight="1">
      <c r="N307" t="str">
        <f t="shared" si="4"/>
        <v/>
      </c>
    </row>
    <row r="308" spans="14:14" ht="15" customHeight="1">
      <c r="N308" t="str">
        <f t="shared" si="4"/>
        <v/>
      </c>
    </row>
    <row r="309" spans="14:14" ht="15" customHeight="1">
      <c r="N309" t="str">
        <f t="shared" si="4"/>
        <v/>
      </c>
    </row>
    <row r="310" spans="14:14" ht="15" customHeight="1">
      <c r="N310" t="str">
        <f t="shared" si="4"/>
        <v/>
      </c>
    </row>
    <row r="311" spans="14:14" ht="15" customHeight="1">
      <c r="N311" t="str">
        <f t="shared" si="4"/>
        <v/>
      </c>
    </row>
    <row r="312" spans="14:14" ht="15" customHeight="1">
      <c r="N312" t="str">
        <f t="shared" si="4"/>
        <v/>
      </c>
    </row>
    <row r="313" spans="14:14" ht="15" customHeight="1">
      <c r="N313" t="str">
        <f t="shared" si="4"/>
        <v/>
      </c>
    </row>
    <row r="314" spans="14:14" ht="15" customHeight="1">
      <c r="N314" t="str">
        <f t="shared" si="4"/>
        <v/>
      </c>
    </row>
    <row r="315" spans="14:14" ht="15" customHeight="1">
      <c r="N315" t="str">
        <f t="shared" si="4"/>
        <v/>
      </c>
    </row>
    <row r="316" spans="14:14" ht="15" customHeight="1">
      <c r="N316" t="str">
        <f t="shared" si="4"/>
        <v/>
      </c>
    </row>
    <row r="317" spans="14:14" ht="15" customHeight="1">
      <c r="N317" t="str">
        <f t="shared" si="4"/>
        <v/>
      </c>
    </row>
    <row r="318" spans="14:14" ht="15" customHeight="1">
      <c r="N318" t="str">
        <f t="shared" si="4"/>
        <v/>
      </c>
    </row>
    <row r="319" spans="14:14" ht="15" customHeight="1">
      <c r="N319" t="str">
        <f t="shared" si="4"/>
        <v/>
      </c>
    </row>
    <row r="320" spans="14:14" ht="15" customHeight="1">
      <c r="N320" t="str">
        <f t="shared" si="4"/>
        <v/>
      </c>
    </row>
    <row r="321" spans="14:14" ht="15" customHeight="1">
      <c r="N321" t="str">
        <f t="shared" si="4"/>
        <v/>
      </c>
    </row>
    <row r="322" spans="14:14" ht="15" customHeight="1">
      <c r="N322" t="str">
        <f t="shared" ref="N322:N385" si="5">IF(L322="","",IF(2026-E322&gt;0,L322/(2026-E322),L322))</f>
        <v/>
      </c>
    </row>
    <row r="323" spans="14:14" ht="15" customHeight="1">
      <c r="N323" t="str">
        <f t="shared" si="5"/>
        <v/>
      </c>
    </row>
    <row r="324" spans="14:14" ht="15" customHeight="1">
      <c r="N324" t="str">
        <f t="shared" si="5"/>
        <v/>
      </c>
    </row>
    <row r="325" spans="14:14" ht="15" customHeight="1">
      <c r="N325" t="str">
        <f t="shared" si="5"/>
        <v/>
      </c>
    </row>
    <row r="326" spans="14:14" ht="15" customHeight="1">
      <c r="N326" t="str">
        <f t="shared" si="5"/>
        <v/>
      </c>
    </row>
    <row r="327" spans="14:14" ht="15" customHeight="1">
      <c r="N327" t="str">
        <f t="shared" si="5"/>
        <v/>
      </c>
    </row>
    <row r="328" spans="14:14" ht="15" customHeight="1">
      <c r="N328" t="str">
        <f t="shared" si="5"/>
        <v/>
      </c>
    </row>
    <row r="329" spans="14:14" ht="15" customHeight="1">
      <c r="N329" t="str">
        <f t="shared" si="5"/>
        <v/>
      </c>
    </row>
    <row r="330" spans="14:14" ht="15" customHeight="1">
      <c r="N330" t="str">
        <f t="shared" si="5"/>
        <v/>
      </c>
    </row>
    <row r="331" spans="14:14" ht="15" customHeight="1">
      <c r="N331" t="str">
        <f t="shared" si="5"/>
        <v/>
      </c>
    </row>
    <row r="332" spans="14:14" ht="15" customHeight="1">
      <c r="N332" t="str">
        <f t="shared" si="5"/>
        <v/>
      </c>
    </row>
    <row r="333" spans="14:14" ht="15" customHeight="1">
      <c r="N333" t="str">
        <f t="shared" si="5"/>
        <v/>
      </c>
    </row>
    <row r="334" spans="14:14" ht="15" customHeight="1">
      <c r="N334" t="str">
        <f t="shared" si="5"/>
        <v/>
      </c>
    </row>
    <row r="335" spans="14:14" ht="15" customHeight="1">
      <c r="N335" t="str">
        <f t="shared" si="5"/>
        <v/>
      </c>
    </row>
    <row r="336" spans="14:14" ht="15" customHeight="1">
      <c r="N336" t="str">
        <f t="shared" si="5"/>
        <v/>
      </c>
    </row>
    <row r="337" spans="14:14" ht="15" customHeight="1">
      <c r="N337" t="str">
        <f t="shared" si="5"/>
        <v/>
      </c>
    </row>
    <row r="338" spans="14:14" ht="15" customHeight="1">
      <c r="N338" t="str">
        <f t="shared" si="5"/>
        <v/>
      </c>
    </row>
    <row r="339" spans="14:14" ht="15" customHeight="1">
      <c r="N339" t="str">
        <f t="shared" si="5"/>
        <v/>
      </c>
    </row>
    <row r="340" spans="14:14" ht="15" customHeight="1">
      <c r="N340" t="str">
        <f t="shared" si="5"/>
        <v/>
      </c>
    </row>
    <row r="341" spans="14:14" ht="15" customHeight="1">
      <c r="N341" t="str">
        <f t="shared" si="5"/>
        <v/>
      </c>
    </row>
    <row r="342" spans="14:14" ht="15" customHeight="1">
      <c r="N342" t="str">
        <f t="shared" si="5"/>
        <v/>
      </c>
    </row>
    <row r="343" spans="14:14" ht="15" customHeight="1">
      <c r="N343" t="str">
        <f t="shared" si="5"/>
        <v/>
      </c>
    </row>
    <row r="344" spans="14:14" ht="15" customHeight="1">
      <c r="N344" t="str">
        <f t="shared" si="5"/>
        <v/>
      </c>
    </row>
    <row r="345" spans="14:14" ht="15" customHeight="1">
      <c r="N345" t="str">
        <f t="shared" si="5"/>
        <v/>
      </c>
    </row>
    <row r="346" spans="14:14" ht="15" customHeight="1">
      <c r="N346" t="str">
        <f t="shared" si="5"/>
        <v/>
      </c>
    </row>
    <row r="347" spans="14:14" ht="15" customHeight="1">
      <c r="N347" t="str">
        <f t="shared" si="5"/>
        <v/>
      </c>
    </row>
    <row r="348" spans="14:14" ht="15" customHeight="1">
      <c r="N348" t="str">
        <f t="shared" si="5"/>
        <v/>
      </c>
    </row>
    <row r="349" spans="14:14" ht="15" customHeight="1">
      <c r="N349" t="str">
        <f t="shared" si="5"/>
        <v/>
      </c>
    </row>
    <row r="350" spans="14:14" ht="15" customHeight="1">
      <c r="N350" t="str">
        <f t="shared" si="5"/>
        <v/>
      </c>
    </row>
    <row r="351" spans="14:14" ht="15" customHeight="1">
      <c r="N351" t="str">
        <f t="shared" si="5"/>
        <v/>
      </c>
    </row>
    <row r="352" spans="14:14" ht="15" customHeight="1">
      <c r="N352" t="str">
        <f t="shared" si="5"/>
        <v/>
      </c>
    </row>
    <row r="353" spans="14:14" ht="15" customHeight="1">
      <c r="N353" t="str">
        <f t="shared" si="5"/>
        <v/>
      </c>
    </row>
    <row r="354" spans="14:14" ht="15" customHeight="1">
      <c r="N354" t="str">
        <f t="shared" si="5"/>
        <v/>
      </c>
    </row>
    <row r="355" spans="14:14" ht="15" customHeight="1">
      <c r="N355" t="str">
        <f t="shared" si="5"/>
        <v/>
      </c>
    </row>
    <row r="356" spans="14:14" ht="15" customHeight="1">
      <c r="N356" t="str">
        <f t="shared" si="5"/>
        <v/>
      </c>
    </row>
    <row r="357" spans="14:14" ht="15" customHeight="1">
      <c r="N357" t="str">
        <f t="shared" si="5"/>
        <v/>
      </c>
    </row>
    <row r="358" spans="14:14" ht="15" customHeight="1">
      <c r="N358" t="str">
        <f t="shared" si="5"/>
        <v/>
      </c>
    </row>
    <row r="359" spans="14:14" ht="15" customHeight="1">
      <c r="N359" t="str">
        <f t="shared" si="5"/>
        <v/>
      </c>
    </row>
    <row r="360" spans="14:14" ht="15" customHeight="1">
      <c r="N360" t="str">
        <f t="shared" si="5"/>
        <v/>
      </c>
    </row>
    <row r="361" spans="14:14" ht="15" customHeight="1">
      <c r="N361" t="str">
        <f t="shared" si="5"/>
        <v/>
      </c>
    </row>
    <row r="362" spans="14:14" ht="15" customHeight="1">
      <c r="N362" t="str">
        <f t="shared" si="5"/>
        <v/>
      </c>
    </row>
    <row r="363" spans="14:14" ht="15" customHeight="1">
      <c r="N363" t="str">
        <f t="shared" si="5"/>
        <v/>
      </c>
    </row>
    <row r="364" spans="14:14" ht="15" customHeight="1">
      <c r="N364" t="str">
        <f t="shared" si="5"/>
        <v/>
      </c>
    </row>
    <row r="365" spans="14:14" ht="15" customHeight="1">
      <c r="N365" t="str">
        <f t="shared" si="5"/>
        <v/>
      </c>
    </row>
    <row r="366" spans="14:14" ht="15" customHeight="1">
      <c r="N366" t="str">
        <f t="shared" si="5"/>
        <v/>
      </c>
    </row>
    <row r="367" spans="14:14" ht="15" customHeight="1">
      <c r="N367" t="str">
        <f t="shared" si="5"/>
        <v/>
      </c>
    </row>
    <row r="368" spans="14:14" ht="15" customHeight="1">
      <c r="N368" t="str">
        <f t="shared" si="5"/>
        <v/>
      </c>
    </row>
    <row r="369" spans="14:14" ht="15" customHeight="1">
      <c r="N369" t="str">
        <f t="shared" si="5"/>
        <v/>
      </c>
    </row>
    <row r="370" spans="14:14" ht="15" customHeight="1">
      <c r="N370" t="str">
        <f t="shared" si="5"/>
        <v/>
      </c>
    </row>
    <row r="371" spans="14:14" ht="15" customHeight="1">
      <c r="N371" t="str">
        <f t="shared" si="5"/>
        <v/>
      </c>
    </row>
    <row r="372" spans="14:14" ht="15" customHeight="1">
      <c r="N372" t="str">
        <f t="shared" si="5"/>
        <v/>
      </c>
    </row>
    <row r="373" spans="14:14" ht="15" customHeight="1">
      <c r="N373" t="str">
        <f t="shared" si="5"/>
        <v/>
      </c>
    </row>
    <row r="374" spans="14:14" ht="15" customHeight="1">
      <c r="N374" t="str">
        <f t="shared" si="5"/>
        <v/>
      </c>
    </row>
    <row r="375" spans="14:14" ht="15" customHeight="1">
      <c r="N375" t="str">
        <f t="shared" si="5"/>
        <v/>
      </c>
    </row>
    <row r="376" spans="14:14" ht="15" customHeight="1">
      <c r="N376" t="str">
        <f t="shared" si="5"/>
        <v/>
      </c>
    </row>
    <row r="377" spans="14:14" ht="15" customHeight="1">
      <c r="N377" t="str">
        <f t="shared" si="5"/>
        <v/>
      </c>
    </row>
    <row r="378" spans="14:14" ht="15" customHeight="1">
      <c r="N378" t="str">
        <f t="shared" si="5"/>
        <v/>
      </c>
    </row>
    <row r="379" spans="14:14" ht="15" customHeight="1">
      <c r="N379" t="str">
        <f t="shared" si="5"/>
        <v/>
      </c>
    </row>
    <row r="380" spans="14:14" ht="15" customHeight="1">
      <c r="N380" t="str">
        <f t="shared" si="5"/>
        <v/>
      </c>
    </row>
    <row r="381" spans="14:14" ht="15" customHeight="1">
      <c r="N381" t="str">
        <f t="shared" si="5"/>
        <v/>
      </c>
    </row>
    <row r="382" spans="14:14" ht="15" customHeight="1">
      <c r="N382" t="str">
        <f t="shared" si="5"/>
        <v/>
      </c>
    </row>
    <row r="383" spans="14:14" ht="15" customHeight="1">
      <c r="N383" t="str">
        <f t="shared" si="5"/>
        <v/>
      </c>
    </row>
    <row r="384" spans="14:14" ht="15" customHeight="1">
      <c r="N384" t="str">
        <f t="shared" si="5"/>
        <v/>
      </c>
    </row>
    <row r="385" spans="14:14" ht="15" customHeight="1">
      <c r="N385" t="str">
        <f t="shared" si="5"/>
        <v/>
      </c>
    </row>
    <row r="386" spans="14:14" ht="15" customHeight="1">
      <c r="N386" t="str">
        <f t="shared" ref="N386:N449" si="6">IF(L386="","",IF(2026-E386&gt;0,L386/(2026-E386),L386))</f>
        <v/>
      </c>
    </row>
    <row r="387" spans="14:14" ht="15" customHeight="1">
      <c r="N387" t="str">
        <f t="shared" si="6"/>
        <v/>
      </c>
    </row>
    <row r="388" spans="14:14" ht="15" customHeight="1">
      <c r="N388" t="str">
        <f t="shared" si="6"/>
        <v/>
      </c>
    </row>
    <row r="389" spans="14:14" ht="15" customHeight="1">
      <c r="N389" t="str">
        <f t="shared" si="6"/>
        <v/>
      </c>
    </row>
    <row r="390" spans="14:14" ht="15" customHeight="1">
      <c r="N390" t="str">
        <f t="shared" si="6"/>
        <v/>
      </c>
    </row>
    <row r="391" spans="14:14" ht="15" customHeight="1">
      <c r="N391" t="str">
        <f t="shared" si="6"/>
        <v/>
      </c>
    </row>
    <row r="392" spans="14:14" ht="15" customHeight="1">
      <c r="N392" t="str">
        <f t="shared" si="6"/>
        <v/>
      </c>
    </row>
    <row r="393" spans="14:14" ht="15" customHeight="1">
      <c r="N393" t="str">
        <f t="shared" si="6"/>
        <v/>
      </c>
    </row>
    <row r="394" spans="14:14" ht="15" customHeight="1">
      <c r="N394" t="str">
        <f t="shared" si="6"/>
        <v/>
      </c>
    </row>
    <row r="395" spans="14:14" ht="15" customHeight="1">
      <c r="N395" t="str">
        <f t="shared" si="6"/>
        <v/>
      </c>
    </row>
    <row r="396" spans="14:14" ht="15" customHeight="1">
      <c r="N396" t="str">
        <f t="shared" si="6"/>
        <v/>
      </c>
    </row>
    <row r="397" spans="14:14" ht="15" customHeight="1">
      <c r="N397" t="str">
        <f t="shared" si="6"/>
        <v/>
      </c>
    </row>
    <row r="398" spans="14:14" ht="15" customHeight="1">
      <c r="N398" t="str">
        <f t="shared" si="6"/>
        <v/>
      </c>
    </row>
    <row r="399" spans="14:14" ht="15" customHeight="1">
      <c r="N399" t="str">
        <f t="shared" si="6"/>
        <v/>
      </c>
    </row>
    <row r="400" spans="14:14" ht="15" customHeight="1">
      <c r="N400" t="str">
        <f t="shared" si="6"/>
        <v/>
      </c>
    </row>
    <row r="401" spans="14:14" ht="15" customHeight="1">
      <c r="N401" t="str">
        <f t="shared" si="6"/>
        <v/>
      </c>
    </row>
    <row r="402" spans="14:14" ht="15" customHeight="1">
      <c r="N402" t="str">
        <f t="shared" si="6"/>
        <v/>
      </c>
    </row>
    <row r="403" spans="14:14" ht="15" customHeight="1">
      <c r="N403" t="str">
        <f t="shared" si="6"/>
        <v/>
      </c>
    </row>
    <row r="404" spans="14:14" ht="15" customHeight="1">
      <c r="N404" t="str">
        <f t="shared" si="6"/>
        <v/>
      </c>
    </row>
    <row r="405" spans="14:14" ht="15" customHeight="1">
      <c r="N405" t="str">
        <f t="shared" si="6"/>
        <v/>
      </c>
    </row>
    <row r="406" spans="14:14" ht="15" customHeight="1">
      <c r="N406" t="str">
        <f t="shared" si="6"/>
        <v/>
      </c>
    </row>
    <row r="407" spans="14:14" ht="15" customHeight="1">
      <c r="N407" t="str">
        <f t="shared" si="6"/>
        <v/>
      </c>
    </row>
    <row r="408" spans="14:14" ht="15" customHeight="1">
      <c r="N408" t="str">
        <f t="shared" si="6"/>
        <v/>
      </c>
    </row>
    <row r="409" spans="14:14" ht="15" customHeight="1">
      <c r="N409" t="str">
        <f t="shared" si="6"/>
        <v/>
      </c>
    </row>
    <row r="410" spans="14:14" ht="15" customHeight="1">
      <c r="N410" t="str">
        <f t="shared" si="6"/>
        <v/>
      </c>
    </row>
    <row r="411" spans="14:14" ht="15" customHeight="1">
      <c r="N411" t="str">
        <f t="shared" si="6"/>
        <v/>
      </c>
    </row>
    <row r="412" spans="14:14" ht="15" customHeight="1">
      <c r="N412" t="str">
        <f t="shared" si="6"/>
        <v/>
      </c>
    </row>
    <row r="413" spans="14:14" ht="15" customHeight="1">
      <c r="N413" t="str">
        <f t="shared" si="6"/>
        <v/>
      </c>
    </row>
    <row r="414" spans="14:14" ht="15" customHeight="1">
      <c r="N414" t="str">
        <f t="shared" si="6"/>
        <v/>
      </c>
    </row>
    <row r="415" spans="14:14" ht="15" customHeight="1">
      <c r="N415" t="str">
        <f t="shared" si="6"/>
        <v/>
      </c>
    </row>
    <row r="416" spans="14:14" ht="15" customHeight="1">
      <c r="N416" t="str">
        <f t="shared" si="6"/>
        <v/>
      </c>
    </row>
    <row r="417" spans="14:14" ht="15" customHeight="1">
      <c r="N417" t="str">
        <f t="shared" si="6"/>
        <v/>
      </c>
    </row>
    <row r="418" spans="14:14" ht="15" customHeight="1">
      <c r="N418" t="str">
        <f t="shared" si="6"/>
        <v/>
      </c>
    </row>
    <row r="419" spans="14:14" ht="15" customHeight="1">
      <c r="N419" t="str">
        <f t="shared" si="6"/>
        <v/>
      </c>
    </row>
    <row r="420" spans="14:14" ht="15" customHeight="1">
      <c r="N420" t="str">
        <f t="shared" si="6"/>
        <v/>
      </c>
    </row>
    <row r="421" spans="14:14" ht="15" customHeight="1">
      <c r="N421" t="str">
        <f t="shared" si="6"/>
        <v/>
      </c>
    </row>
    <row r="422" spans="14:14" ht="15" customHeight="1">
      <c r="N422" t="str">
        <f t="shared" si="6"/>
        <v/>
      </c>
    </row>
    <row r="423" spans="14:14" ht="15" customHeight="1">
      <c r="N423" t="str">
        <f t="shared" si="6"/>
        <v/>
      </c>
    </row>
    <row r="424" spans="14:14" ht="15" customHeight="1">
      <c r="N424" t="str">
        <f t="shared" si="6"/>
        <v/>
      </c>
    </row>
    <row r="425" spans="14:14" ht="15" customHeight="1">
      <c r="N425" t="str">
        <f t="shared" si="6"/>
        <v/>
      </c>
    </row>
    <row r="426" spans="14:14" ht="15" customHeight="1">
      <c r="N426" t="str">
        <f t="shared" si="6"/>
        <v/>
      </c>
    </row>
    <row r="427" spans="14:14" ht="15" customHeight="1">
      <c r="N427" t="str">
        <f t="shared" si="6"/>
        <v/>
      </c>
    </row>
    <row r="428" spans="14:14" ht="15" customHeight="1">
      <c r="N428" t="str">
        <f t="shared" si="6"/>
        <v/>
      </c>
    </row>
    <row r="429" spans="14:14" ht="15" customHeight="1">
      <c r="N429" t="str">
        <f t="shared" si="6"/>
        <v/>
      </c>
    </row>
    <row r="430" spans="14:14" ht="15" customHeight="1">
      <c r="N430" t="str">
        <f t="shared" si="6"/>
        <v/>
      </c>
    </row>
    <row r="431" spans="14:14" ht="15" customHeight="1">
      <c r="N431" t="str">
        <f t="shared" si="6"/>
        <v/>
      </c>
    </row>
    <row r="432" spans="14:14" ht="15" customHeight="1">
      <c r="N432" t="str">
        <f t="shared" si="6"/>
        <v/>
      </c>
    </row>
    <row r="433" spans="14:14" ht="15" customHeight="1">
      <c r="N433" t="str">
        <f t="shared" si="6"/>
        <v/>
      </c>
    </row>
    <row r="434" spans="14:14" ht="15" customHeight="1">
      <c r="N434" t="str">
        <f t="shared" si="6"/>
        <v/>
      </c>
    </row>
    <row r="435" spans="14:14" ht="15" customHeight="1">
      <c r="N435" t="str">
        <f t="shared" si="6"/>
        <v/>
      </c>
    </row>
    <row r="436" spans="14:14" ht="15" customHeight="1">
      <c r="N436" t="str">
        <f t="shared" si="6"/>
        <v/>
      </c>
    </row>
    <row r="437" spans="14:14" ht="15" customHeight="1">
      <c r="N437" t="str">
        <f t="shared" si="6"/>
        <v/>
      </c>
    </row>
    <row r="438" spans="14:14" ht="15" customHeight="1">
      <c r="N438" t="str">
        <f t="shared" si="6"/>
        <v/>
      </c>
    </row>
    <row r="439" spans="14:14" ht="15" customHeight="1">
      <c r="N439" t="str">
        <f t="shared" si="6"/>
        <v/>
      </c>
    </row>
    <row r="440" spans="14:14" ht="15" customHeight="1">
      <c r="N440" t="str">
        <f t="shared" si="6"/>
        <v/>
      </c>
    </row>
    <row r="441" spans="14:14" ht="15" customHeight="1">
      <c r="N441" t="str">
        <f t="shared" si="6"/>
        <v/>
      </c>
    </row>
    <row r="442" spans="14:14" ht="15" customHeight="1">
      <c r="N442" t="str">
        <f t="shared" si="6"/>
        <v/>
      </c>
    </row>
    <row r="443" spans="14:14" ht="15" customHeight="1">
      <c r="N443" t="str">
        <f t="shared" si="6"/>
        <v/>
      </c>
    </row>
    <row r="444" spans="14:14" ht="15" customHeight="1">
      <c r="N444" t="str">
        <f t="shared" si="6"/>
        <v/>
      </c>
    </row>
    <row r="445" spans="14:14" ht="15" customHeight="1">
      <c r="N445" t="str">
        <f t="shared" si="6"/>
        <v/>
      </c>
    </row>
    <row r="446" spans="14:14" ht="15" customHeight="1">
      <c r="N446" t="str">
        <f t="shared" si="6"/>
        <v/>
      </c>
    </row>
    <row r="447" spans="14:14" ht="15" customHeight="1">
      <c r="N447" t="str">
        <f t="shared" si="6"/>
        <v/>
      </c>
    </row>
    <row r="448" spans="14:14" ht="15" customHeight="1">
      <c r="N448" t="str">
        <f t="shared" si="6"/>
        <v/>
      </c>
    </row>
    <row r="449" spans="14:14" ht="15" customHeight="1">
      <c r="N449" t="str">
        <f t="shared" si="6"/>
        <v/>
      </c>
    </row>
    <row r="450" spans="14:14" ht="15" customHeight="1">
      <c r="N450" t="str">
        <f t="shared" ref="N450:N513" si="7">IF(L450="","",IF(2026-E450&gt;0,L450/(2026-E450),L450))</f>
        <v/>
      </c>
    </row>
    <row r="451" spans="14:14" ht="15" customHeight="1">
      <c r="N451" t="str">
        <f t="shared" si="7"/>
        <v/>
      </c>
    </row>
    <row r="452" spans="14:14" ht="15" customHeight="1">
      <c r="N452" t="str">
        <f t="shared" si="7"/>
        <v/>
      </c>
    </row>
    <row r="453" spans="14:14" ht="15" customHeight="1">
      <c r="N453" t="str">
        <f t="shared" si="7"/>
        <v/>
      </c>
    </row>
    <row r="454" spans="14:14" ht="15" customHeight="1">
      <c r="N454" t="str">
        <f t="shared" si="7"/>
        <v/>
      </c>
    </row>
    <row r="455" spans="14:14" ht="15" customHeight="1">
      <c r="N455" t="str">
        <f t="shared" si="7"/>
        <v/>
      </c>
    </row>
    <row r="456" spans="14:14" ht="15" customHeight="1">
      <c r="N456" t="str">
        <f t="shared" si="7"/>
        <v/>
      </c>
    </row>
    <row r="457" spans="14:14" ht="15" customHeight="1">
      <c r="N457" t="str">
        <f t="shared" si="7"/>
        <v/>
      </c>
    </row>
    <row r="458" spans="14:14" ht="15" customHeight="1">
      <c r="N458" t="str">
        <f t="shared" si="7"/>
        <v/>
      </c>
    </row>
    <row r="459" spans="14:14" ht="15" customHeight="1">
      <c r="N459" t="str">
        <f t="shared" si="7"/>
        <v/>
      </c>
    </row>
    <row r="460" spans="14:14" ht="15" customHeight="1">
      <c r="N460" t="str">
        <f t="shared" si="7"/>
        <v/>
      </c>
    </row>
    <row r="461" spans="14:14" ht="15" customHeight="1">
      <c r="N461" t="str">
        <f t="shared" si="7"/>
        <v/>
      </c>
    </row>
    <row r="462" spans="14:14" ht="15" customHeight="1">
      <c r="N462" t="str">
        <f t="shared" si="7"/>
        <v/>
      </c>
    </row>
    <row r="463" spans="14:14" ht="15" customHeight="1">
      <c r="N463" t="str">
        <f t="shared" si="7"/>
        <v/>
      </c>
    </row>
    <row r="464" spans="14:14" ht="15" customHeight="1">
      <c r="N464" t="str">
        <f t="shared" si="7"/>
        <v/>
      </c>
    </row>
    <row r="465" spans="14:14" ht="15" customHeight="1">
      <c r="N465" t="str">
        <f t="shared" si="7"/>
        <v/>
      </c>
    </row>
    <row r="466" spans="14:14" ht="15" customHeight="1">
      <c r="N466" t="str">
        <f t="shared" si="7"/>
        <v/>
      </c>
    </row>
    <row r="467" spans="14:14" ht="15" customHeight="1">
      <c r="N467" t="str">
        <f t="shared" si="7"/>
        <v/>
      </c>
    </row>
    <row r="468" spans="14:14" ht="15" customHeight="1">
      <c r="N468" t="str">
        <f t="shared" si="7"/>
        <v/>
      </c>
    </row>
    <row r="469" spans="14:14" ht="15" customHeight="1">
      <c r="N469" t="str">
        <f t="shared" si="7"/>
        <v/>
      </c>
    </row>
    <row r="470" spans="14:14" ht="15" customHeight="1">
      <c r="N470" t="str">
        <f t="shared" si="7"/>
        <v/>
      </c>
    </row>
    <row r="471" spans="14:14" ht="15" customHeight="1">
      <c r="N471" t="str">
        <f t="shared" si="7"/>
        <v/>
      </c>
    </row>
    <row r="472" spans="14:14" ht="15" customHeight="1">
      <c r="N472" t="str">
        <f t="shared" si="7"/>
        <v/>
      </c>
    </row>
    <row r="473" spans="14:14" ht="15" customHeight="1">
      <c r="N473" t="str">
        <f t="shared" si="7"/>
        <v/>
      </c>
    </row>
    <row r="474" spans="14:14" ht="15" customHeight="1">
      <c r="N474" t="str">
        <f t="shared" si="7"/>
        <v/>
      </c>
    </row>
    <row r="475" spans="14:14" ht="15" customHeight="1">
      <c r="N475" t="str">
        <f t="shared" si="7"/>
        <v/>
      </c>
    </row>
    <row r="476" spans="14:14" ht="15" customHeight="1">
      <c r="N476" t="str">
        <f t="shared" si="7"/>
        <v/>
      </c>
    </row>
    <row r="477" spans="14:14" ht="15" customHeight="1">
      <c r="N477" t="str">
        <f t="shared" si="7"/>
        <v/>
      </c>
    </row>
    <row r="478" spans="14:14" ht="15" customHeight="1">
      <c r="N478" t="str">
        <f t="shared" si="7"/>
        <v/>
      </c>
    </row>
    <row r="479" spans="14:14" ht="15" customHeight="1">
      <c r="N479" t="str">
        <f t="shared" si="7"/>
        <v/>
      </c>
    </row>
    <row r="480" spans="14:14" ht="15" customHeight="1">
      <c r="N480" t="str">
        <f t="shared" si="7"/>
        <v/>
      </c>
    </row>
    <row r="481" spans="14:14" ht="15" customHeight="1">
      <c r="N481" t="str">
        <f t="shared" si="7"/>
        <v/>
      </c>
    </row>
    <row r="482" spans="14:14" ht="15" customHeight="1">
      <c r="N482" t="str">
        <f t="shared" si="7"/>
        <v/>
      </c>
    </row>
    <row r="483" spans="14:14" ht="15" customHeight="1">
      <c r="N483" t="str">
        <f t="shared" si="7"/>
        <v/>
      </c>
    </row>
    <row r="484" spans="14:14" ht="15" customHeight="1">
      <c r="N484" t="str">
        <f t="shared" si="7"/>
        <v/>
      </c>
    </row>
    <row r="485" spans="14:14" ht="15" customHeight="1">
      <c r="N485" t="str">
        <f t="shared" si="7"/>
        <v/>
      </c>
    </row>
    <row r="486" spans="14:14" ht="15" customHeight="1">
      <c r="N486" t="str">
        <f t="shared" si="7"/>
        <v/>
      </c>
    </row>
    <row r="487" spans="14:14" ht="15" customHeight="1">
      <c r="N487" t="str">
        <f t="shared" si="7"/>
        <v/>
      </c>
    </row>
    <row r="488" spans="14:14" ht="15" customHeight="1">
      <c r="N488" t="str">
        <f t="shared" si="7"/>
        <v/>
      </c>
    </row>
    <row r="489" spans="14:14" ht="15" customHeight="1">
      <c r="N489" t="str">
        <f t="shared" si="7"/>
        <v/>
      </c>
    </row>
    <row r="490" spans="14:14" ht="15" customHeight="1">
      <c r="N490" t="str">
        <f t="shared" si="7"/>
        <v/>
      </c>
    </row>
    <row r="491" spans="14:14" ht="15" customHeight="1">
      <c r="N491" t="str">
        <f t="shared" si="7"/>
        <v/>
      </c>
    </row>
    <row r="492" spans="14:14" ht="15" customHeight="1">
      <c r="N492" t="str">
        <f t="shared" si="7"/>
        <v/>
      </c>
    </row>
    <row r="493" spans="14:14" ht="15" customHeight="1">
      <c r="N493" t="str">
        <f t="shared" si="7"/>
        <v/>
      </c>
    </row>
    <row r="494" spans="14:14" ht="15" customHeight="1">
      <c r="N494" t="str">
        <f t="shared" si="7"/>
        <v/>
      </c>
    </row>
    <row r="495" spans="14:14" ht="15" customHeight="1">
      <c r="N495" t="str">
        <f t="shared" si="7"/>
        <v/>
      </c>
    </row>
    <row r="496" spans="14:14" ht="15" customHeight="1">
      <c r="N496" t="str">
        <f t="shared" si="7"/>
        <v/>
      </c>
    </row>
    <row r="497" spans="14:14" ht="15" customHeight="1">
      <c r="N497" t="str">
        <f t="shared" si="7"/>
        <v/>
      </c>
    </row>
    <row r="498" spans="14:14" ht="15" customHeight="1">
      <c r="N498" t="str">
        <f t="shared" si="7"/>
        <v/>
      </c>
    </row>
    <row r="499" spans="14:14" ht="15" customHeight="1">
      <c r="N499" t="str">
        <f t="shared" si="7"/>
        <v/>
      </c>
    </row>
    <row r="500" spans="14:14" ht="15" customHeight="1">
      <c r="N500" t="str">
        <f t="shared" si="7"/>
        <v/>
      </c>
    </row>
    <row r="501" spans="14:14" ht="15" customHeight="1">
      <c r="N501" t="str">
        <f t="shared" si="7"/>
        <v/>
      </c>
    </row>
    <row r="502" spans="14:14" ht="15" customHeight="1">
      <c r="N502" t="str">
        <f t="shared" si="7"/>
        <v/>
      </c>
    </row>
    <row r="503" spans="14:14" ht="15" customHeight="1">
      <c r="N503" t="str">
        <f t="shared" si="7"/>
        <v/>
      </c>
    </row>
    <row r="504" spans="14:14" ht="15" customHeight="1">
      <c r="N504" t="str">
        <f t="shared" si="7"/>
        <v/>
      </c>
    </row>
    <row r="505" spans="14:14" ht="15" customHeight="1">
      <c r="N505" t="str">
        <f t="shared" si="7"/>
        <v/>
      </c>
    </row>
    <row r="506" spans="14:14" ht="15" customHeight="1">
      <c r="N506" t="str">
        <f t="shared" si="7"/>
        <v/>
      </c>
    </row>
    <row r="507" spans="14:14" ht="15" customHeight="1">
      <c r="N507" t="str">
        <f t="shared" si="7"/>
        <v/>
      </c>
    </row>
    <row r="508" spans="14:14" ht="15" customHeight="1">
      <c r="N508" t="str">
        <f t="shared" si="7"/>
        <v/>
      </c>
    </row>
    <row r="509" spans="14:14" ht="15" customHeight="1">
      <c r="N509" t="str">
        <f t="shared" si="7"/>
        <v/>
      </c>
    </row>
    <row r="510" spans="14:14" ht="15" customHeight="1">
      <c r="N510" t="str">
        <f t="shared" si="7"/>
        <v/>
      </c>
    </row>
    <row r="511" spans="14:14" ht="15" customHeight="1">
      <c r="N511" t="str">
        <f t="shared" si="7"/>
        <v/>
      </c>
    </row>
    <row r="512" spans="14:14" ht="15" customHeight="1">
      <c r="N512" t="str">
        <f t="shared" si="7"/>
        <v/>
      </c>
    </row>
    <row r="513" spans="14:14" ht="15" customHeight="1">
      <c r="N513" t="str">
        <f t="shared" si="7"/>
        <v/>
      </c>
    </row>
    <row r="514" spans="14:14" ht="15" customHeight="1">
      <c r="N514" t="str">
        <f t="shared" ref="N514:N577" si="8">IF(L514="","",IF(2026-E514&gt;0,L514/(2026-E514),L514))</f>
        <v/>
      </c>
    </row>
    <row r="515" spans="14:14" ht="15" customHeight="1">
      <c r="N515" t="str">
        <f t="shared" si="8"/>
        <v/>
      </c>
    </row>
    <row r="516" spans="14:14" ht="15" customHeight="1">
      <c r="N516" t="str">
        <f t="shared" si="8"/>
        <v/>
      </c>
    </row>
    <row r="517" spans="14:14" ht="15" customHeight="1">
      <c r="N517" t="str">
        <f t="shared" si="8"/>
        <v/>
      </c>
    </row>
    <row r="518" spans="14:14" ht="15" customHeight="1">
      <c r="N518" t="str">
        <f t="shared" si="8"/>
        <v/>
      </c>
    </row>
    <row r="519" spans="14:14" ht="15" customHeight="1">
      <c r="N519" t="str">
        <f t="shared" si="8"/>
        <v/>
      </c>
    </row>
    <row r="520" spans="14:14" ht="15" customHeight="1">
      <c r="N520" t="str">
        <f t="shared" si="8"/>
        <v/>
      </c>
    </row>
    <row r="521" spans="14:14" ht="15" customHeight="1">
      <c r="N521" t="str">
        <f t="shared" si="8"/>
        <v/>
      </c>
    </row>
    <row r="522" spans="14:14" ht="15" customHeight="1">
      <c r="N522" t="str">
        <f t="shared" si="8"/>
        <v/>
      </c>
    </row>
    <row r="523" spans="14:14" ht="15" customHeight="1">
      <c r="N523" t="str">
        <f t="shared" si="8"/>
        <v/>
      </c>
    </row>
    <row r="524" spans="14:14" ht="15" customHeight="1">
      <c r="N524" t="str">
        <f t="shared" si="8"/>
        <v/>
      </c>
    </row>
    <row r="525" spans="14:14" ht="15" customHeight="1">
      <c r="N525" t="str">
        <f t="shared" si="8"/>
        <v/>
      </c>
    </row>
    <row r="526" spans="14:14" ht="15" customHeight="1">
      <c r="N526" t="str">
        <f t="shared" si="8"/>
        <v/>
      </c>
    </row>
    <row r="527" spans="14:14" ht="15" customHeight="1">
      <c r="N527" t="str">
        <f t="shared" si="8"/>
        <v/>
      </c>
    </row>
    <row r="528" spans="14:14" ht="15" customHeight="1">
      <c r="N528" t="str">
        <f t="shared" si="8"/>
        <v/>
      </c>
    </row>
    <row r="529" spans="14:14" ht="15" customHeight="1">
      <c r="N529" t="str">
        <f t="shared" si="8"/>
        <v/>
      </c>
    </row>
    <row r="530" spans="14:14" ht="15" customHeight="1">
      <c r="N530" t="str">
        <f t="shared" si="8"/>
        <v/>
      </c>
    </row>
    <row r="531" spans="14:14" ht="15" customHeight="1">
      <c r="N531" t="str">
        <f t="shared" si="8"/>
        <v/>
      </c>
    </row>
    <row r="532" spans="14:14" ht="15" customHeight="1">
      <c r="N532" t="str">
        <f t="shared" si="8"/>
        <v/>
      </c>
    </row>
    <row r="533" spans="14:14" ht="15" customHeight="1">
      <c r="N533" t="str">
        <f t="shared" si="8"/>
        <v/>
      </c>
    </row>
    <row r="534" spans="14:14" ht="15" customHeight="1">
      <c r="N534" t="str">
        <f t="shared" si="8"/>
        <v/>
      </c>
    </row>
    <row r="535" spans="14:14" ht="15" customHeight="1">
      <c r="N535" t="str">
        <f t="shared" si="8"/>
        <v/>
      </c>
    </row>
    <row r="536" spans="14:14" ht="15" customHeight="1">
      <c r="N536" t="str">
        <f t="shared" si="8"/>
        <v/>
      </c>
    </row>
    <row r="537" spans="14:14" ht="15" customHeight="1">
      <c r="N537" t="str">
        <f t="shared" si="8"/>
        <v/>
      </c>
    </row>
    <row r="538" spans="14:14" ht="15" customHeight="1">
      <c r="N538" t="str">
        <f t="shared" si="8"/>
        <v/>
      </c>
    </row>
    <row r="539" spans="14:14" ht="15" customHeight="1">
      <c r="N539" t="str">
        <f t="shared" si="8"/>
        <v/>
      </c>
    </row>
    <row r="540" spans="14:14" ht="15" customHeight="1">
      <c r="N540" t="str">
        <f t="shared" si="8"/>
        <v/>
      </c>
    </row>
    <row r="541" spans="14:14" ht="15" customHeight="1">
      <c r="N541" t="str">
        <f t="shared" si="8"/>
        <v/>
      </c>
    </row>
    <row r="542" spans="14:14" ht="15" customHeight="1">
      <c r="N542" t="str">
        <f t="shared" si="8"/>
        <v/>
      </c>
    </row>
    <row r="543" spans="14:14" ht="15" customHeight="1">
      <c r="N543" t="str">
        <f t="shared" si="8"/>
        <v/>
      </c>
    </row>
    <row r="544" spans="14:14" ht="15" customHeight="1">
      <c r="N544" t="str">
        <f t="shared" si="8"/>
        <v/>
      </c>
    </row>
    <row r="545" spans="14:14" ht="15" customHeight="1">
      <c r="N545" t="str">
        <f t="shared" si="8"/>
        <v/>
      </c>
    </row>
    <row r="546" spans="14:14" ht="15" customHeight="1">
      <c r="N546" t="str">
        <f t="shared" si="8"/>
        <v/>
      </c>
    </row>
    <row r="547" spans="14:14" ht="15" customHeight="1">
      <c r="N547" t="str">
        <f t="shared" si="8"/>
        <v/>
      </c>
    </row>
    <row r="548" spans="14:14" ht="15" customHeight="1">
      <c r="N548" t="str">
        <f t="shared" si="8"/>
        <v/>
      </c>
    </row>
    <row r="549" spans="14:14" ht="15" customHeight="1">
      <c r="N549" t="str">
        <f t="shared" si="8"/>
        <v/>
      </c>
    </row>
    <row r="550" spans="14:14" ht="15" customHeight="1">
      <c r="N550" t="str">
        <f t="shared" si="8"/>
        <v/>
      </c>
    </row>
    <row r="551" spans="14:14" ht="15" customHeight="1">
      <c r="N551" t="str">
        <f t="shared" si="8"/>
        <v/>
      </c>
    </row>
    <row r="552" spans="14:14" ht="15" customHeight="1">
      <c r="N552" t="str">
        <f t="shared" si="8"/>
        <v/>
      </c>
    </row>
    <row r="553" spans="14:14" ht="15" customHeight="1">
      <c r="N553" t="str">
        <f t="shared" si="8"/>
        <v/>
      </c>
    </row>
    <row r="554" spans="14:14" ht="15" customHeight="1">
      <c r="N554" t="str">
        <f t="shared" si="8"/>
        <v/>
      </c>
    </row>
    <row r="555" spans="14:14" ht="15" customHeight="1">
      <c r="N555" t="str">
        <f t="shared" si="8"/>
        <v/>
      </c>
    </row>
    <row r="556" spans="14:14" ht="15" customHeight="1">
      <c r="N556" t="str">
        <f t="shared" si="8"/>
        <v/>
      </c>
    </row>
    <row r="557" spans="14:14" ht="15" customHeight="1">
      <c r="N557" t="str">
        <f t="shared" si="8"/>
        <v/>
      </c>
    </row>
    <row r="558" spans="14:14" ht="15" customHeight="1">
      <c r="N558" t="str">
        <f t="shared" si="8"/>
        <v/>
      </c>
    </row>
    <row r="559" spans="14:14" ht="15" customHeight="1">
      <c r="N559" t="str">
        <f t="shared" si="8"/>
        <v/>
      </c>
    </row>
    <row r="560" spans="14:14" ht="15" customHeight="1">
      <c r="N560" t="str">
        <f t="shared" si="8"/>
        <v/>
      </c>
    </row>
    <row r="561" spans="14:14" ht="15" customHeight="1">
      <c r="N561" t="str">
        <f t="shared" si="8"/>
        <v/>
      </c>
    </row>
    <row r="562" spans="14:14" ht="15" customHeight="1">
      <c r="N562" t="str">
        <f t="shared" si="8"/>
        <v/>
      </c>
    </row>
    <row r="563" spans="14:14" ht="15" customHeight="1">
      <c r="N563" t="str">
        <f t="shared" si="8"/>
        <v/>
      </c>
    </row>
    <row r="564" spans="14:14" ht="15" customHeight="1">
      <c r="N564" t="str">
        <f t="shared" si="8"/>
        <v/>
      </c>
    </row>
    <row r="565" spans="14:14" ht="15" customHeight="1">
      <c r="N565" t="str">
        <f t="shared" si="8"/>
        <v/>
      </c>
    </row>
    <row r="566" spans="14:14" ht="15" customHeight="1">
      <c r="N566" t="str">
        <f t="shared" si="8"/>
        <v/>
      </c>
    </row>
    <row r="567" spans="14:14" ht="15" customHeight="1">
      <c r="N567" t="str">
        <f t="shared" si="8"/>
        <v/>
      </c>
    </row>
    <row r="568" spans="14:14" ht="15" customHeight="1">
      <c r="N568" t="str">
        <f t="shared" si="8"/>
        <v/>
      </c>
    </row>
    <row r="569" spans="14:14" ht="15" customHeight="1">
      <c r="N569" t="str">
        <f t="shared" si="8"/>
        <v/>
      </c>
    </row>
    <row r="570" spans="14:14" ht="15" customHeight="1">
      <c r="N570" t="str">
        <f t="shared" si="8"/>
        <v/>
      </c>
    </row>
    <row r="571" spans="14:14" ht="15" customHeight="1">
      <c r="N571" t="str">
        <f t="shared" si="8"/>
        <v/>
      </c>
    </row>
    <row r="572" spans="14:14" ht="15" customHeight="1">
      <c r="N572" t="str">
        <f t="shared" si="8"/>
        <v/>
      </c>
    </row>
    <row r="573" spans="14:14" ht="15" customHeight="1">
      <c r="N573" t="str">
        <f t="shared" si="8"/>
        <v/>
      </c>
    </row>
    <row r="574" spans="14:14" ht="15" customHeight="1">
      <c r="N574" t="str">
        <f t="shared" si="8"/>
        <v/>
      </c>
    </row>
    <row r="575" spans="14:14" ht="15" customHeight="1">
      <c r="N575" t="str">
        <f t="shared" si="8"/>
        <v/>
      </c>
    </row>
    <row r="576" spans="14:14" ht="15" customHeight="1">
      <c r="N576" t="str">
        <f t="shared" si="8"/>
        <v/>
      </c>
    </row>
    <row r="577" spans="14:14" ht="15" customHeight="1">
      <c r="N577" t="str">
        <f t="shared" si="8"/>
        <v/>
      </c>
    </row>
    <row r="578" spans="14:14" ht="15" customHeight="1">
      <c r="N578" t="str">
        <f t="shared" ref="N578:N641" si="9">IF(L578="","",IF(2026-E578&gt;0,L578/(2026-E578),L578))</f>
        <v/>
      </c>
    </row>
    <row r="579" spans="14:14" ht="15" customHeight="1">
      <c r="N579" t="str">
        <f t="shared" si="9"/>
        <v/>
      </c>
    </row>
    <row r="580" spans="14:14" ht="15" customHeight="1">
      <c r="N580" t="str">
        <f t="shared" si="9"/>
        <v/>
      </c>
    </row>
    <row r="581" spans="14:14" ht="15" customHeight="1">
      <c r="N581" t="str">
        <f t="shared" si="9"/>
        <v/>
      </c>
    </row>
    <row r="582" spans="14:14" ht="15" customHeight="1">
      <c r="N582" t="str">
        <f t="shared" si="9"/>
        <v/>
      </c>
    </row>
    <row r="583" spans="14:14" ht="15" customHeight="1">
      <c r="N583" t="str">
        <f t="shared" si="9"/>
        <v/>
      </c>
    </row>
    <row r="584" spans="14:14" ht="15" customHeight="1">
      <c r="N584" t="str">
        <f t="shared" si="9"/>
        <v/>
      </c>
    </row>
    <row r="585" spans="14:14" ht="15" customHeight="1">
      <c r="N585" t="str">
        <f t="shared" si="9"/>
        <v/>
      </c>
    </row>
    <row r="586" spans="14:14" ht="15" customHeight="1">
      <c r="N586" t="str">
        <f t="shared" si="9"/>
        <v/>
      </c>
    </row>
    <row r="587" spans="14:14" ht="15" customHeight="1">
      <c r="N587" t="str">
        <f t="shared" si="9"/>
        <v/>
      </c>
    </row>
    <row r="588" spans="14:14" ht="15" customHeight="1">
      <c r="N588" t="str">
        <f t="shared" si="9"/>
        <v/>
      </c>
    </row>
    <row r="589" spans="14:14" ht="15" customHeight="1">
      <c r="N589" t="str">
        <f t="shared" si="9"/>
        <v/>
      </c>
    </row>
    <row r="590" spans="14:14" ht="15" customHeight="1">
      <c r="N590" t="str">
        <f t="shared" si="9"/>
        <v/>
      </c>
    </row>
    <row r="591" spans="14:14" ht="15" customHeight="1">
      <c r="N591" t="str">
        <f t="shared" si="9"/>
        <v/>
      </c>
    </row>
    <row r="592" spans="14:14" ht="15" customHeight="1">
      <c r="N592" t="str">
        <f t="shared" si="9"/>
        <v/>
      </c>
    </row>
    <row r="593" spans="14:14" ht="15" customHeight="1">
      <c r="N593" t="str">
        <f t="shared" si="9"/>
        <v/>
      </c>
    </row>
    <row r="594" spans="14:14" ht="15" customHeight="1">
      <c r="N594" t="str">
        <f t="shared" si="9"/>
        <v/>
      </c>
    </row>
    <row r="595" spans="14:14" ht="15" customHeight="1">
      <c r="N595" t="str">
        <f t="shared" si="9"/>
        <v/>
      </c>
    </row>
    <row r="596" spans="14:14" ht="15" customHeight="1">
      <c r="N596" t="str">
        <f t="shared" si="9"/>
        <v/>
      </c>
    </row>
    <row r="597" spans="14:14" ht="15" customHeight="1">
      <c r="N597" t="str">
        <f t="shared" si="9"/>
        <v/>
      </c>
    </row>
    <row r="598" spans="14:14" ht="15" customHeight="1">
      <c r="N598" t="str">
        <f t="shared" si="9"/>
        <v/>
      </c>
    </row>
    <row r="599" spans="14:14" ht="15" customHeight="1">
      <c r="N599" t="str">
        <f t="shared" si="9"/>
        <v/>
      </c>
    </row>
    <row r="600" spans="14:14" ht="15" customHeight="1">
      <c r="N600" t="str">
        <f t="shared" si="9"/>
        <v/>
      </c>
    </row>
    <row r="601" spans="14:14" ht="15" customHeight="1">
      <c r="N601" t="str">
        <f t="shared" si="9"/>
        <v/>
      </c>
    </row>
    <row r="602" spans="14:14" ht="15" customHeight="1">
      <c r="N602" t="str">
        <f t="shared" si="9"/>
        <v/>
      </c>
    </row>
    <row r="603" spans="14:14" ht="15" customHeight="1">
      <c r="N603" t="str">
        <f t="shared" si="9"/>
        <v/>
      </c>
    </row>
    <row r="604" spans="14:14" ht="15" customHeight="1">
      <c r="N604" t="str">
        <f t="shared" si="9"/>
        <v/>
      </c>
    </row>
    <row r="605" spans="14:14" ht="15" customHeight="1">
      <c r="N605" t="str">
        <f t="shared" si="9"/>
        <v/>
      </c>
    </row>
    <row r="606" spans="14:14" ht="15" customHeight="1">
      <c r="N606" t="str">
        <f t="shared" si="9"/>
        <v/>
      </c>
    </row>
    <row r="607" spans="14:14" ht="15" customHeight="1">
      <c r="N607" t="str">
        <f t="shared" si="9"/>
        <v/>
      </c>
    </row>
    <row r="608" spans="14:14" ht="15" customHeight="1">
      <c r="N608" t="str">
        <f t="shared" si="9"/>
        <v/>
      </c>
    </row>
    <row r="609" spans="14:14" ht="15" customHeight="1">
      <c r="N609" t="str">
        <f t="shared" si="9"/>
        <v/>
      </c>
    </row>
    <row r="610" spans="14:14" ht="15" customHeight="1">
      <c r="N610" t="str">
        <f t="shared" si="9"/>
        <v/>
      </c>
    </row>
    <row r="611" spans="14:14" ht="15" customHeight="1">
      <c r="N611" t="str">
        <f t="shared" si="9"/>
        <v/>
      </c>
    </row>
    <row r="612" spans="14:14" ht="15" customHeight="1">
      <c r="N612" t="str">
        <f t="shared" si="9"/>
        <v/>
      </c>
    </row>
    <row r="613" spans="14:14" ht="15" customHeight="1">
      <c r="N613" t="str">
        <f t="shared" si="9"/>
        <v/>
      </c>
    </row>
    <row r="614" spans="14:14" ht="15" customHeight="1">
      <c r="N614" t="str">
        <f t="shared" si="9"/>
        <v/>
      </c>
    </row>
    <row r="615" spans="14:14" ht="15" customHeight="1">
      <c r="N615" t="str">
        <f t="shared" si="9"/>
        <v/>
      </c>
    </row>
    <row r="616" spans="14:14" ht="15" customHeight="1">
      <c r="N616" t="str">
        <f t="shared" si="9"/>
        <v/>
      </c>
    </row>
    <row r="617" spans="14:14" ht="15" customHeight="1">
      <c r="N617" t="str">
        <f t="shared" si="9"/>
        <v/>
      </c>
    </row>
    <row r="618" spans="14:14" ht="15" customHeight="1">
      <c r="N618" t="str">
        <f t="shared" si="9"/>
        <v/>
      </c>
    </row>
    <row r="619" spans="14:14" ht="15" customHeight="1">
      <c r="N619" t="str">
        <f t="shared" si="9"/>
        <v/>
      </c>
    </row>
    <row r="620" spans="14:14" ht="15" customHeight="1">
      <c r="N620" t="str">
        <f t="shared" si="9"/>
        <v/>
      </c>
    </row>
    <row r="621" spans="14:14" ht="15" customHeight="1">
      <c r="N621" t="str">
        <f t="shared" si="9"/>
        <v/>
      </c>
    </row>
    <row r="622" spans="14:14" ht="15" customHeight="1">
      <c r="N622" t="str">
        <f t="shared" si="9"/>
        <v/>
      </c>
    </row>
    <row r="623" spans="14:14" ht="15" customHeight="1">
      <c r="N623" t="str">
        <f t="shared" si="9"/>
        <v/>
      </c>
    </row>
    <row r="624" spans="14:14" ht="15" customHeight="1">
      <c r="N624" t="str">
        <f t="shared" si="9"/>
        <v/>
      </c>
    </row>
    <row r="625" spans="14:14" ht="15" customHeight="1">
      <c r="N625" t="str">
        <f t="shared" si="9"/>
        <v/>
      </c>
    </row>
    <row r="626" spans="14:14" ht="15" customHeight="1">
      <c r="N626" t="str">
        <f t="shared" si="9"/>
        <v/>
      </c>
    </row>
    <row r="627" spans="14:14" ht="15" customHeight="1">
      <c r="N627" t="str">
        <f t="shared" si="9"/>
        <v/>
      </c>
    </row>
    <row r="628" spans="14:14" ht="15" customHeight="1">
      <c r="N628" t="str">
        <f t="shared" si="9"/>
        <v/>
      </c>
    </row>
    <row r="629" spans="14:14" ht="15" customHeight="1">
      <c r="N629" t="str">
        <f t="shared" si="9"/>
        <v/>
      </c>
    </row>
    <row r="630" spans="14:14" ht="15" customHeight="1">
      <c r="N630" t="str">
        <f t="shared" si="9"/>
        <v/>
      </c>
    </row>
    <row r="631" spans="14:14" ht="15" customHeight="1">
      <c r="N631" t="str">
        <f t="shared" si="9"/>
        <v/>
      </c>
    </row>
    <row r="632" spans="14:14" ht="15" customHeight="1">
      <c r="N632" t="str">
        <f t="shared" si="9"/>
        <v/>
      </c>
    </row>
    <row r="633" spans="14:14" ht="15" customHeight="1">
      <c r="N633" t="str">
        <f t="shared" si="9"/>
        <v/>
      </c>
    </row>
    <row r="634" spans="14:14" ht="15" customHeight="1">
      <c r="N634" t="str">
        <f t="shared" si="9"/>
        <v/>
      </c>
    </row>
    <row r="635" spans="14:14" ht="15" customHeight="1">
      <c r="N635" t="str">
        <f t="shared" si="9"/>
        <v/>
      </c>
    </row>
    <row r="636" spans="14:14" ht="15" customHeight="1">
      <c r="N636" t="str">
        <f t="shared" si="9"/>
        <v/>
      </c>
    </row>
    <row r="637" spans="14:14" ht="15" customHeight="1">
      <c r="N637" t="str">
        <f t="shared" si="9"/>
        <v/>
      </c>
    </row>
    <row r="638" spans="14:14" ht="15" customHeight="1">
      <c r="N638" t="str">
        <f t="shared" si="9"/>
        <v/>
      </c>
    </row>
    <row r="639" spans="14:14" ht="15" customHeight="1">
      <c r="N639" t="str">
        <f t="shared" si="9"/>
        <v/>
      </c>
    </row>
    <row r="640" spans="14:14" ht="15" customHeight="1">
      <c r="N640" t="str">
        <f t="shared" si="9"/>
        <v/>
      </c>
    </row>
    <row r="641" spans="14:14" ht="15" customHeight="1">
      <c r="N641" t="str">
        <f t="shared" si="9"/>
        <v/>
      </c>
    </row>
    <row r="642" spans="14:14" ht="15" customHeight="1">
      <c r="N642" t="str">
        <f t="shared" ref="N642:N705" si="10">IF(L642="","",IF(2026-E642&gt;0,L642/(2026-E642),L642))</f>
        <v/>
      </c>
    </row>
    <row r="643" spans="14:14" ht="15" customHeight="1">
      <c r="N643" t="str">
        <f t="shared" si="10"/>
        <v/>
      </c>
    </row>
    <row r="644" spans="14:14" ht="15" customHeight="1">
      <c r="N644" t="str">
        <f t="shared" si="10"/>
        <v/>
      </c>
    </row>
    <row r="645" spans="14:14" ht="15" customHeight="1">
      <c r="N645" t="str">
        <f t="shared" si="10"/>
        <v/>
      </c>
    </row>
    <row r="646" spans="14:14" ht="15" customHeight="1">
      <c r="N646" t="str">
        <f t="shared" si="10"/>
        <v/>
      </c>
    </row>
    <row r="647" spans="14:14" ht="15" customHeight="1">
      <c r="N647" t="str">
        <f t="shared" si="10"/>
        <v/>
      </c>
    </row>
    <row r="648" spans="14:14" ht="15" customHeight="1">
      <c r="N648" t="str">
        <f t="shared" si="10"/>
        <v/>
      </c>
    </row>
    <row r="649" spans="14:14" ht="15" customHeight="1">
      <c r="N649" t="str">
        <f t="shared" si="10"/>
        <v/>
      </c>
    </row>
    <row r="650" spans="14:14" ht="15" customHeight="1">
      <c r="N650" t="str">
        <f t="shared" si="10"/>
        <v/>
      </c>
    </row>
    <row r="651" spans="14:14" ht="15" customHeight="1">
      <c r="N651" t="str">
        <f t="shared" si="10"/>
        <v/>
      </c>
    </row>
    <row r="652" spans="14:14" ht="15" customHeight="1">
      <c r="N652" t="str">
        <f t="shared" si="10"/>
        <v/>
      </c>
    </row>
    <row r="653" spans="14:14" ht="15" customHeight="1">
      <c r="N653" t="str">
        <f t="shared" si="10"/>
        <v/>
      </c>
    </row>
    <row r="654" spans="14:14" ht="15" customHeight="1">
      <c r="N654" t="str">
        <f t="shared" si="10"/>
        <v/>
      </c>
    </row>
    <row r="655" spans="14:14" ht="15" customHeight="1">
      <c r="N655" t="str">
        <f t="shared" si="10"/>
        <v/>
      </c>
    </row>
    <row r="656" spans="14:14" ht="15" customHeight="1">
      <c r="N656" t="str">
        <f t="shared" si="10"/>
        <v/>
      </c>
    </row>
    <row r="657" spans="14:14" ht="15" customHeight="1">
      <c r="N657" t="str">
        <f t="shared" si="10"/>
        <v/>
      </c>
    </row>
    <row r="658" spans="14:14" ht="15" customHeight="1">
      <c r="N658" t="str">
        <f t="shared" si="10"/>
        <v/>
      </c>
    </row>
    <row r="659" spans="14:14" ht="15" customHeight="1">
      <c r="N659" t="str">
        <f t="shared" si="10"/>
        <v/>
      </c>
    </row>
    <row r="660" spans="14:14" ht="15" customHeight="1">
      <c r="N660" t="str">
        <f t="shared" si="10"/>
        <v/>
      </c>
    </row>
    <row r="661" spans="14:14" ht="15" customHeight="1">
      <c r="N661" t="str">
        <f t="shared" si="10"/>
        <v/>
      </c>
    </row>
    <row r="662" spans="14:14" ht="15" customHeight="1">
      <c r="N662" t="str">
        <f t="shared" si="10"/>
        <v/>
      </c>
    </row>
    <row r="663" spans="14:14" ht="15" customHeight="1">
      <c r="N663" t="str">
        <f t="shared" si="10"/>
        <v/>
      </c>
    </row>
    <row r="664" spans="14:14" ht="15" customHeight="1">
      <c r="N664" t="str">
        <f t="shared" si="10"/>
        <v/>
      </c>
    </row>
    <row r="665" spans="14:14" ht="15" customHeight="1">
      <c r="N665" t="str">
        <f t="shared" si="10"/>
        <v/>
      </c>
    </row>
    <row r="666" spans="14:14" ht="15" customHeight="1">
      <c r="N666" t="str">
        <f t="shared" si="10"/>
        <v/>
      </c>
    </row>
    <row r="667" spans="14:14" ht="15" customHeight="1">
      <c r="N667" t="str">
        <f t="shared" si="10"/>
        <v/>
      </c>
    </row>
    <row r="668" spans="14:14" ht="15" customHeight="1">
      <c r="N668" t="str">
        <f t="shared" si="10"/>
        <v/>
      </c>
    </row>
    <row r="669" spans="14:14" ht="15" customHeight="1">
      <c r="N669" t="str">
        <f t="shared" si="10"/>
        <v/>
      </c>
    </row>
    <row r="670" spans="14:14" ht="15" customHeight="1">
      <c r="N670" t="str">
        <f t="shared" si="10"/>
        <v/>
      </c>
    </row>
    <row r="671" spans="14:14" ht="15" customHeight="1">
      <c r="N671" t="str">
        <f t="shared" si="10"/>
        <v/>
      </c>
    </row>
    <row r="672" spans="14:14" ht="15" customHeight="1">
      <c r="N672" t="str">
        <f t="shared" si="10"/>
        <v/>
      </c>
    </row>
    <row r="673" spans="14:14" ht="15" customHeight="1">
      <c r="N673" t="str">
        <f t="shared" si="10"/>
        <v/>
      </c>
    </row>
    <row r="674" spans="14:14" ht="15" customHeight="1">
      <c r="N674" t="str">
        <f t="shared" si="10"/>
        <v/>
      </c>
    </row>
    <row r="675" spans="14:14" ht="15" customHeight="1">
      <c r="N675" t="str">
        <f t="shared" si="10"/>
        <v/>
      </c>
    </row>
    <row r="676" spans="14:14" ht="15" customHeight="1">
      <c r="N676" t="str">
        <f t="shared" si="10"/>
        <v/>
      </c>
    </row>
    <row r="677" spans="14:14" ht="15" customHeight="1">
      <c r="N677" t="str">
        <f t="shared" si="10"/>
        <v/>
      </c>
    </row>
    <row r="678" spans="14:14" ht="15" customHeight="1">
      <c r="N678" t="str">
        <f t="shared" si="10"/>
        <v/>
      </c>
    </row>
    <row r="679" spans="14:14" ht="15" customHeight="1">
      <c r="N679" t="str">
        <f t="shared" si="10"/>
        <v/>
      </c>
    </row>
    <row r="680" spans="14:14" ht="15" customHeight="1">
      <c r="N680" t="str">
        <f t="shared" si="10"/>
        <v/>
      </c>
    </row>
    <row r="681" spans="14:14" ht="15" customHeight="1">
      <c r="N681" t="str">
        <f t="shared" si="10"/>
        <v/>
      </c>
    </row>
    <row r="682" spans="14:14" ht="15" customHeight="1">
      <c r="N682" t="str">
        <f t="shared" si="10"/>
        <v/>
      </c>
    </row>
    <row r="683" spans="14:14" ht="15" customHeight="1">
      <c r="N683" t="str">
        <f t="shared" si="10"/>
        <v/>
      </c>
    </row>
    <row r="684" spans="14:14" ht="15" customHeight="1">
      <c r="N684" t="str">
        <f t="shared" si="10"/>
        <v/>
      </c>
    </row>
    <row r="685" spans="14:14" ht="15" customHeight="1">
      <c r="N685" t="str">
        <f t="shared" si="10"/>
        <v/>
      </c>
    </row>
    <row r="686" spans="14:14" ht="15" customHeight="1">
      <c r="N686" t="str">
        <f t="shared" si="10"/>
        <v/>
      </c>
    </row>
    <row r="687" spans="14:14" ht="15" customHeight="1">
      <c r="N687" t="str">
        <f t="shared" si="10"/>
        <v/>
      </c>
    </row>
    <row r="688" spans="14:14" ht="15" customHeight="1">
      <c r="N688" t="str">
        <f t="shared" si="10"/>
        <v/>
      </c>
    </row>
    <row r="689" spans="14:14" ht="15" customHeight="1">
      <c r="N689" t="str">
        <f t="shared" si="10"/>
        <v/>
      </c>
    </row>
    <row r="690" spans="14:14" ht="15" customHeight="1">
      <c r="N690" t="str">
        <f t="shared" si="10"/>
        <v/>
      </c>
    </row>
    <row r="691" spans="14:14" ht="15" customHeight="1">
      <c r="N691" t="str">
        <f t="shared" si="10"/>
        <v/>
      </c>
    </row>
    <row r="692" spans="14:14" ht="15" customHeight="1">
      <c r="N692" t="str">
        <f t="shared" si="10"/>
        <v/>
      </c>
    </row>
    <row r="693" spans="14:14" ht="15" customHeight="1">
      <c r="N693" t="str">
        <f t="shared" si="10"/>
        <v/>
      </c>
    </row>
    <row r="694" spans="14:14" ht="15" customHeight="1">
      <c r="N694" t="str">
        <f t="shared" si="10"/>
        <v/>
      </c>
    </row>
    <row r="695" spans="14:14" ht="15" customHeight="1">
      <c r="N695" t="str">
        <f t="shared" si="10"/>
        <v/>
      </c>
    </row>
    <row r="696" spans="14:14" ht="15" customHeight="1">
      <c r="N696" t="str">
        <f t="shared" si="10"/>
        <v/>
      </c>
    </row>
    <row r="697" spans="14:14" ht="15" customHeight="1">
      <c r="N697" t="str">
        <f t="shared" si="10"/>
        <v/>
      </c>
    </row>
    <row r="698" spans="14:14" ht="15" customHeight="1">
      <c r="N698" t="str">
        <f t="shared" si="10"/>
        <v/>
      </c>
    </row>
    <row r="699" spans="14:14" ht="15" customHeight="1">
      <c r="N699" t="str">
        <f t="shared" si="10"/>
        <v/>
      </c>
    </row>
    <row r="700" spans="14:14" ht="15" customHeight="1">
      <c r="N700" t="str">
        <f t="shared" si="10"/>
        <v/>
      </c>
    </row>
    <row r="701" spans="14:14" ht="15" customHeight="1">
      <c r="N701" t="str">
        <f t="shared" si="10"/>
        <v/>
      </c>
    </row>
    <row r="702" spans="14:14" ht="15" customHeight="1">
      <c r="N702" t="str">
        <f t="shared" si="10"/>
        <v/>
      </c>
    </row>
    <row r="703" spans="14:14" ht="15" customHeight="1">
      <c r="N703" t="str">
        <f t="shared" si="10"/>
        <v/>
      </c>
    </row>
    <row r="704" spans="14:14" ht="15" customHeight="1">
      <c r="N704" t="str">
        <f t="shared" si="10"/>
        <v/>
      </c>
    </row>
    <row r="705" spans="14:14" ht="15" customHeight="1">
      <c r="N705" t="str">
        <f t="shared" si="10"/>
        <v/>
      </c>
    </row>
    <row r="706" spans="14:14" ht="15" customHeight="1">
      <c r="N706" t="str">
        <f t="shared" ref="N706:N769" si="11">IF(L706="","",IF(2026-E706&gt;0,L706/(2026-E706),L706))</f>
        <v/>
      </c>
    </row>
    <row r="707" spans="14:14" ht="15" customHeight="1">
      <c r="N707" t="str">
        <f t="shared" si="11"/>
        <v/>
      </c>
    </row>
    <row r="708" spans="14:14" ht="15" customHeight="1">
      <c r="N708" t="str">
        <f t="shared" si="11"/>
        <v/>
      </c>
    </row>
    <row r="709" spans="14:14" ht="15" customHeight="1">
      <c r="N709" t="str">
        <f t="shared" si="11"/>
        <v/>
      </c>
    </row>
    <row r="710" spans="14:14" ht="15" customHeight="1">
      <c r="N710" t="str">
        <f t="shared" si="11"/>
        <v/>
      </c>
    </row>
    <row r="711" spans="14:14" ht="15" customHeight="1">
      <c r="N711" t="str">
        <f t="shared" si="11"/>
        <v/>
      </c>
    </row>
    <row r="712" spans="14:14" ht="15" customHeight="1">
      <c r="N712" t="str">
        <f t="shared" si="11"/>
        <v/>
      </c>
    </row>
    <row r="713" spans="14:14" ht="15" customHeight="1">
      <c r="N713" t="str">
        <f t="shared" si="11"/>
        <v/>
      </c>
    </row>
    <row r="714" spans="14:14" ht="15" customHeight="1">
      <c r="N714" t="str">
        <f t="shared" si="11"/>
        <v/>
      </c>
    </row>
    <row r="715" spans="14:14" ht="15" customHeight="1">
      <c r="N715" t="str">
        <f t="shared" si="11"/>
        <v/>
      </c>
    </row>
    <row r="716" spans="14:14" ht="15" customHeight="1">
      <c r="N716" t="str">
        <f t="shared" si="11"/>
        <v/>
      </c>
    </row>
    <row r="717" spans="14:14" ht="15" customHeight="1">
      <c r="N717" t="str">
        <f t="shared" si="11"/>
        <v/>
      </c>
    </row>
    <row r="718" spans="14:14" ht="15" customHeight="1">
      <c r="N718" t="str">
        <f t="shared" si="11"/>
        <v/>
      </c>
    </row>
    <row r="719" spans="14:14" ht="15" customHeight="1">
      <c r="N719" t="str">
        <f t="shared" si="11"/>
        <v/>
      </c>
    </row>
    <row r="720" spans="14:14" ht="15" customHeight="1">
      <c r="N720" t="str">
        <f t="shared" si="11"/>
        <v/>
      </c>
    </row>
    <row r="721" spans="14:14" ht="15" customHeight="1">
      <c r="N721" t="str">
        <f t="shared" si="11"/>
        <v/>
      </c>
    </row>
    <row r="722" spans="14:14" ht="15" customHeight="1">
      <c r="N722" t="str">
        <f t="shared" si="11"/>
        <v/>
      </c>
    </row>
    <row r="723" spans="14:14" ht="15" customHeight="1">
      <c r="N723" t="str">
        <f t="shared" si="11"/>
        <v/>
      </c>
    </row>
    <row r="724" spans="14:14" ht="15" customHeight="1">
      <c r="N724" t="str">
        <f t="shared" si="11"/>
        <v/>
      </c>
    </row>
    <row r="725" spans="14:14" ht="15" customHeight="1">
      <c r="N725" t="str">
        <f t="shared" si="11"/>
        <v/>
      </c>
    </row>
    <row r="726" spans="14:14" ht="15" customHeight="1">
      <c r="N726" t="str">
        <f t="shared" si="11"/>
        <v/>
      </c>
    </row>
    <row r="727" spans="14:14" ht="15" customHeight="1">
      <c r="N727" t="str">
        <f t="shared" si="11"/>
        <v/>
      </c>
    </row>
    <row r="728" spans="14:14" ht="15" customHeight="1">
      <c r="N728" t="str">
        <f t="shared" si="11"/>
        <v/>
      </c>
    </row>
    <row r="729" spans="14:14" ht="15" customHeight="1">
      <c r="N729" t="str">
        <f t="shared" si="11"/>
        <v/>
      </c>
    </row>
    <row r="730" spans="14:14" ht="15" customHeight="1">
      <c r="N730" t="str">
        <f t="shared" si="11"/>
        <v/>
      </c>
    </row>
    <row r="731" spans="14:14" ht="15" customHeight="1">
      <c r="N731" t="str">
        <f t="shared" si="11"/>
        <v/>
      </c>
    </row>
    <row r="732" spans="14:14" ht="15" customHeight="1">
      <c r="N732" t="str">
        <f t="shared" si="11"/>
        <v/>
      </c>
    </row>
    <row r="733" spans="14:14" ht="15" customHeight="1">
      <c r="N733" t="str">
        <f t="shared" si="11"/>
        <v/>
      </c>
    </row>
    <row r="734" spans="14:14" ht="15" customHeight="1">
      <c r="N734" t="str">
        <f t="shared" si="11"/>
        <v/>
      </c>
    </row>
    <row r="735" spans="14:14" ht="15" customHeight="1">
      <c r="N735" t="str">
        <f t="shared" si="11"/>
        <v/>
      </c>
    </row>
    <row r="736" spans="14:14" ht="15" customHeight="1">
      <c r="N736" t="str">
        <f t="shared" si="11"/>
        <v/>
      </c>
    </row>
    <row r="737" spans="14:14" ht="15" customHeight="1">
      <c r="N737" t="str">
        <f t="shared" si="11"/>
        <v/>
      </c>
    </row>
    <row r="738" spans="14:14" ht="15" customHeight="1">
      <c r="N738" t="str">
        <f t="shared" si="11"/>
        <v/>
      </c>
    </row>
    <row r="739" spans="14:14" ht="15" customHeight="1">
      <c r="N739" t="str">
        <f t="shared" si="11"/>
        <v/>
      </c>
    </row>
    <row r="740" spans="14:14" ht="15" customHeight="1">
      <c r="N740" t="str">
        <f t="shared" si="11"/>
        <v/>
      </c>
    </row>
    <row r="741" spans="14:14" ht="15" customHeight="1">
      <c r="N741" t="str">
        <f t="shared" si="11"/>
        <v/>
      </c>
    </row>
    <row r="742" spans="14:14" ht="15" customHeight="1">
      <c r="N742" t="str">
        <f t="shared" si="11"/>
        <v/>
      </c>
    </row>
    <row r="743" spans="14:14" ht="15" customHeight="1">
      <c r="N743" t="str">
        <f t="shared" si="11"/>
        <v/>
      </c>
    </row>
    <row r="744" spans="14:14" ht="15" customHeight="1">
      <c r="N744" t="str">
        <f t="shared" si="11"/>
        <v/>
      </c>
    </row>
    <row r="745" spans="14:14" ht="15" customHeight="1">
      <c r="N745" t="str">
        <f t="shared" si="11"/>
        <v/>
      </c>
    </row>
    <row r="746" spans="14:14" ht="15" customHeight="1">
      <c r="N746" t="str">
        <f t="shared" si="11"/>
        <v/>
      </c>
    </row>
    <row r="747" spans="14:14" ht="15" customHeight="1">
      <c r="N747" t="str">
        <f t="shared" si="11"/>
        <v/>
      </c>
    </row>
    <row r="748" spans="14:14" ht="15" customHeight="1">
      <c r="N748" t="str">
        <f t="shared" si="11"/>
        <v/>
      </c>
    </row>
    <row r="749" spans="14:14" ht="15" customHeight="1">
      <c r="N749" t="str">
        <f t="shared" si="11"/>
        <v/>
      </c>
    </row>
    <row r="750" spans="14:14" ht="15" customHeight="1">
      <c r="N750" t="str">
        <f t="shared" si="11"/>
        <v/>
      </c>
    </row>
    <row r="751" spans="14:14" ht="15" customHeight="1">
      <c r="N751" t="str">
        <f t="shared" si="11"/>
        <v/>
      </c>
    </row>
    <row r="752" spans="14:14" ht="15" customHeight="1">
      <c r="N752" t="str">
        <f t="shared" si="11"/>
        <v/>
      </c>
    </row>
    <row r="753" spans="14:14" ht="15" customHeight="1">
      <c r="N753" t="str">
        <f t="shared" si="11"/>
        <v/>
      </c>
    </row>
    <row r="754" spans="14:14" ht="15" customHeight="1">
      <c r="N754" t="str">
        <f t="shared" si="11"/>
        <v/>
      </c>
    </row>
    <row r="755" spans="14:14" ht="15" customHeight="1">
      <c r="N755" t="str">
        <f t="shared" si="11"/>
        <v/>
      </c>
    </row>
    <row r="756" spans="14:14" ht="15" customHeight="1">
      <c r="N756" t="str">
        <f t="shared" si="11"/>
        <v/>
      </c>
    </row>
    <row r="757" spans="14:14" ht="15" customHeight="1">
      <c r="N757" t="str">
        <f t="shared" si="11"/>
        <v/>
      </c>
    </row>
    <row r="758" spans="14:14" ht="15" customHeight="1">
      <c r="N758" t="str">
        <f t="shared" si="11"/>
        <v/>
      </c>
    </row>
    <row r="759" spans="14:14" ht="15" customHeight="1">
      <c r="N759" t="str">
        <f t="shared" si="11"/>
        <v/>
      </c>
    </row>
    <row r="760" spans="14:14" ht="15" customHeight="1">
      <c r="N760" t="str">
        <f t="shared" si="11"/>
        <v/>
      </c>
    </row>
    <row r="761" spans="14:14" ht="15" customHeight="1">
      <c r="N761" t="str">
        <f t="shared" si="11"/>
        <v/>
      </c>
    </row>
    <row r="762" spans="14:14" ht="15" customHeight="1">
      <c r="N762" t="str">
        <f t="shared" si="11"/>
        <v/>
      </c>
    </row>
    <row r="763" spans="14:14" ht="15" customHeight="1">
      <c r="N763" t="str">
        <f t="shared" si="11"/>
        <v/>
      </c>
    </row>
    <row r="764" spans="14:14" ht="15" customHeight="1">
      <c r="N764" t="str">
        <f t="shared" si="11"/>
        <v/>
      </c>
    </row>
    <row r="765" spans="14:14" ht="15" customHeight="1">
      <c r="N765" t="str">
        <f t="shared" si="11"/>
        <v/>
      </c>
    </row>
    <row r="766" spans="14:14" ht="15" customHeight="1">
      <c r="N766" t="str">
        <f t="shared" si="11"/>
        <v/>
      </c>
    </row>
    <row r="767" spans="14:14" ht="15" customHeight="1">
      <c r="N767" t="str">
        <f t="shared" si="11"/>
        <v/>
      </c>
    </row>
    <row r="768" spans="14:14" ht="15" customHeight="1">
      <c r="N768" t="str">
        <f t="shared" si="11"/>
        <v/>
      </c>
    </row>
    <row r="769" spans="14:14" ht="15" customHeight="1">
      <c r="N769" t="str">
        <f t="shared" si="11"/>
        <v/>
      </c>
    </row>
    <row r="770" spans="14:14" ht="15" customHeight="1">
      <c r="N770" t="str">
        <f t="shared" ref="N770:N833" si="12">IF(L770="","",IF(2026-E770&gt;0,L770/(2026-E770),L770))</f>
        <v/>
      </c>
    </row>
    <row r="771" spans="14:14" ht="15" customHeight="1">
      <c r="N771" t="str">
        <f t="shared" si="12"/>
        <v/>
      </c>
    </row>
    <row r="772" spans="14:14" ht="15" customHeight="1">
      <c r="N772" t="str">
        <f t="shared" si="12"/>
        <v/>
      </c>
    </row>
    <row r="773" spans="14:14" ht="15" customHeight="1">
      <c r="N773" t="str">
        <f t="shared" si="12"/>
        <v/>
      </c>
    </row>
    <row r="774" spans="14:14" ht="15" customHeight="1">
      <c r="N774" t="str">
        <f t="shared" si="12"/>
        <v/>
      </c>
    </row>
    <row r="775" spans="14:14" ht="15" customHeight="1">
      <c r="N775" t="str">
        <f t="shared" si="12"/>
        <v/>
      </c>
    </row>
    <row r="776" spans="14:14" ht="15" customHeight="1">
      <c r="N776" t="str">
        <f t="shared" si="12"/>
        <v/>
      </c>
    </row>
    <row r="777" spans="14:14" ht="15" customHeight="1">
      <c r="N777" t="str">
        <f t="shared" si="12"/>
        <v/>
      </c>
    </row>
    <row r="778" spans="14:14" ht="15" customHeight="1">
      <c r="N778" t="str">
        <f t="shared" si="12"/>
        <v/>
      </c>
    </row>
    <row r="779" spans="14:14" ht="15" customHeight="1">
      <c r="N779" t="str">
        <f t="shared" si="12"/>
        <v/>
      </c>
    </row>
    <row r="780" spans="14:14" ht="15" customHeight="1">
      <c r="N780" t="str">
        <f t="shared" si="12"/>
        <v/>
      </c>
    </row>
    <row r="781" spans="14:14" ht="15" customHeight="1">
      <c r="N781" t="str">
        <f t="shared" si="12"/>
        <v/>
      </c>
    </row>
    <row r="782" spans="14:14" ht="15" customHeight="1">
      <c r="N782" t="str">
        <f t="shared" si="12"/>
        <v/>
      </c>
    </row>
    <row r="783" spans="14:14" ht="15" customHeight="1">
      <c r="N783" t="str">
        <f t="shared" si="12"/>
        <v/>
      </c>
    </row>
    <row r="784" spans="14:14" ht="15" customHeight="1">
      <c r="N784" t="str">
        <f t="shared" si="12"/>
        <v/>
      </c>
    </row>
    <row r="785" spans="14:14" ht="15" customHeight="1">
      <c r="N785" t="str">
        <f t="shared" si="12"/>
        <v/>
      </c>
    </row>
    <row r="786" spans="14:14" ht="15" customHeight="1">
      <c r="N786" t="str">
        <f t="shared" si="12"/>
        <v/>
      </c>
    </row>
    <row r="787" spans="14:14" ht="15" customHeight="1">
      <c r="N787" t="str">
        <f t="shared" si="12"/>
        <v/>
      </c>
    </row>
    <row r="788" spans="14:14" ht="15" customHeight="1">
      <c r="N788" t="str">
        <f t="shared" si="12"/>
        <v/>
      </c>
    </row>
    <row r="789" spans="14:14" ht="15" customHeight="1">
      <c r="N789" t="str">
        <f t="shared" si="12"/>
        <v/>
      </c>
    </row>
    <row r="790" spans="14:14" ht="15" customHeight="1">
      <c r="N790" t="str">
        <f t="shared" si="12"/>
        <v/>
      </c>
    </row>
    <row r="791" spans="14:14" ht="15" customHeight="1">
      <c r="N791" t="str">
        <f t="shared" si="12"/>
        <v/>
      </c>
    </row>
    <row r="792" spans="14:14" ht="15" customHeight="1">
      <c r="N792" t="str">
        <f t="shared" si="12"/>
        <v/>
      </c>
    </row>
    <row r="793" spans="14:14" ht="15" customHeight="1">
      <c r="N793" t="str">
        <f t="shared" si="12"/>
        <v/>
      </c>
    </row>
    <row r="794" spans="14:14" ht="15" customHeight="1">
      <c r="N794" t="str">
        <f t="shared" si="12"/>
        <v/>
      </c>
    </row>
    <row r="795" spans="14:14" ht="15" customHeight="1">
      <c r="N795" t="str">
        <f t="shared" si="12"/>
        <v/>
      </c>
    </row>
    <row r="796" spans="14:14" ht="15" customHeight="1">
      <c r="N796" t="str">
        <f t="shared" si="12"/>
        <v/>
      </c>
    </row>
    <row r="797" spans="14:14" ht="15" customHeight="1">
      <c r="N797" t="str">
        <f t="shared" si="12"/>
        <v/>
      </c>
    </row>
    <row r="798" spans="14:14" ht="15" customHeight="1">
      <c r="N798" t="str">
        <f t="shared" si="12"/>
        <v/>
      </c>
    </row>
    <row r="799" spans="14:14" ht="15" customHeight="1">
      <c r="N799" t="str">
        <f t="shared" si="12"/>
        <v/>
      </c>
    </row>
    <row r="800" spans="14:14" ht="15" customHeight="1">
      <c r="N800" t="str">
        <f t="shared" si="12"/>
        <v/>
      </c>
    </row>
    <row r="801" spans="14:14" ht="15" customHeight="1">
      <c r="N801" t="str">
        <f t="shared" si="12"/>
        <v/>
      </c>
    </row>
    <row r="802" spans="14:14" ht="15" customHeight="1">
      <c r="N802" t="str">
        <f t="shared" si="12"/>
        <v/>
      </c>
    </row>
    <row r="803" spans="14:14" ht="15" customHeight="1">
      <c r="N803" t="str">
        <f t="shared" si="12"/>
        <v/>
      </c>
    </row>
    <row r="804" spans="14:14" ht="15" customHeight="1">
      <c r="N804" t="str">
        <f t="shared" si="12"/>
        <v/>
      </c>
    </row>
    <row r="805" spans="14:14" ht="15" customHeight="1">
      <c r="N805" t="str">
        <f t="shared" si="12"/>
        <v/>
      </c>
    </row>
    <row r="806" spans="14:14" ht="15" customHeight="1">
      <c r="N806" t="str">
        <f t="shared" si="12"/>
        <v/>
      </c>
    </row>
    <row r="807" spans="14:14" ht="15" customHeight="1">
      <c r="N807" t="str">
        <f t="shared" si="12"/>
        <v/>
      </c>
    </row>
    <row r="808" spans="14:14" ht="15" customHeight="1">
      <c r="N808" t="str">
        <f t="shared" si="12"/>
        <v/>
      </c>
    </row>
    <row r="809" spans="14:14" ht="15" customHeight="1">
      <c r="N809" t="str">
        <f t="shared" si="12"/>
        <v/>
      </c>
    </row>
    <row r="810" spans="14:14" ht="15" customHeight="1">
      <c r="N810" t="str">
        <f t="shared" si="12"/>
        <v/>
      </c>
    </row>
    <row r="811" spans="14:14" ht="15" customHeight="1">
      <c r="N811" t="str">
        <f t="shared" si="12"/>
        <v/>
      </c>
    </row>
    <row r="812" spans="14:14" ht="15" customHeight="1">
      <c r="N812" t="str">
        <f t="shared" si="12"/>
        <v/>
      </c>
    </row>
    <row r="813" spans="14:14" ht="15" customHeight="1">
      <c r="N813" t="str">
        <f t="shared" si="12"/>
        <v/>
      </c>
    </row>
    <row r="814" spans="14:14" ht="15" customHeight="1">
      <c r="N814" t="str">
        <f t="shared" si="12"/>
        <v/>
      </c>
    </row>
    <row r="815" spans="14:14" ht="15" customHeight="1">
      <c r="N815" t="str">
        <f t="shared" si="12"/>
        <v/>
      </c>
    </row>
    <row r="816" spans="14:14" ht="15" customHeight="1">
      <c r="N816" t="str">
        <f t="shared" si="12"/>
        <v/>
      </c>
    </row>
    <row r="817" spans="14:14" ht="15" customHeight="1">
      <c r="N817" t="str">
        <f t="shared" si="12"/>
        <v/>
      </c>
    </row>
    <row r="818" spans="14:14" ht="15" customHeight="1">
      <c r="N818" t="str">
        <f t="shared" si="12"/>
        <v/>
      </c>
    </row>
    <row r="819" spans="14:14" ht="15" customHeight="1">
      <c r="N819" t="str">
        <f t="shared" si="12"/>
        <v/>
      </c>
    </row>
    <row r="820" spans="14:14" ht="15" customHeight="1">
      <c r="N820" t="str">
        <f t="shared" si="12"/>
        <v/>
      </c>
    </row>
    <row r="821" spans="14:14" ht="15" customHeight="1">
      <c r="N821" t="str">
        <f t="shared" si="12"/>
        <v/>
      </c>
    </row>
    <row r="822" spans="14:14" ht="15" customHeight="1">
      <c r="N822" t="str">
        <f t="shared" si="12"/>
        <v/>
      </c>
    </row>
    <row r="823" spans="14:14" ht="15" customHeight="1">
      <c r="N823" t="str">
        <f t="shared" si="12"/>
        <v/>
      </c>
    </row>
    <row r="824" spans="14:14" ht="15" customHeight="1">
      <c r="N824" t="str">
        <f t="shared" si="12"/>
        <v/>
      </c>
    </row>
    <row r="825" spans="14:14" ht="15" customHeight="1">
      <c r="N825" t="str">
        <f t="shared" si="12"/>
        <v/>
      </c>
    </row>
    <row r="826" spans="14:14" ht="15" customHeight="1">
      <c r="N826" t="str">
        <f t="shared" si="12"/>
        <v/>
      </c>
    </row>
    <row r="827" spans="14:14" ht="15" customHeight="1">
      <c r="N827" t="str">
        <f t="shared" si="12"/>
        <v/>
      </c>
    </row>
    <row r="828" spans="14:14" ht="15" customHeight="1">
      <c r="N828" t="str">
        <f t="shared" si="12"/>
        <v/>
      </c>
    </row>
    <row r="829" spans="14:14" ht="15" customHeight="1">
      <c r="N829" t="str">
        <f t="shared" si="12"/>
        <v/>
      </c>
    </row>
    <row r="830" spans="14:14" ht="15" customHeight="1">
      <c r="N830" t="str">
        <f t="shared" si="12"/>
        <v/>
      </c>
    </row>
    <row r="831" spans="14:14" ht="15" customHeight="1">
      <c r="N831" t="str">
        <f t="shared" si="12"/>
        <v/>
      </c>
    </row>
    <row r="832" spans="14:14" ht="15" customHeight="1">
      <c r="N832" t="str">
        <f t="shared" si="12"/>
        <v/>
      </c>
    </row>
    <row r="833" spans="14:14" ht="15" customHeight="1">
      <c r="N833" t="str">
        <f t="shared" si="12"/>
        <v/>
      </c>
    </row>
    <row r="834" spans="14:14" ht="15" customHeight="1">
      <c r="N834" t="str">
        <f t="shared" ref="N834:N897" si="13">IF(L834="","",IF(2026-E834&gt;0,L834/(2026-E834),L834))</f>
        <v/>
      </c>
    </row>
    <row r="835" spans="14:14" ht="15" customHeight="1">
      <c r="N835" t="str">
        <f t="shared" si="13"/>
        <v/>
      </c>
    </row>
    <row r="836" spans="14:14" ht="15" customHeight="1">
      <c r="N836" t="str">
        <f t="shared" si="13"/>
        <v/>
      </c>
    </row>
    <row r="837" spans="14:14" ht="15" customHeight="1">
      <c r="N837" t="str">
        <f t="shared" si="13"/>
        <v/>
      </c>
    </row>
    <row r="838" spans="14:14" ht="15" customHeight="1">
      <c r="N838" t="str">
        <f t="shared" si="13"/>
        <v/>
      </c>
    </row>
    <row r="839" spans="14:14" ht="15" customHeight="1">
      <c r="N839" t="str">
        <f t="shared" si="13"/>
        <v/>
      </c>
    </row>
    <row r="840" spans="14:14" ht="15" customHeight="1">
      <c r="N840" t="str">
        <f t="shared" si="13"/>
        <v/>
      </c>
    </row>
    <row r="841" spans="14:14" ht="15" customHeight="1">
      <c r="N841" t="str">
        <f t="shared" si="13"/>
        <v/>
      </c>
    </row>
    <row r="842" spans="14:14" ht="15" customHeight="1">
      <c r="N842" t="str">
        <f t="shared" si="13"/>
        <v/>
      </c>
    </row>
    <row r="843" spans="14:14" ht="15" customHeight="1">
      <c r="N843" t="str">
        <f t="shared" si="13"/>
        <v/>
      </c>
    </row>
    <row r="844" spans="14:14" ht="15" customHeight="1">
      <c r="N844" t="str">
        <f t="shared" si="13"/>
        <v/>
      </c>
    </row>
    <row r="845" spans="14:14" ht="15" customHeight="1">
      <c r="N845" t="str">
        <f t="shared" si="13"/>
        <v/>
      </c>
    </row>
    <row r="846" spans="14:14" ht="15" customHeight="1">
      <c r="N846" t="str">
        <f t="shared" si="13"/>
        <v/>
      </c>
    </row>
    <row r="847" spans="14:14" ht="15" customHeight="1">
      <c r="N847" t="str">
        <f t="shared" si="13"/>
        <v/>
      </c>
    </row>
    <row r="848" spans="14:14" ht="15" customHeight="1">
      <c r="N848" t="str">
        <f t="shared" si="13"/>
        <v/>
      </c>
    </row>
    <row r="849" spans="14:14" ht="15" customHeight="1">
      <c r="N849" t="str">
        <f t="shared" si="13"/>
        <v/>
      </c>
    </row>
    <row r="850" spans="14:14" ht="15" customHeight="1">
      <c r="N850" t="str">
        <f t="shared" si="13"/>
        <v/>
      </c>
    </row>
    <row r="851" spans="14:14" ht="15" customHeight="1">
      <c r="N851" t="str">
        <f t="shared" si="13"/>
        <v/>
      </c>
    </row>
    <row r="852" spans="14:14" ht="15" customHeight="1">
      <c r="N852" t="str">
        <f t="shared" si="13"/>
        <v/>
      </c>
    </row>
    <row r="853" spans="14:14" ht="15" customHeight="1">
      <c r="N853" t="str">
        <f t="shared" si="13"/>
        <v/>
      </c>
    </row>
    <row r="854" spans="14:14" ht="15" customHeight="1">
      <c r="N854" t="str">
        <f t="shared" si="13"/>
        <v/>
      </c>
    </row>
    <row r="855" spans="14:14" ht="15" customHeight="1">
      <c r="N855" t="str">
        <f t="shared" si="13"/>
        <v/>
      </c>
    </row>
    <row r="856" spans="14:14" ht="15" customHeight="1">
      <c r="N856" t="str">
        <f t="shared" si="13"/>
        <v/>
      </c>
    </row>
    <row r="857" spans="14:14" ht="15" customHeight="1">
      <c r="N857" t="str">
        <f t="shared" si="13"/>
        <v/>
      </c>
    </row>
    <row r="858" spans="14:14" ht="15" customHeight="1">
      <c r="N858" t="str">
        <f t="shared" si="13"/>
        <v/>
      </c>
    </row>
    <row r="859" spans="14:14" ht="15" customHeight="1">
      <c r="N859" t="str">
        <f t="shared" si="13"/>
        <v/>
      </c>
    </row>
    <row r="860" spans="14:14" ht="15" customHeight="1">
      <c r="N860" t="str">
        <f t="shared" si="13"/>
        <v/>
      </c>
    </row>
    <row r="861" spans="14:14" ht="15" customHeight="1">
      <c r="N861" t="str">
        <f t="shared" si="13"/>
        <v/>
      </c>
    </row>
    <row r="862" spans="14:14" ht="15" customHeight="1">
      <c r="N862" t="str">
        <f t="shared" si="13"/>
        <v/>
      </c>
    </row>
    <row r="863" spans="14:14" ht="15" customHeight="1">
      <c r="N863" t="str">
        <f t="shared" si="13"/>
        <v/>
      </c>
    </row>
    <row r="864" spans="14:14" ht="15" customHeight="1">
      <c r="N864" t="str">
        <f t="shared" si="13"/>
        <v/>
      </c>
    </row>
    <row r="865" spans="14:14" ht="15" customHeight="1">
      <c r="N865" t="str">
        <f t="shared" si="13"/>
        <v/>
      </c>
    </row>
    <row r="866" spans="14:14" ht="15" customHeight="1">
      <c r="N866" t="str">
        <f t="shared" si="13"/>
        <v/>
      </c>
    </row>
    <row r="867" spans="14:14" ht="15" customHeight="1">
      <c r="N867" t="str">
        <f t="shared" si="13"/>
        <v/>
      </c>
    </row>
    <row r="868" spans="14:14" ht="15" customHeight="1">
      <c r="N868" t="str">
        <f t="shared" si="13"/>
        <v/>
      </c>
    </row>
    <row r="869" spans="14:14" ht="15" customHeight="1">
      <c r="N869" t="str">
        <f t="shared" si="13"/>
        <v/>
      </c>
    </row>
    <row r="870" spans="14:14" ht="15" customHeight="1">
      <c r="N870" t="str">
        <f t="shared" si="13"/>
        <v/>
      </c>
    </row>
    <row r="871" spans="14:14" ht="15" customHeight="1">
      <c r="N871" t="str">
        <f t="shared" si="13"/>
        <v/>
      </c>
    </row>
    <row r="872" spans="14:14" ht="15" customHeight="1">
      <c r="N872" t="str">
        <f t="shared" si="13"/>
        <v/>
      </c>
    </row>
    <row r="873" spans="14:14" ht="15" customHeight="1">
      <c r="N873" t="str">
        <f t="shared" si="13"/>
        <v/>
      </c>
    </row>
    <row r="874" spans="14:14" ht="15" customHeight="1">
      <c r="N874" t="str">
        <f t="shared" si="13"/>
        <v/>
      </c>
    </row>
    <row r="875" spans="14:14" ht="15" customHeight="1">
      <c r="N875" t="str">
        <f t="shared" si="13"/>
        <v/>
      </c>
    </row>
    <row r="876" spans="14:14" ht="15" customHeight="1">
      <c r="N876" t="str">
        <f t="shared" si="13"/>
        <v/>
      </c>
    </row>
    <row r="877" spans="14:14" ht="15" customHeight="1">
      <c r="N877" t="str">
        <f t="shared" si="13"/>
        <v/>
      </c>
    </row>
    <row r="878" spans="14:14" ht="15" customHeight="1">
      <c r="N878" t="str">
        <f t="shared" si="13"/>
        <v/>
      </c>
    </row>
    <row r="879" spans="14:14" ht="15" customHeight="1">
      <c r="N879" t="str">
        <f t="shared" si="13"/>
        <v/>
      </c>
    </row>
    <row r="880" spans="14:14" ht="15" customHeight="1">
      <c r="N880" t="str">
        <f t="shared" si="13"/>
        <v/>
      </c>
    </row>
    <row r="881" spans="14:14" ht="15" customHeight="1">
      <c r="N881" t="str">
        <f t="shared" si="13"/>
        <v/>
      </c>
    </row>
    <row r="882" spans="14:14" ht="15" customHeight="1">
      <c r="N882" t="str">
        <f t="shared" si="13"/>
        <v/>
      </c>
    </row>
    <row r="883" spans="14:14" ht="15" customHeight="1">
      <c r="N883" t="str">
        <f t="shared" si="13"/>
        <v/>
      </c>
    </row>
    <row r="884" spans="14:14" ht="15" customHeight="1">
      <c r="N884" t="str">
        <f t="shared" si="13"/>
        <v/>
      </c>
    </row>
    <row r="885" spans="14:14" ht="15" customHeight="1">
      <c r="N885" t="str">
        <f t="shared" si="13"/>
        <v/>
      </c>
    </row>
    <row r="886" spans="14:14" ht="15" customHeight="1">
      <c r="N886" t="str">
        <f t="shared" si="13"/>
        <v/>
      </c>
    </row>
    <row r="887" spans="14:14" ht="15" customHeight="1">
      <c r="N887" t="str">
        <f t="shared" si="13"/>
        <v/>
      </c>
    </row>
    <row r="888" spans="14:14" ht="15" customHeight="1">
      <c r="N888" t="str">
        <f t="shared" si="13"/>
        <v/>
      </c>
    </row>
    <row r="889" spans="14:14" ht="15" customHeight="1">
      <c r="N889" t="str">
        <f t="shared" si="13"/>
        <v/>
      </c>
    </row>
    <row r="890" spans="14:14" ht="15" customHeight="1">
      <c r="N890" t="str">
        <f t="shared" si="13"/>
        <v/>
      </c>
    </row>
    <row r="891" spans="14:14" ht="15" customHeight="1">
      <c r="N891" t="str">
        <f t="shared" si="13"/>
        <v/>
      </c>
    </row>
    <row r="892" spans="14:14" ht="15" customHeight="1">
      <c r="N892" t="str">
        <f t="shared" si="13"/>
        <v/>
      </c>
    </row>
    <row r="893" spans="14:14" ht="15" customHeight="1">
      <c r="N893" t="str">
        <f t="shared" si="13"/>
        <v/>
      </c>
    </row>
    <row r="894" spans="14:14" ht="15" customHeight="1">
      <c r="N894" t="str">
        <f t="shared" si="13"/>
        <v/>
      </c>
    </row>
    <row r="895" spans="14:14" ht="15" customHeight="1">
      <c r="N895" t="str">
        <f t="shared" si="13"/>
        <v/>
      </c>
    </row>
    <row r="896" spans="14:14" ht="15" customHeight="1">
      <c r="N896" t="str">
        <f t="shared" si="13"/>
        <v/>
      </c>
    </row>
    <row r="897" spans="14:14" ht="15" customHeight="1">
      <c r="N897" t="str">
        <f t="shared" si="13"/>
        <v/>
      </c>
    </row>
    <row r="898" spans="14:14" ht="15" customHeight="1">
      <c r="N898" t="str">
        <f t="shared" ref="N898:N961" si="14">IF(L898="","",IF(2026-E898&gt;0,L898/(2026-E898),L898))</f>
        <v/>
      </c>
    </row>
    <row r="899" spans="14:14" ht="15" customHeight="1">
      <c r="N899" t="str">
        <f t="shared" si="14"/>
        <v/>
      </c>
    </row>
    <row r="900" spans="14:14" ht="15" customHeight="1">
      <c r="N900" t="str">
        <f t="shared" si="14"/>
        <v/>
      </c>
    </row>
    <row r="901" spans="14:14" ht="15" customHeight="1">
      <c r="N901" t="str">
        <f t="shared" si="14"/>
        <v/>
      </c>
    </row>
    <row r="902" spans="14:14" ht="15" customHeight="1">
      <c r="N902" t="str">
        <f t="shared" si="14"/>
        <v/>
      </c>
    </row>
    <row r="903" spans="14:14" ht="15" customHeight="1">
      <c r="N903" t="str">
        <f t="shared" si="14"/>
        <v/>
      </c>
    </row>
    <row r="904" spans="14:14" ht="15" customHeight="1">
      <c r="N904" t="str">
        <f t="shared" si="14"/>
        <v/>
      </c>
    </row>
    <row r="905" spans="14:14" ht="15" customHeight="1">
      <c r="N905" t="str">
        <f t="shared" si="14"/>
        <v/>
      </c>
    </row>
    <row r="906" spans="14:14" ht="15" customHeight="1">
      <c r="N906" t="str">
        <f t="shared" si="14"/>
        <v/>
      </c>
    </row>
    <row r="907" spans="14:14" ht="15" customHeight="1">
      <c r="N907" t="str">
        <f t="shared" si="14"/>
        <v/>
      </c>
    </row>
    <row r="908" spans="14:14" ht="15" customHeight="1">
      <c r="N908" t="str">
        <f t="shared" si="14"/>
        <v/>
      </c>
    </row>
    <row r="909" spans="14:14" ht="15" customHeight="1">
      <c r="N909" t="str">
        <f t="shared" si="14"/>
        <v/>
      </c>
    </row>
    <row r="910" spans="14:14" ht="15" customHeight="1">
      <c r="N910" t="str">
        <f t="shared" si="14"/>
        <v/>
      </c>
    </row>
    <row r="911" spans="14:14" ht="15" customHeight="1">
      <c r="N911" t="str">
        <f t="shared" si="14"/>
        <v/>
      </c>
    </row>
    <row r="912" spans="14:14" ht="15" customHeight="1">
      <c r="N912" t="str">
        <f t="shared" si="14"/>
        <v/>
      </c>
    </row>
    <row r="913" spans="14:14" ht="15" customHeight="1">
      <c r="N913" t="str">
        <f t="shared" si="14"/>
        <v/>
      </c>
    </row>
    <row r="914" spans="14:14" ht="15" customHeight="1">
      <c r="N914" t="str">
        <f t="shared" si="14"/>
        <v/>
      </c>
    </row>
    <row r="915" spans="14:14" ht="15" customHeight="1">
      <c r="N915" t="str">
        <f t="shared" si="14"/>
        <v/>
      </c>
    </row>
    <row r="916" spans="14:14" ht="15" customHeight="1">
      <c r="N916" t="str">
        <f t="shared" si="14"/>
        <v/>
      </c>
    </row>
    <row r="917" spans="14:14" ht="15" customHeight="1">
      <c r="N917" t="str">
        <f t="shared" si="14"/>
        <v/>
      </c>
    </row>
    <row r="918" spans="14:14" ht="15" customHeight="1">
      <c r="N918" t="str">
        <f t="shared" si="14"/>
        <v/>
      </c>
    </row>
    <row r="919" spans="14:14" ht="15" customHeight="1">
      <c r="N919" t="str">
        <f t="shared" si="14"/>
        <v/>
      </c>
    </row>
    <row r="920" spans="14:14" ht="15" customHeight="1">
      <c r="N920" t="str">
        <f t="shared" si="14"/>
        <v/>
      </c>
    </row>
    <row r="921" spans="14:14" ht="15" customHeight="1">
      <c r="N921" t="str">
        <f t="shared" si="14"/>
        <v/>
      </c>
    </row>
    <row r="922" spans="14:14" ht="15" customHeight="1">
      <c r="N922" t="str">
        <f t="shared" si="14"/>
        <v/>
      </c>
    </row>
    <row r="923" spans="14:14" ht="15" customHeight="1">
      <c r="N923" t="str">
        <f t="shared" si="14"/>
        <v/>
      </c>
    </row>
    <row r="924" spans="14:14" ht="15" customHeight="1">
      <c r="N924" t="str">
        <f t="shared" si="14"/>
        <v/>
      </c>
    </row>
    <row r="925" spans="14:14" ht="15" customHeight="1">
      <c r="N925" t="str">
        <f t="shared" si="14"/>
        <v/>
      </c>
    </row>
    <row r="926" spans="14:14" ht="15" customHeight="1">
      <c r="N926" t="str">
        <f t="shared" si="14"/>
        <v/>
      </c>
    </row>
    <row r="927" spans="14:14" ht="15" customHeight="1">
      <c r="N927" t="str">
        <f t="shared" si="14"/>
        <v/>
      </c>
    </row>
    <row r="928" spans="14:14" ht="15" customHeight="1">
      <c r="N928" t="str">
        <f t="shared" si="14"/>
        <v/>
      </c>
    </row>
    <row r="929" spans="14:14" ht="15" customHeight="1">
      <c r="N929" t="str">
        <f t="shared" si="14"/>
        <v/>
      </c>
    </row>
    <row r="930" spans="14:14" ht="15" customHeight="1">
      <c r="N930" t="str">
        <f t="shared" si="14"/>
        <v/>
      </c>
    </row>
    <row r="931" spans="14:14" ht="15" customHeight="1">
      <c r="N931" t="str">
        <f t="shared" si="14"/>
        <v/>
      </c>
    </row>
    <row r="932" spans="14:14" ht="15" customHeight="1">
      <c r="N932" t="str">
        <f t="shared" si="14"/>
        <v/>
      </c>
    </row>
    <row r="933" spans="14:14" ht="15" customHeight="1">
      <c r="N933" t="str">
        <f t="shared" si="14"/>
        <v/>
      </c>
    </row>
    <row r="934" spans="14:14" ht="15" customHeight="1">
      <c r="N934" t="str">
        <f t="shared" si="14"/>
        <v/>
      </c>
    </row>
    <row r="935" spans="14:14" ht="15" customHeight="1">
      <c r="N935" t="str">
        <f t="shared" si="14"/>
        <v/>
      </c>
    </row>
    <row r="936" spans="14:14" ht="15" customHeight="1">
      <c r="N936" t="str">
        <f t="shared" si="14"/>
        <v/>
      </c>
    </row>
    <row r="937" spans="14:14" ht="15" customHeight="1">
      <c r="N937" t="str">
        <f t="shared" si="14"/>
        <v/>
      </c>
    </row>
    <row r="938" spans="14:14" ht="15" customHeight="1">
      <c r="N938" t="str">
        <f t="shared" si="14"/>
        <v/>
      </c>
    </row>
    <row r="939" spans="14:14" ht="15" customHeight="1">
      <c r="N939" t="str">
        <f t="shared" si="14"/>
        <v/>
      </c>
    </row>
    <row r="940" spans="14:14" ht="15" customHeight="1">
      <c r="N940" t="str">
        <f t="shared" si="14"/>
        <v/>
      </c>
    </row>
    <row r="941" spans="14:14" ht="15" customHeight="1">
      <c r="N941" t="str">
        <f t="shared" si="14"/>
        <v/>
      </c>
    </row>
    <row r="942" spans="14:14" ht="15" customHeight="1">
      <c r="N942" t="str">
        <f t="shared" si="14"/>
        <v/>
      </c>
    </row>
    <row r="943" spans="14:14" ht="15" customHeight="1">
      <c r="N943" t="str">
        <f t="shared" si="14"/>
        <v/>
      </c>
    </row>
    <row r="944" spans="14:14" ht="15" customHeight="1">
      <c r="N944" t="str">
        <f t="shared" si="14"/>
        <v/>
      </c>
    </row>
    <row r="945" spans="14:14" ht="15" customHeight="1">
      <c r="N945" t="str">
        <f t="shared" si="14"/>
        <v/>
      </c>
    </row>
    <row r="946" spans="14:14" ht="15" customHeight="1">
      <c r="N946" t="str">
        <f t="shared" si="14"/>
        <v/>
      </c>
    </row>
    <row r="947" spans="14:14" ht="15" customHeight="1">
      <c r="N947" t="str">
        <f t="shared" si="14"/>
        <v/>
      </c>
    </row>
    <row r="948" spans="14:14" ht="15" customHeight="1">
      <c r="N948" t="str">
        <f t="shared" si="14"/>
        <v/>
      </c>
    </row>
    <row r="949" spans="14:14" ht="15" customHeight="1">
      <c r="N949" t="str">
        <f t="shared" si="14"/>
        <v/>
      </c>
    </row>
    <row r="950" spans="14:14" ht="15" customHeight="1">
      <c r="N950" t="str">
        <f t="shared" si="14"/>
        <v/>
      </c>
    </row>
    <row r="951" spans="14:14" ht="15" customHeight="1">
      <c r="N951" t="str">
        <f t="shared" si="14"/>
        <v/>
      </c>
    </row>
    <row r="952" spans="14:14" ht="15" customHeight="1">
      <c r="N952" t="str">
        <f t="shared" si="14"/>
        <v/>
      </c>
    </row>
    <row r="953" spans="14:14" ht="15" customHeight="1">
      <c r="N953" t="str">
        <f t="shared" si="14"/>
        <v/>
      </c>
    </row>
    <row r="954" spans="14:14" ht="15" customHeight="1">
      <c r="N954" t="str">
        <f t="shared" si="14"/>
        <v/>
      </c>
    </row>
    <row r="955" spans="14:14" ht="15" customHeight="1">
      <c r="N955" t="str">
        <f t="shared" si="14"/>
        <v/>
      </c>
    </row>
    <row r="956" spans="14:14" ht="15" customHeight="1">
      <c r="N956" t="str">
        <f t="shared" si="14"/>
        <v/>
      </c>
    </row>
    <row r="957" spans="14:14" ht="15" customHeight="1">
      <c r="N957" t="str">
        <f t="shared" si="14"/>
        <v/>
      </c>
    </row>
    <row r="958" spans="14:14" ht="15" customHeight="1">
      <c r="N958" t="str">
        <f t="shared" si="14"/>
        <v/>
      </c>
    </row>
    <row r="959" spans="14:14" ht="15" customHeight="1">
      <c r="N959" t="str">
        <f t="shared" si="14"/>
        <v/>
      </c>
    </row>
    <row r="960" spans="14:14" ht="15" customHeight="1">
      <c r="N960" t="str">
        <f t="shared" si="14"/>
        <v/>
      </c>
    </row>
    <row r="961" spans="14:14" ht="15" customHeight="1">
      <c r="N961" t="str">
        <f t="shared" si="14"/>
        <v/>
      </c>
    </row>
    <row r="962" spans="14:14" ht="15" customHeight="1">
      <c r="N962" t="str">
        <f t="shared" ref="N962:N1025" si="15">IF(L962="","",IF(2026-E962&gt;0,L962/(2026-E962),L962))</f>
        <v/>
      </c>
    </row>
    <row r="963" spans="14:14" ht="15" customHeight="1">
      <c r="N963" t="str">
        <f t="shared" si="15"/>
        <v/>
      </c>
    </row>
    <row r="964" spans="14:14" ht="15" customHeight="1">
      <c r="N964" t="str">
        <f t="shared" si="15"/>
        <v/>
      </c>
    </row>
    <row r="965" spans="14:14" ht="15" customHeight="1">
      <c r="N965" t="str">
        <f t="shared" si="15"/>
        <v/>
      </c>
    </row>
    <row r="966" spans="14:14" ht="15" customHeight="1">
      <c r="N966" t="str">
        <f t="shared" si="15"/>
        <v/>
      </c>
    </row>
    <row r="967" spans="14:14" ht="15" customHeight="1">
      <c r="N967" t="str">
        <f t="shared" si="15"/>
        <v/>
      </c>
    </row>
    <row r="968" spans="14:14" ht="15" customHeight="1">
      <c r="N968" t="str">
        <f t="shared" si="15"/>
        <v/>
      </c>
    </row>
    <row r="969" spans="14:14" ht="15" customHeight="1">
      <c r="N969" t="str">
        <f t="shared" si="15"/>
        <v/>
      </c>
    </row>
    <row r="970" spans="14:14" ht="15" customHeight="1">
      <c r="N970" t="str">
        <f t="shared" si="15"/>
        <v/>
      </c>
    </row>
    <row r="971" spans="14:14" ht="15" customHeight="1">
      <c r="N971" t="str">
        <f t="shared" si="15"/>
        <v/>
      </c>
    </row>
    <row r="972" spans="14:14" ht="15" customHeight="1">
      <c r="N972" t="str">
        <f t="shared" si="15"/>
        <v/>
      </c>
    </row>
    <row r="973" spans="14:14" ht="15" customHeight="1">
      <c r="N973" t="str">
        <f t="shared" si="15"/>
        <v/>
      </c>
    </row>
    <row r="974" spans="14:14" ht="15" customHeight="1">
      <c r="N974" t="str">
        <f t="shared" si="15"/>
        <v/>
      </c>
    </row>
    <row r="975" spans="14:14" ht="15" customHeight="1">
      <c r="N975" t="str">
        <f t="shared" si="15"/>
        <v/>
      </c>
    </row>
    <row r="976" spans="14:14" ht="15" customHeight="1">
      <c r="N976" t="str">
        <f t="shared" si="15"/>
        <v/>
      </c>
    </row>
    <row r="977" spans="14:14" ht="15" customHeight="1">
      <c r="N977" t="str">
        <f t="shared" si="15"/>
        <v/>
      </c>
    </row>
    <row r="978" spans="14:14" ht="15" customHeight="1">
      <c r="N978" t="str">
        <f t="shared" si="15"/>
        <v/>
      </c>
    </row>
    <row r="979" spans="14:14" ht="15" customHeight="1">
      <c r="N979" t="str">
        <f t="shared" si="15"/>
        <v/>
      </c>
    </row>
    <row r="980" spans="14:14" ht="15" customHeight="1">
      <c r="N980" t="str">
        <f t="shared" si="15"/>
        <v/>
      </c>
    </row>
    <row r="981" spans="14:14" ht="15" customHeight="1">
      <c r="N981" t="str">
        <f t="shared" si="15"/>
        <v/>
      </c>
    </row>
    <row r="982" spans="14:14" ht="15" customHeight="1">
      <c r="N982" t="str">
        <f t="shared" si="15"/>
        <v/>
      </c>
    </row>
    <row r="983" spans="14:14" ht="15" customHeight="1">
      <c r="N983" t="str">
        <f t="shared" si="15"/>
        <v/>
      </c>
    </row>
    <row r="984" spans="14:14" ht="15" customHeight="1">
      <c r="N984" t="str">
        <f t="shared" si="15"/>
        <v/>
      </c>
    </row>
    <row r="985" spans="14:14" ht="15" customHeight="1">
      <c r="N985" t="str">
        <f t="shared" si="15"/>
        <v/>
      </c>
    </row>
    <row r="986" spans="14:14" ht="15" customHeight="1">
      <c r="N986" t="str">
        <f t="shared" si="15"/>
        <v/>
      </c>
    </row>
    <row r="987" spans="14:14" ht="15" customHeight="1">
      <c r="N987" t="str">
        <f t="shared" si="15"/>
        <v/>
      </c>
    </row>
    <row r="988" spans="14:14" ht="15" customHeight="1">
      <c r="N988" t="str">
        <f t="shared" si="15"/>
        <v/>
      </c>
    </row>
    <row r="989" spans="14:14" ht="15" customHeight="1">
      <c r="N989" t="str">
        <f t="shared" si="15"/>
        <v/>
      </c>
    </row>
    <row r="990" spans="14:14" ht="15" customHeight="1">
      <c r="N990" t="str">
        <f t="shared" si="15"/>
        <v/>
      </c>
    </row>
    <row r="991" spans="14:14" ht="15" customHeight="1">
      <c r="N991" t="str">
        <f t="shared" si="15"/>
        <v/>
      </c>
    </row>
    <row r="992" spans="14:14" ht="15" customHeight="1">
      <c r="N992" t="str">
        <f t="shared" si="15"/>
        <v/>
      </c>
    </row>
    <row r="993" spans="14:14" ht="15" customHeight="1">
      <c r="N993" t="str">
        <f t="shared" si="15"/>
        <v/>
      </c>
    </row>
    <row r="994" spans="14:14" ht="15" customHeight="1">
      <c r="N994" t="str">
        <f t="shared" si="15"/>
        <v/>
      </c>
    </row>
    <row r="995" spans="14:14" ht="15" customHeight="1">
      <c r="N995" t="str">
        <f t="shared" si="15"/>
        <v/>
      </c>
    </row>
    <row r="996" spans="14:14" ht="15" customHeight="1">
      <c r="N996" t="str">
        <f t="shared" si="15"/>
        <v/>
      </c>
    </row>
    <row r="997" spans="14:14" ht="15" customHeight="1">
      <c r="N997" t="str">
        <f t="shared" si="15"/>
        <v/>
      </c>
    </row>
    <row r="998" spans="14:14" ht="15" customHeight="1">
      <c r="N998" t="str">
        <f t="shared" si="15"/>
        <v/>
      </c>
    </row>
    <row r="999" spans="14:14" ht="15" customHeight="1">
      <c r="N999" t="str">
        <f t="shared" si="15"/>
        <v/>
      </c>
    </row>
    <row r="1000" spans="14:14" ht="15" customHeight="1">
      <c r="N1000" t="str">
        <f t="shared" si="15"/>
        <v/>
      </c>
    </row>
    <row r="1001" spans="14:14" ht="15" customHeight="1">
      <c r="N1001" t="str">
        <f t="shared" si="15"/>
        <v/>
      </c>
    </row>
    <row r="1002" spans="14:14" ht="15" customHeight="1">
      <c r="N1002" t="str">
        <f t="shared" si="15"/>
        <v/>
      </c>
    </row>
    <row r="1003" spans="14:14" ht="15" customHeight="1">
      <c r="N1003" t="str">
        <f t="shared" si="15"/>
        <v/>
      </c>
    </row>
    <row r="1004" spans="14:14" ht="15" customHeight="1">
      <c r="N1004" t="str">
        <f t="shared" si="15"/>
        <v/>
      </c>
    </row>
    <row r="1005" spans="14:14" ht="15" customHeight="1">
      <c r="N1005" t="str">
        <f t="shared" si="15"/>
        <v/>
      </c>
    </row>
    <row r="1006" spans="14:14" ht="15" customHeight="1">
      <c r="N1006" t="str">
        <f t="shared" si="15"/>
        <v/>
      </c>
    </row>
    <row r="1007" spans="14:14" ht="15" customHeight="1">
      <c r="N1007" t="str">
        <f t="shared" si="15"/>
        <v/>
      </c>
    </row>
    <row r="1008" spans="14:14" ht="15" customHeight="1">
      <c r="N1008" t="str">
        <f t="shared" si="15"/>
        <v/>
      </c>
    </row>
    <row r="1009" spans="14:14" ht="15" customHeight="1">
      <c r="N1009" t="str">
        <f t="shared" si="15"/>
        <v/>
      </c>
    </row>
    <row r="1010" spans="14:14" ht="15" customHeight="1">
      <c r="N1010" t="str">
        <f t="shared" si="15"/>
        <v/>
      </c>
    </row>
    <row r="1011" spans="14:14" ht="15" customHeight="1">
      <c r="N1011" t="str">
        <f t="shared" si="15"/>
        <v/>
      </c>
    </row>
    <row r="1012" spans="14:14" ht="15" customHeight="1">
      <c r="N1012" t="str">
        <f t="shared" si="15"/>
        <v/>
      </c>
    </row>
    <row r="1013" spans="14:14" ht="15" customHeight="1">
      <c r="N1013" t="str">
        <f t="shared" si="15"/>
        <v/>
      </c>
    </row>
    <row r="1014" spans="14:14" ht="15" customHeight="1">
      <c r="N1014" t="str">
        <f t="shared" si="15"/>
        <v/>
      </c>
    </row>
    <row r="1015" spans="14:14" ht="15" customHeight="1">
      <c r="N1015" t="str">
        <f t="shared" si="15"/>
        <v/>
      </c>
    </row>
    <row r="1016" spans="14:14" ht="15" customHeight="1">
      <c r="N1016" t="str">
        <f t="shared" si="15"/>
        <v/>
      </c>
    </row>
    <row r="1017" spans="14:14" ht="15" customHeight="1">
      <c r="N1017" t="str">
        <f t="shared" si="15"/>
        <v/>
      </c>
    </row>
    <row r="1018" spans="14:14" ht="15" customHeight="1">
      <c r="N1018" t="str">
        <f t="shared" si="15"/>
        <v/>
      </c>
    </row>
    <row r="1019" spans="14:14" ht="15" customHeight="1">
      <c r="N1019" t="str">
        <f t="shared" si="15"/>
        <v/>
      </c>
    </row>
    <row r="1020" spans="14:14" ht="15" customHeight="1">
      <c r="N1020" t="str">
        <f t="shared" si="15"/>
        <v/>
      </c>
    </row>
    <row r="1021" spans="14:14" ht="15" customHeight="1">
      <c r="N1021" t="str">
        <f t="shared" si="15"/>
        <v/>
      </c>
    </row>
    <row r="1022" spans="14:14" ht="15" customHeight="1">
      <c r="N1022" t="str">
        <f t="shared" si="15"/>
        <v/>
      </c>
    </row>
    <row r="1023" spans="14:14" ht="15" customHeight="1">
      <c r="N1023" t="str">
        <f t="shared" si="15"/>
        <v/>
      </c>
    </row>
    <row r="1024" spans="14:14" ht="15" customHeight="1">
      <c r="N1024" t="str">
        <f t="shared" si="15"/>
        <v/>
      </c>
    </row>
    <row r="1025" spans="14:14" ht="15" customHeight="1">
      <c r="N1025" t="str">
        <f t="shared" si="15"/>
        <v/>
      </c>
    </row>
    <row r="1026" spans="14:14" ht="15" customHeight="1">
      <c r="N1026" t="str">
        <f t="shared" ref="N1026:N1089" si="16">IF(L1026="","",IF(2026-E1026&gt;0,L1026/(2026-E1026),L1026))</f>
        <v/>
      </c>
    </row>
    <row r="1027" spans="14:14" ht="15" customHeight="1">
      <c r="N1027" t="str">
        <f t="shared" si="16"/>
        <v/>
      </c>
    </row>
    <row r="1028" spans="14:14" ht="15" customHeight="1">
      <c r="N1028" t="str">
        <f t="shared" si="16"/>
        <v/>
      </c>
    </row>
    <row r="1029" spans="14:14" ht="15" customHeight="1">
      <c r="N1029" t="str">
        <f t="shared" si="16"/>
        <v/>
      </c>
    </row>
    <row r="1030" spans="14:14" ht="15" customHeight="1">
      <c r="N1030" t="str">
        <f t="shared" si="16"/>
        <v/>
      </c>
    </row>
    <row r="1031" spans="14:14" ht="15" customHeight="1">
      <c r="N1031" t="str">
        <f t="shared" si="16"/>
        <v/>
      </c>
    </row>
    <row r="1032" spans="14:14" ht="15" customHeight="1">
      <c r="N1032" t="str">
        <f t="shared" si="16"/>
        <v/>
      </c>
    </row>
    <row r="1033" spans="14:14" ht="15" customHeight="1">
      <c r="N1033" t="str">
        <f t="shared" si="16"/>
        <v/>
      </c>
    </row>
    <row r="1034" spans="14:14" ht="15" customHeight="1">
      <c r="N1034" t="str">
        <f t="shared" si="16"/>
        <v/>
      </c>
    </row>
    <row r="1035" spans="14:14" ht="15" customHeight="1">
      <c r="N1035" t="str">
        <f t="shared" si="16"/>
        <v/>
      </c>
    </row>
    <row r="1036" spans="14:14" ht="15" customHeight="1">
      <c r="N1036" t="str">
        <f t="shared" si="16"/>
        <v/>
      </c>
    </row>
    <row r="1037" spans="14:14" ht="15" customHeight="1">
      <c r="N1037" t="str">
        <f t="shared" si="16"/>
        <v/>
      </c>
    </row>
    <row r="1038" spans="14:14" ht="15" customHeight="1">
      <c r="N1038" t="str">
        <f t="shared" si="16"/>
        <v/>
      </c>
    </row>
    <row r="1039" spans="14:14" ht="15" customHeight="1">
      <c r="N1039" t="str">
        <f t="shared" si="16"/>
        <v/>
      </c>
    </row>
    <row r="1040" spans="14:14" ht="15" customHeight="1">
      <c r="N1040" t="str">
        <f t="shared" si="16"/>
        <v/>
      </c>
    </row>
    <row r="1041" spans="14:14" ht="15" customHeight="1">
      <c r="N1041" t="str">
        <f t="shared" si="16"/>
        <v/>
      </c>
    </row>
    <row r="1042" spans="14:14" ht="15" customHeight="1">
      <c r="N1042" t="str">
        <f t="shared" si="16"/>
        <v/>
      </c>
    </row>
    <row r="1043" spans="14:14" ht="15" customHeight="1">
      <c r="N1043" t="str">
        <f t="shared" si="16"/>
        <v/>
      </c>
    </row>
    <row r="1044" spans="14:14" ht="15" customHeight="1">
      <c r="N1044" t="str">
        <f t="shared" si="16"/>
        <v/>
      </c>
    </row>
    <row r="1045" spans="14:14" ht="15" customHeight="1">
      <c r="N1045" t="str">
        <f t="shared" si="16"/>
        <v/>
      </c>
    </row>
    <row r="1046" spans="14:14" ht="15" customHeight="1">
      <c r="N1046" t="str">
        <f t="shared" si="16"/>
        <v/>
      </c>
    </row>
    <row r="1047" spans="14:14" ht="15" customHeight="1">
      <c r="N1047" t="str">
        <f t="shared" si="16"/>
        <v/>
      </c>
    </row>
    <row r="1048" spans="14:14" ht="15" customHeight="1">
      <c r="N1048" t="str">
        <f t="shared" si="16"/>
        <v/>
      </c>
    </row>
    <row r="1049" spans="14:14" ht="15" customHeight="1">
      <c r="N1049" t="str">
        <f t="shared" si="16"/>
        <v/>
      </c>
    </row>
    <row r="1050" spans="14:14" ht="15" customHeight="1">
      <c r="N1050" t="str">
        <f t="shared" si="16"/>
        <v/>
      </c>
    </row>
    <row r="1051" spans="14:14" ht="15" customHeight="1">
      <c r="N1051" t="str">
        <f t="shared" si="16"/>
        <v/>
      </c>
    </row>
    <row r="1052" spans="14:14" ht="15" customHeight="1">
      <c r="N1052" t="str">
        <f t="shared" si="16"/>
        <v/>
      </c>
    </row>
    <row r="1053" spans="14:14" ht="15" customHeight="1">
      <c r="N1053" t="str">
        <f t="shared" si="16"/>
        <v/>
      </c>
    </row>
    <row r="1054" spans="14:14" ht="15" customHeight="1">
      <c r="N1054" t="str">
        <f t="shared" si="16"/>
        <v/>
      </c>
    </row>
    <row r="1055" spans="14:14" ht="15" customHeight="1">
      <c r="N1055" t="str">
        <f t="shared" si="16"/>
        <v/>
      </c>
    </row>
    <row r="1056" spans="14:14" ht="15" customHeight="1">
      <c r="N1056" t="str">
        <f t="shared" si="16"/>
        <v/>
      </c>
    </row>
    <row r="1057" spans="14:14" ht="15" customHeight="1">
      <c r="N1057" t="str">
        <f t="shared" si="16"/>
        <v/>
      </c>
    </row>
    <row r="1058" spans="14:14" ht="15" customHeight="1">
      <c r="N1058" t="str">
        <f t="shared" si="16"/>
        <v/>
      </c>
    </row>
    <row r="1059" spans="14:14" ht="15" customHeight="1">
      <c r="N1059" t="str">
        <f t="shared" si="16"/>
        <v/>
      </c>
    </row>
    <row r="1060" spans="14:14" ht="15" customHeight="1">
      <c r="N1060" t="str">
        <f t="shared" si="16"/>
        <v/>
      </c>
    </row>
    <row r="1061" spans="14:14" ht="15" customHeight="1">
      <c r="N1061" t="str">
        <f t="shared" si="16"/>
        <v/>
      </c>
    </row>
    <row r="1062" spans="14:14" ht="15" customHeight="1">
      <c r="N1062" t="str">
        <f t="shared" si="16"/>
        <v/>
      </c>
    </row>
    <row r="1063" spans="14:14" ht="15" customHeight="1">
      <c r="N1063" t="str">
        <f t="shared" si="16"/>
        <v/>
      </c>
    </row>
    <row r="1064" spans="14:14" ht="15" customHeight="1">
      <c r="N1064" t="str">
        <f t="shared" si="16"/>
        <v/>
      </c>
    </row>
    <row r="1065" spans="14:14" ht="15" customHeight="1">
      <c r="N1065" t="str">
        <f t="shared" si="16"/>
        <v/>
      </c>
    </row>
    <row r="1066" spans="14:14" ht="15" customHeight="1">
      <c r="N1066" t="str">
        <f t="shared" si="16"/>
        <v/>
      </c>
    </row>
    <row r="1067" spans="14:14" ht="15" customHeight="1">
      <c r="N1067" t="str">
        <f t="shared" si="16"/>
        <v/>
      </c>
    </row>
    <row r="1068" spans="14:14" ht="15" customHeight="1">
      <c r="N1068" t="str">
        <f t="shared" si="16"/>
        <v/>
      </c>
    </row>
    <row r="1069" spans="14:14" ht="15" customHeight="1">
      <c r="N1069" t="str">
        <f t="shared" si="16"/>
        <v/>
      </c>
    </row>
    <row r="1070" spans="14:14" ht="15" customHeight="1">
      <c r="N1070" t="str">
        <f t="shared" si="16"/>
        <v/>
      </c>
    </row>
    <row r="1071" spans="14:14" ht="15" customHeight="1">
      <c r="N1071" t="str">
        <f t="shared" si="16"/>
        <v/>
      </c>
    </row>
    <row r="1072" spans="14:14" ht="15" customHeight="1">
      <c r="N1072" t="str">
        <f t="shared" si="16"/>
        <v/>
      </c>
    </row>
    <row r="1073" spans="14:14" ht="15" customHeight="1">
      <c r="N1073" t="str">
        <f t="shared" si="16"/>
        <v/>
      </c>
    </row>
    <row r="1074" spans="14:14" ht="15" customHeight="1">
      <c r="N1074" t="str">
        <f t="shared" si="16"/>
        <v/>
      </c>
    </row>
    <row r="1075" spans="14:14" ht="15" customHeight="1">
      <c r="N1075" t="str">
        <f t="shared" si="16"/>
        <v/>
      </c>
    </row>
    <row r="1076" spans="14:14" ht="15" customHeight="1">
      <c r="N1076" t="str">
        <f t="shared" si="16"/>
        <v/>
      </c>
    </row>
    <row r="1077" spans="14:14" ht="15" customHeight="1">
      <c r="N1077" t="str">
        <f t="shared" si="16"/>
        <v/>
      </c>
    </row>
    <row r="1078" spans="14:14" ht="15" customHeight="1">
      <c r="N1078" t="str">
        <f t="shared" si="16"/>
        <v/>
      </c>
    </row>
    <row r="1079" spans="14:14" ht="15" customHeight="1">
      <c r="N1079" t="str">
        <f t="shared" si="16"/>
        <v/>
      </c>
    </row>
    <row r="1080" spans="14:14" ht="15" customHeight="1">
      <c r="N1080" t="str">
        <f t="shared" si="16"/>
        <v/>
      </c>
    </row>
    <row r="1081" spans="14:14" ht="15" customHeight="1">
      <c r="N1081" t="str">
        <f t="shared" si="16"/>
        <v/>
      </c>
    </row>
    <row r="1082" spans="14:14" ht="15" customHeight="1">
      <c r="N1082" t="str">
        <f t="shared" si="16"/>
        <v/>
      </c>
    </row>
    <row r="1083" spans="14:14" ht="15" customHeight="1">
      <c r="N1083" t="str">
        <f t="shared" si="16"/>
        <v/>
      </c>
    </row>
    <row r="1084" spans="14:14" ht="15" customHeight="1">
      <c r="N1084" t="str">
        <f t="shared" si="16"/>
        <v/>
      </c>
    </row>
    <row r="1085" spans="14:14" ht="15" customHeight="1">
      <c r="N1085" t="str">
        <f t="shared" si="16"/>
        <v/>
      </c>
    </row>
    <row r="1086" spans="14:14" ht="15" customHeight="1">
      <c r="N1086" t="str">
        <f t="shared" si="16"/>
        <v/>
      </c>
    </row>
    <row r="1087" spans="14:14" ht="15" customHeight="1">
      <c r="N1087" t="str">
        <f t="shared" si="16"/>
        <v/>
      </c>
    </row>
    <row r="1088" spans="14:14" ht="15" customHeight="1">
      <c r="N1088" t="str">
        <f t="shared" si="16"/>
        <v/>
      </c>
    </row>
    <row r="1089" spans="14:14" ht="15" customHeight="1">
      <c r="N1089" t="str">
        <f t="shared" si="16"/>
        <v/>
      </c>
    </row>
    <row r="1090" spans="14:14" ht="15" customHeight="1">
      <c r="N1090" t="str">
        <f t="shared" ref="N1090:N1153" si="17">IF(L1090="","",IF(2026-E1090&gt;0,L1090/(2026-E1090),L1090))</f>
        <v/>
      </c>
    </row>
    <row r="1091" spans="14:14" ht="15" customHeight="1">
      <c r="N1091" t="str">
        <f t="shared" si="17"/>
        <v/>
      </c>
    </row>
    <row r="1092" spans="14:14" ht="15" customHeight="1">
      <c r="N1092" t="str">
        <f t="shared" si="17"/>
        <v/>
      </c>
    </row>
    <row r="1093" spans="14:14" ht="15" customHeight="1">
      <c r="N1093" t="str">
        <f t="shared" si="17"/>
        <v/>
      </c>
    </row>
    <row r="1094" spans="14:14" ht="15" customHeight="1">
      <c r="N1094" t="str">
        <f t="shared" si="17"/>
        <v/>
      </c>
    </row>
    <row r="1095" spans="14:14" ht="15" customHeight="1">
      <c r="N1095" t="str">
        <f t="shared" si="17"/>
        <v/>
      </c>
    </row>
    <row r="1096" spans="14:14" ht="15" customHeight="1">
      <c r="N1096" t="str">
        <f t="shared" si="17"/>
        <v/>
      </c>
    </row>
    <row r="1097" spans="14:14" ht="15" customHeight="1">
      <c r="N1097" t="str">
        <f t="shared" si="17"/>
        <v/>
      </c>
    </row>
    <row r="1098" spans="14:14" ht="15" customHeight="1">
      <c r="N1098" t="str">
        <f t="shared" si="17"/>
        <v/>
      </c>
    </row>
    <row r="1099" spans="14:14" ht="15" customHeight="1">
      <c r="N1099" t="str">
        <f t="shared" si="17"/>
        <v/>
      </c>
    </row>
    <row r="1100" spans="14:14" ht="15" customHeight="1">
      <c r="N1100" t="str">
        <f t="shared" si="17"/>
        <v/>
      </c>
    </row>
    <row r="1101" spans="14:14" ht="15" customHeight="1">
      <c r="N1101" t="str">
        <f t="shared" si="17"/>
        <v/>
      </c>
    </row>
    <row r="1102" spans="14:14" ht="15" customHeight="1">
      <c r="N1102" t="str">
        <f t="shared" si="17"/>
        <v/>
      </c>
    </row>
    <row r="1103" spans="14:14" ht="15" customHeight="1">
      <c r="N1103" t="str">
        <f t="shared" si="17"/>
        <v/>
      </c>
    </row>
    <row r="1104" spans="14:14" ht="15" customHeight="1">
      <c r="N1104" t="str">
        <f t="shared" si="17"/>
        <v/>
      </c>
    </row>
    <row r="1105" spans="14:14" ht="15" customHeight="1">
      <c r="N1105" t="str">
        <f t="shared" si="17"/>
        <v/>
      </c>
    </row>
    <row r="1106" spans="14:14" ht="15" customHeight="1">
      <c r="N1106" t="str">
        <f t="shared" si="17"/>
        <v/>
      </c>
    </row>
    <row r="1107" spans="14:14" ht="15" customHeight="1">
      <c r="N1107" t="str">
        <f t="shared" si="17"/>
        <v/>
      </c>
    </row>
    <row r="1108" spans="14:14" ht="15" customHeight="1">
      <c r="N1108" t="str">
        <f t="shared" si="17"/>
        <v/>
      </c>
    </row>
    <row r="1109" spans="14:14" ht="15" customHeight="1">
      <c r="N1109" t="str">
        <f t="shared" si="17"/>
        <v/>
      </c>
    </row>
    <row r="1110" spans="14:14" ht="15" customHeight="1">
      <c r="N1110" t="str">
        <f t="shared" si="17"/>
        <v/>
      </c>
    </row>
    <row r="1111" spans="14:14" ht="15" customHeight="1">
      <c r="N1111" t="str">
        <f t="shared" si="17"/>
        <v/>
      </c>
    </row>
    <row r="1112" spans="14:14" ht="15" customHeight="1">
      <c r="N1112" t="str">
        <f t="shared" si="17"/>
        <v/>
      </c>
    </row>
    <row r="1113" spans="14:14" ht="15" customHeight="1">
      <c r="N1113" t="str">
        <f t="shared" si="17"/>
        <v/>
      </c>
    </row>
    <row r="1114" spans="14:14" ht="15" customHeight="1">
      <c r="N1114" t="str">
        <f t="shared" si="17"/>
        <v/>
      </c>
    </row>
    <row r="1115" spans="14:14" ht="15" customHeight="1">
      <c r="N1115" t="str">
        <f t="shared" si="17"/>
        <v/>
      </c>
    </row>
    <row r="1116" spans="14:14" ht="15" customHeight="1">
      <c r="N1116" t="str">
        <f t="shared" si="17"/>
        <v/>
      </c>
    </row>
    <row r="1117" spans="14:14" ht="15" customHeight="1">
      <c r="N1117" t="str">
        <f t="shared" si="17"/>
        <v/>
      </c>
    </row>
    <row r="1118" spans="14:14" ht="15" customHeight="1">
      <c r="N1118" t="str">
        <f t="shared" si="17"/>
        <v/>
      </c>
    </row>
    <row r="1119" spans="14:14" ht="15" customHeight="1">
      <c r="N1119" t="str">
        <f t="shared" si="17"/>
        <v/>
      </c>
    </row>
    <row r="1120" spans="14:14" ht="15" customHeight="1">
      <c r="N1120" t="str">
        <f t="shared" si="17"/>
        <v/>
      </c>
    </row>
    <row r="1121" spans="14:14" ht="15" customHeight="1">
      <c r="N1121" t="str">
        <f t="shared" si="17"/>
        <v/>
      </c>
    </row>
    <row r="1122" spans="14:14" ht="15" customHeight="1">
      <c r="N1122" t="str">
        <f t="shared" si="17"/>
        <v/>
      </c>
    </row>
    <row r="1123" spans="14:14" ht="15" customHeight="1">
      <c r="N1123" t="str">
        <f t="shared" si="17"/>
        <v/>
      </c>
    </row>
    <row r="1124" spans="14:14" ht="15" customHeight="1">
      <c r="N1124" t="str">
        <f t="shared" si="17"/>
        <v/>
      </c>
    </row>
    <row r="1125" spans="14:14" ht="15" customHeight="1">
      <c r="N1125" t="str">
        <f t="shared" si="17"/>
        <v/>
      </c>
    </row>
    <row r="1126" spans="14:14" ht="15" customHeight="1">
      <c r="N1126" t="str">
        <f t="shared" si="17"/>
        <v/>
      </c>
    </row>
    <row r="1127" spans="14:14" ht="15" customHeight="1">
      <c r="N1127" t="str">
        <f t="shared" si="17"/>
        <v/>
      </c>
    </row>
    <row r="1128" spans="14:14" ht="15" customHeight="1">
      <c r="N1128" t="str">
        <f t="shared" si="17"/>
        <v/>
      </c>
    </row>
    <row r="1129" spans="14:14" ht="15" customHeight="1">
      <c r="N1129" t="str">
        <f t="shared" si="17"/>
        <v/>
      </c>
    </row>
    <row r="1130" spans="14:14" ht="15" customHeight="1">
      <c r="N1130" t="str">
        <f t="shared" si="17"/>
        <v/>
      </c>
    </row>
    <row r="1131" spans="14:14" ht="15" customHeight="1">
      <c r="N1131" t="str">
        <f t="shared" si="17"/>
        <v/>
      </c>
    </row>
    <row r="1132" spans="14:14" ht="15" customHeight="1">
      <c r="N1132" t="str">
        <f t="shared" si="17"/>
        <v/>
      </c>
    </row>
    <row r="1133" spans="14:14" ht="15" customHeight="1">
      <c r="N1133" t="str">
        <f t="shared" si="17"/>
        <v/>
      </c>
    </row>
    <row r="1134" spans="14:14" ht="15" customHeight="1">
      <c r="N1134" t="str">
        <f t="shared" si="17"/>
        <v/>
      </c>
    </row>
    <row r="1135" spans="14:14" ht="15" customHeight="1">
      <c r="N1135" t="str">
        <f t="shared" si="17"/>
        <v/>
      </c>
    </row>
    <row r="1136" spans="14:14" ht="15" customHeight="1">
      <c r="N1136" t="str">
        <f t="shared" si="17"/>
        <v/>
      </c>
    </row>
    <row r="1137" spans="14:14" ht="15" customHeight="1">
      <c r="N1137" t="str">
        <f t="shared" si="17"/>
        <v/>
      </c>
    </row>
    <row r="1138" spans="14:14" ht="15" customHeight="1">
      <c r="N1138" t="str">
        <f t="shared" si="17"/>
        <v/>
      </c>
    </row>
    <row r="1139" spans="14:14" ht="15" customHeight="1">
      <c r="N1139" t="str">
        <f t="shared" si="17"/>
        <v/>
      </c>
    </row>
    <row r="1140" spans="14:14" ht="15" customHeight="1">
      <c r="N1140" t="str">
        <f t="shared" si="17"/>
        <v/>
      </c>
    </row>
    <row r="1141" spans="14:14" ht="15" customHeight="1">
      <c r="N1141" t="str">
        <f t="shared" si="17"/>
        <v/>
      </c>
    </row>
    <row r="1142" spans="14:14" ht="15" customHeight="1">
      <c r="N1142" t="str">
        <f t="shared" si="17"/>
        <v/>
      </c>
    </row>
    <row r="1143" spans="14:14" ht="15" customHeight="1">
      <c r="N1143" t="str">
        <f t="shared" si="17"/>
        <v/>
      </c>
    </row>
    <row r="1144" spans="14:14" ht="15" customHeight="1">
      <c r="N1144" t="str">
        <f t="shared" si="17"/>
        <v/>
      </c>
    </row>
    <row r="1145" spans="14:14" ht="15" customHeight="1">
      <c r="N1145" t="str">
        <f t="shared" si="17"/>
        <v/>
      </c>
    </row>
    <row r="1146" spans="14:14" ht="15" customHeight="1">
      <c r="N1146" t="str">
        <f t="shared" si="17"/>
        <v/>
      </c>
    </row>
    <row r="1147" spans="14:14" ht="15" customHeight="1">
      <c r="N1147" t="str">
        <f t="shared" si="17"/>
        <v/>
      </c>
    </row>
    <row r="1148" spans="14:14" ht="15" customHeight="1">
      <c r="N1148" t="str">
        <f t="shared" si="17"/>
        <v/>
      </c>
    </row>
    <row r="1149" spans="14:14" ht="15" customHeight="1">
      <c r="N1149" t="str">
        <f t="shared" si="17"/>
        <v/>
      </c>
    </row>
    <row r="1150" spans="14:14" ht="15" customHeight="1">
      <c r="N1150" t="str">
        <f t="shared" si="17"/>
        <v/>
      </c>
    </row>
    <row r="1151" spans="14:14" ht="15" customHeight="1">
      <c r="N1151" t="str">
        <f t="shared" si="17"/>
        <v/>
      </c>
    </row>
    <row r="1152" spans="14:14" ht="15" customHeight="1">
      <c r="N1152" t="str">
        <f t="shared" si="17"/>
        <v/>
      </c>
    </row>
    <row r="1153" spans="14:14" ht="15" customHeight="1">
      <c r="N1153" t="str">
        <f t="shared" si="17"/>
        <v/>
      </c>
    </row>
    <row r="1154" spans="14:14" ht="15" customHeight="1">
      <c r="N1154" t="str">
        <f t="shared" ref="N1154:N1217" si="18">IF(L1154="","",IF(2026-E1154&gt;0,L1154/(2026-E1154),L1154))</f>
        <v/>
      </c>
    </row>
    <row r="1155" spans="14:14" ht="15" customHeight="1">
      <c r="N1155" t="str">
        <f t="shared" si="18"/>
        <v/>
      </c>
    </row>
    <row r="1156" spans="14:14" ht="15" customHeight="1">
      <c r="N1156" t="str">
        <f t="shared" si="18"/>
        <v/>
      </c>
    </row>
    <row r="1157" spans="14:14" ht="15" customHeight="1">
      <c r="N1157" t="str">
        <f t="shared" si="18"/>
        <v/>
      </c>
    </row>
    <row r="1158" spans="14:14" ht="15" customHeight="1">
      <c r="N1158" t="str">
        <f t="shared" si="18"/>
        <v/>
      </c>
    </row>
    <row r="1159" spans="14:14" ht="15" customHeight="1">
      <c r="N1159" t="str">
        <f t="shared" si="18"/>
        <v/>
      </c>
    </row>
    <row r="1160" spans="14:14" ht="15" customHeight="1">
      <c r="N1160" t="str">
        <f t="shared" si="18"/>
        <v/>
      </c>
    </row>
    <row r="1161" spans="14:14" ht="15" customHeight="1">
      <c r="N1161" t="str">
        <f t="shared" si="18"/>
        <v/>
      </c>
    </row>
    <row r="1162" spans="14:14" ht="15" customHeight="1">
      <c r="N1162" t="str">
        <f t="shared" si="18"/>
        <v/>
      </c>
    </row>
    <row r="1163" spans="14:14" ht="15" customHeight="1">
      <c r="N1163" t="str">
        <f t="shared" si="18"/>
        <v/>
      </c>
    </row>
    <row r="1164" spans="14:14" ht="15" customHeight="1">
      <c r="N1164" t="str">
        <f t="shared" si="18"/>
        <v/>
      </c>
    </row>
    <row r="1165" spans="14:14" ht="15" customHeight="1">
      <c r="N1165" t="str">
        <f t="shared" si="18"/>
        <v/>
      </c>
    </row>
    <row r="1166" spans="14:14" ht="15" customHeight="1">
      <c r="N1166" t="str">
        <f t="shared" si="18"/>
        <v/>
      </c>
    </row>
    <row r="1167" spans="14:14" ht="15" customHeight="1">
      <c r="N1167" t="str">
        <f t="shared" si="18"/>
        <v/>
      </c>
    </row>
    <row r="1168" spans="14:14" ht="15" customHeight="1">
      <c r="N1168" t="str">
        <f t="shared" si="18"/>
        <v/>
      </c>
    </row>
    <row r="1169" spans="14:14" ht="15" customHeight="1">
      <c r="N1169" t="str">
        <f t="shared" si="18"/>
        <v/>
      </c>
    </row>
    <row r="1170" spans="14:14" ht="15" customHeight="1">
      <c r="N1170" t="str">
        <f t="shared" si="18"/>
        <v/>
      </c>
    </row>
    <row r="1171" spans="14:14" ht="15" customHeight="1">
      <c r="N1171" t="str">
        <f t="shared" si="18"/>
        <v/>
      </c>
    </row>
    <row r="1172" spans="14:14" ht="15" customHeight="1">
      <c r="N1172" t="str">
        <f t="shared" si="18"/>
        <v/>
      </c>
    </row>
    <row r="1173" spans="14:14" ht="15" customHeight="1">
      <c r="N1173" t="str">
        <f t="shared" si="18"/>
        <v/>
      </c>
    </row>
    <row r="1174" spans="14:14" ht="15" customHeight="1">
      <c r="N1174" t="str">
        <f t="shared" si="18"/>
        <v/>
      </c>
    </row>
    <row r="1175" spans="14:14" ht="15" customHeight="1">
      <c r="N1175" t="str">
        <f t="shared" si="18"/>
        <v/>
      </c>
    </row>
    <row r="1176" spans="14:14" ht="15" customHeight="1">
      <c r="N1176" t="str">
        <f t="shared" si="18"/>
        <v/>
      </c>
    </row>
    <row r="1177" spans="14:14" ht="15" customHeight="1">
      <c r="N1177" t="str">
        <f t="shared" si="18"/>
        <v/>
      </c>
    </row>
    <row r="1178" spans="14:14" ht="15" customHeight="1">
      <c r="N1178" t="str">
        <f t="shared" si="18"/>
        <v/>
      </c>
    </row>
    <row r="1179" spans="14:14" ht="15" customHeight="1">
      <c r="N1179" t="str">
        <f t="shared" si="18"/>
        <v/>
      </c>
    </row>
    <row r="1180" spans="14:14" ht="15" customHeight="1">
      <c r="N1180" t="str">
        <f t="shared" si="18"/>
        <v/>
      </c>
    </row>
    <row r="1181" spans="14:14" ht="15" customHeight="1">
      <c r="N1181" t="str">
        <f t="shared" si="18"/>
        <v/>
      </c>
    </row>
    <row r="1182" spans="14:14" ht="15" customHeight="1">
      <c r="N1182" t="str">
        <f t="shared" si="18"/>
        <v/>
      </c>
    </row>
    <row r="1183" spans="14:14" ht="15" customHeight="1">
      <c r="N1183" t="str">
        <f t="shared" si="18"/>
        <v/>
      </c>
    </row>
    <row r="1184" spans="14:14" ht="15" customHeight="1">
      <c r="N1184" t="str">
        <f t="shared" si="18"/>
        <v/>
      </c>
    </row>
    <row r="1185" spans="14:14" ht="15" customHeight="1">
      <c r="N1185" t="str">
        <f t="shared" si="18"/>
        <v/>
      </c>
    </row>
    <row r="1186" spans="14:14" ht="15" customHeight="1">
      <c r="N1186" t="str">
        <f t="shared" si="18"/>
        <v/>
      </c>
    </row>
    <row r="1187" spans="14:14" ht="15" customHeight="1">
      <c r="N1187" t="str">
        <f t="shared" si="18"/>
        <v/>
      </c>
    </row>
    <row r="1188" spans="14:14" ht="15" customHeight="1">
      <c r="N1188" t="str">
        <f t="shared" si="18"/>
        <v/>
      </c>
    </row>
    <row r="1189" spans="14:14" ht="15" customHeight="1">
      <c r="N1189" t="str">
        <f t="shared" si="18"/>
        <v/>
      </c>
    </row>
    <row r="1190" spans="14:14" ht="15" customHeight="1">
      <c r="N1190" t="str">
        <f t="shared" si="18"/>
        <v/>
      </c>
    </row>
    <row r="1191" spans="14:14" ht="15" customHeight="1">
      <c r="N1191" t="str">
        <f t="shared" si="18"/>
        <v/>
      </c>
    </row>
    <row r="1192" spans="14:14" ht="15" customHeight="1">
      <c r="N1192" t="str">
        <f t="shared" si="18"/>
        <v/>
      </c>
    </row>
    <row r="1193" spans="14:14" ht="15" customHeight="1">
      <c r="N1193" t="str">
        <f t="shared" si="18"/>
        <v/>
      </c>
    </row>
    <row r="1194" spans="14:14" ht="15" customHeight="1">
      <c r="N1194" t="str">
        <f t="shared" si="18"/>
        <v/>
      </c>
    </row>
    <row r="1195" spans="14:14" ht="15" customHeight="1">
      <c r="N1195" t="str">
        <f t="shared" si="18"/>
        <v/>
      </c>
    </row>
    <row r="1196" spans="14:14" ht="15" customHeight="1">
      <c r="N1196" t="str">
        <f t="shared" si="18"/>
        <v/>
      </c>
    </row>
    <row r="1197" spans="14:14" ht="15" customHeight="1">
      <c r="N1197" t="str">
        <f t="shared" si="18"/>
        <v/>
      </c>
    </row>
    <row r="1198" spans="14:14" ht="15" customHeight="1">
      <c r="N1198" t="str">
        <f t="shared" si="18"/>
        <v/>
      </c>
    </row>
    <row r="1199" spans="14:14" ht="15" customHeight="1">
      <c r="N1199" t="str">
        <f t="shared" si="18"/>
        <v/>
      </c>
    </row>
    <row r="1200" spans="14:14" ht="15" customHeight="1">
      <c r="N1200" t="str">
        <f t="shared" si="18"/>
        <v/>
      </c>
    </row>
    <row r="1201" spans="14:14" ht="15" customHeight="1">
      <c r="N1201" t="str">
        <f t="shared" si="18"/>
        <v/>
      </c>
    </row>
    <row r="1202" spans="14:14" ht="15" customHeight="1">
      <c r="N1202" t="str">
        <f t="shared" si="18"/>
        <v/>
      </c>
    </row>
    <row r="1203" spans="14:14" ht="15" customHeight="1">
      <c r="N1203" t="str">
        <f t="shared" si="18"/>
        <v/>
      </c>
    </row>
    <row r="1204" spans="14:14" ht="15" customHeight="1">
      <c r="N1204" t="str">
        <f t="shared" si="18"/>
        <v/>
      </c>
    </row>
    <row r="1205" spans="14:14" ht="15" customHeight="1">
      <c r="N1205" t="str">
        <f t="shared" si="18"/>
        <v/>
      </c>
    </row>
    <row r="1206" spans="14:14" ht="15" customHeight="1">
      <c r="N1206" t="str">
        <f t="shared" si="18"/>
        <v/>
      </c>
    </row>
    <row r="1207" spans="14:14" ht="15" customHeight="1">
      <c r="N1207" t="str">
        <f t="shared" si="18"/>
        <v/>
      </c>
    </row>
    <row r="1208" spans="14:14" ht="15" customHeight="1">
      <c r="N1208" t="str">
        <f t="shared" si="18"/>
        <v/>
      </c>
    </row>
    <row r="1209" spans="14:14" ht="15" customHeight="1">
      <c r="N1209" t="str">
        <f t="shared" si="18"/>
        <v/>
      </c>
    </row>
    <row r="1210" spans="14:14" ht="15" customHeight="1">
      <c r="N1210" t="str">
        <f t="shared" si="18"/>
        <v/>
      </c>
    </row>
    <row r="1211" spans="14:14" ht="15" customHeight="1">
      <c r="N1211" t="str">
        <f t="shared" si="18"/>
        <v/>
      </c>
    </row>
    <row r="1212" spans="14:14" ht="15" customHeight="1">
      <c r="N1212" t="str">
        <f t="shared" si="18"/>
        <v/>
      </c>
    </row>
    <row r="1213" spans="14:14" ht="15" customHeight="1">
      <c r="N1213" t="str">
        <f t="shared" si="18"/>
        <v/>
      </c>
    </row>
    <row r="1214" spans="14:14" ht="15" customHeight="1">
      <c r="N1214" t="str">
        <f t="shared" si="18"/>
        <v/>
      </c>
    </row>
    <row r="1215" spans="14:14" ht="15" customHeight="1">
      <c r="N1215" t="str">
        <f t="shared" si="18"/>
        <v/>
      </c>
    </row>
    <row r="1216" spans="14:14" ht="15" customHeight="1">
      <c r="N1216" t="str">
        <f t="shared" si="18"/>
        <v/>
      </c>
    </row>
    <row r="1217" spans="14:14" ht="15" customHeight="1">
      <c r="N1217" t="str">
        <f t="shared" si="18"/>
        <v/>
      </c>
    </row>
    <row r="1218" spans="14:14" ht="15" customHeight="1">
      <c r="N1218" t="str">
        <f t="shared" ref="N1218:N1281" si="19">IF(L1218="","",IF(2026-E1218&gt;0,L1218/(2026-E1218),L1218))</f>
        <v/>
      </c>
    </row>
    <row r="1219" spans="14:14" ht="15" customHeight="1">
      <c r="N1219" t="str">
        <f t="shared" si="19"/>
        <v/>
      </c>
    </row>
    <row r="1220" spans="14:14" ht="15" customHeight="1">
      <c r="N1220" t="str">
        <f t="shared" si="19"/>
        <v/>
      </c>
    </row>
    <row r="1221" spans="14:14" ht="15" customHeight="1">
      <c r="N1221" t="str">
        <f t="shared" si="19"/>
        <v/>
      </c>
    </row>
    <row r="1222" spans="14:14" ht="15" customHeight="1">
      <c r="N1222" t="str">
        <f t="shared" si="19"/>
        <v/>
      </c>
    </row>
    <row r="1223" spans="14:14" ht="15" customHeight="1">
      <c r="N1223" t="str">
        <f t="shared" si="19"/>
        <v/>
      </c>
    </row>
    <row r="1224" spans="14:14" ht="15" customHeight="1">
      <c r="N1224" t="str">
        <f t="shared" si="19"/>
        <v/>
      </c>
    </row>
    <row r="1225" spans="14:14" ht="15" customHeight="1">
      <c r="N1225" t="str">
        <f t="shared" si="19"/>
        <v/>
      </c>
    </row>
    <row r="1226" spans="14:14" ht="15" customHeight="1">
      <c r="N1226" t="str">
        <f t="shared" si="19"/>
        <v/>
      </c>
    </row>
    <row r="1227" spans="14:14" ht="15" customHeight="1">
      <c r="N1227" t="str">
        <f t="shared" si="19"/>
        <v/>
      </c>
    </row>
    <row r="1228" spans="14:14" ht="15" customHeight="1">
      <c r="N1228" t="str">
        <f t="shared" si="19"/>
        <v/>
      </c>
    </row>
    <row r="1229" spans="14:14" ht="15" customHeight="1">
      <c r="N1229" t="str">
        <f t="shared" si="19"/>
        <v/>
      </c>
    </row>
    <row r="1230" spans="14:14" ht="15" customHeight="1">
      <c r="N1230" t="str">
        <f t="shared" si="19"/>
        <v/>
      </c>
    </row>
    <row r="1231" spans="14:14" ht="15" customHeight="1">
      <c r="N1231" t="str">
        <f t="shared" si="19"/>
        <v/>
      </c>
    </row>
    <row r="1232" spans="14:14" ht="15" customHeight="1">
      <c r="N1232" t="str">
        <f t="shared" si="19"/>
        <v/>
      </c>
    </row>
    <row r="1233" spans="14:14" ht="15" customHeight="1">
      <c r="N1233" t="str">
        <f t="shared" si="19"/>
        <v/>
      </c>
    </row>
    <row r="1234" spans="14:14" ht="15" customHeight="1">
      <c r="N1234" t="str">
        <f t="shared" si="19"/>
        <v/>
      </c>
    </row>
    <row r="1235" spans="14:14" ht="15" customHeight="1">
      <c r="N1235" t="str">
        <f t="shared" si="19"/>
        <v/>
      </c>
    </row>
    <row r="1236" spans="14:14" ht="15" customHeight="1">
      <c r="N1236" t="str">
        <f t="shared" si="19"/>
        <v/>
      </c>
    </row>
    <row r="1237" spans="14:14" ht="15" customHeight="1">
      <c r="N1237" t="str">
        <f t="shared" si="19"/>
        <v/>
      </c>
    </row>
    <row r="1238" spans="14:14" ht="15" customHeight="1">
      <c r="N1238" t="str">
        <f t="shared" si="19"/>
        <v/>
      </c>
    </row>
    <row r="1239" spans="14:14" ht="15" customHeight="1">
      <c r="N1239" t="str">
        <f t="shared" si="19"/>
        <v/>
      </c>
    </row>
    <row r="1240" spans="14:14" ht="15" customHeight="1">
      <c r="N1240" t="str">
        <f t="shared" si="19"/>
        <v/>
      </c>
    </row>
    <row r="1241" spans="14:14" ht="15" customHeight="1">
      <c r="N1241" t="str">
        <f t="shared" si="19"/>
        <v/>
      </c>
    </row>
    <row r="1242" spans="14:14" ht="15" customHeight="1">
      <c r="N1242" t="str">
        <f t="shared" si="19"/>
        <v/>
      </c>
    </row>
    <row r="1243" spans="14:14" ht="15" customHeight="1">
      <c r="N1243" t="str">
        <f t="shared" si="19"/>
        <v/>
      </c>
    </row>
    <row r="1244" spans="14:14" ht="15" customHeight="1">
      <c r="N1244" t="str">
        <f t="shared" si="19"/>
        <v/>
      </c>
    </row>
    <row r="1245" spans="14:14" ht="15" customHeight="1">
      <c r="N1245" t="str">
        <f t="shared" si="19"/>
        <v/>
      </c>
    </row>
    <row r="1246" spans="14:14" ht="15" customHeight="1">
      <c r="N1246" t="str">
        <f t="shared" si="19"/>
        <v/>
      </c>
    </row>
    <row r="1247" spans="14:14" ht="15" customHeight="1">
      <c r="N1247" t="str">
        <f t="shared" si="19"/>
        <v/>
      </c>
    </row>
    <row r="1248" spans="14:14" ht="15" customHeight="1">
      <c r="N1248" t="str">
        <f t="shared" si="19"/>
        <v/>
      </c>
    </row>
    <row r="1249" spans="14:14" ht="15" customHeight="1">
      <c r="N1249" t="str">
        <f t="shared" si="19"/>
        <v/>
      </c>
    </row>
    <row r="1250" spans="14:14" ht="15" customHeight="1">
      <c r="N1250" t="str">
        <f t="shared" si="19"/>
        <v/>
      </c>
    </row>
    <row r="1251" spans="14:14" ht="15" customHeight="1">
      <c r="N1251" t="str">
        <f t="shared" si="19"/>
        <v/>
      </c>
    </row>
    <row r="1252" spans="14:14" ht="15" customHeight="1">
      <c r="N1252" t="str">
        <f t="shared" si="19"/>
        <v/>
      </c>
    </row>
    <row r="1253" spans="14:14" ht="15" customHeight="1">
      <c r="N1253" t="str">
        <f t="shared" si="19"/>
        <v/>
      </c>
    </row>
    <row r="1254" spans="14:14" ht="15" customHeight="1">
      <c r="N1254" t="str">
        <f t="shared" si="19"/>
        <v/>
      </c>
    </row>
    <row r="1255" spans="14:14" ht="15" customHeight="1">
      <c r="N1255" t="str">
        <f t="shared" si="19"/>
        <v/>
      </c>
    </row>
    <row r="1256" spans="14:14" ht="15" customHeight="1">
      <c r="N1256" t="str">
        <f t="shared" si="19"/>
        <v/>
      </c>
    </row>
    <row r="1257" spans="14:14" ht="15" customHeight="1">
      <c r="N1257" t="str">
        <f t="shared" si="19"/>
        <v/>
      </c>
    </row>
    <row r="1258" spans="14:14" ht="15" customHeight="1">
      <c r="N1258" t="str">
        <f t="shared" si="19"/>
        <v/>
      </c>
    </row>
    <row r="1259" spans="14:14" ht="15" customHeight="1">
      <c r="N1259" t="str">
        <f t="shared" si="19"/>
        <v/>
      </c>
    </row>
    <row r="1260" spans="14:14" ht="15" customHeight="1">
      <c r="N1260" t="str">
        <f t="shared" si="19"/>
        <v/>
      </c>
    </row>
    <row r="1261" spans="14:14" ht="15" customHeight="1">
      <c r="N1261" t="str">
        <f t="shared" si="19"/>
        <v/>
      </c>
    </row>
    <row r="1262" spans="14:14" ht="15" customHeight="1">
      <c r="N1262" t="str">
        <f t="shared" si="19"/>
        <v/>
      </c>
    </row>
    <row r="1263" spans="14:14" ht="15" customHeight="1">
      <c r="N1263" t="str">
        <f t="shared" si="19"/>
        <v/>
      </c>
    </row>
    <row r="1264" spans="14:14" ht="15" customHeight="1">
      <c r="N1264" t="str">
        <f t="shared" si="19"/>
        <v/>
      </c>
    </row>
    <row r="1265" spans="14:14" ht="15" customHeight="1">
      <c r="N1265" t="str">
        <f t="shared" si="19"/>
        <v/>
      </c>
    </row>
    <row r="1266" spans="14:14" ht="15" customHeight="1">
      <c r="N1266" t="str">
        <f t="shared" si="19"/>
        <v/>
      </c>
    </row>
    <row r="1267" spans="14:14" ht="15" customHeight="1">
      <c r="N1267" t="str">
        <f t="shared" si="19"/>
        <v/>
      </c>
    </row>
    <row r="1268" spans="14:14" ht="15" customHeight="1">
      <c r="N1268" t="str">
        <f t="shared" si="19"/>
        <v/>
      </c>
    </row>
    <row r="1269" spans="14:14" ht="15" customHeight="1">
      <c r="N1269" t="str">
        <f t="shared" si="19"/>
        <v/>
      </c>
    </row>
    <row r="1270" spans="14:14" ht="15" customHeight="1">
      <c r="N1270" t="str">
        <f t="shared" si="19"/>
        <v/>
      </c>
    </row>
    <row r="1271" spans="14:14" ht="15" customHeight="1">
      <c r="N1271" t="str">
        <f t="shared" si="19"/>
        <v/>
      </c>
    </row>
    <row r="1272" spans="14:14" ht="15" customHeight="1">
      <c r="N1272" t="str">
        <f t="shared" si="19"/>
        <v/>
      </c>
    </row>
    <row r="1273" spans="14:14" ht="15" customHeight="1">
      <c r="N1273" t="str">
        <f t="shared" si="19"/>
        <v/>
      </c>
    </row>
    <row r="1274" spans="14:14" ht="15" customHeight="1">
      <c r="N1274" t="str">
        <f t="shared" si="19"/>
        <v/>
      </c>
    </row>
    <row r="1275" spans="14:14" ht="15" customHeight="1">
      <c r="N1275" t="str">
        <f t="shared" si="19"/>
        <v/>
      </c>
    </row>
    <row r="1276" spans="14:14" ht="15" customHeight="1">
      <c r="N1276" t="str">
        <f t="shared" si="19"/>
        <v/>
      </c>
    </row>
    <row r="1277" spans="14:14" ht="15" customHeight="1">
      <c r="N1277" t="str">
        <f t="shared" si="19"/>
        <v/>
      </c>
    </row>
    <row r="1278" spans="14:14" ht="15" customHeight="1">
      <c r="N1278" t="str">
        <f t="shared" si="19"/>
        <v/>
      </c>
    </row>
    <row r="1279" spans="14:14" ht="15" customHeight="1">
      <c r="N1279" t="str">
        <f t="shared" si="19"/>
        <v/>
      </c>
    </row>
    <row r="1280" spans="14:14" ht="15" customHeight="1">
      <c r="N1280" t="str">
        <f t="shared" si="19"/>
        <v/>
      </c>
    </row>
    <row r="1281" spans="14:14" ht="15" customHeight="1">
      <c r="N1281" t="str">
        <f t="shared" si="19"/>
        <v/>
      </c>
    </row>
    <row r="1282" spans="14:14" ht="15" customHeight="1">
      <c r="N1282" t="str">
        <f t="shared" ref="N1282:N1345" si="20">IF(L1282="","",IF(2026-E1282&gt;0,L1282/(2026-E1282),L1282))</f>
        <v/>
      </c>
    </row>
    <row r="1283" spans="14:14" ht="15" customHeight="1">
      <c r="N1283" t="str">
        <f t="shared" si="20"/>
        <v/>
      </c>
    </row>
    <row r="1284" spans="14:14" ht="15" customHeight="1">
      <c r="N1284" t="str">
        <f t="shared" si="20"/>
        <v/>
      </c>
    </row>
    <row r="1285" spans="14:14" ht="15" customHeight="1">
      <c r="N1285" t="str">
        <f t="shared" si="20"/>
        <v/>
      </c>
    </row>
    <row r="1286" spans="14:14" ht="15" customHeight="1">
      <c r="N1286" t="str">
        <f t="shared" si="20"/>
        <v/>
      </c>
    </row>
    <row r="1287" spans="14:14" ht="15" customHeight="1">
      <c r="N1287" t="str">
        <f t="shared" si="20"/>
        <v/>
      </c>
    </row>
    <row r="1288" spans="14:14" ht="15" customHeight="1">
      <c r="N1288" t="str">
        <f t="shared" si="20"/>
        <v/>
      </c>
    </row>
    <row r="1289" spans="14:14" ht="15" customHeight="1">
      <c r="N1289" t="str">
        <f t="shared" si="20"/>
        <v/>
      </c>
    </row>
    <row r="1290" spans="14:14" ht="15" customHeight="1">
      <c r="N1290" t="str">
        <f t="shared" si="20"/>
        <v/>
      </c>
    </row>
    <row r="1291" spans="14:14" ht="15" customHeight="1">
      <c r="N1291" t="str">
        <f t="shared" si="20"/>
        <v/>
      </c>
    </row>
    <row r="1292" spans="14:14" ht="15" customHeight="1">
      <c r="N1292" t="str">
        <f t="shared" si="20"/>
        <v/>
      </c>
    </row>
    <row r="1293" spans="14:14" ht="15" customHeight="1">
      <c r="N1293" t="str">
        <f t="shared" si="20"/>
        <v/>
      </c>
    </row>
    <row r="1294" spans="14:14" ht="15" customHeight="1">
      <c r="N1294" t="str">
        <f t="shared" si="20"/>
        <v/>
      </c>
    </row>
    <row r="1295" spans="14:14" ht="15" customHeight="1">
      <c r="N1295" t="str">
        <f t="shared" si="20"/>
        <v/>
      </c>
    </row>
    <row r="1296" spans="14:14" ht="15" customHeight="1">
      <c r="N1296" t="str">
        <f t="shared" si="20"/>
        <v/>
      </c>
    </row>
    <row r="1297" spans="14:14" ht="15" customHeight="1">
      <c r="N1297" t="str">
        <f t="shared" si="20"/>
        <v/>
      </c>
    </row>
    <row r="1298" spans="14:14" ht="15" customHeight="1">
      <c r="N1298" t="str">
        <f t="shared" si="20"/>
        <v/>
      </c>
    </row>
    <row r="1299" spans="14:14" ht="15" customHeight="1">
      <c r="N1299" t="str">
        <f t="shared" si="20"/>
        <v/>
      </c>
    </row>
    <row r="1300" spans="14:14" ht="15" customHeight="1">
      <c r="N1300" t="str">
        <f t="shared" si="20"/>
        <v/>
      </c>
    </row>
    <row r="1301" spans="14:14" ht="15" customHeight="1">
      <c r="N1301" t="str">
        <f t="shared" si="20"/>
        <v/>
      </c>
    </row>
    <row r="1302" spans="14:14" ht="15" customHeight="1">
      <c r="N1302" t="str">
        <f t="shared" si="20"/>
        <v/>
      </c>
    </row>
    <row r="1303" spans="14:14" ht="15" customHeight="1">
      <c r="N1303" t="str">
        <f t="shared" si="20"/>
        <v/>
      </c>
    </row>
    <row r="1304" spans="14:14" ht="15" customHeight="1">
      <c r="N1304" t="str">
        <f t="shared" si="20"/>
        <v/>
      </c>
    </row>
    <row r="1305" spans="14:14" ht="15" customHeight="1">
      <c r="N1305" t="str">
        <f t="shared" si="20"/>
        <v/>
      </c>
    </row>
    <row r="1306" spans="14:14" ht="15" customHeight="1">
      <c r="N1306" t="str">
        <f t="shared" si="20"/>
        <v/>
      </c>
    </row>
    <row r="1307" spans="14:14" ht="15" customHeight="1">
      <c r="N1307" t="str">
        <f t="shared" si="20"/>
        <v/>
      </c>
    </row>
    <row r="1308" spans="14:14" ht="15" customHeight="1">
      <c r="N1308" t="str">
        <f t="shared" si="20"/>
        <v/>
      </c>
    </row>
    <row r="1309" spans="14:14" ht="15" customHeight="1">
      <c r="N1309" t="str">
        <f t="shared" si="20"/>
        <v/>
      </c>
    </row>
    <row r="1310" spans="14:14" ht="15" customHeight="1">
      <c r="N1310" t="str">
        <f t="shared" si="20"/>
        <v/>
      </c>
    </row>
    <row r="1311" spans="14:14" ht="15" customHeight="1">
      <c r="N1311" t="str">
        <f t="shared" si="20"/>
        <v/>
      </c>
    </row>
    <row r="1312" spans="14:14" ht="15" customHeight="1">
      <c r="N1312" t="str">
        <f t="shared" si="20"/>
        <v/>
      </c>
    </row>
    <row r="1313" spans="14:14" ht="15" customHeight="1">
      <c r="N1313" t="str">
        <f t="shared" si="20"/>
        <v/>
      </c>
    </row>
    <row r="1314" spans="14:14" ht="15" customHeight="1">
      <c r="N1314" t="str">
        <f t="shared" si="20"/>
        <v/>
      </c>
    </row>
    <row r="1315" spans="14:14" ht="15" customHeight="1">
      <c r="N1315" t="str">
        <f t="shared" si="20"/>
        <v/>
      </c>
    </row>
    <row r="1316" spans="14:14" ht="15" customHeight="1">
      <c r="N1316" t="str">
        <f t="shared" si="20"/>
        <v/>
      </c>
    </row>
    <row r="1317" spans="14:14" ht="15" customHeight="1">
      <c r="N1317" t="str">
        <f t="shared" si="20"/>
        <v/>
      </c>
    </row>
    <row r="1318" spans="14:14" ht="15" customHeight="1">
      <c r="N1318" t="str">
        <f t="shared" si="20"/>
        <v/>
      </c>
    </row>
    <row r="1319" spans="14:14" ht="15" customHeight="1">
      <c r="N1319" t="str">
        <f t="shared" si="20"/>
        <v/>
      </c>
    </row>
    <row r="1320" spans="14:14" ht="15" customHeight="1">
      <c r="N1320" t="str">
        <f t="shared" si="20"/>
        <v/>
      </c>
    </row>
    <row r="1321" spans="14:14" ht="15" customHeight="1">
      <c r="N1321" t="str">
        <f t="shared" si="20"/>
        <v/>
      </c>
    </row>
    <row r="1322" spans="14:14" ht="15" customHeight="1">
      <c r="N1322" t="str">
        <f t="shared" si="20"/>
        <v/>
      </c>
    </row>
    <row r="1323" spans="14:14" ht="15" customHeight="1">
      <c r="N1323" t="str">
        <f t="shared" si="20"/>
        <v/>
      </c>
    </row>
    <row r="1324" spans="14:14" ht="15" customHeight="1">
      <c r="N1324" t="str">
        <f t="shared" si="20"/>
        <v/>
      </c>
    </row>
    <row r="1325" spans="14:14" ht="15" customHeight="1">
      <c r="N1325" t="str">
        <f t="shared" si="20"/>
        <v/>
      </c>
    </row>
    <row r="1326" spans="14:14" ht="15" customHeight="1">
      <c r="N1326" t="str">
        <f t="shared" si="20"/>
        <v/>
      </c>
    </row>
    <row r="1327" spans="14:14" ht="15" customHeight="1">
      <c r="N1327" t="str">
        <f t="shared" si="20"/>
        <v/>
      </c>
    </row>
    <row r="1328" spans="14:14" ht="15" customHeight="1">
      <c r="N1328" t="str">
        <f t="shared" si="20"/>
        <v/>
      </c>
    </row>
    <row r="1329" spans="14:14" ht="15" customHeight="1">
      <c r="N1329" t="str">
        <f t="shared" si="20"/>
        <v/>
      </c>
    </row>
    <row r="1330" spans="14:14" ht="15" customHeight="1">
      <c r="N1330" t="str">
        <f t="shared" si="20"/>
        <v/>
      </c>
    </row>
    <row r="1331" spans="14:14" ht="15" customHeight="1">
      <c r="N1331" t="str">
        <f t="shared" si="20"/>
        <v/>
      </c>
    </row>
    <row r="1332" spans="14:14" ht="15" customHeight="1">
      <c r="N1332" t="str">
        <f t="shared" si="20"/>
        <v/>
      </c>
    </row>
    <row r="1333" spans="14:14" ht="15" customHeight="1">
      <c r="N1333" t="str">
        <f t="shared" si="20"/>
        <v/>
      </c>
    </row>
    <row r="1334" spans="14:14" ht="15" customHeight="1">
      <c r="N1334" t="str">
        <f t="shared" si="20"/>
        <v/>
      </c>
    </row>
    <row r="1335" spans="14:14" ht="15" customHeight="1">
      <c r="N1335" t="str">
        <f t="shared" si="20"/>
        <v/>
      </c>
    </row>
    <row r="1336" spans="14:14" ht="15" customHeight="1">
      <c r="N1336" t="str">
        <f t="shared" si="20"/>
        <v/>
      </c>
    </row>
    <row r="1337" spans="14:14" ht="15" customHeight="1">
      <c r="N1337" t="str">
        <f t="shared" si="20"/>
        <v/>
      </c>
    </row>
    <row r="1338" spans="14:14" ht="15" customHeight="1">
      <c r="N1338" t="str">
        <f t="shared" si="20"/>
        <v/>
      </c>
    </row>
    <row r="1339" spans="14:14" ht="15" customHeight="1">
      <c r="N1339" t="str">
        <f t="shared" si="20"/>
        <v/>
      </c>
    </row>
    <row r="1340" spans="14:14" ht="15" customHeight="1">
      <c r="N1340" t="str">
        <f t="shared" si="20"/>
        <v/>
      </c>
    </row>
    <row r="1341" spans="14:14" ht="15" customHeight="1">
      <c r="N1341" t="str">
        <f t="shared" si="20"/>
        <v/>
      </c>
    </row>
    <row r="1342" spans="14:14" ht="15" customHeight="1">
      <c r="N1342" t="str">
        <f t="shared" si="20"/>
        <v/>
      </c>
    </row>
    <row r="1343" spans="14:14" ht="15" customHeight="1">
      <c r="N1343" t="str">
        <f t="shared" si="20"/>
        <v/>
      </c>
    </row>
    <row r="1344" spans="14:14" ht="15" customHeight="1">
      <c r="N1344" t="str">
        <f t="shared" si="20"/>
        <v/>
      </c>
    </row>
    <row r="1345" spans="14:14" ht="15" customHeight="1">
      <c r="N1345" t="str">
        <f t="shared" si="20"/>
        <v/>
      </c>
    </row>
    <row r="1346" spans="14:14" ht="15" customHeight="1">
      <c r="N1346" t="str">
        <f t="shared" ref="N1346:N1409" si="21">IF(L1346="","",IF(2026-E1346&gt;0,L1346/(2026-E1346),L1346))</f>
        <v/>
      </c>
    </row>
    <row r="1347" spans="14:14" ht="15" customHeight="1">
      <c r="N1347" t="str">
        <f t="shared" si="21"/>
        <v/>
      </c>
    </row>
    <row r="1348" spans="14:14" ht="15" customHeight="1">
      <c r="N1348" t="str">
        <f t="shared" si="21"/>
        <v/>
      </c>
    </row>
    <row r="1349" spans="14:14" ht="15" customHeight="1">
      <c r="N1349" t="str">
        <f t="shared" si="21"/>
        <v/>
      </c>
    </row>
    <row r="1350" spans="14:14" ht="15" customHeight="1">
      <c r="N1350" t="str">
        <f t="shared" si="21"/>
        <v/>
      </c>
    </row>
    <row r="1351" spans="14:14" ht="15" customHeight="1">
      <c r="N1351" t="str">
        <f t="shared" si="21"/>
        <v/>
      </c>
    </row>
    <row r="1352" spans="14:14" ht="15" customHeight="1">
      <c r="N1352" t="str">
        <f t="shared" si="21"/>
        <v/>
      </c>
    </row>
    <row r="1353" spans="14:14" ht="15" customHeight="1">
      <c r="N1353" t="str">
        <f t="shared" si="21"/>
        <v/>
      </c>
    </row>
    <row r="1354" spans="14:14" ht="15" customHeight="1">
      <c r="N1354" t="str">
        <f t="shared" si="21"/>
        <v/>
      </c>
    </row>
    <row r="1355" spans="14:14" ht="15" customHeight="1">
      <c r="N1355" t="str">
        <f t="shared" si="21"/>
        <v/>
      </c>
    </row>
    <row r="1356" spans="14:14" ht="15" customHeight="1">
      <c r="N1356" t="str">
        <f t="shared" si="21"/>
        <v/>
      </c>
    </row>
    <row r="1357" spans="14:14" ht="15" customHeight="1">
      <c r="N1357" t="str">
        <f t="shared" si="21"/>
        <v/>
      </c>
    </row>
    <row r="1358" spans="14:14" ht="15" customHeight="1">
      <c r="N1358" t="str">
        <f t="shared" si="21"/>
        <v/>
      </c>
    </row>
    <row r="1359" spans="14:14" ht="15" customHeight="1">
      <c r="N1359" t="str">
        <f t="shared" si="21"/>
        <v/>
      </c>
    </row>
    <row r="1360" spans="14:14" ht="15" customHeight="1">
      <c r="N1360" t="str">
        <f t="shared" si="21"/>
        <v/>
      </c>
    </row>
    <row r="1361" spans="14:14" ht="15" customHeight="1">
      <c r="N1361" t="str">
        <f t="shared" si="21"/>
        <v/>
      </c>
    </row>
    <row r="1362" spans="14:14" ht="15" customHeight="1">
      <c r="N1362" t="str">
        <f t="shared" si="21"/>
        <v/>
      </c>
    </row>
    <row r="1363" spans="14:14" ht="15" customHeight="1">
      <c r="N1363" t="str">
        <f t="shared" si="21"/>
        <v/>
      </c>
    </row>
    <row r="1364" spans="14:14" ht="15" customHeight="1">
      <c r="N1364" t="str">
        <f t="shared" si="21"/>
        <v/>
      </c>
    </row>
    <row r="1365" spans="14:14" ht="15" customHeight="1">
      <c r="N1365" t="str">
        <f t="shared" si="21"/>
        <v/>
      </c>
    </row>
    <row r="1366" spans="14:14" ht="15" customHeight="1">
      <c r="N1366" t="str">
        <f t="shared" si="21"/>
        <v/>
      </c>
    </row>
    <row r="1367" spans="14:14" ht="15" customHeight="1">
      <c r="N1367" t="str">
        <f t="shared" si="21"/>
        <v/>
      </c>
    </row>
    <row r="1368" spans="14:14" ht="15" customHeight="1">
      <c r="N1368" t="str">
        <f t="shared" si="21"/>
        <v/>
      </c>
    </row>
    <row r="1369" spans="14:14" ht="15" customHeight="1">
      <c r="N1369" t="str">
        <f t="shared" si="21"/>
        <v/>
      </c>
    </row>
    <row r="1370" spans="14:14" ht="15" customHeight="1">
      <c r="N1370" t="str">
        <f t="shared" si="21"/>
        <v/>
      </c>
    </row>
    <row r="1371" spans="14:14" ht="15" customHeight="1">
      <c r="N1371" t="str">
        <f t="shared" si="21"/>
        <v/>
      </c>
    </row>
    <row r="1372" spans="14:14" ht="15" customHeight="1">
      <c r="N1372" t="str">
        <f t="shared" si="21"/>
        <v/>
      </c>
    </row>
    <row r="1373" spans="14:14" ht="15" customHeight="1">
      <c r="N1373" t="str">
        <f t="shared" si="21"/>
        <v/>
      </c>
    </row>
    <row r="1374" spans="14:14" ht="15" customHeight="1">
      <c r="N1374" t="str">
        <f t="shared" si="21"/>
        <v/>
      </c>
    </row>
    <row r="1375" spans="14:14" ht="15" customHeight="1">
      <c r="N1375" t="str">
        <f t="shared" si="21"/>
        <v/>
      </c>
    </row>
    <row r="1376" spans="14:14" ht="15" customHeight="1">
      <c r="N1376" t="str">
        <f t="shared" si="21"/>
        <v/>
      </c>
    </row>
    <row r="1377" spans="14:14" ht="15" customHeight="1">
      <c r="N1377" t="str">
        <f t="shared" si="21"/>
        <v/>
      </c>
    </row>
    <row r="1378" spans="14:14" ht="15" customHeight="1">
      <c r="N1378" t="str">
        <f t="shared" si="21"/>
        <v/>
      </c>
    </row>
    <row r="1379" spans="14:14" ht="15" customHeight="1">
      <c r="N1379" t="str">
        <f t="shared" si="21"/>
        <v/>
      </c>
    </row>
    <row r="1380" spans="14:14" ht="15" customHeight="1">
      <c r="N1380" t="str">
        <f t="shared" si="21"/>
        <v/>
      </c>
    </row>
    <row r="1381" spans="14:14" ht="15" customHeight="1">
      <c r="N1381" t="str">
        <f t="shared" si="21"/>
        <v/>
      </c>
    </row>
    <row r="1382" spans="14:14" ht="15" customHeight="1">
      <c r="N1382" t="str">
        <f t="shared" si="21"/>
        <v/>
      </c>
    </row>
    <row r="1383" spans="14:14" ht="15" customHeight="1">
      <c r="N1383" t="str">
        <f t="shared" si="21"/>
        <v/>
      </c>
    </row>
    <row r="1384" spans="14:14" ht="15" customHeight="1">
      <c r="N1384" t="str">
        <f t="shared" si="21"/>
        <v/>
      </c>
    </row>
    <row r="1385" spans="14:14" ht="15" customHeight="1">
      <c r="N1385" t="str">
        <f t="shared" si="21"/>
        <v/>
      </c>
    </row>
    <row r="1386" spans="14:14" ht="15" customHeight="1">
      <c r="N1386" t="str">
        <f t="shared" si="21"/>
        <v/>
      </c>
    </row>
    <row r="1387" spans="14:14" ht="15" customHeight="1">
      <c r="N1387" t="str">
        <f t="shared" si="21"/>
        <v/>
      </c>
    </row>
    <row r="1388" spans="14:14" ht="15" customHeight="1">
      <c r="N1388" t="str">
        <f t="shared" si="21"/>
        <v/>
      </c>
    </row>
    <row r="1389" spans="14:14" ht="15" customHeight="1">
      <c r="N1389" t="str">
        <f t="shared" si="21"/>
        <v/>
      </c>
    </row>
    <row r="1390" spans="14:14" ht="15" customHeight="1">
      <c r="N1390" t="str">
        <f t="shared" si="21"/>
        <v/>
      </c>
    </row>
    <row r="1391" spans="14:14" ht="15" customHeight="1">
      <c r="N1391" t="str">
        <f t="shared" si="21"/>
        <v/>
      </c>
    </row>
    <row r="1392" spans="14:14" ht="15" customHeight="1">
      <c r="N1392" t="str">
        <f t="shared" si="21"/>
        <v/>
      </c>
    </row>
    <row r="1393" spans="14:14" ht="15" customHeight="1">
      <c r="N1393" t="str">
        <f t="shared" si="21"/>
        <v/>
      </c>
    </row>
    <row r="1394" spans="14:14" ht="15" customHeight="1">
      <c r="N1394" t="str">
        <f t="shared" si="21"/>
        <v/>
      </c>
    </row>
    <row r="1395" spans="14:14" ht="15" customHeight="1">
      <c r="N1395" t="str">
        <f t="shared" si="21"/>
        <v/>
      </c>
    </row>
    <row r="1396" spans="14:14" ht="15" customHeight="1">
      <c r="N1396" t="str">
        <f t="shared" si="21"/>
        <v/>
      </c>
    </row>
    <row r="1397" spans="14:14" ht="15" customHeight="1">
      <c r="N1397" t="str">
        <f t="shared" si="21"/>
        <v/>
      </c>
    </row>
    <row r="1398" spans="14:14" ht="15" customHeight="1">
      <c r="N1398" t="str">
        <f t="shared" si="21"/>
        <v/>
      </c>
    </row>
    <row r="1399" spans="14:14" ht="15" customHeight="1">
      <c r="N1399" t="str">
        <f t="shared" si="21"/>
        <v/>
      </c>
    </row>
    <row r="1400" spans="14:14" ht="15" customHeight="1">
      <c r="N1400" t="str">
        <f t="shared" si="21"/>
        <v/>
      </c>
    </row>
    <row r="1401" spans="14:14" ht="15" customHeight="1">
      <c r="N1401" t="str">
        <f t="shared" si="21"/>
        <v/>
      </c>
    </row>
    <row r="1402" spans="14:14" ht="15" customHeight="1">
      <c r="N1402" t="str">
        <f t="shared" si="21"/>
        <v/>
      </c>
    </row>
    <row r="1403" spans="14:14" ht="15" customHeight="1">
      <c r="N1403" t="str">
        <f t="shared" si="21"/>
        <v/>
      </c>
    </row>
    <row r="1404" spans="14:14" ht="15" customHeight="1">
      <c r="N1404" t="str">
        <f t="shared" si="21"/>
        <v/>
      </c>
    </row>
    <row r="1405" spans="14:14" ht="15" customHeight="1">
      <c r="N1405" t="str">
        <f t="shared" si="21"/>
        <v/>
      </c>
    </row>
    <row r="1406" spans="14:14" ht="15" customHeight="1">
      <c r="N1406" t="str">
        <f t="shared" si="21"/>
        <v/>
      </c>
    </row>
    <row r="1407" spans="14:14" ht="15" customHeight="1">
      <c r="N1407" t="str">
        <f t="shared" si="21"/>
        <v/>
      </c>
    </row>
    <row r="1408" spans="14:14" ht="15" customHeight="1">
      <c r="N1408" t="str">
        <f t="shared" si="21"/>
        <v/>
      </c>
    </row>
    <row r="1409" spans="14:14" ht="15" customHeight="1">
      <c r="N1409" t="str">
        <f t="shared" si="21"/>
        <v/>
      </c>
    </row>
    <row r="1410" spans="14:14" ht="15" customHeight="1">
      <c r="N1410" t="str">
        <f t="shared" ref="N1410:N1473" si="22">IF(L1410="","",IF(2026-E1410&gt;0,L1410/(2026-E1410),L1410))</f>
        <v/>
      </c>
    </row>
    <row r="1411" spans="14:14" ht="15" customHeight="1">
      <c r="N1411" t="str">
        <f t="shared" si="22"/>
        <v/>
      </c>
    </row>
    <row r="1412" spans="14:14" ht="15" customHeight="1">
      <c r="N1412" t="str">
        <f t="shared" si="22"/>
        <v/>
      </c>
    </row>
    <row r="1413" spans="14:14" ht="15" customHeight="1">
      <c r="N1413" t="str">
        <f t="shared" si="22"/>
        <v/>
      </c>
    </row>
    <row r="1414" spans="14:14" ht="15" customHeight="1">
      <c r="N1414" t="str">
        <f t="shared" si="22"/>
        <v/>
      </c>
    </row>
    <row r="1415" spans="14:14" ht="15" customHeight="1">
      <c r="N1415" t="str">
        <f t="shared" si="22"/>
        <v/>
      </c>
    </row>
    <row r="1416" spans="14:14" ht="15" customHeight="1">
      <c r="N1416" t="str">
        <f t="shared" si="22"/>
        <v/>
      </c>
    </row>
    <row r="1417" spans="14:14" ht="15" customHeight="1">
      <c r="N1417" t="str">
        <f t="shared" si="22"/>
        <v/>
      </c>
    </row>
    <row r="1418" spans="14:14" ht="15" customHeight="1">
      <c r="N1418" t="str">
        <f t="shared" si="22"/>
        <v/>
      </c>
    </row>
    <row r="1419" spans="14:14" ht="15" customHeight="1">
      <c r="N1419" t="str">
        <f t="shared" si="22"/>
        <v/>
      </c>
    </row>
    <row r="1420" spans="14:14" ht="15" customHeight="1">
      <c r="N1420" t="str">
        <f t="shared" si="22"/>
        <v/>
      </c>
    </row>
    <row r="1421" spans="14:14" ht="15" customHeight="1">
      <c r="N1421" t="str">
        <f t="shared" si="22"/>
        <v/>
      </c>
    </row>
    <row r="1422" spans="14:14" ht="15" customHeight="1">
      <c r="N1422" t="str">
        <f t="shared" si="22"/>
        <v/>
      </c>
    </row>
    <row r="1423" spans="14:14" ht="15" customHeight="1">
      <c r="N1423" t="str">
        <f t="shared" si="22"/>
        <v/>
      </c>
    </row>
    <row r="1424" spans="14:14" ht="15" customHeight="1">
      <c r="N1424" t="str">
        <f t="shared" si="22"/>
        <v/>
      </c>
    </row>
    <row r="1425" spans="14:14" ht="15" customHeight="1">
      <c r="N1425" t="str">
        <f t="shared" si="22"/>
        <v/>
      </c>
    </row>
    <row r="1426" spans="14:14" ht="15" customHeight="1">
      <c r="N1426" t="str">
        <f t="shared" si="22"/>
        <v/>
      </c>
    </row>
    <row r="1427" spans="14:14" ht="15" customHeight="1">
      <c r="N1427" t="str">
        <f t="shared" si="22"/>
        <v/>
      </c>
    </row>
    <row r="1428" spans="14:14" ht="15" customHeight="1">
      <c r="N1428" t="str">
        <f t="shared" si="22"/>
        <v/>
      </c>
    </row>
    <row r="1429" spans="14:14" ht="15" customHeight="1">
      <c r="N1429" t="str">
        <f t="shared" si="22"/>
        <v/>
      </c>
    </row>
    <row r="1430" spans="14:14" ht="15" customHeight="1">
      <c r="N1430" t="str">
        <f t="shared" si="22"/>
        <v/>
      </c>
    </row>
    <row r="1431" spans="14:14" ht="15" customHeight="1">
      <c r="N1431" t="str">
        <f t="shared" si="22"/>
        <v/>
      </c>
    </row>
    <row r="1432" spans="14:14" ht="15" customHeight="1">
      <c r="N1432" t="str">
        <f t="shared" si="22"/>
        <v/>
      </c>
    </row>
    <row r="1433" spans="14:14" ht="15" customHeight="1">
      <c r="N1433" t="str">
        <f t="shared" si="22"/>
        <v/>
      </c>
    </row>
    <row r="1434" spans="14:14" ht="15" customHeight="1">
      <c r="N1434" t="str">
        <f t="shared" si="22"/>
        <v/>
      </c>
    </row>
    <row r="1435" spans="14:14" ht="15" customHeight="1">
      <c r="N1435" t="str">
        <f t="shared" si="22"/>
        <v/>
      </c>
    </row>
    <row r="1436" spans="14:14" ht="15" customHeight="1">
      <c r="N1436" t="str">
        <f t="shared" si="22"/>
        <v/>
      </c>
    </row>
    <row r="1437" spans="14:14" ht="15" customHeight="1">
      <c r="N1437" t="str">
        <f t="shared" si="22"/>
        <v/>
      </c>
    </row>
    <row r="1438" spans="14:14" ht="15" customHeight="1">
      <c r="N1438" t="str">
        <f t="shared" si="22"/>
        <v/>
      </c>
    </row>
    <row r="1439" spans="14:14" ht="15" customHeight="1">
      <c r="N1439" t="str">
        <f t="shared" si="22"/>
        <v/>
      </c>
    </row>
    <row r="1440" spans="14:14" ht="15" customHeight="1">
      <c r="N1440" t="str">
        <f t="shared" si="22"/>
        <v/>
      </c>
    </row>
    <row r="1441" spans="14:14" ht="15" customHeight="1">
      <c r="N1441" t="str">
        <f t="shared" si="22"/>
        <v/>
      </c>
    </row>
    <row r="1442" spans="14:14" ht="15" customHeight="1">
      <c r="N1442" t="str">
        <f t="shared" si="22"/>
        <v/>
      </c>
    </row>
    <row r="1443" spans="14:14" ht="15" customHeight="1">
      <c r="N1443" t="str">
        <f t="shared" si="22"/>
        <v/>
      </c>
    </row>
    <row r="1444" spans="14:14" ht="15" customHeight="1">
      <c r="N1444" t="str">
        <f t="shared" si="22"/>
        <v/>
      </c>
    </row>
    <row r="1445" spans="14:14" ht="15" customHeight="1">
      <c r="N1445" t="str">
        <f t="shared" si="22"/>
        <v/>
      </c>
    </row>
    <row r="1446" spans="14:14" ht="15" customHeight="1">
      <c r="N1446" t="str">
        <f t="shared" si="22"/>
        <v/>
      </c>
    </row>
    <row r="1447" spans="14:14" ht="15" customHeight="1">
      <c r="N1447" t="str">
        <f t="shared" si="22"/>
        <v/>
      </c>
    </row>
    <row r="1448" spans="14:14" ht="15" customHeight="1">
      <c r="N1448" t="str">
        <f t="shared" si="22"/>
        <v/>
      </c>
    </row>
    <row r="1449" spans="14:14" ht="15" customHeight="1">
      <c r="N1449" t="str">
        <f t="shared" si="22"/>
        <v/>
      </c>
    </row>
    <row r="1450" spans="14:14" ht="15" customHeight="1">
      <c r="N1450" t="str">
        <f t="shared" si="22"/>
        <v/>
      </c>
    </row>
    <row r="1451" spans="14:14" ht="15" customHeight="1">
      <c r="N1451" t="str">
        <f t="shared" si="22"/>
        <v/>
      </c>
    </row>
    <row r="1452" spans="14:14" ht="15" customHeight="1">
      <c r="N1452" t="str">
        <f t="shared" si="22"/>
        <v/>
      </c>
    </row>
    <row r="1453" spans="14:14" ht="15" customHeight="1">
      <c r="N1453" t="str">
        <f t="shared" si="22"/>
        <v/>
      </c>
    </row>
    <row r="1454" spans="14:14" ht="15" customHeight="1">
      <c r="N1454" t="str">
        <f t="shared" si="22"/>
        <v/>
      </c>
    </row>
    <row r="1455" spans="14:14" ht="15" customHeight="1">
      <c r="N1455" t="str">
        <f t="shared" si="22"/>
        <v/>
      </c>
    </row>
    <row r="1456" spans="14:14" ht="15" customHeight="1">
      <c r="N1456" t="str">
        <f t="shared" si="22"/>
        <v/>
      </c>
    </row>
    <row r="1457" spans="14:14" ht="15" customHeight="1">
      <c r="N1457" t="str">
        <f t="shared" si="22"/>
        <v/>
      </c>
    </row>
    <row r="1458" spans="14:14" ht="15" customHeight="1">
      <c r="N1458" t="str">
        <f t="shared" si="22"/>
        <v/>
      </c>
    </row>
    <row r="1459" spans="14:14" ht="15" customHeight="1">
      <c r="N1459" t="str">
        <f t="shared" si="22"/>
        <v/>
      </c>
    </row>
    <row r="1460" spans="14:14" ht="15" customHeight="1">
      <c r="N1460" t="str">
        <f t="shared" si="22"/>
        <v/>
      </c>
    </row>
    <row r="1461" spans="14:14" ht="15" customHeight="1">
      <c r="N1461" t="str">
        <f t="shared" si="22"/>
        <v/>
      </c>
    </row>
    <row r="1462" spans="14:14" ht="15" customHeight="1">
      <c r="N1462" t="str">
        <f t="shared" si="22"/>
        <v/>
      </c>
    </row>
    <row r="1463" spans="14:14" ht="15" customHeight="1">
      <c r="N1463" t="str">
        <f t="shared" si="22"/>
        <v/>
      </c>
    </row>
    <row r="1464" spans="14:14" ht="15" customHeight="1">
      <c r="N1464" t="str">
        <f t="shared" si="22"/>
        <v/>
      </c>
    </row>
    <row r="1465" spans="14:14" ht="15" customHeight="1">
      <c r="N1465" t="str">
        <f t="shared" si="22"/>
        <v/>
      </c>
    </row>
    <row r="1466" spans="14:14" ht="15" customHeight="1">
      <c r="N1466" t="str">
        <f t="shared" si="22"/>
        <v/>
      </c>
    </row>
    <row r="1467" spans="14:14" ht="15" customHeight="1">
      <c r="N1467" t="str">
        <f t="shared" si="22"/>
        <v/>
      </c>
    </row>
    <row r="1468" spans="14:14" ht="15" customHeight="1">
      <c r="N1468" t="str">
        <f t="shared" si="22"/>
        <v/>
      </c>
    </row>
    <row r="1469" spans="14:14" ht="15" customHeight="1">
      <c r="N1469" t="str">
        <f t="shared" si="22"/>
        <v/>
      </c>
    </row>
    <row r="1470" spans="14:14" ht="15" customHeight="1">
      <c r="N1470" t="str">
        <f t="shared" si="22"/>
        <v/>
      </c>
    </row>
    <row r="1471" spans="14:14" ht="15" customHeight="1">
      <c r="N1471" t="str">
        <f t="shared" si="22"/>
        <v/>
      </c>
    </row>
    <row r="1472" spans="14:14" ht="15" customHeight="1">
      <c r="N1472" t="str">
        <f t="shared" si="22"/>
        <v/>
      </c>
    </row>
    <row r="1473" spans="14:14" ht="15" customHeight="1">
      <c r="N1473" t="str">
        <f t="shared" si="22"/>
        <v/>
      </c>
    </row>
    <row r="1474" spans="14:14" ht="15" customHeight="1">
      <c r="N1474" t="str">
        <f t="shared" ref="N1474:N1537" si="23">IF(L1474="","",IF(2026-E1474&gt;0,L1474/(2026-E1474),L1474))</f>
        <v/>
      </c>
    </row>
    <row r="1475" spans="14:14" ht="15" customHeight="1">
      <c r="N1475" t="str">
        <f t="shared" si="23"/>
        <v/>
      </c>
    </row>
    <row r="1476" spans="14:14" ht="15" customHeight="1">
      <c r="N1476" t="str">
        <f t="shared" si="23"/>
        <v/>
      </c>
    </row>
    <row r="1477" spans="14:14" ht="15" customHeight="1">
      <c r="N1477" t="str">
        <f t="shared" si="23"/>
        <v/>
      </c>
    </row>
    <row r="1478" spans="14:14" ht="15" customHeight="1">
      <c r="N1478" t="str">
        <f t="shared" si="23"/>
        <v/>
      </c>
    </row>
    <row r="1479" spans="14:14" ht="15" customHeight="1">
      <c r="N1479" t="str">
        <f t="shared" si="23"/>
        <v/>
      </c>
    </row>
    <row r="1480" spans="14:14" ht="15" customHeight="1">
      <c r="N1480" t="str">
        <f t="shared" si="23"/>
        <v/>
      </c>
    </row>
    <row r="1481" spans="14:14" ht="15" customHeight="1">
      <c r="N1481" t="str">
        <f t="shared" si="23"/>
        <v/>
      </c>
    </row>
    <row r="1482" spans="14:14" ht="15" customHeight="1">
      <c r="N1482" t="str">
        <f t="shared" si="23"/>
        <v/>
      </c>
    </row>
    <row r="1483" spans="14:14" ht="15" customHeight="1">
      <c r="N1483" t="str">
        <f t="shared" si="23"/>
        <v/>
      </c>
    </row>
    <row r="1484" spans="14:14" ht="15" customHeight="1">
      <c r="N1484" t="str">
        <f t="shared" si="23"/>
        <v/>
      </c>
    </row>
    <row r="1485" spans="14:14" ht="15" customHeight="1">
      <c r="N1485" t="str">
        <f t="shared" si="23"/>
        <v/>
      </c>
    </row>
    <row r="1486" spans="14:14" ht="15" customHeight="1">
      <c r="N1486" t="str">
        <f t="shared" si="23"/>
        <v/>
      </c>
    </row>
    <row r="1487" spans="14:14" ht="15" customHeight="1">
      <c r="N1487" t="str">
        <f t="shared" si="23"/>
        <v/>
      </c>
    </row>
    <row r="1488" spans="14:14" ht="15" customHeight="1">
      <c r="N1488" t="str">
        <f t="shared" si="23"/>
        <v/>
      </c>
    </row>
    <row r="1489" spans="14:14" ht="15" customHeight="1">
      <c r="N1489" t="str">
        <f t="shared" si="23"/>
        <v/>
      </c>
    </row>
    <row r="1490" spans="14:14" ht="15" customHeight="1">
      <c r="N1490" t="str">
        <f t="shared" si="23"/>
        <v/>
      </c>
    </row>
    <row r="1491" spans="14:14" ht="15" customHeight="1">
      <c r="N1491" t="str">
        <f t="shared" si="23"/>
        <v/>
      </c>
    </row>
    <row r="1492" spans="14:14" ht="15" customHeight="1">
      <c r="N1492" t="str">
        <f t="shared" si="23"/>
        <v/>
      </c>
    </row>
    <row r="1493" spans="14:14" ht="15" customHeight="1">
      <c r="N1493" t="str">
        <f t="shared" si="23"/>
        <v/>
      </c>
    </row>
    <row r="1494" spans="14:14" ht="15" customHeight="1">
      <c r="N1494" t="str">
        <f t="shared" si="23"/>
        <v/>
      </c>
    </row>
    <row r="1495" spans="14:14" ht="15" customHeight="1">
      <c r="N1495" t="str">
        <f t="shared" si="23"/>
        <v/>
      </c>
    </row>
    <row r="1496" spans="14:14" ht="15" customHeight="1">
      <c r="N1496" t="str">
        <f t="shared" si="23"/>
        <v/>
      </c>
    </row>
    <row r="1497" spans="14:14" ht="15" customHeight="1">
      <c r="N1497" t="str">
        <f t="shared" si="23"/>
        <v/>
      </c>
    </row>
    <row r="1498" spans="14:14" ht="15" customHeight="1">
      <c r="N1498" t="str">
        <f t="shared" si="23"/>
        <v/>
      </c>
    </row>
    <row r="1499" spans="14:14" ht="15" customHeight="1">
      <c r="N1499" t="str">
        <f t="shared" si="23"/>
        <v/>
      </c>
    </row>
    <row r="1500" spans="14:14" ht="15" customHeight="1">
      <c r="N1500" t="str">
        <f t="shared" si="23"/>
        <v/>
      </c>
    </row>
    <row r="1501" spans="14:14" ht="15" customHeight="1">
      <c r="N1501" t="str">
        <f t="shared" si="23"/>
        <v/>
      </c>
    </row>
    <row r="1502" spans="14:14" ht="15" customHeight="1">
      <c r="N1502" t="str">
        <f t="shared" si="23"/>
        <v/>
      </c>
    </row>
    <row r="1503" spans="14:14" ht="15" customHeight="1">
      <c r="N1503" t="str">
        <f t="shared" si="23"/>
        <v/>
      </c>
    </row>
    <row r="1504" spans="14:14" ht="15" customHeight="1">
      <c r="N1504" t="str">
        <f t="shared" si="23"/>
        <v/>
      </c>
    </row>
    <row r="1505" spans="14:14" ht="15" customHeight="1">
      <c r="N1505" t="str">
        <f t="shared" si="23"/>
        <v/>
      </c>
    </row>
    <row r="1506" spans="14:14" ht="15" customHeight="1">
      <c r="N1506" t="str">
        <f t="shared" si="23"/>
        <v/>
      </c>
    </row>
    <row r="1507" spans="14:14" ht="15" customHeight="1">
      <c r="N1507" t="str">
        <f t="shared" si="23"/>
        <v/>
      </c>
    </row>
    <row r="1508" spans="14:14" ht="15" customHeight="1">
      <c r="N1508" t="str">
        <f t="shared" si="23"/>
        <v/>
      </c>
    </row>
    <row r="1509" spans="14:14" ht="15" customHeight="1">
      <c r="N1509" t="str">
        <f t="shared" si="23"/>
        <v/>
      </c>
    </row>
    <row r="1510" spans="14:14" ht="15" customHeight="1">
      <c r="N1510" t="str">
        <f t="shared" si="23"/>
        <v/>
      </c>
    </row>
    <row r="1511" spans="14:14" ht="15" customHeight="1">
      <c r="N1511" t="str">
        <f t="shared" si="23"/>
        <v/>
      </c>
    </row>
    <row r="1512" spans="14:14" ht="15" customHeight="1">
      <c r="N1512" t="str">
        <f t="shared" si="23"/>
        <v/>
      </c>
    </row>
    <row r="1513" spans="14:14" ht="15" customHeight="1">
      <c r="N1513" t="str">
        <f t="shared" si="23"/>
        <v/>
      </c>
    </row>
    <row r="1514" spans="14:14" ht="15" customHeight="1">
      <c r="N1514" t="str">
        <f t="shared" si="23"/>
        <v/>
      </c>
    </row>
    <row r="1515" spans="14:14" ht="15" customHeight="1">
      <c r="N1515" t="str">
        <f t="shared" si="23"/>
        <v/>
      </c>
    </row>
    <row r="1516" spans="14:14" ht="15" customHeight="1">
      <c r="N1516" t="str">
        <f t="shared" si="23"/>
        <v/>
      </c>
    </row>
    <row r="1517" spans="14:14" ht="15" customHeight="1">
      <c r="N1517" t="str">
        <f t="shared" si="23"/>
        <v/>
      </c>
    </row>
    <row r="1518" spans="14:14" ht="15" customHeight="1">
      <c r="N1518" t="str">
        <f t="shared" si="23"/>
        <v/>
      </c>
    </row>
    <row r="1519" spans="14:14" ht="15" customHeight="1">
      <c r="N1519" t="str">
        <f t="shared" si="23"/>
        <v/>
      </c>
    </row>
    <row r="1520" spans="14:14" ht="15" customHeight="1">
      <c r="N1520" t="str">
        <f t="shared" si="23"/>
        <v/>
      </c>
    </row>
    <row r="1521" spans="14:14" ht="15" customHeight="1">
      <c r="N1521" t="str">
        <f t="shared" si="23"/>
        <v/>
      </c>
    </row>
    <row r="1522" spans="14:14" ht="15" customHeight="1">
      <c r="N1522" t="str">
        <f t="shared" si="23"/>
        <v/>
      </c>
    </row>
    <row r="1523" spans="14:14" ht="15" customHeight="1">
      <c r="N1523" t="str">
        <f t="shared" si="23"/>
        <v/>
      </c>
    </row>
    <row r="1524" spans="14:14" ht="15" customHeight="1">
      <c r="N1524" t="str">
        <f t="shared" si="23"/>
        <v/>
      </c>
    </row>
    <row r="1525" spans="14:14" ht="15" customHeight="1">
      <c r="N1525" t="str">
        <f t="shared" si="23"/>
        <v/>
      </c>
    </row>
    <row r="1526" spans="14:14" ht="15" customHeight="1">
      <c r="N1526" t="str">
        <f t="shared" si="23"/>
        <v/>
      </c>
    </row>
    <row r="1527" spans="14:14" ht="15" customHeight="1">
      <c r="N1527" t="str">
        <f t="shared" si="23"/>
        <v/>
      </c>
    </row>
    <row r="1528" spans="14:14" ht="15" customHeight="1">
      <c r="N1528" t="str">
        <f t="shared" si="23"/>
        <v/>
      </c>
    </row>
    <row r="1529" spans="14:14" ht="15" customHeight="1">
      <c r="N1529" t="str">
        <f t="shared" si="23"/>
        <v/>
      </c>
    </row>
    <row r="1530" spans="14:14" ht="15" customHeight="1">
      <c r="N1530" t="str">
        <f t="shared" si="23"/>
        <v/>
      </c>
    </row>
    <row r="1531" spans="14:14" ht="15" customHeight="1">
      <c r="N1531" t="str">
        <f t="shared" si="23"/>
        <v/>
      </c>
    </row>
    <row r="1532" spans="14:14" ht="15" customHeight="1">
      <c r="N1532" t="str">
        <f t="shared" si="23"/>
        <v/>
      </c>
    </row>
    <row r="1533" spans="14:14" ht="15" customHeight="1">
      <c r="N1533" t="str">
        <f t="shared" si="23"/>
        <v/>
      </c>
    </row>
    <row r="1534" spans="14:14" ht="15" customHeight="1">
      <c r="N1534" t="str">
        <f t="shared" si="23"/>
        <v/>
      </c>
    </row>
    <row r="1535" spans="14:14" ht="15" customHeight="1">
      <c r="N1535" t="str">
        <f t="shared" si="23"/>
        <v/>
      </c>
    </row>
    <row r="1536" spans="14:14" ht="15" customHeight="1">
      <c r="N1536" t="str">
        <f t="shared" si="23"/>
        <v/>
      </c>
    </row>
    <row r="1537" spans="14:14" ht="15" customHeight="1">
      <c r="N1537" t="str">
        <f t="shared" si="23"/>
        <v/>
      </c>
    </row>
    <row r="1538" spans="14:14" ht="15" customHeight="1">
      <c r="N1538" t="str">
        <f t="shared" ref="N1538:N1601" si="24">IF(L1538="","",IF(2026-E1538&gt;0,L1538/(2026-E1538),L1538))</f>
        <v/>
      </c>
    </row>
    <row r="1539" spans="14:14" ht="15" customHeight="1">
      <c r="N1539" t="str">
        <f t="shared" si="24"/>
        <v/>
      </c>
    </row>
    <row r="1540" spans="14:14" ht="15" customHeight="1">
      <c r="N1540" t="str">
        <f t="shared" si="24"/>
        <v/>
      </c>
    </row>
    <row r="1541" spans="14:14" ht="15" customHeight="1">
      <c r="N1541" t="str">
        <f t="shared" si="24"/>
        <v/>
      </c>
    </row>
    <row r="1542" spans="14:14" ht="15" customHeight="1">
      <c r="N1542" t="str">
        <f t="shared" si="24"/>
        <v/>
      </c>
    </row>
    <row r="1543" spans="14:14" ht="15" customHeight="1">
      <c r="N1543" t="str">
        <f t="shared" si="24"/>
        <v/>
      </c>
    </row>
    <row r="1544" spans="14:14" ht="15" customHeight="1">
      <c r="N1544" t="str">
        <f t="shared" si="24"/>
        <v/>
      </c>
    </row>
    <row r="1545" spans="14:14" ht="15" customHeight="1">
      <c r="N1545" t="str">
        <f t="shared" si="24"/>
        <v/>
      </c>
    </row>
    <row r="1546" spans="14:14" ht="15" customHeight="1">
      <c r="N1546" t="str">
        <f t="shared" si="24"/>
        <v/>
      </c>
    </row>
    <row r="1547" spans="14:14" ht="15" customHeight="1">
      <c r="N1547" t="str">
        <f t="shared" si="24"/>
        <v/>
      </c>
    </row>
    <row r="1548" spans="14:14" ht="15" customHeight="1">
      <c r="N1548" t="str">
        <f t="shared" si="24"/>
        <v/>
      </c>
    </row>
    <row r="1549" spans="14:14" ht="15" customHeight="1">
      <c r="N1549" t="str">
        <f t="shared" si="24"/>
        <v/>
      </c>
    </row>
    <row r="1550" spans="14:14" ht="15" customHeight="1">
      <c r="N1550" t="str">
        <f t="shared" si="24"/>
        <v/>
      </c>
    </row>
    <row r="1551" spans="14:14" ht="15" customHeight="1">
      <c r="N1551" t="str">
        <f t="shared" si="24"/>
        <v/>
      </c>
    </row>
    <row r="1552" spans="14:14" ht="15" customHeight="1">
      <c r="N1552" t="str">
        <f t="shared" si="24"/>
        <v/>
      </c>
    </row>
    <row r="1553" spans="14:14" ht="15" customHeight="1">
      <c r="N1553" t="str">
        <f t="shared" si="24"/>
        <v/>
      </c>
    </row>
    <row r="1554" spans="14:14" ht="15" customHeight="1">
      <c r="N1554" t="str">
        <f t="shared" si="24"/>
        <v/>
      </c>
    </row>
    <row r="1555" spans="14:14" ht="15" customHeight="1">
      <c r="N1555" t="str">
        <f t="shared" si="24"/>
        <v/>
      </c>
    </row>
    <row r="1556" spans="14:14" ht="15" customHeight="1">
      <c r="N1556" t="str">
        <f t="shared" si="24"/>
        <v/>
      </c>
    </row>
    <row r="1557" spans="14:14" ht="15" customHeight="1">
      <c r="N1557" t="str">
        <f t="shared" si="24"/>
        <v/>
      </c>
    </row>
    <row r="1558" spans="14:14" ht="15" customHeight="1">
      <c r="N1558" t="str">
        <f t="shared" si="24"/>
        <v/>
      </c>
    </row>
    <row r="1559" spans="14:14" ht="15" customHeight="1">
      <c r="N1559" t="str">
        <f t="shared" si="24"/>
        <v/>
      </c>
    </row>
    <row r="1560" spans="14:14" ht="15" customHeight="1">
      <c r="N1560" t="str">
        <f t="shared" si="24"/>
        <v/>
      </c>
    </row>
    <row r="1561" spans="14:14" ht="15" customHeight="1">
      <c r="N1561" t="str">
        <f t="shared" si="24"/>
        <v/>
      </c>
    </row>
    <row r="1562" spans="14:14" ht="15" customHeight="1">
      <c r="N1562" t="str">
        <f t="shared" si="24"/>
        <v/>
      </c>
    </row>
    <row r="1563" spans="14:14" ht="15" customHeight="1">
      <c r="N1563" t="str">
        <f t="shared" si="24"/>
        <v/>
      </c>
    </row>
    <row r="1564" spans="14:14" ht="15" customHeight="1">
      <c r="N1564" t="str">
        <f t="shared" si="24"/>
        <v/>
      </c>
    </row>
    <row r="1565" spans="14:14" ht="15" customHeight="1">
      <c r="N1565" t="str">
        <f t="shared" si="24"/>
        <v/>
      </c>
    </row>
    <row r="1566" spans="14:14" ht="15" customHeight="1">
      <c r="N1566" t="str">
        <f t="shared" si="24"/>
        <v/>
      </c>
    </row>
    <row r="1567" spans="14:14" ht="15" customHeight="1">
      <c r="N1567" t="str">
        <f t="shared" si="24"/>
        <v/>
      </c>
    </row>
    <row r="1568" spans="14:14" ht="15" customHeight="1">
      <c r="N1568" t="str">
        <f t="shared" si="24"/>
        <v/>
      </c>
    </row>
    <row r="1569" spans="14:14" ht="15" customHeight="1">
      <c r="N1569" t="str">
        <f t="shared" si="24"/>
        <v/>
      </c>
    </row>
    <row r="1570" spans="14:14" ht="15" customHeight="1">
      <c r="N1570" t="str">
        <f t="shared" si="24"/>
        <v/>
      </c>
    </row>
    <row r="1571" spans="14:14" ht="15" customHeight="1">
      <c r="N1571" t="str">
        <f t="shared" si="24"/>
        <v/>
      </c>
    </row>
    <row r="1572" spans="14:14" ht="15" customHeight="1">
      <c r="N1572" t="str">
        <f t="shared" si="24"/>
        <v/>
      </c>
    </row>
    <row r="1573" spans="14:14" ht="15" customHeight="1">
      <c r="N1573" t="str">
        <f t="shared" si="24"/>
        <v/>
      </c>
    </row>
    <row r="1574" spans="14:14" ht="15" customHeight="1">
      <c r="N1574" t="str">
        <f t="shared" si="24"/>
        <v/>
      </c>
    </row>
    <row r="1575" spans="14:14" ht="15" customHeight="1">
      <c r="N1575" t="str">
        <f t="shared" si="24"/>
        <v/>
      </c>
    </row>
    <row r="1576" spans="14:14" ht="15" customHeight="1">
      <c r="N1576" t="str">
        <f t="shared" si="24"/>
        <v/>
      </c>
    </row>
    <row r="1577" spans="14:14" ht="15" customHeight="1">
      <c r="N1577" t="str">
        <f t="shared" si="24"/>
        <v/>
      </c>
    </row>
    <row r="1578" spans="14:14" ht="15" customHeight="1">
      <c r="N1578" t="str">
        <f t="shared" si="24"/>
        <v/>
      </c>
    </row>
    <row r="1579" spans="14:14" ht="15" customHeight="1">
      <c r="N1579" t="str">
        <f t="shared" si="24"/>
        <v/>
      </c>
    </row>
    <row r="1580" spans="14:14" ht="15" customHeight="1">
      <c r="N1580" t="str">
        <f t="shared" si="24"/>
        <v/>
      </c>
    </row>
    <row r="1581" spans="14:14" ht="15" customHeight="1">
      <c r="N1581" t="str">
        <f t="shared" si="24"/>
        <v/>
      </c>
    </row>
    <row r="1582" spans="14:14" ht="15" customHeight="1">
      <c r="N1582" t="str">
        <f t="shared" si="24"/>
        <v/>
      </c>
    </row>
    <row r="1583" spans="14:14" ht="15" customHeight="1">
      <c r="N1583" t="str">
        <f t="shared" si="24"/>
        <v/>
      </c>
    </row>
    <row r="1584" spans="14:14" ht="15" customHeight="1">
      <c r="N1584" t="str">
        <f t="shared" si="24"/>
        <v/>
      </c>
    </row>
    <row r="1585" spans="14:14" ht="15" customHeight="1">
      <c r="N1585" t="str">
        <f t="shared" si="24"/>
        <v/>
      </c>
    </row>
    <row r="1586" spans="14:14" ht="15" customHeight="1">
      <c r="N1586" t="str">
        <f t="shared" si="24"/>
        <v/>
      </c>
    </row>
    <row r="1587" spans="14:14" ht="15" customHeight="1">
      <c r="N1587" t="str">
        <f t="shared" si="24"/>
        <v/>
      </c>
    </row>
    <row r="1588" spans="14:14" ht="15" customHeight="1">
      <c r="N1588" t="str">
        <f t="shared" si="24"/>
        <v/>
      </c>
    </row>
    <row r="1589" spans="14:14" ht="15" customHeight="1">
      <c r="N1589" t="str">
        <f t="shared" si="24"/>
        <v/>
      </c>
    </row>
    <row r="1590" spans="14:14" ht="15" customHeight="1">
      <c r="N1590" t="str">
        <f t="shared" si="24"/>
        <v/>
      </c>
    </row>
    <row r="1591" spans="14:14" ht="15" customHeight="1">
      <c r="N1591" t="str">
        <f t="shared" si="24"/>
        <v/>
      </c>
    </row>
    <row r="1592" spans="14:14" ht="15" customHeight="1">
      <c r="N1592" t="str">
        <f t="shared" si="24"/>
        <v/>
      </c>
    </row>
    <row r="1593" spans="14:14" ht="15" customHeight="1">
      <c r="N1593" t="str">
        <f t="shared" si="24"/>
        <v/>
      </c>
    </row>
    <row r="1594" spans="14:14" ht="15" customHeight="1">
      <c r="N1594" t="str">
        <f t="shared" si="24"/>
        <v/>
      </c>
    </row>
    <row r="1595" spans="14:14" ht="15" customHeight="1">
      <c r="N1595" t="str">
        <f t="shared" si="24"/>
        <v/>
      </c>
    </row>
    <row r="1596" spans="14:14" ht="15" customHeight="1">
      <c r="N1596" t="str">
        <f t="shared" si="24"/>
        <v/>
      </c>
    </row>
    <row r="1597" spans="14:14" ht="15" customHeight="1">
      <c r="N1597" t="str">
        <f t="shared" si="24"/>
        <v/>
      </c>
    </row>
    <row r="1598" spans="14:14" ht="15" customHeight="1">
      <c r="N1598" t="str">
        <f t="shared" si="24"/>
        <v/>
      </c>
    </row>
    <row r="1599" spans="14:14" ht="15" customHeight="1">
      <c r="N1599" t="str">
        <f t="shared" si="24"/>
        <v/>
      </c>
    </row>
    <row r="1600" spans="14:14" ht="15" customHeight="1">
      <c r="N1600" t="str">
        <f t="shared" si="24"/>
        <v/>
      </c>
    </row>
    <row r="1601" spans="14:14" ht="15" customHeight="1">
      <c r="N1601" t="str">
        <f t="shared" si="24"/>
        <v/>
      </c>
    </row>
    <row r="1602" spans="14:14" ht="15" customHeight="1">
      <c r="N1602" t="str">
        <f t="shared" ref="N1602:N1665" si="25">IF(L1602="","",IF(2026-E1602&gt;0,L1602/(2026-E1602),L1602))</f>
        <v/>
      </c>
    </row>
    <row r="1603" spans="14:14" ht="15" customHeight="1">
      <c r="N1603" t="str">
        <f t="shared" si="25"/>
        <v/>
      </c>
    </row>
    <row r="1604" spans="14:14" ht="15" customHeight="1">
      <c r="N1604" t="str">
        <f t="shared" si="25"/>
        <v/>
      </c>
    </row>
    <row r="1605" spans="14:14" ht="15" customHeight="1">
      <c r="N1605" t="str">
        <f t="shared" si="25"/>
        <v/>
      </c>
    </row>
    <row r="1606" spans="14:14" ht="15" customHeight="1">
      <c r="N1606" t="str">
        <f t="shared" si="25"/>
        <v/>
      </c>
    </row>
    <row r="1607" spans="14:14" ht="15" customHeight="1">
      <c r="N1607" t="str">
        <f t="shared" si="25"/>
        <v/>
      </c>
    </row>
    <row r="1608" spans="14:14" ht="15" customHeight="1">
      <c r="N1608" t="str">
        <f t="shared" si="25"/>
        <v/>
      </c>
    </row>
    <row r="1609" spans="14:14" ht="15" customHeight="1">
      <c r="N1609" t="str">
        <f t="shared" si="25"/>
        <v/>
      </c>
    </row>
    <row r="1610" spans="14:14" ht="15" customHeight="1">
      <c r="N1610" t="str">
        <f t="shared" si="25"/>
        <v/>
      </c>
    </row>
    <row r="1611" spans="14:14" ht="15" customHeight="1">
      <c r="N1611" t="str">
        <f t="shared" si="25"/>
        <v/>
      </c>
    </row>
    <row r="1612" spans="14:14" ht="15" customHeight="1">
      <c r="N1612" t="str">
        <f t="shared" si="25"/>
        <v/>
      </c>
    </row>
    <row r="1613" spans="14:14" ht="15" customHeight="1">
      <c r="N1613" t="str">
        <f t="shared" si="25"/>
        <v/>
      </c>
    </row>
    <row r="1614" spans="14:14" ht="15" customHeight="1">
      <c r="N1614" t="str">
        <f t="shared" si="25"/>
        <v/>
      </c>
    </row>
    <row r="1615" spans="14:14" ht="15" customHeight="1">
      <c r="N1615" t="str">
        <f t="shared" si="25"/>
        <v/>
      </c>
    </row>
    <row r="1616" spans="14:14" ht="15" customHeight="1">
      <c r="N1616" t="str">
        <f t="shared" si="25"/>
        <v/>
      </c>
    </row>
    <row r="1617" spans="14:14" ht="15" customHeight="1">
      <c r="N1617" t="str">
        <f t="shared" si="25"/>
        <v/>
      </c>
    </row>
    <row r="1618" spans="14:14" ht="15" customHeight="1">
      <c r="N1618" t="str">
        <f t="shared" si="25"/>
        <v/>
      </c>
    </row>
    <row r="1619" spans="14:14" ht="15" customHeight="1">
      <c r="N1619" t="str">
        <f t="shared" si="25"/>
        <v/>
      </c>
    </row>
    <row r="1620" spans="14:14" ht="15" customHeight="1">
      <c r="N1620" t="str">
        <f t="shared" si="25"/>
        <v/>
      </c>
    </row>
    <row r="1621" spans="14:14" ht="15" customHeight="1">
      <c r="N1621" t="str">
        <f t="shared" si="25"/>
        <v/>
      </c>
    </row>
    <row r="1622" spans="14:14" ht="15" customHeight="1">
      <c r="N1622" t="str">
        <f t="shared" si="25"/>
        <v/>
      </c>
    </row>
    <row r="1623" spans="14:14" ht="15" customHeight="1">
      <c r="N1623" t="str">
        <f t="shared" si="25"/>
        <v/>
      </c>
    </row>
    <row r="1624" spans="14:14" ht="15" customHeight="1">
      <c r="N1624" t="str">
        <f t="shared" si="25"/>
        <v/>
      </c>
    </row>
    <row r="1625" spans="14:14" ht="15" customHeight="1">
      <c r="N1625" t="str">
        <f t="shared" si="25"/>
        <v/>
      </c>
    </row>
    <row r="1626" spans="14:14" ht="15" customHeight="1">
      <c r="N1626" t="str">
        <f t="shared" si="25"/>
        <v/>
      </c>
    </row>
    <row r="1627" spans="14:14" ht="15" customHeight="1">
      <c r="N1627" t="str">
        <f t="shared" si="25"/>
        <v/>
      </c>
    </row>
    <row r="1628" spans="14:14" ht="15" customHeight="1">
      <c r="N1628" t="str">
        <f t="shared" si="25"/>
        <v/>
      </c>
    </row>
    <row r="1629" spans="14:14" ht="15" customHeight="1">
      <c r="N1629" t="str">
        <f t="shared" si="25"/>
        <v/>
      </c>
    </row>
    <row r="1630" spans="14:14" ht="15" customHeight="1">
      <c r="N1630" t="str">
        <f t="shared" si="25"/>
        <v/>
      </c>
    </row>
    <row r="1631" spans="14:14" ht="15" customHeight="1">
      <c r="N1631" t="str">
        <f t="shared" si="25"/>
        <v/>
      </c>
    </row>
    <row r="1632" spans="14:14" ht="15" customHeight="1">
      <c r="N1632" t="str">
        <f t="shared" si="25"/>
        <v/>
      </c>
    </row>
    <row r="1633" spans="14:14" ht="15" customHeight="1">
      <c r="N1633" t="str">
        <f t="shared" si="25"/>
        <v/>
      </c>
    </row>
    <row r="1634" spans="14:14" ht="15" customHeight="1">
      <c r="N1634" t="str">
        <f t="shared" si="25"/>
        <v/>
      </c>
    </row>
    <row r="1635" spans="14:14" ht="15" customHeight="1">
      <c r="N1635" t="str">
        <f t="shared" si="25"/>
        <v/>
      </c>
    </row>
    <row r="1636" spans="14:14" ht="15" customHeight="1">
      <c r="N1636" t="str">
        <f t="shared" si="25"/>
        <v/>
      </c>
    </row>
    <row r="1637" spans="14:14" ht="15" customHeight="1">
      <c r="N1637" t="str">
        <f t="shared" si="25"/>
        <v/>
      </c>
    </row>
    <row r="1638" spans="14:14" ht="15" customHeight="1">
      <c r="N1638" t="str">
        <f t="shared" si="25"/>
        <v/>
      </c>
    </row>
    <row r="1639" spans="14:14" ht="15" customHeight="1">
      <c r="N1639" t="str">
        <f t="shared" si="25"/>
        <v/>
      </c>
    </row>
    <row r="1640" spans="14:14" ht="15" customHeight="1">
      <c r="N1640" t="str">
        <f t="shared" si="25"/>
        <v/>
      </c>
    </row>
    <row r="1641" spans="14:14" ht="15" customHeight="1">
      <c r="N1641" t="str">
        <f t="shared" si="25"/>
        <v/>
      </c>
    </row>
    <row r="1642" spans="14:14" ht="15" customHeight="1">
      <c r="N1642" t="str">
        <f t="shared" si="25"/>
        <v/>
      </c>
    </row>
    <row r="1643" spans="14:14" ht="15" customHeight="1">
      <c r="N1643" t="str">
        <f t="shared" si="25"/>
        <v/>
      </c>
    </row>
    <row r="1644" spans="14:14" ht="15" customHeight="1">
      <c r="N1644" t="str">
        <f t="shared" si="25"/>
        <v/>
      </c>
    </row>
    <row r="1645" spans="14:14" ht="15" customHeight="1">
      <c r="N1645" t="str">
        <f t="shared" si="25"/>
        <v/>
      </c>
    </row>
    <row r="1646" spans="14:14" ht="15" customHeight="1">
      <c r="N1646" t="str">
        <f t="shared" si="25"/>
        <v/>
      </c>
    </row>
    <row r="1647" spans="14:14" ht="15" customHeight="1">
      <c r="N1647" t="str">
        <f t="shared" si="25"/>
        <v/>
      </c>
    </row>
    <row r="1648" spans="14:14" ht="15" customHeight="1">
      <c r="N1648" t="str">
        <f t="shared" si="25"/>
        <v/>
      </c>
    </row>
    <row r="1649" spans="14:14" ht="15" customHeight="1">
      <c r="N1649" t="str">
        <f t="shared" si="25"/>
        <v/>
      </c>
    </row>
    <row r="1650" spans="14:14" ht="15" customHeight="1">
      <c r="N1650" t="str">
        <f t="shared" si="25"/>
        <v/>
      </c>
    </row>
    <row r="1651" spans="14:14" ht="15" customHeight="1">
      <c r="N1651" t="str">
        <f t="shared" si="25"/>
        <v/>
      </c>
    </row>
    <row r="1652" spans="14:14" ht="15" customHeight="1">
      <c r="N1652" t="str">
        <f t="shared" si="25"/>
        <v/>
      </c>
    </row>
    <row r="1653" spans="14:14" ht="15" customHeight="1">
      <c r="N1653" t="str">
        <f t="shared" si="25"/>
        <v/>
      </c>
    </row>
    <row r="1654" spans="14:14" ht="15" customHeight="1">
      <c r="N1654" t="str">
        <f t="shared" si="25"/>
        <v/>
      </c>
    </row>
    <row r="1655" spans="14:14" ht="15" customHeight="1">
      <c r="N1655" t="str">
        <f t="shared" si="25"/>
        <v/>
      </c>
    </row>
    <row r="1656" spans="14:14" ht="15" customHeight="1">
      <c r="N1656" t="str">
        <f t="shared" si="25"/>
        <v/>
      </c>
    </row>
    <row r="1657" spans="14:14" ht="15" customHeight="1">
      <c r="N1657" t="str">
        <f t="shared" si="25"/>
        <v/>
      </c>
    </row>
    <row r="1658" spans="14:14" ht="15" customHeight="1">
      <c r="N1658" t="str">
        <f t="shared" si="25"/>
        <v/>
      </c>
    </row>
    <row r="1659" spans="14:14" ht="15" customHeight="1">
      <c r="N1659" t="str">
        <f t="shared" si="25"/>
        <v/>
      </c>
    </row>
    <row r="1660" spans="14:14" ht="15" customHeight="1">
      <c r="N1660" t="str">
        <f t="shared" si="25"/>
        <v/>
      </c>
    </row>
    <row r="1661" spans="14:14" ht="15" customHeight="1">
      <c r="N1661" t="str">
        <f t="shared" si="25"/>
        <v/>
      </c>
    </row>
    <row r="1662" spans="14:14" ht="15" customHeight="1">
      <c r="N1662" t="str">
        <f t="shared" si="25"/>
        <v/>
      </c>
    </row>
    <row r="1663" spans="14:14" ht="15" customHeight="1">
      <c r="N1663" t="str">
        <f t="shared" si="25"/>
        <v/>
      </c>
    </row>
    <row r="1664" spans="14:14" ht="15" customHeight="1">
      <c r="N1664" t="str">
        <f t="shared" si="25"/>
        <v/>
      </c>
    </row>
    <row r="1665" spans="14:14" ht="15" customHeight="1">
      <c r="N1665" t="str">
        <f t="shared" si="25"/>
        <v/>
      </c>
    </row>
    <row r="1666" spans="14:14" ht="15" customHeight="1">
      <c r="N1666" t="str">
        <f t="shared" ref="N1666:N1729" si="26">IF(L1666="","",IF(2026-E1666&gt;0,L1666/(2026-E1666),L1666))</f>
        <v/>
      </c>
    </row>
    <row r="1667" spans="14:14" ht="15" customHeight="1">
      <c r="N1667" t="str">
        <f t="shared" si="26"/>
        <v/>
      </c>
    </row>
    <row r="1668" spans="14:14" ht="15" customHeight="1">
      <c r="N1668" t="str">
        <f t="shared" si="26"/>
        <v/>
      </c>
    </row>
    <row r="1669" spans="14:14" ht="15" customHeight="1">
      <c r="N1669" t="str">
        <f t="shared" si="26"/>
        <v/>
      </c>
    </row>
    <row r="1670" spans="14:14" ht="15" customHeight="1">
      <c r="N1670" t="str">
        <f t="shared" si="26"/>
        <v/>
      </c>
    </row>
    <row r="1671" spans="14:14" ht="15" customHeight="1">
      <c r="N1671" t="str">
        <f t="shared" si="26"/>
        <v/>
      </c>
    </row>
    <row r="1672" spans="14:14" ht="15" customHeight="1">
      <c r="N1672" t="str">
        <f t="shared" si="26"/>
        <v/>
      </c>
    </row>
    <row r="1673" spans="14:14" ht="15" customHeight="1">
      <c r="N1673" t="str">
        <f t="shared" si="26"/>
        <v/>
      </c>
    </row>
    <row r="1674" spans="14:14" ht="15" customHeight="1">
      <c r="N1674" t="str">
        <f t="shared" si="26"/>
        <v/>
      </c>
    </row>
    <row r="1675" spans="14:14" ht="15" customHeight="1">
      <c r="N1675" t="str">
        <f t="shared" si="26"/>
        <v/>
      </c>
    </row>
    <row r="1676" spans="14:14" ht="15" customHeight="1">
      <c r="N1676" t="str">
        <f t="shared" si="26"/>
        <v/>
      </c>
    </row>
    <row r="1677" spans="14:14" ht="15" customHeight="1">
      <c r="N1677" t="str">
        <f t="shared" si="26"/>
        <v/>
      </c>
    </row>
    <row r="1678" spans="14:14" ht="15" customHeight="1">
      <c r="N1678" t="str">
        <f t="shared" si="26"/>
        <v/>
      </c>
    </row>
    <row r="1679" spans="14:14" ht="15" customHeight="1">
      <c r="N1679" t="str">
        <f t="shared" si="26"/>
        <v/>
      </c>
    </row>
    <row r="1680" spans="14:14" ht="15" customHeight="1">
      <c r="N1680" t="str">
        <f t="shared" si="26"/>
        <v/>
      </c>
    </row>
    <row r="1681" spans="14:14" ht="15" customHeight="1">
      <c r="N1681" t="str">
        <f t="shared" si="26"/>
        <v/>
      </c>
    </row>
    <row r="1682" spans="14:14" ht="15" customHeight="1">
      <c r="N1682" t="str">
        <f t="shared" si="26"/>
        <v/>
      </c>
    </row>
    <row r="1683" spans="14:14" ht="15" customHeight="1">
      <c r="N1683" t="str">
        <f t="shared" si="26"/>
        <v/>
      </c>
    </row>
    <row r="1684" spans="14:14" ht="15" customHeight="1">
      <c r="N1684" t="str">
        <f t="shared" si="26"/>
        <v/>
      </c>
    </row>
    <row r="1685" spans="14:14" ht="15" customHeight="1">
      <c r="N1685" t="str">
        <f t="shared" si="26"/>
        <v/>
      </c>
    </row>
    <row r="1686" spans="14:14" ht="15" customHeight="1">
      <c r="N1686" t="str">
        <f t="shared" si="26"/>
        <v/>
      </c>
    </row>
    <row r="1687" spans="14:14" ht="15" customHeight="1">
      <c r="N1687" t="str">
        <f t="shared" si="26"/>
        <v/>
      </c>
    </row>
    <row r="1688" spans="14:14" ht="15" customHeight="1">
      <c r="N1688" t="str">
        <f t="shared" si="26"/>
        <v/>
      </c>
    </row>
    <row r="1689" spans="14:14" ht="15" customHeight="1">
      <c r="N1689" t="str">
        <f t="shared" si="26"/>
        <v/>
      </c>
    </row>
    <row r="1690" spans="14:14" ht="15" customHeight="1">
      <c r="N1690" t="str">
        <f t="shared" si="26"/>
        <v/>
      </c>
    </row>
    <row r="1691" spans="14:14" ht="15" customHeight="1">
      <c r="N1691" t="str">
        <f t="shared" si="26"/>
        <v/>
      </c>
    </row>
    <row r="1692" spans="14:14" ht="15" customHeight="1">
      <c r="N1692" t="str">
        <f t="shared" si="26"/>
        <v/>
      </c>
    </row>
    <row r="1693" spans="14:14" ht="15" customHeight="1">
      <c r="N1693" t="str">
        <f t="shared" si="26"/>
        <v/>
      </c>
    </row>
    <row r="1694" spans="14:14" ht="15" customHeight="1">
      <c r="N1694" t="str">
        <f t="shared" si="26"/>
        <v/>
      </c>
    </row>
    <row r="1695" spans="14:14" ht="15" customHeight="1">
      <c r="N1695" t="str">
        <f t="shared" si="26"/>
        <v/>
      </c>
    </row>
    <row r="1696" spans="14:14" ht="15" customHeight="1">
      <c r="N1696" t="str">
        <f t="shared" si="26"/>
        <v/>
      </c>
    </row>
    <row r="1697" spans="14:14" ht="15" customHeight="1">
      <c r="N1697" t="str">
        <f t="shared" si="26"/>
        <v/>
      </c>
    </row>
    <row r="1698" spans="14:14" ht="15" customHeight="1">
      <c r="N1698" t="str">
        <f t="shared" si="26"/>
        <v/>
      </c>
    </row>
    <row r="1699" spans="14:14" ht="15" customHeight="1">
      <c r="N1699" t="str">
        <f t="shared" si="26"/>
        <v/>
      </c>
    </row>
    <row r="1700" spans="14:14" ht="15" customHeight="1">
      <c r="N1700" t="str">
        <f t="shared" si="26"/>
        <v/>
      </c>
    </row>
    <row r="1701" spans="14:14" ht="15" customHeight="1">
      <c r="N1701" t="str">
        <f t="shared" si="26"/>
        <v/>
      </c>
    </row>
    <row r="1702" spans="14:14" ht="15" customHeight="1">
      <c r="N1702" t="str">
        <f t="shared" si="26"/>
        <v/>
      </c>
    </row>
    <row r="1703" spans="14:14" ht="15" customHeight="1">
      <c r="N1703" t="str">
        <f t="shared" si="26"/>
        <v/>
      </c>
    </row>
    <row r="1704" spans="14:14" ht="15" customHeight="1">
      <c r="N1704" t="str">
        <f t="shared" si="26"/>
        <v/>
      </c>
    </row>
    <row r="1705" spans="14:14" ht="15" customHeight="1">
      <c r="N1705" t="str">
        <f t="shared" si="26"/>
        <v/>
      </c>
    </row>
    <row r="1706" spans="14:14" ht="15" customHeight="1">
      <c r="N1706" t="str">
        <f t="shared" si="26"/>
        <v/>
      </c>
    </row>
    <row r="1707" spans="14:14" ht="15" customHeight="1">
      <c r="N1707" t="str">
        <f t="shared" si="26"/>
        <v/>
      </c>
    </row>
    <row r="1708" spans="14:14" ht="15" customHeight="1">
      <c r="N1708" t="str">
        <f t="shared" si="26"/>
        <v/>
      </c>
    </row>
    <row r="1709" spans="14:14" ht="15" customHeight="1">
      <c r="N1709" t="str">
        <f t="shared" si="26"/>
        <v/>
      </c>
    </row>
    <row r="1710" spans="14:14" ht="15" customHeight="1">
      <c r="N1710" t="str">
        <f t="shared" si="26"/>
        <v/>
      </c>
    </row>
    <row r="1711" spans="14:14" ht="15" customHeight="1">
      <c r="N1711" t="str">
        <f t="shared" si="26"/>
        <v/>
      </c>
    </row>
    <row r="1712" spans="14:14" ht="15" customHeight="1">
      <c r="N1712" t="str">
        <f t="shared" si="26"/>
        <v/>
      </c>
    </row>
    <row r="1713" spans="14:14" ht="15" customHeight="1">
      <c r="N1713" t="str">
        <f t="shared" si="26"/>
        <v/>
      </c>
    </row>
    <row r="1714" spans="14:14" ht="15" customHeight="1">
      <c r="N1714" t="str">
        <f t="shared" si="26"/>
        <v/>
      </c>
    </row>
    <row r="1715" spans="14:14" ht="15" customHeight="1">
      <c r="N1715" t="str">
        <f t="shared" si="26"/>
        <v/>
      </c>
    </row>
    <row r="1716" spans="14:14" ht="15" customHeight="1">
      <c r="N1716" t="str">
        <f t="shared" si="26"/>
        <v/>
      </c>
    </row>
    <row r="1717" spans="14:14" ht="15" customHeight="1">
      <c r="N1717" t="str">
        <f t="shared" si="26"/>
        <v/>
      </c>
    </row>
    <row r="1718" spans="14:14" ht="15" customHeight="1">
      <c r="N1718" t="str">
        <f t="shared" si="26"/>
        <v/>
      </c>
    </row>
    <row r="1719" spans="14:14" ht="15" customHeight="1">
      <c r="N1719" t="str">
        <f t="shared" si="26"/>
        <v/>
      </c>
    </row>
    <row r="1720" spans="14:14" ht="15" customHeight="1">
      <c r="N1720" t="str">
        <f t="shared" si="26"/>
        <v/>
      </c>
    </row>
    <row r="1721" spans="14:14" ht="15" customHeight="1">
      <c r="N1721" t="str">
        <f t="shared" si="26"/>
        <v/>
      </c>
    </row>
    <row r="1722" spans="14:14" ht="15" customHeight="1">
      <c r="N1722" t="str">
        <f t="shared" si="26"/>
        <v/>
      </c>
    </row>
    <row r="1723" spans="14:14" ht="15" customHeight="1">
      <c r="N1723" t="str">
        <f t="shared" si="26"/>
        <v/>
      </c>
    </row>
    <row r="1724" spans="14:14" ht="15" customHeight="1">
      <c r="N1724" t="str">
        <f t="shared" si="26"/>
        <v/>
      </c>
    </row>
    <row r="1725" spans="14:14" ht="15" customHeight="1">
      <c r="N1725" t="str">
        <f t="shared" si="26"/>
        <v/>
      </c>
    </row>
    <row r="1726" spans="14:14" ht="15" customHeight="1">
      <c r="N1726" t="str">
        <f t="shared" si="26"/>
        <v/>
      </c>
    </row>
    <row r="1727" spans="14:14" ht="15" customHeight="1">
      <c r="N1727" t="str">
        <f t="shared" si="26"/>
        <v/>
      </c>
    </row>
    <row r="1728" spans="14:14" ht="15" customHeight="1">
      <c r="N1728" t="str">
        <f t="shared" si="26"/>
        <v/>
      </c>
    </row>
    <row r="1729" spans="14:14" ht="15" customHeight="1">
      <c r="N1729" t="str">
        <f t="shared" si="26"/>
        <v/>
      </c>
    </row>
    <row r="1730" spans="14:14" ht="15" customHeight="1">
      <c r="N1730" t="str">
        <f t="shared" ref="N1730:N1793" si="27">IF(L1730="","",IF(2026-E1730&gt;0,L1730/(2026-E1730),L1730))</f>
        <v/>
      </c>
    </row>
    <row r="1731" spans="14:14" ht="15" customHeight="1">
      <c r="N1731" t="str">
        <f t="shared" si="27"/>
        <v/>
      </c>
    </row>
    <row r="1732" spans="14:14" ht="15" customHeight="1">
      <c r="N1732" t="str">
        <f t="shared" si="27"/>
        <v/>
      </c>
    </row>
    <row r="1733" spans="14:14" ht="15" customHeight="1">
      <c r="N1733" t="str">
        <f t="shared" si="27"/>
        <v/>
      </c>
    </row>
    <row r="1734" spans="14:14" ht="15" customHeight="1">
      <c r="N1734" t="str">
        <f t="shared" si="27"/>
        <v/>
      </c>
    </row>
    <row r="1735" spans="14:14" ht="15" customHeight="1">
      <c r="N1735" t="str">
        <f t="shared" si="27"/>
        <v/>
      </c>
    </row>
    <row r="1736" spans="14:14" ht="15" customHeight="1">
      <c r="N1736" t="str">
        <f t="shared" si="27"/>
        <v/>
      </c>
    </row>
    <row r="1737" spans="14:14" ht="15" customHeight="1">
      <c r="N1737" t="str">
        <f t="shared" si="27"/>
        <v/>
      </c>
    </row>
    <row r="1738" spans="14:14" ht="15" customHeight="1">
      <c r="N1738" t="str">
        <f t="shared" si="27"/>
        <v/>
      </c>
    </row>
    <row r="1739" spans="14:14" ht="15" customHeight="1">
      <c r="N1739" t="str">
        <f t="shared" si="27"/>
        <v/>
      </c>
    </row>
    <row r="1740" spans="14:14" ht="15" customHeight="1">
      <c r="N1740" t="str">
        <f t="shared" si="27"/>
        <v/>
      </c>
    </row>
    <row r="1741" spans="14:14" ht="15" customHeight="1">
      <c r="N1741" t="str">
        <f t="shared" si="27"/>
        <v/>
      </c>
    </row>
    <row r="1742" spans="14:14" ht="15" customHeight="1">
      <c r="N1742" t="str">
        <f t="shared" si="27"/>
        <v/>
      </c>
    </row>
    <row r="1743" spans="14:14" ht="15" customHeight="1">
      <c r="N1743" t="str">
        <f t="shared" si="27"/>
        <v/>
      </c>
    </row>
    <row r="1744" spans="14:14" ht="15" customHeight="1">
      <c r="N1744" t="str">
        <f t="shared" si="27"/>
        <v/>
      </c>
    </row>
    <row r="1745" spans="14:14" ht="15" customHeight="1">
      <c r="N1745" t="str">
        <f t="shared" si="27"/>
        <v/>
      </c>
    </row>
    <row r="1746" spans="14:14" ht="15" customHeight="1">
      <c r="N1746" t="str">
        <f t="shared" si="27"/>
        <v/>
      </c>
    </row>
    <row r="1747" spans="14:14" ht="15" customHeight="1">
      <c r="N1747" t="str">
        <f t="shared" si="27"/>
        <v/>
      </c>
    </row>
    <row r="1748" spans="14:14" ht="15" customHeight="1">
      <c r="N1748" t="str">
        <f t="shared" si="27"/>
        <v/>
      </c>
    </row>
    <row r="1749" spans="14:14" ht="15" customHeight="1">
      <c r="N1749" t="str">
        <f t="shared" si="27"/>
        <v/>
      </c>
    </row>
    <row r="1750" spans="14:14" ht="15" customHeight="1">
      <c r="N1750" t="str">
        <f t="shared" si="27"/>
        <v/>
      </c>
    </row>
    <row r="1751" spans="14:14" ht="15" customHeight="1">
      <c r="N1751" t="str">
        <f t="shared" si="27"/>
        <v/>
      </c>
    </row>
    <row r="1752" spans="14:14" ht="15" customHeight="1">
      <c r="N1752" t="str">
        <f t="shared" si="27"/>
        <v/>
      </c>
    </row>
    <row r="1753" spans="14:14" ht="15" customHeight="1">
      <c r="N1753" t="str">
        <f t="shared" si="27"/>
        <v/>
      </c>
    </row>
    <row r="1754" spans="14:14" ht="15" customHeight="1">
      <c r="N1754" t="str">
        <f t="shared" si="27"/>
        <v/>
      </c>
    </row>
    <row r="1755" spans="14:14" ht="15" customHeight="1">
      <c r="N1755" t="str">
        <f t="shared" si="27"/>
        <v/>
      </c>
    </row>
    <row r="1756" spans="14:14" ht="15" customHeight="1">
      <c r="N1756" t="str">
        <f t="shared" si="27"/>
        <v/>
      </c>
    </row>
    <row r="1757" spans="14:14" ht="15" customHeight="1">
      <c r="N1757" t="str">
        <f t="shared" si="27"/>
        <v/>
      </c>
    </row>
    <row r="1758" spans="14:14" ht="15" customHeight="1">
      <c r="N1758" t="str">
        <f t="shared" si="27"/>
        <v/>
      </c>
    </row>
    <row r="1759" spans="14:14" ht="15" customHeight="1">
      <c r="N1759" t="str">
        <f t="shared" si="27"/>
        <v/>
      </c>
    </row>
    <row r="1760" spans="14:14" ht="15" customHeight="1">
      <c r="N1760" t="str">
        <f t="shared" si="27"/>
        <v/>
      </c>
    </row>
    <row r="1761" spans="14:14" ht="15" customHeight="1">
      <c r="N1761" t="str">
        <f t="shared" si="27"/>
        <v/>
      </c>
    </row>
    <row r="1762" spans="14:14" ht="15" customHeight="1">
      <c r="N1762" t="str">
        <f t="shared" si="27"/>
        <v/>
      </c>
    </row>
    <row r="1763" spans="14:14" ht="15" customHeight="1">
      <c r="N1763" t="str">
        <f t="shared" si="27"/>
        <v/>
      </c>
    </row>
    <row r="1764" spans="14:14" ht="15" customHeight="1">
      <c r="N1764" t="str">
        <f t="shared" si="27"/>
        <v/>
      </c>
    </row>
    <row r="1765" spans="14:14" ht="15" customHeight="1">
      <c r="N1765" t="str">
        <f t="shared" si="27"/>
        <v/>
      </c>
    </row>
    <row r="1766" spans="14:14" ht="15" customHeight="1">
      <c r="N1766" t="str">
        <f t="shared" si="27"/>
        <v/>
      </c>
    </row>
    <row r="1767" spans="14:14" ht="15" customHeight="1">
      <c r="N1767" t="str">
        <f t="shared" si="27"/>
        <v/>
      </c>
    </row>
    <row r="1768" spans="14:14" ht="15" customHeight="1">
      <c r="N1768" t="str">
        <f t="shared" si="27"/>
        <v/>
      </c>
    </row>
    <row r="1769" spans="14:14" ht="15" customHeight="1">
      <c r="N1769" t="str">
        <f t="shared" si="27"/>
        <v/>
      </c>
    </row>
    <row r="1770" spans="14:14" ht="15" customHeight="1">
      <c r="N1770" t="str">
        <f t="shared" si="27"/>
        <v/>
      </c>
    </row>
    <row r="1771" spans="14:14" ht="15" customHeight="1">
      <c r="N1771" t="str">
        <f t="shared" si="27"/>
        <v/>
      </c>
    </row>
    <row r="1772" spans="14:14" ht="15" customHeight="1">
      <c r="N1772" t="str">
        <f t="shared" si="27"/>
        <v/>
      </c>
    </row>
    <row r="1773" spans="14:14" ht="15" customHeight="1">
      <c r="N1773" t="str">
        <f t="shared" si="27"/>
        <v/>
      </c>
    </row>
    <row r="1774" spans="14:14" ht="15" customHeight="1">
      <c r="N1774" t="str">
        <f t="shared" si="27"/>
        <v/>
      </c>
    </row>
    <row r="1775" spans="14:14" ht="15" customHeight="1">
      <c r="N1775" t="str">
        <f t="shared" si="27"/>
        <v/>
      </c>
    </row>
    <row r="1776" spans="14:14" ht="15" customHeight="1">
      <c r="N1776" t="str">
        <f t="shared" si="27"/>
        <v/>
      </c>
    </row>
    <row r="1777" spans="14:14" ht="15" customHeight="1">
      <c r="N1777" t="str">
        <f t="shared" si="27"/>
        <v/>
      </c>
    </row>
    <row r="1778" spans="14:14" ht="15" customHeight="1">
      <c r="N1778" t="str">
        <f t="shared" si="27"/>
        <v/>
      </c>
    </row>
    <row r="1779" spans="14:14" ht="15" customHeight="1">
      <c r="N1779" t="str">
        <f t="shared" si="27"/>
        <v/>
      </c>
    </row>
    <row r="1780" spans="14:14" ht="15" customHeight="1">
      <c r="N1780" t="str">
        <f t="shared" si="27"/>
        <v/>
      </c>
    </row>
    <row r="1781" spans="14:14" ht="15" customHeight="1">
      <c r="N1781" t="str">
        <f t="shared" si="27"/>
        <v/>
      </c>
    </row>
    <row r="1782" spans="14:14" ht="15" customHeight="1">
      <c r="N1782" t="str">
        <f t="shared" si="27"/>
        <v/>
      </c>
    </row>
    <row r="1783" spans="14:14" ht="15" customHeight="1">
      <c r="N1783" t="str">
        <f t="shared" si="27"/>
        <v/>
      </c>
    </row>
    <row r="1784" spans="14:14" ht="15" customHeight="1">
      <c r="N1784" t="str">
        <f t="shared" si="27"/>
        <v/>
      </c>
    </row>
    <row r="1785" spans="14:14" ht="15" customHeight="1">
      <c r="N1785" t="str">
        <f t="shared" si="27"/>
        <v/>
      </c>
    </row>
    <row r="1786" spans="14:14" ht="15" customHeight="1">
      <c r="N1786" t="str">
        <f t="shared" si="27"/>
        <v/>
      </c>
    </row>
    <row r="1787" spans="14:14" ht="15" customHeight="1">
      <c r="N1787" t="str">
        <f t="shared" si="27"/>
        <v/>
      </c>
    </row>
    <row r="1788" spans="14:14" ht="15" customHeight="1">
      <c r="N1788" t="str">
        <f t="shared" si="27"/>
        <v/>
      </c>
    </row>
    <row r="1789" spans="14:14" ht="15" customHeight="1">
      <c r="N1789" t="str">
        <f t="shared" si="27"/>
        <v/>
      </c>
    </row>
    <row r="1790" spans="14:14" ht="15" customHeight="1">
      <c r="N1790" t="str">
        <f t="shared" si="27"/>
        <v/>
      </c>
    </row>
    <row r="1791" spans="14:14" ht="15" customHeight="1">
      <c r="N1791" t="str">
        <f t="shared" si="27"/>
        <v/>
      </c>
    </row>
    <row r="1792" spans="14:14" ht="15" customHeight="1">
      <c r="N1792" t="str">
        <f t="shared" si="27"/>
        <v/>
      </c>
    </row>
    <row r="1793" spans="14:14" ht="15" customHeight="1">
      <c r="N1793" t="str">
        <f t="shared" si="27"/>
        <v/>
      </c>
    </row>
    <row r="1794" spans="14:14" ht="15" customHeight="1">
      <c r="N1794" t="str">
        <f t="shared" ref="N1794:N1857" si="28">IF(L1794="","",IF(2026-E1794&gt;0,L1794/(2026-E1794),L1794))</f>
        <v/>
      </c>
    </row>
    <row r="1795" spans="14:14" ht="15" customHeight="1">
      <c r="N1795" t="str">
        <f t="shared" si="28"/>
        <v/>
      </c>
    </row>
    <row r="1796" spans="14:14" ht="15" customHeight="1">
      <c r="N1796" t="str">
        <f t="shared" si="28"/>
        <v/>
      </c>
    </row>
    <row r="1797" spans="14:14" ht="15" customHeight="1">
      <c r="N1797" t="str">
        <f t="shared" si="28"/>
        <v/>
      </c>
    </row>
    <row r="1798" spans="14:14" ht="15" customHeight="1">
      <c r="N1798" t="str">
        <f t="shared" si="28"/>
        <v/>
      </c>
    </row>
    <row r="1799" spans="14:14" ht="15" customHeight="1">
      <c r="N1799" t="str">
        <f t="shared" si="28"/>
        <v/>
      </c>
    </row>
    <row r="1800" spans="14:14" ht="15" customHeight="1">
      <c r="N1800" t="str">
        <f t="shared" si="28"/>
        <v/>
      </c>
    </row>
    <row r="1801" spans="14:14" ht="15" customHeight="1">
      <c r="N1801" t="str">
        <f t="shared" si="28"/>
        <v/>
      </c>
    </row>
    <row r="1802" spans="14:14" ht="15" customHeight="1">
      <c r="N1802" t="str">
        <f t="shared" si="28"/>
        <v/>
      </c>
    </row>
    <row r="1803" spans="14:14" ht="15" customHeight="1">
      <c r="N1803" t="str">
        <f t="shared" si="28"/>
        <v/>
      </c>
    </row>
    <row r="1804" spans="14:14" ht="15" customHeight="1">
      <c r="N1804" t="str">
        <f t="shared" si="28"/>
        <v/>
      </c>
    </row>
    <row r="1805" spans="14:14" ht="15" customHeight="1">
      <c r="N1805" t="str">
        <f t="shared" si="28"/>
        <v/>
      </c>
    </row>
    <row r="1806" spans="14:14" ht="15" customHeight="1">
      <c r="N1806" t="str">
        <f t="shared" si="28"/>
        <v/>
      </c>
    </row>
    <row r="1807" spans="14:14" ht="15" customHeight="1">
      <c r="N1807" t="str">
        <f t="shared" si="28"/>
        <v/>
      </c>
    </row>
    <row r="1808" spans="14:14" ht="15" customHeight="1">
      <c r="N1808" t="str">
        <f t="shared" si="28"/>
        <v/>
      </c>
    </row>
    <row r="1809" spans="14:14" ht="15" customHeight="1">
      <c r="N1809" t="str">
        <f t="shared" si="28"/>
        <v/>
      </c>
    </row>
    <row r="1810" spans="14:14" ht="15" customHeight="1">
      <c r="N1810" t="str">
        <f t="shared" si="28"/>
        <v/>
      </c>
    </row>
    <row r="1811" spans="14:14" ht="15" customHeight="1">
      <c r="N1811" t="str">
        <f t="shared" si="28"/>
        <v/>
      </c>
    </row>
    <row r="1812" spans="14:14" ht="15" customHeight="1">
      <c r="N1812" t="str">
        <f t="shared" si="28"/>
        <v/>
      </c>
    </row>
    <row r="1813" spans="14:14" ht="15" customHeight="1">
      <c r="N1813" t="str">
        <f t="shared" si="28"/>
        <v/>
      </c>
    </row>
    <row r="1814" spans="14:14" ht="15" customHeight="1">
      <c r="N1814" t="str">
        <f t="shared" si="28"/>
        <v/>
      </c>
    </row>
    <row r="1815" spans="14:14" ht="15" customHeight="1">
      <c r="N1815" t="str">
        <f t="shared" si="28"/>
        <v/>
      </c>
    </row>
    <row r="1816" spans="14:14" ht="15" customHeight="1">
      <c r="N1816" t="str">
        <f t="shared" si="28"/>
        <v/>
      </c>
    </row>
    <row r="1817" spans="14:14" ht="15" customHeight="1">
      <c r="N1817" t="str">
        <f t="shared" si="28"/>
        <v/>
      </c>
    </row>
    <row r="1818" spans="14:14" ht="15" customHeight="1">
      <c r="N1818" t="str">
        <f t="shared" si="28"/>
        <v/>
      </c>
    </row>
    <row r="1819" spans="14:14" ht="15" customHeight="1">
      <c r="N1819" t="str">
        <f t="shared" si="28"/>
        <v/>
      </c>
    </row>
    <row r="1820" spans="14:14" ht="15" customHeight="1">
      <c r="N1820" t="str">
        <f t="shared" si="28"/>
        <v/>
      </c>
    </row>
    <row r="1821" spans="14:14" ht="15" customHeight="1">
      <c r="N1821" t="str">
        <f t="shared" si="28"/>
        <v/>
      </c>
    </row>
    <row r="1822" spans="14:14" ht="15" customHeight="1">
      <c r="N1822" t="str">
        <f t="shared" si="28"/>
        <v/>
      </c>
    </row>
    <row r="1823" spans="14:14" ht="15" customHeight="1">
      <c r="N1823" t="str">
        <f t="shared" si="28"/>
        <v/>
      </c>
    </row>
    <row r="1824" spans="14:14" ht="15" customHeight="1">
      <c r="N1824" t="str">
        <f t="shared" si="28"/>
        <v/>
      </c>
    </row>
    <row r="1825" spans="14:14" ht="15" customHeight="1">
      <c r="N1825" t="str">
        <f t="shared" si="28"/>
        <v/>
      </c>
    </row>
    <row r="1826" spans="14:14" ht="15" customHeight="1">
      <c r="N1826" t="str">
        <f t="shared" si="28"/>
        <v/>
      </c>
    </row>
    <row r="1827" spans="14:14" ht="15" customHeight="1">
      <c r="N1827" t="str">
        <f t="shared" si="28"/>
        <v/>
      </c>
    </row>
    <row r="1828" spans="14:14" ht="15" customHeight="1">
      <c r="N1828" t="str">
        <f t="shared" si="28"/>
        <v/>
      </c>
    </row>
    <row r="1829" spans="14:14" ht="15" customHeight="1">
      <c r="N1829" t="str">
        <f t="shared" si="28"/>
        <v/>
      </c>
    </row>
    <row r="1830" spans="14:14" ht="15" customHeight="1">
      <c r="N1830" t="str">
        <f t="shared" si="28"/>
        <v/>
      </c>
    </row>
    <row r="1831" spans="14:14" ht="15" customHeight="1">
      <c r="N1831" t="str">
        <f t="shared" si="28"/>
        <v/>
      </c>
    </row>
    <row r="1832" spans="14:14" ht="15" customHeight="1">
      <c r="N1832" t="str">
        <f t="shared" si="28"/>
        <v/>
      </c>
    </row>
    <row r="1833" spans="14:14" ht="15" customHeight="1">
      <c r="N1833" t="str">
        <f t="shared" si="28"/>
        <v/>
      </c>
    </row>
    <row r="1834" spans="14:14" ht="15" customHeight="1">
      <c r="N1834" t="str">
        <f t="shared" si="28"/>
        <v/>
      </c>
    </row>
    <row r="1835" spans="14:14" ht="15" customHeight="1">
      <c r="N1835" t="str">
        <f t="shared" si="28"/>
        <v/>
      </c>
    </row>
    <row r="1836" spans="14:14" ht="15" customHeight="1">
      <c r="N1836" t="str">
        <f t="shared" si="28"/>
        <v/>
      </c>
    </row>
    <row r="1837" spans="14:14" ht="15" customHeight="1">
      <c r="N1837" t="str">
        <f t="shared" si="28"/>
        <v/>
      </c>
    </row>
    <row r="1838" spans="14:14" ht="15" customHeight="1">
      <c r="N1838" t="str">
        <f t="shared" si="28"/>
        <v/>
      </c>
    </row>
    <row r="1839" spans="14:14" ht="15" customHeight="1">
      <c r="N1839" t="str">
        <f t="shared" si="28"/>
        <v/>
      </c>
    </row>
    <row r="1840" spans="14:14" ht="15" customHeight="1">
      <c r="N1840" t="str">
        <f t="shared" si="28"/>
        <v/>
      </c>
    </row>
    <row r="1841" spans="14:14" ht="15" customHeight="1">
      <c r="N1841" t="str">
        <f t="shared" si="28"/>
        <v/>
      </c>
    </row>
    <row r="1842" spans="14:14" ht="15" customHeight="1">
      <c r="N1842" t="str">
        <f t="shared" si="28"/>
        <v/>
      </c>
    </row>
    <row r="1843" spans="14:14" ht="15" customHeight="1">
      <c r="N1843" t="str">
        <f t="shared" si="28"/>
        <v/>
      </c>
    </row>
    <row r="1844" spans="14:14" ht="15" customHeight="1">
      <c r="N1844" t="str">
        <f t="shared" si="28"/>
        <v/>
      </c>
    </row>
    <row r="1845" spans="14:14" ht="15" customHeight="1">
      <c r="N1845" t="str">
        <f t="shared" si="28"/>
        <v/>
      </c>
    </row>
    <row r="1846" spans="14:14" ht="15" customHeight="1">
      <c r="N1846" t="str">
        <f t="shared" si="28"/>
        <v/>
      </c>
    </row>
    <row r="1847" spans="14:14" ht="15" customHeight="1">
      <c r="N1847" t="str">
        <f t="shared" si="28"/>
        <v/>
      </c>
    </row>
    <row r="1848" spans="14:14" ht="15" customHeight="1">
      <c r="N1848" t="str">
        <f t="shared" si="28"/>
        <v/>
      </c>
    </row>
    <row r="1849" spans="14:14" ht="15" customHeight="1">
      <c r="N1849" t="str">
        <f t="shared" si="28"/>
        <v/>
      </c>
    </row>
    <row r="1850" spans="14:14" ht="15" customHeight="1">
      <c r="N1850" t="str">
        <f t="shared" si="28"/>
        <v/>
      </c>
    </row>
    <row r="1851" spans="14:14" ht="15" customHeight="1">
      <c r="N1851" t="str">
        <f t="shared" si="28"/>
        <v/>
      </c>
    </row>
    <row r="1852" spans="14:14" ht="15" customHeight="1">
      <c r="N1852" t="str">
        <f t="shared" si="28"/>
        <v/>
      </c>
    </row>
    <row r="1853" spans="14:14" ht="15" customHeight="1">
      <c r="N1853" t="str">
        <f t="shared" si="28"/>
        <v/>
      </c>
    </row>
    <row r="1854" spans="14:14" ht="15" customHeight="1">
      <c r="N1854" t="str">
        <f t="shared" si="28"/>
        <v/>
      </c>
    </row>
    <row r="1855" spans="14:14" ht="15" customHeight="1">
      <c r="N1855" t="str">
        <f t="shared" si="28"/>
        <v/>
      </c>
    </row>
    <row r="1856" spans="14:14" ht="15" customHeight="1">
      <c r="N1856" t="str">
        <f t="shared" si="28"/>
        <v/>
      </c>
    </row>
    <row r="1857" spans="14:14" ht="15" customHeight="1">
      <c r="N1857" t="str">
        <f t="shared" si="28"/>
        <v/>
      </c>
    </row>
    <row r="1858" spans="14:14" ht="15" customHeight="1">
      <c r="N1858" t="str">
        <f t="shared" ref="N1858:N1921" si="29">IF(L1858="","",IF(2026-E1858&gt;0,L1858/(2026-E1858),L1858))</f>
        <v/>
      </c>
    </row>
    <row r="1859" spans="14:14" ht="15" customHeight="1">
      <c r="N1859" t="str">
        <f t="shared" si="29"/>
        <v/>
      </c>
    </row>
    <row r="1860" spans="14:14" ht="15" customHeight="1">
      <c r="N1860" t="str">
        <f t="shared" si="29"/>
        <v/>
      </c>
    </row>
    <row r="1861" spans="14:14" ht="15" customHeight="1">
      <c r="N1861" t="str">
        <f t="shared" si="29"/>
        <v/>
      </c>
    </row>
    <row r="1862" spans="14:14" ht="15" customHeight="1">
      <c r="N1862" t="str">
        <f t="shared" si="29"/>
        <v/>
      </c>
    </row>
    <row r="1863" spans="14:14" ht="15" customHeight="1">
      <c r="N1863" t="str">
        <f t="shared" si="29"/>
        <v/>
      </c>
    </row>
    <row r="1864" spans="14:14" ht="15" customHeight="1">
      <c r="N1864" t="str">
        <f t="shared" si="29"/>
        <v/>
      </c>
    </row>
    <row r="1865" spans="14:14" ht="15" customHeight="1">
      <c r="N1865" t="str">
        <f t="shared" si="29"/>
        <v/>
      </c>
    </row>
    <row r="1866" spans="14:14" ht="15" customHeight="1">
      <c r="N1866" t="str">
        <f t="shared" si="29"/>
        <v/>
      </c>
    </row>
    <row r="1867" spans="14:14" ht="15" customHeight="1">
      <c r="N1867" t="str">
        <f t="shared" si="29"/>
        <v/>
      </c>
    </row>
    <row r="1868" spans="14:14" ht="15" customHeight="1">
      <c r="N1868" t="str">
        <f t="shared" si="29"/>
        <v/>
      </c>
    </row>
    <row r="1869" spans="14:14" ht="15" customHeight="1">
      <c r="N1869" t="str">
        <f t="shared" si="29"/>
        <v/>
      </c>
    </row>
    <row r="1870" spans="14:14" ht="15" customHeight="1">
      <c r="N1870" t="str">
        <f t="shared" si="29"/>
        <v/>
      </c>
    </row>
    <row r="1871" spans="14:14" ht="15" customHeight="1">
      <c r="N1871" t="str">
        <f t="shared" si="29"/>
        <v/>
      </c>
    </row>
    <row r="1872" spans="14:14" ht="15" customHeight="1">
      <c r="N1872" t="str">
        <f t="shared" si="29"/>
        <v/>
      </c>
    </row>
    <row r="1873" spans="14:14" ht="15" customHeight="1">
      <c r="N1873" t="str">
        <f t="shared" si="29"/>
        <v/>
      </c>
    </row>
    <row r="1874" spans="14:14" ht="15" customHeight="1">
      <c r="N1874" t="str">
        <f t="shared" si="29"/>
        <v/>
      </c>
    </row>
    <row r="1875" spans="14:14" ht="15" customHeight="1">
      <c r="N1875" t="str">
        <f t="shared" si="29"/>
        <v/>
      </c>
    </row>
    <row r="1876" spans="14:14" ht="15" customHeight="1">
      <c r="N1876" t="str">
        <f t="shared" si="29"/>
        <v/>
      </c>
    </row>
    <row r="1877" spans="14:14" ht="15" customHeight="1">
      <c r="N1877" t="str">
        <f t="shared" si="29"/>
        <v/>
      </c>
    </row>
    <row r="1878" spans="14:14" ht="15" customHeight="1">
      <c r="N1878" t="str">
        <f t="shared" si="29"/>
        <v/>
      </c>
    </row>
    <row r="1879" spans="14:14" ht="15" customHeight="1">
      <c r="N1879" t="str">
        <f t="shared" si="29"/>
        <v/>
      </c>
    </row>
    <row r="1880" spans="14:14" ht="15" customHeight="1">
      <c r="N1880" t="str">
        <f t="shared" si="29"/>
        <v/>
      </c>
    </row>
    <row r="1881" spans="14:14" ht="15" customHeight="1">
      <c r="N1881" t="str">
        <f t="shared" si="29"/>
        <v/>
      </c>
    </row>
    <row r="1882" spans="14:14" ht="15" customHeight="1">
      <c r="N1882" t="str">
        <f t="shared" si="29"/>
        <v/>
      </c>
    </row>
    <row r="1883" spans="14:14" ht="15" customHeight="1">
      <c r="N1883" t="str">
        <f t="shared" si="29"/>
        <v/>
      </c>
    </row>
    <row r="1884" spans="14:14" ht="15" customHeight="1">
      <c r="N1884" t="str">
        <f t="shared" si="29"/>
        <v/>
      </c>
    </row>
    <row r="1885" spans="14:14" ht="15" customHeight="1">
      <c r="N1885" t="str">
        <f t="shared" si="29"/>
        <v/>
      </c>
    </row>
    <row r="1886" spans="14:14" ht="15" customHeight="1">
      <c r="N1886" t="str">
        <f t="shared" si="29"/>
        <v/>
      </c>
    </row>
    <row r="1887" spans="14:14" ht="15" customHeight="1">
      <c r="N1887" t="str">
        <f t="shared" si="29"/>
        <v/>
      </c>
    </row>
    <row r="1888" spans="14:14" ht="15" customHeight="1">
      <c r="N1888" t="str">
        <f t="shared" si="29"/>
        <v/>
      </c>
    </row>
    <row r="1889" spans="14:14" ht="15" customHeight="1">
      <c r="N1889" t="str">
        <f t="shared" si="29"/>
        <v/>
      </c>
    </row>
    <row r="1890" spans="14:14" ht="15" customHeight="1">
      <c r="N1890" t="str">
        <f t="shared" si="29"/>
        <v/>
      </c>
    </row>
    <row r="1891" spans="14:14" ht="15" customHeight="1">
      <c r="N1891" t="str">
        <f t="shared" si="29"/>
        <v/>
      </c>
    </row>
    <row r="1892" spans="14:14" ht="15" customHeight="1">
      <c r="N1892" t="str">
        <f t="shared" si="29"/>
        <v/>
      </c>
    </row>
    <row r="1893" spans="14:14" ht="15" customHeight="1">
      <c r="N1893" t="str">
        <f t="shared" si="29"/>
        <v/>
      </c>
    </row>
    <row r="1894" spans="14:14" ht="15" customHeight="1">
      <c r="N1894" t="str">
        <f t="shared" si="29"/>
        <v/>
      </c>
    </row>
    <row r="1895" spans="14:14" ht="15" customHeight="1">
      <c r="N1895" t="str">
        <f t="shared" si="29"/>
        <v/>
      </c>
    </row>
    <row r="1896" spans="14:14" ht="15" customHeight="1">
      <c r="N1896" t="str">
        <f t="shared" si="29"/>
        <v/>
      </c>
    </row>
    <row r="1897" spans="14:14" ht="15" customHeight="1">
      <c r="N1897" t="str">
        <f t="shared" si="29"/>
        <v/>
      </c>
    </row>
    <row r="1898" spans="14:14" ht="15" customHeight="1">
      <c r="N1898" t="str">
        <f t="shared" si="29"/>
        <v/>
      </c>
    </row>
    <row r="1899" spans="14:14" ht="15" customHeight="1">
      <c r="N1899" t="str">
        <f t="shared" si="29"/>
        <v/>
      </c>
    </row>
    <row r="1900" spans="14:14" ht="15" customHeight="1">
      <c r="N1900" t="str">
        <f t="shared" si="29"/>
        <v/>
      </c>
    </row>
    <row r="1901" spans="14:14" ht="15" customHeight="1">
      <c r="N1901" t="str">
        <f t="shared" si="29"/>
        <v/>
      </c>
    </row>
    <row r="1902" spans="14:14" ht="15" customHeight="1">
      <c r="N1902" t="str">
        <f t="shared" si="29"/>
        <v/>
      </c>
    </row>
    <row r="1903" spans="14:14" ht="15" customHeight="1">
      <c r="N1903" t="str">
        <f t="shared" si="29"/>
        <v/>
      </c>
    </row>
    <row r="1904" spans="14:14" ht="15" customHeight="1">
      <c r="N1904" t="str">
        <f t="shared" si="29"/>
        <v/>
      </c>
    </row>
    <row r="1905" spans="14:14" ht="15" customHeight="1">
      <c r="N1905" t="str">
        <f t="shared" si="29"/>
        <v/>
      </c>
    </row>
    <row r="1906" spans="14:14" ht="15" customHeight="1">
      <c r="N1906" t="str">
        <f t="shared" si="29"/>
        <v/>
      </c>
    </row>
    <row r="1907" spans="14:14" ht="15" customHeight="1">
      <c r="N1907" t="str">
        <f t="shared" si="29"/>
        <v/>
      </c>
    </row>
    <row r="1908" spans="14:14" ht="15" customHeight="1">
      <c r="N1908" t="str">
        <f t="shared" si="29"/>
        <v/>
      </c>
    </row>
    <row r="1909" spans="14:14" ht="15" customHeight="1">
      <c r="N1909" t="str">
        <f t="shared" si="29"/>
        <v/>
      </c>
    </row>
    <row r="1910" spans="14:14" ht="15" customHeight="1">
      <c r="N1910" t="str">
        <f t="shared" si="29"/>
        <v/>
      </c>
    </row>
    <row r="1911" spans="14:14" ht="15" customHeight="1">
      <c r="N1911" t="str">
        <f t="shared" si="29"/>
        <v/>
      </c>
    </row>
    <row r="1912" spans="14:14" ht="15" customHeight="1">
      <c r="N1912" t="str">
        <f t="shared" si="29"/>
        <v/>
      </c>
    </row>
    <row r="1913" spans="14:14" ht="15" customHeight="1">
      <c r="N1913" t="str">
        <f t="shared" si="29"/>
        <v/>
      </c>
    </row>
    <row r="1914" spans="14:14" ht="15" customHeight="1">
      <c r="N1914" t="str">
        <f t="shared" si="29"/>
        <v/>
      </c>
    </row>
    <row r="1915" spans="14:14" ht="15" customHeight="1">
      <c r="N1915" t="str">
        <f t="shared" si="29"/>
        <v/>
      </c>
    </row>
    <row r="1916" spans="14:14" ht="15" customHeight="1">
      <c r="N1916" t="str">
        <f t="shared" si="29"/>
        <v/>
      </c>
    </row>
    <row r="1917" spans="14:14" ht="15" customHeight="1">
      <c r="N1917" t="str">
        <f t="shared" si="29"/>
        <v/>
      </c>
    </row>
    <row r="1918" spans="14:14" ht="15" customHeight="1">
      <c r="N1918" t="str">
        <f t="shared" si="29"/>
        <v/>
      </c>
    </row>
    <row r="1919" spans="14:14" ht="15" customHeight="1">
      <c r="N1919" t="str">
        <f t="shared" si="29"/>
        <v/>
      </c>
    </row>
    <row r="1920" spans="14:14" ht="15" customHeight="1">
      <c r="N1920" t="str">
        <f t="shared" si="29"/>
        <v/>
      </c>
    </row>
    <row r="1921" spans="14:14" ht="15" customHeight="1">
      <c r="N1921" t="str">
        <f t="shared" si="29"/>
        <v/>
      </c>
    </row>
    <row r="1922" spans="14:14" ht="15" customHeight="1">
      <c r="N1922" t="str">
        <f t="shared" ref="N1922:N1985" si="30">IF(L1922="","",IF(2026-E1922&gt;0,L1922/(2026-E1922),L1922))</f>
        <v/>
      </c>
    </row>
    <row r="1923" spans="14:14" ht="15" customHeight="1">
      <c r="N1923" t="str">
        <f t="shared" si="30"/>
        <v/>
      </c>
    </row>
    <row r="1924" spans="14:14" ht="15" customHeight="1">
      <c r="N1924" t="str">
        <f t="shared" si="30"/>
        <v/>
      </c>
    </row>
    <row r="1925" spans="14:14" ht="15" customHeight="1">
      <c r="N1925" t="str">
        <f t="shared" si="30"/>
        <v/>
      </c>
    </row>
    <row r="1926" spans="14:14" ht="15" customHeight="1">
      <c r="N1926" t="str">
        <f t="shared" si="30"/>
        <v/>
      </c>
    </row>
    <row r="1927" spans="14:14" ht="15" customHeight="1">
      <c r="N1927" t="str">
        <f t="shared" si="30"/>
        <v/>
      </c>
    </row>
    <row r="1928" spans="14:14" ht="15" customHeight="1">
      <c r="N1928" t="str">
        <f t="shared" si="30"/>
        <v/>
      </c>
    </row>
    <row r="1929" spans="14:14" ht="15" customHeight="1">
      <c r="N1929" t="str">
        <f t="shared" si="30"/>
        <v/>
      </c>
    </row>
    <row r="1930" spans="14:14" ht="15" customHeight="1">
      <c r="N1930" t="str">
        <f t="shared" si="30"/>
        <v/>
      </c>
    </row>
    <row r="1931" spans="14:14" ht="15" customHeight="1">
      <c r="N1931" t="str">
        <f t="shared" si="30"/>
        <v/>
      </c>
    </row>
    <row r="1932" spans="14:14" ht="15" customHeight="1">
      <c r="N1932" t="str">
        <f t="shared" si="30"/>
        <v/>
      </c>
    </row>
    <row r="1933" spans="14:14" ht="15" customHeight="1">
      <c r="N1933" t="str">
        <f t="shared" si="30"/>
        <v/>
      </c>
    </row>
    <row r="1934" spans="14:14" ht="15" customHeight="1">
      <c r="N1934" t="str">
        <f t="shared" si="30"/>
        <v/>
      </c>
    </row>
    <row r="1935" spans="14:14" ht="15" customHeight="1">
      <c r="N1935" t="str">
        <f t="shared" si="30"/>
        <v/>
      </c>
    </row>
    <row r="1936" spans="14:14" ht="15" customHeight="1">
      <c r="N1936" t="str">
        <f t="shared" si="30"/>
        <v/>
      </c>
    </row>
    <row r="1937" spans="14:14" ht="15" customHeight="1">
      <c r="N1937" t="str">
        <f t="shared" si="30"/>
        <v/>
      </c>
    </row>
    <row r="1938" spans="14:14" ht="15" customHeight="1">
      <c r="N1938" t="str">
        <f t="shared" si="30"/>
        <v/>
      </c>
    </row>
    <row r="1939" spans="14:14" ht="15" customHeight="1">
      <c r="N1939" t="str">
        <f t="shared" si="30"/>
        <v/>
      </c>
    </row>
    <row r="1940" spans="14:14" ht="15" customHeight="1">
      <c r="N1940" t="str">
        <f t="shared" si="30"/>
        <v/>
      </c>
    </row>
    <row r="1941" spans="14:14" ht="15" customHeight="1">
      <c r="N1941" t="str">
        <f t="shared" si="30"/>
        <v/>
      </c>
    </row>
    <row r="1942" spans="14:14" ht="15" customHeight="1">
      <c r="N1942" t="str">
        <f t="shared" si="30"/>
        <v/>
      </c>
    </row>
    <row r="1943" spans="14:14" ht="15" customHeight="1">
      <c r="N1943" t="str">
        <f t="shared" si="30"/>
        <v/>
      </c>
    </row>
    <row r="1944" spans="14:14" ht="15" customHeight="1">
      <c r="N1944" t="str">
        <f t="shared" si="30"/>
        <v/>
      </c>
    </row>
    <row r="1945" spans="14:14" ht="15" customHeight="1">
      <c r="N1945" t="str">
        <f t="shared" si="30"/>
        <v/>
      </c>
    </row>
    <row r="1946" spans="14:14" ht="15" customHeight="1">
      <c r="N1946" t="str">
        <f t="shared" si="30"/>
        <v/>
      </c>
    </row>
    <row r="1947" spans="14:14" ht="15" customHeight="1">
      <c r="N1947" t="str">
        <f t="shared" si="30"/>
        <v/>
      </c>
    </row>
    <row r="1948" spans="14:14" ht="15" customHeight="1">
      <c r="N1948" t="str">
        <f t="shared" si="30"/>
        <v/>
      </c>
    </row>
    <row r="1949" spans="14:14" ht="15" customHeight="1">
      <c r="N1949" t="str">
        <f t="shared" si="30"/>
        <v/>
      </c>
    </row>
    <row r="1950" spans="14:14" ht="15" customHeight="1">
      <c r="N1950" t="str">
        <f t="shared" si="30"/>
        <v/>
      </c>
    </row>
    <row r="1951" spans="14:14" ht="15" customHeight="1">
      <c r="N1951" t="str">
        <f t="shared" si="30"/>
        <v/>
      </c>
    </row>
    <row r="1952" spans="14:14" ht="15" customHeight="1">
      <c r="N1952" t="str">
        <f t="shared" si="30"/>
        <v/>
      </c>
    </row>
    <row r="1953" spans="14:14" ht="15" customHeight="1">
      <c r="N1953" t="str">
        <f t="shared" si="30"/>
        <v/>
      </c>
    </row>
    <row r="1954" spans="14:14" ht="15" customHeight="1">
      <c r="N1954" t="str">
        <f t="shared" si="30"/>
        <v/>
      </c>
    </row>
    <row r="1955" spans="14:14" ht="15" customHeight="1">
      <c r="N1955" t="str">
        <f t="shared" si="30"/>
        <v/>
      </c>
    </row>
    <row r="1956" spans="14:14" ht="15" customHeight="1">
      <c r="N1956" t="str">
        <f t="shared" si="30"/>
        <v/>
      </c>
    </row>
    <row r="1957" spans="14:14" ht="15" customHeight="1">
      <c r="N1957" t="str">
        <f t="shared" si="30"/>
        <v/>
      </c>
    </row>
    <row r="1958" spans="14:14" ht="15" customHeight="1">
      <c r="N1958" t="str">
        <f t="shared" si="30"/>
        <v/>
      </c>
    </row>
    <row r="1959" spans="14:14" ht="15" customHeight="1">
      <c r="N1959" t="str">
        <f t="shared" si="30"/>
        <v/>
      </c>
    </row>
    <row r="1960" spans="14:14" ht="15" customHeight="1">
      <c r="N1960" t="str">
        <f t="shared" si="30"/>
        <v/>
      </c>
    </row>
    <row r="1961" spans="14:14" ht="15" customHeight="1">
      <c r="N1961" t="str">
        <f t="shared" si="30"/>
        <v/>
      </c>
    </row>
    <row r="1962" spans="14:14" ht="15" customHeight="1">
      <c r="N1962" t="str">
        <f t="shared" si="30"/>
        <v/>
      </c>
    </row>
    <row r="1963" spans="14:14" ht="15" customHeight="1">
      <c r="N1963" t="str">
        <f t="shared" si="30"/>
        <v/>
      </c>
    </row>
    <row r="1964" spans="14:14" ht="15" customHeight="1">
      <c r="N1964" t="str">
        <f t="shared" si="30"/>
        <v/>
      </c>
    </row>
    <row r="1965" spans="14:14" ht="15" customHeight="1">
      <c r="N1965" t="str">
        <f t="shared" si="30"/>
        <v/>
      </c>
    </row>
    <row r="1966" spans="14:14" ht="15" customHeight="1">
      <c r="N1966" t="str">
        <f t="shared" si="30"/>
        <v/>
      </c>
    </row>
    <row r="1967" spans="14:14" ht="15" customHeight="1">
      <c r="N1967" t="str">
        <f t="shared" si="30"/>
        <v/>
      </c>
    </row>
    <row r="1968" spans="14:14" ht="15" customHeight="1">
      <c r="N1968" t="str">
        <f t="shared" si="30"/>
        <v/>
      </c>
    </row>
    <row r="1969" spans="14:14" ht="15" customHeight="1">
      <c r="N1969" t="str">
        <f t="shared" si="30"/>
        <v/>
      </c>
    </row>
    <row r="1970" spans="14:14" ht="15" customHeight="1">
      <c r="N1970" t="str">
        <f t="shared" si="30"/>
        <v/>
      </c>
    </row>
    <row r="1971" spans="14:14" ht="15" customHeight="1">
      <c r="N1971" t="str">
        <f t="shared" si="30"/>
        <v/>
      </c>
    </row>
    <row r="1972" spans="14:14" ht="15" customHeight="1">
      <c r="N1972" t="str">
        <f t="shared" si="30"/>
        <v/>
      </c>
    </row>
    <row r="1973" spans="14:14" ht="15" customHeight="1">
      <c r="N1973" t="str">
        <f t="shared" si="30"/>
        <v/>
      </c>
    </row>
    <row r="1974" spans="14:14" ht="15" customHeight="1">
      <c r="N1974" t="str">
        <f t="shared" si="30"/>
        <v/>
      </c>
    </row>
    <row r="1975" spans="14:14" ht="15" customHeight="1">
      <c r="N1975" t="str">
        <f t="shared" si="30"/>
        <v/>
      </c>
    </row>
    <row r="1976" spans="14:14" ht="15" customHeight="1">
      <c r="N1976" t="str">
        <f t="shared" si="30"/>
        <v/>
      </c>
    </row>
    <row r="1977" spans="14:14" ht="15" customHeight="1">
      <c r="N1977" t="str">
        <f t="shared" si="30"/>
        <v/>
      </c>
    </row>
    <row r="1978" spans="14:14" ht="15" customHeight="1">
      <c r="N1978" t="str">
        <f t="shared" si="30"/>
        <v/>
      </c>
    </row>
    <row r="1979" spans="14:14" ht="15" customHeight="1">
      <c r="N1979" t="str">
        <f t="shared" si="30"/>
        <v/>
      </c>
    </row>
    <row r="1980" spans="14:14" ht="15" customHeight="1">
      <c r="N1980" t="str">
        <f t="shared" si="30"/>
        <v/>
      </c>
    </row>
    <row r="1981" spans="14:14" ht="15" customHeight="1">
      <c r="N1981" t="str">
        <f t="shared" si="30"/>
        <v/>
      </c>
    </row>
    <row r="1982" spans="14:14" ht="15" customHeight="1">
      <c r="N1982" t="str">
        <f t="shared" si="30"/>
        <v/>
      </c>
    </row>
    <row r="1983" spans="14:14" ht="15" customHeight="1">
      <c r="N1983" t="str">
        <f t="shared" si="30"/>
        <v/>
      </c>
    </row>
    <row r="1984" spans="14:14" ht="15" customHeight="1">
      <c r="N1984" t="str">
        <f t="shared" si="30"/>
        <v/>
      </c>
    </row>
    <row r="1985" spans="14:14" ht="15" customHeight="1">
      <c r="N1985" t="str">
        <f t="shared" si="30"/>
        <v/>
      </c>
    </row>
    <row r="1986" spans="14:14" ht="15" customHeight="1">
      <c r="N1986" t="str">
        <f t="shared" ref="N1986:N2000" si="31">IF(L1986="","",IF(2026-E1986&gt;0,L1986/(2026-E1986),L1986))</f>
        <v/>
      </c>
    </row>
    <row r="1987" spans="14:14" ht="15" customHeight="1">
      <c r="N1987" t="str">
        <f t="shared" si="31"/>
        <v/>
      </c>
    </row>
    <row r="1988" spans="14:14" ht="15" customHeight="1">
      <c r="N1988" t="str">
        <f t="shared" si="31"/>
        <v/>
      </c>
    </row>
    <row r="1989" spans="14:14" ht="15" customHeight="1">
      <c r="N1989" t="str">
        <f t="shared" si="31"/>
        <v/>
      </c>
    </row>
    <row r="1990" spans="14:14" ht="15" customHeight="1">
      <c r="N1990" t="str">
        <f t="shared" si="31"/>
        <v/>
      </c>
    </row>
    <row r="1991" spans="14:14" ht="15" customHeight="1">
      <c r="N1991" t="str">
        <f t="shared" si="31"/>
        <v/>
      </c>
    </row>
    <row r="1992" spans="14:14" ht="15" customHeight="1">
      <c r="N1992" t="str">
        <f t="shared" si="31"/>
        <v/>
      </c>
    </row>
    <row r="1993" spans="14:14" ht="15" customHeight="1">
      <c r="N1993" t="str">
        <f t="shared" si="31"/>
        <v/>
      </c>
    </row>
    <row r="1994" spans="14:14" ht="15" customHeight="1">
      <c r="N1994" t="str">
        <f t="shared" si="31"/>
        <v/>
      </c>
    </row>
    <row r="1995" spans="14:14" ht="15" customHeight="1">
      <c r="N1995" t="str">
        <f t="shared" si="31"/>
        <v/>
      </c>
    </row>
    <row r="1996" spans="14:14" ht="15" customHeight="1">
      <c r="N1996" t="str">
        <f t="shared" si="31"/>
        <v/>
      </c>
    </row>
    <row r="1997" spans="14:14" ht="15" customHeight="1">
      <c r="N1997" t="str">
        <f t="shared" si="31"/>
        <v/>
      </c>
    </row>
    <row r="1998" spans="14:14" ht="15" customHeight="1">
      <c r="N1998" t="str">
        <f t="shared" si="31"/>
        <v/>
      </c>
    </row>
    <row r="1999" spans="14:14" ht="15" customHeight="1">
      <c r="N1999" t="str">
        <f t="shared" si="31"/>
        <v/>
      </c>
    </row>
    <row r="2000" spans="14:14" ht="15" customHeight="1">
      <c r="N2000" t="str">
        <f t="shared" si="31"/>
        <v/>
      </c>
    </row>
  </sheetData>
  <dataValidations count="3">
    <dataValidation type="list" allowBlank="1" sqref="G2:H2000" xr:uid="{00000000-0002-0000-0300-000000000000}">
      <formula1>"include,exclude,unsure"</formula1>
      <formula2>0</formula2>
    </dataValidation>
    <dataValidation type="list" allowBlank="1" sqref="J2:J2000" xr:uid="{00000000-0002-0000-0300-000001000000}">
      <formula1>"P1,P2,P3,P4"</formula1>
      <formula2>0</formula2>
    </dataValidation>
    <dataValidation type="list" allowBlank="1" sqref="K2:K2000 O2:O2000" xr:uid="{00000000-0002-0000-0300-000002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50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2" width="10" style="1" customWidth="1"/>
    <col min="3" max="3" width="8" style="1" customWidth="1"/>
    <col min="4" max="4" width="14" style="1" customWidth="1"/>
    <col min="5" max="5" width="60" style="1" customWidth="1"/>
    <col min="6" max="6" width="12" style="1" customWidth="1"/>
    <col min="7" max="7" width="16" style="1" customWidth="1"/>
    <col min="8" max="9" width="12" style="1" customWidth="1"/>
    <col min="10" max="13" width="10" style="1" customWidth="1"/>
    <col min="14" max="15" width="12" style="1" customWidth="1"/>
    <col min="16" max="16" width="26" style="1" customWidth="1"/>
    <col min="17" max="18" width="12" style="1" customWidth="1"/>
    <col min="19" max="20" width="30" style="1" customWidth="1"/>
    <col min="21" max="21" width="14" style="1" customWidth="1"/>
    <col min="22" max="22" width="20" style="1" customWidth="1"/>
    <col min="23" max="23" width="22" style="1" customWidth="1"/>
    <col min="24" max="24" width="16" style="1" customWidth="1"/>
    <col min="25" max="25" width="22" style="1" customWidth="1"/>
    <col min="26" max="26" width="20" style="1" customWidth="1"/>
    <col min="27" max="27" width="14" style="1" customWidth="1"/>
  </cols>
  <sheetData>
    <row r="1" spans="1:27" ht="15" customHeight="1">
      <c r="A1" s="7" t="s">
        <v>327</v>
      </c>
      <c r="B1" s="7" t="s">
        <v>358</v>
      </c>
      <c r="C1" s="7" t="s">
        <v>390</v>
      </c>
      <c r="D1" s="7" t="s">
        <v>391</v>
      </c>
      <c r="E1" s="7" t="s">
        <v>392</v>
      </c>
      <c r="F1" s="7" t="s">
        <v>393</v>
      </c>
      <c r="G1" s="7" t="s">
        <v>394</v>
      </c>
      <c r="H1" s="7" t="s">
        <v>395</v>
      </c>
      <c r="I1" s="7" t="s">
        <v>396</v>
      </c>
      <c r="J1" s="7" t="s">
        <v>367</v>
      </c>
      <c r="K1" s="7" t="s">
        <v>397</v>
      </c>
      <c r="L1" s="7" t="s">
        <v>398</v>
      </c>
      <c r="M1" s="7" t="s">
        <v>399</v>
      </c>
      <c r="N1" s="7" t="s">
        <v>400</v>
      </c>
      <c r="O1" s="7" t="s">
        <v>401</v>
      </c>
      <c r="P1" s="7" t="s">
        <v>402</v>
      </c>
      <c r="Q1" s="7" t="s">
        <v>403</v>
      </c>
      <c r="R1" s="7" t="s">
        <v>404</v>
      </c>
      <c r="S1" s="7" t="s">
        <v>405</v>
      </c>
      <c r="T1" s="7" t="s">
        <v>331</v>
      </c>
      <c r="U1" s="9" t="s">
        <v>37</v>
      </c>
      <c r="V1" s="9" t="s">
        <v>39</v>
      </c>
      <c r="W1" s="9" t="s">
        <v>41</v>
      </c>
      <c r="X1" s="9" t="s">
        <v>43</v>
      </c>
      <c r="Y1" s="9" t="s">
        <v>44</v>
      </c>
      <c r="Z1" s="9" t="s">
        <v>46</v>
      </c>
      <c r="AA1" s="9" t="s">
        <v>48</v>
      </c>
    </row>
    <row r="2" spans="1:27" ht="15" customHeight="1">
      <c r="A2" s="8" t="s">
        <v>406</v>
      </c>
      <c r="B2" s="8" t="s">
        <v>375</v>
      </c>
      <c r="C2" s="8" t="s">
        <v>384</v>
      </c>
      <c r="D2" s="8" t="s">
        <v>407</v>
      </c>
      <c r="E2" s="8" t="s">
        <v>408</v>
      </c>
      <c r="F2" s="8" t="s">
        <v>409</v>
      </c>
      <c r="G2" s="8" t="s">
        <v>410</v>
      </c>
      <c r="H2" s="8" t="s">
        <v>411</v>
      </c>
      <c r="I2" s="8"/>
      <c r="J2" s="8" t="s">
        <v>381</v>
      </c>
      <c r="K2" s="8" t="s">
        <v>412</v>
      </c>
      <c r="L2" s="8" t="s">
        <v>412</v>
      </c>
      <c r="M2" s="8" t="s">
        <v>412</v>
      </c>
      <c r="N2" s="8"/>
      <c r="O2" s="8"/>
      <c r="P2" t="str">
        <f t="shared" ref="P2:P65" si="0">IF(OR(F2="",H2="",J2=""),"",J2&amp;"|"&amp;F2&amp;"|"&amp;IF(H2="W3","W3_"&amp;IF(I2="","unknown",I2),H2))</f>
        <v>P4|conceptual|W4</v>
      </c>
      <c r="Q2" t="str">
        <f>IF(P2="","",IFERROR(IF(AND(H2="W7",OR(F2="causal",F2="predictive")),IF(AND(OR(K2=1,K2="1"),OR(L2=1,L2="1"),OR(M2=1,M2="1")),"adequate","partial"),IF(AND(H2="W4",F2="predictive",OR(J2="P2",J2="P3",J2="P4")),IF(OR(U2=1,U2="1"),"adequate","partial"),INDEX(Fit_Matrix!$B:$B,MATCH(P2,Fit_Matrix!$A:$A,0)))),"CHECK KEY"))</f>
        <v>adequate</v>
      </c>
      <c r="R2" s="8" t="s">
        <v>56</v>
      </c>
      <c r="S2" s="8"/>
      <c r="T2" s="8" t="s">
        <v>413</v>
      </c>
      <c r="U2" s="10" t="s">
        <v>412</v>
      </c>
      <c r="V2" s="10" t="s">
        <v>412</v>
      </c>
      <c r="W2" s="10" t="s">
        <v>412</v>
      </c>
      <c r="X2" s="10" t="s">
        <v>412</v>
      </c>
      <c r="Y2" s="10" t="s">
        <v>412</v>
      </c>
      <c r="Z2" s="10" t="s">
        <v>412</v>
      </c>
      <c r="AA2" s="11" t="str">
        <f t="shared" ref="AA2:AA65" si="1">IF(A2="","",IF(AND(J2="P4",F2="causal"),"P4-CAUSAL",""))</f>
        <v/>
      </c>
    </row>
    <row r="3" spans="1:27" ht="15" customHeight="1">
      <c r="A3" s="8" t="s">
        <v>414</v>
      </c>
      <c r="B3" s="8" t="s">
        <v>375</v>
      </c>
      <c r="C3" s="8" t="s">
        <v>384</v>
      </c>
      <c r="D3" s="8" t="s">
        <v>415</v>
      </c>
      <c r="E3" s="8" t="s">
        <v>416</v>
      </c>
      <c r="F3" s="8" t="s">
        <v>417</v>
      </c>
      <c r="G3" s="8" t="s">
        <v>418</v>
      </c>
      <c r="H3" s="8" t="s">
        <v>419</v>
      </c>
      <c r="I3" s="8"/>
      <c r="J3" s="8" t="s">
        <v>381</v>
      </c>
      <c r="K3" s="8">
        <v>1</v>
      </c>
      <c r="L3" s="8">
        <v>1</v>
      </c>
      <c r="M3" s="8">
        <v>0</v>
      </c>
      <c r="N3" s="8" t="s">
        <v>352</v>
      </c>
      <c r="O3" s="8"/>
      <c r="P3" t="str">
        <f t="shared" si="0"/>
        <v>P4|predictive|W7</v>
      </c>
      <c r="Q3" t="str">
        <f>IF(P3="","",IFERROR(IF(AND(H3="W7",OR(F3="causal",F3="predictive")),IF(AND(OR(K3=1,K3="1"),OR(L3=1,L3="1"),OR(M3=1,M3="1")),"adequate","partial"),IF(AND(H3="W4",F3="predictive",OR(J3="P2",J3="P3",J3="P4")),IF(OR(U3=1,U3="1"),"adequate","partial"),INDEX(Fit_Matrix!$B:$B,MATCH(P3,Fit_Matrix!$A:$A,0)))),"CHECK KEY"))</f>
        <v>partial</v>
      </c>
      <c r="R3" s="8" t="s">
        <v>60</v>
      </c>
      <c r="S3" s="8"/>
      <c r="T3" s="8" t="s">
        <v>420</v>
      </c>
      <c r="U3" s="10" t="s">
        <v>412</v>
      </c>
      <c r="V3" s="10" t="s">
        <v>412</v>
      </c>
      <c r="W3" s="10" t="s">
        <v>412</v>
      </c>
      <c r="X3" s="10" t="s">
        <v>412</v>
      </c>
      <c r="Y3" s="10" t="s">
        <v>412</v>
      </c>
      <c r="Z3" s="10" t="s">
        <v>412</v>
      </c>
      <c r="AA3" s="11" t="str">
        <f t="shared" si="1"/>
        <v/>
      </c>
    </row>
    <row r="4" spans="1:27" ht="15" customHeight="1">
      <c r="A4" s="8" t="s">
        <v>421</v>
      </c>
      <c r="B4" s="8" t="s">
        <v>375</v>
      </c>
      <c r="C4" s="8" t="s">
        <v>384</v>
      </c>
      <c r="D4" s="8" t="s">
        <v>415</v>
      </c>
      <c r="E4" s="8" t="s">
        <v>422</v>
      </c>
      <c r="F4" s="8" t="s">
        <v>417</v>
      </c>
      <c r="G4" s="8" t="s">
        <v>418</v>
      </c>
      <c r="H4" s="8" t="s">
        <v>419</v>
      </c>
      <c r="I4" s="8"/>
      <c r="J4" s="8" t="s">
        <v>381</v>
      </c>
      <c r="K4" s="8">
        <v>1</v>
      </c>
      <c r="L4" s="8">
        <v>1</v>
      </c>
      <c r="M4" s="8">
        <v>0</v>
      </c>
      <c r="N4" s="8" t="s">
        <v>352</v>
      </c>
      <c r="O4" s="8"/>
      <c r="P4" t="str">
        <f t="shared" si="0"/>
        <v>P4|predictive|W7</v>
      </c>
      <c r="Q4" t="str">
        <f>IF(P4="","",IFERROR(IF(AND(H4="W7",OR(F4="causal",F4="predictive")),IF(AND(OR(K4=1,K4="1"),OR(L4=1,L4="1"),OR(M4=1,M4="1")),"adequate","partial"),IF(AND(H4="W4",F4="predictive",OR(J4="P2",J4="P3",J4="P4")),IF(OR(U4=1,U4="1"),"adequate","partial"),INDEX(Fit_Matrix!$B:$B,MATCH(P4,Fit_Matrix!$A:$A,0)))),"CHECK KEY"))</f>
        <v>partial</v>
      </c>
      <c r="R4" s="8" t="s">
        <v>60</v>
      </c>
      <c r="S4" s="8"/>
      <c r="T4" s="8" t="s">
        <v>423</v>
      </c>
      <c r="U4" s="10" t="s">
        <v>412</v>
      </c>
      <c r="V4" s="10" t="s">
        <v>412</v>
      </c>
      <c r="W4" s="10" t="s">
        <v>412</v>
      </c>
      <c r="X4" s="10" t="s">
        <v>412</v>
      </c>
      <c r="Y4" s="10" t="s">
        <v>412</v>
      </c>
      <c r="Z4" s="10" t="s">
        <v>412</v>
      </c>
      <c r="AA4" s="11" t="str">
        <f t="shared" si="1"/>
        <v/>
      </c>
    </row>
    <row r="5" spans="1:27" ht="15" customHeight="1">
      <c r="A5" s="8" t="s">
        <v>424</v>
      </c>
      <c r="B5" s="8" t="s">
        <v>375</v>
      </c>
      <c r="C5" s="8" t="s">
        <v>384</v>
      </c>
      <c r="D5" s="8" t="s">
        <v>425</v>
      </c>
      <c r="E5" s="8" t="s">
        <v>426</v>
      </c>
      <c r="F5" s="8" t="s">
        <v>427</v>
      </c>
      <c r="G5" s="8" t="s">
        <v>428</v>
      </c>
      <c r="H5" s="8" t="s">
        <v>429</v>
      </c>
      <c r="I5" s="8" t="s">
        <v>430</v>
      </c>
      <c r="J5" s="8" t="s">
        <v>381</v>
      </c>
      <c r="K5" s="8" t="s">
        <v>412</v>
      </c>
      <c r="L5" s="8" t="s">
        <v>412</v>
      </c>
      <c r="M5" s="8" t="s">
        <v>412</v>
      </c>
      <c r="N5" s="8" t="s">
        <v>332</v>
      </c>
      <c r="O5" s="8" t="s">
        <v>431</v>
      </c>
      <c r="P5" t="str">
        <f t="shared" si="0"/>
        <v>P4|causal|W3_to_W1W2</v>
      </c>
      <c r="Q5" t="str">
        <f>IF(P5="","",IFERROR(IF(AND(H5="W7",OR(F5="causal",F5="predictive")),IF(AND(OR(K5=1,K5="1"),OR(L5=1,L5="1"),OR(M5=1,M5="1")),"adequate","partial"),IF(AND(H5="W4",F5="predictive",OR(J5="P2",J5="P3",J5="P4")),IF(OR(U5=1,U5="1"),"adequate","partial"),INDEX(Fit_Matrix!$B:$B,MATCH(P5,Fit_Matrix!$A:$A,0)))),"CHECK KEY"))</f>
        <v>adequate</v>
      </c>
      <c r="R5" s="8" t="s">
        <v>56</v>
      </c>
      <c r="S5" s="8"/>
      <c r="T5" s="8" t="s">
        <v>432</v>
      </c>
      <c r="U5" s="10" t="s">
        <v>412</v>
      </c>
      <c r="V5" s="10" t="s">
        <v>412</v>
      </c>
      <c r="W5" s="10" t="s">
        <v>412</v>
      </c>
      <c r="X5" s="10" t="s">
        <v>412</v>
      </c>
      <c r="Y5" s="10">
        <v>1</v>
      </c>
      <c r="Z5" s="10" t="s">
        <v>412</v>
      </c>
      <c r="AA5" s="11" t="str">
        <f t="shared" si="1"/>
        <v>P4-CAUSAL</v>
      </c>
    </row>
    <row r="6" spans="1:27" ht="15" customHeight="1">
      <c r="A6" s="8" t="s">
        <v>433</v>
      </c>
      <c r="B6" s="8" t="s">
        <v>375</v>
      </c>
      <c r="C6" s="8" t="s">
        <v>384</v>
      </c>
      <c r="D6" s="8" t="s">
        <v>434</v>
      </c>
      <c r="E6" s="8" t="s">
        <v>435</v>
      </c>
      <c r="F6" s="8" t="s">
        <v>436</v>
      </c>
      <c r="G6" s="8" t="s">
        <v>437</v>
      </c>
      <c r="H6" s="8" t="s">
        <v>437</v>
      </c>
      <c r="I6" s="8"/>
      <c r="J6" s="8" t="s">
        <v>381</v>
      </c>
      <c r="K6" s="8" t="s">
        <v>412</v>
      </c>
      <c r="L6" s="8" t="s">
        <v>412</v>
      </c>
      <c r="M6" s="8" t="s">
        <v>412</v>
      </c>
      <c r="N6" s="8"/>
      <c r="O6" s="8"/>
      <c r="P6" t="str">
        <f t="shared" si="0"/>
        <v>P4|descriptive|W6</v>
      </c>
      <c r="Q6" t="str">
        <f>IF(P6="","",IFERROR(IF(AND(H6="W7",OR(F6="causal",F6="predictive")),IF(AND(OR(K6=1,K6="1"),OR(L6=1,L6="1"),OR(M6=1,M6="1")),"adequate","partial"),IF(AND(H6="W4",F6="predictive",OR(J6="P2",J6="P3",J6="P4")),IF(OR(U6=1,U6="1"),"adequate","partial"),INDEX(Fit_Matrix!$B:$B,MATCH(P6,Fit_Matrix!$A:$A,0)))),"CHECK KEY"))</f>
        <v>partial</v>
      </c>
      <c r="R6" s="8" t="s">
        <v>60</v>
      </c>
      <c r="S6" s="8"/>
      <c r="T6" s="8" t="s">
        <v>438</v>
      </c>
      <c r="U6" s="10" t="s">
        <v>412</v>
      </c>
      <c r="V6" s="10" t="s">
        <v>412</v>
      </c>
      <c r="W6" s="10" t="s">
        <v>412</v>
      </c>
      <c r="X6" s="10" t="s">
        <v>412</v>
      </c>
      <c r="Y6" s="10" t="s">
        <v>412</v>
      </c>
      <c r="Z6" s="10" t="s">
        <v>412</v>
      </c>
      <c r="AA6" s="11" t="str">
        <f t="shared" si="1"/>
        <v/>
      </c>
    </row>
    <row r="7" spans="1:27" ht="15" customHeight="1">
      <c r="A7" s="8" t="s">
        <v>439</v>
      </c>
      <c r="B7" s="8" t="s">
        <v>375</v>
      </c>
      <c r="C7" s="8" t="s">
        <v>384</v>
      </c>
      <c r="D7" s="8" t="s">
        <v>434</v>
      </c>
      <c r="E7" s="8" t="s">
        <v>440</v>
      </c>
      <c r="F7" s="8" t="s">
        <v>427</v>
      </c>
      <c r="G7" s="8" t="s">
        <v>428</v>
      </c>
      <c r="H7" s="8" t="s">
        <v>429</v>
      </c>
      <c r="I7" s="8" t="s">
        <v>430</v>
      </c>
      <c r="J7" s="8" t="s">
        <v>381</v>
      </c>
      <c r="K7" s="8" t="s">
        <v>412</v>
      </c>
      <c r="L7" s="8" t="s">
        <v>412</v>
      </c>
      <c r="M7" s="8" t="s">
        <v>412</v>
      </c>
      <c r="N7" s="8" t="s">
        <v>332</v>
      </c>
      <c r="O7" s="8" t="s">
        <v>431</v>
      </c>
      <c r="P7" t="str">
        <f t="shared" si="0"/>
        <v>P4|causal|W3_to_W1W2</v>
      </c>
      <c r="Q7" t="str">
        <f>IF(P7="","",IFERROR(IF(AND(H7="W7",OR(F7="causal",F7="predictive")),IF(AND(OR(K7=1,K7="1"),OR(L7=1,L7="1"),OR(M7=1,M7="1")),"adequate","partial"),IF(AND(H7="W4",F7="predictive",OR(J7="P2",J7="P3",J7="P4")),IF(OR(U7=1,U7="1"),"adequate","partial"),INDEX(Fit_Matrix!$B:$B,MATCH(P7,Fit_Matrix!$A:$A,0)))),"CHECK KEY"))</f>
        <v>adequate</v>
      </c>
      <c r="R7" s="8" t="s">
        <v>56</v>
      </c>
      <c r="S7" s="8"/>
      <c r="T7" s="8" t="s">
        <v>441</v>
      </c>
      <c r="U7" s="10" t="s">
        <v>412</v>
      </c>
      <c r="V7" s="10" t="s">
        <v>412</v>
      </c>
      <c r="W7" s="10" t="s">
        <v>412</v>
      </c>
      <c r="X7" s="10" t="s">
        <v>412</v>
      </c>
      <c r="Y7" s="10">
        <v>1</v>
      </c>
      <c r="Z7" s="10" t="s">
        <v>412</v>
      </c>
      <c r="AA7" s="11" t="str">
        <f t="shared" si="1"/>
        <v>P4-CAUSAL</v>
      </c>
    </row>
    <row r="8" spans="1:27" ht="15" customHeight="1">
      <c r="A8" s="8" t="s">
        <v>442</v>
      </c>
      <c r="B8" s="8" t="s">
        <v>375</v>
      </c>
      <c r="C8" s="8" t="s">
        <v>384</v>
      </c>
      <c r="D8" s="8" t="s">
        <v>443</v>
      </c>
      <c r="E8" s="8" t="s">
        <v>444</v>
      </c>
      <c r="F8" s="8" t="s">
        <v>417</v>
      </c>
      <c r="G8" s="8" t="s">
        <v>445</v>
      </c>
      <c r="H8" s="8" t="s">
        <v>437</v>
      </c>
      <c r="I8" s="8"/>
      <c r="J8" s="8" t="s">
        <v>381</v>
      </c>
      <c r="K8" s="8">
        <v>0</v>
      </c>
      <c r="L8" s="8">
        <v>1</v>
      </c>
      <c r="M8" s="8">
        <v>0</v>
      </c>
      <c r="N8" s="8" t="s">
        <v>335</v>
      </c>
      <c r="O8" s="8"/>
      <c r="P8" t="str">
        <f t="shared" si="0"/>
        <v>P4|predictive|W6</v>
      </c>
      <c r="Q8" t="str">
        <f>IF(P8="","",IFERROR(IF(AND(H8="W7",OR(F8="causal",F8="predictive")),IF(AND(OR(K8=1,K8="1"),OR(L8=1,L8="1"),OR(M8=1,M8="1")),"adequate","partial"),IF(AND(H8="W4",F8="predictive",OR(J8="P2",J8="P3",J8="P4")),IF(OR(U8=1,U8="1"),"adequate","partial"),INDEX(Fit_Matrix!$B:$B,MATCH(P8,Fit_Matrix!$A:$A,0)))),"CHECK KEY"))</f>
        <v>partial</v>
      </c>
      <c r="R8" s="8" t="s">
        <v>60</v>
      </c>
      <c r="S8" s="8"/>
      <c r="T8" s="8" t="s">
        <v>446</v>
      </c>
      <c r="U8" s="10" t="s">
        <v>412</v>
      </c>
      <c r="V8" s="10" t="s">
        <v>412</v>
      </c>
      <c r="W8" s="10" t="s">
        <v>412</v>
      </c>
      <c r="X8" s="10" t="s">
        <v>412</v>
      </c>
      <c r="Y8" s="10" t="s">
        <v>412</v>
      </c>
      <c r="Z8" s="10" t="s">
        <v>412</v>
      </c>
      <c r="AA8" s="11" t="str">
        <f t="shared" si="1"/>
        <v/>
      </c>
    </row>
    <row r="9" spans="1:27" ht="15" customHeight="1">
      <c r="A9" s="8" t="s">
        <v>447</v>
      </c>
      <c r="B9" s="8" t="s">
        <v>375</v>
      </c>
      <c r="C9" s="8" t="s">
        <v>384</v>
      </c>
      <c r="D9" s="8" t="s">
        <v>448</v>
      </c>
      <c r="E9" s="8" t="s">
        <v>449</v>
      </c>
      <c r="F9" s="8" t="s">
        <v>417</v>
      </c>
      <c r="G9" s="8" t="s">
        <v>450</v>
      </c>
      <c r="H9" s="8" t="s">
        <v>450</v>
      </c>
      <c r="I9" s="8"/>
      <c r="J9" s="8" t="s">
        <v>381</v>
      </c>
      <c r="K9" s="8">
        <v>1</v>
      </c>
      <c r="L9" s="8">
        <v>1</v>
      </c>
      <c r="M9" s="8">
        <v>0</v>
      </c>
      <c r="N9" s="8"/>
      <c r="O9" s="8"/>
      <c r="P9" t="str">
        <f t="shared" si="0"/>
        <v>P4|predictive|W5</v>
      </c>
      <c r="Q9" t="str">
        <f>IF(P9="","",IFERROR(IF(AND(H9="W7",OR(F9="causal",F9="predictive")),IF(AND(OR(K9=1,K9="1"),OR(L9=1,L9="1"),OR(M9=1,M9="1")),"adequate","partial"),IF(AND(H9="W4",F9="predictive",OR(J9="P2",J9="P3",J9="P4")),IF(OR(U9=1,U9="1"),"adequate","partial"),INDEX(Fit_Matrix!$B:$B,MATCH(P9,Fit_Matrix!$A:$A,0)))),"CHECK KEY"))</f>
        <v>partial</v>
      </c>
      <c r="R9" s="8" t="s">
        <v>60</v>
      </c>
      <c r="S9" s="8"/>
      <c r="T9" s="8" t="s">
        <v>451</v>
      </c>
      <c r="U9" s="10" t="s">
        <v>412</v>
      </c>
      <c r="V9" s="10" t="s">
        <v>412</v>
      </c>
      <c r="W9" s="10" t="s">
        <v>412</v>
      </c>
      <c r="X9" s="10" t="s">
        <v>412</v>
      </c>
      <c r="Y9" s="10" t="s">
        <v>412</v>
      </c>
      <c r="Z9" s="10" t="s">
        <v>412</v>
      </c>
      <c r="AA9" s="11" t="str">
        <f t="shared" si="1"/>
        <v/>
      </c>
    </row>
    <row r="10" spans="1:27" ht="15" customHeight="1">
      <c r="A10" s="8" t="s">
        <v>452</v>
      </c>
      <c r="B10" s="8" t="s">
        <v>375</v>
      </c>
      <c r="C10" s="8" t="s">
        <v>384</v>
      </c>
      <c r="D10" s="8" t="s">
        <v>448</v>
      </c>
      <c r="E10" s="8" t="s">
        <v>453</v>
      </c>
      <c r="F10" s="8" t="s">
        <v>436</v>
      </c>
      <c r="G10" s="8" t="s">
        <v>454</v>
      </c>
      <c r="H10" s="8" t="s">
        <v>429</v>
      </c>
      <c r="I10" s="8" t="s">
        <v>455</v>
      </c>
      <c r="J10" s="8" t="s">
        <v>381</v>
      </c>
      <c r="K10" s="8" t="s">
        <v>412</v>
      </c>
      <c r="L10" s="8" t="s">
        <v>412</v>
      </c>
      <c r="M10" s="8" t="s">
        <v>412</v>
      </c>
      <c r="N10" s="8"/>
      <c r="O10" s="8"/>
      <c r="P10" t="str">
        <f t="shared" si="0"/>
        <v>P4|descriptive|W3_to_W4W8</v>
      </c>
      <c r="Q10" t="str">
        <f>IF(P10="","",IFERROR(IF(AND(H10="W7",OR(F10="causal",F10="predictive")),IF(AND(OR(K10=1,K10="1"),OR(L10=1,L10="1"),OR(M10=1,M10="1")),"adequate","partial"),IF(AND(H10="W4",F10="predictive",OR(J10="P2",J10="P3",J10="P4")),IF(OR(U10=1,U10="1"),"adequate","partial"),INDEX(Fit_Matrix!$B:$B,MATCH(P10,Fit_Matrix!$A:$A,0)))),"CHECK KEY"))</f>
        <v>partial</v>
      </c>
      <c r="R10" s="8" t="s">
        <v>60</v>
      </c>
      <c r="S10" s="8"/>
      <c r="T10" s="8" t="s">
        <v>456</v>
      </c>
      <c r="U10" s="10" t="s">
        <v>412</v>
      </c>
      <c r="V10" s="10" t="s">
        <v>412</v>
      </c>
      <c r="W10" s="10" t="s">
        <v>412</v>
      </c>
      <c r="X10" s="10" t="s">
        <v>412</v>
      </c>
      <c r="Y10" s="10">
        <v>0</v>
      </c>
      <c r="Z10" s="10" t="s">
        <v>412</v>
      </c>
      <c r="AA10" s="11" t="str">
        <f t="shared" si="1"/>
        <v/>
      </c>
    </row>
    <row r="11" spans="1:27" ht="15" customHeight="1">
      <c r="A11" s="8" t="s">
        <v>457</v>
      </c>
      <c r="B11" s="8" t="s">
        <v>375</v>
      </c>
      <c r="C11" s="8" t="s">
        <v>384</v>
      </c>
      <c r="D11" s="8" t="s">
        <v>448</v>
      </c>
      <c r="E11" s="8" t="s">
        <v>458</v>
      </c>
      <c r="F11" s="8" t="s">
        <v>436</v>
      </c>
      <c r="G11" s="8" t="s">
        <v>429</v>
      </c>
      <c r="H11" s="8" t="s">
        <v>429</v>
      </c>
      <c r="I11" s="8" t="s">
        <v>455</v>
      </c>
      <c r="J11" s="8" t="s">
        <v>381</v>
      </c>
      <c r="K11" s="8" t="s">
        <v>412</v>
      </c>
      <c r="L11" s="8" t="s">
        <v>412</v>
      </c>
      <c r="M11" s="8" t="s">
        <v>412</v>
      </c>
      <c r="N11" s="8"/>
      <c r="O11" s="8"/>
      <c r="P11" t="str">
        <f t="shared" si="0"/>
        <v>P4|descriptive|W3_to_W4W8</v>
      </c>
      <c r="Q11" t="str">
        <f>IF(P11="","",IFERROR(IF(AND(H11="W7",OR(F11="causal",F11="predictive")),IF(AND(OR(K11=1,K11="1"),OR(L11=1,L11="1"),OR(M11=1,M11="1")),"adequate","partial"),IF(AND(H11="W4",F11="predictive",OR(J11="P2",J11="P3",J11="P4")),IF(OR(U11=1,U11="1"),"adequate","partial"),INDEX(Fit_Matrix!$B:$B,MATCH(P11,Fit_Matrix!$A:$A,0)))),"CHECK KEY"))</f>
        <v>partial</v>
      </c>
      <c r="R11" s="8" t="s">
        <v>60</v>
      </c>
      <c r="S11" s="8"/>
      <c r="T11" s="8" t="s">
        <v>459</v>
      </c>
      <c r="U11" s="10" t="s">
        <v>412</v>
      </c>
      <c r="V11" s="10" t="s">
        <v>412</v>
      </c>
      <c r="W11" s="10" t="s">
        <v>412</v>
      </c>
      <c r="X11" s="10" t="s">
        <v>412</v>
      </c>
      <c r="Y11" s="10">
        <v>0</v>
      </c>
      <c r="Z11" s="10" t="s">
        <v>412</v>
      </c>
      <c r="AA11" s="11" t="str">
        <f t="shared" si="1"/>
        <v/>
      </c>
    </row>
    <row r="12" spans="1:27" ht="15" customHeight="1">
      <c r="A12" s="8" t="s">
        <v>460</v>
      </c>
      <c r="B12" s="8" t="s">
        <v>375</v>
      </c>
      <c r="C12" s="8" t="s">
        <v>384</v>
      </c>
      <c r="D12" s="8" t="s">
        <v>407</v>
      </c>
      <c r="E12" s="8" t="s">
        <v>461</v>
      </c>
      <c r="F12" s="8" t="s">
        <v>409</v>
      </c>
      <c r="G12" s="8" t="s">
        <v>450</v>
      </c>
      <c r="H12" s="8" t="s">
        <v>450</v>
      </c>
      <c r="I12" s="8"/>
      <c r="J12" s="8" t="s">
        <v>381</v>
      </c>
      <c r="K12" s="8" t="s">
        <v>412</v>
      </c>
      <c r="L12" s="8" t="s">
        <v>412</v>
      </c>
      <c r="M12" s="8" t="s">
        <v>412</v>
      </c>
      <c r="N12" s="8"/>
      <c r="O12" s="8"/>
      <c r="P12" t="str">
        <f t="shared" si="0"/>
        <v>P4|conceptual|W5</v>
      </c>
      <c r="Q12" t="str">
        <f>IF(P12="","",IFERROR(IF(AND(H12="W7",OR(F12="causal",F12="predictive")),IF(AND(OR(K12=1,K12="1"),OR(L12=1,L12="1"),OR(M12=1,M12="1")),"adequate","partial"),IF(AND(H12="W4",F12="predictive",OR(J12="P2",J12="P3",J12="P4")),IF(OR(U12=1,U12="1"),"adequate","partial"),INDEX(Fit_Matrix!$B:$B,MATCH(P12,Fit_Matrix!$A:$A,0)))),"CHECK KEY"))</f>
        <v>adequate</v>
      </c>
      <c r="R12" s="8" t="s">
        <v>56</v>
      </c>
      <c r="S12" s="8"/>
      <c r="T12" s="8"/>
      <c r="U12" s="10" t="s">
        <v>412</v>
      </c>
      <c r="V12" s="10" t="s">
        <v>412</v>
      </c>
      <c r="W12" s="10" t="s">
        <v>412</v>
      </c>
      <c r="X12" s="10" t="s">
        <v>412</v>
      </c>
      <c r="Y12" s="10" t="s">
        <v>412</v>
      </c>
      <c r="Z12" s="10" t="s">
        <v>412</v>
      </c>
      <c r="AA12" s="11" t="str">
        <f t="shared" si="1"/>
        <v/>
      </c>
    </row>
    <row r="13" spans="1:27" ht="15" customHeight="1">
      <c r="A13" s="8" t="s">
        <v>462</v>
      </c>
      <c r="B13" s="8" t="s">
        <v>386</v>
      </c>
      <c r="C13" s="8" t="s">
        <v>384</v>
      </c>
      <c r="D13" s="8" t="s">
        <v>407</v>
      </c>
      <c r="E13" s="8" t="s">
        <v>463</v>
      </c>
      <c r="F13" s="8" t="s">
        <v>427</v>
      </c>
      <c r="G13" s="8" t="s">
        <v>464</v>
      </c>
      <c r="H13" s="8" t="s">
        <v>450</v>
      </c>
      <c r="I13" s="8"/>
      <c r="J13" s="8" t="s">
        <v>381</v>
      </c>
      <c r="K13" s="8">
        <v>1</v>
      </c>
      <c r="L13" s="8">
        <v>1</v>
      </c>
      <c r="M13" s="8">
        <v>0</v>
      </c>
      <c r="N13" s="8" t="s">
        <v>347</v>
      </c>
      <c r="O13" s="8"/>
      <c r="P13" t="str">
        <f t="shared" si="0"/>
        <v>P4|causal|W5</v>
      </c>
      <c r="Q13" t="str">
        <f>IF(P13="","",IFERROR(IF(AND(H13="W7",OR(F13="causal",F13="predictive")),IF(AND(OR(K13=1,K13="1"),OR(L13=1,L13="1"),OR(M13=1,M13="1")),"adequate","partial"),IF(AND(H13="W4",F13="predictive",OR(J13="P2",J13="P3",J13="P4")),IF(OR(U13=1,U13="1"),"adequate","partial"),INDEX(Fit_Matrix!$B:$B,MATCH(P13,Fit_Matrix!$A:$A,0)))),"CHECK KEY"))</f>
        <v>partial</v>
      </c>
      <c r="R13" s="8" t="s">
        <v>60</v>
      </c>
      <c r="S13" s="8"/>
      <c r="T13" s="8" t="s">
        <v>465</v>
      </c>
      <c r="U13" s="10" t="s">
        <v>412</v>
      </c>
      <c r="V13" s="10" t="s">
        <v>412</v>
      </c>
      <c r="W13" s="10" t="s">
        <v>412</v>
      </c>
      <c r="X13" s="10" t="s">
        <v>412</v>
      </c>
      <c r="Y13" s="10" t="s">
        <v>412</v>
      </c>
      <c r="Z13" s="10" t="s">
        <v>412</v>
      </c>
      <c r="AA13" s="11" t="str">
        <f t="shared" si="1"/>
        <v>P4-CAUSAL</v>
      </c>
    </row>
    <row r="14" spans="1:27" ht="15" customHeight="1">
      <c r="A14" s="8" t="s">
        <v>466</v>
      </c>
      <c r="B14" s="8" t="s">
        <v>386</v>
      </c>
      <c r="C14" s="8" t="s">
        <v>384</v>
      </c>
      <c r="D14" s="8" t="s">
        <v>407</v>
      </c>
      <c r="E14" s="8" t="s">
        <v>467</v>
      </c>
      <c r="F14" s="8" t="s">
        <v>417</v>
      </c>
      <c r="G14" s="8" t="s">
        <v>468</v>
      </c>
      <c r="H14" s="8" t="s">
        <v>411</v>
      </c>
      <c r="I14" s="8"/>
      <c r="J14" s="8" t="s">
        <v>381</v>
      </c>
      <c r="K14" s="8">
        <v>0</v>
      </c>
      <c r="L14" s="8">
        <v>1</v>
      </c>
      <c r="M14" s="8">
        <v>0</v>
      </c>
      <c r="N14" s="8" t="s">
        <v>335</v>
      </c>
      <c r="O14" s="8"/>
      <c r="P14" t="str">
        <f t="shared" si="0"/>
        <v>P4|predictive|W4</v>
      </c>
      <c r="Q14" t="str">
        <f>IF(P14="","",IFERROR(IF(AND(H14="W7",OR(F14="causal",F14="predictive")),IF(AND(OR(K14=1,K14="1"),OR(L14=1,L14="1"),OR(M14=1,M14="1")),"adequate","partial"),IF(AND(H14="W4",F14="predictive",OR(J14="P2",J14="P3",J14="P4")),IF(OR(U14=1,U14="1"),"adequate","partial"),INDEX(Fit_Matrix!$B:$B,MATCH(P14,Fit_Matrix!$A:$A,0)))),"CHECK KEY"))</f>
        <v>adequate</v>
      </c>
      <c r="R14" s="8" t="s">
        <v>56</v>
      </c>
      <c r="S14" s="8"/>
      <c r="T14" s="8" t="s">
        <v>469</v>
      </c>
      <c r="U14" s="10">
        <v>1</v>
      </c>
      <c r="V14" s="10" t="s">
        <v>412</v>
      </c>
      <c r="W14" s="10" t="s">
        <v>412</v>
      </c>
      <c r="X14" s="10" t="s">
        <v>412</v>
      </c>
      <c r="Y14" s="10" t="s">
        <v>412</v>
      </c>
      <c r="Z14" s="10" t="s">
        <v>412</v>
      </c>
      <c r="AA14" s="11" t="str">
        <f t="shared" si="1"/>
        <v/>
      </c>
    </row>
    <row r="15" spans="1:27" ht="15" customHeight="1">
      <c r="A15" s="8" t="s">
        <v>470</v>
      </c>
      <c r="B15" s="8" t="s">
        <v>386</v>
      </c>
      <c r="C15" s="8" t="s">
        <v>384</v>
      </c>
      <c r="D15" s="8" t="s">
        <v>415</v>
      </c>
      <c r="E15" s="8" t="s">
        <v>471</v>
      </c>
      <c r="F15" s="8" t="s">
        <v>417</v>
      </c>
      <c r="G15" s="8" t="s">
        <v>472</v>
      </c>
      <c r="H15" s="8" t="s">
        <v>411</v>
      </c>
      <c r="I15" s="8"/>
      <c r="J15" s="8" t="s">
        <v>381</v>
      </c>
      <c r="K15" s="8">
        <v>0</v>
      </c>
      <c r="L15" s="8">
        <v>1</v>
      </c>
      <c r="M15" s="8">
        <v>0</v>
      </c>
      <c r="N15" s="8" t="s">
        <v>355</v>
      </c>
      <c r="O15" s="8"/>
      <c r="P15" t="str">
        <f t="shared" si="0"/>
        <v>P4|predictive|W4</v>
      </c>
      <c r="Q15" t="str">
        <f>IF(P15="","",IFERROR(IF(AND(H15="W7",OR(F15="causal",F15="predictive")),IF(AND(OR(K15=1,K15="1"),OR(L15=1,L15="1"),OR(M15=1,M15="1")),"adequate","partial"),IF(AND(H15="W4",F15="predictive",OR(J15="P2",J15="P3",J15="P4")),IF(OR(U15=1,U15="1"),"adequate","partial"),INDEX(Fit_Matrix!$B:$B,MATCH(P15,Fit_Matrix!$A:$A,0)))),"CHECK KEY"))</f>
        <v>adequate</v>
      </c>
      <c r="R15" s="8" t="s">
        <v>56</v>
      </c>
      <c r="S15" s="8"/>
      <c r="T15" s="8" t="s">
        <v>473</v>
      </c>
      <c r="U15" s="10">
        <v>1</v>
      </c>
      <c r="V15" s="10" t="s">
        <v>412</v>
      </c>
      <c r="W15" s="10" t="s">
        <v>412</v>
      </c>
      <c r="X15" s="10" t="s">
        <v>412</v>
      </c>
      <c r="Y15" s="10" t="s">
        <v>412</v>
      </c>
      <c r="Z15" s="10" t="s">
        <v>412</v>
      </c>
      <c r="AA15" s="11" t="str">
        <f t="shared" si="1"/>
        <v/>
      </c>
    </row>
    <row r="16" spans="1:27" ht="15" customHeight="1">
      <c r="A16" s="8" t="s">
        <v>474</v>
      </c>
      <c r="B16" s="8" t="s">
        <v>386</v>
      </c>
      <c r="C16" s="8" t="s">
        <v>384</v>
      </c>
      <c r="D16" s="8" t="s">
        <v>434</v>
      </c>
      <c r="E16" s="8" t="s">
        <v>475</v>
      </c>
      <c r="F16" s="8" t="s">
        <v>417</v>
      </c>
      <c r="G16" s="8" t="s">
        <v>476</v>
      </c>
      <c r="H16" s="8" t="s">
        <v>429</v>
      </c>
      <c r="I16" s="8" t="s">
        <v>430</v>
      </c>
      <c r="J16" s="8" t="s">
        <v>381</v>
      </c>
      <c r="K16" s="8">
        <v>0</v>
      </c>
      <c r="L16" s="8">
        <v>0</v>
      </c>
      <c r="M16" s="8">
        <v>0</v>
      </c>
      <c r="N16" s="8" t="s">
        <v>347</v>
      </c>
      <c r="O16" s="8"/>
      <c r="P16" t="str">
        <f t="shared" si="0"/>
        <v>P4|predictive|W3_to_W1W2</v>
      </c>
      <c r="Q16" t="str">
        <f>IF(P16="","",IFERROR(IF(AND(H16="W7",OR(F16="causal",F16="predictive")),IF(AND(OR(K16=1,K16="1"),OR(L16=1,L16="1"),OR(M16=1,M16="1")),"adequate","partial"),IF(AND(H16="W4",F16="predictive",OR(J16="P2",J16="P3",J16="P4")),IF(OR(U16=1,U16="1"),"adequate","partial"),INDEX(Fit_Matrix!$B:$B,MATCH(P16,Fit_Matrix!$A:$A,0)))),"CHECK KEY"))</f>
        <v>adequate</v>
      </c>
      <c r="R16" s="8" t="s">
        <v>56</v>
      </c>
      <c r="S16" s="8"/>
      <c r="T16" s="8" t="s">
        <v>477</v>
      </c>
      <c r="U16" s="10" t="s">
        <v>412</v>
      </c>
      <c r="V16" s="10" t="s">
        <v>478</v>
      </c>
      <c r="W16" s="10" t="s">
        <v>478</v>
      </c>
      <c r="X16" s="10" t="s">
        <v>478</v>
      </c>
      <c r="Y16" s="10">
        <v>0</v>
      </c>
      <c r="Z16" s="10" t="s">
        <v>412</v>
      </c>
      <c r="AA16" s="11" t="str">
        <f t="shared" si="1"/>
        <v/>
      </c>
    </row>
    <row r="17" spans="1:27" ht="15" customHeight="1">
      <c r="A17" s="8" t="s">
        <v>479</v>
      </c>
      <c r="B17" s="8" t="s">
        <v>386</v>
      </c>
      <c r="C17" s="8" t="s">
        <v>384</v>
      </c>
      <c r="D17" s="8" t="s">
        <v>434</v>
      </c>
      <c r="E17" s="8" t="s">
        <v>480</v>
      </c>
      <c r="F17" s="8" t="s">
        <v>417</v>
      </c>
      <c r="G17" s="8" t="s">
        <v>476</v>
      </c>
      <c r="H17" s="8" t="s">
        <v>429</v>
      </c>
      <c r="I17" s="8" t="s">
        <v>430</v>
      </c>
      <c r="J17" s="8" t="s">
        <v>381</v>
      </c>
      <c r="K17" s="8">
        <v>1</v>
      </c>
      <c r="L17" s="8">
        <v>1</v>
      </c>
      <c r="M17" s="8">
        <v>0</v>
      </c>
      <c r="N17" s="8"/>
      <c r="O17" s="8"/>
      <c r="P17" t="str">
        <f t="shared" si="0"/>
        <v>P4|predictive|W3_to_W1W2</v>
      </c>
      <c r="Q17" t="str">
        <f>IF(P17="","",IFERROR(IF(AND(H17="W7",OR(F17="causal",F17="predictive")),IF(AND(OR(K17=1,K17="1"),OR(L17=1,L17="1"),OR(M17=1,M17="1")),"adequate","partial"),IF(AND(H17="W4",F17="predictive",OR(J17="P2",J17="P3",J17="P4")),IF(OR(U17=1,U17="1"),"adequate","partial"),INDEX(Fit_Matrix!$B:$B,MATCH(P17,Fit_Matrix!$A:$A,0)))),"CHECK KEY"))</f>
        <v>adequate</v>
      </c>
      <c r="R17" s="8" t="s">
        <v>56</v>
      </c>
      <c r="S17" s="8"/>
      <c r="T17" s="8" t="s">
        <v>481</v>
      </c>
      <c r="U17" s="10" t="s">
        <v>412</v>
      </c>
      <c r="V17" s="10" t="s">
        <v>478</v>
      </c>
      <c r="W17" s="10" t="s">
        <v>478</v>
      </c>
      <c r="X17" s="10" t="s">
        <v>478</v>
      </c>
      <c r="Y17" s="10">
        <v>0</v>
      </c>
      <c r="Z17" s="10" t="s">
        <v>412</v>
      </c>
      <c r="AA17" s="11" t="str">
        <f t="shared" si="1"/>
        <v/>
      </c>
    </row>
    <row r="18" spans="1:27" ht="15" customHeight="1">
      <c r="A18" s="8" t="s">
        <v>482</v>
      </c>
      <c r="B18" s="8" t="s">
        <v>386</v>
      </c>
      <c r="C18" s="8" t="s">
        <v>384</v>
      </c>
      <c r="D18" s="8" t="s">
        <v>434</v>
      </c>
      <c r="E18" s="8" t="s">
        <v>483</v>
      </c>
      <c r="F18" s="8" t="s">
        <v>417</v>
      </c>
      <c r="G18" s="8" t="s">
        <v>476</v>
      </c>
      <c r="H18" s="8" t="s">
        <v>429</v>
      </c>
      <c r="I18" s="8" t="s">
        <v>430</v>
      </c>
      <c r="J18" s="8" t="s">
        <v>381</v>
      </c>
      <c r="K18" s="8">
        <v>0</v>
      </c>
      <c r="L18" s="8">
        <v>1</v>
      </c>
      <c r="M18" s="8">
        <v>0</v>
      </c>
      <c r="N18" s="8"/>
      <c r="O18" s="8"/>
      <c r="P18" t="str">
        <f t="shared" si="0"/>
        <v>P4|predictive|W3_to_W1W2</v>
      </c>
      <c r="Q18" t="str">
        <f>IF(P18="","",IFERROR(IF(AND(H18="W7",OR(F18="causal",F18="predictive")),IF(AND(OR(K18=1,K18="1"),OR(L18=1,L18="1"),OR(M18=1,M18="1")),"adequate","partial"),IF(AND(H18="W4",F18="predictive",OR(J18="P2",J18="P3",J18="P4")),IF(OR(U18=1,U18="1"),"adequate","partial"),INDEX(Fit_Matrix!$B:$B,MATCH(P18,Fit_Matrix!$A:$A,0)))),"CHECK KEY"))</f>
        <v>adequate</v>
      </c>
      <c r="R18" s="8" t="s">
        <v>56</v>
      </c>
      <c r="S18" s="8"/>
      <c r="T18" s="8" t="s">
        <v>484</v>
      </c>
      <c r="U18" s="10" t="s">
        <v>412</v>
      </c>
      <c r="V18" s="10" t="s">
        <v>478</v>
      </c>
      <c r="W18" s="10" t="s">
        <v>478</v>
      </c>
      <c r="X18" s="10" t="s">
        <v>478</v>
      </c>
      <c r="Y18" s="10">
        <v>0</v>
      </c>
      <c r="Z18" s="10" t="s">
        <v>412</v>
      </c>
      <c r="AA18" s="11" t="str">
        <f t="shared" si="1"/>
        <v/>
      </c>
    </row>
    <row r="19" spans="1:27" ht="15" customHeight="1">
      <c r="A19" s="8" t="s">
        <v>485</v>
      </c>
      <c r="B19" s="8" t="s">
        <v>386</v>
      </c>
      <c r="C19" s="8" t="s">
        <v>384</v>
      </c>
      <c r="D19" s="8" t="s">
        <v>486</v>
      </c>
      <c r="E19" s="8" t="s">
        <v>487</v>
      </c>
      <c r="F19" s="8" t="s">
        <v>488</v>
      </c>
      <c r="G19" s="8" t="s">
        <v>411</v>
      </c>
      <c r="H19" s="8" t="s">
        <v>411</v>
      </c>
      <c r="I19" s="8"/>
      <c r="J19" s="8" t="s">
        <v>381</v>
      </c>
      <c r="K19" s="8" t="s">
        <v>412</v>
      </c>
      <c r="L19" s="8" t="s">
        <v>412</v>
      </c>
      <c r="M19" s="8" t="s">
        <v>412</v>
      </c>
      <c r="N19" s="8"/>
      <c r="O19" s="8"/>
      <c r="P19" t="str">
        <f t="shared" si="0"/>
        <v>P4|normative|W4</v>
      </c>
      <c r="Q19" t="str">
        <f>IF(P19="","",IFERROR(IF(AND(H19="W7",OR(F19="causal",F19="predictive")),IF(AND(OR(K19=1,K19="1"),OR(L19=1,L19="1"),OR(M19=1,M19="1")),"adequate","partial"),IF(AND(H19="W4",F19="predictive",OR(J19="P2",J19="P3",J19="P4")),IF(OR(U19=1,U19="1"),"adequate","partial"),INDEX(Fit_Matrix!$B:$B,MATCH(P19,Fit_Matrix!$A:$A,0)))),"CHECK KEY"))</f>
        <v>partial</v>
      </c>
      <c r="R19" s="8" t="s">
        <v>60</v>
      </c>
      <c r="S19" s="8"/>
      <c r="T19" s="8" t="s">
        <v>489</v>
      </c>
      <c r="U19" s="10" t="s">
        <v>412</v>
      </c>
      <c r="V19" s="10" t="s">
        <v>412</v>
      </c>
      <c r="W19" s="10" t="s">
        <v>412</v>
      </c>
      <c r="X19" s="10" t="s">
        <v>412</v>
      </c>
      <c r="Y19" s="10" t="s">
        <v>412</v>
      </c>
      <c r="Z19" s="10" t="s">
        <v>412</v>
      </c>
      <c r="AA19" s="11" t="str">
        <f t="shared" si="1"/>
        <v/>
      </c>
    </row>
    <row r="20" spans="1:27" ht="15" customHeight="1">
      <c r="A20" s="8" t="s">
        <v>490</v>
      </c>
      <c r="B20" s="8" t="s">
        <v>386</v>
      </c>
      <c r="C20" s="8" t="s">
        <v>384</v>
      </c>
      <c r="D20" s="8" t="s">
        <v>448</v>
      </c>
      <c r="E20" s="8" t="s">
        <v>491</v>
      </c>
      <c r="F20" s="8" t="s">
        <v>417</v>
      </c>
      <c r="G20" s="8" t="s">
        <v>411</v>
      </c>
      <c r="H20" s="8" t="s">
        <v>411</v>
      </c>
      <c r="I20" s="8"/>
      <c r="J20" s="8" t="s">
        <v>381</v>
      </c>
      <c r="K20" s="8">
        <v>0</v>
      </c>
      <c r="L20" s="8">
        <v>1</v>
      </c>
      <c r="M20" s="8">
        <v>0</v>
      </c>
      <c r="N20" s="8"/>
      <c r="O20" s="8"/>
      <c r="P20" t="str">
        <f t="shared" si="0"/>
        <v>P4|predictive|W4</v>
      </c>
      <c r="Q20" t="str">
        <f>IF(P20="","",IFERROR(IF(AND(H20="W7",OR(F20="causal",F20="predictive")),IF(AND(OR(K20=1,K20="1"),OR(L20=1,L20="1"),OR(M20=1,M20="1")),"adequate","partial"),IF(AND(H20="W4",F20="predictive",OR(J20="P2",J20="P3",J20="P4")),IF(OR(U20=1,U20="1"),"adequate","partial"),INDEX(Fit_Matrix!$B:$B,MATCH(P20,Fit_Matrix!$A:$A,0)))),"CHECK KEY"))</f>
        <v>partial</v>
      </c>
      <c r="R20" s="8" t="s">
        <v>60</v>
      </c>
      <c r="S20" s="8"/>
      <c r="T20" s="8" t="s">
        <v>492</v>
      </c>
      <c r="U20" s="10">
        <v>0</v>
      </c>
      <c r="V20" s="10" t="s">
        <v>412</v>
      </c>
      <c r="W20" s="10" t="s">
        <v>412</v>
      </c>
      <c r="X20" s="10" t="s">
        <v>412</v>
      </c>
      <c r="Y20" s="10" t="s">
        <v>412</v>
      </c>
      <c r="Z20" s="10" t="s">
        <v>412</v>
      </c>
      <c r="AA20" s="11" t="str">
        <f t="shared" si="1"/>
        <v/>
      </c>
    </row>
    <row r="21" spans="1:27" ht="15" customHeight="1">
      <c r="A21" s="8" t="s">
        <v>493</v>
      </c>
      <c r="B21" s="8" t="s">
        <v>386</v>
      </c>
      <c r="C21" s="8" t="s">
        <v>384</v>
      </c>
      <c r="D21" s="8" t="s">
        <v>415</v>
      </c>
      <c r="E21" s="8" t="s">
        <v>494</v>
      </c>
      <c r="F21" s="8" t="s">
        <v>436</v>
      </c>
      <c r="G21" s="8" t="s">
        <v>495</v>
      </c>
      <c r="H21" s="8" t="s">
        <v>495</v>
      </c>
      <c r="I21" s="8"/>
      <c r="J21" s="8" t="s">
        <v>381</v>
      </c>
      <c r="K21" s="8" t="s">
        <v>412</v>
      </c>
      <c r="L21" s="8" t="s">
        <v>412</v>
      </c>
      <c r="M21" s="8" t="s">
        <v>412</v>
      </c>
      <c r="N21" s="8"/>
      <c r="O21" s="8"/>
      <c r="P21" t="str">
        <f t="shared" si="0"/>
        <v>P4|descriptive|W2</v>
      </c>
      <c r="Q21" t="str">
        <f>IF(P21="","",IFERROR(IF(AND(H21="W7",OR(F21="causal",F21="predictive")),IF(AND(OR(K21=1,K21="1"),OR(L21=1,L21="1"),OR(M21=1,M21="1")),"adequate","partial"),IF(AND(H21="W4",F21="predictive",OR(J21="P2",J21="P3",J21="P4")),IF(OR(U21=1,U21="1"),"adequate","partial"),INDEX(Fit_Matrix!$B:$B,MATCH(P21,Fit_Matrix!$A:$A,0)))),"CHECK KEY"))</f>
        <v>adequate</v>
      </c>
      <c r="R21" s="8" t="s">
        <v>56</v>
      </c>
      <c r="S21" s="8"/>
      <c r="T21" s="8" t="s">
        <v>496</v>
      </c>
      <c r="U21" s="10" t="s">
        <v>412</v>
      </c>
      <c r="V21" s="10" t="s">
        <v>412</v>
      </c>
      <c r="W21" s="10" t="s">
        <v>412</v>
      </c>
      <c r="X21" s="10" t="s">
        <v>412</v>
      </c>
      <c r="Y21" s="10" t="s">
        <v>412</v>
      </c>
      <c r="Z21" s="10" t="s">
        <v>412</v>
      </c>
      <c r="AA21" s="11" t="str">
        <f t="shared" si="1"/>
        <v/>
      </c>
    </row>
    <row r="22" spans="1:27" ht="15" customHeight="1">
      <c r="A22" s="8" t="s">
        <v>497</v>
      </c>
      <c r="B22" s="8" t="s">
        <v>386</v>
      </c>
      <c r="C22" s="8" t="s">
        <v>384</v>
      </c>
      <c r="D22" s="8" t="s">
        <v>448</v>
      </c>
      <c r="E22" s="8" t="s">
        <v>498</v>
      </c>
      <c r="F22" s="8" t="s">
        <v>409</v>
      </c>
      <c r="G22" s="8" t="s">
        <v>499</v>
      </c>
      <c r="H22" s="8" t="s">
        <v>419</v>
      </c>
      <c r="I22" s="8"/>
      <c r="J22" s="8" t="s">
        <v>381</v>
      </c>
      <c r="K22" s="8" t="s">
        <v>412</v>
      </c>
      <c r="L22" s="8" t="s">
        <v>412</v>
      </c>
      <c r="M22" s="8" t="s">
        <v>412</v>
      </c>
      <c r="N22" s="8"/>
      <c r="O22" s="8"/>
      <c r="P22" t="str">
        <f t="shared" si="0"/>
        <v>P4|conceptual|W7</v>
      </c>
      <c r="Q22" t="str">
        <f>IF(P22="","",IFERROR(IF(AND(H22="W7",OR(F22="causal",F22="predictive")),IF(AND(OR(K22=1,K22="1"),OR(L22=1,L22="1"),OR(M22=1,M22="1")),"adequate","partial"),IF(AND(H22="W4",F22="predictive",OR(J22="P2",J22="P3",J22="P4")),IF(OR(U22=1,U22="1"),"adequate","partial"),INDEX(Fit_Matrix!$B:$B,MATCH(P22,Fit_Matrix!$A:$A,0)))),"CHECK KEY"))</f>
        <v>adequate</v>
      </c>
      <c r="R22" s="8" t="s">
        <v>56</v>
      </c>
      <c r="S22" s="8"/>
      <c r="T22" s="8" t="s">
        <v>500</v>
      </c>
      <c r="U22" s="10" t="s">
        <v>412</v>
      </c>
      <c r="V22" s="10" t="s">
        <v>412</v>
      </c>
      <c r="W22" s="10" t="s">
        <v>412</v>
      </c>
      <c r="X22" s="10" t="s">
        <v>412</v>
      </c>
      <c r="Y22" s="10" t="s">
        <v>412</v>
      </c>
      <c r="Z22" s="10" t="s">
        <v>412</v>
      </c>
      <c r="AA22" s="11" t="str">
        <f t="shared" si="1"/>
        <v/>
      </c>
    </row>
    <row r="23" spans="1:27" ht="15" customHeight="1">
      <c r="P23" t="str">
        <f t="shared" si="0"/>
        <v/>
      </c>
      <c r="Q23" t="str">
        <f>IF(P23="","",IFERROR(IF(AND(H23="W7",OR(F23="causal",F23="predictive")),IF(AND(OR(K23=1,K23="1"),OR(L23=1,L23="1"),OR(M23=1,M23="1")),"adequate","partial"),IF(AND(H23="W4",F23="predictive",OR(J23="P2",J23="P3",J23="P4")),IF(OR(U23=1,U23="1"),"adequate","partial"),INDEX(Fit_Matrix!$B:$B,MATCH(P23,Fit_Matrix!$A:$A,0)))),"CHECK KEY"))</f>
        <v/>
      </c>
      <c r="U23" s="10"/>
      <c r="V23" s="10"/>
      <c r="W23" s="10"/>
      <c r="X23" s="10"/>
      <c r="Y23" s="10"/>
      <c r="Z23" s="10"/>
      <c r="AA23" s="11" t="str">
        <f t="shared" si="1"/>
        <v/>
      </c>
    </row>
    <row r="24" spans="1:27" ht="15" customHeight="1">
      <c r="P24" t="str">
        <f t="shared" si="0"/>
        <v/>
      </c>
      <c r="Q24" t="str">
        <f>IF(P24="","",IFERROR(IF(AND(H24="W7",OR(F24="causal",F24="predictive")),IF(AND(OR(K24=1,K24="1"),OR(L24=1,L24="1"),OR(M24=1,M24="1")),"adequate","partial"),IF(AND(H24="W4",F24="predictive",OR(J24="P2",J24="P3",J24="P4")),IF(OR(U24=1,U24="1"),"adequate","partial"),INDEX(Fit_Matrix!$B:$B,MATCH(P24,Fit_Matrix!$A:$A,0)))),"CHECK KEY"))</f>
        <v/>
      </c>
      <c r="U24" s="10"/>
      <c r="V24" s="10"/>
      <c r="W24" s="10"/>
      <c r="X24" s="10"/>
      <c r="Y24" s="10"/>
      <c r="Z24" s="10"/>
      <c r="AA24" s="11" t="str">
        <f t="shared" si="1"/>
        <v/>
      </c>
    </row>
    <row r="25" spans="1:27" ht="15" customHeight="1">
      <c r="P25" t="str">
        <f t="shared" si="0"/>
        <v/>
      </c>
      <c r="Q25" t="str">
        <f>IF(P25="","",IFERROR(IF(AND(H25="W7",OR(F25="causal",F25="predictive")),IF(AND(OR(K25=1,K25="1"),OR(L25=1,L25="1"),OR(M25=1,M25="1")),"adequate","partial"),IF(AND(H25="W4",F25="predictive",OR(J25="P2",J25="P3",J25="P4")),IF(OR(U25=1,U25="1"),"adequate","partial"),INDEX(Fit_Matrix!$B:$B,MATCH(P25,Fit_Matrix!$A:$A,0)))),"CHECK KEY"))</f>
        <v/>
      </c>
      <c r="U25" s="10"/>
      <c r="V25" s="10"/>
      <c r="W25" s="10"/>
      <c r="X25" s="10"/>
      <c r="Y25" s="10"/>
      <c r="Z25" s="10"/>
      <c r="AA25" s="11" t="str">
        <f t="shared" si="1"/>
        <v/>
      </c>
    </row>
    <row r="26" spans="1:27" ht="15" customHeight="1">
      <c r="P26" t="str">
        <f t="shared" si="0"/>
        <v/>
      </c>
      <c r="Q26" t="str">
        <f>IF(P26="","",IFERROR(IF(AND(H26="W7",OR(F26="causal",F26="predictive")),IF(AND(OR(K26=1,K26="1"),OR(L26=1,L26="1"),OR(M26=1,M26="1")),"adequate","partial"),IF(AND(H26="W4",F26="predictive",OR(J26="P2",J26="P3",J26="P4")),IF(OR(U26=1,U26="1"),"adequate","partial"),INDEX(Fit_Matrix!$B:$B,MATCH(P26,Fit_Matrix!$A:$A,0)))),"CHECK KEY"))</f>
        <v/>
      </c>
      <c r="U26" s="10"/>
      <c r="V26" s="10"/>
      <c r="W26" s="10"/>
      <c r="X26" s="10"/>
      <c r="Y26" s="10"/>
      <c r="Z26" s="10"/>
      <c r="AA26" s="11" t="str">
        <f t="shared" si="1"/>
        <v/>
      </c>
    </row>
    <row r="27" spans="1:27" ht="15" customHeight="1">
      <c r="P27" t="str">
        <f t="shared" si="0"/>
        <v/>
      </c>
      <c r="Q27" t="str">
        <f>IF(P27="","",IFERROR(IF(AND(H27="W7",OR(F27="causal",F27="predictive")),IF(AND(OR(K27=1,K27="1"),OR(L27=1,L27="1"),OR(M27=1,M27="1")),"adequate","partial"),IF(AND(H27="W4",F27="predictive",OR(J27="P2",J27="P3",J27="P4")),IF(OR(U27=1,U27="1"),"adequate","partial"),INDEX(Fit_Matrix!$B:$B,MATCH(P27,Fit_Matrix!$A:$A,0)))),"CHECK KEY"))</f>
        <v/>
      </c>
      <c r="U27" s="10"/>
      <c r="V27" s="10"/>
      <c r="W27" s="10"/>
      <c r="X27" s="10"/>
      <c r="Y27" s="10"/>
      <c r="Z27" s="10"/>
      <c r="AA27" s="11" t="str">
        <f t="shared" si="1"/>
        <v/>
      </c>
    </row>
    <row r="28" spans="1:27" ht="15" customHeight="1">
      <c r="P28" t="str">
        <f t="shared" si="0"/>
        <v/>
      </c>
      <c r="Q28" t="str">
        <f>IF(P28="","",IFERROR(IF(AND(H28="W7",OR(F28="causal",F28="predictive")),IF(AND(OR(K28=1,K28="1"),OR(L28=1,L28="1"),OR(M28=1,M28="1")),"adequate","partial"),IF(AND(H28="W4",F28="predictive",OR(J28="P2",J28="P3",J28="P4")),IF(OR(U28=1,U28="1"),"adequate","partial"),INDEX(Fit_Matrix!$B:$B,MATCH(P28,Fit_Matrix!$A:$A,0)))),"CHECK KEY"))</f>
        <v/>
      </c>
      <c r="U28" s="10"/>
      <c r="V28" s="10"/>
      <c r="W28" s="10"/>
      <c r="X28" s="10"/>
      <c r="Y28" s="10"/>
      <c r="Z28" s="10"/>
      <c r="AA28" s="11" t="str">
        <f t="shared" si="1"/>
        <v/>
      </c>
    </row>
    <row r="29" spans="1:27" ht="15" customHeight="1">
      <c r="P29" t="str">
        <f t="shared" si="0"/>
        <v/>
      </c>
      <c r="Q29" t="str">
        <f>IF(P29="","",IFERROR(IF(AND(H29="W7",OR(F29="causal",F29="predictive")),IF(AND(OR(K29=1,K29="1"),OR(L29=1,L29="1"),OR(M29=1,M29="1")),"adequate","partial"),IF(AND(H29="W4",F29="predictive",OR(J29="P2",J29="P3",J29="P4")),IF(OR(U29=1,U29="1"),"adequate","partial"),INDEX(Fit_Matrix!$B:$B,MATCH(P29,Fit_Matrix!$A:$A,0)))),"CHECK KEY"))</f>
        <v/>
      </c>
      <c r="U29" s="10"/>
      <c r="V29" s="10"/>
      <c r="W29" s="10"/>
      <c r="X29" s="10"/>
      <c r="Y29" s="10"/>
      <c r="Z29" s="10"/>
      <c r="AA29" s="11" t="str">
        <f t="shared" si="1"/>
        <v/>
      </c>
    </row>
    <row r="30" spans="1:27" ht="15" customHeight="1">
      <c r="P30" t="str">
        <f t="shared" si="0"/>
        <v/>
      </c>
      <c r="Q30" t="str">
        <f>IF(P30="","",IFERROR(IF(AND(H30="W7",OR(F30="causal",F30="predictive")),IF(AND(OR(K30=1,K30="1"),OR(L30=1,L30="1"),OR(M30=1,M30="1")),"adequate","partial"),IF(AND(H30="W4",F30="predictive",OR(J30="P2",J30="P3",J30="P4")),IF(OR(U30=1,U30="1"),"adequate","partial"),INDEX(Fit_Matrix!$B:$B,MATCH(P30,Fit_Matrix!$A:$A,0)))),"CHECK KEY"))</f>
        <v/>
      </c>
      <c r="U30" s="10"/>
      <c r="V30" s="10"/>
      <c r="W30" s="10"/>
      <c r="X30" s="10"/>
      <c r="Y30" s="10"/>
      <c r="Z30" s="10"/>
      <c r="AA30" s="11" t="str">
        <f t="shared" si="1"/>
        <v/>
      </c>
    </row>
    <row r="31" spans="1:27" ht="15" customHeight="1">
      <c r="P31" t="str">
        <f t="shared" si="0"/>
        <v/>
      </c>
      <c r="Q31" t="str">
        <f>IF(P31="","",IFERROR(IF(AND(H31="W7",OR(F31="causal",F31="predictive")),IF(AND(OR(K31=1,K31="1"),OR(L31=1,L31="1"),OR(M31=1,M31="1")),"adequate","partial"),IF(AND(H31="W4",F31="predictive",OR(J31="P2",J31="P3",J31="P4")),IF(OR(U31=1,U31="1"),"adequate","partial"),INDEX(Fit_Matrix!$B:$B,MATCH(P31,Fit_Matrix!$A:$A,0)))),"CHECK KEY"))</f>
        <v/>
      </c>
      <c r="U31" s="10"/>
      <c r="V31" s="10"/>
      <c r="W31" s="10"/>
      <c r="X31" s="10"/>
      <c r="Y31" s="10"/>
      <c r="Z31" s="10"/>
      <c r="AA31" s="11" t="str">
        <f t="shared" si="1"/>
        <v/>
      </c>
    </row>
    <row r="32" spans="1:27" ht="15" customHeight="1">
      <c r="P32" t="str">
        <f t="shared" si="0"/>
        <v/>
      </c>
      <c r="Q32" t="str">
        <f>IF(P32="","",IFERROR(IF(AND(H32="W7",OR(F32="causal",F32="predictive")),IF(AND(OR(K32=1,K32="1"),OR(L32=1,L32="1"),OR(M32=1,M32="1")),"adequate","partial"),IF(AND(H32="W4",F32="predictive",OR(J32="P2",J32="P3",J32="P4")),IF(OR(U32=1,U32="1"),"adequate","partial"),INDEX(Fit_Matrix!$B:$B,MATCH(P32,Fit_Matrix!$A:$A,0)))),"CHECK KEY"))</f>
        <v/>
      </c>
      <c r="U32" s="10"/>
      <c r="V32" s="10"/>
      <c r="W32" s="10"/>
      <c r="X32" s="10"/>
      <c r="Y32" s="10"/>
      <c r="Z32" s="10"/>
      <c r="AA32" s="11" t="str">
        <f t="shared" si="1"/>
        <v/>
      </c>
    </row>
    <row r="33" spans="16:27" ht="15" customHeight="1">
      <c r="P33" t="str">
        <f t="shared" si="0"/>
        <v/>
      </c>
      <c r="Q33" t="str">
        <f>IF(P33="","",IFERROR(IF(AND(H33="W7",OR(F33="causal",F33="predictive")),IF(AND(OR(K33=1,K33="1"),OR(L33=1,L33="1"),OR(M33=1,M33="1")),"adequate","partial"),IF(AND(H33="W4",F33="predictive",OR(J33="P2",J33="P3",J33="P4")),IF(OR(U33=1,U33="1"),"adequate","partial"),INDEX(Fit_Matrix!$B:$B,MATCH(P33,Fit_Matrix!$A:$A,0)))),"CHECK KEY"))</f>
        <v/>
      </c>
      <c r="U33" s="10"/>
      <c r="V33" s="10"/>
      <c r="W33" s="10"/>
      <c r="X33" s="10"/>
      <c r="Y33" s="10"/>
      <c r="Z33" s="10"/>
      <c r="AA33" s="11" t="str">
        <f t="shared" si="1"/>
        <v/>
      </c>
    </row>
    <row r="34" spans="16:27" ht="15" customHeight="1">
      <c r="P34" t="str">
        <f t="shared" si="0"/>
        <v/>
      </c>
      <c r="Q34" t="str">
        <f>IF(P34="","",IFERROR(IF(AND(H34="W7",OR(F34="causal",F34="predictive")),IF(AND(OR(K34=1,K34="1"),OR(L34=1,L34="1"),OR(M34=1,M34="1")),"adequate","partial"),IF(AND(H34="W4",F34="predictive",OR(J34="P2",J34="P3",J34="P4")),IF(OR(U34=1,U34="1"),"adequate","partial"),INDEX(Fit_Matrix!$B:$B,MATCH(P34,Fit_Matrix!$A:$A,0)))),"CHECK KEY"))</f>
        <v/>
      </c>
      <c r="U34" s="10"/>
      <c r="V34" s="10"/>
      <c r="W34" s="10"/>
      <c r="X34" s="10"/>
      <c r="Y34" s="10"/>
      <c r="Z34" s="10"/>
      <c r="AA34" s="11" t="str">
        <f t="shared" si="1"/>
        <v/>
      </c>
    </row>
    <row r="35" spans="16:27" ht="15" customHeight="1">
      <c r="P35" t="str">
        <f t="shared" si="0"/>
        <v/>
      </c>
      <c r="Q35" t="str">
        <f>IF(P35="","",IFERROR(IF(AND(H35="W7",OR(F35="causal",F35="predictive")),IF(AND(OR(K35=1,K35="1"),OR(L35=1,L35="1"),OR(M35=1,M35="1")),"adequate","partial"),IF(AND(H35="W4",F35="predictive",OR(J35="P2",J35="P3",J35="P4")),IF(OR(U35=1,U35="1"),"adequate","partial"),INDEX(Fit_Matrix!$B:$B,MATCH(P35,Fit_Matrix!$A:$A,0)))),"CHECK KEY"))</f>
        <v/>
      </c>
      <c r="U35" s="10"/>
      <c r="V35" s="10"/>
      <c r="W35" s="10"/>
      <c r="X35" s="10"/>
      <c r="Y35" s="10"/>
      <c r="Z35" s="10"/>
      <c r="AA35" s="11" t="str">
        <f t="shared" si="1"/>
        <v/>
      </c>
    </row>
    <row r="36" spans="16:27" ht="15" customHeight="1">
      <c r="P36" t="str">
        <f t="shared" si="0"/>
        <v/>
      </c>
      <c r="Q36" t="str">
        <f>IF(P36="","",IFERROR(IF(AND(H36="W7",OR(F36="causal",F36="predictive")),IF(AND(OR(K36=1,K36="1"),OR(L36=1,L36="1"),OR(M36=1,M36="1")),"adequate","partial"),IF(AND(H36="W4",F36="predictive",OR(J36="P2",J36="P3",J36="P4")),IF(OR(U36=1,U36="1"),"adequate","partial"),INDEX(Fit_Matrix!$B:$B,MATCH(P36,Fit_Matrix!$A:$A,0)))),"CHECK KEY"))</f>
        <v/>
      </c>
      <c r="U36" s="10"/>
      <c r="V36" s="10"/>
      <c r="W36" s="10"/>
      <c r="X36" s="10"/>
      <c r="Y36" s="10"/>
      <c r="Z36" s="10"/>
      <c r="AA36" s="11" t="str">
        <f t="shared" si="1"/>
        <v/>
      </c>
    </row>
    <row r="37" spans="16:27" ht="15" customHeight="1">
      <c r="P37" t="str">
        <f t="shared" si="0"/>
        <v/>
      </c>
      <c r="Q37" t="str">
        <f>IF(P37="","",IFERROR(IF(AND(H37="W7",OR(F37="causal",F37="predictive")),IF(AND(OR(K37=1,K37="1"),OR(L37=1,L37="1"),OR(M37=1,M37="1")),"adequate","partial"),IF(AND(H37="W4",F37="predictive",OR(J37="P2",J37="P3",J37="P4")),IF(OR(U37=1,U37="1"),"adequate","partial"),INDEX(Fit_Matrix!$B:$B,MATCH(P37,Fit_Matrix!$A:$A,0)))),"CHECK KEY"))</f>
        <v/>
      </c>
      <c r="U37" s="10"/>
      <c r="V37" s="10"/>
      <c r="W37" s="10"/>
      <c r="X37" s="10"/>
      <c r="Y37" s="10"/>
      <c r="Z37" s="10"/>
      <c r="AA37" s="11" t="str">
        <f t="shared" si="1"/>
        <v/>
      </c>
    </row>
    <row r="38" spans="16:27" ht="15" customHeight="1">
      <c r="P38" t="str">
        <f t="shared" si="0"/>
        <v/>
      </c>
      <c r="Q38" t="str">
        <f>IF(P38="","",IFERROR(IF(AND(H38="W7",OR(F38="causal",F38="predictive")),IF(AND(OR(K38=1,K38="1"),OR(L38=1,L38="1"),OR(M38=1,M38="1")),"adequate","partial"),IF(AND(H38="W4",F38="predictive",OR(J38="P2",J38="P3",J38="P4")),IF(OR(U38=1,U38="1"),"adequate","partial"),INDEX(Fit_Matrix!$B:$B,MATCH(P38,Fit_Matrix!$A:$A,0)))),"CHECK KEY"))</f>
        <v/>
      </c>
      <c r="U38" s="10"/>
      <c r="V38" s="10"/>
      <c r="W38" s="10"/>
      <c r="X38" s="10"/>
      <c r="Y38" s="10"/>
      <c r="Z38" s="10"/>
      <c r="AA38" s="11" t="str">
        <f t="shared" si="1"/>
        <v/>
      </c>
    </row>
    <row r="39" spans="16:27" ht="15" customHeight="1">
      <c r="P39" t="str">
        <f t="shared" si="0"/>
        <v/>
      </c>
      <c r="Q39" t="str">
        <f>IF(P39="","",IFERROR(IF(AND(H39="W7",OR(F39="causal",F39="predictive")),IF(AND(OR(K39=1,K39="1"),OR(L39=1,L39="1"),OR(M39=1,M39="1")),"adequate","partial"),IF(AND(H39="W4",F39="predictive",OR(J39="P2",J39="P3",J39="P4")),IF(OR(U39=1,U39="1"),"adequate","partial"),INDEX(Fit_Matrix!$B:$B,MATCH(P39,Fit_Matrix!$A:$A,0)))),"CHECK KEY"))</f>
        <v/>
      </c>
      <c r="U39" s="10"/>
      <c r="V39" s="10"/>
      <c r="W39" s="10"/>
      <c r="X39" s="10"/>
      <c r="Y39" s="10"/>
      <c r="Z39" s="10"/>
      <c r="AA39" s="11" t="str">
        <f t="shared" si="1"/>
        <v/>
      </c>
    </row>
    <row r="40" spans="16:27" ht="15" customHeight="1">
      <c r="P40" t="str">
        <f t="shared" si="0"/>
        <v/>
      </c>
      <c r="Q40" t="str">
        <f>IF(P40="","",IFERROR(IF(AND(H40="W7",OR(F40="causal",F40="predictive")),IF(AND(OR(K40=1,K40="1"),OR(L40=1,L40="1"),OR(M40=1,M40="1")),"adequate","partial"),IF(AND(H40="W4",F40="predictive",OR(J40="P2",J40="P3",J40="P4")),IF(OR(U40=1,U40="1"),"adequate","partial"),INDEX(Fit_Matrix!$B:$B,MATCH(P40,Fit_Matrix!$A:$A,0)))),"CHECK KEY"))</f>
        <v/>
      </c>
      <c r="U40" s="10"/>
      <c r="V40" s="10"/>
      <c r="W40" s="10"/>
      <c r="X40" s="10"/>
      <c r="Y40" s="10"/>
      <c r="Z40" s="10"/>
      <c r="AA40" s="11" t="str">
        <f t="shared" si="1"/>
        <v/>
      </c>
    </row>
    <row r="41" spans="16:27" ht="15" customHeight="1">
      <c r="P41" t="str">
        <f t="shared" si="0"/>
        <v/>
      </c>
      <c r="Q41" t="str">
        <f>IF(P41="","",IFERROR(IF(AND(H41="W7",OR(F41="causal",F41="predictive")),IF(AND(OR(K41=1,K41="1"),OR(L41=1,L41="1"),OR(M41=1,M41="1")),"adequate","partial"),IF(AND(H41="W4",F41="predictive",OR(J41="P2",J41="P3",J41="P4")),IF(OR(U41=1,U41="1"),"adequate","partial"),INDEX(Fit_Matrix!$B:$B,MATCH(P41,Fit_Matrix!$A:$A,0)))),"CHECK KEY"))</f>
        <v/>
      </c>
      <c r="U41" s="10"/>
      <c r="V41" s="10"/>
      <c r="W41" s="10"/>
      <c r="X41" s="10"/>
      <c r="Y41" s="10"/>
      <c r="Z41" s="10"/>
      <c r="AA41" s="11" t="str">
        <f t="shared" si="1"/>
        <v/>
      </c>
    </row>
    <row r="42" spans="16:27" ht="15" customHeight="1">
      <c r="P42" t="str">
        <f t="shared" si="0"/>
        <v/>
      </c>
      <c r="Q42" t="str">
        <f>IF(P42="","",IFERROR(IF(AND(H42="W7",OR(F42="causal",F42="predictive")),IF(AND(OR(K42=1,K42="1"),OR(L42=1,L42="1"),OR(M42=1,M42="1")),"adequate","partial"),IF(AND(H42="W4",F42="predictive",OR(J42="P2",J42="P3",J42="P4")),IF(OR(U42=1,U42="1"),"adequate","partial"),INDEX(Fit_Matrix!$B:$B,MATCH(P42,Fit_Matrix!$A:$A,0)))),"CHECK KEY"))</f>
        <v/>
      </c>
      <c r="U42" s="10"/>
      <c r="V42" s="10"/>
      <c r="W42" s="10"/>
      <c r="X42" s="10"/>
      <c r="Y42" s="10"/>
      <c r="Z42" s="10"/>
      <c r="AA42" s="11" t="str">
        <f t="shared" si="1"/>
        <v/>
      </c>
    </row>
    <row r="43" spans="16:27" ht="15" customHeight="1">
      <c r="P43" t="str">
        <f t="shared" si="0"/>
        <v/>
      </c>
      <c r="Q43" t="str">
        <f>IF(P43="","",IFERROR(IF(AND(H43="W7",OR(F43="causal",F43="predictive")),IF(AND(OR(K43=1,K43="1"),OR(L43=1,L43="1"),OR(M43=1,M43="1")),"adequate","partial"),IF(AND(H43="W4",F43="predictive",OR(J43="P2",J43="P3",J43="P4")),IF(OR(U43=1,U43="1"),"adequate","partial"),INDEX(Fit_Matrix!$B:$B,MATCH(P43,Fit_Matrix!$A:$A,0)))),"CHECK KEY"))</f>
        <v/>
      </c>
      <c r="U43" s="10"/>
      <c r="V43" s="10"/>
      <c r="W43" s="10"/>
      <c r="X43" s="10"/>
      <c r="Y43" s="10"/>
      <c r="Z43" s="10"/>
      <c r="AA43" s="11" t="str">
        <f t="shared" si="1"/>
        <v/>
      </c>
    </row>
    <row r="44" spans="16:27" ht="15" customHeight="1">
      <c r="P44" t="str">
        <f t="shared" si="0"/>
        <v/>
      </c>
      <c r="Q44" t="str">
        <f>IF(P44="","",IFERROR(IF(AND(H44="W7",OR(F44="causal",F44="predictive")),IF(AND(OR(K44=1,K44="1"),OR(L44=1,L44="1"),OR(M44=1,M44="1")),"adequate","partial"),IF(AND(H44="W4",F44="predictive",OR(J44="P2",J44="P3",J44="P4")),IF(OR(U44=1,U44="1"),"adequate","partial"),INDEX(Fit_Matrix!$B:$B,MATCH(P44,Fit_Matrix!$A:$A,0)))),"CHECK KEY"))</f>
        <v/>
      </c>
      <c r="U44" s="10"/>
      <c r="V44" s="10"/>
      <c r="W44" s="10"/>
      <c r="X44" s="10"/>
      <c r="Y44" s="10"/>
      <c r="Z44" s="10"/>
      <c r="AA44" s="11" t="str">
        <f t="shared" si="1"/>
        <v/>
      </c>
    </row>
    <row r="45" spans="16:27" ht="15" customHeight="1">
      <c r="P45" t="str">
        <f t="shared" si="0"/>
        <v/>
      </c>
      <c r="Q45" t="str">
        <f>IF(P45="","",IFERROR(IF(AND(H45="W7",OR(F45="causal",F45="predictive")),IF(AND(OR(K45=1,K45="1"),OR(L45=1,L45="1"),OR(M45=1,M45="1")),"adequate","partial"),IF(AND(H45="W4",F45="predictive",OR(J45="P2",J45="P3",J45="P4")),IF(OR(U45=1,U45="1"),"adequate","partial"),INDEX(Fit_Matrix!$B:$B,MATCH(P45,Fit_Matrix!$A:$A,0)))),"CHECK KEY"))</f>
        <v/>
      </c>
      <c r="U45" s="10"/>
      <c r="V45" s="10"/>
      <c r="W45" s="10"/>
      <c r="X45" s="10"/>
      <c r="Y45" s="10"/>
      <c r="Z45" s="10"/>
      <c r="AA45" s="11" t="str">
        <f t="shared" si="1"/>
        <v/>
      </c>
    </row>
    <row r="46" spans="16:27" ht="15" customHeight="1">
      <c r="P46" t="str">
        <f t="shared" si="0"/>
        <v/>
      </c>
      <c r="Q46" t="str">
        <f>IF(P46="","",IFERROR(IF(AND(H46="W7",OR(F46="causal",F46="predictive")),IF(AND(OR(K46=1,K46="1"),OR(L46=1,L46="1"),OR(M46=1,M46="1")),"adequate","partial"),IF(AND(H46="W4",F46="predictive",OR(J46="P2",J46="P3",J46="P4")),IF(OR(U46=1,U46="1"),"adequate","partial"),INDEX(Fit_Matrix!$B:$B,MATCH(P46,Fit_Matrix!$A:$A,0)))),"CHECK KEY"))</f>
        <v/>
      </c>
      <c r="U46" s="10"/>
      <c r="V46" s="10"/>
      <c r="W46" s="10"/>
      <c r="X46" s="10"/>
      <c r="Y46" s="10"/>
      <c r="Z46" s="10"/>
      <c r="AA46" s="11" t="str">
        <f t="shared" si="1"/>
        <v/>
      </c>
    </row>
    <row r="47" spans="16:27" ht="15" customHeight="1">
      <c r="P47" t="str">
        <f t="shared" si="0"/>
        <v/>
      </c>
      <c r="Q47" t="str">
        <f>IF(P47="","",IFERROR(IF(AND(H47="W7",OR(F47="causal",F47="predictive")),IF(AND(OR(K47=1,K47="1"),OR(L47=1,L47="1"),OR(M47=1,M47="1")),"adequate","partial"),IF(AND(H47="W4",F47="predictive",OR(J47="P2",J47="P3",J47="P4")),IF(OR(U47=1,U47="1"),"adequate","partial"),INDEX(Fit_Matrix!$B:$B,MATCH(P47,Fit_Matrix!$A:$A,0)))),"CHECK KEY"))</f>
        <v/>
      </c>
      <c r="U47" s="10"/>
      <c r="V47" s="10"/>
      <c r="W47" s="10"/>
      <c r="X47" s="10"/>
      <c r="Y47" s="10"/>
      <c r="Z47" s="10"/>
      <c r="AA47" s="11" t="str">
        <f t="shared" si="1"/>
        <v/>
      </c>
    </row>
    <row r="48" spans="16:27" ht="15" customHeight="1">
      <c r="P48" t="str">
        <f t="shared" si="0"/>
        <v/>
      </c>
      <c r="Q48" t="str">
        <f>IF(P48="","",IFERROR(IF(AND(H48="W7",OR(F48="causal",F48="predictive")),IF(AND(OR(K48=1,K48="1"),OR(L48=1,L48="1"),OR(M48=1,M48="1")),"adequate","partial"),IF(AND(H48="W4",F48="predictive",OR(J48="P2",J48="P3",J48="P4")),IF(OR(U48=1,U48="1"),"adequate","partial"),INDEX(Fit_Matrix!$B:$B,MATCH(P48,Fit_Matrix!$A:$A,0)))),"CHECK KEY"))</f>
        <v/>
      </c>
      <c r="U48" s="10"/>
      <c r="V48" s="10"/>
      <c r="W48" s="10"/>
      <c r="X48" s="10"/>
      <c r="Y48" s="10"/>
      <c r="Z48" s="10"/>
      <c r="AA48" s="11" t="str">
        <f t="shared" si="1"/>
        <v/>
      </c>
    </row>
    <row r="49" spans="16:27" ht="15" customHeight="1">
      <c r="P49" t="str">
        <f t="shared" si="0"/>
        <v/>
      </c>
      <c r="Q49" t="str">
        <f>IF(P49="","",IFERROR(IF(AND(H49="W7",OR(F49="causal",F49="predictive")),IF(AND(OR(K49=1,K49="1"),OR(L49=1,L49="1"),OR(M49=1,M49="1")),"adequate","partial"),IF(AND(H49="W4",F49="predictive",OR(J49="P2",J49="P3",J49="P4")),IF(OR(U49=1,U49="1"),"adequate","partial"),INDEX(Fit_Matrix!$B:$B,MATCH(P49,Fit_Matrix!$A:$A,0)))),"CHECK KEY"))</f>
        <v/>
      </c>
      <c r="U49" s="10"/>
      <c r="V49" s="10"/>
      <c r="W49" s="10"/>
      <c r="X49" s="10"/>
      <c r="Y49" s="10"/>
      <c r="Z49" s="10"/>
      <c r="AA49" s="11" t="str">
        <f t="shared" si="1"/>
        <v/>
      </c>
    </row>
    <row r="50" spans="16:27" ht="15" customHeight="1">
      <c r="P50" t="str">
        <f t="shared" si="0"/>
        <v/>
      </c>
      <c r="Q50" t="str">
        <f>IF(P50="","",IFERROR(IF(AND(H50="W7",OR(F50="causal",F50="predictive")),IF(AND(OR(K50=1,K50="1"),OR(L50=1,L50="1"),OR(M50=1,M50="1")),"adequate","partial"),IF(AND(H50="W4",F50="predictive",OR(J50="P2",J50="P3",J50="P4")),IF(OR(U50=1,U50="1"),"adequate","partial"),INDEX(Fit_Matrix!$B:$B,MATCH(P50,Fit_Matrix!$A:$A,0)))),"CHECK KEY"))</f>
        <v/>
      </c>
      <c r="U50" s="10"/>
      <c r="V50" s="10"/>
      <c r="W50" s="10"/>
      <c r="X50" s="10"/>
      <c r="Y50" s="10"/>
      <c r="Z50" s="10"/>
      <c r="AA50" s="11" t="str">
        <f t="shared" si="1"/>
        <v/>
      </c>
    </row>
    <row r="51" spans="16:27" ht="15" customHeight="1">
      <c r="P51" t="str">
        <f t="shared" si="0"/>
        <v/>
      </c>
      <c r="Q51" t="str">
        <f>IF(P51="","",IFERROR(IF(AND(H51="W7",OR(F51="causal",F51="predictive")),IF(AND(OR(K51=1,K51="1"),OR(L51=1,L51="1"),OR(M51=1,M51="1")),"adequate","partial"),IF(AND(H51="W4",F51="predictive",OR(J51="P2",J51="P3",J51="P4")),IF(OR(U51=1,U51="1"),"adequate","partial"),INDEX(Fit_Matrix!$B:$B,MATCH(P51,Fit_Matrix!$A:$A,0)))),"CHECK KEY"))</f>
        <v/>
      </c>
      <c r="U51" s="10"/>
      <c r="V51" s="10"/>
      <c r="W51" s="10"/>
      <c r="X51" s="10"/>
      <c r="Y51" s="10"/>
      <c r="Z51" s="10"/>
      <c r="AA51" s="11" t="str">
        <f t="shared" si="1"/>
        <v/>
      </c>
    </row>
    <row r="52" spans="16:27" ht="15" customHeight="1">
      <c r="P52" t="str">
        <f t="shared" si="0"/>
        <v/>
      </c>
      <c r="Q52" t="str">
        <f>IF(P52="","",IFERROR(IF(AND(H52="W7",OR(F52="causal",F52="predictive")),IF(AND(OR(K52=1,K52="1"),OR(L52=1,L52="1"),OR(M52=1,M52="1")),"adequate","partial"),IF(AND(H52="W4",F52="predictive",OR(J52="P2",J52="P3",J52="P4")),IF(OR(U52=1,U52="1"),"adequate","partial"),INDEX(Fit_Matrix!$B:$B,MATCH(P52,Fit_Matrix!$A:$A,0)))),"CHECK KEY"))</f>
        <v/>
      </c>
      <c r="U52" s="10"/>
      <c r="V52" s="10"/>
      <c r="W52" s="10"/>
      <c r="X52" s="10"/>
      <c r="Y52" s="10"/>
      <c r="Z52" s="10"/>
      <c r="AA52" s="11" t="str">
        <f t="shared" si="1"/>
        <v/>
      </c>
    </row>
    <row r="53" spans="16:27" ht="15" customHeight="1">
      <c r="P53" t="str">
        <f t="shared" si="0"/>
        <v/>
      </c>
      <c r="Q53" t="str">
        <f>IF(P53="","",IFERROR(IF(AND(H53="W7",OR(F53="causal",F53="predictive")),IF(AND(OR(K53=1,K53="1"),OR(L53=1,L53="1"),OR(M53=1,M53="1")),"adequate","partial"),IF(AND(H53="W4",F53="predictive",OR(J53="P2",J53="P3",J53="P4")),IF(OR(U53=1,U53="1"),"adequate","partial"),INDEX(Fit_Matrix!$B:$B,MATCH(P53,Fit_Matrix!$A:$A,0)))),"CHECK KEY"))</f>
        <v/>
      </c>
      <c r="U53" s="10"/>
      <c r="V53" s="10"/>
      <c r="W53" s="10"/>
      <c r="X53" s="10"/>
      <c r="Y53" s="10"/>
      <c r="Z53" s="10"/>
      <c r="AA53" s="11" t="str">
        <f t="shared" si="1"/>
        <v/>
      </c>
    </row>
    <row r="54" spans="16:27" ht="15" customHeight="1">
      <c r="P54" t="str">
        <f t="shared" si="0"/>
        <v/>
      </c>
      <c r="Q54" t="str">
        <f>IF(P54="","",IFERROR(IF(AND(H54="W7",OR(F54="causal",F54="predictive")),IF(AND(OR(K54=1,K54="1"),OR(L54=1,L54="1"),OR(M54=1,M54="1")),"adequate","partial"),IF(AND(H54="W4",F54="predictive",OR(J54="P2",J54="P3",J54="P4")),IF(OR(U54=1,U54="1"),"adequate","partial"),INDEX(Fit_Matrix!$B:$B,MATCH(P54,Fit_Matrix!$A:$A,0)))),"CHECK KEY"))</f>
        <v/>
      </c>
      <c r="U54" s="10"/>
      <c r="V54" s="10"/>
      <c r="W54" s="10"/>
      <c r="X54" s="10"/>
      <c r="Y54" s="10"/>
      <c r="Z54" s="10"/>
      <c r="AA54" s="11" t="str">
        <f t="shared" si="1"/>
        <v/>
      </c>
    </row>
    <row r="55" spans="16:27" ht="15" customHeight="1">
      <c r="P55" t="str">
        <f t="shared" si="0"/>
        <v/>
      </c>
      <c r="Q55" t="str">
        <f>IF(P55="","",IFERROR(IF(AND(H55="W7",OR(F55="causal",F55="predictive")),IF(AND(OR(K55=1,K55="1"),OR(L55=1,L55="1"),OR(M55=1,M55="1")),"adequate","partial"),IF(AND(H55="W4",F55="predictive",OR(J55="P2",J55="P3",J55="P4")),IF(OR(U55=1,U55="1"),"adequate","partial"),INDEX(Fit_Matrix!$B:$B,MATCH(P55,Fit_Matrix!$A:$A,0)))),"CHECK KEY"))</f>
        <v/>
      </c>
      <c r="U55" s="10"/>
      <c r="V55" s="10"/>
      <c r="W55" s="10"/>
      <c r="X55" s="10"/>
      <c r="Y55" s="10"/>
      <c r="Z55" s="10"/>
      <c r="AA55" s="11" t="str">
        <f t="shared" si="1"/>
        <v/>
      </c>
    </row>
    <row r="56" spans="16:27" ht="15" customHeight="1">
      <c r="P56" t="str">
        <f t="shared" si="0"/>
        <v/>
      </c>
      <c r="Q56" t="str">
        <f>IF(P56="","",IFERROR(IF(AND(H56="W7",OR(F56="causal",F56="predictive")),IF(AND(OR(K56=1,K56="1"),OR(L56=1,L56="1"),OR(M56=1,M56="1")),"adequate","partial"),IF(AND(H56="W4",F56="predictive",OR(J56="P2",J56="P3",J56="P4")),IF(OR(U56=1,U56="1"),"adequate","partial"),INDEX(Fit_Matrix!$B:$B,MATCH(P56,Fit_Matrix!$A:$A,0)))),"CHECK KEY"))</f>
        <v/>
      </c>
      <c r="U56" s="10"/>
      <c r="V56" s="10"/>
      <c r="W56" s="10"/>
      <c r="X56" s="10"/>
      <c r="Y56" s="10"/>
      <c r="Z56" s="10"/>
      <c r="AA56" s="11" t="str">
        <f t="shared" si="1"/>
        <v/>
      </c>
    </row>
    <row r="57" spans="16:27" ht="15" customHeight="1">
      <c r="P57" t="str">
        <f t="shared" si="0"/>
        <v/>
      </c>
      <c r="Q57" t="str">
        <f>IF(P57="","",IFERROR(IF(AND(H57="W7",OR(F57="causal",F57="predictive")),IF(AND(OR(K57=1,K57="1"),OR(L57=1,L57="1"),OR(M57=1,M57="1")),"adequate","partial"),IF(AND(H57="W4",F57="predictive",OR(J57="P2",J57="P3",J57="P4")),IF(OR(U57=1,U57="1"),"adequate","partial"),INDEX(Fit_Matrix!$B:$B,MATCH(P57,Fit_Matrix!$A:$A,0)))),"CHECK KEY"))</f>
        <v/>
      </c>
      <c r="U57" s="10"/>
      <c r="V57" s="10"/>
      <c r="W57" s="10"/>
      <c r="X57" s="10"/>
      <c r="Y57" s="10"/>
      <c r="Z57" s="10"/>
      <c r="AA57" s="11" t="str">
        <f t="shared" si="1"/>
        <v/>
      </c>
    </row>
    <row r="58" spans="16:27" ht="15" customHeight="1">
      <c r="P58" t="str">
        <f t="shared" si="0"/>
        <v/>
      </c>
      <c r="Q58" t="str">
        <f>IF(P58="","",IFERROR(IF(AND(H58="W7",OR(F58="causal",F58="predictive")),IF(AND(OR(K58=1,K58="1"),OR(L58=1,L58="1"),OR(M58=1,M58="1")),"adequate","partial"),IF(AND(H58="W4",F58="predictive",OR(J58="P2",J58="P3",J58="P4")),IF(OR(U58=1,U58="1"),"adequate","partial"),INDEX(Fit_Matrix!$B:$B,MATCH(P58,Fit_Matrix!$A:$A,0)))),"CHECK KEY"))</f>
        <v/>
      </c>
      <c r="U58" s="10"/>
      <c r="V58" s="10"/>
      <c r="W58" s="10"/>
      <c r="X58" s="10"/>
      <c r="Y58" s="10"/>
      <c r="Z58" s="10"/>
      <c r="AA58" s="11" t="str">
        <f t="shared" si="1"/>
        <v/>
      </c>
    </row>
    <row r="59" spans="16:27" ht="15" customHeight="1">
      <c r="P59" t="str">
        <f t="shared" si="0"/>
        <v/>
      </c>
      <c r="Q59" t="str">
        <f>IF(P59="","",IFERROR(IF(AND(H59="W7",OR(F59="causal",F59="predictive")),IF(AND(OR(K59=1,K59="1"),OR(L59=1,L59="1"),OR(M59=1,M59="1")),"adequate","partial"),IF(AND(H59="W4",F59="predictive",OR(J59="P2",J59="P3",J59="P4")),IF(OR(U59=1,U59="1"),"adequate","partial"),INDEX(Fit_Matrix!$B:$B,MATCH(P59,Fit_Matrix!$A:$A,0)))),"CHECK KEY"))</f>
        <v/>
      </c>
      <c r="U59" s="10"/>
      <c r="V59" s="10"/>
      <c r="W59" s="10"/>
      <c r="X59" s="10"/>
      <c r="Y59" s="10"/>
      <c r="Z59" s="10"/>
      <c r="AA59" s="11" t="str">
        <f t="shared" si="1"/>
        <v/>
      </c>
    </row>
    <row r="60" spans="16:27" ht="15" customHeight="1">
      <c r="P60" t="str">
        <f t="shared" si="0"/>
        <v/>
      </c>
      <c r="Q60" t="str">
        <f>IF(P60="","",IFERROR(IF(AND(H60="W7",OR(F60="causal",F60="predictive")),IF(AND(OR(K60=1,K60="1"),OR(L60=1,L60="1"),OR(M60=1,M60="1")),"adequate","partial"),IF(AND(H60="W4",F60="predictive",OR(J60="P2",J60="P3",J60="P4")),IF(OR(U60=1,U60="1"),"adequate","partial"),INDEX(Fit_Matrix!$B:$B,MATCH(P60,Fit_Matrix!$A:$A,0)))),"CHECK KEY"))</f>
        <v/>
      </c>
      <c r="U60" s="10"/>
      <c r="V60" s="10"/>
      <c r="W60" s="10"/>
      <c r="X60" s="10"/>
      <c r="Y60" s="10"/>
      <c r="Z60" s="10"/>
      <c r="AA60" s="11" t="str">
        <f t="shared" si="1"/>
        <v/>
      </c>
    </row>
    <row r="61" spans="16:27" ht="15" customHeight="1">
      <c r="P61" t="str">
        <f t="shared" si="0"/>
        <v/>
      </c>
      <c r="Q61" t="str">
        <f>IF(P61="","",IFERROR(IF(AND(H61="W7",OR(F61="causal",F61="predictive")),IF(AND(OR(K61=1,K61="1"),OR(L61=1,L61="1"),OR(M61=1,M61="1")),"adequate","partial"),IF(AND(H61="W4",F61="predictive",OR(J61="P2",J61="P3",J61="P4")),IF(OR(U61=1,U61="1"),"adequate","partial"),INDEX(Fit_Matrix!$B:$B,MATCH(P61,Fit_Matrix!$A:$A,0)))),"CHECK KEY"))</f>
        <v/>
      </c>
      <c r="U61" s="10"/>
      <c r="V61" s="10"/>
      <c r="W61" s="10"/>
      <c r="X61" s="10"/>
      <c r="Y61" s="10"/>
      <c r="Z61" s="10"/>
      <c r="AA61" s="11" t="str">
        <f t="shared" si="1"/>
        <v/>
      </c>
    </row>
    <row r="62" spans="16:27" ht="15" customHeight="1">
      <c r="P62" t="str">
        <f t="shared" si="0"/>
        <v/>
      </c>
      <c r="Q62" t="str">
        <f>IF(P62="","",IFERROR(IF(AND(H62="W7",OR(F62="causal",F62="predictive")),IF(AND(OR(K62=1,K62="1"),OR(L62=1,L62="1"),OR(M62=1,M62="1")),"adequate","partial"),IF(AND(H62="W4",F62="predictive",OR(J62="P2",J62="P3",J62="P4")),IF(OR(U62=1,U62="1"),"adequate","partial"),INDEX(Fit_Matrix!$B:$B,MATCH(P62,Fit_Matrix!$A:$A,0)))),"CHECK KEY"))</f>
        <v/>
      </c>
      <c r="U62" s="10"/>
      <c r="V62" s="10"/>
      <c r="W62" s="10"/>
      <c r="X62" s="10"/>
      <c r="Y62" s="10"/>
      <c r="Z62" s="10"/>
      <c r="AA62" s="11" t="str">
        <f t="shared" si="1"/>
        <v/>
      </c>
    </row>
    <row r="63" spans="16:27" ht="15" customHeight="1">
      <c r="P63" t="str">
        <f t="shared" si="0"/>
        <v/>
      </c>
      <c r="Q63" t="str">
        <f>IF(P63="","",IFERROR(IF(AND(H63="W7",OR(F63="causal",F63="predictive")),IF(AND(OR(K63=1,K63="1"),OR(L63=1,L63="1"),OR(M63=1,M63="1")),"adequate","partial"),IF(AND(H63="W4",F63="predictive",OR(J63="P2",J63="P3",J63="P4")),IF(OR(U63=1,U63="1"),"adequate","partial"),INDEX(Fit_Matrix!$B:$B,MATCH(P63,Fit_Matrix!$A:$A,0)))),"CHECK KEY"))</f>
        <v/>
      </c>
      <c r="U63" s="10"/>
      <c r="V63" s="10"/>
      <c r="W63" s="10"/>
      <c r="X63" s="10"/>
      <c r="Y63" s="10"/>
      <c r="Z63" s="10"/>
      <c r="AA63" s="11" t="str">
        <f t="shared" si="1"/>
        <v/>
      </c>
    </row>
    <row r="64" spans="16:27" ht="15" customHeight="1">
      <c r="P64" t="str">
        <f t="shared" si="0"/>
        <v/>
      </c>
      <c r="Q64" t="str">
        <f>IF(P64="","",IFERROR(IF(AND(H64="W7",OR(F64="causal",F64="predictive")),IF(AND(OR(K64=1,K64="1"),OR(L64=1,L64="1"),OR(M64=1,M64="1")),"adequate","partial"),IF(AND(H64="W4",F64="predictive",OR(J64="P2",J64="P3",J64="P4")),IF(OR(U64=1,U64="1"),"adequate","partial"),INDEX(Fit_Matrix!$B:$B,MATCH(P64,Fit_Matrix!$A:$A,0)))),"CHECK KEY"))</f>
        <v/>
      </c>
      <c r="U64" s="10"/>
      <c r="V64" s="10"/>
      <c r="W64" s="10"/>
      <c r="X64" s="10"/>
      <c r="Y64" s="10"/>
      <c r="Z64" s="10"/>
      <c r="AA64" s="11" t="str">
        <f t="shared" si="1"/>
        <v/>
      </c>
    </row>
    <row r="65" spans="16:27" ht="15" customHeight="1">
      <c r="P65" t="str">
        <f t="shared" si="0"/>
        <v/>
      </c>
      <c r="Q65" t="str">
        <f>IF(P65="","",IFERROR(IF(AND(H65="W7",OR(F65="causal",F65="predictive")),IF(AND(OR(K65=1,K65="1"),OR(L65=1,L65="1"),OR(M65=1,M65="1")),"adequate","partial"),IF(AND(H65="W4",F65="predictive",OR(J65="P2",J65="P3",J65="P4")),IF(OR(U65=1,U65="1"),"adequate","partial"),INDEX(Fit_Matrix!$B:$B,MATCH(P65,Fit_Matrix!$A:$A,0)))),"CHECK KEY"))</f>
        <v/>
      </c>
      <c r="U65" s="10"/>
      <c r="V65" s="10"/>
      <c r="W65" s="10"/>
      <c r="X65" s="10"/>
      <c r="Y65" s="10"/>
      <c r="Z65" s="10"/>
      <c r="AA65" s="11" t="str">
        <f t="shared" si="1"/>
        <v/>
      </c>
    </row>
    <row r="66" spans="16:27" ht="15" customHeight="1">
      <c r="P66" t="str">
        <f t="shared" ref="P66:P129" si="2">IF(OR(F66="",H66="",J66=""),"",J66&amp;"|"&amp;F66&amp;"|"&amp;IF(H66="W3","W3_"&amp;IF(I66="","unknown",I66),H66))</f>
        <v/>
      </c>
      <c r="Q66" t="str">
        <f>IF(P66="","",IFERROR(IF(AND(H66="W7",OR(F66="causal",F66="predictive")),IF(AND(OR(K66=1,K66="1"),OR(L66=1,L66="1"),OR(M66=1,M66="1")),"adequate","partial"),IF(AND(H66="W4",F66="predictive",OR(J66="P2",J66="P3",J66="P4")),IF(OR(U66=1,U66="1"),"adequate","partial"),INDEX(Fit_Matrix!$B:$B,MATCH(P66,Fit_Matrix!$A:$A,0)))),"CHECK KEY"))</f>
        <v/>
      </c>
      <c r="U66" s="10"/>
      <c r="V66" s="10"/>
      <c r="W66" s="10"/>
      <c r="X66" s="10"/>
      <c r="Y66" s="10"/>
      <c r="Z66" s="10"/>
      <c r="AA66" s="11" t="str">
        <f t="shared" ref="AA66:AA129" si="3">IF(A66="","",IF(AND(J66="P4",F66="causal"),"P4-CAUSAL",""))</f>
        <v/>
      </c>
    </row>
    <row r="67" spans="16:27" ht="15" customHeight="1">
      <c r="P67" t="str">
        <f t="shared" si="2"/>
        <v/>
      </c>
      <c r="Q67" t="str">
        <f>IF(P67="","",IFERROR(IF(AND(H67="W7",OR(F67="causal",F67="predictive")),IF(AND(OR(K67=1,K67="1"),OR(L67=1,L67="1"),OR(M67=1,M67="1")),"adequate","partial"),IF(AND(H67="W4",F67="predictive",OR(J67="P2",J67="P3",J67="P4")),IF(OR(U67=1,U67="1"),"adequate","partial"),INDEX(Fit_Matrix!$B:$B,MATCH(P67,Fit_Matrix!$A:$A,0)))),"CHECK KEY"))</f>
        <v/>
      </c>
      <c r="U67" s="10"/>
      <c r="V67" s="10"/>
      <c r="W67" s="10"/>
      <c r="X67" s="10"/>
      <c r="Y67" s="10"/>
      <c r="Z67" s="10"/>
      <c r="AA67" s="11" t="str">
        <f t="shared" si="3"/>
        <v/>
      </c>
    </row>
    <row r="68" spans="16:27" ht="15" customHeight="1">
      <c r="P68" t="str">
        <f t="shared" si="2"/>
        <v/>
      </c>
      <c r="Q68" t="str">
        <f>IF(P68="","",IFERROR(IF(AND(H68="W7",OR(F68="causal",F68="predictive")),IF(AND(OR(K68=1,K68="1"),OR(L68=1,L68="1"),OR(M68=1,M68="1")),"adequate","partial"),IF(AND(H68="W4",F68="predictive",OR(J68="P2",J68="P3",J68="P4")),IF(OR(U68=1,U68="1"),"adequate","partial"),INDEX(Fit_Matrix!$B:$B,MATCH(P68,Fit_Matrix!$A:$A,0)))),"CHECK KEY"))</f>
        <v/>
      </c>
      <c r="U68" s="10"/>
      <c r="V68" s="10"/>
      <c r="W68" s="10"/>
      <c r="X68" s="10"/>
      <c r="Y68" s="10"/>
      <c r="Z68" s="10"/>
      <c r="AA68" s="11" t="str">
        <f t="shared" si="3"/>
        <v/>
      </c>
    </row>
    <row r="69" spans="16:27" ht="15" customHeight="1">
      <c r="P69" t="str">
        <f t="shared" si="2"/>
        <v/>
      </c>
      <c r="Q69" t="str">
        <f>IF(P69="","",IFERROR(IF(AND(H69="W7",OR(F69="causal",F69="predictive")),IF(AND(OR(K69=1,K69="1"),OR(L69=1,L69="1"),OR(M69=1,M69="1")),"adequate","partial"),IF(AND(H69="W4",F69="predictive",OR(J69="P2",J69="P3",J69="P4")),IF(OR(U69=1,U69="1"),"adequate","partial"),INDEX(Fit_Matrix!$B:$B,MATCH(P69,Fit_Matrix!$A:$A,0)))),"CHECK KEY"))</f>
        <v/>
      </c>
      <c r="U69" s="10"/>
      <c r="V69" s="10"/>
      <c r="W69" s="10"/>
      <c r="X69" s="10"/>
      <c r="Y69" s="10"/>
      <c r="Z69" s="10"/>
      <c r="AA69" s="11" t="str">
        <f t="shared" si="3"/>
        <v/>
      </c>
    </row>
    <row r="70" spans="16:27" ht="15" customHeight="1">
      <c r="P70" t="str">
        <f t="shared" si="2"/>
        <v/>
      </c>
      <c r="Q70" t="str">
        <f>IF(P70="","",IFERROR(IF(AND(H70="W7",OR(F70="causal",F70="predictive")),IF(AND(OR(K70=1,K70="1"),OR(L70=1,L70="1"),OR(M70=1,M70="1")),"adequate","partial"),IF(AND(H70="W4",F70="predictive",OR(J70="P2",J70="P3",J70="P4")),IF(OR(U70=1,U70="1"),"adequate","partial"),INDEX(Fit_Matrix!$B:$B,MATCH(P70,Fit_Matrix!$A:$A,0)))),"CHECK KEY"))</f>
        <v/>
      </c>
      <c r="U70" s="10"/>
      <c r="V70" s="10"/>
      <c r="W70" s="10"/>
      <c r="X70" s="10"/>
      <c r="Y70" s="10"/>
      <c r="Z70" s="10"/>
      <c r="AA70" s="11" t="str">
        <f t="shared" si="3"/>
        <v/>
      </c>
    </row>
    <row r="71" spans="16:27" ht="15" customHeight="1">
      <c r="P71" t="str">
        <f t="shared" si="2"/>
        <v/>
      </c>
      <c r="Q71" t="str">
        <f>IF(P71="","",IFERROR(IF(AND(H71="W7",OR(F71="causal",F71="predictive")),IF(AND(OR(K71=1,K71="1"),OR(L71=1,L71="1"),OR(M71=1,M71="1")),"adequate","partial"),IF(AND(H71="W4",F71="predictive",OR(J71="P2",J71="P3",J71="P4")),IF(OR(U71=1,U71="1"),"adequate","partial"),INDEX(Fit_Matrix!$B:$B,MATCH(P71,Fit_Matrix!$A:$A,0)))),"CHECK KEY"))</f>
        <v/>
      </c>
      <c r="U71" s="10"/>
      <c r="V71" s="10"/>
      <c r="W71" s="10"/>
      <c r="X71" s="10"/>
      <c r="Y71" s="10"/>
      <c r="Z71" s="10"/>
      <c r="AA71" s="11" t="str">
        <f t="shared" si="3"/>
        <v/>
      </c>
    </row>
    <row r="72" spans="16:27" ht="15" customHeight="1">
      <c r="P72" t="str">
        <f t="shared" si="2"/>
        <v/>
      </c>
      <c r="Q72" t="str">
        <f>IF(P72="","",IFERROR(IF(AND(H72="W7",OR(F72="causal",F72="predictive")),IF(AND(OR(K72=1,K72="1"),OR(L72=1,L72="1"),OR(M72=1,M72="1")),"adequate","partial"),IF(AND(H72="W4",F72="predictive",OR(J72="P2",J72="P3",J72="P4")),IF(OR(U72=1,U72="1"),"adequate","partial"),INDEX(Fit_Matrix!$B:$B,MATCH(P72,Fit_Matrix!$A:$A,0)))),"CHECK KEY"))</f>
        <v/>
      </c>
      <c r="U72" s="10"/>
      <c r="V72" s="10"/>
      <c r="W72" s="10"/>
      <c r="X72" s="10"/>
      <c r="Y72" s="10"/>
      <c r="Z72" s="10"/>
      <c r="AA72" s="11" t="str">
        <f t="shared" si="3"/>
        <v/>
      </c>
    </row>
    <row r="73" spans="16:27" ht="15" customHeight="1">
      <c r="P73" t="str">
        <f t="shared" si="2"/>
        <v/>
      </c>
      <c r="Q73" t="str">
        <f>IF(P73="","",IFERROR(IF(AND(H73="W7",OR(F73="causal",F73="predictive")),IF(AND(OR(K73=1,K73="1"),OR(L73=1,L73="1"),OR(M73=1,M73="1")),"adequate","partial"),IF(AND(H73="W4",F73="predictive",OR(J73="P2",J73="P3",J73="P4")),IF(OR(U73=1,U73="1"),"adequate","partial"),INDEX(Fit_Matrix!$B:$B,MATCH(P73,Fit_Matrix!$A:$A,0)))),"CHECK KEY"))</f>
        <v/>
      </c>
      <c r="U73" s="10"/>
      <c r="V73" s="10"/>
      <c r="W73" s="10"/>
      <c r="X73" s="10"/>
      <c r="Y73" s="10"/>
      <c r="Z73" s="10"/>
      <c r="AA73" s="11" t="str">
        <f t="shared" si="3"/>
        <v/>
      </c>
    </row>
    <row r="74" spans="16:27" ht="15" customHeight="1">
      <c r="P74" t="str">
        <f t="shared" si="2"/>
        <v/>
      </c>
      <c r="Q74" t="str">
        <f>IF(P74="","",IFERROR(IF(AND(H74="W7",OR(F74="causal",F74="predictive")),IF(AND(OR(K74=1,K74="1"),OR(L74=1,L74="1"),OR(M74=1,M74="1")),"adequate","partial"),IF(AND(H74="W4",F74="predictive",OR(J74="P2",J74="P3",J74="P4")),IF(OR(U74=1,U74="1"),"adequate","partial"),INDEX(Fit_Matrix!$B:$B,MATCH(P74,Fit_Matrix!$A:$A,0)))),"CHECK KEY"))</f>
        <v/>
      </c>
      <c r="U74" s="10"/>
      <c r="V74" s="10"/>
      <c r="W74" s="10"/>
      <c r="X74" s="10"/>
      <c r="Y74" s="10"/>
      <c r="Z74" s="10"/>
      <c r="AA74" s="11" t="str">
        <f t="shared" si="3"/>
        <v/>
      </c>
    </row>
    <row r="75" spans="16:27" ht="15" customHeight="1">
      <c r="P75" t="str">
        <f t="shared" si="2"/>
        <v/>
      </c>
      <c r="Q75" t="str">
        <f>IF(P75="","",IFERROR(IF(AND(H75="W7",OR(F75="causal",F75="predictive")),IF(AND(OR(K75=1,K75="1"),OR(L75=1,L75="1"),OR(M75=1,M75="1")),"adequate","partial"),IF(AND(H75="W4",F75="predictive",OR(J75="P2",J75="P3",J75="P4")),IF(OR(U75=1,U75="1"),"adequate","partial"),INDEX(Fit_Matrix!$B:$B,MATCH(P75,Fit_Matrix!$A:$A,0)))),"CHECK KEY"))</f>
        <v/>
      </c>
      <c r="U75" s="10"/>
      <c r="V75" s="10"/>
      <c r="W75" s="10"/>
      <c r="X75" s="10"/>
      <c r="Y75" s="10"/>
      <c r="Z75" s="10"/>
      <c r="AA75" s="11" t="str">
        <f t="shared" si="3"/>
        <v/>
      </c>
    </row>
    <row r="76" spans="16:27" ht="15" customHeight="1">
      <c r="P76" t="str">
        <f t="shared" si="2"/>
        <v/>
      </c>
      <c r="Q76" t="str">
        <f>IF(P76="","",IFERROR(IF(AND(H76="W7",OR(F76="causal",F76="predictive")),IF(AND(OR(K76=1,K76="1"),OR(L76=1,L76="1"),OR(M76=1,M76="1")),"adequate","partial"),IF(AND(H76="W4",F76="predictive",OR(J76="P2",J76="P3",J76="P4")),IF(OR(U76=1,U76="1"),"adequate","partial"),INDEX(Fit_Matrix!$B:$B,MATCH(P76,Fit_Matrix!$A:$A,0)))),"CHECK KEY"))</f>
        <v/>
      </c>
      <c r="U76" s="10"/>
      <c r="V76" s="10"/>
      <c r="W76" s="10"/>
      <c r="X76" s="10"/>
      <c r="Y76" s="10"/>
      <c r="Z76" s="10"/>
      <c r="AA76" s="11" t="str">
        <f t="shared" si="3"/>
        <v/>
      </c>
    </row>
    <row r="77" spans="16:27" ht="15" customHeight="1">
      <c r="P77" t="str">
        <f t="shared" si="2"/>
        <v/>
      </c>
      <c r="Q77" t="str">
        <f>IF(P77="","",IFERROR(IF(AND(H77="W7",OR(F77="causal",F77="predictive")),IF(AND(OR(K77=1,K77="1"),OR(L77=1,L77="1"),OR(M77=1,M77="1")),"adequate","partial"),IF(AND(H77="W4",F77="predictive",OR(J77="P2",J77="P3",J77="P4")),IF(OR(U77=1,U77="1"),"adequate","partial"),INDEX(Fit_Matrix!$B:$B,MATCH(P77,Fit_Matrix!$A:$A,0)))),"CHECK KEY"))</f>
        <v/>
      </c>
      <c r="U77" s="10"/>
      <c r="V77" s="10"/>
      <c r="W77" s="10"/>
      <c r="X77" s="10"/>
      <c r="Y77" s="10"/>
      <c r="Z77" s="10"/>
      <c r="AA77" s="11" t="str">
        <f t="shared" si="3"/>
        <v/>
      </c>
    </row>
    <row r="78" spans="16:27" ht="15" customHeight="1">
      <c r="P78" t="str">
        <f t="shared" si="2"/>
        <v/>
      </c>
      <c r="Q78" t="str">
        <f>IF(P78="","",IFERROR(IF(AND(H78="W7",OR(F78="causal",F78="predictive")),IF(AND(OR(K78=1,K78="1"),OR(L78=1,L78="1"),OR(M78=1,M78="1")),"adequate","partial"),IF(AND(H78="W4",F78="predictive",OR(J78="P2",J78="P3",J78="P4")),IF(OR(U78=1,U78="1"),"adequate","partial"),INDEX(Fit_Matrix!$B:$B,MATCH(P78,Fit_Matrix!$A:$A,0)))),"CHECK KEY"))</f>
        <v/>
      </c>
      <c r="U78" s="10"/>
      <c r="V78" s="10"/>
      <c r="W78" s="10"/>
      <c r="X78" s="10"/>
      <c r="Y78" s="10"/>
      <c r="Z78" s="10"/>
      <c r="AA78" s="11" t="str">
        <f t="shared" si="3"/>
        <v/>
      </c>
    </row>
    <row r="79" spans="16:27" ht="15" customHeight="1">
      <c r="P79" t="str">
        <f t="shared" si="2"/>
        <v/>
      </c>
      <c r="Q79" t="str">
        <f>IF(P79="","",IFERROR(IF(AND(H79="W7",OR(F79="causal",F79="predictive")),IF(AND(OR(K79=1,K79="1"),OR(L79=1,L79="1"),OR(M79=1,M79="1")),"adequate","partial"),IF(AND(H79="W4",F79="predictive",OR(J79="P2",J79="P3",J79="P4")),IF(OR(U79=1,U79="1"),"adequate","partial"),INDEX(Fit_Matrix!$B:$B,MATCH(P79,Fit_Matrix!$A:$A,0)))),"CHECK KEY"))</f>
        <v/>
      </c>
      <c r="U79" s="10"/>
      <c r="V79" s="10"/>
      <c r="W79" s="10"/>
      <c r="X79" s="10"/>
      <c r="Y79" s="10"/>
      <c r="Z79" s="10"/>
      <c r="AA79" s="11" t="str">
        <f t="shared" si="3"/>
        <v/>
      </c>
    </row>
    <row r="80" spans="16:27" ht="15" customHeight="1">
      <c r="P80" t="str">
        <f t="shared" si="2"/>
        <v/>
      </c>
      <c r="Q80" t="str">
        <f>IF(P80="","",IFERROR(IF(AND(H80="W7",OR(F80="causal",F80="predictive")),IF(AND(OR(K80=1,K80="1"),OR(L80=1,L80="1"),OR(M80=1,M80="1")),"adequate","partial"),IF(AND(H80="W4",F80="predictive",OR(J80="P2",J80="P3",J80="P4")),IF(OR(U80=1,U80="1"),"adequate","partial"),INDEX(Fit_Matrix!$B:$B,MATCH(P80,Fit_Matrix!$A:$A,0)))),"CHECK KEY"))</f>
        <v/>
      </c>
      <c r="U80" s="10"/>
      <c r="V80" s="10"/>
      <c r="W80" s="10"/>
      <c r="X80" s="10"/>
      <c r="Y80" s="10"/>
      <c r="Z80" s="10"/>
      <c r="AA80" s="11" t="str">
        <f t="shared" si="3"/>
        <v/>
      </c>
    </row>
    <row r="81" spans="16:27" ht="15" customHeight="1">
      <c r="P81" t="str">
        <f t="shared" si="2"/>
        <v/>
      </c>
      <c r="Q81" t="str">
        <f>IF(P81="","",IFERROR(IF(AND(H81="W7",OR(F81="causal",F81="predictive")),IF(AND(OR(K81=1,K81="1"),OR(L81=1,L81="1"),OR(M81=1,M81="1")),"adequate","partial"),IF(AND(H81="W4",F81="predictive",OR(J81="P2",J81="P3",J81="P4")),IF(OR(U81=1,U81="1"),"adequate","partial"),INDEX(Fit_Matrix!$B:$B,MATCH(P81,Fit_Matrix!$A:$A,0)))),"CHECK KEY"))</f>
        <v/>
      </c>
      <c r="U81" s="10"/>
      <c r="V81" s="10"/>
      <c r="W81" s="10"/>
      <c r="X81" s="10"/>
      <c r="Y81" s="10"/>
      <c r="Z81" s="10"/>
      <c r="AA81" s="11" t="str">
        <f t="shared" si="3"/>
        <v/>
      </c>
    </row>
    <row r="82" spans="16:27" ht="15" customHeight="1">
      <c r="P82" t="str">
        <f t="shared" si="2"/>
        <v/>
      </c>
      <c r="Q82" t="str">
        <f>IF(P82="","",IFERROR(IF(AND(H82="W7",OR(F82="causal",F82="predictive")),IF(AND(OR(K82=1,K82="1"),OR(L82=1,L82="1"),OR(M82=1,M82="1")),"adequate","partial"),IF(AND(H82="W4",F82="predictive",OR(J82="P2",J82="P3",J82="P4")),IF(OR(U82=1,U82="1"),"adequate","partial"),INDEX(Fit_Matrix!$B:$B,MATCH(P82,Fit_Matrix!$A:$A,0)))),"CHECK KEY"))</f>
        <v/>
      </c>
      <c r="U82" s="10"/>
      <c r="V82" s="10"/>
      <c r="W82" s="10"/>
      <c r="X82" s="10"/>
      <c r="Y82" s="10"/>
      <c r="Z82" s="10"/>
      <c r="AA82" s="11" t="str">
        <f t="shared" si="3"/>
        <v/>
      </c>
    </row>
    <row r="83" spans="16:27" ht="15" customHeight="1">
      <c r="P83" t="str">
        <f t="shared" si="2"/>
        <v/>
      </c>
      <c r="Q83" t="str">
        <f>IF(P83="","",IFERROR(IF(AND(H83="W7",OR(F83="causal",F83="predictive")),IF(AND(OR(K83=1,K83="1"),OR(L83=1,L83="1"),OR(M83=1,M83="1")),"adequate","partial"),IF(AND(H83="W4",F83="predictive",OR(J83="P2",J83="P3",J83="P4")),IF(OR(U83=1,U83="1"),"adequate","partial"),INDEX(Fit_Matrix!$B:$B,MATCH(P83,Fit_Matrix!$A:$A,0)))),"CHECK KEY"))</f>
        <v/>
      </c>
      <c r="U83" s="10"/>
      <c r="V83" s="10"/>
      <c r="W83" s="10"/>
      <c r="X83" s="10"/>
      <c r="Y83" s="10"/>
      <c r="Z83" s="10"/>
      <c r="AA83" s="11" t="str">
        <f t="shared" si="3"/>
        <v/>
      </c>
    </row>
    <row r="84" spans="16:27" ht="15" customHeight="1">
      <c r="P84" t="str">
        <f t="shared" si="2"/>
        <v/>
      </c>
      <c r="Q84" t="str">
        <f>IF(P84="","",IFERROR(IF(AND(H84="W7",OR(F84="causal",F84="predictive")),IF(AND(OR(K84=1,K84="1"),OR(L84=1,L84="1"),OR(M84=1,M84="1")),"adequate","partial"),IF(AND(H84="W4",F84="predictive",OR(J84="P2",J84="P3",J84="P4")),IF(OR(U84=1,U84="1"),"adequate","partial"),INDEX(Fit_Matrix!$B:$B,MATCH(P84,Fit_Matrix!$A:$A,0)))),"CHECK KEY"))</f>
        <v/>
      </c>
      <c r="U84" s="10"/>
      <c r="V84" s="10"/>
      <c r="W84" s="10"/>
      <c r="X84" s="10"/>
      <c r="Y84" s="10"/>
      <c r="Z84" s="10"/>
      <c r="AA84" s="11" t="str">
        <f t="shared" si="3"/>
        <v/>
      </c>
    </row>
    <row r="85" spans="16:27" ht="15" customHeight="1">
      <c r="P85" t="str">
        <f t="shared" si="2"/>
        <v/>
      </c>
      <c r="Q85" t="str">
        <f>IF(P85="","",IFERROR(IF(AND(H85="W7",OR(F85="causal",F85="predictive")),IF(AND(OR(K85=1,K85="1"),OR(L85=1,L85="1"),OR(M85=1,M85="1")),"adequate","partial"),IF(AND(H85="W4",F85="predictive",OR(J85="P2",J85="P3",J85="P4")),IF(OR(U85=1,U85="1"),"adequate","partial"),INDEX(Fit_Matrix!$B:$B,MATCH(P85,Fit_Matrix!$A:$A,0)))),"CHECK KEY"))</f>
        <v/>
      </c>
      <c r="U85" s="10"/>
      <c r="V85" s="10"/>
      <c r="W85" s="10"/>
      <c r="X85" s="10"/>
      <c r="Y85" s="10"/>
      <c r="Z85" s="10"/>
      <c r="AA85" s="11" t="str">
        <f t="shared" si="3"/>
        <v/>
      </c>
    </row>
    <row r="86" spans="16:27" ht="15" customHeight="1">
      <c r="P86" t="str">
        <f t="shared" si="2"/>
        <v/>
      </c>
      <c r="Q86" t="str">
        <f>IF(P86="","",IFERROR(IF(AND(H86="W7",OR(F86="causal",F86="predictive")),IF(AND(OR(K86=1,K86="1"),OR(L86=1,L86="1"),OR(M86=1,M86="1")),"adequate","partial"),IF(AND(H86="W4",F86="predictive",OR(J86="P2",J86="P3",J86="P4")),IF(OR(U86=1,U86="1"),"adequate","partial"),INDEX(Fit_Matrix!$B:$B,MATCH(P86,Fit_Matrix!$A:$A,0)))),"CHECK KEY"))</f>
        <v/>
      </c>
      <c r="U86" s="10"/>
      <c r="V86" s="10"/>
      <c r="W86" s="10"/>
      <c r="X86" s="10"/>
      <c r="Y86" s="10"/>
      <c r="Z86" s="10"/>
      <c r="AA86" s="11" t="str">
        <f t="shared" si="3"/>
        <v/>
      </c>
    </row>
    <row r="87" spans="16:27" ht="15" customHeight="1">
      <c r="P87" t="str">
        <f t="shared" si="2"/>
        <v/>
      </c>
      <c r="Q87" t="str">
        <f>IF(P87="","",IFERROR(IF(AND(H87="W7",OR(F87="causal",F87="predictive")),IF(AND(OR(K87=1,K87="1"),OR(L87=1,L87="1"),OR(M87=1,M87="1")),"adequate","partial"),IF(AND(H87="W4",F87="predictive",OR(J87="P2",J87="P3",J87="P4")),IF(OR(U87=1,U87="1"),"adequate","partial"),INDEX(Fit_Matrix!$B:$B,MATCH(P87,Fit_Matrix!$A:$A,0)))),"CHECK KEY"))</f>
        <v/>
      </c>
      <c r="U87" s="10"/>
      <c r="V87" s="10"/>
      <c r="W87" s="10"/>
      <c r="X87" s="10"/>
      <c r="Y87" s="10"/>
      <c r="Z87" s="10"/>
      <c r="AA87" s="11" t="str">
        <f t="shared" si="3"/>
        <v/>
      </c>
    </row>
    <row r="88" spans="16:27" ht="15" customHeight="1">
      <c r="P88" t="str">
        <f t="shared" si="2"/>
        <v/>
      </c>
      <c r="Q88" t="str">
        <f>IF(P88="","",IFERROR(IF(AND(H88="W7",OR(F88="causal",F88="predictive")),IF(AND(OR(K88=1,K88="1"),OR(L88=1,L88="1"),OR(M88=1,M88="1")),"adequate","partial"),IF(AND(H88="W4",F88="predictive",OR(J88="P2",J88="P3",J88="P4")),IF(OR(U88=1,U88="1"),"adequate","partial"),INDEX(Fit_Matrix!$B:$B,MATCH(P88,Fit_Matrix!$A:$A,0)))),"CHECK KEY"))</f>
        <v/>
      </c>
      <c r="U88" s="10"/>
      <c r="V88" s="10"/>
      <c r="W88" s="10"/>
      <c r="X88" s="10"/>
      <c r="Y88" s="10"/>
      <c r="Z88" s="10"/>
      <c r="AA88" s="11" t="str">
        <f t="shared" si="3"/>
        <v/>
      </c>
    </row>
    <row r="89" spans="16:27" ht="15" customHeight="1">
      <c r="P89" t="str">
        <f t="shared" si="2"/>
        <v/>
      </c>
      <c r="Q89" t="str">
        <f>IF(P89="","",IFERROR(IF(AND(H89="W7",OR(F89="causal",F89="predictive")),IF(AND(OR(K89=1,K89="1"),OR(L89=1,L89="1"),OR(M89=1,M89="1")),"adequate","partial"),IF(AND(H89="W4",F89="predictive",OR(J89="P2",J89="P3",J89="P4")),IF(OR(U89=1,U89="1"),"adequate","partial"),INDEX(Fit_Matrix!$B:$B,MATCH(P89,Fit_Matrix!$A:$A,0)))),"CHECK KEY"))</f>
        <v/>
      </c>
      <c r="U89" s="10"/>
      <c r="V89" s="10"/>
      <c r="W89" s="10"/>
      <c r="X89" s="10"/>
      <c r="Y89" s="10"/>
      <c r="Z89" s="10"/>
      <c r="AA89" s="11" t="str">
        <f t="shared" si="3"/>
        <v/>
      </c>
    </row>
    <row r="90" spans="16:27" ht="15" customHeight="1">
      <c r="P90" t="str">
        <f t="shared" si="2"/>
        <v/>
      </c>
      <c r="Q90" t="str">
        <f>IF(P90="","",IFERROR(IF(AND(H90="W7",OR(F90="causal",F90="predictive")),IF(AND(OR(K90=1,K90="1"),OR(L90=1,L90="1"),OR(M90=1,M90="1")),"adequate","partial"),IF(AND(H90="W4",F90="predictive",OR(J90="P2",J90="P3",J90="P4")),IF(OR(U90=1,U90="1"),"adequate","partial"),INDEX(Fit_Matrix!$B:$B,MATCH(P90,Fit_Matrix!$A:$A,0)))),"CHECK KEY"))</f>
        <v/>
      </c>
      <c r="U90" s="10"/>
      <c r="V90" s="10"/>
      <c r="W90" s="10"/>
      <c r="X90" s="10"/>
      <c r="Y90" s="10"/>
      <c r="Z90" s="10"/>
      <c r="AA90" s="11" t="str">
        <f t="shared" si="3"/>
        <v/>
      </c>
    </row>
    <row r="91" spans="16:27" ht="15" customHeight="1">
      <c r="P91" t="str">
        <f t="shared" si="2"/>
        <v/>
      </c>
      <c r="Q91" t="str">
        <f>IF(P91="","",IFERROR(IF(AND(H91="W7",OR(F91="causal",F91="predictive")),IF(AND(OR(K91=1,K91="1"),OR(L91=1,L91="1"),OR(M91=1,M91="1")),"adequate","partial"),IF(AND(H91="W4",F91="predictive",OR(J91="P2",J91="P3",J91="P4")),IF(OR(U91=1,U91="1"),"adequate","partial"),INDEX(Fit_Matrix!$B:$B,MATCH(P91,Fit_Matrix!$A:$A,0)))),"CHECK KEY"))</f>
        <v/>
      </c>
      <c r="U91" s="10"/>
      <c r="V91" s="10"/>
      <c r="W91" s="10"/>
      <c r="X91" s="10"/>
      <c r="Y91" s="10"/>
      <c r="Z91" s="10"/>
      <c r="AA91" s="11" t="str">
        <f t="shared" si="3"/>
        <v/>
      </c>
    </row>
    <row r="92" spans="16:27" ht="15" customHeight="1">
      <c r="P92" t="str">
        <f t="shared" si="2"/>
        <v/>
      </c>
      <c r="Q92" t="str">
        <f>IF(P92="","",IFERROR(IF(AND(H92="W7",OR(F92="causal",F92="predictive")),IF(AND(OR(K92=1,K92="1"),OR(L92=1,L92="1"),OR(M92=1,M92="1")),"adequate","partial"),IF(AND(H92="W4",F92="predictive",OR(J92="P2",J92="P3",J92="P4")),IF(OR(U92=1,U92="1"),"adequate","partial"),INDEX(Fit_Matrix!$B:$B,MATCH(P92,Fit_Matrix!$A:$A,0)))),"CHECK KEY"))</f>
        <v/>
      </c>
      <c r="U92" s="10"/>
      <c r="V92" s="10"/>
      <c r="W92" s="10"/>
      <c r="X92" s="10"/>
      <c r="Y92" s="10"/>
      <c r="Z92" s="10"/>
      <c r="AA92" s="11" t="str">
        <f t="shared" si="3"/>
        <v/>
      </c>
    </row>
    <row r="93" spans="16:27" ht="15" customHeight="1">
      <c r="P93" t="str">
        <f t="shared" si="2"/>
        <v/>
      </c>
      <c r="Q93" t="str">
        <f>IF(P93="","",IFERROR(IF(AND(H93="W7",OR(F93="causal",F93="predictive")),IF(AND(OR(K93=1,K93="1"),OR(L93=1,L93="1"),OR(M93=1,M93="1")),"adequate","partial"),IF(AND(H93="W4",F93="predictive",OR(J93="P2",J93="P3",J93="P4")),IF(OR(U93=1,U93="1"),"adequate","partial"),INDEX(Fit_Matrix!$B:$B,MATCH(P93,Fit_Matrix!$A:$A,0)))),"CHECK KEY"))</f>
        <v/>
      </c>
      <c r="U93" s="10"/>
      <c r="V93" s="10"/>
      <c r="W93" s="10"/>
      <c r="X93" s="10"/>
      <c r="Y93" s="10"/>
      <c r="Z93" s="10"/>
      <c r="AA93" s="11" t="str">
        <f t="shared" si="3"/>
        <v/>
      </c>
    </row>
    <row r="94" spans="16:27" ht="15" customHeight="1">
      <c r="P94" t="str">
        <f t="shared" si="2"/>
        <v/>
      </c>
      <c r="Q94" t="str">
        <f>IF(P94="","",IFERROR(IF(AND(H94="W7",OR(F94="causal",F94="predictive")),IF(AND(OR(K94=1,K94="1"),OR(L94=1,L94="1"),OR(M94=1,M94="1")),"adequate","partial"),IF(AND(H94="W4",F94="predictive",OR(J94="P2",J94="P3",J94="P4")),IF(OR(U94=1,U94="1"),"adequate","partial"),INDEX(Fit_Matrix!$B:$B,MATCH(P94,Fit_Matrix!$A:$A,0)))),"CHECK KEY"))</f>
        <v/>
      </c>
      <c r="U94" s="10"/>
      <c r="V94" s="10"/>
      <c r="W94" s="10"/>
      <c r="X94" s="10"/>
      <c r="Y94" s="10"/>
      <c r="Z94" s="10"/>
      <c r="AA94" s="11" t="str">
        <f t="shared" si="3"/>
        <v/>
      </c>
    </row>
    <row r="95" spans="16:27" ht="15" customHeight="1">
      <c r="P95" t="str">
        <f t="shared" si="2"/>
        <v/>
      </c>
      <c r="Q95" t="str">
        <f>IF(P95="","",IFERROR(IF(AND(H95="W7",OR(F95="causal",F95="predictive")),IF(AND(OR(K95=1,K95="1"),OR(L95=1,L95="1"),OR(M95=1,M95="1")),"adequate","partial"),IF(AND(H95="W4",F95="predictive",OR(J95="P2",J95="P3",J95="P4")),IF(OR(U95=1,U95="1"),"adequate","partial"),INDEX(Fit_Matrix!$B:$B,MATCH(P95,Fit_Matrix!$A:$A,0)))),"CHECK KEY"))</f>
        <v/>
      </c>
      <c r="U95" s="10"/>
      <c r="V95" s="10"/>
      <c r="W95" s="10"/>
      <c r="X95" s="10"/>
      <c r="Y95" s="10"/>
      <c r="Z95" s="10"/>
      <c r="AA95" s="11" t="str">
        <f t="shared" si="3"/>
        <v/>
      </c>
    </row>
    <row r="96" spans="16:27" ht="15" customHeight="1">
      <c r="P96" t="str">
        <f t="shared" si="2"/>
        <v/>
      </c>
      <c r="Q96" t="str">
        <f>IF(P96="","",IFERROR(IF(AND(H96="W7",OR(F96="causal",F96="predictive")),IF(AND(OR(K96=1,K96="1"),OR(L96=1,L96="1"),OR(M96=1,M96="1")),"adequate","partial"),IF(AND(H96="W4",F96="predictive",OR(J96="P2",J96="P3",J96="P4")),IF(OR(U96=1,U96="1"),"adequate","partial"),INDEX(Fit_Matrix!$B:$B,MATCH(P96,Fit_Matrix!$A:$A,0)))),"CHECK KEY"))</f>
        <v/>
      </c>
      <c r="U96" s="10"/>
      <c r="V96" s="10"/>
      <c r="W96" s="10"/>
      <c r="X96" s="10"/>
      <c r="Y96" s="10"/>
      <c r="Z96" s="10"/>
      <c r="AA96" s="11" t="str">
        <f t="shared" si="3"/>
        <v/>
      </c>
    </row>
    <row r="97" spans="16:27" ht="15" customHeight="1">
      <c r="P97" t="str">
        <f t="shared" si="2"/>
        <v/>
      </c>
      <c r="Q97" t="str">
        <f>IF(P97="","",IFERROR(IF(AND(H97="W7",OR(F97="causal",F97="predictive")),IF(AND(OR(K97=1,K97="1"),OR(L97=1,L97="1"),OR(M97=1,M97="1")),"adequate","partial"),IF(AND(H97="W4",F97="predictive",OR(J97="P2",J97="P3",J97="P4")),IF(OR(U97=1,U97="1"),"adequate","partial"),INDEX(Fit_Matrix!$B:$B,MATCH(P97,Fit_Matrix!$A:$A,0)))),"CHECK KEY"))</f>
        <v/>
      </c>
      <c r="U97" s="10"/>
      <c r="V97" s="10"/>
      <c r="W97" s="10"/>
      <c r="X97" s="10"/>
      <c r="Y97" s="10"/>
      <c r="Z97" s="10"/>
      <c r="AA97" s="11" t="str">
        <f t="shared" si="3"/>
        <v/>
      </c>
    </row>
    <row r="98" spans="16:27" ht="15" customHeight="1">
      <c r="P98" t="str">
        <f t="shared" si="2"/>
        <v/>
      </c>
      <c r="Q98" t="str">
        <f>IF(P98="","",IFERROR(IF(AND(H98="W7",OR(F98="causal",F98="predictive")),IF(AND(OR(K98=1,K98="1"),OR(L98=1,L98="1"),OR(M98=1,M98="1")),"adequate","partial"),IF(AND(H98="W4",F98="predictive",OR(J98="P2",J98="P3",J98="P4")),IF(OR(U98=1,U98="1"),"adequate","partial"),INDEX(Fit_Matrix!$B:$B,MATCH(P98,Fit_Matrix!$A:$A,0)))),"CHECK KEY"))</f>
        <v/>
      </c>
      <c r="U98" s="10"/>
      <c r="V98" s="10"/>
      <c r="W98" s="10"/>
      <c r="X98" s="10"/>
      <c r="Y98" s="10"/>
      <c r="Z98" s="10"/>
      <c r="AA98" s="11" t="str">
        <f t="shared" si="3"/>
        <v/>
      </c>
    </row>
    <row r="99" spans="16:27" ht="15" customHeight="1">
      <c r="P99" t="str">
        <f t="shared" si="2"/>
        <v/>
      </c>
      <c r="Q99" t="str">
        <f>IF(P99="","",IFERROR(IF(AND(H99="W7",OR(F99="causal",F99="predictive")),IF(AND(OR(K99=1,K99="1"),OR(L99=1,L99="1"),OR(M99=1,M99="1")),"adequate","partial"),IF(AND(H99="W4",F99="predictive",OR(J99="P2",J99="P3",J99="P4")),IF(OR(U99=1,U99="1"),"adequate","partial"),INDEX(Fit_Matrix!$B:$B,MATCH(P99,Fit_Matrix!$A:$A,0)))),"CHECK KEY"))</f>
        <v/>
      </c>
      <c r="U99" s="10"/>
      <c r="V99" s="10"/>
      <c r="W99" s="10"/>
      <c r="X99" s="10"/>
      <c r="Y99" s="10"/>
      <c r="Z99" s="10"/>
      <c r="AA99" s="11" t="str">
        <f t="shared" si="3"/>
        <v/>
      </c>
    </row>
    <row r="100" spans="16:27" ht="15" customHeight="1">
      <c r="P100" t="str">
        <f t="shared" si="2"/>
        <v/>
      </c>
      <c r="Q100" t="str">
        <f>IF(P100="","",IFERROR(IF(AND(H100="W7",OR(F100="causal",F100="predictive")),IF(AND(OR(K100=1,K100="1"),OR(L100=1,L100="1"),OR(M100=1,M100="1")),"adequate","partial"),IF(AND(H100="W4",F100="predictive",OR(J100="P2",J100="P3",J100="P4")),IF(OR(U100=1,U100="1"),"adequate","partial"),INDEX(Fit_Matrix!$B:$B,MATCH(P100,Fit_Matrix!$A:$A,0)))),"CHECK KEY"))</f>
        <v/>
      </c>
      <c r="U100" s="10"/>
      <c r="V100" s="10"/>
      <c r="W100" s="10"/>
      <c r="X100" s="10"/>
      <c r="Y100" s="10"/>
      <c r="Z100" s="10"/>
      <c r="AA100" s="11" t="str">
        <f t="shared" si="3"/>
        <v/>
      </c>
    </row>
    <row r="101" spans="16:27" ht="15" customHeight="1">
      <c r="P101" t="str">
        <f t="shared" si="2"/>
        <v/>
      </c>
      <c r="Q101" t="str">
        <f>IF(P101="","",IFERROR(IF(AND(H101="W7",OR(F101="causal",F101="predictive")),IF(AND(OR(K101=1,K101="1"),OR(L101=1,L101="1"),OR(M101=1,M101="1")),"adequate","partial"),IF(AND(H101="W4",F101="predictive",OR(J101="P2",J101="P3",J101="P4")),IF(OR(U101=1,U101="1"),"adequate","partial"),INDEX(Fit_Matrix!$B:$B,MATCH(P101,Fit_Matrix!$A:$A,0)))),"CHECK KEY"))</f>
        <v/>
      </c>
      <c r="U101" s="10"/>
      <c r="V101" s="10"/>
      <c r="W101" s="10"/>
      <c r="X101" s="10"/>
      <c r="Y101" s="10"/>
      <c r="Z101" s="10"/>
      <c r="AA101" s="11" t="str">
        <f t="shared" si="3"/>
        <v/>
      </c>
    </row>
    <row r="102" spans="16:27" ht="15" customHeight="1">
      <c r="P102" t="str">
        <f t="shared" si="2"/>
        <v/>
      </c>
      <c r="Q102" t="str">
        <f>IF(P102="","",IFERROR(IF(AND(H102="W7",OR(F102="causal",F102="predictive")),IF(AND(OR(K102=1,K102="1"),OR(L102=1,L102="1"),OR(M102=1,M102="1")),"adequate","partial"),IF(AND(H102="W4",F102="predictive",OR(J102="P2",J102="P3",J102="P4")),IF(OR(U102=1,U102="1"),"adequate","partial"),INDEX(Fit_Matrix!$B:$B,MATCH(P102,Fit_Matrix!$A:$A,0)))),"CHECK KEY"))</f>
        <v/>
      </c>
      <c r="U102" s="10"/>
      <c r="V102" s="10"/>
      <c r="W102" s="10"/>
      <c r="X102" s="10"/>
      <c r="Y102" s="10"/>
      <c r="Z102" s="10"/>
      <c r="AA102" s="11" t="str">
        <f t="shared" si="3"/>
        <v/>
      </c>
    </row>
    <row r="103" spans="16:27" ht="15" customHeight="1">
      <c r="P103" t="str">
        <f t="shared" si="2"/>
        <v/>
      </c>
      <c r="Q103" t="str">
        <f>IF(P103="","",IFERROR(IF(AND(H103="W7",OR(F103="causal",F103="predictive")),IF(AND(OR(K103=1,K103="1"),OR(L103=1,L103="1"),OR(M103=1,M103="1")),"adequate","partial"),IF(AND(H103="W4",F103="predictive",OR(J103="P2",J103="P3",J103="P4")),IF(OR(U103=1,U103="1"),"adequate","partial"),INDEX(Fit_Matrix!$B:$B,MATCH(P103,Fit_Matrix!$A:$A,0)))),"CHECK KEY"))</f>
        <v/>
      </c>
      <c r="U103" s="10"/>
      <c r="V103" s="10"/>
      <c r="W103" s="10"/>
      <c r="X103" s="10"/>
      <c r="Y103" s="10"/>
      <c r="Z103" s="10"/>
      <c r="AA103" s="11" t="str">
        <f t="shared" si="3"/>
        <v/>
      </c>
    </row>
    <row r="104" spans="16:27" ht="15" customHeight="1">
      <c r="P104" t="str">
        <f t="shared" si="2"/>
        <v/>
      </c>
      <c r="Q104" t="str">
        <f>IF(P104="","",IFERROR(IF(AND(H104="W7",OR(F104="causal",F104="predictive")),IF(AND(OR(K104=1,K104="1"),OR(L104=1,L104="1"),OR(M104=1,M104="1")),"adequate","partial"),IF(AND(H104="W4",F104="predictive",OR(J104="P2",J104="P3",J104="P4")),IF(OR(U104=1,U104="1"),"adequate","partial"),INDEX(Fit_Matrix!$B:$B,MATCH(P104,Fit_Matrix!$A:$A,0)))),"CHECK KEY"))</f>
        <v/>
      </c>
      <c r="U104" s="10"/>
      <c r="V104" s="10"/>
      <c r="W104" s="10"/>
      <c r="X104" s="10"/>
      <c r="Y104" s="10"/>
      <c r="Z104" s="10"/>
      <c r="AA104" s="11" t="str">
        <f t="shared" si="3"/>
        <v/>
      </c>
    </row>
    <row r="105" spans="16:27" ht="15" customHeight="1">
      <c r="P105" t="str">
        <f t="shared" si="2"/>
        <v/>
      </c>
      <c r="Q105" t="str">
        <f>IF(P105="","",IFERROR(IF(AND(H105="W7",OR(F105="causal",F105="predictive")),IF(AND(OR(K105=1,K105="1"),OR(L105=1,L105="1"),OR(M105=1,M105="1")),"adequate","partial"),IF(AND(H105="W4",F105="predictive",OR(J105="P2",J105="P3",J105="P4")),IF(OR(U105=1,U105="1"),"adequate","partial"),INDEX(Fit_Matrix!$B:$B,MATCH(P105,Fit_Matrix!$A:$A,0)))),"CHECK KEY"))</f>
        <v/>
      </c>
      <c r="U105" s="10"/>
      <c r="V105" s="10"/>
      <c r="W105" s="10"/>
      <c r="X105" s="10"/>
      <c r="Y105" s="10"/>
      <c r="Z105" s="10"/>
      <c r="AA105" s="11" t="str">
        <f t="shared" si="3"/>
        <v/>
      </c>
    </row>
    <row r="106" spans="16:27" ht="15" customHeight="1">
      <c r="P106" t="str">
        <f t="shared" si="2"/>
        <v/>
      </c>
      <c r="Q106" t="str">
        <f>IF(P106="","",IFERROR(IF(AND(H106="W7",OR(F106="causal",F106="predictive")),IF(AND(OR(K106=1,K106="1"),OR(L106=1,L106="1"),OR(M106=1,M106="1")),"adequate","partial"),IF(AND(H106="W4",F106="predictive",OR(J106="P2",J106="P3",J106="P4")),IF(OR(U106=1,U106="1"),"adequate","partial"),INDEX(Fit_Matrix!$B:$B,MATCH(P106,Fit_Matrix!$A:$A,0)))),"CHECK KEY"))</f>
        <v/>
      </c>
      <c r="U106" s="10"/>
      <c r="V106" s="10"/>
      <c r="W106" s="10"/>
      <c r="X106" s="10"/>
      <c r="Y106" s="10"/>
      <c r="Z106" s="10"/>
      <c r="AA106" s="11" t="str">
        <f t="shared" si="3"/>
        <v/>
      </c>
    </row>
    <row r="107" spans="16:27" ht="15" customHeight="1">
      <c r="P107" t="str">
        <f t="shared" si="2"/>
        <v/>
      </c>
      <c r="Q107" t="str">
        <f>IF(P107="","",IFERROR(IF(AND(H107="W7",OR(F107="causal",F107="predictive")),IF(AND(OR(K107=1,K107="1"),OR(L107=1,L107="1"),OR(M107=1,M107="1")),"adequate","partial"),IF(AND(H107="W4",F107="predictive",OR(J107="P2",J107="P3",J107="P4")),IF(OR(U107=1,U107="1"),"adequate","partial"),INDEX(Fit_Matrix!$B:$B,MATCH(P107,Fit_Matrix!$A:$A,0)))),"CHECK KEY"))</f>
        <v/>
      </c>
      <c r="U107" s="10"/>
      <c r="V107" s="10"/>
      <c r="W107" s="10"/>
      <c r="X107" s="10"/>
      <c r="Y107" s="10"/>
      <c r="Z107" s="10"/>
      <c r="AA107" s="11" t="str">
        <f t="shared" si="3"/>
        <v/>
      </c>
    </row>
    <row r="108" spans="16:27" ht="15" customHeight="1">
      <c r="P108" t="str">
        <f t="shared" si="2"/>
        <v/>
      </c>
      <c r="Q108" t="str">
        <f>IF(P108="","",IFERROR(IF(AND(H108="W7",OR(F108="causal",F108="predictive")),IF(AND(OR(K108=1,K108="1"),OR(L108=1,L108="1"),OR(M108=1,M108="1")),"adequate","partial"),IF(AND(H108="W4",F108="predictive",OR(J108="P2",J108="P3",J108="P4")),IF(OR(U108=1,U108="1"),"adequate","partial"),INDEX(Fit_Matrix!$B:$B,MATCH(P108,Fit_Matrix!$A:$A,0)))),"CHECK KEY"))</f>
        <v/>
      </c>
      <c r="U108" s="10"/>
      <c r="V108" s="10"/>
      <c r="W108" s="10"/>
      <c r="X108" s="10"/>
      <c r="Y108" s="10"/>
      <c r="Z108" s="10"/>
      <c r="AA108" s="11" t="str">
        <f t="shared" si="3"/>
        <v/>
      </c>
    </row>
    <row r="109" spans="16:27" ht="15" customHeight="1">
      <c r="P109" t="str">
        <f t="shared" si="2"/>
        <v/>
      </c>
      <c r="Q109" t="str">
        <f>IF(P109="","",IFERROR(IF(AND(H109="W7",OR(F109="causal",F109="predictive")),IF(AND(OR(K109=1,K109="1"),OR(L109=1,L109="1"),OR(M109=1,M109="1")),"adequate","partial"),IF(AND(H109="W4",F109="predictive",OR(J109="P2",J109="P3",J109="P4")),IF(OR(U109=1,U109="1"),"adequate","partial"),INDEX(Fit_Matrix!$B:$B,MATCH(P109,Fit_Matrix!$A:$A,0)))),"CHECK KEY"))</f>
        <v/>
      </c>
      <c r="U109" s="10"/>
      <c r="V109" s="10"/>
      <c r="W109" s="10"/>
      <c r="X109" s="10"/>
      <c r="Y109" s="10"/>
      <c r="Z109" s="10"/>
      <c r="AA109" s="11" t="str">
        <f t="shared" si="3"/>
        <v/>
      </c>
    </row>
    <row r="110" spans="16:27" ht="15" customHeight="1">
      <c r="P110" t="str">
        <f t="shared" si="2"/>
        <v/>
      </c>
      <c r="Q110" t="str">
        <f>IF(P110="","",IFERROR(IF(AND(H110="W7",OR(F110="causal",F110="predictive")),IF(AND(OR(K110=1,K110="1"),OR(L110=1,L110="1"),OR(M110=1,M110="1")),"adequate","partial"),IF(AND(H110="W4",F110="predictive",OR(J110="P2",J110="P3",J110="P4")),IF(OR(U110=1,U110="1"),"adequate","partial"),INDEX(Fit_Matrix!$B:$B,MATCH(P110,Fit_Matrix!$A:$A,0)))),"CHECK KEY"))</f>
        <v/>
      </c>
      <c r="U110" s="10"/>
      <c r="V110" s="10"/>
      <c r="W110" s="10"/>
      <c r="X110" s="10"/>
      <c r="Y110" s="10"/>
      <c r="Z110" s="10"/>
      <c r="AA110" s="11" t="str">
        <f t="shared" si="3"/>
        <v/>
      </c>
    </row>
    <row r="111" spans="16:27" ht="15" customHeight="1">
      <c r="P111" t="str">
        <f t="shared" si="2"/>
        <v/>
      </c>
      <c r="Q111" t="str">
        <f>IF(P111="","",IFERROR(IF(AND(H111="W7",OR(F111="causal",F111="predictive")),IF(AND(OR(K111=1,K111="1"),OR(L111=1,L111="1"),OR(M111=1,M111="1")),"adequate","partial"),IF(AND(H111="W4",F111="predictive",OR(J111="P2",J111="P3",J111="P4")),IF(OR(U111=1,U111="1"),"adequate","partial"),INDEX(Fit_Matrix!$B:$B,MATCH(P111,Fit_Matrix!$A:$A,0)))),"CHECK KEY"))</f>
        <v/>
      </c>
      <c r="U111" s="10"/>
      <c r="V111" s="10"/>
      <c r="W111" s="10"/>
      <c r="X111" s="10"/>
      <c r="Y111" s="10"/>
      <c r="Z111" s="10"/>
      <c r="AA111" s="11" t="str">
        <f t="shared" si="3"/>
        <v/>
      </c>
    </row>
    <row r="112" spans="16:27" ht="15" customHeight="1">
      <c r="P112" t="str">
        <f t="shared" si="2"/>
        <v/>
      </c>
      <c r="Q112" t="str">
        <f>IF(P112="","",IFERROR(IF(AND(H112="W7",OR(F112="causal",F112="predictive")),IF(AND(OR(K112=1,K112="1"),OR(L112=1,L112="1"),OR(M112=1,M112="1")),"adequate","partial"),IF(AND(H112="W4",F112="predictive",OR(J112="P2",J112="P3",J112="P4")),IF(OR(U112=1,U112="1"),"adequate","partial"),INDEX(Fit_Matrix!$B:$B,MATCH(P112,Fit_Matrix!$A:$A,0)))),"CHECK KEY"))</f>
        <v/>
      </c>
      <c r="U112" s="10"/>
      <c r="V112" s="10"/>
      <c r="W112" s="10"/>
      <c r="X112" s="10"/>
      <c r="Y112" s="10"/>
      <c r="Z112" s="10"/>
      <c r="AA112" s="11" t="str">
        <f t="shared" si="3"/>
        <v/>
      </c>
    </row>
    <row r="113" spans="16:27" ht="15" customHeight="1">
      <c r="P113" t="str">
        <f t="shared" si="2"/>
        <v/>
      </c>
      <c r="Q113" t="str">
        <f>IF(P113="","",IFERROR(IF(AND(H113="W7",OR(F113="causal",F113="predictive")),IF(AND(OR(K113=1,K113="1"),OR(L113=1,L113="1"),OR(M113=1,M113="1")),"adequate","partial"),IF(AND(H113="W4",F113="predictive",OR(J113="P2",J113="P3",J113="P4")),IF(OR(U113=1,U113="1"),"adequate","partial"),INDEX(Fit_Matrix!$B:$B,MATCH(P113,Fit_Matrix!$A:$A,0)))),"CHECK KEY"))</f>
        <v/>
      </c>
      <c r="U113" s="10"/>
      <c r="V113" s="10"/>
      <c r="W113" s="10"/>
      <c r="X113" s="10"/>
      <c r="Y113" s="10"/>
      <c r="Z113" s="10"/>
      <c r="AA113" s="11" t="str">
        <f t="shared" si="3"/>
        <v/>
      </c>
    </row>
    <row r="114" spans="16:27" ht="15" customHeight="1">
      <c r="P114" t="str">
        <f t="shared" si="2"/>
        <v/>
      </c>
      <c r="Q114" t="str">
        <f>IF(P114="","",IFERROR(IF(AND(H114="W7",OR(F114="causal",F114="predictive")),IF(AND(OR(K114=1,K114="1"),OR(L114=1,L114="1"),OR(M114=1,M114="1")),"adequate","partial"),IF(AND(H114="W4",F114="predictive",OR(J114="P2",J114="P3",J114="P4")),IF(OR(U114=1,U114="1"),"adequate","partial"),INDEX(Fit_Matrix!$B:$B,MATCH(P114,Fit_Matrix!$A:$A,0)))),"CHECK KEY"))</f>
        <v/>
      </c>
      <c r="U114" s="10"/>
      <c r="V114" s="10"/>
      <c r="W114" s="10"/>
      <c r="X114" s="10"/>
      <c r="Y114" s="10"/>
      <c r="Z114" s="10"/>
      <c r="AA114" s="11" t="str">
        <f t="shared" si="3"/>
        <v/>
      </c>
    </row>
    <row r="115" spans="16:27" ht="15" customHeight="1">
      <c r="P115" t="str">
        <f t="shared" si="2"/>
        <v/>
      </c>
      <c r="Q115" t="str">
        <f>IF(P115="","",IFERROR(IF(AND(H115="W7",OR(F115="causal",F115="predictive")),IF(AND(OR(K115=1,K115="1"),OR(L115=1,L115="1"),OR(M115=1,M115="1")),"adequate","partial"),IF(AND(H115="W4",F115="predictive",OR(J115="P2",J115="P3",J115="P4")),IF(OR(U115=1,U115="1"),"adequate","partial"),INDEX(Fit_Matrix!$B:$B,MATCH(P115,Fit_Matrix!$A:$A,0)))),"CHECK KEY"))</f>
        <v/>
      </c>
      <c r="U115" s="10"/>
      <c r="V115" s="10"/>
      <c r="W115" s="10"/>
      <c r="X115" s="10"/>
      <c r="Y115" s="10"/>
      <c r="Z115" s="10"/>
      <c r="AA115" s="11" t="str">
        <f t="shared" si="3"/>
        <v/>
      </c>
    </row>
    <row r="116" spans="16:27" ht="15" customHeight="1">
      <c r="P116" t="str">
        <f t="shared" si="2"/>
        <v/>
      </c>
      <c r="Q116" t="str">
        <f>IF(P116="","",IFERROR(IF(AND(H116="W7",OR(F116="causal",F116="predictive")),IF(AND(OR(K116=1,K116="1"),OR(L116=1,L116="1"),OR(M116=1,M116="1")),"adequate","partial"),IF(AND(H116="W4",F116="predictive",OR(J116="P2",J116="P3",J116="P4")),IF(OR(U116=1,U116="1"),"adequate","partial"),INDEX(Fit_Matrix!$B:$B,MATCH(P116,Fit_Matrix!$A:$A,0)))),"CHECK KEY"))</f>
        <v/>
      </c>
      <c r="U116" s="10"/>
      <c r="V116" s="10"/>
      <c r="W116" s="10"/>
      <c r="X116" s="10"/>
      <c r="Y116" s="10"/>
      <c r="Z116" s="10"/>
      <c r="AA116" s="11" t="str">
        <f t="shared" si="3"/>
        <v/>
      </c>
    </row>
    <row r="117" spans="16:27" ht="15" customHeight="1">
      <c r="P117" t="str">
        <f t="shared" si="2"/>
        <v/>
      </c>
      <c r="Q117" t="str">
        <f>IF(P117="","",IFERROR(IF(AND(H117="W7",OR(F117="causal",F117="predictive")),IF(AND(OR(K117=1,K117="1"),OR(L117=1,L117="1"),OR(M117=1,M117="1")),"adequate","partial"),IF(AND(H117="W4",F117="predictive",OR(J117="P2",J117="P3",J117="P4")),IF(OR(U117=1,U117="1"),"adequate","partial"),INDEX(Fit_Matrix!$B:$B,MATCH(P117,Fit_Matrix!$A:$A,0)))),"CHECK KEY"))</f>
        <v/>
      </c>
      <c r="U117" s="10"/>
      <c r="V117" s="10"/>
      <c r="W117" s="10"/>
      <c r="X117" s="10"/>
      <c r="Y117" s="10"/>
      <c r="Z117" s="10"/>
      <c r="AA117" s="11" t="str">
        <f t="shared" si="3"/>
        <v/>
      </c>
    </row>
    <row r="118" spans="16:27" ht="15" customHeight="1">
      <c r="P118" t="str">
        <f t="shared" si="2"/>
        <v/>
      </c>
      <c r="Q118" t="str">
        <f>IF(P118="","",IFERROR(IF(AND(H118="W7",OR(F118="causal",F118="predictive")),IF(AND(OR(K118=1,K118="1"),OR(L118=1,L118="1"),OR(M118=1,M118="1")),"adequate","partial"),IF(AND(H118="W4",F118="predictive",OR(J118="P2",J118="P3",J118="P4")),IF(OR(U118=1,U118="1"),"adequate","partial"),INDEX(Fit_Matrix!$B:$B,MATCH(P118,Fit_Matrix!$A:$A,0)))),"CHECK KEY"))</f>
        <v/>
      </c>
      <c r="U118" s="10"/>
      <c r="V118" s="10"/>
      <c r="W118" s="10"/>
      <c r="X118" s="10"/>
      <c r="Y118" s="10"/>
      <c r="Z118" s="10"/>
      <c r="AA118" s="11" t="str">
        <f t="shared" si="3"/>
        <v/>
      </c>
    </row>
    <row r="119" spans="16:27" ht="15" customHeight="1">
      <c r="P119" t="str">
        <f t="shared" si="2"/>
        <v/>
      </c>
      <c r="Q119" t="str">
        <f>IF(P119="","",IFERROR(IF(AND(H119="W7",OR(F119="causal",F119="predictive")),IF(AND(OR(K119=1,K119="1"),OR(L119=1,L119="1"),OR(M119=1,M119="1")),"adequate","partial"),IF(AND(H119="W4",F119="predictive",OR(J119="P2",J119="P3",J119="P4")),IF(OR(U119=1,U119="1"),"adequate","partial"),INDEX(Fit_Matrix!$B:$B,MATCH(P119,Fit_Matrix!$A:$A,0)))),"CHECK KEY"))</f>
        <v/>
      </c>
      <c r="U119" s="10"/>
      <c r="V119" s="10"/>
      <c r="W119" s="10"/>
      <c r="X119" s="10"/>
      <c r="Y119" s="10"/>
      <c r="Z119" s="10"/>
      <c r="AA119" s="11" t="str">
        <f t="shared" si="3"/>
        <v/>
      </c>
    </row>
    <row r="120" spans="16:27" ht="15" customHeight="1">
      <c r="P120" t="str">
        <f t="shared" si="2"/>
        <v/>
      </c>
      <c r="Q120" t="str">
        <f>IF(P120="","",IFERROR(IF(AND(H120="W7",OR(F120="causal",F120="predictive")),IF(AND(OR(K120=1,K120="1"),OR(L120=1,L120="1"),OR(M120=1,M120="1")),"adequate","partial"),IF(AND(H120="W4",F120="predictive",OR(J120="P2",J120="P3",J120="P4")),IF(OR(U120=1,U120="1"),"adequate","partial"),INDEX(Fit_Matrix!$B:$B,MATCH(P120,Fit_Matrix!$A:$A,0)))),"CHECK KEY"))</f>
        <v/>
      </c>
      <c r="U120" s="10"/>
      <c r="V120" s="10"/>
      <c r="W120" s="10"/>
      <c r="X120" s="10"/>
      <c r="Y120" s="10"/>
      <c r="Z120" s="10"/>
      <c r="AA120" s="11" t="str">
        <f t="shared" si="3"/>
        <v/>
      </c>
    </row>
    <row r="121" spans="16:27" ht="15" customHeight="1">
      <c r="P121" t="str">
        <f t="shared" si="2"/>
        <v/>
      </c>
      <c r="Q121" t="str">
        <f>IF(P121="","",IFERROR(IF(AND(H121="W7",OR(F121="causal",F121="predictive")),IF(AND(OR(K121=1,K121="1"),OR(L121=1,L121="1"),OR(M121=1,M121="1")),"adequate","partial"),IF(AND(H121="W4",F121="predictive",OR(J121="P2",J121="P3",J121="P4")),IF(OR(U121=1,U121="1"),"adequate","partial"),INDEX(Fit_Matrix!$B:$B,MATCH(P121,Fit_Matrix!$A:$A,0)))),"CHECK KEY"))</f>
        <v/>
      </c>
      <c r="U121" s="10"/>
      <c r="V121" s="10"/>
      <c r="W121" s="10"/>
      <c r="X121" s="10"/>
      <c r="Y121" s="10"/>
      <c r="Z121" s="10"/>
      <c r="AA121" s="11" t="str">
        <f t="shared" si="3"/>
        <v/>
      </c>
    </row>
    <row r="122" spans="16:27" ht="15" customHeight="1">
      <c r="P122" t="str">
        <f t="shared" si="2"/>
        <v/>
      </c>
      <c r="Q122" t="str">
        <f>IF(P122="","",IFERROR(IF(AND(H122="W7",OR(F122="causal",F122="predictive")),IF(AND(OR(K122=1,K122="1"),OR(L122=1,L122="1"),OR(M122=1,M122="1")),"adequate","partial"),IF(AND(H122="W4",F122="predictive",OR(J122="P2",J122="P3",J122="P4")),IF(OR(U122=1,U122="1"),"adequate","partial"),INDEX(Fit_Matrix!$B:$B,MATCH(P122,Fit_Matrix!$A:$A,0)))),"CHECK KEY"))</f>
        <v/>
      </c>
      <c r="U122" s="10"/>
      <c r="V122" s="10"/>
      <c r="W122" s="10"/>
      <c r="X122" s="10"/>
      <c r="Y122" s="10"/>
      <c r="Z122" s="10"/>
      <c r="AA122" s="11" t="str">
        <f t="shared" si="3"/>
        <v/>
      </c>
    </row>
    <row r="123" spans="16:27" ht="15" customHeight="1">
      <c r="P123" t="str">
        <f t="shared" si="2"/>
        <v/>
      </c>
      <c r="Q123" t="str">
        <f>IF(P123="","",IFERROR(IF(AND(H123="W7",OR(F123="causal",F123="predictive")),IF(AND(OR(K123=1,K123="1"),OR(L123=1,L123="1"),OR(M123=1,M123="1")),"adequate","partial"),IF(AND(H123="W4",F123="predictive",OR(J123="P2",J123="P3",J123="P4")),IF(OR(U123=1,U123="1"),"adequate","partial"),INDEX(Fit_Matrix!$B:$B,MATCH(P123,Fit_Matrix!$A:$A,0)))),"CHECK KEY"))</f>
        <v/>
      </c>
      <c r="U123" s="10"/>
      <c r="V123" s="10"/>
      <c r="W123" s="10"/>
      <c r="X123" s="10"/>
      <c r="Y123" s="10"/>
      <c r="Z123" s="10"/>
      <c r="AA123" s="11" t="str">
        <f t="shared" si="3"/>
        <v/>
      </c>
    </row>
    <row r="124" spans="16:27" ht="15" customHeight="1">
      <c r="P124" t="str">
        <f t="shared" si="2"/>
        <v/>
      </c>
      <c r="Q124" t="str">
        <f>IF(P124="","",IFERROR(IF(AND(H124="W7",OR(F124="causal",F124="predictive")),IF(AND(OR(K124=1,K124="1"),OR(L124=1,L124="1"),OR(M124=1,M124="1")),"adequate","partial"),IF(AND(H124="W4",F124="predictive",OR(J124="P2",J124="P3",J124="P4")),IF(OR(U124=1,U124="1"),"adequate","partial"),INDEX(Fit_Matrix!$B:$B,MATCH(P124,Fit_Matrix!$A:$A,0)))),"CHECK KEY"))</f>
        <v/>
      </c>
      <c r="U124" s="10"/>
      <c r="V124" s="10"/>
      <c r="W124" s="10"/>
      <c r="X124" s="10"/>
      <c r="Y124" s="10"/>
      <c r="Z124" s="10"/>
      <c r="AA124" s="11" t="str">
        <f t="shared" si="3"/>
        <v/>
      </c>
    </row>
    <row r="125" spans="16:27" ht="15" customHeight="1">
      <c r="P125" t="str">
        <f t="shared" si="2"/>
        <v/>
      </c>
      <c r="Q125" t="str">
        <f>IF(P125="","",IFERROR(IF(AND(H125="W7",OR(F125="causal",F125="predictive")),IF(AND(OR(K125=1,K125="1"),OR(L125=1,L125="1"),OR(M125=1,M125="1")),"adequate","partial"),IF(AND(H125="W4",F125="predictive",OR(J125="P2",J125="P3",J125="P4")),IF(OR(U125=1,U125="1"),"adequate","partial"),INDEX(Fit_Matrix!$B:$B,MATCH(P125,Fit_Matrix!$A:$A,0)))),"CHECK KEY"))</f>
        <v/>
      </c>
      <c r="U125" s="10"/>
      <c r="V125" s="10"/>
      <c r="W125" s="10"/>
      <c r="X125" s="10"/>
      <c r="Y125" s="10"/>
      <c r="Z125" s="10"/>
      <c r="AA125" s="11" t="str">
        <f t="shared" si="3"/>
        <v/>
      </c>
    </row>
    <row r="126" spans="16:27" ht="15" customHeight="1">
      <c r="P126" t="str">
        <f t="shared" si="2"/>
        <v/>
      </c>
      <c r="Q126" t="str">
        <f>IF(P126="","",IFERROR(IF(AND(H126="W7",OR(F126="causal",F126="predictive")),IF(AND(OR(K126=1,K126="1"),OR(L126=1,L126="1"),OR(M126=1,M126="1")),"adequate","partial"),IF(AND(H126="W4",F126="predictive",OR(J126="P2",J126="P3",J126="P4")),IF(OR(U126=1,U126="1"),"adequate","partial"),INDEX(Fit_Matrix!$B:$B,MATCH(P126,Fit_Matrix!$A:$A,0)))),"CHECK KEY"))</f>
        <v/>
      </c>
      <c r="U126" s="10"/>
      <c r="V126" s="10"/>
      <c r="W126" s="10"/>
      <c r="X126" s="10"/>
      <c r="Y126" s="10"/>
      <c r="Z126" s="10"/>
      <c r="AA126" s="11" t="str">
        <f t="shared" si="3"/>
        <v/>
      </c>
    </row>
    <row r="127" spans="16:27" ht="15" customHeight="1">
      <c r="P127" t="str">
        <f t="shared" si="2"/>
        <v/>
      </c>
      <c r="Q127" t="str">
        <f>IF(P127="","",IFERROR(IF(AND(H127="W7",OR(F127="causal",F127="predictive")),IF(AND(OR(K127=1,K127="1"),OR(L127=1,L127="1"),OR(M127=1,M127="1")),"adequate","partial"),IF(AND(H127="W4",F127="predictive",OR(J127="P2",J127="P3",J127="P4")),IF(OR(U127=1,U127="1"),"adequate","partial"),INDEX(Fit_Matrix!$B:$B,MATCH(P127,Fit_Matrix!$A:$A,0)))),"CHECK KEY"))</f>
        <v/>
      </c>
      <c r="U127" s="10"/>
      <c r="V127" s="10"/>
      <c r="W127" s="10"/>
      <c r="X127" s="10"/>
      <c r="Y127" s="10"/>
      <c r="Z127" s="10"/>
      <c r="AA127" s="11" t="str">
        <f t="shared" si="3"/>
        <v/>
      </c>
    </row>
    <row r="128" spans="16:27" ht="15" customHeight="1">
      <c r="P128" t="str">
        <f t="shared" si="2"/>
        <v/>
      </c>
      <c r="Q128" t="str">
        <f>IF(P128="","",IFERROR(IF(AND(H128="W7",OR(F128="causal",F128="predictive")),IF(AND(OR(K128=1,K128="1"),OR(L128=1,L128="1"),OR(M128=1,M128="1")),"adequate","partial"),IF(AND(H128="W4",F128="predictive",OR(J128="P2",J128="P3",J128="P4")),IF(OR(U128=1,U128="1"),"adequate","partial"),INDEX(Fit_Matrix!$B:$B,MATCH(P128,Fit_Matrix!$A:$A,0)))),"CHECK KEY"))</f>
        <v/>
      </c>
      <c r="U128" s="10"/>
      <c r="V128" s="10"/>
      <c r="W128" s="10"/>
      <c r="X128" s="10"/>
      <c r="Y128" s="10"/>
      <c r="Z128" s="10"/>
      <c r="AA128" s="11" t="str">
        <f t="shared" si="3"/>
        <v/>
      </c>
    </row>
    <row r="129" spans="16:27" ht="15" customHeight="1">
      <c r="P129" t="str">
        <f t="shared" si="2"/>
        <v/>
      </c>
      <c r="Q129" t="str">
        <f>IF(P129="","",IFERROR(IF(AND(H129="W7",OR(F129="causal",F129="predictive")),IF(AND(OR(K129=1,K129="1"),OR(L129=1,L129="1"),OR(M129=1,M129="1")),"adequate","partial"),IF(AND(H129="W4",F129="predictive",OR(J129="P2",J129="P3",J129="P4")),IF(OR(U129=1,U129="1"),"adequate","partial"),INDEX(Fit_Matrix!$B:$B,MATCH(P129,Fit_Matrix!$A:$A,0)))),"CHECK KEY"))</f>
        <v/>
      </c>
      <c r="U129" s="10"/>
      <c r="V129" s="10"/>
      <c r="W129" s="10"/>
      <c r="X129" s="10"/>
      <c r="Y129" s="10"/>
      <c r="Z129" s="10"/>
      <c r="AA129" s="11" t="str">
        <f t="shared" si="3"/>
        <v/>
      </c>
    </row>
    <row r="130" spans="16:27" ht="15" customHeight="1">
      <c r="P130" t="str">
        <f t="shared" ref="P130:P193" si="4">IF(OR(F130="",H130="",J130=""),"",J130&amp;"|"&amp;F130&amp;"|"&amp;IF(H130="W3","W3_"&amp;IF(I130="","unknown",I130),H130))</f>
        <v/>
      </c>
      <c r="Q130" t="str">
        <f>IF(P130="","",IFERROR(IF(AND(H130="W7",OR(F130="causal",F130="predictive")),IF(AND(OR(K130=1,K130="1"),OR(L130=1,L130="1"),OR(M130=1,M130="1")),"adequate","partial"),IF(AND(H130="W4",F130="predictive",OR(J130="P2",J130="P3",J130="P4")),IF(OR(U130=1,U130="1"),"adequate","partial"),INDEX(Fit_Matrix!$B:$B,MATCH(P130,Fit_Matrix!$A:$A,0)))),"CHECK KEY"))</f>
        <v/>
      </c>
      <c r="U130" s="10"/>
      <c r="V130" s="10"/>
      <c r="W130" s="10"/>
      <c r="X130" s="10"/>
      <c r="Y130" s="10"/>
      <c r="Z130" s="10"/>
      <c r="AA130" s="11" t="str">
        <f t="shared" ref="AA130:AA193" si="5">IF(A130="","",IF(AND(J130="P4",F130="causal"),"P4-CAUSAL",""))</f>
        <v/>
      </c>
    </row>
    <row r="131" spans="16:27" ht="15" customHeight="1">
      <c r="P131" t="str">
        <f t="shared" si="4"/>
        <v/>
      </c>
      <c r="Q131" t="str">
        <f>IF(P131="","",IFERROR(IF(AND(H131="W7",OR(F131="causal",F131="predictive")),IF(AND(OR(K131=1,K131="1"),OR(L131=1,L131="1"),OR(M131=1,M131="1")),"adequate","partial"),IF(AND(H131="W4",F131="predictive",OR(J131="P2",J131="P3",J131="P4")),IF(OR(U131=1,U131="1"),"adequate","partial"),INDEX(Fit_Matrix!$B:$B,MATCH(P131,Fit_Matrix!$A:$A,0)))),"CHECK KEY"))</f>
        <v/>
      </c>
      <c r="U131" s="10"/>
      <c r="V131" s="10"/>
      <c r="W131" s="10"/>
      <c r="X131" s="10"/>
      <c r="Y131" s="10"/>
      <c r="Z131" s="10"/>
      <c r="AA131" s="11" t="str">
        <f t="shared" si="5"/>
        <v/>
      </c>
    </row>
    <row r="132" spans="16:27" ht="15" customHeight="1">
      <c r="P132" t="str">
        <f t="shared" si="4"/>
        <v/>
      </c>
      <c r="Q132" t="str">
        <f>IF(P132="","",IFERROR(IF(AND(H132="W7",OR(F132="causal",F132="predictive")),IF(AND(OR(K132=1,K132="1"),OR(L132=1,L132="1"),OR(M132=1,M132="1")),"adequate","partial"),IF(AND(H132="W4",F132="predictive",OR(J132="P2",J132="P3",J132="P4")),IF(OR(U132=1,U132="1"),"adequate","partial"),INDEX(Fit_Matrix!$B:$B,MATCH(P132,Fit_Matrix!$A:$A,0)))),"CHECK KEY"))</f>
        <v/>
      </c>
      <c r="U132" s="10"/>
      <c r="V132" s="10"/>
      <c r="W132" s="10"/>
      <c r="X132" s="10"/>
      <c r="Y132" s="10"/>
      <c r="Z132" s="10"/>
      <c r="AA132" s="11" t="str">
        <f t="shared" si="5"/>
        <v/>
      </c>
    </row>
    <row r="133" spans="16:27" ht="15" customHeight="1">
      <c r="P133" t="str">
        <f t="shared" si="4"/>
        <v/>
      </c>
      <c r="Q133" t="str">
        <f>IF(P133="","",IFERROR(IF(AND(H133="W7",OR(F133="causal",F133="predictive")),IF(AND(OR(K133=1,K133="1"),OR(L133=1,L133="1"),OR(M133=1,M133="1")),"adequate","partial"),IF(AND(H133="W4",F133="predictive",OR(J133="P2",J133="P3",J133="P4")),IF(OR(U133=1,U133="1"),"adequate","partial"),INDEX(Fit_Matrix!$B:$B,MATCH(P133,Fit_Matrix!$A:$A,0)))),"CHECK KEY"))</f>
        <v/>
      </c>
      <c r="U133" s="10"/>
      <c r="V133" s="10"/>
      <c r="W133" s="10"/>
      <c r="X133" s="10"/>
      <c r="Y133" s="10"/>
      <c r="Z133" s="10"/>
      <c r="AA133" s="11" t="str">
        <f t="shared" si="5"/>
        <v/>
      </c>
    </row>
    <row r="134" spans="16:27" ht="15" customHeight="1">
      <c r="P134" t="str">
        <f t="shared" si="4"/>
        <v/>
      </c>
      <c r="Q134" t="str">
        <f>IF(P134="","",IFERROR(IF(AND(H134="W7",OR(F134="causal",F134="predictive")),IF(AND(OR(K134=1,K134="1"),OR(L134=1,L134="1"),OR(M134=1,M134="1")),"adequate","partial"),IF(AND(H134="W4",F134="predictive",OR(J134="P2",J134="P3",J134="P4")),IF(OR(U134=1,U134="1"),"adequate","partial"),INDEX(Fit_Matrix!$B:$B,MATCH(P134,Fit_Matrix!$A:$A,0)))),"CHECK KEY"))</f>
        <v/>
      </c>
      <c r="U134" s="10"/>
      <c r="V134" s="10"/>
      <c r="W134" s="10"/>
      <c r="X134" s="10"/>
      <c r="Y134" s="10"/>
      <c r="Z134" s="10"/>
      <c r="AA134" s="11" t="str">
        <f t="shared" si="5"/>
        <v/>
      </c>
    </row>
    <row r="135" spans="16:27" ht="15" customHeight="1">
      <c r="P135" t="str">
        <f t="shared" si="4"/>
        <v/>
      </c>
      <c r="Q135" t="str">
        <f>IF(P135="","",IFERROR(IF(AND(H135="W7",OR(F135="causal",F135="predictive")),IF(AND(OR(K135=1,K135="1"),OR(L135=1,L135="1"),OR(M135=1,M135="1")),"adequate","partial"),IF(AND(H135="W4",F135="predictive",OR(J135="P2",J135="P3",J135="P4")),IF(OR(U135=1,U135="1"),"adequate","partial"),INDEX(Fit_Matrix!$B:$B,MATCH(P135,Fit_Matrix!$A:$A,0)))),"CHECK KEY"))</f>
        <v/>
      </c>
      <c r="U135" s="10"/>
      <c r="V135" s="10"/>
      <c r="W135" s="10"/>
      <c r="X135" s="10"/>
      <c r="Y135" s="10"/>
      <c r="Z135" s="10"/>
      <c r="AA135" s="11" t="str">
        <f t="shared" si="5"/>
        <v/>
      </c>
    </row>
    <row r="136" spans="16:27" ht="15" customHeight="1">
      <c r="P136" t="str">
        <f t="shared" si="4"/>
        <v/>
      </c>
      <c r="Q136" t="str">
        <f>IF(P136="","",IFERROR(IF(AND(H136="W7",OR(F136="causal",F136="predictive")),IF(AND(OR(K136=1,K136="1"),OR(L136=1,L136="1"),OR(M136=1,M136="1")),"adequate","partial"),IF(AND(H136="W4",F136="predictive",OR(J136="P2",J136="P3",J136="P4")),IF(OR(U136=1,U136="1"),"adequate","partial"),INDEX(Fit_Matrix!$B:$B,MATCH(P136,Fit_Matrix!$A:$A,0)))),"CHECK KEY"))</f>
        <v/>
      </c>
      <c r="U136" s="10"/>
      <c r="V136" s="10"/>
      <c r="W136" s="10"/>
      <c r="X136" s="10"/>
      <c r="Y136" s="10"/>
      <c r="Z136" s="10"/>
      <c r="AA136" s="11" t="str">
        <f t="shared" si="5"/>
        <v/>
      </c>
    </row>
    <row r="137" spans="16:27" ht="15" customHeight="1">
      <c r="P137" t="str">
        <f t="shared" si="4"/>
        <v/>
      </c>
      <c r="Q137" t="str">
        <f>IF(P137="","",IFERROR(IF(AND(H137="W7",OR(F137="causal",F137="predictive")),IF(AND(OR(K137=1,K137="1"),OR(L137=1,L137="1"),OR(M137=1,M137="1")),"adequate","partial"),IF(AND(H137="W4",F137="predictive",OR(J137="P2",J137="P3",J137="P4")),IF(OR(U137=1,U137="1"),"adequate","partial"),INDEX(Fit_Matrix!$B:$B,MATCH(P137,Fit_Matrix!$A:$A,0)))),"CHECK KEY"))</f>
        <v/>
      </c>
      <c r="U137" s="10"/>
      <c r="V137" s="10"/>
      <c r="W137" s="10"/>
      <c r="X137" s="10"/>
      <c r="Y137" s="10"/>
      <c r="Z137" s="10"/>
      <c r="AA137" s="11" t="str">
        <f t="shared" si="5"/>
        <v/>
      </c>
    </row>
    <row r="138" spans="16:27" ht="15" customHeight="1">
      <c r="P138" t="str">
        <f t="shared" si="4"/>
        <v/>
      </c>
      <c r="Q138" t="str">
        <f>IF(P138="","",IFERROR(IF(AND(H138="W7",OR(F138="causal",F138="predictive")),IF(AND(OR(K138=1,K138="1"),OR(L138=1,L138="1"),OR(M138=1,M138="1")),"adequate","partial"),IF(AND(H138="W4",F138="predictive",OR(J138="P2",J138="P3",J138="P4")),IF(OR(U138=1,U138="1"),"adequate","partial"),INDEX(Fit_Matrix!$B:$B,MATCH(P138,Fit_Matrix!$A:$A,0)))),"CHECK KEY"))</f>
        <v/>
      </c>
      <c r="U138" s="10"/>
      <c r="V138" s="10"/>
      <c r="W138" s="10"/>
      <c r="X138" s="10"/>
      <c r="Y138" s="10"/>
      <c r="Z138" s="10"/>
      <c r="AA138" s="11" t="str">
        <f t="shared" si="5"/>
        <v/>
      </c>
    </row>
    <row r="139" spans="16:27" ht="15" customHeight="1">
      <c r="P139" t="str">
        <f t="shared" si="4"/>
        <v/>
      </c>
      <c r="Q139" t="str">
        <f>IF(P139="","",IFERROR(IF(AND(H139="W7",OR(F139="causal",F139="predictive")),IF(AND(OR(K139=1,K139="1"),OR(L139=1,L139="1"),OR(M139=1,M139="1")),"adequate","partial"),IF(AND(H139="W4",F139="predictive",OR(J139="P2",J139="P3",J139="P4")),IF(OR(U139=1,U139="1"),"adequate","partial"),INDEX(Fit_Matrix!$B:$B,MATCH(P139,Fit_Matrix!$A:$A,0)))),"CHECK KEY"))</f>
        <v/>
      </c>
      <c r="U139" s="10"/>
      <c r="V139" s="10"/>
      <c r="W139" s="10"/>
      <c r="X139" s="10"/>
      <c r="Y139" s="10"/>
      <c r="Z139" s="10"/>
      <c r="AA139" s="11" t="str">
        <f t="shared" si="5"/>
        <v/>
      </c>
    </row>
    <row r="140" spans="16:27" ht="15" customHeight="1">
      <c r="P140" t="str">
        <f t="shared" si="4"/>
        <v/>
      </c>
      <c r="Q140" t="str">
        <f>IF(P140="","",IFERROR(IF(AND(H140="W7",OR(F140="causal",F140="predictive")),IF(AND(OR(K140=1,K140="1"),OR(L140=1,L140="1"),OR(M140=1,M140="1")),"adequate","partial"),IF(AND(H140="W4",F140="predictive",OR(J140="P2",J140="P3",J140="P4")),IF(OR(U140=1,U140="1"),"adequate","partial"),INDEX(Fit_Matrix!$B:$B,MATCH(P140,Fit_Matrix!$A:$A,0)))),"CHECK KEY"))</f>
        <v/>
      </c>
      <c r="U140" s="10"/>
      <c r="V140" s="10"/>
      <c r="W140" s="10"/>
      <c r="X140" s="10"/>
      <c r="Y140" s="10"/>
      <c r="Z140" s="10"/>
      <c r="AA140" s="11" t="str">
        <f t="shared" si="5"/>
        <v/>
      </c>
    </row>
    <row r="141" spans="16:27" ht="15" customHeight="1">
      <c r="P141" t="str">
        <f t="shared" si="4"/>
        <v/>
      </c>
      <c r="Q141" t="str">
        <f>IF(P141="","",IFERROR(IF(AND(H141="W7",OR(F141="causal",F141="predictive")),IF(AND(OR(K141=1,K141="1"),OR(L141=1,L141="1"),OR(M141=1,M141="1")),"adequate","partial"),IF(AND(H141="W4",F141="predictive",OR(J141="P2",J141="P3",J141="P4")),IF(OR(U141=1,U141="1"),"adequate","partial"),INDEX(Fit_Matrix!$B:$B,MATCH(P141,Fit_Matrix!$A:$A,0)))),"CHECK KEY"))</f>
        <v/>
      </c>
      <c r="U141" s="10"/>
      <c r="V141" s="10"/>
      <c r="W141" s="10"/>
      <c r="X141" s="10"/>
      <c r="Y141" s="10"/>
      <c r="Z141" s="10"/>
      <c r="AA141" s="11" t="str">
        <f t="shared" si="5"/>
        <v/>
      </c>
    </row>
    <row r="142" spans="16:27" ht="15" customHeight="1">
      <c r="P142" t="str">
        <f t="shared" si="4"/>
        <v/>
      </c>
      <c r="Q142" t="str">
        <f>IF(P142="","",IFERROR(IF(AND(H142="W7",OR(F142="causal",F142="predictive")),IF(AND(OR(K142=1,K142="1"),OR(L142=1,L142="1"),OR(M142=1,M142="1")),"adequate","partial"),IF(AND(H142="W4",F142="predictive",OR(J142="P2",J142="P3",J142="P4")),IF(OR(U142=1,U142="1"),"adequate","partial"),INDEX(Fit_Matrix!$B:$B,MATCH(P142,Fit_Matrix!$A:$A,0)))),"CHECK KEY"))</f>
        <v/>
      </c>
      <c r="U142" s="10"/>
      <c r="V142" s="10"/>
      <c r="W142" s="10"/>
      <c r="X142" s="10"/>
      <c r="Y142" s="10"/>
      <c r="Z142" s="10"/>
      <c r="AA142" s="11" t="str">
        <f t="shared" si="5"/>
        <v/>
      </c>
    </row>
    <row r="143" spans="16:27" ht="15" customHeight="1">
      <c r="P143" t="str">
        <f t="shared" si="4"/>
        <v/>
      </c>
      <c r="Q143" t="str">
        <f>IF(P143="","",IFERROR(IF(AND(H143="W7",OR(F143="causal",F143="predictive")),IF(AND(OR(K143=1,K143="1"),OR(L143=1,L143="1"),OR(M143=1,M143="1")),"adequate","partial"),IF(AND(H143="W4",F143="predictive",OR(J143="P2",J143="P3",J143="P4")),IF(OR(U143=1,U143="1"),"adequate","partial"),INDEX(Fit_Matrix!$B:$B,MATCH(P143,Fit_Matrix!$A:$A,0)))),"CHECK KEY"))</f>
        <v/>
      </c>
      <c r="U143" s="10"/>
      <c r="V143" s="10"/>
      <c r="W143" s="10"/>
      <c r="X143" s="10"/>
      <c r="Y143" s="10"/>
      <c r="Z143" s="10"/>
      <c r="AA143" s="11" t="str">
        <f t="shared" si="5"/>
        <v/>
      </c>
    </row>
    <row r="144" spans="16:27" ht="15" customHeight="1">
      <c r="P144" t="str">
        <f t="shared" si="4"/>
        <v/>
      </c>
      <c r="Q144" t="str">
        <f>IF(P144="","",IFERROR(IF(AND(H144="W7",OR(F144="causal",F144="predictive")),IF(AND(OR(K144=1,K144="1"),OR(L144=1,L144="1"),OR(M144=1,M144="1")),"adequate","partial"),IF(AND(H144="W4",F144="predictive",OR(J144="P2",J144="P3",J144="P4")),IF(OR(U144=1,U144="1"),"adequate","partial"),INDEX(Fit_Matrix!$B:$B,MATCH(P144,Fit_Matrix!$A:$A,0)))),"CHECK KEY"))</f>
        <v/>
      </c>
      <c r="U144" s="10"/>
      <c r="V144" s="10"/>
      <c r="W144" s="10"/>
      <c r="X144" s="10"/>
      <c r="Y144" s="10"/>
      <c r="Z144" s="10"/>
      <c r="AA144" s="11" t="str">
        <f t="shared" si="5"/>
        <v/>
      </c>
    </row>
    <row r="145" spans="16:27" ht="15" customHeight="1">
      <c r="P145" t="str">
        <f t="shared" si="4"/>
        <v/>
      </c>
      <c r="Q145" t="str">
        <f>IF(P145="","",IFERROR(IF(AND(H145="W7",OR(F145="causal",F145="predictive")),IF(AND(OR(K145=1,K145="1"),OR(L145=1,L145="1"),OR(M145=1,M145="1")),"adequate","partial"),IF(AND(H145="W4",F145="predictive",OR(J145="P2",J145="P3",J145="P4")),IF(OR(U145=1,U145="1"),"adequate","partial"),INDEX(Fit_Matrix!$B:$B,MATCH(P145,Fit_Matrix!$A:$A,0)))),"CHECK KEY"))</f>
        <v/>
      </c>
      <c r="U145" s="10"/>
      <c r="V145" s="10"/>
      <c r="W145" s="10"/>
      <c r="X145" s="10"/>
      <c r="Y145" s="10"/>
      <c r="Z145" s="10"/>
      <c r="AA145" s="11" t="str">
        <f t="shared" si="5"/>
        <v/>
      </c>
    </row>
    <row r="146" spans="16:27" ht="15" customHeight="1">
      <c r="P146" t="str">
        <f t="shared" si="4"/>
        <v/>
      </c>
      <c r="Q146" t="str">
        <f>IF(P146="","",IFERROR(IF(AND(H146="W7",OR(F146="causal",F146="predictive")),IF(AND(OR(K146=1,K146="1"),OR(L146=1,L146="1"),OR(M146=1,M146="1")),"adequate","partial"),IF(AND(H146="W4",F146="predictive",OR(J146="P2",J146="P3",J146="P4")),IF(OR(U146=1,U146="1"),"adequate","partial"),INDEX(Fit_Matrix!$B:$B,MATCH(P146,Fit_Matrix!$A:$A,0)))),"CHECK KEY"))</f>
        <v/>
      </c>
      <c r="U146" s="10"/>
      <c r="V146" s="10"/>
      <c r="W146" s="10"/>
      <c r="X146" s="10"/>
      <c r="Y146" s="10"/>
      <c r="Z146" s="10"/>
      <c r="AA146" s="11" t="str">
        <f t="shared" si="5"/>
        <v/>
      </c>
    </row>
    <row r="147" spans="16:27" ht="15" customHeight="1">
      <c r="P147" t="str">
        <f t="shared" si="4"/>
        <v/>
      </c>
      <c r="Q147" t="str">
        <f>IF(P147="","",IFERROR(IF(AND(H147="W7",OR(F147="causal",F147="predictive")),IF(AND(OR(K147=1,K147="1"),OR(L147=1,L147="1"),OR(M147=1,M147="1")),"adequate","partial"),IF(AND(H147="W4",F147="predictive",OR(J147="P2",J147="P3",J147="P4")),IF(OR(U147=1,U147="1"),"adequate","partial"),INDEX(Fit_Matrix!$B:$B,MATCH(P147,Fit_Matrix!$A:$A,0)))),"CHECK KEY"))</f>
        <v/>
      </c>
      <c r="U147" s="10"/>
      <c r="V147" s="10"/>
      <c r="W147" s="10"/>
      <c r="X147" s="10"/>
      <c r="Y147" s="10"/>
      <c r="Z147" s="10"/>
      <c r="AA147" s="11" t="str">
        <f t="shared" si="5"/>
        <v/>
      </c>
    </row>
    <row r="148" spans="16:27" ht="15" customHeight="1">
      <c r="P148" t="str">
        <f t="shared" si="4"/>
        <v/>
      </c>
      <c r="Q148" t="str">
        <f>IF(P148="","",IFERROR(IF(AND(H148="W7",OR(F148="causal",F148="predictive")),IF(AND(OR(K148=1,K148="1"),OR(L148=1,L148="1"),OR(M148=1,M148="1")),"adequate","partial"),IF(AND(H148="W4",F148="predictive",OR(J148="P2",J148="P3",J148="P4")),IF(OR(U148=1,U148="1"),"adequate","partial"),INDEX(Fit_Matrix!$B:$B,MATCH(P148,Fit_Matrix!$A:$A,0)))),"CHECK KEY"))</f>
        <v/>
      </c>
      <c r="U148" s="10"/>
      <c r="V148" s="10"/>
      <c r="W148" s="10"/>
      <c r="X148" s="10"/>
      <c r="Y148" s="10"/>
      <c r="Z148" s="10"/>
      <c r="AA148" s="11" t="str">
        <f t="shared" si="5"/>
        <v/>
      </c>
    </row>
    <row r="149" spans="16:27" ht="15" customHeight="1">
      <c r="P149" t="str">
        <f t="shared" si="4"/>
        <v/>
      </c>
      <c r="Q149" t="str">
        <f>IF(P149="","",IFERROR(IF(AND(H149="W7",OR(F149="causal",F149="predictive")),IF(AND(OR(K149=1,K149="1"),OR(L149=1,L149="1"),OR(M149=1,M149="1")),"adequate","partial"),IF(AND(H149="W4",F149="predictive",OR(J149="P2",J149="P3",J149="P4")),IF(OR(U149=1,U149="1"),"adequate","partial"),INDEX(Fit_Matrix!$B:$B,MATCH(P149,Fit_Matrix!$A:$A,0)))),"CHECK KEY"))</f>
        <v/>
      </c>
      <c r="U149" s="10"/>
      <c r="V149" s="10"/>
      <c r="W149" s="10"/>
      <c r="X149" s="10"/>
      <c r="Y149" s="10"/>
      <c r="Z149" s="10"/>
      <c r="AA149" s="11" t="str">
        <f t="shared" si="5"/>
        <v/>
      </c>
    </row>
    <row r="150" spans="16:27" ht="15" customHeight="1">
      <c r="P150" t="str">
        <f t="shared" si="4"/>
        <v/>
      </c>
      <c r="Q150" t="str">
        <f>IF(P150="","",IFERROR(IF(AND(H150="W7",OR(F150="causal",F150="predictive")),IF(AND(OR(K150=1,K150="1"),OR(L150=1,L150="1"),OR(M150=1,M150="1")),"adequate","partial"),IF(AND(H150="W4",F150="predictive",OR(J150="P2",J150="P3",J150="P4")),IF(OR(U150=1,U150="1"),"adequate","partial"),INDEX(Fit_Matrix!$B:$B,MATCH(P150,Fit_Matrix!$A:$A,0)))),"CHECK KEY"))</f>
        <v/>
      </c>
      <c r="U150" s="10"/>
      <c r="V150" s="10"/>
      <c r="W150" s="10"/>
      <c r="X150" s="10"/>
      <c r="Y150" s="10"/>
      <c r="Z150" s="10"/>
      <c r="AA150" s="11" t="str">
        <f t="shared" si="5"/>
        <v/>
      </c>
    </row>
    <row r="151" spans="16:27" ht="15" customHeight="1">
      <c r="P151" t="str">
        <f t="shared" si="4"/>
        <v/>
      </c>
      <c r="Q151" t="str">
        <f>IF(P151="","",IFERROR(IF(AND(H151="W7",OR(F151="causal",F151="predictive")),IF(AND(OR(K151=1,K151="1"),OR(L151=1,L151="1"),OR(M151=1,M151="1")),"adequate","partial"),IF(AND(H151="W4",F151="predictive",OR(J151="P2",J151="P3",J151="P4")),IF(OR(U151=1,U151="1"),"adequate","partial"),INDEX(Fit_Matrix!$B:$B,MATCH(P151,Fit_Matrix!$A:$A,0)))),"CHECK KEY"))</f>
        <v/>
      </c>
      <c r="U151" s="10"/>
      <c r="V151" s="10"/>
      <c r="W151" s="10"/>
      <c r="X151" s="10"/>
      <c r="Y151" s="10"/>
      <c r="Z151" s="10"/>
      <c r="AA151" s="11" t="str">
        <f t="shared" si="5"/>
        <v/>
      </c>
    </row>
    <row r="152" spans="16:27" ht="15" customHeight="1">
      <c r="P152" t="str">
        <f t="shared" si="4"/>
        <v/>
      </c>
      <c r="Q152" t="str">
        <f>IF(P152="","",IFERROR(IF(AND(H152="W7",OR(F152="causal",F152="predictive")),IF(AND(OR(K152=1,K152="1"),OR(L152=1,L152="1"),OR(M152=1,M152="1")),"adequate","partial"),IF(AND(H152="W4",F152="predictive",OR(J152="P2",J152="P3",J152="P4")),IF(OR(U152=1,U152="1"),"adequate","partial"),INDEX(Fit_Matrix!$B:$B,MATCH(P152,Fit_Matrix!$A:$A,0)))),"CHECK KEY"))</f>
        <v/>
      </c>
      <c r="U152" s="10"/>
      <c r="V152" s="10"/>
      <c r="W152" s="10"/>
      <c r="X152" s="10"/>
      <c r="Y152" s="10"/>
      <c r="Z152" s="10"/>
      <c r="AA152" s="11" t="str">
        <f t="shared" si="5"/>
        <v/>
      </c>
    </row>
    <row r="153" spans="16:27" ht="15" customHeight="1">
      <c r="P153" t="str">
        <f t="shared" si="4"/>
        <v/>
      </c>
      <c r="Q153" t="str">
        <f>IF(P153="","",IFERROR(IF(AND(H153="W7",OR(F153="causal",F153="predictive")),IF(AND(OR(K153=1,K153="1"),OR(L153=1,L153="1"),OR(M153=1,M153="1")),"adequate","partial"),IF(AND(H153="W4",F153="predictive",OR(J153="P2",J153="P3",J153="P4")),IF(OR(U153=1,U153="1"),"adequate","partial"),INDEX(Fit_Matrix!$B:$B,MATCH(P153,Fit_Matrix!$A:$A,0)))),"CHECK KEY"))</f>
        <v/>
      </c>
      <c r="U153" s="10"/>
      <c r="V153" s="10"/>
      <c r="W153" s="10"/>
      <c r="X153" s="10"/>
      <c r="Y153" s="10"/>
      <c r="Z153" s="10"/>
      <c r="AA153" s="11" t="str">
        <f t="shared" si="5"/>
        <v/>
      </c>
    </row>
    <row r="154" spans="16:27" ht="15" customHeight="1">
      <c r="P154" t="str">
        <f t="shared" si="4"/>
        <v/>
      </c>
      <c r="Q154" t="str">
        <f>IF(P154="","",IFERROR(IF(AND(H154="W7",OR(F154="causal",F154="predictive")),IF(AND(OR(K154=1,K154="1"),OR(L154=1,L154="1"),OR(M154=1,M154="1")),"adequate","partial"),IF(AND(H154="W4",F154="predictive",OR(J154="P2",J154="P3",J154="P4")),IF(OR(U154=1,U154="1"),"adequate","partial"),INDEX(Fit_Matrix!$B:$B,MATCH(P154,Fit_Matrix!$A:$A,0)))),"CHECK KEY"))</f>
        <v/>
      </c>
      <c r="U154" s="10"/>
      <c r="V154" s="10"/>
      <c r="W154" s="10"/>
      <c r="X154" s="10"/>
      <c r="Y154" s="10"/>
      <c r="Z154" s="10"/>
      <c r="AA154" s="11" t="str">
        <f t="shared" si="5"/>
        <v/>
      </c>
    </row>
    <row r="155" spans="16:27" ht="15" customHeight="1">
      <c r="P155" t="str">
        <f t="shared" si="4"/>
        <v/>
      </c>
      <c r="Q155" t="str">
        <f>IF(P155="","",IFERROR(IF(AND(H155="W7",OR(F155="causal",F155="predictive")),IF(AND(OR(K155=1,K155="1"),OR(L155=1,L155="1"),OR(M155=1,M155="1")),"adequate","partial"),IF(AND(H155="W4",F155="predictive",OR(J155="P2",J155="P3",J155="P4")),IF(OR(U155=1,U155="1"),"adequate","partial"),INDEX(Fit_Matrix!$B:$B,MATCH(P155,Fit_Matrix!$A:$A,0)))),"CHECK KEY"))</f>
        <v/>
      </c>
      <c r="U155" s="10"/>
      <c r="V155" s="10"/>
      <c r="W155" s="10"/>
      <c r="X155" s="10"/>
      <c r="Y155" s="10"/>
      <c r="Z155" s="10"/>
      <c r="AA155" s="11" t="str">
        <f t="shared" si="5"/>
        <v/>
      </c>
    </row>
    <row r="156" spans="16:27" ht="15" customHeight="1">
      <c r="P156" t="str">
        <f t="shared" si="4"/>
        <v/>
      </c>
      <c r="Q156" t="str">
        <f>IF(P156="","",IFERROR(IF(AND(H156="W7",OR(F156="causal",F156="predictive")),IF(AND(OR(K156=1,K156="1"),OR(L156=1,L156="1"),OR(M156=1,M156="1")),"adequate","partial"),IF(AND(H156="W4",F156="predictive",OR(J156="P2",J156="P3",J156="P4")),IF(OR(U156=1,U156="1"),"adequate","partial"),INDEX(Fit_Matrix!$B:$B,MATCH(P156,Fit_Matrix!$A:$A,0)))),"CHECK KEY"))</f>
        <v/>
      </c>
      <c r="U156" s="10"/>
      <c r="V156" s="10"/>
      <c r="W156" s="10"/>
      <c r="X156" s="10"/>
      <c r="Y156" s="10"/>
      <c r="Z156" s="10"/>
      <c r="AA156" s="11" t="str">
        <f t="shared" si="5"/>
        <v/>
      </c>
    </row>
    <row r="157" spans="16:27" ht="15" customHeight="1">
      <c r="P157" t="str">
        <f t="shared" si="4"/>
        <v/>
      </c>
      <c r="Q157" t="str">
        <f>IF(P157="","",IFERROR(IF(AND(H157="W7",OR(F157="causal",F157="predictive")),IF(AND(OR(K157=1,K157="1"),OR(L157=1,L157="1"),OR(M157=1,M157="1")),"adequate","partial"),IF(AND(H157="W4",F157="predictive",OR(J157="P2",J157="P3",J157="P4")),IF(OR(U157=1,U157="1"),"adequate","partial"),INDEX(Fit_Matrix!$B:$B,MATCH(P157,Fit_Matrix!$A:$A,0)))),"CHECK KEY"))</f>
        <v/>
      </c>
      <c r="U157" s="10"/>
      <c r="V157" s="10"/>
      <c r="W157" s="10"/>
      <c r="X157" s="10"/>
      <c r="Y157" s="10"/>
      <c r="Z157" s="10"/>
      <c r="AA157" s="11" t="str">
        <f t="shared" si="5"/>
        <v/>
      </c>
    </row>
    <row r="158" spans="16:27" ht="15" customHeight="1">
      <c r="P158" t="str">
        <f t="shared" si="4"/>
        <v/>
      </c>
      <c r="Q158" t="str">
        <f>IF(P158="","",IFERROR(IF(AND(H158="W7",OR(F158="causal",F158="predictive")),IF(AND(OR(K158=1,K158="1"),OR(L158=1,L158="1"),OR(M158=1,M158="1")),"adequate","partial"),IF(AND(H158="W4",F158="predictive",OR(J158="P2",J158="P3",J158="P4")),IF(OR(U158=1,U158="1"),"adequate","partial"),INDEX(Fit_Matrix!$B:$B,MATCH(P158,Fit_Matrix!$A:$A,0)))),"CHECK KEY"))</f>
        <v/>
      </c>
      <c r="U158" s="10"/>
      <c r="V158" s="10"/>
      <c r="W158" s="10"/>
      <c r="X158" s="10"/>
      <c r="Y158" s="10"/>
      <c r="Z158" s="10"/>
      <c r="AA158" s="11" t="str">
        <f t="shared" si="5"/>
        <v/>
      </c>
    </row>
    <row r="159" spans="16:27" ht="15" customHeight="1">
      <c r="P159" t="str">
        <f t="shared" si="4"/>
        <v/>
      </c>
      <c r="Q159" t="str">
        <f>IF(P159="","",IFERROR(IF(AND(H159="W7",OR(F159="causal",F159="predictive")),IF(AND(OR(K159=1,K159="1"),OR(L159=1,L159="1"),OR(M159=1,M159="1")),"adequate","partial"),IF(AND(H159="W4",F159="predictive",OR(J159="P2",J159="P3",J159="P4")),IF(OR(U159=1,U159="1"),"adequate","partial"),INDEX(Fit_Matrix!$B:$B,MATCH(P159,Fit_Matrix!$A:$A,0)))),"CHECK KEY"))</f>
        <v/>
      </c>
      <c r="U159" s="10"/>
      <c r="V159" s="10"/>
      <c r="W159" s="10"/>
      <c r="X159" s="10"/>
      <c r="Y159" s="10"/>
      <c r="Z159" s="10"/>
      <c r="AA159" s="11" t="str">
        <f t="shared" si="5"/>
        <v/>
      </c>
    </row>
    <row r="160" spans="16:27" ht="15" customHeight="1">
      <c r="P160" t="str">
        <f t="shared" si="4"/>
        <v/>
      </c>
      <c r="Q160" t="str">
        <f>IF(P160="","",IFERROR(IF(AND(H160="W7",OR(F160="causal",F160="predictive")),IF(AND(OR(K160=1,K160="1"),OR(L160=1,L160="1"),OR(M160=1,M160="1")),"adequate","partial"),IF(AND(H160="W4",F160="predictive",OR(J160="P2",J160="P3",J160="P4")),IF(OR(U160=1,U160="1"),"adequate","partial"),INDEX(Fit_Matrix!$B:$B,MATCH(P160,Fit_Matrix!$A:$A,0)))),"CHECK KEY"))</f>
        <v/>
      </c>
      <c r="U160" s="10"/>
      <c r="V160" s="10"/>
      <c r="W160" s="10"/>
      <c r="X160" s="10"/>
      <c r="Y160" s="10"/>
      <c r="Z160" s="10"/>
      <c r="AA160" s="11" t="str">
        <f t="shared" si="5"/>
        <v/>
      </c>
    </row>
    <row r="161" spans="16:27" ht="15" customHeight="1">
      <c r="P161" t="str">
        <f t="shared" si="4"/>
        <v/>
      </c>
      <c r="Q161" t="str">
        <f>IF(P161="","",IFERROR(IF(AND(H161="W7",OR(F161="causal",F161="predictive")),IF(AND(OR(K161=1,K161="1"),OR(L161=1,L161="1"),OR(M161=1,M161="1")),"adequate","partial"),IF(AND(H161="W4",F161="predictive",OR(J161="P2",J161="P3",J161="P4")),IF(OR(U161=1,U161="1"),"adequate","partial"),INDEX(Fit_Matrix!$B:$B,MATCH(P161,Fit_Matrix!$A:$A,0)))),"CHECK KEY"))</f>
        <v/>
      </c>
      <c r="U161" s="10"/>
      <c r="V161" s="10"/>
      <c r="W161" s="10"/>
      <c r="X161" s="10"/>
      <c r="Y161" s="10"/>
      <c r="Z161" s="10"/>
      <c r="AA161" s="11" t="str">
        <f t="shared" si="5"/>
        <v/>
      </c>
    </row>
    <row r="162" spans="16:27" ht="15" customHeight="1">
      <c r="P162" t="str">
        <f t="shared" si="4"/>
        <v/>
      </c>
      <c r="Q162" t="str">
        <f>IF(P162="","",IFERROR(IF(AND(H162="W7",OR(F162="causal",F162="predictive")),IF(AND(OR(K162=1,K162="1"),OR(L162=1,L162="1"),OR(M162=1,M162="1")),"adequate","partial"),IF(AND(H162="W4",F162="predictive",OR(J162="P2",J162="P3",J162="P4")),IF(OR(U162=1,U162="1"),"adequate","partial"),INDEX(Fit_Matrix!$B:$B,MATCH(P162,Fit_Matrix!$A:$A,0)))),"CHECK KEY"))</f>
        <v/>
      </c>
      <c r="U162" s="10"/>
      <c r="V162" s="10"/>
      <c r="W162" s="10"/>
      <c r="X162" s="10"/>
      <c r="Y162" s="10"/>
      <c r="Z162" s="10"/>
      <c r="AA162" s="11" t="str">
        <f t="shared" si="5"/>
        <v/>
      </c>
    </row>
    <row r="163" spans="16:27" ht="15" customHeight="1">
      <c r="P163" t="str">
        <f t="shared" si="4"/>
        <v/>
      </c>
      <c r="Q163" t="str">
        <f>IF(P163="","",IFERROR(IF(AND(H163="W7",OR(F163="causal",F163="predictive")),IF(AND(OR(K163=1,K163="1"),OR(L163=1,L163="1"),OR(M163=1,M163="1")),"adequate","partial"),IF(AND(H163="W4",F163="predictive",OR(J163="P2",J163="P3",J163="P4")),IF(OR(U163=1,U163="1"),"adequate","partial"),INDEX(Fit_Matrix!$B:$B,MATCH(P163,Fit_Matrix!$A:$A,0)))),"CHECK KEY"))</f>
        <v/>
      </c>
      <c r="U163" s="10"/>
      <c r="V163" s="10"/>
      <c r="W163" s="10"/>
      <c r="X163" s="10"/>
      <c r="Y163" s="10"/>
      <c r="Z163" s="10"/>
      <c r="AA163" s="11" t="str">
        <f t="shared" si="5"/>
        <v/>
      </c>
    </row>
    <row r="164" spans="16:27" ht="15" customHeight="1">
      <c r="P164" t="str">
        <f t="shared" si="4"/>
        <v/>
      </c>
      <c r="Q164" t="str">
        <f>IF(P164="","",IFERROR(IF(AND(H164="W7",OR(F164="causal",F164="predictive")),IF(AND(OR(K164=1,K164="1"),OR(L164=1,L164="1"),OR(M164=1,M164="1")),"adequate","partial"),IF(AND(H164="W4",F164="predictive",OR(J164="P2",J164="P3",J164="P4")),IF(OR(U164=1,U164="1"),"adequate","partial"),INDEX(Fit_Matrix!$B:$B,MATCH(P164,Fit_Matrix!$A:$A,0)))),"CHECK KEY"))</f>
        <v/>
      </c>
      <c r="U164" s="10"/>
      <c r="V164" s="10"/>
      <c r="W164" s="10"/>
      <c r="X164" s="10"/>
      <c r="Y164" s="10"/>
      <c r="Z164" s="10"/>
      <c r="AA164" s="11" t="str">
        <f t="shared" si="5"/>
        <v/>
      </c>
    </row>
    <row r="165" spans="16:27" ht="15" customHeight="1">
      <c r="P165" t="str">
        <f t="shared" si="4"/>
        <v/>
      </c>
      <c r="Q165" t="str">
        <f>IF(P165="","",IFERROR(IF(AND(H165="W7",OR(F165="causal",F165="predictive")),IF(AND(OR(K165=1,K165="1"),OR(L165=1,L165="1"),OR(M165=1,M165="1")),"adequate","partial"),IF(AND(H165="W4",F165="predictive",OR(J165="P2",J165="P3",J165="P4")),IF(OR(U165=1,U165="1"),"adequate","partial"),INDEX(Fit_Matrix!$B:$B,MATCH(P165,Fit_Matrix!$A:$A,0)))),"CHECK KEY"))</f>
        <v/>
      </c>
      <c r="U165" s="10"/>
      <c r="V165" s="10"/>
      <c r="W165" s="10"/>
      <c r="X165" s="10"/>
      <c r="Y165" s="10"/>
      <c r="Z165" s="10"/>
      <c r="AA165" s="11" t="str">
        <f t="shared" si="5"/>
        <v/>
      </c>
    </row>
    <row r="166" spans="16:27" ht="15" customHeight="1">
      <c r="P166" t="str">
        <f t="shared" si="4"/>
        <v/>
      </c>
      <c r="Q166" t="str">
        <f>IF(P166="","",IFERROR(IF(AND(H166="W7",OR(F166="causal",F166="predictive")),IF(AND(OR(K166=1,K166="1"),OR(L166=1,L166="1"),OR(M166=1,M166="1")),"adequate","partial"),IF(AND(H166="W4",F166="predictive",OR(J166="P2",J166="P3",J166="P4")),IF(OR(U166=1,U166="1"),"adequate","partial"),INDEX(Fit_Matrix!$B:$B,MATCH(P166,Fit_Matrix!$A:$A,0)))),"CHECK KEY"))</f>
        <v/>
      </c>
      <c r="U166" s="10"/>
      <c r="V166" s="10"/>
      <c r="W166" s="10"/>
      <c r="X166" s="10"/>
      <c r="Y166" s="10"/>
      <c r="Z166" s="10"/>
      <c r="AA166" s="11" t="str">
        <f t="shared" si="5"/>
        <v/>
      </c>
    </row>
    <row r="167" spans="16:27" ht="15" customHeight="1">
      <c r="P167" t="str">
        <f t="shared" si="4"/>
        <v/>
      </c>
      <c r="Q167" t="str">
        <f>IF(P167="","",IFERROR(IF(AND(H167="W7",OR(F167="causal",F167="predictive")),IF(AND(OR(K167=1,K167="1"),OR(L167=1,L167="1"),OR(M167=1,M167="1")),"adequate","partial"),IF(AND(H167="W4",F167="predictive",OR(J167="P2",J167="P3",J167="P4")),IF(OR(U167=1,U167="1"),"adequate","partial"),INDEX(Fit_Matrix!$B:$B,MATCH(P167,Fit_Matrix!$A:$A,0)))),"CHECK KEY"))</f>
        <v/>
      </c>
      <c r="U167" s="10"/>
      <c r="V167" s="10"/>
      <c r="W167" s="10"/>
      <c r="X167" s="10"/>
      <c r="Y167" s="10"/>
      <c r="Z167" s="10"/>
      <c r="AA167" s="11" t="str">
        <f t="shared" si="5"/>
        <v/>
      </c>
    </row>
    <row r="168" spans="16:27" ht="15" customHeight="1">
      <c r="P168" t="str">
        <f t="shared" si="4"/>
        <v/>
      </c>
      <c r="Q168" t="str">
        <f>IF(P168="","",IFERROR(IF(AND(H168="W7",OR(F168="causal",F168="predictive")),IF(AND(OR(K168=1,K168="1"),OR(L168=1,L168="1"),OR(M168=1,M168="1")),"adequate","partial"),IF(AND(H168="W4",F168="predictive",OR(J168="P2",J168="P3",J168="P4")),IF(OR(U168=1,U168="1"),"adequate","partial"),INDEX(Fit_Matrix!$B:$B,MATCH(P168,Fit_Matrix!$A:$A,0)))),"CHECK KEY"))</f>
        <v/>
      </c>
      <c r="U168" s="10"/>
      <c r="V168" s="10"/>
      <c r="W168" s="10"/>
      <c r="X168" s="10"/>
      <c r="Y168" s="10"/>
      <c r="Z168" s="10"/>
      <c r="AA168" s="11" t="str">
        <f t="shared" si="5"/>
        <v/>
      </c>
    </row>
    <row r="169" spans="16:27" ht="15" customHeight="1">
      <c r="P169" t="str">
        <f t="shared" si="4"/>
        <v/>
      </c>
      <c r="Q169" t="str">
        <f>IF(P169="","",IFERROR(IF(AND(H169="W7",OR(F169="causal",F169="predictive")),IF(AND(OR(K169=1,K169="1"),OR(L169=1,L169="1"),OR(M169=1,M169="1")),"adequate","partial"),IF(AND(H169="W4",F169="predictive",OR(J169="P2",J169="P3",J169="P4")),IF(OR(U169=1,U169="1"),"adequate","partial"),INDEX(Fit_Matrix!$B:$B,MATCH(P169,Fit_Matrix!$A:$A,0)))),"CHECK KEY"))</f>
        <v/>
      </c>
      <c r="U169" s="10"/>
      <c r="V169" s="10"/>
      <c r="W169" s="10"/>
      <c r="X169" s="10"/>
      <c r="Y169" s="10"/>
      <c r="Z169" s="10"/>
      <c r="AA169" s="11" t="str">
        <f t="shared" si="5"/>
        <v/>
      </c>
    </row>
    <row r="170" spans="16:27" ht="15" customHeight="1">
      <c r="P170" t="str">
        <f t="shared" si="4"/>
        <v/>
      </c>
      <c r="Q170" t="str">
        <f>IF(P170="","",IFERROR(IF(AND(H170="W7",OR(F170="causal",F170="predictive")),IF(AND(OR(K170=1,K170="1"),OR(L170=1,L170="1"),OR(M170=1,M170="1")),"adequate","partial"),IF(AND(H170="W4",F170="predictive",OR(J170="P2",J170="P3",J170="P4")),IF(OR(U170=1,U170="1"),"adequate","partial"),INDEX(Fit_Matrix!$B:$B,MATCH(P170,Fit_Matrix!$A:$A,0)))),"CHECK KEY"))</f>
        <v/>
      </c>
      <c r="U170" s="10"/>
      <c r="V170" s="10"/>
      <c r="W170" s="10"/>
      <c r="X170" s="10"/>
      <c r="Y170" s="10"/>
      <c r="Z170" s="10"/>
      <c r="AA170" s="11" t="str">
        <f t="shared" si="5"/>
        <v/>
      </c>
    </row>
    <row r="171" spans="16:27" ht="15" customHeight="1">
      <c r="P171" t="str">
        <f t="shared" si="4"/>
        <v/>
      </c>
      <c r="Q171" t="str">
        <f>IF(P171="","",IFERROR(IF(AND(H171="W7",OR(F171="causal",F171="predictive")),IF(AND(OR(K171=1,K171="1"),OR(L171=1,L171="1"),OR(M171=1,M171="1")),"adequate","partial"),IF(AND(H171="W4",F171="predictive",OR(J171="P2",J171="P3",J171="P4")),IF(OR(U171=1,U171="1"),"adequate","partial"),INDEX(Fit_Matrix!$B:$B,MATCH(P171,Fit_Matrix!$A:$A,0)))),"CHECK KEY"))</f>
        <v/>
      </c>
      <c r="U171" s="10"/>
      <c r="V171" s="10"/>
      <c r="W171" s="10"/>
      <c r="X171" s="10"/>
      <c r="Y171" s="10"/>
      <c r="Z171" s="10"/>
      <c r="AA171" s="11" t="str">
        <f t="shared" si="5"/>
        <v/>
      </c>
    </row>
    <row r="172" spans="16:27" ht="15" customHeight="1">
      <c r="P172" t="str">
        <f t="shared" si="4"/>
        <v/>
      </c>
      <c r="Q172" t="str">
        <f>IF(P172="","",IFERROR(IF(AND(H172="W7",OR(F172="causal",F172="predictive")),IF(AND(OR(K172=1,K172="1"),OR(L172=1,L172="1"),OR(M172=1,M172="1")),"adequate","partial"),IF(AND(H172="W4",F172="predictive",OR(J172="P2",J172="P3",J172="P4")),IF(OR(U172=1,U172="1"),"adequate","partial"),INDEX(Fit_Matrix!$B:$B,MATCH(P172,Fit_Matrix!$A:$A,0)))),"CHECK KEY"))</f>
        <v/>
      </c>
      <c r="U172" s="10"/>
      <c r="V172" s="10"/>
      <c r="W172" s="10"/>
      <c r="X172" s="10"/>
      <c r="Y172" s="10"/>
      <c r="Z172" s="10"/>
      <c r="AA172" s="11" t="str">
        <f t="shared" si="5"/>
        <v/>
      </c>
    </row>
    <row r="173" spans="16:27" ht="15" customHeight="1">
      <c r="P173" t="str">
        <f t="shared" si="4"/>
        <v/>
      </c>
      <c r="Q173" t="str">
        <f>IF(P173="","",IFERROR(IF(AND(H173="W7",OR(F173="causal",F173="predictive")),IF(AND(OR(K173=1,K173="1"),OR(L173=1,L173="1"),OR(M173=1,M173="1")),"adequate","partial"),IF(AND(H173="W4",F173="predictive",OR(J173="P2",J173="P3",J173="P4")),IF(OR(U173=1,U173="1"),"adequate","partial"),INDEX(Fit_Matrix!$B:$B,MATCH(P173,Fit_Matrix!$A:$A,0)))),"CHECK KEY"))</f>
        <v/>
      </c>
      <c r="U173" s="10"/>
      <c r="V173" s="10"/>
      <c r="W173" s="10"/>
      <c r="X173" s="10"/>
      <c r="Y173" s="10"/>
      <c r="Z173" s="10"/>
      <c r="AA173" s="11" t="str">
        <f t="shared" si="5"/>
        <v/>
      </c>
    </row>
    <row r="174" spans="16:27" ht="15" customHeight="1">
      <c r="P174" t="str">
        <f t="shared" si="4"/>
        <v/>
      </c>
      <c r="Q174" t="str">
        <f>IF(P174="","",IFERROR(IF(AND(H174="W7",OR(F174="causal",F174="predictive")),IF(AND(OR(K174=1,K174="1"),OR(L174=1,L174="1"),OR(M174=1,M174="1")),"adequate","partial"),IF(AND(H174="W4",F174="predictive",OR(J174="P2",J174="P3",J174="P4")),IF(OR(U174=1,U174="1"),"adequate","partial"),INDEX(Fit_Matrix!$B:$B,MATCH(P174,Fit_Matrix!$A:$A,0)))),"CHECK KEY"))</f>
        <v/>
      </c>
      <c r="U174" s="10"/>
      <c r="V174" s="10"/>
      <c r="W174" s="10"/>
      <c r="X174" s="10"/>
      <c r="Y174" s="10"/>
      <c r="Z174" s="10"/>
      <c r="AA174" s="11" t="str">
        <f t="shared" si="5"/>
        <v/>
      </c>
    </row>
    <row r="175" spans="16:27" ht="15" customHeight="1">
      <c r="P175" t="str">
        <f t="shared" si="4"/>
        <v/>
      </c>
      <c r="Q175" t="str">
        <f>IF(P175="","",IFERROR(IF(AND(H175="W7",OR(F175="causal",F175="predictive")),IF(AND(OR(K175=1,K175="1"),OR(L175=1,L175="1"),OR(M175=1,M175="1")),"adequate","partial"),IF(AND(H175="W4",F175="predictive",OR(J175="P2",J175="P3",J175="P4")),IF(OR(U175=1,U175="1"),"adequate","partial"),INDEX(Fit_Matrix!$B:$B,MATCH(P175,Fit_Matrix!$A:$A,0)))),"CHECK KEY"))</f>
        <v/>
      </c>
      <c r="U175" s="10"/>
      <c r="V175" s="10"/>
      <c r="W175" s="10"/>
      <c r="X175" s="10"/>
      <c r="Y175" s="10"/>
      <c r="Z175" s="10"/>
      <c r="AA175" s="11" t="str">
        <f t="shared" si="5"/>
        <v/>
      </c>
    </row>
    <row r="176" spans="16:27" ht="15" customHeight="1">
      <c r="P176" t="str">
        <f t="shared" si="4"/>
        <v/>
      </c>
      <c r="Q176" t="str">
        <f>IF(P176="","",IFERROR(IF(AND(H176="W7",OR(F176="causal",F176="predictive")),IF(AND(OR(K176=1,K176="1"),OR(L176=1,L176="1"),OR(M176=1,M176="1")),"adequate","partial"),IF(AND(H176="W4",F176="predictive",OR(J176="P2",J176="P3",J176="P4")),IF(OR(U176=1,U176="1"),"adequate","partial"),INDEX(Fit_Matrix!$B:$B,MATCH(P176,Fit_Matrix!$A:$A,0)))),"CHECK KEY"))</f>
        <v/>
      </c>
      <c r="U176" s="10"/>
      <c r="V176" s="10"/>
      <c r="W176" s="10"/>
      <c r="X176" s="10"/>
      <c r="Y176" s="10"/>
      <c r="Z176" s="10"/>
      <c r="AA176" s="11" t="str">
        <f t="shared" si="5"/>
        <v/>
      </c>
    </row>
    <row r="177" spans="16:27" ht="15" customHeight="1">
      <c r="P177" t="str">
        <f t="shared" si="4"/>
        <v/>
      </c>
      <c r="Q177" t="str">
        <f>IF(P177="","",IFERROR(IF(AND(H177="W7",OR(F177="causal",F177="predictive")),IF(AND(OR(K177=1,K177="1"),OR(L177=1,L177="1"),OR(M177=1,M177="1")),"adequate","partial"),IF(AND(H177="W4",F177="predictive",OR(J177="P2",J177="P3",J177="P4")),IF(OR(U177=1,U177="1"),"adequate","partial"),INDEX(Fit_Matrix!$B:$B,MATCH(P177,Fit_Matrix!$A:$A,0)))),"CHECK KEY"))</f>
        <v/>
      </c>
      <c r="U177" s="10"/>
      <c r="V177" s="10"/>
      <c r="W177" s="10"/>
      <c r="X177" s="10"/>
      <c r="Y177" s="10"/>
      <c r="Z177" s="10"/>
      <c r="AA177" s="11" t="str">
        <f t="shared" si="5"/>
        <v/>
      </c>
    </row>
    <row r="178" spans="16:27" ht="15" customHeight="1">
      <c r="P178" t="str">
        <f t="shared" si="4"/>
        <v/>
      </c>
      <c r="Q178" t="str">
        <f>IF(P178="","",IFERROR(IF(AND(H178="W7",OR(F178="causal",F178="predictive")),IF(AND(OR(K178=1,K178="1"),OR(L178=1,L178="1"),OR(M178=1,M178="1")),"adequate","partial"),IF(AND(H178="W4",F178="predictive",OR(J178="P2",J178="P3",J178="P4")),IF(OR(U178=1,U178="1"),"adequate","partial"),INDEX(Fit_Matrix!$B:$B,MATCH(P178,Fit_Matrix!$A:$A,0)))),"CHECK KEY"))</f>
        <v/>
      </c>
      <c r="U178" s="10"/>
      <c r="V178" s="10"/>
      <c r="W178" s="10"/>
      <c r="X178" s="10"/>
      <c r="Y178" s="10"/>
      <c r="Z178" s="10"/>
      <c r="AA178" s="11" t="str">
        <f t="shared" si="5"/>
        <v/>
      </c>
    </row>
    <row r="179" spans="16:27" ht="15" customHeight="1">
      <c r="P179" t="str">
        <f t="shared" si="4"/>
        <v/>
      </c>
      <c r="Q179" t="str">
        <f>IF(P179="","",IFERROR(IF(AND(H179="W7",OR(F179="causal",F179="predictive")),IF(AND(OR(K179=1,K179="1"),OR(L179=1,L179="1"),OR(M179=1,M179="1")),"adequate","partial"),IF(AND(H179="W4",F179="predictive",OR(J179="P2",J179="P3",J179="P4")),IF(OR(U179=1,U179="1"),"adequate","partial"),INDEX(Fit_Matrix!$B:$B,MATCH(P179,Fit_Matrix!$A:$A,0)))),"CHECK KEY"))</f>
        <v/>
      </c>
      <c r="U179" s="10"/>
      <c r="V179" s="10"/>
      <c r="W179" s="10"/>
      <c r="X179" s="10"/>
      <c r="Y179" s="10"/>
      <c r="Z179" s="10"/>
      <c r="AA179" s="11" t="str">
        <f t="shared" si="5"/>
        <v/>
      </c>
    </row>
    <row r="180" spans="16:27" ht="15" customHeight="1">
      <c r="P180" t="str">
        <f t="shared" si="4"/>
        <v/>
      </c>
      <c r="Q180" t="str">
        <f>IF(P180="","",IFERROR(IF(AND(H180="W7",OR(F180="causal",F180="predictive")),IF(AND(OR(K180=1,K180="1"),OR(L180=1,L180="1"),OR(M180=1,M180="1")),"adequate","partial"),IF(AND(H180="W4",F180="predictive",OR(J180="P2",J180="P3",J180="P4")),IF(OR(U180=1,U180="1"),"adequate","partial"),INDEX(Fit_Matrix!$B:$B,MATCH(P180,Fit_Matrix!$A:$A,0)))),"CHECK KEY"))</f>
        <v/>
      </c>
      <c r="U180" s="10"/>
      <c r="V180" s="10"/>
      <c r="W180" s="10"/>
      <c r="X180" s="10"/>
      <c r="Y180" s="10"/>
      <c r="Z180" s="10"/>
      <c r="AA180" s="11" t="str">
        <f t="shared" si="5"/>
        <v/>
      </c>
    </row>
    <row r="181" spans="16:27" ht="15" customHeight="1">
      <c r="P181" t="str">
        <f t="shared" si="4"/>
        <v/>
      </c>
      <c r="Q181" t="str">
        <f>IF(P181="","",IFERROR(IF(AND(H181="W7",OR(F181="causal",F181="predictive")),IF(AND(OR(K181=1,K181="1"),OR(L181=1,L181="1"),OR(M181=1,M181="1")),"adequate","partial"),IF(AND(H181="W4",F181="predictive",OR(J181="P2",J181="P3",J181="P4")),IF(OR(U181=1,U181="1"),"adequate","partial"),INDEX(Fit_Matrix!$B:$B,MATCH(P181,Fit_Matrix!$A:$A,0)))),"CHECK KEY"))</f>
        <v/>
      </c>
      <c r="U181" s="10"/>
      <c r="V181" s="10"/>
      <c r="W181" s="10"/>
      <c r="X181" s="10"/>
      <c r="Y181" s="10"/>
      <c r="Z181" s="10"/>
      <c r="AA181" s="11" t="str">
        <f t="shared" si="5"/>
        <v/>
      </c>
    </row>
    <row r="182" spans="16:27" ht="15" customHeight="1">
      <c r="P182" t="str">
        <f t="shared" si="4"/>
        <v/>
      </c>
      <c r="Q182" t="str">
        <f>IF(P182="","",IFERROR(IF(AND(H182="W7",OR(F182="causal",F182="predictive")),IF(AND(OR(K182=1,K182="1"),OR(L182=1,L182="1"),OR(M182=1,M182="1")),"adequate","partial"),IF(AND(H182="W4",F182="predictive",OR(J182="P2",J182="P3",J182="P4")),IF(OR(U182=1,U182="1"),"adequate","partial"),INDEX(Fit_Matrix!$B:$B,MATCH(P182,Fit_Matrix!$A:$A,0)))),"CHECK KEY"))</f>
        <v/>
      </c>
      <c r="U182" s="10"/>
      <c r="V182" s="10"/>
      <c r="W182" s="10"/>
      <c r="X182" s="10"/>
      <c r="Y182" s="10"/>
      <c r="Z182" s="10"/>
      <c r="AA182" s="11" t="str">
        <f t="shared" si="5"/>
        <v/>
      </c>
    </row>
    <row r="183" spans="16:27" ht="15" customHeight="1">
      <c r="P183" t="str">
        <f t="shared" si="4"/>
        <v/>
      </c>
      <c r="Q183" t="str">
        <f>IF(P183="","",IFERROR(IF(AND(H183="W7",OR(F183="causal",F183="predictive")),IF(AND(OR(K183=1,K183="1"),OR(L183=1,L183="1"),OR(M183=1,M183="1")),"adequate","partial"),IF(AND(H183="W4",F183="predictive",OR(J183="P2",J183="P3",J183="P4")),IF(OR(U183=1,U183="1"),"adequate","partial"),INDEX(Fit_Matrix!$B:$B,MATCH(P183,Fit_Matrix!$A:$A,0)))),"CHECK KEY"))</f>
        <v/>
      </c>
      <c r="U183" s="10"/>
      <c r="V183" s="10"/>
      <c r="W183" s="10"/>
      <c r="X183" s="10"/>
      <c r="Y183" s="10"/>
      <c r="Z183" s="10"/>
      <c r="AA183" s="11" t="str">
        <f t="shared" si="5"/>
        <v/>
      </c>
    </row>
    <row r="184" spans="16:27" ht="15" customHeight="1">
      <c r="P184" t="str">
        <f t="shared" si="4"/>
        <v/>
      </c>
      <c r="Q184" t="str">
        <f>IF(P184="","",IFERROR(IF(AND(H184="W7",OR(F184="causal",F184="predictive")),IF(AND(OR(K184=1,K184="1"),OR(L184=1,L184="1"),OR(M184=1,M184="1")),"adequate","partial"),IF(AND(H184="W4",F184="predictive",OR(J184="P2",J184="P3",J184="P4")),IF(OR(U184=1,U184="1"),"adequate","partial"),INDEX(Fit_Matrix!$B:$B,MATCH(P184,Fit_Matrix!$A:$A,0)))),"CHECK KEY"))</f>
        <v/>
      </c>
      <c r="U184" s="10"/>
      <c r="V184" s="10"/>
      <c r="W184" s="10"/>
      <c r="X184" s="10"/>
      <c r="Y184" s="10"/>
      <c r="Z184" s="10"/>
      <c r="AA184" s="11" t="str">
        <f t="shared" si="5"/>
        <v/>
      </c>
    </row>
    <row r="185" spans="16:27" ht="15" customHeight="1">
      <c r="P185" t="str">
        <f t="shared" si="4"/>
        <v/>
      </c>
      <c r="Q185" t="str">
        <f>IF(P185="","",IFERROR(IF(AND(H185="W7",OR(F185="causal",F185="predictive")),IF(AND(OR(K185=1,K185="1"),OR(L185=1,L185="1"),OR(M185=1,M185="1")),"adequate","partial"),IF(AND(H185="W4",F185="predictive",OR(J185="P2",J185="P3",J185="P4")),IF(OR(U185=1,U185="1"),"adequate","partial"),INDEX(Fit_Matrix!$B:$B,MATCH(P185,Fit_Matrix!$A:$A,0)))),"CHECK KEY"))</f>
        <v/>
      </c>
      <c r="U185" s="10"/>
      <c r="V185" s="10"/>
      <c r="W185" s="10"/>
      <c r="X185" s="10"/>
      <c r="Y185" s="10"/>
      <c r="Z185" s="10"/>
      <c r="AA185" s="11" t="str">
        <f t="shared" si="5"/>
        <v/>
      </c>
    </row>
    <row r="186" spans="16:27" ht="15" customHeight="1">
      <c r="P186" t="str">
        <f t="shared" si="4"/>
        <v/>
      </c>
      <c r="Q186" t="str">
        <f>IF(P186="","",IFERROR(IF(AND(H186="W7",OR(F186="causal",F186="predictive")),IF(AND(OR(K186=1,K186="1"),OR(L186=1,L186="1"),OR(M186=1,M186="1")),"adequate","partial"),IF(AND(H186="W4",F186="predictive",OR(J186="P2",J186="P3",J186="P4")),IF(OR(U186=1,U186="1"),"adequate","partial"),INDEX(Fit_Matrix!$B:$B,MATCH(P186,Fit_Matrix!$A:$A,0)))),"CHECK KEY"))</f>
        <v/>
      </c>
      <c r="U186" s="10"/>
      <c r="V186" s="10"/>
      <c r="W186" s="10"/>
      <c r="X186" s="10"/>
      <c r="Y186" s="10"/>
      <c r="Z186" s="10"/>
      <c r="AA186" s="11" t="str">
        <f t="shared" si="5"/>
        <v/>
      </c>
    </row>
    <row r="187" spans="16:27" ht="15" customHeight="1">
      <c r="P187" t="str">
        <f t="shared" si="4"/>
        <v/>
      </c>
      <c r="Q187" t="str">
        <f>IF(P187="","",IFERROR(IF(AND(H187="W7",OR(F187="causal",F187="predictive")),IF(AND(OR(K187=1,K187="1"),OR(L187=1,L187="1"),OR(M187=1,M187="1")),"adequate","partial"),IF(AND(H187="W4",F187="predictive",OR(J187="P2",J187="P3",J187="P4")),IF(OR(U187=1,U187="1"),"adequate","partial"),INDEX(Fit_Matrix!$B:$B,MATCH(P187,Fit_Matrix!$A:$A,0)))),"CHECK KEY"))</f>
        <v/>
      </c>
      <c r="U187" s="10"/>
      <c r="V187" s="10"/>
      <c r="W187" s="10"/>
      <c r="X187" s="10"/>
      <c r="Y187" s="10"/>
      <c r="Z187" s="10"/>
      <c r="AA187" s="11" t="str">
        <f t="shared" si="5"/>
        <v/>
      </c>
    </row>
    <row r="188" spans="16:27" ht="15" customHeight="1">
      <c r="P188" t="str">
        <f t="shared" si="4"/>
        <v/>
      </c>
      <c r="Q188" t="str">
        <f>IF(P188="","",IFERROR(IF(AND(H188="W7",OR(F188="causal",F188="predictive")),IF(AND(OR(K188=1,K188="1"),OR(L188=1,L188="1"),OR(M188=1,M188="1")),"adequate","partial"),IF(AND(H188="W4",F188="predictive",OR(J188="P2",J188="P3",J188="P4")),IF(OR(U188=1,U188="1"),"adequate","partial"),INDEX(Fit_Matrix!$B:$B,MATCH(P188,Fit_Matrix!$A:$A,0)))),"CHECK KEY"))</f>
        <v/>
      </c>
      <c r="U188" s="10"/>
      <c r="V188" s="10"/>
      <c r="W188" s="10"/>
      <c r="X188" s="10"/>
      <c r="Y188" s="10"/>
      <c r="Z188" s="10"/>
      <c r="AA188" s="11" t="str">
        <f t="shared" si="5"/>
        <v/>
      </c>
    </row>
    <row r="189" spans="16:27" ht="15" customHeight="1">
      <c r="P189" t="str">
        <f t="shared" si="4"/>
        <v/>
      </c>
      <c r="Q189" t="str">
        <f>IF(P189="","",IFERROR(IF(AND(H189="W7",OR(F189="causal",F189="predictive")),IF(AND(OR(K189=1,K189="1"),OR(L189=1,L189="1"),OR(M189=1,M189="1")),"adequate","partial"),IF(AND(H189="W4",F189="predictive",OR(J189="P2",J189="P3",J189="P4")),IF(OR(U189=1,U189="1"),"adequate","partial"),INDEX(Fit_Matrix!$B:$B,MATCH(P189,Fit_Matrix!$A:$A,0)))),"CHECK KEY"))</f>
        <v/>
      </c>
      <c r="U189" s="10"/>
      <c r="V189" s="10"/>
      <c r="W189" s="10"/>
      <c r="X189" s="10"/>
      <c r="Y189" s="10"/>
      <c r="Z189" s="10"/>
      <c r="AA189" s="11" t="str">
        <f t="shared" si="5"/>
        <v/>
      </c>
    </row>
    <row r="190" spans="16:27" ht="15" customHeight="1">
      <c r="P190" t="str">
        <f t="shared" si="4"/>
        <v/>
      </c>
      <c r="Q190" t="str">
        <f>IF(P190="","",IFERROR(IF(AND(H190="W7",OR(F190="causal",F190="predictive")),IF(AND(OR(K190=1,K190="1"),OR(L190=1,L190="1"),OR(M190=1,M190="1")),"adequate","partial"),IF(AND(H190="W4",F190="predictive",OR(J190="P2",J190="P3",J190="P4")),IF(OR(U190=1,U190="1"),"adequate","partial"),INDEX(Fit_Matrix!$B:$B,MATCH(P190,Fit_Matrix!$A:$A,0)))),"CHECK KEY"))</f>
        <v/>
      </c>
      <c r="U190" s="10"/>
      <c r="V190" s="10"/>
      <c r="W190" s="10"/>
      <c r="X190" s="10"/>
      <c r="Y190" s="10"/>
      <c r="Z190" s="10"/>
      <c r="AA190" s="11" t="str">
        <f t="shared" si="5"/>
        <v/>
      </c>
    </row>
    <row r="191" spans="16:27" ht="15" customHeight="1">
      <c r="P191" t="str">
        <f t="shared" si="4"/>
        <v/>
      </c>
      <c r="Q191" t="str">
        <f>IF(P191="","",IFERROR(IF(AND(H191="W7",OR(F191="causal",F191="predictive")),IF(AND(OR(K191=1,K191="1"),OR(L191=1,L191="1"),OR(M191=1,M191="1")),"adequate","partial"),IF(AND(H191="W4",F191="predictive",OR(J191="P2",J191="P3",J191="P4")),IF(OR(U191=1,U191="1"),"adequate","partial"),INDEX(Fit_Matrix!$B:$B,MATCH(P191,Fit_Matrix!$A:$A,0)))),"CHECK KEY"))</f>
        <v/>
      </c>
      <c r="U191" s="10"/>
      <c r="V191" s="10"/>
      <c r="W191" s="10"/>
      <c r="X191" s="10"/>
      <c r="Y191" s="10"/>
      <c r="Z191" s="10"/>
      <c r="AA191" s="11" t="str">
        <f t="shared" si="5"/>
        <v/>
      </c>
    </row>
    <row r="192" spans="16:27" ht="15" customHeight="1">
      <c r="P192" t="str">
        <f t="shared" si="4"/>
        <v/>
      </c>
      <c r="Q192" t="str">
        <f>IF(P192="","",IFERROR(IF(AND(H192="W7",OR(F192="causal",F192="predictive")),IF(AND(OR(K192=1,K192="1"),OR(L192=1,L192="1"),OR(M192=1,M192="1")),"adequate","partial"),IF(AND(H192="W4",F192="predictive",OR(J192="P2",J192="P3",J192="P4")),IF(OR(U192=1,U192="1"),"adequate","partial"),INDEX(Fit_Matrix!$B:$B,MATCH(P192,Fit_Matrix!$A:$A,0)))),"CHECK KEY"))</f>
        <v/>
      </c>
      <c r="U192" s="10"/>
      <c r="V192" s="10"/>
      <c r="W192" s="10"/>
      <c r="X192" s="10"/>
      <c r="Y192" s="10"/>
      <c r="Z192" s="10"/>
      <c r="AA192" s="11" t="str">
        <f t="shared" si="5"/>
        <v/>
      </c>
    </row>
    <row r="193" spans="16:27" ht="15" customHeight="1">
      <c r="P193" t="str">
        <f t="shared" si="4"/>
        <v/>
      </c>
      <c r="Q193" t="str">
        <f>IF(P193="","",IFERROR(IF(AND(H193="W7",OR(F193="causal",F193="predictive")),IF(AND(OR(K193=1,K193="1"),OR(L193=1,L193="1"),OR(M193=1,M193="1")),"adequate","partial"),IF(AND(H193="W4",F193="predictive",OR(J193="P2",J193="P3",J193="P4")),IF(OR(U193=1,U193="1"),"adequate","partial"),INDEX(Fit_Matrix!$B:$B,MATCH(P193,Fit_Matrix!$A:$A,0)))),"CHECK KEY"))</f>
        <v/>
      </c>
      <c r="U193" s="10"/>
      <c r="V193" s="10"/>
      <c r="W193" s="10"/>
      <c r="X193" s="10"/>
      <c r="Y193" s="10"/>
      <c r="Z193" s="10"/>
      <c r="AA193" s="11" t="str">
        <f t="shared" si="5"/>
        <v/>
      </c>
    </row>
    <row r="194" spans="16:27" ht="15" customHeight="1">
      <c r="P194" t="str">
        <f t="shared" ref="P194:P257" si="6">IF(OR(F194="",H194="",J194=""),"",J194&amp;"|"&amp;F194&amp;"|"&amp;IF(H194="W3","W3_"&amp;IF(I194="","unknown",I194),H194))</f>
        <v/>
      </c>
      <c r="Q194" t="str">
        <f>IF(P194="","",IFERROR(IF(AND(H194="W7",OR(F194="causal",F194="predictive")),IF(AND(OR(K194=1,K194="1"),OR(L194=1,L194="1"),OR(M194=1,M194="1")),"adequate","partial"),IF(AND(H194="W4",F194="predictive",OR(J194="P2",J194="P3",J194="P4")),IF(OR(U194=1,U194="1"),"adequate","partial"),INDEX(Fit_Matrix!$B:$B,MATCH(P194,Fit_Matrix!$A:$A,0)))),"CHECK KEY"))</f>
        <v/>
      </c>
      <c r="U194" s="10"/>
      <c r="V194" s="10"/>
      <c r="W194" s="10"/>
      <c r="X194" s="10"/>
      <c r="Y194" s="10"/>
      <c r="Z194" s="10"/>
      <c r="AA194" s="11" t="str">
        <f t="shared" ref="AA194:AA257" si="7">IF(A194="","",IF(AND(J194="P4",F194="causal"),"P4-CAUSAL",""))</f>
        <v/>
      </c>
    </row>
    <row r="195" spans="16:27" ht="15" customHeight="1">
      <c r="P195" t="str">
        <f t="shared" si="6"/>
        <v/>
      </c>
      <c r="Q195" t="str">
        <f>IF(P195="","",IFERROR(IF(AND(H195="W7",OR(F195="causal",F195="predictive")),IF(AND(OR(K195=1,K195="1"),OR(L195=1,L195="1"),OR(M195=1,M195="1")),"adequate","partial"),IF(AND(H195="W4",F195="predictive",OR(J195="P2",J195="P3",J195="P4")),IF(OR(U195=1,U195="1"),"adequate","partial"),INDEX(Fit_Matrix!$B:$B,MATCH(P195,Fit_Matrix!$A:$A,0)))),"CHECK KEY"))</f>
        <v/>
      </c>
      <c r="U195" s="10"/>
      <c r="V195" s="10"/>
      <c r="W195" s="10"/>
      <c r="X195" s="10"/>
      <c r="Y195" s="10"/>
      <c r="Z195" s="10"/>
      <c r="AA195" s="11" t="str">
        <f t="shared" si="7"/>
        <v/>
      </c>
    </row>
    <row r="196" spans="16:27" ht="15" customHeight="1">
      <c r="P196" t="str">
        <f t="shared" si="6"/>
        <v/>
      </c>
      <c r="Q196" t="str">
        <f>IF(P196="","",IFERROR(IF(AND(H196="W7",OR(F196="causal",F196="predictive")),IF(AND(OR(K196=1,K196="1"),OR(L196=1,L196="1"),OR(M196=1,M196="1")),"adequate","partial"),IF(AND(H196="W4",F196="predictive",OR(J196="P2",J196="P3",J196="P4")),IF(OR(U196=1,U196="1"),"adequate","partial"),INDEX(Fit_Matrix!$B:$B,MATCH(P196,Fit_Matrix!$A:$A,0)))),"CHECK KEY"))</f>
        <v/>
      </c>
      <c r="U196" s="10"/>
      <c r="V196" s="10"/>
      <c r="W196" s="10"/>
      <c r="X196" s="10"/>
      <c r="Y196" s="10"/>
      <c r="Z196" s="10"/>
      <c r="AA196" s="11" t="str">
        <f t="shared" si="7"/>
        <v/>
      </c>
    </row>
    <row r="197" spans="16:27" ht="15" customHeight="1">
      <c r="P197" t="str">
        <f t="shared" si="6"/>
        <v/>
      </c>
      <c r="Q197" t="str">
        <f>IF(P197="","",IFERROR(IF(AND(H197="W7",OR(F197="causal",F197="predictive")),IF(AND(OR(K197=1,K197="1"),OR(L197=1,L197="1"),OR(M197=1,M197="1")),"adequate","partial"),IF(AND(H197="W4",F197="predictive",OR(J197="P2",J197="P3",J197="P4")),IF(OR(U197=1,U197="1"),"adequate","partial"),INDEX(Fit_Matrix!$B:$B,MATCH(P197,Fit_Matrix!$A:$A,0)))),"CHECK KEY"))</f>
        <v/>
      </c>
      <c r="U197" s="10"/>
      <c r="V197" s="10"/>
      <c r="W197" s="10"/>
      <c r="X197" s="10"/>
      <c r="Y197" s="10"/>
      <c r="Z197" s="10"/>
      <c r="AA197" s="11" t="str">
        <f t="shared" si="7"/>
        <v/>
      </c>
    </row>
    <row r="198" spans="16:27" ht="15" customHeight="1">
      <c r="P198" t="str">
        <f t="shared" si="6"/>
        <v/>
      </c>
      <c r="Q198" t="str">
        <f>IF(P198="","",IFERROR(IF(AND(H198="W7",OR(F198="causal",F198="predictive")),IF(AND(OR(K198=1,K198="1"),OR(L198=1,L198="1"),OR(M198=1,M198="1")),"adequate","partial"),IF(AND(H198="W4",F198="predictive",OR(J198="P2",J198="P3",J198="P4")),IF(OR(U198=1,U198="1"),"adequate","partial"),INDEX(Fit_Matrix!$B:$B,MATCH(P198,Fit_Matrix!$A:$A,0)))),"CHECK KEY"))</f>
        <v/>
      </c>
      <c r="U198" s="10"/>
      <c r="V198" s="10"/>
      <c r="W198" s="10"/>
      <c r="X198" s="10"/>
      <c r="Y198" s="10"/>
      <c r="Z198" s="10"/>
      <c r="AA198" s="11" t="str">
        <f t="shared" si="7"/>
        <v/>
      </c>
    </row>
    <row r="199" spans="16:27" ht="15" customHeight="1">
      <c r="P199" t="str">
        <f t="shared" si="6"/>
        <v/>
      </c>
      <c r="Q199" t="str">
        <f>IF(P199="","",IFERROR(IF(AND(H199="W7",OR(F199="causal",F199="predictive")),IF(AND(OR(K199=1,K199="1"),OR(L199=1,L199="1"),OR(M199=1,M199="1")),"adequate","partial"),IF(AND(H199="W4",F199="predictive",OR(J199="P2",J199="P3",J199="P4")),IF(OR(U199=1,U199="1"),"adequate","partial"),INDEX(Fit_Matrix!$B:$B,MATCH(P199,Fit_Matrix!$A:$A,0)))),"CHECK KEY"))</f>
        <v/>
      </c>
      <c r="U199" s="10"/>
      <c r="V199" s="10"/>
      <c r="W199" s="10"/>
      <c r="X199" s="10"/>
      <c r="Y199" s="10"/>
      <c r="Z199" s="10"/>
      <c r="AA199" s="11" t="str">
        <f t="shared" si="7"/>
        <v/>
      </c>
    </row>
    <row r="200" spans="16:27" ht="15" customHeight="1">
      <c r="P200" t="str">
        <f t="shared" si="6"/>
        <v/>
      </c>
      <c r="Q200" t="str">
        <f>IF(P200="","",IFERROR(IF(AND(H200="W7",OR(F200="causal",F200="predictive")),IF(AND(OR(K200=1,K200="1"),OR(L200=1,L200="1"),OR(M200=1,M200="1")),"adequate","partial"),IF(AND(H200="W4",F200="predictive",OR(J200="P2",J200="P3",J200="P4")),IF(OR(U200=1,U200="1"),"adequate","partial"),INDEX(Fit_Matrix!$B:$B,MATCH(P200,Fit_Matrix!$A:$A,0)))),"CHECK KEY"))</f>
        <v/>
      </c>
      <c r="U200" s="10"/>
      <c r="V200" s="10"/>
      <c r="W200" s="10"/>
      <c r="X200" s="10"/>
      <c r="Y200" s="10"/>
      <c r="Z200" s="10"/>
      <c r="AA200" s="11" t="str">
        <f t="shared" si="7"/>
        <v/>
      </c>
    </row>
    <row r="201" spans="16:27" ht="15" customHeight="1">
      <c r="P201" t="str">
        <f t="shared" si="6"/>
        <v/>
      </c>
      <c r="Q201" t="str">
        <f>IF(P201="","",IFERROR(IF(AND(H201="W7",OR(F201="causal",F201="predictive")),IF(AND(OR(K201=1,K201="1"),OR(L201=1,L201="1"),OR(M201=1,M201="1")),"adequate","partial"),IF(AND(H201="W4",F201="predictive",OR(J201="P2",J201="P3",J201="P4")),IF(OR(U201=1,U201="1"),"adequate","partial"),INDEX(Fit_Matrix!$B:$B,MATCH(P201,Fit_Matrix!$A:$A,0)))),"CHECK KEY"))</f>
        <v/>
      </c>
      <c r="U201" s="10"/>
      <c r="V201" s="10"/>
      <c r="W201" s="10"/>
      <c r="X201" s="10"/>
      <c r="Y201" s="10"/>
      <c r="Z201" s="10"/>
      <c r="AA201" s="11" t="str">
        <f t="shared" si="7"/>
        <v/>
      </c>
    </row>
    <row r="202" spans="16:27" ht="15" customHeight="1">
      <c r="P202" t="str">
        <f t="shared" si="6"/>
        <v/>
      </c>
      <c r="Q202" t="str">
        <f>IF(P202="","",IFERROR(IF(AND(H202="W7",OR(F202="causal",F202="predictive")),IF(AND(OR(K202=1,K202="1"),OR(L202=1,L202="1"),OR(M202=1,M202="1")),"adequate","partial"),IF(AND(H202="W4",F202="predictive",OR(J202="P2",J202="P3",J202="P4")),IF(OR(U202=1,U202="1"),"adequate","partial"),INDEX(Fit_Matrix!$B:$B,MATCH(P202,Fit_Matrix!$A:$A,0)))),"CHECK KEY"))</f>
        <v/>
      </c>
      <c r="U202" s="10"/>
      <c r="V202" s="10"/>
      <c r="W202" s="10"/>
      <c r="X202" s="10"/>
      <c r="Y202" s="10"/>
      <c r="Z202" s="10"/>
      <c r="AA202" s="11" t="str">
        <f t="shared" si="7"/>
        <v/>
      </c>
    </row>
    <row r="203" spans="16:27" ht="15" customHeight="1">
      <c r="P203" t="str">
        <f t="shared" si="6"/>
        <v/>
      </c>
      <c r="Q203" t="str">
        <f>IF(P203="","",IFERROR(IF(AND(H203="W7",OR(F203="causal",F203="predictive")),IF(AND(OR(K203=1,K203="1"),OR(L203=1,L203="1"),OR(M203=1,M203="1")),"adequate","partial"),IF(AND(H203="W4",F203="predictive",OR(J203="P2",J203="P3",J203="P4")),IF(OR(U203=1,U203="1"),"adequate","partial"),INDEX(Fit_Matrix!$B:$B,MATCH(P203,Fit_Matrix!$A:$A,0)))),"CHECK KEY"))</f>
        <v/>
      </c>
      <c r="U203" s="10"/>
      <c r="V203" s="10"/>
      <c r="W203" s="10"/>
      <c r="X203" s="10"/>
      <c r="Y203" s="10"/>
      <c r="Z203" s="10"/>
      <c r="AA203" s="11" t="str">
        <f t="shared" si="7"/>
        <v/>
      </c>
    </row>
    <row r="204" spans="16:27" ht="15" customHeight="1">
      <c r="P204" t="str">
        <f t="shared" si="6"/>
        <v/>
      </c>
      <c r="Q204" t="str">
        <f>IF(P204="","",IFERROR(IF(AND(H204="W7",OR(F204="causal",F204="predictive")),IF(AND(OR(K204=1,K204="1"),OR(L204=1,L204="1"),OR(M204=1,M204="1")),"adequate","partial"),IF(AND(H204="W4",F204="predictive",OR(J204="P2",J204="P3",J204="P4")),IF(OR(U204=1,U204="1"),"adequate","partial"),INDEX(Fit_Matrix!$B:$B,MATCH(P204,Fit_Matrix!$A:$A,0)))),"CHECK KEY"))</f>
        <v/>
      </c>
      <c r="U204" s="10"/>
      <c r="V204" s="10"/>
      <c r="W204" s="10"/>
      <c r="X204" s="10"/>
      <c r="Y204" s="10"/>
      <c r="Z204" s="10"/>
      <c r="AA204" s="11" t="str">
        <f t="shared" si="7"/>
        <v/>
      </c>
    </row>
    <row r="205" spans="16:27" ht="15" customHeight="1">
      <c r="P205" t="str">
        <f t="shared" si="6"/>
        <v/>
      </c>
      <c r="Q205" t="str">
        <f>IF(P205="","",IFERROR(IF(AND(H205="W7",OR(F205="causal",F205="predictive")),IF(AND(OR(K205=1,K205="1"),OR(L205=1,L205="1"),OR(M205=1,M205="1")),"adequate","partial"),IF(AND(H205="W4",F205="predictive",OR(J205="P2",J205="P3",J205="P4")),IF(OR(U205=1,U205="1"),"adequate","partial"),INDEX(Fit_Matrix!$B:$B,MATCH(P205,Fit_Matrix!$A:$A,0)))),"CHECK KEY"))</f>
        <v/>
      </c>
      <c r="U205" s="10"/>
      <c r="V205" s="10"/>
      <c r="W205" s="10"/>
      <c r="X205" s="10"/>
      <c r="Y205" s="10"/>
      <c r="Z205" s="10"/>
      <c r="AA205" s="11" t="str">
        <f t="shared" si="7"/>
        <v/>
      </c>
    </row>
    <row r="206" spans="16:27" ht="15" customHeight="1">
      <c r="P206" t="str">
        <f t="shared" si="6"/>
        <v/>
      </c>
      <c r="Q206" t="str">
        <f>IF(P206="","",IFERROR(IF(AND(H206="W7",OR(F206="causal",F206="predictive")),IF(AND(OR(K206=1,K206="1"),OR(L206=1,L206="1"),OR(M206=1,M206="1")),"adequate","partial"),IF(AND(H206="W4",F206="predictive",OR(J206="P2",J206="P3",J206="P4")),IF(OR(U206=1,U206="1"),"adequate","partial"),INDEX(Fit_Matrix!$B:$B,MATCH(P206,Fit_Matrix!$A:$A,0)))),"CHECK KEY"))</f>
        <v/>
      </c>
      <c r="U206" s="10"/>
      <c r="V206" s="10"/>
      <c r="W206" s="10"/>
      <c r="X206" s="10"/>
      <c r="Y206" s="10"/>
      <c r="Z206" s="10"/>
      <c r="AA206" s="11" t="str">
        <f t="shared" si="7"/>
        <v/>
      </c>
    </row>
    <row r="207" spans="16:27" ht="15" customHeight="1">
      <c r="P207" t="str">
        <f t="shared" si="6"/>
        <v/>
      </c>
      <c r="Q207" t="str">
        <f>IF(P207="","",IFERROR(IF(AND(H207="W7",OR(F207="causal",F207="predictive")),IF(AND(OR(K207=1,K207="1"),OR(L207=1,L207="1"),OR(M207=1,M207="1")),"adequate","partial"),IF(AND(H207="W4",F207="predictive",OR(J207="P2",J207="P3",J207="P4")),IF(OR(U207=1,U207="1"),"adequate","partial"),INDEX(Fit_Matrix!$B:$B,MATCH(P207,Fit_Matrix!$A:$A,0)))),"CHECK KEY"))</f>
        <v/>
      </c>
      <c r="U207" s="10"/>
      <c r="V207" s="10"/>
      <c r="W207" s="10"/>
      <c r="X207" s="10"/>
      <c r="Y207" s="10"/>
      <c r="Z207" s="10"/>
      <c r="AA207" s="11" t="str">
        <f t="shared" si="7"/>
        <v/>
      </c>
    </row>
    <row r="208" spans="16:27" ht="15" customHeight="1">
      <c r="P208" t="str">
        <f t="shared" si="6"/>
        <v/>
      </c>
      <c r="Q208" t="str">
        <f>IF(P208="","",IFERROR(IF(AND(H208="W7",OR(F208="causal",F208="predictive")),IF(AND(OR(K208=1,K208="1"),OR(L208=1,L208="1"),OR(M208=1,M208="1")),"adequate","partial"),IF(AND(H208="W4",F208="predictive",OR(J208="P2",J208="P3",J208="P4")),IF(OR(U208=1,U208="1"),"adequate","partial"),INDEX(Fit_Matrix!$B:$B,MATCH(P208,Fit_Matrix!$A:$A,0)))),"CHECK KEY"))</f>
        <v/>
      </c>
      <c r="U208" s="10"/>
      <c r="V208" s="10"/>
      <c r="W208" s="10"/>
      <c r="X208" s="10"/>
      <c r="Y208" s="10"/>
      <c r="Z208" s="10"/>
      <c r="AA208" s="11" t="str">
        <f t="shared" si="7"/>
        <v/>
      </c>
    </row>
    <row r="209" spans="16:27" ht="15" customHeight="1">
      <c r="P209" t="str">
        <f t="shared" si="6"/>
        <v/>
      </c>
      <c r="Q209" t="str">
        <f>IF(P209="","",IFERROR(IF(AND(H209="W7",OR(F209="causal",F209="predictive")),IF(AND(OR(K209=1,K209="1"),OR(L209=1,L209="1"),OR(M209=1,M209="1")),"adequate","partial"),IF(AND(H209="W4",F209="predictive",OR(J209="P2",J209="P3",J209="P4")),IF(OR(U209=1,U209="1"),"adequate","partial"),INDEX(Fit_Matrix!$B:$B,MATCH(P209,Fit_Matrix!$A:$A,0)))),"CHECK KEY"))</f>
        <v/>
      </c>
      <c r="U209" s="10"/>
      <c r="V209" s="10"/>
      <c r="W209" s="10"/>
      <c r="X209" s="10"/>
      <c r="Y209" s="10"/>
      <c r="Z209" s="10"/>
      <c r="AA209" s="11" t="str">
        <f t="shared" si="7"/>
        <v/>
      </c>
    </row>
    <row r="210" spans="16:27" ht="15" customHeight="1">
      <c r="P210" t="str">
        <f t="shared" si="6"/>
        <v/>
      </c>
      <c r="Q210" t="str">
        <f>IF(P210="","",IFERROR(IF(AND(H210="W7",OR(F210="causal",F210="predictive")),IF(AND(OR(K210=1,K210="1"),OR(L210=1,L210="1"),OR(M210=1,M210="1")),"adequate","partial"),IF(AND(H210="W4",F210="predictive",OR(J210="P2",J210="P3",J210="P4")),IF(OR(U210=1,U210="1"),"adequate","partial"),INDEX(Fit_Matrix!$B:$B,MATCH(P210,Fit_Matrix!$A:$A,0)))),"CHECK KEY"))</f>
        <v/>
      </c>
      <c r="U210" s="10"/>
      <c r="V210" s="10"/>
      <c r="W210" s="10"/>
      <c r="X210" s="10"/>
      <c r="Y210" s="10"/>
      <c r="Z210" s="10"/>
      <c r="AA210" s="11" t="str">
        <f t="shared" si="7"/>
        <v/>
      </c>
    </row>
    <row r="211" spans="16:27" ht="15" customHeight="1">
      <c r="P211" t="str">
        <f t="shared" si="6"/>
        <v/>
      </c>
      <c r="Q211" t="str">
        <f>IF(P211="","",IFERROR(IF(AND(H211="W7",OR(F211="causal",F211="predictive")),IF(AND(OR(K211=1,K211="1"),OR(L211=1,L211="1"),OR(M211=1,M211="1")),"adequate","partial"),IF(AND(H211="W4",F211="predictive",OR(J211="P2",J211="P3",J211="P4")),IF(OR(U211=1,U211="1"),"adequate","partial"),INDEX(Fit_Matrix!$B:$B,MATCH(P211,Fit_Matrix!$A:$A,0)))),"CHECK KEY"))</f>
        <v/>
      </c>
      <c r="U211" s="10"/>
      <c r="V211" s="10"/>
      <c r="W211" s="10"/>
      <c r="X211" s="10"/>
      <c r="Y211" s="10"/>
      <c r="Z211" s="10"/>
      <c r="AA211" s="11" t="str">
        <f t="shared" si="7"/>
        <v/>
      </c>
    </row>
    <row r="212" spans="16:27" ht="15" customHeight="1">
      <c r="P212" t="str">
        <f t="shared" si="6"/>
        <v/>
      </c>
      <c r="Q212" t="str">
        <f>IF(P212="","",IFERROR(IF(AND(H212="W7",OR(F212="causal",F212="predictive")),IF(AND(OR(K212=1,K212="1"),OR(L212=1,L212="1"),OR(M212=1,M212="1")),"adequate","partial"),IF(AND(H212="W4",F212="predictive",OR(J212="P2",J212="P3",J212="P4")),IF(OR(U212=1,U212="1"),"adequate","partial"),INDEX(Fit_Matrix!$B:$B,MATCH(P212,Fit_Matrix!$A:$A,0)))),"CHECK KEY"))</f>
        <v/>
      </c>
      <c r="U212" s="10"/>
      <c r="V212" s="10"/>
      <c r="W212" s="10"/>
      <c r="X212" s="10"/>
      <c r="Y212" s="10"/>
      <c r="Z212" s="10"/>
      <c r="AA212" s="11" t="str">
        <f t="shared" si="7"/>
        <v/>
      </c>
    </row>
    <row r="213" spans="16:27" ht="15" customHeight="1">
      <c r="P213" t="str">
        <f t="shared" si="6"/>
        <v/>
      </c>
      <c r="Q213" t="str">
        <f>IF(P213="","",IFERROR(IF(AND(H213="W7",OR(F213="causal",F213="predictive")),IF(AND(OR(K213=1,K213="1"),OR(L213=1,L213="1"),OR(M213=1,M213="1")),"adequate","partial"),IF(AND(H213="W4",F213="predictive",OR(J213="P2",J213="P3",J213="P4")),IF(OR(U213=1,U213="1"),"adequate","partial"),INDEX(Fit_Matrix!$B:$B,MATCH(P213,Fit_Matrix!$A:$A,0)))),"CHECK KEY"))</f>
        <v/>
      </c>
      <c r="U213" s="10"/>
      <c r="V213" s="10"/>
      <c r="W213" s="10"/>
      <c r="X213" s="10"/>
      <c r="Y213" s="10"/>
      <c r="Z213" s="10"/>
      <c r="AA213" s="11" t="str">
        <f t="shared" si="7"/>
        <v/>
      </c>
    </row>
    <row r="214" spans="16:27" ht="15" customHeight="1">
      <c r="P214" t="str">
        <f t="shared" si="6"/>
        <v/>
      </c>
      <c r="Q214" t="str">
        <f>IF(P214="","",IFERROR(IF(AND(H214="W7",OR(F214="causal",F214="predictive")),IF(AND(OR(K214=1,K214="1"),OR(L214=1,L214="1"),OR(M214=1,M214="1")),"adequate","partial"),IF(AND(H214="W4",F214="predictive",OR(J214="P2",J214="P3",J214="P4")),IF(OR(U214=1,U214="1"),"adequate","partial"),INDEX(Fit_Matrix!$B:$B,MATCH(P214,Fit_Matrix!$A:$A,0)))),"CHECK KEY"))</f>
        <v/>
      </c>
      <c r="U214" s="10"/>
      <c r="V214" s="10"/>
      <c r="W214" s="10"/>
      <c r="X214" s="10"/>
      <c r="Y214" s="10"/>
      <c r="Z214" s="10"/>
      <c r="AA214" s="11" t="str">
        <f t="shared" si="7"/>
        <v/>
      </c>
    </row>
    <row r="215" spans="16:27" ht="15" customHeight="1">
      <c r="P215" t="str">
        <f t="shared" si="6"/>
        <v/>
      </c>
      <c r="Q215" t="str">
        <f>IF(P215="","",IFERROR(IF(AND(H215="W7",OR(F215="causal",F215="predictive")),IF(AND(OR(K215=1,K215="1"),OR(L215=1,L215="1"),OR(M215=1,M215="1")),"adequate","partial"),IF(AND(H215="W4",F215="predictive",OR(J215="P2",J215="P3",J215="P4")),IF(OR(U215=1,U215="1"),"adequate","partial"),INDEX(Fit_Matrix!$B:$B,MATCH(P215,Fit_Matrix!$A:$A,0)))),"CHECK KEY"))</f>
        <v/>
      </c>
      <c r="U215" s="10"/>
      <c r="V215" s="10"/>
      <c r="W215" s="10"/>
      <c r="X215" s="10"/>
      <c r="Y215" s="10"/>
      <c r="Z215" s="10"/>
      <c r="AA215" s="11" t="str">
        <f t="shared" si="7"/>
        <v/>
      </c>
    </row>
    <row r="216" spans="16:27" ht="15" customHeight="1">
      <c r="P216" t="str">
        <f t="shared" si="6"/>
        <v/>
      </c>
      <c r="Q216" t="str">
        <f>IF(P216="","",IFERROR(IF(AND(H216="W7",OR(F216="causal",F216="predictive")),IF(AND(OR(K216=1,K216="1"),OR(L216=1,L216="1"),OR(M216=1,M216="1")),"adequate","partial"),IF(AND(H216="W4",F216="predictive",OR(J216="P2",J216="P3",J216="P4")),IF(OR(U216=1,U216="1"),"adequate","partial"),INDEX(Fit_Matrix!$B:$B,MATCH(P216,Fit_Matrix!$A:$A,0)))),"CHECK KEY"))</f>
        <v/>
      </c>
      <c r="U216" s="10"/>
      <c r="V216" s="10"/>
      <c r="W216" s="10"/>
      <c r="X216" s="10"/>
      <c r="Y216" s="10"/>
      <c r="Z216" s="10"/>
      <c r="AA216" s="11" t="str">
        <f t="shared" si="7"/>
        <v/>
      </c>
    </row>
    <row r="217" spans="16:27" ht="15" customHeight="1">
      <c r="P217" t="str">
        <f t="shared" si="6"/>
        <v/>
      </c>
      <c r="Q217" t="str">
        <f>IF(P217="","",IFERROR(IF(AND(H217="W7",OR(F217="causal",F217="predictive")),IF(AND(OR(K217=1,K217="1"),OR(L217=1,L217="1"),OR(M217=1,M217="1")),"adequate","partial"),IF(AND(H217="W4",F217="predictive",OR(J217="P2",J217="P3",J217="P4")),IF(OR(U217=1,U217="1"),"adequate","partial"),INDEX(Fit_Matrix!$B:$B,MATCH(P217,Fit_Matrix!$A:$A,0)))),"CHECK KEY"))</f>
        <v/>
      </c>
      <c r="U217" s="10"/>
      <c r="V217" s="10"/>
      <c r="W217" s="10"/>
      <c r="X217" s="10"/>
      <c r="Y217" s="10"/>
      <c r="Z217" s="10"/>
      <c r="AA217" s="11" t="str">
        <f t="shared" si="7"/>
        <v/>
      </c>
    </row>
    <row r="218" spans="16:27" ht="15" customHeight="1">
      <c r="P218" t="str">
        <f t="shared" si="6"/>
        <v/>
      </c>
      <c r="Q218" t="str">
        <f>IF(P218="","",IFERROR(IF(AND(H218="W7",OR(F218="causal",F218="predictive")),IF(AND(OR(K218=1,K218="1"),OR(L218=1,L218="1"),OR(M218=1,M218="1")),"adequate","partial"),IF(AND(H218="W4",F218="predictive",OR(J218="P2",J218="P3",J218="P4")),IF(OR(U218=1,U218="1"),"adequate","partial"),INDEX(Fit_Matrix!$B:$B,MATCH(P218,Fit_Matrix!$A:$A,0)))),"CHECK KEY"))</f>
        <v/>
      </c>
      <c r="U218" s="10"/>
      <c r="V218" s="10"/>
      <c r="W218" s="10"/>
      <c r="X218" s="10"/>
      <c r="Y218" s="10"/>
      <c r="Z218" s="10"/>
      <c r="AA218" s="11" t="str">
        <f t="shared" si="7"/>
        <v/>
      </c>
    </row>
    <row r="219" spans="16:27" ht="15" customHeight="1">
      <c r="P219" t="str">
        <f t="shared" si="6"/>
        <v/>
      </c>
      <c r="Q219" t="str">
        <f>IF(P219="","",IFERROR(IF(AND(H219="W7",OR(F219="causal",F219="predictive")),IF(AND(OR(K219=1,K219="1"),OR(L219=1,L219="1"),OR(M219=1,M219="1")),"adequate","partial"),IF(AND(H219="W4",F219="predictive",OR(J219="P2",J219="P3",J219="P4")),IF(OR(U219=1,U219="1"),"adequate","partial"),INDEX(Fit_Matrix!$B:$B,MATCH(P219,Fit_Matrix!$A:$A,0)))),"CHECK KEY"))</f>
        <v/>
      </c>
      <c r="U219" s="10"/>
      <c r="V219" s="10"/>
      <c r="W219" s="10"/>
      <c r="X219" s="10"/>
      <c r="Y219" s="10"/>
      <c r="Z219" s="10"/>
      <c r="AA219" s="11" t="str">
        <f t="shared" si="7"/>
        <v/>
      </c>
    </row>
    <row r="220" spans="16:27" ht="15" customHeight="1">
      <c r="P220" t="str">
        <f t="shared" si="6"/>
        <v/>
      </c>
      <c r="Q220" t="str">
        <f>IF(P220="","",IFERROR(IF(AND(H220="W7",OR(F220="causal",F220="predictive")),IF(AND(OR(K220=1,K220="1"),OR(L220=1,L220="1"),OR(M220=1,M220="1")),"adequate","partial"),IF(AND(H220="W4",F220="predictive",OR(J220="P2",J220="P3",J220="P4")),IF(OR(U220=1,U220="1"),"adequate","partial"),INDEX(Fit_Matrix!$B:$B,MATCH(P220,Fit_Matrix!$A:$A,0)))),"CHECK KEY"))</f>
        <v/>
      </c>
      <c r="U220" s="10"/>
      <c r="V220" s="10"/>
      <c r="W220" s="10"/>
      <c r="X220" s="10"/>
      <c r="Y220" s="10"/>
      <c r="Z220" s="10"/>
      <c r="AA220" s="11" t="str">
        <f t="shared" si="7"/>
        <v/>
      </c>
    </row>
    <row r="221" spans="16:27" ht="15" customHeight="1">
      <c r="P221" t="str">
        <f t="shared" si="6"/>
        <v/>
      </c>
      <c r="Q221" t="str">
        <f>IF(P221="","",IFERROR(IF(AND(H221="W7",OR(F221="causal",F221="predictive")),IF(AND(OR(K221=1,K221="1"),OR(L221=1,L221="1"),OR(M221=1,M221="1")),"adequate","partial"),IF(AND(H221="W4",F221="predictive",OR(J221="P2",J221="P3",J221="P4")),IF(OR(U221=1,U221="1"),"adequate","partial"),INDEX(Fit_Matrix!$B:$B,MATCH(P221,Fit_Matrix!$A:$A,0)))),"CHECK KEY"))</f>
        <v/>
      </c>
      <c r="U221" s="10"/>
      <c r="V221" s="10"/>
      <c r="W221" s="10"/>
      <c r="X221" s="10"/>
      <c r="Y221" s="10"/>
      <c r="Z221" s="10"/>
      <c r="AA221" s="11" t="str">
        <f t="shared" si="7"/>
        <v/>
      </c>
    </row>
    <row r="222" spans="16:27" ht="15" customHeight="1">
      <c r="P222" t="str">
        <f t="shared" si="6"/>
        <v/>
      </c>
      <c r="Q222" t="str">
        <f>IF(P222="","",IFERROR(IF(AND(H222="W7",OR(F222="causal",F222="predictive")),IF(AND(OR(K222=1,K222="1"),OR(L222=1,L222="1"),OR(M222=1,M222="1")),"adequate","partial"),IF(AND(H222="W4",F222="predictive",OR(J222="P2",J222="P3",J222="P4")),IF(OR(U222=1,U222="1"),"adequate","partial"),INDEX(Fit_Matrix!$B:$B,MATCH(P222,Fit_Matrix!$A:$A,0)))),"CHECK KEY"))</f>
        <v/>
      </c>
      <c r="U222" s="10"/>
      <c r="V222" s="10"/>
      <c r="W222" s="10"/>
      <c r="X222" s="10"/>
      <c r="Y222" s="10"/>
      <c r="Z222" s="10"/>
      <c r="AA222" s="11" t="str">
        <f t="shared" si="7"/>
        <v/>
      </c>
    </row>
    <row r="223" spans="16:27" ht="15" customHeight="1">
      <c r="P223" t="str">
        <f t="shared" si="6"/>
        <v/>
      </c>
      <c r="Q223" t="str">
        <f>IF(P223="","",IFERROR(IF(AND(H223="W7",OR(F223="causal",F223="predictive")),IF(AND(OR(K223=1,K223="1"),OR(L223=1,L223="1"),OR(M223=1,M223="1")),"adequate","partial"),IF(AND(H223="W4",F223="predictive",OR(J223="P2",J223="P3",J223="P4")),IF(OR(U223=1,U223="1"),"adequate","partial"),INDEX(Fit_Matrix!$B:$B,MATCH(P223,Fit_Matrix!$A:$A,0)))),"CHECK KEY"))</f>
        <v/>
      </c>
      <c r="U223" s="10"/>
      <c r="V223" s="10"/>
      <c r="W223" s="10"/>
      <c r="X223" s="10"/>
      <c r="Y223" s="10"/>
      <c r="Z223" s="10"/>
      <c r="AA223" s="11" t="str">
        <f t="shared" si="7"/>
        <v/>
      </c>
    </row>
    <row r="224" spans="16:27" ht="15" customHeight="1">
      <c r="P224" t="str">
        <f t="shared" si="6"/>
        <v/>
      </c>
      <c r="Q224" t="str">
        <f>IF(P224="","",IFERROR(IF(AND(H224="W7",OR(F224="causal",F224="predictive")),IF(AND(OR(K224=1,K224="1"),OR(L224=1,L224="1"),OR(M224=1,M224="1")),"adequate","partial"),IF(AND(H224="W4",F224="predictive",OR(J224="P2",J224="P3",J224="P4")),IF(OR(U224=1,U224="1"),"adequate","partial"),INDEX(Fit_Matrix!$B:$B,MATCH(P224,Fit_Matrix!$A:$A,0)))),"CHECK KEY"))</f>
        <v/>
      </c>
      <c r="U224" s="10"/>
      <c r="V224" s="10"/>
      <c r="W224" s="10"/>
      <c r="X224" s="10"/>
      <c r="Y224" s="10"/>
      <c r="Z224" s="10"/>
      <c r="AA224" s="11" t="str">
        <f t="shared" si="7"/>
        <v/>
      </c>
    </row>
    <row r="225" spans="16:27" ht="15" customHeight="1">
      <c r="P225" t="str">
        <f t="shared" si="6"/>
        <v/>
      </c>
      <c r="Q225" t="str">
        <f>IF(P225="","",IFERROR(IF(AND(H225="W7",OR(F225="causal",F225="predictive")),IF(AND(OR(K225=1,K225="1"),OR(L225=1,L225="1"),OR(M225=1,M225="1")),"adequate","partial"),IF(AND(H225="W4",F225="predictive",OR(J225="P2",J225="P3",J225="P4")),IF(OR(U225=1,U225="1"),"adequate","partial"),INDEX(Fit_Matrix!$B:$B,MATCH(P225,Fit_Matrix!$A:$A,0)))),"CHECK KEY"))</f>
        <v/>
      </c>
      <c r="U225" s="10"/>
      <c r="V225" s="10"/>
      <c r="W225" s="10"/>
      <c r="X225" s="10"/>
      <c r="Y225" s="10"/>
      <c r="Z225" s="10"/>
      <c r="AA225" s="11" t="str">
        <f t="shared" si="7"/>
        <v/>
      </c>
    </row>
    <row r="226" spans="16:27" ht="15" customHeight="1">
      <c r="P226" t="str">
        <f t="shared" si="6"/>
        <v/>
      </c>
      <c r="Q226" t="str">
        <f>IF(P226="","",IFERROR(IF(AND(H226="W7",OR(F226="causal",F226="predictive")),IF(AND(OR(K226=1,K226="1"),OR(L226=1,L226="1"),OR(M226=1,M226="1")),"adequate","partial"),IF(AND(H226="W4",F226="predictive",OR(J226="P2",J226="P3",J226="P4")),IF(OR(U226=1,U226="1"),"adequate","partial"),INDEX(Fit_Matrix!$B:$B,MATCH(P226,Fit_Matrix!$A:$A,0)))),"CHECK KEY"))</f>
        <v/>
      </c>
      <c r="U226" s="10"/>
      <c r="V226" s="10"/>
      <c r="W226" s="10"/>
      <c r="X226" s="10"/>
      <c r="Y226" s="10"/>
      <c r="Z226" s="10"/>
      <c r="AA226" s="11" t="str">
        <f t="shared" si="7"/>
        <v/>
      </c>
    </row>
    <row r="227" spans="16:27" ht="15" customHeight="1">
      <c r="P227" t="str">
        <f t="shared" si="6"/>
        <v/>
      </c>
      <c r="Q227" t="str">
        <f>IF(P227="","",IFERROR(IF(AND(H227="W7",OR(F227="causal",F227="predictive")),IF(AND(OR(K227=1,K227="1"),OR(L227=1,L227="1"),OR(M227=1,M227="1")),"adequate","partial"),IF(AND(H227="W4",F227="predictive",OR(J227="P2",J227="P3",J227="P4")),IF(OR(U227=1,U227="1"),"adequate","partial"),INDEX(Fit_Matrix!$B:$B,MATCH(P227,Fit_Matrix!$A:$A,0)))),"CHECK KEY"))</f>
        <v/>
      </c>
      <c r="U227" s="10"/>
      <c r="V227" s="10"/>
      <c r="W227" s="10"/>
      <c r="X227" s="10"/>
      <c r="Y227" s="10"/>
      <c r="Z227" s="10"/>
      <c r="AA227" s="11" t="str">
        <f t="shared" si="7"/>
        <v/>
      </c>
    </row>
    <row r="228" spans="16:27" ht="15" customHeight="1">
      <c r="P228" t="str">
        <f t="shared" si="6"/>
        <v/>
      </c>
      <c r="Q228" t="str">
        <f>IF(P228="","",IFERROR(IF(AND(H228="W7",OR(F228="causal",F228="predictive")),IF(AND(OR(K228=1,K228="1"),OR(L228=1,L228="1"),OR(M228=1,M228="1")),"adequate","partial"),IF(AND(H228="W4",F228="predictive",OR(J228="P2",J228="P3",J228="P4")),IF(OR(U228=1,U228="1"),"adequate","partial"),INDEX(Fit_Matrix!$B:$B,MATCH(P228,Fit_Matrix!$A:$A,0)))),"CHECK KEY"))</f>
        <v/>
      </c>
      <c r="U228" s="10"/>
      <c r="V228" s="10"/>
      <c r="W228" s="10"/>
      <c r="X228" s="10"/>
      <c r="Y228" s="10"/>
      <c r="Z228" s="10"/>
      <c r="AA228" s="11" t="str">
        <f t="shared" si="7"/>
        <v/>
      </c>
    </row>
    <row r="229" spans="16:27" ht="15" customHeight="1">
      <c r="P229" t="str">
        <f t="shared" si="6"/>
        <v/>
      </c>
      <c r="Q229" t="str">
        <f>IF(P229="","",IFERROR(IF(AND(H229="W7",OR(F229="causal",F229="predictive")),IF(AND(OR(K229=1,K229="1"),OR(L229=1,L229="1"),OR(M229=1,M229="1")),"adequate","partial"),IF(AND(H229="W4",F229="predictive",OR(J229="P2",J229="P3",J229="P4")),IF(OR(U229=1,U229="1"),"adequate","partial"),INDEX(Fit_Matrix!$B:$B,MATCH(P229,Fit_Matrix!$A:$A,0)))),"CHECK KEY"))</f>
        <v/>
      </c>
      <c r="U229" s="10"/>
      <c r="V229" s="10"/>
      <c r="W229" s="10"/>
      <c r="X229" s="10"/>
      <c r="Y229" s="10"/>
      <c r="Z229" s="10"/>
      <c r="AA229" s="11" t="str">
        <f t="shared" si="7"/>
        <v/>
      </c>
    </row>
    <row r="230" spans="16:27" ht="15" customHeight="1">
      <c r="P230" t="str">
        <f t="shared" si="6"/>
        <v/>
      </c>
      <c r="Q230" t="str">
        <f>IF(P230="","",IFERROR(IF(AND(H230="W7",OR(F230="causal",F230="predictive")),IF(AND(OR(K230=1,K230="1"),OR(L230=1,L230="1"),OR(M230=1,M230="1")),"adequate","partial"),IF(AND(H230="W4",F230="predictive",OR(J230="P2",J230="P3",J230="P4")),IF(OR(U230=1,U230="1"),"adequate","partial"),INDEX(Fit_Matrix!$B:$B,MATCH(P230,Fit_Matrix!$A:$A,0)))),"CHECK KEY"))</f>
        <v/>
      </c>
      <c r="U230" s="10"/>
      <c r="V230" s="10"/>
      <c r="W230" s="10"/>
      <c r="X230" s="10"/>
      <c r="Y230" s="10"/>
      <c r="Z230" s="10"/>
      <c r="AA230" s="11" t="str">
        <f t="shared" si="7"/>
        <v/>
      </c>
    </row>
    <row r="231" spans="16:27" ht="15" customHeight="1">
      <c r="P231" t="str">
        <f t="shared" si="6"/>
        <v/>
      </c>
      <c r="Q231" t="str">
        <f>IF(P231="","",IFERROR(IF(AND(H231="W7",OR(F231="causal",F231="predictive")),IF(AND(OR(K231=1,K231="1"),OR(L231=1,L231="1"),OR(M231=1,M231="1")),"adequate","partial"),IF(AND(H231="W4",F231="predictive",OR(J231="P2",J231="P3",J231="P4")),IF(OR(U231=1,U231="1"),"adequate","partial"),INDEX(Fit_Matrix!$B:$B,MATCH(P231,Fit_Matrix!$A:$A,0)))),"CHECK KEY"))</f>
        <v/>
      </c>
      <c r="U231" s="10"/>
      <c r="V231" s="10"/>
      <c r="W231" s="10"/>
      <c r="X231" s="10"/>
      <c r="Y231" s="10"/>
      <c r="Z231" s="10"/>
      <c r="AA231" s="11" t="str">
        <f t="shared" si="7"/>
        <v/>
      </c>
    </row>
    <row r="232" spans="16:27" ht="15" customHeight="1">
      <c r="P232" t="str">
        <f t="shared" si="6"/>
        <v/>
      </c>
      <c r="Q232" t="str">
        <f>IF(P232="","",IFERROR(IF(AND(H232="W7",OR(F232="causal",F232="predictive")),IF(AND(OR(K232=1,K232="1"),OR(L232=1,L232="1"),OR(M232=1,M232="1")),"adequate","partial"),IF(AND(H232="W4",F232="predictive",OR(J232="P2",J232="P3",J232="P4")),IF(OR(U232=1,U232="1"),"adequate","partial"),INDEX(Fit_Matrix!$B:$B,MATCH(P232,Fit_Matrix!$A:$A,0)))),"CHECK KEY"))</f>
        <v/>
      </c>
      <c r="U232" s="10"/>
      <c r="V232" s="10"/>
      <c r="W232" s="10"/>
      <c r="X232" s="10"/>
      <c r="Y232" s="10"/>
      <c r="Z232" s="10"/>
      <c r="AA232" s="11" t="str">
        <f t="shared" si="7"/>
        <v/>
      </c>
    </row>
    <row r="233" spans="16:27" ht="15" customHeight="1">
      <c r="P233" t="str">
        <f t="shared" si="6"/>
        <v/>
      </c>
      <c r="Q233" t="str">
        <f>IF(P233="","",IFERROR(IF(AND(H233="W7",OR(F233="causal",F233="predictive")),IF(AND(OR(K233=1,K233="1"),OR(L233=1,L233="1"),OR(M233=1,M233="1")),"adequate","partial"),IF(AND(H233="W4",F233="predictive",OR(J233="P2",J233="P3",J233="P4")),IF(OR(U233=1,U233="1"),"adequate","partial"),INDEX(Fit_Matrix!$B:$B,MATCH(P233,Fit_Matrix!$A:$A,0)))),"CHECK KEY"))</f>
        <v/>
      </c>
      <c r="U233" s="10"/>
      <c r="V233" s="10"/>
      <c r="W233" s="10"/>
      <c r="X233" s="10"/>
      <c r="Y233" s="10"/>
      <c r="Z233" s="10"/>
      <c r="AA233" s="11" t="str">
        <f t="shared" si="7"/>
        <v/>
      </c>
    </row>
    <row r="234" spans="16:27" ht="15" customHeight="1">
      <c r="P234" t="str">
        <f t="shared" si="6"/>
        <v/>
      </c>
      <c r="Q234" t="str">
        <f>IF(P234="","",IFERROR(IF(AND(H234="W7",OR(F234="causal",F234="predictive")),IF(AND(OR(K234=1,K234="1"),OR(L234=1,L234="1"),OR(M234=1,M234="1")),"adequate","partial"),IF(AND(H234="W4",F234="predictive",OR(J234="P2",J234="P3",J234="P4")),IF(OR(U234=1,U234="1"),"adequate","partial"),INDEX(Fit_Matrix!$B:$B,MATCH(P234,Fit_Matrix!$A:$A,0)))),"CHECK KEY"))</f>
        <v/>
      </c>
      <c r="U234" s="10"/>
      <c r="V234" s="10"/>
      <c r="W234" s="10"/>
      <c r="X234" s="10"/>
      <c r="Y234" s="10"/>
      <c r="Z234" s="10"/>
      <c r="AA234" s="11" t="str">
        <f t="shared" si="7"/>
        <v/>
      </c>
    </row>
    <row r="235" spans="16:27" ht="15" customHeight="1">
      <c r="P235" t="str">
        <f t="shared" si="6"/>
        <v/>
      </c>
      <c r="Q235" t="str">
        <f>IF(P235="","",IFERROR(IF(AND(H235="W7",OR(F235="causal",F235="predictive")),IF(AND(OR(K235=1,K235="1"),OR(L235=1,L235="1"),OR(M235=1,M235="1")),"adequate","partial"),IF(AND(H235="W4",F235="predictive",OR(J235="P2",J235="P3",J235="P4")),IF(OR(U235=1,U235="1"),"adequate","partial"),INDEX(Fit_Matrix!$B:$B,MATCH(P235,Fit_Matrix!$A:$A,0)))),"CHECK KEY"))</f>
        <v/>
      </c>
      <c r="U235" s="10"/>
      <c r="V235" s="10"/>
      <c r="W235" s="10"/>
      <c r="X235" s="10"/>
      <c r="Y235" s="10"/>
      <c r="Z235" s="10"/>
      <c r="AA235" s="11" t="str">
        <f t="shared" si="7"/>
        <v/>
      </c>
    </row>
    <row r="236" spans="16:27" ht="15" customHeight="1">
      <c r="P236" t="str">
        <f t="shared" si="6"/>
        <v/>
      </c>
      <c r="Q236" t="str">
        <f>IF(P236="","",IFERROR(IF(AND(H236="W7",OR(F236="causal",F236="predictive")),IF(AND(OR(K236=1,K236="1"),OR(L236=1,L236="1"),OR(M236=1,M236="1")),"adequate","partial"),IF(AND(H236="W4",F236="predictive",OR(J236="P2",J236="P3",J236="P4")),IF(OR(U236=1,U236="1"),"adequate","partial"),INDEX(Fit_Matrix!$B:$B,MATCH(P236,Fit_Matrix!$A:$A,0)))),"CHECK KEY"))</f>
        <v/>
      </c>
      <c r="U236" s="10"/>
      <c r="V236" s="10"/>
      <c r="W236" s="10"/>
      <c r="X236" s="10"/>
      <c r="Y236" s="10"/>
      <c r="Z236" s="10"/>
      <c r="AA236" s="11" t="str">
        <f t="shared" si="7"/>
        <v/>
      </c>
    </row>
    <row r="237" spans="16:27" ht="15" customHeight="1">
      <c r="P237" t="str">
        <f t="shared" si="6"/>
        <v/>
      </c>
      <c r="Q237" t="str">
        <f>IF(P237="","",IFERROR(IF(AND(H237="W7",OR(F237="causal",F237="predictive")),IF(AND(OR(K237=1,K237="1"),OR(L237=1,L237="1"),OR(M237=1,M237="1")),"adequate","partial"),IF(AND(H237="W4",F237="predictive",OR(J237="P2",J237="P3",J237="P4")),IF(OR(U237=1,U237="1"),"adequate","partial"),INDEX(Fit_Matrix!$B:$B,MATCH(P237,Fit_Matrix!$A:$A,0)))),"CHECK KEY"))</f>
        <v/>
      </c>
      <c r="U237" s="10"/>
      <c r="V237" s="10"/>
      <c r="W237" s="10"/>
      <c r="X237" s="10"/>
      <c r="Y237" s="10"/>
      <c r="Z237" s="10"/>
      <c r="AA237" s="11" t="str">
        <f t="shared" si="7"/>
        <v/>
      </c>
    </row>
    <row r="238" spans="16:27" ht="15" customHeight="1">
      <c r="P238" t="str">
        <f t="shared" si="6"/>
        <v/>
      </c>
      <c r="Q238" t="str">
        <f>IF(P238="","",IFERROR(IF(AND(H238="W7",OR(F238="causal",F238="predictive")),IF(AND(OR(K238=1,K238="1"),OR(L238=1,L238="1"),OR(M238=1,M238="1")),"adequate","partial"),IF(AND(H238="W4",F238="predictive",OR(J238="P2",J238="P3",J238="P4")),IF(OR(U238=1,U238="1"),"adequate","partial"),INDEX(Fit_Matrix!$B:$B,MATCH(P238,Fit_Matrix!$A:$A,0)))),"CHECK KEY"))</f>
        <v/>
      </c>
      <c r="U238" s="10"/>
      <c r="V238" s="10"/>
      <c r="W238" s="10"/>
      <c r="X238" s="10"/>
      <c r="Y238" s="10"/>
      <c r="Z238" s="10"/>
      <c r="AA238" s="11" t="str">
        <f t="shared" si="7"/>
        <v/>
      </c>
    </row>
    <row r="239" spans="16:27" ht="15" customHeight="1">
      <c r="P239" t="str">
        <f t="shared" si="6"/>
        <v/>
      </c>
      <c r="Q239" t="str">
        <f>IF(P239="","",IFERROR(IF(AND(H239="W7",OR(F239="causal",F239="predictive")),IF(AND(OR(K239=1,K239="1"),OR(L239=1,L239="1"),OR(M239=1,M239="1")),"adequate","partial"),IF(AND(H239="W4",F239="predictive",OR(J239="P2",J239="P3",J239="P4")),IF(OR(U239=1,U239="1"),"adequate","partial"),INDEX(Fit_Matrix!$B:$B,MATCH(P239,Fit_Matrix!$A:$A,0)))),"CHECK KEY"))</f>
        <v/>
      </c>
      <c r="U239" s="10"/>
      <c r="V239" s="10"/>
      <c r="W239" s="10"/>
      <c r="X239" s="10"/>
      <c r="Y239" s="10"/>
      <c r="Z239" s="10"/>
      <c r="AA239" s="11" t="str">
        <f t="shared" si="7"/>
        <v/>
      </c>
    </row>
    <row r="240" spans="16:27" ht="15" customHeight="1">
      <c r="P240" t="str">
        <f t="shared" si="6"/>
        <v/>
      </c>
      <c r="Q240" t="str">
        <f>IF(P240="","",IFERROR(IF(AND(H240="W7",OR(F240="causal",F240="predictive")),IF(AND(OR(K240=1,K240="1"),OR(L240=1,L240="1"),OR(M240=1,M240="1")),"adequate","partial"),IF(AND(H240="W4",F240="predictive",OR(J240="P2",J240="P3",J240="P4")),IF(OR(U240=1,U240="1"),"adequate","partial"),INDEX(Fit_Matrix!$B:$B,MATCH(P240,Fit_Matrix!$A:$A,0)))),"CHECK KEY"))</f>
        <v/>
      </c>
      <c r="U240" s="10"/>
      <c r="V240" s="10"/>
      <c r="W240" s="10"/>
      <c r="X240" s="10"/>
      <c r="Y240" s="10"/>
      <c r="Z240" s="10"/>
      <c r="AA240" s="11" t="str">
        <f t="shared" si="7"/>
        <v/>
      </c>
    </row>
    <row r="241" spans="16:27" ht="15" customHeight="1">
      <c r="P241" t="str">
        <f t="shared" si="6"/>
        <v/>
      </c>
      <c r="Q241" t="str">
        <f>IF(P241="","",IFERROR(IF(AND(H241="W7",OR(F241="causal",F241="predictive")),IF(AND(OR(K241=1,K241="1"),OR(L241=1,L241="1"),OR(M241=1,M241="1")),"adequate","partial"),IF(AND(H241="W4",F241="predictive",OR(J241="P2",J241="P3",J241="P4")),IF(OR(U241=1,U241="1"),"adequate","partial"),INDEX(Fit_Matrix!$B:$B,MATCH(P241,Fit_Matrix!$A:$A,0)))),"CHECK KEY"))</f>
        <v/>
      </c>
      <c r="U241" s="10"/>
      <c r="V241" s="10"/>
      <c r="W241" s="10"/>
      <c r="X241" s="10"/>
      <c r="Y241" s="10"/>
      <c r="Z241" s="10"/>
      <c r="AA241" s="11" t="str">
        <f t="shared" si="7"/>
        <v/>
      </c>
    </row>
    <row r="242" spans="16:27" ht="15" customHeight="1">
      <c r="P242" t="str">
        <f t="shared" si="6"/>
        <v/>
      </c>
      <c r="Q242" t="str">
        <f>IF(P242="","",IFERROR(IF(AND(H242="W7",OR(F242="causal",F242="predictive")),IF(AND(OR(K242=1,K242="1"),OR(L242=1,L242="1"),OR(M242=1,M242="1")),"adequate","partial"),IF(AND(H242="W4",F242="predictive",OR(J242="P2",J242="P3",J242="P4")),IF(OR(U242=1,U242="1"),"adequate","partial"),INDEX(Fit_Matrix!$B:$B,MATCH(P242,Fit_Matrix!$A:$A,0)))),"CHECK KEY"))</f>
        <v/>
      </c>
      <c r="U242" s="10"/>
      <c r="V242" s="10"/>
      <c r="W242" s="10"/>
      <c r="X242" s="10"/>
      <c r="Y242" s="10"/>
      <c r="Z242" s="10"/>
      <c r="AA242" s="11" t="str">
        <f t="shared" si="7"/>
        <v/>
      </c>
    </row>
    <row r="243" spans="16:27" ht="15" customHeight="1">
      <c r="P243" t="str">
        <f t="shared" si="6"/>
        <v/>
      </c>
      <c r="Q243" t="str">
        <f>IF(P243="","",IFERROR(IF(AND(H243="W7",OR(F243="causal",F243="predictive")),IF(AND(OR(K243=1,K243="1"),OR(L243=1,L243="1"),OR(M243=1,M243="1")),"adequate","partial"),IF(AND(H243="W4",F243="predictive",OR(J243="P2",J243="P3",J243="P4")),IF(OR(U243=1,U243="1"),"adequate","partial"),INDEX(Fit_Matrix!$B:$B,MATCH(P243,Fit_Matrix!$A:$A,0)))),"CHECK KEY"))</f>
        <v/>
      </c>
      <c r="U243" s="10"/>
      <c r="V243" s="10"/>
      <c r="W243" s="10"/>
      <c r="X243" s="10"/>
      <c r="Y243" s="10"/>
      <c r="Z243" s="10"/>
      <c r="AA243" s="11" t="str">
        <f t="shared" si="7"/>
        <v/>
      </c>
    </row>
    <row r="244" spans="16:27" ht="15" customHeight="1">
      <c r="P244" t="str">
        <f t="shared" si="6"/>
        <v/>
      </c>
      <c r="Q244" t="str">
        <f>IF(P244="","",IFERROR(IF(AND(H244="W7",OR(F244="causal",F244="predictive")),IF(AND(OR(K244=1,K244="1"),OR(L244=1,L244="1"),OR(M244=1,M244="1")),"adequate","partial"),IF(AND(H244="W4",F244="predictive",OR(J244="P2",J244="P3",J244="P4")),IF(OR(U244=1,U244="1"),"adequate","partial"),INDEX(Fit_Matrix!$B:$B,MATCH(P244,Fit_Matrix!$A:$A,0)))),"CHECK KEY"))</f>
        <v/>
      </c>
      <c r="U244" s="10"/>
      <c r="V244" s="10"/>
      <c r="W244" s="10"/>
      <c r="X244" s="10"/>
      <c r="Y244" s="10"/>
      <c r="Z244" s="10"/>
      <c r="AA244" s="11" t="str">
        <f t="shared" si="7"/>
        <v/>
      </c>
    </row>
    <row r="245" spans="16:27" ht="15" customHeight="1">
      <c r="P245" t="str">
        <f t="shared" si="6"/>
        <v/>
      </c>
      <c r="Q245" t="str">
        <f>IF(P245="","",IFERROR(IF(AND(H245="W7",OR(F245="causal",F245="predictive")),IF(AND(OR(K245=1,K245="1"),OR(L245=1,L245="1"),OR(M245=1,M245="1")),"adequate","partial"),IF(AND(H245="W4",F245="predictive",OR(J245="P2",J245="P3",J245="P4")),IF(OR(U245=1,U245="1"),"adequate","partial"),INDEX(Fit_Matrix!$B:$B,MATCH(P245,Fit_Matrix!$A:$A,0)))),"CHECK KEY"))</f>
        <v/>
      </c>
      <c r="U245" s="10"/>
      <c r="V245" s="10"/>
      <c r="W245" s="10"/>
      <c r="X245" s="10"/>
      <c r="Y245" s="10"/>
      <c r="Z245" s="10"/>
      <c r="AA245" s="11" t="str">
        <f t="shared" si="7"/>
        <v/>
      </c>
    </row>
    <row r="246" spans="16:27" ht="15" customHeight="1">
      <c r="P246" t="str">
        <f t="shared" si="6"/>
        <v/>
      </c>
      <c r="Q246" t="str">
        <f>IF(P246="","",IFERROR(IF(AND(H246="W7",OR(F246="causal",F246="predictive")),IF(AND(OR(K246=1,K246="1"),OR(L246=1,L246="1"),OR(M246=1,M246="1")),"adequate","partial"),IF(AND(H246="W4",F246="predictive",OR(J246="P2",J246="P3",J246="P4")),IF(OR(U246=1,U246="1"),"adequate","partial"),INDEX(Fit_Matrix!$B:$B,MATCH(P246,Fit_Matrix!$A:$A,0)))),"CHECK KEY"))</f>
        <v/>
      </c>
      <c r="U246" s="10"/>
      <c r="V246" s="10"/>
      <c r="W246" s="10"/>
      <c r="X246" s="10"/>
      <c r="Y246" s="10"/>
      <c r="Z246" s="10"/>
      <c r="AA246" s="11" t="str">
        <f t="shared" si="7"/>
        <v/>
      </c>
    </row>
    <row r="247" spans="16:27" ht="15" customHeight="1">
      <c r="P247" t="str">
        <f t="shared" si="6"/>
        <v/>
      </c>
      <c r="Q247" t="str">
        <f>IF(P247="","",IFERROR(IF(AND(H247="W7",OR(F247="causal",F247="predictive")),IF(AND(OR(K247=1,K247="1"),OR(L247=1,L247="1"),OR(M247=1,M247="1")),"adequate","partial"),IF(AND(H247="W4",F247="predictive",OR(J247="P2",J247="P3",J247="P4")),IF(OR(U247=1,U247="1"),"adequate","partial"),INDEX(Fit_Matrix!$B:$B,MATCH(P247,Fit_Matrix!$A:$A,0)))),"CHECK KEY"))</f>
        <v/>
      </c>
      <c r="U247" s="10"/>
      <c r="V247" s="10"/>
      <c r="W247" s="10"/>
      <c r="X247" s="10"/>
      <c r="Y247" s="10"/>
      <c r="Z247" s="10"/>
      <c r="AA247" s="11" t="str">
        <f t="shared" si="7"/>
        <v/>
      </c>
    </row>
    <row r="248" spans="16:27" ht="15" customHeight="1">
      <c r="P248" t="str">
        <f t="shared" si="6"/>
        <v/>
      </c>
      <c r="Q248" t="str">
        <f>IF(P248="","",IFERROR(IF(AND(H248="W7",OR(F248="causal",F248="predictive")),IF(AND(OR(K248=1,K248="1"),OR(L248=1,L248="1"),OR(M248=1,M248="1")),"adequate","partial"),IF(AND(H248="W4",F248="predictive",OR(J248="P2",J248="P3",J248="P4")),IF(OR(U248=1,U248="1"),"adequate","partial"),INDEX(Fit_Matrix!$B:$B,MATCH(P248,Fit_Matrix!$A:$A,0)))),"CHECK KEY"))</f>
        <v/>
      </c>
      <c r="U248" s="10"/>
      <c r="V248" s="10"/>
      <c r="W248" s="10"/>
      <c r="X248" s="10"/>
      <c r="Y248" s="10"/>
      <c r="Z248" s="10"/>
      <c r="AA248" s="11" t="str">
        <f t="shared" si="7"/>
        <v/>
      </c>
    </row>
    <row r="249" spans="16:27" ht="15" customHeight="1">
      <c r="P249" t="str">
        <f t="shared" si="6"/>
        <v/>
      </c>
      <c r="Q249" t="str">
        <f>IF(P249="","",IFERROR(IF(AND(H249="W7",OR(F249="causal",F249="predictive")),IF(AND(OR(K249=1,K249="1"),OR(L249=1,L249="1"),OR(M249=1,M249="1")),"adequate","partial"),IF(AND(H249="W4",F249="predictive",OR(J249="P2",J249="P3",J249="P4")),IF(OR(U249=1,U249="1"),"adequate","partial"),INDEX(Fit_Matrix!$B:$B,MATCH(P249,Fit_Matrix!$A:$A,0)))),"CHECK KEY"))</f>
        <v/>
      </c>
      <c r="U249" s="10"/>
      <c r="V249" s="10"/>
      <c r="W249" s="10"/>
      <c r="X249" s="10"/>
      <c r="Y249" s="10"/>
      <c r="Z249" s="10"/>
      <c r="AA249" s="11" t="str">
        <f t="shared" si="7"/>
        <v/>
      </c>
    </row>
    <row r="250" spans="16:27" ht="15" customHeight="1">
      <c r="P250" t="str">
        <f t="shared" si="6"/>
        <v/>
      </c>
      <c r="Q250" t="str">
        <f>IF(P250="","",IFERROR(IF(AND(H250="W7",OR(F250="causal",F250="predictive")),IF(AND(OR(K250=1,K250="1"),OR(L250=1,L250="1"),OR(M250=1,M250="1")),"adequate","partial"),IF(AND(H250="W4",F250="predictive",OR(J250="P2",J250="P3",J250="P4")),IF(OR(U250=1,U250="1"),"adequate","partial"),INDEX(Fit_Matrix!$B:$B,MATCH(P250,Fit_Matrix!$A:$A,0)))),"CHECK KEY"))</f>
        <v/>
      </c>
      <c r="U250" s="10"/>
      <c r="V250" s="10"/>
      <c r="W250" s="10"/>
      <c r="X250" s="10"/>
      <c r="Y250" s="10"/>
      <c r="Z250" s="10"/>
      <c r="AA250" s="11" t="str">
        <f t="shared" si="7"/>
        <v/>
      </c>
    </row>
    <row r="251" spans="16:27" ht="15" customHeight="1">
      <c r="P251" t="str">
        <f t="shared" si="6"/>
        <v/>
      </c>
      <c r="Q251" t="str">
        <f>IF(P251="","",IFERROR(IF(AND(H251="W7",OR(F251="causal",F251="predictive")),IF(AND(OR(K251=1,K251="1"),OR(L251=1,L251="1"),OR(M251=1,M251="1")),"adequate","partial"),IF(AND(H251="W4",F251="predictive",OR(J251="P2",J251="P3",J251="P4")),IF(OR(U251=1,U251="1"),"adequate","partial"),INDEX(Fit_Matrix!$B:$B,MATCH(P251,Fit_Matrix!$A:$A,0)))),"CHECK KEY"))</f>
        <v/>
      </c>
      <c r="U251" s="10"/>
      <c r="V251" s="10"/>
      <c r="W251" s="10"/>
      <c r="X251" s="10"/>
      <c r="Y251" s="10"/>
      <c r="Z251" s="10"/>
      <c r="AA251" s="11" t="str">
        <f t="shared" si="7"/>
        <v/>
      </c>
    </row>
    <row r="252" spans="16:27" ht="15" customHeight="1">
      <c r="P252" t="str">
        <f t="shared" si="6"/>
        <v/>
      </c>
      <c r="Q252" t="str">
        <f>IF(P252="","",IFERROR(IF(AND(H252="W7",OR(F252="causal",F252="predictive")),IF(AND(OR(K252=1,K252="1"),OR(L252=1,L252="1"),OR(M252=1,M252="1")),"adequate","partial"),IF(AND(H252="W4",F252="predictive",OR(J252="P2",J252="P3",J252="P4")),IF(OR(U252=1,U252="1"),"adequate","partial"),INDEX(Fit_Matrix!$B:$B,MATCH(P252,Fit_Matrix!$A:$A,0)))),"CHECK KEY"))</f>
        <v/>
      </c>
      <c r="U252" s="10"/>
      <c r="V252" s="10"/>
      <c r="W252" s="10"/>
      <c r="X252" s="10"/>
      <c r="Y252" s="10"/>
      <c r="Z252" s="10"/>
      <c r="AA252" s="11" t="str">
        <f t="shared" si="7"/>
        <v/>
      </c>
    </row>
    <row r="253" spans="16:27" ht="15" customHeight="1">
      <c r="P253" t="str">
        <f t="shared" si="6"/>
        <v/>
      </c>
      <c r="Q253" t="str">
        <f>IF(P253="","",IFERROR(IF(AND(H253="W7",OR(F253="causal",F253="predictive")),IF(AND(OR(K253=1,K253="1"),OR(L253=1,L253="1"),OR(M253=1,M253="1")),"adequate","partial"),IF(AND(H253="W4",F253="predictive",OR(J253="P2",J253="P3",J253="P4")),IF(OR(U253=1,U253="1"),"adequate","partial"),INDEX(Fit_Matrix!$B:$B,MATCH(P253,Fit_Matrix!$A:$A,0)))),"CHECK KEY"))</f>
        <v/>
      </c>
      <c r="U253" s="10"/>
      <c r="V253" s="10"/>
      <c r="W253" s="10"/>
      <c r="X253" s="10"/>
      <c r="Y253" s="10"/>
      <c r="Z253" s="10"/>
      <c r="AA253" s="11" t="str">
        <f t="shared" si="7"/>
        <v/>
      </c>
    </row>
    <row r="254" spans="16:27" ht="15" customHeight="1">
      <c r="P254" t="str">
        <f t="shared" si="6"/>
        <v/>
      </c>
      <c r="Q254" t="str">
        <f>IF(P254="","",IFERROR(IF(AND(H254="W7",OR(F254="causal",F254="predictive")),IF(AND(OR(K254=1,K254="1"),OR(L254=1,L254="1"),OR(M254=1,M254="1")),"adequate","partial"),IF(AND(H254="W4",F254="predictive",OR(J254="P2",J254="P3",J254="P4")),IF(OR(U254=1,U254="1"),"adequate","partial"),INDEX(Fit_Matrix!$B:$B,MATCH(P254,Fit_Matrix!$A:$A,0)))),"CHECK KEY"))</f>
        <v/>
      </c>
      <c r="U254" s="10"/>
      <c r="V254" s="10"/>
      <c r="W254" s="10"/>
      <c r="X254" s="10"/>
      <c r="Y254" s="10"/>
      <c r="Z254" s="10"/>
      <c r="AA254" s="11" t="str">
        <f t="shared" si="7"/>
        <v/>
      </c>
    </row>
    <row r="255" spans="16:27" ht="15" customHeight="1">
      <c r="P255" t="str">
        <f t="shared" si="6"/>
        <v/>
      </c>
      <c r="Q255" t="str">
        <f>IF(P255="","",IFERROR(IF(AND(H255="W7",OR(F255="causal",F255="predictive")),IF(AND(OR(K255=1,K255="1"),OR(L255=1,L255="1"),OR(M255=1,M255="1")),"adequate","partial"),IF(AND(H255="W4",F255="predictive",OR(J255="P2",J255="P3",J255="P4")),IF(OR(U255=1,U255="1"),"adequate","partial"),INDEX(Fit_Matrix!$B:$B,MATCH(P255,Fit_Matrix!$A:$A,0)))),"CHECK KEY"))</f>
        <v/>
      </c>
      <c r="U255" s="10"/>
      <c r="V255" s="10"/>
      <c r="W255" s="10"/>
      <c r="X255" s="10"/>
      <c r="Y255" s="10"/>
      <c r="Z255" s="10"/>
      <c r="AA255" s="11" t="str">
        <f t="shared" si="7"/>
        <v/>
      </c>
    </row>
    <row r="256" spans="16:27" ht="15" customHeight="1">
      <c r="P256" t="str">
        <f t="shared" si="6"/>
        <v/>
      </c>
      <c r="Q256" t="str">
        <f>IF(P256="","",IFERROR(IF(AND(H256="W7",OR(F256="causal",F256="predictive")),IF(AND(OR(K256=1,K256="1"),OR(L256=1,L256="1"),OR(M256=1,M256="1")),"adequate","partial"),IF(AND(H256="W4",F256="predictive",OR(J256="P2",J256="P3",J256="P4")),IF(OR(U256=1,U256="1"),"adequate","partial"),INDEX(Fit_Matrix!$B:$B,MATCH(P256,Fit_Matrix!$A:$A,0)))),"CHECK KEY"))</f>
        <v/>
      </c>
      <c r="U256" s="10"/>
      <c r="V256" s="10"/>
      <c r="W256" s="10"/>
      <c r="X256" s="10"/>
      <c r="Y256" s="10"/>
      <c r="Z256" s="10"/>
      <c r="AA256" s="11" t="str">
        <f t="shared" si="7"/>
        <v/>
      </c>
    </row>
    <row r="257" spans="16:27" ht="15" customHeight="1">
      <c r="P257" t="str">
        <f t="shared" si="6"/>
        <v/>
      </c>
      <c r="Q257" t="str">
        <f>IF(P257="","",IFERROR(IF(AND(H257="W7",OR(F257="causal",F257="predictive")),IF(AND(OR(K257=1,K257="1"),OR(L257=1,L257="1"),OR(M257=1,M257="1")),"adequate","partial"),IF(AND(H257="W4",F257="predictive",OR(J257="P2",J257="P3",J257="P4")),IF(OR(U257=1,U257="1"),"adequate","partial"),INDEX(Fit_Matrix!$B:$B,MATCH(P257,Fit_Matrix!$A:$A,0)))),"CHECK KEY"))</f>
        <v/>
      </c>
      <c r="U257" s="10"/>
      <c r="V257" s="10"/>
      <c r="W257" s="10"/>
      <c r="X257" s="10"/>
      <c r="Y257" s="10"/>
      <c r="Z257" s="10"/>
      <c r="AA257" s="11" t="str">
        <f t="shared" si="7"/>
        <v/>
      </c>
    </row>
    <row r="258" spans="16:27" ht="15" customHeight="1">
      <c r="P258" t="str">
        <f t="shared" ref="P258:P321" si="8">IF(OR(F258="",H258="",J258=""),"",J258&amp;"|"&amp;F258&amp;"|"&amp;IF(H258="W3","W3_"&amp;IF(I258="","unknown",I258),H258))</f>
        <v/>
      </c>
      <c r="Q258" t="str">
        <f>IF(P258="","",IFERROR(IF(AND(H258="W7",OR(F258="causal",F258="predictive")),IF(AND(OR(K258=1,K258="1"),OR(L258=1,L258="1"),OR(M258=1,M258="1")),"adequate","partial"),IF(AND(H258="W4",F258="predictive",OR(J258="P2",J258="P3",J258="P4")),IF(OR(U258=1,U258="1"),"adequate","partial"),INDEX(Fit_Matrix!$B:$B,MATCH(P258,Fit_Matrix!$A:$A,0)))),"CHECK KEY"))</f>
        <v/>
      </c>
      <c r="U258" s="10"/>
      <c r="V258" s="10"/>
      <c r="W258" s="10"/>
      <c r="X258" s="10"/>
      <c r="Y258" s="10"/>
      <c r="Z258" s="10"/>
      <c r="AA258" s="11" t="str">
        <f t="shared" ref="AA258:AA321" si="9">IF(A258="","",IF(AND(J258="P4",F258="causal"),"P4-CAUSAL",""))</f>
        <v/>
      </c>
    </row>
    <row r="259" spans="16:27" ht="15" customHeight="1">
      <c r="P259" t="str">
        <f t="shared" si="8"/>
        <v/>
      </c>
      <c r="Q259" t="str">
        <f>IF(P259="","",IFERROR(IF(AND(H259="W7",OR(F259="causal",F259="predictive")),IF(AND(OR(K259=1,K259="1"),OR(L259=1,L259="1"),OR(M259=1,M259="1")),"adequate","partial"),IF(AND(H259="W4",F259="predictive",OR(J259="P2",J259="P3",J259="P4")),IF(OR(U259=1,U259="1"),"adequate","partial"),INDEX(Fit_Matrix!$B:$B,MATCH(P259,Fit_Matrix!$A:$A,0)))),"CHECK KEY"))</f>
        <v/>
      </c>
      <c r="U259" s="10"/>
      <c r="V259" s="10"/>
      <c r="W259" s="10"/>
      <c r="X259" s="10"/>
      <c r="Y259" s="10"/>
      <c r="Z259" s="10"/>
      <c r="AA259" s="11" t="str">
        <f t="shared" si="9"/>
        <v/>
      </c>
    </row>
    <row r="260" spans="16:27" ht="15" customHeight="1">
      <c r="P260" t="str">
        <f t="shared" si="8"/>
        <v/>
      </c>
      <c r="Q260" t="str">
        <f>IF(P260="","",IFERROR(IF(AND(H260="W7",OR(F260="causal",F260="predictive")),IF(AND(OR(K260=1,K260="1"),OR(L260=1,L260="1"),OR(M260=1,M260="1")),"adequate","partial"),IF(AND(H260="W4",F260="predictive",OR(J260="P2",J260="P3",J260="P4")),IF(OR(U260=1,U260="1"),"adequate","partial"),INDEX(Fit_Matrix!$B:$B,MATCH(P260,Fit_Matrix!$A:$A,0)))),"CHECK KEY"))</f>
        <v/>
      </c>
      <c r="U260" s="10"/>
      <c r="V260" s="10"/>
      <c r="W260" s="10"/>
      <c r="X260" s="10"/>
      <c r="Y260" s="10"/>
      <c r="Z260" s="10"/>
      <c r="AA260" s="11" t="str">
        <f t="shared" si="9"/>
        <v/>
      </c>
    </row>
    <row r="261" spans="16:27" ht="15" customHeight="1">
      <c r="P261" t="str">
        <f t="shared" si="8"/>
        <v/>
      </c>
      <c r="Q261" t="str">
        <f>IF(P261="","",IFERROR(IF(AND(H261="W7",OR(F261="causal",F261="predictive")),IF(AND(OR(K261=1,K261="1"),OR(L261=1,L261="1"),OR(M261=1,M261="1")),"adequate","partial"),IF(AND(H261="W4",F261="predictive",OR(J261="P2",J261="P3",J261="P4")),IF(OR(U261=1,U261="1"),"adequate","partial"),INDEX(Fit_Matrix!$B:$B,MATCH(P261,Fit_Matrix!$A:$A,0)))),"CHECK KEY"))</f>
        <v/>
      </c>
      <c r="U261" s="10"/>
      <c r="V261" s="10"/>
      <c r="W261" s="10"/>
      <c r="X261" s="10"/>
      <c r="Y261" s="10"/>
      <c r="Z261" s="10"/>
      <c r="AA261" s="11" t="str">
        <f t="shared" si="9"/>
        <v/>
      </c>
    </row>
    <row r="262" spans="16:27" ht="15" customHeight="1">
      <c r="P262" t="str">
        <f t="shared" si="8"/>
        <v/>
      </c>
      <c r="Q262" t="str">
        <f>IF(P262="","",IFERROR(IF(AND(H262="W7",OR(F262="causal",F262="predictive")),IF(AND(OR(K262=1,K262="1"),OR(L262=1,L262="1"),OR(M262=1,M262="1")),"adequate","partial"),IF(AND(H262="W4",F262="predictive",OR(J262="P2",J262="P3",J262="P4")),IF(OR(U262=1,U262="1"),"adequate","partial"),INDEX(Fit_Matrix!$B:$B,MATCH(P262,Fit_Matrix!$A:$A,0)))),"CHECK KEY"))</f>
        <v/>
      </c>
      <c r="U262" s="10"/>
      <c r="V262" s="10"/>
      <c r="W262" s="10"/>
      <c r="X262" s="10"/>
      <c r="Y262" s="10"/>
      <c r="Z262" s="10"/>
      <c r="AA262" s="11" t="str">
        <f t="shared" si="9"/>
        <v/>
      </c>
    </row>
    <row r="263" spans="16:27" ht="15" customHeight="1">
      <c r="P263" t="str">
        <f t="shared" si="8"/>
        <v/>
      </c>
      <c r="Q263" t="str">
        <f>IF(P263="","",IFERROR(IF(AND(H263="W7",OR(F263="causal",F263="predictive")),IF(AND(OR(K263=1,K263="1"),OR(L263=1,L263="1"),OR(M263=1,M263="1")),"adequate","partial"),IF(AND(H263="W4",F263="predictive",OR(J263="P2",J263="P3",J263="P4")),IF(OR(U263=1,U263="1"),"adequate","partial"),INDEX(Fit_Matrix!$B:$B,MATCH(P263,Fit_Matrix!$A:$A,0)))),"CHECK KEY"))</f>
        <v/>
      </c>
      <c r="U263" s="10"/>
      <c r="V263" s="10"/>
      <c r="W263" s="10"/>
      <c r="X263" s="10"/>
      <c r="Y263" s="10"/>
      <c r="Z263" s="10"/>
      <c r="AA263" s="11" t="str">
        <f t="shared" si="9"/>
        <v/>
      </c>
    </row>
    <row r="264" spans="16:27" ht="15" customHeight="1">
      <c r="P264" t="str">
        <f t="shared" si="8"/>
        <v/>
      </c>
      <c r="Q264" t="str">
        <f>IF(P264="","",IFERROR(IF(AND(H264="W7",OR(F264="causal",F264="predictive")),IF(AND(OR(K264=1,K264="1"),OR(L264=1,L264="1"),OR(M264=1,M264="1")),"adequate","partial"),IF(AND(H264="W4",F264="predictive",OR(J264="P2",J264="P3",J264="P4")),IF(OR(U264=1,U264="1"),"adequate","partial"),INDEX(Fit_Matrix!$B:$B,MATCH(P264,Fit_Matrix!$A:$A,0)))),"CHECK KEY"))</f>
        <v/>
      </c>
      <c r="U264" s="10"/>
      <c r="V264" s="10"/>
      <c r="W264" s="10"/>
      <c r="X264" s="10"/>
      <c r="Y264" s="10"/>
      <c r="Z264" s="10"/>
      <c r="AA264" s="11" t="str">
        <f t="shared" si="9"/>
        <v/>
      </c>
    </row>
    <row r="265" spans="16:27" ht="15" customHeight="1">
      <c r="P265" t="str">
        <f t="shared" si="8"/>
        <v/>
      </c>
      <c r="Q265" t="str">
        <f>IF(P265="","",IFERROR(IF(AND(H265="W7",OR(F265="causal",F265="predictive")),IF(AND(OR(K265=1,K265="1"),OR(L265=1,L265="1"),OR(M265=1,M265="1")),"adequate","partial"),IF(AND(H265="W4",F265="predictive",OR(J265="P2",J265="P3",J265="P4")),IF(OR(U265=1,U265="1"),"adequate","partial"),INDEX(Fit_Matrix!$B:$B,MATCH(P265,Fit_Matrix!$A:$A,0)))),"CHECK KEY"))</f>
        <v/>
      </c>
      <c r="U265" s="10"/>
      <c r="V265" s="10"/>
      <c r="W265" s="10"/>
      <c r="X265" s="10"/>
      <c r="Y265" s="10"/>
      <c r="Z265" s="10"/>
      <c r="AA265" s="11" t="str">
        <f t="shared" si="9"/>
        <v/>
      </c>
    </row>
    <row r="266" spans="16:27" ht="15" customHeight="1">
      <c r="P266" t="str">
        <f t="shared" si="8"/>
        <v/>
      </c>
      <c r="Q266" t="str">
        <f>IF(P266="","",IFERROR(IF(AND(H266="W7",OR(F266="causal",F266="predictive")),IF(AND(OR(K266=1,K266="1"),OR(L266=1,L266="1"),OR(M266=1,M266="1")),"adequate","partial"),IF(AND(H266="W4",F266="predictive",OR(J266="P2",J266="P3",J266="P4")),IF(OR(U266=1,U266="1"),"adequate","partial"),INDEX(Fit_Matrix!$B:$B,MATCH(P266,Fit_Matrix!$A:$A,0)))),"CHECK KEY"))</f>
        <v/>
      </c>
      <c r="U266" s="10"/>
      <c r="V266" s="10"/>
      <c r="W266" s="10"/>
      <c r="X266" s="10"/>
      <c r="Y266" s="10"/>
      <c r="Z266" s="10"/>
      <c r="AA266" s="11" t="str">
        <f t="shared" si="9"/>
        <v/>
      </c>
    </row>
    <row r="267" spans="16:27" ht="15" customHeight="1">
      <c r="P267" t="str">
        <f t="shared" si="8"/>
        <v/>
      </c>
      <c r="Q267" t="str">
        <f>IF(P267="","",IFERROR(IF(AND(H267="W7",OR(F267="causal",F267="predictive")),IF(AND(OR(K267=1,K267="1"),OR(L267=1,L267="1"),OR(M267=1,M267="1")),"adequate","partial"),IF(AND(H267="W4",F267="predictive",OR(J267="P2",J267="P3",J267="P4")),IF(OR(U267=1,U267="1"),"adequate","partial"),INDEX(Fit_Matrix!$B:$B,MATCH(P267,Fit_Matrix!$A:$A,0)))),"CHECK KEY"))</f>
        <v/>
      </c>
      <c r="U267" s="10"/>
      <c r="V267" s="10"/>
      <c r="W267" s="10"/>
      <c r="X267" s="10"/>
      <c r="Y267" s="10"/>
      <c r="Z267" s="10"/>
      <c r="AA267" s="11" t="str">
        <f t="shared" si="9"/>
        <v/>
      </c>
    </row>
    <row r="268" spans="16:27" ht="15" customHeight="1">
      <c r="P268" t="str">
        <f t="shared" si="8"/>
        <v/>
      </c>
      <c r="Q268" t="str">
        <f>IF(P268="","",IFERROR(IF(AND(H268="W7",OR(F268="causal",F268="predictive")),IF(AND(OR(K268=1,K268="1"),OR(L268=1,L268="1"),OR(M268=1,M268="1")),"adequate","partial"),IF(AND(H268="W4",F268="predictive",OR(J268="P2",J268="P3",J268="P4")),IF(OR(U268=1,U268="1"),"adequate","partial"),INDEX(Fit_Matrix!$B:$B,MATCH(P268,Fit_Matrix!$A:$A,0)))),"CHECK KEY"))</f>
        <v/>
      </c>
      <c r="U268" s="10"/>
      <c r="V268" s="10"/>
      <c r="W268" s="10"/>
      <c r="X268" s="10"/>
      <c r="Y268" s="10"/>
      <c r="Z268" s="10"/>
      <c r="AA268" s="11" t="str">
        <f t="shared" si="9"/>
        <v/>
      </c>
    </row>
    <row r="269" spans="16:27" ht="15" customHeight="1">
      <c r="P269" t="str">
        <f t="shared" si="8"/>
        <v/>
      </c>
      <c r="Q269" t="str">
        <f>IF(P269="","",IFERROR(IF(AND(H269="W7",OR(F269="causal",F269="predictive")),IF(AND(OR(K269=1,K269="1"),OR(L269=1,L269="1"),OR(M269=1,M269="1")),"adequate","partial"),IF(AND(H269="W4",F269="predictive",OR(J269="P2",J269="P3",J269="P4")),IF(OR(U269=1,U269="1"),"adequate","partial"),INDEX(Fit_Matrix!$B:$B,MATCH(P269,Fit_Matrix!$A:$A,0)))),"CHECK KEY"))</f>
        <v/>
      </c>
      <c r="U269" s="10"/>
      <c r="V269" s="10"/>
      <c r="W269" s="10"/>
      <c r="X269" s="10"/>
      <c r="Y269" s="10"/>
      <c r="Z269" s="10"/>
      <c r="AA269" s="11" t="str">
        <f t="shared" si="9"/>
        <v/>
      </c>
    </row>
    <row r="270" spans="16:27" ht="15" customHeight="1">
      <c r="P270" t="str">
        <f t="shared" si="8"/>
        <v/>
      </c>
      <c r="Q270" t="str">
        <f>IF(P270="","",IFERROR(IF(AND(H270="W7",OR(F270="causal",F270="predictive")),IF(AND(OR(K270=1,K270="1"),OR(L270=1,L270="1"),OR(M270=1,M270="1")),"adequate","partial"),IF(AND(H270="W4",F270="predictive",OR(J270="P2",J270="P3",J270="P4")),IF(OR(U270=1,U270="1"),"adequate","partial"),INDEX(Fit_Matrix!$B:$B,MATCH(P270,Fit_Matrix!$A:$A,0)))),"CHECK KEY"))</f>
        <v/>
      </c>
      <c r="U270" s="10"/>
      <c r="V270" s="10"/>
      <c r="W270" s="10"/>
      <c r="X270" s="10"/>
      <c r="Y270" s="10"/>
      <c r="Z270" s="10"/>
      <c r="AA270" s="11" t="str">
        <f t="shared" si="9"/>
        <v/>
      </c>
    </row>
    <row r="271" spans="16:27" ht="15" customHeight="1">
      <c r="P271" t="str">
        <f t="shared" si="8"/>
        <v/>
      </c>
      <c r="Q271" t="str">
        <f>IF(P271="","",IFERROR(IF(AND(H271="W7",OR(F271="causal",F271="predictive")),IF(AND(OR(K271=1,K271="1"),OR(L271=1,L271="1"),OR(M271=1,M271="1")),"adequate","partial"),IF(AND(H271="W4",F271="predictive",OR(J271="P2",J271="P3",J271="P4")),IF(OR(U271=1,U271="1"),"adequate","partial"),INDEX(Fit_Matrix!$B:$B,MATCH(P271,Fit_Matrix!$A:$A,0)))),"CHECK KEY"))</f>
        <v/>
      </c>
      <c r="U271" s="10"/>
      <c r="V271" s="10"/>
      <c r="W271" s="10"/>
      <c r="X271" s="10"/>
      <c r="Y271" s="10"/>
      <c r="Z271" s="10"/>
      <c r="AA271" s="11" t="str">
        <f t="shared" si="9"/>
        <v/>
      </c>
    </row>
    <row r="272" spans="16:27" ht="15" customHeight="1">
      <c r="P272" t="str">
        <f t="shared" si="8"/>
        <v/>
      </c>
      <c r="Q272" t="str">
        <f>IF(P272="","",IFERROR(IF(AND(H272="W7",OR(F272="causal",F272="predictive")),IF(AND(OR(K272=1,K272="1"),OR(L272=1,L272="1"),OR(M272=1,M272="1")),"adequate","partial"),IF(AND(H272="W4",F272="predictive",OR(J272="P2",J272="P3",J272="P4")),IF(OR(U272=1,U272="1"),"adequate","partial"),INDEX(Fit_Matrix!$B:$B,MATCH(P272,Fit_Matrix!$A:$A,0)))),"CHECK KEY"))</f>
        <v/>
      </c>
      <c r="U272" s="10"/>
      <c r="V272" s="10"/>
      <c r="W272" s="10"/>
      <c r="X272" s="10"/>
      <c r="Y272" s="10"/>
      <c r="Z272" s="10"/>
      <c r="AA272" s="11" t="str">
        <f t="shared" si="9"/>
        <v/>
      </c>
    </row>
    <row r="273" spans="16:27" ht="15" customHeight="1">
      <c r="P273" t="str">
        <f t="shared" si="8"/>
        <v/>
      </c>
      <c r="Q273" t="str">
        <f>IF(P273="","",IFERROR(IF(AND(H273="W7",OR(F273="causal",F273="predictive")),IF(AND(OR(K273=1,K273="1"),OR(L273=1,L273="1"),OR(M273=1,M273="1")),"adequate","partial"),IF(AND(H273="W4",F273="predictive",OR(J273="P2",J273="P3",J273="P4")),IF(OR(U273=1,U273="1"),"adequate","partial"),INDEX(Fit_Matrix!$B:$B,MATCH(P273,Fit_Matrix!$A:$A,0)))),"CHECK KEY"))</f>
        <v/>
      </c>
      <c r="U273" s="10"/>
      <c r="V273" s="10"/>
      <c r="W273" s="10"/>
      <c r="X273" s="10"/>
      <c r="Y273" s="10"/>
      <c r="Z273" s="10"/>
      <c r="AA273" s="11" t="str">
        <f t="shared" si="9"/>
        <v/>
      </c>
    </row>
    <row r="274" spans="16:27" ht="15" customHeight="1">
      <c r="P274" t="str">
        <f t="shared" si="8"/>
        <v/>
      </c>
      <c r="Q274" t="str">
        <f>IF(P274="","",IFERROR(IF(AND(H274="W7",OR(F274="causal",F274="predictive")),IF(AND(OR(K274=1,K274="1"),OR(L274=1,L274="1"),OR(M274=1,M274="1")),"adequate","partial"),IF(AND(H274="W4",F274="predictive",OR(J274="P2",J274="P3",J274="P4")),IF(OR(U274=1,U274="1"),"adequate","partial"),INDEX(Fit_Matrix!$B:$B,MATCH(P274,Fit_Matrix!$A:$A,0)))),"CHECK KEY"))</f>
        <v/>
      </c>
      <c r="U274" s="10"/>
      <c r="V274" s="10"/>
      <c r="W274" s="10"/>
      <c r="X274" s="10"/>
      <c r="Y274" s="10"/>
      <c r="Z274" s="10"/>
      <c r="AA274" s="11" t="str">
        <f t="shared" si="9"/>
        <v/>
      </c>
    </row>
    <row r="275" spans="16:27" ht="15" customHeight="1">
      <c r="P275" t="str">
        <f t="shared" si="8"/>
        <v/>
      </c>
      <c r="Q275" t="str">
        <f>IF(P275="","",IFERROR(IF(AND(H275="W7",OR(F275="causal",F275="predictive")),IF(AND(OR(K275=1,K275="1"),OR(L275=1,L275="1"),OR(M275=1,M275="1")),"adequate","partial"),IF(AND(H275="W4",F275="predictive",OR(J275="P2",J275="P3",J275="P4")),IF(OR(U275=1,U275="1"),"adequate","partial"),INDEX(Fit_Matrix!$B:$B,MATCH(P275,Fit_Matrix!$A:$A,0)))),"CHECK KEY"))</f>
        <v/>
      </c>
      <c r="U275" s="10"/>
      <c r="V275" s="10"/>
      <c r="W275" s="10"/>
      <c r="X275" s="10"/>
      <c r="Y275" s="10"/>
      <c r="Z275" s="10"/>
      <c r="AA275" s="11" t="str">
        <f t="shared" si="9"/>
        <v/>
      </c>
    </row>
    <row r="276" spans="16:27" ht="15" customHeight="1">
      <c r="P276" t="str">
        <f t="shared" si="8"/>
        <v/>
      </c>
      <c r="Q276" t="str">
        <f>IF(P276="","",IFERROR(IF(AND(H276="W7",OR(F276="causal",F276="predictive")),IF(AND(OR(K276=1,K276="1"),OR(L276=1,L276="1"),OR(M276=1,M276="1")),"adequate","partial"),IF(AND(H276="W4",F276="predictive",OR(J276="P2",J276="P3",J276="P4")),IF(OR(U276=1,U276="1"),"adequate","partial"),INDEX(Fit_Matrix!$B:$B,MATCH(P276,Fit_Matrix!$A:$A,0)))),"CHECK KEY"))</f>
        <v/>
      </c>
      <c r="U276" s="10"/>
      <c r="V276" s="10"/>
      <c r="W276" s="10"/>
      <c r="X276" s="10"/>
      <c r="Y276" s="10"/>
      <c r="Z276" s="10"/>
      <c r="AA276" s="11" t="str">
        <f t="shared" si="9"/>
        <v/>
      </c>
    </row>
    <row r="277" spans="16:27" ht="15" customHeight="1">
      <c r="P277" t="str">
        <f t="shared" si="8"/>
        <v/>
      </c>
      <c r="Q277" t="str">
        <f>IF(P277="","",IFERROR(IF(AND(H277="W7",OR(F277="causal",F277="predictive")),IF(AND(OR(K277=1,K277="1"),OR(L277=1,L277="1"),OR(M277=1,M277="1")),"adequate","partial"),IF(AND(H277="W4",F277="predictive",OR(J277="P2",J277="P3",J277="P4")),IF(OR(U277=1,U277="1"),"adequate","partial"),INDEX(Fit_Matrix!$B:$B,MATCH(P277,Fit_Matrix!$A:$A,0)))),"CHECK KEY"))</f>
        <v/>
      </c>
      <c r="U277" s="10"/>
      <c r="V277" s="10"/>
      <c r="W277" s="10"/>
      <c r="X277" s="10"/>
      <c r="Y277" s="10"/>
      <c r="Z277" s="10"/>
      <c r="AA277" s="11" t="str">
        <f t="shared" si="9"/>
        <v/>
      </c>
    </row>
    <row r="278" spans="16:27" ht="15" customHeight="1">
      <c r="P278" t="str">
        <f t="shared" si="8"/>
        <v/>
      </c>
      <c r="Q278" t="str">
        <f>IF(P278="","",IFERROR(IF(AND(H278="W7",OR(F278="causal",F278="predictive")),IF(AND(OR(K278=1,K278="1"),OR(L278=1,L278="1"),OR(M278=1,M278="1")),"adequate","partial"),IF(AND(H278="W4",F278="predictive",OR(J278="P2",J278="P3",J278="P4")),IF(OR(U278=1,U278="1"),"adequate","partial"),INDEX(Fit_Matrix!$B:$B,MATCH(P278,Fit_Matrix!$A:$A,0)))),"CHECK KEY"))</f>
        <v/>
      </c>
      <c r="U278" s="10"/>
      <c r="V278" s="10"/>
      <c r="W278" s="10"/>
      <c r="X278" s="10"/>
      <c r="Y278" s="10"/>
      <c r="Z278" s="10"/>
      <c r="AA278" s="11" t="str">
        <f t="shared" si="9"/>
        <v/>
      </c>
    </row>
    <row r="279" spans="16:27" ht="15" customHeight="1">
      <c r="P279" t="str">
        <f t="shared" si="8"/>
        <v/>
      </c>
      <c r="Q279" t="str">
        <f>IF(P279="","",IFERROR(IF(AND(H279="W7",OR(F279="causal",F279="predictive")),IF(AND(OR(K279=1,K279="1"),OR(L279=1,L279="1"),OR(M279=1,M279="1")),"adequate","partial"),IF(AND(H279="W4",F279="predictive",OR(J279="P2",J279="P3",J279="P4")),IF(OR(U279=1,U279="1"),"adequate","partial"),INDEX(Fit_Matrix!$B:$B,MATCH(P279,Fit_Matrix!$A:$A,0)))),"CHECK KEY"))</f>
        <v/>
      </c>
      <c r="U279" s="10"/>
      <c r="V279" s="10"/>
      <c r="W279" s="10"/>
      <c r="X279" s="10"/>
      <c r="Y279" s="10"/>
      <c r="Z279" s="10"/>
      <c r="AA279" s="11" t="str">
        <f t="shared" si="9"/>
        <v/>
      </c>
    </row>
    <row r="280" spans="16:27" ht="15" customHeight="1">
      <c r="P280" t="str">
        <f t="shared" si="8"/>
        <v/>
      </c>
      <c r="Q280" t="str">
        <f>IF(P280="","",IFERROR(IF(AND(H280="W7",OR(F280="causal",F280="predictive")),IF(AND(OR(K280=1,K280="1"),OR(L280=1,L280="1"),OR(M280=1,M280="1")),"adequate","partial"),IF(AND(H280="W4",F280="predictive",OR(J280="P2",J280="P3",J280="P4")),IF(OR(U280=1,U280="1"),"adequate","partial"),INDEX(Fit_Matrix!$B:$B,MATCH(P280,Fit_Matrix!$A:$A,0)))),"CHECK KEY"))</f>
        <v/>
      </c>
      <c r="U280" s="10"/>
      <c r="V280" s="10"/>
      <c r="W280" s="10"/>
      <c r="X280" s="10"/>
      <c r="Y280" s="10"/>
      <c r="Z280" s="10"/>
      <c r="AA280" s="11" t="str">
        <f t="shared" si="9"/>
        <v/>
      </c>
    </row>
    <row r="281" spans="16:27" ht="15" customHeight="1">
      <c r="P281" t="str">
        <f t="shared" si="8"/>
        <v/>
      </c>
      <c r="Q281" t="str">
        <f>IF(P281="","",IFERROR(IF(AND(H281="W7",OR(F281="causal",F281="predictive")),IF(AND(OR(K281=1,K281="1"),OR(L281=1,L281="1"),OR(M281=1,M281="1")),"adequate","partial"),IF(AND(H281="W4",F281="predictive",OR(J281="P2",J281="P3",J281="P4")),IF(OR(U281=1,U281="1"),"adequate","partial"),INDEX(Fit_Matrix!$B:$B,MATCH(P281,Fit_Matrix!$A:$A,0)))),"CHECK KEY"))</f>
        <v/>
      </c>
      <c r="U281" s="10"/>
      <c r="V281" s="10"/>
      <c r="W281" s="10"/>
      <c r="X281" s="10"/>
      <c r="Y281" s="10"/>
      <c r="Z281" s="10"/>
      <c r="AA281" s="11" t="str">
        <f t="shared" si="9"/>
        <v/>
      </c>
    </row>
    <row r="282" spans="16:27" ht="15" customHeight="1">
      <c r="P282" t="str">
        <f t="shared" si="8"/>
        <v/>
      </c>
      <c r="Q282" t="str">
        <f>IF(P282="","",IFERROR(IF(AND(H282="W7",OR(F282="causal",F282="predictive")),IF(AND(OR(K282=1,K282="1"),OR(L282=1,L282="1"),OR(M282=1,M282="1")),"adequate","partial"),IF(AND(H282="W4",F282="predictive",OR(J282="P2",J282="P3",J282="P4")),IF(OR(U282=1,U282="1"),"adequate","partial"),INDEX(Fit_Matrix!$B:$B,MATCH(P282,Fit_Matrix!$A:$A,0)))),"CHECK KEY"))</f>
        <v/>
      </c>
      <c r="U282" s="10"/>
      <c r="V282" s="10"/>
      <c r="W282" s="10"/>
      <c r="X282" s="10"/>
      <c r="Y282" s="10"/>
      <c r="Z282" s="10"/>
      <c r="AA282" s="11" t="str">
        <f t="shared" si="9"/>
        <v/>
      </c>
    </row>
    <row r="283" spans="16:27" ht="15" customHeight="1">
      <c r="P283" t="str">
        <f t="shared" si="8"/>
        <v/>
      </c>
      <c r="Q283" t="str">
        <f>IF(P283="","",IFERROR(IF(AND(H283="W7",OR(F283="causal",F283="predictive")),IF(AND(OR(K283=1,K283="1"),OR(L283=1,L283="1"),OR(M283=1,M283="1")),"adequate","partial"),IF(AND(H283="W4",F283="predictive",OR(J283="P2",J283="P3",J283="P4")),IF(OR(U283=1,U283="1"),"adequate","partial"),INDEX(Fit_Matrix!$B:$B,MATCH(P283,Fit_Matrix!$A:$A,0)))),"CHECK KEY"))</f>
        <v/>
      </c>
      <c r="U283" s="10"/>
      <c r="V283" s="10"/>
      <c r="W283" s="10"/>
      <c r="X283" s="10"/>
      <c r="Y283" s="10"/>
      <c r="Z283" s="10"/>
      <c r="AA283" s="11" t="str">
        <f t="shared" si="9"/>
        <v/>
      </c>
    </row>
    <row r="284" spans="16:27" ht="15" customHeight="1">
      <c r="P284" t="str">
        <f t="shared" si="8"/>
        <v/>
      </c>
      <c r="Q284" t="str">
        <f>IF(P284="","",IFERROR(IF(AND(H284="W7",OR(F284="causal",F284="predictive")),IF(AND(OR(K284=1,K284="1"),OR(L284=1,L284="1"),OR(M284=1,M284="1")),"adequate","partial"),IF(AND(H284="W4",F284="predictive",OR(J284="P2",J284="P3",J284="P4")),IF(OR(U284=1,U284="1"),"adequate","partial"),INDEX(Fit_Matrix!$B:$B,MATCH(P284,Fit_Matrix!$A:$A,0)))),"CHECK KEY"))</f>
        <v/>
      </c>
      <c r="U284" s="10"/>
      <c r="V284" s="10"/>
      <c r="W284" s="10"/>
      <c r="X284" s="10"/>
      <c r="Y284" s="10"/>
      <c r="Z284" s="10"/>
      <c r="AA284" s="11" t="str">
        <f t="shared" si="9"/>
        <v/>
      </c>
    </row>
    <row r="285" spans="16:27" ht="15" customHeight="1">
      <c r="P285" t="str">
        <f t="shared" si="8"/>
        <v/>
      </c>
      <c r="Q285" t="str">
        <f>IF(P285="","",IFERROR(IF(AND(H285="W7",OR(F285="causal",F285="predictive")),IF(AND(OR(K285=1,K285="1"),OR(L285=1,L285="1"),OR(M285=1,M285="1")),"adequate","partial"),IF(AND(H285="W4",F285="predictive",OR(J285="P2",J285="P3",J285="P4")),IF(OR(U285=1,U285="1"),"adequate","partial"),INDEX(Fit_Matrix!$B:$B,MATCH(P285,Fit_Matrix!$A:$A,0)))),"CHECK KEY"))</f>
        <v/>
      </c>
      <c r="U285" s="10"/>
      <c r="V285" s="10"/>
      <c r="W285" s="10"/>
      <c r="X285" s="10"/>
      <c r="Y285" s="10"/>
      <c r="Z285" s="10"/>
      <c r="AA285" s="11" t="str">
        <f t="shared" si="9"/>
        <v/>
      </c>
    </row>
    <row r="286" spans="16:27" ht="15" customHeight="1">
      <c r="P286" t="str">
        <f t="shared" si="8"/>
        <v/>
      </c>
      <c r="Q286" t="str">
        <f>IF(P286="","",IFERROR(IF(AND(H286="W7",OR(F286="causal",F286="predictive")),IF(AND(OR(K286=1,K286="1"),OR(L286=1,L286="1"),OR(M286=1,M286="1")),"adequate","partial"),IF(AND(H286="W4",F286="predictive",OR(J286="P2",J286="P3",J286="P4")),IF(OR(U286=1,U286="1"),"adequate","partial"),INDEX(Fit_Matrix!$B:$B,MATCH(P286,Fit_Matrix!$A:$A,0)))),"CHECK KEY"))</f>
        <v/>
      </c>
      <c r="U286" s="10"/>
      <c r="V286" s="10"/>
      <c r="W286" s="10"/>
      <c r="X286" s="10"/>
      <c r="Y286" s="10"/>
      <c r="Z286" s="10"/>
      <c r="AA286" s="11" t="str">
        <f t="shared" si="9"/>
        <v/>
      </c>
    </row>
    <row r="287" spans="16:27" ht="15" customHeight="1">
      <c r="P287" t="str">
        <f t="shared" si="8"/>
        <v/>
      </c>
      <c r="Q287" t="str">
        <f>IF(P287="","",IFERROR(IF(AND(H287="W7",OR(F287="causal",F287="predictive")),IF(AND(OR(K287=1,K287="1"),OR(L287=1,L287="1"),OR(M287=1,M287="1")),"adequate","partial"),IF(AND(H287="W4",F287="predictive",OR(J287="P2",J287="P3",J287="P4")),IF(OR(U287=1,U287="1"),"adequate","partial"),INDEX(Fit_Matrix!$B:$B,MATCH(P287,Fit_Matrix!$A:$A,0)))),"CHECK KEY"))</f>
        <v/>
      </c>
      <c r="U287" s="10"/>
      <c r="V287" s="10"/>
      <c r="W287" s="10"/>
      <c r="X287" s="10"/>
      <c r="Y287" s="10"/>
      <c r="Z287" s="10"/>
      <c r="AA287" s="11" t="str">
        <f t="shared" si="9"/>
        <v/>
      </c>
    </row>
    <row r="288" spans="16:27" ht="15" customHeight="1">
      <c r="P288" t="str">
        <f t="shared" si="8"/>
        <v/>
      </c>
      <c r="Q288" t="str">
        <f>IF(P288="","",IFERROR(IF(AND(H288="W7",OR(F288="causal",F288="predictive")),IF(AND(OR(K288=1,K288="1"),OR(L288=1,L288="1"),OR(M288=1,M288="1")),"adequate","partial"),IF(AND(H288="W4",F288="predictive",OR(J288="P2",J288="P3",J288="P4")),IF(OR(U288=1,U288="1"),"adequate","partial"),INDEX(Fit_Matrix!$B:$B,MATCH(P288,Fit_Matrix!$A:$A,0)))),"CHECK KEY"))</f>
        <v/>
      </c>
      <c r="U288" s="10"/>
      <c r="V288" s="10"/>
      <c r="W288" s="10"/>
      <c r="X288" s="10"/>
      <c r="Y288" s="10"/>
      <c r="Z288" s="10"/>
      <c r="AA288" s="11" t="str">
        <f t="shared" si="9"/>
        <v/>
      </c>
    </row>
    <row r="289" spans="16:27" ht="15" customHeight="1">
      <c r="P289" t="str">
        <f t="shared" si="8"/>
        <v/>
      </c>
      <c r="Q289" t="str">
        <f>IF(P289="","",IFERROR(IF(AND(H289="W7",OR(F289="causal",F289="predictive")),IF(AND(OR(K289=1,K289="1"),OR(L289=1,L289="1"),OR(M289=1,M289="1")),"adequate","partial"),IF(AND(H289="W4",F289="predictive",OR(J289="P2",J289="P3",J289="P4")),IF(OR(U289=1,U289="1"),"adequate","partial"),INDEX(Fit_Matrix!$B:$B,MATCH(P289,Fit_Matrix!$A:$A,0)))),"CHECK KEY"))</f>
        <v/>
      </c>
      <c r="U289" s="10"/>
      <c r="V289" s="10"/>
      <c r="W289" s="10"/>
      <c r="X289" s="10"/>
      <c r="Y289" s="10"/>
      <c r="Z289" s="10"/>
      <c r="AA289" s="11" t="str">
        <f t="shared" si="9"/>
        <v/>
      </c>
    </row>
    <row r="290" spans="16:27" ht="15" customHeight="1">
      <c r="P290" t="str">
        <f t="shared" si="8"/>
        <v/>
      </c>
      <c r="Q290" t="str">
        <f>IF(P290="","",IFERROR(IF(AND(H290="W7",OR(F290="causal",F290="predictive")),IF(AND(OR(K290=1,K290="1"),OR(L290=1,L290="1"),OR(M290=1,M290="1")),"adequate","partial"),IF(AND(H290="W4",F290="predictive",OR(J290="P2",J290="P3",J290="P4")),IF(OR(U290=1,U290="1"),"adequate","partial"),INDEX(Fit_Matrix!$B:$B,MATCH(P290,Fit_Matrix!$A:$A,0)))),"CHECK KEY"))</f>
        <v/>
      </c>
      <c r="U290" s="10"/>
      <c r="V290" s="10"/>
      <c r="W290" s="10"/>
      <c r="X290" s="10"/>
      <c r="Y290" s="10"/>
      <c r="Z290" s="10"/>
      <c r="AA290" s="11" t="str">
        <f t="shared" si="9"/>
        <v/>
      </c>
    </row>
    <row r="291" spans="16:27" ht="15" customHeight="1">
      <c r="P291" t="str">
        <f t="shared" si="8"/>
        <v/>
      </c>
      <c r="Q291" t="str">
        <f>IF(P291="","",IFERROR(IF(AND(H291="W7",OR(F291="causal",F291="predictive")),IF(AND(OR(K291=1,K291="1"),OR(L291=1,L291="1"),OR(M291=1,M291="1")),"adequate","partial"),IF(AND(H291="W4",F291="predictive",OR(J291="P2",J291="P3",J291="P4")),IF(OR(U291=1,U291="1"),"adequate","partial"),INDEX(Fit_Matrix!$B:$B,MATCH(P291,Fit_Matrix!$A:$A,0)))),"CHECK KEY"))</f>
        <v/>
      </c>
      <c r="U291" s="10"/>
      <c r="V291" s="10"/>
      <c r="W291" s="10"/>
      <c r="X291" s="10"/>
      <c r="Y291" s="10"/>
      <c r="Z291" s="10"/>
      <c r="AA291" s="11" t="str">
        <f t="shared" si="9"/>
        <v/>
      </c>
    </row>
    <row r="292" spans="16:27" ht="15" customHeight="1">
      <c r="P292" t="str">
        <f t="shared" si="8"/>
        <v/>
      </c>
      <c r="Q292" t="str">
        <f>IF(P292="","",IFERROR(IF(AND(H292="W7",OR(F292="causal",F292="predictive")),IF(AND(OR(K292=1,K292="1"),OR(L292=1,L292="1"),OR(M292=1,M292="1")),"adequate","partial"),IF(AND(H292="W4",F292="predictive",OR(J292="P2",J292="P3",J292="P4")),IF(OR(U292=1,U292="1"),"adequate","partial"),INDEX(Fit_Matrix!$B:$B,MATCH(P292,Fit_Matrix!$A:$A,0)))),"CHECK KEY"))</f>
        <v/>
      </c>
      <c r="U292" s="10"/>
      <c r="V292" s="10"/>
      <c r="W292" s="10"/>
      <c r="X292" s="10"/>
      <c r="Y292" s="10"/>
      <c r="Z292" s="10"/>
      <c r="AA292" s="11" t="str">
        <f t="shared" si="9"/>
        <v/>
      </c>
    </row>
    <row r="293" spans="16:27" ht="15" customHeight="1">
      <c r="P293" t="str">
        <f t="shared" si="8"/>
        <v/>
      </c>
      <c r="Q293" t="str">
        <f>IF(P293="","",IFERROR(IF(AND(H293="W7",OR(F293="causal",F293="predictive")),IF(AND(OR(K293=1,K293="1"),OR(L293=1,L293="1"),OR(M293=1,M293="1")),"adequate","partial"),IF(AND(H293="W4",F293="predictive",OR(J293="P2",J293="P3",J293="P4")),IF(OR(U293=1,U293="1"),"adequate","partial"),INDEX(Fit_Matrix!$B:$B,MATCH(P293,Fit_Matrix!$A:$A,0)))),"CHECK KEY"))</f>
        <v/>
      </c>
      <c r="U293" s="10"/>
      <c r="V293" s="10"/>
      <c r="W293" s="10"/>
      <c r="X293" s="10"/>
      <c r="Y293" s="10"/>
      <c r="Z293" s="10"/>
      <c r="AA293" s="11" t="str">
        <f t="shared" si="9"/>
        <v/>
      </c>
    </row>
    <row r="294" spans="16:27" ht="15" customHeight="1">
      <c r="P294" t="str">
        <f t="shared" si="8"/>
        <v/>
      </c>
      <c r="Q294" t="str">
        <f>IF(P294="","",IFERROR(IF(AND(H294="W7",OR(F294="causal",F294="predictive")),IF(AND(OR(K294=1,K294="1"),OR(L294=1,L294="1"),OR(M294=1,M294="1")),"adequate","partial"),IF(AND(H294="W4",F294="predictive",OR(J294="P2",J294="P3",J294="P4")),IF(OR(U294=1,U294="1"),"adequate","partial"),INDEX(Fit_Matrix!$B:$B,MATCH(P294,Fit_Matrix!$A:$A,0)))),"CHECK KEY"))</f>
        <v/>
      </c>
      <c r="U294" s="10"/>
      <c r="V294" s="10"/>
      <c r="W294" s="10"/>
      <c r="X294" s="10"/>
      <c r="Y294" s="10"/>
      <c r="Z294" s="10"/>
      <c r="AA294" s="11" t="str">
        <f t="shared" si="9"/>
        <v/>
      </c>
    </row>
    <row r="295" spans="16:27" ht="15" customHeight="1">
      <c r="P295" t="str">
        <f t="shared" si="8"/>
        <v/>
      </c>
      <c r="Q295" t="str">
        <f>IF(P295="","",IFERROR(IF(AND(H295="W7",OR(F295="causal",F295="predictive")),IF(AND(OR(K295=1,K295="1"),OR(L295=1,L295="1"),OR(M295=1,M295="1")),"adequate","partial"),IF(AND(H295="W4",F295="predictive",OR(J295="P2",J295="P3",J295="P4")),IF(OR(U295=1,U295="1"),"adequate","partial"),INDEX(Fit_Matrix!$B:$B,MATCH(P295,Fit_Matrix!$A:$A,0)))),"CHECK KEY"))</f>
        <v/>
      </c>
      <c r="U295" s="10"/>
      <c r="V295" s="10"/>
      <c r="W295" s="10"/>
      <c r="X295" s="10"/>
      <c r="Y295" s="10"/>
      <c r="Z295" s="10"/>
      <c r="AA295" s="11" t="str">
        <f t="shared" si="9"/>
        <v/>
      </c>
    </row>
    <row r="296" spans="16:27" ht="15" customHeight="1">
      <c r="P296" t="str">
        <f t="shared" si="8"/>
        <v/>
      </c>
      <c r="Q296" t="str">
        <f>IF(P296="","",IFERROR(IF(AND(H296="W7",OR(F296="causal",F296="predictive")),IF(AND(OR(K296=1,K296="1"),OR(L296=1,L296="1"),OR(M296=1,M296="1")),"adequate","partial"),IF(AND(H296="W4",F296="predictive",OR(J296="P2",J296="P3",J296="P4")),IF(OR(U296=1,U296="1"),"adequate","partial"),INDEX(Fit_Matrix!$B:$B,MATCH(P296,Fit_Matrix!$A:$A,0)))),"CHECK KEY"))</f>
        <v/>
      </c>
      <c r="U296" s="10"/>
      <c r="V296" s="10"/>
      <c r="W296" s="10"/>
      <c r="X296" s="10"/>
      <c r="Y296" s="10"/>
      <c r="Z296" s="10"/>
      <c r="AA296" s="11" t="str">
        <f t="shared" si="9"/>
        <v/>
      </c>
    </row>
    <row r="297" spans="16:27" ht="15" customHeight="1">
      <c r="P297" t="str">
        <f t="shared" si="8"/>
        <v/>
      </c>
      <c r="Q297" t="str">
        <f>IF(P297="","",IFERROR(IF(AND(H297="W7",OR(F297="causal",F297="predictive")),IF(AND(OR(K297=1,K297="1"),OR(L297=1,L297="1"),OR(M297=1,M297="1")),"adequate","partial"),IF(AND(H297="W4",F297="predictive",OR(J297="P2",J297="P3",J297="P4")),IF(OR(U297=1,U297="1"),"adequate","partial"),INDEX(Fit_Matrix!$B:$B,MATCH(P297,Fit_Matrix!$A:$A,0)))),"CHECK KEY"))</f>
        <v/>
      </c>
      <c r="U297" s="10"/>
      <c r="V297" s="10"/>
      <c r="W297" s="10"/>
      <c r="X297" s="10"/>
      <c r="Y297" s="10"/>
      <c r="Z297" s="10"/>
      <c r="AA297" s="11" t="str">
        <f t="shared" si="9"/>
        <v/>
      </c>
    </row>
    <row r="298" spans="16:27" ht="15" customHeight="1">
      <c r="P298" t="str">
        <f t="shared" si="8"/>
        <v/>
      </c>
      <c r="Q298" t="str">
        <f>IF(P298="","",IFERROR(IF(AND(H298="W7",OR(F298="causal",F298="predictive")),IF(AND(OR(K298=1,K298="1"),OR(L298=1,L298="1"),OR(M298=1,M298="1")),"adequate","partial"),IF(AND(H298="W4",F298="predictive",OR(J298="P2",J298="P3",J298="P4")),IF(OR(U298=1,U298="1"),"adequate","partial"),INDEX(Fit_Matrix!$B:$B,MATCH(P298,Fit_Matrix!$A:$A,0)))),"CHECK KEY"))</f>
        <v/>
      </c>
      <c r="U298" s="10"/>
      <c r="V298" s="10"/>
      <c r="W298" s="10"/>
      <c r="X298" s="10"/>
      <c r="Y298" s="10"/>
      <c r="Z298" s="10"/>
      <c r="AA298" s="11" t="str">
        <f t="shared" si="9"/>
        <v/>
      </c>
    </row>
    <row r="299" spans="16:27" ht="15" customHeight="1">
      <c r="P299" t="str">
        <f t="shared" si="8"/>
        <v/>
      </c>
      <c r="Q299" t="str">
        <f>IF(P299="","",IFERROR(IF(AND(H299="W7",OR(F299="causal",F299="predictive")),IF(AND(OR(K299=1,K299="1"),OR(L299=1,L299="1"),OR(M299=1,M299="1")),"adequate","partial"),IF(AND(H299="W4",F299="predictive",OR(J299="P2",J299="P3",J299="P4")),IF(OR(U299=1,U299="1"),"adequate","partial"),INDEX(Fit_Matrix!$B:$B,MATCH(P299,Fit_Matrix!$A:$A,0)))),"CHECK KEY"))</f>
        <v/>
      </c>
      <c r="U299" s="10"/>
      <c r="V299" s="10"/>
      <c r="W299" s="10"/>
      <c r="X299" s="10"/>
      <c r="Y299" s="10"/>
      <c r="Z299" s="10"/>
      <c r="AA299" s="11" t="str">
        <f t="shared" si="9"/>
        <v/>
      </c>
    </row>
    <row r="300" spans="16:27" ht="15" customHeight="1">
      <c r="P300" t="str">
        <f t="shared" si="8"/>
        <v/>
      </c>
      <c r="Q300" t="str">
        <f>IF(P300="","",IFERROR(IF(AND(H300="W7",OR(F300="causal",F300="predictive")),IF(AND(OR(K300=1,K300="1"),OR(L300=1,L300="1"),OR(M300=1,M300="1")),"adequate","partial"),IF(AND(H300="W4",F300="predictive",OR(J300="P2",J300="P3",J300="P4")),IF(OR(U300=1,U300="1"),"adequate","partial"),INDEX(Fit_Matrix!$B:$B,MATCH(P300,Fit_Matrix!$A:$A,0)))),"CHECK KEY"))</f>
        <v/>
      </c>
      <c r="U300" s="10"/>
      <c r="V300" s="10"/>
      <c r="W300" s="10"/>
      <c r="X300" s="10"/>
      <c r="Y300" s="10"/>
      <c r="Z300" s="10"/>
      <c r="AA300" s="11" t="str">
        <f t="shared" si="9"/>
        <v/>
      </c>
    </row>
    <row r="301" spans="16:27" ht="15" customHeight="1">
      <c r="P301" t="str">
        <f t="shared" si="8"/>
        <v/>
      </c>
      <c r="Q301" t="str">
        <f>IF(P301="","",IFERROR(IF(AND(H301="W7",OR(F301="causal",F301="predictive")),IF(AND(OR(K301=1,K301="1"),OR(L301=1,L301="1"),OR(M301=1,M301="1")),"adequate","partial"),IF(AND(H301="W4",F301="predictive",OR(J301="P2",J301="P3",J301="P4")),IF(OR(U301=1,U301="1"),"adequate","partial"),INDEX(Fit_Matrix!$B:$B,MATCH(P301,Fit_Matrix!$A:$A,0)))),"CHECK KEY"))</f>
        <v/>
      </c>
      <c r="U301" s="10"/>
      <c r="V301" s="10"/>
      <c r="W301" s="10"/>
      <c r="X301" s="10"/>
      <c r="Y301" s="10"/>
      <c r="Z301" s="10"/>
      <c r="AA301" s="11" t="str">
        <f t="shared" si="9"/>
        <v/>
      </c>
    </row>
    <row r="302" spans="16:27" ht="15" customHeight="1">
      <c r="P302" t="str">
        <f t="shared" si="8"/>
        <v/>
      </c>
      <c r="Q302" t="str">
        <f>IF(P302="","",IFERROR(IF(AND(H302="W7",OR(F302="causal",F302="predictive")),IF(AND(OR(K302=1,K302="1"),OR(L302=1,L302="1"),OR(M302=1,M302="1")),"adequate","partial"),IF(AND(H302="W4",F302="predictive",OR(J302="P2",J302="P3",J302="P4")),IF(OR(U302=1,U302="1"),"adequate","partial"),INDEX(Fit_Matrix!$B:$B,MATCH(P302,Fit_Matrix!$A:$A,0)))),"CHECK KEY"))</f>
        <v/>
      </c>
      <c r="U302" s="10"/>
      <c r="V302" s="10"/>
      <c r="W302" s="10"/>
      <c r="X302" s="10"/>
      <c r="Y302" s="10"/>
      <c r="Z302" s="10"/>
      <c r="AA302" s="11" t="str">
        <f t="shared" si="9"/>
        <v/>
      </c>
    </row>
    <row r="303" spans="16:27" ht="15" customHeight="1">
      <c r="P303" t="str">
        <f t="shared" si="8"/>
        <v/>
      </c>
      <c r="Q303" t="str">
        <f>IF(P303="","",IFERROR(IF(AND(H303="W7",OR(F303="causal",F303="predictive")),IF(AND(OR(K303=1,K303="1"),OR(L303=1,L303="1"),OR(M303=1,M303="1")),"adequate","partial"),IF(AND(H303="W4",F303="predictive",OR(J303="P2",J303="P3",J303="P4")),IF(OR(U303=1,U303="1"),"adequate","partial"),INDEX(Fit_Matrix!$B:$B,MATCH(P303,Fit_Matrix!$A:$A,0)))),"CHECK KEY"))</f>
        <v/>
      </c>
      <c r="U303" s="10"/>
      <c r="V303" s="10"/>
      <c r="W303" s="10"/>
      <c r="X303" s="10"/>
      <c r="Y303" s="10"/>
      <c r="Z303" s="10"/>
      <c r="AA303" s="11" t="str">
        <f t="shared" si="9"/>
        <v/>
      </c>
    </row>
    <row r="304" spans="16:27" ht="15" customHeight="1">
      <c r="P304" t="str">
        <f t="shared" si="8"/>
        <v/>
      </c>
      <c r="Q304" t="str">
        <f>IF(P304="","",IFERROR(IF(AND(H304="W7",OR(F304="causal",F304="predictive")),IF(AND(OR(K304=1,K304="1"),OR(L304=1,L304="1"),OR(M304=1,M304="1")),"adequate","partial"),IF(AND(H304="W4",F304="predictive",OR(J304="P2",J304="P3",J304="P4")),IF(OR(U304=1,U304="1"),"adequate","partial"),INDEX(Fit_Matrix!$B:$B,MATCH(P304,Fit_Matrix!$A:$A,0)))),"CHECK KEY"))</f>
        <v/>
      </c>
      <c r="U304" s="10"/>
      <c r="V304" s="10"/>
      <c r="W304" s="10"/>
      <c r="X304" s="10"/>
      <c r="Y304" s="10"/>
      <c r="Z304" s="10"/>
      <c r="AA304" s="11" t="str">
        <f t="shared" si="9"/>
        <v/>
      </c>
    </row>
    <row r="305" spans="16:27" ht="15" customHeight="1">
      <c r="P305" t="str">
        <f t="shared" si="8"/>
        <v/>
      </c>
      <c r="Q305" t="str">
        <f>IF(P305="","",IFERROR(IF(AND(H305="W7",OR(F305="causal",F305="predictive")),IF(AND(OR(K305=1,K305="1"),OR(L305=1,L305="1"),OR(M305=1,M305="1")),"adequate","partial"),IF(AND(H305="W4",F305="predictive",OR(J305="P2",J305="P3",J305="P4")),IF(OR(U305=1,U305="1"),"adequate","partial"),INDEX(Fit_Matrix!$B:$B,MATCH(P305,Fit_Matrix!$A:$A,0)))),"CHECK KEY"))</f>
        <v/>
      </c>
      <c r="U305" s="10"/>
      <c r="V305" s="10"/>
      <c r="W305" s="10"/>
      <c r="X305" s="10"/>
      <c r="Y305" s="10"/>
      <c r="Z305" s="10"/>
      <c r="AA305" s="11" t="str">
        <f t="shared" si="9"/>
        <v/>
      </c>
    </row>
    <row r="306" spans="16:27" ht="15" customHeight="1">
      <c r="P306" t="str">
        <f t="shared" si="8"/>
        <v/>
      </c>
      <c r="Q306" t="str">
        <f>IF(P306="","",IFERROR(IF(AND(H306="W7",OR(F306="causal",F306="predictive")),IF(AND(OR(K306=1,K306="1"),OR(L306=1,L306="1"),OR(M306=1,M306="1")),"adequate","partial"),IF(AND(H306="W4",F306="predictive",OR(J306="P2",J306="P3",J306="P4")),IF(OR(U306=1,U306="1"),"adequate","partial"),INDEX(Fit_Matrix!$B:$B,MATCH(P306,Fit_Matrix!$A:$A,0)))),"CHECK KEY"))</f>
        <v/>
      </c>
      <c r="U306" s="10"/>
      <c r="V306" s="10"/>
      <c r="W306" s="10"/>
      <c r="X306" s="10"/>
      <c r="Y306" s="10"/>
      <c r="Z306" s="10"/>
      <c r="AA306" s="11" t="str">
        <f t="shared" si="9"/>
        <v/>
      </c>
    </row>
    <row r="307" spans="16:27" ht="15" customHeight="1">
      <c r="P307" t="str">
        <f t="shared" si="8"/>
        <v/>
      </c>
      <c r="Q307" t="str">
        <f>IF(P307="","",IFERROR(IF(AND(H307="W7",OR(F307="causal",F307="predictive")),IF(AND(OR(K307=1,K307="1"),OR(L307=1,L307="1"),OR(M307=1,M307="1")),"adequate","partial"),IF(AND(H307="W4",F307="predictive",OR(J307="P2",J307="P3",J307="P4")),IF(OR(U307=1,U307="1"),"adequate","partial"),INDEX(Fit_Matrix!$B:$B,MATCH(P307,Fit_Matrix!$A:$A,0)))),"CHECK KEY"))</f>
        <v/>
      </c>
      <c r="U307" s="10"/>
      <c r="V307" s="10"/>
      <c r="W307" s="10"/>
      <c r="X307" s="10"/>
      <c r="Y307" s="10"/>
      <c r="Z307" s="10"/>
      <c r="AA307" s="11" t="str">
        <f t="shared" si="9"/>
        <v/>
      </c>
    </row>
    <row r="308" spans="16:27" ht="15" customHeight="1">
      <c r="P308" t="str">
        <f t="shared" si="8"/>
        <v/>
      </c>
      <c r="Q308" t="str">
        <f>IF(P308="","",IFERROR(IF(AND(H308="W7",OR(F308="causal",F308="predictive")),IF(AND(OR(K308=1,K308="1"),OR(L308=1,L308="1"),OR(M308=1,M308="1")),"adequate","partial"),IF(AND(H308="W4",F308="predictive",OR(J308="P2",J308="P3",J308="P4")),IF(OR(U308=1,U308="1"),"adequate","partial"),INDEX(Fit_Matrix!$B:$B,MATCH(P308,Fit_Matrix!$A:$A,0)))),"CHECK KEY"))</f>
        <v/>
      </c>
      <c r="U308" s="10"/>
      <c r="V308" s="10"/>
      <c r="W308" s="10"/>
      <c r="X308" s="10"/>
      <c r="Y308" s="10"/>
      <c r="Z308" s="10"/>
      <c r="AA308" s="11" t="str">
        <f t="shared" si="9"/>
        <v/>
      </c>
    </row>
    <row r="309" spans="16:27" ht="15" customHeight="1">
      <c r="P309" t="str">
        <f t="shared" si="8"/>
        <v/>
      </c>
      <c r="Q309" t="str">
        <f>IF(P309="","",IFERROR(IF(AND(H309="W7",OR(F309="causal",F309="predictive")),IF(AND(OR(K309=1,K309="1"),OR(L309=1,L309="1"),OR(M309=1,M309="1")),"adequate","partial"),IF(AND(H309="W4",F309="predictive",OR(J309="P2",J309="P3",J309="P4")),IF(OR(U309=1,U309="1"),"adequate","partial"),INDEX(Fit_Matrix!$B:$B,MATCH(P309,Fit_Matrix!$A:$A,0)))),"CHECK KEY"))</f>
        <v/>
      </c>
      <c r="U309" s="10"/>
      <c r="V309" s="10"/>
      <c r="W309" s="10"/>
      <c r="X309" s="10"/>
      <c r="Y309" s="10"/>
      <c r="Z309" s="10"/>
      <c r="AA309" s="11" t="str">
        <f t="shared" si="9"/>
        <v/>
      </c>
    </row>
    <row r="310" spans="16:27" ht="15" customHeight="1">
      <c r="P310" t="str">
        <f t="shared" si="8"/>
        <v/>
      </c>
      <c r="Q310" t="str">
        <f>IF(P310="","",IFERROR(IF(AND(H310="W7",OR(F310="causal",F310="predictive")),IF(AND(OR(K310=1,K310="1"),OR(L310=1,L310="1"),OR(M310=1,M310="1")),"adequate","partial"),IF(AND(H310="W4",F310="predictive",OR(J310="P2",J310="P3",J310="P4")),IF(OR(U310=1,U310="1"),"adequate","partial"),INDEX(Fit_Matrix!$B:$B,MATCH(P310,Fit_Matrix!$A:$A,0)))),"CHECK KEY"))</f>
        <v/>
      </c>
      <c r="U310" s="10"/>
      <c r="V310" s="10"/>
      <c r="W310" s="10"/>
      <c r="X310" s="10"/>
      <c r="Y310" s="10"/>
      <c r="Z310" s="10"/>
      <c r="AA310" s="11" t="str">
        <f t="shared" si="9"/>
        <v/>
      </c>
    </row>
    <row r="311" spans="16:27" ht="15" customHeight="1">
      <c r="P311" t="str">
        <f t="shared" si="8"/>
        <v/>
      </c>
      <c r="Q311" t="str">
        <f>IF(P311="","",IFERROR(IF(AND(H311="W7",OR(F311="causal",F311="predictive")),IF(AND(OR(K311=1,K311="1"),OR(L311=1,L311="1"),OR(M311=1,M311="1")),"adequate","partial"),IF(AND(H311="W4",F311="predictive",OR(J311="P2",J311="P3",J311="P4")),IF(OR(U311=1,U311="1"),"adequate","partial"),INDEX(Fit_Matrix!$B:$B,MATCH(P311,Fit_Matrix!$A:$A,0)))),"CHECK KEY"))</f>
        <v/>
      </c>
      <c r="U311" s="10"/>
      <c r="V311" s="10"/>
      <c r="W311" s="10"/>
      <c r="X311" s="10"/>
      <c r="Y311" s="10"/>
      <c r="Z311" s="10"/>
      <c r="AA311" s="11" t="str">
        <f t="shared" si="9"/>
        <v/>
      </c>
    </row>
    <row r="312" spans="16:27" ht="15" customHeight="1">
      <c r="P312" t="str">
        <f t="shared" si="8"/>
        <v/>
      </c>
      <c r="Q312" t="str">
        <f>IF(P312="","",IFERROR(IF(AND(H312="W7",OR(F312="causal",F312="predictive")),IF(AND(OR(K312=1,K312="1"),OR(L312=1,L312="1"),OR(M312=1,M312="1")),"adequate","partial"),IF(AND(H312="W4",F312="predictive",OR(J312="P2",J312="P3",J312="P4")),IF(OR(U312=1,U312="1"),"adequate","partial"),INDEX(Fit_Matrix!$B:$B,MATCH(P312,Fit_Matrix!$A:$A,0)))),"CHECK KEY"))</f>
        <v/>
      </c>
      <c r="U312" s="10"/>
      <c r="V312" s="10"/>
      <c r="W312" s="10"/>
      <c r="X312" s="10"/>
      <c r="Y312" s="10"/>
      <c r="Z312" s="10"/>
      <c r="AA312" s="11" t="str">
        <f t="shared" si="9"/>
        <v/>
      </c>
    </row>
    <row r="313" spans="16:27" ht="15" customHeight="1">
      <c r="P313" t="str">
        <f t="shared" si="8"/>
        <v/>
      </c>
      <c r="Q313" t="str">
        <f>IF(P313="","",IFERROR(IF(AND(H313="W7",OR(F313="causal",F313="predictive")),IF(AND(OR(K313=1,K313="1"),OR(L313=1,L313="1"),OR(M313=1,M313="1")),"adequate","partial"),IF(AND(H313="W4",F313="predictive",OR(J313="P2",J313="P3",J313="P4")),IF(OR(U313=1,U313="1"),"adequate","partial"),INDEX(Fit_Matrix!$B:$B,MATCH(P313,Fit_Matrix!$A:$A,0)))),"CHECK KEY"))</f>
        <v/>
      </c>
      <c r="U313" s="10"/>
      <c r="V313" s="10"/>
      <c r="W313" s="10"/>
      <c r="X313" s="10"/>
      <c r="Y313" s="10"/>
      <c r="Z313" s="10"/>
      <c r="AA313" s="11" t="str">
        <f t="shared" si="9"/>
        <v/>
      </c>
    </row>
    <row r="314" spans="16:27" ht="15" customHeight="1">
      <c r="P314" t="str">
        <f t="shared" si="8"/>
        <v/>
      </c>
      <c r="Q314" t="str">
        <f>IF(P314="","",IFERROR(IF(AND(H314="W7",OR(F314="causal",F314="predictive")),IF(AND(OR(K314=1,K314="1"),OR(L314=1,L314="1"),OR(M314=1,M314="1")),"adequate","partial"),IF(AND(H314="W4",F314="predictive",OR(J314="P2",J314="P3",J314="P4")),IF(OR(U314=1,U314="1"),"adequate","partial"),INDEX(Fit_Matrix!$B:$B,MATCH(P314,Fit_Matrix!$A:$A,0)))),"CHECK KEY"))</f>
        <v/>
      </c>
      <c r="U314" s="10"/>
      <c r="V314" s="10"/>
      <c r="W314" s="10"/>
      <c r="X314" s="10"/>
      <c r="Y314" s="10"/>
      <c r="Z314" s="10"/>
      <c r="AA314" s="11" t="str">
        <f t="shared" si="9"/>
        <v/>
      </c>
    </row>
    <row r="315" spans="16:27" ht="15" customHeight="1">
      <c r="P315" t="str">
        <f t="shared" si="8"/>
        <v/>
      </c>
      <c r="Q315" t="str">
        <f>IF(P315="","",IFERROR(IF(AND(H315="W7",OR(F315="causal",F315="predictive")),IF(AND(OR(K315=1,K315="1"),OR(L315=1,L315="1"),OR(M315=1,M315="1")),"adequate","partial"),IF(AND(H315="W4",F315="predictive",OR(J315="P2",J315="P3",J315="P4")),IF(OR(U315=1,U315="1"),"adequate","partial"),INDEX(Fit_Matrix!$B:$B,MATCH(P315,Fit_Matrix!$A:$A,0)))),"CHECK KEY"))</f>
        <v/>
      </c>
      <c r="U315" s="10"/>
      <c r="V315" s="10"/>
      <c r="W315" s="10"/>
      <c r="X315" s="10"/>
      <c r="Y315" s="10"/>
      <c r="Z315" s="10"/>
      <c r="AA315" s="11" t="str">
        <f t="shared" si="9"/>
        <v/>
      </c>
    </row>
    <row r="316" spans="16:27" ht="15" customHeight="1">
      <c r="P316" t="str">
        <f t="shared" si="8"/>
        <v/>
      </c>
      <c r="Q316" t="str">
        <f>IF(P316="","",IFERROR(IF(AND(H316="W7",OR(F316="causal",F316="predictive")),IF(AND(OR(K316=1,K316="1"),OR(L316=1,L316="1"),OR(M316=1,M316="1")),"adequate","partial"),IF(AND(H316="W4",F316="predictive",OR(J316="P2",J316="P3",J316="P4")),IF(OR(U316=1,U316="1"),"adequate","partial"),INDEX(Fit_Matrix!$B:$B,MATCH(P316,Fit_Matrix!$A:$A,0)))),"CHECK KEY"))</f>
        <v/>
      </c>
      <c r="U316" s="10"/>
      <c r="V316" s="10"/>
      <c r="W316" s="10"/>
      <c r="X316" s="10"/>
      <c r="Y316" s="10"/>
      <c r="Z316" s="10"/>
      <c r="AA316" s="11" t="str">
        <f t="shared" si="9"/>
        <v/>
      </c>
    </row>
    <row r="317" spans="16:27" ht="15" customHeight="1">
      <c r="P317" t="str">
        <f t="shared" si="8"/>
        <v/>
      </c>
      <c r="Q317" t="str">
        <f>IF(P317="","",IFERROR(IF(AND(H317="W7",OR(F317="causal",F317="predictive")),IF(AND(OR(K317=1,K317="1"),OR(L317=1,L317="1"),OR(M317=1,M317="1")),"adequate","partial"),IF(AND(H317="W4",F317="predictive",OR(J317="P2",J317="P3",J317="P4")),IF(OR(U317=1,U317="1"),"adequate","partial"),INDEX(Fit_Matrix!$B:$B,MATCH(P317,Fit_Matrix!$A:$A,0)))),"CHECK KEY"))</f>
        <v/>
      </c>
      <c r="U317" s="10"/>
      <c r="V317" s="10"/>
      <c r="W317" s="10"/>
      <c r="X317" s="10"/>
      <c r="Y317" s="10"/>
      <c r="Z317" s="10"/>
      <c r="AA317" s="11" t="str">
        <f t="shared" si="9"/>
        <v/>
      </c>
    </row>
    <row r="318" spans="16:27" ht="15" customHeight="1">
      <c r="P318" t="str">
        <f t="shared" si="8"/>
        <v/>
      </c>
      <c r="Q318" t="str">
        <f>IF(P318="","",IFERROR(IF(AND(H318="W7",OR(F318="causal",F318="predictive")),IF(AND(OR(K318=1,K318="1"),OR(L318=1,L318="1"),OR(M318=1,M318="1")),"adequate","partial"),IF(AND(H318="W4",F318="predictive",OR(J318="P2",J318="P3",J318="P4")),IF(OR(U318=1,U318="1"),"adequate","partial"),INDEX(Fit_Matrix!$B:$B,MATCH(P318,Fit_Matrix!$A:$A,0)))),"CHECK KEY"))</f>
        <v/>
      </c>
      <c r="U318" s="10"/>
      <c r="V318" s="10"/>
      <c r="W318" s="10"/>
      <c r="X318" s="10"/>
      <c r="Y318" s="10"/>
      <c r="Z318" s="10"/>
      <c r="AA318" s="11" t="str">
        <f t="shared" si="9"/>
        <v/>
      </c>
    </row>
    <row r="319" spans="16:27" ht="15" customHeight="1">
      <c r="P319" t="str">
        <f t="shared" si="8"/>
        <v/>
      </c>
      <c r="Q319" t="str">
        <f>IF(P319="","",IFERROR(IF(AND(H319="W7",OR(F319="causal",F319="predictive")),IF(AND(OR(K319=1,K319="1"),OR(L319=1,L319="1"),OR(M319=1,M319="1")),"adequate","partial"),IF(AND(H319="W4",F319="predictive",OR(J319="P2",J319="P3",J319="P4")),IF(OR(U319=1,U319="1"),"adequate","partial"),INDEX(Fit_Matrix!$B:$B,MATCH(P319,Fit_Matrix!$A:$A,0)))),"CHECK KEY"))</f>
        <v/>
      </c>
      <c r="U319" s="10"/>
      <c r="V319" s="10"/>
      <c r="W319" s="10"/>
      <c r="X319" s="10"/>
      <c r="Y319" s="10"/>
      <c r="Z319" s="10"/>
      <c r="AA319" s="11" t="str">
        <f t="shared" si="9"/>
        <v/>
      </c>
    </row>
    <row r="320" spans="16:27" ht="15" customHeight="1">
      <c r="P320" t="str">
        <f t="shared" si="8"/>
        <v/>
      </c>
      <c r="Q320" t="str">
        <f>IF(P320="","",IFERROR(IF(AND(H320="W7",OR(F320="causal",F320="predictive")),IF(AND(OR(K320=1,K320="1"),OR(L320=1,L320="1"),OR(M320=1,M320="1")),"adequate","partial"),IF(AND(H320="W4",F320="predictive",OR(J320="P2",J320="P3",J320="P4")),IF(OR(U320=1,U320="1"),"adequate","partial"),INDEX(Fit_Matrix!$B:$B,MATCH(P320,Fit_Matrix!$A:$A,0)))),"CHECK KEY"))</f>
        <v/>
      </c>
      <c r="U320" s="10"/>
      <c r="V320" s="10"/>
      <c r="W320" s="10"/>
      <c r="X320" s="10"/>
      <c r="Y320" s="10"/>
      <c r="Z320" s="10"/>
      <c r="AA320" s="11" t="str">
        <f t="shared" si="9"/>
        <v/>
      </c>
    </row>
    <row r="321" spans="16:27" ht="15" customHeight="1">
      <c r="P321" t="str">
        <f t="shared" si="8"/>
        <v/>
      </c>
      <c r="Q321" t="str">
        <f>IF(P321="","",IFERROR(IF(AND(H321="W7",OR(F321="causal",F321="predictive")),IF(AND(OR(K321=1,K321="1"),OR(L321=1,L321="1"),OR(M321=1,M321="1")),"adequate","partial"),IF(AND(H321="W4",F321="predictive",OR(J321="P2",J321="P3",J321="P4")),IF(OR(U321=1,U321="1"),"adequate","partial"),INDEX(Fit_Matrix!$B:$B,MATCH(P321,Fit_Matrix!$A:$A,0)))),"CHECK KEY"))</f>
        <v/>
      </c>
      <c r="U321" s="10"/>
      <c r="V321" s="10"/>
      <c r="W321" s="10"/>
      <c r="X321" s="10"/>
      <c r="Y321" s="10"/>
      <c r="Z321" s="10"/>
      <c r="AA321" s="11" t="str">
        <f t="shared" si="9"/>
        <v/>
      </c>
    </row>
    <row r="322" spans="16:27" ht="15" customHeight="1">
      <c r="P322" t="str">
        <f t="shared" ref="P322:P385" si="10">IF(OR(F322="",H322="",J322=""),"",J322&amp;"|"&amp;F322&amp;"|"&amp;IF(H322="W3","W3_"&amp;IF(I322="","unknown",I322),H322))</f>
        <v/>
      </c>
      <c r="Q322" t="str">
        <f>IF(P322="","",IFERROR(IF(AND(H322="W7",OR(F322="causal",F322="predictive")),IF(AND(OR(K322=1,K322="1"),OR(L322=1,L322="1"),OR(M322=1,M322="1")),"adequate","partial"),IF(AND(H322="W4",F322="predictive",OR(J322="P2",J322="P3",J322="P4")),IF(OR(U322=1,U322="1"),"adequate","partial"),INDEX(Fit_Matrix!$B:$B,MATCH(P322,Fit_Matrix!$A:$A,0)))),"CHECK KEY"))</f>
        <v/>
      </c>
      <c r="U322" s="10"/>
      <c r="V322" s="10"/>
      <c r="W322" s="10"/>
      <c r="X322" s="10"/>
      <c r="Y322" s="10"/>
      <c r="Z322" s="10"/>
      <c r="AA322" s="11" t="str">
        <f t="shared" ref="AA322:AA385" si="11">IF(A322="","",IF(AND(J322="P4",F322="causal"),"P4-CAUSAL",""))</f>
        <v/>
      </c>
    </row>
    <row r="323" spans="16:27" ht="15" customHeight="1">
      <c r="P323" t="str">
        <f t="shared" si="10"/>
        <v/>
      </c>
      <c r="Q323" t="str">
        <f>IF(P323="","",IFERROR(IF(AND(H323="W7",OR(F323="causal",F323="predictive")),IF(AND(OR(K323=1,K323="1"),OR(L323=1,L323="1"),OR(M323=1,M323="1")),"adequate","partial"),IF(AND(H323="W4",F323="predictive",OR(J323="P2",J323="P3",J323="P4")),IF(OR(U323=1,U323="1"),"adequate","partial"),INDEX(Fit_Matrix!$B:$B,MATCH(P323,Fit_Matrix!$A:$A,0)))),"CHECK KEY"))</f>
        <v/>
      </c>
      <c r="U323" s="10"/>
      <c r="V323" s="10"/>
      <c r="W323" s="10"/>
      <c r="X323" s="10"/>
      <c r="Y323" s="10"/>
      <c r="Z323" s="10"/>
      <c r="AA323" s="11" t="str">
        <f t="shared" si="11"/>
        <v/>
      </c>
    </row>
    <row r="324" spans="16:27" ht="15" customHeight="1">
      <c r="P324" t="str">
        <f t="shared" si="10"/>
        <v/>
      </c>
      <c r="Q324" t="str">
        <f>IF(P324="","",IFERROR(IF(AND(H324="W7",OR(F324="causal",F324="predictive")),IF(AND(OR(K324=1,K324="1"),OR(L324=1,L324="1"),OR(M324=1,M324="1")),"adequate","partial"),IF(AND(H324="W4",F324="predictive",OR(J324="P2",J324="P3",J324="P4")),IF(OR(U324=1,U324="1"),"adequate","partial"),INDEX(Fit_Matrix!$B:$B,MATCH(P324,Fit_Matrix!$A:$A,0)))),"CHECK KEY"))</f>
        <v/>
      </c>
      <c r="U324" s="10"/>
      <c r="V324" s="10"/>
      <c r="W324" s="10"/>
      <c r="X324" s="10"/>
      <c r="Y324" s="10"/>
      <c r="Z324" s="10"/>
      <c r="AA324" s="11" t="str">
        <f t="shared" si="11"/>
        <v/>
      </c>
    </row>
    <row r="325" spans="16:27" ht="15" customHeight="1">
      <c r="P325" t="str">
        <f t="shared" si="10"/>
        <v/>
      </c>
      <c r="Q325" t="str">
        <f>IF(P325="","",IFERROR(IF(AND(H325="W7",OR(F325="causal",F325="predictive")),IF(AND(OR(K325=1,K325="1"),OR(L325=1,L325="1"),OR(M325=1,M325="1")),"adequate","partial"),IF(AND(H325="W4",F325="predictive",OR(J325="P2",J325="P3",J325="P4")),IF(OR(U325=1,U325="1"),"adequate","partial"),INDEX(Fit_Matrix!$B:$B,MATCH(P325,Fit_Matrix!$A:$A,0)))),"CHECK KEY"))</f>
        <v/>
      </c>
      <c r="U325" s="10"/>
      <c r="V325" s="10"/>
      <c r="W325" s="10"/>
      <c r="X325" s="10"/>
      <c r="Y325" s="10"/>
      <c r="Z325" s="10"/>
      <c r="AA325" s="11" t="str">
        <f t="shared" si="11"/>
        <v/>
      </c>
    </row>
    <row r="326" spans="16:27" ht="15" customHeight="1">
      <c r="P326" t="str">
        <f t="shared" si="10"/>
        <v/>
      </c>
      <c r="Q326" t="str">
        <f>IF(P326="","",IFERROR(IF(AND(H326="W7",OR(F326="causal",F326="predictive")),IF(AND(OR(K326=1,K326="1"),OR(L326=1,L326="1"),OR(M326=1,M326="1")),"adequate","partial"),IF(AND(H326="W4",F326="predictive",OR(J326="P2",J326="P3",J326="P4")),IF(OR(U326=1,U326="1"),"adequate","partial"),INDEX(Fit_Matrix!$B:$B,MATCH(P326,Fit_Matrix!$A:$A,0)))),"CHECK KEY"))</f>
        <v/>
      </c>
      <c r="U326" s="10"/>
      <c r="V326" s="10"/>
      <c r="W326" s="10"/>
      <c r="X326" s="10"/>
      <c r="Y326" s="10"/>
      <c r="Z326" s="10"/>
      <c r="AA326" s="11" t="str">
        <f t="shared" si="11"/>
        <v/>
      </c>
    </row>
    <row r="327" spans="16:27" ht="15" customHeight="1">
      <c r="P327" t="str">
        <f t="shared" si="10"/>
        <v/>
      </c>
      <c r="Q327" t="str">
        <f>IF(P327="","",IFERROR(IF(AND(H327="W7",OR(F327="causal",F327="predictive")),IF(AND(OR(K327=1,K327="1"),OR(L327=1,L327="1"),OR(M327=1,M327="1")),"adequate","partial"),IF(AND(H327="W4",F327="predictive",OR(J327="P2",J327="P3",J327="P4")),IF(OR(U327=1,U327="1"),"adequate","partial"),INDEX(Fit_Matrix!$B:$B,MATCH(P327,Fit_Matrix!$A:$A,0)))),"CHECK KEY"))</f>
        <v/>
      </c>
      <c r="U327" s="10"/>
      <c r="V327" s="10"/>
      <c r="W327" s="10"/>
      <c r="X327" s="10"/>
      <c r="Y327" s="10"/>
      <c r="Z327" s="10"/>
      <c r="AA327" s="11" t="str">
        <f t="shared" si="11"/>
        <v/>
      </c>
    </row>
    <row r="328" spans="16:27" ht="15" customHeight="1">
      <c r="P328" t="str">
        <f t="shared" si="10"/>
        <v/>
      </c>
      <c r="Q328" t="str">
        <f>IF(P328="","",IFERROR(IF(AND(H328="W7",OR(F328="causal",F328="predictive")),IF(AND(OR(K328=1,K328="1"),OR(L328=1,L328="1"),OR(M328=1,M328="1")),"adequate","partial"),IF(AND(H328="W4",F328="predictive",OR(J328="P2",J328="P3",J328="P4")),IF(OR(U328=1,U328="1"),"adequate","partial"),INDEX(Fit_Matrix!$B:$B,MATCH(P328,Fit_Matrix!$A:$A,0)))),"CHECK KEY"))</f>
        <v/>
      </c>
      <c r="U328" s="10"/>
      <c r="V328" s="10"/>
      <c r="W328" s="10"/>
      <c r="X328" s="10"/>
      <c r="Y328" s="10"/>
      <c r="Z328" s="10"/>
      <c r="AA328" s="11" t="str">
        <f t="shared" si="11"/>
        <v/>
      </c>
    </row>
    <row r="329" spans="16:27" ht="15" customHeight="1">
      <c r="P329" t="str">
        <f t="shared" si="10"/>
        <v/>
      </c>
      <c r="Q329" t="str">
        <f>IF(P329="","",IFERROR(IF(AND(H329="W7",OR(F329="causal",F329="predictive")),IF(AND(OR(K329=1,K329="1"),OR(L329=1,L329="1"),OR(M329=1,M329="1")),"adequate","partial"),IF(AND(H329="W4",F329="predictive",OR(J329="P2",J329="P3",J329="P4")),IF(OR(U329=1,U329="1"),"adequate","partial"),INDEX(Fit_Matrix!$B:$B,MATCH(P329,Fit_Matrix!$A:$A,0)))),"CHECK KEY"))</f>
        <v/>
      </c>
      <c r="U329" s="10"/>
      <c r="V329" s="10"/>
      <c r="W329" s="10"/>
      <c r="X329" s="10"/>
      <c r="Y329" s="10"/>
      <c r="Z329" s="10"/>
      <c r="AA329" s="11" t="str">
        <f t="shared" si="11"/>
        <v/>
      </c>
    </row>
    <row r="330" spans="16:27" ht="15" customHeight="1">
      <c r="P330" t="str">
        <f t="shared" si="10"/>
        <v/>
      </c>
      <c r="Q330" t="str">
        <f>IF(P330="","",IFERROR(IF(AND(H330="W7",OR(F330="causal",F330="predictive")),IF(AND(OR(K330=1,K330="1"),OR(L330=1,L330="1"),OR(M330=1,M330="1")),"adequate","partial"),IF(AND(H330="W4",F330="predictive",OR(J330="P2",J330="P3",J330="P4")),IF(OR(U330=1,U330="1"),"adequate","partial"),INDEX(Fit_Matrix!$B:$B,MATCH(P330,Fit_Matrix!$A:$A,0)))),"CHECK KEY"))</f>
        <v/>
      </c>
      <c r="U330" s="10"/>
      <c r="V330" s="10"/>
      <c r="W330" s="10"/>
      <c r="X330" s="10"/>
      <c r="Y330" s="10"/>
      <c r="Z330" s="10"/>
      <c r="AA330" s="11" t="str">
        <f t="shared" si="11"/>
        <v/>
      </c>
    </row>
    <row r="331" spans="16:27" ht="15" customHeight="1">
      <c r="P331" t="str">
        <f t="shared" si="10"/>
        <v/>
      </c>
      <c r="Q331" t="str">
        <f>IF(P331="","",IFERROR(IF(AND(H331="W7",OR(F331="causal",F331="predictive")),IF(AND(OR(K331=1,K331="1"),OR(L331=1,L331="1"),OR(M331=1,M331="1")),"adequate","partial"),IF(AND(H331="W4",F331="predictive",OR(J331="P2",J331="P3",J331="P4")),IF(OR(U331=1,U331="1"),"adequate","partial"),INDEX(Fit_Matrix!$B:$B,MATCH(P331,Fit_Matrix!$A:$A,0)))),"CHECK KEY"))</f>
        <v/>
      </c>
      <c r="U331" s="10"/>
      <c r="V331" s="10"/>
      <c r="W331" s="10"/>
      <c r="X331" s="10"/>
      <c r="Y331" s="10"/>
      <c r="Z331" s="10"/>
      <c r="AA331" s="11" t="str">
        <f t="shared" si="11"/>
        <v/>
      </c>
    </row>
    <row r="332" spans="16:27" ht="15" customHeight="1">
      <c r="P332" t="str">
        <f t="shared" si="10"/>
        <v/>
      </c>
      <c r="Q332" t="str">
        <f>IF(P332="","",IFERROR(IF(AND(H332="W7",OR(F332="causal",F332="predictive")),IF(AND(OR(K332=1,K332="1"),OR(L332=1,L332="1"),OR(M332=1,M332="1")),"adequate","partial"),IF(AND(H332="W4",F332="predictive",OR(J332="P2",J332="P3",J332="P4")),IF(OR(U332=1,U332="1"),"adequate","partial"),INDEX(Fit_Matrix!$B:$B,MATCH(P332,Fit_Matrix!$A:$A,0)))),"CHECK KEY"))</f>
        <v/>
      </c>
      <c r="U332" s="10"/>
      <c r="V332" s="10"/>
      <c r="W332" s="10"/>
      <c r="X332" s="10"/>
      <c r="Y332" s="10"/>
      <c r="Z332" s="10"/>
      <c r="AA332" s="11" t="str">
        <f t="shared" si="11"/>
        <v/>
      </c>
    </row>
    <row r="333" spans="16:27" ht="15" customHeight="1">
      <c r="P333" t="str">
        <f t="shared" si="10"/>
        <v/>
      </c>
      <c r="Q333" t="str">
        <f>IF(P333="","",IFERROR(IF(AND(H333="W7",OR(F333="causal",F333="predictive")),IF(AND(OR(K333=1,K333="1"),OR(L333=1,L333="1"),OR(M333=1,M333="1")),"adequate","partial"),IF(AND(H333="W4",F333="predictive",OR(J333="P2",J333="P3",J333="P4")),IF(OR(U333=1,U333="1"),"adequate","partial"),INDEX(Fit_Matrix!$B:$B,MATCH(P333,Fit_Matrix!$A:$A,0)))),"CHECK KEY"))</f>
        <v/>
      </c>
      <c r="U333" s="10"/>
      <c r="V333" s="10"/>
      <c r="W333" s="10"/>
      <c r="X333" s="10"/>
      <c r="Y333" s="10"/>
      <c r="Z333" s="10"/>
      <c r="AA333" s="11" t="str">
        <f t="shared" si="11"/>
        <v/>
      </c>
    </row>
    <row r="334" spans="16:27" ht="15" customHeight="1">
      <c r="P334" t="str">
        <f t="shared" si="10"/>
        <v/>
      </c>
      <c r="Q334" t="str">
        <f>IF(P334="","",IFERROR(IF(AND(H334="W7",OR(F334="causal",F334="predictive")),IF(AND(OR(K334=1,K334="1"),OR(L334=1,L334="1"),OR(M334=1,M334="1")),"adequate","partial"),IF(AND(H334="W4",F334="predictive",OR(J334="P2",J334="P3",J334="P4")),IF(OR(U334=1,U334="1"),"adequate","partial"),INDEX(Fit_Matrix!$B:$B,MATCH(P334,Fit_Matrix!$A:$A,0)))),"CHECK KEY"))</f>
        <v/>
      </c>
      <c r="U334" s="10"/>
      <c r="V334" s="10"/>
      <c r="W334" s="10"/>
      <c r="X334" s="10"/>
      <c r="Y334" s="10"/>
      <c r="Z334" s="10"/>
      <c r="AA334" s="11" t="str">
        <f t="shared" si="11"/>
        <v/>
      </c>
    </row>
    <row r="335" spans="16:27" ht="15" customHeight="1">
      <c r="P335" t="str">
        <f t="shared" si="10"/>
        <v/>
      </c>
      <c r="Q335" t="str">
        <f>IF(P335="","",IFERROR(IF(AND(H335="W7",OR(F335="causal",F335="predictive")),IF(AND(OR(K335=1,K335="1"),OR(L335=1,L335="1"),OR(M335=1,M335="1")),"adequate","partial"),IF(AND(H335="W4",F335="predictive",OR(J335="P2",J335="P3",J335="P4")),IF(OR(U335=1,U335="1"),"adequate","partial"),INDEX(Fit_Matrix!$B:$B,MATCH(P335,Fit_Matrix!$A:$A,0)))),"CHECK KEY"))</f>
        <v/>
      </c>
      <c r="U335" s="10"/>
      <c r="V335" s="10"/>
      <c r="W335" s="10"/>
      <c r="X335" s="10"/>
      <c r="Y335" s="10"/>
      <c r="Z335" s="10"/>
      <c r="AA335" s="11" t="str">
        <f t="shared" si="11"/>
        <v/>
      </c>
    </row>
    <row r="336" spans="16:27" ht="15" customHeight="1">
      <c r="P336" t="str">
        <f t="shared" si="10"/>
        <v/>
      </c>
      <c r="Q336" t="str">
        <f>IF(P336="","",IFERROR(IF(AND(H336="W7",OR(F336="causal",F336="predictive")),IF(AND(OR(K336=1,K336="1"),OR(L336=1,L336="1"),OR(M336=1,M336="1")),"adequate","partial"),IF(AND(H336="W4",F336="predictive",OR(J336="P2",J336="P3",J336="P4")),IF(OR(U336=1,U336="1"),"adequate","partial"),INDEX(Fit_Matrix!$B:$B,MATCH(P336,Fit_Matrix!$A:$A,0)))),"CHECK KEY"))</f>
        <v/>
      </c>
      <c r="U336" s="10"/>
      <c r="V336" s="10"/>
      <c r="W336" s="10"/>
      <c r="X336" s="10"/>
      <c r="Y336" s="10"/>
      <c r="Z336" s="10"/>
      <c r="AA336" s="11" t="str">
        <f t="shared" si="11"/>
        <v/>
      </c>
    </row>
    <row r="337" spans="16:27" ht="15" customHeight="1">
      <c r="P337" t="str">
        <f t="shared" si="10"/>
        <v/>
      </c>
      <c r="Q337" t="str">
        <f>IF(P337="","",IFERROR(IF(AND(H337="W7",OR(F337="causal",F337="predictive")),IF(AND(OR(K337=1,K337="1"),OR(L337=1,L337="1"),OR(M337=1,M337="1")),"adequate","partial"),IF(AND(H337="W4",F337="predictive",OR(J337="P2",J337="P3",J337="P4")),IF(OR(U337=1,U337="1"),"adequate","partial"),INDEX(Fit_Matrix!$B:$B,MATCH(P337,Fit_Matrix!$A:$A,0)))),"CHECK KEY"))</f>
        <v/>
      </c>
      <c r="U337" s="10"/>
      <c r="V337" s="10"/>
      <c r="W337" s="10"/>
      <c r="X337" s="10"/>
      <c r="Y337" s="10"/>
      <c r="Z337" s="10"/>
      <c r="AA337" s="11" t="str">
        <f t="shared" si="11"/>
        <v/>
      </c>
    </row>
    <row r="338" spans="16:27" ht="15" customHeight="1">
      <c r="P338" t="str">
        <f t="shared" si="10"/>
        <v/>
      </c>
      <c r="Q338" t="str">
        <f>IF(P338="","",IFERROR(IF(AND(H338="W7",OR(F338="causal",F338="predictive")),IF(AND(OR(K338=1,K338="1"),OR(L338=1,L338="1"),OR(M338=1,M338="1")),"adequate","partial"),IF(AND(H338="W4",F338="predictive",OR(J338="P2",J338="P3",J338="P4")),IF(OR(U338=1,U338="1"),"adequate","partial"),INDEX(Fit_Matrix!$B:$B,MATCH(P338,Fit_Matrix!$A:$A,0)))),"CHECK KEY"))</f>
        <v/>
      </c>
      <c r="U338" s="10"/>
      <c r="V338" s="10"/>
      <c r="W338" s="10"/>
      <c r="X338" s="10"/>
      <c r="Y338" s="10"/>
      <c r="Z338" s="10"/>
      <c r="AA338" s="11" t="str">
        <f t="shared" si="11"/>
        <v/>
      </c>
    </row>
    <row r="339" spans="16:27" ht="15" customHeight="1">
      <c r="P339" t="str">
        <f t="shared" si="10"/>
        <v/>
      </c>
      <c r="Q339" t="str">
        <f>IF(P339="","",IFERROR(IF(AND(H339="W7",OR(F339="causal",F339="predictive")),IF(AND(OR(K339=1,K339="1"),OR(L339=1,L339="1"),OR(M339=1,M339="1")),"adequate","partial"),IF(AND(H339="W4",F339="predictive",OR(J339="P2",J339="P3",J339="P4")),IF(OR(U339=1,U339="1"),"adequate","partial"),INDEX(Fit_Matrix!$B:$B,MATCH(P339,Fit_Matrix!$A:$A,0)))),"CHECK KEY"))</f>
        <v/>
      </c>
      <c r="U339" s="10"/>
      <c r="V339" s="10"/>
      <c r="W339" s="10"/>
      <c r="X339" s="10"/>
      <c r="Y339" s="10"/>
      <c r="Z339" s="10"/>
      <c r="AA339" s="11" t="str">
        <f t="shared" si="11"/>
        <v/>
      </c>
    </row>
    <row r="340" spans="16:27" ht="15" customHeight="1">
      <c r="P340" t="str">
        <f t="shared" si="10"/>
        <v/>
      </c>
      <c r="Q340" t="str">
        <f>IF(P340="","",IFERROR(IF(AND(H340="W7",OR(F340="causal",F340="predictive")),IF(AND(OR(K340=1,K340="1"),OR(L340=1,L340="1"),OR(M340=1,M340="1")),"adequate","partial"),IF(AND(H340="W4",F340="predictive",OR(J340="P2",J340="P3",J340="P4")),IF(OR(U340=1,U340="1"),"adequate","partial"),INDEX(Fit_Matrix!$B:$B,MATCH(P340,Fit_Matrix!$A:$A,0)))),"CHECK KEY"))</f>
        <v/>
      </c>
      <c r="U340" s="10"/>
      <c r="V340" s="10"/>
      <c r="W340" s="10"/>
      <c r="X340" s="10"/>
      <c r="Y340" s="10"/>
      <c r="Z340" s="10"/>
      <c r="AA340" s="11" t="str">
        <f t="shared" si="11"/>
        <v/>
      </c>
    </row>
    <row r="341" spans="16:27" ht="15" customHeight="1">
      <c r="P341" t="str">
        <f t="shared" si="10"/>
        <v/>
      </c>
      <c r="Q341" t="str">
        <f>IF(P341="","",IFERROR(IF(AND(H341="W7",OR(F341="causal",F341="predictive")),IF(AND(OR(K341=1,K341="1"),OR(L341=1,L341="1"),OR(M341=1,M341="1")),"adequate","partial"),IF(AND(H341="W4",F341="predictive",OR(J341="P2",J341="P3",J341="P4")),IF(OR(U341=1,U341="1"),"adequate","partial"),INDEX(Fit_Matrix!$B:$B,MATCH(P341,Fit_Matrix!$A:$A,0)))),"CHECK KEY"))</f>
        <v/>
      </c>
      <c r="U341" s="10"/>
      <c r="V341" s="10"/>
      <c r="W341" s="10"/>
      <c r="X341" s="10"/>
      <c r="Y341" s="10"/>
      <c r="Z341" s="10"/>
      <c r="AA341" s="11" t="str">
        <f t="shared" si="11"/>
        <v/>
      </c>
    </row>
    <row r="342" spans="16:27" ht="15" customHeight="1">
      <c r="P342" t="str">
        <f t="shared" si="10"/>
        <v/>
      </c>
      <c r="Q342" t="str">
        <f>IF(P342="","",IFERROR(IF(AND(H342="W7",OR(F342="causal",F342="predictive")),IF(AND(OR(K342=1,K342="1"),OR(L342=1,L342="1"),OR(M342=1,M342="1")),"adequate","partial"),IF(AND(H342="W4",F342="predictive",OR(J342="P2",J342="P3",J342="P4")),IF(OR(U342=1,U342="1"),"adequate","partial"),INDEX(Fit_Matrix!$B:$B,MATCH(P342,Fit_Matrix!$A:$A,0)))),"CHECK KEY"))</f>
        <v/>
      </c>
      <c r="U342" s="10"/>
      <c r="V342" s="10"/>
      <c r="W342" s="10"/>
      <c r="X342" s="10"/>
      <c r="Y342" s="10"/>
      <c r="Z342" s="10"/>
      <c r="AA342" s="11" t="str">
        <f t="shared" si="11"/>
        <v/>
      </c>
    </row>
    <row r="343" spans="16:27" ht="15" customHeight="1">
      <c r="P343" t="str">
        <f t="shared" si="10"/>
        <v/>
      </c>
      <c r="Q343" t="str">
        <f>IF(P343="","",IFERROR(IF(AND(H343="W7",OR(F343="causal",F343="predictive")),IF(AND(OR(K343=1,K343="1"),OR(L343=1,L343="1"),OR(M343=1,M343="1")),"adequate","partial"),IF(AND(H343="W4",F343="predictive",OR(J343="P2",J343="P3",J343="P4")),IF(OR(U343=1,U343="1"),"adequate","partial"),INDEX(Fit_Matrix!$B:$B,MATCH(P343,Fit_Matrix!$A:$A,0)))),"CHECK KEY"))</f>
        <v/>
      </c>
      <c r="U343" s="10"/>
      <c r="V343" s="10"/>
      <c r="W343" s="10"/>
      <c r="X343" s="10"/>
      <c r="Y343" s="10"/>
      <c r="Z343" s="10"/>
      <c r="AA343" s="11" t="str">
        <f t="shared" si="11"/>
        <v/>
      </c>
    </row>
    <row r="344" spans="16:27" ht="15" customHeight="1">
      <c r="P344" t="str">
        <f t="shared" si="10"/>
        <v/>
      </c>
      <c r="Q344" t="str">
        <f>IF(P344="","",IFERROR(IF(AND(H344="W7",OR(F344="causal",F344="predictive")),IF(AND(OR(K344=1,K344="1"),OR(L344=1,L344="1"),OR(M344=1,M344="1")),"adequate","partial"),IF(AND(H344="W4",F344="predictive",OR(J344="P2",J344="P3",J344="P4")),IF(OR(U344=1,U344="1"),"adequate","partial"),INDEX(Fit_Matrix!$B:$B,MATCH(P344,Fit_Matrix!$A:$A,0)))),"CHECK KEY"))</f>
        <v/>
      </c>
      <c r="U344" s="10"/>
      <c r="V344" s="10"/>
      <c r="W344" s="10"/>
      <c r="X344" s="10"/>
      <c r="Y344" s="10"/>
      <c r="Z344" s="10"/>
      <c r="AA344" s="11" t="str">
        <f t="shared" si="11"/>
        <v/>
      </c>
    </row>
    <row r="345" spans="16:27" ht="15" customHeight="1">
      <c r="P345" t="str">
        <f t="shared" si="10"/>
        <v/>
      </c>
      <c r="Q345" t="str">
        <f>IF(P345="","",IFERROR(IF(AND(H345="W7",OR(F345="causal",F345="predictive")),IF(AND(OR(K345=1,K345="1"),OR(L345=1,L345="1"),OR(M345=1,M345="1")),"adequate","partial"),IF(AND(H345="W4",F345="predictive",OR(J345="P2",J345="P3",J345="P4")),IF(OR(U345=1,U345="1"),"adequate","partial"),INDEX(Fit_Matrix!$B:$B,MATCH(P345,Fit_Matrix!$A:$A,0)))),"CHECK KEY"))</f>
        <v/>
      </c>
      <c r="U345" s="10"/>
      <c r="V345" s="10"/>
      <c r="W345" s="10"/>
      <c r="X345" s="10"/>
      <c r="Y345" s="10"/>
      <c r="Z345" s="10"/>
      <c r="AA345" s="11" t="str">
        <f t="shared" si="11"/>
        <v/>
      </c>
    </row>
    <row r="346" spans="16:27" ht="15" customHeight="1">
      <c r="P346" t="str">
        <f t="shared" si="10"/>
        <v/>
      </c>
      <c r="Q346" t="str">
        <f>IF(P346="","",IFERROR(IF(AND(H346="W7",OR(F346="causal",F346="predictive")),IF(AND(OR(K346=1,K346="1"),OR(L346=1,L346="1"),OR(M346=1,M346="1")),"adequate","partial"),IF(AND(H346="W4",F346="predictive",OR(J346="P2",J346="P3",J346="P4")),IF(OR(U346=1,U346="1"),"adequate","partial"),INDEX(Fit_Matrix!$B:$B,MATCH(P346,Fit_Matrix!$A:$A,0)))),"CHECK KEY"))</f>
        <v/>
      </c>
      <c r="U346" s="10"/>
      <c r="V346" s="10"/>
      <c r="W346" s="10"/>
      <c r="X346" s="10"/>
      <c r="Y346" s="10"/>
      <c r="Z346" s="10"/>
      <c r="AA346" s="11" t="str">
        <f t="shared" si="11"/>
        <v/>
      </c>
    </row>
    <row r="347" spans="16:27" ht="15" customHeight="1">
      <c r="P347" t="str">
        <f t="shared" si="10"/>
        <v/>
      </c>
      <c r="Q347" t="str">
        <f>IF(P347="","",IFERROR(IF(AND(H347="W7",OR(F347="causal",F347="predictive")),IF(AND(OR(K347=1,K347="1"),OR(L347=1,L347="1"),OR(M347=1,M347="1")),"adequate","partial"),IF(AND(H347="W4",F347="predictive",OR(J347="P2",J347="P3",J347="P4")),IF(OR(U347=1,U347="1"),"adequate","partial"),INDEX(Fit_Matrix!$B:$B,MATCH(P347,Fit_Matrix!$A:$A,0)))),"CHECK KEY"))</f>
        <v/>
      </c>
      <c r="U347" s="10"/>
      <c r="V347" s="10"/>
      <c r="W347" s="10"/>
      <c r="X347" s="10"/>
      <c r="Y347" s="10"/>
      <c r="Z347" s="10"/>
      <c r="AA347" s="11" t="str">
        <f t="shared" si="11"/>
        <v/>
      </c>
    </row>
    <row r="348" spans="16:27" ht="15" customHeight="1">
      <c r="P348" t="str">
        <f t="shared" si="10"/>
        <v/>
      </c>
      <c r="Q348" t="str">
        <f>IF(P348="","",IFERROR(IF(AND(H348="W7",OR(F348="causal",F348="predictive")),IF(AND(OR(K348=1,K348="1"),OR(L348=1,L348="1"),OR(M348=1,M348="1")),"adequate","partial"),IF(AND(H348="W4",F348="predictive",OR(J348="P2",J348="P3",J348="P4")),IF(OR(U348=1,U348="1"),"adequate","partial"),INDEX(Fit_Matrix!$B:$B,MATCH(P348,Fit_Matrix!$A:$A,0)))),"CHECK KEY"))</f>
        <v/>
      </c>
      <c r="U348" s="10"/>
      <c r="V348" s="10"/>
      <c r="W348" s="10"/>
      <c r="X348" s="10"/>
      <c r="Y348" s="10"/>
      <c r="Z348" s="10"/>
      <c r="AA348" s="11" t="str">
        <f t="shared" si="11"/>
        <v/>
      </c>
    </row>
    <row r="349" spans="16:27" ht="15" customHeight="1">
      <c r="P349" t="str">
        <f t="shared" si="10"/>
        <v/>
      </c>
      <c r="Q349" t="str">
        <f>IF(P349="","",IFERROR(IF(AND(H349="W7",OR(F349="causal",F349="predictive")),IF(AND(OR(K349=1,K349="1"),OR(L349=1,L349="1"),OR(M349=1,M349="1")),"adequate","partial"),IF(AND(H349="W4",F349="predictive",OR(J349="P2",J349="P3",J349="P4")),IF(OR(U349=1,U349="1"),"adequate","partial"),INDEX(Fit_Matrix!$B:$B,MATCH(P349,Fit_Matrix!$A:$A,0)))),"CHECK KEY"))</f>
        <v/>
      </c>
      <c r="U349" s="10"/>
      <c r="V349" s="10"/>
      <c r="W349" s="10"/>
      <c r="X349" s="10"/>
      <c r="Y349" s="10"/>
      <c r="Z349" s="10"/>
      <c r="AA349" s="11" t="str">
        <f t="shared" si="11"/>
        <v/>
      </c>
    </row>
    <row r="350" spans="16:27" ht="15" customHeight="1">
      <c r="P350" t="str">
        <f t="shared" si="10"/>
        <v/>
      </c>
      <c r="Q350" t="str">
        <f>IF(P350="","",IFERROR(IF(AND(H350="W7",OR(F350="causal",F350="predictive")),IF(AND(OR(K350=1,K350="1"),OR(L350=1,L350="1"),OR(M350=1,M350="1")),"adequate","partial"),IF(AND(H350="W4",F350="predictive",OR(J350="P2",J350="P3",J350="P4")),IF(OR(U350=1,U350="1"),"adequate","partial"),INDEX(Fit_Matrix!$B:$B,MATCH(P350,Fit_Matrix!$A:$A,0)))),"CHECK KEY"))</f>
        <v/>
      </c>
      <c r="U350" s="10"/>
      <c r="V350" s="10"/>
      <c r="W350" s="10"/>
      <c r="X350" s="10"/>
      <c r="Y350" s="10"/>
      <c r="Z350" s="10"/>
      <c r="AA350" s="11" t="str">
        <f t="shared" si="11"/>
        <v/>
      </c>
    </row>
    <row r="351" spans="16:27" ht="15" customHeight="1">
      <c r="P351" t="str">
        <f t="shared" si="10"/>
        <v/>
      </c>
      <c r="Q351" t="str">
        <f>IF(P351="","",IFERROR(IF(AND(H351="W7",OR(F351="causal",F351="predictive")),IF(AND(OR(K351=1,K351="1"),OR(L351=1,L351="1"),OR(M351=1,M351="1")),"adequate","partial"),IF(AND(H351="W4",F351="predictive",OR(J351="P2",J351="P3",J351="P4")),IF(OR(U351=1,U351="1"),"adequate","partial"),INDEX(Fit_Matrix!$B:$B,MATCH(P351,Fit_Matrix!$A:$A,0)))),"CHECK KEY"))</f>
        <v/>
      </c>
      <c r="U351" s="10"/>
      <c r="V351" s="10"/>
      <c r="W351" s="10"/>
      <c r="X351" s="10"/>
      <c r="Y351" s="10"/>
      <c r="Z351" s="10"/>
      <c r="AA351" s="11" t="str">
        <f t="shared" si="11"/>
        <v/>
      </c>
    </row>
    <row r="352" spans="16:27" ht="15" customHeight="1">
      <c r="P352" t="str">
        <f t="shared" si="10"/>
        <v/>
      </c>
      <c r="Q352" t="str">
        <f>IF(P352="","",IFERROR(IF(AND(H352="W7",OR(F352="causal",F352="predictive")),IF(AND(OR(K352=1,K352="1"),OR(L352=1,L352="1"),OR(M352=1,M352="1")),"adequate","partial"),IF(AND(H352="W4",F352="predictive",OR(J352="P2",J352="P3",J352="P4")),IF(OR(U352=1,U352="1"),"adequate","partial"),INDEX(Fit_Matrix!$B:$B,MATCH(P352,Fit_Matrix!$A:$A,0)))),"CHECK KEY"))</f>
        <v/>
      </c>
      <c r="U352" s="10"/>
      <c r="V352" s="10"/>
      <c r="W352" s="10"/>
      <c r="X352" s="10"/>
      <c r="Y352" s="10"/>
      <c r="Z352" s="10"/>
      <c r="AA352" s="11" t="str">
        <f t="shared" si="11"/>
        <v/>
      </c>
    </row>
    <row r="353" spans="16:27" ht="15" customHeight="1">
      <c r="P353" t="str">
        <f t="shared" si="10"/>
        <v/>
      </c>
      <c r="Q353" t="str">
        <f>IF(P353="","",IFERROR(IF(AND(H353="W7",OR(F353="causal",F353="predictive")),IF(AND(OR(K353=1,K353="1"),OR(L353=1,L353="1"),OR(M353=1,M353="1")),"adequate","partial"),IF(AND(H353="W4",F353="predictive",OR(J353="P2",J353="P3",J353="P4")),IF(OR(U353=1,U353="1"),"adequate","partial"),INDEX(Fit_Matrix!$B:$B,MATCH(P353,Fit_Matrix!$A:$A,0)))),"CHECK KEY"))</f>
        <v/>
      </c>
      <c r="U353" s="10"/>
      <c r="V353" s="10"/>
      <c r="W353" s="10"/>
      <c r="X353" s="10"/>
      <c r="Y353" s="10"/>
      <c r="Z353" s="10"/>
      <c r="AA353" s="11" t="str">
        <f t="shared" si="11"/>
        <v/>
      </c>
    </row>
    <row r="354" spans="16:27" ht="15" customHeight="1">
      <c r="P354" t="str">
        <f t="shared" si="10"/>
        <v/>
      </c>
      <c r="Q354" t="str">
        <f>IF(P354="","",IFERROR(IF(AND(H354="W7",OR(F354="causal",F354="predictive")),IF(AND(OR(K354=1,K354="1"),OR(L354=1,L354="1"),OR(M354=1,M354="1")),"adequate","partial"),IF(AND(H354="W4",F354="predictive",OR(J354="P2",J354="P3",J354="P4")),IF(OR(U354=1,U354="1"),"adequate","partial"),INDEX(Fit_Matrix!$B:$B,MATCH(P354,Fit_Matrix!$A:$A,0)))),"CHECK KEY"))</f>
        <v/>
      </c>
      <c r="U354" s="10"/>
      <c r="V354" s="10"/>
      <c r="W354" s="10"/>
      <c r="X354" s="10"/>
      <c r="Y354" s="10"/>
      <c r="Z354" s="10"/>
      <c r="AA354" s="11" t="str">
        <f t="shared" si="11"/>
        <v/>
      </c>
    </row>
    <row r="355" spans="16:27" ht="15" customHeight="1">
      <c r="P355" t="str">
        <f t="shared" si="10"/>
        <v/>
      </c>
      <c r="Q355" t="str">
        <f>IF(P355="","",IFERROR(IF(AND(H355="W7",OR(F355="causal",F355="predictive")),IF(AND(OR(K355=1,K355="1"),OR(L355=1,L355="1"),OR(M355=1,M355="1")),"adequate","partial"),IF(AND(H355="W4",F355="predictive",OR(J355="P2",J355="P3",J355="P4")),IF(OR(U355=1,U355="1"),"adequate","partial"),INDEX(Fit_Matrix!$B:$B,MATCH(P355,Fit_Matrix!$A:$A,0)))),"CHECK KEY"))</f>
        <v/>
      </c>
      <c r="U355" s="10"/>
      <c r="V355" s="10"/>
      <c r="W355" s="10"/>
      <c r="X355" s="10"/>
      <c r="Y355" s="10"/>
      <c r="Z355" s="10"/>
      <c r="AA355" s="11" t="str">
        <f t="shared" si="11"/>
        <v/>
      </c>
    </row>
    <row r="356" spans="16:27" ht="15" customHeight="1">
      <c r="P356" t="str">
        <f t="shared" si="10"/>
        <v/>
      </c>
      <c r="Q356" t="str">
        <f>IF(P356="","",IFERROR(IF(AND(H356="W7",OR(F356="causal",F356="predictive")),IF(AND(OR(K356=1,K356="1"),OR(L356=1,L356="1"),OR(M356=1,M356="1")),"adequate","partial"),IF(AND(H356="W4",F356="predictive",OR(J356="P2",J356="P3",J356="P4")),IF(OR(U356=1,U356="1"),"adequate","partial"),INDEX(Fit_Matrix!$B:$B,MATCH(P356,Fit_Matrix!$A:$A,0)))),"CHECK KEY"))</f>
        <v/>
      </c>
      <c r="U356" s="10"/>
      <c r="V356" s="10"/>
      <c r="W356" s="10"/>
      <c r="X356" s="10"/>
      <c r="Y356" s="10"/>
      <c r="Z356" s="10"/>
      <c r="AA356" s="11" t="str">
        <f t="shared" si="11"/>
        <v/>
      </c>
    </row>
    <row r="357" spans="16:27" ht="15" customHeight="1">
      <c r="P357" t="str">
        <f t="shared" si="10"/>
        <v/>
      </c>
      <c r="Q357" t="str">
        <f>IF(P357="","",IFERROR(IF(AND(H357="W7",OR(F357="causal",F357="predictive")),IF(AND(OR(K357=1,K357="1"),OR(L357=1,L357="1"),OR(M357=1,M357="1")),"adequate","partial"),IF(AND(H357="W4",F357="predictive",OR(J357="P2",J357="P3",J357="P4")),IF(OR(U357=1,U357="1"),"adequate","partial"),INDEX(Fit_Matrix!$B:$B,MATCH(P357,Fit_Matrix!$A:$A,0)))),"CHECK KEY"))</f>
        <v/>
      </c>
      <c r="U357" s="10"/>
      <c r="V357" s="10"/>
      <c r="W357" s="10"/>
      <c r="X357" s="10"/>
      <c r="Y357" s="10"/>
      <c r="Z357" s="10"/>
      <c r="AA357" s="11" t="str">
        <f t="shared" si="11"/>
        <v/>
      </c>
    </row>
    <row r="358" spans="16:27" ht="15" customHeight="1">
      <c r="P358" t="str">
        <f t="shared" si="10"/>
        <v/>
      </c>
      <c r="Q358" t="str">
        <f>IF(P358="","",IFERROR(IF(AND(H358="W7",OR(F358="causal",F358="predictive")),IF(AND(OR(K358=1,K358="1"),OR(L358=1,L358="1"),OR(M358=1,M358="1")),"adequate","partial"),IF(AND(H358="W4",F358="predictive",OR(J358="P2",J358="P3",J358="P4")),IF(OR(U358=1,U358="1"),"adequate","partial"),INDEX(Fit_Matrix!$B:$B,MATCH(P358,Fit_Matrix!$A:$A,0)))),"CHECK KEY"))</f>
        <v/>
      </c>
      <c r="U358" s="10"/>
      <c r="V358" s="10"/>
      <c r="W358" s="10"/>
      <c r="X358" s="10"/>
      <c r="Y358" s="10"/>
      <c r="Z358" s="10"/>
      <c r="AA358" s="11" t="str">
        <f t="shared" si="11"/>
        <v/>
      </c>
    </row>
    <row r="359" spans="16:27" ht="15" customHeight="1">
      <c r="P359" t="str">
        <f t="shared" si="10"/>
        <v/>
      </c>
      <c r="Q359" t="str">
        <f>IF(P359="","",IFERROR(IF(AND(H359="W7",OR(F359="causal",F359="predictive")),IF(AND(OR(K359=1,K359="1"),OR(L359=1,L359="1"),OR(M359=1,M359="1")),"adequate","partial"),IF(AND(H359="W4",F359="predictive",OR(J359="P2",J359="P3",J359="P4")),IF(OR(U359=1,U359="1"),"adequate","partial"),INDEX(Fit_Matrix!$B:$B,MATCH(P359,Fit_Matrix!$A:$A,0)))),"CHECK KEY"))</f>
        <v/>
      </c>
      <c r="U359" s="10"/>
      <c r="V359" s="10"/>
      <c r="W359" s="10"/>
      <c r="X359" s="10"/>
      <c r="Y359" s="10"/>
      <c r="Z359" s="10"/>
      <c r="AA359" s="11" t="str">
        <f t="shared" si="11"/>
        <v/>
      </c>
    </row>
    <row r="360" spans="16:27" ht="15" customHeight="1">
      <c r="P360" t="str">
        <f t="shared" si="10"/>
        <v/>
      </c>
      <c r="Q360" t="str">
        <f>IF(P360="","",IFERROR(IF(AND(H360="W7",OR(F360="causal",F360="predictive")),IF(AND(OR(K360=1,K360="1"),OR(L360=1,L360="1"),OR(M360=1,M360="1")),"adequate","partial"),IF(AND(H360="W4",F360="predictive",OR(J360="P2",J360="P3",J360="P4")),IF(OR(U360=1,U360="1"),"adequate","partial"),INDEX(Fit_Matrix!$B:$B,MATCH(P360,Fit_Matrix!$A:$A,0)))),"CHECK KEY"))</f>
        <v/>
      </c>
      <c r="U360" s="10"/>
      <c r="V360" s="10"/>
      <c r="W360" s="10"/>
      <c r="X360" s="10"/>
      <c r="Y360" s="10"/>
      <c r="Z360" s="10"/>
      <c r="AA360" s="11" t="str">
        <f t="shared" si="11"/>
        <v/>
      </c>
    </row>
    <row r="361" spans="16:27" ht="15" customHeight="1">
      <c r="P361" t="str">
        <f t="shared" si="10"/>
        <v/>
      </c>
      <c r="Q361" t="str">
        <f>IF(P361="","",IFERROR(IF(AND(H361="W7",OR(F361="causal",F361="predictive")),IF(AND(OR(K361=1,K361="1"),OR(L361=1,L361="1"),OR(M361=1,M361="1")),"adequate","partial"),IF(AND(H361="W4",F361="predictive",OR(J361="P2",J361="P3",J361="P4")),IF(OR(U361=1,U361="1"),"adequate","partial"),INDEX(Fit_Matrix!$B:$B,MATCH(P361,Fit_Matrix!$A:$A,0)))),"CHECK KEY"))</f>
        <v/>
      </c>
      <c r="U361" s="10"/>
      <c r="V361" s="10"/>
      <c r="W361" s="10"/>
      <c r="X361" s="10"/>
      <c r="Y361" s="10"/>
      <c r="Z361" s="10"/>
      <c r="AA361" s="11" t="str">
        <f t="shared" si="11"/>
        <v/>
      </c>
    </row>
    <row r="362" spans="16:27" ht="15" customHeight="1">
      <c r="P362" t="str">
        <f t="shared" si="10"/>
        <v/>
      </c>
      <c r="Q362" t="str">
        <f>IF(P362="","",IFERROR(IF(AND(H362="W7",OR(F362="causal",F362="predictive")),IF(AND(OR(K362=1,K362="1"),OR(L362=1,L362="1"),OR(M362=1,M362="1")),"adequate","partial"),IF(AND(H362="W4",F362="predictive",OR(J362="P2",J362="P3",J362="P4")),IF(OR(U362=1,U362="1"),"adequate","partial"),INDEX(Fit_Matrix!$B:$B,MATCH(P362,Fit_Matrix!$A:$A,0)))),"CHECK KEY"))</f>
        <v/>
      </c>
      <c r="U362" s="10"/>
      <c r="V362" s="10"/>
      <c r="W362" s="10"/>
      <c r="X362" s="10"/>
      <c r="Y362" s="10"/>
      <c r="Z362" s="10"/>
      <c r="AA362" s="11" t="str">
        <f t="shared" si="11"/>
        <v/>
      </c>
    </row>
    <row r="363" spans="16:27" ht="15" customHeight="1">
      <c r="P363" t="str">
        <f t="shared" si="10"/>
        <v/>
      </c>
      <c r="Q363" t="str">
        <f>IF(P363="","",IFERROR(IF(AND(H363="W7",OR(F363="causal",F363="predictive")),IF(AND(OR(K363=1,K363="1"),OR(L363=1,L363="1"),OR(M363=1,M363="1")),"adequate","partial"),IF(AND(H363="W4",F363="predictive",OR(J363="P2",J363="P3",J363="P4")),IF(OR(U363=1,U363="1"),"adequate","partial"),INDEX(Fit_Matrix!$B:$B,MATCH(P363,Fit_Matrix!$A:$A,0)))),"CHECK KEY"))</f>
        <v/>
      </c>
      <c r="U363" s="10"/>
      <c r="V363" s="10"/>
      <c r="W363" s="10"/>
      <c r="X363" s="10"/>
      <c r="Y363" s="10"/>
      <c r="Z363" s="10"/>
      <c r="AA363" s="11" t="str">
        <f t="shared" si="11"/>
        <v/>
      </c>
    </row>
    <row r="364" spans="16:27" ht="15" customHeight="1">
      <c r="P364" t="str">
        <f t="shared" si="10"/>
        <v/>
      </c>
      <c r="Q364" t="str">
        <f>IF(P364="","",IFERROR(IF(AND(H364="W7",OR(F364="causal",F364="predictive")),IF(AND(OR(K364=1,K364="1"),OR(L364=1,L364="1"),OR(M364=1,M364="1")),"adequate","partial"),IF(AND(H364="W4",F364="predictive",OR(J364="P2",J364="P3",J364="P4")),IF(OR(U364=1,U364="1"),"adequate","partial"),INDEX(Fit_Matrix!$B:$B,MATCH(P364,Fit_Matrix!$A:$A,0)))),"CHECK KEY"))</f>
        <v/>
      </c>
      <c r="U364" s="10"/>
      <c r="V364" s="10"/>
      <c r="W364" s="10"/>
      <c r="X364" s="10"/>
      <c r="Y364" s="10"/>
      <c r="Z364" s="10"/>
      <c r="AA364" s="11" t="str">
        <f t="shared" si="11"/>
        <v/>
      </c>
    </row>
    <row r="365" spans="16:27" ht="15" customHeight="1">
      <c r="P365" t="str">
        <f t="shared" si="10"/>
        <v/>
      </c>
      <c r="Q365" t="str">
        <f>IF(P365="","",IFERROR(IF(AND(H365="W7",OR(F365="causal",F365="predictive")),IF(AND(OR(K365=1,K365="1"),OR(L365=1,L365="1"),OR(M365=1,M365="1")),"adequate","partial"),IF(AND(H365="W4",F365="predictive",OR(J365="P2",J365="P3",J365="P4")),IF(OR(U365=1,U365="1"),"adequate","partial"),INDEX(Fit_Matrix!$B:$B,MATCH(P365,Fit_Matrix!$A:$A,0)))),"CHECK KEY"))</f>
        <v/>
      </c>
      <c r="U365" s="10"/>
      <c r="V365" s="10"/>
      <c r="W365" s="10"/>
      <c r="X365" s="10"/>
      <c r="Y365" s="10"/>
      <c r="Z365" s="10"/>
      <c r="AA365" s="11" t="str">
        <f t="shared" si="11"/>
        <v/>
      </c>
    </row>
    <row r="366" spans="16:27" ht="15" customHeight="1">
      <c r="P366" t="str">
        <f t="shared" si="10"/>
        <v/>
      </c>
      <c r="Q366" t="str">
        <f>IF(P366="","",IFERROR(IF(AND(H366="W7",OR(F366="causal",F366="predictive")),IF(AND(OR(K366=1,K366="1"),OR(L366=1,L366="1"),OR(M366=1,M366="1")),"adequate","partial"),IF(AND(H366="W4",F366="predictive",OR(J366="P2",J366="P3",J366="P4")),IF(OR(U366=1,U366="1"),"adequate","partial"),INDEX(Fit_Matrix!$B:$B,MATCH(P366,Fit_Matrix!$A:$A,0)))),"CHECK KEY"))</f>
        <v/>
      </c>
      <c r="U366" s="10"/>
      <c r="V366" s="10"/>
      <c r="W366" s="10"/>
      <c r="X366" s="10"/>
      <c r="Y366" s="10"/>
      <c r="Z366" s="10"/>
      <c r="AA366" s="11" t="str">
        <f t="shared" si="11"/>
        <v/>
      </c>
    </row>
    <row r="367" spans="16:27" ht="15" customHeight="1">
      <c r="P367" t="str">
        <f t="shared" si="10"/>
        <v/>
      </c>
      <c r="Q367" t="str">
        <f>IF(P367="","",IFERROR(IF(AND(H367="W7",OR(F367="causal",F367="predictive")),IF(AND(OR(K367=1,K367="1"),OR(L367=1,L367="1"),OR(M367=1,M367="1")),"adequate","partial"),IF(AND(H367="W4",F367="predictive",OR(J367="P2",J367="P3",J367="P4")),IF(OR(U367=1,U367="1"),"adequate","partial"),INDEX(Fit_Matrix!$B:$B,MATCH(P367,Fit_Matrix!$A:$A,0)))),"CHECK KEY"))</f>
        <v/>
      </c>
      <c r="U367" s="10"/>
      <c r="V367" s="10"/>
      <c r="W367" s="10"/>
      <c r="X367" s="10"/>
      <c r="Y367" s="10"/>
      <c r="Z367" s="10"/>
      <c r="AA367" s="11" t="str">
        <f t="shared" si="11"/>
        <v/>
      </c>
    </row>
    <row r="368" spans="16:27" ht="15" customHeight="1">
      <c r="P368" t="str">
        <f t="shared" si="10"/>
        <v/>
      </c>
      <c r="Q368" t="str">
        <f>IF(P368="","",IFERROR(IF(AND(H368="W7",OR(F368="causal",F368="predictive")),IF(AND(OR(K368=1,K368="1"),OR(L368=1,L368="1"),OR(M368=1,M368="1")),"adequate","partial"),IF(AND(H368="W4",F368="predictive",OR(J368="P2",J368="P3",J368="P4")),IF(OR(U368=1,U368="1"),"adequate","partial"),INDEX(Fit_Matrix!$B:$B,MATCH(P368,Fit_Matrix!$A:$A,0)))),"CHECK KEY"))</f>
        <v/>
      </c>
      <c r="U368" s="10"/>
      <c r="V368" s="10"/>
      <c r="W368" s="10"/>
      <c r="X368" s="10"/>
      <c r="Y368" s="10"/>
      <c r="Z368" s="10"/>
      <c r="AA368" s="11" t="str">
        <f t="shared" si="11"/>
        <v/>
      </c>
    </row>
    <row r="369" spans="16:27" ht="15" customHeight="1">
      <c r="P369" t="str">
        <f t="shared" si="10"/>
        <v/>
      </c>
      <c r="Q369" t="str">
        <f>IF(P369="","",IFERROR(IF(AND(H369="W7",OR(F369="causal",F369="predictive")),IF(AND(OR(K369=1,K369="1"),OR(L369=1,L369="1"),OR(M369=1,M369="1")),"adequate","partial"),IF(AND(H369="W4",F369="predictive",OR(J369="P2",J369="P3",J369="P4")),IF(OR(U369=1,U369="1"),"adequate","partial"),INDEX(Fit_Matrix!$B:$B,MATCH(P369,Fit_Matrix!$A:$A,0)))),"CHECK KEY"))</f>
        <v/>
      </c>
      <c r="U369" s="10"/>
      <c r="V369" s="10"/>
      <c r="W369" s="10"/>
      <c r="X369" s="10"/>
      <c r="Y369" s="10"/>
      <c r="Z369" s="10"/>
      <c r="AA369" s="11" t="str">
        <f t="shared" si="11"/>
        <v/>
      </c>
    </row>
    <row r="370" spans="16:27" ht="15" customHeight="1">
      <c r="P370" t="str">
        <f t="shared" si="10"/>
        <v/>
      </c>
      <c r="Q370" t="str">
        <f>IF(P370="","",IFERROR(IF(AND(H370="W7",OR(F370="causal",F370="predictive")),IF(AND(OR(K370=1,K370="1"),OR(L370=1,L370="1"),OR(M370=1,M370="1")),"adequate","partial"),IF(AND(H370="W4",F370="predictive",OR(J370="P2",J370="P3",J370="P4")),IF(OR(U370=1,U370="1"),"adequate","partial"),INDEX(Fit_Matrix!$B:$B,MATCH(P370,Fit_Matrix!$A:$A,0)))),"CHECK KEY"))</f>
        <v/>
      </c>
      <c r="U370" s="10"/>
      <c r="V370" s="10"/>
      <c r="W370" s="10"/>
      <c r="X370" s="10"/>
      <c r="Y370" s="10"/>
      <c r="Z370" s="10"/>
      <c r="AA370" s="11" t="str">
        <f t="shared" si="11"/>
        <v/>
      </c>
    </row>
    <row r="371" spans="16:27" ht="15" customHeight="1">
      <c r="P371" t="str">
        <f t="shared" si="10"/>
        <v/>
      </c>
      <c r="Q371" t="str">
        <f>IF(P371="","",IFERROR(IF(AND(H371="W7",OR(F371="causal",F371="predictive")),IF(AND(OR(K371=1,K371="1"),OR(L371=1,L371="1"),OR(M371=1,M371="1")),"adequate","partial"),IF(AND(H371="W4",F371="predictive",OR(J371="P2",J371="P3",J371="P4")),IF(OR(U371=1,U371="1"),"adequate","partial"),INDEX(Fit_Matrix!$B:$B,MATCH(P371,Fit_Matrix!$A:$A,0)))),"CHECK KEY"))</f>
        <v/>
      </c>
      <c r="U371" s="10"/>
      <c r="V371" s="10"/>
      <c r="W371" s="10"/>
      <c r="X371" s="10"/>
      <c r="Y371" s="10"/>
      <c r="Z371" s="10"/>
      <c r="AA371" s="11" t="str">
        <f t="shared" si="11"/>
        <v/>
      </c>
    </row>
    <row r="372" spans="16:27" ht="15" customHeight="1">
      <c r="P372" t="str">
        <f t="shared" si="10"/>
        <v/>
      </c>
      <c r="Q372" t="str">
        <f>IF(P372="","",IFERROR(IF(AND(H372="W7",OR(F372="causal",F372="predictive")),IF(AND(OR(K372=1,K372="1"),OR(L372=1,L372="1"),OR(M372=1,M372="1")),"adequate","partial"),IF(AND(H372="W4",F372="predictive",OR(J372="P2",J372="P3",J372="P4")),IF(OR(U372=1,U372="1"),"adequate","partial"),INDEX(Fit_Matrix!$B:$B,MATCH(P372,Fit_Matrix!$A:$A,0)))),"CHECK KEY"))</f>
        <v/>
      </c>
      <c r="U372" s="10"/>
      <c r="V372" s="10"/>
      <c r="W372" s="10"/>
      <c r="X372" s="10"/>
      <c r="Y372" s="10"/>
      <c r="Z372" s="10"/>
      <c r="AA372" s="11" t="str">
        <f t="shared" si="11"/>
        <v/>
      </c>
    </row>
    <row r="373" spans="16:27" ht="15" customHeight="1">
      <c r="P373" t="str">
        <f t="shared" si="10"/>
        <v/>
      </c>
      <c r="Q373" t="str">
        <f>IF(P373="","",IFERROR(IF(AND(H373="W7",OR(F373="causal",F373="predictive")),IF(AND(OR(K373=1,K373="1"),OR(L373=1,L373="1"),OR(M373=1,M373="1")),"adequate","partial"),IF(AND(H373="W4",F373="predictive",OR(J373="P2",J373="P3",J373="P4")),IF(OR(U373=1,U373="1"),"adequate","partial"),INDEX(Fit_Matrix!$B:$B,MATCH(P373,Fit_Matrix!$A:$A,0)))),"CHECK KEY"))</f>
        <v/>
      </c>
      <c r="U373" s="10"/>
      <c r="V373" s="10"/>
      <c r="W373" s="10"/>
      <c r="X373" s="10"/>
      <c r="Y373" s="10"/>
      <c r="Z373" s="10"/>
      <c r="AA373" s="11" t="str">
        <f t="shared" si="11"/>
        <v/>
      </c>
    </row>
    <row r="374" spans="16:27" ht="15" customHeight="1">
      <c r="P374" t="str">
        <f t="shared" si="10"/>
        <v/>
      </c>
      <c r="Q374" t="str">
        <f>IF(P374="","",IFERROR(IF(AND(H374="W7",OR(F374="causal",F374="predictive")),IF(AND(OR(K374=1,K374="1"),OR(L374=1,L374="1"),OR(M374=1,M374="1")),"adequate","partial"),IF(AND(H374="W4",F374="predictive",OR(J374="P2",J374="P3",J374="P4")),IF(OR(U374=1,U374="1"),"adequate","partial"),INDEX(Fit_Matrix!$B:$B,MATCH(P374,Fit_Matrix!$A:$A,0)))),"CHECK KEY"))</f>
        <v/>
      </c>
      <c r="U374" s="10"/>
      <c r="V374" s="10"/>
      <c r="W374" s="10"/>
      <c r="X374" s="10"/>
      <c r="Y374" s="10"/>
      <c r="Z374" s="10"/>
      <c r="AA374" s="11" t="str">
        <f t="shared" si="11"/>
        <v/>
      </c>
    </row>
    <row r="375" spans="16:27" ht="15" customHeight="1">
      <c r="P375" t="str">
        <f t="shared" si="10"/>
        <v/>
      </c>
      <c r="Q375" t="str">
        <f>IF(P375="","",IFERROR(IF(AND(H375="W7",OR(F375="causal",F375="predictive")),IF(AND(OR(K375=1,K375="1"),OR(L375=1,L375="1"),OR(M375=1,M375="1")),"adequate","partial"),IF(AND(H375="W4",F375="predictive",OR(J375="P2",J375="P3",J375="P4")),IF(OR(U375=1,U375="1"),"adequate","partial"),INDEX(Fit_Matrix!$B:$B,MATCH(P375,Fit_Matrix!$A:$A,0)))),"CHECK KEY"))</f>
        <v/>
      </c>
      <c r="U375" s="10"/>
      <c r="V375" s="10"/>
      <c r="W375" s="10"/>
      <c r="X375" s="10"/>
      <c r="Y375" s="10"/>
      <c r="Z375" s="10"/>
      <c r="AA375" s="11" t="str">
        <f t="shared" si="11"/>
        <v/>
      </c>
    </row>
    <row r="376" spans="16:27" ht="15" customHeight="1">
      <c r="P376" t="str">
        <f t="shared" si="10"/>
        <v/>
      </c>
      <c r="Q376" t="str">
        <f>IF(P376="","",IFERROR(IF(AND(H376="W7",OR(F376="causal",F376="predictive")),IF(AND(OR(K376=1,K376="1"),OR(L376=1,L376="1"),OR(M376=1,M376="1")),"adequate","partial"),IF(AND(H376="W4",F376="predictive",OR(J376="P2",J376="P3",J376="P4")),IF(OR(U376=1,U376="1"),"adequate","partial"),INDEX(Fit_Matrix!$B:$B,MATCH(P376,Fit_Matrix!$A:$A,0)))),"CHECK KEY"))</f>
        <v/>
      </c>
      <c r="U376" s="10"/>
      <c r="V376" s="10"/>
      <c r="W376" s="10"/>
      <c r="X376" s="10"/>
      <c r="Y376" s="10"/>
      <c r="Z376" s="10"/>
      <c r="AA376" s="11" t="str">
        <f t="shared" si="11"/>
        <v/>
      </c>
    </row>
    <row r="377" spans="16:27" ht="15" customHeight="1">
      <c r="P377" t="str">
        <f t="shared" si="10"/>
        <v/>
      </c>
      <c r="Q377" t="str">
        <f>IF(P377="","",IFERROR(IF(AND(H377="W7",OR(F377="causal",F377="predictive")),IF(AND(OR(K377=1,K377="1"),OR(L377=1,L377="1"),OR(M377=1,M377="1")),"adequate","partial"),IF(AND(H377="W4",F377="predictive",OR(J377="P2",J377="P3",J377="P4")),IF(OR(U377=1,U377="1"),"adequate","partial"),INDEX(Fit_Matrix!$B:$B,MATCH(P377,Fit_Matrix!$A:$A,0)))),"CHECK KEY"))</f>
        <v/>
      </c>
      <c r="U377" s="10"/>
      <c r="V377" s="10"/>
      <c r="W377" s="10"/>
      <c r="X377" s="10"/>
      <c r="Y377" s="10"/>
      <c r="Z377" s="10"/>
      <c r="AA377" s="11" t="str">
        <f t="shared" si="11"/>
        <v/>
      </c>
    </row>
    <row r="378" spans="16:27" ht="15" customHeight="1">
      <c r="P378" t="str">
        <f t="shared" si="10"/>
        <v/>
      </c>
      <c r="Q378" t="str">
        <f>IF(P378="","",IFERROR(IF(AND(H378="W7",OR(F378="causal",F378="predictive")),IF(AND(OR(K378=1,K378="1"),OR(L378=1,L378="1"),OR(M378=1,M378="1")),"adequate","partial"),IF(AND(H378="W4",F378="predictive",OR(J378="P2",J378="P3",J378="P4")),IF(OR(U378=1,U378="1"),"adequate","partial"),INDEX(Fit_Matrix!$B:$B,MATCH(P378,Fit_Matrix!$A:$A,0)))),"CHECK KEY"))</f>
        <v/>
      </c>
      <c r="U378" s="10"/>
      <c r="V378" s="10"/>
      <c r="W378" s="10"/>
      <c r="X378" s="10"/>
      <c r="Y378" s="10"/>
      <c r="Z378" s="10"/>
      <c r="AA378" s="11" t="str">
        <f t="shared" si="11"/>
        <v/>
      </c>
    </row>
    <row r="379" spans="16:27" ht="15" customHeight="1">
      <c r="P379" t="str">
        <f t="shared" si="10"/>
        <v/>
      </c>
      <c r="Q379" t="str">
        <f>IF(P379="","",IFERROR(IF(AND(H379="W7",OR(F379="causal",F379="predictive")),IF(AND(OR(K379=1,K379="1"),OR(L379=1,L379="1"),OR(M379=1,M379="1")),"adequate","partial"),IF(AND(H379="W4",F379="predictive",OR(J379="P2",J379="P3",J379="P4")),IF(OR(U379=1,U379="1"),"adequate","partial"),INDEX(Fit_Matrix!$B:$B,MATCH(P379,Fit_Matrix!$A:$A,0)))),"CHECK KEY"))</f>
        <v/>
      </c>
      <c r="U379" s="10"/>
      <c r="V379" s="10"/>
      <c r="W379" s="10"/>
      <c r="X379" s="10"/>
      <c r="Y379" s="10"/>
      <c r="Z379" s="10"/>
      <c r="AA379" s="11" t="str">
        <f t="shared" si="11"/>
        <v/>
      </c>
    </row>
    <row r="380" spans="16:27" ht="15" customHeight="1">
      <c r="P380" t="str">
        <f t="shared" si="10"/>
        <v/>
      </c>
      <c r="Q380" t="str">
        <f>IF(P380="","",IFERROR(IF(AND(H380="W7",OR(F380="causal",F380="predictive")),IF(AND(OR(K380=1,K380="1"),OR(L380=1,L380="1"),OR(M380=1,M380="1")),"adequate","partial"),IF(AND(H380="W4",F380="predictive",OR(J380="P2",J380="P3",J380="P4")),IF(OR(U380=1,U380="1"),"adequate","partial"),INDEX(Fit_Matrix!$B:$B,MATCH(P380,Fit_Matrix!$A:$A,0)))),"CHECK KEY"))</f>
        <v/>
      </c>
      <c r="U380" s="10"/>
      <c r="V380" s="10"/>
      <c r="W380" s="10"/>
      <c r="X380" s="10"/>
      <c r="Y380" s="10"/>
      <c r="Z380" s="10"/>
      <c r="AA380" s="11" t="str">
        <f t="shared" si="11"/>
        <v/>
      </c>
    </row>
    <row r="381" spans="16:27" ht="15" customHeight="1">
      <c r="P381" t="str">
        <f t="shared" si="10"/>
        <v/>
      </c>
      <c r="Q381" t="str">
        <f>IF(P381="","",IFERROR(IF(AND(H381="W7",OR(F381="causal",F381="predictive")),IF(AND(OR(K381=1,K381="1"),OR(L381=1,L381="1"),OR(M381=1,M381="1")),"adequate","partial"),IF(AND(H381="W4",F381="predictive",OR(J381="P2",J381="P3",J381="P4")),IF(OR(U381=1,U381="1"),"adequate","partial"),INDEX(Fit_Matrix!$B:$B,MATCH(P381,Fit_Matrix!$A:$A,0)))),"CHECK KEY"))</f>
        <v/>
      </c>
      <c r="U381" s="10"/>
      <c r="V381" s="10"/>
      <c r="W381" s="10"/>
      <c r="X381" s="10"/>
      <c r="Y381" s="10"/>
      <c r="Z381" s="10"/>
      <c r="AA381" s="11" t="str">
        <f t="shared" si="11"/>
        <v/>
      </c>
    </row>
    <row r="382" spans="16:27" ht="15" customHeight="1">
      <c r="P382" t="str">
        <f t="shared" si="10"/>
        <v/>
      </c>
      <c r="Q382" t="str">
        <f>IF(P382="","",IFERROR(IF(AND(H382="W7",OR(F382="causal",F382="predictive")),IF(AND(OR(K382=1,K382="1"),OR(L382=1,L382="1"),OR(M382=1,M382="1")),"adequate","partial"),IF(AND(H382="W4",F382="predictive",OR(J382="P2",J382="P3",J382="P4")),IF(OR(U382=1,U382="1"),"adequate","partial"),INDEX(Fit_Matrix!$B:$B,MATCH(P382,Fit_Matrix!$A:$A,0)))),"CHECK KEY"))</f>
        <v/>
      </c>
      <c r="U382" s="10"/>
      <c r="V382" s="10"/>
      <c r="W382" s="10"/>
      <c r="X382" s="10"/>
      <c r="Y382" s="10"/>
      <c r="Z382" s="10"/>
      <c r="AA382" s="11" t="str">
        <f t="shared" si="11"/>
        <v/>
      </c>
    </row>
    <row r="383" spans="16:27" ht="15" customHeight="1">
      <c r="P383" t="str">
        <f t="shared" si="10"/>
        <v/>
      </c>
      <c r="Q383" t="str">
        <f>IF(P383="","",IFERROR(IF(AND(H383="W7",OR(F383="causal",F383="predictive")),IF(AND(OR(K383=1,K383="1"),OR(L383=1,L383="1"),OR(M383=1,M383="1")),"adequate","partial"),IF(AND(H383="W4",F383="predictive",OR(J383="P2",J383="P3",J383="P4")),IF(OR(U383=1,U383="1"),"adequate","partial"),INDEX(Fit_Matrix!$B:$B,MATCH(P383,Fit_Matrix!$A:$A,0)))),"CHECK KEY"))</f>
        <v/>
      </c>
      <c r="U383" s="10"/>
      <c r="V383" s="10"/>
      <c r="W383" s="10"/>
      <c r="X383" s="10"/>
      <c r="Y383" s="10"/>
      <c r="Z383" s="10"/>
      <c r="AA383" s="11" t="str">
        <f t="shared" si="11"/>
        <v/>
      </c>
    </row>
    <row r="384" spans="16:27" ht="15" customHeight="1">
      <c r="P384" t="str">
        <f t="shared" si="10"/>
        <v/>
      </c>
      <c r="Q384" t="str">
        <f>IF(P384="","",IFERROR(IF(AND(H384="W7",OR(F384="causal",F384="predictive")),IF(AND(OR(K384=1,K384="1"),OR(L384=1,L384="1"),OR(M384=1,M384="1")),"adequate","partial"),IF(AND(H384="W4",F384="predictive",OR(J384="P2",J384="P3",J384="P4")),IF(OR(U384=1,U384="1"),"adequate","partial"),INDEX(Fit_Matrix!$B:$B,MATCH(P384,Fit_Matrix!$A:$A,0)))),"CHECK KEY"))</f>
        <v/>
      </c>
      <c r="U384" s="10"/>
      <c r="V384" s="10"/>
      <c r="W384" s="10"/>
      <c r="X384" s="10"/>
      <c r="Y384" s="10"/>
      <c r="Z384" s="10"/>
      <c r="AA384" s="11" t="str">
        <f t="shared" si="11"/>
        <v/>
      </c>
    </row>
    <row r="385" spans="16:27" ht="15" customHeight="1">
      <c r="P385" t="str">
        <f t="shared" si="10"/>
        <v/>
      </c>
      <c r="Q385" t="str">
        <f>IF(P385="","",IFERROR(IF(AND(H385="W7",OR(F385="causal",F385="predictive")),IF(AND(OR(K385=1,K385="1"),OR(L385=1,L385="1"),OR(M385=1,M385="1")),"adequate","partial"),IF(AND(H385="W4",F385="predictive",OR(J385="P2",J385="P3",J385="P4")),IF(OR(U385=1,U385="1"),"adequate","partial"),INDEX(Fit_Matrix!$B:$B,MATCH(P385,Fit_Matrix!$A:$A,0)))),"CHECK KEY"))</f>
        <v/>
      </c>
      <c r="U385" s="10"/>
      <c r="V385" s="10"/>
      <c r="W385" s="10"/>
      <c r="X385" s="10"/>
      <c r="Y385" s="10"/>
      <c r="Z385" s="10"/>
      <c r="AA385" s="11" t="str">
        <f t="shared" si="11"/>
        <v/>
      </c>
    </row>
    <row r="386" spans="16:27" ht="15" customHeight="1">
      <c r="P386" t="str">
        <f t="shared" ref="P386:P449" si="12">IF(OR(F386="",H386="",J386=""),"",J386&amp;"|"&amp;F386&amp;"|"&amp;IF(H386="W3","W3_"&amp;IF(I386="","unknown",I386),H386))</f>
        <v/>
      </c>
      <c r="Q386" t="str">
        <f>IF(P386="","",IFERROR(IF(AND(H386="W7",OR(F386="causal",F386="predictive")),IF(AND(OR(K386=1,K386="1"),OR(L386=1,L386="1"),OR(M386=1,M386="1")),"adequate","partial"),IF(AND(H386="W4",F386="predictive",OR(J386="P2",J386="P3",J386="P4")),IF(OR(U386=1,U386="1"),"adequate","partial"),INDEX(Fit_Matrix!$B:$B,MATCH(P386,Fit_Matrix!$A:$A,0)))),"CHECK KEY"))</f>
        <v/>
      </c>
      <c r="U386" s="10"/>
      <c r="V386" s="10"/>
      <c r="W386" s="10"/>
      <c r="X386" s="10"/>
      <c r="Y386" s="10"/>
      <c r="Z386" s="10"/>
      <c r="AA386" s="11" t="str">
        <f t="shared" ref="AA386:AA449" si="13">IF(A386="","",IF(AND(J386="P4",F386="causal"),"P4-CAUSAL",""))</f>
        <v/>
      </c>
    </row>
    <row r="387" spans="16:27" ht="15" customHeight="1">
      <c r="P387" t="str">
        <f t="shared" si="12"/>
        <v/>
      </c>
      <c r="Q387" t="str">
        <f>IF(P387="","",IFERROR(IF(AND(H387="W7",OR(F387="causal",F387="predictive")),IF(AND(OR(K387=1,K387="1"),OR(L387=1,L387="1"),OR(M387=1,M387="1")),"adequate","partial"),IF(AND(H387="W4",F387="predictive",OR(J387="P2",J387="P3",J387="P4")),IF(OR(U387=1,U387="1"),"adequate","partial"),INDEX(Fit_Matrix!$B:$B,MATCH(P387,Fit_Matrix!$A:$A,0)))),"CHECK KEY"))</f>
        <v/>
      </c>
      <c r="U387" s="10"/>
      <c r="V387" s="10"/>
      <c r="W387" s="10"/>
      <c r="X387" s="10"/>
      <c r="Y387" s="10"/>
      <c r="Z387" s="10"/>
      <c r="AA387" s="11" t="str">
        <f t="shared" si="13"/>
        <v/>
      </c>
    </row>
    <row r="388" spans="16:27" ht="15" customHeight="1">
      <c r="P388" t="str">
        <f t="shared" si="12"/>
        <v/>
      </c>
      <c r="Q388" t="str">
        <f>IF(P388="","",IFERROR(IF(AND(H388="W7",OR(F388="causal",F388="predictive")),IF(AND(OR(K388=1,K388="1"),OR(L388=1,L388="1"),OR(M388=1,M388="1")),"adequate","partial"),IF(AND(H388="W4",F388="predictive",OR(J388="P2",J388="P3",J388="P4")),IF(OR(U388=1,U388="1"),"adequate","partial"),INDEX(Fit_Matrix!$B:$B,MATCH(P388,Fit_Matrix!$A:$A,0)))),"CHECK KEY"))</f>
        <v/>
      </c>
      <c r="U388" s="10"/>
      <c r="V388" s="10"/>
      <c r="W388" s="10"/>
      <c r="X388" s="10"/>
      <c r="Y388" s="10"/>
      <c r="Z388" s="10"/>
      <c r="AA388" s="11" t="str">
        <f t="shared" si="13"/>
        <v/>
      </c>
    </row>
    <row r="389" spans="16:27" ht="15" customHeight="1">
      <c r="P389" t="str">
        <f t="shared" si="12"/>
        <v/>
      </c>
      <c r="Q389" t="str">
        <f>IF(P389="","",IFERROR(IF(AND(H389="W7",OR(F389="causal",F389="predictive")),IF(AND(OR(K389=1,K389="1"),OR(L389=1,L389="1"),OR(M389=1,M389="1")),"adequate","partial"),IF(AND(H389="W4",F389="predictive",OR(J389="P2",J389="P3",J389="P4")),IF(OR(U389=1,U389="1"),"adequate","partial"),INDEX(Fit_Matrix!$B:$B,MATCH(P389,Fit_Matrix!$A:$A,0)))),"CHECK KEY"))</f>
        <v/>
      </c>
      <c r="U389" s="10"/>
      <c r="V389" s="10"/>
      <c r="W389" s="10"/>
      <c r="X389" s="10"/>
      <c r="Y389" s="10"/>
      <c r="Z389" s="10"/>
      <c r="AA389" s="11" t="str">
        <f t="shared" si="13"/>
        <v/>
      </c>
    </row>
    <row r="390" spans="16:27" ht="15" customHeight="1">
      <c r="P390" t="str">
        <f t="shared" si="12"/>
        <v/>
      </c>
      <c r="Q390" t="str">
        <f>IF(P390="","",IFERROR(IF(AND(H390="W7",OR(F390="causal",F390="predictive")),IF(AND(OR(K390=1,K390="1"),OR(L390=1,L390="1"),OR(M390=1,M390="1")),"adequate","partial"),IF(AND(H390="W4",F390="predictive",OR(J390="P2",J390="P3",J390="P4")),IF(OR(U390=1,U390="1"),"adequate","partial"),INDEX(Fit_Matrix!$B:$B,MATCH(P390,Fit_Matrix!$A:$A,0)))),"CHECK KEY"))</f>
        <v/>
      </c>
      <c r="U390" s="10"/>
      <c r="V390" s="10"/>
      <c r="W390" s="10"/>
      <c r="X390" s="10"/>
      <c r="Y390" s="10"/>
      <c r="Z390" s="10"/>
      <c r="AA390" s="11" t="str">
        <f t="shared" si="13"/>
        <v/>
      </c>
    </row>
    <row r="391" spans="16:27" ht="15" customHeight="1">
      <c r="P391" t="str">
        <f t="shared" si="12"/>
        <v/>
      </c>
      <c r="Q391" t="str">
        <f>IF(P391="","",IFERROR(IF(AND(H391="W7",OR(F391="causal",F391="predictive")),IF(AND(OR(K391=1,K391="1"),OR(L391=1,L391="1"),OR(M391=1,M391="1")),"adequate","partial"),IF(AND(H391="W4",F391="predictive",OR(J391="P2",J391="P3",J391="P4")),IF(OR(U391=1,U391="1"),"adequate","partial"),INDEX(Fit_Matrix!$B:$B,MATCH(P391,Fit_Matrix!$A:$A,0)))),"CHECK KEY"))</f>
        <v/>
      </c>
      <c r="U391" s="10"/>
      <c r="V391" s="10"/>
      <c r="W391" s="10"/>
      <c r="X391" s="10"/>
      <c r="Y391" s="10"/>
      <c r="Z391" s="10"/>
      <c r="AA391" s="11" t="str">
        <f t="shared" si="13"/>
        <v/>
      </c>
    </row>
    <row r="392" spans="16:27" ht="15" customHeight="1">
      <c r="P392" t="str">
        <f t="shared" si="12"/>
        <v/>
      </c>
      <c r="Q392" t="str">
        <f>IF(P392="","",IFERROR(IF(AND(H392="W7",OR(F392="causal",F392="predictive")),IF(AND(OR(K392=1,K392="1"),OR(L392=1,L392="1"),OR(M392=1,M392="1")),"adequate","partial"),IF(AND(H392="W4",F392="predictive",OR(J392="P2",J392="P3",J392="P4")),IF(OR(U392=1,U392="1"),"adequate","partial"),INDEX(Fit_Matrix!$B:$B,MATCH(P392,Fit_Matrix!$A:$A,0)))),"CHECK KEY"))</f>
        <v/>
      </c>
      <c r="U392" s="10"/>
      <c r="V392" s="10"/>
      <c r="W392" s="10"/>
      <c r="X392" s="10"/>
      <c r="Y392" s="10"/>
      <c r="Z392" s="10"/>
      <c r="AA392" s="11" t="str">
        <f t="shared" si="13"/>
        <v/>
      </c>
    </row>
    <row r="393" spans="16:27" ht="15" customHeight="1">
      <c r="P393" t="str">
        <f t="shared" si="12"/>
        <v/>
      </c>
      <c r="Q393" t="str">
        <f>IF(P393="","",IFERROR(IF(AND(H393="W7",OR(F393="causal",F393="predictive")),IF(AND(OR(K393=1,K393="1"),OR(L393=1,L393="1"),OR(M393=1,M393="1")),"adequate","partial"),IF(AND(H393="W4",F393="predictive",OR(J393="P2",J393="P3",J393="P4")),IF(OR(U393=1,U393="1"),"adequate","partial"),INDEX(Fit_Matrix!$B:$B,MATCH(P393,Fit_Matrix!$A:$A,0)))),"CHECK KEY"))</f>
        <v/>
      </c>
      <c r="U393" s="10"/>
      <c r="V393" s="10"/>
      <c r="W393" s="10"/>
      <c r="X393" s="10"/>
      <c r="Y393" s="10"/>
      <c r="Z393" s="10"/>
      <c r="AA393" s="11" t="str">
        <f t="shared" si="13"/>
        <v/>
      </c>
    </row>
    <row r="394" spans="16:27" ht="15" customHeight="1">
      <c r="P394" t="str">
        <f t="shared" si="12"/>
        <v/>
      </c>
      <c r="Q394" t="str">
        <f>IF(P394="","",IFERROR(IF(AND(H394="W7",OR(F394="causal",F394="predictive")),IF(AND(OR(K394=1,K394="1"),OR(L394=1,L394="1"),OR(M394=1,M394="1")),"adequate","partial"),IF(AND(H394="W4",F394="predictive",OR(J394="P2",J394="P3",J394="P4")),IF(OR(U394=1,U394="1"),"adequate","partial"),INDEX(Fit_Matrix!$B:$B,MATCH(P394,Fit_Matrix!$A:$A,0)))),"CHECK KEY"))</f>
        <v/>
      </c>
      <c r="U394" s="10"/>
      <c r="V394" s="10"/>
      <c r="W394" s="10"/>
      <c r="X394" s="10"/>
      <c r="Y394" s="10"/>
      <c r="Z394" s="10"/>
      <c r="AA394" s="11" t="str">
        <f t="shared" si="13"/>
        <v/>
      </c>
    </row>
    <row r="395" spans="16:27" ht="15" customHeight="1">
      <c r="P395" t="str">
        <f t="shared" si="12"/>
        <v/>
      </c>
      <c r="Q395" t="str">
        <f>IF(P395="","",IFERROR(IF(AND(H395="W7",OR(F395="causal",F395="predictive")),IF(AND(OR(K395=1,K395="1"),OR(L395=1,L395="1"),OR(M395=1,M395="1")),"adequate","partial"),IF(AND(H395="W4",F395="predictive",OR(J395="P2",J395="P3",J395="P4")),IF(OR(U395=1,U395="1"),"adequate","partial"),INDEX(Fit_Matrix!$B:$B,MATCH(P395,Fit_Matrix!$A:$A,0)))),"CHECK KEY"))</f>
        <v/>
      </c>
      <c r="U395" s="10"/>
      <c r="V395" s="10"/>
      <c r="W395" s="10"/>
      <c r="X395" s="10"/>
      <c r="Y395" s="10"/>
      <c r="Z395" s="10"/>
      <c r="AA395" s="11" t="str">
        <f t="shared" si="13"/>
        <v/>
      </c>
    </row>
    <row r="396" spans="16:27" ht="15" customHeight="1">
      <c r="P396" t="str">
        <f t="shared" si="12"/>
        <v/>
      </c>
      <c r="Q396" t="str">
        <f>IF(P396="","",IFERROR(IF(AND(H396="W7",OR(F396="causal",F396="predictive")),IF(AND(OR(K396=1,K396="1"),OR(L396=1,L396="1"),OR(M396=1,M396="1")),"adequate","partial"),IF(AND(H396="W4",F396="predictive",OR(J396="P2",J396="P3",J396="P4")),IF(OR(U396=1,U396="1"),"adequate","partial"),INDEX(Fit_Matrix!$B:$B,MATCH(P396,Fit_Matrix!$A:$A,0)))),"CHECK KEY"))</f>
        <v/>
      </c>
      <c r="U396" s="10"/>
      <c r="V396" s="10"/>
      <c r="W396" s="10"/>
      <c r="X396" s="10"/>
      <c r="Y396" s="10"/>
      <c r="Z396" s="10"/>
      <c r="AA396" s="11" t="str">
        <f t="shared" si="13"/>
        <v/>
      </c>
    </row>
    <row r="397" spans="16:27" ht="15" customHeight="1">
      <c r="P397" t="str">
        <f t="shared" si="12"/>
        <v/>
      </c>
      <c r="Q397" t="str">
        <f>IF(P397="","",IFERROR(IF(AND(H397="W7",OR(F397="causal",F397="predictive")),IF(AND(OR(K397=1,K397="1"),OR(L397=1,L397="1"),OR(M397=1,M397="1")),"adequate","partial"),IF(AND(H397="W4",F397="predictive",OR(J397="P2",J397="P3",J397="P4")),IF(OR(U397=1,U397="1"),"adequate","partial"),INDEX(Fit_Matrix!$B:$B,MATCH(P397,Fit_Matrix!$A:$A,0)))),"CHECK KEY"))</f>
        <v/>
      </c>
      <c r="U397" s="10"/>
      <c r="V397" s="10"/>
      <c r="W397" s="10"/>
      <c r="X397" s="10"/>
      <c r="Y397" s="10"/>
      <c r="Z397" s="10"/>
      <c r="AA397" s="11" t="str">
        <f t="shared" si="13"/>
        <v/>
      </c>
    </row>
    <row r="398" spans="16:27" ht="15" customHeight="1">
      <c r="P398" t="str">
        <f t="shared" si="12"/>
        <v/>
      </c>
      <c r="Q398" t="str">
        <f>IF(P398="","",IFERROR(IF(AND(H398="W7",OR(F398="causal",F398="predictive")),IF(AND(OR(K398=1,K398="1"),OR(L398=1,L398="1"),OR(M398=1,M398="1")),"adequate","partial"),IF(AND(H398="W4",F398="predictive",OR(J398="P2",J398="P3",J398="P4")),IF(OR(U398=1,U398="1"),"adequate","partial"),INDEX(Fit_Matrix!$B:$B,MATCH(P398,Fit_Matrix!$A:$A,0)))),"CHECK KEY"))</f>
        <v/>
      </c>
      <c r="U398" s="10"/>
      <c r="V398" s="10"/>
      <c r="W398" s="10"/>
      <c r="X398" s="10"/>
      <c r="Y398" s="10"/>
      <c r="Z398" s="10"/>
      <c r="AA398" s="11" t="str">
        <f t="shared" si="13"/>
        <v/>
      </c>
    </row>
    <row r="399" spans="16:27" ht="15" customHeight="1">
      <c r="P399" t="str">
        <f t="shared" si="12"/>
        <v/>
      </c>
      <c r="Q399" t="str">
        <f>IF(P399="","",IFERROR(IF(AND(H399="W7",OR(F399="causal",F399="predictive")),IF(AND(OR(K399=1,K399="1"),OR(L399=1,L399="1"),OR(M399=1,M399="1")),"adequate","partial"),IF(AND(H399="W4",F399="predictive",OR(J399="P2",J399="P3",J399="P4")),IF(OR(U399=1,U399="1"),"adequate","partial"),INDEX(Fit_Matrix!$B:$B,MATCH(P399,Fit_Matrix!$A:$A,0)))),"CHECK KEY"))</f>
        <v/>
      </c>
      <c r="U399" s="10"/>
      <c r="V399" s="10"/>
      <c r="W399" s="10"/>
      <c r="X399" s="10"/>
      <c r="Y399" s="10"/>
      <c r="Z399" s="10"/>
      <c r="AA399" s="11" t="str">
        <f t="shared" si="13"/>
        <v/>
      </c>
    </row>
    <row r="400" spans="16:27" ht="15" customHeight="1">
      <c r="P400" t="str">
        <f t="shared" si="12"/>
        <v/>
      </c>
      <c r="Q400" t="str">
        <f>IF(P400="","",IFERROR(IF(AND(H400="W7",OR(F400="causal",F400="predictive")),IF(AND(OR(K400=1,K400="1"),OR(L400=1,L400="1"),OR(M400=1,M400="1")),"adequate","partial"),IF(AND(H400="W4",F400="predictive",OR(J400="P2",J400="P3",J400="P4")),IF(OR(U400=1,U400="1"),"adequate","partial"),INDEX(Fit_Matrix!$B:$B,MATCH(P400,Fit_Matrix!$A:$A,0)))),"CHECK KEY"))</f>
        <v/>
      </c>
      <c r="U400" s="10"/>
      <c r="V400" s="10"/>
      <c r="W400" s="10"/>
      <c r="X400" s="10"/>
      <c r="Y400" s="10"/>
      <c r="Z400" s="10"/>
      <c r="AA400" s="11" t="str">
        <f t="shared" si="13"/>
        <v/>
      </c>
    </row>
    <row r="401" spans="16:27" ht="15" customHeight="1">
      <c r="P401" t="str">
        <f t="shared" si="12"/>
        <v/>
      </c>
      <c r="Q401" t="str">
        <f>IF(P401="","",IFERROR(IF(AND(H401="W7",OR(F401="causal",F401="predictive")),IF(AND(OR(K401=1,K401="1"),OR(L401=1,L401="1"),OR(M401=1,M401="1")),"adequate","partial"),IF(AND(H401="W4",F401="predictive",OR(J401="P2",J401="P3",J401="P4")),IF(OR(U401=1,U401="1"),"adequate","partial"),INDEX(Fit_Matrix!$B:$B,MATCH(P401,Fit_Matrix!$A:$A,0)))),"CHECK KEY"))</f>
        <v/>
      </c>
      <c r="U401" s="10"/>
      <c r="V401" s="10"/>
      <c r="W401" s="10"/>
      <c r="X401" s="10"/>
      <c r="Y401" s="10"/>
      <c r="Z401" s="10"/>
      <c r="AA401" s="11" t="str">
        <f t="shared" si="13"/>
        <v/>
      </c>
    </row>
    <row r="402" spans="16:27" ht="15" customHeight="1">
      <c r="P402" t="str">
        <f t="shared" si="12"/>
        <v/>
      </c>
      <c r="Q402" t="str">
        <f>IF(P402="","",IFERROR(IF(AND(H402="W7",OR(F402="causal",F402="predictive")),IF(AND(OR(K402=1,K402="1"),OR(L402=1,L402="1"),OR(M402=1,M402="1")),"adequate","partial"),IF(AND(H402="W4",F402="predictive",OR(J402="P2",J402="P3",J402="P4")),IF(OR(U402=1,U402="1"),"adequate","partial"),INDEX(Fit_Matrix!$B:$B,MATCH(P402,Fit_Matrix!$A:$A,0)))),"CHECK KEY"))</f>
        <v/>
      </c>
      <c r="U402" s="10"/>
      <c r="V402" s="10"/>
      <c r="W402" s="10"/>
      <c r="X402" s="10"/>
      <c r="Y402" s="10"/>
      <c r="Z402" s="10"/>
      <c r="AA402" s="11" t="str">
        <f t="shared" si="13"/>
        <v/>
      </c>
    </row>
    <row r="403" spans="16:27" ht="15" customHeight="1">
      <c r="P403" t="str">
        <f t="shared" si="12"/>
        <v/>
      </c>
      <c r="Q403" t="str">
        <f>IF(P403="","",IFERROR(IF(AND(H403="W7",OR(F403="causal",F403="predictive")),IF(AND(OR(K403=1,K403="1"),OR(L403=1,L403="1"),OR(M403=1,M403="1")),"adequate","partial"),IF(AND(H403="W4",F403="predictive",OR(J403="P2",J403="P3",J403="P4")),IF(OR(U403=1,U403="1"),"adequate","partial"),INDEX(Fit_Matrix!$B:$B,MATCH(P403,Fit_Matrix!$A:$A,0)))),"CHECK KEY"))</f>
        <v/>
      </c>
      <c r="U403" s="10"/>
      <c r="V403" s="10"/>
      <c r="W403" s="10"/>
      <c r="X403" s="10"/>
      <c r="Y403" s="10"/>
      <c r="Z403" s="10"/>
      <c r="AA403" s="11" t="str">
        <f t="shared" si="13"/>
        <v/>
      </c>
    </row>
    <row r="404" spans="16:27" ht="15" customHeight="1">
      <c r="P404" t="str">
        <f t="shared" si="12"/>
        <v/>
      </c>
      <c r="Q404" t="str">
        <f>IF(P404="","",IFERROR(IF(AND(H404="W7",OR(F404="causal",F404="predictive")),IF(AND(OR(K404=1,K404="1"),OR(L404=1,L404="1"),OR(M404=1,M404="1")),"adequate","partial"),IF(AND(H404="W4",F404="predictive",OR(J404="P2",J404="P3",J404="P4")),IF(OR(U404=1,U404="1"),"adequate","partial"),INDEX(Fit_Matrix!$B:$B,MATCH(P404,Fit_Matrix!$A:$A,0)))),"CHECK KEY"))</f>
        <v/>
      </c>
      <c r="U404" s="10"/>
      <c r="V404" s="10"/>
      <c r="W404" s="10"/>
      <c r="X404" s="10"/>
      <c r="Y404" s="10"/>
      <c r="Z404" s="10"/>
      <c r="AA404" s="11" t="str">
        <f t="shared" si="13"/>
        <v/>
      </c>
    </row>
    <row r="405" spans="16:27" ht="15" customHeight="1">
      <c r="P405" t="str">
        <f t="shared" si="12"/>
        <v/>
      </c>
      <c r="Q405" t="str">
        <f>IF(P405="","",IFERROR(IF(AND(H405="W7",OR(F405="causal",F405="predictive")),IF(AND(OR(K405=1,K405="1"),OR(L405=1,L405="1"),OR(M405=1,M405="1")),"adequate","partial"),IF(AND(H405="W4",F405="predictive",OR(J405="P2",J405="P3",J405="P4")),IF(OR(U405=1,U405="1"),"adequate","partial"),INDEX(Fit_Matrix!$B:$B,MATCH(P405,Fit_Matrix!$A:$A,0)))),"CHECK KEY"))</f>
        <v/>
      </c>
      <c r="U405" s="10"/>
      <c r="V405" s="10"/>
      <c r="W405" s="10"/>
      <c r="X405" s="10"/>
      <c r="Y405" s="10"/>
      <c r="Z405" s="10"/>
      <c r="AA405" s="11" t="str">
        <f t="shared" si="13"/>
        <v/>
      </c>
    </row>
    <row r="406" spans="16:27" ht="15" customHeight="1">
      <c r="P406" t="str">
        <f t="shared" si="12"/>
        <v/>
      </c>
      <c r="Q406" t="str">
        <f>IF(P406="","",IFERROR(IF(AND(H406="W7",OR(F406="causal",F406="predictive")),IF(AND(OR(K406=1,K406="1"),OR(L406=1,L406="1"),OR(M406=1,M406="1")),"adequate","partial"),IF(AND(H406="W4",F406="predictive",OR(J406="P2",J406="P3",J406="P4")),IF(OR(U406=1,U406="1"),"adequate","partial"),INDEX(Fit_Matrix!$B:$B,MATCH(P406,Fit_Matrix!$A:$A,0)))),"CHECK KEY"))</f>
        <v/>
      </c>
      <c r="U406" s="10"/>
      <c r="V406" s="10"/>
      <c r="W406" s="10"/>
      <c r="X406" s="10"/>
      <c r="Y406" s="10"/>
      <c r="Z406" s="10"/>
      <c r="AA406" s="11" t="str">
        <f t="shared" si="13"/>
        <v/>
      </c>
    </row>
    <row r="407" spans="16:27" ht="15" customHeight="1">
      <c r="P407" t="str">
        <f t="shared" si="12"/>
        <v/>
      </c>
      <c r="Q407" t="str">
        <f>IF(P407="","",IFERROR(IF(AND(H407="W7",OR(F407="causal",F407="predictive")),IF(AND(OR(K407=1,K407="1"),OR(L407=1,L407="1"),OR(M407=1,M407="1")),"adequate","partial"),IF(AND(H407="W4",F407="predictive",OR(J407="P2",J407="P3",J407="P4")),IF(OR(U407=1,U407="1"),"adequate","partial"),INDEX(Fit_Matrix!$B:$B,MATCH(P407,Fit_Matrix!$A:$A,0)))),"CHECK KEY"))</f>
        <v/>
      </c>
      <c r="U407" s="10"/>
      <c r="V407" s="10"/>
      <c r="W407" s="10"/>
      <c r="X407" s="10"/>
      <c r="Y407" s="10"/>
      <c r="Z407" s="10"/>
      <c r="AA407" s="11" t="str">
        <f t="shared" si="13"/>
        <v/>
      </c>
    </row>
    <row r="408" spans="16:27" ht="15" customHeight="1">
      <c r="P408" t="str">
        <f t="shared" si="12"/>
        <v/>
      </c>
      <c r="Q408" t="str">
        <f>IF(P408="","",IFERROR(IF(AND(H408="W7",OR(F408="causal",F408="predictive")),IF(AND(OR(K408=1,K408="1"),OR(L408=1,L408="1"),OR(M408=1,M408="1")),"adequate","partial"),IF(AND(H408="W4",F408="predictive",OR(J408="P2",J408="P3",J408="P4")),IF(OR(U408=1,U408="1"),"adequate","partial"),INDEX(Fit_Matrix!$B:$B,MATCH(P408,Fit_Matrix!$A:$A,0)))),"CHECK KEY"))</f>
        <v/>
      </c>
      <c r="U408" s="10"/>
      <c r="V408" s="10"/>
      <c r="W408" s="10"/>
      <c r="X408" s="10"/>
      <c r="Y408" s="10"/>
      <c r="Z408" s="10"/>
      <c r="AA408" s="11" t="str">
        <f t="shared" si="13"/>
        <v/>
      </c>
    </row>
    <row r="409" spans="16:27" ht="15" customHeight="1">
      <c r="P409" t="str">
        <f t="shared" si="12"/>
        <v/>
      </c>
      <c r="Q409" t="str">
        <f>IF(P409="","",IFERROR(IF(AND(H409="W7",OR(F409="causal",F409="predictive")),IF(AND(OR(K409=1,K409="1"),OR(L409=1,L409="1"),OR(M409=1,M409="1")),"adequate","partial"),IF(AND(H409="W4",F409="predictive",OR(J409="P2",J409="P3",J409="P4")),IF(OR(U409=1,U409="1"),"adequate","partial"),INDEX(Fit_Matrix!$B:$B,MATCH(P409,Fit_Matrix!$A:$A,0)))),"CHECK KEY"))</f>
        <v/>
      </c>
      <c r="U409" s="10"/>
      <c r="V409" s="10"/>
      <c r="W409" s="10"/>
      <c r="X409" s="10"/>
      <c r="Y409" s="10"/>
      <c r="Z409" s="10"/>
      <c r="AA409" s="11" t="str">
        <f t="shared" si="13"/>
        <v/>
      </c>
    </row>
    <row r="410" spans="16:27" ht="15" customHeight="1">
      <c r="P410" t="str">
        <f t="shared" si="12"/>
        <v/>
      </c>
      <c r="Q410" t="str">
        <f>IF(P410="","",IFERROR(IF(AND(H410="W7",OR(F410="causal",F410="predictive")),IF(AND(OR(K410=1,K410="1"),OR(L410=1,L410="1"),OR(M410=1,M410="1")),"adequate","partial"),IF(AND(H410="W4",F410="predictive",OR(J410="P2",J410="P3",J410="P4")),IF(OR(U410=1,U410="1"),"adequate","partial"),INDEX(Fit_Matrix!$B:$B,MATCH(P410,Fit_Matrix!$A:$A,0)))),"CHECK KEY"))</f>
        <v/>
      </c>
      <c r="U410" s="10"/>
      <c r="V410" s="10"/>
      <c r="W410" s="10"/>
      <c r="X410" s="10"/>
      <c r="Y410" s="10"/>
      <c r="Z410" s="10"/>
      <c r="AA410" s="11" t="str">
        <f t="shared" si="13"/>
        <v/>
      </c>
    </row>
    <row r="411" spans="16:27" ht="15" customHeight="1">
      <c r="P411" t="str">
        <f t="shared" si="12"/>
        <v/>
      </c>
      <c r="Q411" t="str">
        <f>IF(P411="","",IFERROR(IF(AND(H411="W7",OR(F411="causal",F411="predictive")),IF(AND(OR(K411=1,K411="1"),OR(L411=1,L411="1"),OR(M411=1,M411="1")),"adequate","partial"),IF(AND(H411="W4",F411="predictive",OR(J411="P2",J411="P3",J411="P4")),IF(OR(U411=1,U411="1"),"adequate","partial"),INDEX(Fit_Matrix!$B:$B,MATCH(P411,Fit_Matrix!$A:$A,0)))),"CHECK KEY"))</f>
        <v/>
      </c>
      <c r="U411" s="10"/>
      <c r="V411" s="10"/>
      <c r="W411" s="10"/>
      <c r="X411" s="10"/>
      <c r="Y411" s="10"/>
      <c r="Z411" s="10"/>
      <c r="AA411" s="11" t="str">
        <f t="shared" si="13"/>
        <v/>
      </c>
    </row>
    <row r="412" spans="16:27" ht="15" customHeight="1">
      <c r="P412" t="str">
        <f t="shared" si="12"/>
        <v/>
      </c>
      <c r="Q412" t="str">
        <f>IF(P412="","",IFERROR(IF(AND(H412="W7",OR(F412="causal",F412="predictive")),IF(AND(OR(K412=1,K412="1"),OR(L412=1,L412="1"),OR(M412=1,M412="1")),"adequate","partial"),IF(AND(H412="W4",F412="predictive",OR(J412="P2",J412="P3",J412="P4")),IF(OR(U412=1,U412="1"),"adequate","partial"),INDEX(Fit_Matrix!$B:$B,MATCH(P412,Fit_Matrix!$A:$A,0)))),"CHECK KEY"))</f>
        <v/>
      </c>
      <c r="U412" s="10"/>
      <c r="V412" s="10"/>
      <c r="W412" s="10"/>
      <c r="X412" s="10"/>
      <c r="Y412" s="10"/>
      <c r="Z412" s="10"/>
      <c r="AA412" s="11" t="str">
        <f t="shared" si="13"/>
        <v/>
      </c>
    </row>
    <row r="413" spans="16:27" ht="15" customHeight="1">
      <c r="P413" t="str">
        <f t="shared" si="12"/>
        <v/>
      </c>
      <c r="Q413" t="str">
        <f>IF(P413="","",IFERROR(IF(AND(H413="W7",OR(F413="causal",F413="predictive")),IF(AND(OR(K413=1,K413="1"),OR(L413=1,L413="1"),OR(M413=1,M413="1")),"adequate","partial"),IF(AND(H413="W4",F413="predictive",OR(J413="P2",J413="P3",J413="P4")),IF(OR(U413=1,U413="1"),"adequate","partial"),INDEX(Fit_Matrix!$B:$B,MATCH(P413,Fit_Matrix!$A:$A,0)))),"CHECK KEY"))</f>
        <v/>
      </c>
      <c r="U413" s="10"/>
      <c r="V413" s="10"/>
      <c r="W413" s="10"/>
      <c r="X413" s="10"/>
      <c r="Y413" s="10"/>
      <c r="Z413" s="10"/>
      <c r="AA413" s="11" t="str">
        <f t="shared" si="13"/>
        <v/>
      </c>
    </row>
    <row r="414" spans="16:27" ht="15" customHeight="1">
      <c r="P414" t="str">
        <f t="shared" si="12"/>
        <v/>
      </c>
      <c r="Q414" t="str">
        <f>IF(P414="","",IFERROR(IF(AND(H414="W7",OR(F414="causal",F414="predictive")),IF(AND(OR(K414=1,K414="1"),OR(L414=1,L414="1"),OR(M414=1,M414="1")),"adequate","partial"),IF(AND(H414="W4",F414="predictive",OR(J414="P2",J414="P3",J414="P4")),IF(OR(U414=1,U414="1"),"adequate","partial"),INDEX(Fit_Matrix!$B:$B,MATCH(P414,Fit_Matrix!$A:$A,0)))),"CHECK KEY"))</f>
        <v/>
      </c>
      <c r="U414" s="10"/>
      <c r="V414" s="10"/>
      <c r="W414" s="10"/>
      <c r="X414" s="10"/>
      <c r="Y414" s="10"/>
      <c r="Z414" s="10"/>
      <c r="AA414" s="11" t="str">
        <f t="shared" si="13"/>
        <v/>
      </c>
    </row>
    <row r="415" spans="16:27" ht="15" customHeight="1">
      <c r="P415" t="str">
        <f t="shared" si="12"/>
        <v/>
      </c>
      <c r="Q415" t="str">
        <f>IF(P415="","",IFERROR(IF(AND(H415="W7",OR(F415="causal",F415="predictive")),IF(AND(OR(K415=1,K415="1"),OR(L415=1,L415="1"),OR(M415=1,M415="1")),"adequate","partial"),IF(AND(H415="W4",F415="predictive",OR(J415="P2",J415="P3",J415="P4")),IF(OR(U415=1,U415="1"),"adequate","partial"),INDEX(Fit_Matrix!$B:$B,MATCH(P415,Fit_Matrix!$A:$A,0)))),"CHECK KEY"))</f>
        <v/>
      </c>
      <c r="U415" s="10"/>
      <c r="V415" s="10"/>
      <c r="W415" s="10"/>
      <c r="X415" s="10"/>
      <c r="Y415" s="10"/>
      <c r="Z415" s="10"/>
      <c r="AA415" s="11" t="str">
        <f t="shared" si="13"/>
        <v/>
      </c>
    </row>
    <row r="416" spans="16:27" ht="15" customHeight="1">
      <c r="P416" t="str">
        <f t="shared" si="12"/>
        <v/>
      </c>
      <c r="Q416" t="str">
        <f>IF(P416="","",IFERROR(IF(AND(H416="W7",OR(F416="causal",F416="predictive")),IF(AND(OR(K416=1,K416="1"),OR(L416=1,L416="1"),OR(M416=1,M416="1")),"adequate","partial"),IF(AND(H416="W4",F416="predictive",OR(J416="P2",J416="P3",J416="P4")),IF(OR(U416=1,U416="1"),"adequate","partial"),INDEX(Fit_Matrix!$B:$B,MATCH(P416,Fit_Matrix!$A:$A,0)))),"CHECK KEY"))</f>
        <v/>
      </c>
      <c r="U416" s="10"/>
      <c r="V416" s="10"/>
      <c r="W416" s="10"/>
      <c r="X416" s="10"/>
      <c r="Y416" s="10"/>
      <c r="Z416" s="10"/>
      <c r="AA416" s="11" t="str">
        <f t="shared" si="13"/>
        <v/>
      </c>
    </row>
    <row r="417" spans="16:27" ht="15" customHeight="1">
      <c r="P417" t="str">
        <f t="shared" si="12"/>
        <v/>
      </c>
      <c r="Q417" t="str">
        <f>IF(P417="","",IFERROR(IF(AND(H417="W7",OR(F417="causal",F417="predictive")),IF(AND(OR(K417=1,K417="1"),OR(L417=1,L417="1"),OR(M417=1,M417="1")),"adequate","partial"),IF(AND(H417="W4",F417="predictive",OR(J417="P2",J417="P3",J417="P4")),IF(OR(U417=1,U417="1"),"adequate","partial"),INDEX(Fit_Matrix!$B:$B,MATCH(P417,Fit_Matrix!$A:$A,0)))),"CHECK KEY"))</f>
        <v/>
      </c>
      <c r="U417" s="10"/>
      <c r="V417" s="10"/>
      <c r="W417" s="10"/>
      <c r="X417" s="10"/>
      <c r="Y417" s="10"/>
      <c r="Z417" s="10"/>
      <c r="AA417" s="11" t="str">
        <f t="shared" si="13"/>
        <v/>
      </c>
    </row>
    <row r="418" spans="16:27" ht="15" customHeight="1">
      <c r="P418" t="str">
        <f t="shared" si="12"/>
        <v/>
      </c>
      <c r="Q418" t="str">
        <f>IF(P418="","",IFERROR(IF(AND(H418="W7",OR(F418="causal",F418="predictive")),IF(AND(OR(K418=1,K418="1"),OR(L418=1,L418="1"),OR(M418=1,M418="1")),"adequate","partial"),IF(AND(H418="W4",F418="predictive",OR(J418="P2",J418="P3",J418="P4")),IF(OR(U418=1,U418="1"),"adequate","partial"),INDEX(Fit_Matrix!$B:$B,MATCH(P418,Fit_Matrix!$A:$A,0)))),"CHECK KEY"))</f>
        <v/>
      </c>
      <c r="U418" s="10"/>
      <c r="V418" s="10"/>
      <c r="W418" s="10"/>
      <c r="X418" s="10"/>
      <c r="Y418" s="10"/>
      <c r="Z418" s="10"/>
      <c r="AA418" s="11" t="str">
        <f t="shared" si="13"/>
        <v/>
      </c>
    </row>
    <row r="419" spans="16:27" ht="15" customHeight="1">
      <c r="P419" t="str">
        <f t="shared" si="12"/>
        <v/>
      </c>
      <c r="Q419" t="str">
        <f>IF(P419="","",IFERROR(IF(AND(H419="W7",OR(F419="causal",F419="predictive")),IF(AND(OR(K419=1,K419="1"),OR(L419=1,L419="1"),OR(M419=1,M419="1")),"adequate","partial"),IF(AND(H419="W4",F419="predictive",OR(J419="P2",J419="P3",J419="P4")),IF(OR(U419=1,U419="1"),"adequate","partial"),INDEX(Fit_Matrix!$B:$B,MATCH(P419,Fit_Matrix!$A:$A,0)))),"CHECK KEY"))</f>
        <v/>
      </c>
      <c r="U419" s="10"/>
      <c r="V419" s="10"/>
      <c r="W419" s="10"/>
      <c r="X419" s="10"/>
      <c r="Y419" s="10"/>
      <c r="Z419" s="10"/>
      <c r="AA419" s="11" t="str">
        <f t="shared" si="13"/>
        <v/>
      </c>
    </row>
    <row r="420" spans="16:27" ht="15" customHeight="1">
      <c r="P420" t="str">
        <f t="shared" si="12"/>
        <v/>
      </c>
      <c r="Q420" t="str">
        <f>IF(P420="","",IFERROR(IF(AND(H420="W7",OR(F420="causal",F420="predictive")),IF(AND(OR(K420=1,K420="1"),OR(L420=1,L420="1"),OR(M420=1,M420="1")),"adequate","partial"),IF(AND(H420="W4",F420="predictive",OR(J420="P2",J420="P3",J420="P4")),IF(OR(U420=1,U420="1"),"adequate","partial"),INDEX(Fit_Matrix!$B:$B,MATCH(P420,Fit_Matrix!$A:$A,0)))),"CHECK KEY"))</f>
        <v/>
      </c>
      <c r="U420" s="10"/>
      <c r="V420" s="10"/>
      <c r="W420" s="10"/>
      <c r="X420" s="10"/>
      <c r="Y420" s="10"/>
      <c r="Z420" s="10"/>
      <c r="AA420" s="11" t="str">
        <f t="shared" si="13"/>
        <v/>
      </c>
    </row>
    <row r="421" spans="16:27" ht="15" customHeight="1">
      <c r="P421" t="str">
        <f t="shared" si="12"/>
        <v/>
      </c>
      <c r="Q421" t="str">
        <f>IF(P421="","",IFERROR(IF(AND(H421="W7",OR(F421="causal",F421="predictive")),IF(AND(OR(K421=1,K421="1"),OR(L421=1,L421="1"),OR(M421=1,M421="1")),"adequate","partial"),IF(AND(H421="W4",F421="predictive",OR(J421="P2",J421="P3",J421="P4")),IF(OR(U421=1,U421="1"),"adequate","partial"),INDEX(Fit_Matrix!$B:$B,MATCH(P421,Fit_Matrix!$A:$A,0)))),"CHECK KEY"))</f>
        <v/>
      </c>
      <c r="U421" s="10"/>
      <c r="V421" s="10"/>
      <c r="W421" s="10"/>
      <c r="X421" s="10"/>
      <c r="Y421" s="10"/>
      <c r="Z421" s="10"/>
      <c r="AA421" s="11" t="str">
        <f t="shared" si="13"/>
        <v/>
      </c>
    </row>
    <row r="422" spans="16:27" ht="15" customHeight="1">
      <c r="P422" t="str">
        <f t="shared" si="12"/>
        <v/>
      </c>
      <c r="Q422" t="str">
        <f>IF(P422="","",IFERROR(IF(AND(H422="W7",OR(F422="causal",F422="predictive")),IF(AND(OR(K422=1,K422="1"),OR(L422=1,L422="1"),OR(M422=1,M422="1")),"adequate","partial"),IF(AND(H422="W4",F422="predictive",OR(J422="P2",J422="P3",J422="P4")),IF(OR(U422=1,U422="1"),"adequate","partial"),INDEX(Fit_Matrix!$B:$B,MATCH(P422,Fit_Matrix!$A:$A,0)))),"CHECK KEY"))</f>
        <v/>
      </c>
      <c r="U422" s="10"/>
      <c r="V422" s="10"/>
      <c r="W422" s="10"/>
      <c r="X422" s="10"/>
      <c r="Y422" s="10"/>
      <c r="Z422" s="10"/>
      <c r="AA422" s="11" t="str">
        <f t="shared" si="13"/>
        <v/>
      </c>
    </row>
    <row r="423" spans="16:27" ht="15" customHeight="1">
      <c r="P423" t="str">
        <f t="shared" si="12"/>
        <v/>
      </c>
      <c r="Q423" t="str">
        <f>IF(P423="","",IFERROR(IF(AND(H423="W7",OR(F423="causal",F423="predictive")),IF(AND(OR(K423=1,K423="1"),OR(L423=1,L423="1"),OR(M423=1,M423="1")),"adequate","partial"),IF(AND(H423="W4",F423="predictive",OR(J423="P2",J423="P3",J423="P4")),IF(OR(U423=1,U423="1"),"adequate","partial"),INDEX(Fit_Matrix!$B:$B,MATCH(P423,Fit_Matrix!$A:$A,0)))),"CHECK KEY"))</f>
        <v/>
      </c>
      <c r="U423" s="10"/>
      <c r="V423" s="10"/>
      <c r="W423" s="10"/>
      <c r="X423" s="10"/>
      <c r="Y423" s="10"/>
      <c r="Z423" s="10"/>
      <c r="AA423" s="11" t="str">
        <f t="shared" si="13"/>
        <v/>
      </c>
    </row>
    <row r="424" spans="16:27" ht="15" customHeight="1">
      <c r="P424" t="str">
        <f t="shared" si="12"/>
        <v/>
      </c>
      <c r="Q424" t="str">
        <f>IF(P424="","",IFERROR(IF(AND(H424="W7",OR(F424="causal",F424="predictive")),IF(AND(OR(K424=1,K424="1"),OR(L424=1,L424="1"),OR(M424=1,M424="1")),"adequate","partial"),IF(AND(H424="W4",F424="predictive",OR(J424="P2",J424="P3",J424="P4")),IF(OR(U424=1,U424="1"),"adequate","partial"),INDEX(Fit_Matrix!$B:$B,MATCH(P424,Fit_Matrix!$A:$A,0)))),"CHECK KEY"))</f>
        <v/>
      </c>
      <c r="U424" s="10"/>
      <c r="V424" s="10"/>
      <c r="W424" s="10"/>
      <c r="X424" s="10"/>
      <c r="Y424" s="10"/>
      <c r="Z424" s="10"/>
      <c r="AA424" s="11" t="str">
        <f t="shared" si="13"/>
        <v/>
      </c>
    </row>
    <row r="425" spans="16:27" ht="15" customHeight="1">
      <c r="P425" t="str">
        <f t="shared" si="12"/>
        <v/>
      </c>
      <c r="Q425" t="str">
        <f>IF(P425="","",IFERROR(IF(AND(H425="W7",OR(F425="causal",F425="predictive")),IF(AND(OR(K425=1,K425="1"),OR(L425=1,L425="1"),OR(M425=1,M425="1")),"adequate","partial"),IF(AND(H425="W4",F425="predictive",OR(J425="P2",J425="P3",J425="P4")),IF(OR(U425=1,U425="1"),"adequate","partial"),INDEX(Fit_Matrix!$B:$B,MATCH(P425,Fit_Matrix!$A:$A,0)))),"CHECK KEY"))</f>
        <v/>
      </c>
      <c r="U425" s="10"/>
      <c r="V425" s="10"/>
      <c r="W425" s="10"/>
      <c r="X425" s="10"/>
      <c r="Y425" s="10"/>
      <c r="Z425" s="10"/>
      <c r="AA425" s="11" t="str">
        <f t="shared" si="13"/>
        <v/>
      </c>
    </row>
    <row r="426" spans="16:27" ht="15" customHeight="1">
      <c r="P426" t="str">
        <f t="shared" si="12"/>
        <v/>
      </c>
      <c r="Q426" t="str">
        <f>IF(P426="","",IFERROR(IF(AND(H426="W7",OR(F426="causal",F426="predictive")),IF(AND(OR(K426=1,K426="1"),OR(L426=1,L426="1"),OR(M426=1,M426="1")),"adequate","partial"),IF(AND(H426="W4",F426="predictive",OR(J426="P2",J426="P3",J426="P4")),IF(OR(U426=1,U426="1"),"adequate","partial"),INDEX(Fit_Matrix!$B:$B,MATCH(P426,Fit_Matrix!$A:$A,0)))),"CHECK KEY"))</f>
        <v/>
      </c>
      <c r="U426" s="10"/>
      <c r="V426" s="10"/>
      <c r="W426" s="10"/>
      <c r="X426" s="10"/>
      <c r="Y426" s="10"/>
      <c r="Z426" s="10"/>
      <c r="AA426" s="11" t="str">
        <f t="shared" si="13"/>
        <v/>
      </c>
    </row>
    <row r="427" spans="16:27" ht="15" customHeight="1">
      <c r="P427" t="str">
        <f t="shared" si="12"/>
        <v/>
      </c>
      <c r="Q427" t="str">
        <f>IF(P427="","",IFERROR(IF(AND(H427="W7",OR(F427="causal",F427="predictive")),IF(AND(OR(K427=1,K427="1"),OR(L427=1,L427="1"),OR(M427=1,M427="1")),"adequate","partial"),IF(AND(H427="W4",F427="predictive",OR(J427="P2",J427="P3",J427="P4")),IF(OR(U427=1,U427="1"),"adequate","partial"),INDEX(Fit_Matrix!$B:$B,MATCH(P427,Fit_Matrix!$A:$A,0)))),"CHECK KEY"))</f>
        <v/>
      </c>
      <c r="U427" s="10"/>
      <c r="V427" s="10"/>
      <c r="W427" s="10"/>
      <c r="X427" s="10"/>
      <c r="Y427" s="10"/>
      <c r="Z427" s="10"/>
      <c r="AA427" s="11" t="str">
        <f t="shared" si="13"/>
        <v/>
      </c>
    </row>
    <row r="428" spans="16:27" ht="15" customHeight="1">
      <c r="P428" t="str">
        <f t="shared" si="12"/>
        <v/>
      </c>
      <c r="Q428" t="str">
        <f>IF(P428="","",IFERROR(IF(AND(H428="W7",OR(F428="causal",F428="predictive")),IF(AND(OR(K428=1,K428="1"),OR(L428=1,L428="1"),OR(M428=1,M428="1")),"adequate","partial"),IF(AND(H428="W4",F428="predictive",OR(J428="P2",J428="P3",J428="P4")),IF(OR(U428=1,U428="1"),"adequate","partial"),INDEX(Fit_Matrix!$B:$B,MATCH(P428,Fit_Matrix!$A:$A,0)))),"CHECK KEY"))</f>
        <v/>
      </c>
      <c r="U428" s="10"/>
      <c r="V428" s="10"/>
      <c r="W428" s="10"/>
      <c r="X428" s="10"/>
      <c r="Y428" s="10"/>
      <c r="Z428" s="10"/>
      <c r="AA428" s="11" t="str">
        <f t="shared" si="13"/>
        <v/>
      </c>
    </row>
    <row r="429" spans="16:27" ht="15" customHeight="1">
      <c r="P429" t="str">
        <f t="shared" si="12"/>
        <v/>
      </c>
      <c r="Q429" t="str">
        <f>IF(P429="","",IFERROR(IF(AND(H429="W7",OR(F429="causal",F429="predictive")),IF(AND(OR(K429=1,K429="1"),OR(L429=1,L429="1"),OR(M429=1,M429="1")),"adequate","partial"),IF(AND(H429="W4",F429="predictive",OR(J429="P2",J429="P3",J429="P4")),IF(OR(U429=1,U429="1"),"adequate","partial"),INDEX(Fit_Matrix!$B:$B,MATCH(P429,Fit_Matrix!$A:$A,0)))),"CHECK KEY"))</f>
        <v/>
      </c>
      <c r="U429" s="10"/>
      <c r="V429" s="10"/>
      <c r="W429" s="10"/>
      <c r="X429" s="10"/>
      <c r="Y429" s="10"/>
      <c r="Z429" s="10"/>
      <c r="AA429" s="11" t="str">
        <f t="shared" si="13"/>
        <v/>
      </c>
    </row>
    <row r="430" spans="16:27" ht="15" customHeight="1">
      <c r="P430" t="str">
        <f t="shared" si="12"/>
        <v/>
      </c>
      <c r="Q430" t="str">
        <f>IF(P430="","",IFERROR(IF(AND(H430="W7",OR(F430="causal",F430="predictive")),IF(AND(OR(K430=1,K430="1"),OR(L430=1,L430="1"),OR(M430=1,M430="1")),"adequate","partial"),IF(AND(H430="W4",F430="predictive",OR(J430="P2",J430="P3",J430="P4")),IF(OR(U430=1,U430="1"),"adequate","partial"),INDEX(Fit_Matrix!$B:$B,MATCH(P430,Fit_Matrix!$A:$A,0)))),"CHECK KEY"))</f>
        <v/>
      </c>
      <c r="U430" s="10"/>
      <c r="V430" s="10"/>
      <c r="W430" s="10"/>
      <c r="X430" s="10"/>
      <c r="Y430" s="10"/>
      <c r="Z430" s="10"/>
      <c r="AA430" s="11" t="str">
        <f t="shared" si="13"/>
        <v/>
      </c>
    </row>
    <row r="431" spans="16:27" ht="15" customHeight="1">
      <c r="P431" t="str">
        <f t="shared" si="12"/>
        <v/>
      </c>
      <c r="Q431" t="str">
        <f>IF(P431="","",IFERROR(IF(AND(H431="W7",OR(F431="causal",F431="predictive")),IF(AND(OR(K431=1,K431="1"),OR(L431=1,L431="1"),OR(M431=1,M431="1")),"adequate","partial"),IF(AND(H431="W4",F431="predictive",OR(J431="P2",J431="P3",J431="P4")),IF(OR(U431=1,U431="1"),"adequate","partial"),INDEX(Fit_Matrix!$B:$B,MATCH(P431,Fit_Matrix!$A:$A,0)))),"CHECK KEY"))</f>
        <v/>
      </c>
      <c r="U431" s="10"/>
      <c r="V431" s="10"/>
      <c r="W431" s="10"/>
      <c r="X431" s="10"/>
      <c r="Y431" s="10"/>
      <c r="Z431" s="10"/>
      <c r="AA431" s="11" t="str">
        <f t="shared" si="13"/>
        <v/>
      </c>
    </row>
    <row r="432" spans="16:27" ht="15" customHeight="1">
      <c r="P432" t="str">
        <f t="shared" si="12"/>
        <v/>
      </c>
      <c r="Q432" t="str">
        <f>IF(P432="","",IFERROR(IF(AND(H432="W7",OR(F432="causal",F432="predictive")),IF(AND(OR(K432=1,K432="1"),OR(L432=1,L432="1"),OR(M432=1,M432="1")),"adequate","partial"),IF(AND(H432="W4",F432="predictive",OR(J432="P2",J432="P3",J432="P4")),IF(OR(U432=1,U432="1"),"adequate","partial"),INDEX(Fit_Matrix!$B:$B,MATCH(P432,Fit_Matrix!$A:$A,0)))),"CHECK KEY"))</f>
        <v/>
      </c>
      <c r="U432" s="10"/>
      <c r="V432" s="10"/>
      <c r="W432" s="10"/>
      <c r="X432" s="10"/>
      <c r="Y432" s="10"/>
      <c r="Z432" s="10"/>
      <c r="AA432" s="11" t="str">
        <f t="shared" si="13"/>
        <v/>
      </c>
    </row>
    <row r="433" spans="16:27" ht="15" customHeight="1">
      <c r="P433" t="str">
        <f t="shared" si="12"/>
        <v/>
      </c>
      <c r="Q433" t="str">
        <f>IF(P433="","",IFERROR(IF(AND(H433="W7",OR(F433="causal",F433="predictive")),IF(AND(OR(K433=1,K433="1"),OR(L433=1,L433="1"),OR(M433=1,M433="1")),"adequate","partial"),IF(AND(H433="W4",F433="predictive",OR(J433="P2",J433="P3",J433="P4")),IF(OR(U433=1,U433="1"),"adequate","partial"),INDEX(Fit_Matrix!$B:$B,MATCH(P433,Fit_Matrix!$A:$A,0)))),"CHECK KEY"))</f>
        <v/>
      </c>
      <c r="U433" s="10"/>
      <c r="V433" s="10"/>
      <c r="W433" s="10"/>
      <c r="X433" s="10"/>
      <c r="Y433" s="10"/>
      <c r="Z433" s="10"/>
      <c r="AA433" s="11" t="str">
        <f t="shared" si="13"/>
        <v/>
      </c>
    </row>
    <row r="434" spans="16:27" ht="15" customHeight="1">
      <c r="P434" t="str">
        <f t="shared" si="12"/>
        <v/>
      </c>
      <c r="Q434" t="str">
        <f>IF(P434="","",IFERROR(IF(AND(H434="W7",OR(F434="causal",F434="predictive")),IF(AND(OR(K434=1,K434="1"),OR(L434=1,L434="1"),OR(M434=1,M434="1")),"adequate","partial"),IF(AND(H434="W4",F434="predictive",OR(J434="P2",J434="P3",J434="P4")),IF(OR(U434=1,U434="1"),"adequate","partial"),INDEX(Fit_Matrix!$B:$B,MATCH(P434,Fit_Matrix!$A:$A,0)))),"CHECK KEY"))</f>
        <v/>
      </c>
      <c r="U434" s="10"/>
      <c r="V434" s="10"/>
      <c r="W434" s="10"/>
      <c r="X434" s="10"/>
      <c r="Y434" s="10"/>
      <c r="Z434" s="10"/>
      <c r="AA434" s="11" t="str">
        <f t="shared" si="13"/>
        <v/>
      </c>
    </row>
    <row r="435" spans="16:27" ht="15" customHeight="1">
      <c r="P435" t="str">
        <f t="shared" si="12"/>
        <v/>
      </c>
      <c r="Q435" t="str">
        <f>IF(P435="","",IFERROR(IF(AND(H435="W7",OR(F435="causal",F435="predictive")),IF(AND(OR(K435=1,K435="1"),OR(L435=1,L435="1"),OR(M435=1,M435="1")),"adequate","partial"),IF(AND(H435="W4",F435="predictive",OR(J435="P2",J435="P3",J435="P4")),IF(OR(U435=1,U435="1"),"adequate","partial"),INDEX(Fit_Matrix!$B:$B,MATCH(P435,Fit_Matrix!$A:$A,0)))),"CHECK KEY"))</f>
        <v/>
      </c>
      <c r="U435" s="10"/>
      <c r="V435" s="10"/>
      <c r="W435" s="10"/>
      <c r="X435" s="10"/>
      <c r="Y435" s="10"/>
      <c r="Z435" s="10"/>
      <c r="AA435" s="11" t="str">
        <f t="shared" si="13"/>
        <v/>
      </c>
    </row>
    <row r="436" spans="16:27" ht="15" customHeight="1">
      <c r="P436" t="str">
        <f t="shared" si="12"/>
        <v/>
      </c>
      <c r="Q436" t="str">
        <f>IF(P436="","",IFERROR(IF(AND(H436="W7",OR(F436="causal",F436="predictive")),IF(AND(OR(K436=1,K436="1"),OR(L436=1,L436="1"),OR(M436=1,M436="1")),"adequate","partial"),IF(AND(H436="W4",F436="predictive",OR(J436="P2",J436="P3",J436="P4")),IF(OR(U436=1,U436="1"),"adequate","partial"),INDEX(Fit_Matrix!$B:$B,MATCH(P436,Fit_Matrix!$A:$A,0)))),"CHECK KEY"))</f>
        <v/>
      </c>
      <c r="U436" s="10"/>
      <c r="V436" s="10"/>
      <c r="W436" s="10"/>
      <c r="X436" s="10"/>
      <c r="Y436" s="10"/>
      <c r="Z436" s="10"/>
      <c r="AA436" s="11" t="str">
        <f t="shared" si="13"/>
        <v/>
      </c>
    </row>
    <row r="437" spans="16:27" ht="15" customHeight="1">
      <c r="P437" t="str">
        <f t="shared" si="12"/>
        <v/>
      </c>
      <c r="Q437" t="str">
        <f>IF(P437="","",IFERROR(IF(AND(H437="W7",OR(F437="causal",F437="predictive")),IF(AND(OR(K437=1,K437="1"),OR(L437=1,L437="1"),OR(M437=1,M437="1")),"adequate","partial"),IF(AND(H437="W4",F437="predictive",OR(J437="P2",J437="P3",J437="P4")),IF(OR(U437=1,U437="1"),"adequate","partial"),INDEX(Fit_Matrix!$B:$B,MATCH(P437,Fit_Matrix!$A:$A,0)))),"CHECK KEY"))</f>
        <v/>
      </c>
      <c r="U437" s="10"/>
      <c r="V437" s="10"/>
      <c r="W437" s="10"/>
      <c r="X437" s="10"/>
      <c r="Y437" s="10"/>
      <c r="Z437" s="10"/>
      <c r="AA437" s="11" t="str">
        <f t="shared" si="13"/>
        <v/>
      </c>
    </row>
    <row r="438" spans="16:27" ht="15" customHeight="1">
      <c r="P438" t="str">
        <f t="shared" si="12"/>
        <v/>
      </c>
      <c r="Q438" t="str">
        <f>IF(P438="","",IFERROR(IF(AND(H438="W7",OR(F438="causal",F438="predictive")),IF(AND(OR(K438=1,K438="1"),OR(L438=1,L438="1"),OR(M438=1,M438="1")),"adequate","partial"),IF(AND(H438="W4",F438="predictive",OR(J438="P2",J438="P3",J438="P4")),IF(OR(U438=1,U438="1"),"adequate","partial"),INDEX(Fit_Matrix!$B:$B,MATCH(P438,Fit_Matrix!$A:$A,0)))),"CHECK KEY"))</f>
        <v/>
      </c>
      <c r="U438" s="10"/>
      <c r="V438" s="10"/>
      <c r="W438" s="10"/>
      <c r="X438" s="10"/>
      <c r="Y438" s="10"/>
      <c r="Z438" s="10"/>
      <c r="AA438" s="11" t="str">
        <f t="shared" si="13"/>
        <v/>
      </c>
    </row>
    <row r="439" spans="16:27" ht="15" customHeight="1">
      <c r="P439" t="str">
        <f t="shared" si="12"/>
        <v/>
      </c>
      <c r="Q439" t="str">
        <f>IF(P439="","",IFERROR(IF(AND(H439="W7",OR(F439="causal",F439="predictive")),IF(AND(OR(K439=1,K439="1"),OR(L439=1,L439="1"),OR(M439=1,M439="1")),"adequate","partial"),IF(AND(H439="W4",F439="predictive",OR(J439="P2",J439="P3",J439="P4")),IF(OR(U439=1,U439="1"),"adequate","partial"),INDEX(Fit_Matrix!$B:$B,MATCH(P439,Fit_Matrix!$A:$A,0)))),"CHECK KEY"))</f>
        <v/>
      </c>
      <c r="U439" s="10"/>
      <c r="V439" s="10"/>
      <c r="W439" s="10"/>
      <c r="X439" s="10"/>
      <c r="Y439" s="10"/>
      <c r="Z439" s="10"/>
      <c r="AA439" s="11" t="str">
        <f t="shared" si="13"/>
        <v/>
      </c>
    </row>
    <row r="440" spans="16:27" ht="15" customHeight="1">
      <c r="P440" t="str">
        <f t="shared" si="12"/>
        <v/>
      </c>
      <c r="Q440" t="str">
        <f>IF(P440="","",IFERROR(IF(AND(H440="W7",OR(F440="causal",F440="predictive")),IF(AND(OR(K440=1,K440="1"),OR(L440=1,L440="1"),OR(M440=1,M440="1")),"adequate","partial"),IF(AND(H440="W4",F440="predictive",OR(J440="P2",J440="P3",J440="P4")),IF(OR(U440=1,U440="1"),"adequate","partial"),INDEX(Fit_Matrix!$B:$B,MATCH(P440,Fit_Matrix!$A:$A,0)))),"CHECK KEY"))</f>
        <v/>
      </c>
      <c r="U440" s="10"/>
      <c r="V440" s="10"/>
      <c r="W440" s="10"/>
      <c r="X440" s="10"/>
      <c r="Y440" s="10"/>
      <c r="Z440" s="10"/>
      <c r="AA440" s="11" t="str">
        <f t="shared" si="13"/>
        <v/>
      </c>
    </row>
    <row r="441" spans="16:27" ht="15" customHeight="1">
      <c r="P441" t="str">
        <f t="shared" si="12"/>
        <v/>
      </c>
      <c r="Q441" t="str">
        <f>IF(P441="","",IFERROR(IF(AND(H441="W7",OR(F441="causal",F441="predictive")),IF(AND(OR(K441=1,K441="1"),OR(L441=1,L441="1"),OR(M441=1,M441="1")),"adequate","partial"),IF(AND(H441="W4",F441="predictive",OR(J441="P2",J441="P3",J441="P4")),IF(OR(U441=1,U441="1"),"adequate","partial"),INDEX(Fit_Matrix!$B:$B,MATCH(P441,Fit_Matrix!$A:$A,0)))),"CHECK KEY"))</f>
        <v/>
      </c>
      <c r="U441" s="10"/>
      <c r="V441" s="10"/>
      <c r="W441" s="10"/>
      <c r="X441" s="10"/>
      <c r="Y441" s="10"/>
      <c r="Z441" s="10"/>
      <c r="AA441" s="11" t="str">
        <f t="shared" si="13"/>
        <v/>
      </c>
    </row>
    <row r="442" spans="16:27" ht="15" customHeight="1">
      <c r="P442" t="str">
        <f t="shared" si="12"/>
        <v/>
      </c>
      <c r="Q442" t="str">
        <f>IF(P442="","",IFERROR(IF(AND(H442="W7",OR(F442="causal",F442="predictive")),IF(AND(OR(K442=1,K442="1"),OR(L442=1,L442="1"),OR(M442=1,M442="1")),"adequate","partial"),IF(AND(H442="W4",F442="predictive",OR(J442="P2",J442="P3",J442="P4")),IF(OR(U442=1,U442="1"),"adequate","partial"),INDEX(Fit_Matrix!$B:$B,MATCH(P442,Fit_Matrix!$A:$A,0)))),"CHECK KEY"))</f>
        <v/>
      </c>
      <c r="U442" s="10"/>
      <c r="V442" s="10"/>
      <c r="W442" s="10"/>
      <c r="X442" s="10"/>
      <c r="Y442" s="10"/>
      <c r="Z442" s="10"/>
      <c r="AA442" s="11" t="str">
        <f t="shared" si="13"/>
        <v/>
      </c>
    </row>
    <row r="443" spans="16:27" ht="15" customHeight="1">
      <c r="P443" t="str">
        <f t="shared" si="12"/>
        <v/>
      </c>
      <c r="Q443" t="str">
        <f>IF(P443="","",IFERROR(IF(AND(H443="W7",OR(F443="causal",F443="predictive")),IF(AND(OR(K443=1,K443="1"),OR(L443=1,L443="1"),OR(M443=1,M443="1")),"adequate","partial"),IF(AND(H443="W4",F443="predictive",OR(J443="P2",J443="P3",J443="P4")),IF(OR(U443=1,U443="1"),"adequate","partial"),INDEX(Fit_Matrix!$B:$B,MATCH(P443,Fit_Matrix!$A:$A,0)))),"CHECK KEY"))</f>
        <v/>
      </c>
      <c r="U443" s="10"/>
      <c r="V443" s="10"/>
      <c r="W443" s="10"/>
      <c r="X443" s="10"/>
      <c r="Y443" s="10"/>
      <c r="Z443" s="10"/>
      <c r="AA443" s="11" t="str">
        <f t="shared" si="13"/>
        <v/>
      </c>
    </row>
    <row r="444" spans="16:27" ht="15" customHeight="1">
      <c r="P444" t="str">
        <f t="shared" si="12"/>
        <v/>
      </c>
      <c r="Q444" t="str">
        <f>IF(P444="","",IFERROR(IF(AND(H444="W7",OR(F444="causal",F444="predictive")),IF(AND(OR(K444=1,K444="1"),OR(L444=1,L444="1"),OR(M444=1,M444="1")),"adequate","partial"),IF(AND(H444="W4",F444="predictive",OR(J444="P2",J444="P3",J444="P4")),IF(OR(U444=1,U444="1"),"adequate","partial"),INDEX(Fit_Matrix!$B:$B,MATCH(P444,Fit_Matrix!$A:$A,0)))),"CHECK KEY"))</f>
        <v/>
      </c>
      <c r="U444" s="10"/>
      <c r="V444" s="10"/>
      <c r="W444" s="10"/>
      <c r="X444" s="10"/>
      <c r="Y444" s="10"/>
      <c r="Z444" s="10"/>
      <c r="AA444" s="11" t="str">
        <f t="shared" si="13"/>
        <v/>
      </c>
    </row>
    <row r="445" spans="16:27" ht="15" customHeight="1">
      <c r="P445" t="str">
        <f t="shared" si="12"/>
        <v/>
      </c>
      <c r="Q445" t="str">
        <f>IF(P445="","",IFERROR(IF(AND(H445="W7",OR(F445="causal",F445="predictive")),IF(AND(OR(K445=1,K445="1"),OR(L445=1,L445="1"),OR(M445=1,M445="1")),"adequate","partial"),IF(AND(H445="W4",F445="predictive",OR(J445="P2",J445="P3",J445="P4")),IF(OR(U445=1,U445="1"),"adequate","partial"),INDEX(Fit_Matrix!$B:$B,MATCH(P445,Fit_Matrix!$A:$A,0)))),"CHECK KEY"))</f>
        <v/>
      </c>
      <c r="U445" s="10"/>
      <c r="V445" s="10"/>
      <c r="W445" s="10"/>
      <c r="X445" s="10"/>
      <c r="Y445" s="10"/>
      <c r="Z445" s="10"/>
      <c r="AA445" s="11" t="str">
        <f t="shared" si="13"/>
        <v/>
      </c>
    </row>
    <row r="446" spans="16:27" ht="15" customHeight="1">
      <c r="P446" t="str">
        <f t="shared" si="12"/>
        <v/>
      </c>
      <c r="Q446" t="str">
        <f>IF(P446="","",IFERROR(IF(AND(H446="W7",OR(F446="causal",F446="predictive")),IF(AND(OR(K446=1,K446="1"),OR(L446=1,L446="1"),OR(M446=1,M446="1")),"adequate","partial"),IF(AND(H446="W4",F446="predictive",OR(J446="P2",J446="P3",J446="P4")),IF(OR(U446=1,U446="1"),"adequate","partial"),INDEX(Fit_Matrix!$B:$B,MATCH(P446,Fit_Matrix!$A:$A,0)))),"CHECK KEY"))</f>
        <v/>
      </c>
      <c r="U446" s="10"/>
      <c r="V446" s="10"/>
      <c r="W446" s="10"/>
      <c r="X446" s="10"/>
      <c r="Y446" s="10"/>
      <c r="Z446" s="10"/>
      <c r="AA446" s="11" t="str">
        <f t="shared" si="13"/>
        <v/>
      </c>
    </row>
    <row r="447" spans="16:27" ht="15" customHeight="1">
      <c r="P447" t="str">
        <f t="shared" si="12"/>
        <v/>
      </c>
      <c r="Q447" t="str">
        <f>IF(P447="","",IFERROR(IF(AND(H447="W7",OR(F447="causal",F447="predictive")),IF(AND(OR(K447=1,K447="1"),OR(L447=1,L447="1"),OR(M447=1,M447="1")),"adequate","partial"),IF(AND(H447="W4",F447="predictive",OR(J447="P2",J447="P3",J447="P4")),IF(OR(U447=1,U447="1"),"adequate","partial"),INDEX(Fit_Matrix!$B:$B,MATCH(P447,Fit_Matrix!$A:$A,0)))),"CHECK KEY"))</f>
        <v/>
      </c>
      <c r="U447" s="10"/>
      <c r="V447" s="10"/>
      <c r="W447" s="10"/>
      <c r="X447" s="10"/>
      <c r="Y447" s="10"/>
      <c r="Z447" s="10"/>
      <c r="AA447" s="11" t="str">
        <f t="shared" si="13"/>
        <v/>
      </c>
    </row>
    <row r="448" spans="16:27" ht="15" customHeight="1">
      <c r="P448" t="str">
        <f t="shared" si="12"/>
        <v/>
      </c>
      <c r="Q448" t="str">
        <f>IF(P448="","",IFERROR(IF(AND(H448="W7",OR(F448="causal",F448="predictive")),IF(AND(OR(K448=1,K448="1"),OR(L448=1,L448="1"),OR(M448=1,M448="1")),"adequate","partial"),IF(AND(H448="W4",F448="predictive",OR(J448="P2",J448="P3",J448="P4")),IF(OR(U448=1,U448="1"),"adequate","partial"),INDEX(Fit_Matrix!$B:$B,MATCH(P448,Fit_Matrix!$A:$A,0)))),"CHECK KEY"))</f>
        <v/>
      </c>
      <c r="U448" s="10"/>
      <c r="V448" s="10"/>
      <c r="W448" s="10"/>
      <c r="X448" s="10"/>
      <c r="Y448" s="10"/>
      <c r="Z448" s="10"/>
      <c r="AA448" s="11" t="str">
        <f t="shared" si="13"/>
        <v/>
      </c>
    </row>
    <row r="449" spans="16:27" ht="15" customHeight="1">
      <c r="P449" t="str">
        <f t="shared" si="12"/>
        <v/>
      </c>
      <c r="Q449" t="str">
        <f>IF(P449="","",IFERROR(IF(AND(H449="W7",OR(F449="causal",F449="predictive")),IF(AND(OR(K449=1,K449="1"),OR(L449=1,L449="1"),OR(M449=1,M449="1")),"adequate","partial"),IF(AND(H449="W4",F449="predictive",OR(J449="P2",J449="P3",J449="P4")),IF(OR(U449=1,U449="1"),"adequate","partial"),INDEX(Fit_Matrix!$B:$B,MATCH(P449,Fit_Matrix!$A:$A,0)))),"CHECK KEY"))</f>
        <v/>
      </c>
      <c r="U449" s="10"/>
      <c r="V449" s="10"/>
      <c r="W449" s="10"/>
      <c r="X449" s="10"/>
      <c r="Y449" s="10"/>
      <c r="Z449" s="10"/>
      <c r="AA449" s="11" t="str">
        <f t="shared" si="13"/>
        <v/>
      </c>
    </row>
    <row r="450" spans="16:27" ht="15" customHeight="1">
      <c r="P450" t="str">
        <f t="shared" ref="P450:P513" si="14">IF(OR(F450="",H450="",J450=""),"",J450&amp;"|"&amp;F450&amp;"|"&amp;IF(H450="W3","W3_"&amp;IF(I450="","unknown",I450),H450))</f>
        <v/>
      </c>
      <c r="Q450" t="str">
        <f>IF(P450="","",IFERROR(IF(AND(H450="W7",OR(F450="causal",F450="predictive")),IF(AND(OR(K450=1,K450="1"),OR(L450=1,L450="1"),OR(M450=1,M450="1")),"adequate","partial"),IF(AND(H450="W4",F450="predictive",OR(J450="P2",J450="P3",J450="P4")),IF(OR(U450=1,U450="1"),"adequate","partial"),INDEX(Fit_Matrix!$B:$B,MATCH(P450,Fit_Matrix!$A:$A,0)))),"CHECK KEY"))</f>
        <v/>
      </c>
      <c r="U450" s="10"/>
      <c r="V450" s="10"/>
      <c r="W450" s="10"/>
      <c r="X450" s="10"/>
      <c r="Y450" s="10"/>
      <c r="Z450" s="10"/>
      <c r="AA450" s="11" t="str">
        <f t="shared" ref="AA450:AA513" si="15">IF(A450="","",IF(AND(J450="P4",F450="causal"),"P4-CAUSAL",""))</f>
        <v/>
      </c>
    </row>
    <row r="451" spans="16:27" ht="15" customHeight="1">
      <c r="P451" t="str">
        <f t="shared" si="14"/>
        <v/>
      </c>
      <c r="Q451" t="str">
        <f>IF(P451="","",IFERROR(IF(AND(H451="W7",OR(F451="causal",F451="predictive")),IF(AND(OR(K451=1,K451="1"),OR(L451=1,L451="1"),OR(M451=1,M451="1")),"adequate","partial"),IF(AND(H451="W4",F451="predictive",OR(J451="P2",J451="P3",J451="P4")),IF(OR(U451=1,U451="1"),"adequate","partial"),INDEX(Fit_Matrix!$B:$B,MATCH(P451,Fit_Matrix!$A:$A,0)))),"CHECK KEY"))</f>
        <v/>
      </c>
      <c r="U451" s="10"/>
      <c r="V451" s="10"/>
      <c r="W451" s="10"/>
      <c r="X451" s="10"/>
      <c r="Y451" s="10"/>
      <c r="Z451" s="10"/>
      <c r="AA451" s="11" t="str">
        <f t="shared" si="15"/>
        <v/>
      </c>
    </row>
    <row r="452" spans="16:27" ht="15" customHeight="1">
      <c r="P452" t="str">
        <f t="shared" si="14"/>
        <v/>
      </c>
      <c r="Q452" t="str">
        <f>IF(P452="","",IFERROR(IF(AND(H452="W7",OR(F452="causal",F452="predictive")),IF(AND(OR(K452=1,K452="1"),OR(L452=1,L452="1"),OR(M452=1,M452="1")),"adequate","partial"),IF(AND(H452="W4",F452="predictive",OR(J452="P2",J452="P3",J452="P4")),IF(OR(U452=1,U452="1"),"adequate","partial"),INDEX(Fit_Matrix!$B:$B,MATCH(P452,Fit_Matrix!$A:$A,0)))),"CHECK KEY"))</f>
        <v/>
      </c>
      <c r="U452" s="10"/>
      <c r="V452" s="10"/>
      <c r="W452" s="10"/>
      <c r="X452" s="10"/>
      <c r="Y452" s="10"/>
      <c r="Z452" s="10"/>
      <c r="AA452" s="11" t="str">
        <f t="shared" si="15"/>
        <v/>
      </c>
    </row>
    <row r="453" spans="16:27" ht="15" customHeight="1">
      <c r="P453" t="str">
        <f t="shared" si="14"/>
        <v/>
      </c>
      <c r="Q453" t="str">
        <f>IF(P453="","",IFERROR(IF(AND(H453="W7",OR(F453="causal",F453="predictive")),IF(AND(OR(K453=1,K453="1"),OR(L453=1,L453="1"),OR(M453=1,M453="1")),"adequate","partial"),IF(AND(H453="W4",F453="predictive",OR(J453="P2",J453="P3",J453="P4")),IF(OR(U453=1,U453="1"),"adequate","partial"),INDEX(Fit_Matrix!$B:$B,MATCH(P453,Fit_Matrix!$A:$A,0)))),"CHECK KEY"))</f>
        <v/>
      </c>
      <c r="U453" s="10"/>
      <c r="V453" s="10"/>
      <c r="W453" s="10"/>
      <c r="X453" s="10"/>
      <c r="Y453" s="10"/>
      <c r="Z453" s="10"/>
      <c r="AA453" s="11" t="str">
        <f t="shared" si="15"/>
        <v/>
      </c>
    </row>
    <row r="454" spans="16:27" ht="15" customHeight="1">
      <c r="P454" t="str">
        <f t="shared" si="14"/>
        <v/>
      </c>
      <c r="Q454" t="str">
        <f>IF(P454="","",IFERROR(IF(AND(H454="W7",OR(F454="causal",F454="predictive")),IF(AND(OR(K454=1,K454="1"),OR(L454=1,L454="1"),OR(M454=1,M454="1")),"adequate","partial"),IF(AND(H454="W4",F454="predictive",OR(J454="P2",J454="P3",J454="P4")),IF(OR(U454=1,U454="1"),"adequate","partial"),INDEX(Fit_Matrix!$B:$B,MATCH(P454,Fit_Matrix!$A:$A,0)))),"CHECK KEY"))</f>
        <v/>
      </c>
      <c r="U454" s="10"/>
      <c r="V454" s="10"/>
      <c r="W454" s="10"/>
      <c r="X454" s="10"/>
      <c r="Y454" s="10"/>
      <c r="Z454" s="10"/>
      <c r="AA454" s="11" t="str">
        <f t="shared" si="15"/>
        <v/>
      </c>
    </row>
    <row r="455" spans="16:27" ht="15" customHeight="1">
      <c r="P455" t="str">
        <f t="shared" si="14"/>
        <v/>
      </c>
      <c r="Q455" t="str">
        <f>IF(P455="","",IFERROR(IF(AND(H455="W7",OR(F455="causal",F455="predictive")),IF(AND(OR(K455=1,K455="1"),OR(L455=1,L455="1"),OR(M455=1,M455="1")),"adequate","partial"),IF(AND(H455="W4",F455="predictive",OR(J455="P2",J455="P3",J455="P4")),IF(OR(U455=1,U455="1"),"adequate","partial"),INDEX(Fit_Matrix!$B:$B,MATCH(P455,Fit_Matrix!$A:$A,0)))),"CHECK KEY"))</f>
        <v/>
      </c>
      <c r="U455" s="10"/>
      <c r="V455" s="10"/>
      <c r="W455" s="10"/>
      <c r="X455" s="10"/>
      <c r="Y455" s="10"/>
      <c r="Z455" s="10"/>
      <c r="AA455" s="11" t="str">
        <f t="shared" si="15"/>
        <v/>
      </c>
    </row>
    <row r="456" spans="16:27" ht="15" customHeight="1">
      <c r="P456" t="str">
        <f t="shared" si="14"/>
        <v/>
      </c>
      <c r="Q456" t="str">
        <f>IF(P456="","",IFERROR(IF(AND(H456="W7",OR(F456="causal",F456="predictive")),IF(AND(OR(K456=1,K456="1"),OR(L456=1,L456="1"),OR(M456=1,M456="1")),"adequate","partial"),IF(AND(H456="W4",F456="predictive",OR(J456="P2",J456="P3",J456="P4")),IF(OR(U456=1,U456="1"),"adequate","partial"),INDEX(Fit_Matrix!$B:$B,MATCH(P456,Fit_Matrix!$A:$A,0)))),"CHECK KEY"))</f>
        <v/>
      </c>
      <c r="U456" s="10"/>
      <c r="V456" s="10"/>
      <c r="W456" s="10"/>
      <c r="X456" s="10"/>
      <c r="Y456" s="10"/>
      <c r="Z456" s="10"/>
      <c r="AA456" s="11" t="str">
        <f t="shared" si="15"/>
        <v/>
      </c>
    </row>
    <row r="457" spans="16:27" ht="15" customHeight="1">
      <c r="P457" t="str">
        <f t="shared" si="14"/>
        <v/>
      </c>
      <c r="Q457" t="str">
        <f>IF(P457="","",IFERROR(IF(AND(H457="W7",OR(F457="causal",F457="predictive")),IF(AND(OR(K457=1,K457="1"),OR(L457=1,L457="1"),OR(M457=1,M457="1")),"adequate","partial"),IF(AND(H457="W4",F457="predictive",OR(J457="P2",J457="P3",J457="P4")),IF(OR(U457=1,U457="1"),"adequate","partial"),INDEX(Fit_Matrix!$B:$B,MATCH(P457,Fit_Matrix!$A:$A,0)))),"CHECK KEY"))</f>
        <v/>
      </c>
      <c r="U457" s="10"/>
      <c r="V457" s="10"/>
      <c r="W457" s="10"/>
      <c r="X457" s="10"/>
      <c r="Y457" s="10"/>
      <c r="Z457" s="10"/>
      <c r="AA457" s="11" t="str">
        <f t="shared" si="15"/>
        <v/>
      </c>
    </row>
    <row r="458" spans="16:27" ht="15" customHeight="1">
      <c r="P458" t="str">
        <f t="shared" si="14"/>
        <v/>
      </c>
      <c r="Q458" t="str">
        <f>IF(P458="","",IFERROR(IF(AND(H458="W7",OR(F458="causal",F458="predictive")),IF(AND(OR(K458=1,K458="1"),OR(L458=1,L458="1"),OR(M458=1,M458="1")),"adequate","partial"),IF(AND(H458="W4",F458="predictive",OR(J458="P2",J458="P3",J458="P4")),IF(OR(U458=1,U458="1"),"adequate","partial"),INDEX(Fit_Matrix!$B:$B,MATCH(P458,Fit_Matrix!$A:$A,0)))),"CHECK KEY"))</f>
        <v/>
      </c>
      <c r="U458" s="10"/>
      <c r="V458" s="10"/>
      <c r="W458" s="10"/>
      <c r="X458" s="10"/>
      <c r="Y458" s="10"/>
      <c r="Z458" s="10"/>
      <c r="AA458" s="11" t="str">
        <f t="shared" si="15"/>
        <v/>
      </c>
    </row>
    <row r="459" spans="16:27" ht="15" customHeight="1">
      <c r="P459" t="str">
        <f t="shared" si="14"/>
        <v/>
      </c>
      <c r="Q459" t="str">
        <f>IF(P459="","",IFERROR(IF(AND(H459="W7",OR(F459="causal",F459="predictive")),IF(AND(OR(K459=1,K459="1"),OR(L459=1,L459="1"),OR(M459=1,M459="1")),"adequate","partial"),IF(AND(H459="W4",F459="predictive",OR(J459="P2",J459="P3",J459="P4")),IF(OR(U459=1,U459="1"),"adequate","partial"),INDEX(Fit_Matrix!$B:$B,MATCH(P459,Fit_Matrix!$A:$A,0)))),"CHECK KEY"))</f>
        <v/>
      </c>
      <c r="U459" s="10"/>
      <c r="V459" s="10"/>
      <c r="W459" s="10"/>
      <c r="X459" s="10"/>
      <c r="Y459" s="10"/>
      <c r="Z459" s="10"/>
      <c r="AA459" s="11" t="str">
        <f t="shared" si="15"/>
        <v/>
      </c>
    </row>
    <row r="460" spans="16:27" ht="15" customHeight="1">
      <c r="P460" t="str">
        <f t="shared" si="14"/>
        <v/>
      </c>
      <c r="Q460" t="str">
        <f>IF(P460="","",IFERROR(IF(AND(H460="W7",OR(F460="causal",F460="predictive")),IF(AND(OR(K460=1,K460="1"),OR(L460=1,L460="1"),OR(M460=1,M460="1")),"adequate","partial"),IF(AND(H460="W4",F460="predictive",OR(J460="P2",J460="P3",J460="P4")),IF(OR(U460=1,U460="1"),"adequate","partial"),INDEX(Fit_Matrix!$B:$B,MATCH(P460,Fit_Matrix!$A:$A,0)))),"CHECK KEY"))</f>
        <v/>
      </c>
      <c r="U460" s="10"/>
      <c r="V460" s="10"/>
      <c r="W460" s="10"/>
      <c r="X460" s="10"/>
      <c r="Y460" s="10"/>
      <c r="Z460" s="10"/>
      <c r="AA460" s="11" t="str">
        <f t="shared" si="15"/>
        <v/>
      </c>
    </row>
    <row r="461" spans="16:27" ht="15" customHeight="1">
      <c r="P461" t="str">
        <f t="shared" si="14"/>
        <v/>
      </c>
      <c r="Q461" t="str">
        <f>IF(P461="","",IFERROR(IF(AND(H461="W7",OR(F461="causal",F461="predictive")),IF(AND(OR(K461=1,K461="1"),OR(L461=1,L461="1"),OR(M461=1,M461="1")),"adequate","partial"),IF(AND(H461="W4",F461="predictive",OR(J461="P2",J461="P3",J461="P4")),IF(OR(U461=1,U461="1"),"adequate","partial"),INDEX(Fit_Matrix!$B:$B,MATCH(P461,Fit_Matrix!$A:$A,0)))),"CHECK KEY"))</f>
        <v/>
      </c>
      <c r="U461" s="10"/>
      <c r="V461" s="10"/>
      <c r="W461" s="10"/>
      <c r="X461" s="10"/>
      <c r="Y461" s="10"/>
      <c r="Z461" s="10"/>
      <c r="AA461" s="11" t="str">
        <f t="shared" si="15"/>
        <v/>
      </c>
    </row>
    <row r="462" spans="16:27" ht="15" customHeight="1">
      <c r="P462" t="str">
        <f t="shared" si="14"/>
        <v/>
      </c>
      <c r="Q462" t="str">
        <f>IF(P462="","",IFERROR(IF(AND(H462="W7",OR(F462="causal",F462="predictive")),IF(AND(OR(K462=1,K462="1"),OR(L462=1,L462="1"),OR(M462=1,M462="1")),"adequate","partial"),IF(AND(H462="W4",F462="predictive",OR(J462="P2",J462="P3",J462="P4")),IF(OR(U462=1,U462="1"),"adequate","partial"),INDEX(Fit_Matrix!$B:$B,MATCH(P462,Fit_Matrix!$A:$A,0)))),"CHECK KEY"))</f>
        <v/>
      </c>
      <c r="U462" s="10"/>
      <c r="V462" s="10"/>
      <c r="W462" s="10"/>
      <c r="X462" s="10"/>
      <c r="Y462" s="10"/>
      <c r="Z462" s="10"/>
      <c r="AA462" s="11" t="str">
        <f t="shared" si="15"/>
        <v/>
      </c>
    </row>
    <row r="463" spans="16:27" ht="15" customHeight="1">
      <c r="P463" t="str">
        <f t="shared" si="14"/>
        <v/>
      </c>
      <c r="Q463" t="str">
        <f>IF(P463="","",IFERROR(IF(AND(H463="W7",OR(F463="causal",F463="predictive")),IF(AND(OR(K463=1,K463="1"),OR(L463=1,L463="1"),OR(M463=1,M463="1")),"adequate","partial"),IF(AND(H463="W4",F463="predictive",OR(J463="P2",J463="P3",J463="P4")),IF(OR(U463=1,U463="1"),"adequate","partial"),INDEX(Fit_Matrix!$B:$B,MATCH(P463,Fit_Matrix!$A:$A,0)))),"CHECK KEY"))</f>
        <v/>
      </c>
      <c r="U463" s="10"/>
      <c r="V463" s="10"/>
      <c r="W463" s="10"/>
      <c r="X463" s="10"/>
      <c r="Y463" s="10"/>
      <c r="Z463" s="10"/>
      <c r="AA463" s="11" t="str">
        <f t="shared" si="15"/>
        <v/>
      </c>
    </row>
    <row r="464" spans="16:27" ht="15" customHeight="1">
      <c r="P464" t="str">
        <f t="shared" si="14"/>
        <v/>
      </c>
      <c r="Q464" t="str">
        <f>IF(P464="","",IFERROR(IF(AND(H464="W7",OR(F464="causal",F464="predictive")),IF(AND(OR(K464=1,K464="1"),OR(L464=1,L464="1"),OR(M464=1,M464="1")),"adequate","partial"),IF(AND(H464="W4",F464="predictive",OR(J464="P2",J464="P3",J464="P4")),IF(OR(U464=1,U464="1"),"adequate","partial"),INDEX(Fit_Matrix!$B:$B,MATCH(P464,Fit_Matrix!$A:$A,0)))),"CHECK KEY"))</f>
        <v/>
      </c>
      <c r="U464" s="10"/>
      <c r="V464" s="10"/>
      <c r="W464" s="10"/>
      <c r="X464" s="10"/>
      <c r="Y464" s="10"/>
      <c r="Z464" s="10"/>
      <c r="AA464" s="11" t="str">
        <f t="shared" si="15"/>
        <v/>
      </c>
    </row>
    <row r="465" spans="16:27" ht="15" customHeight="1">
      <c r="P465" t="str">
        <f t="shared" si="14"/>
        <v/>
      </c>
      <c r="Q465" t="str">
        <f>IF(P465="","",IFERROR(IF(AND(H465="W7",OR(F465="causal",F465="predictive")),IF(AND(OR(K465=1,K465="1"),OR(L465=1,L465="1"),OR(M465=1,M465="1")),"adequate","partial"),IF(AND(H465="W4",F465="predictive",OR(J465="P2",J465="P3",J465="P4")),IF(OR(U465=1,U465="1"),"adequate","partial"),INDEX(Fit_Matrix!$B:$B,MATCH(P465,Fit_Matrix!$A:$A,0)))),"CHECK KEY"))</f>
        <v/>
      </c>
      <c r="U465" s="10"/>
      <c r="V465" s="10"/>
      <c r="W465" s="10"/>
      <c r="X465" s="10"/>
      <c r="Y465" s="10"/>
      <c r="Z465" s="10"/>
      <c r="AA465" s="11" t="str">
        <f t="shared" si="15"/>
        <v/>
      </c>
    </row>
    <row r="466" spans="16:27" ht="15" customHeight="1">
      <c r="P466" t="str">
        <f t="shared" si="14"/>
        <v/>
      </c>
      <c r="Q466" t="str">
        <f>IF(P466="","",IFERROR(IF(AND(H466="W7",OR(F466="causal",F466="predictive")),IF(AND(OR(K466=1,K466="1"),OR(L466=1,L466="1"),OR(M466=1,M466="1")),"adequate","partial"),IF(AND(H466="W4",F466="predictive",OR(J466="P2",J466="P3",J466="P4")),IF(OR(U466=1,U466="1"),"adequate","partial"),INDEX(Fit_Matrix!$B:$B,MATCH(P466,Fit_Matrix!$A:$A,0)))),"CHECK KEY"))</f>
        <v/>
      </c>
      <c r="U466" s="10"/>
      <c r="V466" s="10"/>
      <c r="W466" s="10"/>
      <c r="X466" s="10"/>
      <c r="Y466" s="10"/>
      <c r="Z466" s="10"/>
      <c r="AA466" s="11" t="str">
        <f t="shared" si="15"/>
        <v/>
      </c>
    </row>
    <row r="467" spans="16:27" ht="15" customHeight="1">
      <c r="P467" t="str">
        <f t="shared" si="14"/>
        <v/>
      </c>
      <c r="Q467" t="str">
        <f>IF(P467="","",IFERROR(IF(AND(H467="W7",OR(F467="causal",F467="predictive")),IF(AND(OR(K467=1,K467="1"),OR(L467=1,L467="1"),OR(M467=1,M467="1")),"adequate","partial"),IF(AND(H467="W4",F467="predictive",OR(J467="P2",J467="P3",J467="P4")),IF(OR(U467=1,U467="1"),"adequate","partial"),INDEX(Fit_Matrix!$B:$B,MATCH(P467,Fit_Matrix!$A:$A,0)))),"CHECK KEY"))</f>
        <v/>
      </c>
      <c r="U467" s="10"/>
      <c r="V467" s="10"/>
      <c r="W467" s="10"/>
      <c r="X467" s="10"/>
      <c r="Y467" s="10"/>
      <c r="Z467" s="10"/>
      <c r="AA467" s="11" t="str">
        <f t="shared" si="15"/>
        <v/>
      </c>
    </row>
    <row r="468" spans="16:27" ht="15" customHeight="1">
      <c r="P468" t="str">
        <f t="shared" si="14"/>
        <v/>
      </c>
      <c r="Q468" t="str">
        <f>IF(P468="","",IFERROR(IF(AND(H468="W7",OR(F468="causal",F468="predictive")),IF(AND(OR(K468=1,K468="1"),OR(L468=1,L468="1"),OR(M468=1,M468="1")),"adequate","partial"),IF(AND(H468="W4",F468="predictive",OR(J468="P2",J468="P3",J468="P4")),IF(OR(U468=1,U468="1"),"adequate","partial"),INDEX(Fit_Matrix!$B:$B,MATCH(P468,Fit_Matrix!$A:$A,0)))),"CHECK KEY"))</f>
        <v/>
      </c>
      <c r="U468" s="10"/>
      <c r="V468" s="10"/>
      <c r="W468" s="10"/>
      <c r="X468" s="10"/>
      <c r="Y468" s="10"/>
      <c r="Z468" s="10"/>
      <c r="AA468" s="11" t="str">
        <f t="shared" si="15"/>
        <v/>
      </c>
    </row>
    <row r="469" spans="16:27" ht="15" customHeight="1">
      <c r="P469" t="str">
        <f t="shared" si="14"/>
        <v/>
      </c>
      <c r="Q469" t="str">
        <f>IF(P469="","",IFERROR(IF(AND(H469="W7",OR(F469="causal",F469="predictive")),IF(AND(OR(K469=1,K469="1"),OR(L469=1,L469="1"),OR(M469=1,M469="1")),"adequate","partial"),IF(AND(H469="W4",F469="predictive",OR(J469="P2",J469="P3",J469="P4")),IF(OR(U469=1,U469="1"),"adequate","partial"),INDEX(Fit_Matrix!$B:$B,MATCH(P469,Fit_Matrix!$A:$A,0)))),"CHECK KEY"))</f>
        <v/>
      </c>
      <c r="U469" s="10"/>
      <c r="V469" s="10"/>
      <c r="W469" s="10"/>
      <c r="X469" s="10"/>
      <c r="Y469" s="10"/>
      <c r="Z469" s="10"/>
      <c r="AA469" s="11" t="str">
        <f t="shared" si="15"/>
        <v/>
      </c>
    </row>
    <row r="470" spans="16:27" ht="15" customHeight="1">
      <c r="P470" t="str">
        <f t="shared" si="14"/>
        <v/>
      </c>
      <c r="Q470" t="str">
        <f>IF(P470="","",IFERROR(IF(AND(H470="W7",OR(F470="causal",F470="predictive")),IF(AND(OR(K470=1,K470="1"),OR(L470=1,L470="1"),OR(M470=1,M470="1")),"adequate","partial"),IF(AND(H470="W4",F470="predictive",OR(J470="P2",J470="P3",J470="P4")),IF(OR(U470=1,U470="1"),"adequate","partial"),INDEX(Fit_Matrix!$B:$B,MATCH(P470,Fit_Matrix!$A:$A,0)))),"CHECK KEY"))</f>
        <v/>
      </c>
      <c r="U470" s="10"/>
      <c r="V470" s="10"/>
      <c r="W470" s="10"/>
      <c r="X470" s="10"/>
      <c r="Y470" s="10"/>
      <c r="Z470" s="10"/>
      <c r="AA470" s="11" t="str">
        <f t="shared" si="15"/>
        <v/>
      </c>
    </row>
    <row r="471" spans="16:27" ht="15" customHeight="1">
      <c r="P471" t="str">
        <f t="shared" si="14"/>
        <v/>
      </c>
      <c r="Q471" t="str">
        <f>IF(P471="","",IFERROR(IF(AND(H471="W7",OR(F471="causal",F471="predictive")),IF(AND(OR(K471=1,K471="1"),OR(L471=1,L471="1"),OR(M471=1,M471="1")),"adequate","partial"),IF(AND(H471="W4",F471="predictive",OR(J471="P2",J471="P3",J471="P4")),IF(OR(U471=1,U471="1"),"adequate","partial"),INDEX(Fit_Matrix!$B:$B,MATCH(P471,Fit_Matrix!$A:$A,0)))),"CHECK KEY"))</f>
        <v/>
      </c>
      <c r="U471" s="10"/>
      <c r="V471" s="10"/>
      <c r="W471" s="10"/>
      <c r="X471" s="10"/>
      <c r="Y471" s="10"/>
      <c r="Z471" s="10"/>
      <c r="AA471" s="11" t="str">
        <f t="shared" si="15"/>
        <v/>
      </c>
    </row>
    <row r="472" spans="16:27" ht="15" customHeight="1">
      <c r="P472" t="str">
        <f t="shared" si="14"/>
        <v/>
      </c>
      <c r="Q472" t="str">
        <f>IF(P472="","",IFERROR(IF(AND(H472="W7",OR(F472="causal",F472="predictive")),IF(AND(OR(K472=1,K472="1"),OR(L472=1,L472="1"),OR(M472=1,M472="1")),"adequate","partial"),IF(AND(H472="W4",F472="predictive",OR(J472="P2",J472="P3",J472="P4")),IF(OR(U472=1,U472="1"),"adequate","partial"),INDEX(Fit_Matrix!$B:$B,MATCH(P472,Fit_Matrix!$A:$A,0)))),"CHECK KEY"))</f>
        <v/>
      </c>
      <c r="U472" s="10"/>
      <c r="V472" s="10"/>
      <c r="W472" s="10"/>
      <c r="X472" s="10"/>
      <c r="Y472" s="10"/>
      <c r="Z472" s="10"/>
      <c r="AA472" s="11" t="str">
        <f t="shared" si="15"/>
        <v/>
      </c>
    </row>
    <row r="473" spans="16:27" ht="15" customHeight="1">
      <c r="P473" t="str">
        <f t="shared" si="14"/>
        <v/>
      </c>
      <c r="Q473" t="str">
        <f>IF(P473="","",IFERROR(IF(AND(H473="W7",OR(F473="causal",F473="predictive")),IF(AND(OR(K473=1,K473="1"),OR(L473=1,L473="1"),OR(M473=1,M473="1")),"adequate","partial"),IF(AND(H473="W4",F473="predictive",OR(J473="P2",J473="P3",J473="P4")),IF(OR(U473=1,U473="1"),"adequate","partial"),INDEX(Fit_Matrix!$B:$B,MATCH(P473,Fit_Matrix!$A:$A,0)))),"CHECK KEY"))</f>
        <v/>
      </c>
      <c r="U473" s="10"/>
      <c r="V473" s="10"/>
      <c r="W473" s="10"/>
      <c r="X473" s="10"/>
      <c r="Y473" s="10"/>
      <c r="Z473" s="10"/>
      <c r="AA473" s="11" t="str">
        <f t="shared" si="15"/>
        <v/>
      </c>
    </row>
    <row r="474" spans="16:27" ht="15" customHeight="1">
      <c r="P474" t="str">
        <f t="shared" si="14"/>
        <v/>
      </c>
      <c r="Q474" t="str">
        <f>IF(P474="","",IFERROR(IF(AND(H474="W7",OR(F474="causal",F474="predictive")),IF(AND(OR(K474=1,K474="1"),OR(L474=1,L474="1"),OR(M474=1,M474="1")),"adequate","partial"),IF(AND(H474="W4",F474="predictive",OR(J474="P2",J474="P3",J474="P4")),IF(OR(U474=1,U474="1"),"adequate","partial"),INDEX(Fit_Matrix!$B:$B,MATCH(P474,Fit_Matrix!$A:$A,0)))),"CHECK KEY"))</f>
        <v/>
      </c>
      <c r="U474" s="10"/>
      <c r="V474" s="10"/>
      <c r="W474" s="10"/>
      <c r="X474" s="10"/>
      <c r="Y474" s="10"/>
      <c r="Z474" s="10"/>
      <c r="AA474" s="11" t="str">
        <f t="shared" si="15"/>
        <v/>
      </c>
    </row>
    <row r="475" spans="16:27" ht="15" customHeight="1">
      <c r="P475" t="str">
        <f t="shared" si="14"/>
        <v/>
      </c>
      <c r="Q475" t="str">
        <f>IF(P475="","",IFERROR(IF(AND(H475="W7",OR(F475="causal",F475="predictive")),IF(AND(OR(K475=1,K475="1"),OR(L475=1,L475="1"),OR(M475=1,M475="1")),"adequate","partial"),IF(AND(H475="W4",F475="predictive",OR(J475="P2",J475="P3",J475="P4")),IF(OR(U475=1,U475="1"),"adequate","partial"),INDEX(Fit_Matrix!$B:$B,MATCH(P475,Fit_Matrix!$A:$A,0)))),"CHECK KEY"))</f>
        <v/>
      </c>
      <c r="U475" s="10"/>
      <c r="V475" s="10"/>
      <c r="W475" s="10"/>
      <c r="X475" s="10"/>
      <c r="Y475" s="10"/>
      <c r="Z475" s="10"/>
      <c r="AA475" s="11" t="str">
        <f t="shared" si="15"/>
        <v/>
      </c>
    </row>
    <row r="476" spans="16:27" ht="15" customHeight="1">
      <c r="P476" t="str">
        <f t="shared" si="14"/>
        <v/>
      </c>
      <c r="Q476" t="str">
        <f>IF(P476="","",IFERROR(IF(AND(H476="W7",OR(F476="causal",F476="predictive")),IF(AND(OR(K476=1,K476="1"),OR(L476=1,L476="1"),OR(M476=1,M476="1")),"adequate","partial"),IF(AND(H476="W4",F476="predictive",OR(J476="P2",J476="P3",J476="P4")),IF(OR(U476=1,U476="1"),"adequate","partial"),INDEX(Fit_Matrix!$B:$B,MATCH(P476,Fit_Matrix!$A:$A,0)))),"CHECK KEY"))</f>
        <v/>
      </c>
      <c r="U476" s="10"/>
      <c r="V476" s="10"/>
      <c r="W476" s="10"/>
      <c r="X476" s="10"/>
      <c r="Y476" s="10"/>
      <c r="Z476" s="10"/>
      <c r="AA476" s="11" t="str">
        <f t="shared" si="15"/>
        <v/>
      </c>
    </row>
    <row r="477" spans="16:27" ht="15" customHeight="1">
      <c r="P477" t="str">
        <f t="shared" si="14"/>
        <v/>
      </c>
      <c r="Q477" t="str">
        <f>IF(P477="","",IFERROR(IF(AND(H477="W7",OR(F477="causal",F477="predictive")),IF(AND(OR(K477=1,K477="1"),OR(L477=1,L477="1"),OR(M477=1,M477="1")),"adequate","partial"),IF(AND(H477="W4",F477="predictive",OR(J477="P2",J477="P3",J477="P4")),IF(OR(U477=1,U477="1"),"adequate","partial"),INDEX(Fit_Matrix!$B:$B,MATCH(P477,Fit_Matrix!$A:$A,0)))),"CHECK KEY"))</f>
        <v/>
      </c>
      <c r="U477" s="10"/>
      <c r="V477" s="10"/>
      <c r="W477" s="10"/>
      <c r="X477" s="10"/>
      <c r="Y477" s="10"/>
      <c r="Z477" s="10"/>
      <c r="AA477" s="11" t="str">
        <f t="shared" si="15"/>
        <v/>
      </c>
    </row>
    <row r="478" spans="16:27" ht="15" customHeight="1">
      <c r="P478" t="str">
        <f t="shared" si="14"/>
        <v/>
      </c>
      <c r="Q478" t="str">
        <f>IF(P478="","",IFERROR(IF(AND(H478="W7",OR(F478="causal",F478="predictive")),IF(AND(OR(K478=1,K478="1"),OR(L478=1,L478="1"),OR(M478=1,M478="1")),"adequate","partial"),IF(AND(H478="W4",F478="predictive",OR(J478="P2",J478="P3",J478="P4")),IF(OR(U478=1,U478="1"),"adequate","partial"),INDEX(Fit_Matrix!$B:$B,MATCH(P478,Fit_Matrix!$A:$A,0)))),"CHECK KEY"))</f>
        <v/>
      </c>
      <c r="U478" s="10"/>
      <c r="V478" s="10"/>
      <c r="W478" s="10"/>
      <c r="X478" s="10"/>
      <c r="Y478" s="10"/>
      <c r="Z478" s="10"/>
      <c r="AA478" s="11" t="str">
        <f t="shared" si="15"/>
        <v/>
      </c>
    </row>
    <row r="479" spans="16:27" ht="15" customHeight="1">
      <c r="P479" t="str">
        <f t="shared" si="14"/>
        <v/>
      </c>
      <c r="Q479" t="str">
        <f>IF(P479="","",IFERROR(IF(AND(H479="W7",OR(F479="causal",F479="predictive")),IF(AND(OR(K479=1,K479="1"),OR(L479=1,L479="1"),OR(M479=1,M479="1")),"adequate","partial"),IF(AND(H479="W4",F479="predictive",OR(J479="P2",J479="P3",J479="P4")),IF(OR(U479=1,U479="1"),"adequate","partial"),INDEX(Fit_Matrix!$B:$B,MATCH(P479,Fit_Matrix!$A:$A,0)))),"CHECK KEY"))</f>
        <v/>
      </c>
      <c r="U479" s="10"/>
      <c r="V479" s="10"/>
      <c r="W479" s="10"/>
      <c r="X479" s="10"/>
      <c r="Y479" s="10"/>
      <c r="Z479" s="10"/>
      <c r="AA479" s="11" t="str">
        <f t="shared" si="15"/>
        <v/>
      </c>
    </row>
    <row r="480" spans="16:27" ht="15" customHeight="1">
      <c r="P480" t="str">
        <f t="shared" si="14"/>
        <v/>
      </c>
      <c r="Q480" t="str">
        <f>IF(P480="","",IFERROR(IF(AND(H480="W7",OR(F480="causal",F480="predictive")),IF(AND(OR(K480=1,K480="1"),OR(L480=1,L480="1"),OR(M480=1,M480="1")),"adequate","partial"),IF(AND(H480="W4",F480="predictive",OR(J480="P2",J480="P3",J480="P4")),IF(OR(U480=1,U480="1"),"adequate","partial"),INDEX(Fit_Matrix!$B:$B,MATCH(P480,Fit_Matrix!$A:$A,0)))),"CHECK KEY"))</f>
        <v/>
      </c>
      <c r="U480" s="10"/>
      <c r="V480" s="10"/>
      <c r="W480" s="10"/>
      <c r="X480" s="10"/>
      <c r="Y480" s="10"/>
      <c r="Z480" s="10"/>
      <c r="AA480" s="11" t="str">
        <f t="shared" si="15"/>
        <v/>
      </c>
    </row>
    <row r="481" spans="16:27" ht="15" customHeight="1">
      <c r="P481" t="str">
        <f t="shared" si="14"/>
        <v/>
      </c>
      <c r="Q481" t="str">
        <f>IF(P481="","",IFERROR(IF(AND(H481="W7",OR(F481="causal",F481="predictive")),IF(AND(OR(K481=1,K481="1"),OR(L481=1,L481="1"),OR(M481=1,M481="1")),"adequate","partial"),IF(AND(H481="W4",F481="predictive",OR(J481="P2",J481="P3",J481="P4")),IF(OR(U481=1,U481="1"),"adequate","partial"),INDEX(Fit_Matrix!$B:$B,MATCH(P481,Fit_Matrix!$A:$A,0)))),"CHECK KEY"))</f>
        <v/>
      </c>
      <c r="U481" s="10"/>
      <c r="V481" s="10"/>
      <c r="W481" s="10"/>
      <c r="X481" s="10"/>
      <c r="Y481" s="10"/>
      <c r="Z481" s="10"/>
      <c r="AA481" s="11" t="str">
        <f t="shared" si="15"/>
        <v/>
      </c>
    </row>
    <row r="482" spans="16:27" ht="15" customHeight="1">
      <c r="P482" t="str">
        <f t="shared" si="14"/>
        <v/>
      </c>
      <c r="Q482" t="str">
        <f>IF(P482="","",IFERROR(IF(AND(H482="W7",OR(F482="causal",F482="predictive")),IF(AND(OR(K482=1,K482="1"),OR(L482=1,L482="1"),OR(M482=1,M482="1")),"adequate","partial"),IF(AND(H482="W4",F482="predictive",OR(J482="P2",J482="P3",J482="P4")),IF(OR(U482=1,U482="1"),"adequate","partial"),INDEX(Fit_Matrix!$B:$B,MATCH(P482,Fit_Matrix!$A:$A,0)))),"CHECK KEY"))</f>
        <v/>
      </c>
      <c r="U482" s="10"/>
      <c r="V482" s="10"/>
      <c r="W482" s="10"/>
      <c r="X482" s="10"/>
      <c r="Y482" s="10"/>
      <c r="Z482" s="10"/>
      <c r="AA482" s="11" t="str">
        <f t="shared" si="15"/>
        <v/>
      </c>
    </row>
    <row r="483" spans="16:27" ht="15" customHeight="1">
      <c r="P483" t="str">
        <f t="shared" si="14"/>
        <v/>
      </c>
      <c r="Q483" t="str">
        <f>IF(P483="","",IFERROR(IF(AND(H483="W7",OR(F483="causal",F483="predictive")),IF(AND(OR(K483=1,K483="1"),OR(L483=1,L483="1"),OR(M483=1,M483="1")),"adequate","partial"),IF(AND(H483="W4",F483="predictive",OR(J483="P2",J483="P3",J483="P4")),IF(OR(U483=1,U483="1"),"adequate","partial"),INDEX(Fit_Matrix!$B:$B,MATCH(P483,Fit_Matrix!$A:$A,0)))),"CHECK KEY"))</f>
        <v/>
      </c>
      <c r="U483" s="10"/>
      <c r="V483" s="10"/>
      <c r="W483" s="10"/>
      <c r="X483" s="10"/>
      <c r="Y483" s="10"/>
      <c r="Z483" s="10"/>
      <c r="AA483" s="11" t="str">
        <f t="shared" si="15"/>
        <v/>
      </c>
    </row>
    <row r="484" spans="16:27" ht="15" customHeight="1">
      <c r="P484" t="str">
        <f t="shared" si="14"/>
        <v/>
      </c>
      <c r="Q484" t="str">
        <f>IF(P484="","",IFERROR(IF(AND(H484="W7",OR(F484="causal",F484="predictive")),IF(AND(OR(K484=1,K484="1"),OR(L484=1,L484="1"),OR(M484=1,M484="1")),"adequate","partial"),IF(AND(H484="W4",F484="predictive",OR(J484="P2",J484="P3",J484="P4")),IF(OR(U484=1,U484="1"),"adequate","partial"),INDEX(Fit_Matrix!$B:$B,MATCH(P484,Fit_Matrix!$A:$A,0)))),"CHECK KEY"))</f>
        <v/>
      </c>
      <c r="U484" s="10"/>
      <c r="V484" s="10"/>
      <c r="W484" s="10"/>
      <c r="X484" s="10"/>
      <c r="Y484" s="10"/>
      <c r="Z484" s="10"/>
      <c r="AA484" s="11" t="str">
        <f t="shared" si="15"/>
        <v/>
      </c>
    </row>
    <row r="485" spans="16:27" ht="15" customHeight="1">
      <c r="P485" t="str">
        <f t="shared" si="14"/>
        <v/>
      </c>
      <c r="Q485" t="str">
        <f>IF(P485="","",IFERROR(IF(AND(H485="W7",OR(F485="causal",F485="predictive")),IF(AND(OR(K485=1,K485="1"),OR(L485=1,L485="1"),OR(M485=1,M485="1")),"adequate","partial"),IF(AND(H485="W4",F485="predictive",OR(J485="P2",J485="P3",J485="P4")),IF(OR(U485=1,U485="1"),"adequate","partial"),INDEX(Fit_Matrix!$B:$B,MATCH(P485,Fit_Matrix!$A:$A,0)))),"CHECK KEY"))</f>
        <v/>
      </c>
      <c r="U485" s="10"/>
      <c r="V485" s="10"/>
      <c r="W485" s="10"/>
      <c r="X485" s="10"/>
      <c r="Y485" s="10"/>
      <c r="Z485" s="10"/>
      <c r="AA485" s="11" t="str">
        <f t="shared" si="15"/>
        <v/>
      </c>
    </row>
    <row r="486" spans="16:27" ht="15" customHeight="1">
      <c r="P486" t="str">
        <f t="shared" si="14"/>
        <v/>
      </c>
      <c r="Q486" t="str">
        <f>IF(P486="","",IFERROR(IF(AND(H486="W7",OR(F486="causal",F486="predictive")),IF(AND(OR(K486=1,K486="1"),OR(L486=1,L486="1"),OR(M486=1,M486="1")),"adequate","partial"),IF(AND(H486="W4",F486="predictive",OR(J486="P2",J486="P3",J486="P4")),IF(OR(U486=1,U486="1"),"adequate","partial"),INDEX(Fit_Matrix!$B:$B,MATCH(P486,Fit_Matrix!$A:$A,0)))),"CHECK KEY"))</f>
        <v/>
      </c>
      <c r="U486" s="10"/>
      <c r="V486" s="10"/>
      <c r="W486" s="10"/>
      <c r="X486" s="10"/>
      <c r="Y486" s="10"/>
      <c r="Z486" s="10"/>
      <c r="AA486" s="11" t="str">
        <f t="shared" si="15"/>
        <v/>
      </c>
    </row>
    <row r="487" spans="16:27" ht="15" customHeight="1">
      <c r="P487" t="str">
        <f t="shared" si="14"/>
        <v/>
      </c>
      <c r="Q487" t="str">
        <f>IF(P487="","",IFERROR(IF(AND(H487="W7",OR(F487="causal",F487="predictive")),IF(AND(OR(K487=1,K487="1"),OR(L487=1,L487="1"),OR(M487=1,M487="1")),"adequate","partial"),IF(AND(H487="W4",F487="predictive",OR(J487="P2",J487="P3",J487="P4")),IF(OR(U487=1,U487="1"),"adequate","partial"),INDEX(Fit_Matrix!$B:$B,MATCH(P487,Fit_Matrix!$A:$A,0)))),"CHECK KEY"))</f>
        <v/>
      </c>
      <c r="U487" s="10"/>
      <c r="V487" s="10"/>
      <c r="W487" s="10"/>
      <c r="X487" s="10"/>
      <c r="Y487" s="10"/>
      <c r="Z487" s="10"/>
      <c r="AA487" s="11" t="str">
        <f t="shared" si="15"/>
        <v/>
      </c>
    </row>
    <row r="488" spans="16:27" ht="15" customHeight="1">
      <c r="P488" t="str">
        <f t="shared" si="14"/>
        <v/>
      </c>
      <c r="Q488" t="str">
        <f>IF(P488="","",IFERROR(IF(AND(H488="W7",OR(F488="causal",F488="predictive")),IF(AND(OR(K488=1,K488="1"),OR(L488=1,L488="1"),OR(M488=1,M488="1")),"adequate","partial"),IF(AND(H488="W4",F488="predictive",OR(J488="P2",J488="P3",J488="P4")),IF(OR(U488=1,U488="1"),"adequate","partial"),INDEX(Fit_Matrix!$B:$B,MATCH(P488,Fit_Matrix!$A:$A,0)))),"CHECK KEY"))</f>
        <v/>
      </c>
      <c r="U488" s="10"/>
      <c r="V488" s="10"/>
      <c r="W488" s="10"/>
      <c r="X488" s="10"/>
      <c r="Y488" s="10"/>
      <c r="Z488" s="10"/>
      <c r="AA488" s="11" t="str">
        <f t="shared" si="15"/>
        <v/>
      </c>
    </row>
    <row r="489" spans="16:27" ht="15" customHeight="1">
      <c r="P489" t="str">
        <f t="shared" si="14"/>
        <v/>
      </c>
      <c r="Q489" t="str">
        <f>IF(P489="","",IFERROR(IF(AND(H489="W7",OR(F489="causal",F489="predictive")),IF(AND(OR(K489=1,K489="1"),OR(L489=1,L489="1"),OR(M489=1,M489="1")),"adequate","partial"),IF(AND(H489="W4",F489="predictive",OR(J489="P2",J489="P3",J489="P4")),IF(OR(U489=1,U489="1"),"adequate","partial"),INDEX(Fit_Matrix!$B:$B,MATCH(P489,Fit_Matrix!$A:$A,0)))),"CHECK KEY"))</f>
        <v/>
      </c>
      <c r="U489" s="10"/>
      <c r="V489" s="10"/>
      <c r="W489" s="10"/>
      <c r="X489" s="10"/>
      <c r="Y489" s="10"/>
      <c r="Z489" s="10"/>
      <c r="AA489" s="11" t="str">
        <f t="shared" si="15"/>
        <v/>
      </c>
    </row>
    <row r="490" spans="16:27" ht="15" customHeight="1">
      <c r="P490" t="str">
        <f t="shared" si="14"/>
        <v/>
      </c>
      <c r="Q490" t="str">
        <f>IF(P490="","",IFERROR(IF(AND(H490="W7",OR(F490="causal",F490="predictive")),IF(AND(OR(K490=1,K490="1"),OR(L490=1,L490="1"),OR(M490=1,M490="1")),"adequate","partial"),IF(AND(H490="W4",F490="predictive",OR(J490="P2",J490="P3",J490="P4")),IF(OR(U490=1,U490="1"),"adequate","partial"),INDEX(Fit_Matrix!$B:$B,MATCH(P490,Fit_Matrix!$A:$A,0)))),"CHECK KEY"))</f>
        <v/>
      </c>
      <c r="U490" s="10"/>
      <c r="V490" s="10"/>
      <c r="W490" s="10"/>
      <c r="X490" s="10"/>
      <c r="Y490" s="10"/>
      <c r="Z490" s="10"/>
      <c r="AA490" s="11" t="str">
        <f t="shared" si="15"/>
        <v/>
      </c>
    </row>
    <row r="491" spans="16:27" ht="15" customHeight="1">
      <c r="P491" t="str">
        <f t="shared" si="14"/>
        <v/>
      </c>
      <c r="Q491" t="str">
        <f>IF(P491="","",IFERROR(IF(AND(H491="W7",OR(F491="causal",F491="predictive")),IF(AND(OR(K491=1,K491="1"),OR(L491=1,L491="1"),OR(M491=1,M491="1")),"adequate","partial"),IF(AND(H491="W4",F491="predictive",OR(J491="P2",J491="P3",J491="P4")),IF(OR(U491=1,U491="1"),"adequate","partial"),INDEX(Fit_Matrix!$B:$B,MATCH(P491,Fit_Matrix!$A:$A,0)))),"CHECK KEY"))</f>
        <v/>
      </c>
      <c r="U491" s="10"/>
      <c r="V491" s="10"/>
      <c r="W491" s="10"/>
      <c r="X491" s="10"/>
      <c r="Y491" s="10"/>
      <c r="Z491" s="10"/>
      <c r="AA491" s="11" t="str">
        <f t="shared" si="15"/>
        <v/>
      </c>
    </row>
    <row r="492" spans="16:27" ht="15" customHeight="1">
      <c r="P492" t="str">
        <f t="shared" si="14"/>
        <v/>
      </c>
      <c r="Q492" t="str">
        <f>IF(P492="","",IFERROR(IF(AND(H492="W7",OR(F492="causal",F492="predictive")),IF(AND(OR(K492=1,K492="1"),OR(L492=1,L492="1"),OR(M492=1,M492="1")),"adequate","partial"),IF(AND(H492="W4",F492="predictive",OR(J492="P2",J492="P3",J492="P4")),IF(OR(U492=1,U492="1"),"adequate","partial"),INDEX(Fit_Matrix!$B:$B,MATCH(P492,Fit_Matrix!$A:$A,0)))),"CHECK KEY"))</f>
        <v/>
      </c>
      <c r="U492" s="10"/>
      <c r="V492" s="10"/>
      <c r="W492" s="10"/>
      <c r="X492" s="10"/>
      <c r="Y492" s="10"/>
      <c r="Z492" s="10"/>
      <c r="AA492" s="11" t="str">
        <f t="shared" si="15"/>
        <v/>
      </c>
    </row>
    <row r="493" spans="16:27" ht="15" customHeight="1">
      <c r="P493" t="str">
        <f t="shared" si="14"/>
        <v/>
      </c>
      <c r="Q493" t="str">
        <f>IF(P493="","",IFERROR(IF(AND(H493="W7",OR(F493="causal",F493="predictive")),IF(AND(OR(K493=1,K493="1"),OR(L493=1,L493="1"),OR(M493=1,M493="1")),"adequate","partial"),IF(AND(H493="W4",F493="predictive",OR(J493="P2",J493="P3",J493="P4")),IF(OR(U493=1,U493="1"),"adequate","partial"),INDEX(Fit_Matrix!$B:$B,MATCH(P493,Fit_Matrix!$A:$A,0)))),"CHECK KEY"))</f>
        <v/>
      </c>
      <c r="U493" s="10"/>
      <c r="V493" s="10"/>
      <c r="W493" s="10"/>
      <c r="X493" s="10"/>
      <c r="Y493" s="10"/>
      <c r="Z493" s="10"/>
      <c r="AA493" s="11" t="str">
        <f t="shared" si="15"/>
        <v/>
      </c>
    </row>
    <row r="494" spans="16:27" ht="15" customHeight="1">
      <c r="P494" t="str">
        <f t="shared" si="14"/>
        <v/>
      </c>
      <c r="Q494" t="str">
        <f>IF(P494="","",IFERROR(IF(AND(H494="W7",OR(F494="causal",F494="predictive")),IF(AND(OR(K494=1,K494="1"),OR(L494=1,L494="1"),OR(M494=1,M494="1")),"adequate","partial"),IF(AND(H494="W4",F494="predictive",OR(J494="P2",J494="P3",J494="P4")),IF(OR(U494=1,U494="1"),"adequate","partial"),INDEX(Fit_Matrix!$B:$B,MATCH(P494,Fit_Matrix!$A:$A,0)))),"CHECK KEY"))</f>
        <v/>
      </c>
      <c r="U494" s="10"/>
      <c r="V494" s="10"/>
      <c r="W494" s="10"/>
      <c r="X494" s="10"/>
      <c r="Y494" s="10"/>
      <c r="Z494" s="10"/>
      <c r="AA494" s="11" t="str">
        <f t="shared" si="15"/>
        <v/>
      </c>
    </row>
    <row r="495" spans="16:27" ht="15" customHeight="1">
      <c r="P495" t="str">
        <f t="shared" si="14"/>
        <v/>
      </c>
      <c r="Q495" t="str">
        <f>IF(P495="","",IFERROR(IF(AND(H495="W7",OR(F495="causal",F495="predictive")),IF(AND(OR(K495=1,K495="1"),OR(L495=1,L495="1"),OR(M495=1,M495="1")),"adequate","partial"),IF(AND(H495="W4",F495="predictive",OR(J495="P2",J495="P3",J495="P4")),IF(OR(U495=1,U495="1"),"adequate","partial"),INDEX(Fit_Matrix!$B:$B,MATCH(P495,Fit_Matrix!$A:$A,0)))),"CHECK KEY"))</f>
        <v/>
      </c>
      <c r="U495" s="10"/>
      <c r="V495" s="10"/>
      <c r="W495" s="10"/>
      <c r="X495" s="10"/>
      <c r="Y495" s="10"/>
      <c r="Z495" s="10"/>
      <c r="AA495" s="11" t="str">
        <f t="shared" si="15"/>
        <v/>
      </c>
    </row>
    <row r="496" spans="16:27" ht="15" customHeight="1">
      <c r="P496" t="str">
        <f t="shared" si="14"/>
        <v/>
      </c>
      <c r="Q496" t="str">
        <f>IF(P496="","",IFERROR(IF(AND(H496="W7",OR(F496="causal",F496="predictive")),IF(AND(OR(K496=1,K496="1"),OR(L496=1,L496="1"),OR(M496=1,M496="1")),"adequate","partial"),IF(AND(H496="W4",F496="predictive",OR(J496="P2",J496="P3",J496="P4")),IF(OR(U496=1,U496="1"),"adequate","partial"),INDEX(Fit_Matrix!$B:$B,MATCH(P496,Fit_Matrix!$A:$A,0)))),"CHECK KEY"))</f>
        <v/>
      </c>
      <c r="U496" s="10"/>
      <c r="V496" s="10"/>
      <c r="W496" s="10"/>
      <c r="X496" s="10"/>
      <c r="Y496" s="10"/>
      <c r="Z496" s="10"/>
      <c r="AA496" s="11" t="str">
        <f t="shared" si="15"/>
        <v/>
      </c>
    </row>
    <row r="497" spans="16:27" ht="15" customHeight="1">
      <c r="P497" t="str">
        <f t="shared" si="14"/>
        <v/>
      </c>
      <c r="Q497" t="str">
        <f>IF(P497="","",IFERROR(IF(AND(H497="W7",OR(F497="causal",F497="predictive")),IF(AND(OR(K497=1,K497="1"),OR(L497=1,L497="1"),OR(M497=1,M497="1")),"adequate","partial"),IF(AND(H497="W4",F497="predictive",OR(J497="P2",J497="P3",J497="P4")),IF(OR(U497=1,U497="1"),"adequate","partial"),INDEX(Fit_Matrix!$B:$B,MATCH(P497,Fit_Matrix!$A:$A,0)))),"CHECK KEY"))</f>
        <v/>
      </c>
      <c r="U497" s="10"/>
      <c r="V497" s="10"/>
      <c r="W497" s="10"/>
      <c r="X497" s="10"/>
      <c r="Y497" s="10"/>
      <c r="Z497" s="10"/>
      <c r="AA497" s="11" t="str">
        <f t="shared" si="15"/>
        <v/>
      </c>
    </row>
    <row r="498" spans="16:27" ht="15" customHeight="1">
      <c r="P498" t="str">
        <f t="shared" si="14"/>
        <v/>
      </c>
      <c r="Q498" t="str">
        <f>IF(P498="","",IFERROR(IF(AND(H498="W7",OR(F498="causal",F498="predictive")),IF(AND(OR(K498=1,K498="1"),OR(L498=1,L498="1"),OR(M498=1,M498="1")),"adequate","partial"),IF(AND(H498="W4",F498="predictive",OR(J498="P2",J498="P3",J498="P4")),IF(OR(U498=1,U498="1"),"adequate","partial"),INDEX(Fit_Matrix!$B:$B,MATCH(P498,Fit_Matrix!$A:$A,0)))),"CHECK KEY"))</f>
        <v/>
      </c>
      <c r="U498" s="10"/>
      <c r="V498" s="10"/>
      <c r="W498" s="10"/>
      <c r="X498" s="10"/>
      <c r="Y498" s="10"/>
      <c r="Z498" s="10"/>
      <c r="AA498" s="11" t="str">
        <f t="shared" si="15"/>
        <v/>
      </c>
    </row>
    <row r="499" spans="16:27" ht="15" customHeight="1">
      <c r="P499" t="str">
        <f t="shared" si="14"/>
        <v/>
      </c>
      <c r="Q499" t="str">
        <f>IF(P499="","",IFERROR(IF(AND(H499="W7",OR(F499="causal",F499="predictive")),IF(AND(OR(K499=1,K499="1"),OR(L499=1,L499="1"),OR(M499=1,M499="1")),"adequate","partial"),IF(AND(H499="W4",F499="predictive",OR(J499="P2",J499="P3",J499="P4")),IF(OR(U499=1,U499="1"),"adequate","partial"),INDEX(Fit_Matrix!$B:$B,MATCH(P499,Fit_Matrix!$A:$A,0)))),"CHECK KEY"))</f>
        <v/>
      </c>
      <c r="U499" s="10"/>
      <c r="V499" s="10"/>
      <c r="W499" s="10"/>
      <c r="X499" s="10"/>
      <c r="Y499" s="10"/>
      <c r="Z499" s="10"/>
      <c r="AA499" s="11" t="str">
        <f t="shared" si="15"/>
        <v/>
      </c>
    </row>
    <row r="500" spans="16:27" ht="15" customHeight="1">
      <c r="P500" t="str">
        <f t="shared" si="14"/>
        <v/>
      </c>
      <c r="Q500" t="str">
        <f>IF(P500="","",IFERROR(IF(AND(H500="W7",OR(F500="causal",F500="predictive")),IF(AND(OR(K500=1,K500="1"),OR(L500=1,L500="1"),OR(M500=1,M500="1")),"adequate","partial"),IF(AND(H500="W4",F500="predictive",OR(J500="P2",J500="P3",J500="P4")),IF(OR(U500=1,U500="1"),"adequate","partial"),INDEX(Fit_Matrix!$B:$B,MATCH(P500,Fit_Matrix!$A:$A,0)))),"CHECK KEY"))</f>
        <v/>
      </c>
      <c r="U500" s="10"/>
      <c r="V500" s="10"/>
      <c r="W500" s="10"/>
      <c r="X500" s="10"/>
      <c r="Y500" s="10"/>
      <c r="Z500" s="10"/>
      <c r="AA500" s="11" t="str">
        <f t="shared" si="15"/>
        <v/>
      </c>
    </row>
    <row r="501" spans="16:27" ht="15" customHeight="1">
      <c r="P501" t="str">
        <f t="shared" si="14"/>
        <v/>
      </c>
      <c r="Q501" t="str">
        <f>IF(P501="","",IFERROR(IF(AND(H501="W7",OR(F501="causal",F501="predictive")),IF(AND(OR(K501=1,K501="1"),OR(L501=1,L501="1"),OR(M501=1,M501="1")),"adequate","partial"),IF(AND(H501="W4",F501="predictive",OR(J501="P2",J501="P3",J501="P4")),IF(OR(U501=1,U501="1"),"adequate","partial"),INDEX(Fit_Matrix!$B:$B,MATCH(P501,Fit_Matrix!$A:$A,0)))),"CHECK KEY"))</f>
        <v/>
      </c>
      <c r="U501" s="10"/>
      <c r="V501" s="10"/>
      <c r="W501" s="10"/>
      <c r="X501" s="10"/>
      <c r="Y501" s="10"/>
      <c r="Z501" s="10"/>
      <c r="AA501" s="11" t="str">
        <f t="shared" si="15"/>
        <v/>
      </c>
    </row>
    <row r="502" spans="16:27" ht="15" customHeight="1">
      <c r="P502" t="str">
        <f t="shared" si="14"/>
        <v/>
      </c>
      <c r="Q502" t="str">
        <f>IF(P502="","",IFERROR(IF(AND(H502="W7",OR(F502="causal",F502="predictive")),IF(AND(OR(K502=1,K502="1"),OR(L502=1,L502="1"),OR(M502=1,M502="1")),"adequate","partial"),IF(AND(H502="W4",F502="predictive",OR(J502="P2",J502="P3",J502="P4")),IF(OR(U502=1,U502="1"),"adequate","partial"),INDEX(Fit_Matrix!$B:$B,MATCH(P502,Fit_Matrix!$A:$A,0)))),"CHECK KEY"))</f>
        <v/>
      </c>
      <c r="U502" s="10"/>
      <c r="V502" s="10"/>
      <c r="W502" s="10"/>
      <c r="X502" s="10"/>
      <c r="Y502" s="10"/>
      <c r="Z502" s="10"/>
      <c r="AA502" s="11" t="str">
        <f t="shared" si="15"/>
        <v/>
      </c>
    </row>
    <row r="503" spans="16:27" ht="15" customHeight="1">
      <c r="P503" t="str">
        <f t="shared" si="14"/>
        <v/>
      </c>
      <c r="Q503" t="str">
        <f>IF(P503="","",IFERROR(IF(AND(H503="W7",OR(F503="causal",F503="predictive")),IF(AND(OR(K503=1,K503="1"),OR(L503=1,L503="1"),OR(M503=1,M503="1")),"adequate","partial"),IF(AND(H503="W4",F503="predictive",OR(J503="P2",J503="P3",J503="P4")),IF(OR(U503=1,U503="1"),"adequate","partial"),INDEX(Fit_Matrix!$B:$B,MATCH(P503,Fit_Matrix!$A:$A,0)))),"CHECK KEY"))</f>
        <v/>
      </c>
      <c r="U503" s="10"/>
      <c r="V503" s="10"/>
      <c r="W503" s="10"/>
      <c r="X503" s="10"/>
      <c r="Y503" s="10"/>
      <c r="Z503" s="10"/>
      <c r="AA503" s="11" t="str">
        <f t="shared" si="15"/>
        <v/>
      </c>
    </row>
    <row r="504" spans="16:27" ht="15" customHeight="1">
      <c r="P504" t="str">
        <f t="shared" si="14"/>
        <v/>
      </c>
      <c r="Q504" t="str">
        <f>IF(P504="","",IFERROR(IF(AND(H504="W7",OR(F504="causal",F504="predictive")),IF(AND(OR(K504=1,K504="1"),OR(L504=1,L504="1"),OR(M504=1,M504="1")),"adequate","partial"),IF(AND(H504="W4",F504="predictive",OR(J504="P2",J504="P3",J504="P4")),IF(OR(U504=1,U504="1"),"adequate","partial"),INDEX(Fit_Matrix!$B:$B,MATCH(P504,Fit_Matrix!$A:$A,0)))),"CHECK KEY"))</f>
        <v/>
      </c>
      <c r="U504" s="10"/>
      <c r="V504" s="10"/>
      <c r="W504" s="10"/>
      <c r="X504" s="10"/>
      <c r="Y504" s="10"/>
      <c r="Z504" s="10"/>
      <c r="AA504" s="11" t="str">
        <f t="shared" si="15"/>
        <v/>
      </c>
    </row>
    <row r="505" spans="16:27" ht="15" customHeight="1">
      <c r="P505" t="str">
        <f t="shared" si="14"/>
        <v/>
      </c>
      <c r="Q505" t="str">
        <f>IF(P505="","",IFERROR(IF(AND(H505="W7",OR(F505="causal",F505="predictive")),IF(AND(OR(K505=1,K505="1"),OR(L505=1,L505="1"),OR(M505=1,M505="1")),"adequate","partial"),IF(AND(H505="W4",F505="predictive",OR(J505="P2",J505="P3",J505="P4")),IF(OR(U505=1,U505="1"),"adequate","partial"),INDEX(Fit_Matrix!$B:$B,MATCH(P505,Fit_Matrix!$A:$A,0)))),"CHECK KEY"))</f>
        <v/>
      </c>
      <c r="U505" s="10"/>
      <c r="V505" s="10"/>
      <c r="W505" s="10"/>
      <c r="X505" s="10"/>
      <c r="Y505" s="10"/>
      <c r="Z505" s="10"/>
      <c r="AA505" s="11" t="str">
        <f t="shared" si="15"/>
        <v/>
      </c>
    </row>
    <row r="506" spans="16:27" ht="15" customHeight="1">
      <c r="P506" t="str">
        <f t="shared" si="14"/>
        <v/>
      </c>
      <c r="Q506" t="str">
        <f>IF(P506="","",IFERROR(IF(AND(H506="W7",OR(F506="causal",F506="predictive")),IF(AND(OR(K506=1,K506="1"),OR(L506=1,L506="1"),OR(M506=1,M506="1")),"adequate","partial"),IF(AND(H506="W4",F506="predictive",OR(J506="P2",J506="P3",J506="P4")),IF(OR(U506=1,U506="1"),"adequate","partial"),INDEX(Fit_Matrix!$B:$B,MATCH(P506,Fit_Matrix!$A:$A,0)))),"CHECK KEY"))</f>
        <v/>
      </c>
      <c r="U506" s="10"/>
      <c r="V506" s="10"/>
      <c r="W506" s="10"/>
      <c r="X506" s="10"/>
      <c r="Y506" s="10"/>
      <c r="Z506" s="10"/>
      <c r="AA506" s="11" t="str">
        <f t="shared" si="15"/>
        <v/>
      </c>
    </row>
    <row r="507" spans="16:27" ht="15" customHeight="1">
      <c r="P507" t="str">
        <f t="shared" si="14"/>
        <v/>
      </c>
      <c r="Q507" t="str">
        <f>IF(P507="","",IFERROR(IF(AND(H507="W7",OR(F507="causal",F507="predictive")),IF(AND(OR(K507=1,K507="1"),OR(L507=1,L507="1"),OR(M507=1,M507="1")),"adequate","partial"),IF(AND(H507="W4",F507="predictive",OR(J507="P2",J507="P3",J507="P4")),IF(OR(U507=1,U507="1"),"adequate","partial"),INDEX(Fit_Matrix!$B:$B,MATCH(P507,Fit_Matrix!$A:$A,0)))),"CHECK KEY"))</f>
        <v/>
      </c>
      <c r="U507" s="10"/>
      <c r="V507" s="10"/>
      <c r="W507" s="10"/>
      <c r="X507" s="10"/>
      <c r="Y507" s="10"/>
      <c r="Z507" s="10"/>
      <c r="AA507" s="11" t="str">
        <f t="shared" si="15"/>
        <v/>
      </c>
    </row>
    <row r="508" spans="16:27" ht="15" customHeight="1">
      <c r="P508" t="str">
        <f t="shared" si="14"/>
        <v/>
      </c>
      <c r="Q508" t="str">
        <f>IF(P508="","",IFERROR(IF(AND(H508="W7",OR(F508="causal",F508="predictive")),IF(AND(OR(K508=1,K508="1"),OR(L508=1,L508="1"),OR(M508=1,M508="1")),"adequate","partial"),IF(AND(H508="W4",F508="predictive",OR(J508="P2",J508="P3",J508="P4")),IF(OR(U508=1,U508="1"),"adequate","partial"),INDEX(Fit_Matrix!$B:$B,MATCH(P508,Fit_Matrix!$A:$A,0)))),"CHECK KEY"))</f>
        <v/>
      </c>
      <c r="U508" s="10"/>
      <c r="V508" s="10"/>
      <c r="W508" s="10"/>
      <c r="X508" s="10"/>
      <c r="Y508" s="10"/>
      <c r="Z508" s="10"/>
      <c r="AA508" s="11" t="str">
        <f t="shared" si="15"/>
        <v/>
      </c>
    </row>
    <row r="509" spans="16:27" ht="15" customHeight="1">
      <c r="P509" t="str">
        <f t="shared" si="14"/>
        <v/>
      </c>
      <c r="Q509" t="str">
        <f>IF(P509="","",IFERROR(IF(AND(H509="W7",OR(F509="causal",F509="predictive")),IF(AND(OR(K509=1,K509="1"),OR(L509=1,L509="1"),OR(M509=1,M509="1")),"adequate","partial"),IF(AND(H509="W4",F509="predictive",OR(J509="P2",J509="P3",J509="P4")),IF(OR(U509=1,U509="1"),"adequate","partial"),INDEX(Fit_Matrix!$B:$B,MATCH(P509,Fit_Matrix!$A:$A,0)))),"CHECK KEY"))</f>
        <v/>
      </c>
      <c r="U509" s="10"/>
      <c r="V509" s="10"/>
      <c r="W509" s="10"/>
      <c r="X509" s="10"/>
      <c r="Y509" s="10"/>
      <c r="Z509" s="10"/>
      <c r="AA509" s="11" t="str">
        <f t="shared" si="15"/>
        <v/>
      </c>
    </row>
    <row r="510" spans="16:27" ht="15" customHeight="1">
      <c r="P510" t="str">
        <f t="shared" si="14"/>
        <v/>
      </c>
      <c r="Q510" t="str">
        <f>IF(P510="","",IFERROR(IF(AND(H510="W7",OR(F510="causal",F510="predictive")),IF(AND(OR(K510=1,K510="1"),OR(L510=1,L510="1"),OR(M510=1,M510="1")),"adequate","partial"),IF(AND(H510="W4",F510="predictive",OR(J510="P2",J510="P3",J510="P4")),IF(OR(U510=1,U510="1"),"adequate","partial"),INDEX(Fit_Matrix!$B:$B,MATCH(P510,Fit_Matrix!$A:$A,0)))),"CHECK KEY"))</f>
        <v/>
      </c>
      <c r="U510" s="10"/>
      <c r="V510" s="10"/>
      <c r="W510" s="10"/>
      <c r="X510" s="10"/>
      <c r="Y510" s="10"/>
      <c r="Z510" s="10"/>
      <c r="AA510" s="11" t="str">
        <f t="shared" si="15"/>
        <v/>
      </c>
    </row>
    <row r="511" spans="16:27" ht="15" customHeight="1">
      <c r="P511" t="str">
        <f t="shared" si="14"/>
        <v/>
      </c>
      <c r="Q511" t="str">
        <f>IF(P511="","",IFERROR(IF(AND(H511="W7",OR(F511="causal",F511="predictive")),IF(AND(OR(K511=1,K511="1"),OR(L511=1,L511="1"),OR(M511=1,M511="1")),"adequate","partial"),IF(AND(H511="W4",F511="predictive",OR(J511="P2",J511="P3",J511="P4")),IF(OR(U511=1,U511="1"),"adequate","partial"),INDEX(Fit_Matrix!$B:$B,MATCH(P511,Fit_Matrix!$A:$A,0)))),"CHECK KEY"))</f>
        <v/>
      </c>
      <c r="U511" s="10"/>
      <c r="V511" s="10"/>
      <c r="W511" s="10"/>
      <c r="X511" s="10"/>
      <c r="Y511" s="10"/>
      <c r="Z511" s="10"/>
      <c r="AA511" s="11" t="str">
        <f t="shared" si="15"/>
        <v/>
      </c>
    </row>
    <row r="512" spans="16:27" ht="15" customHeight="1">
      <c r="P512" t="str">
        <f t="shared" si="14"/>
        <v/>
      </c>
      <c r="Q512" t="str">
        <f>IF(P512="","",IFERROR(IF(AND(H512="W7",OR(F512="causal",F512="predictive")),IF(AND(OR(K512=1,K512="1"),OR(L512=1,L512="1"),OR(M512=1,M512="1")),"adequate","partial"),IF(AND(H512="W4",F512="predictive",OR(J512="P2",J512="P3",J512="P4")),IF(OR(U512=1,U512="1"),"adequate","partial"),INDEX(Fit_Matrix!$B:$B,MATCH(P512,Fit_Matrix!$A:$A,0)))),"CHECK KEY"))</f>
        <v/>
      </c>
      <c r="U512" s="10"/>
      <c r="V512" s="10"/>
      <c r="W512" s="10"/>
      <c r="X512" s="10"/>
      <c r="Y512" s="10"/>
      <c r="Z512" s="10"/>
      <c r="AA512" s="11" t="str">
        <f t="shared" si="15"/>
        <v/>
      </c>
    </row>
    <row r="513" spans="16:27" ht="15" customHeight="1">
      <c r="P513" t="str">
        <f t="shared" si="14"/>
        <v/>
      </c>
      <c r="Q513" t="str">
        <f>IF(P513="","",IFERROR(IF(AND(H513="W7",OR(F513="causal",F513="predictive")),IF(AND(OR(K513=1,K513="1"),OR(L513=1,L513="1"),OR(M513=1,M513="1")),"adequate","partial"),IF(AND(H513="W4",F513="predictive",OR(J513="P2",J513="P3",J513="P4")),IF(OR(U513=1,U513="1"),"adequate","partial"),INDEX(Fit_Matrix!$B:$B,MATCH(P513,Fit_Matrix!$A:$A,0)))),"CHECK KEY"))</f>
        <v/>
      </c>
      <c r="U513" s="10"/>
      <c r="V513" s="10"/>
      <c r="W513" s="10"/>
      <c r="X513" s="10"/>
      <c r="Y513" s="10"/>
      <c r="Z513" s="10"/>
      <c r="AA513" s="11" t="str">
        <f t="shared" si="15"/>
        <v/>
      </c>
    </row>
    <row r="514" spans="16:27" ht="15" customHeight="1">
      <c r="P514" t="str">
        <f t="shared" ref="P514:P577" si="16">IF(OR(F514="",H514="",J514=""),"",J514&amp;"|"&amp;F514&amp;"|"&amp;IF(H514="W3","W3_"&amp;IF(I514="","unknown",I514),H514))</f>
        <v/>
      </c>
      <c r="Q514" t="str">
        <f>IF(P514="","",IFERROR(IF(AND(H514="W7",OR(F514="causal",F514="predictive")),IF(AND(OR(K514=1,K514="1"),OR(L514=1,L514="1"),OR(M514=1,M514="1")),"adequate","partial"),IF(AND(H514="W4",F514="predictive",OR(J514="P2",J514="P3",J514="P4")),IF(OR(U514=1,U514="1"),"adequate","partial"),INDEX(Fit_Matrix!$B:$B,MATCH(P514,Fit_Matrix!$A:$A,0)))),"CHECK KEY"))</f>
        <v/>
      </c>
      <c r="U514" s="10"/>
      <c r="V514" s="10"/>
      <c r="W514" s="10"/>
      <c r="X514" s="10"/>
      <c r="Y514" s="10"/>
      <c r="Z514" s="10"/>
      <c r="AA514" s="11" t="str">
        <f t="shared" ref="AA514:AA577" si="17">IF(A514="","",IF(AND(J514="P4",F514="causal"),"P4-CAUSAL",""))</f>
        <v/>
      </c>
    </row>
    <row r="515" spans="16:27" ht="15" customHeight="1">
      <c r="P515" t="str">
        <f t="shared" si="16"/>
        <v/>
      </c>
      <c r="Q515" t="str">
        <f>IF(P515="","",IFERROR(IF(AND(H515="W7",OR(F515="causal",F515="predictive")),IF(AND(OR(K515=1,K515="1"),OR(L515=1,L515="1"),OR(M515=1,M515="1")),"adequate","partial"),IF(AND(H515="W4",F515="predictive",OR(J515="P2",J515="P3",J515="P4")),IF(OR(U515=1,U515="1"),"adequate","partial"),INDEX(Fit_Matrix!$B:$B,MATCH(P515,Fit_Matrix!$A:$A,0)))),"CHECK KEY"))</f>
        <v/>
      </c>
      <c r="U515" s="10"/>
      <c r="V515" s="10"/>
      <c r="W515" s="10"/>
      <c r="X515" s="10"/>
      <c r="Y515" s="10"/>
      <c r="Z515" s="10"/>
      <c r="AA515" s="11" t="str">
        <f t="shared" si="17"/>
        <v/>
      </c>
    </row>
    <row r="516" spans="16:27" ht="15" customHeight="1">
      <c r="P516" t="str">
        <f t="shared" si="16"/>
        <v/>
      </c>
      <c r="Q516" t="str">
        <f>IF(P516="","",IFERROR(IF(AND(H516="W7",OR(F516="causal",F516="predictive")),IF(AND(OR(K516=1,K516="1"),OR(L516=1,L516="1"),OR(M516=1,M516="1")),"adequate","partial"),IF(AND(H516="W4",F516="predictive",OR(J516="P2",J516="P3",J516="P4")),IF(OR(U516=1,U516="1"),"adequate","partial"),INDEX(Fit_Matrix!$B:$B,MATCH(P516,Fit_Matrix!$A:$A,0)))),"CHECK KEY"))</f>
        <v/>
      </c>
      <c r="U516" s="10"/>
      <c r="V516" s="10"/>
      <c r="W516" s="10"/>
      <c r="X516" s="10"/>
      <c r="Y516" s="10"/>
      <c r="Z516" s="10"/>
      <c r="AA516" s="11" t="str">
        <f t="shared" si="17"/>
        <v/>
      </c>
    </row>
    <row r="517" spans="16:27" ht="15" customHeight="1">
      <c r="P517" t="str">
        <f t="shared" si="16"/>
        <v/>
      </c>
      <c r="Q517" t="str">
        <f>IF(P517="","",IFERROR(IF(AND(H517="W7",OR(F517="causal",F517="predictive")),IF(AND(OR(K517=1,K517="1"),OR(L517=1,L517="1"),OR(M517=1,M517="1")),"adequate","partial"),IF(AND(H517="W4",F517="predictive",OR(J517="P2",J517="P3",J517="P4")),IF(OR(U517=1,U517="1"),"adequate","partial"),INDEX(Fit_Matrix!$B:$B,MATCH(P517,Fit_Matrix!$A:$A,0)))),"CHECK KEY"))</f>
        <v/>
      </c>
      <c r="U517" s="10"/>
      <c r="V517" s="10"/>
      <c r="W517" s="10"/>
      <c r="X517" s="10"/>
      <c r="Y517" s="10"/>
      <c r="Z517" s="10"/>
      <c r="AA517" s="11" t="str">
        <f t="shared" si="17"/>
        <v/>
      </c>
    </row>
    <row r="518" spans="16:27" ht="15" customHeight="1">
      <c r="P518" t="str">
        <f t="shared" si="16"/>
        <v/>
      </c>
      <c r="Q518" t="str">
        <f>IF(P518="","",IFERROR(IF(AND(H518="W7",OR(F518="causal",F518="predictive")),IF(AND(OR(K518=1,K518="1"),OR(L518=1,L518="1"),OR(M518=1,M518="1")),"adequate","partial"),IF(AND(H518="W4",F518="predictive",OR(J518="P2",J518="P3",J518="P4")),IF(OR(U518=1,U518="1"),"adequate","partial"),INDEX(Fit_Matrix!$B:$B,MATCH(P518,Fit_Matrix!$A:$A,0)))),"CHECK KEY"))</f>
        <v/>
      </c>
      <c r="U518" s="10"/>
      <c r="V518" s="10"/>
      <c r="W518" s="10"/>
      <c r="X518" s="10"/>
      <c r="Y518" s="10"/>
      <c r="Z518" s="10"/>
      <c r="AA518" s="11" t="str">
        <f t="shared" si="17"/>
        <v/>
      </c>
    </row>
    <row r="519" spans="16:27" ht="15" customHeight="1">
      <c r="P519" t="str">
        <f t="shared" si="16"/>
        <v/>
      </c>
      <c r="Q519" t="str">
        <f>IF(P519="","",IFERROR(IF(AND(H519="W7",OR(F519="causal",F519="predictive")),IF(AND(OR(K519=1,K519="1"),OR(L519=1,L519="1"),OR(M519=1,M519="1")),"adequate","partial"),IF(AND(H519="W4",F519="predictive",OR(J519="P2",J519="P3",J519="P4")),IF(OR(U519=1,U519="1"),"adequate","partial"),INDEX(Fit_Matrix!$B:$B,MATCH(P519,Fit_Matrix!$A:$A,0)))),"CHECK KEY"))</f>
        <v/>
      </c>
      <c r="U519" s="10"/>
      <c r="V519" s="10"/>
      <c r="W519" s="10"/>
      <c r="X519" s="10"/>
      <c r="Y519" s="10"/>
      <c r="Z519" s="10"/>
      <c r="AA519" s="11" t="str">
        <f t="shared" si="17"/>
        <v/>
      </c>
    </row>
    <row r="520" spans="16:27" ht="15" customHeight="1">
      <c r="P520" t="str">
        <f t="shared" si="16"/>
        <v/>
      </c>
      <c r="Q520" t="str">
        <f>IF(P520="","",IFERROR(IF(AND(H520="W7",OR(F520="causal",F520="predictive")),IF(AND(OR(K520=1,K520="1"),OR(L520=1,L520="1"),OR(M520=1,M520="1")),"adequate","partial"),IF(AND(H520="W4",F520="predictive",OR(J520="P2",J520="P3",J520="P4")),IF(OR(U520=1,U520="1"),"adequate","partial"),INDEX(Fit_Matrix!$B:$B,MATCH(P520,Fit_Matrix!$A:$A,0)))),"CHECK KEY"))</f>
        <v/>
      </c>
      <c r="U520" s="10"/>
      <c r="V520" s="10"/>
      <c r="W520" s="10"/>
      <c r="X520" s="10"/>
      <c r="Y520" s="10"/>
      <c r="Z520" s="10"/>
      <c r="AA520" s="11" t="str">
        <f t="shared" si="17"/>
        <v/>
      </c>
    </row>
    <row r="521" spans="16:27" ht="15" customHeight="1">
      <c r="P521" t="str">
        <f t="shared" si="16"/>
        <v/>
      </c>
      <c r="Q521" t="str">
        <f>IF(P521="","",IFERROR(IF(AND(H521="W7",OR(F521="causal",F521="predictive")),IF(AND(OR(K521=1,K521="1"),OR(L521=1,L521="1"),OR(M521=1,M521="1")),"adequate","partial"),IF(AND(H521="W4",F521="predictive",OR(J521="P2",J521="P3",J521="P4")),IF(OR(U521=1,U521="1"),"adequate","partial"),INDEX(Fit_Matrix!$B:$B,MATCH(P521,Fit_Matrix!$A:$A,0)))),"CHECK KEY"))</f>
        <v/>
      </c>
      <c r="U521" s="10"/>
      <c r="V521" s="10"/>
      <c r="W521" s="10"/>
      <c r="X521" s="10"/>
      <c r="Y521" s="10"/>
      <c r="Z521" s="10"/>
      <c r="AA521" s="11" t="str">
        <f t="shared" si="17"/>
        <v/>
      </c>
    </row>
    <row r="522" spans="16:27" ht="15" customHeight="1">
      <c r="P522" t="str">
        <f t="shared" si="16"/>
        <v/>
      </c>
      <c r="Q522" t="str">
        <f>IF(P522="","",IFERROR(IF(AND(H522="W7",OR(F522="causal",F522="predictive")),IF(AND(OR(K522=1,K522="1"),OR(L522=1,L522="1"),OR(M522=1,M522="1")),"adequate","partial"),IF(AND(H522="W4",F522="predictive",OR(J522="P2",J522="P3",J522="P4")),IF(OR(U522=1,U522="1"),"adequate","partial"),INDEX(Fit_Matrix!$B:$B,MATCH(P522,Fit_Matrix!$A:$A,0)))),"CHECK KEY"))</f>
        <v/>
      </c>
      <c r="U522" s="10"/>
      <c r="V522" s="10"/>
      <c r="W522" s="10"/>
      <c r="X522" s="10"/>
      <c r="Y522" s="10"/>
      <c r="Z522" s="10"/>
      <c r="AA522" s="11" t="str">
        <f t="shared" si="17"/>
        <v/>
      </c>
    </row>
    <row r="523" spans="16:27" ht="15" customHeight="1">
      <c r="P523" t="str">
        <f t="shared" si="16"/>
        <v/>
      </c>
      <c r="Q523" t="str">
        <f>IF(P523="","",IFERROR(IF(AND(H523="W7",OR(F523="causal",F523="predictive")),IF(AND(OR(K523=1,K523="1"),OR(L523=1,L523="1"),OR(M523=1,M523="1")),"adequate","partial"),IF(AND(H523="W4",F523="predictive",OR(J523="P2",J523="P3",J523="P4")),IF(OR(U523=1,U523="1"),"adequate","partial"),INDEX(Fit_Matrix!$B:$B,MATCH(P523,Fit_Matrix!$A:$A,0)))),"CHECK KEY"))</f>
        <v/>
      </c>
      <c r="U523" s="10"/>
      <c r="V523" s="10"/>
      <c r="W523" s="10"/>
      <c r="X523" s="10"/>
      <c r="Y523" s="10"/>
      <c r="Z523" s="10"/>
      <c r="AA523" s="11" t="str">
        <f t="shared" si="17"/>
        <v/>
      </c>
    </row>
    <row r="524" spans="16:27" ht="15" customHeight="1">
      <c r="P524" t="str">
        <f t="shared" si="16"/>
        <v/>
      </c>
      <c r="Q524" t="str">
        <f>IF(P524="","",IFERROR(IF(AND(H524="W7",OR(F524="causal",F524="predictive")),IF(AND(OR(K524=1,K524="1"),OR(L524=1,L524="1"),OR(M524=1,M524="1")),"adequate","partial"),IF(AND(H524="W4",F524="predictive",OR(J524="P2",J524="P3",J524="P4")),IF(OR(U524=1,U524="1"),"adequate","partial"),INDEX(Fit_Matrix!$B:$B,MATCH(P524,Fit_Matrix!$A:$A,0)))),"CHECK KEY"))</f>
        <v/>
      </c>
      <c r="U524" s="10"/>
      <c r="V524" s="10"/>
      <c r="W524" s="10"/>
      <c r="X524" s="10"/>
      <c r="Y524" s="10"/>
      <c r="Z524" s="10"/>
      <c r="AA524" s="11" t="str">
        <f t="shared" si="17"/>
        <v/>
      </c>
    </row>
    <row r="525" spans="16:27" ht="15" customHeight="1">
      <c r="P525" t="str">
        <f t="shared" si="16"/>
        <v/>
      </c>
      <c r="Q525" t="str">
        <f>IF(P525="","",IFERROR(IF(AND(H525="W7",OR(F525="causal",F525="predictive")),IF(AND(OR(K525=1,K525="1"),OR(L525=1,L525="1"),OR(M525=1,M525="1")),"adequate","partial"),IF(AND(H525="W4",F525="predictive",OR(J525="P2",J525="P3",J525="P4")),IF(OR(U525=1,U525="1"),"adequate","partial"),INDEX(Fit_Matrix!$B:$B,MATCH(P525,Fit_Matrix!$A:$A,0)))),"CHECK KEY"))</f>
        <v/>
      </c>
      <c r="U525" s="10"/>
      <c r="V525" s="10"/>
      <c r="W525" s="10"/>
      <c r="X525" s="10"/>
      <c r="Y525" s="10"/>
      <c r="Z525" s="10"/>
      <c r="AA525" s="11" t="str">
        <f t="shared" si="17"/>
        <v/>
      </c>
    </row>
    <row r="526" spans="16:27" ht="15" customHeight="1">
      <c r="P526" t="str">
        <f t="shared" si="16"/>
        <v/>
      </c>
      <c r="Q526" t="str">
        <f>IF(P526="","",IFERROR(IF(AND(H526="W7",OR(F526="causal",F526="predictive")),IF(AND(OR(K526=1,K526="1"),OR(L526=1,L526="1"),OR(M526=1,M526="1")),"adequate","partial"),IF(AND(H526="W4",F526="predictive",OR(J526="P2",J526="P3",J526="P4")),IF(OR(U526=1,U526="1"),"adequate","partial"),INDEX(Fit_Matrix!$B:$B,MATCH(P526,Fit_Matrix!$A:$A,0)))),"CHECK KEY"))</f>
        <v/>
      </c>
      <c r="U526" s="10"/>
      <c r="V526" s="10"/>
      <c r="W526" s="10"/>
      <c r="X526" s="10"/>
      <c r="Y526" s="10"/>
      <c r="Z526" s="10"/>
      <c r="AA526" s="11" t="str">
        <f t="shared" si="17"/>
        <v/>
      </c>
    </row>
    <row r="527" spans="16:27" ht="15" customHeight="1">
      <c r="P527" t="str">
        <f t="shared" si="16"/>
        <v/>
      </c>
      <c r="Q527" t="str">
        <f>IF(P527="","",IFERROR(IF(AND(H527="W7",OR(F527="causal",F527="predictive")),IF(AND(OR(K527=1,K527="1"),OR(L527=1,L527="1"),OR(M527=1,M527="1")),"adequate","partial"),IF(AND(H527="W4",F527="predictive",OR(J527="P2",J527="P3",J527="P4")),IF(OR(U527=1,U527="1"),"adequate","partial"),INDEX(Fit_Matrix!$B:$B,MATCH(P527,Fit_Matrix!$A:$A,0)))),"CHECK KEY"))</f>
        <v/>
      </c>
      <c r="U527" s="10"/>
      <c r="V527" s="10"/>
      <c r="W527" s="10"/>
      <c r="X527" s="10"/>
      <c r="Y527" s="10"/>
      <c r="Z527" s="10"/>
      <c r="AA527" s="11" t="str">
        <f t="shared" si="17"/>
        <v/>
      </c>
    </row>
    <row r="528" spans="16:27" ht="15" customHeight="1">
      <c r="P528" t="str">
        <f t="shared" si="16"/>
        <v/>
      </c>
      <c r="Q528" t="str">
        <f>IF(P528="","",IFERROR(IF(AND(H528="W7",OR(F528="causal",F528="predictive")),IF(AND(OR(K528=1,K528="1"),OR(L528=1,L528="1"),OR(M528=1,M528="1")),"adequate","partial"),IF(AND(H528="W4",F528="predictive",OR(J528="P2",J528="P3",J528="P4")),IF(OR(U528=1,U528="1"),"adequate","partial"),INDEX(Fit_Matrix!$B:$B,MATCH(P528,Fit_Matrix!$A:$A,0)))),"CHECK KEY"))</f>
        <v/>
      </c>
      <c r="U528" s="10"/>
      <c r="V528" s="10"/>
      <c r="W528" s="10"/>
      <c r="X528" s="10"/>
      <c r="Y528" s="10"/>
      <c r="Z528" s="10"/>
      <c r="AA528" s="11" t="str">
        <f t="shared" si="17"/>
        <v/>
      </c>
    </row>
    <row r="529" spans="16:27" ht="15" customHeight="1">
      <c r="P529" t="str">
        <f t="shared" si="16"/>
        <v/>
      </c>
      <c r="Q529" t="str">
        <f>IF(P529="","",IFERROR(IF(AND(H529="W7",OR(F529="causal",F529="predictive")),IF(AND(OR(K529=1,K529="1"),OR(L529=1,L529="1"),OR(M529=1,M529="1")),"adequate","partial"),IF(AND(H529="W4",F529="predictive",OR(J529="P2",J529="P3",J529="P4")),IF(OR(U529=1,U529="1"),"adequate","partial"),INDEX(Fit_Matrix!$B:$B,MATCH(P529,Fit_Matrix!$A:$A,0)))),"CHECK KEY"))</f>
        <v/>
      </c>
      <c r="U529" s="10"/>
      <c r="V529" s="10"/>
      <c r="W529" s="10"/>
      <c r="X529" s="10"/>
      <c r="Y529" s="10"/>
      <c r="Z529" s="10"/>
      <c r="AA529" s="11" t="str">
        <f t="shared" si="17"/>
        <v/>
      </c>
    </row>
    <row r="530" spans="16:27" ht="15" customHeight="1">
      <c r="P530" t="str">
        <f t="shared" si="16"/>
        <v/>
      </c>
      <c r="Q530" t="str">
        <f>IF(P530="","",IFERROR(IF(AND(H530="W7",OR(F530="causal",F530="predictive")),IF(AND(OR(K530=1,K530="1"),OR(L530=1,L530="1"),OR(M530=1,M530="1")),"adequate","partial"),IF(AND(H530="W4",F530="predictive",OR(J530="P2",J530="P3",J530="P4")),IF(OR(U530=1,U530="1"),"adequate","partial"),INDEX(Fit_Matrix!$B:$B,MATCH(P530,Fit_Matrix!$A:$A,0)))),"CHECK KEY"))</f>
        <v/>
      </c>
      <c r="U530" s="10"/>
      <c r="V530" s="10"/>
      <c r="W530" s="10"/>
      <c r="X530" s="10"/>
      <c r="Y530" s="10"/>
      <c r="Z530" s="10"/>
      <c r="AA530" s="11" t="str">
        <f t="shared" si="17"/>
        <v/>
      </c>
    </row>
    <row r="531" spans="16:27" ht="15" customHeight="1">
      <c r="P531" t="str">
        <f t="shared" si="16"/>
        <v/>
      </c>
      <c r="Q531" t="str">
        <f>IF(P531="","",IFERROR(IF(AND(H531="W7",OR(F531="causal",F531="predictive")),IF(AND(OR(K531=1,K531="1"),OR(L531=1,L531="1"),OR(M531=1,M531="1")),"adequate","partial"),IF(AND(H531="W4",F531="predictive",OR(J531="P2",J531="P3",J531="P4")),IF(OR(U531=1,U531="1"),"adequate","partial"),INDEX(Fit_Matrix!$B:$B,MATCH(P531,Fit_Matrix!$A:$A,0)))),"CHECK KEY"))</f>
        <v/>
      </c>
      <c r="U531" s="10"/>
      <c r="V531" s="10"/>
      <c r="W531" s="10"/>
      <c r="X531" s="10"/>
      <c r="Y531" s="10"/>
      <c r="Z531" s="10"/>
      <c r="AA531" s="11" t="str">
        <f t="shared" si="17"/>
        <v/>
      </c>
    </row>
    <row r="532" spans="16:27" ht="15" customHeight="1">
      <c r="P532" t="str">
        <f t="shared" si="16"/>
        <v/>
      </c>
      <c r="Q532" t="str">
        <f>IF(P532="","",IFERROR(IF(AND(H532="W7",OR(F532="causal",F532="predictive")),IF(AND(OR(K532=1,K532="1"),OR(L532=1,L532="1"),OR(M532=1,M532="1")),"adequate","partial"),IF(AND(H532="W4",F532="predictive",OR(J532="P2",J532="P3",J532="P4")),IF(OR(U532=1,U532="1"),"adequate","partial"),INDEX(Fit_Matrix!$B:$B,MATCH(P532,Fit_Matrix!$A:$A,0)))),"CHECK KEY"))</f>
        <v/>
      </c>
      <c r="U532" s="10"/>
      <c r="V532" s="10"/>
      <c r="W532" s="10"/>
      <c r="X532" s="10"/>
      <c r="Y532" s="10"/>
      <c r="Z532" s="10"/>
      <c r="AA532" s="11" t="str">
        <f t="shared" si="17"/>
        <v/>
      </c>
    </row>
    <row r="533" spans="16:27" ht="15" customHeight="1">
      <c r="P533" t="str">
        <f t="shared" si="16"/>
        <v/>
      </c>
      <c r="Q533" t="str">
        <f>IF(P533="","",IFERROR(IF(AND(H533="W7",OR(F533="causal",F533="predictive")),IF(AND(OR(K533=1,K533="1"),OR(L533=1,L533="1"),OR(M533=1,M533="1")),"adequate","partial"),IF(AND(H533="W4",F533="predictive",OR(J533="P2",J533="P3",J533="P4")),IF(OR(U533=1,U533="1"),"adequate","partial"),INDEX(Fit_Matrix!$B:$B,MATCH(P533,Fit_Matrix!$A:$A,0)))),"CHECK KEY"))</f>
        <v/>
      </c>
      <c r="U533" s="10"/>
      <c r="V533" s="10"/>
      <c r="W533" s="10"/>
      <c r="X533" s="10"/>
      <c r="Y533" s="10"/>
      <c r="Z533" s="10"/>
      <c r="AA533" s="11" t="str">
        <f t="shared" si="17"/>
        <v/>
      </c>
    </row>
    <row r="534" spans="16:27" ht="15" customHeight="1">
      <c r="P534" t="str">
        <f t="shared" si="16"/>
        <v/>
      </c>
      <c r="Q534" t="str">
        <f>IF(P534="","",IFERROR(IF(AND(H534="W7",OR(F534="causal",F534="predictive")),IF(AND(OR(K534=1,K534="1"),OR(L534=1,L534="1"),OR(M534=1,M534="1")),"adequate","partial"),IF(AND(H534="W4",F534="predictive",OR(J534="P2",J534="P3",J534="P4")),IF(OR(U534=1,U534="1"),"adequate","partial"),INDEX(Fit_Matrix!$B:$B,MATCH(P534,Fit_Matrix!$A:$A,0)))),"CHECK KEY"))</f>
        <v/>
      </c>
      <c r="U534" s="10"/>
      <c r="V534" s="10"/>
      <c r="W534" s="10"/>
      <c r="X534" s="10"/>
      <c r="Y534" s="10"/>
      <c r="Z534" s="10"/>
      <c r="AA534" s="11" t="str">
        <f t="shared" si="17"/>
        <v/>
      </c>
    </row>
    <row r="535" spans="16:27" ht="15" customHeight="1">
      <c r="P535" t="str">
        <f t="shared" si="16"/>
        <v/>
      </c>
      <c r="Q535" t="str">
        <f>IF(P535="","",IFERROR(IF(AND(H535="W7",OR(F535="causal",F535="predictive")),IF(AND(OR(K535=1,K535="1"),OR(L535=1,L535="1"),OR(M535=1,M535="1")),"adequate","partial"),IF(AND(H535="W4",F535="predictive",OR(J535="P2",J535="P3",J535="P4")),IF(OR(U535=1,U535="1"),"adequate","partial"),INDEX(Fit_Matrix!$B:$B,MATCH(P535,Fit_Matrix!$A:$A,0)))),"CHECK KEY"))</f>
        <v/>
      </c>
      <c r="U535" s="10"/>
      <c r="V535" s="10"/>
      <c r="W535" s="10"/>
      <c r="X535" s="10"/>
      <c r="Y535" s="10"/>
      <c r="Z535" s="10"/>
      <c r="AA535" s="11" t="str">
        <f t="shared" si="17"/>
        <v/>
      </c>
    </row>
    <row r="536" spans="16:27" ht="15" customHeight="1">
      <c r="P536" t="str">
        <f t="shared" si="16"/>
        <v/>
      </c>
      <c r="Q536" t="str">
        <f>IF(P536="","",IFERROR(IF(AND(H536="W7",OR(F536="causal",F536="predictive")),IF(AND(OR(K536=1,K536="1"),OR(L536=1,L536="1"),OR(M536=1,M536="1")),"adequate","partial"),IF(AND(H536="W4",F536="predictive",OR(J536="P2",J536="P3",J536="P4")),IF(OR(U536=1,U536="1"),"adequate","partial"),INDEX(Fit_Matrix!$B:$B,MATCH(P536,Fit_Matrix!$A:$A,0)))),"CHECK KEY"))</f>
        <v/>
      </c>
      <c r="U536" s="10"/>
      <c r="V536" s="10"/>
      <c r="W536" s="10"/>
      <c r="X536" s="10"/>
      <c r="Y536" s="10"/>
      <c r="Z536" s="10"/>
      <c r="AA536" s="11" t="str">
        <f t="shared" si="17"/>
        <v/>
      </c>
    </row>
    <row r="537" spans="16:27" ht="15" customHeight="1">
      <c r="P537" t="str">
        <f t="shared" si="16"/>
        <v/>
      </c>
      <c r="Q537" t="str">
        <f>IF(P537="","",IFERROR(IF(AND(H537="W7",OR(F537="causal",F537="predictive")),IF(AND(OR(K537=1,K537="1"),OR(L537=1,L537="1"),OR(M537=1,M537="1")),"adequate","partial"),IF(AND(H537="W4",F537="predictive",OR(J537="P2",J537="P3",J537="P4")),IF(OR(U537=1,U537="1"),"adequate","partial"),INDEX(Fit_Matrix!$B:$B,MATCH(P537,Fit_Matrix!$A:$A,0)))),"CHECK KEY"))</f>
        <v/>
      </c>
      <c r="U537" s="10"/>
      <c r="V537" s="10"/>
      <c r="W537" s="10"/>
      <c r="X537" s="10"/>
      <c r="Y537" s="10"/>
      <c r="Z537" s="10"/>
      <c r="AA537" s="11" t="str">
        <f t="shared" si="17"/>
        <v/>
      </c>
    </row>
    <row r="538" spans="16:27" ht="15" customHeight="1">
      <c r="P538" t="str">
        <f t="shared" si="16"/>
        <v/>
      </c>
      <c r="Q538" t="str">
        <f>IF(P538="","",IFERROR(IF(AND(H538="W7",OR(F538="causal",F538="predictive")),IF(AND(OR(K538=1,K538="1"),OR(L538=1,L538="1"),OR(M538=1,M538="1")),"adequate","partial"),IF(AND(H538="W4",F538="predictive",OR(J538="P2",J538="P3",J538="P4")),IF(OR(U538=1,U538="1"),"adequate","partial"),INDEX(Fit_Matrix!$B:$B,MATCH(P538,Fit_Matrix!$A:$A,0)))),"CHECK KEY"))</f>
        <v/>
      </c>
      <c r="U538" s="10"/>
      <c r="V538" s="10"/>
      <c r="W538" s="10"/>
      <c r="X538" s="10"/>
      <c r="Y538" s="10"/>
      <c r="Z538" s="10"/>
      <c r="AA538" s="11" t="str">
        <f t="shared" si="17"/>
        <v/>
      </c>
    </row>
    <row r="539" spans="16:27" ht="15" customHeight="1">
      <c r="P539" t="str">
        <f t="shared" si="16"/>
        <v/>
      </c>
      <c r="Q539" t="str">
        <f>IF(P539="","",IFERROR(IF(AND(H539="W7",OR(F539="causal",F539="predictive")),IF(AND(OR(K539=1,K539="1"),OR(L539=1,L539="1"),OR(M539=1,M539="1")),"adequate","partial"),IF(AND(H539="W4",F539="predictive",OR(J539="P2",J539="P3",J539="P4")),IF(OR(U539=1,U539="1"),"adequate","partial"),INDEX(Fit_Matrix!$B:$B,MATCH(P539,Fit_Matrix!$A:$A,0)))),"CHECK KEY"))</f>
        <v/>
      </c>
      <c r="U539" s="10"/>
      <c r="V539" s="10"/>
      <c r="W539" s="10"/>
      <c r="X539" s="10"/>
      <c r="Y539" s="10"/>
      <c r="Z539" s="10"/>
      <c r="AA539" s="11" t="str">
        <f t="shared" si="17"/>
        <v/>
      </c>
    </row>
    <row r="540" spans="16:27" ht="15" customHeight="1">
      <c r="P540" t="str">
        <f t="shared" si="16"/>
        <v/>
      </c>
      <c r="Q540" t="str">
        <f>IF(P540="","",IFERROR(IF(AND(H540="W7",OR(F540="causal",F540="predictive")),IF(AND(OR(K540=1,K540="1"),OR(L540=1,L540="1"),OR(M540=1,M540="1")),"adequate","partial"),IF(AND(H540="W4",F540="predictive",OR(J540="P2",J540="P3",J540="P4")),IF(OR(U540=1,U540="1"),"adequate","partial"),INDEX(Fit_Matrix!$B:$B,MATCH(P540,Fit_Matrix!$A:$A,0)))),"CHECK KEY"))</f>
        <v/>
      </c>
      <c r="U540" s="10"/>
      <c r="V540" s="10"/>
      <c r="W540" s="10"/>
      <c r="X540" s="10"/>
      <c r="Y540" s="10"/>
      <c r="Z540" s="10"/>
      <c r="AA540" s="11" t="str">
        <f t="shared" si="17"/>
        <v/>
      </c>
    </row>
    <row r="541" spans="16:27" ht="15" customHeight="1">
      <c r="P541" t="str">
        <f t="shared" si="16"/>
        <v/>
      </c>
      <c r="Q541" t="str">
        <f>IF(P541="","",IFERROR(IF(AND(H541="W7",OR(F541="causal",F541="predictive")),IF(AND(OR(K541=1,K541="1"),OR(L541=1,L541="1"),OR(M541=1,M541="1")),"adequate","partial"),IF(AND(H541="W4",F541="predictive",OR(J541="P2",J541="P3",J541="P4")),IF(OR(U541=1,U541="1"),"adequate","partial"),INDEX(Fit_Matrix!$B:$B,MATCH(P541,Fit_Matrix!$A:$A,0)))),"CHECK KEY"))</f>
        <v/>
      </c>
      <c r="U541" s="10"/>
      <c r="V541" s="10"/>
      <c r="W541" s="10"/>
      <c r="X541" s="10"/>
      <c r="Y541" s="10"/>
      <c r="Z541" s="10"/>
      <c r="AA541" s="11" t="str">
        <f t="shared" si="17"/>
        <v/>
      </c>
    </row>
    <row r="542" spans="16:27" ht="15" customHeight="1">
      <c r="P542" t="str">
        <f t="shared" si="16"/>
        <v/>
      </c>
      <c r="Q542" t="str">
        <f>IF(P542="","",IFERROR(IF(AND(H542="W7",OR(F542="causal",F542="predictive")),IF(AND(OR(K542=1,K542="1"),OR(L542=1,L542="1"),OR(M542=1,M542="1")),"adequate","partial"),IF(AND(H542="W4",F542="predictive",OR(J542="P2",J542="P3",J542="P4")),IF(OR(U542=1,U542="1"),"adequate","partial"),INDEX(Fit_Matrix!$B:$B,MATCH(P542,Fit_Matrix!$A:$A,0)))),"CHECK KEY"))</f>
        <v/>
      </c>
      <c r="U542" s="10"/>
      <c r="V542" s="10"/>
      <c r="W542" s="10"/>
      <c r="X542" s="10"/>
      <c r="Y542" s="10"/>
      <c r="Z542" s="10"/>
      <c r="AA542" s="11" t="str">
        <f t="shared" si="17"/>
        <v/>
      </c>
    </row>
    <row r="543" spans="16:27" ht="15" customHeight="1">
      <c r="P543" t="str">
        <f t="shared" si="16"/>
        <v/>
      </c>
      <c r="Q543" t="str">
        <f>IF(P543="","",IFERROR(IF(AND(H543="W7",OR(F543="causal",F543="predictive")),IF(AND(OR(K543=1,K543="1"),OR(L543=1,L543="1"),OR(M543=1,M543="1")),"adequate","partial"),IF(AND(H543="W4",F543="predictive",OR(J543="P2",J543="P3",J543="P4")),IF(OR(U543=1,U543="1"),"adequate","partial"),INDEX(Fit_Matrix!$B:$B,MATCH(P543,Fit_Matrix!$A:$A,0)))),"CHECK KEY"))</f>
        <v/>
      </c>
      <c r="U543" s="10"/>
      <c r="V543" s="10"/>
      <c r="W543" s="10"/>
      <c r="X543" s="10"/>
      <c r="Y543" s="10"/>
      <c r="Z543" s="10"/>
      <c r="AA543" s="11" t="str">
        <f t="shared" si="17"/>
        <v/>
      </c>
    </row>
    <row r="544" spans="16:27" ht="15" customHeight="1">
      <c r="P544" t="str">
        <f t="shared" si="16"/>
        <v/>
      </c>
      <c r="Q544" t="str">
        <f>IF(P544="","",IFERROR(IF(AND(H544="W7",OR(F544="causal",F544="predictive")),IF(AND(OR(K544=1,K544="1"),OR(L544=1,L544="1"),OR(M544=1,M544="1")),"adequate","partial"),IF(AND(H544="W4",F544="predictive",OR(J544="P2",J544="P3",J544="P4")),IF(OR(U544=1,U544="1"),"adequate","partial"),INDEX(Fit_Matrix!$B:$B,MATCH(P544,Fit_Matrix!$A:$A,0)))),"CHECK KEY"))</f>
        <v/>
      </c>
      <c r="U544" s="10"/>
      <c r="V544" s="10"/>
      <c r="W544" s="10"/>
      <c r="X544" s="10"/>
      <c r="Y544" s="10"/>
      <c r="Z544" s="10"/>
      <c r="AA544" s="11" t="str">
        <f t="shared" si="17"/>
        <v/>
      </c>
    </row>
    <row r="545" spans="16:27" ht="15" customHeight="1">
      <c r="P545" t="str">
        <f t="shared" si="16"/>
        <v/>
      </c>
      <c r="Q545" t="str">
        <f>IF(P545="","",IFERROR(IF(AND(H545="W7",OR(F545="causal",F545="predictive")),IF(AND(OR(K545=1,K545="1"),OR(L545=1,L545="1"),OR(M545=1,M545="1")),"adequate","partial"),IF(AND(H545="W4",F545="predictive",OR(J545="P2",J545="P3",J545="P4")),IF(OR(U545=1,U545="1"),"adequate","partial"),INDEX(Fit_Matrix!$B:$B,MATCH(P545,Fit_Matrix!$A:$A,0)))),"CHECK KEY"))</f>
        <v/>
      </c>
      <c r="U545" s="10"/>
      <c r="V545" s="10"/>
      <c r="W545" s="10"/>
      <c r="X545" s="10"/>
      <c r="Y545" s="10"/>
      <c r="Z545" s="10"/>
      <c r="AA545" s="11" t="str">
        <f t="shared" si="17"/>
        <v/>
      </c>
    </row>
    <row r="546" spans="16:27" ht="15" customHeight="1">
      <c r="P546" t="str">
        <f t="shared" si="16"/>
        <v/>
      </c>
      <c r="Q546" t="str">
        <f>IF(P546="","",IFERROR(IF(AND(H546="W7",OR(F546="causal",F546="predictive")),IF(AND(OR(K546=1,K546="1"),OR(L546=1,L546="1"),OR(M546=1,M546="1")),"adequate","partial"),IF(AND(H546="W4",F546="predictive",OR(J546="P2",J546="P3",J546="P4")),IF(OR(U546=1,U546="1"),"adequate","partial"),INDEX(Fit_Matrix!$B:$B,MATCH(P546,Fit_Matrix!$A:$A,0)))),"CHECK KEY"))</f>
        <v/>
      </c>
      <c r="U546" s="10"/>
      <c r="V546" s="10"/>
      <c r="W546" s="10"/>
      <c r="X546" s="10"/>
      <c r="Y546" s="10"/>
      <c r="Z546" s="10"/>
      <c r="AA546" s="11" t="str">
        <f t="shared" si="17"/>
        <v/>
      </c>
    </row>
    <row r="547" spans="16:27" ht="15" customHeight="1">
      <c r="P547" t="str">
        <f t="shared" si="16"/>
        <v/>
      </c>
      <c r="Q547" t="str">
        <f>IF(P547="","",IFERROR(IF(AND(H547="W7",OR(F547="causal",F547="predictive")),IF(AND(OR(K547=1,K547="1"),OR(L547=1,L547="1"),OR(M547=1,M547="1")),"adequate","partial"),IF(AND(H547="W4",F547="predictive",OR(J547="P2",J547="P3",J547="P4")),IF(OR(U547=1,U547="1"),"adequate","partial"),INDEX(Fit_Matrix!$B:$B,MATCH(P547,Fit_Matrix!$A:$A,0)))),"CHECK KEY"))</f>
        <v/>
      </c>
      <c r="U547" s="10"/>
      <c r="V547" s="10"/>
      <c r="W547" s="10"/>
      <c r="X547" s="10"/>
      <c r="Y547" s="10"/>
      <c r="Z547" s="10"/>
      <c r="AA547" s="11" t="str">
        <f t="shared" si="17"/>
        <v/>
      </c>
    </row>
    <row r="548" spans="16:27" ht="15" customHeight="1">
      <c r="P548" t="str">
        <f t="shared" si="16"/>
        <v/>
      </c>
      <c r="Q548" t="str">
        <f>IF(P548="","",IFERROR(IF(AND(H548="W7",OR(F548="causal",F548="predictive")),IF(AND(OR(K548=1,K548="1"),OR(L548=1,L548="1"),OR(M548=1,M548="1")),"adequate","partial"),IF(AND(H548="W4",F548="predictive",OR(J548="P2",J548="P3",J548="P4")),IF(OR(U548=1,U548="1"),"adequate","partial"),INDEX(Fit_Matrix!$B:$B,MATCH(P548,Fit_Matrix!$A:$A,0)))),"CHECK KEY"))</f>
        <v/>
      </c>
      <c r="U548" s="10"/>
      <c r="V548" s="10"/>
      <c r="W548" s="10"/>
      <c r="X548" s="10"/>
      <c r="Y548" s="10"/>
      <c r="Z548" s="10"/>
      <c r="AA548" s="11" t="str">
        <f t="shared" si="17"/>
        <v/>
      </c>
    </row>
    <row r="549" spans="16:27" ht="15" customHeight="1">
      <c r="P549" t="str">
        <f t="shared" si="16"/>
        <v/>
      </c>
      <c r="Q549" t="str">
        <f>IF(P549="","",IFERROR(IF(AND(H549="W7",OR(F549="causal",F549="predictive")),IF(AND(OR(K549=1,K549="1"),OR(L549=1,L549="1"),OR(M549=1,M549="1")),"adequate","partial"),IF(AND(H549="W4",F549="predictive",OR(J549="P2",J549="P3",J549="P4")),IF(OR(U549=1,U549="1"),"adequate","partial"),INDEX(Fit_Matrix!$B:$B,MATCH(P549,Fit_Matrix!$A:$A,0)))),"CHECK KEY"))</f>
        <v/>
      </c>
      <c r="U549" s="10"/>
      <c r="V549" s="10"/>
      <c r="W549" s="10"/>
      <c r="X549" s="10"/>
      <c r="Y549" s="10"/>
      <c r="Z549" s="10"/>
      <c r="AA549" s="11" t="str">
        <f t="shared" si="17"/>
        <v/>
      </c>
    </row>
    <row r="550" spans="16:27" ht="15" customHeight="1">
      <c r="P550" t="str">
        <f t="shared" si="16"/>
        <v/>
      </c>
      <c r="Q550" t="str">
        <f>IF(P550="","",IFERROR(IF(AND(H550="W7",OR(F550="causal",F550="predictive")),IF(AND(OR(K550=1,K550="1"),OR(L550=1,L550="1"),OR(M550=1,M550="1")),"adequate","partial"),IF(AND(H550="W4",F550="predictive",OR(J550="P2",J550="P3",J550="P4")),IF(OR(U550=1,U550="1"),"adequate","partial"),INDEX(Fit_Matrix!$B:$B,MATCH(P550,Fit_Matrix!$A:$A,0)))),"CHECK KEY"))</f>
        <v/>
      </c>
      <c r="U550" s="10"/>
      <c r="V550" s="10"/>
      <c r="W550" s="10"/>
      <c r="X550" s="10"/>
      <c r="Y550" s="10"/>
      <c r="Z550" s="10"/>
      <c r="AA550" s="11" t="str">
        <f t="shared" si="17"/>
        <v/>
      </c>
    </row>
    <row r="551" spans="16:27" ht="15" customHeight="1">
      <c r="P551" t="str">
        <f t="shared" si="16"/>
        <v/>
      </c>
      <c r="Q551" t="str">
        <f>IF(P551="","",IFERROR(IF(AND(H551="W7",OR(F551="causal",F551="predictive")),IF(AND(OR(K551=1,K551="1"),OR(L551=1,L551="1"),OR(M551=1,M551="1")),"adequate","partial"),IF(AND(H551="W4",F551="predictive",OR(J551="P2",J551="P3",J551="P4")),IF(OR(U551=1,U551="1"),"adequate","partial"),INDEX(Fit_Matrix!$B:$B,MATCH(P551,Fit_Matrix!$A:$A,0)))),"CHECK KEY"))</f>
        <v/>
      </c>
      <c r="U551" s="10"/>
      <c r="V551" s="10"/>
      <c r="W551" s="10"/>
      <c r="X551" s="10"/>
      <c r="Y551" s="10"/>
      <c r="Z551" s="10"/>
      <c r="AA551" s="11" t="str">
        <f t="shared" si="17"/>
        <v/>
      </c>
    </row>
    <row r="552" spans="16:27" ht="15" customHeight="1">
      <c r="P552" t="str">
        <f t="shared" si="16"/>
        <v/>
      </c>
      <c r="Q552" t="str">
        <f>IF(P552="","",IFERROR(IF(AND(H552="W7",OR(F552="causal",F552="predictive")),IF(AND(OR(K552=1,K552="1"),OR(L552=1,L552="1"),OR(M552=1,M552="1")),"adequate","partial"),IF(AND(H552="W4",F552="predictive",OR(J552="P2",J552="P3",J552="P4")),IF(OR(U552=1,U552="1"),"adequate","partial"),INDEX(Fit_Matrix!$B:$B,MATCH(P552,Fit_Matrix!$A:$A,0)))),"CHECK KEY"))</f>
        <v/>
      </c>
      <c r="U552" s="10"/>
      <c r="V552" s="10"/>
      <c r="W552" s="10"/>
      <c r="X552" s="10"/>
      <c r="Y552" s="10"/>
      <c r="Z552" s="10"/>
      <c r="AA552" s="11" t="str">
        <f t="shared" si="17"/>
        <v/>
      </c>
    </row>
    <row r="553" spans="16:27" ht="15" customHeight="1">
      <c r="P553" t="str">
        <f t="shared" si="16"/>
        <v/>
      </c>
      <c r="Q553" t="str">
        <f>IF(P553="","",IFERROR(IF(AND(H553="W7",OR(F553="causal",F553="predictive")),IF(AND(OR(K553=1,K553="1"),OR(L553=1,L553="1"),OR(M553=1,M553="1")),"adequate","partial"),IF(AND(H553="W4",F553="predictive",OR(J553="P2",J553="P3",J553="P4")),IF(OR(U553=1,U553="1"),"adequate","partial"),INDEX(Fit_Matrix!$B:$B,MATCH(P553,Fit_Matrix!$A:$A,0)))),"CHECK KEY"))</f>
        <v/>
      </c>
      <c r="U553" s="10"/>
      <c r="V553" s="10"/>
      <c r="W553" s="10"/>
      <c r="X553" s="10"/>
      <c r="Y553" s="10"/>
      <c r="Z553" s="10"/>
      <c r="AA553" s="11" t="str">
        <f t="shared" si="17"/>
        <v/>
      </c>
    </row>
    <row r="554" spans="16:27" ht="15" customHeight="1">
      <c r="P554" t="str">
        <f t="shared" si="16"/>
        <v/>
      </c>
      <c r="Q554" t="str">
        <f>IF(P554="","",IFERROR(IF(AND(H554="W7",OR(F554="causal",F554="predictive")),IF(AND(OR(K554=1,K554="1"),OR(L554=1,L554="1"),OR(M554=1,M554="1")),"adequate","partial"),IF(AND(H554="W4",F554="predictive",OR(J554="P2",J554="P3",J554="P4")),IF(OR(U554=1,U554="1"),"adequate","partial"),INDEX(Fit_Matrix!$B:$B,MATCH(P554,Fit_Matrix!$A:$A,0)))),"CHECK KEY"))</f>
        <v/>
      </c>
      <c r="U554" s="10"/>
      <c r="V554" s="10"/>
      <c r="W554" s="10"/>
      <c r="X554" s="10"/>
      <c r="Y554" s="10"/>
      <c r="Z554" s="10"/>
      <c r="AA554" s="11" t="str">
        <f t="shared" si="17"/>
        <v/>
      </c>
    </row>
    <row r="555" spans="16:27" ht="15" customHeight="1">
      <c r="P555" t="str">
        <f t="shared" si="16"/>
        <v/>
      </c>
      <c r="Q555" t="str">
        <f>IF(P555="","",IFERROR(IF(AND(H555="W7",OR(F555="causal",F555="predictive")),IF(AND(OR(K555=1,K555="1"),OR(L555=1,L555="1"),OR(M555=1,M555="1")),"adequate","partial"),IF(AND(H555="W4",F555="predictive",OR(J555="P2",J555="P3",J555="P4")),IF(OR(U555=1,U555="1"),"adequate","partial"),INDEX(Fit_Matrix!$B:$B,MATCH(P555,Fit_Matrix!$A:$A,0)))),"CHECK KEY"))</f>
        <v/>
      </c>
      <c r="U555" s="10"/>
      <c r="V555" s="10"/>
      <c r="W555" s="10"/>
      <c r="X555" s="10"/>
      <c r="Y555" s="10"/>
      <c r="Z555" s="10"/>
      <c r="AA555" s="11" t="str">
        <f t="shared" si="17"/>
        <v/>
      </c>
    </row>
    <row r="556" spans="16:27" ht="15" customHeight="1">
      <c r="P556" t="str">
        <f t="shared" si="16"/>
        <v/>
      </c>
      <c r="Q556" t="str">
        <f>IF(P556="","",IFERROR(IF(AND(H556="W7",OR(F556="causal",F556="predictive")),IF(AND(OR(K556=1,K556="1"),OR(L556=1,L556="1"),OR(M556=1,M556="1")),"adequate","partial"),IF(AND(H556="W4",F556="predictive",OR(J556="P2",J556="P3",J556="P4")),IF(OR(U556=1,U556="1"),"adequate","partial"),INDEX(Fit_Matrix!$B:$B,MATCH(P556,Fit_Matrix!$A:$A,0)))),"CHECK KEY"))</f>
        <v/>
      </c>
      <c r="U556" s="10"/>
      <c r="V556" s="10"/>
      <c r="W556" s="10"/>
      <c r="X556" s="10"/>
      <c r="Y556" s="10"/>
      <c r="Z556" s="10"/>
      <c r="AA556" s="11" t="str">
        <f t="shared" si="17"/>
        <v/>
      </c>
    </row>
    <row r="557" spans="16:27" ht="15" customHeight="1">
      <c r="P557" t="str">
        <f t="shared" si="16"/>
        <v/>
      </c>
      <c r="Q557" t="str">
        <f>IF(P557="","",IFERROR(IF(AND(H557="W7",OR(F557="causal",F557="predictive")),IF(AND(OR(K557=1,K557="1"),OR(L557=1,L557="1"),OR(M557=1,M557="1")),"adequate","partial"),IF(AND(H557="W4",F557="predictive",OR(J557="P2",J557="P3",J557="P4")),IF(OR(U557=1,U557="1"),"adequate","partial"),INDEX(Fit_Matrix!$B:$B,MATCH(P557,Fit_Matrix!$A:$A,0)))),"CHECK KEY"))</f>
        <v/>
      </c>
      <c r="U557" s="10"/>
      <c r="V557" s="10"/>
      <c r="W557" s="10"/>
      <c r="X557" s="10"/>
      <c r="Y557" s="10"/>
      <c r="Z557" s="10"/>
      <c r="AA557" s="11" t="str">
        <f t="shared" si="17"/>
        <v/>
      </c>
    </row>
    <row r="558" spans="16:27" ht="15" customHeight="1">
      <c r="P558" t="str">
        <f t="shared" si="16"/>
        <v/>
      </c>
      <c r="Q558" t="str">
        <f>IF(P558="","",IFERROR(IF(AND(H558="W7",OR(F558="causal",F558="predictive")),IF(AND(OR(K558=1,K558="1"),OR(L558=1,L558="1"),OR(M558=1,M558="1")),"adequate","partial"),IF(AND(H558="W4",F558="predictive",OR(J558="P2",J558="P3",J558="P4")),IF(OR(U558=1,U558="1"),"adequate","partial"),INDEX(Fit_Matrix!$B:$B,MATCH(P558,Fit_Matrix!$A:$A,0)))),"CHECK KEY"))</f>
        <v/>
      </c>
      <c r="U558" s="10"/>
      <c r="V558" s="10"/>
      <c r="W558" s="10"/>
      <c r="X558" s="10"/>
      <c r="Y558" s="10"/>
      <c r="Z558" s="10"/>
      <c r="AA558" s="11" t="str">
        <f t="shared" si="17"/>
        <v/>
      </c>
    </row>
    <row r="559" spans="16:27" ht="15" customHeight="1">
      <c r="P559" t="str">
        <f t="shared" si="16"/>
        <v/>
      </c>
      <c r="Q559" t="str">
        <f>IF(P559="","",IFERROR(IF(AND(H559="W7",OR(F559="causal",F559="predictive")),IF(AND(OR(K559=1,K559="1"),OR(L559=1,L559="1"),OR(M559=1,M559="1")),"adequate","partial"),IF(AND(H559="W4",F559="predictive",OR(J559="P2",J559="P3",J559="P4")),IF(OR(U559=1,U559="1"),"adequate","partial"),INDEX(Fit_Matrix!$B:$B,MATCH(P559,Fit_Matrix!$A:$A,0)))),"CHECK KEY"))</f>
        <v/>
      </c>
      <c r="U559" s="10"/>
      <c r="V559" s="10"/>
      <c r="W559" s="10"/>
      <c r="X559" s="10"/>
      <c r="Y559" s="10"/>
      <c r="Z559" s="10"/>
      <c r="AA559" s="11" t="str">
        <f t="shared" si="17"/>
        <v/>
      </c>
    </row>
    <row r="560" spans="16:27" ht="15" customHeight="1">
      <c r="P560" t="str">
        <f t="shared" si="16"/>
        <v/>
      </c>
      <c r="Q560" t="str">
        <f>IF(P560="","",IFERROR(IF(AND(H560="W7",OR(F560="causal",F560="predictive")),IF(AND(OR(K560=1,K560="1"),OR(L560=1,L560="1"),OR(M560=1,M560="1")),"adequate","partial"),IF(AND(H560="W4",F560="predictive",OR(J560="P2",J560="P3",J560="P4")),IF(OR(U560=1,U560="1"),"adequate","partial"),INDEX(Fit_Matrix!$B:$B,MATCH(P560,Fit_Matrix!$A:$A,0)))),"CHECK KEY"))</f>
        <v/>
      </c>
      <c r="U560" s="10"/>
      <c r="V560" s="10"/>
      <c r="W560" s="10"/>
      <c r="X560" s="10"/>
      <c r="Y560" s="10"/>
      <c r="Z560" s="10"/>
      <c r="AA560" s="11" t="str">
        <f t="shared" si="17"/>
        <v/>
      </c>
    </row>
    <row r="561" spans="16:27" ht="15" customHeight="1">
      <c r="P561" t="str">
        <f t="shared" si="16"/>
        <v/>
      </c>
      <c r="Q561" t="str">
        <f>IF(P561="","",IFERROR(IF(AND(H561="W7",OR(F561="causal",F561="predictive")),IF(AND(OR(K561=1,K561="1"),OR(L561=1,L561="1"),OR(M561=1,M561="1")),"adequate","partial"),IF(AND(H561="W4",F561="predictive",OR(J561="P2",J561="P3",J561="P4")),IF(OR(U561=1,U561="1"),"adequate","partial"),INDEX(Fit_Matrix!$B:$B,MATCH(P561,Fit_Matrix!$A:$A,0)))),"CHECK KEY"))</f>
        <v/>
      </c>
      <c r="U561" s="10"/>
      <c r="V561" s="10"/>
      <c r="W561" s="10"/>
      <c r="X561" s="10"/>
      <c r="Y561" s="10"/>
      <c r="Z561" s="10"/>
      <c r="AA561" s="11" t="str">
        <f t="shared" si="17"/>
        <v/>
      </c>
    </row>
    <row r="562" spans="16:27" ht="15" customHeight="1">
      <c r="P562" t="str">
        <f t="shared" si="16"/>
        <v/>
      </c>
      <c r="Q562" t="str">
        <f>IF(P562="","",IFERROR(IF(AND(H562="W7",OR(F562="causal",F562="predictive")),IF(AND(OR(K562=1,K562="1"),OR(L562=1,L562="1"),OR(M562=1,M562="1")),"adequate","partial"),IF(AND(H562="W4",F562="predictive",OR(J562="P2",J562="P3",J562="P4")),IF(OR(U562=1,U562="1"),"adequate","partial"),INDEX(Fit_Matrix!$B:$B,MATCH(P562,Fit_Matrix!$A:$A,0)))),"CHECK KEY"))</f>
        <v/>
      </c>
      <c r="U562" s="10"/>
      <c r="V562" s="10"/>
      <c r="W562" s="10"/>
      <c r="X562" s="10"/>
      <c r="Y562" s="10"/>
      <c r="Z562" s="10"/>
      <c r="AA562" s="11" t="str">
        <f t="shared" si="17"/>
        <v/>
      </c>
    </row>
    <row r="563" spans="16:27" ht="15" customHeight="1">
      <c r="P563" t="str">
        <f t="shared" si="16"/>
        <v/>
      </c>
      <c r="Q563" t="str">
        <f>IF(P563="","",IFERROR(IF(AND(H563="W7",OR(F563="causal",F563="predictive")),IF(AND(OR(K563=1,K563="1"),OR(L563=1,L563="1"),OR(M563=1,M563="1")),"adequate","partial"),IF(AND(H563="W4",F563="predictive",OR(J563="P2",J563="P3",J563="P4")),IF(OR(U563=1,U563="1"),"adequate","partial"),INDEX(Fit_Matrix!$B:$B,MATCH(P563,Fit_Matrix!$A:$A,0)))),"CHECK KEY"))</f>
        <v/>
      </c>
      <c r="U563" s="10"/>
      <c r="V563" s="10"/>
      <c r="W563" s="10"/>
      <c r="X563" s="10"/>
      <c r="Y563" s="10"/>
      <c r="Z563" s="10"/>
      <c r="AA563" s="11" t="str">
        <f t="shared" si="17"/>
        <v/>
      </c>
    </row>
    <row r="564" spans="16:27" ht="15" customHeight="1">
      <c r="P564" t="str">
        <f t="shared" si="16"/>
        <v/>
      </c>
      <c r="Q564" t="str">
        <f>IF(P564="","",IFERROR(IF(AND(H564="W7",OR(F564="causal",F564="predictive")),IF(AND(OR(K564=1,K564="1"),OR(L564=1,L564="1"),OR(M564=1,M564="1")),"adequate","partial"),IF(AND(H564="W4",F564="predictive",OR(J564="P2",J564="P3",J564="P4")),IF(OR(U564=1,U564="1"),"adequate","partial"),INDEX(Fit_Matrix!$B:$B,MATCH(P564,Fit_Matrix!$A:$A,0)))),"CHECK KEY"))</f>
        <v/>
      </c>
      <c r="U564" s="10"/>
      <c r="V564" s="10"/>
      <c r="W564" s="10"/>
      <c r="X564" s="10"/>
      <c r="Y564" s="10"/>
      <c r="Z564" s="10"/>
      <c r="AA564" s="11" t="str">
        <f t="shared" si="17"/>
        <v/>
      </c>
    </row>
    <row r="565" spans="16:27" ht="15" customHeight="1">
      <c r="P565" t="str">
        <f t="shared" si="16"/>
        <v/>
      </c>
      <c r="Q565" t="str">
        <f>IF(P565="","",IFERROR(IF(AND(H565="W7",OR(F565="causal",F565="predictive")),IF(AND(OR(K565=1,K565="1"),OR(L565=1,L565="1"),OR(M565=1,M565="1")),"adequate","partial"),IF(AND(H565="W4",F565="predictive",OR(J565="P2",J565="P3",J565="P4")),IF(OR(U565=1,U565="1"),"adequate","partial"),INDEX(Fit_Matrix!$B:$B,MATCH(P565,Fit_Matrix!$A:$A,0)))),"CHECK KEY"))</f>
        <v/>
      </c>
      <c r="U565" s="10"/>
      <c r="V565" s="10"/>
      <c r="W565" s="10"/>
      <c r="X565" s="10"/>
      <c r="Y565" s="10"/>
      <c r="Z565" s="10"/>
      <c r="AA565" s="11" t="str">
        <f t="shared" si="17"/>
        <v/>
      </c>
    </row>
    <row r="566" spans="16:27" ht="15" customHeight="1">
      <c r="P566" t="str">
        <f t="shared" si="16"/>
        <v/>
      </c>
      <c r="Q566" t="str">
        <f>IF(P566="","",IFERROR(IF(AND(H566="W7",OR(F566="causal",F566="predictive")),IF(AND(OR(K566=1,K566="1"),OR(L566=1,L566="1"),OR(M566=1,M566="1")),"adequate","partial"),IF(AND(H566="W4",F566="predictive",OR(J566="P2",J566="P3",J566="P4")),IF(OR(U566=1,U566="1"),"adequate","partial"),INDEX(Fit_Matrix!$B:$B,MATCH(P566,Fit_Matrix!$A:$A,0)))),"CHECK KEY"))</f>
        <v/>
      </c>
      <c r="U566" s="10"/>
      <c r="V566" s="10"/>
      <c r="W566" s="10"/>
      <c r="X566" s="10"/>
      <c r="Y566" s="10"/>
      <c r="Z566" s="10"/>
      <c r="AA566" s="11" t="str">
        <f t="shared" si="17"/>
        <v/>
      </c>
    </row>
    <row r="567" spans="16:27" ht="15" customHeight="1">
      <c r="P567" t="str">
        <f t="shared" si="16"/>
        <v/>
      </c>
      <c r="Q567" t="str">
        <f>IF(P567="","",IFERROR(IF(AND(H567="W7",OR(F567="causal",F567="predictive")),IF(AND(OR(K567=1,K567="1"),OR(L567=1,L567="1"),OR(M567=1,M567="1")),"adequate","partial"),IF(AND(H567="W4",F567="predictive",OR(J567="P2",J567="P3",J567="P4")),IF(OR(U567=1,U567="1"),"adequate","partial"),INDEX(Fit_Matrix!$B:$B,MATCH(P567,Fit_Matrix!$A:$A,0)))),"CHECK KEY"))</f>
        <v/>
      </c>
      <c r="U567" s="10"/>
      <c r="V567" s="10"/>
      <c r="W567" s="10"/>
      <c r="X567" s="10"/>
      <c r="Y567" s="10"/>
      <c r="Z567" s="10"/>
      <c r="AA567" s="11" t="str">
        <f t="shared" si="17"/>
        <v/>
      </c>
    </row>
    <row r="568" spans="16:27" ht="15" customHeight="1">
      <c r="P568" t="str">
        <f t="shared" si="16"/>
        <v/>
      </c>
      <c r="Q568" t="str">
        <f>IF(P568="","",IFERROR(IF(AND(H568="W7",OR(F568="causal",F568="predictive")),IF(AND(OR(K568=1,K568="1"),OR(L568=1,L568="1"),OR(M568=1,M568="1")),"adequate","partial"),IF(AND(H568="W4",F568="predictive",OR(J568="P2",J568="P3",J568="P4")),IF(OR(U568=1,U568="1"),"adequate","partial"),INDEX(Fit_Matrix!$B:$B,MATCH(P568,Fit_Matrix!$A:$A,0)))),"CHECK KEY"))</f>
        <v/>
      </c>
      <c r="U568" s="10"/>
      <c r="V568" s="10"/>
      <c r="W568" s="10"/>
      <c r="X568" s="10"/>
      <c r="Y568" s="10"/>
      <c r="Z568" s="10"/>
      <c r="AA568" s="11" t="str">
        <f t="shared" si="17"/>
        <v/>
      </c>
    </row>
    <row r="569" spans="16:27" ht="15" customHeight="1">
      <c r="P569" t="str">
        <f t="shared" si="16"/>
        <v/>
      </c>
      <c r="Q569" t="str">
        <f>IF(P569="","",IFERROR(IF(AND(H569="W7",OR(F569="causal",F569="predictive")),IF(AND(OR(K569=1,K569="1"),OR(L569=1,L569="1"),OR(M569=1,M569="1")),"adequate","partial"),IF(AND(H569="W4",F569="predictive",OR(J569="P2",J569="P3",J569="P4")),IF(OR(U569=1,U569="1"),"adequate","partial"),INDEX(Fit_Matrix!$B:$B,MATCH(P569,Fit_Matrix!$A:$A,0)))),"CHECK KEY"))</f>
        <v/>
      </c>
      <c r="U569" s="10"/>
      <c r="V569" s="10"/>
      <c r="W569" s="10"/>
      <c r="X569" s="10"/>
      <c r="Y569" s="10"/>
      <c r="Z569" s="10"/>
      <c r="AA569" s="11" t="str">
        <f t="shared" si="17"/>
        <v/>
      </c>
    </row>
    <row r="570" spans="16:27" ht="15" customHeight="1">
      <c r="P570" t="str">
        <f t="shared" si="16"/>
        <v/>
      </c>
      <c r="Q570" t="str">
        <f>IF(P570="","",IFERROR(IF(AND(H570="W7",OR(F570="causal",F570="predictive")),IF(AND(OR(K570=1,K570="1"),OR(L570=1,L570="1"),OR(M570=1,M570="1")),"adequate","partial"),IF(AND(H570="W4",F570="predictive",OR(J570="P2",J570="P3",J570="P4")),IF(OR(U570=1,U570="1"),"adequate","partial"),INDEX(Fit_Matrix!$B:$B,MATCH(P570,Fit_Matrix!$A:$A,0)))),"CHECK KEY"))</f>
        <v/>
      </c>
      <c r="U570" s="10"/>
      <c r="V570" s="10"/>
      <c r="W570" s="10"/>
      <c r="X570" s="10"/>
      <c r="Y570" s="10"/>
      <c r="Z570" s="10"/>
      <c r="AA570" s="11" t="str">
        <f t="shared" si="17"/>
        <v/>
      </c>
    </row>
    <row r="571" spans="16:27" ht="15" customHeight="1">
      <c r="P571" t="str">
        <f t="shared" si="16"/>
        <v/>
      </c>
      <c r="Q571" t="str">
        <f>IF(P571="","",IFERROR(IF(AND(H571="W7",OR(F571="causal",F571="predictive")),IF(AND(OR(K571=1,K571="1"),OR(L571=1,L571="1"),OR(M571=1,M571="1")),"adequate","partial"),IF(AND(H571="W4",F571="predictive",OR(J571="P2",J571="P3",J571="P4")),IF(OR(U571=1,U571="1"),"adequate","partial"),INDEX(Fit_Matrix!$B:$B,MATCH(P571,Fit_Matrix!$A:$A,0)))),"CHECK KEY"))</f>
        <v/>
      </c>
      <c r="U571" s="10"/>
      <c r="V571" s="10"/>
      <c r="W571" s="10"/>
      <c r="X571" s="10"/>
      <c r="Y571" s="10"/>
      <c r="Z571" s="10"/>
      <c r="AA571" s="11" t="str">
        <f t="shared" si="17"/>
        <v/>
      </c>
    </row>
    <row r="572" spans="16:27" ht="15" customHeight="1">
      <c r="P572" t="str">
        <f t="shared" si="16"/>
        <v/>
      </c>
      <c r="Q572" t="str">
        <f>IF(P572="","",IFERROR(IF(AND(H572="W7",OR(F572="causal",F572="predictive")),IF(AND(OR(K572=1,K572="1"),OR(L572=1,L572="1"),OR(M572=1,M572="1")),"adequate","partial"),IF(AND(H572="W4",F572="predictive",OR(J572="P2",J572="P3",J572="P4")),IF(OR(U572=1,U572="1"),"adequate","partial"),INDEX(Fit_Matrix!$B:$B,MATCH(P572,Fit_Matrix!$A:$A,0)))),"CHECK KEY"))</f>
        <v/>
      </c>
      <c r="U572" s="10"/>
      <c r="V572" s="10"/>
      <c r="W572" s="10"/>
      <c r="X572" s="10"/>
      <c r="Y572" s="10"/>
      <c r="Z572" s="10"/>
      <c r="AA572" s="11" t="str">
        <f t="shared" si="17"/>
        <v/>
      </c>
    </row>
    <row r="573" spans="16:27" ht="15" customHeight="1">
      <c r="P573" t="str">
        <f t="shared" si="16"/>
        <v/>
      </c>
      <c r="Q573" t="str">
        <f>IF(P573="","",IFERROR(IF(AND(H573="W7",OR(F573="causal",F573="predictive")),IF(AND(OR(K573=1,K573="1"),OR(L573=1,L573="1"),OR(M573=1,M573="1")),"adequate","partial"),IF(AND(H573="W4",F573="predictive",OR(J573="P2",J573="P3",J573="P4")),IF(OR(U573=1,U573="1"),"adequate","partial"),INDEX(Fit_Matrix!$B:$B,MATCH(P573,Fit_Matrix!$A:$A,0)))),"CHECK KEY"))</f>
        <v/>
      </c>
      <c r="U573" s="10"/>
      <c r="V573" s="10"/>
      <c r="W573" s="10"/>
      <c r="X573" s="10"/>
      <c r="Y573" s="10"/>
      <c r="Z573" s="10"/>
      <c r="AA573" s="11" t="str">
        <f t="shared" si="17"/>
        <v/>
      </c>
    </row>
    <row r="574" spans="16:27" ht="15" customHeight="1">
      <c r="P574" t="str">
        <f t="shared" si="16"/>
        <v/>
      </c>
      <c r="Q574" t="str">
        <f>IF(P574="","",IFERROR(IF(AND(H574="W7",OR(F574="causal",F574="predictive")),IF(AND(OR(K574=1,K574="1"),OR(L574=1,L574="1"),OR(M574=1,M574="1")),"adequate","partial"),IF(AND(H574="W4",F574="predictive",OR(J574="P2",J574="P3",J574="P4")),IF(OR(U574=1,U574="1"),"adequate","partial"),INDEX(Fit_Matrix!$B:$B,MATCH(P574,Fit_Matrix!$A:$A,0)))),"CHECK KEY"))</f>
        <v/>
      </c>
      <c r="U574" s="10"/>
      <c r="V574" s="10"/>
      <c r="W574" s="10"/>
      <c r="X574" s="10"/>
      <c r="Y574" s="10"/>
      <c r="Z574" s="10"/>
      <c r="AA574" s="11" t="str">
        <f t="shared" si="17"/>
        <v/>
      </c>
    </row>
    <row r="575" spans="16:27" ht="15" customHeight="1">
      <c r="P575" t="str">
        <f t="shared" si="16"/>
        <v/>
      </c>
      <c r="Q575" t="str">
        <f>IF(P575="","",IFERROR(IF(AND(H575="W7",OR(F575="causal",F575="predictive")),IF(AND(OR(K575=1,K575="1"),OR(L575=1,L575="1"),OR(M575=1,M575="1")),"adequate","partial"),IF(AND(H575="W4",F575="predictive",OR(J575="P2",J575="P3",J575="P4")),IF(OR(U575=1,U575="1"),"adequate","partial"),INDEX(Fit_Matrix!$B:$B,MATCH(P575,Fit_Matrix!$A:$A,0)))),"CHECK KEY"))</f>
        <v/>
      </c>
      <c r="U575" s="10"/>
      <c r="V575" s="10"/>
      <c r="W575" s="10"/>
      <c r="X575" s="10"/>
      <c r="Y575" s="10"/>
      <c r="Z575" s="10"/>
      <c r="AA575" s="11" t="str">
        <f t="shared" si="17"/>
        <v/>
      </c>
    </row>
    <row r="576" spans="16:27" ht="15" customHeight="1">
      <c r="P576" t="str">
        <f t="shared" si="16"/>
        <v/>
      </c>
      <c r="Q576" t="str">
        <f>IF(P576="","",IFERROR(IF(AND(H576="W7",OR(F576="causal",F576="predictive")),IF(AND(OR(K576=1,K576="1"),OR(L576=1,L576="1"),OR(M576=1,M576="1")),"adequate","partial"),IF(AND(H576="W4",F576="predictive",OR(J576="P2",J576="P3",J576="P4")),IF(OR(U576=1,U576="1"),"adequate","partial"),INDEX(Fit_Matrix!$B:$B,MATCH(P576,Fit_Matrix!$A:$A,0)))),"CHECK KEY"))</f>
        <v/>
      </c>
      <c r="U576" s="10"/>
      <c r="V576" s="10"/>
      <c r="W576" s="10"/>
      <c r="X576" s="10"/>
      <c r="Y576" s="10"/>
      <c r="Z576" s="10"/>
      <c r="AA576" s="11" t="str">
        <f t="shared" si="17"/>
        <v/>
      </c>
    </row>
    <row r="577" spans="16:27" ht="15" customHeight="1">
      <c r="P577" t="str">
        <f t="shared" si="16"/>
        <v/>
      </c>
      <c r="Q577" t="str">
        <f>IF(P577="","",IFERROR(IF(AND(H577="W7",OR(F577="causal",F577="predictive")),IF(AND(OR(K577=1,K577="1"),OR(L577=1,L577="1"),OR(M577=1,M577="1")),"adequate","partial"),IF(AND(H577="W4",F577="predictive",OR(J577="P2",J577="P3",J577="P4")),IF(OR(U577=1,U577="1"),"adequate","partial"),INDEX(Fit_Matrix!$B:$B,MATCH(P577,Fit_Matrix!$A:$A,0)))),"CHECK KEY"))</f>
        <v/>
      </c>
      <c r="U577" s="10"/>
      <c r="V577" s="10"/>
      <c r="W577" s="10"/>
      <c r="X577" s="10"/>
      <c r="Y577" s="10"/>
      <c r="Z577" s="10"/>
      <c r="AA577" s="11" t="str">
        <f t="shared" si="17"/>
        <v/>
      </c>
    </row>
    <row r="578" spans="16:27" ht="15" customHeight="1">
      <c r="P578" t="str">
        <f t="shared" ref="P578:P641" si="18">IF(OR(F578="",H578="",J578=""),"",J578&amp;"|"&amp;F578&amp;"|"&amp;IF(H578="W3","W3_"&amp;IF(I578="","unknown",I578),H578))</f>
        <v/>
      </c>
      <c r="Q578" t="str">
        <f>IF(P578="","",IFERROR(IF(AND(H578="W7",OR(F578="causal",F578="predictive")),IF(AND(OR(K578=1,K578="1"),OR(L578=1,L578="1"),OR(M578=1,M578="1")),"adequate","partial"),IF(AND(H578="W4",F578="predictive",OR(J578="P2",J578="P3",J578="P4")),IF(OR(U578=1,U578="1"),"adequate","partial"),INDEX(Fit_Matrix!$B:$B,MATCH(P578,Fit_Matrix!$A:$A,0)))),"CHECK KEY"))</f>
        <v/>
      </c>
      <c r="U578" s="10"/>
      <c r="V578" s="10"/>
      <c r="W578" s="10"/>
      <c r="X578" s="10"/>
      <c r="Y578" s="10"/>
      <c r="Z578" s="10"/>
      <c r="AA578" s="11" t="str">
        <f t="shared" ref="AA578:AA641" si="19">IF(A578="","",IF(AND(J578="P4",F578="causal"),"P4-CAUSAL",""))</f>
        <v/>
      </c>
    </row>
    <row r="579" spans="16:27" ht="15" customHeight="1">
      <c r="P579" t="str">
        <f t="shared" si="18"/>
        <v/>
      </c>
      <c r="Q579" t="str">
        <f>IF(P579="","",IFERROR(IF(AND(H579="W7",OR(F579="causal",F579="predictive")),IF(AND(OR(K579=1,K579="1"),OR(L579=1,L579="1"),OR(M579=1,M579="1")),"adequate","partial"),IF(AND(H579="W4",F579="predictive",OR(J579="P2",J579="P3",J579="P4")),IF(OR(U579=1,U579="1"),"adequate","partial"),INDEX(Fit_Matrix!$B:$B,MATCH(P579,Fit_Matrix!$A:$A,0)))),"CHECK KEY"))</f>
        <v/>
      </c>
      <c r="U579" s="10"/>
      <c r="V579" s="10"/>
      <c r="W579" s="10"/>
      <c r="X579" s="10"/>
      <c r="Y579" s="10"/>
      <c r="Z579" s="10"/>
      <c r="AA579" s="11" t="str">
        <f t="shared" si="19"/>
        <v/>
      </c>
    </row>
    <row r="580" spans="16:27" ht="15" customHeight="1">
      <c r="P580" t="str">
        <f t="shared" si="18"/>
        <v/>
      </c>
      <c r="Q580" t="str">
        <f>IF(P580="","",IFERROR(IF(AND(H580="W7",OR(F580="causal",F580="predictive")),IF(AND(OR(K580=1,K580="1"),OR(L580=1,L580="1"),OR(M580=1,M580="1")),"adequate","partial"),IF(AND(H580="W4",F580="predictive",OR(J580="P2",J580="P3",J580="P4")),IF(OR(U580=1,U580="1"),"adequate","partial"),INDEX(Fit_Matrix!$B:$B,MATCH(P580,Fit_Matrix!$A:$A,0)))),"CHECK KEY"))</f>
        <v/>
      </c>
      <c r="U580" s="10"/>
      <c r="V580" s="10"/>
      <c r="W580" s="10"/>
      <c r="X580" s="10"/>
      <c r="Y580" s="10"/>
      <c r="Z580" s="10"/>
      <c r="AA580" s="11" t="str">
        <f t="shared" si="19"/>
        <v/>
      </c>
    </row>
    <row r="581" spans="16:27" ht="15" customHeight="1">
      <c r="P581" t="str">
        <f t="shared" si="18"/>
        <v/>
      </c>
      <c r="Q581" t="str">
        <f>IF(P581="","",IFERROR(IF(AND(H581="W7",OR(F581="causal",F581="predictive")),IF(AND(OR(K581=1,K581="1"),OR(L581=1,L581="1"),OR(M581=1,M581="1")),"adequate","partial"),IF(AND(H581="W4",F581="predictive",OR(J581="P2",J581="P3",J581="P4")),IF(OR(U581=1,U581="1"),"adequate","partial"),INDEX(Fit_Matrix!$B:$B,MATCH(P581,Fit_Matrix!$A:$A,0)))),"CHECK KEY"))</f>
        <v/>
      </c>
      <c r="U581" s="10"/>
      <c r="V581" s="10"/>
      <c r="W581" s="10"/>
      <c r="X581" s="10"/>
      <c r="Y581" s="10"/>
      <c r="Z581" s="10"/>
      <c r="AA581" s="11" t="str">
        <f t="shared" si="19"/>
        <v/>
      </c>
    </row>
    <row r="582" spans="16:27" ht="15" customHeight="1">
      <c r="P582" t="str">
        <f t="shared" si="18"/>
        <v/>
      </c>
      <c r="Q582" t="str">
        <f>IF(P582="","",IFERROR(IF(AND(H582="W7",OR(F582="causal",F582="predictive")),IF(AND(OR(K582=1,K582="1"),OR(L582=1,L582="1"),OR(M582=1,M582="1")),"adequate","partial"),IF(AND(H582="W4",F582="predictive",OR(J582="P2",J582="P3",J582="P4")),IF(OR(U582=1,U582="1"),"adequate","partial"),INDEX(Fit_Matrix!$B:$B,MATCH(P582,Fit_Matrix!$A:$A,0)))),"CHECK KEY"))</f>
        <v/>
      </c>
      <c r="U582" s="10"/>
      <c r="V582" s="10"/>
      <c r="W582" s="10"/>
      <c r="X582" s="10"/>
      <c r="Y582" s="10"/>
      <c r="Z582" s="10"/>
      <c r="AA582" s="11" t="str">
        <f t="shared" si="19"/>
        <v/>
      </c>
    </row>
    <row r="583" spans="16:27" ht="15" customHeight="1">
      <c r="P583" t="str">
        <f t="shared" si="18"/>
        <v/>
      </c>
      <c r="Q583" t="str">
        <f>IF(P583="","",IFERROR(IF(AND(H583="W7",OR(F583="causal",F583="predictive")),IF(AND(OR(K583=1,K583="1"),OR(L583=1,L583="1"),OR(M583=1,M583="1")),"adequate","partial"),IF(AND(H583="W4",F583="predictive",OR(J583="P2",J583="P3",J583="P4")),IF(OR(U583=1,U583="1"),"adequate","partial"),INDEX(Fit_Matrix!$B:$B,MATCH(P583,Fit_Matrix!$A:$A,0)))),"CHECK KEY"))</f>
        <v/>
      </c>
      <c r="U583" s="10"/>
      <c r="V583" s="10"/>
      <c r="W583" s="10"/>
      <c r="X583" s="10"/>
      <c r="Y583" s="10"/>
      <c r="Z583" s="10"/>
      <c r="AA583" s="11" t="str">
        <f t="shared" si="19"/>
        <v/>
      </c>
    </row>
    <row r="584" spans="16:27" ht="15" customHeight="1">
      <c r="P584" t="str">
        <f t="shared" si="18"/>
        <v/>
      </c>
      <c r="Q584" t="str">
        <f>IF(P584="","",IFERROR(IF(AND(H584="W7",OR(F584="causal",F584="predictive")),IF(AND(OR(K584=1,K584="1"),OR(L584=1,L584="1"),OR(M584=1,M584="1")),"adequate","partial"),IF(AND(H584="W4",F584="predictive",OR(J584="P2",J584="P3",J584="P4")),IF(OR(U584=1,U584="1"),"adequate","partial"),INDEX(Fit_Matrix!$B:$B,MATCH(P584,Fit_Matrix!$A:$A,0)))),"CHECK KEY"))</f>
        <v/>
      </c>
      <c r="U584" s="10"/>
      <c r="V584" s="10"/>
      <c r="W584" s="10"/>
      <c r="X584" s="10"/>
      <c r="Y584" s="10"/>
      <c r="Z584" s="10"/>
      <c r="AA584" s="11" t="str">
        <f t="shared" si="19"/>
        <v/>
      </c>
    </row>
    <row r="585" spans="16:27" ht="15" customHeight="1">
      <c r="P585" t="str">
        <f t="shared" si="18"/>
        <v/>
      </c>
      <c r="Q585" t="str">
        <f>IF(P585="","",IFERROR(IF(AND(H585="W7",OR(F585="causal",F585="predictive")),IF(AND(OR(K585=1,K585="1"),OR(L585=1,L585="1"),OR(M585=1,M585="1")),"adequate","partial"),IF(AND(H585="W4",F585="predictive",OR(J585="P2",J585="P3",J585="P4")),IF(OR(U585=1,U585="1"),"adequate","partial"),INDEX(Fit_Matrix!$B:$B,MATCH(P585,Fit_Matrix!$A:$A,0)))),"CHECK KEY"))</f>
        <v/>
      </c>
      <c r="U585" s="10"/>
      <c r="V585" s="10"/>
      <c r="W585" s="10"/>
      <c r="X585" s="10"/>
      <c r="Y585" s="10"/>
      <c r="Z585" s="10"/>
      <c r="AA585" s="11" t="str">
        <f t="shared" si="19"/>
        <v/>
      </c>
    </row>
    <row r="586" spans="16:27" ht="15" customHeight="1">
      <c r="P586" t="str">
        <f t="shared" si="18"/>
        <v/>
      </c>
      <c r="Q586" t="str">
        <f>IF(P586="","",IFERROR(IF(AND(H586="W7",OR(F586="causal",F586="predictive")),IF(AND(OR(K586=1,K586="1"),OR(L586=1,L586="1"),OR(M586=1,M586="1")),"adequate","partial"),IF(AND(H586="W4",F586="predictive",OR(J586="P2",J586="P3",J586="P4")),IF(OR(U586=1,U586="1"),"adequate","partial"),INDEX(Fit_Matrix!$B:$B,MATCH(P586,Fit_Matrix!$A:$A,0)))),"CHECK KEY"))</f>
        <v/>
      </c>
      <c r="U586" s="10"/>
      <c r="V586" s="10"/>
      <c r="W586" s="10"/>
      <c r="X586" s="10"/>
      <c r="Y586" s="10"/>
      <c r="Z586" s="10"/>
      <c r="AA586" s="11" t="str">
        <f t="shared" si="19"/>
        <v/>
      </c>
    </row>
    <row r="587" spans="16:27" ht="15" customHeight="1">
      <c r="P587" t="str">
        <f t="shared" si="18"/>
        <v/>
      </c>
      <c r="Q587" t="str">
        <f>IF(P587="","",IFERROR(IF(AND(H587="W7",OR(F587="causal",F587="predictive")),IF(AND(OR(K587=1,K587="1"),OR(L587=1,L587="1"),OR(M587=1,M587="1")),"adequate","partial"),IF(AND(H587="W4",F587="predictive",OR(J587="P2",J587="P3",J587="P4")),IF(OR(U587=1,U587="1"),"adequate","partial"),INDEX(Fit_Matrix!$B:$B,MATCH(P587,Fit_Matrix!$A:$A,0)))),"CHECK KEY"))</f>
        <v/>
      </c>
      <c r="U587" s="10"/>
      <c r="V587" s="10"/>
      <c r="W587" s="10"/>
      <c r="X587" s="10"/>
      <c r="Y587" s="10"/>
      <c r="Z587" s="10"/>
      <c r="AA587" s="11" t="str">
        <f t="shared" si="19"/>
        <v/>
      </c>
    </row>
    <row r="588" spans="16:27" ht="15" customHeight="1">
      <c r="P588" t="str">
        <f t="shared" si="18"/>
        <v/>
      </c>
      <c r="Q588" t="str">
        <f>IF(P588="","",IFERROR(IF(AND(H588="W7",OR(F588="causal",F588="predictive")),IF(AND(OR(K588=1,K588="1"),OR(L588=1,L588="1"),OR(M588=1,M588="1")),"adequate","partial"),IF(AND(H588="W4",F588="predictive",OR(J588="P2",J588="P3",J588="P4")),IF(OR(U588=1,U588="1"),"adequate","partial"),INDEX(Fit_Matrix!$B:$B,MATCH(P588,Fit_Matrix!$A:$A,0)))),"CHECK KEY"))</f>
        <v/>
      </c>
      <c r="U588" s="10"/>
      <c r="V588" s="10"/>
      <c r="W588" s="10"/>
      <c r="X588" s="10"/>
      <c r="Y588" s="10"/>
      <c r="Z588" s="10"/>
      <c r="AA588" s="11" t="str">
        <f t="shared" si="19"/>
        <v/>
      </c>
    </row>
    <row r="589" spans="16:27" ht="15" customHeight="1">
      <c r="P589" t="str">
        <f t="shared" si="18"/>
        <v/>
      </c>
      <c r="Q589" t="str">
        <f>IF(P589="","",IFERROR(IF(AND(H589="W7",OR(F589="causal",F589="predictive")),IF(AND(OR(K589=1,K589="1"),OR(L589=1,L589="1"),OR(M589=1,M589="1")),"adequate","partial"),IF(AND(H589="W4",F589="predictive",OR(J589="P2",J589="P3",J589="P4")),IF(OR(U589=1,U589="1"),"adequate","partial"),INDEX(Fit_Matrix!$B:$B,MATCH(P589,Fit_Matrix!$A:$A,0)))),"CHECK KEY"))</f>
        <v/>
      </c>
      <c r="U589" s="10"/>
      <c r="V589" s="10"/>
      <c r="W589" s="10"/>
      <c r="X589" s="10"/>
      <c r="Y589" s="10"/>
      <c r="Z589" s="10"/>
      <c r="AA589" s="11" t="str">
        <f t="shared" si="19"/>
        <v/>
      </c>
    </row>
    <row r="590" spans="16:27" ht="15" customHeight="1">
      <c r="P590" t="str">
        <f t="shared" si="18"/>
        <v/>
      </c>
      <c r="Q590" t="str">
        <f>IF(P590="","",IFERROR(IF(AND(H590="W7",OR(F590="causal",F590="predictive")),IF(AND(OR(K590=1,K590="1"),OR(L590=1,L590="1"),OR(M590=1,M590="1")),"adequate","partial"),IF(AND(H590="W4",F590="predictive",OR(J590="P2",J590="P3",J590="P4")),IF(OR(U590=1,U590="1"),"adequate","partial"),INDEX(Fit_Matrix!$B:$B,MATCH(P590,Fit_Matrix!$A:$A,0)))),"CHECK KEY"))</f>
        <v/>
      </c>
      <c r="U590" s="10"/>
      <c r="V590" s="10"/>
      <c r="W590" s="10"/>
      <c r="X590" s="10"/>
      <c r="Y590" s="10"/>
      <c r="Z590" s="10"/>
      <c r="AA590" s="11" t="str">
        <f t="shared" si="19"/>
        <v/>
      </c>
    </row>
    <row r="591" spans="16:27" ht="15" customHeight="1">
      <c r="P591" t="str">
        <f t="shared" si="18"/>
        <v/>
      </c>
      <c r="Q591" t="str">
        <f>IF(P591="","",IFERROR(IF(AND(H591="W7",OR(F591="causal",F591="predictive")),IF(AND(OR(K591=1,K591="1"),OR(L591=1,L591="1"),OR(M591=1,M591="1")),"adequate","partial"),IF(AND(H591="W4",F591="predictive",OR(J591="P2",J591="P3",J591="P4")),IF(OR(U591=1,U591="1"),"adequate","partial"),INDEX(Fit_Matrix!$B:$B,MATCH(P591,Fit_Matrix!$A:$A,0)))),"CHECK KEY"))</f>
        <v/>
      </c>
      <c r="U591" s="10"/>
      <c r="V591" s="10"/>
      <c r="W591" s="10"/>
      <c r="X591" s="10"/>
      <c r="Y591" s="10"/>
      <c r="Z591" s="10"/>
      <c r="AA591" s="11" t="str">
        <f t="shared" si="19"/>
        <v/>
      </c>
    </row>
    <row r="592" spans="16:27" ht="15" customHeight="1">
      <c r="P592" t="str">
        <f t="shared" si="18"/>
        <v/>
      </c>
      <c r="Q592" t="str">
        <f>IF(P592="","",IFERROR(IF(AND(H592="W7",OR(F592="causal",F592="predictive")),IF(AND(OR(K592=1,K592="1"),OR(L592=1,L592="1"),OR(M592=1,M592="1")),"adequate","partial"),IF(AND(H592="W4",F592="predictive",OR(J592="P2",J592="P3",J592="P4")),IF(OR(U592=1,U592="1"),"adequate","partial"),INDEX(Fit_Matrix!$B:$B,MATCH(P592,Fit_Matrix!$A:$A,0)))),"CHECK KEY"))</f>
        <v/>
      </c>
      <c r="U592" s="10"/>
      <c r="V592" s="10"/>
      <c r="W592" s="10"/>
      <c r="X592" s="10"/>
      <c r="Y592" s="10"/>
      <c r="Z592" s="10"/>
      <c r="AA592" s="11" t="str">
        <f t="shared" si="19"/>
        <v/>
      </c>
    </row>
    <row r="593" spans="16:27" ht="15" customHeight="1">
      <c r="P593" t="str">
        <f t="shared" si="18"/>
        <v/>
      </c>
      <c r="Q593" t="str">
        <f>IF(P593="","",IFERROR(IF(AND(H593="W7",OR(F593="causal",F593="predictive")),IF(AND(OR(K593=1,K593="1"),OR(L593=1,L593="1"),OR(M593=1,M593="1")),"adequate","partial"),IF(AND(H593="W4",F593="predictive",OR(J593="P2",J593="P3",J593="P4")),IF(OR(U593=1,U593="1"),"adequate","partial"),INDEX(Fit_Matrix!$B:$B,MATCH(P593,Fit_Matrix!$A:$A,0)))),"CHECK KEY"))</f>
        <v/>
      </c>
      <c r="U593" s="10"/>
      <c r="V593" s="10"/>
      <c r="W593" s="10"/>
      <c r="X593" s="10"/>
      <c r="Y593" s="10"/>
      <c r="Z593" s="10"/>
      <c r="AA593" s="11" t="str">
        <f t="shared" si="19"/>
        <v/>
      </c>
    </row>
    <row r="594" spans="16:27" ht="15" customHeight="1">
      <c r="P594" t="str">
        <f t="shared" si="18"/>
        <v/>
      </c>
      <c r="Q594" t="str">
        <f>IF(P594="","",IFERROR(IF(AND(H594="W7",OR(F594="causal",F594="predictive")),IF(AND(OR(K594=1,K594="1"),OR(L594=1,L594="1"),OR(M594=1,M594="1")),"adequate","partial"),IF(AND(H594="W4",F594="predictive",OR(J594="P2",J594="P3",J594="P4")),IF(OR(U594=1,U594="1"),"adequate","partial"),INDEX(Fit_Matrix!$B:$B,MATCH(P594,Fit_Matrix!$A:$A,0)))),"CHECK KEY"))</f>
        <v/>
      </c>
      <c r="U594" s="10"/>
      <c r="V594" s="10"/>
      <c r="W594" s="10"/>
      <c r="X594" s="10"/>
      <c r="Y594" s="10"/>
      <c r="Z594" s="10"/>
      <c r="AA594" s="11" t="str">
        <f t="shared" si="19"/>
        <v/>
      </c>
    </row>
    <row r="595" spans="16:27" ht="15" customHeight="1">
      <c r="P595" t="str">
        <f t="shared" si="18"/>
        <v/>
      </c>
      <c r="Q595" t="str">
        <f>IF(P595="","",IFERROR(IF(AND(H595="W7",OR(F595="causal",F595="predictive")),IF(AND(OR(K595=1,K595="1"),OR(L595=1,L595="1"),OR(M595=1,M595="1")),"adequate","partial"),IF(AND(H595="W4",F595="predictive",OR(J595="P2",J595="P3",J595="P4")),IF(OR(U595=1,U595="1"),"adequate","partial"),INDEX(Fit_Matrix!$B:$B,MATCH(P595,Fit_Matrix!$A:$A,0)))),"CHECK KEY"))</f>
        <v/>
      </c>
      <c r="U595" s="10"/>
      <c r="V595" s="10"/>
      <c r="W595" s="10"/>
      <c r="X595" s="10"/>
      <c r="Y595" s="10"/>
      <c r="Z595" s="10"/>
      <c r="AA595" s="11" t="str">
        <f t="shared" si="19"/>
        <v/>
      </c>
    </row>
    <row r="596" spans="16:27" ht="15" customHeight="1">
      <c r="P596" t="str">
        <f t="shared" si="18"/>
        <v/>
      </c>
      <c r="Q596" t="str">
        <f>IF(P596="","",IFERROR(IF(AND(H596="W7",OR(F596="causal",F596="predictive")),IF(AND(OR(K596=1,K596="1"),OR(L596=1,L596="1"),OR(M596=1,M596="1")),"adequate","partial"),IF(AND(H596="W4",F596="predictive",OR(J596="P2",J596="P3",J596="P4")),IF(OR(U596=1,U596="1"),"adequate","partial"),INDEX(Fit_Matrix!$B:$B,MATCH(P596,Fit_Matrix!$A:$A,0)))),"CHECK KEY"))</f>
        <v/>
      </c>
      <c r="U596" s="10"/>
      <c r="V596" s="10"/>
      <c r="W596" s="10"/>
      <c r="X596" s="10"/>
      <c r="Y596" s="10"/>
      <c r="Z596" s="10"/>
      <c r="AA596" s="11" t="str">
        <f t="shared" si="19"/>
        <v/>
      </c>
    </row>
    <row r="597" spans="16:27" ht="15" customHeight="1">
      <c r="P597" t="str">
        <f t="shared" si="18"/>
        <v/>
      </c>
      <c r="Q597" t="str">
        <f>IF(P597="","",IFERROR(IF(AND(H597="W7",OR(F597="causal",F597="predictive")),IF(AND(OR(K597=1,K597="1"),OR(L597=1,L597="1"),OR(M597=1,M597="1")),"adequate","partial"),IF(AND(H597="W4",F597="predictive",OR(J597="P2",J597="P3",J597="P4")),IF(OR(U597=1,U597="1"),"adequate","partial"),INDEX(Fit_Matrix!$B:$B,MATCH(P597,Fit_Matrix!$A:$A,0)))),"CHECK KEY"))</f>
        <v/>
      </c>
      <c r="U597" s="10"/>
      <c r="V597" s="10"/>
      <c r="W597" s="10"/>
      <c r="X597" s="10"/>
      <c r="Y597" s="10"/>
      <c r="Z597" s="10"/>
      <c r="AA597" s="11" t="str">
        <f t="shared" si="19"/>
        <v/>
      </c>
    </row>
    <row r="598" spans="16:27" ht="15" customHeight="1">
      <c r="P598" t="str">
        <f t="shared" si="18"/>
        <v/>
      </c>
      <c r="Q598" t="str">
        <f>IF(P598="","",IFERROR(IF(AND(H598="W7",OR(F598="causal",F598="predictive")),IF(AND(OR(K598=1,K598="1"),OR(L598=1,L598="1"),OR(M598=1,M598="1")),"adequate","partial"),IF(AND(H598="W4",F598="predictive",OR(J598="P2",J598="P3",J598="P4")),IF(OR(U598=1,U598="1"),"adequate","partial"),INDEX(Fit_Matrix!$B:$B,MATCH(P598,Fit_Matrix!$A:$A,0)))),"CHECK KEY"))</f>
        <v/>
      </c>
      <c r="U598" s="10"/>
      <c r="V598" s="10"/>
      <c r="W598" s="10"/>
      <c r="X598" s="10"/>
      <c r="Y598" s="10"/>
      <c r="Z598" s="10"/>
      <c r="AA598" s="11" t="str">
        <f t="shared" si="19"/>
        <v/>
      </c>
    </row>
    <row r="599" spans="16:27" ht="15" customHeight="1">
      <c r="P599" t="str">
        <f t="shared" si="18"/>
        <v/>
      </c>
      <c r="Q599" t="str">
        <f>IF(P599="","",IFERROR(IF(AND(H599="W7",OR(F599="causal",F599="predictive")),IF(AND(OR(K599=1,K599="1"),OR(L599=1,L599="1"),OR(M599=1,M599="1")),"adequate","partial"),IF(AND(H599="W4",F599="predictive",OR(J599="P2",J599="P3",J599="P4")),IF(OR(U599=1,U599="1"),"adequate","partial"),INDEX(Fit_Matrix!$B:$B,MATCH(P599,Fit_Matrix!$A:$A,0)))),"CHECK KEY"))</f>
        <v/>
      </c>
      <c r="U599" s="10"/>
      <c r="V599" s="10"/>
      <c r="W599" s="10"/>
      <c r="X599" s="10"/>
      <c r="Y599" s="10"/>
      <c r="Z599" s="10"/>
      <c r="AA599" s="11" t="str">
        <f t="shared" si="19"/>
        <v/>
      </c>
    </row>
    <row r="600" spans="16:27" ht="15" customHeight="1">
      <c r="P600" t="str">
        <f t="shared" si="18"/>
        <v/>
      </c>
      <c r="Q600" t="str">
        <f>IF(P600="","",IFERROR(IF(AND(H600="W7",OR(F600="causal",F600="predictive")),IF(AND(OR(K600=1,K600="1"),OR(L600=1,L600="1"),OR(M600=1,M600="1")),"adequate","partial"),IF(AND(H600="W4",F600="predictive",OR(J600="P2",J600="P3",J600="P4")),IF(OR(U600=1,U600="1"),"adequate","partial"),INDEX(Fit_Matrix!$B:$B,MATCH(P600,Fit_Matrix!$A:$A,0)))),"CHECK KEY"))</f>
        <v/>
      </c>
      <c r="U600" s="10"/>
      <c r="V600" s="10"/>
      <c r="W600" s="10"/>
      <c r="X600" s="10"/>
      <c r="Y600" s="10"/>
      <c r="Z600" s="10"/>
      <c r="AA600" s="11" t="str">
        <f t="shared" si="19"/>
        <v/>
      </c>
    </row>
    <row r="601" spans="16:27" ht="15" customHeight="1">
      <c r="P601" t="str">
        <f t="shared" si="18"/>
        <v/>
      </c>
      <c r="Q601" t="str">
        <f>IF(P601="","",IFERROR(IF(AND(H601="W7",OR(F601="causal",F601="predictive")),IF(AND(OR(K601=1,K601="1"),OR(L601=1,L601="1"),OR(M601=1,M601="1")),"adequate","partial"),IF(AND(H601="W4",F601="predictive",OR(J601="P2",J601="P3",J601="P4")),IF(OR(U601=1,U601="1"),"adequate","partial"),INDEX(Fit_Matrix!$B:$B,MATCH(P601,Fit_Matrix!$A:$A,0)))),"CHECK KEY"))</f>
        <v/>
      </c>
      <c r="U601" s="10"/>
      <c r="V601" s="10"/>
      <c r="W601" s="10"/>
      <c r="X601" s="10"/>
      <c r="Y601" s="10"/>
      <c r="Z601" s="10"/>
      <c r="AA601" s="11" t="str">
        <f t="shared" si="19"/>
        <v/>
      </c>
    </row>
    <row r="602" spans="16:27" ht="15" customHeight="1">
      <c r="P602" t="str">
        <f t="shared" si="18"/>
        <v/>
      </c>
      <c r="Q602" t="str">
        <f>IF(P602="","",IFERROR(IF(AND(H602="W7",OR(F602="causal",F602="predictive")),IF(AND(OR(K602=1,K602="1"),OR(L602=1,L602="1"),OR(M602=1,M602="1")),"adequate","partial"),IF(AND(H602="W4",F602="predictive",OR(J602="P2",J602="P3",J602="P4")),IF(OR(U602=1,U602="1"),"adequate","partial"),INDEX(Fit_Matrix!$B:$B,MATCH(P602,Fit_Matrix!$A:$A,0)))),"CHECK KEY"))</f>
        <v/>
      </c>
      <c r="U602" s="10"/>
      <c r="V602" s="10"/>
      <c r="W602" s="10"/>
      <c r="X602" s="10"/>
      <c r="Y602" s="10"/>
      <c r="Z602" s="10"/>
      <c r="AA602" s="11" t="str">
        <f t="shared" si="19"/>
        <v/>
      </c>
    </row>
    <row r="603" spans="16:27" ht="15" customHeight="1">
      <c r="P603" t="str">
        <f t="shared" si="18"/>
        <v/>
      </c>
      <c r="Q603" t="str">
        <f>IF(P603="","",IFERROR(IF(AND(H603="W7",OR(F603="causal",F603="predictive")),IF(AND(OR(K603=1,K603="1"),OR(L603=1,L603="1"),OR(M603=1,M603="1")),"adequate","partial"),IF(AND(H603="W4",F603="predictive",OR(J603="P2",J603="P3",J603="P4")),IF(OR(U603=1,U603="1"),"adequate","partial"),INDEX(Fit_Matrix!$B:$B,MATCH(P603,Fit_Matrix!$A:$A,0)))),"CHECK KEY"))</f>
        <v/>
      </c>
      <c r="U603" s="10"/>
      <c r="V603" s="10"/>
      <c r="W603" s="10"/>
      <c r="X603" s="10"/>
      <c r="Y603" s="10"/>
      <c r="Z603" s="10"/>
      <c r="AA603" s="11" t="str">
        <f t="shared" si="19"/>
        <v/>
      </c>
    </row>
    <row r="604" spans="16:27" ht="15" customHeight="1">
      <c r="P604" t="str">
        <f t="shared" si="18"/>
        <v/>
      </c>
      <c r="Q604" t="str">
        <f>IF(P604="","",IFERROR(IF(AND(H604="W7",OR(F604="causal",F604="predictive")),IF(AND(OR(K604=1,K604="1"),OR(L604=1,L604="1"),OR(M604=1,M604="1")),"adequate","partial"),IF(AND(H604="W4",F604="predictive",OR(J604="P2",J604="P3",J604="P4")),IF(OR(U604=1,U604="1"),"adequate","partial"),INDEX(Fit_Matrix!$B:$B,MATCH(P604,Fit_Matrix!$A:$A,0)))),"CHECK KEY"))</f>
        <v/>
      </c>
      <c r="U604" s="10"/>
      <c r="V604" s="10"/>
      <c r="W604" s="10"/>
      <c r="X604" s="10"/>
      <c r="Y604" s="10"/>
      <c r="Z604" s="10"/>
      <c r="AA604" s="11" t="str">
        <f t="shared" si="19"/>
        <v/>
      </c>
    </row>
    <row r="605" spans="16:27" ht="15" customHeight="1">
      <c r="P605" t="str">
        <f t="shared" si="18"/>
        <v/>
      </c>
      <c r="Q605" t="str">
        <f>IF(P605="","",IFERROR(IF(AND(H605="W7",OR(F605="causal",F605="predictive")),IF(AND(OR(K605=1,K605="1"),OR(L605=1,L605="1"),OR(M605=1,M605="1")),"adequate","partial"),IF(AND(H605="W4",F605="predictive",OR(J605="P2",J605="P3",J605="P4")),IF(OR(U605=1,U605="1"),"adequate","partial"),INDEX(Fit_Matrix!$B:$B,MATCH(P605,Fit_Matrix!$A:$A,0)))),"CHECK KEY"))</f>
        <v/>
      </c>
      <c r="U605" s="10"/>
      <c r="V605" s="10"/>
      <c r="W605" s="10"/>
      <c r="X605" s="10"/>
      <c r="Y605" s="10"/>
      <c r="Z605" s="10"/>
      <c r="AA605" s="11" t="str">
        <f t="shared" si="19"/>
        <v/>
      </c>
    </row>
    <row r="606" spans="16:27" ht="15" customHeight="1">
      <c r="P606" t="str">
        <f t="shared" si="18"/>
        <v/>
      </c>
      <c r="Q606" t="str">
        <f>IF(P606="","",IFERROR(IF(AND(H606="W7",OR(F606="causal",F606="predictive")),IF(AND(OR(K606=1,K606="1"),OR(L606=1,L606="1"),OR(M606=1,M606="1")),"adequate","partial"),IF(AND(H606="W4",F606="predictive",OR(J606="P2",J606="P3",J606="P4")),IF(OR(U606=1,U606="1"),"adequate","partial"),INDEX(Fit_Matrix!$B:$B,MATCH(P606,Fit_Matrix!$A:$A,0)))),"CHECK KEY"))</f>
        <v/>
      </c>
      <c r="U606" s="10"/>
      <c r="V606" s="10"/>
      <c r="W606" s="10"/>
      <c r="X606" s="10"/>
      <c r="Y606" s="10"/>
      <c r="Z606" s="10"/>
      <c r="AA606" s="11" t="str">
        <f t="shared" si="19"/>
        <v/>
      </c>
    </row>
    <row r="607" spans="16:27" ht="15" customHeight="1">
      <c r="P607" t="str">
        <f t="shared" si="18"/>
        <v/>
      </c>
      <c r="Q607" t="str">
        <f>IF(P607="","",IFERROR(IF(AND(H607="W7",OR(F607="causal",F607="predictive")),IF(AND(OR(K607=1,K607="1"),OR(L607=1,L607="1"),OR(M607=1,M607="1")),"adequate","partial"),IF(AND(H607="W4",F607="predictive",OR(J607="P2",J607="P3",J607="P4")),IF(OR(U607=1,U607="1"),"adequate","partial"),INDEX(Fit_Matrix!$B:$B,MATCH(P607,Fit_Matrix!$A:$A,0)))),"CHECK KEY"))</f>
        <v/>
      </c>
      <c r="U607" s="10"/>
      <c r="V607" s="10"/>
      <c r="W607" s="10"/>
      <c r="X607" s="10"/>
      <c r="Y607" s="10"/>
      <c r="Z607" s="10"/>
      <c r="AA607" s="11" t="str">
        <f t="shared" si="19"/>
        <v/>
      </c>
    </row>
    <row r="608" spans="16:27" ht="15" customHeight="1">
      <c r="P608" t="str">
        <f t="shared" si="18"/>
        <v/>
      </c>
      <c r="Q608" t="str">
        <f>IF(P608="","",IFERROR(IF(AND(H608="W7",OR(F608="causal",F608="predictive")),IF(AND(OR(K608=1,K608="1"),OR(L608=1,L608="1"),OR(M608=1,M608="1")),"adequate","partial"),IF(AND(H608="W4",F608="predictive",OR(J608="P2",J608="P3",J608="P4")),IF(OR(U608=1,U608="1"),"adequate","partial"),INDEX(Fit_Matrix!$B:$B,MATCH(P608,Fit_Matrix!$A:$A,0)))),"CHECK KEY"))</f>
        <v/>
      </c>
      <c r="U608" s="10"/>
      <c r="V608" s="10"/>
      <c r="W608" s="10"/>
      <c r="X608" s="10"/>
      <c r="Y608" s="10"/>
      <c r="Z608" s="10"/>
      <c r="AA608" s="11" t="str">
        <f t="shared" si="19"/>
        <v/>
      </c>
    </row>
    <row r="609" spans="16:27" ht="15" customHeight="1">
      <c r="P609" t="str">
        <f t="shared" si="18"/>
        <v/>
      </c>
      <c r="Q609" t="str">
        <f>IF(P609="","",IFERROR(IF(AND(H609="W7",OR(F609="causal",F609="predictive")),IF(AND(OR(K609=1,K609="1"),OR(L609=1,L609="1"),OR(M609=1,M609="1")),"adequate","partial"),IF(AND(H609="W4",F609="predictive",OR(J609="P2",J609="P3",J609="P4")),IF(OR(U609=1,U609="1"),"adequate","partial"),INDEX(Fit_Matrix!$B:$B,MATCH(P609,Fit_Matrix!$A:$A,0)))),"CHECK KEY"))</f>
        <v/>
      </c>
      <c r="U609" s="10"/>
      <c r="V609" s="10"/>
      <c r="W609" s="10"/>
      <c r="X609" s="10"/>
      <c r="Y609" s="10"/>
      <c r="Z609" s="10"/>
      <c r="AA609" s="11" t="str">
        <f t="shared" si="19"/>
        <v/>
      </c>
    </row>
    <row r="610" spans="16:27" ht="15" customHeight="1">
      <c r="P610" t="str">
        <f t="shared" si="18"/>
        <v/>
      </c>
      <c r="Q610" t="str">
        <f>IF(P610="","",IFERROR(IF(AND(H610="W7",OR(F610="causal",F610="predictive")),IF(AND(OR(K610=1,K610="1"),OR(L610=1,L610="1"),OR(M610=1,M610="1")),"adequate","partial"),IF(AND(H610="W4",F610="predictive",OR(J610="P2",J610="P3",J610="P4")),IF(OR(U610=1,U610="1"),"adequate","partial"),INDEX(Fit_Matrix!$B:$B,MATCH(P610,Fit_Matrix!$A:$A,0)))),"CHECK KEY"))</f>
        <v/>
      </c>
      <c r="U610" s="10"/>
      <c r="V610" s="10"/>
      <c r="W610" s="10"/>
      <c r="X610" s="10"/>
      <c r="Y610" s="10"/>
      <c r="Z610" s="10"/>
      <c r="AA610" s="11" t="str">
        <f t="shared" si="19"/>
        <v/>
      </c>
    </row>
    <row r="611" spans="16:27" ht="15" customHeight="1">
      <c r="P611" t="str">
        <f t="shared" si="18"/>
        <v/>
      </c>
      <c r="Q611" t="str">
        <f>IF(P611="","",IFERROR(IF(AND(H611="W7",OR(F611="causal",F611="predictive")),IF(AND(OR(K611=1,K611="1"),OR(L611=1,L611="1"),OR(M611=1,M611="1")),"adequate","partial"),IF(AND(H611="W4",F611="predictive",OR(J611="P2",J611="P3",J611="P4")),IF(OR(U611=1,U611="1"),"adequate","partial"),INDEX(Fit_Matrix!$B:$B,MATCH(P611,Fit_Matrix!$A:$A,0)))),"CHECK KEY"))</f>
        <v/>
      </c>
      <c r="U611" s="10"/>
      <c r="V611" s="10"/>
      <c r="W611" s="10"/>
      <c r="X611" s="10"/>
      <c r="Y611" s="10"/>
      <c r="Z611" s="10"/>
      <c r="AA611" s="11" t="str">
        <f t="shared" si="19"/>
        <v/>
      </c>
    </row>
    <row r="612" spans="16:27" ht="15" customHeight="1">
      <c r="P612" t="str">
        <f t="shared" si="18"/>
        <v/>
      </c>
      <c r="Q612" t="str">
        <f>IF(P612="","",IFERROR(IF(AND(H612="W7",OR(F612="causal",F612="predictive")),IF(AND(OR(K612=1,K612="1"),OR(L612=1,L612="1"),OR(M612=1,M612="1")),"adequate","partial"),IF(AND(H612="W4",F612="predictive",OR(J612="P2",J612="P3",J612="P4")),IF(OR(U612=1,U612="1"),"adequate","partial"),INDEX(Fit_Matrix!$B:$B,MATCH(P612,Fit_Matrix!$A:$A,0)))),"CHECK KEY"))</f>
        <v/>
      </c>
      <c r="U612" s="10"/>
      <c r="V612" s="10"/>
      <c r="W612" s="10"/>
      <c r="X612" s="10"/>
      <c r="Y612" s="10"/>
      <c r="Z612" s="10"/>
      <c r="AA612" s="11" t="str">
        <f t="shared" si="19"/>
        <v/>
      </c>
    </row>
    <row r="613" spans="16:27" ht="15" customHeight="1">
      <c r="P613" t="str">
        <f t="shared" si="18"/>
        <v/>
      </c>
      <c r="Q613" t="str">
        <f>IF(P613="","",IFERROR(IF(AND(H613="W7",OR(F613="causal",F613="predictive")),IF(AND(OR(K613=1,K613="1"),OR(L613=1,L613="1"),OR(M613=1,M613="1")),"adequate","partial"),IF(AND(H613="W4",F613="predictive",OR(J613="P2",J613="P3",J613="P4")),IF(OR(U613=1,U613="1"),"adequate","partial"),INDEX(Fit_Matrix!$B:$B,MATCH(P613,Fit_Matrix!$A:$A,0)))),"CHECK KEY"))</f>
        <v/>
      </c>
      <c r="U613" s="10"/>
      <c r="V613" s="10"/>
      <c r="W613" s="10"/>
      <c r="X613" s="10"/>
      <c r="Y613" s="10"/>
      <c r="Z613" s="10"/>
      <c r="AA613" s="11" t="str">
        <f t="shared" si="19"/>
        <v/>
      </c>
    </row>
    <row r="614" spans="16:27" ht="15" customHeight="1">
      <c r="P614" t="str">
        <f t="shared" si="18"/>
        <v/>
      </c>
      <c r="Q614" t="str">
        <f>IF(P614="","",IFERROR(IF(AND(H614="W7",OR(F614="causal",F614="predictive")),IF(AND(OR(K614=1,K614="1"),OR(L614=1,L614="1"),OR(M614=1,M614="1")),"adequate","partial"),IF(AND(H614="W4",F614="predictive",OR(J614="P2",J614="P3",J614="P4")),IF(OR(U614=1,U614="1"),"adequate","partial"),INDEX(Fit_Matrix!$B:$B,MATCH(P614,Fit_Matrix!$A:$A,0)))),"CHECK KEY"))</f>
        <v/>
      </c>
      <c r="U614" s="10"/>
      <c r="V614" s="10"/>
      <c r="W614" s="10"/>
      <c r="X614" s="10"/>
      <c r="Y614" s="10"/>
      <c r="Z614" s="10"/>
      <c r="AA614" s="11" t="str">
        <f t="shared" si="19"/>
        <v/>
      </c>
    </row>
    <row r="615" spans="16:27" ht="15" customHeight="1">
      <c r="P615" t="str">
        <f t="shared" si="18"/>
        <v/>
      </c>
      <c r="Q615" t="str">
        <f>IF(P615="","",IFERROR(IF(AND(H615="W7",OR(F615="causal",F615="predictive")),IF(AND(OR(K615=1,K615="1"),OR(L615=1,L615="1"),OR(M615=1,M615="1")),"adequate","partial"),IF(AND(H615="W4",F615="predictive",OR(J615="P2",J615="P3",J615="P4")),IF(OR(U615=1,U615="1"),"adequate","partial"),INDEX(Fit_Matrix!$B:$B,MATCH(P615,Fit_Matrix!$A:$A,0)))),"CHECK KEY"))</f>
        <v/>
      </c>
      <c r="U615" s="10"/>
      <c r="V615" s="10"/>
      <c r="W615" s="10"/>
      <c r="X615" s="10"/>
      <c r="Y615" s="10"/>
      <c r="Z615" s="10"/>
      <c r="AA615" s="11" t="str">
        <f t="shared" si="19"/>
        <v/>
      </c>
    </row>
    <row r="616" spans="16:27" ht="15" customHeight="1">
      <c r="P616" t="str">
        <f t="shared" si="18"/>
        <v/>
      </c>
      <c r="Q616" t="str">
        <f>IF(P616="","",IFERROR(IF(AND(H616="W7",OR(F616="causal",F616="predictive")),IF(AND(OR(K616=1,K616="1"),OR(L616=1,L616="1"),OR(M616=1,M616="1")),"adequate","partial"),IF(AND(H616="W4",F616="predictive",OR(J616="P2",J616="P3",J616="P4")),IF(OR(U616=1,U616="1"),"adequate","partial"),INDEX(Fit_Matrix!$B:$B,MATCH(P616,Fit_Matrix!$A:$A,0)))),"CHECK KEY"))</f>
        <v/>
      </c>
      <c r="U616" s="10"/>
      <c r="V616" s="10"/>
      <c r="W616" s="10"/>
      <c r="X616" s="10"/>
      <c r="Y616" s="10"/>
      <c r="Z616" s="10"/>
      <c r="AA616" s="11" t="str">
        <f t="shared" si="19"/>
        <v/>
      </c>
    </row>
    <row r="617" spans="16:27" ht="15" customHeight="1">
      <c r="P617" t="str">
        <f t="shared" si="18"/>
        <v/>
      </c>
      <c r="Q617" t="str">
        <f>IF(P617="","",IFERROR(IF(AND(H617="W7",OR(F617="causal",F617="predictive")),IF(AND(OR(K617=1,K617="1"),OR(L617=1,L617="1"),OR(M617=1,M617="1")),"adequate","partial"),IF(AND(H617="W4",F617="predictive",OR(J617="P2",J617="P3",J617="P4")),IF(OR(U617=1,U617="1"),"adequate","partial"),INDEX(Fit_Matrix!$B:$B,MATCH(P617,Fit_Matrix!$A:$A,0)))),"CHECK KEY"))</f>
        <v/>
      </c>
      <c r="U617" s="10"/>
      <c r="V617" s="10"/>
      <c r="W617" s="10"/>
      <c r="X617" s="10"/>
      <c r="Y617" s="10"/>
      <c r="Z617" s="10"/>
      <c r="AA617" s="11" t="str">
        <f t="shared" si="19"/>
        <v/>
      </c>
    </row>
    <row r="618" spans="16:27" ht="15" customHeight="1">
      <c r="P618" t="str">
        <f t="shared" si="18"/>
        <v/>
      </c>
      <c r="Q618" t="str">
        <f>IF(P618="","",IFERROR(IF(AND(H618="W7",OR(F618="causal",F618="predictive")),IF(AND(OR(K618=1,K618="1"),OR(L618=1,L618="1"),OR(M618=1,M618="1")),"adequate","partial"),IF(AND(H618="W4",F618="predictive",OR(J618="P2",J618="P3",J618="P4")),IF(OR(U618=1,U618="1"),"adequate","partial"),INDEX(Fit_Matrix!$B:$B,MATCH(P618,Fit_Matrix!$A:$A,0)))),"CHECK KEY"))</f>
        <v/>
      </c>
      <c r="U618" s="10"/>
      <c r="V618" s="10"/>
      <c r="W618" s="10"/>
      <c r="X618" s="10"/>
      <c r="Y618" s="10"/>
      <c r="Z618" s="10"/>
      <c r="AA618" s="11" t="str">
        <f t="shared" si="19"/>
        <v/>
      </c>
    </row>
    <row r="619" spans="16:27" ht="15" customHeight="1">
      <c r="P619" t="str">
        <f t="shared" si="18"/>
        <v/>
      </c>
      <c r="Q619" t="str">
        <f>IF(P619="","",IFERROR(IF(AND(H619="W7",OR(F619="causal",F619="predictive")),IF(AND(OR(K619=1,K619="1"),OR(L619=1,L619="1"),OR(M619=1,M619="1")),"adequate","partial"),IF(AND(H619="W4",F619="predictive",OR(J619="P2",J619="P3",J619="P4")),IF(OR(U619=1,U619="1"),"adequate","partial"),INDEX(Fit_Matrix!$B:$B,MATCH(P619,Fit_Matrix!$A:$A,0)))),"CHECK KEY"))</f>
        <v/>
      </c>
      <c r="U619" s="10"/>
      <c r="V619" s="10"/>
      <c r="W619" s="10"/>
      <c r="X619" s="10"/>
      <c r="Y619" s="10"/>
      <c r="Z619" s="10"/>
      <c r="AA619" s="11" t="str">
        <f t="shared" si="19"/>
        <v/>
      </c>
    </row>
    <row r="620" spans="16:27" ht="15" customHeight="1">
      <c r="P620" t="str">
        <f t="shared" si="18"/>
        <v/>
      </c>
      <c r="Q620" t="str">
        <f>IF(P620="","",IFERROR(IF(AND(H620="W7",OR(F620="causal",F620="predictive")),IF(AND(OR(K620=1,K620="1"),OR(L620=1,L620="1"),OR(M620=1,M620="1")),"adequate","partial"),IF(AND(H620="W4",F620="predictive",OR(J620="P2",J620="P3",J620="P4")),IF(OR(U620=1,U620="1"),"adequate","partial"),INDEX(Fit_Matrix!$B:$B,MATCH(P620,Fit_Matrix!$A:$A,0)))),"CHECK KEY"))</f>
        <v/>
      </c>
      <c r="U620" s="10"/>
      <c r="V620" s="10"/>
      <c r="W620" s="10"/>
      <c r="X620" s="10"/>
      <c r="Y620" s="10"/>
      <c r="Z620" s="10"/>
      <c r="AA620" s="11" t="str">
        <f t="shared" si="19"/>
        <v/>
      </c>
    </row>
    <row r="621" spans="16:27" ht="15" customHeight="1">
      <c r="P621" t="str">
        <f t="shared" si="18"/>
        <v/>
      </c>
      <c r="Q621" t="str">
        <f>IF(P621="","",IFERROR(IF(AND(H621="W7",OR(F621="causal",F621="predictive")),IF(AND(OR(K621=1,K621="1"),OR(L621=1,L621="1"),OR(M621=1,M621="1")),"adequate","partial"),IF(AND(H621="W4",F621="predictive",OR(J621="P2",J621="P3",J621="P4")),IF(OR(U621=1,U621="1"),"adequate","partial"),INDEX(Fit_Matrix!$B:$B,MATCH(P621,Fit_Matrix!$A:$A,0)))),"CHECK KEY"))</f>
        <v/>
      </c>
      <c r="U621" s="10"/>
      <c r="V621" s="10"/>
      <c r="W621" s="10"/>
      <c r="X621" s="10"/>
      <c r="Y621" s="10"/>
      <c r="Z621" s="10"/>
      <c r="AA621" s="11" t="str">
        <f t="shared" si="19"/>
        <v/>
      </c>
    </row>
    <row r="622" spans="16:27" ht="15" customHeight="1">
      <c r="P622" t="str">
        <f t="shared" si="18"/>
        <v/>
      </c>
      <c r="Q622" t="str">
        <f>IF(P622="","",IFERROR(IF(AND(H622="W7",OR(F622="causal",F622="predictive")),IF(AND(OR(K622=1,K622="1"),OR(L622=1,L622="1"),OR(M622=1,M622="1")),"adequate","partial"),IF(AND(H622="W4",F622="predictive",OR(J622="P2",J622="P3",J622="P4")),IF(OR(U622=1,U622="1"),"adequate","partial"),INDEX(Fit_Matrix!$B:$B,MATCH(P622,Fit_Matrix!$A:$A,0)))),"CHECK KEY"))</f>
        <v/>
      </c>
      <c r="U622" s="10"/>
      <c r="V622" s="10"/>
      <c r="W622" s="10"/>
      <c r="X622" s="10"/>
      <c r="Y622" s="10"/>
      <c r="Z622" s="10"/>
      <c r="AA622" s="11" t="str">
        <f t="shared" si="19"/>
        <v/>
      </c>
    </row>
    <row r="623" spans="16:27" ht="15" customHeight="1">
      <c r="P623" t="str">
        <f t="shared" si="18"/>
        <v/>
      </c>
      <c r="Q623" t="str">
        <f>IF(P623="","",IFERROR(IF(AND(H623="W7",OR(F623="causal",F623="predictive")),IF(AND(OR(K623=1,K623="1"),OR(L623=1,L623="1"),OR(M623=1,M623="1")),"adequate","partial"),IF(AND(H623="W4",F623="predictive",OR(J623="P2",J623="P3",J623="P4")),IF(OR(U623=1,U623="1"),"adequate","partial"),INDEX(Fit_Matrix!$B:$B,MATCH(P623,Fit_Matrix!$A:$A,0)))),"CHECK KEY"))</f>
        <v/>
      </c>
      <c r="U623" s="10"/>
      <c r="V623" s="10"/>
      <c r="W623" s="10"/>
      <c r="X623" s="10"/>
      <c r="Y623" s="10"/>
      <c r="Z623" s="10"/>
      <c r="AA623" s="11" t="str">
        <f t="shared" si="19"/>
        <v/>
      </c>
    </row>
    <row r="624" spans="16:27" ht="15" customHeight="1">
      <c r="P624" t="str">
        <f t="shared" si="18"/>
        <v/>
      </c>
      <c r="Q624" t="str">
        <f>IF(P624="","",IFERROR(IF(AND(H624="W7",OR(F624="causal",F624="predictive")),IF(AND(OR(K624=1,K624="1"),OR(L624=1,L624="1"),OR(M624=1,M624="1")),"adequate","partial"),IF(AND(H624="W4",F624="predictive",OR(J624="P2",J624="P3",J624="P4")),IF(OR(U624=1,U624="1"),"adequate","partial"),INDEX(Fit_Matrix!$B:$B,MATCH(P624,Fit_Matrix!$A:$A,0)))),"CHECK KEY"))</f>
        <v/>
      </c>
      <c r="U624" s="10"/>
      <c r="V624" s="10"/>
      <c r="W624" s="10"/>
      <c r="X624" s="10"/>
      <c r="Y624" s="10"/>
      <c r="Z624" s="10"/>
      <c r="AA624" s="11" t="str">
        <f t="shared" si="19"/>
        <v/>
      </c>
    </row>
    <row r="625" spans="16:27" ht="15" customHeight="1">
      <c r="P625" t="str">
        <f t="shared" si="18"/>
        <v/>
      </c>
      <c r="Q625" t="str">
        <f>IF(P625="","",IFERROR(IF(AND(H625="W7",OR(F625="causal",F625="predictive")),IF(AND(OR(K625=1,K625="1"),OR(L625=1,L625="1"),OR(M625=1,M625="1")),"adequate","partial"),IF(AND(H625="W4",F625="predictive",OR(J625="P2",J625="P3",J625="P4")),IF(OR(U625=1,U625="1"),"adequate","partial"),INDEX(Fit_Matrix!$B:$B,MATCH(P625,Fit_Matrix!$A:$A,0)))),"CHECK KEY"))</f>
        <v/>
      </c>
      <c r="U625" s="10"/>
      <c r="V625" s="10"/>
      <c r="W625" s="10"/>
      <c r="X625" s="10"/>
      <c r="Y625" s="10"/>
      <c r="Z625" s="10"/>
      <c r="AA625" s="11" t="str">
        <f t="shared" si="19"/>
        <v/>
      </c>
    </row>
    <row r="626" spans="16:27" ht="15" customHeight="1">
      <c r="P626" t="str">
        <f t="shared" si="18"/>
        <v/>
      </c>
      <c r="Q626" t="str">
        <f>IF(P626="","",IFERROR(IF(AND(H626="W7",OR(F626="causal",F626="predictive")),IF(AND(OR(K626=1,K626="1"),OR(L626=1,L626="1"),OR(M626=1,M626="1")),"adequate","partial"),IF(AND(H626="W4",F626="predictive",OR(J626="P2",J626="P3",J626="P4")),IF(OR(U626=1,U626="1"),"adequate","partial"),INDEX(Fit_Matrix!$B:$B,MATCH(P626,Fit_Matrix!$A:$A,0)))),"CHECK KEY"))</f>
        <v/>
      </c>
      <c r="U626" s="10"/>
      <c r="V626" s="10"/>
      <c r="W626" s="10"/>
      <c r="X626" s="10"/>
      <c r="Y626" s="10"/>
      <c r="Z626" s="10"/>
      <c r="AA626" s="11" t="str">
        <f t="shared" si="19"/>
        <v/>
      </c>
    </row>
    <row r="627" spans="16:27" ht="15" customHeight="1">
      <c r="P627" t="str">
        <f t="shared" si="18"/>
        <v/>
      </c>
      <c r="Q627" t="str">
        <f>IF(P627="","",IFERROR(IF(AND(H627="W7",OR(F627="causal",F627="predictive")),IF(AND(OR(K627=1,K627="1"),OR(L627=1,L627="1"),OR(M627=1,M627="1")),"adequate","partial"),IF(AND(H627="W4",F627="predictive",OR(J627="P2",J627="P3",J627="P4")),IF(OR(U627=1,U627="1"),"adequate","partial"),INDEX(Fit_Matrix!$B:$B,MATCH(P627,Fit_Matrix!$A:$A,0)))),"CHECK KEY"))</f>
        <v/>
      </c>
      <c r="U627" s="10"/>
      <c r="V627" s="10"/>
      <c r="W627" s="10"/>
      <c r="X627" s="10"/>
      <c r="Y627" s="10"/>
      <c r="Z627" s="10"/>
      <c r="AA627" s="11" t="str">
        <f t="shared" si="19"/>
        <v/>
      </c>
    </row>
    <row r="628" spans="16:27" ht="15" customHeight="1">
      <c r="P628" t="str">
        <f t="shared" si="18"/>
        <v/>
      </c>
      <c r="Q628" t="str">
        <f>IF(P628="","",IFERROR(IF(AND(H628="W7",OR(F628="causal",F628="predictive")),IF(AND(OR(K628=1,K628="1"),OR(L628=1,L628="1"),OR(M628=1,M628="1")),"adequate","partial"),IF(AND(H628="W4",F628="predictive",OR(J628="P2",J628="P3",J628="P4")),IF(OR(U628=1,U628="1"),"adequate","partial"),INDEX(Fit_Matrix!$B:$B,MATCH(P628,Fit_Matrix!$A:$A,0)))),"CHECK KEY"))</f>
        <v/>
      </c>
      <c r="U628" s="10"/>
      <c r="V628" s="10"/>
      <c r="W628" s="10"/>
      <c r="X628" s="10"/>
      <c r="Y628" s="10"/>
      <c r="Z628" s="10"/>
      <c r="AA628" s="11" t="str">
        <f t="shared" si="19"/>
        <v/>
      </c>
    </row>
    <row r="629" spans="16:27" ht="15" customHeight="1">
      <c r="P629" t="str">
        <f t="shared" si="18"/>
        <v/>
      </c>
      <c r="Q629" t="str">
        <f>IF(P629="","",IFERROR(IF(AND(H629="W7",OR(F629="causal",F629="predictive")),IF(AND(OR(K629=1,K629="1"),OR(L629=1,L629="1"),OR(M629=1,M629="1")),"adequate","partial"),IF(AND(H629="W4",F629="predictive",OR(J629="P2",J629="P3",J629="P4")),IF(OR(U629=1,U629="1"),"adequate","partial"),INDEX(Fit_Matrix!$B:$B,MATCH(P629,Fit_Matrix!$A:$A,0)))),"CHECK KEY"))</f>
        <v/>
      </c>
      <c r="U629" s="10"/>
      <c r="V629" s="10"/>
      <c r="W629" s="10"/>
      <c r="X629" s="10"/>
      <c r="Y629" s="10"/>
      <c r="Z629" s="10"/>
      <c r="AA629" s="11" t="str">
        <f t="shared" si="19"/>
        <v/>
      </c>
    </row>
    <row r="630" spans="16:27" ht="15" customHeight="1">
      <c r="P630" t="str">
        <f t="shared" si="18"/>
        <v/>
      </c>
      <c r="Q630" t="str">
        <f>IF(P630="","",IFERROR(IF(AND(H630="W7",OR(F630="causal",F630="predictive")),IF(AND(OR(K630=1,K630="1"),OR(L630=1,L630="1"),OR(M630=1,M630="1")),"adequate","partial"),IF(AND(H630="W4",F630="predictive",OR(J630="P2",J630="P3",J630="P4")),IF(OR(U630=1,U630="1"),"adequate","partial"),INDEX(Fit_Matrix!$B:$B,MATCH(P630,Fit_Matrix!$A:$A,0)))),"CHECK KEY"))</f>
        <v/>
      </c>
      <c r="U630" s="10"/>
      <c r="V630" s="10"/>
      <c r="W630" s="10"/>
      <c r="X630" s="10"/>
      <c r="Y630" s="10"/>
      <c r="Z630" s="10"/>
      <c r="AA630" s="11" t="str">
        <f t="shared" si="19"/>
        <v/>
      </c>
    </row>
    <row r="631" spans="16:27" ht="15" customHeight="1">
      <c r="P631" t="str">
        <f t="shared" si="18"/>
        <v/>
      </c>
      <c r="Q631" t="str">
        <f>IF(P631="","",IFERROR(IF(AND(H631="W7",OR(F631="causal",F631="predictive")),IF(AND(OR(K631=1,K631="1"),OR(L631=1,L631="1"),OR(M631=1,M631="1")),"adequate","partial"),IF(AND(H631="W4",F631="predictive",OR(J631="P2",J631="P3",J631="P4")),IF(OR(U631=1,U631="1"),"adequate","partial"),INDEX(Fit_Matrix!$B:$B,MATCH(P631,Fit_Matrix!$A:$A,0)))),"CHECK KEY"))</f>
        <v/>
      </c>
      <c r="U631" s="10"/>
      <c r="V631" s="10"/>
      <c r="W631" s="10"/>
      <c r="X631" s="10"/>
      <c r="Y631" s="10"/>
      <c r="Z631" s="10"/>
      <c r="AA631" s="11" t="str">
        <f t="shared" si="19"/>
        <v/>
      </c>
    </row>
    <row r="632" spans="16:27" ht="15" customHeight="1">
      <c r="P632" t="str">
        <f t="shared" si="18"/>
        <v/>
      </c>
      <c r="Q632" t="str">
        <f>IF(P632="","",IFERROR(IF(AND(H632="W7",OR(F632="causal",F632="predictive")),IF(AND(OR(K632=1,K632="1"),OR(L632=1,L632="1"),OR(M632=1,M632="1")),"adequate","partial"),IF(AND(H632="W4",F632="predictive",OR(J632="P2",J632="P3",J632="P4")),IF(OR(U632=1,U632="1"),"adequate","partial"),INDEX(Fit_Matrix!$B:$B,MATCH(P632,Fit_Matrix!$A:$A,0)))),"CHECK KEY"))</f>
        <v/>
      </c>
      <c r="U632" s="10"/>
      <c r="V632" s="10"/>
      <c r="W632" s="10"/>
      <c r="X632" s="10"/>
      <c r="Y632" s="10"/>
      <c r="Z632" s="10"/>
      <c r="AA632" s="11" t="str">
        <f t="shared" si="19"/>
        <v/>
      </c>
    </row>
    <row r="633" spans="16:27" ht="15" customHeight="1">
      <c r="P633" t="str">
        <f t="shared" si="18"/>
        <v/>
      </c>
      <c r="Q633" t="str">
        <f>IF(P633="","",IFERROR(IF(AND(H633="W7",OR(F633="causal",F633="predictive")),IF(AND(OR(K633=1,K633="1"),OR(L633=1,L633="1"),OR(M633=1,M633="1")),"adequate","partial"),IF(AND(H633="W4",F633="predictive",OR(J633="P2",J633="P3",J633="P4")),IF(OR(U633=1,U633="1"),"adequate","partial"),INDEX(Fit_Matrix!$B:$B,MATCH(P633,Fit_Matrix!$A:$A,0)))),"CHECK KEY"))</f>
        <v/>
      </c>
      <c r="U633" s="10"/>
      <c r="V633" s="10"/>
      <c r="W633" s="10"/>
      <c r="X633" s="10"/>
      <c r="Y633" s="10"/>
      <c r="Z633" s="10"/>
      <c r="AA633" s="11" t="str">
        <f t="shared" si="19"/>
        <v/>
      </c>
    </row>
    <row r="634" spans="16:27" ht="15" customHeight="1">
      <c r="P634" t="str">
        <f t="shared" si="18"/>
        <v/>
      </c>
      <c r="Q634" t="str">
        <f>IF(P634="","",IFERROR(IF(AND(H634="W7",OR(F634="causal",F634="predictive")),IF(AND(OR(K634=1,K634="1"),OR(L634=1,L634="1"),OR(M634=1,M634="1")),"adequate","partial"),IF(AND(H634="W4",F634="predictive",OR(J634="P2",J634="P3",J634="P4")),IF(OR(U634=1,U634="1"),"adequate","partial"),INDEX(Fit_Matrix!$B:$B,MATCH(P634,Fit_Matrix!$A:$A,0)))),"CHECK KEY"))</f>
        <v/>
      </c>
      <c r="U634" s="10"/>
      <c r="V634" s="10"/>
      <c r="W634" s="10"/>
      <c r="X634" s="10"/>
      <c r="Y634" s="10"/>
      <c r="Z634" s="10"/>
      <c r="AA634" s="11" t="str">
        <f t="shared" si="19"/>
        <v/>
      </c>
    </row>
    <row r="635" spans="16:27" ht="15" customHeight="1">
      <c r="P635" t="str">
        <f t="shared" si="18"/>
        <v/>
      </c>
      <c r="Q635" t="str">
        <f>IF(P635="","",IFERROR(IF(AND(H635="W7",OR(F635="causal",F635="predictive")),IF(AND(OR(K635=1,K635="1"),OR(L635=1,L635="1"),OR(M635=1,M635="1")),"adequate","partial"),IF(AND(H635="W4",F635="predictive",OR(J635="P2",J635="P3",J635="P4")),IF(OR(U635=1,U635="1"),"adequate","partial"),INDEX(Fit_Matrix!$B:$B,MATCH(P635,Fit_Matrix!$A:$A,0)))),"CHECK KEY"))</f>
        <v/>
      </c>
      <c r="U635" s="10"/>
      <c r="V635" s="10"/>
      <c r="W635" s="10"/>
      <c r="X635" s="10"/>
      <c r="Y635" s="10"/>
      <c r="Z635" s="10"/>
      <c r="AA635" s="11" t="str">
        <f t="shared" si="19"/>
        <v/>
      </c>
    </row>
    <row r="636" spans="16:27" ht="15" customHeight="1">
      <c r="P636" t="str">
        <f t="shared" si="18"/>
        <v/>
      </c>
      <c r="Q636" t="str">
        <f>IF(P636="","",IFERROR(IF(AND(H636="W7",OR(F636="causal",F636="predictive")),IF(AND(OR(K636=1,K636="1"),OR(L636=1,L636="1"),OR(M636=1,M636="1")),"adequate","partial"),IF(AND(H636="W4",F636="predictive",OR(J636="P2",J636="P3",J636="P4")),IF(OR(U636=1,U636="1"),"adequate","partial"),INDEX(Fit_Matrix!$B:$B,MATCH(P636,Fit_Matrix!$A:$A,0)))),"CHECK KEY"))</f>
        <v/>
      </c>
      <c r="U636" s="10"/>
      <c r="V636" s="10"/>
      <c r="W636" s="10"/>
      <c r="X636" s="10"/>
      <c r="Y636" s="10"/>
      <c r="Z636" s="10"/>
      <c r="AA636" s="11" t="str">
        <f t="shared" si="19"/>
        <v/>
      </c>
    </row>
    <row r="637" spans="16:27" ht="15" customHeight="1">
      <c r="P637" t="str">
        <f t="shared" si="18"/>
        <v/>
      </c>
      <c r="Q637" t="str">
        <f>IF(P637="","",IFERROR(IF(AND(H637="W7",OR(F637="causal",F637="predictive")),IF(AND(OR(K637=1,K637="1"),OR(L637=1,L637="1"),OR(M637=1,M637="1")),"adequate","partial"),IF(AND(H637="W4",F637="predictive",OR(J637="P2",J637="P3",J637="P4")),IF(OR(U637=1,U637="1"),"adequate","partial"),INDEX(Fit_Matrix!$B:$B,MATCH(P637,Fit_Matrix!$A:$A,0)))),"CHECK KEY"))</f>
        <v/>
      </c>
      <c r="U637" s="10"/>
      <c r="V637" s="10"/>
      <c r="W637" s="10"/>
      <c r="X637" s="10"/>
      <c r="Y637" s="10"/>
      <c r="Z637" s="10"/>
      <c r="AA637" s="11" t="str">
        <f t="shared" si="19"/>
        <v/>
      </c>
    </row>
    <row r="638" spans="16:27" ht="15" customHeight="1">
      <c r="P638" t="str">
        <f t="shared" si="18"/>
        <v/>
      </c>
      <c r="Q638" t="str">
        <f>IF(P638="","",IFERROR(IF(AND(H638="W7",OR(F638="causal",F638="predictive")),IF(AND(OR(K638=1,K638="1"),OR(L638=1,L638="1"),OR(M638=1,M638="1")),"adequate","partial"),IF(AND(H638="W4",F638="predictive",OR(J638="P2",J638="P3",J638="P4")),IF(OR(U638=1,U638="1"),"adequate","partial"),INDEX(Fit_Matrix!$B:$B,MATCH(P638,Fit_Matrix!$A:$A,0)))),"CHECK KEY"))</f>
        <v/>
      </c>
      <c r="U638" s="10"/>
      <c r="V638" s="10"/>
      <c r="W638" s="10"/>
      <c r="X638" s="10"/>
      <c r="Y638" s="10"/>
      <c r="Z638" s="10"/>
      <c r="AA638" s="11" t="str">
        <f t="shared" si="19"/>
        <v/>
      </c>
    </row>
    <row r="639" spans="16:27" ht="15" customHeight="1">
      <c r="P639" t="str">
        <f t="shared" si="18"/>
        <v/>
      </c>
      <c r="Q639" t="str">
        <f>IF(P639="","",IFERROR(IF(AND(H639="W7",OR(F639="causal",F639="predictive")),IF(AND(OR(K639=1,K639="1"),OR(L639=1,L639="1"),OR(M639=1,M639="1")),"adequate","partial"),IF(AND(H639="W4",F639="predictive",OR(J639="P2",J639="P3",J639="P4")),IF(OR(U639=1,U639="1"),"adequate","partial"),INDEX(Fit_Matrix!$B:$B,MATCH(P639,Fit_Matrix!$A:$A,0)))),"CHECK KEY"))</f>
        <v/>
      </c>
      <c r="U639" s="10"/>
      <c r="V639" s="10"/>
      <c r="W639" s="10"/>
      <c r="X639" s="10"/>
      <c r="Y639" s="10"/>
      <c r="Z639" s="10"/>
      <c r="AA639" s="11" t="str">
        <f t="shared" si="19"/>
        <v/>
      </c>
    </row>
    <row r="640" spans="16:27" ht="15" customHeight="1">
      <c r="P640" t="str">
        <f t="shared" si="18"/>
        <v/>
      </c>
      <c r="Q640" t="str">
        <f>IF(P640="","",IFERROR(IF(AND(H640="W7",OR(F640="causal",F640="predictive")),IF(AND(OR(K640=1,K640="1"),OR(L640=1,L640="1"),OR(M640=1,M640="1")),"adequate","partial"),IF(AND(H640="W4",F640="predictive",OR(J640="P2",J640="P3",J640="P4")),IF(OR(U640=1,U640="1"),"adequate","partial"),INDEX(Fit_Matrix!$B:$B,MATCH(P640,Fit_Matrix!$A:$A,0)))),"CHECK KEY"))</f>
        <v/>
      </c>
      <c r="U640" s="10"/>
      <c r="V640" s="10"/>
      <c r="W640" s="10"/>
      <c r="X640" s="10"/>
      <c r="Y640" s="10"/>
      <c r="Z640" s="10"/>
      <c r="AA640" s="11" t="str">
        <f t="shared" si="19"/>
        <v/>
      </c>
    </row>
    <row r="641" spans="16:27" ht="15" customHeight="1">
      <c r="P641" t="str">
        <f t="shared" si="18"/>
        <v/>
      </c>
      <c r="Q641" t="str">
        <f>IF(P641="","",IFERROR(IF(AND(H641="W7",OR(F641="causal",F641="predictive")),IF(AND(OR(K641=1,K641="1"),OR(L641=1,L641="1"),OR(M641=1,M641="1")),"adequate","partial"),IF(AND(H641="W4",F641="predictive",OR(J641="P2",J641="P3",J641="P4")),IF(OR(U641=1,U641="1"),"adequate","partial"),INDEX(Fit_Matrix!$B:$B,MATCH(P641,Fit_Matrix!$A:$A,0)))),"CHECK KEY"))</f>
        <v/>
      </c>
      <c r="U641" s="10"/>
      <c r="V641" s="10"/>
      <c r="W641" s="10"/>
      <c r="X641" s="10"/>
      <c r="Y641" s="10"/>
      <c r="Z641" s="10"/>
      <c r="AA641" s="11" t="str">
        <f t="shared" si="19"/>
        <v/>
      </c>
    </row>
    <row r="642" spans="16:27" ht="15" customHeight="1">
      <c r="P642" t="str">
        <f t="shared" ref="P642:P705" si="20">IF(OR(F642="",H642="",J642=""),"",J642&amp;"|"&amp;F642&amp;"|"&amp;IF(H642="W3","W3_"&amp;IF(I642="","unknown",I642),H642))</f>
        <v/>
      </c>
      <c r="Q642" t="str">
        <f>IF(P642="","",IFERROR(IF(AND(H642="W7",OR(F642="causal",F642="predictive")),IF(AND(OR(K642=1,K642="1"),OR(L642=1,L642="1"),OR(M642=1,M642="1")),"adequate","partial"),IF(AND(H642="W4",F642="predictive",OR(J642="P2",J642="P3",J642="P4")),IF(OR(U642=1,U642="1"),"adequate","partial"),INDEX(Fit_Matrix!$B:$B,MATCH(P642,Fit_Matrix!$A:$A,0)))),"CHECK KEY"))</f>
        <v/>
      </c>
      <c r="U642" s="10"/>
      <c r="V642" s="10"/>
      <c r="W642" s="10"/>
      <c r="X642" s="10"/>
      <c r="Y642" s="10"/>
      <c r="Z642" s="10"/>
      <c r="AA642" s="11" t="str">
        <f t="shared" ref="AA642:AA705" si="21">IF(A642="","",IF(AND(J642="P4",F642="causal"),"P4-CAUSAL",""))</f>
        <v/>
      </c>
    </row>
    <row r="643" spans="16:27" ht="15" customHeight="1">
      <c r="P643" t="str">
        <f t="shared" si="20"/>
        <v/>
      </c>
      <c r="Q643" t="str">
        <f>IF(P643="","",IFERROR(IF(AND(H643="W7",OR(F643="causal",F643="predictive")),IF(AND(OR(K643=1,K643="1"),OR(L643=1,L643="1"),OR(M643=1,M643="1")),"adequate","partial"),IF(AND(H643="W4",F643="predictive",OR(J643="P2",J643="P3",J643="P4")),IF(OR(U643=1,U643="1"),"adequate","partial"),INDEX(Fit_Matrix!$B:$B,MATCH(P643,Fit_Matrix!$A:$A,0)))),"CHECK KEY"))</f>
        <v/>
      </c>
      <c r="U643" s="10"/>
      <c r="V643" s="10"/>
      <c r="W643" s="10"/>
      <c r="X643" s="10"/>
      <c r="Y643" s="10"/>
      <c r="Z643" s="10"/>
      <c r="AA643" s="11" t="str">
        <f t="shared" si="21"/>
        <v/>
      </c>
    </row>
    <row r="644" spans="16:27" ht="15" customHeight="1">
      <c r="P644" t="str">
        <f t="shared" si="20"/>
        <v/>
      </c>
      <c r="Q644" t="str">
        <f>IF(P644="","",IFERROR(IF(AND(H644="W7",OR(F644="causal",F644="predictive")),IF(AND(OR(K644=1,K644="1"),OR(L644=1,L644="1"),OR(M644=1,M644="1")),"adequate","partial"),IF(AND(H644="W4",F644="predictive",OR(J644="P2",J644="P3",J644="P4")),IF(OR(U644=1,U644="1"),"adequate","partial"),INDEX(Fit_Matrix!$B:$B,MATCH(P644,Fit_Matrix!$A:$A,0)))),"CHECK KEY"))</f>
        <v/>
      </c>
      <c r="U644" s="10"/>
      <c r="V644" s="10"/>
      <c r="W644" s="10"/>
      <c r="X644" s="10"/>
      <c r="Y644" s="10"/>
      <c r="Z644" s="10"/>
      <c r="AA644" s="11" t="str">
        <f t="shared" si="21"/>
        <v/>
      </c>
    </row>
    <row r="645" spans="16:27" ht="15" customHeight="1">
      <c r="P645" t="str">
        <f t="shared" si="20"/>
        <v/>
      </c>
      <c r="Q645" t="str">
        <f>IF(P645="","",IFERROR(IF(AND(H645="W7",OR(F645="causal",F645="predictive")),IF(AND(OR(K645=1,K645="1"),OR(L645=1,L645="1"),OR(M645=1,M645="1")),"adequate","partial"),IF(AND(H645="W4",F645="predictive",OR(J645="P2",J645="P3",J645="P4")),IF(OR(U645=1,U645="1"),"adequate","partial"),INDEX(Fit_Matrix!$B:$B,MATCH(P645,Fit_Matrix!$A:$A,0)))),"CHECK KEY"))</f>
        <v/>
      </c>
      <c r="U645" s="10"/>
      <c r="V645" s="10"/>
      <c r="W645" s="10"/>
      <c r="X645" s="10"/>
      <c r="Y645" s="10"/>
      <c r="Z645" s="10"/>
      <c r="AA645" s="11" t="str">
        <f t="shared" si="21"/>
        <v/>
      </c>
    </row>
    <row r="646" spans="16:27" ht="15" customHeight="1">
      <c r="P646" t="str">
        <f t="shared" si="20"/>
        <v/>
      </c>
      <c r="Q646" t="str">
        <f>IF(P646="","",IFERROR(IF(AND(H646="W7",OR(F646="causal",F646="predictive")),IF(AND(OR(K646=1,K646="1"),OR(L646=1,L646="1"),OR(M646=1,M646="1")),"adequate","partial"),IF(AND(H646="W4",F646="predictive",OR(J646="P2",J646="P3",J646="P4")),IF(OR(U646=1,U646="1"),"adequate","partial"),INDEX(Fit_Matrix!$B:$B,MATCH(P646,Fit_Matrix!$A:$A,0)))),"CHECK KEY"))</f>
        <v/>
      </c>
      <c r="U646" s="10"/>
      <c r="V646" s="10"/>
      <c r="W646" s="10"/>
      <c r="X646" s="10"/>
      <c r="Y646" s="10"/>
      <c r="Z646" s="10"/>
      <c r="AA646" s="11" t="str">
        <f t="shared" si="21"/>
        <v/>
      </c>
    </row>
    <row r="647" spans="16:27" ht="15" customHeight="1">
      <c r="P647" t="str">
        <f t="shared" si="20"/>
        <v/>
      </c>
      <c r="Q647" t="str">
        <f>IF(P647="","",IFERROR(IF(AND(H647="W7",OR(F647="causal",F647="predictive")),IF(AND(OR(K647=1,K647="1"),OR(L647=1,L647="1"),OR(M647=1,M647="1")),"adequate","partial"),IF(AND(H647="W4",F647="predictive",OR(J647="P2",J647="P3",J647="P4")),IF(OR(U647=1,U647="1"),"adequate","partial"),INDEX(Fit_Matrix!$B:$B,MATCH(P647,Fit_Matrix!$A:$A,0)))),"CHECK KEY"))</f>
        <v/>
      </c>
      <c r="U647" s="10"/>
      <c r="V647" s="10"/>
      <c r="W647" s="10"/>
      <c r="X647" s="10"/>
      <c r="Y647" s="10"/>
      <c r="Z647" s="10"/>
      <c r="AA647" s="11" t="str">
        <f t="shared" si="21"/>
        <v/>
      </c>
    </row>
    <row r="648" spans="16:27" ht="15" customHeight="1">
      <c r="P648" t="str">
        <f t="shared" si="20"/>
        <v/>
      </c>
      <c r="Q648" t="str">
        <f>IF(P648="","",IFERROR(IF(AND(H648="W7",OR(F648="causal",F648="predictive")),IF(AND(OR(K648=1,K648="1"),OR(L648=1,L648="1"),OR(M648=1,M648="1")),"adequate","partial"),IF(AND(H648="W4",F648="predictive",OR(J648="P2",J648="P3",J648="P4")),IF(OR(U648=1,U648="1"),"adequate","partial"),INDEX(Fit_Matrix!$B:$B,MATCH(P648,Fit_Matrix!$A:$A,0)))),"CHECK KEY"))</f>
        <v/>
      </c>
      <c r="U648" s="10"/>
      <c r="V648" s="10"/>
      <c r="W648" s="10"/>
      <c r="X648" s="10"/>
      <c r="Y648" s="10"/>
      <c r="Z648" s="10"/>
      <c r="AA648" s="11" t="str">
        <f t="shared" si="21"/>
        <v/>
      </c>
    </row>
    <row r="649" spans="16:27" ht="15" customHeight="1">
      <c r="P649" t="str">
        <f t="shared" si="20"/>
        <v/>
      </c>
      <c r="Q649" t="str">
        <f>IF(P649="","",IFERROR(IF(AND(H649="W7",OR(F649="causal",F649="predictive")),IF(AND(OR(K649=1,K649="1"),OR(L649=1,L649="1"),OR(M649=1,M649="1")),"adequate","partial"),IF(AND(H649="W4",F649="predictive",OR(J649="P2",J649="P3",J649="P4")),IF(OR(U649=1,U649="1"),"adequate","partial"),INDEX(Fit_Matrix!$B:$B,MATCH(P649,Fit_Matrix!$A:$A,0)))),"CHECK KEY"))</f>
        <v/>
      </c>
      <c r="U649" s="10"/>
      <c r="V649" s="10"/>
      <c r="W649" s="10"/>
      <c r="X649" s="10"/>
      <c r="Y649" s="10"/>
      <c r="Z649" s="10"/>
      <c r="AA649" s="11" t="str">
        <f t="shared" si="21"/>
        <v/>
      </c>
    </row>
    <row r="650" spans="16:27" ht="15" customHeight="1">
      <c r="P650" t="str">
        <f t="shared" si="20"/>
        <v/>
      </c>
      <c r="Q650" t="str">
        <f>IF(P650="","",IFERROR(IF(AND(H650="W7",OR(F650="causal",F650="predictive")),IF(AND(OR(K650=1,K650="1"),OR(L650=1,L650="1"),OR(M650=1,M650="1")),"adequate","partial"),IF(AND(H650="W4",F650="predictive",OR(J650="P2",J650="P3",J650="P4")),IF(OR(U650=1,U650="1"),"adequate","partial"),INDEX(Fit_Matrix!$B:$B,MATCH(P650,Fit_Matrix!$A:$A,0)))),"CHECK KEY"))</f>
        <v/>
      </c>
      <c r="U650" s="10"/>
      <c r="V650" s="10"/>
      <c r="W650" s="10"/>
      <c r="X650" s="10"/>
      <c r="Y650" s="10"/>
      <c r="Z650" s="10"/>
      <c r="AA650" s="11" t="str">
        <f t="shared" si="21"/>
        <v/>
      </c>
    </row>
    <row r="651" spans="16:27" ht="15" customHeight="1">
      <c r="P651" t="str">
        <f t="shared" si="20"/>
        <v/>
      </c>
      <c r="Q651" t="str">
        <f>IF(P651="","",IFERROR(IF(AND(H651="W7",OR(F651="causal",F651="predictive")),IF(AND(OR(K651=1,K651="1"),OR(L651=1,L651="1"),OR(M651=1,M651="1")),"adequate","partial"),IF(AND(H651="W4",F651="predictive",OR(J651="P2",J651="P3",J651="P4")),IF(OR(U651=1,U651="1"),"adequate","partial"),INDEX(Fit_Matrix!$B:$B,MATCH(P651,Fit_Matrix!$A:$A,0)))),"CHECK KEY"))</f>
        <v/>
      </c>
      <c r="U651" s="10"/>
      <c r="V651" s="10"/>
      <c r="W651" s="10"/>
      <c r="X651" s="10"/>
      <c r="Y651" s="10"/>
      <c r="Z651" s="10"/>
      <c r="AA651" s="11" t="str">
        <f t="shared" si="21"/>
        <v/>
      </c>
    </row>
    <row r="652" spans="16:27" ht="15" customHeight="1">
      <c r="P652" t="str">
        <f t="shared" si="20"/>
        <v/>
      </c>
      <c r="Q652" t="str">
        <f>IF(P652="","",IFERROR(IF(AND(H652="W7",OR(F652="causal",F652="predictive")),IF(AND(OR(K652=1,K652="1"),OR(L652=1,L652="1"),OR(M652=1,M652="1")),"adequate","partial"),IF(AND(H652="W4",F652="predictive",OR(J652="P2",J652="P3",J652="P4")),IF(OR(U652=1,U652="1"),"adequate","partial"),INDEX(Fit_Matrix!$B:$B,MATCH(P652,Fit_Matrix!$A:$A,0)))),"CHECK KEY"))</f>
        <v/>
      </c>
      <c r="U652" s="10"/>
      <c r="V652" s="10"/>
      <c r="W652" s="10"/>
      <c r="X652" s="10"/>
      <c r="Y652" s="10"/>
      <c r="Z652" s="10"/>
      <c r="AA652" s="11" t="str">
        <f t="shared" si="21"/>
        <v/>
      </c>
    </row>
    <row r="653" spans="16:27" ht="15" customHeight="1">
      <c r="P653" t="str">
        <f t="shared" si="20"/>
        <v/>
      </c>
      <c r="Q653" t="str">
        <f>IF(P653="","",IFERROR(IF(AND(H653="W7",OR(F653="causal",F653="predictive")),IF(AND(OR(K653=1,K653="1"),OR(L653=1,L653="1"),OR(M653=1,M653="1")),"adequate","partial"),IF(AND(H653="W4",F653="predictive",OR(J653="P2",J653="P3",J653="P4")),IF(OR(U653=1,U653="1"),"adequate","partial"),INDEX(Fit_Matrix!$B:$B,MATCH(P653,Fit_Matrix!$A:$A,0)))),"CHECK KEY"))</f>
        <v/>
      </c>
      <c r="U653" s="10"/>
      <c r="V653" s="10"/>
      <c r="W653" s="10"/>
      <c r="X653" s="10"/>
      <c r="Y653" s="10"/>
      <c r="Z653" s="10"/>
      <c r="AA653" s="11" t="str">
        <f t="shared" si="21"/>
        <v/>
      </c>
    </row>
    <row r="654" spans="16:27" ht="15" customHeight="1">
      <c r="P654" t="str">
        <f t="shared" si="20"/>
        <v/>
      </c>
      <c r="Q654" t="str">
        <f>IF(P654="","",IFERROR(IF(AND(H654="W7",OR(F654="causal",F654="predictive")),IF(AND(OR(K654=1,K654="1"),OR(L654=1,L654="1"),OR(M654=1,M654="1")),"adequate","partial"),IF(AND(H654="W4",F654="predictive",OR(J654="P2",J654="P3",J654="P4")),IF(OR(U654=1,U654="1"),"adequate","partial"),INDEX(Fit_Matrix!$B:$B,MATCH(P654,Fit_Matrix!$A:$A,0)))),"CHECK KEY"))</f>
        <v/>
      </c>
      <c r="U654" s="10"/>
      <c r="V654" s="10"/>
      <c r="W654" s="10"/>
      <c r="X654" s="10"/>
      <c r="Y654" s="10"/>
      <c r="Z654" s="10"/>
      <c r="AA654" s="11" t="str">
        <f t="shared" si="21"/>
        <v/>
      </c>
    </row>
    <row r="655" spans="16:27" ht="15" customHeight="1">
      <c r="P655" t="str">
        <f t="shared" si="20"/>
        <v/>
      </c>
      <c r="Q655" t="str">
        <f>IF(P655="","",IFERROR(IF(AND(H655="W7",OR(F655="causal",F655="predictive")),IF(AND(OR(K655=1,K655="1"),OR(L655=1,L655="1"),OR(M655=1,M655="1")),"adequate","partial"),IF(AND(H655="W4",F655="predictive",OR(J655="P2",J655="P3",J655="P4")),IF(OR(U655=1,U655="1"),"adequate","partial"),INDEX(Fit_Matrix!$B:$B,MATCH(P655,Fit_Matrix!$A:$A,0)))),"CHECK KEY"))</f>
        <v/>
      </c>
      <c r="U655" s="10"/>
      <c r="V655" s="10"/>
      <c r="W655" s="10"/>
      <c r="X655" s="10"/>
      <c r="Y655" s="10"/>
      <c r="Z655" s="10"/>
      <c r="AA655" s="11" t="str">
        <f t="shared" si="21"/>
        <v/>
      </c>
    </row>
    <row r="656" spans="16:27" ht="15" customHeight="1">
      <c r="P656" t="str">
        <f t="shared" si="20"/>
        <v/>
      </c>
      <c r="Q656" t="str">
        <f>IF(P656="","",IFERROR(IF(AND(H656="W7",OR(F656="causal",F656="predictive")),IF(AND(OR(K656=1,K656="1"),OR(L656=1,L656="1"),OR(M656=1,M656="1")),"adequate","partial"),IF(AND(H656="W4",F656="predictive",OR(J656="P2",J656="P3",J656="P4")),IF(OR(U656=1,U656="1"),"adequate","partial"),INDEX(Fit_Matrix!$B:$B,MATCH(P656,Fit_Matrix!$A:$A,0)))),"CHECK KEY"))</f>
        <v/>
      </c>
      <c r="U656" s="10"/>
      <c r="V656" s="10"/>
      <c r="W656" s="10"/>
      <c r="X656" s="10"/>
      <c r="Y656" s="10"/>
      <c r="Z656" s="10"/>
      <c r="AA656" s="11" t="str">
        <f t="shared" si="21"/>
        <v/>
      </c>
    </row>
    <row r="657" spans="16:27" ht="15" customHeight="1">
      <c r="P657" t="str">
        <f t="shared" si="20"/>
        <v/>
      </c>
      <c r="Q657" t="str">
        <f>IF(P657="","",IFERROR(IF(AND(H657="W7",OR(F657="causal",F657="predictive")),IF(AND(OR(K657=1,K657="1"),OR(L657=1,L657="1"),OR(M657=1,M657="1")),"adequate","partial"),IF(AND(H657="W4",F657="predictive",OR(J657="P2",J657="P3",J657="P4")),IF(OR(U657=1,U657="1"),"adequate","partial"),INDEX(Fit_Matrix!$B:$B,MATCH(P657,Fit_Matrix!$A:$A,0)))),"CHECK KEY"))</f>
        <v/>
      </c>
      <c r="U657" s="10"/>
      <c r="V657" s="10"/>
      <c r="W657" s="10"/>
      <c r="X657" s="10"/>
      <c r="Y657" s="10"/>
      <c r="Z657" s="10"/>
      <c r="AA657" s="11" t="str">
        <f t="shared" si="21"/>
        <v/>
      </c>
    </row>
    <row r="658" spans="16:27" ht="15" customHeight="1">
      <c r="P658" t="str">
        <f t="shared" si="20"/>
        <v/>
      </c>
      <c r="Q658" t="str">
        <f>IF(P658="","",IFERROR(IF(AND(H658="W7",OR(F658="causal",F658="predictive")),IF(AND(OR(K658=1,K658="1"),OR(L658=1,L658="1"),OR(M658=1,M658="1")),"adequate","partial"),IF(AND(H658="W4",F658="predictive",OR(J658="P2",J658="P3",J658="P4")),IF(OR(U658=1,U658="1"),"adequate","partial"),INDEX(Fit_Matrix!$B:$B,MATCH(P658,Fit_Matrix!$A:$A,0)))),"CHECK KEY"))</f>
        <v/>
      </c>
      <c r="U658" s="10"/>
      <c r="V658" s="10"/>
      <c r="W658" s="10"/>
      <c r="X658" s="10"/>
      <c r="Y658" s="10"/>
      <c r="Z658" s="10"/>
      <c r="AA658" s="11" t="str">
        <f t="shared" si="21"/>
        <v/>
      </c>
    </row>
    <row r="659" spans="16:27" ht="15" customHeight="1">
      <c r="P659" t="str">
        <f t="shared" si="20"/>
        <v/>
      </c>
      <c r="Q659" t="str">
        <f>IF(P659="","",IFERROR(IF(AND(H659="W7",OR(F659="causal",F659="predictive")),IF(AND(OR(K659=1,K659="1"),OR(L659=1,L659="1"),OR(M659=1,M659="1")),"adequate","partial"),IF(AND(H659="W4",F659="predictive",OR(J659="P2",J659="P3",J659="P4")),IF(OR(U659=1,U659="1"),"adequate","partial"),INDEX(Fit_Matrix!$B:$B,MATCH(P659,Fit_Matrix!$A:$A,0)))),"CHECK KEY"))</f>
        <v/>
      </c>
      <c r="U659" s="10"/>
      <c r="V659" s="10"/>
      <c r="W659" s="10"/>
      <c r="X659" s="10"/>
      <c r="Y659" s="10"/>
      <c r="Z659" s="10"/>
      <c r="AA659" s="11" t="str">
        <f t="shared" si="21"/>
        <v/>
      </c>
    </row>
    <row r="660" spans="16:27" ht="15" customHeight="1">
      <c r="P660" t="str">
        <f t="shared" si="20"/>
        <v/>
      </c>
      <c r="Q660" t="str">
        <f>IF(P660="","",IFERROR(IF(AND(H660="W7",OR(F660="causal",F660="predictive")),IF(AND(OR(K660=1,K660="1"),OR(L660=1,L660="1"),OR(M660=1,M660="1")),"adequate","partial"),IF(AND(H660="W4",F660="predictive",OR(J660="P2",J660="P3",J660="P4")),IF(OR(U660=1,U660="1"),"adequate","partial"),INDEX(Fit_Matrix!$B:$B,MATCH(P660,Fit_Matrix!$A:$A,0)))),"CHECK KEY"))</f>
        <v/>
      </c>
      <c r="U660" s="10"/>
      <c r="V660" s="10"/>
      <c r="W660" s="10"/>
      <c r="X660" s="10"/>
      <c r="Y660" s="10"/>
      <c r="Z660" s="10"/>
      <c r="AA660" s="11" t="str">
        <f t="shared" si="21"/>
        <v/>
      </c>
    </row>
    <row r="661" spans="16:27" ht="15" customHeight="1">
      <c r="P661" t="str">
        <f t="shared" si="20"/>
        <v/>
      </c>
      <c r="Q661" t="str">
        <f>IF(P661="","",IFERROR(IF(AND(H661="W7",OR(F661="causal",F661="predictive")),IF(AND(OR(K661=1,K661="1"),OR(L661=1,L661="1"),OR(M661=1,M661="1")),"adequate","partial"),IF(AND(H661="W4",F661="predictive",OR(J661="P2",J661="P3",J661="P4")),IF(OR(U661=1,U661="1"),"adequate","partial"),INDEX(Fit_Matrix!$B:$B,MATCH(P661,Fit_Matrix!$A:$A,0)))),"CHECK KEY"))</f>
        <v/>
      </c>
      <c r="U661" s="10"/>
      <c r="V661" s="10"/>
      <c r="W661" s="10"/>
      <c r="X661" s="10"/>
      <c r="Y661" s="10"/>
      <c r="Z661" s="10"/>
      <c r="AA661" s="11" t="str">
        <f t="shared" si="21"/>
        <v/>
      </c>
    </row>
    <row r="662" spans="16:27" ht="15" customHeight="1">
      <c r="P662" t="str">
        <f t="shared" si="20"/>
        <v/>
      </c>
      <c r="Q662" t="str">
        <f>IF(P662="","",IFERROR(IF(AND(H662="W7",OR(F662="causal",F662="predictive")),IF(AND(OR(K662=1,K662="1"),OR(L662=1,L662="1"),OR(M662=1,M662="1")),"adequate","partial"),IF(AND(H662="W4",F662="predictive",OR(J662="P2",J662="P3",J662="P4")),IF(OR(U662=1,U662="1"),"adequate","partial"),INDEX(Fit_Matrix!$B:$B,MATCH(P662,Fit_Matrix!$A:$A,0)))),"CHECK KEY"))</f>
        <v/>
      </c>
      <c r="U662" s="10"/>
      <c r="V662" s="10"/>
      <c r="W662" s="10"/>
      <c r="X662" s="10"/>
      <c r="Y662" s="10"/>
      <c r="Z662" s="10"/>
      <c r="AA662" s="11" t="str">
        <f t="shared" si="21"/>
        <v/>
      </c>
    </row>
    <row r="663" spans="16:27" ht="15" customHeight="1">
      <c r="P663" t="str">
        <f t="shared" si="20"/>
        <v/>
      </c>
      <c r="Q663" t="str">
        <f>IF(P663="","",IFERROR(IF(AND(H663="W7",OR(F663="causal",F663="predictive")),IF(AND(OR(K663=1,K663="1"),OR(L663=1,L663="1"),OR(M663=1,M663="1")),"adequate","partial"),IF(AND(H663="W4",F663="predictive",OR(J663="P2",J663="P3",J663="P4")),IF(OR(U663=1,U663="1"),"adequate","partial"),INDEX(Fit_Matrix!$B:$B,MATCH(P663,Fit_Matrix!$A:$A,0)))),"CHECK KEY"))</f>
        <v/>
      </c>
      <c r="U663" s="10"/>
      <c r="V663" s="10"/>
      <c r="W663" s="10"/>
      <c r="X663" s="10"/>
      <c r="Y663" s="10"/>
      <c r="Z663" s="10"/>
      <c r="AA663" s="11" t="str">
        <f t="shared" si="21"/>
        <v/>
      </c>
    </row>
    <row r="664" spans="16:27" ht="15" customHeight="1">
      <c r="P664" t="str">
        <f t="shared" si="20"/>
        <v/>
      </c>
      <c r="Q664" t="str">
        <f>IF(P664="","",IFERROR(IF(AND(H664="W7",OR(F664="causal",F664="predictive")),IF(AND(OR(K664=1,K664="1"),OR(L664=1,L664="1"),OR(M664=1,M664="1")),"adequate","partial"),IF(AND(H664="W4",F664="predictive",OR(J664="P2",J664="P3",J664="P4")),IF(OR(U664=1,U664="1"),"adequate","partial"),INDEX(Fit_Matrix!$B:$B,MATCH(P664,Fit_Matrix!$A:$A,0)))),"CHECK KEY"))</f>
        <v/>
      </c>
      <c r="U664" s="10"/>
      <c r="V664" s="10"/>
      <c r="W664" s="10"/>
      <c r="X664" s="10"/>
      <c r="Y664" s="10"/>
      <c r="Z664" s="10"/>
      <c r="AA664" s="11" t="str">
        <f t="shared" si="21"/>
        <v/>
      </c>
    </row>
    <row r="665" spans="16:27" ht="15" customHeight="1">
      <c r="P665" t="str">
        <f t="shared" si="20"/>
        <v/>
      </c>
      <c r="Q665" t="str">
        <f>IF(P665="","",IFERROR(IF(AND(H665="W7",OR(F665="causal",F665="predictive")),IF(AND(OR(K665=1,K665="1"),OR(L665=1,L665="1"),OR(M665=1,M665="1")),"adequate","partial"),IF(AND(H665="W4",F665="predictive",OR(J665="P2",J665="P3",J665="P4")),IF(OR(U665=1,U665="1"),"adequate","partial"),INDEX(Fit_Matrix!$B:$B,MATCH(P665,Fit_Matrix!$A:$A,0)))),"CHECK KEY"))</f>
        <v/>
      </c>
      <c r="U665" s="10"/>
      <c r="V665" s="10"/>
      <c r="W665" s="10"/>
      <c r="X665" s="10"/>
      <c r="Y665" s="10"/>
      <c r="Z665" s="10"/>
      <c r="AA665" s="11" t="str">
        <f t="shared" si="21"/>
        <v/>
      </c>
    </row>
    <row r="666" spans="16:27" ht="15" customHeight="1">
      <c r="P666" t="str">
        <f t="shared" si="20"/>
        <v/>
      </c>
      <c r="Q666" t="str">
        <f>IF(P666="","",IFERROR(IF(AND(H666="W7",OR(F666="causal",F666="predictive")),IF(AND(OR(K666=1,K666="1"),OR(L666=1,L666="1"),OR(M666=1,M666="1")),"adequate","partial"),IF(AND(H666="W4",F666="predictive",OR(J666="P2",J666="P3",J666="P4")),IF(OR(U666=1,U666="1"),"adequate","partial"),INDEX(Fit_Matrix!$B:$B,MATCH(P666,Fit_Matrix!$A:$A,0)))),"CHECK KEY"))</f>
        <v/>
      </c>
      <c r="U666" s="10"/>
      <c r="V666" s="10"/>
      <c r="W666" s="10"/>
      <c r="X666" s="10"/>
      <c r="Y666" s="10"/>
      <c r="Z666" s="10"/>
      <c r="AA666" s="11" t="str">
        <f t="shared" si="21"/>
        <v/>
      </c>
    </row>
    <row r="667" spans="16:27" ht="15" customHeight="1">
      <c r="P667" t="str">
        <f t="shared" si="20"/>
        <v/>
      </c>
      <c r="Q667" t="str">
        <f>IF(P667="","",IFERROR(IF(AND(H667="W7",OR(F667="causal",F667="predictive")),IF(AND(OR(K667=1,K667="1"),OR(L667=1,L667="1"),OR(M667=1,M667="1")),"adequate","partial"),IF(AND(H667="W4",F667="predictive",OR(J667="P2",J667="P3",J667="P4")),IF(OR(U667=1,U667="1"),"adequate","partial"),INDEX(Fit_Matrix!$B:$B,MATCH(P667,Fit_Matrix!$A:$A,0)))),"CHECK KEY"))</f>
        <v/>
      </c>
      <c r="U667" s="10"/>
      <c r="V667" s="10"/>
      <c r="W667" s="10"/>
      <c r="X667" s="10"/>
      <c r="Y667" s="10"/>
      <c r="Z667" s="10"/>
      <c r="AA667" s="11" t="str">
        <f t="shared" si="21"/>
        <v/>
      </c>
    </row>
    <row r="668" spans="16:27" ht="15" customHeight="1">
      <c r="P668" t="str">
        <f t="shared" si="20"/>
        <v/>
      </c>
      <c r="Q668" t="str">
        <f>IF(P668="","",IFERROR(IF(AND(H668="W7",OR(F668="causal",F668="predictive")),IF(AND(OR(K668=1,K668="1"),OR(L668=1,L668="1"),OR(M668=1,M668="1")),"adequate","partial"),IF(AND(H668="W4",F668="predictive",OR(J668="P2",J668="P3",J668="P4")),IF(OR(U668=1,U668="1"),"adequate","partial"),INDEX(Fit_Matrix!$B:$B,MATCH(P668,Fit_Matrix!$A:$A,0)))),"CHECK KEY"))</f>
        <v/>
      </c>
      <c r="U668" s="10"/>
      <c r="V668" s="10"/>
      <c r="W668" s="10"/>
      <c r="X668" s="10"/>
      <c r="Y668" s="10"/>
      <c r="Z668" s="10"/>
      <c r="AA668" s="11" t="str">
        <f t="shared" si="21"/>
        <v/>
      </c>
    </row>
    <row r="669" spans="16:27" ht="15" customHeight="1">
      <c r="P669" t="str">
        <f t="shared" si="20"/>
        <v/>
      </c>
      <c r="Q669" t="str">
        <f>IF(P669="","",IFERROR(IF(AND(H669="W7",OR(F669="causal",F669="predictive")),IF(AND(OR(K669=1,K669="1"),OR(L669=1,L669="1"),OR(M669=1,M669="1")),"adequate","partial"),IF(AND(H669="W4",F669="predictive",OR(J669="P2",J669="P3",J669="P4")),IF(OR(U669=1,U669="1"),"adequate","partial"),INDEX(Fit_Matrix!$B:$B,MATCH(P669,Fit_Matrix!$A:$A,0)))),"CHECK KEY"))</f>
        <v/>
      </c>
      <c r="U669" s="10"/>
      <c r="V669" s="10"/>
      <c r="W669" s="10"/>
      <c r="X669" s="10"/>
      <c r="Y669" s="10"/>
      <c r="Z669" s="10"/>
      <c r="AA669" s="11" t="str">
        <f t="shared" si="21"/>
        <v/>
      </c>
    </row>
    <row r="670" spans="16:27" ht="15" customHeight="1">
      <c r="P670" t="str">
        <f t="shared" si="20"/>
        <v/>
      </c>
      <c r="Q670" t="str">
        <f>IF(P670="","",IFERROR(IF(AND(H670="W7",OR(F670="causal",F670="predictive")),IF(AND(OR(K670=1,K670="1"),OR(L670=1,L670="1"),OR(M670=1,M670="1")),"adequate","partial"),IF(AND(H670="W4",F670="predictive",OR(J670="P2",J670="P3",J670="P4")),IF(OR(U670=1,U670="1"),"adequate","partial"),INDEX(Fit_Matrix!$B:$B,MATCH(P670,Fit_Matrix!$A:$A,0)))),"CHECK KEY"))</f>
        <v/>
      </c>
      <c r="U670" s="10"/>
      <c r="V670" s="10"/>
      <c r="W670" s="10"/>
      <c r="X670" s="10"/>
      <c r="Y670" s="10"/>
      <c r="Z670" s="10"/>
      <c r="AA670" s="11" t="str">
        <f t="shared" si="21"/>
        <v/>
      </c>
    </row>
    <row r="671" spans="16:27" ht="15" customHeight="1">
      <c r="P671" t="str">
        <f t="shared" si="20"/>
        <v/>
      </c>
      <c r="Q671" t="str">
        <f>IF(P671="","",IFERROR(IF(AND(H671="W7",OR(F671="causal",F671="predictive")),IF(AND(OR(K671=1,K671="1"),OR(L671=1,L671="1"),OR(M671=1,M671="1")),"adequate","partial"),IF(AND(H671="W4",F671="predictive",OR(J671="P2",J671="P3",J671="P4")),IF(OR(U671=1,U671="1"),"adequate","partial"),INDEX(Fit_Matrix!$B:$B,MATCH(P671,Fit_Matrix!$A:$A,0)))),"CHECK KEY"))</f>
        <v/>
      </c>
      <c r="U671" s="10"/>
      <c r="V671" s="10"/>
      <c r="W671" s="10"/>
      <c r="X671" s="10"/>
      <c r="Y671" s="10"/>
      <c r="Z671" s="10"/>
      <c r="AA671" s="11" t="str">
        <f t="shared" si="21"/>
        <v/>
      </c>
    </row>
    <row r="672" spans="16:27" ht="15" customHeight="1">
      <c r="P672" t="str">
        <f t="shared" si="20"/>
        <v/>
      </c>
      <c r="Q672" t="str">
        <f>IF(P672="","",IFERROR(IF(AND(H672="W7",OR(F672="causal",F672="predictive")),IF(AND(OR(K672=1,K672="1"),OR(L672=1,L672="1"),OR(M672=1,M672="1")),"adequate","partial"),IF(AND(H672="W4",F672="predictive",OR(J672="P2",J672="P3",J672="P4")),IF(OR(U672=1,U672="1"),"adequate","partial"),INDEX(Fit_Matrix!$B:$B,MATCH(P672,Fit_Matrix!$A:$A,0)))),"CHECK KEY"))</f>
        <v/>
      </c>
      <c r="U672" s="10"/>
      <c r="V672" s="10"/>
      <c r="W672" s="10"/>
      <c r="X672" s="10"/>
      <c r="Y672" s="10"/>
      <c r="Z672" s="10"/>
      <c r="AA672" s="11" t="str">
        <f t="shared" si="21"/>
        <v/>
      </c>
    </row>
    <row r="673" spans="16:27" ht="15" customHeight="1">
      <c r="P673" t="str">
        <f t="shared" si="20"/>
        <v/>
      </c>
      <c r="Q673" t="str">
        <f>IF(P673="","",IFERROR(IF(AND(H673="W7",OR(F673="causal",F673="predictive")),IF(AND(OR(K673=1,K673="1"),OR(L673=1,L673="1"),OR(M673=1,M673="1")),"adequate","partial"),IF(AND(H673="W4",F673="predictive",OR(J673="P2",J673="P3",J673="P4")),IF(OR(U673=1,U673="1"),"adequate","partial"),INDEX(Fit_Matrix!$B:$B,MATCH(P673,Fit_Matrix!$A:$A,0)))),"CHECK KEY"))</f>
        <v/>
      </c>
      <c r="U673" s="10"/>
      <c r="V673" s="10"/>
      <c r="W673" s="10"/>
      <c r="X673" s="10"/>
      <c r="Y673" s="10"/>
      <c r="Z673" s="10"/>
      <c r="AA673" s="11" t="str">
        <f t="shared" si="21"/>
        <v/>
      </c>
    </row>
    <row r="674" spans="16:27" ht="15" customHeight="1">
      <c r="P674" t="str">
        <f t="shared" si="20"/>
        <v/>
      </c>
      <c r="Q674" t="str">
        <f>IF(P674="","",IFERROR(IF(AND(H674="W7",OR(F674="causal",F674="predictive")),IF(AND(OR(K674=1,K674="1"),OR(L674=1,L674="1"),OR(M674=1,M674="1")),"adequate","partial"),IF(AND(H674="W4",F674="predictive",OR(J674="P2",J674="P3",J674="P4")),IF(OR(U674=1,U674="1"),"adequate","partial"),INDEX(Fit_Matrix!$B:$B,MATCH(P674,Fit_Matrix!$A:$A,0)))),"CHECK KEY"))</f>
        <v/>
      </c>
      <c r="U674" s="10"/>
      <c r="V674" s="10"/>
      <c r="W674" s="10"/>
      <c r="X674" s="10"/>
      <c r="Y674" s="10"/>
      <c r="Z674" s="10"/>
      <c r="AA674" s="11" t="str">
        <f t="shared" si="21"/>
        <v/>
      </c>
    </row>
    <row r="675" spans="16:27" ht="15" customHeight="1">
      <c r="P675" t="str">
        <f t="shared" si="20"/>
        <v/>
      </c>
      <c r="Q675" t="str">
        <f>IF(P675="","",IFERROR(IF(AND(H675="W7",OR(F675="causal",F675="predictive")),IF(AND(OR(K675=1,K675="1"),OR(L675=1,L675="1"),OR(M675=1,M675="1")),"adequate","partial"),IF(AND(H675="W4",F675="predictive",OR(J675="P2",J675="P3",J675="P4")),IF(OR(U675=1,U675="1"),"adequate","partial"),INDEX(Fit_Matrix!$B:$B,MATCH(P675,Fit_Matrix!$A:$A,0)))),"CHECK KEY"))</f>
        <v/>
      </c>
      <c r="U675" s="10"/>
      <c r="V675" s="10"/>
      <c r="W675" s="10"/>
      <c r="X675" s="10"/>
      <c r="Y675" s="10"/>
      <c r="Z675" s="10"/>
      <c r="AA675" s="11" t="str">
        <f t="shared" si="21"/>
        <v/>
      </c>
    </row>
    <row r="676" spans="16:27" ht="15" customHeight="1">
      <c r="P676" t="str">
        <f t="shared" si="20"/>
        <v/>
      </c>
      <c r="Q676" t="str">
        <f>IF(P676="","",IFERROR(IF(AND(H676="W7",OR(F676="causal",F676="predictive")),IF(AND(OR(K676=1,K676="1"),OR(L676=1,L676="1"),OR(M676=1,M676="1")),"adequate","partial"),IF(AND(H676="W4",F676="predictive",OR(J676="P2",J676="P3",J676="P4")),IF(OR(U676=1,U676="1"),"adequate","partial"),INDEX(Fit_Matrix!$B:$B,MATCH(P676,Fit_Matrix!$A:$A,0)))),"CHECK KEY"))</f>
        <v/>
      </c>
      <c r="U676" s="10"/>
      <c r="V676" s="10"/>
      <c r="W676" s="10"/>
      <c r="X676" s="10"/>
      <c r="Y676" s="10"/>
      <c r="Z676" s="10"/>
      <c r="AA676" s="11" t="str">
        <f t="shared" si="21"/>
        <v/>
      </c>
    </row>
    <row r="677" spans="16:27" ht="15" customHeight="1">
      <c r="P677" t="str">
        <f t="shared" si="20"/>
        <v/>
      </c>
      <c r="Q677" t="str">
        <f>IF(P677="","",IFERROR(IF(AND(H677="W7",OR(F677="causal",F677="predictive")),IF(AND(OR(K677=1,K677="1"),OR(L677=1,L677="1"),OR(M677=1,M677="1")),"adequate","partial"),IF(AND(H677="W4",F677="predictive",OR(J677="P2",J677="P3",J677="P4")),IF(OR(U677=1,U677="1"),"adequate","partial"),INDEX(Fit_Matrix!$B:$B,MATCH(P677,Fit_Matrix!$A:$A,0)))),"CHECK KEY"))</f>
        <v/>
      </c>
      <c r="U677" s="10"/>
      <c r="V677" s="10"/>
      <c r="W677" s="10"/>
      <c r="X677" s="10"/>
      <c r="Y677" s="10"/>
      <c r="Z677" s="10"/>
      <c r="AA677" s="11" t="str">
        <f t="shared" si="21"/>
        <v/>
      </c>
    </row>
    <row r="678" spans="16:27" ht="15" customHeight="1">
      <c r="P678" t="str">
        <f t="shared" si="20"/>
        <v/>
      </c>
      <c r="Q678" t="str">
        <f>IF(P678="","",IFERROR(IF(AND(H678="W7",OR(F678="causal",F678="predictive")),IF(AND(OR(K678=1,K678="1"),OR(L678=1,L678="1"),OR(M678=1,M678="1")),"adequate","partial"),IF(AND(H678="W4",F678="predictive",OR(J678="P2",J678="P3",J678="P4")),IF(OR(U678=1,U678="1"),"adequate","partial"),INDEX(Fit_Matrix!$B:$B,MATCH(P678,Fit_Matrix!$A:$A,0)))),"CHECK KEY"))</f>
        <v/>
      </c>
      <c r="U678" s="10"/>
      <c r="V678" s="10"/>
      <c r="W678" s="10"/>
      <c r="X678" s="10"/>
      <c r="Y678" s="10"/>
      <c r="Z678" s="10"/>
      <c r="AA678" s="11" t="str">
        <f t="shared" si="21"/>
        <v/>
      </c>
    </row>
    <row r="679" spans="16:27" ht="15" customHeight="1">
      <c r="P679" t="str">
        <f t="shared" si="20"/>
        <v/>
      </c>
      <c r="Q679" t="str">
        <f>IF(P679="","",IFERROR(IF(AND(H679="W7",OR(F679="causal",F679="predictive")),IF(AND(OR(K679=1,K679="1"),OR(L679=1,L679="1"),OR(M679=1,M679="1")),"adequate","partial"),IF(AND(H679="W4",F679="predictive",OR(J679="P2",J679="P3",J679="P4")),IF(OR(U679=1,U679="1"),"adequate","partial"),INDEX(Fit_Matrix!$B:$B,MATCH(P679,Fit_Matrix!$A:$A,0)))),"CHECK KEY"))</f>
        <v/>
      </c>
      <c r="U679" s="10"/>
      <c r="V679" s="10"/>
      <c r="W679" s="10"/>
      <c r="X679" s="10"/>
      <c r="Y679" s="10"/>
      <c r="Z679" s="10"/>
      <c r="AA679" s="11" t="str">
        <f t="shared" si="21"/>
        <v/>
      </c>
    </row>
    <row r="680" spans="16:27" ht="15" customHeight="1">
      <c r="P680" t="str">
        <f t="shared" si="20"/>
        <v/>
      </c>
      <c r="Q680" t="str">
        <f>IF(P680="","",IFERROR(IF(AND(H680="W7",OR(F680="causal",F680="predictive")),IF(AND(OR(K680=1,K680="1"),OR(L680=1,L680="1"),OR(M680=1,M680="1")),"adequate","partial"),IF(AND(H680="W4",F680="predictive",OR(J680="P2",J680="P3",J680="P4")),IF(OR(U680=1,U680="1"),"adequate","partial"),INDEX(Fit_Matrix!$B:$B,MATCH(P680,Fit_Matrix!$A:$A,0)))),"CHECK KEY"))</f>
        <v/>
      </c>
      <c r="U680" s="10"/>
      <c r="V680" s="10"/>
      <c r="W680" s="10"/>
      <c r="X680" s="10"/>
      <c r="Y680" s="10"/>
      <c r="Z680" s="10"/>
      <c r="AA680" s="11" t="str">
        <f t="shared" si="21"/>
        <v/>
      </c>
    </row>
    <row r="681" spans="16:27" ht="15" customHeight="1">
      <c r="P681" t="str">
        <f t="shared" si="20"/>
        <v/>
      </c>
      <c r="Q681" t="str">
        <f>IF(P681="","",IFERROR(IF(AND(H681="W7",OR(F681="causal",F681="predictive")),IF(AND(OR(K681=1,K681="1"),OR(L681=1,L681="1"),OR(M681=1,M681="1")),"adequate","partial"),IF(AND(H681="W4",F681="predictive",OR(J681="P2",J681="P3",J681="P4")),IF(OR(U681=1,U681="1"),"adequate","partial"),INDEX(Fit_Matrix!$B:$B,MATCH(P681,Fit_Matrix!$A:$A,0)))),"CHECK KEY"))</f>
        <v/>
      </c>
      <c r="U681" s="10"/>
      <c r="V681" s="10"/>
      <c r="W681" s="10"/>
      <c r="X681" s="10"/>
      <c r="Y681" s="10"/>
      <c r="Z681" s="10"/>
      <c r="AA681" s="11" t="str">
        <f t="shared" si="21"/>
        <v/>
      </c>
    </row>
    <row r="682" spans="16:27" ht="15" customHeight="1">
      <c r="P682" t="str">
        <f t="shared" si="20"/>
        <v/>
      </c>
      <c r="Q682" t="str">
        <f>IF(P682="","",IFERROR(IF(AND(H682="W7",OR(F682="causal",F682="predictive")),IF(AND(OR(K682=1,K682="1"),OR(L682=1,L682="1"),OR(M682=1,M682="1")),"adequate","partial"),IF(AND(H682="W4",F682="predictive",OR(J682="P2",J682="P3",J682="P4")),IF(OR(U682=1,U682="1"),"adequate","partial"),INDEX(Fit_Matrix!$B:$B,MATCH(P682,Fit_Matrix!$A:$A,0)))),"CHECK KEY"))</f>
        <v/>
      </c>
      <c r="U682" s="10"/>
      <c r="V682" s="10"/>
      <c r="W682" s="10"/>
      <c r="X682" s="10"/>
      <c r="Y682" s="10"/>
      <c r="Z682" s="10"/>
      <c r="AA682" s="11" t="str">
        <f t="shared" si="21"/>
        <v/>
      </c>
    </row>
    <row r="683" spans="16:27" ht="15" customHeight="1">
      <c r="P683" t="str">
        <f t="shared" si="20"/>
        <v/>
      </c>
      <c r="Q683" t="str">
        <f>IF(P683="","",IFERROR(IF(AND(H683="W7",OR(F683="causal",F683="predictive")),IF(AND(OR(K683=1,K683="1"),OR(L683=1,L683="1"),OR(M683=1,M683="1")),"adequate","partial"),IF(AND(H683="W4",F683="predictive",OR(J683="P2",J683="P3",J683="P4")),IF(OR(U683=1,U683="1"),"adequate","partial"),INDEX(Fit_Matrix!$B:$B,MATCH(P683,Fit_Matrix!$A:$A,0)))),"CHECK KEY"))</f>
        <v/>
      </c>
      <c r="U683" s="10"/>
      <c r="V683" s="10"/>
      <c r="W683" s="10"/>
      <c r="X683" s="10"/>
      <c r="Y683" s="10"/>
      <c r="Z683" s="10"/>
      <c r="AA683" s="11" t="str">
        <f t="shared" si="21"/>
        <v/>
      </c>
    </row>
    <row r="684" spans="16:27" ht="15" customHeight="1">
      <c r="P684" t="str">
        <f t="shared" si="20"/>
        <v/>
      </c>
      <c r="Q684" t="str">
        <f>IF(P684="","",IFERROR(IF(AND(H684="W7",OR(F684="causal",F684="predictive")),IF(AND(OR(K684=1,K684="1"),OR(L684=1,L684="1"),OR(M684=1,M684="1")),"adequate","partial"),IF(AND(H684="W4",F684="predictive",OR(J684="P2",J684="P3",J684="P4")),IF(OR(U684=1,U684="1"),"adequate","partial"),INDEX(Fit_Matrix!$B:$B,MATCH(P684,Fit_Matrix!$A:$A,0)))),"CHECK KEY"))</f>
        <v/>
      </c>
      <c r="U684" s="10"/>
      <c r="V684" s="10"/>
      <c r="W684" s="10"/>
      <c r="X684" s="10"/>
      <c r="Y684" s="10"/>
      <c r="Z684" s="10"/>
      <c r="AA684" s="11" t="str">
        <f t="shared" si="21"/>
        <v/>
      </c>
    </row>
    <row r="685" spans="16:27" ht="15" customHeight="1">
      <c r="P685" t="str">
        <f t="shared" si="20"/>
        <v/>
      </c>
      <c r="Q685" t="str">
        <f>IF(P685="","",IFERROR(IF(AND(H685="W7",OR(F685="causal",F685="predictive")),IF(AND(OR(K685=1,K685="1"),OR(L685=1,L685="1"),OR(M685=1,M685="1")),"adequate","partial"),IF(AND(H685="W4",F685="predictive",OR(J685="P2",J685="P3",J685="P4")),IF(OR(U685=1,U685="1"),"adequate","partial"),INDEX(Fit_Matrix!$B:$B,MATCH(P685,Fit_Matrix!$A:$A,0)))),"CHECK KEY"))</f>
        <v/>
      </c>
      <c r="U685" s="10"/>
      <c r="V685" s="10"/>
      <c r="W685" s="10"/>
      <c r="X685" s="10"/>
      <c r="Y685" s="10"/>
      <c r="Z685" s="10"/>
      <c r="AA685" s="11" t="str">
        <f t="shared" si="21"/>
        <v/>
      </c>
    </row>
    <row r="686" spans="16:27" ht="15" customHeight="1">
      <c r="P686" t="str">
        <f t="shared" si="20"/>
        <v/>
      </c>
      <c r="Q686" t="str">
        <f>IF(P686="","",IFERROR(IF(AND(H686="W7",OR(F686="causal",F686="predictive")),IF(AND(OR(K686=1,K686="1"),OR(L686=1,L686="1"),OR(M686=1,M686="1")),"adequate","partial"),IF(AND(H686="W4",F686="predictive",OR(J686="P2",J686="P3",J686="P4")),IF(OR(U686=1,U686="1"),"adequate","partial"),INDEX(Fit_Matrix!$B:$B,MATCH(P686,Fit_Matrix!$A:$A,0)))),"CHECK KEY"))</f>
        <v/>
      </c>
      <c r="U686" s="10"/>
      <c r="V686" s="10"/>
      <c r="W686" s="10"/>
      <c r="X686" s="10"/>
      <c r="Y686" s="10"/>
      <c r="Z686" s="10"/>
      <c r="AA686" s="11" t="str">
        <f t="shared" si="21"/>
        <v/>
      </c>
    </row>
    <row r="687" spans="16:27" ht="15" customHeight="1">
      <c r="P687" t="str">
        <f t="shared" si="20"/>
        <v/>
      </c>
      <c r="Q687" t="str">
        <f>IF(P687="","",IFERROR(IF(AND(H687="W7",OR(F687="causal",F687="predictive")),IF(AND(OR(K687=1,K687="1"),OR(L687=1,L687="1"),OR(M687=1,M687="1")),"adequate","partial"),IF(AND(H687="W4",F687="predictive",OR(J687="P2",J687="P3",J687="P4")),IF(OR(U687=1,U687="1"),"adequate","partial"),INDEX(Fit_Matrix!$B:$B,MATCH(P687,Fit_Matrix!$A:$A,0)))),"CHECK KEY"))</f>
        <v/>
      </c>
      <c r="U687" s="10"/>
      <c r="V687" s="10"/>
      <c r="W687" s="10"/>
      <c r="X687" s="10"/>
      <c r="Y687" s="10"/>
      <c r="Z687" s="10"/>
      <c r="AA687" s="11" t="str">
        <f t="shared" si="21"/>
        <v/>
      </c>
    </row>
    <row r="688" spans="16:27" ht="15" customHeight="1">
      <c r="P688" t="str">
        <f t="shared" si="20"/>
        <v/>
      </c>
      <c r="Q688" t="str">
        <f>IF(P688="","",IFERROR(IF(AND(H688="W7",OR(F688="causal",F688="predictive")),IF(AND(OR(K688=1,K688="1"),OR(L688=1,L688="1"),OR(M688=1,M688="1")),"adequate","partial"),IF(AND(H688="W4",F688="predictive",OR(J688="P2",J688="P3",J688="P4")),IF(OR(U688=1,U688="1"),"adequate","partial"),INDEX(Fit_Matrix!$B:$B,MATCH(P688,Fit_Matrix!$A:$A,0)))),"CHECK KEY"))</f>
        <v/>
      </c>
      <c r="U688" s="10"/>
      <c r="V688" s="10"/>
      <c r="W688" s="10"/>
      <c r="X688" s="10"/>
      <c r="Y688" s="10"/>
      <c r="Z688" s="10"/>
      <c r="AA688" s="11" t="str">
        <f t="shared" si="21"/>
        <v/>
      </c>
    </row>
    <row r="689" spans="16:27" ht="15" customHeight="1">
      <c r="P689" t="str">
        <f t="shared" si="20"/>
        <v/>
      </c>
      <c r="Q689" t="str">
        <f>IF(P689="","",IFERROR(IF(AND(H689="W7",OR(F689="causal",F689="predictive")),IF(AND(OR(K689=1,K689="1"),OR(L689=1,L689="1"),OR(M689=1,M689="1")),"adequate","partial"),IF(AND(H689="W4",F689="predictive",OR(J689="P2",J689="P3",J689="P4")),IF(OR(U689=1,U689="1"),"adequate","partial"),INDEX(Fit_Matrix!$B:$B,MATCH(P689,Fit_Matrix!$A:$A,0)))),"CHECK KEY"))</f>
        <v/>
      </c>
      <c r="U689" s="10"/>
      <c r="V689" s="10"/>
      <c r="W689" s="10"/>
      <c r="X689" s="10"/>
      <c r="Y689" s="10"/>
      <c r="Z689" s="10"/>
      <c r="AA689" s="11" t="str">
        <f t="shared" si="21"/>
        <v/>
      </c>
    </row>
    <row r="690" spans="16:27" ht="15" customHeight="1">
      <c r="P690" t="str">
        <f t="shared" si="20"/>
        <v/>
      </c>
      <c r="Q690" t="str">
        <f>IF(P690="","",IFERROR(IF(AND(H690="W7",OR(F690="causal",F690="predictive")),IF(AND(OR(K690=1,K690="1"),OR(L690=1,L690="1"),OR(M690=1,M690="1")),"adequate","partial"),IF(AND(H690="W4",F690="predictive",OR(J690="P2",J690="P3",J690="P4")),IF(OR(U690=1,U690="1"),"adequate","partial"),INDEX(Fit_Matrix!$B:$B,MATCH(P690,Fit_Matrix!$A:$A,0)))),"CHECK KEY"))</f>
        <v/>
      </c>
      <c r="U690" s="10"/>
      <c r="V690" s="10"/>
      <c r="W690" s="10"/>
      <c r="X690" s="10"/>
      <c r="Y690" s="10"/>
      <c r="Z690" s="10"/>
      <c r="AA690" s="11" t="str">
        <f t="shared" si="21"/>
        <v/>
      </c>
    </row>
    <row r="691" spans="16:27" ht="15" customHeight="1">
      <c r="P691" t="str">
        <f t="shared" si="20"/>
        <v/>
      </c>
      <c r="Q691" t="str">
        <f>IF(P691="","",IFERROR(IF(AND(H691="W7",OR(F691="causal",F691="predictive")),IF(AND(OR(K691=1,K691="1"),OR(L691=1,L691="1"),OR(M691=1,M691="1")),"adequate","partial"),IF(AND(H691="W4",F691="predictive",OR(J691="P2",J691="P3",J691="P4")),IF(OR(U691=1,U691="1"),"adequate","partial"),INDEX(Fit_Matrix!$B:$B,MATCH(P691,Fit_Matrix!$A:$A,0)))),"CHECK KEY"))</f>
        <v/>
      </c>
      <c r="U691" s="10"/>
      <c r="V691" s="10"/>
      <c r="W691" s="10"/>
      <c r="X691" s="10"/>
      <c r="Y691" s="10"/>
      <c r="Z691" s="10"/>
      <c r="AA691" s="11" t="str">
        <f t="shared" si="21"/>
        <v/>
      </c>
    </row>
    <row r="692" spans="16:27" ht="15" customHeight="1">
      <c r="P692" t="str">
        <f t="shared" si="20"/>
        <v/>
      </c>
      <c r="Q692" t="str">
        <f>IF(P692="","",IFERROR(IF(AND(H692="W7",OR(F692="causal",F692="predictive")),IF(AND(OR(K692=1,K692="1"),OR(L692=1,L692="1"),OR(M692=1,M692="1")),"adequate","partial"),IF(AND(H692="W4",F692="predictive",OR(J692="P2",J692="P3",J692="P4")),IF(OR(U692=1,U692="1"),"adequate","partial"),INDEX(Fit_Matrix!$B:$B,MATCH(P692,Fit_Matrix!$A:$A,0)))),"CHECK KEY"))</f>
        <v/>
      </c>
      <c r="U692" s="10"/>
      <c r="V692" s="10"/>
      <c r="W692" s="10"/>
      <c r="X692" s="10"/>
      <c r="Y692" s="10"/>
      <c r="Z692" s="10"/>
      <c r="AA692" s="11" t="str">
        <f t="shared" si="21"/>
        <v/>
      </c>
    </row>
    <row r="693" spans="16:27" ht="15" customHeight="1">
      <c r="P693" t="str">
        <f t="shared" si="20"/>
        <v/>
      </c>
      <c r="Q693" t="str">
        <f>IF(P693="","",IFERROR(IF(AND(H693="W7",OR(F693="causal",F693="predictive")),IF(AND(OR(K693=1,K693="1"),OR(L693=1,L693="1"),OR(M693=1,M693="1")),"adequate","partial"),IF(AND(H693="W4",F693="predictive",OR(J693="P2",J693="P3",J693="P4")),IF(OR(U693=1,U693="1"),"adequate","partial"),INDEX(Fit_Matrix!$B:$B,MATCH(P693,Fit_Matrix!$A:$A,0)))),"CHECK KEY"))</f>
        <v/>
      </c>
      <c r="U693" s="10"/>
      <c r="V693" s="10"/>
      <c r="W693" s="10"/>
      <c r="X693" s="10"/>
      <c r="Y693" s="10"/>
      <c r="Z693" s="10"/>
      <c r="AA693" s="11" t="str">
        <f t="shared" si="21"/>
        <v/>
      </c>
    </row>
    <row r="694" spans="16:27" ht="15" customHeight="1">
      <c r="P694" t="str">
        <f t="shared" si="20"/>
        <v/>
      </c>
      <c r="Q694" t="str">
        <f>IF(P694="","",IFERROR(IF(AND(H694="W7",OR(F694="causal",F694="predictive")),IF(AND(OR(K694=1,K694="1"),OR(L694=1,L694="1"),OR(M694=1,M694="1")),"adequate","partial"),IF(AND(H694="W4",F694="predictive",OR(J694="P2",J694="P3",J694="P4")),IF(OR(U694=1,U694="1"),"adequate","partial"),INDEX(Fit_Matrix!$B:$B,MATCH(P694,Fit_Matrix!$A:$A,0)))),"CHECK KEY"))</f>
        <v/>
      </c>
      <c r="U694" s="10"/>
      <c r="V694" s="10"/>
      <c r="W694" s="10"/>
      <c r="X694" s="10"/>
      <c r="Y694" s="10"/>
      <c r="Z694" s="10"/>
      <c r="AA694" s="11" t="str">
        <f t="shared" si="21"/>
        <v/>
      </c>
    </row>
    <row r="695" spans="16:27" ht="15" customHeight="1">
      <c r="P695" t="str">
        <f t="shared" si="20"/>
        <v/>
      </c>
      <c r="Q695" t="str">
        <f>IF(P695="","",IFERROR(IF(AND(H695="W7",OR(F695="causal",F695="predictive")),IF(AND(OR(K695=1,K695="1"),OR(L695=1,L695="1"),OR(M695=1,M695="1")),"adequate","partial"),IF(AND(H695="W4",F695="predictive",OR(J695="P2",J695="P3",J695="P4")),IF(OR(U695=1,U695="1"),"adequate","partial"),INDEX(Fit_Matrix!$B:$B,MATCH(P695,Fit_Matrix!$A:$A,0)))),"CHECK KEY"))</f>
        <v/>
      </c>
      <c r="U695" s="10"/>
      <c r="V695" s="10"/>
      <c r="W695" s="10"/>
      <c r="X695" s="10"/>
      <c r="Y695" s="10"/>
      <c r="Z695" s="10"/>
      <c r="AA695" s="11" t="str">
        <f t="shared" si="21"/>
        <v/>
      </c>
    </row>
    <row r="696" spans="16:27" ht="15" customHeight="1">
      <c r="P696" t="str">
        <f t="shared" si="20"/>
        <v/>
      </c>
      <c r="Q696" t="str">
        <f>IF(P696="","",IFERROR(IF(AND(H696="W7",OR(F696="causal",F696="predictive")),IF(AND(OR(K696=1,K696="1"),OR(L696=1,L696="1"),OR(M696=1,M696="1")),"adequate","partial"),IF(AND(H696="W4",F696="predictive",OR(J696="P2",J696="P3",J696="P4")),IF(OR(U696=1,U696="1"),"adequate","partial"),INDEX(Fit_Matrix!$B:$B,MATCH(P696,Fit_Matrix!$A:$A,0)))),"CHECK KEY"))</f>
        <v/>
      </c>
      <c r="U696" s="10"/>
      <c r="V696" s="10"/>
      <c r="W696" s="10"/>
      <c r="X696" s="10"/>
      <c r="Y696" s="10"/>
      <c r="Z696" s="10"/>
      <c r="AA696" s="11" t="str">
        <f t="shared" si="21"/>
        <v/>
      </c>
    </row>
    <row r="697" spans="16:27" ht="15" customHeight="1">
      <c r="P697" t="str">
        <f t="shared" si="20"/>
        <v/>
      </c>
      <c r="Q697" t="str">
        <f>IF(P697="","",IFERROR(IF(AND(H697="W7",OR(F697="causal",F697="predictive")),IF(AND(OR(K697=1,K697="1"),OR(L697=1,L697="1"),OR(M697=1,M697="1")),"adequate","partial"),IF(AND(H697="W4",F697="predictive",OR(J697="P2",J697="P3",J697="P4")),IF(OR(U697=1,U697="1"),"adequate","partial"),INDEX(Fit_Matrix!$B:$B,MATCH(P697,Fit_Matrix!$A:$A,0)))),"CHECK KEY"))</f>
        <v/>
      </c>
      <c r="U697" s="10"/>
      <c r="V697" s="10"/>
      <c r="W697" s="10"/>
      <c r="X697" s="10"/>
      <c r="Y697" s="10"/>
      <c r="Z697" s="10"/>
      <c r="AA697" s="11" t="str">
        <f t="shared" si="21"/>
        <v/>
      </c>
    </row>
    <row r="698" spans="16:27" ht="15" customHeight="1">
      <c r="P698" t="str">
        <f t="shared" si="20"/>
        <v/>
      </c>
      <c r="Q698" t="str">
        <f>IF(P698="","",IFERROR(IF(AND(H698="W7",OR(F698="causal",F698="predictive")),IF(AND(OR(K698=1,K698="1"),OR(L698=1,L698="1"),OR(M698=1,M698="1")),"adequate","partial"),IF(AND(H698="W4",F698="predictive",OR(J698="P2",J698="P3",J698="P4")),IF(OR(U698=1,U698="1"),"adequate","partial"),INDEX(Fit_Matrix!$B:$B,MATCH(P698,Fit_Matrix!$A:$A,0)))),"CHECK KEY"))</f>
        <v/>
      </c>
      <c r="U698" s="10"/>
      <c r="V698" s="10"/>
      <c r="W698" s="10"/>
      <c r="X698" s="10"/>
      <c r="Y698" s="10"/>
      <c r="Z698" s="10"/>
      <c r="AA698" s="11" t="str">
        <f t="shared" si="21"/>
        <v/>
      </c>
    </row>
    <row r="699" spans="16:27" ht="15" customHeight="1">
      <c r="P699" t="str">
        <f t="shared" si="20"/>
        <v/>
      </c>
      <c r="Q699" t="str">
        <f>IF(P699="","",IFERROR(IF(AND(H699="W7",OR(F699="causal",F699="predictive")),IF(AND(OR(K699=1,K699="1"),OR(L699=1,L699="1"),OR(M699=1,M699="1")),"adequate","partial"),IF(AND(H699="W4",F699="predictive",OR(J699="P2",J699="P3",J699="P4")),IF(OR(U699=1,U699="1"),"adequate","partial"),INDEX(Fit_Matrix!$B:$B,MATCH(P699,Fit_Matrix!$A:$A,0)))),"CHECK KEY"))</f>
        <v/>
      </c>
      <c r="U699" s="10"/>
      <c r="V699" s="10"/>
      <c r="W699" s="10"/>
      <c r="X699" s="10"/>
      <c r="Y699" s="10"/>
      <c r="Z699" s="10"/>
      <c r="AA699" s="11" t="str">
        <f t="shared" si="21"/>
        <v/>
      </c>
    </row>
    <row r="700" spans="16:27" ht="15" customHeight="1">
      <c r="P700" t="str">
        <f t="shared" si="20"/>
        <v/>
      </c>
      <c r="Q700" t="str">
        <f>IF(P700="","",IFERROR(IF(AND(H700="W7",OR(F700="causal",F700="predictive")),IF(AND(OR(K700=1,K700="1"),OR(L700=1,L700="1"),OR(M700=1,M700="1")),"adequate","partial"),IF(AND(H700="W4",F700="predictive",OR(J700="P2",J700="P3",J700="P4")),IF(OR(U700=1,U700="1"),"adequate","partial"),INDEX(Fit_Matrix!$B:$B,MATCH(P700,Fit_Matrix!$A:$A,0)))),"CHECK KEY"))</f>
        <v/>
      </c>
      <c r="U700" s="10"/>
      <c r="V700" s="10"/>
      <c r="W700" s="10"/>
      <c r="X700" s="10"/>
      <c r="Y700" s="10"/>
      <c r="Z700" s="10"/>
      <c r="AA700" s="11" t="str">
        <f t="shared" si="21"/>
        <v/>
      </c>
    </row>
    <row r="701" spans="16:27" ht="15" customHeight="1">
      <c r="P701" t="str">
        <f t="shared" si="20"/>
        <v/>
      </c>
      <c r="Q701" t="str">
        <f>IF(P701="","",IFERROR(IF(AND(H701="W7",OR(F701="causal",F701="predictive")),IF(AND(OR(K701=1,K701="1"),OR(L701=1,L701="1"),OR(M701=1,M701="1")),"adequate","partial"),IF(AND(H701="W4",F701="predictive",OR(J701="P2",J701="P3",J701="P4")),IF(OR(U701=1,U701="1"),"adequate","partial"),INDEX(Fit_Matrix!$B:$B,MATCH(P701,Fit_Matrix!$A:$A,0)))),"CHECK KEY"))</f>
        <v/>
      </c>
      <c r="U701" s="10"/>
      <c r="V701" s="10"/>
      <c r="W701" s="10"/>
      <c r="X701" s="10"/>
      <c r="Y701" s="10"/>
      <c r="Z701" s="10"/>
      <c r="AA701" s="11" t="str">
        <f t="shared" si="21"/>
        <v/>
      </c>
    </row>
    <row r="702" spans="16:27" ht="15" customHeight="1">
      <c r="P702" t="str">
        <f t="shared" si="20"/>
        <v/>
      </c>
      <c r="Q702" t="str">
        <f>IF(P702="","",IFERROR(IF(AND(H702="W7",OR(F702="causal",F702="predictive")),IF(AND(OR(K702=1,K702="1"),OR(L702=1,L702="1"),OR(M702=1,M702="1")),"adequate","partial"),IF(AND(H702="W4",F702="predictive",OR(J702="P2",J702="P3",J702="P4")),IF(OR(U702=1,U702="1"),"adequate","partial"),INDEX(Fit_Matrix!$B:$B,MATCH(P702,Fit_Matrix!$A:$A,0)))),"CHECK KEY"))</f>
        <v/>
      </c>
      <c r="U702" s="10"/>
      <c r="V702" s="10"/>
      <c r="W702" s="10"/>
      <c r="X702" s="10"/>
      <c r="Y702" s="10"/>
      <c r="Z702" s="10"/>
      <c r="AA702" s="11" t="str">
        <f t="shared" si="21"/>
        <v/>
      </c>
    </row>
    <row r="703" spans="16:27" ht="15" customHeight="1">
      <c r="P703" t="str">
        <f t="shared" si="20"/>
        <v/>
      </c>
      <c r="Q703" t="str">
        <f>IF(P703="","",IFERROR(IF(AND(H703="W7",OR(F703="causal",F703="predictive")),IF(AND(OR(K703=1,K703="1"),OR(L703=1,L703="1"),OR(M703=1,M703="1")),"adequate","partial"),IF(AND(H703="W4",F703="predictive",OR(J703="P2",J703="P3",J703="P4")),IF(OR(U703=1,U703="1"),"adequate","partial"),INDEX(Fit_Matrix!$B:$B,MATCH(P703,Fit_Matrix!$A:$A,0)))),"CHECK KEY"))</f>
        <v/>
      </c>
      <c r="U703" s="10"/>
      <c r="V703" s="10"/>
      <c r="W703" s="10"/>
      <c r="X703" s="10"/>
      <c r="Y703" s="10"/>
      <c r="Z703" s="10"/>
      <c r="AA703" s="11" t="str">
        <f t="shared" si="21"/>
        <v/>
      </c>
    </row>
    <row r="704" spans="16:27" ht="15" customHeight="1">
      <c r="P704" t="str">
        <f t="shared" si="20"/>
        <v/>
      </c>
      <c r="Q704" t="str">
        <f>IF(P704="","",IFERROR(IF(AND(H704="W7",OR(F704="causal",F704="predictive")),IF(AND(OR(K704=1,K704="1"),OR(L704=1,L704="1"),OR(M704=1,M704="1")),"adequate","partial"),IF(AND(H704="W4",F704="predictive",OR(J704="P2",J704="P3",J704="P4")),IF(OR(U704=1,U704="1"),"adequate","partial"),INDEX(Fit_Matrix!$B:$B,MATCH(P704,Fit_Matrix!$A:$A,0)))),"CHECK KEY"))</f>
        <v/>
      </c>
      <c r="U704" s="10"/>
      <c r="V704" s="10"/>
      <c r="W704" s="10"/>
      <c r="X704" s="10"/>
      <c r="Y704" s="10"/>
      <c r="Z704" s="10"/>
      <c r="AA704" s="11" t="str">
        <f t="shared" si="21"/>
        <v/>
      </c>
    </row>
    <row r="705" spans="16:27" ht="15" customHeight="1">
      <c r="P705" t="str">
        <f t="shared" si="20"/>
        <v/>
      </c>
      <c r="Q705" t="str">
        <f>IF(P705="","",IFERROR(IF(AND(H705="W7",OR(F705="causal",F705="predictive")),IF(AND(OR(K705=1,K705="1"),OR(L705=1,L705="1"),OR(M705=1,M705="1")),"adequate","partial"),IF(AND(H705="W4",F705="predictive",OR(J705="P2",J705="P3",J705="P4")),IF(OR(U705=1,U705="1"),"adequate","partial"),INDEX(Fit_Matrix!$B:$B,MATCH(P705,Fit_Matrix!$A:$A,0)))),"CHECK KEY"))</f>
        <v/>
      </c>
      <c r="U705" s="10"/>
      <c r="V705" s="10"/>
      <c r="W705" s="10"/>
      <c r="X705" s="10"/>
      <c r="Y705" s="10"/>
      <c r="Z705" s="10"/>
      <c r="AA705" s="11" t="str">
        <f t="shared" si="21"/>
        <v/>
      </c>
    </row>
    <row r="706" spans="16:27" ht="15" customHeight="1">
      <c r="P706" t="str">
        <f t="shared" ref="P706:P769" si="22">IF(OR(F706="",H706="",J706=""),"",J706&amp;"|"&amp;F706&amp;"|"&amp;IF(H706="W3","W3_"&amp;IF(I706="","unknown",I706),H706))</f>
        <v/>
      </c>
      <c r="Q706" t="str">
        <f>IF(P706="","",IFERROR(IF(AND(H706="W7",OR(F706="causal",F706="predictive")),IF(AND(OR(K706=1,K706="1"),OR(L706=1,L706="1"),OR(M706=1,M706="1")),"adequate","partial"),IF(AND(H706="W4",F706="predictive",OR(J706="P2",J706="P3",J706="P4")),IF(OR(U706=1,U706="1"),"adequate","partial"),INDEX(Fit_Matrix!$B:$B,MATCH(P706,Fit_Matrix!$A:$A,0)))),"CHECK KEY"))</f>
        <v/>
      </c>
      <c r="U706" s="10"/>
      <c r="V706" s="10"/>
      <c r="W706" s="10"/>
      <c r="X706" s="10"/>
      <c r="Y706" s="10"/>
      <c r="Z706" s="10"/>
      <c r="AA706" s="11" t="str">
        <f t="shared" ref="AA706:AA769" si="23">IF(A706="","",IF(AND(J706="P4",F706="causal"),"P4-CAUSAL",""))</f>
        <v/>
      </c>
    </row>
    <row r="707" spans="16:27" ht="15" customHeight="1">
      <c r="P707" t="str">
        <f t="shared" si="22"/>
        <v/>
      </c>
      <c r="Q707" t="str">
        <f>IF(P707="","",IFERROR(IF(AND(H707="W7",OR(F707="causal",F707="predictive")),IF(AND(OR(K707=1,K707="1"),OR(L707=1,L707="1"),OR(M707=1,M707="1")),"adequate","partial"),IF(AND(H707="W4",F707="predictive",OR(J707="P2",J707="P3",J707="P4")),IF(OR(U707=1,U707="1"),"adequate","partial"),INDEX(Fit_Matrix!$B:$B,MATCH(P707,Fit_Matrix!$A:$A,0)))),"CHECK KEY"))</f>
        <v/>
      </c>
      <c r="U707" s="10"/>
      <c r="V707" s="10"/>
      <c r="W707" s="10"/>
      <c r="X707" s="10"/>
      <c r="Y707" s="10"/>
      <c r="Z707" s="10"/>
      <c r="AA707" s="11" t="str">
        <f t="shared" si="23"/>
        <v/>
      </c>
    </row>
    <row r="708" spans="16:27" ht="15" customHeight="1">
      <c r="P708" t="str">
        <f t="shared" si="22"/>
        <v/>
      </c>
      <c r="Q708" t="str">
        <f>IF(P708="","",IFERROR(IF(AND(H708="W7",OR(F708="causal",F708="predictive")),IF(AND(OR(K708=1,K708="1"),OR(L708=1,L708="1"),OR(M708=1,M708="1")),"adequate","partial"),IF(AND(H708="W4",F708="predictive",OR(J708="P2",J708="P3",J708="P4")),IF(OR(U708=1,U708="1"),"adequate","partial"),INDEX(Fit_Matrix!$B:$B,MATCH(P708,Fit_Matrix!$A:$A,0)))),"CHECK KEY"))</f>
        <v/>
      </c>
      <c r="U708" s="10"/>
      <c r="V708" s="10"/>
      <c r="W708" s="10"/>
      <c r="X708" s="10"/>
      <c r="Y708" s="10"/>
      <c r="Z708" s="10"/>
      <c r="AA708" s="11" t="str">
        <f t="shared" si="23"/>
        <v/>
      </c>
    </row>
    <row r="709" spans="16:27" ht="15" customHeight="1">
      <c r="P709" t="str">
        <f t="shared" si="22"/>
        <v/>
      </c>
      <c r="Q709" t="str">
        <f>IF(P709="","",IFERROR(IF(AND(H709="W7",OR(F709="causal",F709="predictive")),IF(AND(OR(K709=1,K709="1"),OR(L709=1,L709="1"),OR(M709=1,M709="1")),"adequate","partial"),IF(AND(H709="W4",F709="predictive",OR(J709="P2",J709="P3",J709="P4")),IF(OR(U709=1,U709="1"),"adequate","partial"),INDEX(Fit_Matrix!$B:$B,MATCH(P709,Fit_Matrix!$A:$A,0)))),"CHECK KEY"))</f>
        <v/>
      </c>
      <c r="U709" s="10"/>
      <c r="V709" s="10"/>
      <c r="W709" s="10"/>
      <c r="X709" s="10"/>
      <c r="Y709" s="10"/>
      <c r="Z709" s="10"/>
      <c r="AA709" s="11" t="str">
        <f t="shared" si="23"/>
        <v/>
      </c>
    </row>
    <row r="710" spans="16:27" ht="15" customHeight="1">
      <c r="P710" t="str">
        <f t="shared" si="22"/>
        <v/>
      </c>
      <c r="Q710" t="str">
        <f>IF(P710="","",IFERROR(IF(AND(H710="W7",OR(F710="causal",F710="predictive")),IF(AND(OR(K710=1,K710="1"),OR(L710=1,L710="1"),OR(M710=1,M710="1")),"adequate","partial"),IF(AND(H710="W4",F710="predictive",OR(J710="P2",J710="P3",J710="P4")),IF(OR(U710=1,U710="1"),"adequate","partial"),INDEX(Fit_Matrix!$B:$B,MATCH(P710,Fit_Matrix!$A:$A,0)))),"CHECK KEY"))</f>
        <v/>
      </c>
      <c r="U710" s="10"/>
      <c r="V710" s="10"/>
      <c r="W710" s="10"/>
      <c r="X710" s="10"/>
      <c r="Y710" s="10"/>
      <c r="Z710" s="10"/>
      <c r="AA710" s="11" t="str">
        <f t="shared" si="23"/>
        <v/>
      </c>
    </row>
    <row r="711" spans="16:27" ht="15" customHeight="1">
      <c r="P711" t="str">
        <f t="shared" si="22"/>
        <v/>
      </c>
      <c r="Q711" t="str">
        <f>IF(P711="","",IFERROR(IF(AND(H711="W7",OR(F711="causal",F711="predictive")),IF(AND(OR(K711=1,K711="1"),OR(L711=1,L711="1"),OR(M711=1,M711="1")),"adequate","partial"),IF(AND(H711="W4",F711="predictive",OR(J711="P2",J711="P3",J711="P4")),IF(OR(U711=1,U711="1"),"adequate","partial"),INDEX(Fit_Matrix!$B:$B,MATCH(P711,Fit_Matrix!$A:$A,0)))),"CHECK KEY"))</f>
        <v/>
      </c>
      <c r="U711" s="10"/>
      <c r="V711" s="10"/>
      <c r="W711" s="10"/>
      <c r="X711" s="10"/>
      <c r="Y711" s="10"/>
      <c r="Z711" s="10"/>
      <c r="AA711" s="11" t="str">
        <f t="shared" si="23"/>
        <v/>
      </c>
    </row>
    <row r="712" spans="16:27" ht="15" customHeight="1">
      <c r="P712" t="str">
        <f t="shared" si="22"/>
        <v/>
      </c>
      <c r="Q712" t="str">
        <f>IF(P712="","",IFERROR(IF(AND(H712="W7",OR(F712="causal",F712="predictive")),IF(AND(OR(K712=1,K712="1"),OR(L712=1,L712="1"),OR(M712=1,M712="1")),"adequate","partial"),IF(AND(H712="W4",F712="predictive",OR(J712="P2",J712="P3",J712="P4")),IF(OR(U712=1,U712="1"),"adequate","partial"),INDEX(Fit_Matrix!$B:$B,MATCH(P712,Fit_Matrix!$A:$A,0)))),"CHECK KEY"))</f>
        <v/>
      </c>
      <c r="U712" s="10"/>
      <c r="V712" s="10"/>
      <c r="W712" s="10"/>
      <c r="X712" s="10"/>
      <c r="Y712" s="10"/>
      <c r="Z712" s="10"/>
      <c r="AA712" s="11" t="str">
        <f t="shared" si="23"/>
        <v/>
      </c>
    </row>
    <row r="713" spans="16:27" ht="15" customHeight="1">
      <c r="P713" t="str">
        <f t="shared" si="22"/>
        <v/>
      </c>
      <c r="Q713" t="str">
        <f>IF(P713="","",IFERROR(IF(AND(H713="W7",OR(F713="causal",F713="predictive")),IF(AND(OR(K713=1,K713="1"),OR(L713=1,L713="1"),OR(M713=1,M713="1")),"adequate","partial"),IF(AND(H713="W4",F713="predictive",OR(J713="P2",J713="P3",J713="P4")),IF(OR(U713=1,U713="1"),"adequate","partial"),INDEX(Fit_Matrix!$B:$B,MATCH(P713,Fit_Matrix!$A:$A,0)))),"CHECK KEY"))</f>
        <v/>
      </c>
      <c r="U713" s="10"/>
      <c r="V713" s="10"/>
      <c r="W713" s="10"/>
      <c r="X713" s="10"/>
      <c r="Y713" s="10"/>
      <c r="Z713" s="10"/>
      <c r="AA713" s="11" t="str">
        <f t="shared" si="23"/>
        <v/>
      </c>
    </row>
    <row r="714" spans="16:27" ht="15" customHeight="1">
      <c r="P714" t="str">
        <f t="shared" si="22"/>
        <v/>
      </c>
      <c r="Q714" t="str">
        <f>IF(P714="","",IFERROR(IF(AND(H714="W7",OR(F714="causal",F714="predictive")),IF(AND(OR(K714=1,K714="1"),OR(L714=1,L714="1"),OR(M714=1,M714="1")),"adequate","partial"),IF(AND(H714="W4",F714="predictive",OR(J714="P2",J714="P3",J714="P4")),IF(OR(U714=1,U714="1"),"adequate","partial"),INDEX(Fit_Matrix!$B:$B,MATCH(P714,Fit_Matrix!$A:$A,0)))),"CHECK KEY"))</f>
        <v/>
      </c>
      <c r="U714" s="10"/>
      <c r="V714" s="10"/>
      <c r="W714" s="10"/>
      <c r="X714" s="10"/>
      <c r="Y714" s="10"/>
      <c r="Z714" s="10"/>
      <c r="AA714" s="11" t="str">
        <f t="shared" si="23"/>
        <v/>
      </c>
    </row>
    <row r="715" spans="16:27" ht="15" customHeight="1">
      <c r="P715" t="str">
        <f t="shared" si="22"/>
        <v/>
      </c>
      <c r="Q715" t="str">
        <f>IF(P715="","",IFERROR(IF(AND(H715="W7",OR(F715="causal",F715="predictive")),IF(AND(OR(K715=1,K715="1"),OR(L715=1,L715="1"),OR(M715=1,M715="1")),"adequate","partial"),IF(AND(H715="W4",F715="predictive",OR(J715="P2",J715="P3",J715="P4")),IF(OR(U715=1,U715="1"),"adequate","partial"),INDEX(Fit_Matrix!$B:$B,MATCH(P715,Fit_Matrix!$A:$A,0)))),"CHECK KEY"))</f>
        <v/>
      </c>
      <c r="U715" s="10"/>
      <c r="V715" s="10"/>
      <c r="W715" s="10"/>
      <c r="X715" s="10"/>
      <c r="Y715" s="10"/>
      <c r="Z715" s="10"/>
      <c r="AA715" s="11" t="str">
        <f t="shared" si="23"/>
        <v/>
      </c>
    </row>
    <row r="716" spans="16:27" ht="15" customHeight="1">
      <c r="P716" t="str">
        <f t="shared" si="22"/>
        <v/>
      </c>
      <c r="Q716" t="str">
        <f>IF(P716="","",IFERROR(IF(AND(H716="W7",OR(F716="causal",F716="predictive")),IF(AND(OR(K716=1,K716="1"),OR(L716=1,L716="1"),OR(M716=1,M716="1")),"adequate","partial"),IF(AND(H716="W4",F716="predictive",OR(J716="P2",J716="P3",J716="P4")),IF(OR(U716=1,U716="1"),"adequate","partial"),INDEX(Fit_Matrix!$B:$B,MATCH(P716,Fit_Matrix!$A:$A,0)))),"CHECK KEY"))</f>
        <v/>
      </c>
      <c r="U716" s="10"/>
      <c r="V716" s="10"/>
      <c r="W716" s="10"/>
      <c r="X716" s="10"/>
      <c r="Y716" s="10"/>
      <c r="Z716" s="10"/>
      <c r="AA716" s="11" t="str">
        <f t="shared" si="23"/>
        <v/>
      </c>
    </row>
    <row r="717" spans="16:27" ht="15" customHeight="1">
      <c r="P717" t="str">
        <f t="shared" si="22"/>
        <v/>
      </c>
      <c r="Q717" t="str">
        <f>IF(P717="","",IFERROR(IF(AND(H717="W7",OR(F717="causal",F717="predictive")),IF(AND(OR(K717=1,K717="1"),OR(L717=1,L717="1"),OR(M717=1,M717="1")),"adequate","partial"),IF(AND(H717="W4",F717="predictive",OR(J717="P2",J717="P3",J717="P4")),IF(OR(U717=1,U717="1"),"adequate","partial"),INDEX(Fit_Matrix!$B:$B,MATCH(P717,Fit_Matrix!$A:$A,0)))),"CHECK KEY"))</f>
        <v/>
      </c>
      <c r="U717" s="10"/>
      <c r="V717" s="10"/>
      <c r="W717" s="10"/>
      <c r="X717" s="10"/>
      <c r="Y717" s="10"/>
      <c r="Z717" s="10"/>
      <c r="AA717" s="11" t="str">
        <f t="shared" si="23"/>
        <v/>
      </c>
    </row>
    <row r="718" spans="16:27" ht="15" customHeight="1">
      <c r="P718" t="str">
        <f t="shared" si="22"/>
        <v/>
      </c>
      <c r="Q718" t="str">
        <f>IF(P718="","",IFERROR(IF(AND(H718="W7",OR(F718="causal",F718="predictive")),IF(AND(OR(K718=1,K718="1"),OR(L718=1,L718="1"),OR(M718=1,M718="1")),"adequate","partial"),IF(AND(H718="W4",F718="predictive",OR(J718="P2",J718="P3",J718="P4")),IF(OR(U718=1,U718="1"),"adequate","partial"),INDEX(Fit_Matrix!$B:$B,MATCH(P718,Fit_Matrix!$A:$A,0)))),"CHECK KEY"))</f>
        <v/>
      </c>
      <c r="U718" s="10"/>
      <c r="V718" s="10"/>
      <c r="W718" s="10"/>
      <c r="X718" s="10"/>
      <c r="Y718" s="10"/>
      <c r="Z718" s="10"/>
      <c r="AA718" s="11" t="str">
        <f t="shared" si="23"/>
        <v/>
      </c>
    </row>
    <row r="719" spans="16:27" ht="15" customHeight="1">
      <c r="P719" t="str">
        <f t="shared" si="22"/>
        <v/>
      </c>
      <c r="Q719" t="str">
        <f>IF(P719="","",IFERROR(IF(AND(H719="W7",OR(F719="causal",F719="predictive")),IF(AND(OR(K719=1,K719="1"),OR(L719=1,L719="1"),OR(M719=1,M719="1")),"adequate","partial"),IF(AND(H719="W4",F719="predictive",OR(J719="P2",J719="P3",J719="P4")),IF(OR(U719=1,U719="1"),"adequate","partial"),INDEX(Fit_Matrix!$B:$B,MATCH(P719,Fit_Matrix!$A:$A,0)))),"CHECK KEY"))</f>
        <v/>
      </c>
      <c r="U719" s="10"/>
      <c r="V719" s="10"/>
      <c r="W719" s="10"/>
      <c r="X719" s="10"/>
      <c r="Y719" s="10"/>
      <c r="Z719" s="10"/>
      <c r="AA719" s="11" t="str">
        <f t="shared" si="23"/>
        <v/>
      </c>
    </row>
    <row r="720" spans="16:27" ht="15" customHeight="1">
      <c r="P720" t="str">
        <f t="shared" si="22"/>
        <v/>
      </c>
      <c r="Q720" t="str">
        <f>IF(P720="","",IFERROR(IF(AND(H720="W7",OR(F720="causal",F720="predictive")),IF(AND(OR(K720=1,K720="1"),OR(L720=1,L720="1"),OR(M720=1,M720="1")),"adequate","partial"),IF(AND(H720="W4",F720="predictive",OR(J720="P2",J720="P3",J720="P4")),IF(OR(U720=1,U720="1"),"adequate","partial"),INDEX(Fit_Matrix!$B:$B,MATCH(P720,Fit_Matrix!$A:$A,0)))),"CHECK KEY"))</f>
        <v/>
      </c>
      <c r="U720" s="10"/>
      <c r="V720" s="10"/>
      <c r="W720" s="10"/>
      <c r="X720" s="10"/>
      <c r="Y720" s="10"/>
      <c r="Z720" s="10"/>
      <c r="AA720" s="11" t="str">
        <f t="shared" si="23"/>
        <v/>
      </c>
    </row>
    <row r="721" spans="16:27" ht="15" customHeight="1">
      <c r="P721" t="str">
        <f t="shared" si="22"/>
        <v/>
      </c>
      <c r="Q721" t="str">
        <f>IF(P721="","",IFERROR(IF(AND(H721="W7",OR(F721="causal",F721="predictive")),IF(AND(OR(K721=1,K721="1"),OR(L721=1,L721="1"),OR(M721=1,M721="1")),"adequate","partial"),IF(AND(H721="W4",F721="predictive",OR(J721="P2",J721="P3",J721="P4")),IF(OR(U721=1,U721="1"),"adequate","partial"),INDEX(Fit_Matrix!$B:$B,MATCH(P721,Fit_Matrix!$A:$A,0)))),"CHECK KEY"))</f>
        <v/>
      </c>
      <c r="U721" s="10"/>
      <c r="V721" s="10"/>
      <c r="W721" s="10"/>
      <c r="X721" s="10"/>
      <c r="Y721" s="10"/>
      <c r="Z721" s="10"/>
      <c r="AA721" s="11" t="str">
        <f t="shared" si="23"/>
        <v/>
      </c>
    </row>
    <row r="722" spans="16:27" ht="15" customHeight="1">
      <c r="P722" t="str">
        <f t="shared" si="22"/>
        <v/>
      </c>
      <c r="Q722" t="str">
        <f>IF(P722="","",IFERROR(IF(AND(H722="W7",OR(F722="causal",F722="predictive")),IF(AND(OR(K722=1,K722="1"),OR(L722=1,L722="1"),OR(M722=1,M722="1")),"adequate","partial"),IF(AND(H722="W4",F722="predictive",OR(J722="P2",J722="P3",J722="P4")),IF(OR(U722=1,U722="1"),"adequate","partial"),INDEX(Fit_Matrix!$B:$B,MATCH(P722,Fit_Matrix!$A:$A,0)))),"CHECK KEY"))</f>
        <v/>
      </c>
      <c r="U722" s="10"/>
      <c r="V722" s="10"/>
      <c r="W722" s="10"/>
      <c r="X722" s="10"/>
      <c r="Y722" s="10"/>
      <c r="Z722" s="10"/>
      <c r="AA722" s="11" t="str">
        <f t="shared" si="23"/>
        <v/>
      </c>
    </row>
    <row r="723" spans="16:27" ht="15" customHeight="1">
      <c r="P723" t="str">
        <f t="shared" si="22"/>
        <v/>
      </c>
      <c r="Q723" t="str">
        <f>IF(P723="","",IFERROR(IF(AND(H723="W7",OR(F723="causal",F723="predictive")),IF(AND(OR(K723=1,K723="1"),OR(L723=1,L723="1"),OR(M723=1,M723="1")),"adequate","partial"),IF(AND(H723="W4",F723="predictive",OR(J723="P2",J723="P3",J723="P4")),IF(OR(U723=1,U723="1"),"adequate","partial"),INDEX(Fit_Matrix!$B:$B,MATCH(P723,Fit_Matrix!$A:$A,0)))),"CHECK KEY"))</f>
        <v/>
      </c>
      <c r="U723" s="10"/>
      <c r="V723" s="10"/>
      <c r="W723" s="10"/>
      <c r="X723" s="10"/>
      <c r="Y723" s="10"/>
      <c r="Z723" s="10"/>
      <c r="AA723" s="11" t="str">
        <f t="shared" si="23"/>
        <v/>
      </c>
    </row>
    <row r="724" spans="16:27" ht="15" customHeight="1">
      <c r="P724" t="str">
        <f t="shared" si="22"/>
        <v/>
      </c>
      <c r="Q724" t="str">
        <f>IF(P724="","",IFERROR(IF(AND(H724="W7",OR(F724="causal",F724="predictive")),IF(AND(OR(K724=1,K724="1"),OR(L724=1,L724="1"),OR(M724=1,M724="1")),"adequate","partial"),IF(AND(H724="W4",F724="predictive",OR(J724="P2",J724="P3",J724="P4")),IF(OR(U724=1,U724="1"),"adequate","partial"),INDEX(Fit_Matrix!$B:$B,MATCH(P724,Fit_Matrix!$A:$A,0)))),"CHECK KEY"))</f>
        <v/>
      </c>
      <c r="U724" s="10"/>
      <c r="V724" s="10"/>
      <c r="W724" s="10"/>
      <c r="X724" s="10"/>
      <c r="Y724" s="10"/>
      <c r="Z724" s="10"/>
      <c r="AA724" s="11" t="str">
        <f t="shared" si="23"/>
        <v/>
      </c>
    </row>
    <row r="725" spans="16:27" ht="15" customHeight="1">
      <c r="P725" t="str">
        <f t="shared" si="22"/>
        <v/>
      </c>
      <c r="Q725" t="str">
        <f>IF(P725="","",IFERROR(IF(AND(H725="W7",OR(F725="causal",F725="predictive")),IF(AND(OR(K725=1,K725="1"),OR(L725=1,L725="1"),OR(M725=1,M725="1")),"adequate","partial"),IF(AND(H725="W4",F725="predictive",OR(J725="P2",J725="P3",J725="P4")),IF(OR(U725=1,U725="1"),"adequate","partial"),INDEX(Fit_Matrix!$B:$B,MATCH(P725,Fit_Matrix!$A:$A,0)))),"CHECK KEY"))</f>
        <v/>
      </c>
      <c r="U725" s="10"/>
      <c r="V725" s="10"/>
      <c r="W725" s="10"/>
      <c r="X725" s="10"/>
      <c r="Y725" s="10"/>
      <c r="Z725" s="10"/>
      <c r="AA725" s="11" t="str">
        <f t="shared" si="23"/>
        <v/>
      </c>
    </row>
    <row r="726" spans="16:27" ht="15" customHeight="1">
      <c r="P726" t="str">
        <f t="shared" si="22"/>
        <v/>
      </c>
      <c r="Q726" t="str">
        <f>IF(P726="","",IFERROR(IF(AND(H726="W7",OR(F726="causal",F726="predictive")),IF(AND(OR(K726=1,K726="1"),OR(L726=1,L726="1"),OR(M726=1,M726="1")),"adequate","partial"),IF(AND(H726="W4",F726="predictive",OR(J726="P2",J726="P3",J726="P4")),IF(OR(U726=1,U726="1"),"adequate","partial"),INDEX(Fit_Matrix!$B:$B,MATCH(P726,Fit_Matrix!$A:$A,0)))),"CHECK KEY"))</f>
        <v/>
      </c>
      <c r="U726" s="10"/>
      <c r="V726" s="10"/>
      <c r="W726" s="10"/>
      <c r="X726" s="10"/>
      <c r="Y726" s="10"/>
      <c r="Z726" s="10"/>
      <c r="AA726" s="11" t="str">
        <f t="shared" si="23"/>
        <v/>
      </c>
    </row>
    <row r="727" spans="16:27" ht="15" customHeight="1">
      <c r="P727" t="str">
        <f t="shared" si="22"/>
        <v/>
      </c>
      <c r="Q727" t="str">
        <f>IF(P727="","",IFERROR(IF(AND(H727="W7",OR(F727="causal",F727="predictive")),IF(AND(OR(K727=1,K727="1"),OR(L727=1,L727="1"),OR(M727=1,M727="1")),"adequate","partial"),IF(AND(H727="W4",F727="predictive",OR(J727="P2",J727="P3",J727="P4")),IF(OR(U727=1,U727="1"),"adequate","partial"),INDEX(Fit_Matrix!$B:$B,MATCH(P727,Fit_Matrix!$A:$A,0)))),"CHECK KEY"))</f>
        <v/>
      </c>
      <c r="U727" s="10"/>
      <c r="V727" s="10"/>
      <c r="W727" s="10"/>
      <c r="X727" s="10"/>
      <c r="Y727" s="10"/>
      <c r="Z727" s="10"/>
      <c r="AA727" s="11" t="str">
        <f t="shared" si="23"/>
        <v/>
      </c>
    </row>
    <row r="728" spans="16:27" ht="15" customHeight="1">
      <c r="P728" t="str">
        <f t="shared" si="22"/>
        <v/>
      </c>
      <c r="Q728" t="str">
        <f>IF(P728="","",IFERROR(IF(AND(H728="W7",OR(F728="causal",F728="predictive")),IF(AND(OR(K728=1,K728="1"),OR(L728=1,L728="1"),OR(M728=1,M728="1")),"adequate","partial"),IF(AND(H728="W4",F728="predictive",OR(J728="P2",J728="P3",J728="P4")),IF(OR(U728=1,U728="1"),"adequate","partial"),INDEX(Fit_Matrix!$B:$B,MATCH(P728,Fit_Matrix!$A:$A,0)))),"CHECK KEY"))</f>
        <v/>
      </c>
      <c r="U728" s="10"/>
      <c r="V728" s="10"/>
      <c r="W728" s="10"/>
      <c r="X728" s="10"/>
      <c r="Y728" s="10"/>
      <c r="Z728" s="10"/>
      <c r="AA728" s="11" t="str">
        <f t="shared" si="23"/>
        <v/>
      </c>
    </row>
    <row r="729" spans="16:27" ht="15" customHeight="1">
      <c r="P729" t="str">
        <f t="shared" si="22"/>
        <v/>
      </c>
      <c r="Q729" t="str">
        <f>IF(P729="","",IFERROR(IF(AND(H729="W7",OR(F729="causal",F729="predictive")),IF(AND(OR(K729=1,K729="1"),OR(L729=1,L729="1"),OR(M729=1,M729="1")),"adequate","partial"),IF(AND(H729="W4",F729="predictive",OR(J729="P2",J729="P3",J729="P4")),IF(OR(U729=1,U729="1"),"adequate","partial"),INDEX(Fit_Matrix!$B:$B,MATCH(P729,Fit_Matrix!$A:$A,0)))),"CHECK KEY"))</f>
        <v/>
      </c>
      <c r="U729" s="10"/>
      <c r="V729" s="10"/>
      <c r="W729" s="10"/>
      <c r="X729" s="10"/>
      <c r="Y729" s="10"/>
      <c r="Z729" s="10"/>
      <c r="AA729" s="11" t="str">
        <f t="shared" si="23"/>
        <v/>
      </c>
    </row>
    <row r="730" spans="16:27" ht="15" customHeight="1">
      <c r="P730" t="str">
        <f t="shared" si="22"/>
        <v/>
      </c>
      <c r="Q730" t="str">
        <f>IF(P730="","",IFERROR(IF(AND(H730="W7",OR(F730="causal",F730="predictive")),IF(AND(OR(K730=1,K730="1"),OR(L730=1,L730="1"),OR(M730=1,M730="1")),"adequate","partial"),IF(AND(H730="W4",F730="predictive",OR(J730="P2",J730="P3",J730="P4")),IF(OR(U730=1,U730="1"),"adequate","partial"),INDEX(Fit_Matrix!$B:$B,MATCH(P730,Fit_Matrix!$A:$A,0)))),"CHECK KEY"))</f>
        <v/>
      </c>
      <c r="U730" s="10"/>
      <c r="V730" s="10"/>
      <c r="W730" s="10"/>
      <c r="X730" s="10"/>
      <c r="Y730" s="10"/>
      <c r="Z730" s="10"/>
      <c r="AA730" s="11" t="str">
        <f t="shared" si="23"/>
        <v/>
      </c>
    </row>
    <row r="731" spans="16:27" ht="15" customHeight="1">
      <c r="P731" t="str">
        <f t="shared" si="22"/>
        <v/>
      </c>
      <c r="Q731" t="str">
        <f>IF(P731="","",IFERROR(IF(AND(H731="W7",OR(F731="causal",F731="predictive")),IF(AND(OR(K731=1,K731="1"),OR(L731=1,L731="1"),OR(M731=1,M731="1")),"adequate","partial"),IF(AND(H731="W4",F731="predictive",OR(J731="P2",J731="P3",J731="P4")),IF(OR(U731=1,U731="1"),"adequate","partial"),INDEX(Fit_Matrix!$B:$B,MATCH(P731,Fit_Matrix!$A:$A,0)))),"CHECK KEY"))</f>
        <v/>
      </c>
      <c r="U731" s="10"/>
      <c r="V731" s="10"/>
      <c r="W731" s="10"/>
      <c r="X731" s="10"/>
      <c r="Y731" s="10"/>
      <c r="Z731" s="10"/>
      <c r="AA731" s="11" t="str">
        <f t="shared" si="23"/>
        <v/>
      </c>
    </row>
    <row r="732" spans="16:27" ht="15" customHeight="1">
      <c r="P732" t="str">
        <f t="shared" si="22"/>
        <v/>
      </c>
      <c r="Q732" t="str">
        <f>IF(P732="","",IFERROR(IF(AND(H732="W7",OR(F732="causal",F732="predictive")),IF(AND(OR(K732=1,K732="1"),OR(L732=1,L732="1"),OR(M732=1,M732="1")),"adequate","partial"),IF(AND(H732="W4",F732="predictive",OR(J732="P2",J732="P3",J732="P4")),IF(OR(U732=1,U732="1"),"adequate","partial"),INDEX(Fit_Matrix!$B:$B,MATCH(P732,Fit_Matrix!$A:$A,0)))),"CHECK KEY"))</f>
        <v/>
      </c>
      <c r="U732" s="10"/>
      <c r="V732" s="10"/>
      <c r="W732" s="10"/>
      <c r="X732" s="10"/>
      <c r="Y732" s="10"/>
      <c r="Z732" s="10"/>
      <c r="AA732" s="11" t="str">
        <f t="shared" si="23"/>
        <v/>
      </c>
    </row>
    <row r="733" spans="16:27" ht="15" customHeight="1">
      <c r="P733" t="str">
        <f t="shared" si="22"/>
        <v/>
      </c>
      <c r="Q733" t="str">
        <f>IF(P733="","",IFERROR(IF(AND(H733="W7",OR(F733="causal",F733="predictive")),IF(AND(OR(K733=1,K733="1"),OR(L733=1,L733="1"),OR(M733=1,M733="1")),"adequate","partial"),IF(AND(H733="W4",F733="predictive",OR(J733="P2",J733="P3",J733="P4")),IF(OR(U733=1,U733="1"),"adequate","partial"),INDEX(Fit_Matrix!$B:$B,MATCH(P733,Fit_Matrix!$A:$A,0)))),"CHECK KEY"))</f>
        <v/>
      </c>
      <c r="U733" s="10"/>
      <c r="V733" s="10"/>
      <c r="W733" s="10"/>
      <c r="X733" s="10"/>
      <c r="Y733" s="10"/>
      <c r="Z733" s="10"/>
      <c r="AA733" s="11" t="str">
        <f t="shared" si="23"/>
        <v/>
      </c>
    </row>
    <row r="734" spans="16:27" ht="15" customHeight="1">
      <c r="P734" t="str">
        <f t="shared" si="22"/>
        <v/>
      </c>
      <c r="Q734" t="str">
        <f>IF(P734="","",IFERROR(IF(AND(H734="W7",OR(F734="causal",F734="predictive")),IF(AND(OR(K734=1,K734="1"),OR(L734=1,L734="1"),OR(M734=1,M734="1")),"adequate","partial"),IF(AND(H734="W4",F734="predictive",OR(J734="P2",J734="P3",J734="P4")),IF(OR(U734=1,U734="1"),"adequate","partial"),INDEX(Fit_Matrix!$B:$B,MATCH(P734,Fit_Matrix!$A:$A,0)))),"CHECK KEY"))</f>
        <v/>
      </c>
      <c r="U734" s="10"/>
      <c r="V734" s="10"/>
      <c r="W734" s="10"/>
      <c r="X734" s="10"/>
      <c r="Y734" s="10"/>
      <c r="Z734" s="10"/>
      <c r="AA734" s="11" t="str">
        <f t="shared" si="23"/>
        <v/>
      </c>
    </row>
    <row r="735" spans="16:27" ht="15" customHeight="1">
      <c r="P735" t="str">
        <f t="shared" si="22"/>
        <v/>
      </c>
      <c r="Q735" t="str">
        <f>IF(P735="","",IFERROR(IF(AND(H735="W7",OR(F735="causal",F735="predictive")),IF(AND(OR(K735=1,K735="1"),OR(L735=1,L735="1"),OR(M735=1,M735="1")),"adequate","partial"),IF(AND(H735="W4",F735="predictive",OR(J735="P2",J735="P3",J735="P4")),IF(OR(U735=1,U735="1"),"adequate","partial"),INDEX(Fit_Matrix!$B:$B,MATCH(P735,Fit_Matrix!$A:$A,0)))),"CHECK KEY"))</f>
        <v/>
      </c>
      <c r="U735" s="10"/>
      <c r="V735" s="10"/>
      <c r="W735" s="10"/>
      <c r="X735" s="10"/>
      <c r="Y735" s="10"/>
      <c r="Z735" s="10"/>
      <c r="AA735" s="11" t="str">
        <f t="shared" si="23"/>
        <v/>
      </c>
    </row>
    <row r="736" spans="16:27" ht="15" customHeight="1">
      <c r="P736" t="str">
        <f t="shared" si="22"/>
        <v/>
      </c>
      <c r="Q736" t="str">
        <f>IF(P736="","",IFERROR(IF(AND(H736="W7",OR(F736="causal",F736="predictive")),IF(AND(OR(K736=1,K736="1"),OR(L736=1,L736="1"),OR(M736=1,M736="1")),"adequate","partial"),IF(AND(H736="W4",F736="predictive",OR(J736="P2",J736="P3",J736="P4")),IF(OR(U736=1,U736="1"),"adequate","partial"),INDEX(Fit_Matrix!$B:$B,MATCH(P736,Fit_Matrix!$A:$A,0)))),"CHECK KEY"))</f>
        <v/>
      </c>
      <c r="U736" s="10"/>
      <c r="V736" s="10"/>
      <c r="W736" s="10"/>
      <c r="X736" s="10"/>
      <c r="Y736" s="10"/>
      <c r="Z736" s="10"/>
      <c r="AA736" s="11" t="str">
        <f t="shared" si="23"/>
        <v/>
      </c>
    </row>
    <row r="737" spans="16:27" ht="15" customHeight="1">
      <c r="P737" t="str">
        <f t="shared" si="22"/>
        <v/>
      </c>
      <c r="Q737" t="str">
        <f>IF(P737="","",IFERROR(IF(AND(H737="W7",OR(F737="causal",F737="predictive")),IF(AND(OR(K737=1,K737="1"),OR(L737=1,L737="1"),OR(M737=1,M737="1")),"adequate","partial"),IF(AND(H737="W4",F737="predictive",OR(J737="P2",J737="P3",J737="P4")),IF(OR(U737=1,U737="1"),"adequate","partial"),INDEX(Fit_Matrix!$B:$B,MATCH(P737,Fit_Matrix!$A:$A,0)))),"CHECK KEY"))</f>
        <v/>
      </c>
      <c r="U737" s="10"/>
      <c r="V737" s="10"/>
      <c r="W737" s="10"/>
      <c r="X737" s="10"/>
      <c r="Y737" s="10"/>
      <c r="Z737" s="10"/>
      <c r="AA737" s="11" t="str">
        <f t="shared" si="23"/>
        <v/>
      </c>
    </row>
    <row r="738" spans="16:27" ht="15" customHeight="1">
      <c r="P738" t="str">
        <f t="shared" si="22"/>
        <v/>
      </c>
      <c r="Q738" t="str">
        <f>IF(P738="","",IFERROR(IF(AND(H738="W7",OR(F738="causal",F738="predictive")),IF(AND(OR(K738=1,K738="1"),OR(L738=1,L738="1"),OR(M738=1,M738="1")),"adequate","partial"),IF(AND(H738="W4",F738="predictive",OR(J738="P2",J738="P3",J738="P4")),IF(OR(U738=1,U738="1"),"adequate","partial"),INDEX(Fit_Matrix!$B:$B,MATCH(P738,Fit_Matrix!$A:$A,0)))),"CHECK KEY"))</f>
        <v/>
      </c>
      <c r="U738" s="10"/>
      <c r="V738" s="10"/>
      <c r="W738" s="10"/>
      <c r="X738" s="10"/>
      <c r="Y738" s="10"/>
      <c r="Z738" s="10"/>
      <c r="AA738" s="11" t="str">
        <f t="shared" si="23"/>
        <v/>
      </c>
    </row>
    <row r="739" spans="16:27" ht="15" customHeight="1">
      <c r="P739" t="str">
        <f t="shared" si="22"/>
        <v/>
      </c>
      <c r="Q739" t="str">
        <f>IF(P739="","",IFERROR(IF(AND(H739="W7",OR(F739="causal",F739="predictive")),IF(AND(OR(K739=1,K739="1"),OR(L739=1,L739="1"),OR(M739=1,M739="1")),"adequate","partial"),IF(AND(H739="W4",F739="predictive",OR(J739="P2",J739="P3",J739="P4")),IF(OR(U739=1,U739="1"),"adequate","partial"),INDEX(Fit_Matrix!$B:$B,MATCH(P739,Fit_Matrix!$A:$A,0)))),"CHECK KEY"))</f>
        <v/>
      </c>
      <c r="U739" s="10"/>
      <c r="V739" s="10"/>
      <c r="W739" s="10"/>
      <c r="X739" s="10"/>
      <c r="Y739" s="10"/>
      <c r="Z739" s="10"/>
      <c r="AA739" s="11" t="str">
        <f t="shared" si="23"/>
        <v/>
      </c>
    </row>
    <row r="740" spans="16:27" ht="15" customHeight="1">
      <c r="P740" t="str">
        <f t="shared" si="22"/>
        <v/>
      </c>
      <c r="Q740" t="str">
        <f>IF(P740="","",IFERROR(IF(AND(H740="W7",OR(F740="causal",F740="predictive")),IF(AND(OR(K740=1,K740="1"),OR(L740=1,L740="1"),OR(M740=1,M740="1")),"adequate","partial"),IF(AND(H740="W4",F740="predictive",OR(J740="P2",J740="P3",J740="P4")),IF(OR(U740=1,U740="1"),"adequate","partial"),INDEX(Fit_Matrix!$B:$B,MATCH(P740,Fit_Matrix!$A:$A,0)))),"CHECK KEY"))</f>
        <v/>
      </c>
      <c r="U740" s="10"/>
      <c r="V740" s="10"/>
      <c r="W740" s="10"/>
      <c r="X740" s="10"/>
      <c r="Y740" s="10"/>
      <c r="Z740" s="10"/>
      <c r="AA740" s="11" t="str">
        <f t="shared" si="23"/>
        <v/>
      </c>
    </row>
    <row r="741" spans="16:27" ht="15" customHeight="1">
      <c r="P741" t="str">
        <f t="shared" si="22"/>
        <v/>
      </c>
      <c r="Q741" t="str">
        <f>IF(P741="","",IFERROR(IF(AND(H741="W7",OR(F741="causal",F741="predictive")),IF(AND(OR(K741=1,K741="1"),OR(L741=1,L741="1"),OR(M741=1,M741="1")),"adequate","partial"),IF(AND(H741="W4",F741="predictive",OR(J741="P2",J741="P3",J741="P4")),IF(OR(U741=1,U741="1"),"adequate","partial"),INDEX(Fit_Matrix!$B:$B,MATCH(P741,Fit_Matrix!$A:$A,0)))),"CHECK KEY"))</f>
        <v/>
      </c>
      <c r="U741" s="10"/>
      <c r="V741" s="10"/>
      <c r="W741" s="10"/>
      <c r="X741" s="10"/>
      <c r="Y741" s="10"/>
      <c r="Z741" s="10"/>
      <c r="AA741" s="11" t="str">
        <f t="shared" si="23"/>
        <v/>
      </c>
    </row>
    <row r="742" spans="16:27" ht="15" customHeight="1">
      <c r="P742" t="str">
        <f t="shared" si="22"/>
        <v/>
      </c>
      <c r="Q742" t="str">
        <f>IF(P742="","",IFERROR(IF(AND(H742="W7",OR(F742="causal",F742="predictive")),IF(AND(OR(K742=1,K742="1"),OR(L742=1,L742="1"),OR(M742=1,M742="1")),"adequate","partial"),IF(AND(H742="W4",F742="predictive",OR(J742="P2",J742="P3",J742="P4")),IF(OR(U742=1,U742="1"),"adequate","partial"),INDEX(Fit_Matrix!$B:$B,MATCH(P742,Fit_Matrix!$A:$A,0)))),"CHECK KEY"))</f>
        <v/>
      </c>
      <c r="U742" s="10"/>
      <c r="V742" s="10"/>
      <c r="W742" s="10"/>
      <c r="X742" s="10"/>
      <c r="Y742" s="10"/>
      <c r="Z742" s="10"/>
      <c r="AA742" s="11" t="str">
        <f t="shared" si="23"/>
        <v/>
      </c>
    </row>
    <row r="743" spans="16:27" ht="15" customHeight="1">
      <c r="P743" t="str">
        <f t="shared" si="22"/>
        <v/>
      </c>
      <c r="Q743" t="str">
        <f>IF(P743="","",IFERROR(IF(AND(H743="W7",OR(F743="causal",F743="predictive")),IF(AND(OR(K743=1,K743="1"),OR(L743=1,L743="1"),OR(M743=1,M743="1")),"adequate","partial"),IF(AND(H743="W4",F743="predictive",OR(J743="P2",J743="P3",J743="P4")),IF(OR(U743=1,U743="1"),"adequate","partial"),INDEX(Fit_Matrix!$B:$B,MATCH(P743,Fit_Matrix!$A:$A,0)))),"CHECK KEY"))</f>
        <v/>
      </c>
      <c r="U743" s="10"/>
      <c r="V743" s="10"/>
      <c r="W743" s="10"/>
      <c r="X743" s="10"/>
      <c r="Y743" s="10"/>
      <c r="Z743" s="10"/>
      <c r="AA743" s="11" t="str">
        <f t="shared" si="23"/>
        <v/>
      </c>
    </row>
    <row r="744" spans="16:27" ht="15" customHeight="1">
      <c r="P744" t="str">
        <f t="shared" si="22"/>
        <v/>
      </c>
      <c r="Q744" t="str">
        <f>IF(P744="","",IFERROR(IF(AND(H744="W7",OR(F744="causal",F744="predictive")),IF(AND(OR(K744=1,K744="1"),OR(L744=1,L744="1"),OR(M744=1,M744="1")),"adequate","partial"),IF(AND(H744="W4",F744="predictive",OR(J744="P2",J744="P3",J744="P4")),IF(OR(U744=1,U744="1"),"adequate","partial"),INDEX(Fit_Matrix!$B:$B,MATCH(P744,Fit_Matrix!$A:$A,0)))),"CHECK KEY"))</f>
        <v/>
      </c>
      <c r="U744" s="10"/>
      <c r="V744" s="10"/>
      <c r="W744" s="10"/>
      <c r="X744" s="10"/>
      <c r="Y744" s="10"/>
      <c r="Z744" s="10"/>
      <c r="AA744" s="11" t="str">
        <f t="shared" si="23"/>
        <v/>
      </c>
    </row>
    <row r="745" spans="16:27" ht="15" customHeight="1">
      <c r="P745" t="str">
        <f t="shared" si="22"/>
        <v/>
      </c>
      <c r="Q745" t="str">
        <f>IF(P745="","",IFERROR(IF(AND(H745="W7",OR(F745="causal",F745="predictive")),IF(AND(OR(K745=1,K745="1"),OR(L745=1,L745="1"),OR(M745=1,M745="1")),"adequate","partial"),IF(AND(H745="W4",F745="predictive",OR(J745="P2",J745="P3",J745="P4")),IF(OR(U745=1,U745="1"),"adequate","partial"),INDEX(Fit_Matrix!$B:$B,MATCH(P745,Fit_Matrix!$A:$A,0)))),"CHECK KEY"))</f>
        <v/>
      </c>
      <c r="U745" s="10"/>
      <c r="V745" s="10"/>
      <c r="W745" s="10"/>
      <c r="X745" s="10"/>
      <c r="Y745" s="10"/>
      <c r="Z745" s="10"/>
      <c r="AA745" s="11" t="str">
        <f t="shared" si="23"/>
        <v/>
      </c>
    </row>
    <row r="746" spans="16:27" ht="15" customHeight="1">
      <c r="P746" t="str">
        <f t="shared" si="22"/>
        <v/>
      </c>
      <c r="Q746" t="str">
        <f>IF(P746="","",IFERROR(IF(AND(H746="W7",OR(F746="causal",F746="predictive")),IF(AND(OR(K746=1,K746="1"),OR(L746=1,L746="1"),OR(M746=1,M746="1")),"adequate","partial"),IF(AND(H746="W4",F746="predictive",OR(J746="P2",J746="P3",J746="P4")),IF(OR(U746=1,U746="1"),"adequate","partial"),INDEX(Fit_Matrix!$B:$B,MATCH(P746,Fit_Matrix!$A:$A,0)))),"CHECK KEY"))</f>
        <v/>
      </c>
      <c r="U746" s="10"/>
      <c r="V746" s="10"/>
      <c r="W746" s="10"/>
      <c r="X746" s="10"/>
      <c r="Y746" s="10"/>
      <c r="Z746" s="10"/>
      <c r="AA746" s="11" t="str">
        <f t="shared" si="23"/>
        <v/>
      </c>
    </row>
    <row r="747" spans="16:27" ht="15" customHeight="1">
      <c r="P747" t="str">
        <f t="shared" si="22"/>
        <v/>
      </c>
      <c r="Q747" t="str">
        <f>IF(P747="","",IFERROR(IF(AND(H747="W7",OR(F747="causal",F747="predictive")),IF(AND(OR(K747=1,K747="1"),OR(L747=1,L747="1"),OR(M747=1,M747="1")),"adequate","partial"),IF(AND(H747="W4",F747="predictive",OR(J747="P2",J747="P3",J747="P4")),IF(OR(U747=1,U747="1"),"adequate","partial"),INDEX(Fit_Matrix!$B:$B,MATCH(P747,Fit_Matrix!$A:$A,0)))),"CHECK KEY"))</f>
        <v/>
      </c>
      <c r="U747" s="10"/>
      <c r="V747" s="10"/>
      <c r="W747" s="10"/>
      <c r="X747" s="10"/>
      <c r="Y747" s="10"/>
      <c r="Z747" s="10"/>
      <c r="AA747" s="11" t="str">
        <f t="shared" si="23"/>
        <v/>
      </c>
    </row>
    <row r="748" spans="16:27" ht="15" customHeight="1">
      <c r="P748" t="str">
        <f t="shared" si="22"/>
        <v/>
      </c>
      <c r="Q748" t="str">
        <f>IF(P748="","",IFERROR(IF(AND(H748="W7",OR(F748="causal",F748="predictive")),IF(AND(OR(K748=1,K748="1"),OR(L748=1,L748="1"),OR(M748=1,M748="1")),"adequate","partial"),IF(AND(H748="W4",F748="predictive",OR(J748="P2",J748="P3",J748="P4")),IF(OR(U748=1,U748="1"),"adequate","partial"),INDEX(Fit_Matrix!$B:$B,MATCH(P748,Fit_Matrix!$A:$A,0)))),"CHECK KEY"))</f>
        <v/>
      </c>
      <c r="U748" s="10"/>
      <c r="V748" s="10"/>
      <c r="W748" s="10"/>
      <c r="X748" s="10"/>
      <c r="Y748" s="10"/>
      <c r="Z748" s="10"/>
      <c r="AA748" s="11" t="str">
        <f t="shared" si="23"/>
        <v/>
      </c>
    </row>
    <row r="749" spans="16:27" ht="15" customHeight="1">
      <c r="P749" t="str">
        <f t="shared" si="22"/>
        <v/>
      </c>
      <c r="Q749" t="str">
        <f>IF(P749="","",IFERROR(IF(AND(H749="W7",OR(F749="causal",F749="predictive")),IF(AND(OR(K749=1,K749="1"),OR(L749=1,L749="1"),OR(M749=1,M749="1")),"adequate","partial"),IF(AND(H749="W4",F749="predictive",OR(J749="P2",J749="P3",J749="P4")),IF(OR(U749=1,U749="1"),"adequate","partial"),INDEX(Fit_Matrix!$B:$B,MATCH(P749,Fit_Matrix!$A:$A,0)))),"CHECK KEY"))</f>
        <v/>
      </c>
      <c r="U749" s="10"/>
      <c r="V749" s="10"/>
      <c r="W749" s="10"/>
      <c r="X749" s="10"/>
      <c r="Y749" s="10"/>
      <c r="Z749" s="10"/>
      <c r="AA749" s="11" t="str">
        <f t="shared" si="23"/>
        <v/>
      </c>
    </row>
    <row r="750" spans="16:27" ht="15" customHeight="1">
      <c r="P750" t="str">
        <f t="shared" si="22"/>
        <v/>
      </c>
      <c r="Q750" t="str">
        <f>IF(P750="","",IFERROR(IF(AND(H750="W7",OR(F750="causal",F750="predictive")),IF(AND(OR(K750=1,K750="1"),OR(L750=1,L750="1"),OR(M750=1,M750="1")),"adequate","partial"),IF(AND(H750="W4",F750="predictive",OR(J750="P2",J750="P3",J750="P4")),IF(OR(U750=1,U750="1"),"adequate","partial"),INDEX(Fit_Matrix!$B:$B,MATCH(P750,Fit_Matrix!$A:$A,0)))),"CHECK KEY"))</f>
        <v/>
      </c>
      <c r="U750" s="10"/>
      <c r="V750" s="10"/>
      <c r="W750" s="10"/>
      <c r="X750" s="10"/>
      <c r="Y750" s="10"/>
      <c r="Z750" s="10"/>
      <c r="AA750" s="11" t="str">
        <f t="shared" si="23"/>
        <v/>
      </c>
    </row>
    <row r="751" spans="16:27" ht="15" customHeight="1">
      <c r="P751" t="str">
        <f t="shared" si="22"/>
        <v/>
      </c>
      <c r="Q751" t="str">
        <f>IF(P751="","",IFERROR(IF(AND(H751="W7",OR(F751="causal",F751="predictive")),IF(AND(OR(K751=1,K751="1"),OR(L751=1,L751="1"),OR(M751=1,M751="1")),"adequate","partial"),IF(AND(H751="W4",F751="predictive",OR(J751="P2",J751="P3",J751="P4")),IF(OR(U751=1,U751="1"),"adequate","partial"),INDEX(Fit_Matrix!$B:$B,MATCH(P751,Fit_Matrix!$A:$A,0)))),"CHECK KEY"))</f>
        <v/>
      </c>
      <c r="U751" s="10"/>
      <c r="V751" s="10"/>
      <c r="W751" s="10"/>
      <c r="X751" s="10"/>
      <c r="Y751" s="10"/>
      <c r="Z751" s="10"/>
      <c r="AA751" s="11" t="str">
        <f t="shared" si="23"/>
        <v/>
      </c>
    </row>
    <row r="752" spans="16:27" ht="15" customHeight="1">
      <c r="P752" t="str">
        <f t="shared" si="22"/>
        <v/>
      </c>
      <c r="Q752" t="str">
        <f>IF(P752="","",IFERROR(IF(AND(H752="W7",OR(F752="causal",F752="predictive")),IF(AND(OR(K752=1,K752="1"),OR(L752=1,L752="1"),OR(M752=1,M752="1")),"adequate","partial"),IF(AND(H752="W4",F752="predictive",OR(J752="P2",J752="P3",J752="P4")),IF(OR(U752=1,U752="1"),"adequate","partial"),INDEX(Fit_Matrix!$B:$B,MATCH(P752,Fit_Matrix!$A:$A,0)))),"CHECK KEY"))</f>
        <v/>
      </c>
      <c r="U752" s="10"/>
      <c r="V752" s="10"/>
      <c r="W752" s="10"/>
      <c r="X752" s="10"/>
      <c r="Y752" s="10"/>
      <c r="Z752" s="10"/>
      <c r="AA752" s="11" t="str">
        <f t="shared" si="23"/>
        <v/>
      </c>
    </row>
    <row r="753" spans="16:27" ht="15" customHeight="1">
      <c r="P753" t="str">
        <f t="shared" si="22"/>
        <v/>
      </c>
      <c r="Q753" t="str">
        <f>IF(P753="","",IFERROR(IF(AND(H753="W7",OR(F753="causal",F753="predictive")),IF(AND(OR(K753=1,K753="1"),OR(L753=1,L753="1"),OR(M753=1,M753="1")),"adequate","partial"),IF(AND(H753="W4",F753="predictive",OR(J753="P2",J753="P3",J753="P4")),IF(OR(U753=1,U753="1"),"adequate","partial"),INDEX(Fit_Matrix!$B:$B,MATCH(P753,Fit_Matrix!$A:$A,0)))),"CHECK KEY"))</f>
        <v/>
      </c>
      <c r="U753" s="10"/>
      <c r="V753" s="10"/>
      <c r="W753" s="10"/>
      <c r="X753" s="10"/>
      <c r="Y753" s="10"/>
      <c r="Z753" s="10"/>
      <c r="AA753" s="11" t="str">
        <f t="shared" si="23"/>
        <v/>
      </c>
    </row>
    <row r="754" spans="16:27" ht="15" customHeight="1">
      <c r="P754" t="str">
        <f t="shared" si="22"/>
        <v/>
      </c>
      <c r="Q754" t="str">
        <f>IF(P754="","",IFERROR(IF(AND(H754="W7",OR(F754="causal",F754="predictive")),IF(AND(OR(K754=1,K754="1"),OR(L754=1,L754="1"),OR(M754=1,M754="1")),"adequate","partial"),IF(AND(H754="W4",F754="predictive",OR(J754="P2",J754="P3",J754="P4")),IF(OR(U754=1,U754="1"),"adequate","partial"),INDEX(Fit_Matrix!$B:$B,MATCH(P754,Fit_Matrix!$A:$A,0)))),"CHECK KEY"))</f>
        <v/>
      </c>
      <c r="U754" s="10"/>
      <c r="V754" s="10"/>
      <c r="W754" s="10"/>
      <c r="X754" s="10"/>
      <c r="Y754" s="10"/>
      <c r="Z754" s="10"/>
      <c r="AA754" s="11" t="str">
        <f t="shared" si="23"/>
        <v/>
      </c>
    </row>
    <row r="755" spans="16:27" ht="15" customHeight="1">
      <c r="P755" t="str">
        <f t="shared" si="22"/>
        <v/>
      </c>
      <c r="Q755" t="str">
        <f>IF(P755="","",IFERROR(IF(AND(H755="W7",OR(F755="causal",F755="predictive")),IF(AND(OR(K755=1,K755="1"),OR(L755=1,L755="1"),OR(M755=1,M755="1")),"adequate","partial"),IF(AND(H755="W4",F755="predictive",OR(J755="P2",J755="P3",J755="P4")),IF(OR(U755=1,U755="1"),"adequate","partial"),INDEX(Fit_Matrix!$B:$B,MATCH(P755,Fit_Matrix!$A:$A,0)))),"CHECK KEY"))</f>
        <v/>
      </c>
      <c r="U755" s="10"/>
      <c r="V755" s="10"/>
      <c r="W755" s="10"/>
      <c r="X755" s="10"/>
      <c r="Y755" s="10"/>
      <c r="Z755" s="10"/>
      <c r="AA755" s="11" t="str">
        <f t="shared" si="23"/>
        <v/>
      </c>
    </row>
    <row r="756" spans="16:27" ht="15" customHeight="1">
      <c r="P756" t="str">
        <f t="shared" si="22"/>
        <v/>
      </c>
      <c r="Q756" t="str">
        <f>IF(P756="","",IFERROR(IF(AND(H756="W7",OR(F756="causal",F756="predictive")),IF(AND(OR(K756=1,K756="1"),OR(L756=1,L756="1"),OR(M756=1,M756="1")),"adequate","partial"),IF(AND(H756="W4",F756="predictive",OR(J756="P2",J756="P3",J756="P4")),IF(OR(U756=1,U756="1"),"adequate","partial"),INDEX(Fit_Matrix!$B:$B,MATCH(P756,Fit_Matrix!$A:$A,0)))),"CHECK KEY"))</f>
        <v/>
      </c>
      <c r="U756" s="10"/>
      <c r="V756" s="10"/>
      <c r="W756" s="10"/>
      <c r="X756" s="10"/>
      <c r="Y756" s="10"/>
      <c r="Z756" s="10"/>
      <c r="AA756" s="11" t="str">
        <f t="shared" si="23"/>
        <v/>
      </c>
    </row>
    <row r="757" spans="16:27" ht="15" customHeight="1">
      <c r="P757" t="str">
        <f t="shared" si="22"/>
        <v/>
      </c>
      <c r="Q757" t="str">
        <f>IF(P757="","",IFERROR(IF(AND(H757="W7",OR(F757="causal",F757="predictive")),IF(AND(OR(K757=1,K757="1"),OR(L757=1,L757="1"),OR(M757=1,M757="1")),"adequate","partial"),IF(AND(H757="W4",F757="predictive",OR(J757="P2",J757="P3",J757="P4")),IF(OR(U757=1,U757="1"),"adequate","partial"),INDEX(Fit_Matrix!$B:$B,MATCH(P757,Fit_Matrix!$A:$A,0)))),"CHECK KEY"))</f>
        <v/>
      </c>
      <c r="U757" s="10"/>
      <c r="V757" s="10"/>
      <c r="W757" s="10"/>
      <c r="X757" s="10"/>
      <c r="Y757" s="10"/>
      <c r="Z757" s="10"/>
      <c r="AA757" s="11" t="str">
        <f t="shared" si="23"/>
        <v/>
      </c>
    </row>
    <row r="758" spans="16:27" ht="15" customHeight="1">
      <c r="P758" t="str">
        <f t="shared" si="22"/>
        <v/>
      </c>
      <c r="Q758" t="str">
        <f>IF(P758="","",IFERROR(IF(AND(H758="W7",OR(F758="causal",F758="predictive")),IF(AND(OR(K758=1,K758="1"),OR(L758=1,L758="1"),OR(M758=1,M758="1")),"adequate","partial"),IF(AND(H758="W4",F758="predictive",OR(J758="P2",J758="P3",J758="P4")),IF(OR(U758=1,U758="1"),"adequate","partial"),INDEX(Fit_Matrix!$B:$B,MATCH(P758,Fit_Matrix!$A:$A,0)))),"CHECK KEY"))</f>
        <v/>
      </c>
      <c r="U758" s="10"/>
      <c r="V758" s="10"/>
      <c r="W758" s="10"/>
      <c r="X758" s="10"/>
      <c r="Y758" s="10"/>
      <c r="Z758" s="10"/>
      <c r="AA758" s="11" t="str">
        <f t="shared" si="23"/>
        <v/>
      </c>
    </row>
    <row r="759" spans="16:27" ht="15" customHeight="1">
      <c r="P759" t="str">
        <f t="shared" si="22"/>
        <v/>
      </c>
      <c r="Q759" t="str">
        <f>IF(P759="","",IFERROR(IF(AND(H759="W7",OR(F759="causal",F759="predictive")),IF(AND(OR(K759=1,K759="1"),OR(L759=1,L759="1"),OR(M759=1,M759="1")),"adequate","partial"),IF(AND(H759="W4",F759="predictive",OR(J759="P2",J759="P3",J759="P4")),IF(OR(U759=1,U759="1"),"adequate","partial"),INDEX(Fit_Matrix!$B:$B,MATCH(P759,Fit_Matrix!$A:$A,0)))),"CHECK KEY"))</f>
        <v/>
      </c>
      <c r="U759" s="10"/>
      <c r="V759" s="10"/>
      <c r="W759" s="10"/>
      <c r="X759" s="10"/>
      <c r="Y759" s="10"/>
      <c r="Z759" s="10"/>
      <c r="AA759" s="11" t="str">
        <f t="shared" si="23"/>
        <v/>
      </c>
    </row>
    <row r="760" spans="16:27" ht="15" customHeight="1">
      <c r="P760" t="str">
        <f t="shared" si="22"/>
        <v/>
      </c>
      <c r="Q760" t="str">
        <f>IF(P760="","",IFERROR(IF(AND(H760="W7",OR(F760="causal",F760="predictive")),IF(AND(OR(K760=1,K760="1"),OR(L760=1,L760="1"),OR(M760=1,M760="1")),"adequate","partial"),IF(AND(H760="W4",F760="predictive",OR(J760="P2",J760="P3",J760="P4")),IF(OR(U760=1,U760="1"),"adequate","partial"),INDEX(Fit_Matrix!$B:$B,MATCH(P760,Fit_Matrix!$A:$A,0)))),"CHECK KEY"))</f>
        <v/>
      </c>
      <c r="U760" s="10"/>
      <c r="V760" s="10"/>
      <c r="W760" s="10"/>
      <c r="X760" s="10"/>
      <c r="Y760" s="10"/>
      <c r="Z760" s="10"/>
      <c r="AA760" s="11" t="str">
        <f t="shared" si="23"/>
        <v/>
      </c>
    </row>
    <row r="761" spans="16:27" ht="15" customHeight="1">
      <c r="P761" t="str">
        <f t="shared" si="22"/>
        <v/>
      </c>
      <c r="Q761" t="str">
        <f>IF(P761="","",IFERROR(IF(AND(H761="W7",OR(F761="causal",F761="predictive")),IF(AND(OR(K761=1,K761="1"),OR(L761=1,L761="1"),OR(M761=1,M761="1")),"adequate","partial"),IF(AND(H761="W4",F761="predictive",OR(J761="P2",J761="P3",J761="P4")),IF(OR(U761=1,U761="1"),"adequate","partial"),INDEX(Fit_Matrix!$B:$B,MATCH(P761,Fit_Matrix!$A:$A,0)))),"CHECK KEY"))</f>
        <v/>
      </c>
      <c r="U761" s="10"/>
      <c r="V761" s="10"/>
      <c r="W761" s="10"/>
      <c r="X761" s="10"/>
      <c r="Y761" s="10"/>
      <c r="Z761" s="10"/>
      <c r="AA761" s="11" t="str">
        <f t="shared" si="23"/>
        <v/>
      </c>
    </row>
    <row r="762" spans="16:27" ht="15" customHeight="1">
      <c r="P762" t="str">
        <f t="shared" si="22"/>
        <v/>
      </c>
      <c r="Q762" t="str">
        <f>IF(P762="","",IFERROR(IF(AND(H762="W7",OR(F762="causal",F762="predictive")),IF(AND(OR(K762=1,K762="1"),OR(L762=1,L762="1"),OR(M762=1,M762="1")),"adequate","partial"),IF(AND(H762="W4",F762="predictive",OR(J762="P2",J762="P3",J762="P4")),IF(OR(U762=1,U762="1"),"adequate","partial"),INDEX(Fit_Matrix!$B:$B,MATCH(P762,Fit_Matrix!$A:$A,0)))),"CHECK KEY"))</f>
        <v/>
      </c>
      <c r="U762" s="10"/>
      <c r="V762" s="10"/>
      <c r="W762" s="10"/>
      <c r="X762" s="10"/>
      <c r="Y762" s="10"/>
      <c r="Z762" s="10"/>
      <c r="AA762" s="11" t="str">
        <f t="shared" si="23"/>
        <v/>
      </c>
    </row>
    <row r="763" spans="16:27" ht="15" customHeight="1">
      <c r="P763" t="str">
        <f t="shared" si="22"/>
        <v/>
      </c>
      <c r="Q763" t="str">
        <f>IF(P763="","",IFERROR(IF(AND(H763="W7",OR(F763="causal",F763="predictive")),IF(AND(OR(K763=1,K763="1"),OR(L763=1,L763="1"),OR(M763=1,M763="1")),"adequate","partial"),IF(AND(H763="W4",F763="predictive",OR(J763="P2",J763="P3",J763="P4")),IF(OR(U763=1,U763="1"),"adequate","partial"),INDEX(Fit_Matrix!$B:$B,MATCH(P763,Fit_Matrix!$A:$A,0)))),"CHECK KEY"))</f>
        <v/>
      </c>
      <c r="U763" s="10"/>
      <c r="V763" s="10"/>
      <c r="W763" s="10"/>
      <c r="X763" s="10"/>
      <c r="Y763" s="10"/>
      <c r="Z763" s="10"/>
      <c r="AA763" s="11" t="str">
        <f t="shared" si="23"/>
        <v/>
      </c>
    </row>
    <row r="764" spans="16:27" ht="15" customHeight="1">
      <c r="P764" t="str">
        <f t="shared" si="22"/>
        <v/>
      </c>
      <c r="Q764" t="str">
        <f>IF(P764="","",IFERROR(IF(AND(H764="W7",OR(F764="causal",F764="predictive")),IF(AND(OR(K764=1,K764="1"),OR(L764=1,L764="1"),OR(M764=1,M764="1")),"adequate","partial"),IF(AND(H764="W4",F764="predictive",OR(J764="P2",J764="P3",J764="P4")),IF(OR(U764=1,U764="1"),"adequate","partial"),INDEX(Fit_Matrix!$B:$B,MATCH(P764,Fit_Matrix!$A:$A,0)))),"CHECK KEY"))</f>
        <v/>
      </c>
      <c r="U764" s="10"/>
      <c r="V764" s="10"/>
      <c r="W764" s="10"/>
      <c r="X764" s="10"/>
      <c r="Y764" s="10"/>
      <c r="Z764" s="10"/>
      <c r="AA764" s="11" t="str">
        <f t="shared" si="23"/>
        <v/>
      </c>
    </row>
    <row r="765" spans="16:27" ht="15" customHeight="1">
      <c r="P765" t="str">
        <f t="shared" si="22"/>
        <v/>
      </c>
      <c r="Q765" t="str">
        <f>IF(P765="","",IFERROR(IF(AND(H765="W7",OR(F765="causal",F765="predictive")),IF(AND(OR(K765=1,K765="1"),OR(L765=1,L765="1"),OR(M765=1,M765="1")),"adequate","partial"),IF(AND(H765="W4",F765="predictive",OR(J765="P2",J765="P3",J765="P4")),IF(OR(U765=1,U765="1"),"adequate","partial"),INDEX(Fit_Matrix!$B:$B,MATCH(P765,Fit_Matrix!$A:$A,0)))),"CHECK KEY"))</f>
        <v/>
      </c>
      <c r="U765" s="10"/>
      <c r="V765" s="10"/>
      <c r="W765" s="10"/>
      <c r="X765" s="10"/>
      <c r="Y765" s="10"/>
      <c r="Z765" s="10"/>
      <c r="AA765" s="11" t="str">
        <f t="shared" si="23"/>
        <v/>
      </c>
    </row>
    <row r="766" spans="16:27" ht="15" customHeight="1">
      <c r="P766" t="str">
        <f t="shared" si="22"/>
        <v/>
      </c>
      <c r="Q766" t="str">
        <f>IF(P766="","",IFERROR(IF(AND(H766="W7",OR(F766="causal",F766="predictive")),IF(AND(OR(K766=1,K766="1"),OR(L766=1,L766="1"),OR(M766=1,M766="1")),"adequate","partial"),IF(AND(H766="W4",F766="predictive",OR(J766="P2",J766="P3",J766="P4")),IF(OR(U766=1,U766="1"),"adequate","partial"),INDEX(Fit_Matrix!$B:$B,MATCH(P766,Fit_Matrix!$A:$A,0)))),"CHECK KEY"))</f>
        <v/>
      </c>
      <c r="U766" s="10"/>
      <c r="V766" s="10"/>
      <c r="W766" s="10"/>
      <c r="X766" s="10"/>
      <c r="Y766" s="10"/>
      <c r="Z766" s="10"/>
      <c r="AA766" s="11" t="str">
        <f t="shared" si="23"/>
        <v/>
      </c>
    </row>
    <row r="767" spans="16:27" ht="15" customHeight="1">
      <c r="P767" t="str">
        <f t="shared" si="22"/>
        <v/>
      </c>
      <c r="Q767" t="str">
        <f>IF(P767="","",IFERROR(IF(AND(H767="W7",OR(F767="causal",F767="predictive")),IF(AND(OR(K767=1,K767="1"),OR(L767=1,L767="1"),OR(M767=1,M767="1")),"adequate","partial"),IF(AND(H767="W4",F767="predictive",OR(J767="P2",J767="P3",J767="P4")),IF(OR(U767=1,U767="1"),"adequate","partial"),INDEX(Fit_Matrix!$B:$B,MATCH(P767,Fit_Matrix!$A:$A,0)))),"CHECK KEY"))</f>
        <v/>
      </c>
      <c r="U767" s="10"/>
      <c r="V767" s="10"/>
      <c r="W767" s="10"/>
      <c r="X767" s="10"/>
      <c r="Y767" s="10"/>
      <c r="Z767" s="10"/>
      <c r="AA767" s="11" t="str">
        <f t="shared" si="23"/>
        <v/>
      </c>
    </row>
    <row r="768" spans="16:27" ht="15" customHeight="1">
      <c r="P768" t="str">
        <f t="shared" si="22"/>
        <v/>
      </c>
      <c r="Q768" t="str">
        <f>IF(P768="","",IFERROR(IF(AND(H768="W7",OR(F768="causal",F768="predictive")),IF(AND(OR(K768=1,K768="1"),OR(L768=1,L768="1"),OR(M768=1,M768="1")),"adequate","partial"),IF(AND(H768="W4",F768="predictive",OR(J768="P2",J768="P3",J768="P4")),IF(OR(U768=1,U768="1"),"adequate","partial"),INDEX(Fit_Matrix!$B:$B,MATCH(P768,Fit_Matrix!$A:$A,0)))),"CHECK KEY"))</f>
        <v/>
      </c>
      <c r="U768" s="10"/>
      <c r="V768" s="10"/>
      <c r="W768" s="10"/>
      <c r="X768" s="10"/>
      <c r="Y768" s="10"/>
      <c r="Z768" s="10"/>
      <c r="AA768" s="11" t="str">
        <f t="shared" si="23"/>
        <v/>
      </c>
    </row>
    <row r="769" spans="16:27" ht="15" customHeight="1">
      <c r="P769" t="str">
        <f t="shared" si="22"/>
        <v/>
      </c>
      <c r="Q769" t="str">
        <f>IF(P769="","",IFERROR(IF(AND(H769="W7",OR(F769="causal",F769="predictive")),IF(AND(OR(K769=1,K769="1"),OR(L769=1,L769="1"),OR(M769=1,M769="1")),"adequate","partial"),IF(AND(H769="W4",F769="predictive",OR(J769="P2",J769="P3",J769="P4")),IF(OR(U769=1,U769="1"),"adequate","partial"),INDEX(Fit_Matrix!$B:$B,MATCH(P769,Fit_Matrix!$A:$A,0)))),"CHECK KEY"))</f>
        <v/>
      </c>
      <c r="U769" s="10"/>
      <c r="V769" s="10"/>
      <c r="W769" s="10"/>
      <c r="X769" s="10"/>
      <c r="Y769" s="10"/>
      <c r="Z769" s="10"/>
      <c r="AA769" s="11" t="str">
        <f t="shared" si="23"/>
        <v/>
      </c>
    </row>
    <row r="770" spans="16:27" ht="15" customHeight="1">
      <c r="P770" t="str">
        <f t="shared" ref="P770:P833" si="24">IF(OR(F770="",H770="",J770=""),"",J770&amp;"|"&amp;F770&amp;"|"&amp;IF(H770="W3","W3_"&amp;IF(I770="","unknown",I770),H770))</f>
        <v/>
      </c>
      <c r="Q770" t="str">
        <f>IF(P770="","",IFERROR(IF(AND(H770="W7",OR(F770="causal",F770="predictive")),IF(AND(OR(K770=1,K770="1"),OR(L770=1,L770="1"),OR(M770=1,M770="1")),"adequate","partial"),IF(AND(H770="W4",F770="predictive",OR(J770="P2",J770="P3",J770="P4")),IF(OR(U770=1,U770="1"),"adequate","partial"),INDEX(Fit_Matrix!$B:$B,MATCH(P770,Fit_Matrix!$A:$A,0)))),"CHECK KEY"))</f>
        <v/>
      </c>
      <c r="U770" s="10"/>
      <c r="V770" s="10"/>
      <c r="W770" s="10"/>
      <c r="X770" s="10"/>
      <c r="Y770" s="10"/>
      <c r="Z770" s="10"/>
      <c r="AA770" s="11" t="str">
        <f t="shared" ref="AA770:AA833" si="25">IF(A770="","",IF(AND(J770="P4",F770="causal"),"P4-CAUSAL",""))</f>
        <v/>
      </c>
    </row>
    <row r="771" spans="16:27" ht="15" customHeight="1">
      <c r="P771" t="str">
        <f t="shared" si="24"/>
        <v/>
      </c>
      <c r="Q771" t="str">
        <f>IF(P771="","",IFERROR(IF(AND(H771="W7",OR(F771="causal",F771="predictive")),IF(AND(OR(K771=1,K771="1"),OR(L771=1,L771="1"),OR(M771=1,M771="1")),"adequate","partial"),IF(AND(H771="W4",F771="predictive",OR(J771="P2",J771="P3",J771="P4")),IF(OR(U771=1,U771="1"),"adequate","partial"),INDEX(Fit_Matrix!$B:$B,MATCH(P771,Fit_Matrix!$A:$A,0)))),"CHECK KEY"))</f>
        <v/>
      </c>
      <c r="U771" s="10"/>
      <c r="V771" s="10"/>
      <c r="W771" s="10"/>
      <c r="X771" s="10"/>
      <c r="Y771" s="10"/>
      <c r="Z771" s="10"/>
      <c r="AA771" s="11" t="str">
        <f t="shared" si="25"/>
        <v/>
      </c>
    </row>
    <row r="772" spans="16:27" ht="15" customHeight="1">
      <c r="P772" t="str">
        <f t="shared" si="24"/>
        <v/>
      </c>
      <c r="Q772" t="str">
        <f>IF(P772="","",IFERROR(IF(AND(H772="W7",OR(F772="causal",F772="predictive")),IF(AND(OR(K772=1,K772="1"),OR(L772=1,L772="1"),OR(M772=1,M772="1")),"adequate","partial"),IF(AND(H772="W4",F772="predictive",OR(J772="P2",J772="P3",J772="P4")),IF(OR(U772=1,U772="1"),"adequate","partial"),INDEX(Fit_Matrix!$B:$B,MATCH(P772,Fit_Matrix!$A:$A,0)))),"CHECK KEY"))</f>
        <v/>
      </c>
      <c r="U772" s="10"/>
      <c r="V772" s="10"/>
      <c r="W772" s="10"/>
      <c r="X772" s="10"/>
      <c r="Y772" s="10"/>
      <c r="Z772" s="10"/>
      <c r="AA772" s="11" t="str">
        <f t="shared" si="25"/>
        <v/>
      </c>
    </row>
    <row r="773" spans="16:27" ht="15" customHeight="1">
      <c r="P773" t="str">
        <f t="shared" si="24"/>
        <v/>
      </c>
      <c r="Q773" t="str">
        <f>IF(P773="","",IFERROR(IF(AND(H773="W7",OR(F773="causal",F773="predictive")),IF(AND(OR(K773=1,K773="1"),OR(L773=1,L773="1"),OR(M773=1,M773="1")),"adequate","partial"),IF(AND(H773="W4",F773="predictive",OR(J773="P2",J773="P3",J773="P4")),IF(OR(U773=1,U773="1"),"adequate","partial"),INDEX(Fit_Matrix!$B:$B,MATCH(P773,Fit_Matrix!$A:$A,0)))),"CHECK KEY"))</f>
        <v/>
      </c>
      <c r="U773" s="10"/>
      <c r="V773" s="10"/>
      <c r="W773" s="10"/>
      <c r="X773" s="10"/>
      <c r="Y773" s="10"/>
      <c r="Z773" s="10"/>
      <c r="AA773" s="11" t="str">
        <f t="shared" si="25"/>
        <v/>
      </c>
    </row>
    <row r="774" spans="16:27" ht="15" customHeight="1">
      <c r="P774" t="str">
        <f t="shared" si="24"/>
        <v/>
      </c>
      <c r="Q774" t="str">
        <f>IF(P774="","",IFERROR(IF(AND(H774="W7",OR(F774="causal",F774="predictive")),IF(AND(OR(K774=1,K774="1"),OR(L774=1,L774="1"),OR(M774=1,M774="1")),"adequate","partial"),IF(AND(H774="W4",F774="predictive",OR(J774="P2",J774="P3",J774="P4")),IF(OR(U774=1,U774="1"),"adequate","partial"),INDEX(Fit_Matrix!$B:$B,MATCH(P774,Fit_Matrix!$A:$A,0)))),"CHECK KEY"))</f>
        <v/>
      </c>
      <c r="U774" s="10"/>
      <c r="V774" s="10"/>
      <c r="W774" s="10"/>
      <c r="X774" s="10"/>
      <c r="Y774" s="10"/>
      <c r="Z774" s="10"/>
      <c r="AA774" s="11" t="str">
        <f t="shared" si="25"/>
        <v/>
      </c>
    </row>
    <row r="775" spans="16:27" ht="15" customHeight="1">
      <c r="P775" t="str">
        <f t="shared" si="24"/>
        <v/>
      </c>
      <c r="Q775" t="str">
        <f>IF(P775="","",IFERROR(IF(AND(H775="W7",OR(F775="causal",F775="predictive")),IF(AND(OR(K775=1,K775="1"),OR(L775=1,L775="1"),OR(M775=1,M775="1")),"adequate","partial"),IF(AND(H775="W4",F775="predictive",OR(J775="P2",J775="P3",J775="P4")),IF(OR(U775=1,U775="1"),"adequate","partial"),INDEX(Fit_Matrix!$B:$B,MATCH(P775,Fit_Matrix!$A:$A,0)))),"CHECK KEY"))</f>
        <v/>
      </c>
      <c r="U775" s="10"/>
      <c r="V775" s="10"/>
      <c r="W775" s="10"/>
      <c r="X775" s="10"/>
      <c r="Y775" s="10"/>
      <c r="Z775" s="10"/>
      <c r="AA775" s="11" t="str">
        <f t="shared" si="25"/>
        <v/>
      </c>
    </row>
    <row r="776" spans="16:27" ht="15" customHeight="1">
      <c r="P776" t="str">
        <f t="shared" si="24"/>
        <v/>
      </c>
      <c r="Q776" t="str">
        <f>IF(P776="","",IFERROR(IF(AND(H776="W7",OR(F776="causal",F776="predictive")),IF(AND(OR(K776=1,K776="1"),OR(L776=1,L776="1"),OR(M776=1,M776="1")),"adequate","partial"),IF(AND(H776="W4",F776="predictive",OR(J776="P2",J776="P3",J776="P4")),IF(OR(U776=1,U776="1"),"adequate","partial"),INDEX(Fit_Matrix!$B:$B,MATCH(P776,Fit_Matrix!$A:$A,0)))),"CHECK KEY"))</f>
        <v/>
      </c>
      <c r="U776" s="10"/>
      <c r="V776" s="10"/>
      <c r="W776" s="10"/>
      <c r="X776" s="10"/>
      <c r="Y776" s="10"/>
      <c r="Z776" s="10"/>
      <c r="AA776" s="11" t="str">
        <f t="shared" si="25"/>
        <v/>
      </c>
    </row>
    <row r="777" spans="16:27" ht="15" customHeight="1">
      <c r="P777" t="str">
        <f t="shared" si="24"/>
        <v/>
      </c>
      <c r="Q777" t="str">
        <f>IF(P777="","",IFERROR(IF(AND(H777="W7",OR(F777="causal",F777="predictive")),IF(AND(OR(K777=1,K777="1"),OR(L777=1,L777="1"),OR(M777=1,M777="1")),"adequate","partial"),IF(AND(H777="W4",F777="predictive",OR(J777="P2",J777="P3",J777="P4")),IF(OR(U777=1,U777="1"),"adequate","partial"),INDEX(Fit_Matrix!$B:$B,MATCH(P777,Fit_Matrix!$A:$A,0)))),"CHECK KEY"))</f>
        <v/>
      </c>
      <c r="U777" s="10"/>
      <c r="V777" s="10"/>
      <c r="W777" s="10"/>
      <c r="X777" s="10"/>
      <c r="Y777" s="10"/>
      <c r="Z777" s="10"/>
      <c r="AA777" s="11" t="str">
        <f t="shared" si="25"/>
        <v/>
      </c>
    </row>
    <row r="778" spans="16:27" ht="15" customHeight="1">
      <c r="P778" t="str">
        <f t="shared" si="24"/>
        <v/>
      </c>
      <c r="Q778" t="str">
        <f>IF(P778="","",IFERROR(IF(AND(H778="W7",OR(F778="causal",F778="predictive")),IF(AND(OR(K778=1,K778="1"),OR(L778=1,L778="1"),OR(M778=1,M778="1")),"adequate","partial"),IF(AND(H778="W4",F778="predictive",OR(J778="P2",J778="P3",J778="P4")),IF(OR(U778=1,U778="1"),"adequate","partial"),INDEX(Fit_Matrix!$B:$B,MATCH(P778,Fit_Matrix!$A:$A,0)))),"CHECK KEY"))</f>
        <v/>
      </c>
      <c r="U778" s="10"/>
      <c r="V778" s="10"/>
      <c r="W778" s="10"/>
      <c r="X778" s="10"/>
      <c r="Y778" s="10"/>
      <c r="Z778" s="10"/>
      <c r="AA778" s="11" t="str">
        <f t="shared" si="25"/>
        <v/>
      </c>
    </row>
    <row r="779" spans="16:27" ht="15" customHeight="1">
      <c r="P779" t="str">
        <f t="shared" si="24"/>
        <v/>
      </c>
      <c r="Q779" t="str">
        <f>IF(P779="","",IFERROR(IF(AND(H779="W7",OR(F779="causal",F779="predictive")),IF(AND(OR(K779=1,K779="1"),OR(L779=1,L779="1"),OR(M779=1,M779="1")),"adequate","partial"),IF(AND(H779="W4",F779="predictive",OR(J779="P2",J779="P3",J779="P4")),IF(OR(U779=1,U779="1"),"adequate","partial"),INDEX(Fit_Matrix!$B:$B,MATCH(P779,Fit_Matrix!$A:$A,0)))),"CHECK KEY"))</f>
        <v/>
      </c>
      <c r="U779" s="10"/>
      <c r="V779" s="10"/>
      <c r="W779" s="10"/>
      <c r="X779" s="10"/>
      <c r="Y779" s="10"/>
      <c r="Z779" s="10"/>
      <c r="AA779" s="11" t="str">
        <f t="shared" si="25"/>
        <v/>
      </c>
    </row>
    <row r="780" spans="16:27" ht="15" customHeight="1">
      <c r="P780" t="str">
        <f t="shared" si="24"/>
        <v/>
      </c>
      <c r="Q780" t="str">
        <f>IF(P780="","",IFERROR(IF(AND(H780="W7",OR(F780="causal",F780="predictive")),IF(AND(OR(K780=1,K780="1"),OR(L780=1,L780="1"),OR(M780=1,M780="1")),"adequate","partial"),IF(AND(H780="W4",F780="predictive",OR(J780="P2",J780="P3",J780="P4")),IF(OR(U780=1,U780="1"),"adequate","partial"),INDEX(Fit_Matrix!$B:$B,MATCH(P780,Fit_Matrix!$A:$A,0)))),"CHECK KEY"))</f>
        <v/>
      </c>
      <c r="U780" s="10"/>
      <c r="V780" s="10"/>
      <c r="W780" s="10"/>
      <c r="X780" s="10"/>
      <c r="Y780" s="10"/>
      <c r="Z780" s="10"/>
      <c r="AA780" s="11" t="str">
        <f t="shared" si="25"/>
        <v/>
      </c>
    </row>
    <row r="781" spans="16:27" ht="15" customHeight="1">
      <c r="P781" t="str">
        <f t="shared" si="24"/>
        <v/>
      </c>
      <c r="Q781" t="str">
        <f>IF(P781="","",IFERROR(IF(AND(H781="W7",OR(F781="causal",F781="predictive")),IF(AND(OR(K781=1,K781="1"),OR(L781=1,L781="1"),OR(M781=1,M781="1")),"adequate","partial"),IF(AND(H781="W4",F781="predictive",OR(J781="P2",J781="P3",J781="P4")),IF(OR(U781=1,U781="1"),"adequate","partial"),INDEX(Fit_Matrix!$B:$B,MATCH(P781,Fit_Matrix!$A:$A,0)))),"CHECK KEY"))</f>
        <v/>
      </c>
      <c r="U781" s="10"/>
      <c r="V781" s="10"/>
      <c r="W781" s="10"/>
      <c r="X781" s="10"/>
      <c r="Y781" s="10"/>
      <c r="Z781" s="10"/>
      <c r="AA781" s="11" t="str">
        <f t="shared" si="25"/>
        <v/>
      </c>
    </row>
    <row r="782" spans="16:27" ht="15" customHeight="1">
      <c r="P782" t="str">
        <f t="shared" si="24"/>
        <v/>
      </c>
      <c r="Q782" t="str">
        <f>IF(P782="","",IFERROR(IF(AND(H782="W7",OR(F782="causal",F782="predictive")),IF(AND(OR(K782=1,K782="1"),OR(L782=1,L782="1"),OR(M782=1,M782="1")),"adequate","partial"),IF(AND(H782="W4",F782="predictive",OR(J782="P2",J782="P3",J782="P4")),IF(OR(U782=1,U782="1"),"adequate","partial"),INDEX(Fit_Matrix!$B:$B,MATCH(P782,Fit_Matrix!$A:$A,0)))),"CHECK KEY"))</f>
        <v/>
      </c>
      <c r="U782" s="10"/>
      <c r="V782" s="10"/>
      <c r="W782" s="10"/>
      <c r="X782" s="10"/>
      <c r="Y782" s="10"/>
      <c r="Z782" s="10"/>
      <c r="AA782" s="11" t="str">
        <f t="shared" si="25"/>
        <v/>
      </c>
    </row>
    <row r="783" spans="16:27" ht="15" customHeight="1">
      <c r="P783" t="str">
        <f t="shared" si="24"/>
        <v/>
      </c>
      <c r="Q783" t="str">
        <f>IF(P783="","",IFERROR(IF(AND(H783="W7",OR(F783="causal",F783="predictive")),IF(AND(OR(K783=1,K783="1"),OR(L783=1,L783="1"),OR(M783=1,M783="1")),"adequate","partial"),IF(AND(H783="W4",F783="predictive",OR(J783="P2",J783="P3",J783="P4")),IF(OR(U783=1,U783="1"),"adequate","partial"),INDEX(Fit_Matrix!$B:$B,MATCH(P783,Fit_Matrix!$A:$A,0)))),"CHECK KEY"))</f>
        <v/>
      </c>
      <c r="U783" s="10"/>
      <c r="V783" s="10"/>
      <c r="W783" s="10"/>
      <c r="X783" s="10"/>
      <c r="Y783" s="10"/>
      <c r="Z783" s="10"/>
      <c r="AA783" s="11" t="str">
        <f t="shared" si="25"/>
        <v/>
      </c>
    </row>
    <row r="784" spans="16:27" ht="15" customHeight="1">
      <c r="P784" t="str">
        <f t="shared" si="24"/>
        <v/>
      </c>
      <c r="Q784" t="str">
        <f>IF(P784="","",IFERROR(IF(AND(H784="W7",OR(F784="causal",F784="predictive")),IF(AND(OR(K784=1,K784="1"),OR(L784=1,L784="1"),OR(M784=1,M784="1")),"adequate","partial"),IF(AND(H784="W4",F784="predictive",OR(J784="P2",J784="P3",J784="P4")),IF(OR(U784=1,U784="1"),"adequate","partial"),INDEX(Fit_Matrix!$B:$B,MATCH(P784,Fit_Matrix!$A:$A,0)))),"CHECK KEY"))</f>
        <v/>
      </c>
      <c r="U784" s="10"/>
      <c r="V784" s="10"/>
      <c r="W784" s="10"/>
      <c r="X784" s="10"/>
      <c r="Y784" s="10"/>
      <c r="Z784" s="10"/>
      <c r="AA784" s="11" t="str">
        <f t="shared" si="25"/>
        <v/>
      </c>
    </row>
    <row r="785" spans="16:27" ht="15" customHeight="1">
      <c r="P785" t="str">
        <f t="shared" si="24"/>
        <v/>
      </c>
      <c r="Q785" t="str">
        <f>IF(P785="","",IFERROR(IF(AND(H785="W7",OR(F785="causal",F785="predictive")),IF(AND(OR(K785=1,K785="1"),OR(L785=1,L785="1"),OR(M785=1,M785="1")),"adequate","partial"),IF(AND(H785="W4",F785="predictive",OR(J785="P2",J785="P3",J785="P4")),IF(OR(U785=1,U785="1"),"adequate","partial"),INDEX(Fit_Matrix!$B:$B,MATCH(P785,Fit_Matrix!$A:$A,0)))),"CHECK KEY"))</f>
        <v/>
      </c>
      <c r="U785" s="10"/>
      <c r="V785" s="10"/>
      <c r="W785" s="10"/>
      <c r="X785" s="10"/>
      <c r="Y785" s="10"/>
      <c r="Z785" s="10"/>
      <c r="AA785" s="11" t="str">
        <f t="shared" si="25"/>
        <v/>
      </c>
    </row>
    <row r="786" spans="16:27" ht="15" customHeight="1">
      <c r="P786" t="str">
        <f t="shared" si="24"/>
        <v/>
      </c>
      <c r="Q786" t="str">
        <f>IF(P786="","",IFERROR(IF(AND(H786="W7",OR(F786="causal",F786="predictive")),IF(AND(OR(K786=1,K786="1"),OR(L786=1,L786="1"),OR(M786=1,M786="1")),"adequate","partial"),IF(AND(H786="W4",F786="predictive",OR(J786="P2",J786="P3",J786="P4")),IF(OR(U786=1,U786="1"),"adequate","partial"),INDEX(Fit_Matrix!$B:$B,MATCH(P786,Fit_Matrix!$A:$A,0)))),"CHECK KEY"))</f>
        <v/>
      </c>
      <c r="U786" s="10"/>
      <c r="V786" s="10"/>
      <c r="W786" s="10"/>
      <c r="X786" s="10"/>
      <c r="Y786" s="10"/>
      <c r="Z786" s="10"/>
      <c r="AA786" s="11" t="str">
        <f t="shared" si="25"/>
        <v/>
      </c>
    </row>
    <row r="787" spans="16:27" ht="15" customHeight="1">
      <c r="P787" t="str">
        <f t="shared" si="24"/>
        <v/>
      </c>
      <c r="Q787" t="str">
        <f>IF(P787="","",IFERROR(IF(AND(H787="W7",OR(F787="causal",F787="predictive")),IF(AND(OR(K787=1,K787="1"),OR(L787=1,L787="1"),OR(M787=1,M787="1")),"adequate","partial"),IF(AND(H787="W4",F787="predictive",OR(J787="P2",J787="P3",J787="P4")),IF(OR(U787=1,U787="1"),"adequate","partial"),INDEX(Fit_Matrix!$B:$B,MATCH(P787,Fit_Matrix!$A:$A,0)))),"CHECK KEY"))</f>
        <v/>
      </c>
      <c r="U787" s="10"/>
      <c r="V787" s="10"/>
      <c r="W787" s="10"/>
      <c r="X787" s="10"/>
      <c r="Y787" s="10"/>
      <c r="Z787" s="10"/>
      <c r="AA787" s="11" t="str">
        <f t="shared" si="25"/>
        <v/>
      </c>
    </row>
    <row r="788" spans="16:27" ht="15" customHeight="1">
      <c r="P788" t="str">
        <f t="shared" si="24"/>
        <v/>
      </c>
      <c r="Q788" t="str">
        <f>IF(P788="","",IFERROR(IF(AND(H788="W7",OR(F788="causal",F788="predictive")),IF(AND(OR(K788=1,K788="1"),OR(L788=1,L788="1"),OR(M788=1,M788="1")),"adequate","partial"),IF(AND(H788="W4",F788="predictive",OR(J788="P2",J788="P3",J788="P4")),IF(OR(U788=1,U788="1"),"adequate","partial"),INDEX(Fit_Matrix!$B:$B,MATCH(P788,Fit_Matrix!$A:$A,0)))),"CHECK KEY"))</f>
        <v/>
      </c>
      <c r="U788" s="10"/>
      <c r="V788" s="10"/>
      <c r="W788" s="10"/>
      <c r="X788" s="10"/>
      <c r="Y788" s="10"/>
      <c r="Z788" s="10"/>
      <c r="AA788" s="11" t="str">
        <f t="shared" si="25"/>
        <v/>
      </c>
    </row>
    <row r="789" spans="16:27" ht="15" customHeight="1">
      <c r="P789" t="str">
        <f t="shared" si="24"/>
        <v/>
      </c>
      <c r="Q789" t="str">
        <f>IF(P789="","",IFERROR(IF(AND(H789="W7",OR(F789="causal",F789="predictive")),IF(AND(OR(K789=1,K789="1"),OR(L789=1,L789="1"),OR(M789=1,M789="1")),"adequate","partial"),IF(AND(H789="W4",F789="predictive",OR(J789="P2",J789="P3",J789="P4")),IF(OR(U789=1,U789="1"),"adequate","partial"),INDEX(Fit_Matrix!$B:$B,MATCH(P789,Fit_Matrix!$A:$A,0)))),"CHECK KEY"))</f>
        <v/>
      </c>
      <c r="U789" s="10"/>
      <c r="V789" s="10"/>
      <c r="W789" s="10"/>
      <c r="X789" s="10"/>
      <c r="Y789" s="10"/>
      <c r="Z789" s="10"/>
      <c r="AA789" s="11" t="str">
        <f t="shared" si="25"/>
        <v/>
      </c>
    </row>
    <row r="790" spans="16:27" ht="15" customHeight="1">
      <c r="P790" t="str">
        <f t="shared" si="24"/>
        <v/>
      </c>
      <c r="Q790" t="str">
        <f>IF(P790="","",IFERROR(IF(AND(H790="W7",OR(F790="causal",F790="predictive")),IF(AND(OR(K790=1,K790="1"),OR(L790=1,L790="1"),OR(M790=1,M790="1")),"adequate","partial"),IF(AND(H790="W4",F790="predictive",OR(J790="P2",J790="P3",J790="P4")),IF(OR(U790=1,U790="1"),"adequate","partial"),INDEX(Fit_Matrix!$B:$B,MATCH(P790,Fit_Matrix!$A:$A,0)))),"CHECK KEY"))</f>
        <v/>
      </c>
      <c r="U790" s="10"/>
      <c r="V790" s="10"/>
      <c r="W790" s="10"/>
      <c r="X790" s="10"/>
      <c r="Y790" s="10"/>
      <c r="Z790" s="10"/>
      <c r="AA790" s="11" t="str">
        <f t="shared" si="25"/>
        <v/>
      </c>
    </row>
    <row r="791" spans="16:27" ht="15" customHeight="1">
      <c r="P791" t="str">
        <f t="shared" si="24"/>
        <v/>
      </c>
      <c r="Q791" t="str">
        <f>IF(P791="","",IFERROR(IF(AND(H791="W7",OR(F791="causal",F791="predictive")),IF(AND(OR(K791=1,K791="1"),OR(L791=1,L791="1"),OR(M791=1,M791="1")),"adequate","partial"),IF(AND(H791="W4",F791="predictive",OR(J791="P2",J791="P3",J791="P4")),IF(OR(U791=1,U791="1"),"adequate","partial"),INDEX(Fit_Matrix!$B:$B,MATCH(P791,Fit_Matrix!$A:$A,0)))),"CHECK KEY"))</f>
        <v/>
      </c>
      <c r="U791" s="10"/>
      <c r="V791" s="10"/>
      <c r="W791" s="10"/>
      <c r="X791" s="10"/>
      <c r="Y791" s="10"/>
      <c r="Z791" s="10"/>
      <c r="AA791" s="11" t="str">
        <f t="shared" si="25"/>
        <v/>
      </c>
    </row>
    <row r="792" spans="16:27" ht="15" customHeight="1">
      <c r="P792" t="str">
        <f t="shared" si="24"/>
        <v/>
      </c>
      <c r="Q792" t="str">
        <f>IF(P792="","",IFERROR(IF(AND(H792="W7",OR(F792="causal",F792="predictive")),IF(AND(OR(K792=1,K792="1"),OR(L792=1,L792="1"),OR(M792=1,M792="1")),"adequate","partial"),IF(AND(H792="W4",F792="predictive",OR(J792="P2",J792="P3",J792="P4")),IF(OR(U792=1,U792="1"),"adequate","partial"),INDEX(Fit_Matrix!$B:$B,MATCH(P792,Fit_Matrix!$A:$A,0)))),"CHECK KEY"))</f>
        <v/>
      </c>
      <c r="U792" s="10"/>
      <c r="V792" s="10"/>
      <c r="W792" s="10"/>
      <c r="X792" s="10"/>
      <c r="Y792" s="10"/>
      <c r="Z792" s="10"/>
      <c r="AA792" s="11" t="str">
        <f t="shared" si="25"/>
        <v/>
      </c>
    </row>
    <row r="793" spans="16:27" ht="15" customHeight="1">
      <c r="P793" t="str">
        <f t="shared" si="24"/>
        <v/>
      </c>
      <c r="Q793" t="str">
        <f>IF(P793="","",IFERROR(IF(AND(H793="W7",OR(F793="causal",F793="predictive")),IF(AND(OR(K793=1,K793="1"),OR(L793=1,L793="1"),OR(M793=1,M793="1")),"adequate","partial"),IF(AND(H793="W4",F793="predictive",OR(J793="P2",J793="P3",J793="P4")),IF(OR(U793=1,U793="1"),"adequate","partial"),INDEX(Fit_Matrix!$B:$B,MATCH(P793,Fit_Matrix!$A:$A,0)))),"CHECK KEY"))</f>
        <v/>
      </c>
      <c r="U793" s="10"/>
      <c r="V793" s="10"/>
      <c r="W793" s="10"/>
      <c r="X793" s="10"/>
      <c r="Y793" s="10"/>
      <c r="Z793" s="10"/>
      <c r="AA793" s="11" t="str">
        <f t="shared" si="25"/>
        <v/>
      </c>
    </row>
    <row r="794" spans="16:27" ht="15" customHeight="1">
      <c r="P794" t="str">
        <f t="shared" si="24"/>
        <v/>
      </c>
      <c r="Q794" t="str">
        <f>IF(P794="","",IFERROR(IF(AND(H794="W7",OR(F794="causal",F794="predictive")),IF(AND(OR(K794=1,K794="1"),OR(L794=1,L794="1"),OR(M794=1,M794="1")),"adequate","partial"),IF(AND(H794="W4",F794="predictive",OR(J794="P2",J794="P3",J794="P4")),IF(OR(U794=1,U794="1"),"adequate","partial"),INDEX(Fit_Matrix!$B:$B,MATCH(P794,Fit_Matrix!$A:$A,0)))),"CHECK KEY"))</f>
        <v/>
      </c>
      <c r="U794" s="10"/>
      <c r="V794" s="10"/>
      <c r="W794" s="10"/>
      <c r="X794" s="10"/>
      <c r="Y794" s="10"/>
      <c r="Z794" s="10"/>
      <c r="AA794" s="11" t="str">
        <f t="shared" si="25"/>
        <v/>
      </c>
    </row>
    <row r="795" spans="16:27" ht="15" customHeight="1">
      <c r="P795" t="str">
        <f t="shared" si="24"/>
        <v/>
      </c>
      <c r="Q795" t="str">
        <f>IF(P795="","",IFERROR(IF(AND(H795="W7",OR(F795="causal",F795="predictive")),IF(AND(OR(K795=1,K795="1"),OR(L795=1,L795="1"),OR(M795=1,M795="1")),"adequate","partial"),IF(AND(H795="W4",F795="predictive",OR(J795="P2",J795="P3",J795="P4")),IF(OR(U795=1,U795="1"),"adequate","partial"),INDEX(Fit_Matrix!$B:$B,MATCH(P795,Fit_Matrix!$A:$A,0)))),"CHECK KEY"))</f>
        <v/>
      </c>
      <c r="U795" s="10"/>
      <c r="V795" s="10"/>
      <c r="W795" s="10"/>
      <c r="X795" s="10"/>
      <c r="Y795" s="10"/>
      <c r="Z795" s="10"/>
      <c r="AA795" s="11" t="str">
        <f t="shared" si="25"/>
        <v/>
      </c>
    </row>
    <row r="796" spans="16:27" ht="15" customHeight="1">
      <c r="P796" t="str">
        <f t="shared" si="24"/>
        <v/>
      </c>
      <c r="Q796" t="str">
        <f>IF(P796="","",IFERROR(IF(AND(H796="W7",OR(F796="causal",F796="predictive")),IF(AND(OR(K796=1,K796="1"),OR(L796=1,L796="1"),OR(M796=1,M796="1")),"adequate","partial"),IF(AND(H796="W4",F796="predictive",OR(J796="P2",J796="P3",J796="P4")),IF(OR(U796=1,U796="1"),"adequate","partial"),INDEX(Fit_Matrix!$B:$B,MATCH(P796,Fit_Matrix!$A:$A,0)))),"CHECK KEY"))</f>
        <v/>
      </c>
      <c r="U796" s="10"/>
      <c r="V796" s="10"/>
      <c r="W796" s="10"/>
      <c r="X796" s="10"/>
      <c r="Y796" s="10"/>
      <c r="Z796" s="10"/>
      <c r="AA796" s="11" t="str">
        <f t="shared" si="25"/>
        <v/>
      </c>
    </row>
    <row r="797" spans="16:27" ht="15" customHeight="1">
      <c r="P797" t="str">
        <f t="shared" si="24"/>
        <v/>
      </c>
      <c r="Q797" t="str">
        <f>IF(P797="","",IFERROR(IF(AND(H797="W7",OR(F797="causal",F797="predictive")),IF(AND(OR(K797=1,K797="1"),OR(L797=1,L797="1"),OR(M797=1,M797="1")),"adequate","partial"),IF(AND(H797="W4",F797="predictive",OR(J797="P2",J797="P3",J797="P4")),IF(OR(U797=1,U797="1"),"adequate","partial"),INDEX(Fit_Matrix!$B:$B,MATCH(P797,Fit_Matrix!$A:$A,0)))),"CHECK KEY"))</f>
        <v/>
      </c>
      <c r="U797" s="10"/>
      <c r="V797" s="10"/>
      <c r="W797" s="10"/>
      <c r="X797" s="10"/>
      <c r="Y797" s="10"/>
      <c r="Z797" s="10"/>
      <c r="AA797" s="11" t="str">
        <f t="shared" si="25"/>
        <v/>
      </c>
    </row>
    <row r="798" spans="16:27" ht="15" customHeight="1">
      <c r="P798" t="str">
        <f t="shared" si="24"/>
        <v/>
      </c>
      <c r="Q798" t="str">
        <f>IF(P798="","",IFERROR(IF(AND(H798="W7",OR(F798="causal",F798="predictive")),IF(AND(OR(K798=1,K798="1"),OR(L798=1,L798="1"),OR(M798=1,M798="1")),"adequate","partial"),IF(AND(H798="W4",F798="predictive",OR(J798="P2",J798="P3",J798="P4")),IF(OR(U798=1,U798="1"),"adequate","partial"),INDEX(Fit_Matrix!$B:$B,MATCH(P798,Fit_Matrix!$A:$A,0)))),"CHECK KEY"))</f>
        <v/>
      </c>
      <c r="U798" s="10"/>
      <c r="V798" s="10"/>
      <c r="W798" s="10"/>
      <c r="X798" s="10"/>
      <c r="Y798" s="10"/>
      <c r="Z798" s="10"/>
      <c r="AA798" s="11" t="str">
        <f t="shared" si="25"/>
        <v/>
      </c>
    </row>
    <row r="799" spans="16:27" ht="15" customHeight="1">
      <c r="P799" t="str">
        <f t="shared" si="24"/>
        <v/>
      </c>
      <c r="Q799" t="str">
        <f>IF(P799="","",IFERROR(IF(AND(H799="W7",OR(F799="causal",F799="predictive")),IF(AND(OR(K799=1,K799="1"),OR(L799=1,L799="1"),OR(M799=1,M799="1")),"adequate","partial"),IF(AND(H799="W4",F799="predictive",OR(J799="P2",J799="P3",J799="P4")),IF(OR(U799=1,U799="1"),"adequate","partial"),INDEX(Fit_Matrix!$B:$B,MATCH(P799,Fit_Matrix!$A:$A,0)))),"CHECK KEY"))</f>
        <v/>
      </c>
      <c r="U799" s="10"/>
      <c r="V799" s="10"/>
      <c r="W799" s="10"/>
      <c r="X799" s="10"/>
      <c r="Y799" s="10"/>
      <c r="Z799" s="10"/>
      <c r="AA799" s="11" t="str">
        <f t="shared" si="25"/>
        <v/>
      </c>
    </row>
    <row r="800" spans="16:27" ht="15" customHeight="1">
      <c r="P800" t="str">
        <f t="shared" si="24"/>
        <v/>
      </c>
      <c r="Q800" t="str">
        <f>IF(P800="","",IFERROR(IF(AND(H800="W7",OR(F800="causal",F800="predictive")),IF(AND(OR(K800=1,K800="1"),OR(L800=1,L800="1"),OR(M800=1,M800="1")),"adequate","partial"),IF(AND(H800="W4",F800="predictive",OR(J800="P2",J800="P3",J800="P4")),IF(OR(U800=1,U800="1"),"adequate","partial"),INDEX(Fit_Matrix!$B:$B,MATCH(P800,Fit_Matrix!$A:$A,0)))),"CHECK KEY"))</f>
        <v/>
      </c>
      <c r="U800" s="10"/>
      <c r="V800" s="10"/>
      <c r="W800" s="10"/>
      <c r="X800" s="10"/>
      <c r="Y800" s="10"/>
      <c r="Z800" s="10"/>
      <c r="AA800" s="11" t="str">
        <f t="shared" si="25"/>
        <v/>
      </c>
    </row>
    <row r="801" spans="16:27" ht="15" customHeight="1">
      <c r="P801" t="str">
        <f t="shared" si="24"/>
        <v/>
      </c>
      <c r="Q801" t="str">
        <f>IF(P801="","",IFERROR(IF(AND(H801="W7",OR(F801="causal",F801="predictive")),IF(AND(OR(K801=1,K801="1"),OR(L801=1,L801="1"),OR(M801=1,M801="1")),"adequate","partial"),IF(AND(H801="W4",F801="predictive",OR(J801="P2",J801="P3",J801="P4")),IF(OR(U801=1,U801="1"),"adequate","partial"),INDEX(Fit_Matrix!$B:$B,MATCH(P801,Fit_Matrix!$A:$A,0)))),"CHECK KEY"))</f>
        <v/>
      </c>
      <c r="U801" s="10"/>
      <c r="V801" s="10"/>
      <c r="W801" s="10"/>
      <c r="X801" s="10"/>
      <c r="Y801" s="10"/>
      <c r="Z801" s="10"/>
      <c r="AA801" s="11" t="str">
        <f t="shared" si="25"/>
        <v/>
      </c>
    </row>
    <row r="802" spans="16:27" ht="15" customHeight="1">
      <c r="P802" t="str">
        <f t="shared" si="24"/>
        <v/>
      </c>
      <c r="Q802" t="str">
        <f>IF(P802="","",IFERROR(IF(AND(H802="W7",OR(F802="causal",F802="predictive")),IF(AND(OR(K802=1,K802="1"),OR(L802=1,L802="1"),OR(M802=1,M802="1")),"adequate","partial"),IF(AND(H802="W4",F802="predictive",OR(J802="P2",J802="P3",J802="P4")),IF(OR(U802=1,U802="1"),"adequate","partial"),INDEX(Fit_Matrix!$B:$B,MATCH(P802,Fit_Matrix!$A:$A,0)))),"CHECK KEY"))</f>
        <v/>
      </c>
      <c r="U802" s="10"/>
      <c r="V802" s="10"/>
      <c r="W802" s="10"/>
      <c r="X802" s="10"/>
      <c r="Y802" s="10"/>
      <c r="Z802" s="10"/>
      <c r="AA802" s="11" t="str">
        <f t="shared" si="25"/>
        <v/>
      </c>
    </row>
    <row r="803" spans="16:27" ht="15" customHeight="1">
      <c r="P803" t="str">
        <f t="shared" si="24"/>
        <v/>
      </c>
      <c r="Q803" t="str">
        <f>IF(P803="","",IFERROR(IF(AND(H803="W7",OR(F803="causal",F803="predictive")),IF(AND(OR(K803=1,K803="1"),OR(L803=1,L803="1"),OR(M803=1,M803="1")),"adequate","partial"),IF(AND(H803="W4",F803="predictive",OR(J803="P2",J803="P3",J803="P4")),IF(OR(U803=1,U803="1"),"adequate","partial"),INDEX(Fit_Matrix!$B:$B,MATCH(P803,Fit_Matrix!$A:$A,0)))),"CHECK KEY"))</f>
        <v/>
      </c>
      <c r="U803" s="10"/>
      <c r="V803" s="10"/>
      <c r="W803" s="10"/>
      <c r="X803" s="10"/>
      <c r="Y803" s="10"/>
      <c r="Z803" s="10"/>
      <c r="AA803" s="11" t="str">
        <f t="shared" si="25"/>
        <v/>
      </c>
    </row>
    <row r="804" spans="16:27" ht="15" customHeight="1">
      <c r="P804" t="str">
        <f t="shared" si="24"/>
        <v/>
      </c>
      <c r="Q804" t="str">
        <f>IF(P804="","",IFERROR(IF(AND(H804="W7",OR(F804="causal",F804="predictive")),IF(AND(OR(K804=1,K804="1"),OR(L804=1,L804="1"),OR(M804=1,M804="1")),"adequate","partial"),IF(AND(H804="W4",F804="predictive",OR(J804="P2",J804="P3",J804="P4")),IF(OR(U804=1,U804="1"),"adequate","partial"),INDEX(Fit_Matrix!$B:$B,MATCH(P804,Fit_Matrix!$A:$A,0)))),"CHECK KEY"))</f>
        <v/>
      </c>
      <c r="U804" s="10"/>
      <c r="V804" s="10"/>
      <c r="W804" s="10"/>
      <c r="X804" s="10"/>
      <c r="Y804" s="10"/>
      <c r="Z804" s="10"/>
      <c r="AA804" s="11" t="str">
        <f t="shared" si="25"/>
        <v/>
      </c>
    </row>
    <row r="805" spans="16:27" ht="15" customHeight="1">
      <c r="P805" t="str">
        <f t="shared" si="24"/>
        <v/>
      </c>
      <c r="Q805" t="str">
        <f>IF(P805="","",IFERROR(IF(AND(H805="W7",OR(F805="causal",F805="predictive")),IF(AND(OR(K805=1,K805="1"),OR(L805=1,L805="1"),OR(M805=1,M805="1")),"adequate","partial"),IF(AND(H805="W4",F805="predictive",OR(J805="P2",J805="P3",J805="P4")),IF(OR(U805=1,U805="1"),"adequate","partial"),INDEX(Fit_Matrix!$B:$B,MATCH(P805,Fit_Matrix!$A:$A,0)))),"CHECK KEY"))</f>
        <v/>
      </c>
      <c r="U805" s="10"/>
      <c r="V805" s="10"/>
      <c r="W805" s="10"/>
      <c r="X805" s="10"/>
      <c r="Y805" s="10"/>
      <c r="Z805" s="10"/>
      <c r="AA805" s="11" t="str">
        <f t="shared" si="25"/>
        <v/>
      </c>
    </row>
    <row r="806" spans="16:27" ht="15" customHeight="1">
      <c r="P806" t="str">
        <f t="shared" si="24"/>
        <v/>
      </c>
      <c r="Q806" t="str">
        <f>IF(P806="","",IFERROR(IF(AND(H806="W7",OR(F806="causal",F806="predictive")),IF(AND(OR(K806=1,K806="1"),OR(L806=1,L806="1"),OR(M806=1,M806="1")),"adequate","partial"),IF(AND(H806="W4",F806="predictive",OR(J806="P2",J806="P3",J806="P4")),IF(OR(U806=1,U806="1"),"adequate","partial"),INDEX(Fit_Matrix!$B:$B,MATCH(P806,Fit_Matrix!$A:$A,0)))),"CHECK KEY"))</f>
        <v/>
      </c>
      <c r="U806" s="10"/>
      <c r="V806" s="10"/>
      <c r="W806" s="10"/>
      <c r="X806" s="10"/>
      <c r="Y806" s="10"/>
      <c r="Z806" s="10"/>
      <c r="AA806" s="11" t="str">
        <f t="shared" si="25"/>
        <v/>
      </c>
    </row>
    <row r="807" spans="16:27" ht="15" customHeight="1">
      <c r="P807" t="str">
        <f t="shared" si="24"/>
        <v/>
      </c>
      <c r="Q807" t="str">
        <f>IF(P807="","",IFERROR(IF(AND(H807="W7",OR(F807="causal",F807="predictive")),IF(AND(OR(K807=1,K807="1"),OR(L807=1,L807="1"),OR(M807=1,M807="1")),"adequate","partial"),IF(AND(H807="W4",F807="predictive",OR(J807="P2",J807="P3",J807="P4")),IF(OR(U807=1,U807="1"),"adequate","partial"),INDEX(Fit_Matrix!$B:$B,MATCH(P807,Fit_Matrix!$A:$A,0)))),"CHECK KEY"))</f>
        <v/>
      </c>
      <c r="U807" s="10"/>
      <c r="V807" s="10"/>
      <c r="W807" s="10"/>
      <c r="X807" s="10"/>
      <c r="Y807" s="10"/>
      <c r="Z807" s="10"/>
      <c r="AA807" s="11" t="str">
        <f t="shared" si="25"/>
        <v/>
      </c>
    </row>
    <row r="808" spans="16:27" ht="15" customHeight="1">
      <c r="P808" t="str">
        <f t="shared" si="24"/>
        <v/>
      </c>
      <c r="Q808" t="str">
        <f>IF(P808="","",IFERROR(IF(AND(H808="W7",OR(F808="causal",F808="predictive")),IF(AND(OR(K808=1,K808="1"),OR(L808=1,L808="1"),OR(M808=1,M808="1")),"adequate","partial"),IF(AND(H808="W4",F808="predictive",OR(J808="P2",J808="P3",J808="P4")),IF(OR(U808=1,U808="1"),"adequate","partial"),INDEX(Fit_Matrix!$B:$B,MATCH(P808,Fit_Matrix!$A:$A,0)))),"CHECK KEY"))</f>
        <v/>
      </c>
      <c r="U808" s="10"/>
      <c r="V808" s="10"/>
      <c r="W808" s="10"/>
      <c r="X808" s="10"/>
      <c r="Y808" s="10"/>
      <c r="Z808" s="10"/>
      <c r="AA808" s="11" t="str">
        <f t="shared" si="25"/>
        <v/>
      </c>
    </row>
    <row r="809" spans="16:27" ht="15" customHeight="1">
      <c r="P809" t="str">
        <f t="shared" si="24"/>
        <v/>
      </c>
      <c r="Q809" t="str">
        <f>IF(P809="","",IFERROR(IF(AND(H809="W7",OR(F809="causal",F809="predictive")),IF(AND(OR(K809=1,K809="1"),OR(L809=1,L809="1"),OR(M809=1,M809="1")),"adequate","partial"),IF(AND(H809="W4",F809="predictive",OR(J809="P2",J809="P3",J809="P4")),IF(OR(U809=1,U809="1"),"adequate","partial"),INDEX(Fit_Matrix!$B:$B,MATCH(P809,Fit_Matrix!$A:$A,0)))),"CHECK KEY"))</f>
        <v/>
      </c>
      <c r="U809" s="10"/>
      <c r="V809" s="10"/>
      <c r="W809" s="10"/>
      <c r="X809" s="10"/>
      <c r="Y809" s="10"/>
      <c r="Z809" s="10"/>
      <c r="AA809" s="11" t="str">
        <f t="shared" si="25"/>
        <v/>
      </c>
    </row>
    <row r="810" spans="16:27" ht="15" customHeight="1">
      <c r="P810" t="str">
        <f t="shared" si="24"/>
        <v/>
      </c>
      <c r="Q810" t="str">
        <f>IF(P810="","",IFERROR(IF(AND(H810="W7",OR(F810="causal",F810="predictive")),IF(AND(OR(K810=1,K810="1"),OR(L810=1,L810="1"),OR(M810=1,M810="1")),"adequate","partial"),IF(AND(H810="W4",F810="predictive",OR(J810="P2",J810="P3",J810="P4")),IF(OR(U810=1,U810="1"),"adequate","partial"),INDEX(Fit_Matrix!$B:$B,MATCH(P810,Fit_Matrix!$A:$A,0)))),"CHECK KEY"))</f>
        <v/>
      </c>
      <c r="U810" s="10"/>
      <c r="V810" s="10"/>
      <c r="W810" s="10"/>
      <c r="X810" s="10"/>
      <c r="Y810" s="10"/>
      <c r="Z810" s="10"/>
      <c r="AA810" s="11" t="str">
        <f t="shared" si="25"/>
        <v/>
      </c>
    </row>
    <row r="811" spans="16:27" ht="15" customHeight="1">
      <c r="P811" t="str">
        <f t="shared" si="24"/>
        <v/>
      </c>
      <c r="Q811" t="str">
        <f>IF(P811="","",IFERROR(IF(AND(H811="W7",OR(F811="causal",F811="predictive")),IF(AND(OR(K811=1,K811="1"),OR(L811=1,L811="1"),OR(M811=1,M811="1")),"adequate","partial"),IF(AND(H811="W4",F811="predictive",OR(J811="P2",J811="P3",J811="P4")),IF(OR(U811=1,U811="1"),"adequate","partial"),INDEX(Fit_Matrix!$B:$B,MATCH(P811,Fit_Matrix!$A:$A,0)))),"CHECK KEY"))</f>
        <v/>
      </c>
      <c r="U811" s="10"/>
      <c r="V811" s="10"/>
      <c r="W811" s="10"/>
      <c r="X811" s="10"/>
      <c r="Y811" s="10"/>
      <c r="Z811" s="10"/>
      <c r="AA811" s="11" t="str">
        <f t="shared" si="25"/>
        <v/>
      </c>
    </row>
    <row r="812" spans="16:27" ht="15" customHeight="1">
      <c r="P812" t="str">
        <f t="shared" si="24"/>
        <v/>
      </c>
      <c r="Q812" t="str">
        <f>IF(P812="","",IFERROR(IF(AND(H812="W7",OR(F812="causal",F812="predictive")),IF(AND(OR(K812=1,K812="1"),OR(L812=1,L812="1"),OR(M812=1,M812="1")),"adequate","partial"),IF(AND(H812="W4",F812="predictive",OR(J812="P2",J812="P3",J812="P4")),IF(OR(U812=1,U812="1"),"adequate","partial"),INDEX(Fit_Matrix!$B:$B,MATCH(P812,Fit_Matrix!$A:$A,0)))),"CHECK KEY"))</f>
        <v/>
      </c>
      <c r="U812" s="10"/>
      <c r="V812" s="10"/>
      <c r="W812" s="10"/>
      <c r="X812" s="10"/>
      <c r="Y812" s="10"/>
      <c r="Z812" s="10"/>
      <c r="AA812" s="11" t="str">
        <f t="shared" si="25"/>
        <v/>
      </c>
    </row>
    <row r="813" spans="16:27" ht="15" customHeight="1">
      <c r="P813" t="str">
        <f t="shared" si="24"/>
        <v/>
      </c>
      <c r="Q813" t="str">
        <f>IF(P813="","",IFERROR(IF(AND(H813="W7",OR(F813="causal",F813="predictive")),IF(AND(OR(K813=1,K813="1"),OR(L813=1,L813="1"),OR(M813=1,M813="1")),"adequate","partial"),IF(AND(H813="W4",F813="predictive",OR(J813="P2",J813="P3",J813="P4")),IF(OR(U813=1,U813="1"),"adequate","partial"),INDEX(Fit_Matrix!$B:$B,MATCH(P813,Fit_Matrix!$A:$A,0)))),"CHECK KEY"))</f>
        <v/>
      </c>
      <c r="U813" s="10"/>
      <c r="V813" s="10"/>
      <c r="W813" s="10"/>
      <c r="X813" s="10"/>
      <c r="Y813" s="10"/>
      <c r="Z813" s="10"/>
      <c r="AA813" s="11" t="str">
        <f t="shared" si="25"/>
        <v/>
      </c>
    </row>
    <row r="814" spans="16:27" ht="15" customHeight="1">
      <c r="P814" t="str">
        <f t="shared" si="24"/>
        <v/>
      </c>
      <c r="Q814" t="str">
        <f>IF(P814="","",IFERROR(IF(AND(H814="W7",OR(F814="causal",F814="predictive")),IF(AND(OR(K814=1,K814="1"),OR(L814=1,L814="1"),OR(M814=1,M814="1")),"adequate","partial"),IF(AND(H814="W4",F814="predictive",OR(J814="P2",J814="P3",J814="P4")),IF(OR(U814=1,U814="1"),"adequate","partial"),INDEX(Fit_Matrix!$B:$B,MATCH(P814,Fit_Matrix!$A:$A,0)))),"CHECK KEY"))</f>
        <v/>
      </c>
      <c r="U814" s="10"/>
      <c r="V814" s="10"/>
      <c r="W814" s="10"/>
      <c r="X814" s="10"/>
      <c r="Y814" s="10"/>
      <c r="Z814" s="10"/>
      <c r="AA814" s="11" t="str">
        <f t="shared" si="25"/>
        <v/>
      </c>
    </row>
    <row r="815" spans="16:27" ht="15" customHeight="1">
      <c r="P815" t="str">
        <f t="shared" si="24"/>
        <v/>
      </c>
      <c r="Q815" t="str">
        <f>IF(P815="","",IFERROR(IF(AND(H815="W7",OR(F815="causal",F815="predictive")),IF(AND(OR(K815=1,K815="1"),OR(L815=1,L815="1"),OR(M815=1,M815="1")),"adequate","partial"),IF(AND(H815="W4",F815="predictive",OR(J815="P2",J815="P3",J815="P4")),IF(OR(U815=1,U815="1"),"adequate","partial"),INDEX(Fit_Matrix!$B:$B,MATCH(P815,Fit_Matrix!$A:$A,0)))),"CHECK KEY"))</f>
        <v/>
      </c>
      <c r="U815" s="10"/>
      <c r="V815" s="10"/>
      <c r="W815" s="10"/>
      <c r="X815" s="10"/>
      <c r="Y815" s="10"/>
      <c r="Z815" s="10"/>
      <c r="AA815" s="11" t="str">
        <f t="shared" si="25"/>
        <v/>
      </c>
    </row>
    <row r="816" spans="16:27" ht="15" customHeight="1">
      <c r="P816" t="str">
        <f t="shared" si="24"/>
        <v/>
      </c>
      <c r="Q816" t="str">
        <f>IF(P816="","",IFERROR(IF(AND(H816="W7",OR(F816="causal",F816="predictive")),IF(AND(OR(K816=1,K816="1"),OR(L816=1,L816="1"),OR(M816=1,M816="1")),"adequate","partial"),IF(AND(H816="W4",F816="predictive",OR(J816="P2",J816="P3",J816="P4")),IF(OR(U816=1,U816="1"),"adequate","partial"),INDEX(Fit_Matrix!$B:$B,MATCH(P816,Fit_Matrix!$A:$A,0)))),"CHECK KEY"))</f>
        <v/>
      </c>
      <c r="U816" s="10"/>
      <c r="V816" s="10"/>
      <c r="W816" s="10"/>
      <c r="X816" s="10"/>
      <c r="Y816" s="10"/>
      <c r="Z816" s="10"/>
      <c r="AA816" s="11" t="str">
        <f t="shared" si="25"/>
        <v/>
      </c>
    </row>
    <row r="817" spans="16:27" ht="15" customHeight="1">
      <c r="P817" t="str">
        <f t="shared" si="24"/>
        <v/>
      </c>
      <c r="Q817" t="str">
        <f>IF(P817="","",IFERROR(IF(AND(H817="W7",OR(F817="causal",F817="predictive")),IF(AND(OR(K817=1,K817="1"),OR(L817=1,L817="1"),OR(M817=1,M817="1")),"adequate","partial"),IF(AND(H817="W4",F817="predictive",OR(J817="P2",J817="P3",J817="P4")),IF(OR(U817=1,U817="1"),"adequate","partial"),INDEX(Fit_Matrix!$B:$B,MATCH(P817,Fit_Matrix!$A:$A,0)))),"CHECK KEY"))</f>
        <v/>
      </c>
      <c r="U817" s="10"/>
      <c r="V817" s="10"/>
      <c r="W817" s="10"/>
      <c r="X817" s="10"/>
      <c r="Y817" s="10"/>
      <c r="Z817" s="10"/>
      <c r="AA817" s="11" t="str">
        <f t="shared" si="25"/>
        <v/>
      </c>
    </row>
    <row r="818" spans="16:27" ht="15" customHeight="1">
      <c r="P818" t="str">
        <f t="shared" si="24"/>
        <v/>
      </c>
      <c r="Q818" t="str">
        <f>IF(P818="","",IFERROR(IF(AND(H818="W7",OR(F818="causal",F818="predictive")),IF(AND(OR(K818=1,K818="1"),OR(L818=1,L818="1"),OR(M818=1,M818="1")),"adequate","partial"),IF(AND(H818="W4",F818="predictive",OR(J818="P2",J818="P3",J818="P4")),IF(OR(U818=1,U818="1"),"adequate","partial"),INDEX(Fit_Matrix!$B:$B,MATCH(P818,Fit_Matrix!$A:$A,0)))),"CHECK KEY"))</f>
        <v/>
      </c>
      <c r="U818" s="10"/>
      <c r="V818" s="10"/>
      <c r="W818" s="10"/>
      <c r="X818" s="10"/>
      <c r="Y818" s="10"/>
      <c r="Z818" s="10"/>
      <c r="AA818" s="11" t="str">
        <f t="shared" si="25"/>
        <v/>
      </c>
    </row>
    <row r="819" spans="16:27" ht="15" customHeight="1">
      <c r="P819" t="str">
        <f t="shared" si="24"/>
        <v/>
      </c>
      <c r="Q819" t="str">
        <f>IF(P819="","",IFERROR(IF(AND(H819="W7",OR(F819="causal",F819="predictive")),IF(AND(OR(K819=1,K819="1"),OR(L819=1,L819="1"),OR(M819=1,M819="1")),"adequate","partial"),IF(AND(H819="W4",F819="predictive",OR(J819="P2",J819="P3",J819="P4")),IF(OR(U819=1,U819="1"),"adequate","partial"),INDEX(Fit_Matrix!$B:$B,MATCH(P819,Fit_Matrix!$A:$A,0)))),"CHECK KEY"))</f>
        <v/>
      </c>
      <c r="U819" s="10"/>
      <c r="V819" s="10"/>
      <c r="W819" s="10"/>
      <c r="X819" s="10"/>
      <c r="Y819" s="10"/>
      <c r="Z819" s="10"/>
      <c r="AA819" s="11" t="str">
        <f t="shared" si="25"/>
        <v/>
      </c>
    </row>
    <row r="820" spans="16:27" ht="15" customHeight="1">
      <c r="P820" t="str">
        <f t="shared" si="24"/>
        <v/>
      </c>
      <c r="Q820" t="str">
        <f>IF(P820="","",IFERROR(IF(AND(H820="W7",OR(F820="causal",F820="predictive")),IF(AND(OR(K820=1,K820="1"),OR(L820=1,L820="1"),OR(M820=1,M820="1")),"adequate","partial"),IF(AND(H820="W4",F820="predictive",OR(J820="P2",J820="P3",J820="P4")),IF(OR(U820=1,U820="1"),"adequate","partial"),INDEX(Fit_Matrix!$B:$B,MATCH(P820,Fit_Matrix!$A:$A,0)))),"CHECK KEY"))</f>
        <v/>
      </c>
      <c r="U820" s="10"/>
      <c r="V820" s="10"/>
      <c r="W820" s="10"/>
      <c r="X820" s="10"/>
      <c r="Y820" s="10"/>
      <c r="Z820" s="10"/>
      <c r="AA820" s="11" t="str">
        <f t="shared" si="25"/>
        <v/>
      </c>
    </row>
    <row r="821" spans="16:27" ht="15" customHeight="1">
      <c r="P821" t="str">
        <f t="shared" si="24"/>
        <v/>
      </c>
      <c r="Q821" t="str">
        <f>IF(P821="","",IFERROR(IF(AND(H821="W7",OR(F821="causal",F821="predictive")),IF(AND(OR(K821=1,K821="1"),OR(L821=1,L821="1"),OR(M821=1,M821="1")),"adequate","partial"),IF(AND(H821="W4",F821="predictive",OR(J821="P2",J821="P3",J821="P4")),IF(OR(U821=1,U821="1"),"adequate","partial"),INDEX(Fit_Matrix!$B:$B,MATCH(P821,Fit_Matrix!$A:$A,0)))),"CHECK KEY"))</f>
        <v/>
      </c>
      <c r="U821" s="10"/>
      <c r="V821" s="10"/>
      <c r="W821" s="10"/>
      <c r="X821" s="10"/>
      <c r="Y821" s="10"/>
      <c r="Z821" s="10"/>
      <c r="AA821" s="11" t="str">
        <f t="shared" si="25"/>
        <v/>
      </c>
    </row>
    <row r="822" spans="16:27" ht="15" customHeight="1">
      <c r="P822" t="str">
        <f t="shared" si="24"/>
        <v/>
      </c>
      <c r="Q822" t="str">
        <f>IF(P822="","",IFERROR(IF(AND(H822="W7",OR(F822="causal",F822="predictive")),IF(AND(OR(K822=1,K822="1"),OR(L822=1,L822="1"),OR(M822=1,M822="1")),"adequate","partial"),IF(AND(H822="W4",F822="predictive",OR(J822="P2",J822="P3",J822="P4")),IF(OR(U822=1,U822="1"),"adequate","partial"),INDEX(Fit_Matrix!$B:$B,MATCH(P822,Fit_Matrix!$A:$A,0)))),"CHECK KEY"))</f>
        <v/>
      </c>
      <c r="U822" s="10"/>
      <c r="V822" s="10"/>
      <c r="W822" s="10"/>
      <c r="X822" s="10"/>
      <c r="Y822" s="10"/>
      <c r="Z822" s="10"/>
      <c r="AA822" s="11" t="str">
        <f t="shared" si="25"/>
        <v/>
      </c>
    </row>
    <row r="823" spans="16:27" ht="15" customHeight="1">
      <c r="P823" t="str">
        <f t="shared" si="24"/>
        <v/>
      </c>
      <c r="Q823" t="str">
        <f>IF(P823="","",IFERROR(IF(AND(H823="W7",OR(F823="causal",F823="predictive")),IF(AND(OR(K823=1,K823="1"),OR(L823=1,L823="1"),OR(M823=1,M823="1")),"adequate","partial"),IF(AND(H823="W4",F823="predictive",OR(J823="P2",J823="P3",J823="P4")),IF(OR(U823=1,U823="1"),"adequate","partial"),INDEX(Fit_Matrix!$B:$B,MATCH(P823,Fit_Matrix!$A:$A,0)))),"CHECK KEY"))</f>
        <v/>
      </c>
      <c r="U823" s="10"/>
      <c r="V823" s="10"/>
      <c r="W823" s="10"/>
      <c r="X823" s="10"/>
      <c r="Y823" s="10"/>
      <c r="Z823" s="10"/>
      <c r="AA823" s="11" t="str">
        <f t="shared" si="25"/>
        <v/>
      </c>
    </row>
    <row r="824" spans="16:27" ht="15" customHeight="1">
      <c r="P824" t="str">
        <f t="shared" si="24"/>
        <v/>
      </c>
      <c r="Q824" t="str">
        <f>IF(P824="","",IFERROR(IF(AND(H824="W7",OR(F824="causal",F824="predictive")),IF(AND(OR(K824=1,K824="1"),OR(L824=1,L824="1"),OR(M824=1,M824="1")),"adequate","partial"),IF(AND(H824="W4",F824="predictive",OR(J824="P2",J824="P3",J824="P4")),IF(OR(U824=1,U824="1"),"adequate","partial"),INDEX(Fit_Matrix!$B:$B,MATCH(P824,Fit_Matrix!$A:$A,0)))),"CHECK KEY"))</f>
        <v/>
      </c>
      <c r="U824" s="10"/>
      <c r="V824" s="10"/>
      <c r="W824" s="10"/>
      <c r="X824" s="10"/>
      <c r="Y824" s="10"/>
      <c r="Z824" s="10"/>
      <c r="AA824" s="11" t="str">
        <f t="shared" si="25"/>
        <v/>
      </c>
    </row>
    <row r="825" spans="16:27" ht="15" customHeight="1">
      <c r="P825" t="str">
        <f t="shared" si="24"/>
        <v/>
      </c>
      <c r="Q825" t="str">
        <f>IF(P825="","",IFERROR(IF(AND(H825="W7",OR(F825="causal",F825="predictive")),IF(AND(OR(K825=1,K825="1"),OR(L825=1,L825="1"),OR(M825=1,M825="1")),"adequate","partial"),IF(AND(H825="W4",F825="predictive",OR(J825="P2",J825="P3",J825="P4")),IF(OR(U825=1,U825="1"),"adequate","partial"),INDEX(Fit_Matrix!$B:$B,MATCH(P825,Fit_Matrix!$A:$A,0)))),"CHECK KEY"))</f>
        <v/>
      </c>
      <c r="U825" s="10"/>
      <c r="V825" s="10"/>
      <c r="W825" s="10"/>
      <c r="X825" s="10"/>
      <c r="Y825" s="10"/>
      <c r="Z825" s="10"/>
      <c r="AA825" s="11" t="str">
        <f t="shared" si="25"/>
        <v/>
      </c>
    </row>
    <row r="826" spans="16:27" ht="15" customHeight="1">
      <c r="P826" t="str">
        <f t="shared" si="24"/>
        <v/>
      </c>
      <c r="Q826" t="str">
        <f>IF(P826="","",IFERROR(IF(AND(H826="W7",OR(F826="causal",F826="predictive")),IF(AND(OR(K826=1,K826="1"),OR(L826=1,L826="1"),OR(M826=1,M826="1")),"adequate","partial"),IF(AND(H826="W4",F826="predictive",OR(J826="P2",J826="P3",J826="P4")),IF(OR(U826=1,U826="1"),"adequate","partial"),INDEX(Fit_Matrix!$B:$B,MATCH(P826,Fit_Matrix!$A:$A,0)))),"CHECK KEY"))</f>
        <v/>
      </c>
      <c r="U826" s="10"/>
      <c r="V826" s="10"/>
      <c r="W826" s="10"/>
      <c r="X826" s="10"/>
      <c r="Y826" s="10"/>
      <c r="Z826" s="10"/>
      <c r="AA826" s="11" t="str">
        <f t="shared" si="25"/>
        <v/>
      </c>
    </row>
    <row r="827" spans="16:27" ht="15" customHeight="1">
      <c r="P827" t="str">
        <f t="shared" si="24"/>
        <v/>
      </c>
      <c r="Q827" t="str">
        <f>IF(P827="","",IFERROR(IF(AND(H827="W7",OR(F827="causal",F827="predictive")),IF(AND(OR(K827=1,K827="1"),OR(L827=1,L827="1"),OR(M827=1,M827="1")),"adequate","partial"),IF(AND(H827="W4",F827="predictive",OR(J827="P2",J827="P3",J827="P4")),IF(OR(U827=1,U827="1"),"adequate","partial"),INDEX(Fit_Matrix!$B:$B,MATCH(P827,Fit_Matrix!$A:$A,0)))),"CHECK KEY"))</f>
        <v/>
      </c>
      <c r="U827" s="10"/>
      <c r="V827" s="10"/>
      <c r="W827" s="10"/>
      <c r="X827" s="10"/>
      <c r="Y827" s="10"/>
      <c r="Z827" s="10"/>
      <c r="AA827" s="11" t="str">
        <f t="shared" si="25"/>
        <v/>
      </c>
    </row>
    <row r="828" spans="16:27" ht="15" customHeight="1">
      <c r="P828" t="str">
        <f t="shared" si="24"/>
        <v/>
      </c>
      <c r="Q828" t="str">
        <f>IF(P828="","",IFERROR(IF(AND(H828="W7",OR(F828="causal",F828="predictive")),IF(AND(OR(K828=1,K828="1"),OR(L828=1,L828="1"),OR(M828=1,M828="1")),"adequate","partial"),IF(AND(H828="W4",F828="predictive",OR(J828="P2",J828="P3",J828="P4")),IF(OR(U828=1,U828="1"),"adequate","partial"),INDEX(Fit_Matrix!$B:$B,MATCH(P828,Fit_Matrix!$A:$A,0)))),"CHECK KEY"))</f>
        <v/>
      </c>
      <c r="U828" s="10"/>
      <c r="V828" s="10"/>
      <c r="W828" s="10"/>
      <c r="X828" s="10"/>
      <c r="Y828" s="10"/>
      <c r="Z828" s="10"/>
      <c r="AA828" s="11" t="str">
        <f t="shared" si="25"/>
        <v/>
      </c>
    </row>
    <row r="829" spans="16:27" ht="15" customHeight="1">
      <c r="P829" t="str">
        <f t="shared" si="24"/>
        <v/>
      </c>
      <c r="Q829" t="str">
        <f>IF(P829="","",IFERROR(IF(AND(H829="W7",OR(F829="causal",F829="predictive")),IF(AND(OR(K829=1,K829="1"),OR(L829=1,L829="1"),OR(M829=1,M829="1")),"adequate","partial"),IF(AND(H829="W4",F829="predictive",OR(J829="P2",J829="P3",J829="P4")),IF(OR(U829=1,U829="1"),"adequate","partial"),INDEX(Fit_Matrix!$B:$B,MATCH(P829,Fit_Matrix!$A:$A,0)))),"CHECK KEY"))</f>
        <v/>
      </c>
      <c r="U829" s="10"/>
      <c r="V829" s="10"/>
      <c r="W829" s="10"/>
      <c r="X829" s="10"/>
      <c r="Y829" s="10"/>
      <c r="Z829" s="10"/>
      <c r="AA829" s="11" t="str">
        <f t="shared" si="25"/>
        <v/>
      </c>
    </row>
    <row r="830" spans="16:27" ht="15" customHeight="1">
      <c r="P830" t="str">
        <f t="shared" si="24"/>
        <v/>
      </c>
      <c r="Q830" t="str">
        <f>IF(P830="","",IFERROR(IF(AND(H830="W7",OR(F830="causal",F830="predictive")),IF(AND(OR(K830=1,K830="1"),OR(L830=1,L830="1"),OR(M830=1,M830="1")),"adequate","partial"),IF(AND(H830="W4",F830="predictive",OR(J830="P2",J830="P3",J830="P4")),IF(OR(U830=1,U830="1"),"adequate","partial"),INDEX(Fit_Matrix!$B:$B,MATCH(P830,Fit_Matrix!$A:$A,0)))),"CHECK KEY"))</f>
        <v/>
      </c>
      <c r="U830" s="10"/>
      <c r="V830" s="10"/>
      <c r="W830" s="10"/>
      <c r="X830" s="10"/>
      <c r="Y830" s="10"/>
      <c r="Z830" s="10"/>
      <c r="AA830" s="11" t="str">
        <f t="shared" si="25"/>
        <v/>
      </c>
    </row>
    <row r="831" spans="16:27" ht="15" customHeight="1">
      <c r="P831" t="str">
        <f t="shared" si="24"/>
        <v/>
      </c>
      <c r="Q831" t="str">
        <f>IF(P831="","",IFERROR(IF(AND(H831="W7",OR(F831="causal",F831="predictive")),IF(AND(OR(K831=1,K831="1"),OR(L831=1,L831="1"),OR(M831=1,M831="1")),"adequate","partial"),IF(AND(H831="W4",F831="predictive",OR(J831="P2",J831="P3",J831="P4")),IF(OR(U831=1,U831="1"),"adequate","partial"),INDEX(Fit_Matrix!$B:$B,MATCH(P831,Fit_Matrix!$A:$A,0)))),"CHECK KEY"))</f>
        <v/>
      </c>
      <c r="U831" s="10"/>
      <c r="V831" s="10"/>
      <c r="W831" s="10"/>
      <c r="X831" s="10"/>
      <c r="Y831" s="10"/>
      <c r="Z831" s="10"/>
      <c r="AA831" s="11" t="str">
        <f t="shared" si="25"/>
        <v/>
      </c>
    </row>
    <row r="832" spans="16:27" ht="15" customHeight="1">
      <c r="P832" t="str">
        <f t="shared" si="24"/>
        <v/>
      </c>
      <c r="Q832" t="str">
        <f>IF(P832="","",IFERROR(IF(AND(H832="W7",OR(F832="causal",F832="predictive")),IF(AND(OR(K832=1,K832="1"),OR(L832=1,L832="1"),OR(M832=1,M832="1")),"adequate","partial"),IF(AND(H832="W4",F832="predictive",OR(J832="P2",J832="P3",J832="P4")),IF(OR(U832=1,U832="1"),"adequate","partial"),INDEX(Fit_Matrix!$B:$B,MATCH(P832,Fit_Matrix!$A:$A,0)))),"CHECK KEY"))</f>
        <v/>
      </c>
      <c r="U832" s="10"/>
      <c r="V832" s="10"/>
      <c r="W832" s="10"/>
      <c r="X832" s="10"/>
      <c r="Y832" s="10"/>
      <c r="Z832" s="10"/>
      <c r="AA832" s="11" t="str">
        <f t="shared" si="25"/>
        <v/>
      </c>
    </row>
    <row r="833" spans="16:27" ht="15" customHeight="1">
      <c r="P833" t="str">
        <f t="shared" si="24"/>
        <v/>
      </c>
      <c r="Q833" t="str">
        <f>IF(P833="","",IFERROR(IF(AND(H833="W7",OR(F833="causal",F833="predictive")),IF(AND(OR(K833=1,K833="1"),OR(L833=1,L833="1"),OR(M833=1,M833="1")),"adequate","partial"),IF(AND(H833="W4",F833="predictive",OR(J833="P2",J833="P3",J833="P4")),IF(OR(U833=1,U833="1"),"adequate","partial"),INDEX(Fit_Matrix!$B:$B,MATCH(P833,Fit_Matrix!$A:$A,0)))),"CHECK KEY"))</f>
        <v/>
      </c>
      <c r="U833" s="10"/>
      <c r="V833" s="10"/>
      <c r="W833" s="10"/>
      <c r="X833" s="10"/>
      <c r="Y833" s="10"/>
      <c r="Z833" s="10"/>
      <c r="AA833" s="11" t="str">
        <f t="shared" si="25"/>
        <v/>
      </c>
    </row>
    <row r="834" spans="16:27" ht="15" customHeight="1">
      <c r="P834" t="str">
        <f t="shared" ref="P834:P897" si="26">IF(OR(F834="",H834="",J834=""),"",J834&amp;"|"&amp;F834&amp;"|"&amp;IF(H834="W3","W3_"&amp;IF(I834="","unknown",I834),H834))</f>
        <v/>
      </c>
      <c r="Q834" t="str">
        <f>IF(P834="","",IFERROR(IF(AND(H834="W7",OR(F834="causal",F834="predictive")),IF(AND(OR(K834=1,K834="1"),OR(L834=1,L834="1"),OR(M834=1,M834="1")),"adequate","partial"),IF(AND(H834="W4",F834="predictive",OR(J834="P2",J834="P3",J834="P4")),IF(OR(U834=1,U834="1"),"adequate","partial"),INDEX(Fit_Matrix!$B:$B,MATCH(P834,Fit_Matrix!$A:$A,0)))),"CHECK KEY"))</f>
        <v/>
      </c>
      <c r="U834" s="10"/>
      <c r="V834" s="10"/>
      <c r="W834" s="10"/>
      <c r="X834" s="10"/>
      <c r="Y834" s="10"/>
      <c r="Z834" s="10"/>
      <c r="AA834" s="11" t="str">
        <f t="shared" ref="AA834:AA897" si="27">IF(A834="","",IF(AND(J834="P4",F834="causal"),"P4-CAUSAL",""))</f>
        <v/>
      </c>
    </row>
    <row r="835" spans="16:27" ht="15" customHeight="1">
      <c r="P835" t="str">
        <f t="shared" si="26"/>
        <v/>
      </c>
      <c r="Q835" t="str">
        <f>IF(P835="","",IFERROR(IF(AND(H835="W7",OR(F835="causal",F835="predictive")),IF(AND(OR(K835=1,K835="1"),OR(L835=1,L835="1"),OR(M835=1,M835="1")),"adequate","partial"),IF(AND(H835="W4",F835="predictive",OR(J835="P2",J835="P3",J835="P4")),IF(OR(U835=1,U835="1"),"adequate","partial"),INDEX(Fit_Matrix!$B:$B,MATCH(P835,Fit_Matrix!$A:$A,0)))),"CHECK KEY"))</f>
        <v/>
      </c>
      <c r="U835" s="10"/>
      <c r="V835" s="10"/>
      <c r="W835" s="10"/>
      <c r="X835" s="10"/>
      <c r="Y835" s="10"/>
      <c r="Z835" s="10"/>
      <c r="AA835" s="11" t="str">
        <f t="shared" si="27"/>
        <v/>
      </c>
    </row>
    <row r="836" spans="16:27" ht="15" customHeight="1">
      <c r="P836" t="str">
        <f t="shared" si="26"/>
        <v/>
      </c>
      <c r="Q836" t="str">
        <f>IF(P836="","",IFERROR(IF(AND(H836="W7",OR(F836="causal",F836="predictive")),IF(AND(OR(K836=1,K836="1"),OR(L836=1,L836="1"),OR(M836=1,M836="1")),"adequate","partial"),IF(AND(H836="W4",F836="predictive",OR(J836="P2",J836="P3",J836="P4")),IF(OR(U836=1,U836="1"),"adequate","partial"),INDEX(Fit_Matrix!$B:$B,MATCH(P836,Fit_Matrix!$A:$A,0)))),"CHECK KEY"))</f>
        <v/>
      </c>
      <c r="U836" s="10"/>
      <c r="V836" s="10"/>
      <c r="W836" s="10"/>
      <c r="X836" s="10"/>
      <c r="Y836" s="10"/>
      <c r="Z836" s="10"/>
      <c r="AA836" s="11" t="str">
        <f t="shared" si="27"/>
        <v/>
      </c>
    </row>
    <row r="837" spans="16:27" ht="15" customHeight="1">
      <c r="P837" t="str">
        <f t="shared" si="26"/>
        <v/>
      </c>
      <c r="Q837" t="str">
        <f>IF(P837="","",IFERROR(IF(AND(H837="W7",OR(F837="causal",F837="predictive")),IF(AND(OR(K837=1,K837="1"),OR(L837=1,L837="1"),OR(M837=1,M837="1")),"adequate","partial"),IF(AND(H837="W4",F837="predictive",OR(J837="P2",J837="P3",J837="P4")),IF(OR(U837=1,U837="1"),"adequate","partial"),INDEX(Fit_Matrix!$B:$B,MATCH(P837,Fit_Matrix!$A:$A,0)))),"CHECK KEY"))</f>
        <v/>
      </c>
      <c r="U837" s="10"/>
      <c r="V837" s="10"/>
      <c r="W837" s="10"/>
      <c r="X837" s="10"/>
      <c r="Y837" s="10"/>
      <c r="Z837" s="10"/>
      <c r="AA837" s="11" t="str">
        <f t="shared" si="27"/>
        <v/>
      </c>
    </row>
    <row r="838" spans="16:27" ht="15" customHeight="1">
      <c r="P838" t="str">
        <f t="shared" si="26"/>
        <v/>
      </c>
      <c r="Q838" t="str">
        <f>IF(P838="","",IFERROR(IF(AND(H838="W7",OR(F838="causal",F838="predictive")),IF(AND(OR(K838=1,K838="1"),OR(L838=1,L838="1"),OR(M838=1,M838="1")),"adequate","partial"),IF(AND(H838="W4",F838="predictive",OR(J838="P2",J838="P3",J838="P4")),IF(OR(U838=1,U838="1"),"adequate","partial"),INDEX(Fit_Matrix!$B:$B,MATCH(P838,Fit_Matrix!$A:$A,0)))),"CHECK KEY"))</f>
        <v/>
      </c>
      <c r="U838" s="10"/>
      <c r="V838" s="10"/>
      <c r="W838" s="10"/>
      <c r="X838" s="10"/>
      <c r="Y838" s="10"/>
      <c r="Z838" s="10"/>
      <c r="AA838" s="11" t="str">
        <f t="shared" si="27"/>
        <v/>
      </c>
    </row>
    <row r="839" spans="16:27" ht="15" customHeight="1">
      <c r="P839" t="str">
        <f t="shared" si="26"/>
        <v/>
      </c>
      <c r="Q839" t="str">
        <f>IF(P839="","",IFERROR(IF(AND(H839="W7",OR(F839="causal",F839="predictive")),IF(AND(OR(K839=1,K839="1"),OR(L839=1,L839="1"),OR(M839=1,M839="1")),"adequate","partial"),IF(AND(H839="W4",F839="predictive",OR(J839="P2",J839="P3",J839="P4")),IF(OR(U839=1,U839="1"),"adequate","partial"),INDEX(Fit_Matrix!$B:$B,MATCH(P839,Fit_Matrix!$A:$A,0)))),"CHECK KEY"))</f>
        <v/>
      </c>
      <c r="U839" s="10"/>
      <c r="V839" s="10"/>
      <c r="W839" s="10"/>
      <c r="X839" s="10"/>
      <c r="Y839" s="10"/>
      <c r="Z839" s="10"/>
      <c r="AA839" s="11" t="str">
        <f t="shared" si="27"/>
        <v/>
      </c>
    </row>
    <row r="840" spans="16:27" ht="15" customHeight="1">
      <c r="P840" t="str">
        <f t="shared" si="26"/>
        <v/>
      </c>
      <c r="Q840" t="str">
        <f>IF(P840="","",IFERROR(IF(AND(H840="W7",OR(F840="causal",F840="predictive")),IF(AND(OR(K840=1,K840="1"),OR(L840=1,L840="1"),OR(M840=1,M840="1")),"adequate","partial"),IF(AND(H840="W4",F840="predictive",OR(J840="P2",J840="P3",J840="P4")),IF(OR(U840=1,U840="1"),"adequate","partial"),INDEX(Fit_Matrix!$B:$B,MATCH(P840,Fit_Matrix!$A:$A,0)))),"CHECK KEY"))</f>
        <v/>
      </c>
      <c r="U840" s="10"/>
      <c r="V840" s="10"/>
      <c r="W840" s="10"/>
      <c r="X840" s="10"/>
      <c r="Y840" s="10"/>
      <c r="Z840" s="10"/>
      <c r="AA840" s="11" t="str">
        <f t="shared" si="27"/>
        <v/>
      </c>
    </row>
    <row r="841" spans="16:27" ht="15" customHeight="1">
      <c r="P841" t="str">
        <f t="shared" si="26"/>
        <v/>
      </c>
      <c r="Q841" t="str">
        <f>IF(P841="","",IFERROR(IF(AND(H841="W7",OR(F841="causal",F841="predictive")),IF(AND(OR(K841=1,K841="1"),OR(L841=1,L841="1"),OR(M841=1,M841="1")),"adequate","partial"),IF(AND(H841="W4",F841="predictive",OR(J841="P2",J841="P3",J841="P4")),IF(OR(U841=1,U841="1"),"adequate","partial"),INDEX(Fit_Matrix!$B:$B,MATCH(P841,Fit_Matrix!$A:$A,0)))),"CHECK KEY"))</f>
        <v/>
      </c>
      <c r="U841" s="10"/>
      <c r="V841" s="10"/>
      <c r="W841" s="10"/>
      <c r="X841" s="10"/>
      <c r="Y841" s="10"/>
      <c r="Z841" s="10"/>
      <c r="AA841" s="11" t="str">
        <f t="shared" si="27"/>
        <v/>
      </c>
    </row>
    <row r="842" spans="16:27" ht="15" customHeight="1">
      <c r="P842" t="str">
        <f t="shared" si="26"/>
        <v/>
      </c>
      <c r="Q842" t="str">
        <f>IF(P842="","",IFERROR(IF(AND(H842="W7",OR(F842="causal",F842="predictive")),IF(AND(OR(K842=1,K842="1"),OR(L842=1,L842="1"),OR(M842=1,M842="1")),"adequate","partial"),IF(AND(H842="W4",F842="predictive",OR(J842="P2",J842="P3",J842="P4")),IF(OR(U842=1,U842="1"),"adequate","partial"),INDEX(Fit_Matrix!$B:$B,MATCH(P842,Fit_Matrix!$A:$A,0)))),"CHECK KEY"))</f>
        <v/>
      </c>
      <c r="U842" s="10"/>
      <c r="V842" s="10"/>
      <c r="W842" s="10"/>
      <c r="X842" s="10"/>
      <c r="Y842" s="10"/>
      <c r="Z842" s="10"/>
      <c r="AA842" s="11" t="str">
        <f t="shared" si="27"/>
        <v/>
      </c>
    </row>
    <row r="843" spans="16:27" ht="15" customHeight="1">
      <c r="P843" t="str">
        <f t="shared" si="26"/>
        <v/>
      </c>
      <c r="Q843" t="str">
        <f>IF(P843="","",IFERROR(IF(AND(H843="W7",OR(F843="causal",F843="predictive")),IF(AND(OR(K843=1,K843="1"),OR(L843=1,L843="1"),OR(M843=1,M843="1")),"adequate","partial"),IF(AND(H843="W4",F843="predictive",OR(J843="P2",J843="P3",J843="P4")),IF(OR(U843=1,U843="1"),"adequate","partial"),INDEX(Fit_Matrix!$B:$B,MATCH(P843,Fit_Matrix!$A:$A,0)))),"CHECK KEY"))</f>
        <v/>
      </c>
      <c r="U843" s="10"/>
      <c r="V843" s="10"/>
      <c r="W843" s="10"/>
      <c r="X843" s="10"/>
      <c r="Y843" s="10"/>
      <c r="Z843" s="10"/>
      <c r="AA843" s="11" t="str">
        <f t="shared" si="27"/>
        <v/>
      </c>
    </row>
    <row r="844" spans="16:27" ht="15" customHeight="1">
      <c r="P844" t="str">
        <f t="shared" si="26"/>
        <v/>
      </c>
      <c r="Q844" t="str">
        <f>IF(P844="","",IFERROR(IF(AND(H844="W7",OR(F844="causal",F844="predictive")),IF(AND(OR(K844=1,K844="1"),OR(L844=1,L844="1"),OR(M844=1,M844="1")),"adequate","partial"),IF(AND(H844="W4",F844="predictive",OR(J844="P2",J844="P3",J844="P4")),IF(OR(U844=1,U844="1"),"adequate","partial"),INDEX(Fit_Matrix!$B:$B,MATCH(P844,Fit_Matrix!$A:$A,0)))),"CHECK KEY"))</f>
        <v/>
      </c>
      <c r="U844" s="10"/>
      <c r="V844" s="10"/>
      <c r="W844" s="10"/>
      <c r="X844" s="10"/>
      <c r="Y844" s="10"/>
      <c r="Z844" s="10"/>
      <c r="AA844" s="11" t="str">
        <f t="shared" si="27"/>
        <v/>
      </c>
    </row>
    <row r="845" spans="16:27" ht="15" customHeight="1">
      <c r="P845" t="str">
        <f t="shared" si="26"/>
        <v/>
      </c>
      <c r="Q845" t="str">
        <f>IF(P845="","",IFERROR(IF(AND(H845="W7",OR(F845="causal",F845="predictive")),IF(AND(OR(K845=1,K845="1"),OR(L845=1,L845="1"),OR(M845=1,M845="1")),"adequate","partial"),IF(AND(H845="W4",F845="predictive",OR(J845="P2",J845="P3",J845="P4")),IF(OR(U845=1,U845="1"),"adequate","partial"),INDEX(Fit_Matrix!$B:$B,MATCH(P845,Fit_Matrix!$A:$A,0)))),"CHECK KEY"))</f>
        <v/>
      </c>
      <c r="U845" s="10"/>
      <c r="V845" s="10"/>
      <c r="W845" s="10"/>
      <c r="X845" s="10"/>
      <c r="Y845" s="10"/>
      <c r="Z845" s="10"/>
      <c r="AA845" s="11" t="str">
        <f t="shared" si="27"/>
        <v/>
      </c>
    </row>
    <row r="846" spans="16:27" ht="15" customHeight="1">
      <c r="P846" t="str">
        <f t="shared" si="26"/>
        <v/>
      </c>
      <c r="Q846" t="str">
        <f>IF(P846="","",IFERROR(IF(AND(H846="W7",OR(F846="causal",F846="predictive")),IF(AND(OR(K846=1,K846="1"),OR(L846=1,L846="1"),OR(M846=1,M846="1")),"adequate","partial"),IF(AND(H846="W4",F846="predictive",OR(J846="P2",J846="P3",J846="P4")),IF(OR(U846=1,U846="1"),"adequate","partial"),INDEX(Fit_Matrix!$B:$B,MATCH(P846,Fit_Matrix!$A:$A,0)))),"CHECK KEY"))</f>
        <v/>
      </c>
      <c r="U846" s="10"/>
      <c r="V846" s="10"/>
      <c r="W846" s="10"/>
      <c r="X846" s="10"/>
      <c r="Y846" s="10"/>
      <c r="Z846" s="10"/>
      <c r="AA846" s="11" t="str">
        <f t="shared" si="27"/>
        <v/>
      </c>
    </row>
    <row r="847" spans="16:27" ht="15" customHeight="1">
      <c r="P847" t="str">
        <f t="shared" si="26"/>
        <v/>
      </c>
      <c r="Q847" t="str">
        <f>IF(P847="","",IFERROR(IF(AND(H847="W7",OR(F847="causal",F847="predictive")),IF(AND(OR(K847=1,K847="1"),OR(L847=1,L847="1"),OR(M847=1,M847="1")),"adequate","partial"),IF(AND(H847="W4",F847="predictive",OR(J847="P2",J847="P3",J847="P4")),IF(OR(U847=1,U847="1"),"adequate","partial"),INDEX(Fit_Matrix!$B:$B,MATCH(P847,Fit_Matrix!$A:$A,0)))),"CHECK KEY"))</f>
        <v/>
      </c>
      <c r="U847" s="10"/>
      <c r="V847" s="10"/>
      <c r="W847" s="10"/>
      <c r="X847" s="10"/>
      <c r="Y847" s="10"/>
      <c r="Z847" s="10"/>
      <c r="AA847" s="11" t="str">
        <f t="shared" si="27"/>
        <v/>
      </c>
    </row>
    <row r="848" spans="16:27" ht="15" customHeight="1">
      <c r="P848" t="str">
        <f t="shared" si="26"/>
        <v/>
      </c>
      <c r="Q848" t="str">
        <f>IF(P848="","",IFERROR(IF(AND(H848="W7",OR(F848="causal",F848="predictive")),IF(AND(OR(K848=1,K848="1"),OR(L848=1,L848="1"),OR(M848=1,M848="1")),"adequate","partial"),IF(AND(H848="W4",F848="predictive",OR(J848="P2",J848="P3",J848="P4")),IF(OR(U848=1,U848="1"),"adequate","partial"),INDEX(Fit_Matrix!$B:$B,MATCH(P848,Fit_Matrix!$A:$A,0)))),"CHECK KEY"))</f>
        <v/>
      </c>
      <c r="U848" s="10"/>
      <c r="V848" s="10"/>
      <c r="W848" s="10"/>
      <c r="X848" s="10"/>
      <c r="Y848" s="10"/>
      <c r="Z848" s="10"/>
      <c r="AA848" s="11" t="str">
        <f t="shared" si="27"/>
        <v/>
      </c>
    </row>
    <row r="849" spans="16:27" ht="15" customHeight="1">
      <c r="P849" t="str">
        <f t="shared" si="26"/>
        <v/>
      </c>
      <c r="Q849" t="str">
        <f>IF(P849="","",IFERROR(IF(AND(H849="W7",OR(F849="causal",F849="predictive")),IF(AND(OR(K849=1,K849="1"),OR(L849=1,L849="1"),OR(M849=1,M849="1")),"adequate","partial"),IF(AND(H849="W4",F849="predictive",OR(J849="P2",J849="P3",J849="P4")),IF(OR(U849=1,U849="1"),"adequate","partial"),INDEX(Fit_Matrix!$B:$B,MATCH(P849,Fit_Matrix!$A:$A,0)))),"CHECK KEY"))</f>
        <v/>
      </c>
      <c r="U849" s="10"/>
      <c r="V849" s="10"/>
      <c r="W849" s="10"/>
      <c r="X849" s="10"/>
      <c r="Y849" s="10"/>
      <c r="Z849" s="10"/>
      <c r="AA849" s="11" t="str">
        <f t="shared" si="27"/>
        <v/>
      </c>
    </row>
    <row r="850" spans="16:27" ht="15" customHeight="1">
      <c r="P850" t="str">
        <f t="shared" si="26"/>
        <v/>
      </c>
      <c r="Q850" t="str">
        <f>IF(P850="","",IFERROR(IF(AND(H850="W7",OR(F850="causal",F850="predictive")),IF(AND(OR(K850=1,K850="1"),OR(L850=1,L850="1"),OR(M850=1,M850="1")),"adequate","partial"),IF(AND(H850="W4",F850="predictive",OR(J850="P2",J850="P3",J850="P4")),IF(OR(U850=1,U850="1"),"adequate","partial"),INDEX(Fit_Matrix!$B:$B,MATCH(P850,Fit_Matrix!$A:$A,0)))),"CHECK KEY"))</f>
        <v/>
      </c>
      <c r="U850" s="10"/>
      <c r="V850" s="10"/>
      <c r="W850" s="10"/>
      <c r="X850" s="10"/>
      <c r="Y850" s="10"/>
      <c r="Z850" s="10"/>
      <c r="AA850" s="11" t="str">
        <f t="shared" si="27"/>
        <v/>
      </c>
    </row>
    <row r="851" spans="16:27" ht="15" customHeight="1">
      <c r="P851" t="str">
        <f t="shared" si="26"/>
        <v/>
      </c>
      <c r="Q851" t="str">
        <f>IF(P851="","",IFERROR(IF(AND(H851="W7",OR(F851="causal",F851="predictive")),IF(AND(OR(K851=1,K851="1"),OR(L851=1,L851="1"),OR(M851=1,M851="1")),"adequate","partial"),IF(AND(H851="W4",F851="predictive",OR(J851="P2",J851="P3",J851="P4")),IF(OR(U851=1,U851="1"),"adequate","partial"),INDEX(Fit_Matrix!$B:$B,MATCH(P851,Fit_Matrix!$A:$A,0)))),"CHECK KEY"))</f>
        <v/>
      </c>
      <c r="U851" s="10"/>
      <c r="V851" s="10"/>
      <c r="W851" s="10"/>
      <c r="X851" s="10"/>
      <c r="Y851" s="10"/>
      <c r="Z851" s="10"/>
      <c r="AA851" s="11" t="str">
        <f t="shared" si="27"/>
        <v/>
      </c>
    </row>
    <row r="852" spans="16:27" ht="15" customHeight="1">
      <c r="P852" t="str">
        <f t="shared" si="26"/>
        <v/>
      </c>
      <c r="Q852" t="str">
        <f>IF(P852="","",IFERROR(IF(AND(H852="W7",OR(F852="causal",F852="predictive")),IF(AND(OR(K852=1,K852="1"),OR(L852=1,L852="1"),OR(M852=1,M852="1")),"adequate","partial"),IF(AND(H852="W4",F852="predictive",OR(J852="P2",J852="P3",J852="P4")),IF(OR(U852=1,U852="1"),"adequate","partial"),INDEX(Fit_Matrix!$B:$B,MATCH(P852,Fit_Matrix!$A:$A,0)))),"CHECK KEY"))</f>
        <v/>
      </c>
      <c r="U852" s="10"/>
      <c r="V852" s="10"/>
      <c r="W852" s="10"/>
      <c r="X852" s="10"/>
      <c r="Y852" s="10"/>
      <c r="Z852" s="10"/>
      <c r="AA852" s="11" t="str">
        <f t="shared" si="27"/>
        <v/>
      </c>
    </row>
    <row r="853" spans="16:27" ht="15" customHeight="1">
      <c r="P853" t="str">
        <f t="shared" si="26"/>
        <v/>
      </c>
      <c r="Q853" t="str">
        <f>IF(P853="","",IFERROR(IF(AND(H853="W7",OR(F853="causal",F853="predictive")),IF(AND(OR(K853=1,K853="1"),OR(L853=1,L853="1"),OR(M853=1,M853="1")),"adequate","partial"),IF(AND(H853="W4",F853="predictive",OR(J853="P2",J853="P3",J853="P4")),IF(OR(U853=1,U853="1"),"adequate","partial"),INDEX(Fit_Matrix!$B:$B,MATCH(P853,Fit_Matrix!$A:$A,0)))),"CHECK KEY"))</f>
        <v/>
      </c>
      <c r="U853" s="10"/>
      <c r="V853" s="10"/>
      <c r="W853" s="10"/>
      <c r="X853" s="10"/>
      <c r="Y853" s="10"/>
      <c r="Z853" s="10"/>
      <c r="AA853" s="11" t="str">
        <f t="shared" si="27"/>
        <v/>
      </c>
    </row>
    <row r="854" spans="16:27" ht="15" customHeight="1">
      <c r="P854" t="str">
        <f t="shared" si="26"/>
        <v/>
      </c>
      <c r="Q854" t="str">
        <f>IF(P854="","",IFERROR(IF(AND(H854="W7",OR(F854="causal",F854="predictive")),IF(AND(OR(K854=1,K854="1"),OR(L854=1,L854="1"),OR(M854=1,M854="1")),"adequate","partial"),IF(AND(H854="W4",F854="predictive",OR(J854="P2",J854="P3",J854="P4")),IF(OR(U854=1,U854="1"),"adequate","partial"),INDEX(Fit_Matrix!$B:$B,MATCH(P854,Fit_Matrix!$A:$A,0)))),"CHECK KEY"))</f>
        <v/>
      </c>
      <c r="U854" s="10"/>
      <c r="V854" s="10"/>
      <c r="W854" s="10"/>
      <c r="X854" s="10"/>
      <c r="Y854" s="10"/>
      <c r="Z854" s="10"/>
      <c r="AA854" s="11" t="str">
        <f t="shared" si="27"/>
        <v/>
      </c>
    </row>
    <row r="855" spans="16:27" ht="15" customHeight="1">
      <c r="P855" t="str">
        <f t="shared" si="26"/>
        <v/>
      </c>
      <c r="Q855" t="str">
        <f>IF(P855="","",IFERROR(IF(AND(H855="W7",OR(F855="causal",F855="predictive")),IF(AND(OR(K855=1,K855="1"),OR(L855=1,L855="1"),OR(M855=1,M855="1")),"adequate","partial"),IF(AND(H855="W4",F855="predictive",OR(J855="P2",J855="P3",J855="P4")),IF(OR(U855=1,U855="1"),"adequate","partial"),INDEX(Fit_Matrix!$B:$B,MATCH(P855,Fit_Matrix!$A:$A,0)))),"CHECK KEY"))</f>
        <v/>
      </c>
      <c r="U855" s="10"/>
      <c r="V855" s="10"/>
      <c r="W855" s="10"/>
      <c r="X855" s="10"/>
      <c r="Y855" s="10"/>
      <c r="Z855" s="10"/>
      <c r="AA855" s="11" t="str">
        <f t="shared" si="27"/>
        <v/>
      </c>
    </row>
    <row r="856" spans="16:27" ht="15" customHeight="1">
      <c r="P856" t="str">
        <f t="shared" si="26"/>
        <v/>
      </c>
      <c r="Q856" t="str">
        <f>IF(P856="","",IFERROR(IF(AND(H856="W7",OR(F856="causal",F856="predictive")),IF(AND(OR(K856=1,K856="1"),OR(L856=1,L856="1"),OR(M856=1,M856="1")),"adequate","partial"),IF(AND(H856="W4",F856="predictive",OR(J856="P2",J856="P3",J856="P4")),IF(OR(U856=1,U856="1"),"adequate","partial"),INDEX(Fit_Matrix!$B:$B,MATCH(P856,Fit_Matrix!$A:$A,0)))),"CHECK KEY"))</f>
        <v/>
      </c>
      <c r="U856" s="10"/>
      <c r="V856" s="10"/>
      <c r="W856" s="10"/>
      <c r="X856" s="10"/>
      <c r="Y856" s="10"/>
      <c r="Z856" s="10"/>
      <c r="AA856" s="11" t="str">
        <f t="shared" si="27"/>
        <v/>
      </c>
    </row>
    <row r="857" spans="16:27" ht="15" customHeight="1">
      <c r="P857" t="str">
        <f t="shared" si="26"/>
        <v/>
      </c>
      <c r="Q857" t="str">
        <f>IF(P857="","",IFERROR(IF(AND(H857="W7",OR(F857="causal",F857="predictive")),IF(AND(OR(K857=1,K857="1"),OR(L857=1,L857="1"),OR(M857=1,M857="1")),"adequate","partial"),IF(AND(H857="W4",F857="predictive",OR(J857="P2",J857="P3",J857="P4")),IF(OR(U857=1,U857="1"),"adequate","partial"),INDEX(Fit_Matrix!$B:$B,MATCH(P857,Fit_Matrix!$A:$A,0)))),"CHECK KEY"))</f>
        <v/>
      </c>
      <c r="U857" s="10"/>
      <c r="V857" s="10"/>
      <c r="W857" s="10"/>
      <c r="X857" s="10"/>
      <c r="Y857" s="10"/>
      <c r="Z857" s="10"/>
      <c r="AA857" s="11" t="str">
        <f t="shared" si="27"/>
        <v/>
      </c>
    </row>
    <row r="858" spans="16:27" ht="15" customHeight="1">
      <c r="P858" t="str">
        <f t="shared" si="26"/>
        <v/>
      </c>
      <c r="Q858" t="str">
        <f>IF(P858="","",IFERROR(IF(AND(H858="W7",OR(F858="causal",F858="predictive")),IF(AND(OR(K858=1,K858="1"),OR(L858=1,L858="1"),OR(M858=1,M858="1")),"adequate","partial"),IF(AND(H858="W4",F858="predictive",OR(J858="P2",J858="P3",J858="P4")),IF(OR(U858=1,U858="1"),"adequate","partial"),INDEX(Fit_Matrix!$B:$B,MATCH(P858,Fit_Matrix!$A:$A,0)))),"CHECK KEY"))</f>
        <v/>
      </c>
      <c r="U858" s="10"/>
      <c r="V858" s="10"/>
      <c r="W858" s="10"/>
      <c r="X858" s="10"/>
      <c r="Y858" s="10"/>
      <c r="Z858" s="10"/>
      <c r="AA858" s="11" t="str">
        <f t="shared" si="27"/>
        <v/>
      </c>
    </row>
    <row r="859" spans="16:27" ht="15" customHeight="1">
      <c r="P859" t="str">
        <f t="shared" si="26"/>
        <v/>
      </c>
      <c r="Q859" t="str">
        <f>IF(P859="","",IFERROR(IF(AND(H859="W7",OR(F859="causal",F859="predictive")),IF(AND(OR(K859=1,K859="1"),OR(L859=1,L859="1"),OR(M859=1,M859="1")),"adequate","partial"),IF(AND(H859="W4",F859="predictive",OR(J859="P2",J859="P3",J859="P4")),IF(OR(U859=1,U859="1"),"adequate","partial"),INDEX(Fit_Matrix!$B:$B,MATCH(P859,Fit_Matrix!$A:$A,0)))),"CHECK KEY"))</f>
        <v/>
      </c>
      <c r="U859" s="10"/>
      <c r="V859" s="10"/>
      <c r="W859" s="10"/>
      <c r="X859" s="10"/>
      <c r="Y859" s="10"/>
      <c r="Z859" s="10"/>
      <c r="AA859" s="11" t="str">
        <f t="shared" si="27"/>
        <v/>
      </c>
    </row>
    <row r="860" spans="16:27" ht="15" customHeight="1">
      <c r="P860" t="str">
        <f t="shared" si="26"/>
        <v/>
      </c>
      <c r="Q860" t="str">
        <f>IF(P860="","",IFERROR(IF(AND(H860="W7",OR(F860="causal",F860="predictive")),IF(AND(OR(K860=1,K860="1"),OR(L860=1,L860="1"),OR(M860=1,M860="1")),"adequate","partial"),IF(AND(H860="W4",F860="predictive",OR(J860="P2",J860="P3",J860="P4")),IF(OR(U860=1,U860="1"),"adequate","partial"),INDEX(Fit_Matrix!$B:$B,MATCH(P860,Fit_Matrix!$A:$A,0)))),"CHECK KEY"))</f>
        <v/>
      </c>
      <c r="U860" s="10"/>
      <c r="V860" s="10"/>
      <c r="W860" s="10"/>
      <c r="X860" s="10"/>
      <c r="Y860" s="10"/>
      <c r="Z860" s="10"/>
      <c r="AA860" s="11" t="str">
        <f t="shared" si="27"/>
        <v/>
      </c>
    </row>
    <row r="861" spans="16:27" ht="15" customHeight="1">
      <c r="P861" t="str">
        <f t="shared" si="26"/>
        <v/>
      </c>
      <c r="Q861" t="str">
        <f>IF(P861="","",IFERROR(IF(AND(H861="W7",OR(F861="causal",F861="predictive")),IF(AND(OR(K861=1,K861="1"),OR(L861=1,L861="1"),OR(M861=1,M861="1")),"adequate","partial"),IF(AND(H861="W4",F861="predictive",OR(J861="P2",J861="P3",J861="P4")),IF(OR(U861=1,U861="1"),"adequate","partial"),INDEX(Fit_Matrix!$B:$B,MATCH(P861,Fit_Matrix!$A:$A,0)))),"CHECK KEY"))</f>
        <v/>
      </c>
      <c r="U861" s="10"/>
      <c r="V861" s="10"/>
      <c r="W861" s="10"/>
      <c r="X861" s="10"/>
      <c r="Y861" s="10"/>
      <c r="Z861" s="10"/>
      <c r="AA861" s="11" t="str">
        <f t="shared" si="27"/>
        <v/>
      </c>
    </row>
    <row r="862" spans="16:27" ht="15" customHeight="1">
      <c r="P862" t="str">
        <f t="shared" si="26"/>
        <v/>
      </c>
      <c r="Q862" t="str">
        <f>IF(P862="","",IFERROR(IF(AND(H862="W7",OR(F862="causal",F862="predictive")),IF(AND(OR(K862=1,K862="1"),OR(L862=1,L862="1"),OR(M862=1,M862="1")),"adequate","partial"),IF(AND(H862="W4",F862="predictive",OR(J862="P2",J862="P3",J862="P4")),IF(OR(U862=1,U862="1"),"adequate","partial"),INDEX(Fit_Matrix!$B:$B,MATCH(P862,Fit_Matrix!$A:$A,0)))),"CHECK KEY"))</f>
        <v/>
      </c>
      <c r="U862" s="10"/>
      <c r="V862" s="10"/>
      <c r="W862" s="10"/>
      <c r="X862" s="10"/>
      <c r="Y862" s="10"/>
      <c r="Z862" s="10"/>
      <c r="AA862" s="11" t="str">
        <f t="shared" si="27"/>
        <v/>
      </c>
    </row>
    <row r="863" spans="16:27" ht="15" customHeight="1">
      <c r="P863" t="str">
        <f t="shared" si="26"/>
        <v/>
      </c>
      <c r="Q863" t="str">
        <f>IF(P863="","",IFERROR(IF(AND(H863="W7",OR(F863="causal",F863="predictive")),IF(AND(OR(K863=1,K863="1"),OR(L863=1,L863="1"),OR(M863=1,M863="1")),"adequate","partial"),IF(AND(H863="W4",F863="predictive",OR(J863="P2",J863="P3",J863="P4")),IF(OR(U863=1,U863="1"),"adequate","partial"),INDEX(Fit_Matrix!$B:$B,MATCH(P863,Fit_Matrix!$A:$A,0)))),"CHECK KEY"))</f>
        <v/>
      </c>
      <c r="U863" s="10"/>
      <c r="V863" s="10"/>
      <c r="W863" s="10"/>
      <c r="X863" s="10"/>
      <c r="Y863" s="10"/>
      <c r="Z863" s="10"/>
      <c r="AA863" s="11" t="str">
        <f t="shared" si="27"/>
        <v/>
      </c>
    </row>
    <row r="864" spans="16:27" ht="15" customHeight="1">
      <c r="P864" t="str">
        <f t="shared" si="26"/>
        <v/>
      </c>
      <c r="Q864" t="str">
        <f>IF(P864="","",IFERROR(IF(AND(H864="W7",OR(F864="causal",F864="predictive")),IF(AND(OR(K864=1,K864="1"),OR(L864=1,L864="1"),OR(M864=1,M864="1")),"adequate","partial"),IF(AND(H864="W4",F864="predictive",OR(J864="P2",J864="P3",J864="P4")),IF(OR(U864=1,U864="1"),"adequate","partial"),INDEX(Fit_Matrix!$B:$B,MATCH(P864,Fit_Matrix!$A:$A,0)))),"CHECK KEY"))</f>
        <v/>
      </c>
      <c r="U864" s="10"/>
      <c r="V864" s="10"/>
      <c r="W864" s="10"/>
      <c r="X864" s="10"/>
      <c r="Y864" s="10"/>
      <c r="Z864" s="10"/>
      <c r="AA864" s="11" t="str">
        <f t="shared" si="27"/>
        <v/>
      </c>
    </row>
    <row r="865" spans="16:27" ht="15" customHeight="1">
      <c r="P865" t="str">
        <f t="shared" si="26"/>
        <v/>
      </c>
      <c r="Q865" t="str">
        <f>IF(P865="","",IFERROR(IF(AND(H865="W7",OR(F865="causal",F865="predictive")),IF(AND(OR(K865=1,K865="1"),OR(L865=1,L865="1"),OR(M865=1,M865="1")),"adequate","partial"),IF(AND(H865="W4",F865="predictive",OR(J865="P2",J865="P3",J865="P4")),IF(OR(U865=1,U865="1"),"adequate","partial"),INDEX(Fit_Matrix!$B:$B,MATCH(P865,Fit_Matrix!$A:$A,0)))),"CHECK KEY"))</f>
        <v/>
      </c>
      <c r="U865" s="10"/>
      <c r="V865" s="10"/>
      <c r="W865" s="10"/>
      <c r="X865" s="10"/>
      <c r="Y865" s="10"/>
      <c r="Z865" s="10"/>
      <c r="AA865" s="11" t="str">
        <f t="shared" si="27"/>
        <v/>
      </c>
    </row>
    <row r="866" spans="16:27" ht="15" customHeight="1">
      <c r="P866" t="str">
        <f t="shared" si="26"/>
        <v/>
      </c>
      <c r="Q866" t="str">
        <f>IF(P866="","",IFERROR(IF(AND(H866="W7",OR(F866="causal",F866="predictive")),IF(AND(OR(K866=1,K866="1"),OR(L866=1,L866="1"),OR(M866=1,M866="1")),"adequate","partial"),IF(AND(H866="W4",F866="predictive",OR(J866="P2",J866="P3",J866="P4")),IF(OR(U866=1,U866="1"),"adequate","partial"),INDEX(Fit_Matrix!$B:$B,MATCH(P866,Fit_Matrix!$A:$A,0)))),"CHECK KEY"))</f>
        <v/>
      </c>
      <c r="U866" s="10"/>
      <c r="V866" s="10"/>
      <c r="W866" s="10"/>
      <c r="X866" s="10"/>
      <c r="Y866" s="10"/>
      <c r="Z866" s="10"/>
      <c r="AA866" s="11" t="str">
        <f t="shared" si="27"/>
        <v/>
      </c>
    </row>
    <row r="867" spans="16:27" ht="15" customHeight="1">
      <c r="P867" t="str">
        <f t="shared" si="26"/>
        <v/>
      </c>
      <c r="Q867" t="str">
        <f>IF(P867="","",IFERROR(IF(AND(H867="W7",OR(F867="causal",F867="predictive")),IF(AND(OR(K867=1,K867="1"),OR(L867=1,L867="1"),OR(M867=1,M867="1")),"adequate","partial"),IF(AND(H867="W4",F867="predictive",OR(J867="P2",J867="P3",J867="P4")),IF(OR(U867=1,U867="1"),"adequate","partial"),INDEX(Fit_Matrix!$B:$B,MATCH(P867,Fit_Matrix!$A:$A,0)))),"CHECK KEY"))</f>
        <v/>
      </c>
      <c r="U867" s="10"/>
      <c r="V867" s="10"/>
      <c r="W867" s="10"/>
      <c r="X867" s="10"/>
      <c r="Y867" s="10"/>
      <c r="Z867" s="10"/>
      <c r="AA867" s="11" t="str">
        <f t="shared" si="27"/>
        <v/>
      </c>
    </row>
    <row r="868" spans="16:27" ht="15" customHeight="1">
      <c r="P868" t="str">
        <f t="shared" si="26"/>
        <v/>
      </c>
      <c r="Q868" t="str">
        <f>IF(P868="","",IFERROR(IF(AND(H868="W7",OR(F868="causal",F868="predictive")),IF(AND(OR(K868=1,K868="1"),OR(L868=1,L868="1"),OR(M868=1,M868="1")),"adequate","partial"),IF(AND(H868="W4",F868="predictive",OR(J868="P2",J868="P3",J868="P4")),IF(OR(U868=1,U868="1"),"adequate","partial"),INDEX(Fit_Matrix!$B:$B,MATCH(P868,Fit_Matrix!$A:$A,0)))),"CHECK KEY"))</f>
        <v/>
      </c>
      <c r="U868" s="10"/>
      <c r="V868" s="10"/>
      <c r="W868" s="10"/>
      <c r="X868" s="10"/>
      <c r="Y868" s="10"/>
      <c r="Z868" s="10"/>
      <c r="AA868" s="11" t="str">
        <f t="shared" si="27"/>
        <v/>
      </c>
    </row>
    <row r="869" spans="16:27" ht="15" customHeight="1">
      <c r="P869" t="str">
        <f t="shared" si="26"/>
        <v/>
      </c>
      <c r="Q869" t="str">
        <f>IF(P869="","",IFERROR(IF(AND(H869="W7",OR(F869="causal",F869="predictive")),IF(AND(OR(K869=1,K869="1"),OR(L869=1,L869="1"),OR(M869=1,M869="1")),"adequate","partial"),IF(AND(H869="W4",F869="predictive",OR(J869="P2",J869="P3",J869="P4")),IF(OR(U869=1,U869="1"),"adequate","partial"),INDEX(Fit_Matrix!$B:$B,MATCH(P869,Fit_Matrix!$A:$A,0)))),"CHECK KEY"))</f>
        <v/>
      </c>
      <c r="U869" s="10"/>
      <c r="V869" s="10"/>
      <c r="W869" s="10"/>
      <c r="X869" s="10"/>
      <c r="Y869" s="10"/>
      <c r="Z869" s="10"/>
      <c r="AA869" s="11" t="str">
        <f t="shared" si="27"/>
        <v/>
      </c>
    </row>
    <row r="870" spans="16:27" ht="15" customHeight="1">
      <c r="P870" t="str">
        <f t="shared" si="26"/>
        <v/>
      </c>
      <c r="Q870" t="str">
        <f>IF(P870="","",IFERROR(IF(AND(H870="W7",OR(F870="causal",F870="predictive")),IF(AND(OR(K870=1,K870="1"),OR(L870=1,L870="1"),OR(M870=1,M870="1")),"adequate","partial"),IF(AND(H870="W4",F870="predictive",OR(J870="P2",J870="P3",J870="P4")),IF(OR(U870=1,U870="1"),"adequate","partial"),INDEX(Fit_Matrix!$B:$B,MATCH(P870,Fit_Matrix!$A:$A,0)))),"CHECK KEY"))</f>
        <v/>
      </c>
      <c r="U870" s="10"/>
      <c r="V870" s="10"/>
      <c r="W870" s="10"/>
      <c r="X870" s="10"/>
      <c r="Y870" s="10"/>
      <c r="Z870" s="10"/>
      <c r="AA870" s="11" t="str">
        <f t="shared" si="27"/>
        <v/>
      </c>
    </row>
    <row r="871" spans="16:27" ht="15" customHeight="1">
      <c r="P871" t="str">
        <f t="shared" si="26"/>
        <v/>
      </c>
      <c r="Q871" t="str">
        <f>IF(P871="","",IFERROR(IF(AND(H871="W7",OR(F871="causal",F871="predictive")),IF(AND(OR(K871=1,K871="1"),OR(L871=1,L871="1"),OR(M871=1,M871="1")),"adequate","partial"),IF(AND(H871="W4",F871="predictive",OR(J871="P2",J871="P3",J871="P4")),IF(OR(U871=1,U871="1"),"adequate","partial"),INDEX(Fit_Matrix!$B:$B,MATCH(P871,Fit_Matrix!$A:$A,0)))),"CHECK KEY"))</f>
        <v/>
      </c>
      <c r="U871" s="10"/>
      <c r="V871" s="10"/>
      <c r="W871" s="10"/>
      <c r="X871" s="10"/>
      <c r="Y871" s="10"/>
      <c r="Z871" s="10"/>
      <c r="AA871" s="11" t="str">
        <f t="shared" si="27"/>
        <v/>
      </c>
    </row>
    <row r="872" spans="16:27" ht="15" customHeight="1">
      <c r="P872" t="str">
        <f t="shared" si="26"/>
        <v/>
      </c>
      <c r="Q872" t="str">
        <f>IF(P872="","",IFERROR(IF(AND(H872="W7",OR(F872="causal",F872="predictive")),IF(AND(OR(K872=1,K872="1"),OR(L872=1,L872="1"),OR(M872=1,M872="1")),"adequate","partial"),IF(AND(H872="W4",F872="predictive",OR(J872="P2",J872="P3",J872="P4")),IF(OR(U872=1,U872="1"),"adequate","partial"),INDEX(Fit_Matrix!$B:$B,MATCH(P872,Fit_Matrix!$A:$A,0)))),"CHECK KEY"))</f>
        <v/>
      </c>
      <c r="U872" s="10"/>
      <c r="V872" s="10"/>
      <c r="W872" s="10"/>
      <c r="X872" s="10"/>
      <c r="Y872" s="10"/>
      <c r="Z872" s="10"/>
      <c r="AA872" s="11" t="str">
        <f t="shared" si="27"/>
        <v/>
      </c>
    </row>
    <row r="873" spans="16:27" ht="15" customHeight="1">
      <c r="P873" t="str">
        <f t="shared" si="26"/>
        <v/>
      </c>
      <c r="Q873" t="str">
        <f>IF(P873="","",IFERROR(IF(AND(H873="W7",OR(F873="causal",F873="predictive")),IF(AND(OR(K873=1,K873="1"),OR(L873=1,L873="1"),OR(M873=1,M873="1")),"adequate","partial"),IF(AND(H873="W4",F873="predictive",OR(J873="P2",J873="P3",J873="P4")),IF(OR(U873=1,U873="1"),"adequate","partial"),INDEX(Fit_Matrix!$B:$B,MATCH(P873,Fit_Matrix!$A:$A,0)))),"CHECK KEY"))</f>
        <v/>
      </c>
      <c r="U873" s="10"/>
      <c r="V873" s="10"/>
      <c r="W873" s="10"/>
      <c r="X873" s="10"/>
      <c r="Y873" s="10"/>
      <c r="Z873" s="10"/>
      <c r="AA873" s="11" t="str">
        <f t="shared" si="27"/>
        <v/>
      </c>
    </row>
    <row r="874" spans="16:27" ht="15" customHeight="1">
      <c r="P874" t="str">
        <f t="shared" si="26"/>
        <v/>
      </c>
      <c r="Q874" t="str">
        <f>IF(P874="","",IFERROR(IF(AND(H874="W7",OR(F874="causal",F874="predictive")),IF(AND(OR(K874=1,K874="1"),OR(L874=1,L874="1"),OR(M874=1,M874="1")),"adequate","partial"),IF(AND(H874="W4",F874="predictive",OR(J874="P2",J874="P3",J874="P4")),IF(OR(U874=1,U874="1"),"adequate","partial"),INDEX(Fit_Matrix!$B:$B,MATCH(P874,Fit_Matrix!$A:$A,0)))),"CHECK KEY"))</f>
        <v/>
      </c>
      <c r="U874" s="10"/>
      <c r="V874" s="10"/>
      <c r="W874" s="10"/>
      <c r="X874" s="10"/>
      <c r="Y874" s="10"/>
      <c r="Z874" s="10"/>
      <c r="AA874" s="11" t="str">
        <f t="shared" si="27"/>
        <v/>
      </c>
    </row>
    <row r="875" spans="16:27" ht="15" customHeight="1">
      <c r="P875" t="str">
        <f t="shared" si="26"/>
        <v/>
      </c>
      <c r="Q875" t="str">
        <f>IF(P875="","",IFERROR(IF(AND(H875="W7",OR(F875="causal",F875="predictive")),IF(AND(OR(K875=1,K875="1"),OR(L875=1,L875="1"),OR(M875=1,M875="1")),"adequate","partial"),IF(AND(H875="W4",F875="predictive",OR(J875="P2",J875="P3",J875="P4")),IF(OR(U875=1,U875="1"),"adequate","partial"),INDEX(Fit_Matrix!$B:$B,MATCH(P875,Fit_Matrix!$A:$A,0)))),"CHECK KEY"))</f>
        <v/>
      </c>
      <c r="U875" s="10"/>
      <c r="V875" s="10"/>
      <c r="W875" s="10"/>
      <c r="X875" s="10"/>
      <c r="Y875" s="10"/>
      <c r="Z875" s="10"/>
      <c r="AA875" s="11" t="str">
        <f t="shared" si="27"/>
        <v/>
      </c>
    </row>
    <row r="876" spans="16:27" ht="15" customHeight="1">
      <c r="P876" t="str">
        <f t="shared" si="26"/>
        <v/>
      </c>
      <c r="Q876" t="str">
        <f>IF(P876="","",IFERROR(IF(AND(H876="W7",OR(F876="causal",F876="predictive")),IF(AND(OR(K876=1,K876="1"),OR(L876=1,L876="1"),OR(M876=1,M876="1")),"adequate","partial"),IF(AND(H876="W4",F876="predictive",OR(J876="P2",J876="P3",J876="P4")),IF(OR(U876=1,U876="1"),"adequate","partial"),INDEX(Fit_Matrix!$B:$B,MATCH(P876,Fit_Matrix!$A:$A,0)))),"CHECK KEY"))</f>
        <v/>
      </c>
      <c r="U876" s="10"/>
      <c r="V876" s="10"/>
      <c r="W876" s="10"/>
      <c r="X876" s="10"/>
      <c r="Y876" s="10"/>
      <c r="Z876" s="10"/>
      <c r="AA876" s="11" t="str">
        <f t="shared" si="27"/>
        <v/>
      </c>
    </row>
    <row r="877" spans="16:27" ht="15" customHeight="1">
      <c r="P877" t="str">
        <f t="shared" si="26"/>
        <v/>
      </c>
      <c r="Q877" t="str">
        <f>IF(P877="","",IFERROR(IF(AND(H877="W7",OR(F877="causal",F877="predictive")),IF(AND(OR(K877=1,K877="1"),OR(L877=1,L877="1"),OR(M877=1,M877="1")),"adequate","partial"),IF(AND(H877="W4",F877="predictive",OR(J877="P2",J877="P3",J877="P4")),IF(OR(U877=1,U877="1"),"adequate","partial"),INDEX(Fit_Matrix!$B:$B,MATCH(P877,Fit_Matrix!$A:$A,0)))),"CHECK KEY"))</f>
        <v/>
      </c>
      <c r="U877" s="10"/>
      <c r="V877" s="10"/>
      <c r="W877" s="10"/>
      <c r="X877" s="10"/>
      <c r="Y877" s="10"/>
      <c r="Z877" s="10"/>
      <c r="AA877" s="11" t="str">
        <f t="shared" si="27"/>
        <v/>
      </c>
    </row>
    <row r="878" spans="16:27" ht="15" customHeight="1">
      <c r="P878" t="str">
        <f t="shared" si="26"/>
        <v/>
      </c>
      <c r="Q878" t="str">
        <f>IF(P878="","",IFERROR(IF(AND(H878="W7",OR(F878="causal",F878="predictive")),IF(AND(OR(K878=1,K878="1"),OR(L878=1,L878="1"),OR(M878=1,M878="1")),"adequate","partial"),IF(AND(H878="W4",F878="predictive",OR(J878="P2",J878="P3",J878="P4")),IF(OR(U878=1,U878="1"),"adequate","partial"),INDEX(Fit_Matrix!$B:$B,MATCH(P878,Fit_Matrix!$A:$A,0)))),"CHECK KEY"))</f>
        <v/>
      </c>
      <c r="U878" s="10"/>
      <c r="V878" s="10"/>
      <c r="W878" s="10"/>
      <c r="X878" s="10"/>
      <c r="Y878" s="10"/>
      <c r="Z878" s="10"/>
      <c r="AA878" s="11" t="str">
        <f t="shared" si="27"/>
        <v/>
      </c>
    </row>
    <row r="879" spans="16:27" ht="15" customHeight="1">
      <c r="P879" t="str">
        <f t="shared" si="26"/>
        <v/>
      </c>
      <c r="Q879" t="str">
        <f>IF(P879="","",IFERROR(IF(AND(H879="W7",OR(F879="causal",F879="predictive")),IF(AND(OR(K879=1,K879="1"),OR(L879=1,L879="1"),OR(M879=1,M879="1")),"adequate","partial"),IF(AND(H879="W4",F879="predictive",OR(J879="P2",J879="P3",J879="P4")),IF(OR(U879=1,U879="1"),"adequate","partial"),INDEX(Fit_Matrix!$B:$B,MATCH(P879,Fit_Matrix!$A:$A,0)))),"CHECK KEY"))</f>
        <v/>
      </c>
      <c r="U879" s="10"/>
      <c r="V879" s="10"/>
      <c r="W879" s="10"/>
      <c r="X879" s="10"/>
      <c r="Y879" s="10"/>
      <c r="Z879" s="10"/>
      <c r="AA879" s="11" t="str">
        <f t="shared" si="27"/>
        <v/>
      </c>
    </row>
    <row r="880" spans="16:27" ht="15" customHeight="1">
      <c r="P880" t="str">
        <f t="shared" si="26"/>
        <v/>
      </c>
      <c r="Q880" t="str">
        <f>IF(P880="","",IFERROR(IF(AND(H880="W7",OR(F880="causal",F880="predictive")),IF(AND(OR(K880=1,K880="1"),OR(L880=1,L880="1"),OR(M880=1,M880="1")),"adequate","partial"),IF(AND(H880="W4",F880="predictive",OR(J880="P2",J880="P3",J880="P4")),IF(OR(U880=1,U880="1"),"adequate","partial"),INDEX(Fit_Matrix!$B:$B,MATCH(P880,Fit_Matrix!$A:$A,0)))),"CHECK KEY"))</f>
        <v/>
      </c>
      <c r="U880" s="10"/>
      <c r="V880" s="10"/>
      <c r="W880" s="10"/>
      <c r="X880" s="10"/>
      <c r="Y880" s="10"/>
      <c r="Z880" s="10"/>
      <c r="AA880" s="11" t="str">
        <f t="shared" si="27"/>
        <v/>
      </c>
    </row>
    <row r="881" spans="16:27" ht="15" customHeight="1">
      <c r="P881" t="str">
        <f t="shared" si="26"/>
        <v/>
      </c>
      <c r="Q881" t="str">
        <f>IF(P881="","",IFERROR(IF(AND(H881="W7",OR(F881="causal",F881="predictive")),IF(AND(OR(K881=1,K881="1"),OR(L881=1,L881="1"),OR(M881=1,M881="1")),"adequate","partial"),IF(AND(H881="W4",F881="predictive",OR(J881="P2",J881="P3",J881="P4")),IF(OR(U881=1,U881="1"),"adequate","partial"),INDEX(Fit_Matrix!$B:$B,MATCH(P881,Fit_Matrix!$A:$A,0)))),"CHECK KEY"))</f>
        <v/>
      </c>
      <c r="U881" s="10"/>
      <c r="V881" s="10"/>
      <c r="W881" s="10"/>
      <c r="X881" s="10"/>
      <c r="Y881" s="10"/>
      <c r="Z881" s="10"/>
      <c r="AA881" s="11" t="str">
        <f t="shared" si="27"/>
        <v/>
      </c>
    </row>
    <row r="882" spans="16:27" ht="15" customHeight="1">
      <c r="P882" t="str">
        <f t="shared" si="26"/>
        <v/>
      </c>
      <c r="Q882" t="str">
        <f>IF(P882="","",IFERROR(IF(AND(H882="W7",OR(F882="causal",F882="predictive")),IF(AND(OR(K882=1,K882="1"),OR(L882=1,L882="1"),OR(M882=1,M882="1")),"adequate","partial"),IF(AND(H882="W4",F882="predictive",OR(J882="P2",J882="P3",J882="P4")),IF(OR(U882=1,U882="1"),"adequate","partial"),INDEX(Fit_Matrix!$B:$B,MATCH(P882,Fit_Matrix!$A:$A,0)))),"CHECK KEY"))</f>
        <v/>
      </c>
      <c r="U882" s="10"/>
      <c r="V882" s="10"/>
      <c r="W882" s="10"/>
      <c r="X882" s="10"/>
      <c r="Y882" s="10"/>
      <c r="Z882" s="10"/>
      <c r="AA882" s="11" t="str">
        <f t="shared" si="27"/>
        <v/>
      </c>
    </row>
    <row r="883" spans="16:27" ht="15" customHeight="1">
      <c r="P883" t="str">
        <f t="shared" si="26"/>
        <v/>
      </c>
      <c r="Q883" t="str">
        <f>IF(P883="","",IFERROR(IF(AND(H883="W7",OR(F883="causal",F883="predictive")),IF(AND(OR(K883=1,K883="1"),OR(L883=1,L883="1"),OR(M883=1,M883="1")),"adequate","partial"),IF(AND(H883="W4",F883="predictive",OR(J883="P2",J883="P3",J883="P4")),IF(OR(U883=1,U883="1"),"adequate","partial"),INDEX(Fit_Matrix!$B:$B,MATCH(P883,Fit_Matrix!$A:$A,0)))),"CHECK KEY"))</f>
        <v/>
      </c>
      <c r="U883" s="10"/>
      <c r="V883" s="10"/>
      <c r="W883" s="10"/>
      <c r="X883" s="10"/>
      <c r="Y883" s="10"/>
      <c r="Z883" s="10"/>
      <c r="AA883" s="11" t="str">
        <f t="shared" si="27"/>
        <v/>
      </c>
    </row>
    <row r="884" spans="16:27" ht="15" customHeight="1">
      <c r="P884" t="str">
        <f t="shared" si="26"/>
        <v/>
      </c>
      <c r="Q884" t="str">
        <f>IF(P884="","",IFERROR(IF(AND(H884="W7",OR(F884="causal",F884="predictive")),IF(AND(OR(K884=1,K884="1"),OR(L884=1,L884="1"),OR(M884=1,M884="1")),"adequate","partial"),IF(AND(H884="W4",F884="predictive",OR(J884="P2",J884="P3",J884="P4")),IF(OR(U884=1,U884="1"),"adequate","partial"),INDEX(Fit_Matrix!$B:$B,MATCH(P884,Fit_Matrix!$A:$A,0)))),"CHECK KEY"))</f>
        <v/>
      </c>
      <c r="U884" s="10"/>
      <c r="V884" s="10"/>
      <c r="W884" s="10"/>
      <c r="X884" s="10"/>
      <c r="Y884" s="10"/>
      <c r="Z884" s="10"/>
      <c r="AA884" s="11" t="str">
        <f t="shared" si="27"/>
        <v/>
      </c>
    </row>
    <row r="885" spans="16:27" ht="15" customHeight="1">
      <c r="P885" t="str">
        <f t="shared" si="26"/>
        <v/>
      </c>
      <c r="Q885" t="str">
        <f>IF(P885="","",IFERROR(IF(AND(H885="W7",OR(F885="causal",F885="predictive")),IF(AND(OR(K885=1,K885="1"),OR(L885=1,L885="1"),OR(M885=1,M885="1")),"adequate","partial"),IF(AND(H885="W4",F885="predictive",OR(J885="P2",J885="P3",J885="P4")),IF(OR(U885=1,U885="1"),"adequate","partial"),INDEX(Fit_Matrix!$B:$B,MATCH(P885,Fit_Matrix!$A:$A,0)))),"CHECK KEY"))</f>
        <v/>
      </c>
      <c r="U885" s="10"/>
      <c r="V885" s="10"/>
      <c r="W885" s="10"/>
      <c r="X885" s="10"/>
      <c r="Y885" s="10"/>
      <c r="Z885" s="10"/>
      <c r="AA885" s="11" t="str">
        <f t="shared" si="27"/>
        <v/>
      </c>
    </row>
    <row r="886" spans="16:27" ht="15" customHeight="1">
      <c r="P886" t="str">
        <f t="shared" si="26"/>
        <v/>
      </c>
      <c r="Q886" t="str">
        <f>IF(P886="","",IFERROR(IF(AND(H886="W7",OR(F886="causal",F886="predictive")),IF(AND(OR(K886=1,K886="1"),OR(L886=1,L886="1"),OR(M886=1,M886="1")),"adequate","partial"),IF(AND(H886="W4",F886="predictive",OR(J886="P2",J886="P3",J886="P4")),IF(OR(U886=1,U886="1"),"adequate","partial"),INDEX(Fit_Matrix!$B:$B,MATCH(P886,Fit_Matrix!$A:$A,0)))),"CHECK KEY"))</f>
        <v/>
      </c>
      <c r="U886" s="10"/>
      <c r="V886" s="10"/>
      <c r="W886" s="10"/>
      <c r="X886" s="10"/>
      <c r="Y886" s="10"/>
      <c r="Z886" s="10"/>
      <c r="AA886" s="11" t="str">
        <f t="shared" si="27"/>
        <v/>
      </c>
    </row>
    <row r="887" spans="16:27" ht="15" customHeight="1">
      <c r="P887" t="str">
        <f t="shared" si="26"/>
        <v/>
      </c>
      <c r="Q887" t="str">
        <f>IF(P887="","",IFERROR(IF(AND(H887="W7",OR(F887="causal",F887="predictive")),IF(AND(OR(K887=1,K887="1"),OR(L887=1,L887="1"),OR(M887=1,M887="1")),"adequate","partial"),IF(AND(H887="W4",F887="predictive",OR(J887="P2",J887="P3",J887="P4")),IF(OR(U887=1,U887="1"),"adequate","partial"),INDEX(Fit_Matrix!$B:$B,MATCH(P887,Fit_Matrix!$A:$A,0)))),"CHECK KEY"))</f>
        <v/>
      </c>
      <c r="U887" s="10"/>
      <c r="V887" s="10"/>
      <c r="W887" s="10"/>
      <c r="X887" s="10"/>
      <c r="Y887" s="10"/>
      <c r="Z887" s="10"/>
      <c r="AA887" s="11" t="str">
        <f t="shared" si="27"/>
        <v/>
      </c>
    </row>
    <row r="888" spans="16:27" ht="15" customHeight="1">
      <c r="P888" t="str">
        <f t="shared" si="26"/>
        <v/>
      </c>
      <c r="Q888" t="str">
        <f>IF(P888="","",IFERROR(IF(AND(H888="W7",OR(F888="causal",F888="predictive")),IF(AND(OR(K888=1,K888="1"),OR(L888=1,L888="1"),OR(M888=1,M888="1")),"adequate","partial"),IF(AND(H888="W4",F888="predictive",OR(J888="P2",J888="P3",J888="P4")),IF(OR(U888=1,U888="1"),"adequate","partial"),INDEX(Fit_Matrix!$B:$B,MATCH(P888,Fit_Matrix!$A:$A,0)))),"CHECK KEY"))</f>
        <v/>
      </c>
      <c r="U888" s="10"/>
      <c r="V888" s="10"/>
      <c r="W888" s="10"/>
      <c r="X888" s="10"/>
      <c r="Y888" s="10"/>
      <c r="Z888" s="10"/>
      <c r="AA888" s="11" t="str">
        <f t="shared" si="27"/>
        <v/>
      </c>
    </row>
    <row r="889" spans="16:27" ht="15" customHeight="1">
      <c r="P889" t="str">
        <f t="shared" si="26"/>
        <v/>
      </c>
      <c r="Q889" t="str">
        <f>IF(P889="","",IFERROR(IF(AND(H889="W7",OR(F889="causal",F889="predictive")),IF(AND(OR(K889=1,K889="1"),OR(L889=1,L889="1"),OR(M889=1,M889="1")),"adequate","partial"),IF(AND(H889="W4",F889="predictive",OR(J889="P2",J889="P3",J889="P4")),IF(OR(U889=1,U889="1"),"adequate","partial"),INDEX(Fit_Matrix!$B:$B,MATCH(P889,Fit_Matrix!$A:$A,0)))),"CHECK KEY"))</f>
        <v/>
      </c>
      <c r="U889" s="10"/>
      <c r="V889" s="10"/>
      <c r="W889" s="10"/>
      <c r="X889" s="10"/>
      <c r="Y889" s="10"/>
      <c r="Z889" s="10"/>
      <c r="AA889" s="11" t="str">
        <f t="shared" si="27"/>
        <v/>
      </c>
    </row>
    <row r="890" spans="16:27" ht="15" customHeight="1">
      <c r="P890" t="str">
        <f t="shared" si="26"/>
        <v/>
      </c>
      <c r="Q890" t="str">
        <f>IF(P890="","",IFERROR(IF(AND(H890="W7",OR(F890="causal",F890="predictive")),IF(AND(OR(K890=1,K890="1"),OR(L890=1,L890="1"),OR(M890=1,M890="1")),"adequate","partial"),IF(AND(H890="W4",F890="predictive",OR(J890="P2",J890="P3",J890="P4")),IF(OR(U890=1,U890="1"),"adequate","partial"),INDEX(Fit_Matrix!$B:$B,MATCH(P890,Fit_Matrix!$A:$A,0)))),"CHECK KEY"))</f>
        <v/>
      </c>
      <c r="U890" s="10"/>
      <c r="V890" s="10"/>
      <c r="W890" s="10"/>
      <c r="X890" s="10"/>
      <c r="Y890" s="10"/>
      <c r="Z890" s="10"/>
      <c r="AA890" s="11" t="str">
        <f t="shared" si="27"/>
        <v/>
      </c>
    </row>
    <row r="891" spans="16:27" ht="15" customHeight="1">
      <c r="P891" t="str">
        <f t="shared" si="26"/>
        <v/>
      </c>
      <c r="Q891" t="str">
        <f>IF(P891="","",IFERROR(IF(AND(H891="W7",OR(F891="causal",F891="predictive")),IF(AND(OR(K891=1,K891="1"),OR(L891=1,L891="1"),OR(M891=1,M891="1")),"adequate","partial"),IF(AND(H891="W4",F891="predictive",OR(J891="P2",J891="P3",J891="P4")),IF(OR(U891=1,U891="1"),"adequate","partial"),INDEX(Fit_Matrix!$B:$B,MATCH(P891,Fit_Matrix!$A:$A,0)))),"CHECK KEY"))</f>
        <v/>
      </c>
      <c r="U891" s="10"/>
      <c r="V891" s="10"/>
      <c r="W891" s="10"/>
      <c r="X891" s="10"/>
      <c r="Y891" s="10"/>
      <c r="Z891" s="10"/>
      <c r="AA891" s="11" t="str">
        <f t="shared" si="27"/>
        <v/>
      </c>
    </row>
    <row r="892" spans="16:27" ht="15" customHeight="1">
      <c r="P892" t="str">
        <f t="shared" si="26"/>
        <v/>
      </c>
      <c r="Q892" t="str">
        <f>IF(P892="","",IFERROR(IF(AND(H892="W7",OR(F892="causal",F892="predictive")),IF(AND(OR(K892=1,K892="1"),OR(L892=1,L892="1"),OR(M892=1,M892="1")),"adequate","partial"),IF(AND(H892="W4",F892="predictive",OR(J892="P2",J892="P3",J892="P4")),IF(OR(U892=1,U892="1"),"adequate","partial"),INDEX(Fit_Matrix!$B:$B,MATCH(P892,Fit_Matrix!$A:$A,0)))),"CHECK KEY"))</f>
        <v/>
      </c>
      <c r="U892" s="10"/>
      <c r="V892" s="10"/>
      <c r="W892" s="10"/>
      <c r="X892" s="10"/>
      <c r="Y892" s="10"/>
      <c r="Z892" s="10"/>
      <c r="AA892" s="11" t="str">
        <f t="shared" si="27"/>
        <v/>
      </c>
    </row>
    <row r="893" spans="16:27" ht="15" customHeight="1">
      <c r="P893" t="str">
        <f t="shared" si="26"/>
        <v/>
      </c>
      <c r="Q893" t="str">
        <f>IF(P893="","",IFERROR(IF(AND(H893="W7",OR(F893="causal",F893="predictive")),IF(AND(OR(K893=1,K893="1"),OR(L893=1,L893="1"),OR(M893=1,M893="1")),"adequate","partial"),IF(AND(H893="W4",F893="predictive",OR(J893="P2",J893="P3",J893="P4")),IF(OR(U893=1,U893="1"),"adequate","partial"),INDEX(Fit_Matrix!$B:$B,MATCH(P893,Fit_Matrix!$A:$A,0)))),"CHECK KEY"))</f>
        <v/>
      </c>
      <c r="U893" s="10"/>
      <c r="V893" s="10"/>
      <c r="W893" s="10"/>
      <c r="X893" s="10"/>
      <c r="Y893" s="10"/>
      <c r="Z893" s="10"/>
      <c r="AA893" s="11" t="str">
        <f t="shared" si="27"/>
        <v/>
      </c>
    </row>
    <row r="894" spans="16:27" ht="15" customHeight="1">
      <c r="P894" t="str">
        <f t="shared" si="26"/>
        <v/>
      </c>
      <c r="Q894" t="str">
        <f>IF(P894="","",IFERROR(IF(AND(H894="W7",OR(F894="causal",F894="predictive")),IF(AND(OR(K894=1,K894="1"),OR(L894=1,L894="1"),OR(M894=1,M894="1")),"adequate","partial"),IF(AND(H894="W4",F894="predictive",OR(J894="P2",J894="P3",J894="P4")),IF(OR(U894=1,U894="1"),"adequate","partial"),INDEX(Fit_Matrix!$B:$B,MATCH(P894,Fit_Matrix!$A:$A,0)))),"CHECK KEY"))</f>
        <v/>
      </c>
      <c r="U894" s="10"/>
      <c r="V894" s="10"/>
      <c r="W894" s="10"/>
      <c r="X894" s="10"/>
      <c r="Y894" s="10"/>
      <c r="Z894" s="10"/>
      <c r="AA894" s="11" t="str">
        <f t="shared" si="27"/>
        <v/>
      </c>
    </row>
    <row r="895" spans="16:27" ht="15" customHeight="1">
      <c r="P895" t="str">
        <f t="shared" si="26"/>
        <v/>
      </c>
      <c r="Q895" t="str">
        <f>IF(P895="","",IFERROR(IF(AND(H895="W7",OR(F895="causal",F895="predictive")),IF(AND(OR(K895=1,K895="1"),OR(L895=1,L895="1"),OR(M895=1,M895="1")),"adequate","partial"),IF(AND(H895="W4",F895="predictive",OR(J895="P2",J895="P3",J895="P4")),IF(OR(U895=1,U895="1"),"adequate","partial"),INDEX(Fit_Matrix!$B:$B,MATCH(P895,Fit_Matrix!$A:$A,0)))),"CHECK KEY"))</f>
        <v/>
      </c>
      <c r="U895" s="10"/>
      <c r="V895" s="10"/>
      <c r="W895" s="10"/>
      <c r="X895" s="10"/>
      <c r="Y895" s="10"/>
      <c r="Z895" s="10"/>
      <c r="AA895" s="11" t="str">
        <f t="shared" si="27"/>
        <v/>
      </c>
    </row>
    <row r="896" spans="16:27" ht="15" customHeight="1">
      <c r="P896" t="str">
        <f t="shared" si="26"/>
        <v/>
      </c>
      <c r="Q896" t="str">
        <f>IF(P896="","",IFERROR(IF(AND(H896="W7",OR(F896="causal",F896="predictive")),IF(AND(OR(K896=1,K896="1"),OR(L896=1,L896="1"),OR(M896=1,M896="1")),"adequate","partial"),IF(AND(H896="W4",F896="predictive",OR(J896="P2",J896="P3",J896="P4")),IF(OR(U896=1,U896="1"),"adequate","partial"),INDEX(Fit_Matrix!$B:$B,MATCH(P896,Fit_Matrix!$A:$A,0)))),"CHECK KEY"))</f>
        <v/>
      </c>
      <c r="U896" s="10"/>
      <c r="V896" s="10"/>
      <c r="W896" s="10"/>
      <c r="X896" s="10"/>
      <c r="Y896" s="10"/>
      <c r="Z896" s="10"/>
      <c r="AA896" s="11" t="str">
        <f t="shared" si="27"/>
        <v/>
      </c>
    </row>
    <row r="897" spans="16:27" ht="15" customHeight="1">
      <c r="P897" t="str">
        <f t="shared" si="26"/>
        <v/>
      </c>
      <c r="Q897" t="str">
        <f>IF(P897="","",IFERROR(IF(AND(H897="W7",OR(F897="causal",F897="predictive")),IF(AND(OR(K897=1,K897="1"),OR(L897=1,L897="1"),OR(M897=1,M897="1")),"adequate","partial"),IF(AND(H897="W4",F897="predictive",OR(J897="P2",J897="P3",J897="P4")),IF(OR(U897=1,U897="1"),"adequate","partial"),INDEX(Fit_Matrix!$B:$B,MATCH(P897,Fit_Matrix!$A:$A,0)))),"CHECK KEY"))</f>
        <v/>
      </c>
      <c r="U897" s="10"/>
      <c r="V897" s="10"/>
      <c r="W897" s="10"/>
      <c r="X897" s="10"/>
      <c r="Y897" s="10"/>
      <c r="Z897" s="10"/>
      <c r="AA897" s="11" t="str">
        <f t="shared" si="27"/>
        <v/>
      </c>
    </row>
    <row r="898" spans="16:27" ht="15" customHeight="1">
      <c r="P898" t="str">
        <f t="shared" ref="P898:P961" si="28">IF(OR(F898="",H898="",J898=""),"",J898&amp;"|"&amp;F898&amp;"|"&amp;IF(H898="W3","W3_"&amp;IF(I898="","unknown",I898),H898))</f>
        <v/>
      </c>
      <c r="Q898" t="str">
        <f>IF(P898="","",IFERROR(IF(AND(H898="W7",OR(F898="causal",F898="predictive")),IF(AND(OR(K898=1,K898="1"),OR(L898=1,L898="1"),OR(M898=1,M898="1")),"adequate","partial"),IF(AND(H898="W4",F898="predictive",OR(J898="P2",J898="P3",J898="P4")),IF(OR(U898=1,U898="1"),"adequate","partial"),INDEX(Fit_Matrix!$B:$B,MATCH(P898,Fit_Matrix!$A:$A,0)))),"CHECK KEY"))</f>
        <v/>
      </c>
      <c r="U898" s="10"/>
      <c r="V898" s="10"/>
      <c r="W898" s="10"/>
      <c r="X898" s="10"/>
      <c r="Y898" s="10"/>
      <c r="Z898" s="10"/>
      <c r="AA898" s="11" t="str">
        <f t="shared" ref="AA898:AA961" si="29">IF(A898="","",IF(AND(J898="P4",F898="causal"),"P4-CAUSAL",""))</f>
        <v/>
      </c>
    </row>
    <row r="899" spans="16:27" ht="15" customHeight="1">
      <c r="P899" t="str">
        <f t="shared" si="28"/>
        <v/>
      </c>
      <c r="Q899" t="str">
        <f>IF(P899="","",IFERROR(IF(AND(H899="W7",OR(F899="causal",F899="predictive")),IF(AND(OR(K899=1,K899="1"),OR(L899=1,L899="1"),OR(M899=1,M899="1")),"adequate","partial"),IF(AND(H899="W4",F899="predictive",OR(J899="P2",J899="P3",J899="P4")),IF(OR(U899=1,U899="1"),"adequate","partial"),INDEX(Fit_Matrix!$B:$B,MATCH(P899,Fit_Matrix!$A:$A,0)))),"CHECK KEY"))</f>
        <v/>
      </c>
      <c r="U899" s="10"/>
      <c r="V899" s="10"/>
      <c r="W899" s="10"/>
      <c r="X899" s="10"/>
      <c r="Y899" s="10"/>
      <c r="Z899" s="10"/>
      <c r="AA899" s="11" t="str">
        <f t="shared" si="29"/>
        <v/>
      </c>
    </row>
    <row r="900" spans="16:27" ht="15" customHeight="1">
      <c r="P900" t="str">
        <f t="shared" si="28"/>
        <v/>
      </c>
      <c r="Q900" t="str">
        <f>IF(P900="","",IFERROR(IF(AND(H900="W7",OR(F900="causal",F900="predictive")),IF(AND(OR(K900=1,K900="1"),OR(L900=1,L900="1"),OR(M900=1,M900="1")),"adequate","partial"),IF(AND(H900="W4",F900="predictive",OR(J900="P2",J900="P3",J900="P4")),IF(OR(U900=1,U900="1"),"adequate","partial"),INDEX(Fit_Matrix!$B:$B,MATCH(P900,Fit_Matrix!$A:$A,0)))),"CHECK KEY"))</f>
        <v/>
      </c>
      <c r="U900" s="10"/>
      <c r="V900" s="10"/>
      <c r="W900" s="10"/>
      <c r="X900" s="10"/>
      <c r="Y900" s="10"/>
      <c r="Z900" s="10"/>
      <c r="AA900" s="11" t="str">
        <f t="shared" si="29"/>
        <v/>
      </c>
    </row>
    <row r="901" spans="16:27" ht="15" customHeight="1">
      <c r="P901" t="str">
        <f t="shared" si="28"/>
        <v/>
      </c>
      <c r="Q901" t="str">
        <f>IF(P901="","",IFERROR(IF(AND(H901="W7",OR(F901="causal",F901="predictive")),IF(AND(OR(K901=1,K901="1"),OR(L901=1,L901="1"),OR(M901=1,M901="1")),"adequate","partial"),IF(AND(H901="W4",F901="predictive",OR(J901="P2",J901="P3",J901="P4")),IF(OR(U901=1,U901="1"),"adequate","partial"),INDEX(Fit_Matrix!$B:$B,MATCH(P901,Fit_Matrix!$A:$A,0)))),"CHECK KEY"))</f>
        <v/>
      </c>
      <c r="U901" s="10"/>
      <c r="V901" s="10"/>
      <c r="W901" s="10"/>
      <c r="X901" s="10"/>
      <c r="Y901" s="10"/>
      <c r="Z901" s="10"/>
      <c r="AA901" s="11" t="str">
        <f t="shared" si="29"/>
        <v/>
      </c>
    </row>
    <row r="902" spans="16:27" ht="15" customHeight="1">
      <c r="P902" t="str">
        <f t="shared" si="28"/>
        <v/>
      </c>
      <c r="Q902" t="str">
        <f>IF(P902="","",IFERROR(IF(AND(H902="W7",OR(F902="causal",F902="predictive")),IF(AND(OR(K902=1,K902="1"),OR(L902=1,L902="1"),OR(M902=1,M902="1")),"adequate","partial"),IF(AND(H902="W4",F902="predictive",OR(J902="P2",J902="P3",J902="P4")),IF(OR(U902=1,U902="1"),"adequate","partial"),INDEX(Fit_Matrix!$B:$B,MATCH(P902,Fit_Matrix!$A:$A,0)))),"CHECK KEY"))</f>
        <v/>
      </c>
      <c r="U902" s="10"/>
      <c r="V902" s="10"/>
      <c r="W902" s="10"/>
      <c r="X902" s="10"/>
      <c r="Y902" s="10"/>
      <c r="Z902" s="10"/>
      <c r="AA902" s="11" t="str">
        <f t="shared" si="29"/>
        <v/>
      </c>
    </row>
    <row r="903" spans="16:27" ht="15" customHeight="1">
      <c r="P903" t="str">
        <f t="shared" si="28"/>
        <v/>
      </c>
      <c r="Q903" t="str">
        <f>IF(P903="","",IFERROR(IF(AND(H903="W7",OR(F903="causal",F903="predictive")),IF(AND(OR(K903=1,K903="1"),OR(L903=1,L903="1"),OR(M903=1,M903="1")),"adequate","partial"),IF(AND(H903="W4",F903="predictive",OR(J903="P2",J903="P3",J903="P4")),IF(OR(U903=1,U903="1"),"adequate","partial"),INDEX(Fit_Matrix!$B:$B,MATCH(P903,Fit_Matrix!$A:$A,0)))),"CHECK KEY"))</f>
        <v/>
      </c>
      <c r="U903" s="10"/>
      <c r="V903" s="10"/>
      <c r="W903" s="10"/>
      <c r="X903" s="10"/>
      <c r="Y903" s="10"/>
      <c r="Z903" s="10"/>
      <c r="AA903" s="11" t="str">
        <f t="shared" si="29"/>
        <v/>
      </c>
    </row>
    <row r="904" spans="16:27" ht="15" customHeight="1">
      <c r="P904" t="str">
        <f t="shared" si="28"/>
        <v/>
      </c>
      <c r="Q904" t="str">
        <f>IF(P904="","",IFERROR(IF(AND(H904="W7",OR(F904="causal",F904="predictive")),IF(AND(OR(K904=1,K904="1"),OR(L904=1,L904="1"),OR(M904=1,M904="1")),"adequate","partial"),IF(AND(H904="W4",F904="predictive",OR(J904="P2",J904="P3",J904="P4")),IF(OR(U904=1,U904="1"),"adequate","partial"),INDEX(Fit_Matrix!$B:$B,MATCH(P904,Fit_Matrix!$A:$A,0)))),"CHECK KEY"))</f>
        <v/>
      </c>
      <c r="U904" s="10"/>
      <c r="V904" s="10"/>
      <c r="W904" s="10"/>
      <c r="X904" s="10"/>
      <c r="Y904" s="10"/>
      <c r="Z904" s="10"/>
      <c r="AA904" s="11" t="str">
        <f t="shared" si="29"/>
        <v/>
      </c>
    </row>
    <row r="905" spans="16:27" ht="15" customHeight="1">
      <c r="P905" t="str">
        <f t="shared" si="28"/>
        <v/>
      </c>
      <c r="Q905" t="str">
        <f>IF(P905="","",IFERROR(IF(AND(H905="W7",OR(F905="causal",F905="predictive")),IF(AND(OR(K905=1,K905="1"),OR(L905=1,L905="1"),OR(M905=1,M905="1")),"adequate","partial"),IF(AND(H905="W4",F905="predictive",OR(J905="P2",J905="P3",J905="P4")),IF(OR(U905=1,U905="1"),"adequate","partial"),INDEX(Fit_Matrix!$B:$B,MATCH(P905,Fit_Matrix!$A:$A,0)))),"CHECK KEY"))</f>
        <v/>
      </c>
      <c r="U905" s="10"/>
      <c r="V905" s="10"/>
      <c r="W905" s="10"/>
      <c r="X905" s="10"/>
      <c r="Y905" s="10"/>
      <c r="Z905" s="10"/>
      <c r="AA905" s="11" t="str">
        <f t="shared" si="29"/>
        <v/>
      </c>
    </row>
    <row r="906" spans="16:27" ht="15" customHeight="1">
      <c r="P906" t="str">
        <f t="shared" si="28"/>
        <v/>
      </c>
      <c r="Q906" t="str">
        <f>IF(P906="","",IFERROR(IF(AND(H906="W7",OR(F906="causal",F906="predictive")),IF(AND(OR(K906=1,K906="1"),OR(L906=1,L906="1"),OR(M906=1,M906="1")),"adequate","partial"),IF(AND(H906="W4",F906="predictive",OR(J906="P2",J906="P3",J906="P4")),IF(OR(U906=1,U906="1"),"adequate","partial"),INDEX(Fit_Matrix!$B:$B,MATCH(P906,Fit_Matrix!$A:$A,0)))),"CHECK KEY"))</f>
        <v/>
      </c>
      <c r="U906" s="10"/>
      <c r="V906" s="10"/>
      <c r="W906" s="10"/>
      <c r="X906" s="10"/>
      <c r="Y906" s="10"/>
      <c r="Z906" s="10"/>
      <c r="AA906" s="11" t="str">
        <f t="shared" si="29"/>
        <v/>
      </c>
    </row>
    <row r="907" spans="16:27" ht="15" customHeight="1">
      <c r="P907" t="str">
        <f t="shared" si="28"/>
        <v/>
      </c>
      <c r="Q907" t="str">
        <f>IF(P907="","",IFERROR(IF(AND(H907="W7",OR(F907="causal",F907="predictive")),IF(AND(OR(K907=1,K907="1"),OR(L907=1,L907="1"),OR(M907=1,M907="1")),"adequate","partial"),IF(AND(H907="W4",F907="predictive",OR(J907="P2",J907="P3",J907="P4")),IF(OR(U907=1,U907="1"),"adequate","partial"),INDEX(Fit_Matrix!$B:$B,MATCH(P907,Fit_Matrix!$A:$A,0)))),"CHECK KEY"))</f>
        <v/>
      </c>
      <c r="U907" s="10"/>
      <c r="V907" s="10"/>
      <c r="W907" s="10"/>
      <c r="X907" s="10"/>
      <c r="Y907" s="10"/>
      <c r="Z907" s="10"/>
      <c r="AA907" s="11" t="str">
        <f t="shared" si="29"/>
        <v/>
      </c>
    </row>
    <row r="908" spans="16:27" ht="15" customHeight="1">
      <c r="P908" t="str">
        <f t="shared" si="28"/>
        <v/>
      </c>
      <c r="Q908" t="str">
        <f>IF(P908="","",IFERROR(IF(AND(H908="W7",OR(F908="causal",F908="predictive")),IF(AND(OR(K908=1,K908="1"),OR(L908=1,L908="1"),OR(M908=1,M908="1")),"adequate","partial"),IF(AND(H908="W4",F908="predictive",OR(J908="P2",J908="P3",J908="P4")),IF(OR(U908=1,U908="1"),"adequate","partial"),INDEX(Fit_Matrix!$B:$B,MATCH(P908,Fit_Matrix!$A:$A,0)))),"CHECK KEY"))</f>
        <v/>
      </c>
      <c r="U908" s="10"/>
      <c r="V908" s="10"/>
      <c r="W908" s="10"/>
      <c r="X908" s="10"/>
      <c r="Y908" s="10"/>
      <c r="Z908" s="10"/>
      <c r="AA908" s="11" t="str">
        <f t="shared" si="29"/>
        <v/>
      </c>
    </row>
    <row r="909" spans="16:27" ht="15" customHeight="1">
      <c r="P909" t="str">
        <f t="shared" si="28"/>
        <v/>
      </c>
      <c r="Q909" t="str">
        <f>IF(P909="","",IFERROR(IF(AND(H909="W7",OR(F909="causal",F909="predictive")),IF(AND(OR(K909=1,K909="1"),OR(L909=1,L909="1"),OR(M909=1,M909="1")),"adequate","partial"),IF(AND(H909="W4",F909="predictive",OR(J909="P2",J909="P3",J909="P4")),IF(OR(U909=1,U909="1"),"adequate","partial"),INDEX(Fit_Matrix!$B:$B,MATCH(P909,Fit_Matrix!$A:$A,0)))),"CHECK KEY"))</f>
        <v/>
      </c>
      <c r="U909" s="10"/>
      <c r="V909" s="10"/>
      <c r="W909" s="10"/>
      <c r="X909" s="10"/>
      <c r="Y909" s="10"/>
      <c r="Z909" s="10"/>
      <c r="AA909" s="11" t="str">
        <f t="shared" si="29"/>
        <v/>
      </c>
    </row>
    <row r="910" spans="16:27" ht="15" customHeight="1">
      <c r="P910" t="str">
        <f t="shared" si="28"/>
        <v/>
      </c>
      <c r="Q910" t="str">
        <f>IF(P910="","",IFERROR(IF(AND(H910="W7",OR(F910="causal",F910="predictive")),IF(AND(OR(K910=1,K910="1"),OR(L910=1,L910="1"),OR(M910=1,M910="1")),"adequate","partial"),IF(AND(H910="W4",F910="predictive",OR(J910="P2",J910="P3",J910="P4")),IF(OR(U910=1,U910="1"),"adequate","partial"),INDEX(Fit_Matrix!$B:$B,MATCH(P910,Fit_Matrix!$A:$A,0)))),"CHECK KEY"))</f>
        <v/>
      </c>
      <c r="U910" s="10"/>
      <c r="V910" s="10"/>
      <c r="W910" s="10"/>
      <c r="X910" s="10"/>
      <c r="Y910" s="10"/>
      <c r="Z910" s="10"/>
      <c r="AA910" s="11" t="str">
        <f t="shared" si="29"/>
        <v/>
      </c>
    </row>
    <row r="911" spans="16:27" ht="15" customHeight="1">
      <c r="P911" t="str">
        <f t="shared" si="28"/>
        <v/>
      </c>
      <c r="Q911" t="str">
        <f>IF(P911="","",IFERROR(IF(AND(H911="W7",OR(F911="causal",F911="predictive")),IF(AND(OR(K911=1,K911="1"),OR(L911=1,L911="1"),OR(M911=1,M911="1")),"adequate","partial"),IF(AND(H911="W4",F911="predictive",OR(J911="P2",J911="P3",J911="P4")),IF(OR(U911=1,U911="1"),"adequate","partial"),INDEX(Fit_Matrix!$B:$B,MATCH(P911,Fit_Matrix!$A:$A,0)))),"CHECK KEY"))</f>
        <v/>
      </c>
      <c r="U911" s="10"/>
      <c r="V911" s="10"/>
      <c r="W911" s="10"/>
      <c r="X911" s="10"/>
      <c r="Y911" s="10"/>
      <c r="Z911" s="10"/>
      <c r="AA911" s="11" t="str">
        <f t="shared" si="29"/>
        <v/>
      </c>
    </row>
    <row r="912" spans="16:27" ht="15" customHeight="1">
      <c r="P912" t="str">
        <f t="shared" si="28"/>
        <v/>
      </c>
      <c r="Q912" t="str">
        <f>IF(P912="","",IFERROR(IF(AND(H912="W7",OR(F912="causal",F912="predictive")),IF(AND(OR(K912=1,K912="1"),OR(L912=1,L912="1"),OR(M912=1,M912="1")),"adequate","partial"),IF(AND(H912="W4",F912="predictive",OR(J912="P2",J912="P3",J912="P4")),IF(OR(U912=1,U912="1"),"adequate","partial"),INDEX(Fit_Matrix!$B:$B,MATCH(P912,Fit_Matrix!$A:$A,0)))),"CHECK KEY"))</f>
        <v/>
      </c>
      <c r="U912" s="10"/>
      <c r="V912" s="10"/>
      <c r="W912" s="10"/>
      <c r="X912" s="10"/>
      <c r="Y912" s="10"/>
      <c r="Z912" s="10"/>
      <c r="AA912" s="11" t="str">
        <f t="shared" si="29"/>
        <v/>
      </c>
    </row>
    <row r="913" spans="16:27" ht="15" customHeight="1">
      <c r="P913" t="str">
        <f t="shared" si="28"/>
        <v/>
      </c>
      <c r="Q913" t="str">
        <f>IF(P913="","",IFERROR(IF(AND(H913="W7",OR(F913="causal",F913="predictive")),IF(AND(OR(K913=1,K913="1"),OR(L913=1,L913="1"),OR(M913=1,M913="1")),"adequate","partial"),IF(AND(H913="W4",F913="predictive",OR(J913="P2",J913="P3",J913="P4")),IF(OR(U913=1,U913="1"),"adequate","partial"),INDEX(Fit_Matrix!$B:$B,MATCH(P913,Fit_Matrix!$A:$A,0)))),"CHECK KEY"))</f>
        <v/>
      </c>
      <c r="U913" s="10"/>
      <c r="V913" s="10"/>
      <c r="W913" s="10"/>
      <c r="X913" s="10"/>
      <c r="Y913" s="10"/>
      <c r="Z913" s="10"/>
      <c r="AA913" s="11" t="str">
        <f t="shared" si="29"/>
        <v/>
      </c>
    </row>
    <row r="914" spans="16:27" ht="15" customHeight="1">
      <c r="P914" t="str">
        <f t="shared" si="28"/>
        <v/>
      </c>
      <c r="Q914" t="str">
        <f>IF(P914="","",IFERROR(IF(AND(H914="W7",OR(F914="causal",F914="predictive")),IF(AND(OR(K914=1,K914="1"),OR(L914=1,L914="1"),OR(M914=1,M914="1")),"adequate","partial"),IF(AND(H914="W4",F914="predictive",OR(J914="P2",J914="P3",J914="P4")),IF(OR(U914=1,U914="1"),"adequate","partial"),INDEX(Fit_Matrix!$B:$B,MATCH(P914,Fit_Matrix!$A:$A,0)))),"CHECK KEY"))</f>
        <v/>
      </c>
      <c r="U914" s="10"/>
      <c r="V914" s="10"/>
      <c r="W914" s="10"/>
      <c r="X914" s="10"/>
      <c r="Y914" s="10"/>
      <c r="Z914" s="10"/>
      <c r="AA914" s="11" t="str">
        <f t="shared" si="29"/>
        <v/>
      </c>
    </row>
    <row r="915" spans="16:27" ht="15" customHeight="1">
      <c r="P915" t="str">
        <f t="shared" si="28"/>
        <v/>
      </c>
      <c r="Q915" t="str">
        <f>IF(P915="","",IFERROR(IF(AND(H915="W7",OR(F915="causal",F915="predictive")),IF(AND(OR(K915=1,K915="1"),OR(L915=1,L915="1"),OR(M915=1,M915="1")),"adequate","partial"),IF(AND(H915="W4",F915="predictive",OR(J915="P2",J915="P3",J915="P4")),IF(OR(U915=1,U915="1"),"adequate","partial"),INDEX(Fit_Matrix!$B:$B,MATCH(P915,Fit_Matrix!$A:$A,0)))),"CHECK KEY"))</f>
        <v/>
      </c>
      <c r="U915" s="10"/>
      <c r="V915" s="10"/>
      <c r="W915" s="10"/>
      <c r="X915" s="10"/>
      <c r="Y915" s="10"/>
      <c r="Z915" s="10"/>
      <c r="AA915" s="11" t="str">
        <f t="shared" si="29"/>
        <v/>
      </c>
    </row>
    <row r="916" spans="16:27" ht="15" customHeight="1">
      <c r="P916" t="str">
        <f t="shared" si="28"/>
        <v/>
      </c>
      <c r="Q916" t="str">
        <f>IF(P916="","",IFERROR(IF(AND(H916="W7",OR(F916="causal",F916="predictive")),IF(AND(OR(K916=1,K916="1"),OR(L916=1,L916="1"),OR(M916=1,M916="1")),"adequate","partial"),IF(AND(H916="W4",F916="predictive",OR(J916="P2",J916="P3",J916="P4")),IF(OR(U916=1,U916="1"),"adequate","partial"),INDEX(Fit_Matrix!$B:$B,MATCH(P916,Fit_Matrix!$A:$A,0)))),"CHECK KEY"))</f>
        <v/>
      </c>
      <c r="U916" s="10"/>
      <c r="V916" s="10"/>
      <c r="W916" s="10"/>
      <c r="X916" s="10"/>
      <c r="Y916" s="10"/>
      <c r="Z916" s="10"/>
      <c r="AA916" s="11" t="str">
        <f t="shared" si="29"/>
        <v/>
      </c>
    </row>
    <row r="917" spans="16:27" ht="15" customHeight="1">
      <c r="P917" t="str">
        <f t="shared" si="28"/>
        <v/>
      </c>
      <c r="Q917" t="str">
        <f>IF(P917="","",IFERROR(IF(AND(H917="W7",OR(F917="causal",F917="predictive")),IF(AND(OR(K917=1,K917="1"),OR(L917=1,L917="1"),OR(M917=1,M917="1")),"adequate","partial"),IF(AND(H917="W4",F917="predictive",OR(J917="P2",J917="P3",J917="P4")),IF(OR(U917=1,U917="1"),"adequate","partial"),INDEX(Fit_Matrix!$B:$B,MATCH(P917,Fit_Matrix!$A:$A,0)))),"CHECK KEY"))</f>
        <v/>
      </c>
      <c r="U917" s="10"/>
      <c r="V917" s="10"/>
      <c r="W917" s="10"/>
      <c r="X917" s="10"/>
      <c r="Y917" s="10"/>
      <c r="Z917" s="10"/>
      <c r="AA917" s="11" t="str">
        <f t="shared" si="29"/>
        <v/>
      </c>
    </row>
    <row r="918" spans="16:27" ht="15" customHeight="1">
      <c r="P918" t="str">
        <f t="shared" si="28"/>
        <v/>
      </c>
      <c r="Q918" t="str">
        <f>IF(P918="","",IFERROR(IF(AND(H918="W7",OR(F918="causal",F918="predictive")),IF(AND(OR(K918=1,K918="1"),OR(L918=1,L918="1"),OR(M918=1,M918="1")),"adequate","partial"),IF(AND(H918="W4",F918="predictive",OR(J918="P2",J918="P3",J918="P4")),IF(OR(U918=1,U918="1"),"adequate","partial"),INDEX(Fit_Matrix!$B:$B,MATCH(P918,Fit_Matrix!$A:$A,0)))),"CHECK KEY"))</f>
        <v/>
      </c>
      <c r="U918" s="10"/>
      <c r="V918" s="10"/>
      <c r="W918" s="10"/>
      <c r="X918" s="10"/>
      <c r="Y918" s="10"/>
      <c r="Z918" s="10"/>
      <c r="AA918" s="11" t="str">
        <f t="shared" si="29"/>
        <v/>
      </c>
    </row>
    <row r="919" spans="16:27" ht="15" customHeight="1">
      <c r="P919" t="str">
        <f t="shared" si="28"/>
        <v/>
      </c>
      <c r="Q919" t="str">
        <f>IF(P919="","",IFERROR(IF(AND(H919="W7",OR(F919="causal",F919="predictive")),IF(AND(OR(K919=1,K919="1"),OR(L919=1,L919="1"),OR(M919=1,M919="1")),"adequate","partial"),IF(AND(H919="W4",F919="predictive",OR(J919="P2",J919="P3",J919="P4")),IF(OR(U919=1,U919="1"),"adequate","partial"),INDEX(Fit_Matrix!$B:$B,MATCH(P919,Fit_Matrix!$A:$A,0)))),"CHECK KEY"))</f>
        <v/>
      </c>
      <c r="U919" s="10"/>
      <c r="V919" s="10"/>
      <c r="W919" s="10"/>
      <c r="X919" s="10"/>
      <c r="Y919" s="10"/>
      <c r="Z919" s="10"/>
      <c r="AA919" s="11" t="str">
        <f t="shared" si="29"/>
        <v/>
      </c>
    </row>
    <row r="920" spans="16:27" ht="15" customHeight="1">
      <c r="P920" t="str">
        <f t="shared" si="28"/>
        <v/>
      </c>
      <c r="Q920" t="str">
        <f>IF(P920="","",IFERROR(IF(AND(H920="W7",OR(F920="causal",F920="predictive")),IF(AND(OR(K920=1,K920="1"),OR(L920=1,L920="1"),OR(M920=1,M920="1")),"adequate","partial"),IF(AND(H920="W4",F920="predictive",OR(J920="P2",J920="P3",J920="P4")),IF(OR(U920=1,U920="1"),"adequate","partial"),INDEX(Fit_Matrix!$B:$B,MATCH(P920,Fit_Matrix!$A:$A,0)))),"CHECK KEY"))</f>
        <v/>
      </c>
      <c r="U920" s="10"/>
      <c r="V920" s="10"/>
      <c r="W920" s="10"/>
      <c r="X920" s="10"/>
      <c r="Y920" s="10"/>
      <c r="Z920" s="10"/>
      <c r="AA920" s="11" t="str">
        <f t="shared" si="29"/>
        <v/>
      </c>
    </row>
    <row r="921" spans="16:27" ht="15" customHeight="1">
      <c r="P921" t="str">
        <f t="shared" si="28"/>
        <v/>
      </c>
      <c r="Q921" t="str">
        <f>IF(P921="","",IFERROR(IF(AND(H921="W7",OR(F921="causal",F921="predictive")),IF(AND(OR(K921=1,K921="1"),OR(L921=1,L921="1"),OR(M921=1,M921="1")),"adequate","partial"),IF(AND(H921="W4",F921="predictive",OR(J921="P2",J921="P3",J921="P4")),IF(OR(U921=1,U921="1"),"adequate","partial"),INDEX(Fit_Matrix!$B:$B,MATCH(P921,Fit_Matrix!$A:$A,0)))),"CHECK KEY"))</f>
        <v/>
      </c>
      <c r="U921" s="10"/>
      <c r="V921" s="10"/>
      <c r="W921" s="10"/>
      <c r="X921" s="10"/>
      <c r="Y921" s="10"/>
      <c r="Z921" s="10"/>
      <c r="AA921" s="11" t="str">
        <f t="shared" si="29"/>
        <v/>
      </c>
    </row>
    <row r="922" spans="16:27" ht="15" customHeight="1">
      <c r="P922" t="str">
        <f t="shared" si="28"/>
        <v/>
      </c>
      <c r="Q922" t="str">
        <f>IF(P922="","",IFERROR(IF(AND(H922="W7",OR(F922="causal",F922="predictive")),IF(AND(OR(K922=1,K922="1"),OR(L922=1,L922="1"),OR(M922=1,M922="1")),"adequate","partial"),IF(AND(H922="W4",F922="predictive",OR(J922="P2",J922="P3",J922="P4")),IF(OR(U922=1,U922="1"),"adequate","partial"),INDEX(Fit_Matrix!$B:$B,MATCH(P922,Fit_Matrix!$A:$A,0)))),"CHECK KEY"))</f>
        <v/>
      </c>
      <c r="U922" s="10"/>
      <c r="V922" s="10"/>
      <c r="W922" s="10"/>
      <c r="X922" s="10"/>
      <c r="Y922" s="10"/>
      <c r="Z922" s="10"/>
      <c r="AA922" s="11" t="str">
        <f t="shared" si="29"/>
        <v/>
      </c>
    </row>
    <row r="923" spans="16:27" ht="15" customHeight="1">
      <c r="P923" t="str">
        <f t="shared" si="28"/>
        <v/>
      </c>
      <c r="Q923" t="str">
        <f>IF(P923="","",IFERROR(IF(AND(H923="W7",OR(F923="causal",F923="predictive")),IF(AND(OR(K923=1,K923="1"),OR(L923=1,L923="1"),OR(M923=1,M923="1")),"adequate","partial"),IF(AND(H923="W4",F923="predictive",OR(J923="P2",J923="P3",J923="P4")),IF(OR(U923=1,U923="1"),"adequate","partial"),INDEX(Fit_Matrix!$B:$B,MATCH(P923,Fit_Matrix!$A:$A,0)))),"CHECK KEY"))</f>
        <v/>
      </c>
      <c r="U923" s="10"/>
      <c r="V923" s="10"/>
      <c r="W923" s="10"/>
      <c r="X923" s="10"/>
      <c r="Y923" s="10"/>
      <c r="Z923" s="10"/>
      <c r="AA923" s="11" t="str">
        <f t="shared" si="29"/>
        <v/>
      </c>
    </row>
    <row r="924" spans="16:27" ht="15" customHeight="1">
      <c r="P924" t="str">
        <f t="shared" si="28"/>
        <v/>
      </c>
      <c r="Q924" t="str">
        <f>IF(P924="","",IFERROR(IF(AND(H924="W7",OR(F924="causal",F924="predictive")),IF(AND(OR(K924=1,K924="1"),OR(L924=1,L924="1"),OR(M924=1,M924="1")),"adequate","partial"),IF(AND(H924="W4",F924="predictive",OR(J924="P2",J924="P3",J924="P4")),IF(OR(U924=1,U924="1"),"adequate","partial"),INDEX(Fit_Matrix!$B:$B,MATCH(P924,Fit_Matrix!$A:$A,0)))),"CHECK KEY"))</f>
        <v/>
      </c>
      <c r="U924" s="10"/>
      <c r="V924" s="10"/>
      <c r="W924" s="10"/>
      <c r="X924" s="10"/>
      <c r="Y924" s="10"/>
      <c r="Z924" s="10"/>
      <c r="AA924" s="11" t="str">
        <f t="shared" si="29"/>
        <v/>
      </c>
    </row>
    <row r="925" spans="16:27" ht="15" customHeight="1">
      <c r="P925" t="str">
        <f t="shared" si="28"/>
        <v/>
      </c>
      <c r="Q925" t="str">
        <f>IF(P925="","",IFERROR(IF(AND(H925="W7",OR(F925="causal",F925="predictive")),IF(AND(OR(K925=1,K925="1"),OR(L925=1,L925="1"),OR(M925=1,M925="1")),"adequate","partial"),IF(AND(H925="W4",F925="predictive",OR(J925="P2",J925="P3",J925="P4")),IF(OR(U925=1,U925="1"),"adequate","partial"),INDEX(Fit_Matrix!$B:$B,MATCH(P925,Fit_Matrix!$A:$A,0)))),"CHECK KEY"))</f>
        <v/>
      </c>
      <c r="U925" s="10"/>
      <c r="V925" s="10"/>
      <c r="W925" s="10"/>
      <c r="X925" s="10"/>
      <c r="Y925" s="10"/>
      <c r="Z925" s="10"/>
      <c r="AA925" s="11" t="str">
        <f t="shared" si="29"/>
        <v/>
      </c>
    </row>
    <row r="926" spans="16:27" ht="15" customHeight="1">
      <c r="P926" t="str">
        <f t="shared" si="28"/>
        <v/>
      </c>
      <c r="Q926" t="str">
        <f>IF(P926="","",IFERROR(IF(AND(H926="W7",OR(F926="causal",F926="predictive")),IF(AND(OR(K926=1,K926="1"),OR(L926=1,L926="1"),OR(M926=1,M926="1")),"adequate","partial"),IF(AND(H926="W4",F926="predictive",OR(J926="P2",J926="P3",J926="P4")),IF(OR(U926=1,U926="1"),"adequate","partial"),INDEX(Fit_Matrix!$B:$B,MATCH(P926,Fit_Matrix!$A:$A,0)))),"CHECK KEY"))</f>
        <v/>
      </c>
      <c r="U926" s="10"/>
      <c r="V926" s="10"/>
      <c r="W926" s="10"/>
      <c r="X926" s="10"/>
      <c r="Y926" s="10"/>
      <c r="Z926" s="10"/>
      <c r="AA926" s="11" t="str">
        <f t="shared" si="29"/>
        <v/>
      </c>
    </row>
    <row r="927" spans="16:27" ht="15" customHeight="1">
      <c r="P927" t="str">
        <f t="shared" si="28"/>
        <v/>
      </c>
      <c r="Q927" t="str">
        <f>IF(P927="","",IFERROR(IF(AND(H927="W7",OR(F927="causal",F927="predictive")),IF(AND(OR(K927=1,K927="1"),OR(L927=1,L927="1"),OR(M927=1,M927="1")),"adequate","partial"),IF(AND(H927="W4",F927="predictive",OR(J927="P2",J927="P3",J927="P4")),IF(OR(U927=1,U927="1"),"adequate","partial"),INDEX(Fit_Matrix!$B:$B,MATCH(P927,Fit_Matrix!$A:$A,0)))),"CHECK KEY"))</f>
        <v/>
      </c>
      <c r="U927" s="10"/>
      <c r="V927" s="10"/>
      <c r="W927" s="10"/>
      <c r="X927" s="10"/>
      <c r="Y927" s="10"/>
      <c r="Z927" s="10"/>
      <c r="AA927" s="11" t="str">
        <f t="shared" si="29"/>
        <v/>
      </c>
    </row>
    <row r="928" spans="16:27" ht="15" customHeight="1">
      <c r="P928" t="str">
        <f t="shared" si="28"/>
        <v/>
      </c>
      <c r="Q928" t="str">
        <f>IF(P928="","",IFERROR(IF(AND(H928="W7",OR(F928="causal",F928="predictive")),IF(AND(OR(K928=1,K928="1"),OR(L928=1,L928="1"),OR(M928=1,M928="1")),"adequate","partial"),IF(AND(H928="W4",F928="predictive",OR(J928="P2",J928="P3",J928="P4")),IF(OR(U928=1,U928="1"),"adequate","partial"),INDEX(Fit_Matrix!$B:$B,MATCH(P928,Fit_Matrix!$A:$A,0)))),"CHECK KEY"))</f>
        <v/>
      </c>
      <c r="U928" s="10"/>
      <c r="V928" s="10"/>
      <c r="W928" s="10"/>
      <c r="X928" s="10"/>
      <c r="Y928" s="10"/>
      <c r="Z928" s="10"/>
      <c r="AA928" s="11" t="str">
        <f t="shared" si="29"/>
        <v/>
      </c>
    </row>
    <row r="929" spans="16:27" ht="15" customHeight="1">
      <c r="P929" t="str">
        <f t="shared" si="28"/>
        <v/>
      </c>
      <c r="Q929" t="str">
        <f>IF(P929="","",IFERROR(IF(AND(H929="W7",OR(F929="causal",F929="predictive")),IF(AND(OR(K929=1,K929="1"),OR(L929=1,L929="1"),OR(M929=1,M929="1")),"adequate","partial"),IF(AND(H929="W4",F929="predictive",OR(J929="P2",J929="P3",J929="P4")),IF(OR(U929=1,U929="1"),"adequate","partial"),INDEX(Fit_Matrix!$B:$B,MATCH(P929,Fit_Matrix!$A:$A,0)))),"CHECK KEY"))</f>
        <v/>
      </c>
      <c r="U929" s="10"/>
      <c r="V929" s="10"/>
      <c r="W929" s="10"/>
      <c r="X929" s="10"/>
      <c r="Y929" s="10"/>
      <c r="Z929" s="10"/>
      <c r="AA929" s="11" t="str">
        <f t="shared" si="29"/>
        <v/>
      </c>
    </row>
    <row r="930" spans="16:27" ht="15" customHeight="1">
      <c r="P930" t="str">
        <f t="shared" si="28"/>
        <v/>
      </c>
      <c r="Q930" t="str">
        <f>IF(P930="","",IFERROR(IF(AND(H930="W7",OR(F930="causal",F930="predictive")),IF(AND(OR(K930=1,K930="1"),OR(L930=1,L930="1"),OR(M930=1,M930="1")),"adequate","partial"),IF(AND(H930="W4",F930="predictive",OR(J930="P2",J930="P3",J930="P4")),IF(OR(U930=1,U930="1"),"adequate","partial"),INDEX(Fit_Matrix!$B:$B,MATCH(P930,Fit_Matrix!$A:$A,0)))),"CHECK KEY"))</f>
        <v/>
      </c>
      <c r="U930" s="10"/>
      <c r="V930" s="10"/>
      <c r="W930" s="10"/>
      <c r="X930" s="10"/>
      <c r="Y930" s="10"/>
      <c r="Z930" s="10"/>
      <c r="AA930" s="11" t="str">
        <f t="shared" si="29"/>
        <v/>
      </c>
    </row>
    <row r="931" spans="16:27" ht="15" customHeight="1">
      <c r="P931" t="str">
        <f t="shared" si="28"/>
        <v/>
      </c>
      <c r="Q931" t="str">
        <f>IF(P931="","",IFERROR(IF(AND(H931="W7",OR(F931="causal",F931="predictive")),IF(AND(OR(K931=1,K931="1"),OR(L931=1,L931="1"),OR(M931=1,M931="1")),"adequate","partial"),IF(AND(H931="W4",F931="predictive",OR(J931="P2",J931="P3",J931="P4")),IF(OR(U931=1,U931="1"),"adequate","partial"),INDEX(Fit_Matrix!$B:$B,MATCH(P931,Fit_Matrix!$A:$A,0)))),"CHECK KEY"))</f>
        <v/>
      </c>
      <c r="U931" s="10"/>
      <c r="V931" s="10"/>
      <c r="W931" s="10"/>
      <c r="X931" s="10"/>
      <c r="Y931" s="10"/>
      <c r="Z931" s="10"/>
      <c r="AA931" s="11" t="str">
        <f t="shared" si="29"/>
        <v/>
      </c>
    </row>
    <row r="932" spans="16:27" ht="15" customHeight="1">
      <c r="P932" t="str">
        <f t="shared" si="28"/>
        <v/>
      </c>
      <c r="Q932" t="str">
        <f>IF(P932="","",IFERROR(IF(AND(H932="W7",OR(F932="causal",F932="predictive")),IF(AND(OR(K932=1,K932="1"),OR(L932=1,L932="1"),OR(M932=1,M932="1")),"adequate","partial"),IF(AND(H932="W4",F932="predictive",OR(J932="P2",J932="P3",J932="P4")),IF(OR(U932=1,U932="1"),"adequate","partial"),INDEX(Fit_Matrix!$B:$B,MATCH(P932,Fit_Matrix!$A:$A,0)))),"CHECK KEY"))</f>
        <v/>
      </c>
      <c r="U932" s="10"/>
      <c r="V932" s="10"/>
      <c r="W932" s="10"/>
      <c r="X932" s="10"/>
      <c r="Y932" s="10"/>
      <c r="Z932" s="10"/>
      <c r="AA932" s="11" t="str">
        <f t="shared" si="29"/>
        <v/>
      </c>
    </row>
    <row r="933" spans="16:27" ht="15" customHeight="1">
      <c r="P933" t="str">
        <f t="shared" si="28"/>
        <v/>
      </c>
      <c r="Q933" t="str">
        <f>IF(P933="","",IFERROR(IF(AND(H933="W7",OR(F933="causal",F933="predictive")),IF(AND(OR(K933=1,K933="1"),OR(L933=1,L933="1"),OR(M933=1,M933="1")),"adequate","partial"),IF(AND(H933="W4",F933="predictive",OR(J933="P2",J933="P3",J933="P4")),IF(OR(U933=1,U933="1"),"adequate","partial"),INDEX(Fit_Matrix!$B:$B,MATCH(P933,Fit_Matrix!$A:$A,0)))),"CHECK KEY"))</f>
        <v/>
      </c>
      <c r="U933" s="10"/>
      <c r="V933" s="10"/>
      <c r="W933" s="10"/>
      <c r="X933" s="10"/>
      <c r="Y933" s="10"/>
      <c r="Z933" s="10"/>
      <c r="AA933" s="11" t="str">
        <f t="shared" si="29"/>
        <v/>
      </c>
    </row>
    <row r="934" spans="16:27" ht="15" customHeight="1">
      <c r="P934" t="str">
        <f t="shared" si="28"/>
        <v/>
      </c>
      <c r="Q934" t="str">
        <f>IF(P934="","",IFERROR(IF(AND(H934="W7",OR(F934="causal",F934="predictive")),IF(AND(OR(K934=1,K934="1"),OR(L934=1,L934="1"),OR(M934=1,M934="1")),"adequate","partial"),IF(AND(H934="W4",F934="predictive",OR(J934="P2",J934="P3",J934="P4")),IF(OR(U934=1,U934="1"),"adequate","partial"),INDEX(Fit_Matrix!$B:$B,MATCH(P934,Fit_Matrix!$A:$A,0)))),"CHECK KEY"))</f>
        <v/>
      </c>
      <c r="U934" s="10"/>
      <c r="V934" s="10"/>
      <c r="W934" s="10"/>
      <c r="X934" s="10"/>
      <c r="Y934" s="10"/>
      <c r="Z934" s="10"/>
      <c r="AA934" s="11" t="str">
        <f t="shared" si="29"/>
        <v/>
      </c>
    </row>
    <row r="935" spans="16:27" ht="15" customHeight="1">
      <c r="P935" t="str">
        <f t="shared" si="28"/>
        <v/>
      </c>
      <c r="Q935" t="str">
        <f>IF(P935="","",IFERROR(IF(AND(H935="W7",OR(F935="causal",F935="predictive")),IF(AND(OR(K935=1,K935="1"),OR(L935=1,L935="1"),OR(M935=1,M935="1")),"adequate","partial"),IF(AND(H935="W4",F935="predictive",OR(J935="P2",J935="P3",J935="P4")),IF(OR(U935=1,U935="1"),"adequate","partial"),INDEX(Fit_Matrix!$B:$B,MATCH(P935,Fit_Matrix!$A:$A,0)))),"CHECK KEY"))</f>
        <v/>
      </c>
      <c r="U935" s="10"/>
      <c r="V935" s="10"/>
      <c r="W935" s="10"/>
      <c r="X935" s="10"/>
      <c r="Y935" s="10"/>
      <c r="Z935" s="10"/>
      <c r="AA935" s="11" t="str">
        <f t="shared" si="29"/>
        <v/>
      </c>
    </row>
    <row r="936" spans="16:27" ht="15" customHeight="1">
      <c r="P936" t="str">
        <f t="shared" si="28"/>
        <v/>
      </c>
      <c r="Q936" t="str">
        <f>IF(P936="","",IFERROR(IF(AND(H936="W7",OR(F936="causal",F936="predictive")),IF(AND(OR(K936=1,K936="1"),OR(L936=1,L936="1"),OR(M936=1,M936="1")),"adequate","partial"),IF(AND(H936="W4",F936="predictive",OR(J936="P2",J936="P3",J936="P4")),IF(OR(U936=1,U936="1"),"adequate","partial"),INDEX(Fit_Matrix!$B:$B,MATCH(P936,Fit_Matrix!$A:$A,0)))),"CHECK KEY"))</f>
        <v/>
      </c>
      <c r="U936" s="10"/>
      <c r="V936" s="10"/>
      <c r="W936" s="10"/>
      <c r="X936" s="10"/>
      <c r="Y936" s="10"/>
      <c r="Z936" s="10"/>
      <c r="AA936" s="11" t="str">
        <f t="shared" si="29"/>
        <v/>
      </c>
    </row>
    <row r="937" spans="16:27" ht="15" customHeight="1">
      <c r="P937" t="str">
        <f t="shared" si="28"/>
        <v/>
      </c>
      <c r="Q937" t="str">
        <f>IF(P937="","",IFERROR(IF(AND(H937="W7",OR(F937="causal",F937="predictive")),IF(AND(OR(K937=1,K937="1"),OR(L937=1,L937="1"),OR(M937=1,M937="1")),"adequate","partial"),IF(AND(H937="W4",F937="predictive",OR(J937="P2",J937="P3",J937="P4")),IF(OR(U937=1,U937="1"),"adequate","partial"),INDEX(Fit_Matrix!$B:$B,MATCH(P937,Fit_Matrix!$A:$A,0)))),"CHECK KEY"))</f>
        <v/>
      </c>
      <c r="U937" s="10"/>
      <c r="V937" s="10"/>
      <c r="W937" s="10"/>
      <c r="X937" s="10"/>
      <c r="Y937" s="10"/>
      <c r="Z937" s="10"/>
      <c r="AA937" s="11" t="str">
        <f t="shared" si="29"/>
        <v/>
      </c>
    </row>
    <row r="938" spans="16:27" ht="15" customHeight="1">
      <c r="P938" t="str">
        <f t="shared" si="28"/>
        <v/>
      </c>
      <c r="Q938" t="str">
        <f>IF(P938="","",IFERROR(IF(AND(H938="W7",OR(F938="causal",F938="predictive")),IF(AND(OR(K938=1,K938="1"),OR(L938=1,L938="1"),OR(M938=1,M938="1")),"adequate","partial"),IF(AND(H938="W4",F938="predictive",OR(J938="P2",J938="P3",J938="P4")),IF(OR(U938=1,U938="1"),"adequate","partial"),INDEX(Fit_Matrix!$B:$B,MATCH(P938,Fit_Matrix!$A:$A,0)))),"CHECK KEY"))</f>
        <v/>
      </c>
      <c r="U938" s="10"/>
      <c r="V938" s="10"/>
      <c r="W938" s="10"/>
      <c r="X938" s="10"/>
      <c r="Y938" s="10"/>
      <c r="Z938" s="10"/>
      <c r="AA938" s="11" t="str">
        <f t="shared" si="29"/>
        <v/>
      </c>
    </row>
    <row r="939" spans="16:27" ht="15" customHeight="1">
      <c r="P939" t="str">
        <f t="shared" si="28"/>
        <v/>
      </c>
      <c r="Q939" t="str">
        <f>IF(P939="","",IFERROR(IF(AND(H939="W7",OR(F939="causal",F939="predictive")),IF(AND(OR(K939=1,K939="1"),OR(L939=1,L939="1"),OR(M939=1,M939="1")),"adequate","partial"),IF(AND(H939="W4",F939="predictive",OR(J939="P2",J939="P3",J939="P4")),IF(OR(U939=1,U939="1"),"adequate","partial"),INDEX(Fit_Matrix!$B:$B,MATCH(P939,Fit_Matrix!$A:$A,0)))),"CHECK KEY"))</f>
        <v/>
      </c>
      <c r="U939" s="10"/>
      <c r="V939" s="10"/>
      <c r="W939" s="10"/>
      <c r="X939" s="10"/>
      <c r="Y939" s="10"/>
      <c r="Z939" s="10"/>
      <c r="AA939" s="11" t="str">
        <f t="shared" si="29"/>
        <v/>
      </c>
    </row>
    <row r="940" spans="16:27" ht="15" customHeight="1">
      <c r="P940" t="str">
        <f t="shared" si="28"/>
        <v/>
      </c>
      <c r="Q940" t="str">
        <f>IF(P940="","",IFERROR(IF(AND(H940="W7",OR(F940="causal",F940="predictive")),IF(AND(OR(K940=1,K940="1"),OR(L940=1,L940="1"),OR(M940=1,M940="1")),"adequate","partial"),IF(AND(H940="W4",F940="predictive",OR(J940="P2",J940="P3",J940="P4")),IF(OR(U940=1,U940="1"),"adequate","partial"),INDEX(Fit_Matrix!$B:$B,MATCH(P940,Fit_Matrix!$A:$A,0)))),"CHECK KEY"))</f>
        <v/>
      </c>
      <c r="U940" s="10"/>
      <c r="V940" s="10"/>
      <c r="W940" s="10"/>
      <c r="X940" s="10"/>
      <c r="Y940" s="10"/>
      <c r="Z940" s="10"/>
      <c r="AA940" s="11" t="str">
        <f t="shared" si="29"/>
        <v/>
      </c>
    </row>
    <row r="941" spans="16:27" ht="15" customHeight="1">
      <c r="P941" t="str">
        <f t="shared" si="28"/>
        <v/>
      </c>
      <c r="Q941" t="str">
        <f>IF(P941="","",IFERROR(IF(AND(H941="W7",OR(F941="causal",F941="predictive")),IF(AND(OR(K941=1,K941="1"),OR(L941=1,L941="1"),OR(M941=1,M941="1")),"adequate","partial"),IF(AND(H941="W4",F941="predictive",OR(J941="P2",J941="P3",J941="P4")),IF(OR(U941=1,U941="1"),"adequate","partial"),INDEX(Fit_Matrix!$B:$B,MATCH(P941,Fit_Matrix!$A:$A,0)))),"CHECK KEY"))</f>
        <v/>
      </c>
      <c r="U941" s="10"/>
      <c r="V941" s="10"/>
      <c r="W941" s="10"/>
      <c r="X941" s="10"/>
      <c r="Y941" s="10"/>
      <c r="Z941" s="10"/>
      <c r="AA941" s="11" t="str">
        <f t="shared" si="29"/>
        <v/>
      </c>
    </row>
    <row r="942" spans="16:27" ht="15" customHeight="1">
      <c r="P942" t="str">
        <f t="shared" si="28"/>
        <v/>
      </c>
      <c r="Q942" t="str">
        <f>IF(P942="","",IFERROR(IF(AND(H942="W7",OR(F942="causal",F942="predictive")),IF(AND(OR(K942=1,K942="1"),OR(L942=1,L942="1"),OR(M942=1,M942="1")),"adequate","partial"),IF(AND(H942="W4",F942="predictive",OR(J942="P2",J942="P3",J942="P4")),IF(OR(U942=1,U942="1"),"adequate","partial"),INDEX(Fit_Matrix!$B:$B,MATCH(P942,Fit_Matrix!$A:$A,0)))),"CHECK KEY"))</f>
        <v/>
      </c>
      <c r="U942" s="10"/>
      <c r="V942" s="10"/>
      <c r="W942" s="10"/>
      <c r="X942" s="10"/>
      <c r="Y942" s="10"/>
      <c r="Z942" s="10"/>
      <c r="AA942" s="11" t="str">
        <f t="shared" si="29"/>
        <v/>
      </c>
    </row>
    <row r="943" spans="16:27" ht="15" customHeight="1">
      <c r="P943" t="str">
        <f t="shared" si="28"/>
        <v/>
      </c>
      <c r="Q943" t="str">
        <f>IF(P943="","",IFERROR(IF(AND(H943="W7",OR(F943="causal",F943="predictive")),IF(AND(OR(K943=1,K943="1"),OR(L943=1,L943="1"),OR(M943=1,M943="1")),"adequate","partial"),IF(AND(H943="W4",F943="predictive",OR(J943="P2",J943="P3",J943="P4")),IF(OR(U943=1,U943="1"),"adequate","partial"),INDEX(Fit_Matrix!$B:$B,MATCH(P943,Fit_Matrix!$A:$A,0)))),"CHECK KEY"))</f>
        <v/>
      </c>
      <c r="U943" s="10"/>
      <c r="V943" s="10"/>
      <c r="W943" s="10"/>
      <c r="X943" s="10"/>
      <c r="Y943" s="10"/>
      <c r="Z943" s="10"/>
      <c r="AA943" s="11" t="str">
        <f t="shared" si="29"/>
        <v/>
      </c>
    </row>
    <row r="944" spans="16:27" ht="15" customHeight="1">
      <c r="P944" t="str">
        <f t="shared" si="28"/>
        <v/>
      </c>
      <c r="Q944" t="str">
        <f>IF(P944="","",IFERROR(IF(AND(H944="W7",OR(F944="causal",F944="predictive")),IF(AND(OR(K944=1,K944="1"),OR(L944=1,L944="1"),OR(M944=1,M944="1")),"adequate","partial"),IF(AND(H944="W4",F944="predictive",OR(J944="P2",J944="P3",J944="P4")),IF(OR(U944=1,U944="1"),"adequate","partial"),INDEX(Fit_Matrix!$B:$B,MATCH(P944,Fit_Matrix!$A:$A,0)))),"CHECK KEY"))</f>
        <v/>
      </c>
      <c r="U944" s="10"/>
      <c r="V944" s="10"/>
      <c r="W944" s="10"/>
      <c r="X944" s="10"/>
      <c r="Y944" s="10"/>
      <c r="Z944" s="10"/>
      <c r="AA944" s="11" t="str">
        <f t="shared" si="29"/>
        <v/>
      </c>
    </row>
    <row r="945" spans="16:27" ht="15" customHeight="1">
      <c r="P945" t="str">
        <f t="shared" si="28"/>
        <v/>
      </c>
      <c r="Q945" t="str">
        <f>IF(P945="","",IFERROR(IF(AND(H945="W7",OR(F945="causal",F945="predictive")),IF(AND(OR(K945=1,K945="1"),OR(L945=1,L945="1"),OR(M945=1,M945="1")),"adequate","partial"),IF(AND(H945="W4",F945="predictive",OR(J945="P2",J945="P3",J945="P4")),IF(OR(U945=1,U945="1"),"adequate","partial"),INDEX(Fit_Matrix!$B:$B,MATCH(P945,Fit_Matrix!$A:$A,0)))),"CHECK KEY"))</f>
        <v/>
      </c>
      <c r="U945" s="10"/>
      <c r="V945" s="10"/>
      <c r="W945" s="10"/>
      <c r="X945" s="10"/>
      <c r="Y945" s="10"/>
      <c r="Z945" s="10"/>
      <c r="AA945" s="11" t="str">
        <f t="shared" si="29"/>
        <v/>
      </c>
    </row>
    <row r="946" spans="16:27" ht="15" customHeight="1">
      <c r="P946" t="str">
        <f t="shared" si="28"/>
        <v/>
      </c>
      <c r="Q946" t="str">
        <f>IF(P946="","",IFERROR(IF(AND(H946="W7",OR(F946="causal",F946="predictive")),IF(AND(OR(K946=1,K946="1"),OR(L946=1,L946="1"),OR(M946=1,M946="1")),"adequate","partial"),IF(AND(H946="W4",F946="predictive",OR(J946="P2",J946="P3",J946="P4")),IF(OR(U946=1,U946="1"),"adequate","partial"),INDEX(Fit_Matrix!$B:$B,MATCH(P946,Fit_Matrix!$A:$A,0)))),"CHECK KEY"))</f>
        <v/>
      </c>
      <c r="U946" s="10"/>
      <c r="V946" s="10"/>
      <c r="W946" s="10"/>
      <c r="X946" s="10"/>
      <c r="Y946" s="10"/>
      <c r="Z946" s="10"/>
      <c r="AA946" s="11" t="str">
        <f t="shared" si="29"/>
        <v/>
      </c>
    </row>
    <row r="947" spans="16:27" ht="15" customHeight="1">
      <c r="P947" t="str">
        <f t="shared" si="28"/>
        <v/>
      </c>
      <c r="Q947" t="str">
        <f>IF(P947="","",IFERROR(IF(AND(H947="W7",OR(F947="causal",F947="predictive")),IF(AND(OR(K947=1,K947="1"),OR(L947=1,L947="1"),OR(M947=1,M947="1")),"adequate","partial"),IF(AND(H947="W4",F947="predictive",OR(J947="P2",J947="P3",J947="P4")),IF(OR(U947=1,U947="1"),"adequate","partial"),INDEX(Fit_Matrix!$B:$B,MATCH(P947,Fit_Matrix!$A:$A,0)))),"CHECK KEY"))</f>
        <v/>
      </c>
      <c r="U947" s="10"/>
      <c r="V947" s="10"/>
      <c r="W947" s="10"/>
      <c r="X947" s="10"/>
      <c r="Y947" s="10"/>
      <c r="Z947" s="10"/>
      <c r="AA947" s="11" t="str">
        <f t="shared" si="29"/>
        <v/>
      </c>
    </row>
    <row r="948" spans="16:27" ht="15" customHeight="1">
      <c r="P948" t="str">
        <f t="shared" si="28"/>
        <v/>
      </c>
      <c r="Q948" t="str">
        <f>IF(P948="","",IFERROR(IF(AND(H948="W7",OR(F948="causal",F948="predictive")),IF(AND(OR(K948=1,K948="1"),OR(L948=1,L948="1"),OR(M948=1,M948="1")),"adequate","partial"),IF(AND(H948="W4",F948="predictive",OR(J948="P2",J948="P3",J948="P4")),IF(OR(U948=1,U948="1"),"adequate","partial"),INDEX(Fit_Matrix!$B:$B,MATCH(P948,Fit_Matrix!$A:$A,0)))),"CHECK KEY"))</f>
        <v/>
      </c>
      <c r="U948" s="10"/>
      <c r="V948" s="10"/>
      <c r="W948" s="10"/>
      <c r="X948" s="10"/>
      <c r="Y948" s="10"/>
      <c r="Z948" s="10"/>
      <c r="AA948" s="11" t="str">
        <f t="shared" si="29"/>
        <v/>
      </c>
    </row>
    <row r="949" spans="16:27" ht="15" customHeight="1">
      <c r="P949" t="str">
        <f t="shared" si="28"/>
        <v/>
      </c>
      <c r="Q949" t="str">
        <f>IF(P949="","",IFERROR(IF(AND(H949="W7",OR(F949="causal",F949="predictive")),IF(AND(OR(K949=1,K949="1"),OR(L949=1,L949="1"),OR(M949=1,M949="1")),"adequate","partial"),IF(AND(H949="W4",F949="predictive",OR(J949="P2",J949="P3",J949="P4")),IF(OR(U949=1,U949="1"),"adequate","partial"),INDEX(Fit_Matrix!$B:$B,MATCH(P949,Fit_Matrix!$A:$A,0)))),"CHECK KEY"))</f>
        <v/>
      </c>
      <c r="U949" s="10"/>
      <c r="V949" s="10"/>
      <c r="W949" s="10"/>
      <c r="X949" s="10"/>
      <c r="Y949" s="10"/>
      <c r="Z949" s="10"/>
      <c r="AA949" s="11" t="str">
        <f t="shared" si="29"/>
        <v/>
      </c>
    </row>
    <row r="950" spans="16:27" ht="15" customHeight="1">
      <c r="P950" t="str">
        <f t="shared" si="28"/>
        <v/>
      </c>
      <c r="Q950" t="str">
        <f>IF(P950="","",IFERROR(IF(AND(H950="W7",OR(F950="causal",F950="predictive")),IF(AND(OR(K950=1,K950="1"),OR(L950=1,L950="1"),OR(M950=1,M950="1")),"adequate","partial"),IF(AND(H950="W4",F950="predictive",OR(J950="P2",J950="P3",J950="P4")),IF(OR(U950=1,U950="1"),"adequate","partial"),INDEX(Fit_Matrix!$B:$B,MATCH(P950,Fit_Matrix!$A:$A,0)))),"CHECK KEY"))</f>
        <v/>
      </c>
      <c r="U950" s="10"/>
      <c r="V950" s="10"/>
      <c r="W950" s="10"/>
      <c r="X950" s="10"/>
      <c r="Y950" s="10"/>
      <c r="Z950" s="10"/>
      <c r="AA950" s="11" t="str">
        <f t="shared" si="29"/>
        <v/>
      </c>
    </row>
    <row r="951" spans="16:27" ht="15" customHeight="1">
      <c r="P951" t="str">
        <f t="shared" si="28"/>
        <v/>
      </c>
      <c r="Q951" t="str">
        <f>IF(P951="","",IFERROR(IF(AND(H951="W7",OR(F951="causal",F951="predictive")),IF(AND(OR(K951=1,K951="1"),OR(L951=1,L951="1"),OR(M951=1,M951="1")),"adequate","partial"),IF(AND(H951="W4",F951="predictive",OR(J951="P2",J951="P3",J951="P4")),IF(OR(U951=1,U951="1"),"adequate","partial"),INDEX(Fit_Matrix!$B:$B,MATCH(P951,Fit_Matrix!$A:$A,0)))),"CHECK KEY"))</f>
        <v/>
      </c>
      <c r="U951" s="10"/>
      <c r="V951" s="10"/>
      <c r="W951" s="10"/>
      <c r="X951" s="10"/>
      <c r="Y951" s="10"/>
      <c r="Z951" s="10"/>
      <c r="AA951" s="11" t="str">
        <f t="shared" si="29"/>
        <v/>
      </c>
    </row>
    <row r="952" spans="16:27" ht="15" customHeight="1">
      <c r="P952" t="str">
        <f t="shared" si="28"/>
        <v/>
      </c>
      <c r="Q952" t="str">
        <f>IF(P952="","",IFERROR(IF(AND(H952="W7",OR(F952="causal",F952="predictive")),IF(AND(OR(K952=1,K952="1"),OR(L952=1,L952="1"),OR(M952=1,M952="1")),"adequate","partial"),IF(AND(H952="W4",F952="predictive",OR(J952="P2",J952="P3",J952="P4")),IF(OR(U952=1,U952="1"),"adequate","partial"),INDEX(Fit_Matrix!$B:$B,MATCH(P952,Fit_Matrix!$A:$A,0)))),"CHECK KEY"))</f>
        <v/>
      </c>
      <c r="U952" s="10"/>
      <c r="V952" s="10"/>
      <c r="W952" s="10"/>
      <c r="X952" s="10"/>
      <c r="Y952" s="10"/>
      <c r="Z952" s="10"/>
      <c r="AA952" s="11" t="str">
        <f t="shared" si="29"/>
        <v/>
      </c>
    </row>
    <row r="953" spans="16:27" ht="15" customHeight="1">
      <c r="P953" t="str">
        <f t="shared" si="28"/>
        <v/>
      </c>
      <c r="Q953" t="str">
        <f>IF(P953="","",IFERROR(IF(AND(H953="W7",OR(F953="causal",F953="predictive")),IF(AND(OR(K953=1,K953="1"),OR(L953=1,L953="1"),OR(M953=1,M953="1")),"adequate","partial"),IF(AND(H953="W4",F953="predictive",OR(J953="P2",J953="P3",J953="P4")),IF(OR(U953=1,U953="1"),"adequate","partial"),INDEX(Fit_Matrix!$B:$B,MATCH(P953,Fit_Matrix!$A:$A,0)))),"CHECK KEY"))</f>
        <v/>
      </c>
      <c r="U953" s="10"/>
      <c r="V953" s="10"/>
      <c r="W953" s="10"/>
      <c r="X953" s="10"/>
      <c r="Y953" s="10"/>
      <c r="Z953" s="10"/>
      <c r="AA953" s="11" t="str">
        <f t="shared" si="29"/>
        <v/>
      </c>
    </row>
    <row r="954" spans="16:27" ht="15" customHeight="1">
      <c r="P954" t="str">
        <f t="shared" si="28"/>
        <v/>
      </c>
      <c r="Q954" t="str">
        <f>IF(P954="","",IFERROR(IF(AND(H954="W7",OR(F954="causal",F954="predictive")),IF(AND(OR(K954=1,K954="1"),OR(L954=1,L954="1"),OR(M954=1,M954="1")),"adequate","partial"),IF(AND(H954="W4",F954="predictive",OR(J954="P2",J954="P3",J954="P4")),IF(OR(U954=1,U954="1"),"adequate","partial"),INDEX(Fit_Matrix!$B:$B,MATCH(P954,Fit_Matrix!$A:$A,0)))),"CHECK KEY"))</f>
        <v/>
      </c>
      <c r="U954" s="10"/>
      <c r="V954" s="10"/>
      <c r="W954" s="10"/>
      <c r="X954" s="10"/>
      <c r="Y954" s="10"/>
      <c r="Z954" s="10"/>
      <c r="AA954" s="11" t="str">
        <f t="shared" si="29"/>
        <v/>
      </c>
    </row>
    <row r="955" spans="16:27" ht="15" customHeight="1">
      <c r="P955" t="str">
        <f t="shared" si="28"/>
        <v/>
      </c>
      <c r="Q955" t="str">
        <f>IF(P955="","",IFERROR(IF(AND(H955="W7",OR(F955="causal",F955="predictive")),IF(AND(OR(K955=1,K955="1"),OR(L955=1,L955="1"),OR(M955=1,M955="1")),"adequate","partial"),IF(AND(H955="W4",F955="predictive",OR(J955="P2",J955="P3",J955="P4")),IF(OR(U955=1,U955="1"),"adequate","partial"),INDEX(Fit_Matrix!$B:$B,MATCH(P955,Fit_Matrix!$A:$A,0)))),"CHECK KEY"))</f>
        <v/>
      </c>
      <c r="U955" s="10"/>
      <c r="V955" s="10"/>
      <c r="W955" s="10"/>
      <c r="X955" s="10"/>
      <c r="Y955" s="10"/>
      <c r="Z955" s="10"/>
      <c r="AA955" s="11" t="str">
        <f t="shared" si="29"/>
        <v/>
      </c>
    </row>
    <row r="956" spans="16:27" ht="15" customHeight="1">
      <c r="P956" t="str">
        <f t="shared" si="28"/>
        <v/>
      </c>
      <c r="Q956" t="str">
        <f>IF(P956="","",IFERROR(IF(AND(H956="W7",OR(F956="causal",F956="predictive")),IF(AND(OR(K956=1,K956="1"),OR(L956=1,L956="1"),OR(M956=1,M956="1")),"adequate","partial"),IF(AND(H956="W4",F956="predictive",OR(J956="P2",J956="P3",J956="P4")),IF(OR(U956=1,U956="1"),"adequate","partial"),INDEX(Fit_Matrix!$B:$B,MATCH(P956,Fit_Matrix!$A:$A,0)))),"CHECK KEY"))</f>
        <v/>
      </c>
      <c r="U956" s="10"/>
      <c r="V956" s="10"/>
      <c r="W956" s="10"/>
      <c r="X956" s="10"/>
      <c r="Y956" s="10"/>
      <c r="Z956" s="10"/>
      <c r="AA956" s="11" t="str">
        <f t="shared" si="29"/>
        <v/>
      </c>
    </row>
    <row r="957" spans="16:27" ht="15" customHeight="1">
      <c r="P957" t="str">
        <f t="shared" si="28"/>
        <v/>
      </c>
      <c r="Q957" t="str">
        <f>IF(P957="","",IFERROR(IF(AND(H957="W7",OR(F957="causal",F957="predictive")),IF(AND(OR(K957=1,K957="1"),OR(L957=1,L957="1"),OR(M957=1,M957="1")),"adequate","partial"),IF(AND(H957="W4",F957="predictive",OR(J957="P2",J957="P3",J957="P4")),IF(OR(U957=1,U957="1"),"adequate","partial"),INDEX(Fit_Matrix!$B:$B,MATCH(P957,Fit_Matrix!$A:$A,0)))),"CHECK KEY"))</f>
        <v/>
      </c>
      <c r="U957" s="10"/>
      <c r="V957" s="10"/>
      <c r="W957" s="10"/>
      <c r="X957" s="10"/>
      <c r="Y957" s="10"/>
      <c r="Z957" s="10"/>
      <c r="AA957" s="11" t="str">
        <f t="shared" si="29"/>
        <v/>
      </c>
    </row>
    <row r="958" spans="16:27" ht="15" customHeight="1">
      <c r="P958" t="str">
        <f t="shared" si="28"/>
        <v/>
      </c>
      <c r="Q958" t="str">
        <f>IF(P958="","",IFERROR(IF(AND(H958="W7",OR(F958="causal",F958="predictive")),IF(AND(OR(K958=1,K958="1"),OR(L958=1,L958="1"),OR(M958=1,M958="1")),"adequate","partial"),IF(AND(H958="W4",F958="predictive",OR(J958="P2",J958="P3",J958="P4")),IF(OR(U958=1,U958="1"),"adequate","partial"),INDEX(Fit_Matrix!$B:$B,MATCH(P958,Fit_Matrix!$A:$A,0)))),"CHECK KEY"))</f>
        <v/>
      </c>
      <c r="U958" s="10"/>
      <c r="V958" s="10"/>
      <c r="W958" s="10"/>
      <c r="X958" s="10"/>
      <c r="Y958" s="10"/>
      <c r="Z958" s="10"/>
      <c r="AA958" s="11" t="str">
        <f t="shared" si="29"/>
        <v/>
      </c>
    </row>
    <row r="959" spans="16:27" ht="15" customHeight="1">
      <c r="P959" t="str">
        <f t="shared" si="28"/>
        <v/>
      </c>
      <c r="Q959" t="str">
        <f>IF(P959="","",IFERROR(IF(AND(H959="W7",OR(F959="causal",F959="predictive")),IF(AND(OR(K959=1,K959="1"),OR(L959=1,L959="1"),OR(M959=1,M959="1")),"adequate","partial"),IF(AND(H959="W4",F959="predictive",OR(J959="P2",J959="P3",J959="P4")),IF(OR(U959=1,U959="1"),"adequate","partial"),INDEX(Fit_Matrix!$B:$B,MATCH(P959,Fit_Matrix!$A:$A,0)))),"CHECK KEY"))</f>
        <v/>
      </c>
      <c r="U959" s="10"/>
      <c r="V959" s="10"/>
      <c r="W959" s="10"/>
      <c r="X959" s="10"/>
      <c r="Y959" s="10"/>
      <c r="Z959" s="10"/>
      <c r="AA959" s="11" t="str">
        <f t="shared" si="29"/>
        <v/>
      </c>
    </row>
    <row r="960" spans="16:27" ht="15" customHeight="1">
      <c r="P960" t="str">
        <f t="shared" si="28"/>
        <v/>
      </c>
      <c r="Q960" t="str">
        <f>IF(P960="","",IFERROR(IF(AND(H960="W7",OR(F960="causal",F960="predictive")),IF(AND(OR(K960=1,K960="1"),OR(L960=1,L960="1"),OR(M960=1,M960="1")),"adequate","partial"),IF(AND(H960="W4",F960="predictive",OR(J960="P2",J960="P3",J960="P4")),IF(OR(U960=1,U960="1"),"adequate","partial"),INDEX(Fit_Matrix!$B:$B,MATCH(P960,Fit_Matrix!$A:$A,0)))),"CHECK KEY"))</f>
        <v/>
      </c>
      <c r="U960" s="10"/>
      <c r="V960" s="10"/>
      <c r="W960" s="10"/>
      <c r="X960" s="10"/>
      <c r="Y960" s="10"/>
      <c r="Z960" s="10"/>
      <c r="AA960" s="11" t="str">
        <f t="shared" si="29"/>
        <v/>
      </c>
    </row>
    <row r="961" spans="16:27" ht="15" customHeight="1">
      <c r="P961" t="str">
        <f t="shared" si="28"/>
        <v/>
      </c>
      <c r="Q961" t="str">
        <f>IF(P961="","",IFERROR(IF(AND(H961="W7",OR(F961="causal",F961="predictive")),IF(AND(OR(K961=1,K961="1"),OR(L961=1,L961="1"),OR(M961=1,M961="1")),"adequate","partial"),IF(AND(H961="W4",F961="predictive",OR(J961="P2",J961="P3",J961="P4")),IF(OR(U961=1,U961="1"),"adequate","partial"),INDEX(Fit_Matrix!$B:$B,MATCH(P961,Fit_Matrix!$A:$A,0)))),"CHECK KEY"))</f>
        <v/>
      </c>
      <c r="U961" s="10"/>
      <c r="V961" s="10"/>
      <c r="W961" s="10"/>
      <c r="X961" s="10"/>
      <c r="Y961" s="10"/>
      <c r="Z961" s="10"/>
      <c r="AA961" s="11" t="str">
        <f t="shared" si="29"/>
        <v/>
      </c>
    </row>
    <row r="962" spans="16:27" ht="15" customHeight="1">
      <c r="P962" t="str">
        <f t="shared" ref="P962:P1025" si="30">IF(OR(F962="",H962="",J962=""),"",J962&amp;"|"&amp;F962&amp;"|"&amp;IF(H962="W3","W3_"&amp;IF(I962="","unknown",I962),H962))</f>
        <v/>
      </c>
      <c r="Q962" t="str">
        <f>IF(P962="","",IFERROR(IF(AND(H962="W7",OR(F962="causal",F962="predictive")),IF(AND(OR(K962=1,K962="1"),OR(L962=1,L962="1"),OR(M962=1,M962="1")),"adequate","partial"),IF(AND(H962="W4",F962="predictive",OR(J962="P2",J962="P3",J962="P4")),IF(OR(U962=1,U962="1"),"adequate","partial"),INDEX(Fit_Matrix!$B:$B,MATCH(P962,Fit_Matrix!$A:$A,0)))),"CHECK KEY"))</f>
        <v/>
      </c>
      <c r="U962" s="10"/>
      <c r="V962" s="10"/>
      <c r="W962" s="10"/>
      <c r="X962" s="10"/>
      <c r="Y962" s="10"/>
      <c r="Z962" s="10"/>
      <c r="AA962" s="11" t="str">
        <f t="shared" ref="AA962:AA1025" si="31">IF(A962="","",IF(AND(J962="P4",F962="causal"),"P4-CAUSAL",""))</f>
        <v/>
      </c>
    </row>
    <row r="963" spans="16:27" ht="15" customHeight="1">
      <c r="P963" t="str">
        <f t="shared" si="30"/>
        <v/>
      </c>
      <c r="Q963" t="str">
        <f>IF(P963="","",IFERROR(IF(AND(H963="W7",OR(F963="causal",F963="predictive")),IF(AND(OR(K963=1,K963="1"),OR(L963=1,L963="1"),OR(M963=1,M963="1")),"adequate","partial"),IF(AND(H963="W4",F963="predictive",OR(J963="P2",J963="P3",J963="P4")),IF(OR(U963=1,U963="1"),"adequate","partial"),INDEX(Fit_Matrix!$B:$B,MATCH(P963,Fit_Matrix!$A:$A,0)))),"CHECK KEY"))</f>
        <v/>
      </c>
      <c r="U963" s="10"/>
      <c r="V963" s="10"/>
      <c r="W963" s="10"/>
      <c r="X963" s="10"/>
      <c r="Y963" s="10"/>
      <c r="Z963" s="10"/>
      <c r="AA963" s="11" t="str">
        <f t="shared" si="31"/>
        <v/>
      </c>
    </row>
    <row r="964" spans="16:27" ht="15" customHeight="1">
      <c r="P964" t="str">
        <f t="shared" si="30"/>
        <v/>
      </c>
      <c r="Q964" t="str">
        <f>IF(P964="","",IFERROR(IF(AND(H964="W7",OR(F964="causal",F964="predictive")),IF(AND(OR(K964=1,K964="1"),OR(L964=1,L964="1"),OR(M964=1,M964="1")),"adequate","partial"),IF(AND(H964="W4",F964="predictive",OR(J964="P2",J964="P3",J964="P4")),IF(OR(U964=1,U964="1"),"adequate","partial"),INDEX(Fit_Matrix!$B:$B,MATCH(P964,Fit_Matrix!$A:$A,0)))),"CHECK KEY"))</f>
        <v/>
      </c>
      <c r="U964" s="10"/>
      <c r="V964" s="10"/>
      <c r="W964" s="10"/>
      <c r="X964" s="10"/>
      <c r="Y964" s="10"/>
      <c r="Z964" s="10"/>
      <c r="AA964" s="11" t="str">
        <f t="shared" si="31"/>
        <v/>
      </c>
    </row>
    <row r="965" spans="16:27" ht="15" customHeight="1">
      <c r="P965" t="str">
        <f t="shared" si="30"/>
        <v/>
      </c>
      <c r="Q965" t="str">
        <f>IF(P965="","",IFERROR(IF(AND(H965="W7",OR(F965="causal",F965="predictive")),IF(AND(OR(K965=1,K965="1"),OR(L965=1,L965="1"),OR(M965=1,M965="1")),"adequate","partial"),IF(AND(H965="W4",F965="predictive",OR(J965="P2",J965="P3",J965="P4")),IF(OR(U965=1,U965="1"),"adequate","partial"),INDEX(Fit_Matrix!$B:$B,MATCH(P965,Fit_Matrix!$A:$A,0)))),"CHECK KEY"))</f>
        <v/>
      </c>
      <c r="U965" s="10"/>
      <c r="V965" s="10"/>
      <c r="W965" s="10"/>
      <c r="X965" s="10"/>
      <c r="Y965" s="10"/>
      <c r="Z965" s="10"/>
      <c r="AA965" s="11" t="str">
        <f t="shared" si="31"/>
        <v/>
      </c>
    </row>
    <row r="966" spans="16:27" ht="15" customHeight="1">
      <c r="P966" t="str">
        <f t="shared" si="30"/>
        <v/>
      </c>
      <c r="Q966" t="str">
        <f>IF(P966="","",IFERROR(IF(AND(H966="W7",OR(F966="causal",F966="predictive")),IF(AND(OR(K966=1,K966="1"),OR(L966=1,L966="1"),OR(M966=1,M966="1")),"adequate","partial"),IF(AND(H966="W4",F966="predictive",OR(J966="P2",J966="P3",J966="P4")),IF(OR(U966=1,U966="1"),"adequate","partial"),INDEX(Fit_Matrix!$B:$B,MATCH(P966,Fit_Matrix!$A:$A,0)))),"CHECK KEY"))</f>
        <v/>
      </c>
      <c r="U966" s="10"/>
      <c r="V966" s="10"/>
      <c r="W966" s="10"/>
      <c r="X966" s="10"/>
      <c r="Y966" s="10"/>
      <c r="Z966" s="10"/>
      <c r="AA966" s="11" t="str">
        <f t="shared" si="31"/>
        <v/>
      </c>
    </row>
    <row r="967" spans="16:27" ht="15" customHeight="1">
      <c r="P967" t="str">
        <f t="shared" si="30"/>
        <v/>
      </c>
      <c r="Q967" t="str">
        <f>IF(P967="","",IFERROR(IF(AND(H967="W7",OR(F967="causal",F967="predictive")),IF(AND(OR(K967=1,K967="1"),OR(L967=1,L967="1"),OR(M967=1,M967="1")),"adequate","partial"),IF(AND(H967="W4",F967="predictive",OR(J967="P2",J967="P3",J967="P4")),IF(OR(U967=1,U967="1"),"adequate","partial"),INDEX(Fit_Matrix!$B:$B,MATCH(P967,Fit_Matrix!$A:$A,0)))),"CHECK KEY"))</f>
        <v/>
      </c>
      <c r="U967" s="10"/>
      <c r="V967" s="10"/>
      <c r="W967" s="10"/>
      <c r="X967" s="10"/>
      <c r="Y967" s="10"/>
      <c r="Z967" s="10"/>
      <c r="AA967" s="11" t="str">
        <f t="shared" si="31"/>
        <v/>
      </c>
    </row>
    <row r="968" spans="16:27" ht="15" customHeight="1">
      <c r="P968" t="str">
        <f t="shared" si="30"/>
        <v/>
      </c>
      <c r="Q968" t="str">
        <f>IF(P968="","",IFERROR(IF(AND(H968="W7",OR(F968="causal",F968="predictive")),IF(AND(OR(K968=1,K968="1"),OR(L968=1,L968="1"),OR(M968=1,M968="1")),"adequate","partial"),IF(AND(H968="W4",F968="predictive",OR(J968="P2",J968="P3",J968="P4")),IF(OR(U968=1,U968="1"),"adequate","partial"),INDEX(Fit_Matrix!$B:$B,MATCH(P968,Fit_Matrix!$A:$A,0)))),"CHECK KEY"))</f>
        <v/>
      </c>
      <c r="U968" s="10"/>
      <c r="V968" s="10"/>
      <c r="W968" s="10"/>
      <c r="X968" s="10"/>
      <c r="Y968" s="10"/>
      <c r="Z968" s="10"/>
      <c r="AA968" s="11" t="str">
        <f t="shared" si="31"/>
        <v/>
      </c>
    </row>
    <row r="969" spans="16:27" ht="15" customHeight="1">
      <c r="P969" t="str">
        <f t="shared" si="30"/>
        <v/>
      </c>
      <c r="Q969" t="str">
        <f>IF(P969="","",IFERROR(IF(AND(H969="W7",OR(F969="causal",F969="predictive")),IF(AND(OR(K969=1,K969="1"),OR(L969=1,L969="1"),OR(M969=1,M969="1")),"adequate","partial"),IF(AND(H969="W4",F969="predictive",OR(J969="P2",J969="P3",J969="P4")),IF(OR(U969=1,U969="1"),"adequate","partial"),INDEX(Fit_Matrix!$B:$B,MATCH(P969,Fit_Matrix!$A:$A,0)))),"CHECK KEY"))</f>
        <v/>
      </c>
      <c r="U969" s="10"/>
      <c r="V969" s="10"/>
      <c r="W969" s="10"/>
      <c r="X969" s="10"/>
      <c r="Y969" s="10"/>
      <c r="Z969" s="10"/>
      <c r="AA969" s="11" t="str">
        <f t="shared" si="31"/>
        <v/>
      </c>
    </row>
    <row r="970" spans="16:27" ht="15" customHeight="1">
      <c r="P970" t="str">
        <f t="shared" si="30"/>
        <v/>
      </c>
      <c r="Q970" t="str">
        <f>IF(P970="","",IFERROR(IF(AND(H970="W7",OR(F970="causal",F970="predictive")),IF(AND(OR(K970=1,K970="1"),OR(L970=1,L970="1"),OR(M970=1,M970="1")),"adequate","partial"),IF(AND(H970="W4",F970="predictive",OR(J970="P2",J970="P3",J970="P4")),IF(OR(U970=1,U970="1"),"adequate","partial"),INDEX(Fit_Matrix!$B:$B,MATCH(P970,Fit_Matrix!$A:$A,0)))),"CHECK KEY"))</f>
        <v/>
      </c>
      <c r="U970" s="10"/>
      <c r="V970" s="10"/>
      <c r="W970" s="10"/>
      <c r="X970" s="10"/>
      <c r="Y970" s="10"/>
      <c r="Z970" s="10"/>
      <c r="AA970" s="11" t="str">
        <f t="shared" si="31"/>
        <v/>
      </c>
    </row>
    <row r="971" spans="16:27" ht="15" customHeight="1">
      <c r="P971" t="str">
        <f t="shared" si="30"/>
        <v/>
      </c>
      <c r="Q971" t="str">
        <f>IF(P971="","",IFERROR(IF(AND(H971="W7",OR(F971="causal",F971="predictive")),IF(AND(OR(K971=1,K971="1"),OR(L971=1,L971="1"),OR(M971=1,M971="1")),"adequate","partial"),IF(AND(H971="W4",F971="predictive",OR(J971="P2",J971="P3",J971="P4")),IF(OR(U971=1,U971="1"),"adequate","partial"),INDEX(Fit_Matrix!$B:$B,MATCH(P971,Fit_Matrix!$A:$A,0)))),"CHECK KEY"))</f>
        <v/>
      </c>
      <c r="U971" s="10"/>
      <c r="V971" s="10"/>
      <c r="W971" s="10"/>
      <c r="X971" s="10"/>
      <c r="Y971" s="10"/>
      <c r="Z971" s="10"/>
      <c r="AA971" s="11" t="str">
        <f t="shared" si="31"/>
        <v/>
      </c>
    </row>
    <row r="972" spans="16:27" ht="15" customHeight="1">
      <c r="P972" t="str">
        <f t="shared" si="30"/>
        <v/>
      </c>
      <c r="Q972" t="str">
        <f>IF(P972="","",IFERROR(IF(AND(H972="W7",OR(F972="causal",F972="predictive")),IF(AND(OR(K972=1,K972="1"),OR(L972=1,L972="1"),OR(M972=1,M972="1")),"adequate","partial"),IF(AND(H972="W4",F972="predictive",OR(J972="P2",J972="P3",J972="P4")),IF(OR(U972=1,U972="1"),"adequate","partial"),INDEX(Fit_Matrix!$B:$B,MATCH(P972,Fit_Matrix!$A:$A,0)))),"CHECK KEY"))</f>
        <v/>
      </c>
      <c r="U972" s="10"/>
      <c r="V972" s="10"/>
      <c r="W972" s="10"/>
      <c r="X972" s="10"/>
      <c r="Y972" s="10"/>
      <c r="Z972" s="10"/>
      <c r="AA972" s="11" t="str">
        <f t="shared" si="31"/>
        <v/>
      </c>
    </row>
    <row r="973" spans="16:27" ht="15" customHeight="1">
      <c r="P973" t="str">
        <f t="shared" si="30"/>
        <v/>
      </c>
      <c r="Q973" t="str">
        <f>IF(P973="","",IFERROR(IF(AND(H973="W7",OR(F973="causal",F973="predictive")),IF(AND(OR(K973=1,K973="1"),OR(L973=1,L973="1"),OR(M973=1,M973="1")),"adequate","partial"),IF(AND(H973="W4",F973="predictive",OR(J973="P2",J973="P3",J973="P4")),IF(OR(U973=1,U973="1"),"adequate","partial"),INDEX(Fit_Matrix!$B:$B,MATCH(P973,Fit_Matrix!$A:$A,0)))),"CHECK KEY"))</f>
        <v/>
      </c>
      <c r="U973" s="10"/>
      <c r="V973" s="10"/>
      <c r="W973" s="10"/>
      <c r="X973" s="10"/>
      <c r="Y973" s="10"/>
      <c r="Z973" s="10"/>
      <c r="AA973" s="11" t="str">
        <f t="shared" si="31"/>
        <v/>
      </c>
    </row>
    <row r="974" spans="16:27" ht="15" customHeight="1">
      <c r="P974" t="str">
        <f t="shared" si="30"/>
        <v/>
      </c>
      <c r="Q974" t="str">
        <f>IF(P974="","",IFERROR(IF(AND(H974="W7",OR(F974="causal",F974="predictive")),IF(AND(OR(K974=1,K974="1"),OR(L974=1,L974="1"),OR(M974=1,M974="1")),"adequate","partial"),IF(AND(H974="W4",F974="predictive",OR(J974="P2",J974="P3",J974="P4")),IF(OR(U974=1,U974="1"),"adequate","partial"),INDEX(Fit_Matrix!$B:$B,MATCH(P974,Fit_Matrix!$A:$A,0)))),"CHECK KEY"))</f>
        <v/>
      </c>
      <c r="U974" s="10"/>
      <c r="V974" s="10"/>
      <c r="W974" s="10"/>
      <c r="X974" s="10"/>
      <c r="Y974" s="10"/>
      <c r="Z974" s="10"/>
      <c r="AA974" s="11" t="str">
        <f t="shared" si="31"/>
        <v/>
      </c>
    </row>
    <row r="975" spans="16:27" ht="15" customHeight="1">
      <c r="P975" t="str">
        <f t="shared" si="30"/>
        <v/>
      </c>
      <c r="Q975" t="str">
        <f>IF(P975="","",IFERROR(IF(AND(H975="W7",OR(F975="causal",F975="predictive")),IF(AND(OR(K975=1,K975="1"),OR(L975=1,L975="1"),OR(M975=1,M975="1")),"adequate","partial"),IF(AND(H975="W4",F975="predictive",OR(J975="P2",J975="P3",J975="P4")),IF(OR(U975=1,U975="1"),"adequate","partial"),INDEX(Fit_Matrix!$B:$B,MATCH(P975,Fit_Matrix!$A:$A,0)))),"CHECK KEY"))</f>
        <v/>
      </c>
      <c r="U975" s="10"/>
      <c r="V975" s="10"/>
      <c r="W975" s="10"/>
      <c r="X975" s="10"/>
      <c r="Y975" s="10"/>
      <c r="Z975" s="10"/>
      <c r="AA975" s="11" t="str">
        <f t="shared" si="31"/>
        <v/>
      </c>
    </row>
    <row r="976" spans="16:27" ht="15" customHeight="1">
      <c r="P976" t="str">
        <f t="shared" si="30"/>
        <v/>
      </c>
      <c r="Q976" t="str">
        <f>IF(P976="","",IFERROR(IF(AND(H976="W7",OR(F976="causal",F976="predictive")),IF(AND(OR(K976=1,K976="1"),OR(L976=1,L976="1"),OR(M976=1,M976="1")),"adequate","partial"),IF(AND(H976="W4",F976="predictive",OR(J976="P2",J976="P3",J976="P4")),IF(OR(U976=1,U976="1"),"adequate","partial"),INDEX(Fit_Matrix!$B:$B,MATCH(P976,Fit_Matrix!$A:$A,0)))),"CHECK KEY"))</f>
        <v/>
      </c>
      <c r="U976" s="10"/>
      <c r="V976" s="10"/>
      <c r="W976" s="10"/>
      <c r="X976" s="10"/>
      <c r="Y976" s="10"/>
      <c r="Z976" s="10"/>
      <c r="AA976" s="11" t="str">
        <f t="shared" si="31"/>
        <v/>
      </c>
    </row>
    <row r="977" spans="16:27" ht="15" customHeight="1">
      <c r="P977" t="str">
        <f t="shared" si="30"/>
        <v/>
      </c>
      <c r="Q977" t="str">
        <f>IF(P977="","",IFERROR(IF(AND(H977="W7",OR(F977="causal",F977="predictive")),IF(AND(OR(K977=1,K977="1"),OR(L977=1,L977="1"),OR(M977=1,M977="1")),"adequate","partial"),IF(AND(H977="W4",F977="predictive",OR(J977="P2",J977="P3",J977="P4")),IF(OR(U977=1,U977="1"),"adequate","partial"),INDEX(Fit_Matrix!$B:$B,MATCH(P977,Fit_Matrix!$A:$A,0)))),"CHECK KEY"))</f>
        <v/>
      </c>
      <c r="U977" s="10"/>
      <c r="V977" s="10"/>
      <c r="W977" s="10"/>
      <c r="X977" s="10"/>
      <c r="Y977" s="10"/>
      <c r="Z977" s="10"/>
      <c r="AA977" s="11" t="str">
        <f t="shared" si="31"/>
        <v/>
      </c>
    </row>
    <row r="978" spans="16:27" ht="15" customHeight="1">
      <c r="P978" t="str">
        <f t="shared" si="30"/>
        <v/>
      </c>
      <c r="Q978" t="str">
        <f>IF(P978="","",IFERROR(IF(AND(H978="W7",OR(F978="causal",F978="predictive")),IF(AND(OR(K978=1,K978="1"),OR(L978=1,L978="1"),OR(M978=1,M978="1")),"adequate","partial"),IF(AND(H978="W4",F978="predictive",OR(J978="P2",J978="P3",J978="P4")),IF(OR(U978=1,U978="1"),"adequate","partial"),INDEX(Fit_Matrix!$B:$B,MATCH(P978,Fit_Matrix!$A:$A,0)))),"CHECK KEY"))</f>
        <v/>
      </c>
      <c r="U978" s="10"/>
      <c r="V978" s="10"/>
      <c r="W978" s="10"/>
      <c r="X978" s="10"/>
      <c r="Y978" s="10"/>
      <c r="Z978" s="10"/>
      <c r="AA978" s="11" t="str">
        <f t="shared" si="31"/>
        <v/>
      </c>
    </row>
    <row r="979" spans="16:27" ht="15" customHeight="1">
      <c r="P979" t="str">
        <f t="shared" si="30"/>
        <v/>
      </c>
      <c r="Q979" t="str">
        <f>IF(P979="","",IFERROR(IF(AND(H979="W7",OR(F979="causal",F979="predictive")),IF(AND(OR(K979=1,K979="1"),OR(L979=1,L979="1"),OR(M979=1,M979="1")),"adequate","partial"),IF(AND(H979="W4",F979="predictive",OR(J979="P2",J979="P3",J979="P4")),IF(OR(U979=1,U979="1"),"adequate","partial"),INDEX(Fit_Matrix!$B:$B,MATCH(P979,Fit_Matrix!$A:$A,0)))),"CHECK KEY"))</f>
        <v/>
      </c>
      <c r="U979" s="10"/>
      <c r="V979" s="10"/>
      <c r="W979" s="10"/>
      <c r="X979" s="10"/>
      <c r="Y979" s="10"/>
      <c r="Z979" s="10"/>
      <c r="AA979" s="11" t="str">
        <f t="shared" si="31"/>
        <v/>
      </c>
    </row>
    <row r="980" spans="16:27" ht="15" customHeight="1">
      <c r="P980" t="str">
        <f t="shared" si="30"/>
        <v/>
      </c>
      <c r="Q980" t="str">
        <f>IF(P980="","",IFERROR(IF(AND(H980="W7",OR(F980="causal",F980="predictive")),IF(AND(OR(K980=1,K980="1"),OR(L980=1,L980="1"),OR(M980=1,M980="1")),"adequate","partial"),IF(AND(H980="W4",F980="predictive",OR(J980="P2",J980="P3",J980="P4")),IF(OR(U980=1,U980="1"),"adequate","partial"),INDEX(Fit_Matrix!$B:$B,MATCH(P980,Fit_Matrix!$A:$A,0)))),"CHECK KEY"))</f>
        <v/>
      </c>
      <c r="U980" s="10"/>
      <c r="V980" s="10"/>
      <c r="W980" s="10"/>
      <c r="X980" s="10"/>
      <c r="Y980" s="10"/>
      <c r="Z980" s="10"/>
      <c r="AA980" s="11" t="str">
        <f t="shared" si="31"/>
        <v/>
      </c>
    </row>
    <row r="981" spans="16:27" ht="15" customHeight="1">
      <c r="P981" t="str">
        <f t="shared" si="30"/>
        <v/>
      </c>
      <c r="Q981" t="str">
        <f>IF(P981="","",IFERROR(IF(AND(H981="W7",OR(F981="causal",F981="predictive")),IF(AND(OR(K981=1,K981="1"),OR(L981=1,L981="1"),OR(M981=1,M981="1")),"adequate","partial"),IF(AND(H981="W4",F981="predictive",OR(J981="P2",J981="P3",J981="P4")),IF(OR(U981=1,U981="1"),"adequate","partial"),INDEX(Fit_Matrix!$B:$B,MATCH(P981,Fit_Matrix!$A:$A,0)))),"CHECK KEY"))</f>
        <v/>
      </c>
      <c r="U981" s="10"/>
      <c r="V981" s="10"/>
      <c r="W981" s="10"/>
      <c r="X981" s="10"/>
      <c r="Y981" s="10"/>
      <c r="Z981" s="10"/>
      <c r="AA981" s="11" t="str">
        <f t="shared" si="31"/>
        <v/>
      </c>
    </row>
    <row r="982" spans="16:27" ht="15" customHeight="1">
      <c r="P982" t="str">
        <f t="shared" si="30"/>
        <v/>
      </c>
      <c r="Q982" t="str">
        <f>IF(P982="","",IFERROR(IF(AND(H982="W7",OR(F982="causal",F982="predictive")),IF(AND(OR(K982=1,K982="1"),OR(L982=1,L982="1"),OR(M982=1,M982="1")),"adequate","partial"),IF(AND(H982="W4",F982="predictive",OR(J982="P2",J982="P3",J982="P4")),IF(OR(U982=1,U982="1"),"adequate","partial"),INDEX(Fit_Matrix!$B:$B,MATCH(P982,Fit_Matrix!$A:$A,0)))),"CHECK KEY"))</f>
        <v/>
      </c>
      <c r="U982" s="10"/>
      <c r="V982" s="10"/>
      <c r="W982" s="10"/>
      <c r="X982" s="10"/>
      <c r="Y982" s="10"/>
      <c r="Z982" s="10"/>
      <c r="AA982" s="11" t="str">
        <f t="shared" si="31"/>
        <v/>
      </c>
    </row>
    <row r="983" spans="16:27" ht="15" customHeight="1">
      <c r="P983" t="str">
        <f t="shared" si="30"/>
        <v/>
      </c>
      <c r="Q983" t="str">
        <f>IF(P983="","",IFERROR(IF(AND(H983="W7",OR(F983="causal",F983="predictive")),IF(AND(OR(K983=1,K983="1"),OR(L983=1,L983="1"),OR(M983=1,M983="1")),"adequate","partial"),IF(AND(H983="W4",F983="predictive",OR(J983="P2",J983="P3",J983="P4")),IF(OR(U983=1,U983="1"),"adequate","partial"),INDEX(Fit_Matrix!$B:$B,MATCH(P983,Fit_Matrix!$A:$A,0)))),"CHECK KEY"))</f>
        <v/>
      </c>
      <c r="U983" s="10"/>
      <c r="V983" s="10"/>
      <c r="W983" s="10"/>
      <c r="X983" s="10"/>
      <c r="Y983" s="10"/>
      <c r="Z983" s="10"/>
      <c r="AA983" s="11" t="str">
        <f t="shared" si="31"/>
        <v/>
      </c>
    </row>
    <row r="984" spans="16:27" ht="15" customHeight="1">
      <c r="P984" t="str">
        <f t="shared" si="30"/>
        <v/>
      </c>
      <c r="Q984" t="str">
        <f>IF(P984="","",IFERROR(IF(AND(H984="W7",OR(F984="causal",F984="predictive")),IF(AND(OR(K984=1,K984="1"),OR(L984=1,L984="1"),OR(M984=1,M984="1")),"adequate","partial"),IF(AND(H984="W4",F984="predictive",OR(J984="P2",J984="P3",J984="P4")),IF(OR(U984=1,U984="1"),"adequate","partial"),INDEX(Fit_Matrix!$B:$B,MATCH(P984,Fit_Matrix!$A:$A,0)))),"CHECK KEY"))</f>
        <v/>
      </c>
      <c r="U984" s="10"/>
      <c r="V984" s="10"/>
      <c r="W984" s="10"/>
      <c r="X984" s="10"/>
      <c r="Y984" s="10"/>
      <c r="Z984" s="10"/>
      <c r="AA984" s="11" t="str">
        <f t="shared" si="31"/>
        <v/>
      </c>
    </row>
    <row r="985" spans="16:27" ht="15" customHeight="1">
      <c r="P985" t="str">
        <f t="shared" si="30"/>
        <v/>
      </c>
      <c r="Q985" t="str">
        <f>IF(P985="","",IFERROR(IF(AND(H985="W7",OR(F985="causal",F985="predictive")),IF(AND(OR(K985=1,K985="1"),OR(L985=1,L985="1"),OR(M985=1,M985="1")),"adequate","partial"),IF(AND(H985="W4",F985="predictive",OR(J985="P2",J985="P3",J985="P4")),IF(OR(U985=1,U985="1"),"adequate","partial"),INDEX(Fit_Matrix!$B:$B,MATCH(P985,Fit_Matrix!$A:$A,0)))),"CHECK KEY"))</f>
        <v/>
      </c>
      <c r="U985" s="10"/>
      <c r="V985" s="10"/>
      <c r="W985" s="10"/>
      <c r="X985" s="10"/>
      <c r="Y985" s="10"/>
      <c r="Z985" s="10"/>
      <c r="AA985" s="11" t="str">
        <f t="shared" si="31"/>
        <v/>
      </c>
    </row>
    <row r="986" spans="16:27" ht="15" customHeight="1">
      <c r="P986" t="str">
        <f t="shared" si="30"/>
        <v/>
      </c>
      <c r="Q986" t="str">
        <f>IF(P986="","",IFERROR(IF(AND(H986="W7",OR(F986="causal",F986="predictive")),IF(AND(OR(K986=1,K986="1"),OR(L986=1,L986="1"),OR(M986=1,M986="1")),"adequate","partial"),IF(AND(H986="W4",F986="predictive",OR(J986="P2",J986="P3",J986="P4")),IF(OR(U986=1,U986="1"),"adequate","partial"),INDEX(Fit_Matrix!$B:$B,MATCH(P986,Fit_Matrix!$A:$A,0)))),"CHECK KEY"))</f>
        <v/>
      </c>
      <c r="U986" s="10"/>
      <c r="V986" s="10"/>
      <c r="W986" s="10"/>
      <c r="X986" s="10"/>
      <c r="Y986" s="10"/>
      <c r="Z986" s="10"/>
      <c r="AA986" s="11" t="str">
        <f t="shared" si="31"/>
        <v/>
      </c>
    </row>
    <row r="987" spans="16:27" ht="15" customHeight="1">
      <c r="P987" t="str">
        <f t="shared" si="30"/>
        <v/>
      </c>
      <c r="Q987" t="str">
        <f>IF(P987="","",IFERROR(IF(AND(H987="W7",OR(F987="causal",F987="predictive")),IF(AND(OR(K987=1,K987="1"),OR(L987=1,L987="1"),OR(M987=1,M987="1")),"adequate","partial"),IF(AND(H987="W4",F987="predictive",OR(J987="P2",J987="P3",J987="P4")),IF(OR(U987=1,U987="1"),"adequate","partial"),INDEX(Fit_Matrix!$B:$B,MATCH(P987,Fit_Matrix!$A:$A,0)))),"CHECK KEY"))</f>
        <v/>
      </c>
      <c r="U987" s="10"/>
      <c r="V987" s="10"/>
      <c r="W987" s="10"/>
      <c r="X987" s="10"/>
      <c r="Y987" s="10"/>
      <c r="Z987" s="10"/>
      <c r="AA987" s="11" t="str">
        <f t="shared" si="31"/>
        <v/>
      </c>
    </row>
    <row r="988" spans="16:27" ht="15" customHeight="1">
      <c r="P988" t="str">
        <f t="shared" si="30"/>
        <v/>
      </c>
      <c r="Q988" t="str">
        <f>IF(P988="","",IFERROR(IF(AND(H988="W7",OR(F988="causal",F988="predictive")),IF(AND(OR(K988=1,K988="1"),OR(L988=1,L988="1"),OR(M988=1,M988="1")),"adequate","partial"),IF(AND(H988="W4",F988="predictive",OR(J988="P2",J988="P3",J988="P4")),IF(OR(U988=1,U988="1"),"adequate","partial"),INDEX(Fit_Matrix!$B:$B,MATCH(P988,Fit_Matrix!$A:$A,0)))),"CHECK KEY"))</f>
        <v/>
      </c>
      <c r="U988" s="10"/>
      <c r="V988" s="10"/>
      <c r="W988" s="10"/>
      <c r="X988" s="10"/>
      <c r="Y988" s="10"/>
      <c r="Z988" s="10"/>
      <c r="AA988" s="11" t="str">
        <f t="shared" si="31"/>
        <v/>
      </c>
    </row>
    <row r="989" spans="16:27" ht="15" customHeight="1">
      <c r="P989" t="str">
        <f t="shared" si="30"/>
        <v/>
      </c>
      <c r="Q989" t="str">
        <f>IF(P989="","",IFERROR(IF(AND(H989="W7",OR(F989="causal",F989="predictive")),IF(AND(OR(K989=1,K989="1"),OR(L989=1,L989="1"),OR(M989=1,M989="1")),"adequate","partial"),IF(AND(H989="W4",F989="predictive",OR(J989="P2",J989="P3",J989="P4")),IF(OR(U989=1,U989="1"),"adequate","partial"),INDEX(Fit_Matrix!$B:$B,MATCH(P989,Fit_Matrix!$A:$A,0)))),"CHECK KEY"))</f>
        <v/>
      </c>
      <c r="U989" s="10"/>
      <c r="V989" s="10"/>
      <c r="W989" s="10"/>
      <c r="X989" s="10"/>
      <c r="Y989" s="10"/>
      <c r="Z989" s="10"/>
      <c r="AA989" s="11" t="str">
        <f t="shared" si="31"/>
        <v/>
      </c>
    </row>
    <row r="990" spans="16:27" ht="15" customHeight="1">
      <c r="P990" t="str">
        <f t="shared" si="30"/>
        <v/>
      </c>
      <c r="Q990" t="str">
        <f>IF(P990="","",IFERROR(IF(AND(H990="W7",OR(F990="causal",F990="predictive")),IF(AND(OR(K990=1,K990="1"),OR(L990=1,L990="1"),OR(M990=1,M990="1")),"adequate","partial"),IF(AND(H990="W4",F990="predictive",OR(J990="P2",J990="P3",J990="P4")),IF(OR(U990=1,U990="1"),"adequate","partial"),INDEX(Fit_Matrix!$B:$B,MATCH(P990,Fit_Matrix!$A:$A,0)))),"CHECK KEY"))</f>
        <v/>
      </c>
      <c r="U990" s="10"/>
      <c r="V990" s="10"/>
      <c r="W990" s="10"/>
      <c r="X990" s="10"/>
      <c r="Y990" s="10"/>
      <c r="Z990" s="10"/>
      <c r="AA990" s="11" t="str">
        <f t="shared" si="31"/>
        <v/>
      </c>
    </row>
    <row r="991" spans="16:27" ht="15" customHeight="1">
      <c r="P991" t="str">
        <f t="shared" si="30"/>
        <v/>
      </c>
      <c r="Q991" t="str">
        <f>IF(P991="","",IFERROR(IF(AND(H991="W7",OR(F991="causal",F991="predictive")),IF(AND(OR(K991=1,K991="1"),OR(L991=1,L991="1"),OR(M991=1,M991="1")),"adequate","partial"),IF(AND(H991="W4",F991="predictive",OR(J991="P2",J991="P3",J991="P4")),IF(OR(U991=1,U991="1"),"adequate","partial"),INDEX(Fit_Matrix!$B:$B,MATCH(P991,Fit_Matrix!$A:$A,0)))),"CHECK KEY"))</f>
        <v/>
      </c>
      <c r="U991" s="10"/>
      <c r="V991" s="10"/>
      <c r="W991" s="10"/>
      <c r="X991" s="10"/>
      <c r="Y991" s="10"/>
      <c r="Z991" s="10"/>
      <c r="AA991" s="11" t="str">
        <f t="shared" si="31"/>
        <v/>
      </c>
    </row>
    <row r="992" spans="16:27" ht="15" customHeight="1">
      <c r="P992" t="str">
        <f t="shared" si="30"/>
        <v/>
      </c>
      <c r="Q992" t="str">
        <f>IF(P992="","",IFERROR(IF(AND(H992="W7",OR(F992="causal",F992="predictive")),IF(AND(OR(K992=1,K992="1"),OR(L992=1,L992="1"),OR(M992=1,M992="1")),"adequate","partial"),IF(AND(H992="W4",F992="predictive",OR(J992="P2",J992="P3",J992="P4")),IF(OR(U992=1,U992="1"),"adequate","partial"),INDEX(Fit_Matrix!$B:$B,MATCH(P992,Fit_Matrix!$A:$A,0)))),"CHECK KEY"))</f>
        <v/>
      </c>
      <c r="U992" s="10"/>
      <c r="V992" s="10"/>
      <c r="W992" s="10"/>
      <c r="X992" s="10"/>
      <c r="Y992" s="10"/>
      <c r="Z992" s="10"/>
      <c r="AA992" s="11" t="str">
        <f t="shared" si="31"/>
        <v/>
      </c>
    </row>
    <row r="993" spans="16:27" ht="15" customHeight="1">
      <c r="P993" t="str">
        <f t="shared" si="30"/>
        <v/>
      </c>
      <c r="Q993" t="str">
        <f>IF(P993="","",IFERROR(IF(AND(H993="W7",OR(F993="causal",F993="predictive")),IF(AND(OR(K993=1,K993="1"),OR(L993=1,L993="1"),OR(M993=1,M993="1")),"adequate","partial"),IF(AND(H993="W4",F993="predictive",OR(J993="P2",J993="P3",J993="P4")),IF(OR(U993=1,U993="1"),"adequate","partial"),INDEX(Fit_Matrix!$B:$B,MATCH(P993,Fit_Matrix!$A:$A,0)))),"CHECK KEY"))</f>
        <v/>
      </c>
      <c r="U993" s="10"/>
      <c r="V993" s="10"/>
      <c r="W993" s="10"/>
      <c r="X993" s="10"/>
      <c r="Y993" s="10"/>
      <c r="Z993" s="10"/>
      <c r="AA993" s="11" t="str">
        <f t="shared" si="31"/>
        <v/>
      </c>
    </row>
    <row r="994" spans="16:27" ht="15" customHeight="1">
      <c r="P994" t="str">
        <f t="shared" si="30"/>
        <v/>
      </c>
      <c r="Q994" t="str">
        <f>IF(P994="","",IFERROR(IF(AND(H994="W7",OR(F994="causal",F994="predictive")),IF(AND(OR(K994=1,K994="1"),OR(L994=1,L994="1"),OR(M994=1,M994="1")),"adequate","partial"),IF(AND(H994="W4",F994="predictive",OR(J994="P2",J994="P3",J994="P4")),IF(OR(U994=1,U994="1"),"adequate","partial"),INDEX(Fit_Matrix!$B:$B,MATCH(P994,Fit_Matrix!$A:$A,0)))),"CHECK KEY"))</f>
        <v/>
      </c>
      <c r="U994" s="10"/>
      <c r="V994" s="10"/>
      <c r="W994" s="10"/>
      <c r="X994" s="10"/>
      <c r="Y994" s="10"/>
      <c r="Z994" s="10"/>
      <c r="AA994" s="11" t="str">
        <f t="shared" si="31"/>
        <v/>
      </c>
    </row>
    <row r="995" spans="16:27" ht="15" customHeight="1">
      <c r="P995" t="str">
        <f t="shared" si="30"/>
        <v/>
      </c>
      <c r="Q995" t="str">
        <f>IF(P995="","",IFERROR(IF(AND(H995="W7",OR(F995="causal",F995="predictive")),IF(AND(OR(K995=1,K995="1"),OR(L995=1,L995="1"),OR(M995=1,M995="1")),"adequate","partial"),IF(AND(H995="W4",F995="predictive",OR(J995="P2",J995="P3",J995="P4")),IF(OR(U995=1,U995="1"),"adequate","partial"),INDEX(Fit_Matrix!$B:$B,MATCH(P995,Fit_Matrix!$A:$A,0)))),"CHECK KEY"))</f>
        <v/>
      </c>
      <c r="U995" s="10"/>
      <c r="V995" s="10"/>
      <c r="W995" s="10"/>
      <c r="X995" s="10"/>
      <c r="Y995" s="10"/>
      <c r="Z995" s="10"/>
      <c r="AA995" s="11" t="str">
        <f t="shared" si="31"/>
        <v/>
      </c>
    </row>
    <row r="996" spans="16:27" ht="15" customHeight="1">
      <c r="P996" t="str">
        <f t="shared" si="30"/>
        <v/>
      </c>
      <c r="Q996" t="str">
        <f>IF(P996="","",IFERROR(IF(AND(H996="W7",OR(F996="causal",F996="predictive")),IF(AND(OR(K996=1,K996="1"),OR(L996=1,L996="1"),OR(M996=1,M996="1")),"adequate","partial"),IF(AND(H996="W4",F996="predictive",OR(J996="P2",J996="P3",J996="P4")),IF(OR(U996=1,U996="1"),"adequate","partial"),INDEX(Fit_Matrix!$B:$B,MATCH(P996,Fit_Matrix!$A:$A,0)))),"CHECK KEY"))</f>
        <v/>
      </c>
      <c r="U996" s="10"/>
      <c r="V996" s="10"/>
      <c r="W996" s="10"/>
      <c r="X996" s="10"/>
      <c r="Y996" s="10"/>
      <c r="Z996" s="10"/>
      <c r="AA996" s="11" t="str">
        <f t="shared" si="31"/>
        <v/>
      </c>
    </row>
    <row r="997" spans="16:27" ht="15" customHeight="1">
      <c r="P997" t="str">
        <f t="shared" si="30"/>
        <v/>
      </c>
      <c r="Q997" t="str">
        <f>IF(P997="","",IFERROR(IF(AND(H997="W7",OR(F997="causal",F997="predictive")),IF(AND(OR(K997=1,K997="1"),OR(L997=1,L997="1"),OR(M997=1,M997="1")),"adequate","partial"),IF(AND(H997="W4",F997="predictive",OR(J997="P2",J997="P3",J997="P4")),IF(OR(U997=1,U997="1"),"adequate","partial"),INDEX(Fit_Matrix!$B:$B,MATCH(P997,Fit_Matrix!$A:$A,0)))),"CHECK KEY"))</f>
        <v/>
      </c>
      <c r="U997" s="10"/>
      <c r="V997" s="10"/>
      <c r="W997" s="10"/>
      <c r="X997" s="10"/>
      <c r="Y997" s="10"/>
      <c r="Z997" s="10"/>
      <c r="AA997" s="11" t="str">
        <f t="shared" si="31"/>
        <v/>
      </c>
    </row>
    <row r="998" spans="16:27" ht="15" customHeight="1">
      <c r="P998" t="str">
        <f t="shared" si="30"/>
        <v/>
      </c>
      <c r="Q998" t="str">
        <f>IF(P998="","",IFERROR(IF(AND(H998="W7",OR(F998="causal",F998="predictive")),IF(AND(OR(K998=1,K998="1"),OR(L998=1,L998="1"),OR(M998=1,M998="1")),"adequate","partial"),IF(AND(H998="W4",F998="predictive",OR(J998="P2",J998="P3",J998="P4")),IF(OR(U998=1,U998="1"),"adequate","partial"),INDEX(Fit_Matrix!$B:$B,MATCH(P998,Fit_Matrix!$A:$A,0)))),"CHECK KEY"))</f>
        <v/>
      </c>
      <c r="U998" s="10"/>
      <c r="V998" s="10"/>
      <c r="W998" s="10"/>
      <c r="X998" s="10"/>
      <c r="Y998" s="10"/>
      <c r="Z998" s="10"/>
      <c r="AA998" s="11" t="str">
        <f t="shared" si="31"/>
        <v/>
      </c>
    </row>
    <row r="999" spans="16:27" ht="15" customHeight="1">
      <c r="P999" t="str">
        <f t="shared" si="30"/>
        <v/>
      </c>
      <c r="Q999" t="str">
        <f>IF(P999="","",IFERROR(IF(AND(H999="W7",OR(F999="causal",F999="predictive")),IF(AND(OR(K999=1,K999="1"),OR(L999=1,L999="1"),OR(M999=1,M999="1")),"adequate","partial"),IF(AND(H999="W4",F999="predictive",OR(J999="P2",J999="P3",J999="P4")),IF(OR(U999=1,U999="1"),"adequate","partial"),INDEX(Fit_Matrix!$B:$B,MATCH(P999,Fit_Matrix!$A:$A,0)))),"CHECK KEY"))</f>
        <v/>
      </c>
      <c r="U999" s="10"/>
      <c r="V999" s="10"/>
      <c r="W999" s="10"/>
      <c r="X999" s="10"/>
      <c r="Y999" s="10"/>
      <c r="Z999" s="10"/>
      <c r="AA999" s="11" t="str">
        <f t="shared" si="31"/>
        <v/>
      </c>
    </row>
    <row r="1000" spans="16:27" ht="15" customHeight="1">
      <c r="P1000" t="str">
        <f t="shared" si="30"/>
        <v/>
      </c>
      <c r="Q1000" t="str">
        <f>IF(P1000="","",IFERROR(IF(AND(H1000="W7",OR(F1000="causal",F1000="predictive")),IF(AND(OR(K1000=1,K1000="1"),OR(L1000=1,L1000="1"),OR(M1000=1,M1000="1")),"adequate","partial"),IF(AND(H1000="W4",F1000="predictive",OR(J1000="P2",J1000="P3",J1000="P4")),IF(OR(U1000=1,U1000="1"),"adequate","partial"),INDEX(Fit_Matrix!$B:$B,MATCH(P1000,Fit_Matrix!$A:$A,0)))),"CHECK KEY"))</f>
        <v/>
      </c>
      <c r="U1000" s="10"/>
      <c r="V1000" s="10"/>
      <c r="W1000" s="10"/>
      <c r="X1000" s="10"/>
      <c r="Y1000" s="10"/>
      <c r="Z1000" s="10"/>
      <c r="AA1000" s="11" t="str">
        <f t="shared" si="31"/>
        <v/>
      </c>
    </row>
    <row r="1001" spans="16:27" ht="15" customHeight="1">
      <c r="P1001" t="str">
        <f t="shared" si="30"/>
        <v/>
      </c>
      <c r="Q1001" t="str">
        <f>IF(P1001="","",IFERROR(IF(AND(H1001="W7",OR(F1001="causal",F1001="predictive")),IF(AND(OR(K1001=1,K1001="1"),OR(L1001=1,L1001="1"),OR(M1001=1,M1001="1")),"adequate","partial"),IF(AND(H1001="W4",F1001="predictive",OR(J1001="P2",J1001="P3",J1001="P4")),IF(OR(U1001=1,U1001="1"),"adequate","partial"),INDEX(Fit_Matrix!$B:$B,MATCH(P1001,Fit_Matrix!$A:$A,0)))),"CHECK KEY"))</f>
        <v/>
      </c>
      <c r="U1001" s="10"/>
      <c r="V1001" s="10"/>
      <c r="W1001" s="10"/>
      <c r="X1001" s="10"/>
      <c r="Y1001" s="10"/>
      <c r="Z1001" s="10"/>
      <c r="AA1001" s="11" t="str">
        <f t="shared" si="31"/>
        <v/>
      </c>
    </row>
    <row r="1002" spans="16:27" ht="15" customHeight="1">
      <c r="P1002" t="str">
        <f t="shared" si="30"/>
        <v/>
      </c>
      <c r="Q1002" t="str">
        <f>IF(P1002="","",IFERROR(IF(AND(H1002="W7",OR(F1002="causal",F1002="predictive")),IF(AND(OR(K1002=1,K1002="1"),OR(L1002=1,L1002="1"),OR(M1002=1,M1002="1")),"adequate","partial"),IF(AND(H1002="W4",F1002="predictive",OR(J1002="P2",J1002="P3",J1002="P4")),IF(OR(U1002=1,U1002="1"),"adequate","partial"),INDEX(Fit_Matrix!$B:$B,MATCH(P1002,Fit_Matrix!$A:$A,0)))),"CHECK KEY"))</f>
        <v/>
      </c>
      <c r="U1002" s="10"/>
      <c r="V1002" s="10"/>
      <c r="W1002" s="10"/>
      <c r="X1002" s="10"/>
      <c r="Y1002" s="10"/>
      <c r="Z1002" s="10"/>
      <c r="AA1002" s="11" t="str">
        <f t="shared" si="31"/>
        <v/>
      </c>
    </row>
    <row r="1003" spans="16:27" ht="15" customHeight="1">
      <c r="P1003" t="str">
        <f t="shared" si="30"/>
        <v/>
      </c>
      <c r="Q1003" t="str">
        <f>IF(P1003="","",IFERROR(IF(AND(H1003="W7",OR(F1003="causal",F1003="predictive")),IF(AND(OR(K1003=1,K1003="1"),OR(L1003=1,L1003="1"),OR(M1003=1,M1003="1")),"adequate","partial"),IF(AND(H1003="W4",F1003="predictive",OR(J1003="P2",J1003="P3",J1003="P4")),IF(OR(U1003=1,U1003="1"),"adequate","partial"),INDEX(Fit_Matrix!$B:$B,MATCH(P1003,Fit_Matrix!$A:$A,0)))),"CHECK KEY"))</f>
        <v/>
      </c>
      <c r="U1003" s="10"/>
      <c r="V1003" s="10"/>
      <c r="W1003" s="10"/>
      <c r="X1003" s="10"/>
      <c r="Y1003" s="10"/>
      <c r="Z1003" s="10"/>
      <c r="AA1003" s="11" t="str">
        <f t="shared" si="31"/>
        <v/>
      </c>
    </row>
    <row r="1004" spans="16:27" ht="15" customHeight="1">
      <c r="P1004" t="str">
        <f t="shared" si="30"/>
        <v/>
      </c>
      <c r="Q1004" t="str">
        <f>IF(P1004="","",IFERROR(IF(AND(H1004="W7",OR(F1004="causal",F1004="predictive")),IF(AND(OR(K1004=1,K1004="1"),OR(L1004=1,L1004="1"),OR(M1004=1,M1004="1")),"adequate","partial"),IF(AND(H1004="W4",F1004="predictive",OR(J1004="P2",J1004="P3",J1004="P4")),IF(OR(U1004=1,U1004="1"),"adequate","partial"),INDEX(Fit_Matrix!$B:$B,MATCH(P1004,Fit_Matrix!$A:$A,0)))),"CHECK KEY"))</f>
        <v/>
      </c>
      <c r="U1004" s="10"/>
      <c r="V1004" s="10"/>
      <c r="W1004" s="10"/>
      <c r="X1004" s="10"/>
      <c r="Y1004" s="10"/>
      <c r="Z1004" s="10"/>
      <c r="AA1004" s="11" t="str">
        <f t="shared" si="31"/>
        <v/>
      </c>
    </row>
    <row r="1005" spans="16:27" ht="15" customHeight="1">
      <c r="P1005" t="str">
        <f t="shared" si="30"/>
        <v/>
      </c>
      <c r="Q1005" t="str">
        <f>IF(P1005="","",IFERROR(IF(AND(H1005="W7",OR(F1005="causal",F1005="predictive")),IF(AND(OR(K1005=1,K1005="1"),OR(L1005=1,L1005="1"),OR(M1005=1,M1005="1")),"adequate","partial"),IF(AND(H1005="W4",F1005="predictive",OR(J1005="P2",J1005="P3",J1005="P4")),IF(OR(U1005=1,U1005="1"),"adequate","partial"),INDEX(Fit_Matrix!$B:$B,MATCH(P1005,Fit_Matrix!$A:$A,0)))),"CHECK KEY"))</f>
        <v/>
      </c>
      <c r="U1005" s="10"/>
      <c r="V1005" s="10"/>
      <c r="W1005" s="10"/>
      <c r="X1005" s="10"/>
      <c r="Y1005" s="10"/>
      <c r="Z1005" s="10"/>
      <c r="AA1005" s="11" t="str">
        <f t="shared" si="31"/>
        <v/>
      </c>
    </row>
    <row r="1006" spans="16:27" ht="15" customHeight="1">
      <c r="P1006" t="str">
        <f t="shared" si="30"/>
        <v/>
      </c>
      <c r="Q1006" t="str">
        <f>IF(P1006="","",IFERROR(IF(AND(H1006="W7",OR(F1006="causal",F1006="predictive")),IF(AND(OR(K1006=1,K1006="1"),OR(L1006=1,L1006="1"),OR(M1006=1,M1006="1")),"adequate","partial"),IF(AND(H1006="W4",F1006="predictive",OR(J1006="P2",J1006="P3",J1006="P4")),IF(OR(U1006=1,U1006="1"),"adequate","partial"),INDEX(Fit_Matrix!$B:$B,MATCH(P1006,Fit_Matrix!$A:$A,0)))),"CHECK KEY"))</f>
        <v/>
      </c>
      <c r="U1006" s="10"/>
      <c r="V1006" s="10"/>
      <c r="W1006" s="10"/>
      <c r="X1006" s="10"/>
      <c r="Y1006" s="10"/>
      <c r="Z1006" s="10"/>
      <c r="AA1006" s="11" t="str">
        <f t="shared" si="31"/>
        <v/>
      </c>
    </row>
    <row r="1007" spans="16:27" ht="15" customHeight="1">
      <c r="P1007" t="str">
        <f t="shared" si="30"/>
        <v/>
      </c>
      <c r="Q1007" t="str">
        <f>IF(P1007="","",IFERROR(IF(AND(H1007="W7",OR(F1007="causal",F1007="predictive")),IF(AND(OR(K1007=1,K1007="1"),OR(L1007=1,L1007="1"),OR(M1007=1,M1007="1")),"adequate","partial"),IF(AND(H1007="W4",F1007="predictive",OR(J1007="P2",J1007="P3",J1007="P4")),IF(OR(U1007=1,U1007="1"),"adequate","partial"),INDEX(Fit_Matrix!$B:$B,MATCH(P1007,Fit_Matrix!$A:$A,0)))),"CHECK KEY"))</f>
        <v/>
      </c>
      <c r="U1007" s="10"/>
      <c r="V1007" s="10"/>
      <c r="W1007" s="10"/>
      <c r="X1007" s="10"/>
      <c r="Y1007" s="10"/>
      <c r="Z1007" s="10"/>
      <c r="AA1007" s="11" t="str">
        <f t="shared" si="31"/>
        <v/>
      </c>
    </row>
    <row r="1008" spans="16:27" ht="15" customHeight="1">
      <c r="P1008" t="str">
        <f t="shared" si="30"/>
        <v/>
      </c>
      <c r="Q1008" t="str">
        <f>IF(P1008="","",IFERROR(IF(AND(H1008="W7",OR(F1008="causal",F1008="predictive")),IF(AND(OR(K1008=1,K1008="1"),OR(L1008=1,L1008="1"),OR(M1008=1,M1008="1")),"adequate","partial"),IF(AND(H1008="W4",F1008="predictive",OR(J1008="P2",J1008="P3",J1008="P4")),IF(OR(U1008=1,U1008="1"),"adequate","partial"),INDEX(Fit_Matrix!$B:$B,MATCH(P1008,Fit_Matrix!$A:$A,0)))),"CHECK KEY"))</f>
        <v/>
      </c>
      <c r="U1008" s="10"/>
      <c r="V1008" s="10"/>
      <c r="W1008" s="10"/>
      <c r="X1008" s="10"/>
      <c r="Y1008" s="10"/>
      <c r="Z1008" s="10"/>
      <c r="AA1008" s="11" t="str">
        <f t="shared" si="31"/>
        <v/>
      </c>
    </row>
    <row r="1009" spans="16:27" ht="15" customHeight="1">
      <c r="P1009" t="str">
        <f t="shared" si="30"/>
        <v/>
      </c>
      <c r="Q1009" t="str">
        <f>IF(P1009="","",IFERROR(IF(AND(H1009="W7",OR(F1009="causal",F1009="predictive")),IF(AND(OR(K1009=1,K1009="1"),OR(L1009=1,L1009="1"),OR(M1009=1,M1009="1")),"adequate","partial"),IF(AND(H1009="W4",F1009="predictive",OR(J1009="P2",J1009="P3",J1009="P4")),IF(OR(U1009=1,U1009="1"),"adequate","partial"),INDEX(Fit_Matrix!$B:$B,MATCH(P1009,Fit_Matrix!$A:$A,0)))),"CHECK KEY"))</f>
        <v/>
      </c>
      <c r="U1009" s="10"/>
      <c r="V1009" s="10"/>
      <c r="W1009" s="10"/>
      <c r="X1009" s="10"/>
      <c r="Y1009" s="10"/>
      <c r="Z1009" s="10"/>
      <c r="AA1009" s="11" t="str">
        <f t="shared" si="31"/>
        <v/>
      </c>
    </row>
    <row r="1010" spans="16:27" ht="15" customHeight="1">
      <c r="P1010" t="str">
        <f t="shared" si="30"/>
        <v/>
      </c>
      <c r="Q1010" t="str">
        <f>IF(P1010="","",IFERROR(IF(AND(H1010="W7",OR(F1010="causal",F1010="predictive")),IF(AND(OR(K1010=1,K1010="1"),OR(L1010=1,L1010="1"),OR(M1010=1,M1010="1")),"adequate","partial"),IF(AND(H1010="W4",F1010="predictive",OR(J1010="P2",J1010="P3",J1010="P4")),IF(OR(U1010=1,U1010="1"),"adequate","partial"),INDEX(Fit_Matrix!$B:$B,MATCH(P1010,Fit_Matrix!$A:$A,0)))),"CHECK KEY"))</f>
        <v/>
      </c>
      <c r="U1010" s="10"/>
      <c r="V1010" s="10"/>
      <c r="W1010" s="10"/>
      <c r="X1010" s="10"/>
      <c r="Y1010" s="10"/>
      <c r="Z1010" s="10"/>
      <c r="AA1010" s="11" t="str">
        <f t="shared" si="31"/>
        <v/>
      </c>
    </row>
    <row r="1011" spans="16:27" ht="15" customHeight="1">
      <c r="P1011" t="str">
        <f t="shared" si="30"/>
        <v/>
      </c>
      <c r="Q1011" t="str">
        <f>IF(P1011="","",IFERROR(IF(AND(H1011="W7",OR(F1011="causal",F1011="predictive")),IF(AND(OR(K1011=1,K1011="1"),OR(L1011=1,L1011="1"),OR(M1011=1,M1011="1")),"adequate","partial"),IF(AND(H1011="W4",F1011="predictive",OR(J1011="P2",J1011="P3",J1011="P4")),IF(OR(U1011=1,U1011="1"),"adequate","partial"),INDEX(Fit_Matrix!$B:$B,MATCH(P1011,Fit_Matrix!$A:$A,0)))),"CHECK KEY"))</f>
        <v/>
      </c>
      <c r="U1011" s="10"/>
      <c r="V1011" s="10"/>
      <c r="W1011" s="10"/>
      <c r="X1011" s="10"/>
      <c r="Y1011" s="10"/>
      <c r="Z1011" s="10"/>
      <c r="AA1011" s="11" t="str">
        <f t="shared" si="31"/>
        <v/>
      </c>
    </row>
    <row r="1012" spans="16:27" ht="15" customHeight="1">
      <c r="P1012" t="str">
        <f t="shared" si="30"/>
        <v/>
      </c>
      <c r="Q1012" t="str">
        <f>IF(P1012="","",IFERROR(IF(AND(H1012="W7",OR(F1012="causal",F1012="predictive")),IF(AND(OR(K1012=1,K1012="1"),OR(L1012=1,L1012="1"),OR(M1012=1,M1012="1")),"adequate","partial"),IF(AND(H1012="W4",F1012="predictive",OR(J1012="P2",J1012="P3",J1012="P4")),IF(OR(U1012=1,U1012="1"),"adequate","partial"),INDEX(Fit_Matrix!$B:$B,MATCH(P1012,Fit_Matrix!$A:$A,0)))),"CHECK KEY"))</f>
        <v/>
      </c>
      <c r="U1012" s="10"/>
      <c r="V1012" s="10"/>
      <c r="W1012" s="10"/>
      <c r="X1012" s="10"/>
      <c r="Y1012" s="10"/>
      <c r="Z1012" s="10"/>
      <c r="AA1012" s="11" t="str">
        <f t="shared" si="31"/>
        <v/>
      </c>
    </row>
    <row r="1013" spans="16:27" ht="15" customHeight="1">
      <c r="P1013" t="str">
        <f t="shared" si="30"/>
        <v/>
      </c>
      <c r="Q1013" t="str">
        <f>IF(P1013="","",IFERROR(IF(AND(H1013="W7",OR(F1013="causal",F1013="predictive")),IF(AND(OR(K1013=1,K1013="1"),OR(L1013=1,L1013="1"),OR(M1013=1,M1013="1")),"adequate","partial"),IF(AND(H1013="W4",F1013="predictive",OR(J1013="P2",J1013="P3",J1013="P4")),IF(OR(U1013=1,U1013="1"),"adequate","partial"),INDEX(Fit_Matrix!$B:$B,MATCH(P1013,Fit_Matrix!$A:$A,0)))),"CHECK KEY"))</f>
        <v/>
      </c>
      <c r="U1013" s="10"/>
      <c r="V1013" s="10"/>
      <c r="W1013" s="10"/>
      <c r="X1013" s="10"/>
      <c r="Y1013" s="10"/>
      <c r="Z1013" s="10"/>
      <c r="AA1013" s="11" t="str">
        <f t="shared" si="31"/>
        <v/>
      </c>
    </row>
    <row r="1014" spans="16:27" ht="15" customHeight="1">
      <c r="P1014" t="str">
        <f t="shared" si="30"/>
        <v/>
      </c>
      <c r="Q1014" t="str">
        <f>IF(P1014="","",IFERROR(IF(AND(H1014="W7",OR(F1014="causal",F1014="predictive")),IF(AND(OR(K1014=1,K1014="1"),OR(L1014=1,L1014="1"),OR(M1014=1,M1014="1")),"adequate","partial"),IF(AND(H1014="W4",F1014="predictive",OR(J1014="P2",J1014="P3",J1014="P4")),IF(OR(U1014=1,U1014="1"),"adequate","partial"),INDEX(Fit_Matrix!$B:$B,MATCH(P1014,Fit_Matrix!$A:$A,0)))),"CHECK KEY"))</f>
        <v/>
      </c>
      <c r="U1014" s="10"/>
      <c r="V1014" s="10"/>
      <c r="W1014" s="10"/>
      <c r="X1014" s="10"/>
      <c r="Y1014" s="10"/>
      <c r="Z1014" s="10"/>
      <c r="AA1014" s="11" t="str">
        <f t="shared" si="31"/>
        <v/>
      </c>
    </row>
    <row r="1015" spans="16:27" ht="15" customHeight="1">
      <c r="P1015" t="str">
        <f t="shared" si="30"/>
        <v/>
      </c>
      <c r="Q1015" t="str">
        <f>IF(P1015="","",IFERROR(IF(AND(H1015="W7",OR(F1015="causal",F1015="predictive")),IF(AND(OR(K1015=1,K1015="1"),OR(L1015=1,L1015="1"),OR(M1015=1,M1015="1")),"adequate","partial"),IF(AND(H1015="W4",F1015="predictive",OR(J1015="P2",J1015="P3",J1015="P4")),IF(OR(U1015=1,U1015="1"),"adequate","partial"),INDEX(Fit_Matrix!$B:$B,MATCH(P1015,Fit_Matrix!$A:$A,0)))),"CHECK KEY"))</f>
        <v/>
      </c>
      <c r="U1015" s="10"/>
      <c r="V1015" s="10"/>
      <c r="W1015" s="10"/>
      <c r="X1015" s="10"/>
      <c r="Y1015" s="10"/>
      <c r="Z1015" s="10"/>
      <c r="AA1015" s="11" t="str">
        <f t="shared" si="31"/>
        <v/>
      </c>
    </row>
    <row r="1016" spans="16:27" ht="15" customHeight="1">
      <c r="P1016" t="str">
        <f t="shared" si="30"/>
        <v/>
      </c>
      <c r="Q1016" t="str">
        <f>IF(P1016="","",IFERROR(IF(AND(H1016="W7",OR(F1016="causal",F1016="predictive")),IF(AND(OR(K1016=1,K1016="1"),OR(L1016=1,L1016="1"),OR(M1016=1,M1016="1")),"adequate","partial"),IF(AND(H1016="W4",F1016="predictive",OR(J1016="P2",J1016="P3",J1016="P4")),IF(OR(U1016=1,U1016="1"),"adequate","partial"),INDEX(Fit_Matrix!$B:$B,MATCH(P1016,Fit_Matrix!$A:$A,0)))),"CHECK KEY"))</f>
        <v/>
      </c>
      <c r="U1016" s="10"/>
      <c r="V1016" s="10"/>
      <c r="W1016" s="10"/>
      <c r="X1016" s="10"/>
      <c r="Y1016" s="10"/>
      <c r="Z1016" s="10"/>
      <c r="AA1016" s="11" t="str">
        <f t="shared" si="31"/>
        <v/>
      </c>
    </row>
    <row r="1017" spans="16:27" ht="15" customHeight="1">
      <c r="P1017" t="str">
        <f t="shared" si="30"/>
        <v/>
      </c>
      <c r="Q1017" t="str">
        <f>IF(P1017="","",IFERROR(IF(AND(H1017="W7",OR(F1017="causal",F1017="predictive")),IF(AND(OR(K1017=1,K1017="1"),OR(L1017=1,L1017="1"),OR(M1017=1,M1017="1")),"adequate","partial"),IF(AND(H1017="W4",F1017="predictive",OR(J1017="P2",J1017="P3",J1017="P4")),IF(OR(U1017=1,U1017="1"),"adequate","partial"),INDEX(Fit_Matrix!$B:$B,MATCH(P1017,Fit_Matrix!$A:$A,0)))),"CHECK KEY"))</f>
        <v/>
      </c>
      <c r="U1017" s="10"/>
      <c r="V1017" s="10"/>
      <c r="W1017" s="10"/>
      <c r="X1017" s="10"/>
      <c r="Y1017" s="10"/>
      <c r="Z1017" s="10"/>
      <c r="AA1017" s="11" t="str">
        <f t="shared" si="31"/>
        <v/>
      </c>
    </row>
    <row r="1018" spans="16:27" ht="15" customHeight="1">
      <c r="P1018" t="str">
        <f t="shared" si="30"/>
        <v/>
      </c>
      <c r="Q1018" t="str">
        <f>IF(P1018="","",IFERROR(IF(AND(H1018="W7",OR(F1018="causal",F1018="predictive")),IF(AND(OR(K1018=1,K1018="1"),OR(L1018=1,L1018="1"),OR(M1018=1,M1018="1")),"adequate","partial"),IF(AND(H1018="W4",F1018="predictive",OR(J1018="P2",J1018="P3",J1018="P4")),IF(OR(U1018=1,U1018="1"),"adequate","partial"),INDEX(Fit_Matrix!$B:$B,MATCH(P1018,Fit_Matrix!$A:$A,0)))),"CHECK KEY"))</f>
        <v/>
      </c>
      <c r="U1018" s="10"/>
      <c r="V1018" s="10"/>
      <c r="W1018" s="10"/>
      <c r="X1018" s="10"/>
      <c r="Y1018" s="10"/>
      <c r="Z1018" s="10"/>
      <c r="AA1018" s="11" t="str">
        <f t="shared" si="31"/>
        <v/>
      </c>
    </row>
    <row r="1019" spans="16:27" ht="15" customHeight="1">
      <c r="P1019" t="str">
        <f t="shared" si="30"/>
        <v/>
      </c>
      <c r="Q1019" t="str">
        <f>IF(P1019="","",IFERROR(IF(AND(H1019="W7",OR(F1019="causal",F1019="predictive")),IF(AND(OR(K1019=1,K1019="1"),OR(L1019=1,L1019="1"),OR(M1019=1,M1019="1")),"adequate","partial"),IF(AND(H1019="W4",F1019="predictive",OR(J1019="P2",J1019="P3",J1019="P4")),IF(OR(U1019=1,U1019="1"),"adequate","partial"),INDEX(Fit_Matrix!$B:$B,MATCH(P1019,Fit_Matrix!$A:$A,0)))),"CHECK KEY"))</f>
        <v/>
      </c>
      <c r="U1019" s="10"/>
      <c r="V1019" s="10"/>
      <c r="W1019" s="10"/>
      <c r="X1019" s="10"/>
      <c r="Y1019" s="10"/>
      <c r="Z1019" s="10"/>
      <c r="AA1019" s="11" t="str">
        <f t="shared" si="31"/>
        <v/>
      </c>
    </row>
    <row r="1020" spans="16:27" ht="15" customHeight="1">
      <c r="P1020" t="str">
        <f t="shared" si="30"/>
        <v/>
      </c>
      <c r="Q1020" t="str">
        <f>IF(P1020="","",IFERROR(IF(AND(H1020="W7",OR(F1020="causal",F1020="predictive")),IF(AND(OR(K1020=1,K1020="1"),OR(L1020=1,L1020="1"),OR(M1020=1,M1020="1")),"adequate","partial"),IF(AND(H1020="W4",F1020="predictive",OR(J1020="P2",J1020="P3",J1020="P4")),IF(OR(U1020=1,U1020="1"),"adequate","partial"),INDEX(Fit_Matrix!$B:$B,MATCH(P1020,Fit_Matrix!$A:$A,0)))),"CHECK KEY"))</f>
        <v/>
      </c>
      <c r="U1020" s="10"/>
      <c r="V1020" s="10"/>
      <c r="W1020" s="10"/>
      <c r="X1020" s="10"/>
      <c r="Y1020" s="10"/>
      <c r="Z1020" s="10"/>
      <c r="AA1020" s="11" t="str">
        <f t="shared" si="31"/>
        <v/>
      </c>
    </row>
    <row r="1021" spans="16:27" ht="15" customHeight="1">
      <c r="P1021" t="str">
        <f t="shared" si="30"/>
        <v/>
      </c>
      <c r="Q1021" t="str">
        <f>IF(P1021="","",IFERROR(IF(AND(H1021="W7",OR(F1021="causal",F1021="predictive")),IF(AND(OR(K1021=1,K1021="1"),OR(L1021=1,L1021="1"),OR(M1021=1,M1021="1")),"adequate","partial"),IF(AND(H1021="W4",F1021="predictive",OR(J1021="P2",J1021="P3",J1021="P4")),IF(OR(U1021=1,U1021="1"),"adequate","partial"),INDEX(Fit_Matrix!$B:$B,MATCH(P1021,Fit_Matrix!$A:$A,0)))),"CHECK KEY"))</f>
        <v/>
      </c>
      <c r="U1021" s="10"/>
      <c r="V1021" s="10"/>
      <c r="W1021" s="10"/>
      <c r="X1021" s="10"/>
      <c r="Y1021" s="10"/>
      <c r="Z1021" s="10"/>
      <c r="AA1021" s="11" t="str">
        <f t="shared" si="31"/>
        <v/>
      </c>
    </row>
    <row r="1022" spans="16:27" ht="15" customHeight="1">
      <c r="P1022" t="str">
        <f t="shared" si="30"/>
        <v/>
      </c>
      <c r="Q1022" t="str">
        <f>IF(P1022="","",IFERROR(IF(AND(H1022="W7",OR(F1022="causal",F1022="predictive")),IF(AND(OR(K1022=1,K1022="1"),OR(L1022=1,L1022="1"),OR(M1022=1,M1022="1")),"adequate","partial"),IF(AND(H1022="W4",F1022="predictive",OR(J1022="P2",J1022="P3",J1022="P4")),IF(OR(U1022=1,U1022="1"),"adequate","partial"),INDEX(Fit_Matrix!$B:$B,MATCH(P1022,Fit_Matrix!$A:$A,0)))),"CHECK KEY"))</f>
        <v/>
      </c>
      <c r="U1022" s="10"/>
      <c r="V1022" s="10"/>
      <c r="W1022" s="10"/>
      <c r="X1022" s="10"/>
      <c r="Y1022" s="10"/>
      <c r="Z1022" s="10"/>
      <c r="AA1022" s="11" t="str">
        <f t="shared" si="31"/>
        <v/>
      </c>
    </row>
    <row r="1023" spans="16:27" ht="15" customHeight="1">
      <c r="P1023" t="str">
        <f t="shared" si="30"/>
        <v/>
      </c>
      <c r="Q1023" t="str">
        <f>IF(P1023="","",IFERROR(IF(AND(H1023="W7",OR(F1023="causal",F1023="predictive")),IF(AND(OR(K1023=1,K1023="1"),OR(L1023=1,L1023="1"),OR(M1023=1,M1023="1")),"adequate","partial"),IF(AND(H1023="W4",F1023="predictive",OR(J1023="P2",J1023="P3",J1023="P4")),IF(OR(U1023=1,U1023="1"),"adequate","partial"),INDEX(Fit_Matrix!$B:$B,MATCH(P1023,Fit_Matrix!$A:$A,0)))),"CHECK KEY"))</f>
        <v/>
      </c>
      <c r="U1023" s="10"/>
      <c r="V1023" s="10"/>
      <c r="W1023" s="10"/>
      <c r="X1023" s="10"/>
      <c r="Y1023" s="10"/>
      <c r="Z1023" s="10"/>
      <c r="AA1023" s="11" t="str">
        <f t="shared" si="31"/>
        <v/>
      </c>
    </row>
    <row r="1024" spans="16:27" ht="15" customHeight="1">
      <c r="P1024" t="str">
        <f t="shared" si="30"/>
        <v/>
      </c>
      <c r="Q1024" t="str">
        <f>IF(P1024="","",IFERROR(IF(AND(H1024="W7",OR(F1024="causal",F1024="predictive")),IF(AND(OR(K1024=1,K1024="1"),OR(L1024=1,L1024="1"),OR(M1024=1,M1024="1")),"adequate","partial"),IF(AND(H1024="W4",F1024="predictive",OR(J1024="P2",J1024="P3",J1024="P4")),IF(OR(U1024=1,U1024="1"),"adequate","partial"),INDEX(Fit_Matrix!$B:$B,MATCH(P1024,Fit_Matrix!$A:$A,0)))),"CHECK KEY"))</f>
        <v/>
      </c>
      <c r="U1024" s="10"/>
      <c r="V1024" s="10"/>
      <c r="W1024" s="10"/>
      <c r="X1024" s="10"/>
      <c r="Y1024" s="10"/>
      <c r="Z1024" s="10"/>
      <c r="AA1024" s="11" t="str">
        <f t="shared" si="31"/>
        <v/>
      </c>
    </row>
    <row r="1025" spans="16:27" ht="15" customHeight="1">
      <c r="P1025" t="str">
        <f t="shared" si="30"/>
        <v/>
      </c>
      <c r="Q1025" t="str">
        <f>IF(P1025="","",IFERROR(IF(AND(H1025="W7",OR(F1025="causal",F1025="predictive")),IF(AND(OR(K1025=1,K1025="1"),OR(L1025=1,L1025="1"),OR(M1025=1,M1025="1")),"adequate","partial"),IF(AND(H1025="W4",F1025="predictive",OR(J1025="P2",J1025="P3",J1025="P4")),IF(OR(U1025=1,U1025="1"),"adequate","partial"),INDEX(Fit_Matrix!$B:$B,MATCH(P1025,Fit_Matrix!$A:$A,0)))),"CHECK KEY"))</f>
        <v/>
      </c>
      <c r="U1025" s="10"/>
      <c r="V1025" s="10"/>
      <c r="W1025" s="10"/>
      <c r="X1025" s="10"/>
      <c r="Y1025" s="10"/>
      <c r="Z1025" s="10"/>
      <c r="AA1025" s="11" t="str">
        <f t="shared" si="31"/>
        <v/>
      </c>
    </row>
    <row r="1026" spans="16:27" ht="15" customHeight="1">
      <c r="P1026" t="str">
        <f t="shared" ref="P1026:P1089" si="32">IF(OR(F1026="",H1026="",J1026=""),"",J1026&amp;"|"&amp;F1026&amp;"|"&amp;IF(H1026="W3","W3_"&amp;IF(I1026="","unknown",I1026),H1026))</f>
        <v/>
      </c>
      <c r="Q1026" t="str">
        <f>IF(P1026="","",IFERROR(IF(AND(H1026="W7",OR(F1026="causal",F1026="predictive")),IF(AND(OR(K1026=1,K1026="1"),OR(L1026=1,L1026="1"),OR(M1026=1,M1026="1")),"adequate","partial"),IF(AND(H1026="W4",F1026="predictive",OR(J1026="P2",J1026="P3",J1026="P4")),IF(OR(U1026=1,U1026="1"),"adequate","partial"),INDEX(Fit_Matrix!$B:$B,MATCH(P1026,Fit_Matrix!$A:$A,0)))),"CHECK KEY"))</f>
        <v/>
      </c>
      <c r="U1026" s="10"/>
      <c r="V1026" s="10"/>
      <c r="W1026" s="10"/>
      <c r="X1026" s="10"/>
      <c r="Y1026" s="10"/>
      <c r="Z1026" s="10"/>
      <c r="AA1026" s="11" t="str">
        <f t="shared" ref="AA1026:AA1089" si="33">IF(A1026="","",IF(AND(J1026="P4",F1026="causal"),"P4-CAUSAL",""))</f>
        <v/>
      </c>
    </row>
    <row r="1027" spans="16:27" ht="15" customHeight="1">
      <c r="P1027" t="str">
        <f t="shared" si="32"/>
        <v/>
      </c>
      <c r="Q1027" t="str">
        <f>IF(P1027="","",IFERROR(IF(AND(H1027="W7",OR(F1027="causal",F1027="predictive")),IF(AND(OR(K1027=1,K1027="1"),OR(L1027=1,L1027="1"),OR(M1027=1,M1027="1")),"adequate","partial"),IF(AND(H1027="W4",F1027="predictive",OR(J1027="P2",J1027="P3",J1027="P4")),IF(OR(U1027=1,U1027="1"),"adequate","partial"),INDEX(Fit_Matrix!$B:$B,MATCH(P1027,Fit_Matrix!$A:$A,0)))),"CHECK KEY"))</f>
        <v/>
      </c>
      <c r="U1027" s="10"/>
      <c r="V1027" s="10"/>
      <c r="W1027" s="10"/>
      <c r="X1027" s="10"/>
      <c r="Y1027" s="10"/>
      <c r="Z1027" s="10"/>
      <c r="AA1027" s="11" t="str">
        <f t="shared" si="33"/>
        <v/>
      </c>
    </row>
    <row r="1028" spans="16:27" ht="15" customHeight="1">
      <c r="P1028" t="str">
        <f t="shared" si="32"/>
        <v/>
      </c>
      <c r="Q1028" t="str">
        <f>IF(P1028="","",IFERROR(IF(AND(H1028="W7",OR(F1028="causal",F1028="predictive")),IF(AND(OR(K1028=1,K1028="1"),OR(L1028=1,L1028="1"),OR(M1028=1,M1028="1")),"adequate","partial"),IF(AND(H1028="W4",F1028="predictive",OR(J1028="P2",J1028="P3",J1028="P4")),IF(OR(U1028=1,U1028="1"),"adequate","partial"),INDEX(Fit_Matrix!$B:$B,MATCH(P1028,Fit_Matrix!$A:$A,0)))),"CHECK KEY"))</f>
        <v/>
      </c>
      <c r="U1028" s="10"/>
      <c r="V1028" s="10"/>
      <c r="W1028" s="10"/>
      <c r="X1028" s="10"/>
      <c r="Y1028" s="10"/>
      <c r="Z1028" s="10"/>
      <c r="AA1028" s="11" t="str">
        <f t="shared" si="33"/>
        <v/>
      </c>
    </row>
    <row r="1029" spans="16:27" ht="15" customHeight="1">
      <c r="P1029" t="str">
        <f t="shared" si="32"/>
        <v/>
      </c>
      <c r="Q1029" t="str">
        <f>IF(P1029="","",IFERROR(IF(AND(H1029="W7",OR(F1029="causal",F1029="predictive")),IF(AND(OR(K1029=1,K1029="1"),OR(L1029=1,L1029="1"),OR(M1029=1,M1029="1")),"adequate","partial"),IF(AND(H1029="W4",F1029="predictive",OR(J1029="P2",J1029="P3",J1029="P4")),IF(OR(U1029=1,U1029="1"),"adequate","partial"),INDEX(Fit_Matrix!$B:$B,MATCH(P1029,Fit_Matrix!$A:$A,0)))),"CHECK KEY"))</f>
        <v/>
      </c>
      <c r="U1029" s="10"/>
      <c r="V1029" s="10"/>
      <c r="W1029" s="10"/>
      <c r="X1029" s="10"/>
      <c r="Y1029" s="10"/>
      <c r="Z1029" s="10"/>
      <c r="AA1029" s="11" t="str">
        <f t="shared" si="33"/>
        <v/>
      </c>
    </row>
    <row r="1030" spans="16:27" ht="15" customHeight="1">
      <c r="P1030" t="str">
        <f t="shared" si="32"/>
        <v/>
      </c>
      <c r="Q1030" t="str">
        <f>IF(P1030="","",IFERROR(IF(AND(H1030="W7",OR(F1030="causal",F1030="predictive")),IF(AND(OR(K1030=1,K1030="1"),OR(L1030=1,L1030="1"),OR(M1030=1,M1030="1")),"adequate","partial"),IF(AND(H1030="W4",F1030="predictive",OR(J1030="P2",J1030="P3",J1030="P4")),IF(OR(U1030=1,U1030="1"),"adequate","partial"),INDEX(Fit_Matrix!$B:$B,MATCH(P1030,Fit_Matrix!$A:$A,0)))),"CHECK KEY"))</f>
        <v/>
      </c>
      <c r="U1030" s="10"/>
      <c r="V1030" s="10"/>
      <c r="W1030" s="10"/>
      <c r="X1030" s="10"/>
      <c r="Y1030" s="10"/>
      <c r="Z1030" s="10"/>
      <c r="AA1030" s="11" t="str">
        <f t="shared" si="33"/>
        <v/>
      </c>
    </row>
    <row r="1031" spans="16:27" ht="15" customHeight="1">
      <c r="P1031" t="str">
        <f t="shared" si="32"/>
        <v/>
      </c>
      <c r="Q1031" t="str">
        <f>IF(P1031="","",IFERROR(IF(AND(H1031="W7",OR(F1031="causal",F1031="predictive")),IF(AND(OR(K1031=1,K1031="1"),OR(L1031=1,L1031="1"),OR(M1031=1,M1031="1")),"adequate","partial"),IF(AND(H1031="W4",F1031="predictive",OR(J1031="P2",J1031="P3",J1031="P4")),IF(OR(U1031=1,U1031="1"),"adequate","partial"),INDEX(Fit_Matrix!$B:$B,MATCH(P1031,Fit_Matrix!$A:$A,0)))),"CHECK KEY"))</f>
        <v/>
      </c>
      <c r="U1031" s="10"/>
      <c r="V1031" s="10"/>
      <c r="W1031" s="10"/>
      <c r="X1031" s="10"/>
      <c r="Y1031" s="10"/>
      <c r="Z1031" s="10"/>
      <c r="AA1031" s="11" t="str">
        <f t="shared" si="33"/>
        <v/>
      </c>
    </row>
    <row r="1032" spans="16:27" ht="15" customHeight="1">
      <c r="P1032" t="str">
        <f t="shared" si="32"/>
        <v/>
      </c>
      <c r="Q1032" t="str">
        <f>IF(P1032="","",IFERROR(IF(AND(H1032="W7",OR(F1032="causal",F1032="predictive")),IF(AND(OR(K1032=1,K1032="1"),OR(L1032=1,L1032="1"),OR(M1032=1,M1032="1")),"adequate","partial"),IF(AND(H1032="W4",F1032="predictive",OR(J1032="P2",J1032="P3",J1032="P4")),IF(OR(U1032=1,U1032="1"),"adequate","partial"),INDEX(Fit_Matrix!$B:$B,MATCH(P1032,Fit_Matrix!$A:$A,0)))),"CHECK KEY"))</f>
        <v/>
      </c>
      <c r="U1032" s="10"/>
      <c r="V1032" s="10"/>
      <c r="W1032" s="10"/>
      <c r="X1032" s="10"/>
      <c r="Y1032" s="10"/>
      <c r="Z1032" s="10"/>
      <c r="AA1032" s="11" t="str">
        <f t="shared" si="33"/>
        <v/>
      </c>
    </row>
    <row r="1033" spans="16:27" ht="15" customHeight="1">
      <c r="P1033" t="str">
        <f t="shared" si="32"/>
        <v/>
      </c>
      <c r="Q1033" t="str">
        <f>IF(P1033="","",IFERROR(IF(AND(H1033="W7",OR(F1033="causal",F1033="predictive")),IF(AND(OR(K1033=1,K1033="1"),OR(L1033=1,L1033="1"),OR(M1033=1,M1033="1")),"adequate","partial"),IF(AND(H1033="W4",F1033="predictive",OR(J1033="P2",J1033="P3",J1033="P4")),IF(OR(U1033=1,U1033="1"),"adequate","partial"),INDEX(Fit_Matrix!$B:$B,MATCH(P1033,Fit_Matrix!$A:$A,0)))),"CHECK KEY"))</f>
        <v/>
      </c>
      <c r="U1033" s="10"/>
      <c r="V1033" s="10"/>
      <c r="W1033" s="10"/>
      <c r="X1033" s="10"/>
      <c r="Y1033" s="10"/>
      <c r="Z1033" s="10"/>
      <c r="AA1033" s="11" t="str">
        <f t="shared" si="33"/>
        <v/>
      </c>
    </row>
    <row r="1034" spans="16:27" ht="15" customHeight="1">
      <c r="P1034" t="str">
        <f t="shared" si="32"/>
        <v/>
      </c>
      <c r="Q1034" t="str">
        <f>IF(P1034="","",IFERROR(IF(AND(H1034="W7",OR(F1034="causal",F1034="predictive")),IF(AND(OR(K1034=1,K1034="1"),OR(L1034=1,L1034="1"),OR(M1034=1,M1034="1")),"adequate","partial"),IF(AND(H1034="W4",F1034="predictive",OR(J1034="P2",J1034="P3",J1034="P4")),IF(OR(U1034=1,U1034="1"),"adequate","partial"),INDEX(Fit_Matrix!$B:$B,MATCH(P1034,Fit_Matrix!$A:$A,0)))),"CHECK KEY"))</f>
        <v/>
      </c>
      <c r="U1034" s="10"/>
      <c r="V1034" s="10"/>
      <c r="W1034" s="10"/>
      <c r="X1034" s="10"/>
      <c r="Y1034" s="10"/>
      <c r="Z1034" s="10"/>
      <c r="AA1034" s="11" t="str">
        <f t="shared" si="33"/>
        <v/>
      </c>
    </row>
    <row r="1035" spans="16:27" ht="15" customHeight="1">
      <c r="P1035" t="str">
        <f t="shared" si="32"/>
        <v/>
      </c>
      <c r="Q1035" t="str">
        <f>IF(P1035="","",IFERROR(IF(AND(H1035="W7",OR(F1035="causal",F1035="predictive")),IF(AND(OR(K1035=1,K1035="1"),OR(L1035=1,L1035="1"),OR(M1035=1,M1035="1")),"adequate","partial"),IF(AND(H1035="W4",F1035="predictive",OR(J1035="P2",J1035="P3",J1035="P4")),IF(OR(U1035=1,U1035="1"),"adequate","partial"),INDEX(Fit_Matrix!$B:$B,MATCH(P1035,Fit_Matrix!$A:$A,0)))),"CHECK KEY"))</f>
        <v/>
      </c>
      <c r="U1035" s="10"/>
      <c r="V1035" s="10"/>
      <c r="W1035" s="10"/>
      <c r="X1035" s="10"/>
      <c r="Y1035" s="10"/>
      <c r="Z1035" s="10"/>
      <c r="AA1035" s="11" t="str">
        <f t="shared" si="33"/>
        <v/>
      </c>
    </row>
    <row r="1036" spans="16:27" ht="15" customHeight="1">
      <c r="P1036" t="str">
        <f t="shared" si="32"/>
        <v/>
      </c>
      <c r="Q1036" t="str">
        <f>IF(P1036="","",IFERROR(IF(AND(H1036="W7",OR(F1036="causal",F1036="predictive")),IF(AND(OR(K1036=1,K1036="1"),OR(L1036=1,L1036="1"),OR(M1036=1,M1036="1")),"adequate","partial"),IF(AND(H1036="W4",F1036="predictive",OR(J1036="P2",J1036="P3",J1036="P4")),IF(OR(U1036=1,U1036="1"),"adequate","partial"),INDEX(Fit_Matrix!$B:$B,MATCH(P1036,Fit_Matrix!$A:$A,0)))),"CHECK KEY"))</f>
        <v/>
      </c>
      <c r="U1036" s="10"/>
      <c r="V1036" s="10"/>
      <c r="W1036" s="10"/>
      <c r="X1036" s="10"/>
      <c r="Y1036" s="10"/>
      <c r="Z1036" s="10"/>
      <c r="AA1036" s="11" t="str">
        <f t="shared" si="33"/>
        <v/>
      </c>
    </row>
    <row r="1037" spans="16:27" ht="15" customHeight="1">
      <c r="P1037" t="str">
        <f t="shared" si="32"/>
        <v/>
      </c>
      <c r="Q1037" t="str">
        <f>IF(P1037="","",IFERROR(IF(AND(H1037="W7",OR(F1037="causal",F1037="predictive")),IF(AND(OR(K1037=1,K1037="1"),OR(L1037=1,L1037="1"),OR(M1037=1,M1037="1")),"adequate","partial"),IF(AND(H1037="W4",F1037="predictive",OR(J1037="P2",J1037="P3",J1037="P4")),IF(OR(U1037=1,U1037="1"),"adequate","partial"),INDEX(Fit_Matrix!$B:$B,MATCH(P1037,Fit_Matrix!$A:$A,0)))),"CHECK KEY"))</f>
        <v/>
      </c>
      <c r="U1037" s="10"/>
      <c r="V1037" s="10"/>
      <c r="W1037" s="10"/>
      <c r="X1037" s="10"/>
      <c r="Y1037" s="10"/>
      <c r="Z1037" s="10"/>
      <c r="AA1037" s="11" t="str">
        <f t="shared" si="33"/>
        <v/>
      </c>
    </row>
    <row r="1038" spans="16:27" ht="15" customHeight="1">
      <c r="P1038" t="str">
        <f t="shared" si="32"/>
        <v/>
      </c>
      <c r="Q1038" t="str">
        <f>IF(P1038="","",IFERROR(IF(AND(H1038="W7",OR(F1038="causal",F1038="predictive")),IF(AND(OR(K1038=1,K1038="1"),OR(L1038=1,L1038="1"),OR(M1038=1,M1038="1")),"adequate","partial"),IF(AND(H1038="W4",F1038="predictive",OR(J1038="P2",J1038="P3",J1038="P4")),IF(OR(U1038=1,U1038="1"),"adequate","partial"),INDEX(Fit_Matrix!$B:$B,MATCH(P1038,Fit_Matrix!$A:$A,0)))),"CHECK KEY"))</f>
        <v/>
      </c>
      <c r="U1038" s="10"/>
      <c r="V1038" s="10"/>
      <c r="W1038" s="10"/>
      <c r="X1038" s="10"/>
      <c r="Y1038" s="10"/>
      <c r="Z1038" s="10"/>
      <c r="AA1038" s="11" t="str">
        <f t="shared" si="33"/>
        <v/>
      </c>
    </row>
    <row r="1039" spans="16:27" ht="15" customHeight="1">
      <c r="P1039" t="str">
        <f t="shared" si="32"/>
        <v/>
      </c>
      <c r="Q1039" t="str">
        <f>IF(P1039="","",IFERROR(IF(AND(H1039="W7",OR(F1039="causal",F1039="predictive")),IF(AND(OR(K1039=1,K1039="1"),OR(L1039=1,L1039="1"),OR(M1039=1,M1039="1")),"adequate","partial"),IF(AND(H1039="W4",F1039="predictive",OR(J1039="P2",J1039="P3",J1039="P4")),IF(OR(U1039=1,U1039="1"),"adequate","partial"),INDEX(Fit_Matrix!$B:$B,MATCH(P1039,Fit_Matrix!$A:$A,0)))),"CHECK KEY"))</f>
        <v/>
      </c>
      <c r="U1039" s="10"/>
      <c r="V1039" s="10"/>
      <c r="W1039" s="10"/>
      <c r="X1039" s="10"/>
      <c r="Y1039" s="10"/>
      <c r="Z1039" s="10"/>
      <c r="AA1039" s="11" t="str">
        <f t="shared" si="33"/>
        <v/>
      </c>
    </row>
    <row r="1040" spans="16:27" ht="15" customHeight="1">
      <c r="P1040" t="str">
        <f t="shared" si="32"/>
        <v/>
      </c>
      <c r="Q1040" t="str">
        <f>IF(P1040="","",IFERROR(IF(AND(H1040="W7",OR(F1040="causal",F1040="predictive")),IF(AND(OR(K1040=1,K1040="1"),OR(L1040=1,L1040="1"),OR(M1040=1,M1040="1")),"adequate","partial"),IF(AND(H1040="W4",F1040="predictive",OR(J1040="P2",J1040="P3",J1040="P4")),IF(OR(U1040=1,U1040="1"),"adequate","partial"),INDEX(Fit_Matrix!$B:$B,MATCH(P1040,Fit_Matrix!$A:$A,0)))),"CHECK KEY"))</f>
        <v/>
      </c>
      <c r="U1040" s="10"/>
      <c r="V1040" s="10"/>
      <c r="W1040" s="10"/>
      <c r="X1040" s="10"/>
      <c r="Y1040" s="10"/>
      <c r="Z1040" s="10"/>
      <c r="AA1040" s="11" t="str">
        <f t="shared" si="33"/>
        <v/>
      </c>
    </row>
    <row r="1041" spans="16:27" ht="15" customHeight="1">
      <c r="P1041" t="str">
        <f t="shared" si="32"/>
        <v/>
      </c>
      <c r="Q1041" t="str">
        <f>IF(P1041="","",IFERROR(IF(AND(H1041="W7",OR(F1041="causal",F1041="predictive")),IF(AND(OR(K1041=1,K1041="1"),OR(L1041=1,L1041="1"),OR(M1041=1,M1041="1")),"adequate","partial"),IF(AND(H1041="W4",F1041="predictive",OR(J1041="P2",J1041="P3",J1041="P4")),IF(OR(U1041=1,U1041="1"),"adequate","partial"),INDEX(Fit_Matrix!$B:$B,MATCH(P1041,Fit_Matrix!$A:$A,0)))),"CHECK KEY"))</f>
        <v/>
      </c>
      <c r="U1041" s="10"/>
      <c r="V1041" s="10"/>
      <c r="W1041" s="10"/>
      <c r="X1041" s="10"/>
      <c r="Y1041" s="10"/>
      <c r="Z1041" s="10"/>
      <c r="AA1041" s="11" t="str">
        <f t="shared" si="33"/>
        <v/>
      </c>
    </row>
    <row r="1042" spans="16:27" ht="15" customHeight="1">
      <c r="P1042" t="str">
        <f t="shared" si="32"/>
        <v/>
      </c>
      <c r="Q1042" t="str">
        <f>IF(P1042="","",IFERROR(IF(AND(H1042="W7",OR(F1042="causal",F1042="predictive")),IF(AND(OR(K1042=1,K1042="1"),OR(L1042=1,L1042="1"),OR(M1042=1,M1042="1")),"adequate","partial"),IF(AND(H1042="W4",F1042="predictive",OR(J1042="P2",J1042="P3",J1042="P4")),IF(OR(U1042=1,U1042="1"),"adequate","partial"),INDEX(Fit_Matrix!$B:$B,MATCH(P1042,Fit_Matrix!$A:$A,0)))),"CHECK KEY"))</f>
        <v/>
      </c>
      <c r="U1042" s="10"/>
      <c r="V1042" s="10"/>
      <c r="W1042" s="10"/>
      <c r="X1042" s="10"/>
      <c r="Y1042" s="10"/>
      <c r="Z1042" s="10"/>
      <c r="AA1042" s="11" t="str">
        <f t="shared" si="33"/>
        <v/>
      </c>
    </row>
    <row r="1043" spans="16:27" ht="15" customHeight="1">
      <c r="P1043" t="str">
        <f t="shared" si="32"/>
        <v/>
      </c>
      <c r="Q1043" t="str">
        <f>IF(P1043="","",IFERROR(IF(AND(H1043="W7",OR(F1043="causal",F1043="predictive")),IF(AND(OR(K1043=1,K1043="1"),OR(L1043=1,L1043="1"),OR(M1043=1,M1043="1")),"adequate","partial"),IF(AND(H1043="W4",F1043="predictive",OR(J1043="P2",J1043="P3",J1043="P4")),IF(OR(U1043=1,U1043="1"),"adequate","partial"),INDEX(Fit_Matrix!$B:$B,MATCH(P1043,Fit_Matrix!$A:$A,0)))),"CHECK KEY"))</f>
        <v/>
      </c>
      <c r="U1043" s="10"/>
      <c r="V1043" s="10"/>
      <c r="W1043" s="10"/>
      <c r="X1043" s="10"/>
      <c r="Y1043" s="10"/>
      <c r="Z1043" s="10"/>
      <c r="AA1043" s="11" t="str">
        <f t="shared" si="33"/>
        <v/>
      </c>
    </row>
    <row r="1044" spans="16:27" ht="15" customHeight="1">
      <c r="P1044" t="str">
        <f t="shared" si="32"/>
        <v/>
      </c>
      <c r="Q1044" t="str">
        <f>IF(P1044="","",IFERROR(IF(AND(H1044="W7",OR(F1044="causal",F1044="predictive")),IF(AND(OR(K1044=1,K1044="1"),OR(L1044=1,L1044="1"),OR(M1044=1,M1044="1")),"adequate","partial"),IF(AND(H1044="W4",F1044="predictive",OR(J1044="P2",J1044="P3",J1044="P4")),IF(OR(U1044=1,U1044="1"),"adequate","partial"),INDEX(Fit_Matrix!$B:$B,MATCH(P1044,Fit_Matrix!$A:$A,0)))),"CHECK KEY"))</f>
        <v/>
      </c>
      <c r="U1044" s="10"/>
      <c r="V1044" s="10"/>
      <c r="W1044" s="10"/>
      <c r="X1044" s="10"/>
      <c r="Y1044" s="10"/>
      <c r="Z1044" s="10"/>
      <c r="AA1044" s="11" t="str">
        <f t="shared" si="33"/>
        <v/>
      </c>
    </row>
    <row r="1045" spans="16:27" ht="15" customHeight="1">
      <c r="P1045" t="str">
        <f t="shared" si="32"/>
        <v/>
      </c>
      <c r="Q1045" t="str">
        <f>IF(P1045="","",IFERROR(IF(AND(H1045="W7",OR(F1045="causal",F1045="predictive")),IF(AND(OR(K1045=1,K1045="1"),OR(L1045=1,L1045="1"),OR(M1045=1,M1045="1")),"adequate","partial"),IF(AND(H1045="W4",F1045="predictive",OR(J1045="P2",J1045="P3",J1045="P4")),IF(OR(U1045=1,U1045="1"),"adequate","partial"),INDEX(Fit_Matrix!$B:$B,MATCH(P1045,Fit_Matrix!$A:$A,0)))),"CHECK KEY"))</f>
        <v/>
      </c>
      <c r="U1045" s="10"/>
      <c r="V1045" s="10"/>
      <c r="W1045" s="10"/>
      <c r="X1045" s="10"/>
      <c r="Y1045" s="10"/>
      <c r="Z1045" s="10"/>
      <c r="AA1045" s="11" t="str">
        <f t="shared" si="33"/>
        <v/>
      </c>
    </row>
    <row r="1046" spans="16:27" ht="15" customHeight="1">
      <c r="P1046" t="str">
        <f t="shared" si="32"/>
        <v/>
      </c>
      <c r="Q1046" t="str">
        <f>IF(P1046="","",IFERROR(IF(AND(H1046="W7",OR(F1046="causal",F1046="predictive")),IF(AND(OR(K1046=1,K1046="1"),OR(L1046=1,L1046="1"),OR(M1046=1,M1046="1")),"adequate","partial"),IF(AND(H1046="W4",F1046="predictive",OR(J1046="P2",J1046="P3",J1046="P4")),IF(OR(U1046=1,U1046="1"),"adequate","partial"),INDEX(Fit_Matrix!$B:$B,MATCH(P1046,Fit_Matrix!$A:$A,0)))),"CHECK KEY"))</f>
        <v/>
      </c>
      <c r="U1046" s="10"/>
      <c r="V1046" s="10"/>
      <c r="W1046" s="10"/>
      <c r="X1046" s="10"/>
      <c r="Y1046" s="10"/>
      <c r="Z1046" s="10"/>
      <c r="AA1046" s="11" t="str">
        <f t="shared" si="33"/>
        <v/>
      </c>
    </row>
    <row r="1047" spans="16:27" ht="15" customHeight="1">
      <c r="P1047" t="str">
        <f t="shared" si="32"/>
        <v/>
      </c>
      <c r="Q1047" t="str">
        <f>IF(P1047="","",IFERROR(IF(AND(H1047="W7",OR(F1047="causal",F1047="predictive")),IF(AND(OR(K1047=1,K1047="1"),OR(L1047=1,L1047="1"),OR(M1047=1,M1047="1")),"adequate","partial"),IF(AND(H1047="W4",F1047="predictive",OR(J1047="P2",J1047="P3",J1047="P4")),IF(OR(U1047=1,U1047="1"),"adequate","partial"),INDEX(Fit_Matrix!$B:$B,MATCH(P1047,Fit_Matrix!$A:$A,0)))),"CHECK KEY"))</f>
        <v/>
      </c>
      <c r="U1047" s="10"/>
      <c r="V1047" s="10"/>
      <c r="W1047" s="10"/>
      <c r="X1047" s="10"/>
      <c r="Y1047" s="10"/>
      <c r="Z1047" s="10"/>
      <c r="AA1047" s="11" t="str">
        <f t="shared" si="33"/>
        <v/>
      </c>
    </row>
    <row r="1048" spans="16:27" ht="15" customHeight="1">
      <c r="P1048" t="str">
        <f t="shared" si="32"/>
        <v/>
      </c>
      <c r="Q1048" t="str">
        <f>IF(P1048="","",IFERROR(IF(AND(H1048="W7",OR(F1048="causal",F1048="predictive")),IF(AND(OR(K1048=1,K1048="1"),OR(L1048=1,L1048="1"),OR(M1048=1,M1048="1")),"adequate","partial"),IF(AND(H1048="W4",F1048="predictive",OR(J1048="P2",J1048="P3",J1048="P4")),IF(OR(U1048=1,U1048="1"),"adequate","partial"),INDEX(Fit_Matrix!$B:$B,MATCH(P1048,Fit_Matrix!$A:$A,0)))),"CHECK KEY"))</f>
        <v/>
      </c>
      <c r="U1048" s="10"/>
      <c r="V1048" s="10"/>
      <c r="W1048" s="10"/>
      <c r="X1048" s="10"/>
      <c r="Y1048" s="10"/>
      <c r="Z1048" s="10"/>
      <c r="AA1048" s="11" t="str">
        <f t="shared" si="33"/>
        <v/>
      </c>
    </row>
    <row r="1049" spans="16:27" ht="15" customHeight="1">
      <c r="P1049" t="str">
        <f t="shared" si="32"/>
        <v/>
      </c>
      <c r="Q1049" t="str">
        <f>IF(P1049="","",IFERROR(IF(AND(H1049="W7",OR(F1049="causal",F1049="predictive")),IF(AND(OR(K1049=1,K1049="1"),OR(L1049=1,L1049="1"),OR(M1049=1,M1049="1")),"adequate","partial"),IF(AND(H1049="W4",F1049="predictive",OR(J1049="P2",J1049="P3",J1049="P4")),IF(OR(U1049=1,U1049="1"),"adequate","partial"),INDEX(Fit_Matrix!$B:$B,MATCH(P1049,Fit_Matrix!$A:$A,0)))),"CHECK KEY"))</f>
        <v/>
      </c>
      <c r="U1049" s="10"/>
      <c r="V1049" s="10"/>
      <c r="W1049" s="10"/>
      <c r="X1049" s="10"/>
      <c r="Y1049" s="10"/>
      <c r="Z1049" s="10"/>
      <c r="AA1049" s="11" t="str">
        <f t="shared" si="33"/>
        <v/>
      </c>
    </row>
    <row r="1050" spans="16:27" ht="15" customHeight="1">
      <c r="P1050" t="str">
        <f t="shared" si="32"/>
        <v/>
      </c>
      <c r="Q1050" t="str">
        <f>IF(P1050="","",IFERROR(IF(AND(H1050="W7",OR(F1050="causal",F1050="predictive")),IF(AND(OR(K1050=1,K1050="1"),OR(L1050=1,L1050="1"),OR(M1050=1,M1050="1")),"adequate","partial"),IF(AND(H1050="W4",F1050="predictive",OR(J1050="P2",J1050="P3",J1050="P4")),IF(OR(U1050=1,U1050="1"),"adequate","partial"),INDEX(Fit_Matrix!$B:$B,MATCH(P1050,Fit_Matrix!$A:$A,0)))),"CHECK KEY"))</f>
        <v/>
      </c>
      <c r="U1050" s="10"/>
      <c r="V1050" s="10"/>
      <c r="W1050" s="10"/>
      <c r="X1050" s="10"/>
      <c r="Y1050" s="10"/>
      <c r="Z1050" s="10"/>
      <c r="AA1050" s="11" t="str">
        <f t="shared" si="33"/>
        <v/>
      </c>
    </row>
    <row r="1051" spans="16:27" ht="15" customHeight="1">
      <c r="P1051" t="str">
        <f t="shared" si="32"/>
        <v/>
      </c>
      <c r="Q1051" t="str">
        <f>IF(P1051="","",IFERROR(IF(AND(H1051="W7",OR(F1051="causal",F1051="predictive")),IF(AND(OR(K1051=1,K1051="1"),OR(L1051=1,L1051="1"),OR(M1051=1,M1051="1")),"adequate","partial"),IF(AND(H1051="W4",F1051="predictive",OR(J1051="P2",J1051="P3",J1051="P4")),IF(OR(U1051=1,U1051="1"),"adequate","partial"),INDEX(Fit_Matrix!$B:$B,MATCH(P1051,Fit_Matrix!$A:$A,0)))),"CHECK KEY"))</f>
        <v/>
      </c>
      <c r="U1051" s="10"/>
      <c r="V1051" s="10"/>
      <c r="W1051" s="10"/>
      <c r="X1051" s="10"/>
      <c r="Y1051" s="10"/>
      <c r="Z1051" s="10"/>
      <c r="AA1051" s="11" t="str">
        <f t="shared" si="33"/>
        <v/>
      </c>
    </row>
    <row r="1052" spans="16:27" ht="15" customHeight="1">
      <c r="P1052" t="str">
        <f t="shared" si="32"/>
        <v/>
      </c>
      <c r="Q1052" t="str">
        <f>IF(P1052="","",IFERROR(IF(AND(H1052="W7",OR(F1052="causal",F1052="predictive")),IF(AND(OR(K1052=1,K1052="1"),OR(L1052=1,L1052="1"),OR(M1052=1,M1052="1")),"adequate","partial"),IF(AND(H1052="W4",F1052="predictive",OR(J1052="P2",J1052="P3",J1052="P4")),IF(OR(U1052=1,U1052="1"),"adequate","partial"),INDEX(Fit_Matrix!$B:$B,MATCH(P1052,Fit_Matrix!$A:$A,0)))),"CHECK KEY"))</f>
        <v/>
      </c>
      <c r="U1052" s="10"/>
      <c r="V1052" s="10"/>
      <c r="W1052" s="10"/>
      <c r="X1052" s="10"/>
      <c r="Y1052" s="10"/>
      <c r="Z1052" s="10"/>
      <c r="AA1052" s="11" t="str">
        <f t="shared" si="33"/>
        <v/>
      </c>
    </row>
    <row r="1053" spans="16:27" ht="15" customHeight="1">
      <c r="P1053" t="str">
        <f t="shared" si="32"/>
        <v/>
      </c>
      <c r="Q1053" t="str">
        <f>IF(P1053="","",IFERROR(IF(AND(H1053="W7",OR(F1053="causal",F1053="predictive")),IF(AND(OR(K1053=1,K1053="1"),OR(L1053=1,L1053="1"),OR(M1053=1,M1053="1")),"adequate","partial"),IF(AND(H1053="W4",F1053="predictive",OR(J1053="P2",J1053="P3",J1053="P4")),IF(OR(U1053=1,U1053="1"),"adequate","partial"),INDEX(Fit_Matrix!$B:$B,MATCH(P1053,Fit_Matrix!$A:$A,0)))),"CHECK KEY"))</f>
        <v/>
      </c>
      <c r="U1053" s="10"/>
      <c r="V1053" s="10"/>
      <c r="W1053" s="10"/>
      <c r="X1053" s="10"/>
      <c r="Y1053" s="10"/>
      <c r="Z1053" s="10"/>
      <c r="AA1053" s="11" t="str">
        <f t="shared" si="33"/>
        <v/>
      </c>
    </row>
    <row r="1054" spans="16:27" ht="15" customHeight="1">
      <c r="P1054" t="str">
        <f t="shared" si="32"/>
        <v/>
      </c>
      <c r="Q1054" t="str">
        <f>IF(P1054="","",IFERROR(IF(AND(H1054="W7",OR(F1054="causal",F1054="predictive")),IF(AND(OR(K1054=1,K1054="1"),OR(L1054=1,L1054="1"),OR(M1054=1,M1054="1")),"adequate","partial"),IF(AND(H1054="W4",F1054="predictive",OR(J1054="P2",J1054="P3",J1054="P4")),IF(OR(U1054=1,U1054="1"),"adequate","partial"),INDEX(Fit_Matrix!$B:$B,MATCH(P1054,Fit_Matrix!$A:$A,0)))),"CHECK KEY"))</f>
        <v/>
      </c>
      <c r="U1054" s="10"/>
      <c r="V1054" s="10"/>
      <c r="W1054" s="10"/>
      <c r="X1054" s="10"/>
      <c r="Y1054" s="10"/>
      <c r="Z1054" s="10"/>
      <c r="AA1054" s="11" t="str">
        <f t="shared" si="33"/>
        <v/>
      </c>
    </row>
    <row r="1055" spans="16:27" ht="15" customHeight="1">
      <c r="P1055" t="str">
        <f t="shared" si="32"/>
        <v/>
      </c>
      <c r="Q1055" t="str">
        <f>IF(P1055="","",IFERROR(IF(AND(H1055="W7",OR(F1055="causal",F1055="predictive")),IF(AND(OR(K1055=1,K1055="1"),OR(L1055=1,L1055="1"),OR(M1055=1,M1055="1")),"adequate","partial"),IF(AND(H1055="W4",F1055="predictive",OR(J1055="P2",J1055="P3",J1055="P4")),IF(OR(U1055=1,U1055="1"),"adequate","partial"),INDEX(Fit_Matrix!$B:$B,MATCH(P1055,Fit_Matrix!$A:$A,0)))),"CHECK KEY"))</f>
        <v/>
      </c>
      <c r="U1055" s="10"/>
      <c r="V1055" s="10"/>
      <c r="W1055" s="10"/>
      <c r="X1055" s="10"/>
      <c r="Y1055" s="10"/>
      <c r="Z1055" s="10"/>
      <c r="AA1055" s="11" t="str">
        <f t="shared" si="33"/>
        <v/>
      </c>
    </row>
    <row r="1056" spans="16:27" ht="15" customHeight="1">
      <c r="P1056" t="str">
        <f t="shared" si="32"/>
        <v/>
      </c>
      <c r="Q1056" t="str">
        <f>IF(P1056="","",IFERROR(IF(AND(H1056="W7",OR(F1056="causal",F1056="predictive")),IF(AND(OR(K1056=1,K1056="1"),OR(L1056=1,L1056="1"),OR(M1056=1,M1056="1")),"adequate","partial"),IF(AND(H1056="W4",F1056="predictive",OR(J1056="P2",J1056="P3",J1056="P4")),IF(OR(U1056=1,U1056="1"),"adequate","partial"),INDEX(Fit_Matrix!$B:$B,MATCH(P1056,Fit_Matrix!$A:$A,0)))),"CHECK KEY"))</f>
        <v/>
      </c>
      <c r="U1056" s="10"/>
      <c r="V1056" s="10"/>
      <c r="W1056" s="10"/>
      <c r="X1056" s="10"/>
      <c r="Y1056" s="10"/>
      <c r="Z1056" s="10"/>
      <c r="AA1056" s="11" t="str">
        <f t="shared" si="33"/>
        <v/>
      </c>
    </row>
    <row r="1057" spans="16:27" ht="15" customHeight="1">
      <c r="P1057" t="str">
        <f t="shared" si="32"/>
        <v/>
      </c>
      <c r="Q1057" t="str">
        <f>IF(P1057="","",IFERROR(IF(AND(H1057="W7",OR(F1057="causal",F1057="predictive")),IF(AND(OR(K1057=1,K1057="1"),OR(L1057=1,L1057="1"),OR(M1057=1,M1057="1")),"adequate","partial"),IF(AND(H1057="W4",F1057="predictive",OR(J1057="P2",J1057="P3",J1057="P4")),IF(OR(U1057=1,U1057="1"),"adequate","partial"),INDEX(Fit_Matrix!$B:$B,MATCH(P1057,Fit_Matrix!$A:$A,0)))),"CHECK KEY"))</f>
        <v/>
      </c>
      <c r="U1057" s="10"/>
      <c r="V1057" s="10"/>
      <c r="W1057" s="10"/>
      <c r="X1057" s="10"/>
      <c r="Y1057" s="10"/>
      <c r="Z1057" s="10"/>
      <c r="AA1057" s="11" t="str">
        <f t="shared" si="33"/>
        <v/>
      </c>
    </row>
    <row r="1058" spans="16:27" ht="15" customHeight="1">
      <c r="P1058" t="str">
        <f t="shared" si="32"/>
        <v/>
      </c>
      <c r="Q1058" t="str">
        <f>IF(P1058="","",IFERROR(IF(AND(H1058="W7",OR(F1058="causal",F1058="predictive")),IF(AND(OR(K1058=1,K1058="1"),OR(L1058=1,L1058="1"),OR(M1058=1,M1058="1")),"adequate","partial"),IF(AND(H1058="W4",F1058="predictive",OR(J1058="P2",J1058="P3",J1058="P4")),IF(OR(U1058=1,U1058="1"),"adequate","partial"),INDEX(Fit_Matrix!$B:$B,MATCH(P1058,Fit_Matrix!$A:$A,0)))),"CHECK KEY"))</f>
        <v/>
      </c>
      <c r="U1058" s="10"/>
      <c r="V1058" s="10"/>
      <c r="W1058" s="10"/>
      <c r="X1058" s="10"/>
      <c r="Y1058" s="10"/>
      <c r="Z1058" s="10"/>
      <c r="AA1058" s="11" t="str">
        <f t="shared" si="33"/>
        <v/>
      </c>
    </row>
    <row r="1059" spans="16:27" ht="15" customHeight="1">
      <c r="P1059" t="str">
        <f t="shared" si="32"/>
        <v/>
      </c>
      <c r="Q1059" t="str">
        <f>IF(P1059="","",IFERROR(IF(AND(H1059="W7",OR(F1059="causal",F1059="predictive")),IF(AND(OR(K1059=1,K1059="1"),OR(L1059=1,L1059="1"),OR(M1059=1,M1059="1")),"adequate","partial"),IF(AND(H1059="W4",F1059="predictive",OR(J1059="P2",J1059="P3",J1059="P4")),IF(OR(U1059=1,U1059="1"),"adequate","partial"),INDEX(Fit_Matrix!$B:$B,MATCH(P1059,Fit_Matrix!$A:$A,0)))),"CHECK KEY"))</f>
        <v/>
      </c>
      <c r="U1059" s="10"/>
      <c r="V1059" s="10"/>
      <c r="W1059" s="10"/>
      <c r="X1059" s="10"/>
      <c r="Y1059" s="10"/>
      <c r="Z1059" s="10"/>
      <c r="AA1059" s="11" t="str">
        <f t="shared" si="33"/>
        <v/>
      </c>
    </row>
    <row r="1060" spans="16:27" ht="15" customHeight="1">
      <c r="P1060" t="str">
        <f t="shared" si="32"/>
        <v/>
      </c>
      <c r="Q1060" t="str">
        <f>IF(P1060="","",IFERROR(IF(AND(H1060="W7",OR(F1060="causal",F1060="predictive")),IF(AND(OR(K1060=1,K1060="1"),OR(L1060=1,L1060="1"),OR(M1060=1,M1060="1")),"adequate","partial"),IF(AND(H1060="W4",F1060="predictive",OR(J1060="P2",J1060="P3",J1060="P4")),IF(OR(U1060=1,U1060="1"),"adequate","partial"),INDEX(Fit_Matrix!$B:$B,MATCH(P1060,Fit_Matrix!$A:$A,0)))),"CHECK KEY"))</f>
        <v/>
      </c>
      <c r="U1060" s="10"/>
      <c r="V1060" s="10"/>
      <c r="W1060" s="10"/>
      <c r="X1060" s="10"/>
      <c r="Y1060" s="10"/>
      <c r="Z1060" s="10"/>
      <c r="AA1060" s="11" t="str">
        <f t="shared" si="33"/>
        <v/>
      </c>
    </row>
    <row r="1061" spans="16:27" ht="15" customHeight="1">
      <c r="P1061" t="str">
        <f t="shared" si="32"/>
        <v/>
      </c>
      <c r="Q1061" t="str">
        <f>IF(P1061="","",IFERROR(IF(AND(H1061="W7",OR(F1061="causal",F1061="predictive")),IF(AND(OR(K1061=1,K1061="1"),OR(L1061=1,L1061="1"),OR(M1061=1,M1061="1")),"adequate","partial"),IF(AND(H1061="W4",F1061="predictive",OR(J1061="P2",J1061="P3",J1061="P4")),IF(OR(U1061=1,U1061="1"),"adequate","partial"),INDEX(Fit_Matrix!$B:$B,MATCH(P1061,Fit_Matrix!$A:$A,0)))),"CHECK KEY"))</f>
        <v/>
      </c>
      <c r="U1061" s="10"/>
      <c r="V1061" s="10"/>
      <c r="W1061" s="10"/>
      <c r="X1061" s="10"/>
      <c r="Y1061" s="10"/>
      <c r="Z1061" s="10"/>
      <c r="AA1061" s="11" t="str">
        <f t="shared" si="33"/>
        <v/>
      </c>
    </row>
    <row r="1062" spans="16:27" ht="15" customHeight="1">
      <c r="P1062" t="str">
        <f t="shared" si="32"/>
        <v/>
      </c>
      <c r="Q1062" t="str">
        <f>IF(P1062="","",IFERROR(IF(AND(H1062="W7",OR(F1062="causal",F1062="predictive")),IF(AND(OR(K1062=1,K1062="1"),OR(L1062=1,L1062="1"),OR(M1062=1,M1062="1")),"adequate","partial"),IF(AND(H1062="W4",F1062="predictive",OR(J1062="P2",J1062="P3",J1062="P4")),IF(OR(U1062=1,U1062="1"),"adequate","partial"),INDEX(Fit_Matrix!$B:$B,MATCH(P1062,Fit_Matrix!$A:$A,0)))),"CHECK KEY"))</f>
        <v/>
      </c>
      <c r="U1062" s="10"/>
      <c r="V1062" s="10"/>
      <c r="W1062" s="10"/>
      <c r="X1062" s="10"/>
      <c r="Y1062" s="10"/>
      <c r="Z1062" s="10"/>
      <c r="AA1062" s="11" t="str">
        <f t="shared" si="33"/>
        <v/>
      </c>
    </row>
    <row r="1063" spans="16:27" ht="15" customHeight="1">
      <c r="P1063" t="str">
        <f t="shared" si="32"/>
        <v/>
      </c>
      <c r="Q1063" t="str">
        <f>IF(P1063="","",IFERROR(IF(AND(H1063="W7",OR(F1063="causal",F1063="predictive")),IF(AND(OR(K1063=1,K1063="1"),OR(L1063=1,L1063="1"),OR(M1063=1,M1063="1")),"adequate","partial"),IF(AND(H1063="W4",F1063="predictive",OR(J1063="P2",J1063="P3",J1063="P4")),IF(OR(U1063=1,U1063="1"),"adequate","partial"),INDEX(Fit_Matrix!$B:$B,MATCH(P1063,Fit_Matrix!$A:$A,0)))),"CHECK KEY"))</f>
        <v/>
      </c>
      <c r="U1063" s="10"/>
      <c r="V1063" s="10"/>
      <c r="W1063" s="10"/>
      <c r="X1063" s="10"/>
      <c r="Y1063" s="10"/>
      <c r="Z1063" s="10"/>
      <c r="AA1063" s="11" t="str">
        <f t="shared" si="33"/>
        <v/>
      </c>
    </row>
    <row r="1064" spans="16:27" ht="15" customHeight="1">
      <c r="P1064" t="str">
        <f t="shared" si="32"/>
        <v/>
      </c>
      <c r="Q1064" t="str">
        <f>IF(P1064="","",IFERROR(IF(AND(H1064="W7",OR(F1064="causal",F1064="predictive")),IF(AND(OR(K1064=1,K1064="1"),OR(L1064=1,L1064="1"),OR(M1064=1,M1064="1")),"adequate","partial"),IF(AND(H1064="W4",F1064="predictive",OR(J1064="P2",J1064="P3",J1064="P4")),IF(OR(U1064=1,U1064="1"),"adequate","partial"),INDEX(Fit_Matrix!$B:$B,MATCH(P1064,Fit_Matrix!$A:$A,0)))),"CHECK KEY"))</f>
        <v/>
      </c>
      <c r="U1064" s="10"/>
      <c r="V1064" s="10"/>
      <c r="W1064" s="10"/>
      <c r="X1064" s="10"/>
      <c r="Y1064" s="10"/>
      <c r="Z1064" s="10"/>
      <c r="AA1064" s="11" t="str">
        <f t="shared" si="33"/>
        <v/>
      </c>
    </row>
    <row r="1065" spans="16:27" ht="15" customHeight="1">
      <c r="P1065" t="str">
        <f t="shared" si="32"/>
        <v/>
      </c>
      <c r="Q1065" t="str">
        <f>IF(P1065="","",IFERROR(IF(AND(H1065="W7",OR(F1065="causal",F1065="predictive")),IF(AND(OR(K1065=1,K1065="1"),OR(L1065=1,L1065="1"),OR(M1065=1,M1065="1")),"adequate","partial"),IF(AND(H1065="W4",F1065="predictive",OR(J1065="P2",J1065="P3",J1065="P4")),IF(OR(U1065=1,U1065="1"),"adequate","partial"),INDEX(Fit_Matrix!$B:$B,MATCH(P1065,Fit_Matrix!$A:$A,0)))),"CHECK KEY"))</f>
        <v/>
      </c>
      <c r="U1065" s="10"/>
      <c r="V1065" s="10"/>
      <c r="W1065" s="10"/>
      <c r="X1065" s="10"/>
      <c r="Y1065" s="10"/>
      <c r="Z1065" s="10"/>
      <c r="AA1065" s="11" t="str">
        <f t="shared" si="33"/>
        <v/>
      </c>
    </row>
    <row r="1066" spans="16:27" ht="15" customHeight="1">
      <c r="P1066" t="str">
        <f t="shared" si="32"/>
        <v/>
      </c>
      <c r="Q1066" t="str">
        <f>IF(P1066="","",IFERROR(IF(AND(H1066="W7",OR(F1066="causal",F1066="predictive")),IF(AND(OR(K1066=1,K1066="1"),OR(L1066=1,L1066="1"),OR(M1066=1,M1066="1")),"adequate","partial"),IF(AND(H1066="W4",F1066="predictive",OR(J1066="P2",J1066="P3",J1066="P4")),IF(OR(U1066=1,U1066="1"),"adequate","partial"),INDEX(Fit_Matrix!$B:$B,MATCH(P1066,Fit_Matrix!$A:$A,0)))),"CHECK KEY"))</f>
        <v/>
      </c>
      <c r="U1066" s="10"/>
      <c r="V1066" s="10"/>
      <c r="W1066" s="10"/>
      <c r="X1066" s="10"/>
      <c r="Y1066" s="10"/>
      <c r="Z1066" s="10"/>
      <c r="AA1066" s="11" t="str">
        <f t="shared" si="33"/>
        <v/>
      </c>
    </row>
    <row r="1067" spans="16:27" ht="15" customHeight="1">
      <c r="P1067" t="str">
        <f t="shared" si="32"/>
        <v/>
      </c>
      <c r="Q1067" t="str">
        <f>IF(P1067="","",IFERROR(IF(AND(H1067="W7",OR(F1067="causal",F1067="predictive")),IF(AND(OR(K1067=1,K1067="1"),OR(L1067=1,L1067="1"),OR(M1067=1,M1067="1")),"adequate","partial"),IF(AND(H1067="W4",F1067="predictive",OR(J1067="P2",J1067="P3",J1067="P4")),IF(OR(U1067=1,U1067="1"),"adequate","partial"),INDEX(Fit_Matrix!$B:$B,MATCH(P1067,Fit_Matrix!$A:$A,0)))),"CHECK KEY"))</f>
        <v/>
      </c>
      <c r="U1067" s="10"/>
      <c r="V1067" s="10"/>
      <c r="W1067" s="10"/>
      <c r="X1067" s="10"/>
      <c r="Y1067" s="10"/>
      <c r="Z1067" s="10"/>
      <c r="AA1067" s="11" t="str">
        <f t="shared" si="33"/>
        <v/>
      </c>
    </row>
    <row r="1068" spans="16:27" ht="15" customHeight="1">
      <c r="P1068" t="str">
        <f t="shared" si="32"/>
        <v/>
      </c>
      <c r="Q1068" t="str">
        <f>IF(P1068="","",IFERROR(IF(AND(H1068="W7",OR(F1068="causal",F1068="predictive")),IF(AND(OR(K1068=1,K1068="1"),OR(L1068=1,L1068="1"),OR(M1068=1,M1068="1")),"adequate","partial"),IF(AND(H1068="W4",F1068="predictive",OR(J1068="P2",J1068="P3",J1068="P4")),IF(OR(U1068=1,U1068="1"),"adequate","partial"),INDEX(Fit_Matrix!$B:$B,MATCH(P1068,Fit_Matrix!$A:$A,0)))),"CHECK KEY"))</f>
        <v/>
      </c>
      <c r="U1068" s="10"/>
      <c r="V1068" s="10"/>
      <c r="W1068" s="10"/>
      <c r="X1068" s="10"/>
      <c r="Y1068" s="10"/>
      <c r="Z1068" s="10"/>
      <c r="AA1068" s="11" t="str">
        <f t="shared" si="33"/>
        <v/>
      </c>
    </row>
    <row r="1069" spans="16:27" ht="15" customHeight="1">
      <c r="P1069" t="str">
        <f t="shared" si="32"/>
        <v/>
      </c>
      <c r="Q1069" t="str">
        <f>IF(P1069="","",IFERROR(IF(AND(H1069="W7",OR(F1069="causal",F1069="predictive")),IF(AND(OR(K1069=1,K1069="1"),OR(L1069=1,L1069="1"),OR(M1069=1,M1069="1")),"adequate","partial"),IF(AND(H1069="W4",F1069="predictive",OR(J1069="P2",J1069="P3",J1069="P4")),IF(OR(U1069=1,U1069="1"),"adequate","partial"),INDEX(Fit_Matrix!$B:$B,MATCH(P1069,Fit_Matrix!$A:$A,0)))),"CHECK KEY"))</f>
        <v/>
      </c>
      <c r="U1069" s="10"/>
      <c r="V1069" s="10"/>
      <c r="W1069" s="10"/>
      <c r="X1069" s="10"/>
      <c r="Y1069" s="10"/>
      <c r="Z1069" s="10"/>
      <c r="AA1069" s="11" t="str">
        <f t="shared" si="33"/>
        <v/>
      </c>
    </row>
    <row r="1070" spans="16:27" ht="15" customHeight="1">
      <c r="P1070" t="str">
        <f t="shared" si="32"/>
        <v/>
      </c>
      <c r="Q1070" t="str">
        <f>IF(P1070="","",IFERROR(IF(AND(H1070="W7",OR(F1070="causal",F1070="predictive")),IF(AND(OR(K1070=1,K1070="1"),OR(L1070=1,L1070="1"),OR(M1070=1,M1070="1")),"adequate","partial"),IF(AND(H1070="W4",F1070="predictive",OR(J1070="P2",J1070="P3",J1070="P4")),IF(OR(U1070=1,U1070="1"),"adequate","partial"),INDEX(Fit_Matrix!$B:$B,MATCH(P1070,Fit_Matrix!$A:$A,0)))),"CHECK KEY"))</f>
        <v/>
      </c>
      <c r="U1070" s="10"/>
      <c r="V1070" s="10"/>
      <c r="W1070" s="10"/>
      <c r="X1070" s="10"/>
      <c r="Y1070" s="10"/>
      <c r="Z1070" s="10"/>
      <c r="AA1070" s="11" t="str">
        <f t="shared" si="33"/>
        <v/>
      </c>
    </row>
    <row r="1071" spans="16:27" ht="15" customHeight="1">
      <c r="P1071" t="str">
        <f t="shared" si="32"/>
        <v/>
      </c>
      <c r="Q1071" t="str">
        <f>IF(P1071="","",IFERROR(IF(AND(H1071="W7",OR(F1071="causal",F1071="predictive")),IF(AND(OR(K1071=1,K1071="1"),OR(L1071=1,L1071="1"),OR(M1071=1,M1071="1")),"adequate","partial"),IF(AND(H1071="W4",F1071="predictive",OR(J1071="P2",J1071="P3",J1071="P4")),IF(OR(U1071=1,U1071="1"),"adequate","partial"),INDEX(Fit_Matrix!$B:$B,MATCH(P1071,Fit_Matrix!$A:$A,0)))),"CHECK KEY"))</f>
        <v/>
      </c>
      <c r="U1071" s="10"/>
      <c r="V1071" s="10"/>
      <c r="W1071" s="10"/>
      <c r="X1071" s="10"/>
      <c r="Y1071" s="10"/>
      <c r="Z1071" s="10"/>
      <c r="AA1071" s="11" t="str">
        <f t="shared" si="33"/>
        <v/>
      </c>
    </row>
    <row r="1072" spans="16:27" ht="15" customHeight="1">
      <c r="P1072" t="str">
        <f t="shared" si="32"/>
        <v/>
      </c>
      <c r="Q1072" t="str">
        <f>IF(P1072="","",IFERROR(IF(AND(H1072="W7",OR(F1072="causal",F1072="predictive")),IF(AND(OR(K1072=1,K1072="1"),OR(L1072=1,L1072="1"),OR(M1072=1,M1072="1")),"adequate","partial"),IF(AND(H1072="W4",F1072="predictive",OR(J1072="P2",J1072="P3",J1072="P4")),IF(OR(U1072=1,U1072="1"),"adequate","partial"),INDEX(Fit_Matrix!$B:$B,MATCH(P1072,Fit_Matrix!$A:$A,0)))),"CHECK KEY"))</f>
        <v/>
      </c>
      <c r="U1072" s="10"/>
      <c r="V1072" s="10"/>
      <c r="W1072" s="10"/>
      <c r="X1072" s="10"/>
      <c r="Y1072" s="10"/>
      <c r="Z1072" s="10"/>
      <c r="AA1072" s="11" t="str">
        <f t="shared" si="33"/>
        <v/>
      </c>
    </row>
    <row r="1073" spans="16:27" ht="15" customHeight="1">
      <c r="P1073" t="str">
        <f t="shared" si="32"/>
        <v/>
      </c>
      <c r="Q1073" t="str">
        <f>IF(P1073="","",IFERROR(IF(AND(H1073="W7",OR(F1073="causal",F1073="predictive")),IF(AND(OR(K1073=1,K1073="1"),OR(L1073=1,L1073="1"),OR(M1073=1,M1073="1")),"adequate","partial"),IF(AND(H1073="W4",F1073="predictive",OR(J1073="P2",J1073="P3",J1073="P4")),IF(OR(U1073=1,U1073="1"),"adequate","partial"),INDEX(Fit_Matrix!$B:$B,MATCH(P1073,Fit_Matrix!$A:$A,0)))),"CHECK KEY"))</f>
        <v/>
      </c>
      <c r="U1073" s="10"/>
      <c r="V1073" s="10"/>
      <c r="W1073" s="10"/>
      <c r="X1073" s="10"/>
      <c r="Y1073" s="10"/>
      <c r="Z1073" s="10"/>
      <c r="AA1073" s="11" t="str">
        <f t="shared" si="33"/>
        <v/>
      </c>
    </row>
    <row r="1074" spans="16:27" ht="15" customHeight="1">
      <c r="P1074" t="str">
        <f t="shared" si="32"/>
        <v/>
      </c>
      <c r="Q1074" t="str">
        <f>IF(P1074="","",IFERROR(IF(AND(H1074="W7",OR(F1074="causal",F1074="predictive")),IF(AND(OR(K1074=1,K1074="1"),OR(L1074=1,L1074="1"),OR(M1074=1,M1074="1")),"adequate","partial"),IF(AND(H1074="W4",F1074="predictive",OR(J1074="P2",J1074="P3",J1074="P4")),IF(OR(U1074=1,U1074="1"),"adequate","partial"),INDEX(Fit_Matrix!$B:$B,MATCH(P1074,Fit_Matrix!$A:$A,0)))),"CHECK KEY"))</f>
        <v/>
      </c>
      <c r="U1074" s="10"/>
      <c r="V1074" s="10"/>
      <c r="W1074" s="10"/>
      <c r="X1074" s="10"/>
      <c r="Y1074" s="10"/>
      <c r="Z1074" s="10"/>
      <c r="AA1074" s="11" t="str">
        <f t="shared" si="33"/>
        <v/>
      </c>
    </row>
    <row r="1075" spans="16:27" ht="15" customHeight="1">
      <c r="P1075" t="str">
        <f t="shared" si="32"/>
        <v/>
      </c>
      <c r="Q1075" t="str">
        <f>IF(P1075="","",IFERROR(IF(AND(H1075="W7",OR(F1075="causal",F1075="predictive")),IF(AND(OR(K1075=1,K1075="1"),OR(L1075=1,L1075="1"),OR(M1075=1,M1075="1")),"adequate","partial"),IF(AND(H1075="W4",F1075="predictive",OR(J1075="P2",J1075="P3",J1075="P4")),IF(OR(U1075=1,U1075="1"),"adequate","partial"),INDEX(Fit_Matrix!$B:$B,MATCH(P1075,Fit_Matrix!$A:$A,0)))),"CHECK KEY"))</f>
        <v/>
      </c>
      <c r="U1075" s="10"/>
      <c r="V1075" s="10"/>
      <c r="W1075" s="10"/>
      <c r="X1075" s="10"/>
      <c r="Y1075" s="10"/>
      <c r="Z1075" s="10"/>
      <c r="AA1075" s="11" t="str">
        <f t="shared" si="33"/>
        <v/>
      </c>
    </row>
    <row r="1076" spans="16:27" ht="15" customHeight="1">
      <c r="P1076" t="str">
        <f t="shared" si="32"/>
        <v/>
      </c>
      <c r="Q1076" t="str">
        <f>IF(P1076="","",IFERROR(IF(AND(H1076="W7",OR(F1076="causal",F1076="predictive")),IF(AND(OR(K1076=1,K1076="1"),OR(L1076=1,L1076="1"),OR(M1076=1,M1076="1")),"adequate","partial"),IF(AND(H1076="W4",F1076="predictive",OR(J1076="P2",J1076="P3",J1076="P4")),IF(OR(U1076=1,U1076="1"),"adequate","partial"),INDEX(Fit_Matrix!$B:$B,MATCH(P1076,Fit_Matrix!$A:$A,0)))),"CHECK KEY"))</f>
        <v/>
      </c>
      <c r="U1076" s="10"/>
      <c r="V1076" s="10"/>
      <c r="W1076" s="10"/>
      <c r="X1076" s="10"/>
      <c r="Y1076" s="10"/>
      <c r="Z1076" s="10"/>
      <c r="AA1076" s="11" t="str">
        <f t="shared" si="33"/>
        <v/>
      </c>
    </row>
    <row r="1077" spans="16:27" ht="15" customHeight="1">
      <c r="P1077" t="str">
        <f t="shared" si="32"/>
        <v/>
      </c>
      <c r="Q1077" t="str">
        <f>IF(P1077="","",IFERROR(IF(AND(H1077="W7",OR(F1077="causal",F1077="predictive")),IF(AND(OR(K1077=1,K1077="1"),OR(L1077=1,L1077="1"),OR(M1077=1,M1077="1")),"adequate","partial"),IF(AND(H1077="W4",F1077="predictive",OR(J1077="P2",J1077="P3",J1077="P4")),IF(OR(U1077=1,U1077="1"),"adequate","partial"),INDEX(Fit_Matrix!$B:$B,MATCH(P1077,Fit_Matrix!$A:$A,0)))),"CHECK KEY"))</f>
        <v/>
      </c>
      <c r="U1077" s="10"/>
      <c r="V1077" s="10"/>
      <c r="W1077" s="10"/>
      <c r="X1077" s="10"/>
      <c r="Y1077" s="10"/>
      <c r="Z1077" s="10"/>
      <c r="AA1077" s="11" t="str">
        <f t="shared" si="33"/>
        <v/>
      </c>
    </row>
    <row r="1078" spans="16:27" ht="15" customHeight="1">
      <c r="P1078" t="str">
        <f t="shared" si="32"/>
        <v/>
      </c>
      <c r="Q1078" t="str">
        <f>IF(P1078="","",IFERROR(IF(AND(H1078="W7",OR(F1078="causal",F1078="predictive")),IF(AND(OR(K1078=1,K1078="1"),OR(L1078=1,L1078="1"),OR(M1078=1,M1078="1")),"adequate","partial"),IF(AND(H1078="W4",F1078="predictive",OR(J1078="P2",J1078="P3",J1078="P4")),IF(OR(U1078=1,U1078="1"),"adequate","partial"),INDEX(Fit_Matrix!$B:$B,MATCH(P1078,Fit_Matrix!$A:$A,0)))),"CHECK KEY"))</f>
        <v/>
      </c>
      <c r="U1078" s="10"/>
      <c r="V1078" s="10"/>
      <c r="W1078" s="10"/>
      <c r="X1078" s="10"/>
      <c r="Y1078" s="10"/>
      <c r="Z1078" s="10"/>
      <c r="AA1078" s="11" t="str">
        <f t="shared" si="33"/>
        <v/>
      </c>
    </row>
    <row r="1079" spans="16:27" ht="15" customHeight="1">
      <c r="P1079" t="str">
        <f t="shared" si="32"/>
        <v/>
      </c>
      <c r="Q1079" t="str">
        <f>IF(P1079="","",IFERROR(IF(AND(H1079="W7",OR(F1079="causal",F1079="predictive")),IF(AND(OR(K1079=1,K1079="1"),OR(L1079=1,L1079="1"),OR(M1079=1,M1079="1")),"adequate","partial"),IF(AND(H1079="W4",F1079="predictive",OR(J1079="P2",J1079="P3",J1079="P4")),IF(OR(U1079=1,U1079="1"),"adequate","partial"),INDEX(Fit_Matrix!$B:$B,MATCH(P1079,Fit_Matrix!$A:$A,0)))),"CHECK KEY"))</f>
        <v/>
      </c>
      <c r="U1079" s="10"/>
      <c r="V1079" s="10"/>
      <c r="W1079" s="10"/>
      <c r="X1079" s="10"/>
      <c r="Y1079" s="10"/>
      <c r="Z1079" s="10"/>
      <c r="AA1079" s="11" t="str">
        <f t="shared" si="33"/>
        <v/>
      </c>
    </row>
    <row r="1080" spans="16:27" ht="15" customHeight="1">
      <c r="P1080" t="str">
        <f t="shared" si="32"/>
        <v/>
      </c>
      <c r="Q1080" t="str">
        <f>IF(P1080="","",IFERROR(IF(AND(H1080="W7",OR(F1080="causal",F1080="predictive")),IF(AND(OR(K1080=1,K1080="1"),OR(L1080=1,L1080="1"),OR(M1080=1,M1080="1")),"adequate","partial"),IF(AND(H1080="W4",F1080="predictive",OR(J1080="P2",J1080="P3",J1080="P4")),IF(OR(U1080=1,U1080="1"),"adequate","partial"),INDEX(Fit_Matrix!$B:$B,MATCH(P1080,Fit_Matrix!$A:$A,0)))),"CHECK KEY"))</f>
        <v/>
      </c>
      <c r="U1080" s="10"/>
      <c r="V1080" s="10"/>
      <c r="W1080" s="10"/>
      <c r="X1080" s="10"/>
      <c r="Y1080" s="10"/>
      <c r="Z1080" s="10"/>
      <c r="AA1080" s="11" t="str">
        <f t="shared" si="33"/>
        <v/>
      </c>
    </row>
    <row r="1081" spans="16:27" ht="15" customHeight="1">
      <c r="P1081" t="str">
        <f t="shared" si="32"/>
        <v/>
      </c>
      <c r="Q1081" t="str">
        <f>IF(P1081="","",IFERROR(IF(AND(H1081="W7",OR(F1081="causal",F1081="predictive")),IF(AND(OR(K1081=1,K1081="1"),OR(L1081=1,L1081="1"),OR(M1081=1,M1081="1")),"adequate","partial"),IF(AND(H1081="W4",F1081="predictive",OR(J1081="P2",J1081="P3",J1081="P4")),IF(OR(U1081=1,U1081="1"),"adequate","partial"),INDEX(Fit_Matrix!$B:$B,MATCH(P1081,Fit_Matrix!$A:$A,0)))),"CHECK KEY"))</f>
        <v/>
      </c>
      <c r="U1081" s="10"/>
      <c r="V1081" s="10"/>
      <c r="W1081" s="10"/>
      <c r="X1081" s="10"/>
      <c r="Y1081" s="10"/>
      <c r="Z1081" s="10"/>
      <c r="AA1081" s="11" t="str">
        <f t="shared" si="33"/>
        <v/>
      </c>
    </row>
    <row r="1082" spans="16:27" ht="15" customHeight="1">
      <c r="P1082" t="str">
        <f t="shared" si="32"/>
        <v/>
      </c>
      <c r="Q1082" t="str">
        <f>IF(P1082="","",IFERROR(IF(AND(H1082="W7",OR(F1082="causal",F1082="predictive")),IF(AND(OR(K1082=1,K1082="1"),OR(L1082=1,L1082="1"),OR(M1082=1,M1082="1")),"adequate","partial"),IF(AND(H1082="W4",F1082="predictive",OR(J1082="P2",J1082="P3",J1082="P4")),IF(OR(U1082=1,U1082="1"),"adequate","partial"),INDEX(Fit_Matrix!$B:$B,MATCH(P1082,Fit_Matrix!$A:$A,0)))),"CHECK KEY"))</f>
        <v/>
      </c>
      <c r="U1082" s="10"/>
      <c r="V1082" s="10"/>
      <c r="W1082" s="10"/>
      <c r="X1082" s="10"/>
      <c r="Y1082" s="10"/>
      <c r="Z1082" s="10"/>
      <c r="AA1082" s="11" t="str">
        <f t="shared" si="33"/>
        <v/>
      </c>
    </row>
    <row r="1083" spans="16:27" ht="15" customHeight="1">
      <c r="P1083" t="str">
        <f t="shared" si="32"/>
        <v/>
      </c>
      <c r="Q1083" t="str">
        <f>IF(P1083="","",IFERROR(IF(AND(H1083="W7",OR(F1083="causal",F1083="predictive")),IF(AND(OR(K1083=1,K1083="1"),OR(L1083=1,L1083="1"),OR(M1083=1,M1083="1")),"adequate","partial"),IF(AND(H1083="W4",F1083="predictive",OR(J1083="P2",J1083="P3",J1083="P4")),IF(OR(U1083=1,U1083="1"),"adequate","partial"),INDEX(Fit_Matrix!$B:$B,MATCH(P1083,Fit_Matrix!$A:$A,0)))),"CHECK KEY"))</f>
        <v/>
      </c>
      <c r="U1083" s="10"/>
      <c r="V1083" s="10"/>
      <c r="W1083" s="10"/>
      <c r="X1083" s="10"/>
      <c r="Y1083" s="10"/>
      <c r="Z1083" s="10"/>
      <c r="AA1083" s="11" t="str">
        <f t="shared" si="33"/>
        <v/>
      </c>
    </row>
    <row r="1084" spans="16:27" ht="15" customHeight="1">
      <c r="P1084" t="str">
        <f t="shared" si="32"/>
        <v/>
      </c>
      <c r="Q1084" t="str">
        <f>IF(P1084="","",IFERROR(IF(AND(H1084="W7",OR(F1084="causal",F1084="predictive")),IF(AND(OR(K1084=1,K1084="1"),OR(L1084=1,L1084="1"),OR(M1084=1,M1084="1")),"adequate","partial"),IF(AND(H1084="W4",F1084="predictive",OR(J1084="P2",J1084="P3",J1084="P4")),IF(OR(U1084=1,U1084="1"),"adequate","partial"),INDEX(Fit_Matrix!$B:$B,MATCH(P1084,Fit_Matrix!$A:$A,0)))),"CHECK KEY"))</f>
        <v/>
      </c>
      <c r="U1084" s="10"/>
      <c r="V1084" s="10"/>
      <c r="W1084" s="10"/>
      <c r="X1084" s="10"/>
      <c r="Y1084" s="10"/>
      <c r="Z1084" s="10"/>
      <c r="AA1084" s="11" t="str">
        <f t="shared" si="33"/>
        <v/>
      </c>
    </row>
    <row r="1085" spans="16:27" ht="15" customHeight="1">
      <c r="P1085" t="str">
        <f t="shared" si="32"/>
        <v/>
      </c>
      <c r="Q1085" t="str">
        <f>IF(P1085="","",IFERROR(IF(AND(H1085="W7",OR(F1085="causal",F1085="predictive")),IF(AND(OR(K1085=1,K1085="1"),OR(L1085=1,L1085="1"),OR(M1085=1,M1085="1")),"adequate","partial"),IF(AND(H1085="W4",F1085="predictive",OR(J1085="P2",J1085="P3",J1085="P4")),IF(OR(U1085=1,U1085="1"),"adequate","partial"),INDEX(Fit_Matrix!$B:$B,MATCH(P1085,Fit_Matrix!$A:$A,0)))),"CHECK KEY"))</f>
        <v/>
      </c>
      <c r="U1085" s="10"/>
      <c r="V1085" s="10"/>
      <c r="W1085" s="10"/>
      <c r="X1085" s="10"/>
      <c r="Y1085" s="10"/>
      <c r="Z1085" s="10"/>
      <c r="AA1085" s="11" t="str">
        <f t="shared" si="33"/>
        <v/>
      </c>
    </row>
    <row r="1086" spans="16:27" ht="15" customHeight="1">
      <c r="P1086" t="str">
        <f t="shared" si="32"/>
        <v/>
      </c>
      <c r="Q1086" t="str">
        <f>IF(P1086="","",IFERROR(IF(AND(H1086="W7",OR(F1086="causal",F1086="predictive")),IF(AND(OR(K1086=1,K1086="1"),OR(L1086=1,L1086="1"),OR(M1086=1,M1086="1")),"adequate","partial"),IF(AND(H1086="W4",F1086="predictive",OR(J1086="P2",J1086="P3",J1086="P4")),IF(OR(U1086=1,U1086="1"),"adequate","partial"),INDEX(Fit_Matrix!$B:$B,MATCH(P1086,Fit_Matrix!$A:$A,0)))),"CHECK KEY"))</f>
        <v/>
      </c>
      <c r="U1086" s="10"/>
      <c r="V1086" s="10"/>
      <c r="W1086" s="10"/>
      <c r="X1086" s="10"/>
      <c r="Y1086" s="10"/>
      <c r="Z1086" s="10"/>
      <c r="AA1086" s="11" t="str">
        <f t="shared" si="33"/>
        <v/>
      </c>
    </row>
    <row r="1087" spans="16:27" ht="15" customHeight="1">
      <c r="P1087" t="str">
        <f t="shared" si="32"/>
        <v/>
      </c>
      <c r="Q1087" t="str">
        <f>IF(P1087="","",IFERROR(IF(AND(H1087="W7",OR(F1087="causal",F1087="predictive")),IF(AND(OR(K1087=1,K1087="1"),OR(L1087=1,L1087="1"),OR(M1087=1,M1087="1")),"adequate","partial"),IF(AND(H1087="W4",F1087="predictive",OR(J1087="P2",J1087="P3",J1087="P4")),IF(OR(U1087=1,U1087="1"),"adequate","partial"),INDEX(Fit_Matrix!$B:$B,MATCH(P1087,Fit_Matrix!$A:$A,0)))),"CHECK KEY"))</f>
        <v/>
      </c>
      <c r="U1087" s="10"/>
      <c r="V1087" s="10"/>
      <c r="W1087" s="10"/>
      <c r="X1087" s="10"/>
      <c r="Y1087" s="10"/>
      <c r="Z1087" s="10"/>
      <c r="AA1087" s="11" t="str">
        <f t="shared" si="33"/>
        <v/>
      </c>
    </row>
    <row r="1088" spans="16:27" ht="15" customHeight="1">
      <c r="P1088" t="str">
        <f t="shared" si="32"/>
        <v/>
      </c>
      <c r="Q1088" t="str">
        <f>IF(P1088="","",IFERROR(IF(AND(H1088="W7",OR(F1088="causal",F1088="predictive")),IF(AND(OR(K1088=1,K1088="1"),OR(L1088=1,L1088="1"),OR(M1088=1,M1088="1")),"adequate","partial"),IF(AND(H1088="W4",F1088="predictive",OR(J1088="P2",J1088="P3",J1088="P4")),IF(OR(U1088=1,U1088="1"),"adequate","partial"),INDEX(Fit_Matrix!$B:$B,MATCH(P1088,Fit_Matrix!$A:$A,0)))),"CHECK KEY"))</f>
        <v/>
      </c>
      <c r="U1088" s="10"/>
      <c r="V1088" s="10"/>
      <c r="W1088" s="10"/>
      <c r="X1088" s="10"/>
      <c r="Y1088" s="10"/>
      <c r="Z1088" s="10"/>
      <c r="AA1088" s="11" t="str">
        <f t="shared" si="33"/>
        <v/>
      </c>
    </row>
    <row r="1089" spans="16:27" ht="15" customHeight="1">
      <c r="P1089" t="str">
        <f t="shared" si="32"/>
        <v/>
      </c>
      <c r="Q1089" t="str">
        <f>IF(P1089="","",IFERROR(IF(AND(H1089="W7",OR(F1089="causal",F1089="predictive")),IF(AND(OR(K1089=1,K1089="1"),OR(L1089=1,L1089="1"),OR(M1089=1,M1089="1")),"adequate","partial"),IF(AND(H1089="W4",F1089="predictive",OR(J1089="P2",J1089="P3",J1089="P4")),IF(OR(U1089=1,U1089="1"),"adequate","partial"),INDEX(Fit_Matrix!$B:$B,MATCH(P1089,Fit_Matrix!$A:$A,0)))),"CHECK KEY"))</f>
        <v/>
      </c>
      <c r="U1089" s="10"/>
      <c r="V1089" s="10"/>
      <c r="W1089" s="10"/>
      <c r="X1089" s="10"/>
      <c r="Y1089" s="10"/>
      <c r="Z1089" s="10"/>
      <c r="AA1089" s="11" t="str">
        <f t="shared" si="33"/>
        <v/>
      </c>
    </row>
    <row r="1090" spans="16:27" ht="15" customHeight="1">
      <c r="P1090" t="str">
        <f t="shared" ref="P1090:P1153" si="34">IF(OR(F1090="",H1090="",J1090=""),"",J1090&amp;"|"&amp;F1090&amp;"|"&amp;IF(H1090="W3","W3_"&amp;IF(I1090="","unknown",I1090),H1090))</f>
        <v/>
      </c>
      <c r="Q1090" t="str">
        <f>IF(P1090="","",IFERROR(IF(AND(H1090="W7",OR(F1090="causal",F1090="predictive")),IF(AND(OR(K1090=1,K1090="1"),OR(L1090=1,L1090="1"),OR(M1090=1,M1090="1")),"adequate","partial"),IF(AND(H1090="W4",F1090="predictive",OR(J1090="P2",J1090="P3",J1090="P4")),IF(OR(U1090=1,U1090="1"),"adequate","partial"),INDEX(Fit_Matrix!$B:$B,MATCH(P1090,Fit_Matrix!$A:$A,0)))),"CHECK KEY"))</f>
        <v/>
      </c>
      <c r="U1090" s="10"/>
      <c r="V1090" s="10"/>
      <c r="W1090" s="10"/>
      <c r="X1090" s="10"/>
      <c r="Y1090" s="10"/>
      <c r="Z1090" s="10"/>
      <c r="AA1090" s="11" t="str">
        <f t="shared" ref="AA1090:AA1153" si="35">IF(A1090="","",IF(AND(J1090="P4",F1090="causal"),"P4-CAUSAL",""))</f>
        <v/>
      </c>
    </row>
    <row r="1091" spans="16:27" ht="15" customHeight="1">
      <c r="P1091" t="str">
        <f t="shared" si="34"/>
        <v/>
      </c>
      <c r="Q1091" t="str">
        <f>IF(P1091="","",IFERROR(IF(AND(H1091="W7",OR(F1091="causal",F1091="predictive")),IF(AND(OR(K1091=1,K1091="1"),OR(L1091=1,L1091="1"),OR(M1091=1,M1091="1")),"adequate","partial"),IF(AND(H1091="W4",F1091="predictive",OR(J1091="P2",J1091="P3",J1091="P4")),IF(OR(U1091=1,U1091="1"),"adequate","partial"),INDEX(Fit_Matrix!$B:$B,MATCH(P1091,Fit_Matrix!$A:$A,0)))),"CHECK KEY"))</f>
        <v/>
      </c>
      <c r="U1091" s="10"/>
      <c r="V1091" s="10"/>
      <c r="W1091" s="10"/>
      <c r="X1091" s="10"/>
      <c r="Y1091" s="10"/>
      <c r="Z1091" s="10"/>
      <c r="AA1091" s="11" t="str">
        <f t="shared" si="35"/>
        <v/>
      </c>
    </row>
    <row r="1092" spans="16:27" ht="15" customHeight="1">
      <c r="P1092" t="str">
        <f t="shared" si="34"/>
        <v/>
      </c>
      <c r="Q1092" t="str">
        <f>IF(P1092="","",IFERROR(IF(AND(H1092="W7",OR(F1092="causal",F1092="predictive")),IF(AND(OR(K1092=1,K1092="1"),OR(L1092=1,L1092="1"),OR(M1092=1,M1092="1")),"adequate","partial"),IF(AND(H1092="W4",F1092="predictive",OR(J1092="P2",J1092="P3",J1092="P4")),IF(OR(U1092=1,U1092="1"),"adequate","partial"),INDEX(Fit_Matrix!$B:$B,MATCH(P1092,Fit_Matrix!$A:$A,0)))),"CHECK KEY"))</f>
        <v/>
      </c>
      <c r="U1092" s="10"/>
      <c r="V1092" s="10"/>
      <c r="W1092" s="10"/>
      <c r="X1092" s="10"/>
      <c r="Y1092" s="10"/>
      <c r="Z1092" s="10"/>
      <c r="AA1092" s="11" t="str">
        <f t="shared" si="35"/>
        <v/>
      </c>
    </row>
    <row r="1093" spans="16:27" ht="15" customHeight="1">
      <c r="P1093" t="str">
        <f t="shared" si="34"/>
        <v/>
      </c>
      <c r="Q1093" t="str">
        <f>IF(P1093="","",IFERROR(IF(AND(H1093="W7",OR(F1093="causal",F1093="predictive")),IF(AND(OR(K1093=1,K1093="1"),OR(L1093=1,L1093="1"),OR(M1093=1,M1093="1")),"adequate","partial"),IF(AND(H1093="W4",F1093="predictive",OR(J1093="P2",J1093="P3",J1093="P4")),IF(OR(U1093=1,U1093="1"),"adequate","partial"),INDEX(Fit_Matrix!$B:$B,MATCH(P1093,Fit_Matrix!$A:$A,0)))),"CHECK KEY"))</f>
        <v/>
      </c>
      <c r="U1093" s="10"/>
      <c r="V1093" s="10"/>
      <c r="W1093" s="10"/>
      <c r="X1093" s="10"/>
      <c r="Y1093" s="10"/>
      <c r="Z1093" s="10"/>
      <c r="AA1093" s="11" t="str">
        <f t="shared" si="35"/>
        <v/>
      </c>
    </row>
    <row r="1094" spans="16:27" ht="15" customHeight="1">
      <c r="P1094" t="str">
        <f t="shared" si="34"/>
        <v/>
      </c>
      <c r="Q1094" t="str">
        <f>IF(P1094="","",IFERROR(IF(AND(H1094="W7",OR(F1094="causal",F1094="predictive")),IF(AND(OR(K1094=1,K1094="1"),OR(L1094=1,L1094="1"),OR(M1094=1,M1094="1")),"adequate","partial"),IF(AND(H1094="W4",F1094="predictive",OR(J1094="P2",J1094="P3",J1094="P4")),IF(OR(U1094=1,U1094="1"),"adequate","partial"),INDEX(Fit_Matrix!$B:$B,MATCH(P1094,Fit_Matrix!$A:$A,0)))),"CHECK KEY"))</f>
        <v/>
      </c>
      <c r="U1094" s="10"/>
      <c r="V1094" s="10"/>
      <c r="W1094" s="10"/>
      <c r="X1094" s="10"/>
      <c r="Y1094" s="10"/>
      <c r="Z1094" s="10"/>
      <c r="AA1094" s="11" t="str">
        <f t="shared" si="35"/>
        <v/>
      </c>
    </row>
    <row r="1095" spans="16:27" ht="15" customHeight="1">
      <c r="P1095" t="str">
        <f t="shared" si="34"/>
        <v/>
      </c>
      <c r="Q1095" t="str">
        <f>IF(P1095="","",IFERROR(IF(AND(H1095="W7",OR(F1095="causal",F1095="predictive")),IF(AND(OR(K1095=1,K1095="1"),OR(L1095=1,L1095="1"),OR(M1095=1,M1095="1")),"adequate","partial"),IF(AND(H1095="W4",F1095="predictive",OR(J1095="P2",J1095="P3",J1095="P4")),IF(OR(U1095=1,U1095="1"),"adequate","partial"),INDEX(Fit_Matrix!$B:$B,MATCH(P1095,Fit_Matrix!$A:$A,0)))),"CHECK KEY"))</f>
        <v/>
      </c>
      <c r="U1095" s="10"/>
      <c r="V1095" s="10"/>
      <c r="W1095" s="10"/>
      <c r="X1095" s="10"/>
      <c r="Y1095" s="10"/>
      <c r="Z1095" s="10"/>
      <c r="AA1095" s="11" t="str">
        <f t="shared" si="35"/>
        <v/>
      </c>
    </row>
    <row r="1096" spans="16:27" ht="15" customHeight="1">
      <c r="P1096" t="str">
        <f t="shared" si="34"/>
        <v/>
      </c>
      <c r="Q1096" t="str">
        <f>IF(P1096="","",IFERROR(IF(AND(H1096="W7",OR(F1096="causal",F1096="predictive")),IF(AND(OR(K1096=1,K1096="1"),OR(L1096=1,L1096="1"),OR(M1096=1,M1096="1")),"adequate","partial"),IF(AND(H1096="W4",F1096="predictive",OR(J1096="P2",J1096="P3",J1096="P4")),IF(OR(U1096=1,U1096="1"),"adequate","partial"),INDEX(Fit_Matrix!$B:$B,MATCH(P1096,Fit_Matrix!$A:$A,0)))),"CHECK KEY"))</f>
        <v/>
      </c>
      <c r="U1096" s="10"/>
      <c r="V1096" s="10"/>
      <c r="W1096" s="10"/>
      <c r="X1096" s="10"/>
      <c r="Y1096" s="10"/>
      <c r="Z1096" s="10"/>
      <c r="AA1096" s="11" t="str">
        <f t="shared" si="35"/>
        <v/>
      </c>
    </row>
    <row r="1097" spans="16:27" ht="15" customHeight="1">
      <c r="P1097" t="str">
        <f t="shared" si="34"/>
        <v/>
      </c>
      <c r="Q1097" t="str">
        <f>IF(P1097="","",IFERROR(IF(AND(H1097="W7",OR(F1097="causal",F1097="predictive")),IF(AND(OR(K1097=1,K1097="1"),OR(L1097=1,L1097="1"),OR(M1097=1,M1097="1")),"adequate","partial"),IF(AND(H1097="W4",F1097="predictive",OR(J1097="P2",J1097="P3",J1097="P4")),IF(OR(U1097=1,U1097="1"),"adequate","partial"),INDEX(Fit_Matrix!$B:$B,MATCH(P1097,Fit_Matrix!$A:$A,0)))),"CHECK KEY"))</f>
        <v/>
      </c>
      <c r="U1097" s="10"/>
      <c r="V1097" s="10"/>
      <c r="W1097" s="10"/>
      <c r="X1097" s="10"/>
      <c r="Y1097" s="10"/>
      <c r="Z1097" s="10"/>
      <c r="AA1097" s="11" t="str">
        <f t="shared" si="35"/>
        <v/>
      </c>
    </row>
    <row r="1098" spans="16:27" ht="15" customHeight="1">
      <c r="P1098" t="str">
        <f t="shared" si="34"/>
        <v/>
      </c>
      <c r="Q1098" t="str">
        <f>IF(P1098="","",IFERROR(IF(AND(H1098="W7",OR(F1098="causal",F1098="predictive")),IF(AND(OR(K1098=1,K1098="1"),OR(L1098=1,L1098="1"),OR(M1098=1,M1098="1")),"adequate","partial"),IF(AND(H1098="W4",F1098="predictive",OR(J1098="P2",J1098="P3",J1098="P4")),IF(OR(U1098=1,U1098="1"),"adequate","partial"),INDEX(Fit_Matrix!$B:$B,MATCH(P1098,Fit_Matrix!$A:$A,0)))),"CHECK KEY"))</f>
        <v/>
      </c>
      <c r="U1098" s="10"/>
      <c r="V1098" s="10"/>
      <c r="W1098" s="10"/>
      <c r="X1098" s="10"/>
      <c r="Y1098" s="10"/>
      <c r="Z1098" s="10"/>
      <c r="AA1098" s="11" t="str">
        <f t="shared" si="35"/>
        <v/>
      </c>
    </row>
    <row r="1099" spans="16:27" ht="15" customHeight="1">
      <c r="P1099" t="str">
        <f t="shared" si="34"/>
        <v/>
      </c>
      <c r="Q1099" t="str">
        <f>IF(P1099="","",IFERROR(IF(AND(H1099="W7",OR(F1099="causal",F1099="predictive")),IF(AND(OR(K1099=1,K1099="1"),OR(L1099=1,L1099="1"),OR(M1099=1,M1099="1")),"adequate","partial"),IF(AND(H1099="W4",F1099="predictive",OR(J1099="P2",J1099="P3",J1099="P4")),IF(OR(U1099=1,U1099="1"),"adequate","partial"),INDEX(Fit_Matrix!$B:$B,MATCH(P1099,Fit_Matrix!$A:$A,0)))),"CHECK KEY"))</f>
        <v/>
      </c>
      <c r="U1099" s="10"/>
      <c r="V1099" s="10"/>
      <c r="W1099" s="10"/>
      <c r="X1099" s="10"/>
      <c r="Y1099" s="10"/>
      <c r="Z1099" s="10"/>
      <c r="AA1099" s="11" t="str">
        <f t="shared" si="35"/>
        <v/>
      </c>
    </row>
    <row r="1100" spans="16:27" ht="15" customHeight="1">
      <c r="P1100" t="str">
        <f t="shared" si="34"/>
        <v/>
      </c>
      <c r="Q1100" t="str">
        <f>IF(P1100="","",IFERROR(IF(AND(H1100="W7",OR(F1100="causal",F1100="predictive")),IF(AND(OR(K1100=1,K1100="1"),OR(L1100=1,L1100="1"),OR(M1100=1,M1100="1")),"adequate","partial"),IF(AND(H1100="W4",F1100="predictive",OR(J1100="P2",J1100="P3",J1100="P4")),IF(OR(U1100=1,U1100="1"),"adequate","partial"),INDEX(Fit_Matrix!$B:$B,MATCH(P1100,Fit_Matrix!$A:$A,0)))),"CHECK KEY"))</f>
        <v/>
      </c>
      <c r="U1100" s="10"/>
      <c r="V1100" s="10"/>
      <c r="W1100" s="10"/>
      <c r="X1100" s="10"/>
      <c r="Y1100" s="10"/>
      <c r="Z1100" s="10"/>
      <c r="AA1100" s="11" t="str">
        <f t="shared" si="35"/>
        <v/>
      </c>
    </row>
    <row r="1101" spans="16:27" ht="15" customHeight="1">
      <c r="P1101" t="str">
        <f t="shared" si="34"/>
        <v/>
      </c>
      <c r="Q1101" t="str">
        <f>IF(P1101="","",IFERROR(IF(AND(H1101="W7",OR(F1101="causal",F1101="predictive")),IF(AND(OR(K1101=1,K1101="1"),OR(L1101=1,L1101="1"),OR(M1101=1,M1101="1")),"adequate","partial"),IF(AND(H1101="W4",F1101="predictive",OR(J1101="P2",J1101="P3",J1101="P4")),IF(OR(U1101=1,U1101="1"),"adequate","partial"),INDEX(Fit_Matrix!$B:$B,MATCH(P1101,Fit_Matrix!$A:$A,0)))),"CHECK KEY"))</f>
        <v/>
      </c>
      <c r="U1101" s="10"/>
      <c r="V1101" s="10"/>
      <c r="W1101" s="10"/>
      <c r="X1101" s="10"/>
      <c r="Y1101" s="10"/>
      <c r="Z1101" s="10"/>
      <c r="AA1101" s="11" t="str">
        <f t="shared" si="35"/>
        <v/>
      </c>
    </row>
    <row r="1102" spans="16:27" ht="15" customHeight="1">
      <c r="P1102" t="str">
        <f t="shared" si="34"/>
        <v/>
      </c>
      <c r="Q1102" t="str">
        <f>IF(P1102="","",IFERROR(IF(AND(H1102="W7",OR(F1102="causal",F1102="predictive")),IF(AND(OR(K1102=1,K1102="1"),OR(L1102=1,L1102="1"),OR(M1102=1,M1102="1")),"adequate","partial"),IF(AND(H1102="W4",F1102="predictive",OR(J1102="P2",J1102="P3",J1102="P4")),IF(OR(U1102=1,U1102="1"),"adequate","partial"),INDEX(Fit_Matrix!$B:$B,MATCH(P1102,Fit_Matrix!$A:$A,0)))),"CHECK KEY"))</f>
        <v/>
      </c>
      <c r="U1102" s="10"/>
      <c r="V1102" s="10"/>
      <c r="W1102" s="10"/>
      <c r="X1102" s="10"/>
      <c r="Y1102" s="10"/>
      <c r="Z1102" s="10"/>
      <c r="AA1102" s="11" t="str">
        <f t="shared" si="35"/>
        <v/>
      </c>
    </row>
    <row r="1103" spans="16:27" ht="15" customHeight="1">
      <c r="P1103" t="str">
        <f t="shared" si="34"/>
        <v/>
      </c>
      <c r="Q1103" t="str">
        <f>IF(P1103="","",IFERROR(IF(AND(H1103="W7",OR(F1103="causal",F1103="predictive")),IF(AND(OR(K1103=1,K1103="1"),OR(L1103=1,L1103="1"),OR(M1103=1,M1103="1")),"adequate","partial"),IF(AND(H1103="W4",F1103="predictive",OR(J1103="P2",J1103="P3",J1103="P4")),IF(OR(U1103=1,U1103="1"),"adequate","partial"),INDEX(Fit_Matrix!$B:$B,MATCH(P1103,Fit_Matrix!$A:$A,0)))),"CHECK KEY"))</f>
        <v/>
      </c>
      <c r="U1103" s="10"/>
      <c r="V1103" s="10"/>
      <c r="W1103" s="10"/>
      <c r="X1103" s="10"/>
      <c r="Y1103" s="10"/>
      <c r="Z1103" s="10"/>
      <c r="AA1103" s="11" t="str">
        <f t="shared" si="35"/>
        <v/>
      </c>
    </row>
    <row r="1104" spans="16:27" ht="15" customHeight="1">
      <c r="P1104" t="str">
        <f t="shared" si="34"/>
        <v/>
      </c>
      <c r="Q1104" t="str">
        <f>IF(P1104="","",IFERROR(IF(AND(H1104="W7",OR(F1104="causal",F1104="predictive")),IF(AND(OR(K1104=1,K1104="1"),OR(L1104=1,L1104="1"),OR(M1104=1,M1104="1")),"adequate","partial"),IF(AND(H1104="W4",F1104="predictive",OR(J1104="P2",J1104="P3",J1104="P4")),IF(OR(U1104=1,U1104="1"),"adequate","partial"),INDEX(Fit_Matrix!$B:$B,MATCH(P1104,Fit_Matrix!$A:$A,0)))),"CHECK KEY"))</f>
        <v/>
      </c>
      <c r="U1104" s="10"/>
      <c r="V1104" s="10"/>
      <c r="W1104" s="10"/>
      <c r="X1104" s="10"/>
      <c r="Y1104" s="10"/>
      <c r="Z1104" s="10"/>
      <c r="AA1104" s="11" t="str">
        <f t="shared" si="35"/>
        <v/>
      </c>
    </row>
    <row r="1105" spans="16:27" ht="15" customHeight="1">
      <c r="P1105" t="str">
        <f t="shared" si="34"/>
        <v/>
      </c>
      <c r="Q1105" t="str">
        <f>IF(P1105="","",IFERROR(IF(AND(H1105="W7",OR(F1105="causal",F1105="predictive")),IF(AND(OR(K1105=1,K1105="1"),OR(L1105=1,L1105="1"),OR(M1105=1,M1105="1")),"adequate","partial"),IF(AND(H1105="W4",F1105="predictive",OR(J1105="P2",J1105="P3",J1105="P4")),IF(OR(U1105=1,U1105="1"),"adequate","partial"),INDEX(Fit_Matrix!$B:$B,MATCH(P1105,Fit_Matrix!$A:$A,0)))),"CHECK KEY"))</f>
        <v/>
      </c>
      <c r="U1105" s="10"/>
      <c r="V1105" s="10"/>
      <c r="W1105" s="10"/>
      <c r="X1105" s="10"/>
      <c r="Y1105" s="10"/>
      <c r="Z1105" s="10"/>
      <c r="AA1105" s="11" t="str">
        <f t="shared" si="35"/>
        <v/>
      </c>
    </row>
    <row r="1106" spans="16:27" ht="15" customHeight="1">
      <c r="P1106" t="str">
        <f t="shared" si="34"/>
        <v/>
      </c>
      <c r="Q1106" t="str">
        <f>IF(P1106="","",IFERROR(IF(AND(H1106="W7",OR(F1106="causal",F1106="predictive")),IF(AND(OR(K1106=1,K1106="1"),OR(L1106=1,L1106="1"),OR(M1106=1,M1106="1")),"adequate","partial"),IF(AND(H1106="W4",F1106="predictive",OR(J1106="P2",J1106="P3",J1106="P4")),IF(OR(U1106=1,U1106="1"),"adequate","partial"),INDEX(Fit_Matrix!$B:$B,MATCH(P1106,Fit_Matrix!$A:$A,0)))),"CHECK KEY"))</f>
        <v/>
      </c>
      <c r="U1106" s="10"/>
      <c r="V1106" s="10"/>
      <c r="W1106" s="10"/>
      <c r="X1106" s="10"/>
      <c r="Y1106" s="10"/>
      <c r="Z1106" s="10"/>
      <c r="AA1106" s="11" t="str">
        <f t="shared" si="35"/>
        <v/>
      </c>
    </row>
    <row r="1107" spans="16:27" ht="15" customHeight="1">
      <c r="P1107" t="str">
        <f t="shared" si="34"/>
        <v/>
      </c>
      <c r="Q1107" t="str">
        <f>IF(P1107="","",IFERROR(IF(AND(H1107="W7",OR(F1107="causal",F1107="predictive")),IF(AND(OR(K1107=1,K1107="1"),OR(L1107=1,L1107="1"),OR(M1107=1,M1107="1")),"adequate","partial"),IF(AND(H1107="W4",F1107="predictive",OR(J1107="P2",J1107="P3",J1107="P4")),IF(OR(U1107=1,U1107="1"),"adequate","partial"),INDEX(Fit_Matrix!$B:$B,MATCH(P1107,Fit_Matrix!$A:$A,0)))),"CHECK KEY"))</f>
        <v/>
      </c>
      <c r="U1107" s="10"/>
      <c r="V1107" s="10"/>
      <c r="W1107" s="10"/>
      <c r="X1107" s="10"/>
      <c r="Y1107" s="10"/>
      <c r="Z1107" s="10"/>
      <c r="AA1107" s="11" t="str">
        <f t="shared" si="35"/>
        <v/>
      </c>
    </row>
    <row r="1108" spans="16:27" ht="15" customHeight="1">
      <c r="P1108" t="str">
        <f t="shared" si="34"/>
        <v/>
      </c>
      <c r="Q1108" t="str">
        <f>IF(P1108="","",IFERROR(IF(AND(H1108="W7",OR(F1108="causal",F1108="predictive")),IF(AND(OR(K1108=1,K1108="1"),OR(L1108=1,L1108="1"),OR(M1108=1,M1108="1")),"adequate","partial"),IF(AND(H1108="W4",F1108="predictive",OR(J1108="P2",J1108="P3",J1108="P4")),IF(OR(U1108=1,U1108="1"),"adequate","partial"),INDEX(Fit_Matrix!$B:$B,MATCH(P1108,Fit_Matrix!$A:$A,0)))),"CHECK KEY"))</f>
        <v/>
      </c>
      <c r="U1108" s="10"/>
      <c r="V1108" s="10"/>
      <c r="W1108" s="10"/>
      <c r="X1108" s="10"/>
      <c r="Y1108" s="10"/>
      <c r="Z1108" s="10"/>
      <c r="AA1108" s="11" t="str">
        <f t="shared" si="35"/>
        <v/>
      </c>
    </row>
    <row r="1109" spans="16:27" ht="15" customHeight="1">
      <c r="P1109" t="str">
        <f t="shared" si="34"/>
        <v/>
      </c>
      <c r="Q1109" t="str">
        <f>IF(P1109="","",IFERROR(IF(AND(H1109="W7",OR(F1109="causal",F1109="predictive")),IF(AND(OR(K1109=1,K1109="1"),OR(L1109=1,L1109="1"),OR(M1109=1,M1109="1")),"adequate","partial"),IF(AND(H1109="W4",F1109="predictive",OR(J1109="P2",J1109="P3",J1109="P4")),IF(OR(U1109=1,U1109="1"),"adequate","partial"),INDEX(Fit_Matrix!$B:$B,MATCH(P1109,Fit_Matrix!$A:$A,0)))),"CHECK KEY"))</f>
        <v/>
      </c>
      <c r="U1109" s="10"/>
      <c r="V1109" s="10"/>
      <c r="W1109" s="10"/>
      <c r="X1109" s="10"/>
      <c r="Y1109" s="10"/>
      <c r="Z1109" s="10"/>
      <c r="AA1109" s="11" t="str">
        <f t="shared" si="35"/>
        <v/>
      </c>
    </row>
    <row r="1110" spans="16:27" ht="15" customHeight="1">
      <c r="P1110" t="str">
        <f t="shared" si="34"/>
        <v/>
      </c>
      <c r="Q1110" t="str">
        <f>IF(P1110="","",IFERROR(IF(AND(H1110="W7",OR(F1110="causal",F1110="predictive")),IF(AND(OR(K1110=1,K1110="1"),OR(L1110=1,L1110="1"),OR(M1110=1,M1110="1")),"adequate","partial"),IF(AND(H1110="W4",F1110="predictive",OR(J1110="P2",J1110="P3",J1110="P4")),IF(OR(U1110=1,U1110="1"),"adequate","partial"),INDEX(Fit_Matrix!$B:$B,MATCH(P1110,Fit_Matrix!$A:$A,0)))),"CHECK KEY"))</f>
        <v/>
      </c>
      <c r="U1110" s="10"/>
      <c r="V1110" s="10"/>
      <c r="W1110" s="10"/>
      <c r="X1110" s="10"/>
      <c r="Y1110" s="10"/>
      <c r="Z1110" s="10"/>
      <c r="AA1110" s="11" t="str">
        <f t="shared" si="35"/>
        <v/>
      </c>
    </row>
    <row r="1111" spans="16:27" ht="15" customHeight="1">
      <c r="P1111" t="str">
        <f t="shared" si="34"/>
        <v/>
      </c>
      <c r="Q1111" t="str">
        <f>IF(P1111="","",IFERROR(IF(AND(H1111="W7",OR(F1111="causal",F1111="predictive")),IF(AND(OR(K1111=1,K1111="1"),OR(L1111=1,L1111="1"),OR(M1111=1,M1111="1")),"adequate","partial"),IF(AND(H1111="W4",F1111="predictive",OR(J1111="P2",J1111="P3",J1111="P4")),IF(OR(U1111=1,U1111="1"),"adequate","partial"),INDEX(Fit_Matrix!$B:$B,MATCH(P1111,Fit_Matrix!$A:$A,0)))),"CHECK KEY"))</f>
        <v/>
      </c>
      <c r="U1111" s="10"/>
      <c r="V1111" s="10"/>
      <c r="W1111" s="10"/>
      <c r="X1111" s="10"/>
      <c r="Y1111" s="10"/>
      <c r="Z1111" s="10"/>
      <c r="AA1111" s="11" t="str">
        <f t="shared" si="35"/>
        <v/>
      </c>
    </row>
    <row r="1112" spans="16:27" ht="15" customHeight="1">
      <c r="P1112" t="str">
        <f t="shared" si="34"/>
        <v/>
      </c>
      <c r="Q1112" t="str">
        <f>IF(P1112="","",IFERROR(IF(AND(H1112="W7",OR(F1112="causal",F1112="predictive")),IF(AND(OR(K1112=1,K1112="1"),OR(L1112=1,L1112="1"),OR(M1112=1,M1112="1")),"adequate","partial"),IF(AND(H1112="W4",F1112="predictive",OR(J1112="P2",J1112="P3",J1112="P4")),IF(OR(U1112=1,U1112="1"),"adequate","partial"),INDEX(Fit_Matrix!$B:$B,MATCH(P1112,Fit_Matrix!$A:$A,0)))),"CHECK KEY"))</f>
        <v/>
      </c>
      <c r="U1112" s="10"/>
      <c r="V1112" s="10"/>
      <c r="W1112" s="10"/>
      <c r="X1112" s="10"/>
      <c r="Y1112" s="10"/>
      <c r="Z1112" s="10"/>
      <c r="AA1112" s="11" t="str">
        <f t="shared" si="35"/>
        <v/>
      </c>
    </row>
    <row r="1113" spans="16:27" ht="15" customHeight="1">
      <c r="P1113" t="str">
        <f t="shared" si="34"/>
        <v/>
      </c>
      <c r="Q1113" t="str">
        <f>IF(P1113="","",IFERROR(IF(AND(H1113="W7",OR(F1113="causal",F1113="predictive")),IF(AND(OR(K1113=1,K1113="1"),OR(L1113=1,L1113="1"),OR(M1113=1,M1113="1")),"adequate","partial"),IF(AND(H1113="W4",F1113="predictive",OR(J1113="P2",J1113="P3",J1113="P4")),IF(OR(U1113=1,U1113="1"),"adequate","partial"),INDEX(Fit_Matrix!$B:$B,MATCH(P1113,Fit_Matrix!$A:$A,0)))),"CHECK KEY"))</f>
        <v/>
      </c>
      <c r="U1113" s="10"/>
      <c r="V1113" s="10"/>
      <c r="W1113" s="10"/>
      <c r="X1113" s="10"/>
      <c r="Y1113" s="10"/>
      <c r="Z1113" s="10"/>
      <c r="AA1113" s="11" t="str">
        <f t="shared" si="35"/>
        <v/>
      </c>
    </row>
    <row r="1114" spans="16:27" ht="15" customHeight="1">
      <c r="P1114" t="str">
        <f t="shared" si="34"/>
        <v/>
      </c>
      <c r="Q1114" t="str">
        <f>IF(P1114="","",IFERROR(IF(AND(H1114="W7",OR(F1114="causal",F1114="predictive")),IF(AND(OR(K1114=1,K1114="1"),OR(L1114=1,L1114="1"),OR(M1114=1,M1114="1")),"adequate","partial"),IF(AND(H1114="W4",F1114="predictive",OR(J1114="P2",J1114="P3",J1114="P4")),IF(OR(U1114=1,U1114="1"),"adequate","partial"),INDEX(Fit_Matrix!$B:$B,MATCH(P1114,Fit_Matrix!$A:$A,0)))),"CHECK KEY"))</f>
        <v/>
      </c>
      <c r="U1114" s="10"/>
      <c r="V1114" s="10"/>
      <c r="W1114" s="10"/>
      <c r="X1114" s="10"/>
      <c r="Y1114" s="10"/>
      <c r="Z1114" s="10"/>
      <c r="AA1114" s="11" t="str">
        <f t="shared" si="35"/>
        <v/>
      </c>
    </row>
    <row r="1115" spans="16:27" ht="15" customHeight="1">
      <c r="P1115" t="str">
        <f t="shared" si="34"/>
        <v/>
      </c>
      <c r="Q1115" t="str">
        <f>IF(P1115="","",IFERROR(IF(AND(H1115="W7",OR(F1115="causal",F1115="predictive")),IF(AND(OR(K1115=1,K1115="1"),OR(L1115=1,L1115="1"),OR(M1115=1,M1115="1")),"adequate","partial"),IF(AND(H1115="W4",F1115="predictive",OR(J1115="P2",J1115="P3",J1115="P4")),IF(OR(U1115=1,U1115="1"),"adequate","partial"),INDEX(Fit_Matrix!$B:$B,MATCH(P1115,Fit_Matrix!$A:$A,0)))),"CHECK KEY"))</f>
        <v/>
      </c>
      <c r="U1115" s="10"/>
      <c r="V1115" s="10"/>
      <c r="W1115" s="10"/>
      <c r="X1115" s="10"/>
      <c r="Y1115" s="10"/>
      <c r="Z1115" s="10"/>
      <c r="AA1115" s="11" t="str">
        <f t="shared" si="35"/>
        <v/>
      </c>
    </row>
    <row r="1116" spans="16:27" ht="15" customHeight="1">
      <c r="P1116" t="str">
        <f t="shared" si="34"/>
        <v/>
      </c>
      <c r="Q1116" t="str">
        <f>IF(P1116="","",IFERROR(IF(AND(H1116="W7",OR(F1116="causal",F1116="predictive")),IF(AND(OR(K1116=1,K1116="1"),OR(L1116=1,L1116="1"),OR(M1116=1,M1116="1")),"adequate","partial"),IF(AND(H1116="W4",F1116="predictive",OR(J1116="P2",J1116="P3",J1116="P4")),IF(OR(U1116=1,U1116="1"),"adequate","partial"),INDEX(Fit_Matrix!$B:$B,MATCH(P1116,Fit_Matrix!$A:$A,0)))),"CHECK KEY"))</f>
        <v/>
      </c>
      <c r="U1116" s="10"/>
      <c r="V1116" s="10"/>
      <c r="W1116" s="10"/>
      <c r="X1116" s="10"/>
      <c r="Y1116" s="10"/>
      <c r="Z1116" s="10"/>
      <c r="AA1116" s="11" t="str">
        <f t="shared" si="35"/>
        <v/>
      </c>
    </row>
    <row r="1117" spans="16:27" ht="15" customHeight="1">
      <c r="P1117" t="str">
        <f t="shared" si="34"/>
        <v/>
      </c>
      <c r="Q1117" t="str">
        <f>IF(P1117="","",IFERROR(IF(AND(H1117="W7",OR(F1117="causal",F1117="predictive")),IF(AND(OR(K1117=1,K1117="1"),OR(L1117=1,L1117="1"),OR(M1117=1,M1117="1")),"adequate","partial"),IF(AND(H1117="W4",F1117="predictive",OR(J1117="P2",J1117="P3",J1117="P4")),IF(OR(U1117=1,U1117="1"),"adequate","partial"),INDEX(Fit_Matrix!$B:$B,MATCH(P1117,Fit_Matrix!$A:$A,0)))),"CHECK KEY"))</f>
        <v/>
      </c>
      <c r="U1117" s="10"/>
      <c r="V1117" s="10"/>
      <c r="W1117" s="10"/>
      <c r="X1117" s="10"/>
      <c r="Y1117" s="10"/>
      <c r="Z1117" s="10"/>
      <c r="AA1117" s="11" t="str">
        <f t="shared" si="35"/>
        <v/>
      </c>
    </row>
    <row r="1118" spans="16:27" ht="15" customHeight="1">
      <c r="P1118" t="str">
        <f t="shared" si="34"/>
        <v/>
      </c>
      <c r="Q1118" t="str">
        <f>IF(P1118="","",IFERROR(IF(AND(H1118="W7",OR(F1118="causal",F1118="predictive")),IF(AND(OR(K1118=1,K1118="1"),OR(L1118=1,L1118="1"),OR(M1118=1,M1118="1")),"adequate","partial"),IF(AND(H1118="W4",F1118="predictive",OR(J1118="P2",J1118="P3",J1118="P4")),IF(OR(U1118=1,U1118="1"),"adequate","partial"),INDEX(Fit_Matrix!$B:$B,MATCH(P1118,Fit_Matrix!$A:$A,0)))),"CHECK KEY"))</f>
        <v/>
      </c>
      <c r="U1118" s="10"/>
      <c r="V1118" s="10"/>
      <c r="W1118" s="10"/>
      <c r="X1118" s="10"/>
      <c r="Y1118" s="10"/>
      <c r="Z1118" s="10"/>
      <c r="AA1118" s="11" t="str">
        <f t="shared" si="35"/>
        <v/>
      </c>
    </row>
    <row r="1119" spans="16:27" ht="15" customHeight="1">
      <c r="P1119" t="str">
        <f t="shared" si="34"/>
        <v/>
      </c>
      <c r="Q1119" t="str">
        <f>IF(P1119="","",IFERROR(IF(AND(H1119="W7",OR(F1119="causal",F1119="predictive")),IF(AND(OR(K1119=1,K1119="1"),OR(L1119=1,L1119="1"),OR(M1119=1,M1119="1")),"adequate","partial"),IF(AND(H1119="W4",F1119="predictive",OR(J1119="P2",J1119="P3",J1119="P4")),IF(OR(U1119=1,U1119="1"),"adequate","partial"),INDEX(Fit_Matrix!$B:$B,MATCH(P1119,Fit_Matrix!$A:$A,0)))),"CHECK KEY"))</f>
        <v/>
      </c>
      <c r="U1119" s="10"/>
      <c r="V1119" s="10"/>
      <c r="W1119" s="10"/>
      <c r="X1119" s="10"/>
      <c r="Y1119" s="10"/>
      <c r="Z1119" s="10"/>
      <c r="AA1119" s="11" t="str">
        <f t="shared" si="35"/>
        <v/>
      </c>
    </row>
    <row r="1120" spans="16:27" ht="15" customHeight="1">
      <c r="P1120" t="str">
        <f t="shared" si="34"/>
        <v/>
      </c>
      <c r="Q1120" t="str">
        <f>IF(P1120="","",IFERROR(IF(AND(H1120="W7",OR(F1120="causal",F1120="predictive")),IF(AND(OR(K1120=1,K1120="1"),OR(L1120=1,L1120="1"),OR(M1120=1,M1120="1")),"adequate","partial"),IF(AND(H1120="W4",F1120="predictive",OR(J1120="P2",J1120="P3",J1120="P4")),IF(OR(U1120=1,U1120="1"),"adequate","partial"),INDEX(Fit_Matrix!$B:$B,MATCH(P1120,Fit_Matrix!$A:$A,0)))),"CHECK KEY"))</f>
        <v/>
      </c>
      <c r="U1120" s="10"/>
      <c r="V1120" s="10"/>
      <c r="W1120" s="10"/>
      <c r="X1120" s="10"/>
      <c r="Y1120" s="10"/>
      <c r="Z1120" s="10"/>
      <c r="AA1120" s="11" t="str">
        <f t="shared" si="35"/>
        <v/>
      </c>
    </row>
    <row r="1121" spans="16:27" ht="15" customHeight="1">
      <c r="P1121" t="str">
        <f t="shared" si="34"/>
        <v/>
      </c>
      <c r="Q1121" t="str">
        <f>IF(P1121="","",IFERROR(IF(AND(H1121="W7",OR(F1121="causal",F1121="predictive")),IF(AND(OR(K1121=1,K1121="1"),OR(L1121=1,L1121="1"),OR(M1121=1,M1121="1")),"adequate","partial"),IF(AND(H1121="W4",F1121="predictive",OR(J1121="P2",J1121="P3",J1121="P4")),IF(OR(U1121=1,U1121="1"),"adequate","partial"),INDEX(Fit_Matrix!$B:$B,MATCH(P1121,Fit_Matrix!$A:$A,0)))),"CHECK KEY"))</f>
        <v/>
      </c>
      <c r="U1121" s="10"/>
      <c r="V1121" s="10"/>
      <c r="W1121" s="10"/>
      <c r="X1121" s="10"/>
      <c r="Y1121" s="10"/>
      <c r="Z1121" s="10"/>
      <c r="AA1121" s="11" t="str">
        <f t="shared" si="35"/>
        <v/>
      </c>
    </row>
    <row r="1122" spans="16:27" ht="15" customHeight="1">
      <c r="P1122" t="str">
        <f t="shared" si="34"/>
        <v/>
      </c>
      <c r="Q1122" t="str">
        <f>IF(P1122="","",IFERROR(IF(AND(H1122="W7",OR(F1122="causal",F1122="predictive")),IF(AND(OR(K1122=1,K1122="1"),OR(L1122=1,L1122="1"),OR(M1122=1,M1122="1")),"adequate","partial"),IF(AND(H1122="W4",F1122="predictive",OR(J1122="P2",J1122="P3",J1122="P4")),IF(OR(U1122=1,U1122="1"),"adequate","partial"),INDEX(Fit_Matrix!$B:$B,MATCH(P1122,Fit_Matrix!$A:$A,0)))),"CHECK KEY"))</f>
        <v/>
      </c>
      <c r="U1122" s="10"/>
      <c r="V1122" s="10"/>
      <c r="W1122" s="10"/>
      <c r="X1122" s="10"/>
      <c r="Y1122" s="10"/>
      <c r="Z1122" s="10"/>
      <c r="AA1122" s="11" t="str">
        <f t="shared" si="35"/>
        <v/>
      </c>
    </row>
    <row r="1123" spans="16:27" ht="15" customHeight="1">
      <c r="P1123" t="str">
        <f t="shared" si="34"/>
        <v/>
      </c>
      <c r="Q1123" t="str">
        <f>IF(P1123="","",IFERROR(IF(AND(H1123="W7",OR(F1123="causal",F1123="predictive")),IF(AND(OR(K1123=1,K1123="1"),OR(L1123=1,L1123="1"),OR(M1123=1,M1123="1")),"adequate","partial"),IF(AND(H1123="W4",F1123="predictive",OR(J1123="P2",J1123="P3",J1123="P4")),IF(OR(U1123=1,U1123="1"),"adequate","partial"),INDEX(Fit_Matrix!$B:$B,MATCH(P1123,Fit_Matrix!$A:$A,0)))),"CHECK KEY"))</f>
        <v/>
      </c>
      <c r="U1123" s="10"/>
      <c r="V1123" s="10"/>
      <c r="W1123" s="10"/>
      <c r="X1123" s="10"/>
      <c r="Y1123" s="10"/>
      <c r="Z1123" s="10"/>
      <c r="AA1123" s="11" t="str">
        <f t="shared" si="35"/>
        <v/>
      </c>
    </row>
    <row r="1124" spans="16:27" ht="15" customHeight="1">
      <c r="P1124" t="str">
        <f t="shared" si="34"/>
        <v/>
      </c>
      <c r="Q1124" t="str">
        <f>IF(P1124="","",IFERROR(IF(AND(H1124="W7",OR(F1124="causal",F1124="predictive")),IF(AND(OR(K1124=1,K1124="1"),OR(L1124=1,L1124="1"),OR(M1124=1,M1124="1")),"adequate","partial"),IF(AND(H1124="W4",F1124="predictive",OR(J1124="P2",J1124="P3",J1124="P4")),IF(OR(U1124=1,U1124="1"),"adequate","partial"),INDEX(Fit_Matrix!$B:$B,MATCH(P1124,Fit_Matrix!$A:$A,0)))),"CHECK KEY"))</f>
        <v/>
      </c>
      <c r="U1124" s="10"/>
      <c r="V1124" s="10"/>
      <c r="W1124" s="10"/>
      <c r="X1124" s="10"/>
      <c r="Y1124" s="10"/>
      <c r="Z1124" s="10"/>
      <c r="AA1124" s="11" t="str">
        <f t="shared" si="35"/>
        <v/>
      </c>
    </row>
    <row r="1125" spans="16:27" ht="15" customHeight="1">
      <c r="P1125" t="str">
        <f t="shared" si="34"/>
        <v/>
      </c>
      <c r="Q1125" t="str">
        <f>IF(P1125="","",IFERROR(IF(AND(H1125="W7",OR(F1125="causal",F1125="predictive")),IF(AND(OR(K1125=1,K1125="1"),OR(L1125=1,L1125="1"),OR(M1125=1,M1125="1")),"adequate","partial"),IF(AND(H1125="W4",F1125="predictive",OR(J1125="P2",J1125="P3",J1125="P4")),IF(OR(U1125=1,U1125="1"),"adequate","partial"),INDEX(Fit_Matrix!$B:$B,MATCH(P1125,Fit_Matrix!$A:$A,0)))),"CHECK KEY"))</f>
        <v/>
      </c>
      <c r="U1125" s="10"/>
      <c r="V1125" s="10"/>
      <c r="W1125" s="10"/>
      <c r="X1125" s="10"/>
      <c r="Y1125" s="10"/>
      <c r="Z1125" s="10"/>
      <c r="AA1125" s="11" t="str">
        <f t="shared" si="35"/>
        <v/>
      </c>
    </row>
    <row r="1126" spans="16:27" ht="15" customHeight="1">
      <c r="P1126" t="str">
        <f t="shared" si="34"/>
        <v/>
      </c>
      <c r="Q1126" t="str">
        <f>IF(P1126="","",IFERROR(IF(AND(H1126="W7",OR(F1126="causal",F1126="predictive")),IF(AND(OR(K1126=1,K1126="1"),OR(L1126=1,L1126="1"),OR(M1126=1,M1126="1")),"adequate","partial"),IF(AND(H1126="W4",F1126="predictive",OR(J1126="P2",J1126="P3",J1126="P4")),IF(OR(U1126=1,U1126="1"),"adequate","partial"),INDEX(Fit_Matrix!$B:$B,MATCH(P1126,Fit_Matrix!$A:$A,0)))),"CHECK KEY"))</f>
        <v/>
      </c>
      <c r="U1126" s="10"/>
      <c r="V1126" s="10"/>
      <c r="W1126" s="10"/>
      <c r="X1126" s="10"/>
      <c r="Y1126" s="10"/>
      <c r="Z1126" s="10"/>
      <c r="AA1126" s="11" t="str">
        <f t="shared" si="35"/>
        <v/>
      </c>
    </row>
    <row r="1127" spans="16:27" ht="15" customHeight="1">
      <c r="P1127" t="str">
        <f t="shared" si="34"/>
        <v/>
      </c>
      <c r="Q1127" t="str">
        <f>IF(P1127="","",IFERROR(IF(AND(H1127="W7",OR(F1127="causal",F1127="predictive")),IF(AND(OR(K1127=1,K1127="1"),OR(L1127=1,L1127="1"),OR(M1127=1,M1127="1")),"adequate","partial"),IF(AND(H1127="W4",F1127="predictive",OR(J1127="P2",J1127="P3",J1127="P4")),IF(OR(U1127=1,U1127="1"),"adequate","partial"),INDEX(Fit_Matrix!$B:$B,MATCH(P1127,Fit_Matrix!$A:$A,0)))),"CHECK KEY"))</f>
        <v/>
      </c>
      <c r="U1127" s="10"/>
      <c r="V1127" s="10"/>
      <c r="W1127" s="10"/>
      <c r="X1127" s="10"/>
      <c r="Y1127" s="10"/>
      <c r="Z1127" s="10"/>
      <c r="AA1127" s="11" t="str">
        <f t="shared" si="35"/>
        <v/>
      </c>
    </row>
    <row r="1128" spans="16:27" ht="15" customHeight="1">
      <c r="P1128" t="str">
        <f t="shared" si="34"/>
        <v/>
      </c>
      <c r="Q1128" t="str">
        <f>IF(P1128="","",IFERROR(IF(AND(H1128="W7",OR(F1128="causal",F1128="predictive")),IF(AND(OR(K1128=1,K1128="1"),OR(L1128=1,L1128="1"),OR(M1128=1,M1128="1")),"adequate","partial"),IF(AND(H1128="W4",F1128="predictive",OR(J1128="P2",J1128="P3",J1128="P4")),IF(OR(U1128=1,U1128="1"),"adequate","partial"),INDEX(Fit_Matrix!$B:$B,MATCH(P1128,Fit_Matrix!$A:$A,0)))),"CHECK KEY"))</f>
        <v/>
      </c>
      <c r="U1128" s="10"/>
      <c r="V1128" s="10"/>
      <c r="W1128" s="10"/>
      <c r="X1128" s="10"/>
      <c r="Y1128" s="10"/>
      <c r="Z1128" s="10"/>
      <c r="AA1128" s="11" t="str">
        <f t="shared" si="35"/>
        <v/>
      </c>
    </row>
    <row r="1129" spans="16:27" ht="15" customHeight="1">
      <c r="P1129" t="str">
        <f t="shared" si="34"/>
        <v/>
      </c>
      <c r="Q1129" t="str">
        <f>IF(P1129="","",IFERROR(IF(AND(H1129="W7",OR(F1129="causal",F1129="predictive")),IF(AND(OR(K1129=1,K1129="1"),OR(L1129=1,L1129="1"),OR(M1129=1,M1129="1")),"adequate","partial"),IF(AND(H1129="W4",F1129="predictive",OR(J1129="P2",J1129="P3",J1129="P4")),IF(OR(U1129=1,U1129="1"),"adequate","partial"),INDEX(Fit_Matrix!$B:$B,MATCH(P1129,Fit_Matrix!$A:$A,0)))),"CHECK KEY"))</f>
        <v/>
      </c>
      <c r="U1129" s="10"/>
      <c r="V1129" s="10"/>
      <c r="W1129" s="10"/>
      <c r="X1129" s="10"/>
      <c r="Y1129" s="10"/>
      <c r="Z1129" s="10"/>
      <c r="AA1129" s="11" t="str">
        <f t="shared" si="35"/>
        <v/>
      </c>
    </row>
    <row r="1130" spans="16:27" ht="15" customHeight="1">
      <c r="P1130" t="str">
        <f t="shared" si="34"/>
        <v/>
      </c>
      <c r="Q1130" t="str">
        <f>IF(P1130="","",IFERROR(IF(AND(H1130="W7",OR(F1130="causal",F1130="predictive")),IF(AND(OR(K1130=1,K1130="1"),OR(L1130=1,L1130="1"),OR(M1130=1,M1130="1")),"adequate","partial"),IF(AND(H1130="W4",F1130="predictive",OR(J1130="P2",J1130="P3",J1130="P4")),IF(OR(U1130=1,U1130="1"),"adequate","partial"),INDEX(Fit_Matrix!$B:$B,MATCH(P1130,Fit_Matrix!$A:$A,0)))),"CHECK KEY"))</f>
        <v/>
      </c>
      <c r="U1130" s="10"/>
      <c r="V1130" s="10"/>
      <c r="W1130" s="10"/>
      <c r="X1130" s="10"/>
      <c r="Y1130" s="10"/>
      <c r="Z1130" s="10"/>
      <c r="AA1130" s="11" t="str">
        <f t="shared" si="35"/>
        <v/>
      </c>
    </row>
    <row r="1131" spans="16:27" ht="15" customHeight="1">
      <c r="P1131" t="str">
        <f t="shared" si="34"/>
        <v/>
      </c>
      <c r="Q1131" t="str">
        <f>IF(P1131="","",IFERROR(IF(AND(H1131="W7",OR(F1131="causal",F1131="predictive")),IF(AND(OR(K1131=1,K1131="1"),OR(L1131=1,L1131="1"),OR(M1131=1,M1131="1")),"adequate","partial"),IF(AND(H1131="W4",F1131="predictive",OR(J1131="P2",J1131="P3",J1131="P4")),IF(OR(U1131=1,U1131="1"),"adequate","partial"),INDEX(Fit_Matrix!$B:$B,MATCH(P1131,Fit_Matrix!$A:$A,0)))),"CHECK KEY"))</f>
        <v/>
      </c>
      <c r="U1131" s="10"/>
      <c r="V1131" s="10"/>
      <c r="W1131" s="10"/>
      <c r="X1131" s="10"/>
      <c r="Y1131" s="10"/>
      <c r="Z1131" s="10"/>
      <c r="AA1131" s="11" t="str">
        <f t="shared" si="35"/>
        <v/>
      </c>
    </row>
    <row r="1132" spans="16:27" ht="15" customHeight="1">
      <c r="P1132" t="str">
        <f t="shared" si="34"/>
        <v/>
      </c>
      <c r="Q1132" t="str">
        <f>IF(P1132="","",IFERROR(IF(AND(H1132="W7",OR(F1132="causal",F1132="predictive")),IF(AND(OR(K1132=1,K1132="1"),OR(L1132=1,L1132="1"),OR(M1132=1,M1132="1")),"adequate","partial"),IF(AND(H1132="W4",F1132="predictive",OR(J1132="P2",J1132="P3",J1132="P4")),IF(OR(U1132=1,U1132="1"),"adequate","partial"),INDEX(Fit_Matrix!$B:$B,MATCH(P1132,Fit_Matrix!$A:$A,0)))),"CHECK KEY"))</f>
        <v/>
      </c>
      <c r="U1132" s="10"/>
      <c r="V1132" s="10"/>
      <c r="W1132" s="10"/>
      <c r="X1132" s="10"/>
      <c r="Y1132" s="10"/>
      <c r="Z1132" s="10"/>
      <c r="AA1132" s="11" t="str">
        <f t="shared" si="35"/>
        <v/>
      </c>
    </row>
    <row r="1133" spans="16:27" ht="15" customHeight="1">
      <c r="P1133" t="str">
        <f t="shared" si="34"/>
        <v/>
      </c>
      <c r="Q1133" t="str">
        <f>IF(P1133="","",IFERROR(IF(AND(H1133="W7",OR(F1133="causal",F1133="predictive")),IF(AND(OR(K1133=1,K1133="1"),OR(L1133=1,L1133="1"),OR(M1133=1,M1133="1")),"adequate","partial"),IF(AND(H1133="W4",F1133="predictive",OR(J1133="P2",J1133="P3",J1133="P4")),IF(OR(U1133=1,U1133="1"),"adequate","partial"),INDEX(Fit_Matrix!$B:$B,MATCH(P1133,Fit_Matrix!$A:$A,0)))),"CHECK KEY"))</f>
        <v/>
      </c>
      <c r="U1133" s="10"/>
      <c r="V1133" s="10"/>
      <c r="W1133" s="10"/>
      <c r="X1133" s="10"/>
      <c r="Y1133" s="10"/>
      <c r="Z1133" s="10"/>
      <c r="AA1133" s="11" t="str">
        <f t="shared" si="35"/>
        <v/>
      </c>
    </row>
    <row r="1134" spans="16:27" ht="15" customHeight="1">
      <c r="P1134" t="str">
        <f t="shared" si="34"/>
        <v/>
      </c>
      <c r="Q1134" t="str">
        <f>IF(P1134="","",IFERROR(IF(AND(H1134="W7",OR(F1134="causal",F1134="predictive")),IF(AND(OR(K1134=1,K1134="1"),OR(L1134=1,L1134="1"),OR(M1134=1,M1134="1")),"adequate","partial"),IF(AND(H1134="W4",F1134="predictive",OR(J1134="P2",J1134="P3",J1134="P4")),IF(OR(U1134=1,U1134="1"),"adequate","partial"),INDEX(Fit_Matrix!$B:$B,MATCH(P1134,Fit_Matrix!$A:$A,0)))),"CHECK KEY"))</f>
        <v/>
      </c>
      <c r="U1134" s="10"/>
      <c r="V1134" s="10"/>
      <c r="W1134" s="10"/>
      <c r="X1134" s="10"/>
      <c r="Y1134" s="10"/>
      <c r="Z1134" s="10"/>
      <c r="AA1134" s="11" t="str">
        <f t="shared" si="35"/>
        <v/>
      </c>
    </row>
    <row r="1135" spans="16:27" ht="15" customHeight="1">
      <c r="P1135" t="str">
        <f t="shared" si="34"/>
        <v/>
      </c>
      <c r="Q1135" t="str">
        <f>IF(P1135="","",IFERROR(IF(AND(H1135="W7",OR(F1135="causal",F1135="predictive")),IF(AND(OR(K1135=1,K1135="1"),OR(L1135=1,L1135="1"),OR(M1135=1,M1135="1")),"adequate","partial"),IF(AND(H1135="W4",F1135="predictive",OR(J1135="P2",J1135="P3",J1135="P4")),IF(OR(U1135=1,U1135="1"),"adequate","partial"),INDEX(Fit_Matrix!$B:$B,MATCH(P1135,Fit_Matrix!$A:$A,0)))),"CHECK KEY"))</f>
        <v/>
      </c>
      <c r="U1135" s="10"/>
      <c r="V1135" s="10"/>
      <c r="W1135" s="10"/>
      <c r="X1135" s="10"/>
      <c r="Y1135" s="10"/>
      <c r="Z1135" s="10"/>
      <c r="AA1135" s="11" t="str">
        <f t="shared" si="35"/>
        <v/>
      </c>
    </row>
    <row r="1136" spans="16:27" ht="15" customHeight="1">
      <c r="P1136" t="str">
        <f t="shared" si="34"/>
        <v/>
      </c>
      <c r="Q1136" t="str">
        <f>IF(P1136="","",IFERROR(IF(AND(H1136="W7",OR(F1136="causal",F1136="predictive")),IF(AND(OR(K1136=1,K1136="1"),OR(L1136=1,L1136="1"),OR(M1136=1,M1136="1")),"adequate","partial"),IF(AND(H1136="W4",F1136="predictive",OR(J1136="P2",J1136="P3",J1136="P4")),IF(OR(U1136=1,U1136="1"),"adequate","partial"),INDEX(Fit_Matrix!$B:$B,MATCH(P1136,Fit_Matrix!$A:$A,0)))),"CHECK KEY"))</f>
        <v/>
      </c>
      <c r="U1136" s="10"/>
      <c r="V1136" s="10"/>
      <c r="W1136" s="10"/>
      <c r="X1136" s="10"/>
      <c r="Y1136" s="10"/>
      <c r="Z1136" s="10"/>
      <c r="AA1136" s="11" t="str">
        <f t="shared" si="35"/>
        <v/>
      </c>
    </row>
    <row r="1137" spans="16:27" ht="15" customHeight="1">
      <c r="P1137" t="str">
        <f t="shared" si="34"/>
        <v/>
      </c>
      <c r="Q1137" t="str">
        <f>IF(P1137="","",IFERROR(IF(AND(H1137="W7",OR(F1137="causal",F1137="predictive")),IF(AND(OR(K1137=1,K1137="1"),OR(L1137=1,L1137="1"),OR(M1137=1,M1137="1")),"adequate","partial"),IF(AND(H1137="W4",F1137="predictive",OR(J1137="P2",J1137="P3",J1137="P4")),IF(OR(U1137=1,U1137="1"),"adequate","partial"),INDEX(Fit_Matrix!$B:$B,MATCH(P1137,Fit_Matrix!$A:$A,0)))),"CHECK KEY"))</f>
        <v/>
      </c>
      <c r="U1137" s="10"/>
      <c r="V1137" s="10"/>
      <c r="W1137" s="10"/>
      <c r="X1137" s="10"/>
      <c r="Y1137" s="10"/>
      <c r="Z1137" s="10"/>
      <c r="AA1137" s="11" t="str">
        <f t="shared" si="35"/>
        <v/>
      </c>
    </row>
    <row r="1138" spans="16:27" ht="15" customHeight="1">
      <c r="P1138" t="str">
        <f t="shared" si="34"/>
        <v/>
      </c>
      <c r="Q1138" t="str">
        <f>IF(P1138="","",IFERROR(IF(AND(H1138="W7",OR(F1138="causal",F1138="predictive")),IF(AND(OR(K1138=1,K1138="1"),OR(L1138=1,L1138="1"),OR(M1138=1,M1138="1")),"adequate","partial"),IF(AND(H1138="W4",F1138="predictive",OR(J1138="P2",J1138="P3",J1138="P4")),IF(OR(U1138=1,U1138="1"),"adequate","partial"),INDEX(Fit_Matrix!$B:$B,MATCH(P1138,Fit_Matrix!$A:$A,0)))),"CHECK KEY"))</f>
        <v/>
      </c>
      <c r="U1138" s="10"/>
      <c r="V1138" s="10"/>
      <c r="W1138" s="10"/>
      <c r="X1138" s="10"/>
      <c r="Y1138" s="10"/>
      <c r="Z1138" s="10"/>
      <c r="AA1138" s="11" t="str">
        <f t="shared" si="35"/>
        <v/>
      </c>
    </row>
    <row r="1139" spans="16:27" ht="15" customHeight="1">
      <c r="P1139" t="str">
        <f t="shared" si="34"/>
        <v/>
      </c>
      <c r="Q1139" t="str">
        <f>IF(P1139="","",IFERROR(IF(AND(H1139="W7",OR(F1139="causal",F1139="predictive")),IF(AND(OR(K1139=1,K1139="1"),OR(L1139=1,L1139="1"),OR(M1139=1,M1139="1")),"adequate","partial"),IF(AND(H1139="W4",F1139="predictive",OR(J1139="P2",J1139="P3",J1139="P4")),IF(OR(U1139=1,U1139="1"),"adequate","partial"),INDEX(Fit_Matrix!$B:$B,MATCH(P1139,Fit_Matrix!$A:$A,0)))),"CHECK KEY"))</f>
        <v/>
      </c>
      <c r="U1139" s="10"/>
      <c r="V1139" s="10"/>
      <c r="W1139" s="10"/>
      <c r="X1139" s="10"/>
      <c r="Y1139" s="10"/>
      <c r="Z1139" s="10"/>
      <c r="AA1139" s="11" t="str">
        <f t="shared" si="35"/>
        <v/>
      </c>
    </row>
    <row r="1140" spans="16:27" ht="15" customHeight="1">
      <c r="P1140" t="str">
        <f t="shared" si="34"/>
        <v/>
      </c>
      <c r="Q1140" t="str">
        <f>IF(P1140="","",IFERROR(IF(AND(H1140="W7",OR(F1140="causal",F1140="predictive")),IF(AND(OR(K1140=1,K1140="1"),OR(L1140=1,L1140="1"),OR(M1140=1,M1140="1")),"adequate","partial"),IF(AND(H1140="W4",F1140="predictive",OR(J1140="P2",J1140="P3",J1140="P4")),IF(OR(U1140=1,U1140="1"),"adequate","partial"),INDEX(Fit_Matrix!$B:$B,MATCH(P1140,Fit_Matrix!$A:$A,0)))),"CHECK KEY"))</f>
        <v/>
      </c>
      <c r="U1140" s="10"/>
      <c r="V1140" s="10"/>
      <c r="W1140" s="10"/>
      <c r="X1140" s="10"/>
      <c r="Y1140" s="10"/>
      <c r="Z1140" s="10"/>
      <c r="AA1140" s="11" t="str">
        <f t="shared" si="35"/>
        <v/>
      </c>
    </row>
    <row r="1141" spans="16:27" ht="15" customHeight="1">
      <c r="P1141" t="str">
        <f t="shared" si="34"/>
        <v/>
      </c>
      <c r="Q1141" t="str">
        <f>IF(P1141="","",IFERROR(IF(AND(H1141="W7",OR(F1141="causal",F1141="predictive")),IF(AND(OR(K1141=1,K1141="1"),OR(L1141=1,L1141="1"),OR(M1141=1,M1141="1")),"adequate","partial"),IF(AND(H1141="W4",F1141="predictive",OR(J1141="P2",J1141="P3",J1141="P4")),IF(OR(U1141=1,U1141="1"),"adequate","partial"),INDEX(Fit_Matrix!$B:$B,MATCH(P1141,Fit_Matrix!$A:$A,0)))),"CHECK KEY"))</f>
        <v/>
      </c>
      <c r="U1141" s="10"/>
      <c r="V1141" s="10"/>
      <c r="W1141" s="10"/>
      <c r="X1141" s="10"/>
      <c r="Y1141" s="10"/>
      <c r="Z1141" s="10"/>
      <c r="AA1141" s="11" t="str">
        <f t="shared" si="35"/>
        <v/>
      </c>
    </row>
    <row r="1142" spans="16:27" ht="15" customHeight="1">
      <c r="P1142" t="str">
        <f t="shared" si="34"/>
        <v/>
      </c>
      <c r="Q1142" t="str">
        <f>IF(P1142="","",IFERROR(IF(AND(H1142="W7",OR(F1142="causal",F1142="predictive")),IF(AND(OR(K1142=1,K1142="1"),OR(L1142=1,L1142="1"),OR(M1142=1,M1142="1")),"adequate","partial"),IF(AND(H1142="W4",F1142="predictive",OR(J1142="P2",J1142="P3",J1142="P4")),IF(OR(U1142=1,U1142="1"),"adequate","partial"),INDEX(Fit_Matrix!$B:$B,MATCH(P1142,Fit_Matrix!$A:$A,0)))),"CHECK KEY"))</f>
        <v/>
      </c>
      <c r="U1142" s="10"/>
      <c r="V1142" s="10"/>
      <c r="W1142" s="10"/>
      <c r="X1142" s="10"/>
      <c r="Y1142" s="10"/>
      <c r="Z1142" s="10"/>
      <c r="AA1142" s="11" t="str">
        <f t="shared" si="35"/>
        <v/>
      </c>
    </row>
    <row r="1143" spans="16:27" ht="15" customHeight="1">
      <c r="P1143" t="str">
        <f t="shared" si="34"/>
        <v/>
      </c>
      <c r="Q1143" t="str">
        <f>IF(P1143="","",IFERROR(IF(AND(H1143="W7",OR(F1143="causal",F1143="predictive")),IF(AND(OR(K1143=1,K1143="1"),OR(L1143=1,L1143="1"),OR(M1143=1,M1143="1")),"adequate","partial"),IF(AND(H1143="W4",F1143="predictive",OR(J1143="P2",J1143="P3",J1143="P4")),IF(OR(U1143=1,U1143="1"),"adequate","partial"),INDEX(Fit_Matrix!$B:$B,MATCH(P1143,Fit_Matrix!$A:$A,0)))),"CHECK KEY"))</f>
        <v/>
      </c>
      <c r="U1143" s="10"/>
      <c r="V1143" s="10"/>
      <c r="W1143" s="10"/>
      <c r="X1143" s="10"/>
      <c r="Y1143" s="10"/>
      <c r="Z1143" s="10"/>
      <c r="AA1143" s="11" t="str">
        <f t="shared" si="35"/>
        <v/>
      </c>
    </row>
    <row r="1144" spans="16:27" ht="15" customHeight="1">
      <c r="P1144" t="str">
        <f t="shared" si="34"/>
        <v/>
      </c>
      <c r="Q1144" t="str">
        <f>IF(P1144="","",IFERROR(IF(AND(H1144="W7",OR(F1144="causal",F1144="predictive")),IF(AND(OR(K1144=1,K1144="1"),OR(L1144=1,L1144="1"),OR(M1144=1,M1144="1")),"adequate","partial"),IF(AND(H1144="W4",F1144="predictive",OR(J1144="P2",J1144="P3",J1144="P4")),IF(OR(U1144=1,U1144="1"),"adequate","partial"),INDEX(Fit_Matrix!$B:$B,MATCH(P1144,Fit_Matrix!$A:$A,0)))),"CHECK KEY"))</f>
        <v/>
      </c>
      <c r="U1144" s="10"/>
      <c r="V1144" s="10"/>
      <c r="W1144" s="10"/>
      <c r="X1144" s="10"/>
      <c r="Y1144" s="10"/>
      <c r="Z1144" s="10"/>
      <c r="AA1144" s="11" t="str">
        <f t="shared" si="35"/>
        <v/>
      </c>
    </row>
    <row r="1145" spans="16:27" ht="15" customHeight="1">
      <c r="P1145" t="str">
        <f t="shared" si="34"/>
        <v/>
      </c>
      <c r="Q1145" t="str">
        <f>IF(P1145="","",IFERROR(IF(AND(H1145="W7",OR(F1145="causal",F1145="predictive")),IF(AND(OR(K1145=1,K1145="1"),OR(L1145=1,L1145="1"),OR(M1145=1,M1145="1")),"adequate","partial"),IF(AND(H1145="W4",F1145="predictive",OR(J1145="P2",J1145="P3",J1145="P4")),IF(OR(U1145=1,U1145="1"),"adequate","partial"),INDEX(Fit_Matrix!$B:$B,MATCH(P1145,Fit_Matrix!$A:$A,0)))),"CHECK KEY"))</f>
        <v/>
      </c>
      <c r="U1145" s="10"/>
      <c r="V1145" s="10"/>
      <c r="W1145" s="10"/>
      <c r="X1145" s="10"/>
      <c r="Y1145" s="10"/>
      <c r="Z1145" s="10"/>
      <c r="AA1145" s="11" t="str">
        <f t="shared" si="35"/>
        <v/>
      </c>
    </row>
    <row r="1146" spans="16:27" ht="15" customHeight="1">
      <c r="P1146" t="str">
        <f t="shared" si="34"/>
        <v/>
      </c>
      <c r="Q1146" t="str">
        <f>IF(P1146="","",IFERROR(IF(AND(H1146="W7",OR(F1146="causal",F1146="predictive")),IF(AND(OR(K1146=1,K1146="1"),OR(L1146=1,L1146="1"),OR(M1146=1,M1146="1")),"adequate","partial"),IF(AND(H1146="W4",F1146="predictive",OR(J1146="P2",J1146="P3",J1146="P4")),IF(OR(U1146=1,U1146="1"),"adequate","partial"),INDEX(Fit_Matrix!$B:$B,MATCH(P1146,Fit_Matrix!$A:$A,0)))),"CHECK KEY"))</f>
        <v/>
      </c>
      <c r="U1146" s="10"/>
      <c r="V1146" s="10"/>
      <c r="W1146" s="10"/>
      <c r="X1146" s="10"/>
      <c r="Y1146" s="10"/>
      <c r="Z1146" s="10"/>
      <c r="AA1146" s="11" t="str">
        <f t="shared" si="35"/>
        <v/>
      </c>
    </row>
    <row r="1147" spans="16:27" ht="15" customHeight="1">
      <c r="P1147" t="str">
        <f t="shared" si="34"/>
        <v/>
      </c>
      <c r="Q1147" t="str">
        <f>IF(P1147="","",IFERROR(IF(AND(H1147="W7",OR(F1147="causal",F1147="predictive")),IF(AND(OR(K1147=1,K1147="1"),OR(L1147=1,L1147="1"),OR(M1147=1,M1147="1")),"adequate","partial"),IF(AND(H1147="W4",F1147="predictive",OR(J1147="P2",J1147="P3",J1147="P4")),IF(OR(U1147=1,U1147="1"),"adequate","partial"),INDEX(Fit_Matrix!$B:$B,MATCH(P1147,Fit_Matrix!$A:$A,0)))),"CHECK KEY"))</f>
        <v/>
      </c>
      <c r="U1147" s="10"/>
      <c r="V1147" s="10"/>
      <c r="W1147" s="10"/>
      <c r="X1147" s="10"/>
      <c r="Y1147" s="10"/>
      <c r="Z1147" s="10"/>
      <c r="AA1147" s="11" t="str">
        <f t="shared" si="35"/>
        <v/>
      </c>
    </row>
    <row r="1148" spans="16:27" ht="15" customHeight="1">
      <c r="P1148" t="str">
        <f t="shared" si="34"/>
        <v/>
      </c>
      <c r="Q1148" t="str">
        <f>IF(P1148="","",IFERROR(IF(AND(H1148="W7",OR(F1148="causal",F1148="predictive")),IF(AND(OR(K1148=1,K1148="1"),OR(L1148=1,L1148="1"),OR(M1148=1,M1148="1")),"adequate","partial"),IF(AND(H1148="W4",F1148="predictive",OR(J1148="P2",J1148="P3",J1148="P4")),IF(OR(U1148=1,U1148="1"),"adequate","partial"),INDEX(Fit_Matrix!$B:$B,MATCH(P1148,Fit_Matrix!$A:$A,0)))),"CHECK KEY"))</f>
        <v/>
      </c>
      <c r="U1148" s="10"/>
      <c r="V1148" s="10"/>
      <c r="W1148" s="10"/>
      <c r="X1148" s="10"/>
      <c r="Y1148" s="10"/>
      <c r="Z1148" s="10"/>
      <c r="AA1148" s="11" t="str">
        <f t="shared" si="35"/>
        <v/>
      </c>
    </row>
    <row r="1149" spans="16:27" ht="15" customHeight="1">
      <c r="P1149" t="str">
        <f t="shared" si="34"/>
        <v/>
      </c>
      <c r="Q1149" t="str">
        <f>IF(P1149="","",IFERROR(IF(AND(H1149="W7",OR(F1149="causal",F1149="predictive")),IF(AND(OR(K1149=1,K1149="1"),OR(L1149=1,L1149="1"),OR(M1149=1,M1149="1")),"adequate","partial"),IF(AND(H1149="W4",F1149="predictive",OR(J1149="P2",J1149="P3",J1149="P4")),IF(OR(U1149=1,U1149="1"),"adequate","partial"),INDEX(Fit_Matrix!$B:$B,MATCH(P1149,Fit_Matrix!$A:$A,0)))),"CHECK KEY"))</f>
        <v/>
      </c>
      <c r="U1149" s="10"/>
      <c r="V1149" s="10"/>
      <c r="W1149" s="10"/>
      <c r="X1149" s="10"/>
      <c r="Y1149" s="10"/>
      <c r="Z1149" s="10"/>
      <c r="AA1149" s="11" t="str">
        <f t="shared" si="35"/>
        <v/>
      </c>
    </row>
    <row r="1150" spans="16:27" ht="15" customHeight="1">
      <c r="P1150" t="str">
        <f t="shared" si="34"/>
        <v/>
      </c>
      <c r="Q1150" t="str">
        <f>IF(P1150="","",IFERROR(IF(AND(H1150="W7",OR(F1150="causal",F1150="predictive")),IF(AND(OR(K1150=1,K1150="1"),OR(L1150=1,L1150="1"),OR(M1150=1,M1150="1")),"adequate","partial"),IF(AND(H1150="W4",F1150="predictive",OR(J1150="P2",J1150="P3",J1150="P4")),IF(OR(U1150=1,U1150="1"),"adequate","partial"),INDEX(Fit_Matrix!$B:$B,MATCH(P1150,Fit_Matrix!$A:$A,0)))),"CHECK KEY"))</f>
        <v/>
      </c>
      <c r="U1150" s="10"/>
      <c r="V1150" s="10"/>
      <c r="W1150" s="10"/>
      <c r="X1150" s="10"/>
      <c r="Y1150" s="10"/>
      <c r="Z1150" s="10"/>
      <c r="AA1150" s="11" t="str">
        <f t="shared" si="35"/>
        <v/>
      </c>
    </row>
    <row r="1151" spans="16:27" ht="15" customHeight="1">
      <c r="P1151" t="str">
        <f t="shared" si="34"/>
        <v/>
      </c>
      <c r="Q1151" t="str">
        <f>IF(P1151="","",IFERROR(IF(AND(H1151="W7",OR(F1151="causal",F1151="predictive")),IF(AND(OR(K1151=1,K1151="1"),OR(L1151=1,L1151="1"),OR(M1151=1,M1151="1")),"adequate","partial"),IF(AND(H1151="W4",F1151="predictive",OR(J1151="P2",J1151="P3",J1151="P4")),IF(OR(U1151=1,U1151="1"),"adequate","partial"),INDEX(Fit_Matrix!$B:$B,MATCH(P1151,Fit_Matrix!$A:$A,0)))),"CHECK KEY"))</f>
        <v/>
      </c>
      <c r="U1151" s="10"/>
      <c r="V1151" s="10"/>
      <c r="W1151" s="10"/>
      <c r="X1151" s="10"/>
      <c r="Y1151" s="10"/>
      <c r="Z1151" s="10"/>
      <c r="AA1151" s="11" t="str">
        <f t="shared" si="35"/>
        <v/>
      </c>
    </row>
    <row r="1152" spans="16:27" ht="15" customHeight="1">
      <c r="P1152" t="str">
        <f t="shared" si="34"/>
        <v/>
      </c>
      <c r="Q1152" t="str">
        <f>IF(P1152="","",IFERROR(IF(AND(H1152="W7",OR(F1152="causal",F1152="predictive")),IF(AND(OR(K1152=1,K1152="1"),OR(L1152=1,L1152="1"),OR(M1152=1,M1152="1")),"adequate","partial"),IF(AND(H1152="W4",F1152="predictive",OR(J1152="P2",J1152="P3",J1152="P4")),IF(OR(U1152=1,U1152="1"),"adequate","partial"),INDEX(Fit_Matrix!$B:$B,MATCH(P1152,Fit_Matrix!$A:$A,0)))),"CHECK KEY"))</f>
        <v/>
      </c>
      <c r="U1152" s="10"/>
      <c r="V1152" s="10"/>
      <c r="W1152" s="10"/>
      <c r="X1152" s="10"/>
      <c r="Y1152" s="10"/>
      <c r="Z1152" s="10"/>
      <c r="AA1152" s="11" t="str">
        <f t="shared" si="35"/>
        <v/>
      </c>
    </row>
    <row r="1153" spans="16:27" ht="15" customHeight="1">
      <c r="P1153" t="str">
        <f t="shared" si="34"/>
        <v/>
      </c>
      <c r="Q1153" t="str">
        <f>IF(P1153="","",IFERROR(IF(AND(H1153="W7",OR(F1153="causal",F1153="predictive")),IF(AND(OR(K1153=1,K1153="1"),OR(L1153=1,L1153="1"),OR(M1153=1,M1153="1")),"adequate","partial"),IF(AND(H1153="W4",F1153="predictive",OR(J1153="P2",J1153="P3",J1153="P4")),IF(OR(U1153=1,U1153="1"),"adequate","partial"),INDEX(Fit_Matrix!$B:$B,MATCH(P1153,Fit_Matrix!$A:$A,0)))),"CHECK KEY"))</f>
        <v/>
      </c>
      <c r="U1153" s="10"/>
      <c r="V1153" s="10"/>
      <c r="W1153" s="10"/>
      <c r="X1153" s="10"/>
      <c r="Y1153" s="10"/>
      <c r="Z1153" s="10"/>
      <c r="AA1153" s="11" t="str">
        <f t="shared" si="35"/>
        <v/>
      </c>
    </row>
    <row r="1154" spans="16:27" ht="15" customHeight="1">
      <c r="P1154" t="str">
        <f t="shared" ref="P1154:P1217" si="36">IF(OR(F1154="",H1154="",J1154=""),"",J1154&amp;"|"&amp;F1154&amp;"|"&amp;IF(H1154="W3","W3_"&amp;IF(I1154="","unknown",I1154),H1154))</f>
        <v/>
      </c>
      <c r="Q1154" t="str">
        <f>IF(P1154="","",IFERROR(IF(AND(H1154="W7",OR(F1154="causal",F1154="predictive")),IF(AND(OR(K1154=1,K1154="1"),OR(L1154=1,L1154="1"),OR(M1154=1,M1154="1")),"adequate","partial"),IF(AND(H1154="W4",F1154="predictive",OR(J1154="P2",J1154="P3",J1154="P4")),IF(OR(U1154=1,U1154="1"),"adequate","partial"),INDEX(Fit_Matrix!$B:$B,MATCH(P1154,Fit_Matrix!$A:$A,0)))),"CHECK KEY"))</f>
        <v/>
      </c>
      <c r="U1154" s="10"/>
      <c r="V1154" s="10"/>
      <c r="W1154" s="10"/>
      <c r="X1154" s="10"/>
      <c r="Y1154" s="10"/>
      <c r="Z1154" s="10"/>
      <c r="AA1154" s="11" t="str">
        <f t="shared" ref="AA1154:AA1217" si="37">IF(A1154="","",IF(AND(J1154="P4",F1154="causal"),"P4-CAUSAL",""))</f>
        <v/>
      </c>
    </row>
    <row r="1155" spans="16:27" ht="15" customHeight="1">
      <c r="P1155" t="str">
        <f t="shared" si="36"/>
        <v/>
      </c>
      <c r="Q1155" t="str">
        <f>IF(P1155="","",IFERROR(IF(AND(H1155="W7",OR(F1155="causal",F1155="predictive")),IF(AND(OR(K1155=1,K1155="1"),OR(L1155=1,L1155="1"),OR(M1155=1,M1155="1")),"adequate","partial"),IF(AND(H1155="W4",F1155="predictive",OR(J1155="P2",J1155="P3",J1155="P4")),IF(OR(U1155=1,U1155="1"),"adequate","partial"),INDEX(Fit_Matrix!$B:$B,MATCH(P1155,Fit_Matrix!$A:$A,0)))),"CHECK KEY"))</f>
        <v/>
      </c>
      <c r="U1155" s="10"/>
      <c r="V1155" s="10"/>
      <c r="W1155" s="10"/>
      <c r="X1155" s="10"/>
      <c r="Y1155" s="10"/>
      <c r="Z1155" s="10"/>
      <c r="AA1155" s="11" t="str">
        <f t="shared" si="37"/>
        <v/>
      </c>
    </row>
    <row r="1156" spans="16:27" ht="15" customHeight="1">
      <c r="P1156" t="str">
        <f t="shared" si="36"/>
        <v/>
      </c>
      <c r="Q1156" t="str">
        <f>IF(P1156="","",IFERROR(IF(AND(H1156="W7",OR(F1156="causal",F1156="predictive")),IF(AND(OR(K1156=1,K1156="1"),OR(L1156=1,L1156="1"),OR(M1156=1,M1156="1")),"adequate","partial"),IF(AND(H1156="W4",F1156="predictive",OR(J1156="P2",J1156="P3",J1156="P4")),IF(OR(U1156=1,U1156="1"),"adequate","partial"),INDEX(Fit_Matrix!$B:$B,MATCH(P1156,Fit_Matrix!$A:$A,0)))),"CHECK KEY"))</f>
        <v/>
      </c>
      <c r="U1156" s="10"/>
      <c r="V1156" s="10"/>
      <c r="W1156" s="10"/>
      <c r="X1156" s="10"/>
      <c r="Y1156" s="10"/>
      <c r="Z1156" s="10"/>
      <c r="AA1156" s="11" t="str">
        <f t="shared" si="37"/>
        <v/>
      </c>
    </row>
    <row r="1157" spans="16:27" ht="15" customHeight="1">
      <c r="P1157" t="str">
        <f t="shared" si="36"/>
        <v/>
      </c>
      <c r="Q1157" t="str">
        <f>IF(P1157="","",IFERROR(IF(AND(H1157="W7",OR(F1157="causal",F1157="predictive")),IF(AND(OR(K1157=1,K1157="1"),OR(L1157=1,L1157="1"),OR(M1157=1,M1157="1")),"adequate","partial"),IF(AND(H1157="W4",F1157="predictive",OR(J1157="P2",J1157="P3",J1157="P4")),IF(OR(U1157=1,U1157="1"),"adequate","partial"),INDEX(Fit_Matrix!$B:$B,MATCH(P1157,Fit_Matrix!$A:$A,0)))),"CHECK KEY"))</f>
        <v/>
      </c>
      <c r="U1157" s="10"/>
      <c r="V1157" s="10"/>
      <c r="W1157" s="10"/>
      <c r="X1157" s="10"/>
      <c r="Y1157" s="10"/>
      <c r="Z1157" s="10"/>
      <c r="AA1157" s="11" t="str">
        <f t="shared" si="37"/>
        <v/>
      </c>
    </row>
    <row r="1158" spans="16:27" ht="15" customHeight="1">
      <c r="P1158" t="str">
        <f t="shared" si="36"/>
        <v/>
      </c>
      <c r="Q1158" t="str">
        <f>IF(P1158="","",IFERROR(IF(AND(H1158="W7",OR(F1158="causal",F1158="predictive")),IF(AND(OR(K1158=1,K1158="1"),OR(L1158=1,L1158="1"),OR(M1158=1,M1158="1")),"adequate","partial"),IF(AND(H1158="W4",F1158="predictive",OR(J1158="P2",J1158="P3",J1158="P4")),IF(OR(U1158=1,U1158="1"),"adequate","partial"),INDEX(Fit_Matrix!$B:$B,MATCH(P1158,Fit_Matrix!$A:$A,0)))),"CHECK KEY"))</f>
        <v/>
      </c>
      <c r="U1158" s="10"/>
      <c r="V1158" s="10"/>
      <c r="W1158" s="10"/>
      <c r="X1158" s="10"/>
      <c r="Y1158" s="10"/>
      <c r="Z1158" s="10"/>
      <c r="AA1158" s="11" t="str">
        <f t="shared" si="37"/>
        <v/>
      </c>
    </row>
    <row r="1159" spans="16:27" ht="15" customHeight="1">
      <c r="P1159" t="str">
        <f t="shared" si="36"/>
        <v/>
      </c>
      <c r="Q1159" t="str">
        <f>IF(P1159="","",IFERROR(IF(AND(H1159="W7",OR(F1159="causal",F1159="predictive")),IF(AND(OR(K1159=1,K1159="1"),OR(L1159=1,L1159="1"),OR(M1159=1,M1159="1")),"adequate","partial"),IF(AND(H1159="W4",F1159="predictive",OR(J1159="P2",J1159="P3",J1159="P4")),IF(OR(U1159=1,U1159="1"),"adequate","partial"),INDEX(Fit_Matrix!$B:$B,MATCH(P1159,Fit_Matrix!$A:$A,0)))),"CHECK KEY"))</f>
        <v/>
      </c>
      <c r="U1159" s="10"/>
      <c r="V1159" s="10"/>
      <c r="W1159" s="10"/>
      <c r="X1159" s="10"/>
      <c r="Y1159" s="10"/>
      <c r="Z1159" s="10"/>
      <c r="AA1159" s="11" t="str">
        <f t="shared" si="37"/>
        <v/>
      </c>
    </row>
    <row r="1160" spans="16:27" ht="15" customHeight="1">
      <c r="P1160" t="str">
        <f t="shared" si="36"/>
        <v/>
      </c>
      <c r="Q1160" t="str">
        <f>IF(P1160="","",IFERROR(IF(AND(H1160="W7",OR(F1160="causal",F1160="predictive")),IF(AND(OR(K1160=1,K1160="1"),OR(L1160=1,L1160="1"),OR(M1160=1,M1160="1")),"adequate","partial"),IF(AND(H1160="W4",F1160="predictive",OR(J1160="P2",J1160="P3",J1160="P4")),IF(OR(U1160=1,U1160="1"),"adequate","partial"),INDEX(Fit_Matrix!$B:$B,MATCH(P1160,Fit_Matrix!$A:$A,0)))),"CHECK KEY"))</f>
        <v/>
      </c>
      <c r="U1160" s="10"/>
      <c r="V1160" s="10"/>
      <c r="W1160" s="10"/>
      <c r="X1160" s="10"/>
      <c r="Y1160" s="10"/>
      <c r="Z1160" s="10"/>
      <c r="AA1160" s="11" t="str">
        <f t="shared" si="37"/>
        <v/>
      </c>
    </row>
    <row r="1161" spans="16:27" ht="15" customHeight="1">
      <c r="P1161" t="str">
        <f t="shared" si="36"/>
        <v/>
      </c>
      <c r="Q1161" t="str">
        <f>IF(P1161="","",IFERROR(IF(AND(H1161="W7",OR(F1161="causal",F1161="predictive")),IF(AND(OR(K1161=1,K1161="1"),OR(L1161=1,L1161="1"),OR(M1161=1,M1161="1")),"adequate","partial"),IF(AND(H1161="W4",F1161="predictive",OR(J1161="P2",J1161="P3",J1161="P4")),IF(OR(U1161=1,U1161="1"),"adequate","partial"),INDEX(Fit_Matrix!$B:$B,MATCH(P1161,Fit_Matrix!$A:$A,0)))),"CHECK KEY"))</f>
        <v/>
      </c>
      <c r="U1161" s="10"/>
      <c r="V1161" s="10"/>
      <c r="W1161" s="10"/>
      <c r="X1161" s="10"/>
      <c r="Y1161" s="10"/>
      <c r="Z1161" s="10"/>
      <c r="AA1161" s="11" t="str">
        <f t="shared" si="37"/>
        <v/>
      </c>
    </row>
    <row r="1162" spans="16:27" ht="15" customHeight="1">
      <c r="P1162" t="str">
        <f t="shared" si="36"/>
        <v/>
      </c>
      <c r="Q1162" t="str">
        <f>IF(P1162="","",IFERROR(IF(AND(H1162="W7",OR(F1162="causal",F1162="predictive")),IF(AND(OR(K1162=1,K1162="1"),OR(L1162=1,L1162="1"),OR(M1162=1,M1162="1")),"adequate","partial"),IF(AND(H1162="W4",F1162="predictive",OR(J1162="P2",J1162="P3",J1162="P4")),IF(OR(U1162=1,U1162="1"),"adequate","partial"),INDEX(Fit_Matrix!$B:$B,MATCH(P1162,Fit_Matrix!$A:$A,0)))),"CHECK KEY"))</f>
        <v/>
      </c>
      <c r="U1162" s="10"/>
      <c r="V1162" s="10"/>
      <c r="W1162" s="10"/>
      <c r="X1162" s="10"/>
      <c r="Y1162" s="10"/>
      <c r="Z1162" s="10"/>
      <c r="AA1162" s="11" t="str">
        <f t="shared" si="37"/>
        <v/>
      </c>
    </row>
    <row r="1163" spans="16:27" ht="15" customHeight="1">
      <c r="P1163" t="str">
        <f t="shared" si="36"/>
        <v/>
      </c>
      <c r="Q1163" t="str">
        <f>IF(P1163="","",IFERROR(IF(AND(H1163="W7",OR(F1163="causal",F1163="predictive")),IF(AND(OR(K1163=1,K1163="1"),OR(L1163=1,L1163="1"),OR(M1163=1,M1163="1")),"adequate","partial"),IF(AND(H1163="W4",F1163="predictive",OR(J1163="P2",J1163="P3",J1163="P4")),IF(OR(U1163=1,U1163="1"),"adequate","partial"),INDEX(Fit_Matrix!$B:$B,MATCH(P1163,Fit_Matrix!$A:$A,0)))),"CHECK KEY"))</f>
        <v/>
      </c>
      <c r="U1163" s="10"/>
      <c r="V1163" s="10"/>
      <c r="W1163" s="10"/>
      <c r="X1163" s="10"/>
      <c r="Y1163" s="10"/>
      <c r="Z1163" s="10"/>
      <c r="AA1163" s="11" t="str">
        <f t="shared" si="37"/>
        <v/>
      </c>
    </row>
    <row r="1164" spans="16:27" ht="15" customHeight="1">
      <c r="P1164" t="str">
        <f t="shared" si="36"/>
        <v/>
      </c>
      <c r="Q1164" t="str">
        <f>IF(P1164="","",IFERROR(IF(AND(H1164="W7",OR(F1164="causal",F1164="predictive")),IF(AND(OR(K1164=1,K1164="1"),OR(L1164=1,L1164="1"),OR(M1164=1,M1164="1")),"adequate","partial"),IF(AND(H1164="W4",F1164="predictive",OR(J1164="P2",J1164="P3",J1164="P4")),IF(OR(U1164=1,U1164="1"),"adequate","partial"),INDEX(Fit_Matrix!$B:$B,MATCH(P1164,Fit_Matrix!$A:$A,0)))),"CHECK KEY"))</f>
        <v/>
      </c>
      <c r="U1164" s="10"/>
      <c r="V1164" s="10"/>
      <c r="W1164" s="10"/>
      <c r="X1164" s="10"/>
      <c r="Y1164" s="10"/>
      <c r="Z1164" s="10"/>
      <c r="AA1164" s="11" t="str">
        <f t="shared" si="37"/>
        <v/>
      </c>
    </row>
    <row r="1165" spans="16:27" ht="15" customHeight="1">
      <c r="P1165" t="str">
        <f t="shared" si="36"/>
        <v/>
      </c>
      <c r="Q1165" t="str">
        <f>IF(P1165="","",IFERROR(IF(AND(H1165="W7",OR(F1165="causal",F1165="predictive")),IF(AND(OR(K1165=1,K1165="1"),OR(L1165=1,L1165="1"),OR(M1165=1,M1165="1")),"adequate","partial"),IF(AND(H1165="W4",F1165="predictive",OR(J1165="P2",J1165="P3",J1165="P4")),IF(OR(U1165=1,U1165="1"),"adequate","partial"),INDEX(Fit_Matrix!$B:$B,MATCH(P1165,Fit_Matrix!$A:$A,0)))),"CHECK KEY"))</f>
        <v/>
      </c>
      <c r="U1165" s="10"/>
      <c r="V1165" s="10"/>
      <c r="W1165" s="10"/>
      <c r="X1165" s="10"/>
      <c r="Y1165" s="10"/>
      <c r="Z1165" s="10"/>
      <c r="AA1165" s="11" t="str">
        <f t="shared" si="37"/>
        <v/>
      </c>
    </row>
    <row r="1166" spans="16:27" ht="15" customHeight="1">
      <c r="P1166" t="str">
        <f t="shared" si="36"/>
        <v/>
      </c>
      <c r="Q1166" t="str">
        <f>IF(P1166="","",IFERROR(IF(AND(H1166="W7",OR(F1166="causal",F1166="predictive")),IF(AND(OR(K1166=1,K1166="1"),OR(L1166=1,L1166="1"),OR(M1166=1,M1166="1")),"adequate","partial"),IF(AND(H1166="W4",F1166="predictive",OR(J1166="P2",J1166="P3",J1166="P4")),IF(OR(U1166=1,U1166="1"),"adequate","partial"),INDEX(Fit_Matrix!$B:$B,MATCH(P1166,Fit_Matrix!$A:$A,0)))),"CHECK KEY"))</f>
        <v/>
      </c>
      <c r="U1166" s="10"/>
      <c r="V1166" s="10"/>
      <c r="W1166" s="10"/>
      <c r="X1166" s="10"/>
      <c r="Y1166" s="10"/>
      <c r="Z1166" s="10"/>
      <c r="AA1166" s="11" t="str">
        <f t="shared" si="37"/>
        <v/>
      </c>
    </row>
    <row r="1167" spans="16:27" ht="15" customHeight="1">
      <c r="P1167" t="str">
        <f t="shared" si="36"/>
        <v/>
      </c>
      <c r="Q1167" t="str">
        <f>IF(P1167="","",IFERROR(IF(AND(H1167="W7",OR(F1167="causal",F1167="predictive")),IF(AND(OR(K1167=1,K1167="1"),OR(L1167=1,L1167="1"),OR(M1167=1,M1167="1")),"adequate","partial"),IF(AND(H1167="W4",F1167="predictive",OR(J1167="P2",J1167="P3",J1167="P4")),IF(OR(U1167=1,U1167="1"),"adequate","partial"),INDEX(Fit_Matrix!$B:$B,MATCH(P1167,Fit_Matrix!$A:$A,0)))),"CHECK KEY"))</f>
        <v/>
      </c>
      <c r="U1167" s="10"/>
      <c r="V1167" s="10"/>
      <c r="W1167" s="10"/>
      <c r="X1167" s="10"/>
      <c r="Y1167" s="10"/>
      <c r="Z1167" s="10"/>
      <c r="AA1167" s="11" t="str">
        <f t="shared" si="37"/>
        <v/>
      </c>
    </row>
    <row r="1168" spans="16:27" ht="15" customHeight="1">
      <c r="P1168" t="str">
        <f t="shared" si="36"/>
        <v/>
      </c>
      <c r="Q1168" t="str">
        <f>IF(P1168="","",IFERROR(IF(AND(H1168="W7",OR(F1168="causal",F1168="predictive")),IF(AND(OR(K1168=1,K1168="1"),OR(L1168=1,L1168="1"),OR(M1168=1,M1168="1")),"adequate","partial"),IF(AND(H1168="W4",F1168="predictive",OR(J1168="P2",J1168="P3",J1168="P4")),IF(OR(U1168=1,U1168="1"),"adequate","partial"),INDEX(Fit_Matrix!$B:$B,MATCH(P1168,Fit_Matrix!$A:$A,0)))),"CHECK KEY"))</f>
        <v/>
      </c>
      <c r="U1168" s="10"/>
      <c r="V1168" s="10"/>
      <c r="W1168" s="10"/>
      <c r="X1168" s="10"/>
      <c r="Y1168" s="10"/>
      <c r="Z1168" s="10"/>
      <c r="AA1168" s="11" t="str">
        <f t="shared" si="37"/>
        <v/>
      </c>
    </row>
    <row r="1169" spans="16:27" ht="15" customHeight="1">
      <c r="P1169" t="str">
        <f t="shared" si="36"/>
        <v/>
      </c>
      <c r="Q1169" t="str">
        <f>IF(P1169="","",IFERROR(IF(AND(H1169="W7",OR(F1169="causal",F1169="predictive")),IF(AND(OR(K1169=1,K1169="1"),OR(L1169=1,L1169="1"),OR(M1169=1,M1169="1")),"adequate","partial"),IF(AND(H1169="W4",F1169="predictive",OR(J1169="P2",J1169="P3",J1169="P4")),IF(OR(U1169=1,U1169="1"),"adequate","partial"),INDEX(Fit_Matrix!$B:$B,MATCH(P1169,Fit_Matrix!$A:$A,0)))),"CHECK KEY"))</f>
        <v/>
      </c>
      <c r="U1169" s="10"/>
      <c r="V1169" s="10"/>
      <c r="W1169" s="10"/>
      <c r="X1169" s="10"/>
      <c r="Y1169" s="10"/>
      <c r="Z1169" s="10"/>
      <c r="AA1169" s="11" t="str">
        <f t="shared" si="37"/>
        <v/>
      </c>
    </row>
    <row r="1170" spans="16:27" ht="15" customHeight="1">
      <c r="P1170" t="str">
        <f t="shared" si="36"/>
        <v/>
      </c>
      <c r="Q1170" t="str">
        <f>IF(P1170="","",IFERROR(IF(AND(H1170="W7",OR(F1170="causal",F1170="predictive")),IF(AND(OR(K1170=1,K1170="1"),OR(L1170=1,L1170="1"),OR(M1170=1,M1170="1")),"adequate","partial"),IF(AND(H1170="W4",F1170="predictive",OR(J1170="P2",J1170="P3",J1170="P4")),IF(OR(U1170=1,U1170="1"),"adequate","partial"),INDEX(Fit_Matrix!$B:$B,MATCH(P1170,Fit_Matrix!$A:$A,0)))),"CHECK KEY"))</f>
        <v/>
      </c>
      <c r="U1170" s="10"/>
      <c r="V1170" s="10"/>
      <c r="W1170" s="10"/>
      <c r="X1170" s="10"/>
      <c r="Y1170" s="10"/>
      <c r="Z1170" s="10"/>
      <c r="AA1170" s="11" t="str">
        <f t="shared" si="37"/>
        <v/>
      </c>
    </row>
    <row r="1171" spans="16:27" ht="15" customHeight="1">
      <c r="P1171" t="str">
        <f t="shared" si="36"/>
        <v/>
      </c>
      <c r="Q1171" t="str">
        <f>IF(P1171="","",IFERROR(IF(AND(H1171="W7",OR(F1171="causal",F1171="predictive")),IF(AND(OR(K1171=1,K1171="1"),OR(L1171=1,L1171="1"),OR(M1171=1,M1171="1")),"adequate","partial"),IF(AND(H1171="W4",F1171="predictive",OR(J1171="P2",J1171="P3",J1171="P4")),IF(OR(U1171=1,U1171="1"),"adequate","partial"),INDEX(Fit_Matrix!$B:$B,MATCH(P1171,Fit_Matrix!$A:$A,0)))),"CHECK KEY"))</f>
        <v/>
      </c>
      <c r="U1171" s="10"/>
      <c r="V1171" s="10"/>
      <c r="W1171" s="10"/>
      <c r="X1171" s="10"/>
      <c r="Y1171" s="10"/>
      <c r="Z1171" s="10"/>
      <c r="AA1171" s="11" t="str">
        <f t="shared" si="37"/>
        <v/>
      </c>
    </row>
    <row r="1172" spans="16:27" ht="15" customHeight="1">
      <c r="P1172" t="str">
        <f t="shared" si="36"/>
        <v/>
      </c>
      <c r="Q1172" t="str">
        <f>IF(P1172="","",IFERROR(IF(AND(H1172="W7",OR(F1172="causal",F1172="predictive")),IF(AND(OR(K1172=1,K1172="1"),OR(L1172=1,L1172="1"),OR(M1172=1,M1172="1")),"adequate","partial"),IF(AND(H1172="W4",F1172="predictive",OR(J1172="P2",J1172="P3",J1172="P4")),IF(OR(U1172=1,U1172="1"),"adequate","partial"),INDEX(Fit_Matrix!$B:$B,MATCH(P1172,Fit_Matrix!$A:$A,0)))),"CHECK KEY"))</f>
        <v/>
      </c>
      <c r="U1172" s="10"/>
      <c r="V1172" s="10"/>
      <c r="W1172" s="10"/>
      <c r="X1172" s="10"/>
      <c r="Y1172" s="10"/>
      <c r="Z1172" s="10"/>
      <c r="AA1172" s="11" t="str">
        <f t="shared" si="37"/>
        <v/>
      </c>
    </row>
    <row r="1173" spans="16:27" ht="15" customHeight="1">
      <c r="P1173" t="str">
        <f t="shared" si="36"/>
        <v/>
      </c>
      <c r="Q1173" t="str">
        <f>IF(P1173="","",IFERROR(IF(AND(H1173="W7",OR(F1173="causal",F1173="predictive")),IF(AND(OR(K1173=1,K1173="1"),OR(L1173=1,L1173="1"),OR(M1173=1,M1173="1")),"adequate","partial"),IF(AND(H1173="W4",F1173="predictive",OR(J1173="P2",J1173="P3",J1173="P4")),IF(OR(U1173=1,U1173="1"),"adequate","partial"),INDEX(Fit_Matrix!$B:$B,MATCH(P1173,Fit_Matrix!$A:$A,0)))),"CHECK KEY"))</f>
        <v/>
      </c>
      <c r="U1173" s="10"/>
      <c r="V1173" s="10"/>
      <c r="W1173" s="10"/>
      <c r="X1173" s="10"/>
      <c r="Y1173" s="10"/>
      <c r="Z1173" s="10"/>
      <c r="AA1173" s="11" t="str">
        <f t="shared" si="37"/>
        <v/>
      </c>
    </row>
    <row r="1174" spans="16:27" ht="15" customHeight="1">
      <c r="P1174" t="str">
        <f t="shared" si="36"/>
        <v/>
      </c>
      <c r="Q1174" t="str">
        <f>IF(P1174="","",IFERROR(IF(AND(H1174="W7",OR(F1174="causal",F1174="predictive")),IF(AND(OR(K1174=1,K1174="1"),OR(L1174=1,L1174="1"),OR(M1174=1,M1174="1")),"adequate","partial"),IF(AND(H1174="W4",F1174="predictive",OR(J1174="P2",J1174="P3",J1174="P4")),IF(OR(U1174=1,U1174="1"),"adequate","partial"),INDEX(Fit_Matrix!$B:$B,MATCH(P1174,Fit_Matrix!$A:$A,0)))),"CHECK KEY"))</f>
        <v/>
      </c>
      <c r="U1174" s="10"/>
      <c r="V1174" s="10"/>
      <c r="W1174" s="10"/>
      <c r="X1174" s="10"/>
      <c r="Y1174" s="10"/>
      <c r="Z1174" s="10"/>
      <c r="AA1174" s="11" t="str">
        <f t="shared" si="37"/>
        <v/>
      </c>
    </row>
    <row r="1175" spans="16:27" ht="15" customHeight="1">
      <c r="P1175" t="str">
        <f t="shared" si="36"/>
        <v/>
      </c>
      <c r="Q1175" t="str">
        <f>IF(P1175="","",IFERROR(IF(AND(H1175="W7",OR(F1175="causal",F1175="predictive")),IF(AND(OR(K1175=1,K1175="1"),OR(L1175=1,L1175="1"),OR(M1175=1,M1175="1")),"adequate","partial"),IF(AND(H1175="W4",F1175="predictive",OR(J1175="P2",J1175="P3",J1175="P4")),IF(OR(U1175=1,U1175="1"),"adequate","partial"),INDEX(Fit_Matrix!$B:$B,MATCH(P1175,Fit_Matrix!$A:$A,0)))),"CHECK KEY"))</f>
        <v/>
      </c>
      <c r="U1175" s="10"/>
      <c r="V1175" s="10"/>
      <c r="W1175" s="10"/>
      <c r="X1175" s="10"/>
      <c r="Y1175" s="10"/>
      <c r="Z1175" s="10"/>
      <c r="AA1175" s="11" t="str">
        <f t="shared" si="37"/>
        <v/>
      </c>
    </row>
    <row r="1176" spans="16:27" ht="15" customHeight="1">
      <c r="P1176" t="str">
        <f t="shared" si="36"/>
        <v/>
      </c>
      <c r="Q1176" t="str">
        <f>IF(P1176="","",IFERROR(IF(AND(H1176="W7",OR(F1176="causal",F1176="predictive")),IF(AND(OR(K1176=1,K1176="1"),OR(L1176=1,L1176="1"),OR(M1176=1,M1176="1")),"adequate","partial"),IF(AND(H1176="W4",F1176="predictive",OR(J1176="P2",J1176="P3",J1176="P4")),IF(OR(U1176=1,U1176="1"),"adequate","partial"),INDEX(Fit_Matrix!$B:$B,MATCH(P1176,Fit_Matrix!$A:$A,0)))),"CHECK KEY"))</f>
        <v/>
      </c>
      <c r="U1176" s="10"/>
      <c r="V1176" s="10"/>
      <c r="W1176" s="10"/>
      <c r="X1176" s="10"/>
      <c r="Y1176" s="10"/>
      <c r="Z1176" s="10"/>
      <c r="AA1176" s="11" t="str">
        <f t="shared" si="37"/>
        <v/>
      </c>
    </row>
    <row r="1177" spans="16:27" ht="15" customHeight="1">
      <c r="P1177" t="str">
        <f t="shared" si="36"/>
        <v/>
      </c>
      <c r="Q1177" t="str">
        <f>IF(P1177="","",IFERROR(IF(AND(H1177="W7",OR(F1177="causal",F1177="predictive")),IF(AND(OR(K1177=1,K1177="1"),OR(L1177=1,L1177="1"),OR(M1177=1,M1177="1")),"adequate","partial"),IF(AND(H1177="W4",F1177="predictive",OR(J1177="P2",J1177="P3",J1177="P4")),IF(OR(U1177=1,U1177="1"),"adequate","partial"),INDEX(Fit_Matrix!$B:$B,MATCH(P1177,Fit_Matrix!$A:$A,0)))),"CHECK KEY"))</f>
        <v/>
      </c>
      <c r="U1177" s="10"/>
      <c r="V1177" s="10"/>
      <c r="W1177" s="10"/>
      <c r="X1177" s="10"/>
      <c r="Y1177" s="10"/>
      <c r="Z1177" s="10"/>
      <c r="AA1177" s="11" t="str">
        <f t="shared" si="37"/>
        <v/>
      </c>
    </row>
    <row r="1178" spans="16:27" ht="15" customHeight="1">
      <c r="P1178" t="str">
        <f t="shared" si="36"/>
        <v/>
      </c>
      <c r="Q1178" t="str">
        <f>IF(P1178="","",IFERROR(IF(AND(H1178="W7",OR(F1178="causal",F1178="predictive")),IF(AND(OR(K1178=1,K1178="1"),OR(L1178=1,L1178="1"),OR(M1178=1,M1178="1")),"adequate","partial"),IF(AND(H1178="W4",F1178="predictive",OR(J1178="P2",J1178="P3",J1178="P4")),IF(OR(U1178=1,U1178="1"),"adequate","partial"),INDEX(Fit_Matrix!$B:$B,MATCH(P1178,Fit_Matrix!$A:$A,0)))),"CHECK KEY"))</f>
        <v/>
      </c>
      <c r="U1178" s="10"/>
      <c r="V1178" s="10"/>
      <c r="W1178" s="10"/>
      <c r="X1178" s="10"/>
      <c r="Y1178" s="10"/>
      <c r="Z1178" s="10"/>
      <c r="AA1178" s="11" t="str">
        <f t="shared" si="37"/>
        <v/>
      </c>
    </row>
    <row r="1179" spans="16:27" ht="15" customHeight="1">
      <c r="P1179" t="str">
        <f t="shared" si="36"/>
        <v/>
      </c>
      <c r="Q1179" t="str">
        <f>IF(P1179="","",IFERROR(IF(AND(H1179="W7",OR(F1179="causal",F1179="predictive")),IF(AND(OR(K1179=1,K1179="1"),OR(L1179=1,L1179="1"),OR(M1179=1,M1179="1")),"adequate","partial"),IF(AND(H1179="W4",F1179="predictive",OR(J1179="P2",J1179="P3",J1179="P4")),IF(OR(U1179=1,U1179="1"),"adequate","partial"),INDEX(Fit_Matrix!$B:$B,MATCH(P1179,Fit_Matrix!$A:$A,0)))),"CHECK KEY"))</f>
        <v/>
      </c>
      <c r="U1179" s="10"/>
      <c r="V1179" s="10"/>
      <c r="W1179" s="10"/>
      <c r="X1179" s="10"/>
      <c r="Y1179" s="10"/>
      <c r="Z1179" s="10"/>
      <c r="AA1179" s="11" t="str">
        <f t="shared" si="37"/>
        <v/>
      </c>
    </row>
    <row r="1180" spans="16:27" ht="15" customHeight="1">
      <c r="P1180" t="str">
        <f t="shared" si="36"/>
        <v/>
      </c>
      <c r="Q1180" t="str">
        <f>IF(P1180="","",IFERROR(IF(AND(H1180="W7",OR(F1180="causal",F1180="predictive")),IF(AND(OR(K1180=1,K1180="1"),OR(L1180=1,L1180="1"),OR(M1180=1,M1180="1")),"adequate","partial"),IF(AND(H1180="W4",F1180="predictive",OR(J1180="P2",J1180="P3",J1180="P4")),IF(OR(U1180=1,U1180="1"),"adequate","partial"),INDEX(Fit_Matrix!$B:$B,MATCH(P1180,Fit_Matrix!$A:$A,0)))),"CHECK KEY"))</f>
        <v/>
      </c>
      <c r="U1180" s="10"/>
      <c r="V1180" s="10"/>
      <c r="W1180" s="10"/>
      <c r="X1180" s="10"/>
      <c r="Y1180" s="10"/>
      <c r="Z1180" s="10"/>
      <c r="AA1180" s="11" t="str">
        <f t="shared" si="37"/>
        <v/>
      </c>
    </row>
    <row r="1181" spans="16:27" ht="15" customHeight="1">
      <c r="P1181" t="str">
        <f t="shared" si="36"/>
        <v/>
      </c>
      <c r="Q1181" t="str">
        <f>IF(P1181="","",IFERROR(IF(AND(H1181="W7",OR(F1181="causal",F1181="predictive")),IF(AND(OR(K1181=1,K1181="1"),OR(L1181=1,L1181="1"),OR(M1181=1,M1181="1")),"adequate","partial"),IF(AND(H1181="W4",F1181="predictive",OR(J1181="P2",J1181="P3",J1181="P4")),IF(OR(U1181=1,U1181="1"),"adequate","partial"),INDEX(Fit_Matrix!$B:$B,MATCH(P1181,Fit_Matrix!$A:$A,0)))),"CHECK KEY"))</f>
        <v/>
      </c>
      <c r="U1181" s="10"/>
      <c r="V1181" s="10"/>
      <c r="W1181" s="10"/>
      <c r="X1181" s="10"/>
      <c r="Y1181" s="10"/>
      <c r="Z1181" s="10"/>
      <c r="AA1181" s="11" t="str">
        <f t="shared" si="37"/>
        <v/>
      </c>
    </row>
    <row r="1182" spans="16:27" ht="15" customHeight="1">
      <c r="P1182" t="str">
        <f t="shared" si="36"/>
        <v/>
      </c>
      <c r="Q1182" t="str">
        <f>IF(P1182="","",IFERROR(IF(AND(H1182="W7",OR(F1182="causal",F1182="predictive")),IF(AND(OR(K1182=1,K1182="1"),OR(L1182=1,L1182="1"),OR(M1182=1,M1182="1")),"adequate","partial"),IF(AND(H1182="W4",F1182="predictive",OR(J1182="P2",J1182="P3",J1182="P4")),IF(OR(U1182=1,U1182="1"),"adequate","partial"),INDEX(Fit_Matrix!$B:$B,MATCH(P1182,Fit_Matrix!$A:$A,0)))),"CHECK KEY"))</f>
        <v/>
      </c>
      <c r="U1182" s="10"/>
      <c r="V1182" s="10"/>
      <c r="W1182" s="10"/>
      <c r="X1182" s="10"/>
      <c r="Y1182" s="10"/>
      <c r="Z1182" s="10"/>
      <c r="AA1182" s="11" t="str">
        <f t="shared" si="37"/>
        <v/>
      </c>
    </row>
    <row r="1183" spans="16:27" ht="15" customHeight="1">
      <c r="P1183" t="str">
        <f t="shared" si="36"/>
        <v/>
      </c>
      <c r="Q1183" t="str">
        <f>IF(P1183="","",IFERROR(IF(AND(H1183="W7",OR(F1183="causal",F1183="predictive")),IF(AND(OR(K1183=1,K1183="1"),OR(L1183=1,L1183="1"),OR(M1183=1,M1183="1")),"adequate","partial"),IF(AND(H1183="W4",F1183="predictive",OR(J1183="P2",J1183="P3",J1183="P4")),IF(OR(U1183=1,U1183="1"),"adequate","partial"),INDEX(Fit_Matrix!$B:$B,MATCH(P1183,Fit_Matrix!$A:$A,0)))),"CHECK KEY"))</f>
        <v/>
      </c>
      <c r="U1183" s="10"/>
      <c r="V1183" s="10"/>
      <c r="W1183" s="10"/>
      <c r="X1183" s="10"/>
      <c r="Y1183" s="10"/>
      <c r="Z1183" s="10"/>
      <c r="AA1183" s="11" t="str">
        <f t="shared" si="37"/>
        <v/>
      </c>
    </row>
    <row r="1184" spans="16:27" ht="15" customHeight="1">
      <c r="P1184" t="str">
        <f t="shared" si="36"/>
        <v/>
      </c>
      <c r="Q1184" t="str">
        <f>IF(P1184="","",IFERROR(IF(AND(H1184="W7",OR(F1184="causal",F1184="predictive")),IF(AND(OR(K1184=1,K1184="1"),OR(L1184=1,L1184="1"),OR(M1184=1,M1184="1")),"adequate","partial"),IF(AND(H1184="W4",F1184="predictive",OR(J1184="P2",J1184="P3",J1184="P4")),IF(OR(U1184=1,U1184="1"),"adequate","partial"),INDEX(Fit_Matrix!$B:$B,MATCH(P1184,Fit_Matrix!$A:$A,0)))),"CHECK KEY"))</f>
        <v/>
      </c>
      <c r="U1184" s="10"/>
      <c r="V1184" s="10"/>
      <c r="W1184" s="10"/>
      <c r="X1184" s="10"/>
      <c r="Y1184" s="10"/>
      <c r="Z1184" s="10"/>
      <c r="AA1184" s="11" t="str">
        <f t="shared" si="37"/>
        <v/>
      </c>
    </row>
    <row r="1185" spans="16:27" ht="15" customHeight="1">
      <c r="P1185" t="str">
        <f t="shared" si="36"/>
        <v/>
      </c>
      <c r="Q1185" t="str">
        <f>IF(P1185="","",IFERROR(IF(AND(H1185="W7",OR(F1185="causal",F1185="predictive")),IF(AND(OR(K1185=1,K1185="1"),OR(L1185=1,L1185="1"),OR(M1185=1,M1185="1")),"adequate","partial"),IF(AND(H1185="W4",F1185="predictive",OR(J1185="P2",J1185="P3",J1185="P4")),IF(OR(U1185=1,U1185="1"),"adequate","partial"),INDEX(Fit_Matrix!$B:$B,MATCH(P1185,Fit_Matrix!$A:$A,0)))),"CHECK KEY"))</f>
        <v/>
      </c>
      <c r="U1185" s="10"/>
      <c r="V1185" s="10"/>
      <c r="W1185" s="10"/>
      <c r="X1185" s="10"/>
      <c r="Y1185" s="10"/>
      <c r="Z1185" s="10"/>
      <c r="AA1185" s="11" t="str">
        <f t="shared" si="37"/>
        <v/>
      </c>
    </row>
    <row r="1186" spans="16:27" ht="15" customHeight="1">
      <c r="P1186" t="str">
        <f t="shared" si="36"/>
        <v/>
      </c>
      <c r="Q1186" t="str">
        <f>IF(P1186="","",IFERROR(IF(AND(H1186="W7",OR(F1186="causal",F1186="predictive")),IF(AND(OR(K1186=1,K1186="1"),OR(L1186=1,L1186="1"),OR(M1186=1,M1186="1")),"adequate","partial"),IF(AND(H1186="W4",F1186="predictive",OR(J1186="P2",J1186="P3",J1186="P4")),IF(OR(U1186=1,U1186="1"),"adequate","partial"),INDEX(Fit_Matrix!$B:$B,MATCH(P1186,Fit_Matrix!$A:$A,0)))),"CHECK KEY"))</f>
        <v/>
      </c>
      <c r="U1186" s="10"/>
      <c r="V1186" s="10"/>
      <c r="W1186" s="10"/>
      <c r="X1186" s="10"/>
      <c r="Y1186" s="10"/>
      <c r="Z1186" s="10"/>
      <c r="AA1186" s="11" t="str">
        <f t="shared" si="37"/>
        <v/>
      </c>
    </row>
    <row r="1187" spans="16:27" ht="15" customHeight="1">
      <c r="P1187" t="str">
        <f t="shared" si="36"/>
        <v/>
      </c>
      <c r="Q1187" t="str">
        <f>IF(P1187="","",IFERROR(IF(AND(H1187="W7",OR(F1187="causal",F1187="predictive")),IF(AND(OR(K1187=1,K1187="1"),OR(L1187=1,L1187="1"),OR(M1187=1,M1187="1")),"adequate","partial"),IF(AND(H1187="W4",F1187="predictive",OR(J1187="P2",J1187="P3",J1187="P4")),IF(OR(U1187=1,U1187="1"),"adequate","partial"),INDEX(Fit_Matrix!$B:$B,MATCH(P1187,Fit_Matrix!$A:$A,0)))),"CHECK KEY"))</f>
        <v/>
      </c>
      <c r="U1187" s="10"/>
      <c r="V1187" s="10"/>
      <c r="W1187" s="10"/>
      <c r="X1187" s="10"/>
      <c r="Y1187" s="10"/>
      <c r="Z1187" s="10"/>
      <c r="AA1187" s="11" t="str">
        <f t="shared" si="37"/>
        <v/>
      </c>
    </row>
    <row r="1188" spans="16:27" ht="15" customHeight="1">
      <c r="P1188" t="str">
        <f t="shared" si="36"/>
        <v/>
      </c>
      <c r="Q1188" t="str">
        <f>IF(P1188="","",IFERROR(IF(AND(H1188="W7",OR(F1188="causal",F1188="predictive")),IF(AND(OR(K1188=1,K1188="1"),OR(L1188=1,L1188="1"),OR(M1188=1,M1188="1")),"adequate","partial"),IF(AND(H1188="W4",F1188="predictive",OR(J1188="P2",J1188="P3",J1188="P4")),IF(OR(U1188=1,U1188="1"),"adequate","partial"),INDEX(Fit_Matrix!$B:$B,MATCH(P1188,Fit_Matrix!$A:$A,0)))),"CHECK KEY"))</f>
        <v/>
      </c>
      <c r="U1188" s="10"/>
      <c r="V1188" s="10"/>
      <c r="W1188" s="10"/>
      <c r="X1188" s="10"/>
      <c r="Y1188" s="10"/>
      <c r="Z1188" s="10"/>
      <c r="AA1188" s="11" t="str">
        <f t="shared" si="37"/>
        <v/>
      </c>
    </row>
    <row r="1189" spans="16:27" ht="15" customHeight="1">
      <c r="P1189" t="str">
        <f t="shared" si="36"/>
        <v/>
      </c>
      <c r="Q1189" t="str">
        <f>IF(P1189="","",IFERROR(IF(AND(H1189="W7",OR(F1189="causal",F1189="predictive")),IF(AND(OR(K1189=1,K1189="1"),OR(L1189=1,L1189="1"),OR(M1189=1,M1189="1")),"adequate","partial"),IF(AND(H1189="W4",F1189="predictive",OR(J1189="P2",J1189="P3",J1189="P4")),IF(OR(U1189=1,U1189="1"),"adequate","partial"),INDEX(Fit_Matrix!$B:$B,MATCH(P1189,Fit_Matrix!$A:$A,0)))),"CHECK KEY"))</f>
        <v/>
      </c>
      <c r="U1189" s="10"/>
      <c r="V1189" s="10"/>
      <c r="W1189" s="10"/>
      <c r="X1189" s="10"/>
      <c r="Y1189" s="10"/>
      <c r="Z1189" s="10"/>
      <c r="AA1189" s="11" t="str">
        <f t="shared" si="37"/>
        <v/>
      </c>
    </row>
    <row r="1190" spans="16:27" ht="15" customHeight="1">
      <c r="P1190" t="str">
        <f t="shared" si="36"/>
        <v/>
      </c>
      <c r="Q1190" t="str">
        <f>IF(P1190="","",IFERROR(IF(AND(H1190="W7",OR(F1190="causal",F1190="predictive")),IF(AND(OR(K1190=1,K1190="1"),OR(L1190=1,L1190="1"),OR(M1190=1,M1190="1")),"adequate","partial"),IF(AND(H1190="W4",F1190="predictive",OR(J1190="P2",J1190="P3",J1190="P4")),IF(OR(U1190=1,U1190="1"),"adequate","partial"),INDEX(Fit_Matrix!$B:$B,MATCH(P1190,Fit_Matrix!$A:$A,0)))),"CHECK KEY"))</f>
        <v/>
      </c>
      <c r="U1190" s="10"/>
      <c r="V1190" s="10"/>
      <c r="W1190" s="10"/>
      <c r="X1190" s="10"/>
      <c r="Y1190" s="10"/>
      <c r="Z1190" s="10"/>
      <c r="AA1190" s="11" t="str">
        <f t="shared" si="37"/>
        <v/>
      </c>
    </row>
    <row r="1191" spans="16:27" ht="15" customHeight="1">
      <c r="P1191" t="str">
        <f t="shared" si="36"/>
        <v/>
      </c>
      <c r="Q1191" t="str">
        <f>IF(P1191="","",IFERROR(IF(AND(H1191="W7",OR(F1191="causal",F1191="predictive")),IF(AND(OR(K1191=1,K1191="1"),OR(L1191=1,L1191="1"),OR(M1191=1,M1191="1")),"adequate","partial"),IF(AND(H1191="W4",F1191="predictive",OR(J1191="P2",J1191="P3",J1191="P4")),IF(OR(U1191=1,U1191="1"),"adequate","partial"),INDEX(Fit_Matrix!$B:$B,MATCH(P1191,Fit_Matrix!$A:$A,0)))),"CHECK KEY"))</f>
        <v/>
      </c>
      <c r="U1191" s="10"/>
      <c r="V1191" s="10"/>
      <c r="W1191" s="10"/>
      <c r="X1191" s="10"/>
      <c r="Y1191" s="10"/>
      <c r="Z1191" s="10"/>
      <c r="AA1191" s="11" t="str">
        <f t="shared" si="37"/>
        <v/>
      </c>
    </row>
    <row r="1192" spans="16:27" ht="15" customHeight="1">
      <c r="P1192" t="str">
        <f t="shared" si="36"/>
        <v/>
      </c>
      <c r="Q1192" t="str">
        <f>IF(P1192="","",IFERROR(IF(AND(H1192="W7",OR(F1192="causal",F1192="predictive")),IF(AND(OR(K1192=1,K1192="1"),OR(L1192=1,L1192="1"),OR(M1192=1,M1192="1")),"adequate","partial"),IF(AND(H1192="W4",F1192="predictive",OR(J1192="P2",J1192="P3",J1192="P4")),IF(OR(U1192=1,U1192="1"),"adequate","partial"),INDEX(Fit_Matrix!$B:$B,MATCH(P1192,Fit_Matrix!$A:$A,0)))),"CHECK KEY"))</f>
        <v/>
      </c>
      <c r="U1192" s="10"/>
      <c r="V1192" s="10"/>
      <c r="W1192" s="10"/>
      <c r="X1192" s="10"/>
      <c r="Y1192" s="10"/>
      <c r="Z1192" s="10"/>
      <c r="AA1192" s="11" t="str">
        <f t="shared" si="37"/>
        <v/>
      </c>
    </row>
    <row r="1193" spans="16:27" ht="15" customHeight="1">
      <c r="P1193" t="str">
        <f t="shared" si="36"/>
        <v/>
      </c>
      <c r="Q1193" t="str">
        <f>IF(P1193="","",IFERROR(IF(AND(H1193="W7",OR(F1193="causal",F1193="predictive")),IF(AND(OR(K1193=1,K1193="1"),OR(L1193=1,L1193="1"),OR(M1193=1,M1193="1")),"adequate","partial"),IF(AND(H1193="W4",F1193="predictive",OR(J1193="P2",J1193="P3",J1193="P4")),IF(OR(U1193=1,U1193="1"),"adequate","partial"),INDEX(Fit_Matrix!$B:$B,MATCH(P1193,Fit_Matrix!$A:$A,0)))),"CHECK KEY"))</f>
        <v/>
      </c>
      <c r="U1193" s="10"/>
      <c r="V1193" s="10"/>
      <c r="W1193" s="10"/>
      <c r="X1193" s="10"/>
      <c r="Y1193" s="10"/>
      <c r="Z1193" s="10"/>
      <c r="AA1193" s="11" t="str">
        <f t="shared" si="37"/>
        <v/>
      </c>
    </row>
    <row r="1194" spans="16:27" ht="15" customHeight="1">
      <c r="P1194" t="str">
        <f t="shared" si="36"/>
        <v/>
      </c>
      <c r="Q1194" t="str">
        <f>IF(P1194="","",IFERROR(IF(AND(H1194="W7",OR(F1194="causal",F1194="predictive")),IF(AND(OR(K1194=1,K1194="1"),OR(L1194=1,L1194="1"),OR(M1194=1,M1194="1")),"adequate","partial"),IF(AND(H1194="W4",F1194="predictive",OR(J1194="P2",J1194="P3",J1194="P4")),IF(OR(U1194=1,U1194="1"),"adequate","partial"),INDEX(Fit_Matrix!$B:$B,MATCH(P1194,Fit_Matrix!$A:$A,0)))),"CHECK KEY"))</f>
        <v/>
      </c>
      <c r="U1194" s="10"/>
      <c r="V1194" s="10"/>
      <c r="W1194" s="10"/>
      <c r="X1194" s="10"/>
      <c r="Y1194" s="10"/>
      <c r="Z1194" s="10"/>
      <c r="AA1194" s="11" t="str">
        <f t="shared" si="37"/>
        <v/>
      </c>
    </row>
    <row r="1195" spans="16:27" ht="15" customHeight="1">
      <c r="P1195" t="str">
        <f t="shared" si="36"/>
        <v/>
      </c>
      <c r="Q1195" t="str">
        <f>IF(P1195="","",IFERROR(IF(AND(H1195="W7",OR(F1195="causal",F1195="predictive")),IF(AND(OR(K1195=1,K1195="1"),OR(L1195=1,L1195="1"),OR(M1195=1,M1195="1")),"adequate","partial"),IF(AND(H1195="W4",F1195="predictive",OR(J1195="P2",J1195="P3",J1195="P4")),IF(OR(U1195=1,U1195="1"),"adequate","partial"),INDEX(Fit_Matrix!$B:$B,MATCH(P1195,Fit_Matrix!$A:$A,0)))),"CHECK KEY"))</f>
        <v/>
      </c>
      <c r="U1195" s="10"/>
      <c r="V1195" s="10"/>
      <c r="W1195" s="10"/>
      <c r="X1195" s="10"/>
      <c r="Y1195" s="10"/>
      <c r="Z1195" s="10"/>
      <c r="AA1195" s="11" t="str">
        <f t="shared" si="37"/>
        <v/>
      </c>
    </row>
    <row r="1196" spans="16:27" ht="15" customHeight="1">
      <c r="P1196" t="str">
        <f t="shared" si="36"/>
        <v/>
      </c>
      <c r="Q1196" t="str">
        <f>IF(P1196="","",IFERROR(IF(AND(H1196="W7",OR(F1196="causal",F1196="predictive")),IF(AND(OR(K1196=1,K1196="1"),OR(L1196=1,L1196="1"),OR(M1196=1,M1196="1")),"adequate","partial"),IF(AND(H1196="W4",F1196="predictive",OR(J1196="P2",J1196="P3",J1196="P4")),IF(OR(U1196=1,U1196="1"),"adequate","partial"),INDEX(Fit_Matrix!$B:$B,MATCH(P1196,Fit_Matrix!$A:$A,0)))),"CHECK KEY"))</f>
        <v/>
      </c>
      <c r="U1196" s="10"/>
      <c r="V1196" s="10"/>
      <c r="W1196" s="10"/>
      <c r="X1196" s="10"/>
      <c r="Y1196" s="10"/>
      <c r="Z1196" s="10"/>
      <c r="AA1196" s="11" t="str">
        <f t="shared" si="37"/>
        <v/>
      </c>
    </row>
    <row r="1197" spans="16:27" ht="15" customHeight="1">
      <c r="P1197" t="str">
        <f t="shared" si="36"/>
        <v/>
      </c>
      <c r="Q1197" t="str">
        <f>IF(P1197="","",IFERROR(IF(AND(H1197="W7",OR(F1197="causal",F1197="predictive")),IF(AND(OR(K1197=1,K1197="1"),OR(L1197=1,L1197="1"),OR(M1197=1,M1197="1")),"adequate","partial"),IF(AND(H1197="W4",F1197="predictive",OR(J1197="P2",J1197="P3",J1197="P4")),IF(OR(U1197=1,U1197="1"),"adequate","partial"),INDEX(Fit_Matrix!$B:$B,MATCH(P1197,Fit_Matrix!$A:$A,0)))),"CHECK KEY"))</f>
        <v/>
      </c>
      <c r="U1197" s="10"/>
      <c r="V1197" s="10"/>
      <c r="W1197" s="10"/>
      <c r="X1197" s="10"/>
      <c r="Y1197" s="10"/>
      <c r="Z1197" s="10"/>
      <c r="AA1197" s="11" t="str">
        <f t="shared" si="37"/>
        <v/>
      </c>
    </row>
    <row r="1198" spans="16:27" ht="15" customHeight="1">
      <c r="P1198" t="str">
        <f t="shared" si="36"/>
        <v/>
      </c>
      <c r="Q1198" t="str">
        <f>IF(P1198="","",IFERROR(IF(AND(H1198="W7",OR(F1198="causal",F1198="predictive")),IF(AND(OR(K1198=1,K1198="1"),OR(L1198=1,L1198="1"),OR(M1198=1,M1198="1")),"adequate","partial"),IF(AND(H1198="W4",F1198="predictive",OR(J1198="P2",J1198="P3",J1198="P4")),IF(OR(U1198=1,U1198="1"),"adequate","partial"),INDEX(Fit_Matrix!$B:$B,MATCH(P1198,Fit_Matrix!$A:$A,0)))),"CHECK KEY"))</f>
        <v/>
      </c>
      <c r="U1198" s="10"/>
      <c r="V1198" s="10"/>
      <c r="W1198" s="10"/>
      <c r="X1198" s="10"/>
      <c r="Y1198" s="10"/>
      <c r="Z1198" s="10"/>
      <c r="AA1198" s="11" t="str">
        <f t="shared" si="37"/>
        <v/>
      </c>
    </row>
    <row r="1199" spans="16:27" ht="15" customHeight="1">
      <c r="P1199" t="str">
        <f t="shared" si="36"/>
        <v/>
      </c>
      <c r="Q1199" t="str">
        <f>IF(P1199="","",IFERROR(IF(AND(H1199="W7",OR(F1199="causal",F1199="predictive")),IF(AND(OR(K1199=1,K1199="1"),OR(L1199=1,L1199="1"),OR(M1199=1,M1199="1")),"adequate","partial"),IF(AND(H1199="W4",F1199="predictive",OR(J1199="P2",J1199="P3",J1199="P4")),IF(OR(U1199=1,U1199="1"),"adequate","partial"),INDEX(Fit_Matrix!$B:$B,MATCH(P1199,Fit_Matrix!$A:$A,0)))),"CHECK KEY"))</f>
        <v/>
      </c>
      <c r="U1199" s="10"/>
      <c r="V1199" s="10"/>
      <c r="W1199" s="10"/>
      <c r="X1199" s="10"/>
      <c r="Y1199" s="10"/>
      <c r="Z1199" s="10"/>
      <c r="AA1199" s="11" t="str">
        <f t="shared" si="37"/>
        <v/>
      </c>
    </row>
    <row r="1200" spans="16:27" ht="15" customHeight="1">
      <c r="P1200" t="str">
        <f t="shared" si="36"/>
        <v/>
      </c>
      <c r="Q1200" t="str">
        <f>IF(P1200="","",IFERROR(IF(AND(H1200="W7",OR(F1200="causal",F1200="predictive")),IF(AND(OR(K1200=1,K1200="1"),OR(L1200=1,L1200="1"),OR(M1200=1,M1200="1")),"adequate","partial"),IF(AND(H1200="W4",F1200="predictive",OR(J1200="P2",J1200="P3",J1200="P4")),IF(OR(U1200=1,U1200="1"),"adequate","partial"),INDEX(Fit_Matrix!$B:$B,MATCH(P1200,Fit_Matrix!$A:$A,0)))),"CHECK KEY"))</f>
        <v/>
      </c>
      <c r="U1200" s="10"/>
      <c r="V1200" s="10"/>
      <c r="W1200" s="10"/>
      <c r="X1200" s="10"/>
      <c r="Y1200" s="10"/>
      <c r="Z1200" s="10"/>
      <c r="AA1200" s="11" t="str">
        <f t="shared" si="37"/>
        <v/>
      </c>
    </row>
    <row r="1201" spans="16:27" ht="15" customHeight="1">
      <c r="P1201" t="str">
        <f t="shared" si="36"/>
        <v/>
      </c>
      <c r="Q1201" t="str">
        <f>IF(P1201="","",IFERROR(IF(AND(H1201="W7",OR(F1201="causal",F1201="predictive")),IF(AND(OR(K1201=1,K1201="1"),OR(L1201=1,L1201="1"),OR(M1201=1,M1201="1")),"adequate","partial"),IF(AND(H1201="W4",F1201="predictive",OR(J1201="P2",J1201="P3",J1201="P4")),IF(OR(U1201=1,U1201="1"),"adequate","partial"),INDEX(Fit_Matrix!$B:$B,MATCH(P1201,Fit_Matrix!$A:$A,0)))),"CHECK KEY"))</f>
        <v/>
      </c>
      <c r="U1201" s="10"/>
      <c r="V1201" s="10"/>
      <c r="W1201" s="10"/>
      <c r="X1201" s="10"/>
      <c r="Y1201" s="10"/>
      <c r="Z1201" s="10"/>
      <c r="AA1201" s="11" t="str">
        <f t="shared" si="37"/>
        <v/>
      </c>
    </row>
    <row r="1202" spans="16:27" ht="15" customHeight="1">
      <c r="P1202" t="str">
        <f t="shared" si="36"/>
        <v/>
      </c>
      <c r="Q1202" t="str">
        <f>IF(P1202="","",IFERROR(IF(AND(H1202="W7",OR(F1202="causal",F1202="predictive")),IF(AND(OR(K1202=1,K1202="1"),OR(L1202=1,L1202="1"),OR(M1202=1,M1202="1")),"adequate","partial"),IF(AND(H1202="W4",F1202="predictive",OR(J1202="P2",J1202="P3",J1202="P4")),IF(OR(U1202=1,U1202="1"),"adequate","partial"),INDEX(Fit_Matrix!$B:$B,MATCH(P1202,Fit_Matrix!$A:$A,0)))),"CHECK KEY"))</f>
        <v/>
      </c>
      <c r="U1202" s="10"/>
      <c r="V1202" s="10"/>
      <c r="W1202" s="10"/>
      <c r="X1202" s="10"/>
      <c r="Y1202" s="10"/>
      <c r="Z1202" s="10"/>
      <c r="AA1202" s="11" t="str">
        <f t="shared" si="37"/>
        <v/>
      </c>
    </row>
    <row r="1203" spans="16:27" ht="15" customHeight="1">
      <c r="P1203" t="str">
        <f t="shared" si="36"/>
        <v/>
      </c>
      <c r="Q1203" t="str">
        <f>IF(P1203="","",IFERROR(IF(AND(H1203="W7",OR(F1203="causal",F1203="predictive")),IF(AND(OR(K1203=1,K1203="1"),OR(L1203=1,L1203="1"),OR(M1203=1,M1203="1")),"adequate","partial"),IF(AND(H1203="W4",F1203="predictive",OR(J1203="P2",J1203="P3",J1203="P4")),IF(OR(U1203=1,U1203="1"),"adequate","partial"),INDEX(Fit_Matrix!$B:$B,MATCH(P1203,Fit_Matrix!$A:$A,0)))),"CHECK KEY"))</f>
        <v/>
      </c>
      <c r="U1203" s="10"/>
      <c r="V1203" s="10"/>
      <c r="W1203" s="10"/>
      <c r="X1203" s="10"/>
      <c r="Y1203" s="10"/>
      <c r="Z1203" s="10"/>
      <c r="AA1203" s="11" t="str">
        <f t="shared" si="37"/>
        <v/>
      </c>
    </row>
    <row r="1204" spans="16:27" ht="15" customHeight="1">
      <c r="P1204" t="str">
        <f t="shared" si="36"/>
        <v/>
      </c>
      <c r="Q1204" t="str">
        <f>IF(P1204="","",IFERROR(IF(AND(H1204="W7",OR(F1204="causal",F1204="predictive")),IF(AND(OR(K1204=1,K1204="1"),OR(L1204=1,L1204="1"),OR(M1204=1,M1204="1")),"adequate","partial"),IF(AND(H1204="W4",F1204="predictive",OR(J1204="P2",J1204="P3",J1204="P4")),IF(OR(U1204=1,U1204="1"),"adequate","partial"),INDEX(Fit_Matrix!$B:$B,MATCH(P1204,Fit_Matrix!$A:$A,0)))),"CHECK KEY"))</f>
        <v/>
      </c>
      <c r="U1204" s="10"/>
      <c r="V1204" s="10"/>
      <c r="W1204" s="10"/>
      <c r="X1204" s="10"/>
      <c r="Y1204" s="10"/>
      <c r="Z1204" s="10"/>
      <c r="AA1204" s="11" t="str">
        <f t="shared" si="37"/>
        <v/>
      </c>
    </row>
    <row r="1205" spans="16:27" ht="15" customHeight="1">
      <c r="P1205" t="str">
        <f t="shared" si="36"/>
        <v/>
      </c>
      <c r="Q1205" t="str">
        <f>IF(P1205="","",IFERROR(IF(AND(H1205="W7",OR(F1205="causal",F1205="predictive")),IF(AND(OR(K1205=1,K1205="1"),OR(L1205=1,L1205="1"),OR(M1205=1,M1205="1")),"adequate","partial"),IF(AND(H1205="W4",F1205="predictive",OR(J1205="P2",J1205="P3",J1205="P4")),IF(OR(U1205=1,U1205="1"),"adequate","partial"),INDEX(Fit_Matrix!$B:$B,MATCH(P1205,Fit_Matrix!$A:$A,0)))),"CHECK KEY"))</f>
        <v/>
      </c>
      <c r="U1205" s="10"/>
      <c r="V1205" s="10"/>
      <c r="W1205" s="10"/>
      <c r="X1205" s="10"/>
      <c r="Y1205" s="10"/>
      <c r="Z1205" s="10"/>
      <c r="AA1205" s="11" t="str">
        <f t="shared" si="37"/>
        <v/>
      </c>
    </row>
    <row r="1206" spans="16:27" ht="15" customHeight="1">
      <c r="P1206" t="str">
        <f t="shared" si="36"/>
        <v/>
      </c>
      <c r="Q1206" t="str">
        <f>IF(P1206="","",IFERROR(IF(AND(H1206="W7",OR(F1206="causal",F1206="predictive")),IF(AND(OR(K1206=1,K1206="1"),OR(L1206=1,L1206="1"),OR(M1206=1,M1206="1")),"adequate","partial"),IF(AND(H1206="W4",F1206="predictive",OR(J1206="P2",J1206="P3",J1206="P4")),IF(OR(U1206=1,U1206="1"),"adequate","partial"),INDEX(Fit_Matrix!$B:$B,MATCH(P1206,Fit_Matrix!$A:$A,0)))),"CHECK KEY"))</f>
        <v/>
      </c>
      <c r="U1206" s="10"/>
      <c r="V1206" s="10"/>
      <c r="W1206" s="10"/>
      <c r="X1206" s="10"/>
      <c r="Y1206" s="10"/>
      <c r="Z1206" s="10"/>
      <c r="AA1206" s="11" t="str">
        <f t="shared" si="37"/>
        <v/>
      </c>
    </row>
    <row r="1207" spans="16:27" ht="15" customHeight="1">
      <c r="P1207" t="str">
        <f t="shared" si="36"/>
        <v/>
      </c>
      <c r="Q1207" t="str">
        <f>IF(P1207="","",IFERROR(IF(AND(H1207="W7",OR(F1207="causal",F1207="predictive")),IF(AND(OR(K1207=1,K1207="1"),OR(L1207=1,L1207="1"),OR(M1207=1,M1207="1")),"adequate","partial"),IF(AND(H1207="W4",F1207="predictive",OR(J1207="P2",J1207="P3",J1207="P4")),IF(OR(U1207=1,U1207="1"),"adequate","partial"),INDEX(Fit_Matrix!$B:$B,MATCH(P1207,Fit_Matrix!$A:$A,0)))),"CHECK KEY"))</f>
        <v/>
      </c>
      <c r="U1207" s="10"/>
      <c r="V1207" s="10"/>
      <c r="W1207" s="10"/>
      <c r="X1207" s="10"/>
      <c r="Y1207" s="10"/>
      <c r="Z1207" s="10"/>
      <c r="AA1207" s="11" t="str">
        <f t="shared" si="37"/>
        <v/>
      </c>
    </row>
    <row r="1208" spans="16:27" ht="15" customHeight="1">
      <c r="P1208" t="str">
        <f t="shared" si="36"/>
        <v/>
      </c>
      <c r="Q1208" t="str">
        <f>IF(P1208="","",IFERROR(IF(AND(H1208="W7",OR(F1208="causal",F1208="predictive")),IF(AND(OR(K1208=1,K1208="1"),OR(L1208=1,L1208="1"),OR(M1208=1,M1208="1")),"adequate","partial"),IF(AND(H1208="W4",F1208="predictive",OR(J1208="P2",J1208="P3",J1208="P4")),IF(OR(U1208=1,U1208="1"),"adequate","partial"),INDEX(Fit_Matrix!$B:$B,MATCH(P1208,Fit_Matrix!$A:$A,0)))),"CHECK KEY"))</f>
        <v/>
      </c>
      <c r="U1208" s="10"/>
      <c r="V1208" s="10"/>
      <c r="W1208" s="10"/>
      <c r="X1208" s="10"/>
      <c r="Y1208" s="10"/>
      <c r="Z1208" s="10"/>
      <c r="AA1208" s="11" t="str">
        <f t="shared" si="37"/>
        <v/>
      </c>
    </row>
    <row r="1209" spans="16:27" ht="15" customHeight="1">
      <c r="P1209" t="str">
        <f t="shared" si="36"/>
        <v/>
      </c>
      <c r="Q1209" t="str">
        <f>IF(P1209="","",IFERROR(IF(AND(H1209="W7",OR(F1209="causal",F1209="predictive")),IF(AND(OR(K1209=1,K1209="1"),OR(L1209=1,L1209="1"),OR(M1209=1,M1209="1")),"adequate","partial"),IF(AND(H1209="W4",F1209="predictive",OR(J1209="P2",J1209="P3",J1209="P4")),IF(OR(U1209=1,U1209="1"),"adequate","partial"),INDEX(Fit_Matrix!$B:$B,MATCH(P1209,Fit_Matrix!$A:$A,0)))),"CHECK KEY"))</f>
        <v/>
      </c>
      <c r="U1209" s="10"/>
      <c r="V1209" s="10"/>
      <c r="W1209" s="10"/>
      <c r="X1209" s="10"/>
      <c r="Y1209" s="10"/>
      <c r="Z1209" s="10"/>
      <c r="AA1209" s="11" t="str">
        <f t="shared" si="37"/>
        <v/>
      </c>
    </row>
    <row r="1210" spans="16:27" ht="15" customHeight="1">
      <c r="P1210" t="str">
        <f t="shared" si="36"/>
        <v/>
      </c>
      <c r="Q1210" t="str">
        <f>IF(P1210="","",IFERROR(IF(AND(H1210="W7",OR(F1210="causal",F1210="predictive")),IF(AND(OR(K1210=1,K1210="1"),OR(L1210=1,L1210="1"),OR(M1210=1,M1210="1")),"adequate","partial"),IF(AND(H1210="W4",F1210="predictive",OR(J1210="P2",J1210="P3",J1210="P4")),IF(OR(U1210=1,U1210="1"),"adequate","partial"),INDEX(Fit_Matrix!$B:$B,MATCH(P1210,Fit_Matrix!$A:$A,0)))),"CHECK KEY"))</f>
        <v/>
      </c>
      <c r="U1210" s="10"/>
      <c r="V1210" s="10"/>
      <c r="W1210" s="10"/>
      <c r="X1210" s="10"/>
      <c r="Y1210" s="10"/>
      <c r="Z1210" s="10"/>
      <c r="AA1210" s="11" t="str">
        <f t="shared" si="37"/>
        <v/>
      </c>
    </row>
    <row r="1211" spans="16:27" ht="15" customHeight="1">
      <c r="P1211" t="str">
        <f t="shared" si="36"/>
        <v/>
      </c>
      <c r="Q1211" t="str">
        <f>IF(P1211="","",IFERROR(IF(AND(H1211="W7",OR(F1211="causal",F1211="predictive")),IF(AND(OR(K1211=1,K1211="1"),OR(L1211=1,L1211="1"),OR(M1211=1,M1211="1")),"adequate","partial"),IF(AND(H1211="W4",F1211="predictive",OR(J1211="P2",J1211="P3",J1211="P4")),IF(OR(U1211=1,U1211="1"),"adequate","partial"),INDEX(Fit_Matrix!$B:$B,MATCH(P1211,Fit_Matrix!$A:$A,0)))),"CHECK KEY"))</f>
        <v/>
      </c>
      <c r="U1211" s="10"/>
      <c r="V1211" s="10"/>
      <c r="W1211" s="10"/>
      <c r="X1211" s="10"/>
      <c r="Y1211" s="10"/>
      <c r="Z1211" s="10"/>
      <c r="AA1211" s="11" t="str">
        <f t="shared" si="37"/>
        <v/>
      </c>
    </row>
    <row r="1212" spans="16:27" ht="15" customHeight="1">
      <c r="P1212" t="str">
        <f t="shared" si="36"/>
        <v/>
      </c>
      <c r="Q1212" t="str">
        <f>IF(P1212="","",IFERROR(IF(AND(H1212="W7",OR(F1212="causal",F1212="predictive")),IF(AND(OR(K1212=1,K1212="1"),OR(L1212=1,L1212="1"),OR(M1212=1,M1212="1")),"adequate","partial"),IF(AND(H1212="W4",F1212="predictive",OR(J1212="P2",J1212="P3",J1212="P4")),IF(OR(U1212=1,U1212="1"),"adequate","partial"),INDEX(Fit_Matrix!$B:$B,MATCH(P1212,Fit_Matrix!$A:$A,0)))),"CHECK KEY"))</f>
        <v/>
      </c>
      <c r="U1212" s="10"/>
      <c r="V1212" s="10"/>
      <c r="W1212" s="10"/>
      <c r="X1212" s="10"/>
      <c r="Y1212" s="10"/>
      <c r="Z1212" s="10"/>
      <c r="AA1212" s="11" t="str">
        <f t="shared" si="37"/>
        <v/>
      </c>
    </row>
    <row r="1213" spans="16:27" ht="15" customHeight="1">
      <c r="P1213" t="str">
        <f t="shared" si="36"/>
        <v/>
      </c>
      <c r="Q1213" t="str">
        <f>IF(P1213="","",IFERROR(IF(AND(H1213="W7",OR(F1213="causal",F1213="predictive")),IF(AND(OR(K1213=1,K1213="1"),OR(L1213=1,L1213="1"),OR(M1213=1,M1213="1")),"adequate","partial"),IF(AND(H1213="W4",F1213="predictive",OR(J1213="P2",J1213="P3",J1213="P4")),IF(OR(U1213=1,U1213="1"),"adequate","partial"),INDEX(Fit_Matrix!$B:$B,MATCH(P1213,Fit_Matrix!$A:$A,0)))),"CHECK KEY"))</f>
        <v/>
      </c>
      <c r="U1213" s="10"/>
      <c r="V1213" s="10"/>
      <c r="W1213" s="10"/>
      <c r="X1213" s="10"/>
      <c r="Y1213" s="10"/>
      <c r="Z1213" s="10"/>
      <c r="AA1213" s="11" t="str">
        <f t="shared" si="37"/>
        <v/>
      </c>
    </row>
    <row r="1214" spans="16:27" ht="15" customHeight="1">
      <c r="P1214" t="str">
        <f t="shared" si="36"/>
        <v/>
      </c>
      <c r="Q1214" t="str">
        <f>IF(P1214="","",IFERROR(IF(AND(H1214="W7",OR(F1214="causal",F1214="predictive")),IF(AND(OR(K1214=1,K1214="1"),OR(L1214=1,L1214="1"),OR(M1214=1,M1214="1")),"adequate","partial"),IF(AND(H1214="W4",F1214="predictive",OR(J1214="P2",J1214="P3",J1214="P4")),IF(OR(U1214=1,U1214="1"),"adequate","partial"),INDEX(Fit_Matrix!$B:$B,MATCH(P1214,Fit_Matrix!$A:$A,0)))),"CHECK KEY"))</f>
        <v/>
      </c>
      <c r="U1214" s="10"/>
      <c r="V1214" s="10"/>
      <c r="W1214" s="10"/>
      <c r="X1214" s="10"/>
      <c r="Y1214" s="10"/>
      <c r="Z1214" s="10"/>
      <c r="AA1214" s="11" t="str">
        <f t="shared" si="37"/>
        <v/>
      </c>
    </row>
    <row r="1215" spans="16:27" ht="15" customHeight="1">
      <c r="P1215" t="str">
        <f t="shared" si="36"/>
        <v/>
      </c>
      <c r="Q1215" t="str">
        <f>IF(P1215="","",IFERROR(IF(AND(H1215="W7",OR(F1215="causal",F1215="predictive")),IF(AND(OR(K1215=1,K1215="1"),OR(L1215=1,L1215="1"),OR(M1215=1,M1215="1")),"adequate","partial"),IF(AND(H1215="W4",F1215="predictive",OR(J1215="P2",J1215="P3",J1215="P4")),IF(OR(U1215=1,U1215="1"),"adequate","partial"),INDEX(Fit_Matrix!$B:$B,MATCH(P1215,Fit_Matrix!$A:$A,0)))),"CHECK KEY"))</f>
        <v/>
      </c>
      <c r="U1215" s="10"/>
      <c r="V1215" s="10"/>
      <c r="W1215" s="10"/>
      <c r="X1215" s="10"/>
      <c r="Y1215" s="10"/>
      <c r="Z1215" s="10"/>
      <c r="AA1215" s="11" t="str">
        <f t="shared" si="37"/>
        <v/>
      </c>
    </row>
    <row r="1216" spans="16:27" ht="15" customHeight="1">
      <c r="P1216" t="str">
        <f t="shared" si="36"/>
        <v/>
      </c>
      <c r="Q1216" t="str">
        <f>IF(P1216="","",IFERROR(IF(AND(H1216="W7",OR(F1216="causal",F1216="predictive")),IF(AND(OR(K1216=1,K1216="1"),OR(L1216=1,L1216="1"),OR(M1216=1,M1216="1")),"adequate","partial"),IF(AND(H1216="W4",F1216="predictive",OR(J1216="P2",J1216="P3",J1216="P4")),IF(OR(U1216=1,U1216="1"),"adequate","partial"),INDEX(Fit_Matrix!$B:$B,MATCH(P1216,Fit_Matrix!$A:$A,0)))),"CHECK KEY"))</f>
        <v/>
      </c>
      <c r="U1216" s="10"/>
      <c r="V1216" s="10"/>
      <c r="W1216" s="10"/>
      <c r="X1216" s="10"/>
      <c r="Y1216" s="10"/>
      <c r="Z1216" s="10"/>
      <c r="AA1216" s="11" t="str">
        <f t="shared" si="37"/>
        <v/>
      </c>
    </row>
    <row r="1217" spans="16:27" ht="15" customHeight="1">
      <c r="P1217" t="str">
        <f t="shared" si="36"/>
        <v/>
      </c>
      <c r="Q1217" t="str">
        <f>IF(P1217="","",IFERROR(IF(AND(H1217="W7",OR(F1217="causal",F1217="predictive")),IF(AND(OR(K1217=1,K1217="1"),OR(L1217=1,L1217="1"),OR(M1217=1,M1217="1")),"adequate","partial"),IF(AND(H1217="W4",F1217="predictive",OR(J1217="P2",J1217="P3",J1217="P4")),IF(OR(U1217=1,U1217="1"),"adequate","partial"),INDEX(Fit_Matrix!$B:$B,MATCH(P1217,Fit_Matrix!$A:$A,0)))),"CHECK KEY"))</f>
        <v/>
      </c>
      <c r="U1217" s="10"/>
      <c r="V1217" s="10"/>
      <c r="W1217" s="10"/>
      <c r="X1217" s="10"/>
      <c r="Y1217" s="10"/>
      <c r="Z1217" s="10"/>
      <c r="AA1217" s="11" t="str">
        <f t="shared" si="37"/>
        <v/>
      </c>
    </row>
    <row r="1218" spans="16:27" ht="15" customHeight="1">
      <c r="P1218" t="str">
        <f t="shared" ref="P1218:P1281" si="38">IF(OR(F1218="",H1218="",J1218=""),"",J1218&amp;"|"&amp;F1218&amp;"|"&amp;IF(H1218="W3","W3_"&amp;IF(I1218="","unknown",I1218),H1218))</f>
        <v/>
      </c>
      <c r="Q1218" t="str">
        <f>IF(P1218="","",IFERROR(IF(AND(H1218="W7",OR(F1218="causal",F1218="predictive")),IF(AND(OR(K1218=1,K1218="1"),OR(L1218=1,L1218="1"),OR(M1218=1,M1218="1")),"adequate","partial"),IF(AND(H1218="W4",F1218="predictive",OR(J1218="P2",J1218="P3",J1218="P4")),IF(OR(U1218=1,U1218="1"),"adequate","partial"),INDEX(Fit_Matrix!$B:$B,MATCH(P1218,Fit_Matrix!$A:$A,0)))),"CHECK KEY"))</f>
        <v/>
      </c>
      <c r="U1218" s="10"/>
      <c r="V1218" s="10"/>
      <c r="W1218" s="10"/>
      <c r="X1218" s="10"/>
      <c r="Y1218" s="10"/>
      <c r="Z1218" s="10"/>
      <c r="AA1218" s="11" t="str">
        <f t="shared" ref="AA1218:AA1281" si="39">IF(A1218="","",IF(AND(J1218="P4",F1218="causal"),"P4-CAUSAL",""))</f>
        <v/>
      </c>
    </row>
    <row r="1219" spans="16:27" ht="15" customHeight="1">
      <c r="P1219" t="str">
        <f t="shared" si="38"/>
        <v/>
      </c>
      <c r="Q1219" t="str">
        <f>IF(P1219="","",IFERROR(IF(AND(H1219="W7",OR(F1219="causal",F1219="predictive")),IF(AND(OR(K1219=1,K1219="1"),OR(L1219=1,L1219="1"),OR(M1219=1,M1219="1")),"adequate","partial"),IF(AND(H1219="W4",F1219="predictive",OR(J1219="P2",J1219="P3",J1219="P4")),IF(OR(U1219=1,U1219="1"),"adequate","partial"),INDEX(Fit_Matrix!$B:$B,MATCH(P1219,Fit_Matrix!$A:$A,0)))),"CHECK KEY"))</f>
        <v/>
      </c>
      <c r="U1219" s="10"/>
      <c r="V1219" s="10"/>
      <c r="W1219" s="10"/>
      <c r="X1219" s="10"/>
      <c r="Y1219" s="10"/>
      <c r="Z1219" s="10"/>
      <c r="AA1219" s="11" t="str">
        <f t="shared" si="39"/>
        <v/>
      </c>
    </row>
    <row r="1220" spans="16:27" ht="15" customHeight="1">
      <c r="P1220" t="str">
        <f t="shared" si="38"/>
        <v/>
      </c>
      <c r="Q1220" t="str">
        <f>IF(P1220="","",IFERROR(IF(AND(H1220="W7",OR(F1220="causal",F1220="predictive")),IF(AND(OR(K1220=1,K1220="1"),OR(L1220=1,L1220="1"),OR(M1220=1,M1220="1")),"adequate","partial"),IF(AND(H1220="W4",F1220="predictive",OR(J1220="P2",J1220="P3",J1220="P4")),IF(OR(U1220=1,U1220="1"),"adequate","partial"),INDEX(Fit_Matrix!$B:$B,MATCH(P1220,Fit_Matrix!$A:$A,0)))),"CHECK KEY"))</f>
        <v/>
      </c>
      <c r="U1220" s="10"/>
      <c r="V1220" s="10"/>
      <c r="W1220" s="10"/>
      <c r="X1220" s="10"/>
      <c r="Y1220" s="10"/>
      <c r="Z1220" s="10"/>
      <c r="AA1220" s="11" t="str">
        <f t="shared" si="39"/>
        <v/>
      </c>
    </row>
    <row r="1221" spans="16:27" ht="15" customHeight="1">
      <c r="P1221" t="str">
        <f t="shared" si="38"/>
        <v/>
      </c>
      <c r="Q1221" t="str">
        <f>IF(P1221="","",IFERROR(IF(AND(H1221="W7",OR(F1221="causal",F1221="predictive")),IF(AND(OR(K1221=1,K1221="1"),OR(L1221=1,L1221="1"),OR(M1221=1,M1221="1")),"adequate","partial"),IF(AND(H1221="W4",F1221="predictive",OR(J1221="P2",J1221="P3",J1221="P4")),IF(OR(U1221=1,U1221="1"),"adequate","partial"),INDEX(Fit_Matrix!$B:$B,MATCH(P1221,Fit_Matrix!$A:$A,0)))),"CHECK KEY"))</f>
        <v/>
      </c>
      <c r="U1221" s="10"/>
      <c r="V1221" s="10"/>
      <c r="W1221" s="10"/>
      <c r="X1221" s="10"/>
      <c r="Y1221" s="10"/>
      <c r="Z1221" s="10"/>
      <c r="AA1221" s="11" t="str">
        <f t="shared" si="39"/>
        <v/>
      </c>
    </row>
    <row r="1222" spans="16:27" ht="15" customHeight="1">
      <c r="P1222" t="str">
        <f t="shared" si="38"/>
        <v/>
      </c>
      <c r="Q1222" t="str">
        <f>IF(P1222="","",IFERROR(IF(AND(H1222="W7",OR(F1222="causal",F1222="predictive")),IF(AND(OR(K1222=1,K1222="1"),OR(L1222=1,L1222="1"),OR(M1222=1,M1222="1")),"adequate","partial"),IF(AND(H1222="W4",F1222="predictive",OR(J1222="P2",J1222="P3",J1222="P4")),IF(OR(U1222=1,U1222="1"),"adequate","partial"),INDEX(Fit_Matrix!$B:$B,MATCH(P1222,Fit_Matrix!$A:$A,0)))),"CHECK KEY"))</f>
        <v/>
      </c>
      <c r="U1222" s="10"/>
      <c r="V1222" s="10"/>
      <c r="W1222" s="10"/>
      <c r="X1222" s="10"/>
      <c r="Y1222" s="10"/>
      <c r="Z1222" s="10"/>
      <c r="AA1222" s="11" t="str">
        <f t="shared" si="39"/>
        <v/>
      </c>
    </row>
    <row r="1223" spans="16:27" ht="15" customHeight="1">
      <c r="P1223" t="str">
        <f t="shared" si="38"/>
        <v/>
      </c>
      <c r="Q1223" t="str">
        <f>IF(P1223="","",IFERROR(IF(AND(H1223="W7",OR(F1223="causal",F1223="predictive")),IF(AND(OR(K1223=1,K1223="1"),OR(L1223=1,L1223="1"),OR(M1223=1,M1223="1")),"adequate","partial"),IF(AND(H1223="W4",F1223="predictive",OR(J1223="P2",J1223="P3",J1223="P4")),IF(OR(U1223=1,U1223="1"),"adequate","partial"),INDEX(Fit_Matrix!$B:$B,MATCH(P1223,Fit_Matrix!$A:$A,0)))),"CHECK KEY"))</f>
        <v/>
      </c>
      <c r="U1223" s="10"/>
      <c r="V1223" s="10"/>
      <c r="W1223" s="10"/>
      <c r="X1223" s="10"/>
      <c r="Y1223" s="10"/>
      <c r="Z1223" s="10"/>
      <c r="AA1223" s="11" t="str">
        <f t="shared" si="39"/>
        <v/>
      </c>
    </row>
    <row r="1224" spans="16:27" ht="15" customHeight="1">
      <c r="P1224" t="str">
        <f t="shared" si="38"/>
        <v/>
      </c>
      <c r="Q1224" t="str">
        <f>IF(P1224="","",IFERROR(IF(AND(H1224="W7",OR(F1224="causal",F1224="predictive")),IF(AND(OR(K1224=1,K1224="1"),OR(L1224=1,L1224="1"),OR(M1224=1,M1224="1")),"adequate","partial"),IF(AND(H1224="W4",F1224="predictive",OR(J1224="P2",J1224="P3",J1224="P4")),IF(OR(U1224=1,U1224="1"),"adequate","partial"),INDEX(Fit_Matrix!$B:$B,MATCH(P1224,Fit_Matrix!$A:$A,0)))),"CHECK KEY"))</f>
        <v/>
      </c>
      <c r="U1224" s="10"/>
      <c r="V1224" s="10"/>
      <c r="W1224" s="10"/>
      <c r="X1224" s="10"/>
      <c r="Y1224" s="10"/>
      <c r="Z1224" s="10"/>
      <c r="AA1224" s="11" t="str">
        <f t="shared" si="39"/>
        <v/>
      </c>
    </row>
    <row r="1225" spans="16:27" ht="15" customHeight="1">
      <c r="P1225" t="str">
        <f t="shared" si="38"/>
        <v/>
      </c>
      <c r="Q1225" t="str">
        <f>IF(P1225="","",IFERROR(IF(AND(H1225="W7",OR(F1225="causal",F1225="predictive")),IF(AND(OR(K1225=1,K1225="1"),OR(L1225=1,L1225="1"),OR(M1225=1,M1225="1")),"adequate","partial"),IF(AND(H1225="W4",F1225="predictive",OR(J1225="P2",J1225="P3",J1225="P4")),IF(OR(U1225=1,U1225="1"),"adequate","partial"),INDEX(Fit_Matrix!$B:$B,MATCH(P1225,Fit_Matrix!$A:$A,0)))),"CHECK KEY"))</f>
        <v/>
      </c>
      <c r="U1225" s="10"/>
      <c r="V1225" s="10"/>
      <c r="W1225" s="10"/>
      <c r="X1225" s="10"/>
      <c r="Y1225" s="10"/>
      <c r="Z1225" s="10"/>
      <c r="AA1225" s="11" t="str">
        <f t="shared" si="39"/>
        <v/>
      </c>
    </row>
    <row r="1226" spans="16:27" ht="15" customHeight="1">
      <c r="P1226" t="str">
        <f t="shared" si="38"/>
        <v/>
      </c>
      <c r="Q1226" t="str">
        <f>IF(P1226="","",IFERROR(IF(AND(H1226="W7",OR(F1226="causal",F1226="predictive")),IF(AND(OR(K1226=1,K1226="1"),OR(L1226=1,L1226="1"),OR(M1226=1,M1226="1")),"adequate","partial"),IF(AND(H1226="W4",F1226="predictive",OR(J1226="P2",J1226="P3",J1226="P4")),IF(OR(U1226=1,U1226="1"),"adequate","partial"),INDEX(Fit_Matrix!$B:$B,MATCH(P1226,Fit_Matrix!$A:$A,0)))),"CHECK KEY"))</f>
        <v/>
      </c>
      <c r="U1226" s="10"/>
      <c r="V1226" s="10"/>
      <c r="W1226" s="10"/>
      <c r="X1226" s="10"/>
      <c r="Y1226" s="10"/>
      <c r="Z1226" s="10"/>
      <c r="AA1226" s="11" t="str">
        <f t="shared" si="39"/>
        <v/>
      </c>
    </row>
    <row r="1227" spans="16:27" ht="15" customHeight="1">
      <c r="P1227" t="str">
        <f t="shared" si="38"/>
        <v/>
      </c>
      <c r="Q1227" t="str">
        <f>IF(P1227="","",IFERROR(IF(AND(H1227="W7",OR(F1227="causal",F1227="predictive")),IF(AND(OR(K1227=1,K1227="1"),OR(L1227=1,L1227="1"),OR(M1227=1,M1227="1")),"adequate","partial"),IF(AND(H1227="W4",F1227="predictive",OR(J1227="P2",J1227="P3",J1227="P4")),IF(OR(U1227=1,U1227="1"),"adequate","partial"),INDEX(Fit_Matrix!$B:$B,MATCH(P1227,Fit_Matrix!$A:$A,0)))),"CHECK KEY"))</f>
        <v/>
      </c>
      <c r="U1227" s="10"/>
      <c r="V1227" s="10"/>
      <c r="W1227" s="10"/>
      <c r="X1227" s="10"/>
      <c r="Y1227" s="10"/>
      <c r="Z1227" s="10"/>
      <c r="AA1227" s="11" t="str">
        <f t="shared" si="39"/>
        <v/>
      </c>
    </row>
    <row r="1228" spans="16:27" ht="15" customHeight="1">
      <c r="P1228" t="str">
        <f t="shared" si="38"/>
        <v/>
      </c>
      <c r="Q1228" t="str">
        <f>IF(P1228="","",IFERROR(IF(AND(H1228="W7",OR(F1228="causal",F1228="predictive")),IF(AND(OR(K1228=1,K1228="1"),OR(L1228=1,L1228="1"),OR(M1228=1,M1228="1")),"adequate","partial"),IF(AND(H1228="W4",F1228="predictive",OR(J1228="P2",J1228="P3",J1228="P4")),IF(OR(U1228=1,U1228="1"),"adequate","partial"),INDEX(Fit_Matrix!$B:$B,MATCH(P1228,Fit_Matrix!$A:$A,0)))),"CHECK KEY"))</f>
        <v/>
      </c>
      <c r="U1228" s="10"/>
      <c r="V1228" s="10"/>
      <c r="W1228" s="10"/>
      <c r="X1228" s="10"/>
      <c r="Y1228" s="10"/>
      <c r="Z1228" s="10"/>
      <c r="AA1228" s="11" t="str">
        <f t="shared" si="39"/>
        <v/>
      </c>
    </row>
    <row r="1229" spans="16:27" ht="15" customHeight="1">
      <c r="P1229" t="str">
        <f t="shared" si="38"/>
        <v/>
      </c>
      <c r="Q1229" t="str">
        <f>IF(P1229="","",IFERROR(IF(AND(H1229="W7",OR(F1229="causal",F1229="predictive")),IF(AND(OR(K1229=1,K1229="1"),OR(L1229=1,L1229="1"),OR(M1229=1,M1229="1")),"adequate","partial"),IF(AND(H1229="W4",F1229="predictive",OR(J1229="P2",J1229="P3",J1229="P4")),IF(OR(U1229=1,U1229="1"),"adequate","partial"),INDEX(Fit_Matrix!$B:$B,MATCH(P1229,Fit_Matrix!$A:$A,0)))),"CHECK KEY"))</f>
        <v/>
      </c>
      <c r="U1229" s="10"/>
      <c r="V1229" s="10"/>
      <c r="W1229" s="10"/>
      <c r="X1229" s="10"/>
      <c r="Y1229" s="10"/>
      <c r="Z1229" s="10"/>
      <c r="AA1229" s="11" t="str">
        <f t="shared" si="39"/>
        <v/>
      </c>
    </row>
    <row r="1230" spans="16:27" ht="15" customHeight="1">
      <c r="P1230" t="str">
        <f t="shared" si="38"/>
        <v/>
      </c>
      <c r="Q1230" t="str">
        <f>IF(P1230="","",IFERROR(IF(AND(H1230="W7",OR(F1230="causal",F1230="predictive")),IF(AND(OR(K1230=1,K1230="1"),OR(L1230=1,L1230="1"),OR(M1230=1,M1230="1")),"adequate","partial"),IF(AND(H1230="W4",F1230="predictive",OR(J1230="P2",J1230="P3",J1230="P4")),IF(OR(U1230=1,U1230="1"),"adequate","partial"),INDEX(Fit_Matrix!$B:$B,MATCH(P1230,Fit_Matrix!$A:$A,0)))),"CHECK KEY"))</f>
        <v/>
      </c>
      <c r="U1230" s="10"/>
      <c r="V1230" s="10"/>
      <c r="W1230" s="10"/>
      <c r="X1230" s="10"/>
      <c r="Y1230" s="10"/>
      <c r="Z1230" s="10"/>
      <c r="AA1230" s="11" t="str">
        <f t="shared" si="39"/>
        <v/>
      </c>
    </row>
    <row r="1231" spans="16:27" ht="15" customHeight="1">
      <c r="P1231" t="str">
        <f t="shared" si="38"/>
        <v/>
      </c>
      <c r="Q1231" t="str">
        <f>IF(P1231="","",IFERROR(IF(AND(H1231="W7",OR(F1231="causal",F1231="predictive")),IF(AND(OR(K1231=1,K1231="1"),OR(L1231=1,L1231="1"),OR(M1231=1,M1231="1")),"adequate","partial"),IF(AND(H1231="W4",F1231="predictive",OR(J1231="P2",J1231="P3",J1231="P4")),IF(OR(U1231=1,U1231="1"),"adequate","partial"),INDEX(Fit_Matrix!$B:$B,MATCH(P1231,Fit_Matrix!$A:$A,0)))),"CHECK KEY"))</f>
        <v/>
      </c>
      <c r="U1231" s="10"/>
      <c r="V1231" s="10"/>
      <c r="W1231" s="10"/>
      <c r="X1231" s="10"/>
      <c r="Y1231" s="10"/>
      <c r="Z1231" s="10"/>
      <c r="AA1231" s="11" t="str">
        <f t="shared" si="39"/>
        <v/>
      </c>
    </row>
    <row r="1232" spans="16:27" ht="15" customHeight="1">
      <c r="P1232" t="str">
        <f t="shared" si="38"/>
        <v/>
      </c>
      <c r="Q1232" t="str">
        <f>IF(P1232="","",IFERROR(IF(AND(H1232="W7",OR(F1232="causal",F1232="predictive")),IF(AND(OR(K1232=1,K1232="1"),OR(L1232=1,L1232="1"),OR(M1232=1,M1232="1")),"adequate","partial"),IF(AND(H1232="W4",F1232="predictive",OR(J1232="P2",J1232="P3",J1232="P4")),IF(OR(U1232=1,U1232="1"),"adequate","partial"),INDEX(Fit_Matrix!$B:$B,MATCH(P1232,Fit_Matrix!$A:$A,0)))),"CHECK KEY"))</f>
        <v/>
      </c>
      <c r="U1232" s="10"/>
      <c r="V1232" s="10"/>
      <c r="W1232" s="10"/>
      <c r="X1232" s="10"/>
      <c r="Y1232" s="10"/>
      <c r="Z1232" s="10"/>
      <c r="AA1232" s="11" t="str">
        <f t="shared" si="39"/>
        <v/>
      </c>
    </row>
    <row r="1233" spans="16:27" ht="15" customHeight="1">
      <c r="P1233" t="str">
        <f t="shared" si="38"/>
        <v/>
      </c>
      <c r="Q1233" t="str">
        <f>IF(P1233="","",IFERROR(IF(AND(H1233="W7",OR(F1233="causal",F1233="predictive")),IF(AND(OR(K1233=1,K1233="1"),OR(L1233=1,L1233="1"),OR(M1233=1,M1233="1")),"adequate","partial"),IF(AND(H1233="W4",F1233="predictive",OR(J1233="P2",J1233="P3",J1233="P4")),IF(OR(U1233=1,U1233="1"),"adequate","partial"),INDEX(Fit_Matrix!$B:$B,MATCH(P1233,Fit_Matrix!$A:$A,0)))),"CHECK KEY"))</f>
        <v/>
      </c>
      <c r="U1233" s="10"/>
      <c r="V1233" s="10"/>
      <c r="W1233" s="10"/>
      <c r="X1233" s="10"/>
      <c r="Y1233" s="10"/>
      <c r="Z1233" s="10"/>
      <c r="AA1233" s="11" t="str">
        <f t="shared" si="39"/>
        <v/>
      </c>
    </row>
    <row r="1234" spans="16:27" ht="15" customHeight="1">
      <c r="P1234" t="str">
        <f t="shared" si="38"/>
        <v/>
      </c>
      <c r="Q1234" t="str">
        <f>IF(P1234="","",IFERROR(IF(AND(H1234="W7",OR(F1234="causal",F1234="predictive")),IF(AND(OR(K1234=1,K1234="1"),OR(L1234=1,L1234="1"),OR(M1234=1,M1234="1")),"adequate","partial"),IF(AND(H1234="W4",F1234="predictive",OR(J1234="P2",J1234="P3",J1234="P4")),IF(OR(U1234=1,U1234="1"),"adequate","partial"),INDEX(Fit_Matrix!$B:$B,MATCH(P1234,Fit_Matrix!$A:$A,0)))),"CHECK KEY"))</f>
        <v/>
      </c>
      <c r="U1234" s="10"/>
      <c r="V1234" s="10"/>
      <c r="W1234" s="10"/>
      <c r="X1234" s="10"/>
      <c r="Y1234" s="10"/>
      <c r="Z1234" s="10"/>
      <c r="AA1234" s="11" t="str">
        <f t="shared" si="39"/>
        <v/>
      </c>
    </row>
    <row r="1235" spans="16:27" ht="15" customHeight="1">
      <c r="P1235" t="str">
        <f t="shared" si="38"/>
        <v/>
      </c>
      <c r="Q1235" t="str">
        <f>IF(P1235="","",IFERROR(IF(AND(H1235="W7",OR(F1235="causal",F1235="predictive")),IF(AND(OR(K1235=1,K1235="1"),OR(L1235=1,L1235="1"),OR(M1235=1,M1235="1")),"adequate","partial"),IF(AND(H1235="W4",F1235="predictive",OR(J1235="P2",J1235="P3",J1235="P4")),IF(OR(U1235=1,U1235="1"),"adequate","partial"),INDEX(Fit_Matrix!$B:$B,MATCH(P1235,Fit_Matrix!$A:$A,0)))),"CHECK KEY"))</f>
        <v/>
      </c>
      <c r="U1235" s="10"/>
      <c r="V1235" s="10"/>
      <c r="W1235" s="10"/>
      <c r="X1235" s="10"/>
      <c r="Y1235" s="10"/>
      <c r="Z1235" s="10"/>
      <c r="AA1235" s="11" t="str">
        <f t="shared" si="39"/>
        <v/>
      </c>
    </row>
    <row r="1236" spans="16:27" ht="15" customHeight="1">
      <c r="P1236" t="str">
        <f t="shared" si="38"/>
        <v/>
      </c>
      <c r="Q1236" t="str">
        <f>IF(P1236="","",IFERROR(IF(AND(H1236="W7",OR(F1236="causal",F1236="predictive")),IF(AND(OR(K1236=1,K1236="1"),OR(L1236=1,L1236="1"),OR(M1236=1,M1236="1")),"adequate","partial"),IF(AND(H1236="W4",F1236="predictive",OR(J1236="P2",J1236="P3",J1236="P4")),IF(OR(U1236=1,U1236="1"),"adequate","partial"),INDEX(Fit_Matrix!$B:$B,MATCH(P1236,Fit_Matrix!$A:$A,0)))),"CHECK KEY"))</f>
        <v/>
      </c>
      <c r="U1236" s="10"/>
      <c r="V1236" s="10"/>
      <c r="W1236" s="10"/>
      <c r="X1236" s="10"/>
      <c r="Y1236" s="10"/>
      <c r="Z1236" s="10"/>
      <c r="AA1236" s="11" t="str">
        <f t="shared" si="39"/>
        <v/>
      </c>
    </row>
    <row r="1237" spans="16:27" ht="15" customHeight="1">
      <c r="P1237" t="str">
        <f t="shared" si="38"/>
        <v/>
      </c>
      <c r="Q1237" t="str">
        <f>IF(P1237="","",IFERROR(IF(AND(H1237="W7",OR(F1237="causal",F1237="predictive")),IF(AND(OR(K1237=1,K1237="1"),OR(L1237=1,L1237="1"),OR(M1237=1,M1237="1")),"adequate","partial"),IF(AND(H1237="W4",F1237="predictive",OR(J1237="P2",J1237="P3",J1237="P4")),IF(OR(U1237=1,U1237="1"),"adequate","partial"),INDEX(Fit_Matrix!$B:$B,MATCH(P1237,Fit_Matrix!$A:$A,0)))),"CHECK KEY"))</f>
        <v/>
      </c>
      <c r="U1237" s="10"/>
      <c r="V1237" s="10"/>
      <c r="W1237" s="10"/>
      <c r="X1237" s="10"/>
      <c r="Y1237" s="10"/>
      <c r="Z1237" s="10"/>
      <c r="AA1237" s="11" t="str">
        <f t="shared" si="39"/>
        <v/>
      </c>
    </row>
    <row r="1238" spans="16:27" ht="15" customHeight="1">
      <c r="P1238" t="str">
        <f t="shared" si="38"/>
        <v/>
      </c>
      <c r="Q1238" t="str">
        <f>IF(P1238="","",IFERROR(IF(AND(H1238="W7",OR(F1238="causal",F1238="predictive")),IF(AND(OR(K1238=1,K1238="1"),OR(L1238=1,L1238="1"),OR(M1238=1,M1238="1")),"adequate","partial"),IF(AND(H1238="W4",F1238="predictive",OR(J1238="P2",J1238="P3",J1238="P4")),IF(OR(U1238=1,U1238="1"),"adequate","partial"),INDEX(Fit_Matrix!$B:$B,MATCH(P1238,Fit_Matrix!$A:$A,0)))),"CHECK KEY"))</f>
        <v/>
      </c>
      <c r="U1238" s="10"/>
      <c r="V1238" s="10"/>
      <c r="W1238" s="10"/>
      <c r="X1238" s="10"/>
      <c r="Y1238" s="10"/>
      <c r="Z1238" s="10"/>
      <c r="AA1238" s="11" t="str">
        <f t="shared" si="39"/>
        <v/>
      </c>
    </row>
    <row r="1239" spans="16:27" ht="15" customHeight="1">
      <c r="P1239" t="str">
        <f t="shared" si="38"/>
        <v/>
      </c>
      <c r="Q1239" t="str">
        <f>IF(P1239="","",IFERROR(IF(AND(H1239="W7",OR(F1239="causal",F1239="predictive")),IF(AND(OR(K1239=1,K1239="1"),OR(L1239=1,L1239="1"),OR(M1239=1,M1239="1")),"adequate","partial"),IF(AND(H1239="W4",F1239="predictive",OR(J1239="P2",J1239="P3",J1239="P4")),IF(OR(U1239=1,U1239="1"),"adequate","partial"),INDEX(Fit_Matrix!$B:$B,MATCH(P1239,Fit_Matrix!$A:$A,0)))),"CHECK KEY"))</f>
        <v/>
      </c>
      <c r="U1239" s="10"/>
      <c r="V1239" s="10"/>
      <c r="W1239" s="10"/>
      <c r="X1239" s="10"/>
      <c r="Y1239" s="10"/>
      <c r="Z1239" s="10"/>
      <c r="AA1239" s="11" t="str">
        <f t="shared" si="39"/>
        <v/>
      </c>
    </row>
    <row r="1240" spans="16:27" ht="15" customHeight="1">
      <c r="P1240" t="str">
        <f t="shared" si="38"/>
        <v/>
      </c>
      <c r="Q1240" t="str">
        <f>IF(P1240="","",IFERROR(IF(AND(H1240="W7",OR(F1240="causal",F1240="predictive")),IF(AND(OR(K1240=1,K1240="1"),OR(L1240=1,L1240="1"),OR(M1240=1,M1240="1")),"adequate","partial"),IF(AND(H1240="W4",F1240="predictive",OR(J1240="P2",J1240="P3",J1240="P4")),IF(OR(U1240=1,U1240="1"),"adequate","partial"),INDEX(Fit_Matrix!$B:$B,MATCH(P1240,Fit_Matrix!$A:$A,0)))),"CHECK KEY"))</f>
        <v/>
      </c>
      <c r="U1240" s="10"/>
      <c r="V1240" s="10"/>
      <c r="W1240" s="10"/>
      <c r="X1240" s="10"/>
      <c r="Y1240" s="10"/>
      <c r="Z1240" s="10"/>
      <c r="AA1240" s="11" t="str">
        <f t="shared" si="39"/>
        <v/>
      </c>
    </row>
    <row r="1241" spans="16:27" ht="15" customHeight="1">
      <c r="P1241" t="str">
        <f t="shared" si="38"/>
        <v/>
      </c>
      <c r="Q1241" t="str">
        <f>IF(P1241="","",IFERROR(IF(AND(H1241="W7",OR(F1241="causal",F1241="predictive")),IF(AND(OR(K1241=1,K1241="1"),OR(L1241=1,L1241="1"),OR(M1241=1,M1241="1")),"adequate","partial"),IF(AND(H1241="W4",F1241="predictive",OR(J1241="P2",J1241="P3",J1241="P4")),IF(OR(U1241=1,U1241="1"),"adequate","partial"),INDEX(Fit_Matrix!$B:$B,MATCH(P1241,Fit_Matrix!$A:$A,0)))),"CHECK KEY"))</f>
        <v/>
      </c>
      <c r="U1241" s="10"/>
      <c r="V1241" s="10"/>
      <c r="W1241" s="10"/>
      <c r="X1241" s="10"/>
      <c r="Y1241" s="10"/>
      <c r="Z1241" s="10"/>
      <c r="AA1241" s="11" t="str">
        <f t="shared" si="39"/>
        <v/>
      </c>
    </row>
    <row r="1242" spans="16:27" ht="15" customHeight="1">
      <c r="P1242" t="str">
        <f t="shared" si="38"/>
        <v/>
      </c>
      <c r="Q1242" t="str">
        <f>IF(P1242="","",IFERROR(IF(AND(H1242="W7",OR(F1242="causal",F1242="predictive")),IF(AND(OR(K1242=1,K1242="1"),OR(L1242=1,L1242="1"),OR(M1242=1,M1242="1")),"adequate","partial"),IF(AND(H1242="W4",F1242="predictive",OR(J1242="P2",J1242="P3",J1242="P4")),IF(OR(U1242=1,U1242="1"),"adequate","partial"),INDEX(Fit_Matrix!$B:$B,MATCH(P1242,Fit_Matrix!$A:$A,0)))),"CHECK KEY"))</f>
        <v/>
      </c>
      <c r="U1242" s="10"/>
      <c r="V1242" s="10"/>
      <c r="W1242" s="10"/>
      <c r="X1242" s="10"/>
      <c r="Y1242" s="10"/>
      <c r="Z1242" s="10"/>
      <c r="AA1242" s="11" t="str">
        <f t="shared" si="39"/>
        <v/>
      </c>
    </row>
    <row r="1243" spans="16:27" ht="15" customHeight="1">
      <c r="P1243" t="str">
        <f t="shared" si="38"/>
        <v/>
      </c>
      <c r="Q1243" t="str">
        <f>IF(P1243="","",IFERROR(IF(AND(H1243="W7",OR(F1243="causal",F1243="predictive")),IF(AND(OR(K1243=1,K1243="1"),OR(L1243=1,L1243="1"),OR(M1243=1,M1243="1")),"adequate","partial"),IF(AND(H1243="W4",F1243="predictive",OR(J1243="P2",J1243="P3",J1243="P4")),IF(OR(U1243=1,U1243="1"),"adequate","partial"),INDEX(Fit_Matrix!$B:$B,MATCH(P1243,Fit_Matrix!$A:$A,0)))),"CHECK KEY"))</f>
        <v/>
      </c>
      <c r="U1243" s="10"/>
      <c r="V1243" s="10"/>
      <c r="W1243" s="10"/>
      <c r="X1243" s="10"/>
      <c r="Y1243" s="10"/>
      <c r="Z1243" s="10"/>
      <c r="AA1243" s="11" t="str">
        <f t="shared" si="39"/>
        <v/>
      </c>
    </row>
    <row r="1244" spans="16:27" ht="15" customHeight="1">
      <c r="P1244" t="str">
        <f t="shared" si="38"/>
        <v/>
      </c>
      <c r="Q1244" t="str">
        <f>IF(P1244="","",IFERROR(IF(AND(H1244="W7",OR(F1244="causal",F1244="predictive")),IF(AND(OR(K1244=1,K1244="1"),OR(L1244=1,L1244="1"),OR(M1244=1,M1244="1")),"adequate","partial"),IF(AND(H1244="W4",F1244="predictive",OR(J1244="P2",J1244="P3",J1244="P4")),IF(OR(U1244=1,U1244="1"),"adequate","partial"),INDEX(Fit_Matrix!$B:$B,MATCH(P1244,Fit_Matrix!$A:$A,0)))),"CHECK KEY"))</f>
        <v/>
      </c>
      <c r="U1244" s="10"/>
      <c r="V1244" s="10"/>
      <c r="W1244" s="10"/>
      <c r="X1244" s="10"/>
      <c r="Y1244" s="10"/>
      <c r="Z1244" s="10"/>
      <c r="AA1244" s="11" t="str">
        <f t="shared" si="39"/>
        <v/>
      </c>
    </row>
    <row r="1245" spans="16:27" ht="15" customHeight="1">
      <c r="P1245" t="str">
        <f t="shared" si="38"/>
        <v/>
      </c>
      <c r="Q1245" t="str">
        <f>IF(P1245="","",IFERROR(IF(AND(H1245="W7",OR(F1245="causal",F1245="predictive")),IF(AND(OR(K1245=1,K1245="1"),OR(L1245=1,L1245="1"),OR(M1245=1,M1245="1")),"adequate","partial"),IF(AND(H1245="W4",F1245="predictive",OR(J1245="P2",J1245="P3",J1245="P4")),IF(OR(U1245=1,U1245="1"),"adequate","partial"),INDEX(Fit_Matrix!$B:$B,MATCH(P1245,Fit_Matrix!$A:$A,0)))),"CHECK KEY"))</f>
        <v/>
      </c>
      <c r="U1245" s="10"/>
      <c r="V1245" s="10"/>
      <c r="W1245" s="10"/>
      <c r="X1245" s="10"/>
      <c r="Y1245" s="10"/>
      <c r="Z1245" s="10"/>
      <c r="AA1245" s="11" t="str">
        <f t="shared" si="39"/>
        <v/>
      </c>
    </row>
    <row r="1246" spans="16:27" ht="15" customHeight="1">
      <c r="P1246" t="str">
        <f t="shared" si="38"/>
        <v/>
      </c>
      <c r="Q1246" t="str">
        <f>IF(P1246="","",IFERROR(IF(AND(H1246="W7",OR(F1246="causal",F1246="predictive")),IF(AND(OR(K1246=1,K1246="1"),OR(L1246=1,L1246="1"),OR(M1246=1,M1246="1")),"adequate","partial"),IF(AND(H1246="W4",F1246="predictive",OR(J1246="P2",J1246="P3",J1246="P4")),IF(OR(U1246=1,U1246="1"),"adequate","partial"),INDEX(Fit_Matrix!$B:$B,MATCH(P1246,Fit_Matrix!$A:$A,0)))),"CHECK KEY"))</f>
        <v/>
      </c>
      <c r="U1246" s="10"/>
      <c r="V1246" s="10"/>
      <c r="W1246" s="10"/>
      <c r="X1246" s="10"/>
      <c r="Y1246" s="10"/>
      <c r="Z1246" s="10"/>
      <c r="AA1246" s="11" t="str">
        <f t="shared" si="39"/>
        <v/>
      </c>
    </row>
    <row r="1247" spans="16:27" ht="15" customHeight="1">
      <c r="P1247" t="str">
        <f t="shared" si="38"/>
        <v/>
      </c>
      <c r="Q1247" t="str">
        <f>IF(P1247="","",IFERROR(IF(AND(H1247="W7",OR(F1247="causal",F1247="predictive")),IF(AND(OR(K1247=1,K1247="1"),OR(L1247=1,L1247="1"),OR(M1247=1,M1247="1")),"adequate","partial"),IF(AND(H1247="W4",F1247="predictive",OR(J1247="P2",J1247="P3",J1247="P4")),IF(OR(U1247=1,U1247="1"),"adequate","partial"),INDEX(Fit_Matrix!$B:$B,MATCH(P1247,Fit_Matrix!$A:$A,0)))),"CHECK KEY"))</f>
        <v/>
      </c>
      <c r="U1247" s="10"/>
      <c r="V1247" s="10"/>
      <c r="W1247" s="10"/>
      <c r="X1247" s="10"/>
      <c r="Y1247" s="10"/>
      <c r="Z1247" s="10"/>
      <c r="AA1247" s="11" t="str">
        <f t="shared" si="39"/>
        <v/>
      </c>
    </row>
    <row r="1248" spans="16:27" ht="15" customHeight="1">
      <c r="P1248" t="str">
        <f t="shared" si="38"/>
        <v/>
      </c>
      <c r="Q1248" t="str">
        <f>IF(P1248="","",IFERROR(IF(AND(H1248="W7",OR(F1248="causal",F1248="predictive")),IF(AND(OR(K1248=1,K1248="1"),OR(L1248=1,L1248="1"),OR(M1248=1,M1248="1")),"adequate","partial"),IF(AND(H1248="W4",F1248="predictive",OR(J1248="P2",J1248="P3",J1248="P4")),IF(OR(U1248=1,U1248="1"),"adequate","partial"),INDEX(Fit_Matrix!$B:$B,MATCH(P1248,Fit_Matrix!$A:$A,0)))),"CHECK KEY"))</f>
        <v/>
      </c>
      <c r="U1248" s="10"/>
      <c r="V1248" s="10"/>
      <c r="W1248" s="10"/>
      <c r="X1248" s="10"/>
      <c r="Y1248" s="10"/>
      <c r="Z1248" s="10"/>
      <c r="AA1248" s="11" t="str">
        <f t="shared" si="39"/>
        <v/>
      </c>
    </row>
    <row r="1249" spans="16:27" ht="15" customHeight="1">
      <c r="P1249" t="str">
        <f t="shared" si="38"/>
        <v/>
      </c>
      <c r="Q1249" t="str">
        <f>IF(P1249="","",IFERROR(IF(AND(H1249="W7",OR(F1249="causal",F1249="predictive")),IF(AND(OR(K1249=1,K1249="1"),OR(L1249=1,L1249="1"),OR(M1249=1,M1249="1")),"adequate","partial"),IF(AND(H1249="W4",F1249="predictive",OR(J1249="P2",J1249="P3",J1249="P4")),IF(OR(U1249=1,U1249="1"),"adequate","partial"),INDEX(Fit_Matrix!$B:$B,MATCH(P1249,Fit_Matrix!$A:$A,0)))),"CHECK KEY"))</f>
        <v/>
      </c>
      <c r="U1249" s="10"/>
      <c r="V1249" s="10"/>
      <c r="W1249" s="10"/>
      <c r="X1249" s="10"/>
      <c r="Y1249" s="10"/>
      <c r="Z1249" s="10"/>
      <c r="AA1249" s="11" t="str">
        <f t="shared" si="39"/>
        <v/>
      </c>
    </row>
    <row r="1250" spans="16:27" ht="15" customHeight="1">
      <c r="P1250" t="str">
        <f t="shared" si="38"/>
        <v/>
      </c>
      <c r="Q1250" t="str">
        <f>IF(P1250="","",IFERROR(IF(AND(H1250="W7",OR(F1250="causal",F1250="predictive")),IF(AND(OR(K1250=1,K1250="1"),OR(L1250=1,L1250="1"),OR(M1250=1,M1250="1")),"adequate","partial"),IF(AND(H1250="W4",F1250="predictive",OR(J1250="P2",J1250="P3",J1250="P4")),IF(OR(U1250=1,U1250="1"),"adequate","partial"),INDEX(Fit_Matrix!$B:$B,MATCH(P1250,Fit_Matrix!$A:$A,0)))),"CHECK KEY"))</f>
        <v/>
      </c>
      <c r="U1250" s="10"/>
      <c r="V1250" s="10"/>
      <c r="W1250" s="10"/>
      <c r="X1250" s="10"/>
      <c r="Y1250" s="10"/>
      <c r="Z1250" s="10"/>
      <c r="AA1250" s="11" t="str">
        <f t="shared" si="39"/>
        <v/>
      </c>
    </row>
    <row r="1251" spans="16:27" ht="15" customHeight="1">
      <c r="P1251" t="str">
        <f t="shared" si="38"/>
        <v/>
      </c>
      <c r="Q1251" t="str">
        <f>IF(P1251="","",IFERROR(IF(AND(H1251="W7",OR(F1251="causal",F1251="predictive")),IF(AND(OR(K1251=1,K1251="1"),OR(L1251=1,L1251="1"),OR(M1251=1,M1251="1")),"adequate","partial"),IF(AND(H1251="W4",F1251="predictive",OR(J1251="P2",J1251="P3",J1251="P4")),IF(OR(U1251=1,U1251="1"),"adequate","partial"),INDEX(Fit_Matrix!$B:$B,MATCH(P1251,Fit_Matrix!$A:$A,0)))),"CHECK KEY"))</f>
        <v/>
      </c>
      <c r="U1251" s="10"/>
      <c r="V1251" s="10"/>
      <c r="W1251" s="10"/>
      <c r="X1251" s="10"/>
      <c r="Y1251" s="10"/>
      <c r="Z1251" s="10"/>
      <c r="AA1251" s="11" t="str">
        <f t="shared" si="39"/>
        <v/>
      </c>
    </row>
    <row r="1252" spans="16:27" ht="15" customHeight="1">
      <c r="P1252" t="str">
        <f t="shared" si="38"/>
        <v/>
      </c>
      <c r="Q1252" t="str">
        <f>IF(P1252="","",IFERROR(IF(AND(H1252="W7",OR(F1252="causal",F1252="predictive")),IF(AND(OR(K1252=1,K1252="1"),OR(L1252=1,L1252="1"),OR(M1252=1,M1252="1")),"adequate","partial"),IF(AND(H1252="W4",F1252="predictive",OR(J1252="P2",J1252="P3",J1252="P4")),IF(OR(U1252=1,U1252="1"),"adequate","partial"),INDEX(Fit_Matrix!$B:$B,MATCH(P1252,Fit_Matrix!$A:$A,0)))),"CHECK KEY"))</f>
        <v/>
      </c>
      <c r="U1252" s="10"/>
      <c r="V1252" s="10"/>
      <c r="W1252" s="10"/>
      <c r="X1252" s="10"/>
      <c r="Y1252" s="10"/>
      <c r="Z1252" s="10"/>
      <c r="AA1252" s="11" t="str">
        <f t="shared" si="39"/>
        <v/>
      </c>
    </row>
    <row r="1253" spans="16:27" ht="15" customHeight="1">
      <c r="P1253" t="str">
        <f t="shared" si="38"/>
        <v/>
      </c>
      <c r="Q1253" t="str">
        <f>IF(P1253="","",IFERROR(IF(AND(H1253="W7",OR(F1253="causal",F1253="predictive")),IF(AND(OR(K1253=1,K1253="1"),OR(L1253=1,L1253="1"),OR(M1253=1,M1253="1")),"adequate","partial"),IF(AND(H1253="W4",F1253="predictive",OR(J1253="P2",J1253="P3",J1253="P4")),IF(OR(U1253=1,U1253="1"),"adequate","partial"),INDEX(Fit_Matrix!$B:$B,MATCH(P1253,Fit_Matrix!$A:$A,0)))),"CHECK KEY"))</f>
        <v/>
      </c>
      <c r="U1253" s="10"/>
      <c r="V1253" s="10"/>
      <c r="W1253" s="10"/>
      <c r="X1253" s="10"/>
      <c r="Y1253" s="10"/>
      <c r="Z1253" s="10"/>
      <c r="AA1253" s="11" t="str">
        <f t="shared" si="39"/>
        <v/>
      </c>
    </row>
    <row r="1254" spans="16:27" ht="15" customHeight="1">
      <c r="P1254" t="str">
        <f t="shared" si="38"/>
        <v/>
      </c>
      <c r="Q1254" t="str">
        <f>IF(P1254="","",IFERROR(IF(AND(H1254="W7",OR(F1254="causal",F1254="predictive")),IF(AND(OR(K1254=1,K1254="1"),OR(L1254=1,L1254="1"),OR(M1254=1,M1254="1")),"adequate","partial"),IF(AND(H1254="W4",F1254="predictive",OR(J1254="P2",J1254="P3",J1254="P4")),IF(OR(U1254=1,U1254="1"),"adequate","partial"),INDEX(Fit_Matrix!$B:$B,MATCH(P1254,Fit_Matrix!$A:$A,0)))),"CHECK KEY"))</f>
        <v/>
      </c>
      <c r="U1254" s="10"/>
      <c r="V1254" s="10"/>
      <c r="W1254" s="10"/>
      <c r="X1254" s="10"/>
      <c r="Y1254" s="10"/>
      <c r="Z1254" s="10"/>
      <c r="AA1254" s="11" t="str">
        <f t="shared" si="39"/>
        <v/>
      </c>
    </row>
    <row r="1255" spans="16:27" ht="15" customHeight="1">
      <c r="P1255" t="str">
        <f t="shared" si="38"/>
        <v/>
      </c>
      <c r="Q1255" t="str">
        <f>IF(P1255="","",IFERROR(IF(AND(H1255="W7",OR(F1255="causal",F1255="predictive")),IF(AND(OR(K1255=1,K1255="1"),OR(L1255=1,L1255="1"),OR(M1255=1,M1255="1")),"adequate","partial"),IF(AND(H1255="W4",F1255="predictive",OR(J1255="P2",J1255="P3",J1255="P4")),IF(OR(U1255=1,U1255="1"),"adequate","partial"),INDEX(Fit_Matrix!$B:$B,MATCH(P1255,Fit_Matrix!$A:$A,0)))),"CHECK KEY"))</f>
        <v/>
      </c>
      <c r="U1255" s="10"/>
      <c r="V1255" s="10"/>
      <c r="W1255" s="10"/>
      <c r="X1255" s="10"/>
      <c r="Y1255" s="10"/>
      <c r="Z1255" s="10"/>
      <c r="AA1255" s="11" t="str">
        <f t="shared" si="39"/>
        <v/>
      </c>
    </row>
    <row r="1256" spans="16:27" ht="15" customHeight="1">
      <c r="P1256" t="str">
        <f t="shared" si="38"/>
        <v/>
      </c>
      <c r="Q1256" t="str">
        <f>IF(P1256="","",IFERROR(IF(AND(H1256="W7",OR(F1256="causal",F1256="predictive")),IF(AND(OR(K1256=1,K1256="1"),OR(L1256=1,L1256="1"),OR(M1256=1,M1256="1")),"adequate","partial"),IF(AND(H1256="W4",F1256="predictive",OR(J1256="P2",J1256="P3",J1256="P4")),IF(OR(U1256=1,U1256="1"),"adequate","partial"),INDEX(Fit_Matrix!$B:$B,MATCH(P1256,Fit_Matrix!$A:$A,0)))),"CHECK KEY"))</f>
        <v/>
      </c>
      <c r="U1256" s="10"/>
      <c r="V1256" s="10"/>
      <c r="W1256" s="10"/>
      <c r="X1256" s="10"/>
      <c r="Y1256" s="10"/>
      <c r="Z1256" s="10"/>
      <c r="AA1256" s="11" t="str">
        <f t="shared" si="39"/>
        <v/>
      </c>
    </row>
    <row r="1257" spans="16:27" ht="15" customHeight="1">
      <c r="P1257" t="str">
        <f t="shared" si="38"/>
        <v/>
      </c>
      <c r="Q1257" t="str">
        <f>IF(P1257="","",IFERROR(IF(AND(H1257="W7",OR(F1257="causal",F1257="predictive")),IF(AND(OR(K1257=1,K1257="1"),OR(L1257=1,L1257="1"),OR(M1257=1,M1257="1")),"adequate","partial"),IF(AND(H1257="W4",F1257="predictive",OR(J1257="P2",J1257="P3",J1257="P4")),IF(OR(U1257=1,U1257="1"),"adequate","partial"),INDEX(Fit_Matrix!$B:$B,MATCH(P1257,Fit_Matrix!$A:$A,0)))),"CHECK KEY"))</f>
        <v/>
      </c>
      <c r="U1257" s="10"/>
      <c r="V1257" s="10"/>
      <c r="W1257" s="10"/>
      <c r="X1257" s="10"/>
      <c r="Y1257" s="10"/>
      <c r="Z1257" s="10"/>
      <c r="AA1257" s="11" t="str">
        <f t="shared" si="39"/>
        <v/>
      </c>
    </row>
    <row r="1258" spans="16:27" ht="15" customHeight="1">
      <c r="P1258" t="str">
        <f t="shared" si="38"/>
        <v/>
      </c>
      <c r="Q1258" t="str">
        <f>IF(P1258="","",IFERROR(IF(AND(H1258="W7",OR(F1258="causal",F1258="predictive")),IF(AND(OR(K1258=1,K1258="1"),OR(L1258=1,L1258="1"),OR(M1258=1,M1258="1")),"adequate","partial"),IF(AND(H1258="W4",F1258="predictive",OR(J1258="P2",J1258="P3",J1258="P4")),IF(OR(U1258=1,U1258="1"),"adequate","partial"),INDEX(Fit_Matrix!$B:$B,MATCH(P1258,Fit_Matrix!$A:$A,0)))),"CHECK KEY"))</f>
        <v/>
      </c>
      <c r="U1258" s="10"/>
      <c r="V1258" s="10"/>
      <c r="W1258" s="10"/>
      <c r="X1258" s="10"/>
      <c r="Y1258" s="10"/>
      <c r="Z1258" s="10"/>
      <c r="AA1258" s="11" t="str">
        <f t="shared" si="39"/>
        <v/>
      </c>
    </row>
    <row r="1259" spans="16:27" ht="15" customHeight="1">
      <c r="P1259" t="str">
        <f t="shared" si="38"/>
        <v/>
      </c>
      <c r="Q1259" t="str">
        <f>IF(P1259="","",IFERROR(IF(AND(H1259="W7",OR(F1259="causal",F1259="predictive")),IF(AND(OR(K1259=1,K1259="1"),OR(L1259=1,L1259="1"),OR(M1259=1,M1259="1")),"adequate","partial"),IF(AND(H1259="W4",F1259="predictive",OR(J1259="P2",J1259="P3",J1259="P4")),IF(OR(U1259=1,U1259="1"),"adequate","partial"),INDEX(Fit_Matrix!$B:$B,MATCH(P1259,Fit_Matrix!$A:$A,0)))),"CHECK KEY"))</f>
        <v/>
      </c>
      <c r="U1259" s="10"/>
      <c r="V1259" s="10"/>
      <c r="W1259" s="10"/>
      <c r="X1259" s="10"/>
      <c r="Y1259" s="10"/>
      <c r="Z1259" s="10"/>
      <c r="AA1259" s="11" t="str">
        <f t="shared" si="39"/>
        <v/>
      </c>
    </row>
    <row r="1260" spans="16:27" ht="15" customHeight="1">
      <c r="P1260" t="str">
        <f t="shared" si="38"/>
        <v/>
      </c>
      <c r="Q1260" t="str">
        <f>IF(P1260="","",IFERROR(IF(AND(H1260="W7",OR(F1260="causal",F1260="predictive")),IF(AND(OR(K1260=1,K1260="1"),OR(L1260=1,L1260="1"),OR(M1260=1,M1260="1")),"adequate","partial"),IF(AND(H1260="W4",F1260="predictive",OR(J1260="P2",J1260="P3",J1260="P4")),IF(OR(U1260=1,U1260="1"),"adequate","partial"),INDEX(Fit_Matrix!$B:$B,MATCH(P1260,Fit_Matrix!$A:$A,0)))),"CHECK KEY"))</f>
        <v/>
      </c>
      <c r="U1260" s="10"/>
      <c r="V1260" s="10"/>
      <c r="W1260" s="10"/>
      <c r="X1260" s="10"/>
      <c r="Y1260" s="10"/>
      <c r="Z1260" s="10"/>
      <c r="AA1260" s="11" t="str">
        <f t="shared" si="39"/>
        <v/>
      </c>
    </row>
    <row r="1261" spans="16:27" ht="15" customHeight="1">
      <c r="P1261" t="str">
        <f t="shared" si="38"/>
        <v/>
      </c>
      <c r="Q1261" t="str">
        <f>IF(P1261="","",IFERROR(IF(AND(H1261="W7",OR(F1261="causal",F1261="predictive")),IF(AND(OR(K1261=1,K1261="1"),OR(L1261=1,L1261="1"),OR(M1261=1,M1261="1")),"adequate","partial"),IF(AND(H1261="W4",F1261="predictive",OR(J1261="P2",J1261="P3",J1261="P4")),IF(OR(U1261=1,U1261="1"),"adequate","partial"),INDEX(Fit_Matrix!$B:$B,MATCH(P1261,Fit_Matrix!$A:$A,0)))),"CHECK KEY"))</f>
        <v/>
      </c>
      <c r="U1261" s="10"/>
      <c r="V1261" s="10"/>
      <c r="W1261" s="10"/>
      <c r="X1261" s="10"/>
      <c r="Y1261" s="10"/>
      <c r="Z1261" s="10"/>
      <c r="AA1261" s="11" t="str">
        <f t="shared" si="39"/>
        <v/>
      </c>
    </row>
    <row r="1262" spans="16:27" ht="15" customHeight="1">
      <c r="P1262" t="str">
        <f t="shared" si="38"/>
        <v/>
      </c>
      <c r="Q1262" t="str">
        <f>IF(P1262="","",IFERROR(IF(AND(H1262="W7",OR(F1262="causal",F1262="predictive")),IF(AND(OR(K1262=1,K1262="1"),OR(L1262=1,L1262="1"),OR(M1262=1,M1262="1")),"adequate","partial"),IF(AND(H1262="W4",F1262="predictive",OR(J1262="P2",J1262="P3",J1262="P4")),IF(OR(U1262=1,U1262="1"),"adequate","partial"),INDEX(Fit_Matrix!$B:$B,MATCH(P1262,Fit_Matrix!$A:$A,0)))),"CHECK KEY"))</f>
        <v/>
      </c>
      <c r="U1262" s="10"/>
      <c r="V1262" s="10"/>
      <c r="W1262" s="10"/>
      <c r="X1262" s="10"/>
      <c r="Y1262" s="10"/>
      <c r="Z1262" s="10"/>
      <c r="AA1262" s="11" t="str">
        <f t="shared" si="39"/>
        <v/>
      </c>
    </row>
    <row r="1263" spans="16:27" ht="15" customHeight="1">
      <c r="P1263" t="str">
        <f t="shared" si="38"/>
        <v/>
      </c>
      <c r="Q1263" t="str">
        <f>IF(P1263="","",IFERROR(IF(AND(H1263="W7",OR(F1263="causal",F1263="predictive")),IF(AND(OR(K1263=1,K1263="1"),OR(L1263=1,L1263="1"),OR(M1263=1,M1263="1")),"adequate","partial"),IF(AND(H1263="W4",F1263="predictive",OR(J1263="P2",J1263="P3",J1263="P4")),IF(OR(U1263=1,U1263="1"),"adequate","partial"),INDEX(Fit_Matrix!$B:$B,MATCH(P1263,Fit_Matrix!$A:$A,0)))),"CHECK KEY"))</f>
        <v/>
      </c>
      <c r="U1263" s="10"/>
      <c r="V1263" s="10"/>
      <c r="W1263" s="10"/>
      <c r="X1263" s="10"/>
      <c r="Y1263" s="10"/>
      <c r="Z1263" s="10"/>
      <c r="AA1263" s="11" t="str">
        <f t="shared" si="39"/>
        <v/>
      </c>
    </row>
    <row r="1264" spans="16:27" ht="15" customHeight="1">
      <c r="P1264" t="str">
        <f t="shared" si="38"/>
        <v/>
      </c>
      <c r="Q1264" t="str">
        <f>IF(P1264="","",IFERROR(IF(AND(H1264="W7",OR(F1264="causal",F1264="predictive")),IF(AND(OR(K1264=1,K1264="1"),OR(L1264=1,L1264="1"),OR(M1264=1,M1264="1")),"adequate","partial"),IF(AND(H1264="W4",F1264="predictive",OR(J1264="P2",J1264="P3",J1264="P4")),IF(OR(U1264=1,U1264="1"),"adequate","partial"),INDEX(Fit_Matrix!$B:$B,MATCH(P1264,Fit_Matrix!$A:$A,0)))),"CHECK KEY"))</f>
        <v/>
      </c>
      <c r="U1264" s="10"/>
      <c r="V1264" s="10"/>
      <c r="W1264" s="10"/>
      <c r="X1264" s="10"/>
      <c r="Y1264" s="10"/>
      <c r="Z1264" s="10"/>
      <c r="AA1264" s="11" t="str">
        <f t="shared" si="39"/>
        <v/>
      </c>
    </row>
    <row r="1265" spans="16:27" ht="15" customHeight="1">
      <c r="P1265" t="str">
        <f t="shared" si="38"/>
        <v/>
      </c>
      <c r="Q1265" t="str">
        <f>IF(P1265="","",IFERROR(IF(AND(H1265="W7",OR(F1265="causal",F1265="predictive")),IF(AND(OR(K1265=1,K1265="1"),OR(L1265=1,L1265="1"),OR(M1265=1,M1265="1")),"adequate","partial"),IF(AND(H1265="W4",F1265="predictive",OR(J1265="P2",J1265="P3",J1265="P4")),IF(OR(U1265=1,U1265="1"),"adequate","partial"),INDEX(Fit_Matrix!$B:$B,MATCH(P1265,Fit_Matrix!$A:$A,0)))),"CHECK KEY"))</f>
        <v/>
      </c>
      <c r="U1265" s="10"/>
      <c r="V1265" s="10"/>
      <c r="W1265" s="10"/>
      <c r="X1265" s="10"/>
      <c r="Y1265" s="10"/>
      <c r="Z1265" s="10"/>
      <c r="AA1265" s="11" t="str">
        <f t="shared" si="39"/>
        <v/>
      </c>
    </row>
    <row r="1266" spans="16:27" ht="15" customHeight="1">
      <c r="P1266" t="str">
        <f t="shared" si="38"/>
        <v/>
      </c>
      <c r="Q1266" t="str">
        <f>IF(P1266="","",IFERROR(IF(AND(H1266="W7",OR(F1266="causal",F1266="predictive")),IF(AND(OR(K1266=1,K1266="1"),OR(L1266=1,L1266="1"),OR(M1266=1,M1266="1")),"adequate","partial"),IF(AND(H1266="W4",F1266="predictive",OR(J1266="P2",J1266="P3",J1266="P4")),IF(OR(U1266=1,U1266="1"),"adequate","partial"),INDEX(Fit_Matrix!$B:$B,MATCH(P1266,Fit_Matrix!$A:$A,0)))),"CHECK KEY"))</f>
        <v/>
      </c>
      <c r="U1266" s="10"/>
      <c r="V1266" s="10"/>
      <c r="W1266" s="10"/>
      <c r="X1266" s="10"/>
      <c r="Y1266" s="10"/>
      <c r="Z1266" s="10"/>
      <c r="AA1266" s="11" t="str">
        <f t="shared" si="39"/>
        <v/>
      </c>
    </row>
    <row r="1267" spans="16:27" ht="15" customHeight="1">
      <c r="P1267" t="str">
        <f t="shared" si="38"/>
        <v/>
      </c>
      <c r="Q1267" t="str">
        <f>IF(P1267="","",IFERROR(IF(AND(H1267="W7",OR(F1267="causal",F1267="predictive")),IF(AND(OR(K1267=1,K1267="1"),OR(L1267=1,L1267="1"),OR(M1267=1,M1267="1")),"adequate","partial"),IF(AND(H1267="W4",F1267="predictive",OR(J1267="P2",J1267="P3",J1267="P4")),IF(OR(U1267=1,U1267="1"),"adequate","partial"),INDEX(Fit_Matrix!$B:$B,MATCH(P1267,Fit_Matrix!$A:$A,0)))),"CHECK KEY"))</f>
        <v/>
      </c>
      <c r="U1267" s="10"/>
      <c r="V1267" s="10"/>
      <c r="W1267" s="10"/>
      <c r="X1267" s="10"/>
      <c r="Y1267" s="10"/>
      <c r="Z1267" s="10"/>
      <c r="AA1267" s="11" t="str">
        <f t="shared" si="39"/>
        <v/>
      </c>
    </row>
    <row r="1268" spans="16:27" ht="15" customHeight="1">
      <c r="P1268" t="str">
        <f t="shared" si="38"/>
        <v/>
      </c>
      <c r="Q1268" t="str">
        <f>IF(P1268="","",IFERROR(IF(AND(H1268="W7",OR(F1268="causal",F1268="predictive")),IF(AND(OR(K1268=1,K1268="1"),OR(L1268=1,L1268="1"),OR(M1268=1,M1268="1")),"adequate","partial"),IF(AND(H1268="W4",F1268="predictive",OR(J1268="P2",J1268="P3",J1268="P4")),IF(OR(U1268=1,U1268="1"),"adequate","partial"),INDEX(Fit_Matrix!$B:$B,MATCH(P1268,Fit_Matrix!$A:$A,0)))),"CHECK KEY"))</f>
        <v/>
      </c>
      <c r="U1268" s="10"/>
      <c r="V1268" s="10"/>
      <c r="W1268" s="10"/>
      <c r="X1268" s="10"/>
      <c r="Y1268" s="10"/>
      <c r="Z1268" s="10"/>
      <c r="AA1268" s="11" t="str">
        <f t="shared" si="39"/>
        <v/>
      </c>
    </row>
    <row r="1269" spans="16:27" ht="15" customHeight="1">
      <c r="P1269" t="str">
        <f t="shared" si="38"/>
        <v/>
      </c>
      <c r="Q1269" t="str">
        <f>IF(P1269="","",IFERROR(IF(AND(H1269="W7",OR(F1269="causal",F1269="predictive")),IF(AND(OR(K1269=1,K1269="1"),OR(L1269=1,L1269="1"),OR(M1269=1,M1269="1")),"adequate","partial"),IF(AND(H1269="W4",F1269="predictive",OR(J1269="P2",J1269="P3",J1269="P4")),IF(OR(U1269=1,U1269="1"),"adequate","partial"),INDEX(Fit_Matrix!$B:$B,MATCH(P1269,Fit_Matrix!$A:$A,0)))),"CHECK KEY"))</f>
        <v/>
      </c>
      <c r="U1269" s="10"/>
      <c r="V1269" s="10"/>
      <c r="W1269" s="10"/>
      <c r="X1269" s="10"/>
      <c r="Y1269" s="10"/>
      <c r="Z1269" s="10"/>
      <c r="AA1269" s="11" t="str">
        <f t="shared" si="39"/>
        <v/>
      </c>
    </row>
    <row r="1270" spans="16:27" ht="15" customHeight="1">
      <c r="P1270" t="str">
        <f t="shared" si="38"/>
        <v/>
      </c>
      <c r="Q1270" t="str">
        <f>IF(P1270="","",IFERROR(IF(AND(H1270="W7",OR(F1270="causal",F1270="predictive")),IF(AND(OR(K1270=1,K1270="1"),OR(L1270=1,L1270="1"),OR(M1270=1,M1270="1")),"adequate","partial"),IF(AND(H1270="W4",F1270="predictive",OR(J1270="P2",J1270="P3",J1270="P4")),IF(OR(U1270=1,U1270="1"),"adequate","partial"),INDEX(Fit_Matrix!$B:$B,MATCH(P1270,Fit_Matrix!$A:$A,0)))),"CHECK KEY"))</f>
        <v/>
      </c>
      <c r="U1270" s="10"/>
      <c r="V1270" s="10"/>
      <c r="W1270" s="10"/>
      <c r="X1270" s="10"/>
      <c r="Y1270" s="10"/>
      <c r="Z1270" s="10"/>
      <c r="AA1270" s="11" t="str">
        <f t="shared" si="39"/>
        <v/>
      </c>
    </row>
    <row r="1271" spans="16:27" ht="15" customHeight="1">
      <c r="P1271" t="str">
        <f t="shared" si="38"/>
        <v/>
      </c>
      <c r="Q1271" t="str">
        <f>IF(P1271="","",IFERROR(IF(AND(H1271="W7",OR(F1271="causal",F1271="predictive")),IF(AND(OR(K1271=1,K1271="1"),OR(L1271=1,L1271="1"),OR(M1271=1,M1271="1")),"adequate","partial"),IF(AND(H1271="W4",F1271="predictive",OR(J1271="P2",J1271="P3",J1271="P4")),IF(OR(U1271=1,U1271="1"),"adequate","partial"),INDEX(Fit_Matrix!$B:$B,MATCH(P1271,Fit_Matrix!$A:$A,0)))),"CHECK KEY"))</f>
        <v/>
      </c>
      <c r="U1271" s="10"/>
      <c r="V1271" s="10"/>
      <c r="W1271" s="10"/>
      <c r="X1271" s="10"/>
      <c r="Y1271" s="10"/>
      <c r="Z1271" s="10"/>
      <c r="AA1271" s="11" t="str">
        <f t="shared" si="39"/>
        <v/>
      </c>
    </row>
    <row r="1272" spans="16:27" ht="15" customHeight="1">
      <c r="P1272" t="str">
        <f t="shared" si="38"/>
        <v/>
      </c>
      <c r="Q1272" t="str">
        <f>IF(P1272="","",IFERROR(IF(AND(H1272="W7",OR(F1272="causal",F1272="predictive")),IF(AND(OR(K1272=1,K1272="1"),OR(L1272=1,L1272="1"),OR(M1272=1,M1272="1")),"adequate","partial"),IF(AND(H1272="W4",F1272="predictive",OR(J1272="P2",J1272="P3",J1272="P4")),IF(OR(U1272=1,U1272="1"),"adequate","partial"),INDEX(Fit_Matrix!$B:$B,MATCH(P1272,Fit_Matrix!$A:$A,0)))),"CHECK KEY"))</f>
        <v/>
      </c>
      <c r="U1272" s="10"/>
      <c r="V1272" s="10"/>
      <c r="W1272" s="10"/>
      <c r="X1272" s="10"/>
      <c r="Y1272" s="10"/>
      <c r="Z1272" s="10"/>
      <c r="AA1272" s="11" t="str">
        <f t="shared" si="39"/>
        <v/>
      </c>
    </row>
    <row r="1273" spans="16:27" ht="15" customHeight="1">
      <c r="P1273" t="str">
        <f t="shared" si="38"/>
        <v/>
      </c>
      <c r="Q1273" t="str">
        <f>IF(P1273="","",IFERROR(IF(AND(H1273="W7",OR(F1273="causal",F1273="predictive")),IF(AND(OR(K1273=1,K1273="1"),OR(L1273=1,L1273="1"),OR(M1273=1,M1273="1")),"adequate","partial"),IF(AND(H1273="W4",F1273="predictive",OR(J1273="P2",J1273="P3",J1273="P4")),IF(OR(U1273=1,U1273="1"),"adequate","partial"),INDEX(Fit_Matrix!$B:$B,MATCH(P1273,Fit_Matrix!$A:$A,0)))),"CHECK KEY"))</f>
        <v/>
      </c>
      <c r="U1273" s="10"/>
      <c r="V1273" s="10"/>
      <c r="W1273" s="10"/>
      <c r="X1273" s="10"/>
      <c r="Y1273" s="10"/>
      <c r="Z1273" s="10"/>
      <c r="AA1273" s="11" t="str">
        <f t="shared" si="39"/>
        <v/>
      </c>
    </row>
    <row r="1274" spans="16:27" ht="15" customHeight="1">
      <c r="P1274" t="str">
        <f t="shared" si="38"/>
        <v/>
      </c>
      <c r="Q1274" t="str">
        <f>IF(P1274="","",IFERROR(IF(AND(H1274="W7",OR(F1274="causal",F1274="predictive")),IF(AND(OR(K1274=1,K1274="1"),OR(L1274=1,L1274="1"),OR(M1274=1,M1274="1")),"adequate","partial"),IF(AND(H1274="W4",F1274="predictive",OR(J1274="P2",J1274="P3",J1274="P4")),IF(OR(U1274=1,U1274="1"),"adequate","partial"),INDEX(Fit_Matrix!$B:$B,MATCH(P1274,Fit_Matrix!$A:$A,0)))),"CHECK KEY"))</f>
        <v/>
      </c>
      <c r="U1274" s="10"/>
      <c r="V1274" s="10"/>
      <c r="W1274" s="10"/>
      <c r="X1274" s="10"/>
      <c r="Y1274" s="10"/>
      <c r="Z1274" s="10"/>
      <c r="AA1274" s="11" t="str">
        <f t="shared" si="39"/>
        <v/>
      </c>
    </row>
    <row r="1275" spans="16:27" ht="15" customHeight="1">
      <c r="P1275" t="str">
        <f t="shared" si="38"/>
        <v/>
      </c>
      <c r="Q1275" t="str">
        <f>IF(P1275="","",IFERROR(IF(AND(H1275="W7",OR(F1275="causal",F1275="predictive")),IF(AND(OR(K1275=1,K1275="1"),OR(L1275=1,L1275="1"),OR(M1275=1,M1275="1")),"adequate","partial"),IF(AND(H1275="W4",F1275="predictive",OR(J1275="P2",J1275="P3",J1275="P4")),IF(OR(U1275=1,U1275="1"),"adequate","partial"),INDEX(Fit_Matrix!$B:$B,MATCH(P1275,Fit_Matrix!$A:$A,0)))),"CHECK KEY"))</f>
        <v/>
      </c>
      <c r="U1275" s="10"/>
      <c r="V1275" s="10"/>
      <c r="W1275" s="10"/>
      <c r="X1275" s="10"/>
      <c r="Y1275" s="10"/>
      <c r="Z1275" s="10"/>
      <c r="AA1275" s="11" t="str">
        <f t="shared" si="39"/>
        <v/>
      </c>
    </row>
    <row r="1276" spans="16:27" ht="15" customHeight="1">
      <c r="P1276" t="str">
        <f t="shared" si="38"/>
        <v/>
      </c>
      <c r="Q1276" t="str">
        <f>IF(P1276="","",IFERROR(IF(AND(H1276="W7",OR(F1276="causal",F1276="predictive")),IF(AND(OR(K1276=1,K1276="1"),OR(L1276=1,L1276="1"),OR(M1276=1,M1276="1")),"adequate","partial"),IF(AND(H1276="W4",F1276="predictive",OR(J1276="P2",J1276="P3",J1276="P4")),IF(OR(U1276=1,U1276="1"),"adequate","partial"),INDEX(Fit_Matrix!$B:$B,MATCH(P1276,Fit_Matrix!$A:$A,0)))),"CHECK KEY"))</f>
        <v/>
      </c>
      <c r="U1276" s="10"/>
      <c r="V1276" s="10"/>
      <c r="W1276" s="10"/>
      <c r="X1276" s="10"/>
      <c r="Y1276" s="10"/>
      <c r="Z1276" s="10"/>
      <c r="AA1276" s="11" t="str">
        <f t="shared" si="39"/>
        <v/>
      </c>
    </row>
    <row r="1277" spans="16:27" ht="15" customHeight="1">
      <c r="P1277" t="str">
        <f t="shared" si="38"/>
        <v/>
      </c>
      <c r="Q1277" t="str">
        <f>IF(P1277="","",IFERROR(IF(AND(H1277="W7",OR(F1277="causal",F1277="predictive")),IF(AND(OR(K1277=1,K1277="1"),OR(L1277=1,L1277="1"),OR(M1277=1,M1277="1")),"adequate","partial"),IF(AND(H1277="W4",F1277="predictive",OR(J1277="P2",J1277="P3",J1277="P4")),IF(OR(U1277=1,U1277="1"),"adequate","partial"),INDEX(Fit_Matrix!$B:$B,MATCH(P1277,Fit_Matrix!$A:$A,0)))),"CHECK KEY"))</f>
        <v/>
      </c>
      <c r="U1277" s="10"/>
      <c r="V1277" s="10"/>
      <c r="W1277" s="10"/>
      <c r="X1277" s="10"/>
      <c r="Y1277" s="10"/>
      <c r="Z1277" s="10"/>
      <c r="AA1277" s="11" t="str">
        <f t="shared" si="39"/>
        <v/>
      </c>
    </row>
    <row r="1278" spans="16:27" ht="15" customHeight="1">
      <c r="P1278" t="str">
        <f t="shared" si="38"/>
        <v/>
      </c>
      <c r="Q1278" t="str">
        <f>IF(P1278="","",IFERROR(IF(AND(H1278="W7",OR(F1278="causal",F1278="predictive")),IF(AND(OR(K1278=1,K1278="1"),OR(L1278=1,L1278="1"),OR(M1278=1,M1278="1")),"adequate","partial"),IF(AND(H1278="W4",F1278="predictive",OR(J1278="P2",J1278="P3",J1278="P4")),IF(OR(U1278=1,U1278="1"),"adequate","partial"),INDEX(Fit_Matrix!$B:$B,MATCH(P1278,Fit_Matrix!$A:$A,0)))),"CHECK KEY"))</f>
        <v/>
      </c>
      <c r="U1278" s="10"/>
      <c r="V1278" s="10"/>
      <c r="W1278" s="10"/>
      <c r="X1278" s="10"/>
      <c r="Y1278" s="10"/>
      <c r="Z1278" s="10"/>
      <c r="AA1278" s="11" t="str">
        <f t="shared" si="39"/>
        <v/>
      </c>
    </row>
    <row r="1279" spans="16:27" ht="15" customHeight="1">
      <c r="P1279" t="str">
        <f t="shared" si="38"/>
        <v/>
      </c>
      <c r="Q1279" t="str">
        <f>IF(P1279="","",IFERROR(IF(AND(H1279="W7",OR(F1279="causal",F1279="predictive")),IF(AND(OR(K1279=1,K1279="1"),OR(L1279=1,L1279="1"),OR(M1279=1,M1279="1")),"adequate","partial"),IF(AND(H1279="W4",F1279="predictive",OR(J1279="P2",J1279="P3",J1279="P4")),IF(OR(U1279=1,U1279="1"),"adequate","partial"),INDEX(Fit_Matrix!$B:$B,MATCH(P1279,Fit_Matrix!$A:$A,0)))),"CHECK KEY"))</f>
        <v/>
      </c>
      <c r="U1279" s="10"/>
      <c r="V1279" s="10"/>
      <c r="W1279" s="10"/>
      <c r="X1279" s="10"/>
      <c r="Y1279" s="10"/>
      <c r="Z1279" s="10"/>
      <c r="AA1279" s="11" t="str">
        <f t="shared" si="39"/>
        <v/>
      </c>
    </row>
    <row r="1280" spans="16:27" ht="15" customHeight="1">
      <c r="P1280" t="str">
        <f t="shared" si="38"/>
        <v/>
      </c>
      <c r="Q1280" t="str">
        <f>IF(P1280="","",IFERROR(IF(AND(H1280="W7",OR(F1280="causal",F1280="predictive")),IF(AND(OR(K1280=1,K1280="1"),OR(L1280=1,L1280="1"),OR(M1280=1,M1280="1")),"adequate","partial"),IF(AND(H1280="W4",F1280="predictive",OR(J1280="P2",J1280="P3",J1280="P4")),IF(OR(U1280=1,U1280="1"),"adequate","partial"),INDEX(Fit_Matrix!$B:$B,MATCH(P1280,Fit_Matrix!$A:$A,0)))),"CHECK KEY"))</f>
        <v/>
      </c>
      <c r="U1280" s="10"/>
      <c r="V1280" s="10"/>
      <c r="W1280" s="10"/>
      <c r="X1280" s="10"/>
      <c r="Y1280" s="10"/>
      <c r="Z1280" s="10"/>
      <c r="AA1280" s="11" t="str">
        <f t="shared" si="39"/>
        <v/>
      </c>
    </row>
    <row r="1281" spans="16:27" ht="15" customHeight="1">
      <c r="P1281" t="str">
        <f t="shared" si="38"/>
        <v/>
      </c>
      <c r="Q1281" t="str">
        <f>IF(P1281="","",IFERROR(IF(AND(H1281="W7",OR(F1281="causal",F1281="predictive")),IF(AND(OR(K1281=1,K1281="1"),OR(L1281=1,L1281="1"),OR(M1281=1,M1281="1")),"adequate","partial"),IF(AND(H1281="W4",F1281="predictive",OR(J1281="P2",J1281="P3",J1281="P4")),IF(OR(U1281=1,U1281="1"),"adequate","partial"),INDEX(Fit_Matrix!$B:$B,MATCH(P1281,Fit_Matrix!$A:$A,0)))),"CHECK KEY"))</f>
        <v/>
      </c>
      <c r="U1281" s="10"/>
      <c r="V1281" s="10"/>
      <c r="W1281" s="10"/>
      <c r="X1281" s="10"/>
      <c r="Y1281" s="10"/>
      <c r="Z1281" s="10"/>
      <c r="AA1281" s="11" t="str">
        <f t="shared" si="39"/>
        <v/>
      </c>
    </row>
    <row r="1282" spans="16:27" ht="15" customHeight="1">
      <c r="P1282" t="str">
        <f t="shared" ref="P1282:P1345" si="40">IF(OR(F1282="",H1282="",J1282=""),"",J1282&amp;"|"&amp;F1282&amp;"|"&amp;IF(H1282="W3","W3_"&amp;IF(I1282="","unknown",I1282),H1282))</f>
        <v/>
      </c>
      <c r="Q1282" t="str">
        <f>IF(P1282="","",IFERROR(IF(AND(H1282="W7",OR(F1282="causal",F1282="predictive")),IF(AND(OR(K1282=1,K1282="1"),OR(L1282=1,L1282="1"),OR(M1282=1,M1282="1")),"adequate","partial"),IF(AND(H1282="W4",F1282="predictive",OR(J1282="P2",J1282="P3",J1282="P4")),IF(OR(U1282=1,U1282="1"),"adequate","partial"),INDEX(Fit_Matrix!$B:$B,MATCH(P1282,Fit_Matrix!$A:$A,0)))),"CHECK KEY"))</f>
        <v/>
      </c>
      <c r="U1282" s="10"/>
      <c r="V1282" s="10"/>
      <c r="W1282" s="10"/>
      <c r="X1282" s="10"/>
      <c r="Y1282" s="10"/>
      <c r="Z1282" s="10"/>
      <c r="AA1282" s="11" t="str">
        <f t="shared" ref="AA1282:AA1345" si="41">IF(A1282="","",IF(AND(J1282="P4",F1282="causal"),"P4-CAUSAL",""))</f>
        <v/>
      </c>
    </row>
    <row r="1283" spans="16:27" ht="15" customHeight="1">
      <c r="P1283" t="str">
        <f t="shared" si="40"/>
        <v/>
      </c>
      <c r="Q1283" t="str">
        <f>IF(P1283="","",IFERROR(IF(AND(H1283="W7",OR(F1283="causal",F1283="predictive")),IF(AND(OR(K1283=1,K1283="1"),OR(L1283=1,L1283="1"),OR(M1283=1,M1283="1")),"adequate","partial"),IF(AND(H1283="W4",F1283="predictive",OR(J1283="P2",J1283="P3",J1283="P4")),IF(OR(U1283=1,U1283="1"),"adequate","partial"),INDEX(Fit_Matrix!$B:$B,MATCH(P1283,Fit_Matrix!$A:$A,0)))),"CHECK KEY"))</f>
        <v/>
      </c>
      <c r="U1283" s="10"/>
      <c r="V1283" s="10"/>
      <c r="W1283" s="10"/>
      <c r="X1283" s="10"/>
      <c r="Y1283" s="10"/>
      <c r="Z1283" s="10"/>
      <c r="AA1283" s="11" t="str">
        <f t="shared" si="41"/>
        <v/>
      </c>
    </row>
    <row r="1284" spans="16:27" ht="15" customHeight="1">
      <c r="P1284" t="str">
        <f t="shared" si="40"/>
        <v/>
      </c>
      <c r="Q1284" t="str">
        <f>IF(P1284="","",IFERROR(IF(AND(H1284="W7",OR(F1284="causal",F1284="predictive")),IF(AND(OR(K1284=1,K1284="1"),OR(L1284=1,L1284="1"),OR(M1284=1,M1284="1")),"adequate","partial"),IF(AND(H1284="W4",F1284="predictive",OR(J1284="P2",J1284="P3",J1284="P4")),IF(OR(U1284=1,U1284="1"),"adequate","partial"),INDEX(Fit_Matrix!$B:$B,MATCH(P1284,Fit_Matrix!$A:$A,0)))),"CHECK KEY"))</f>
        <v/>
      </c>
      <c r="U1284" s="10"/>
      <c r="V1284" s="10"/>
      <c r="W1284" s="10"/>
      <c r="X1284" s="10"/>
      <c r="Y1284" s="10"/>
      <c r="Z1284" s="10"/>
      <c r="AA1284" s="11" t="str">
        <f t="shared" si="41"/>
        <v/>
      </c>
    </row>
    <row r="1285" spans="16:27" ht="15" customHeight="1">
      <c r="P1285" t="str">
        <f t="shared" si="40"/>
        <v/>
      </c>
      <c r="Q1285" t="str">
        <f>IF(P1285="","",IFERROR(IF(AND(H1285="W7",OR(F1285="causal",F1285="predictive")),IF(AND(OR(K1285=1,K1285="1"),OR(L1285=1,L1285="1"),OR(M1285=1,M1285="1")),"adequate","partial"),IF(AND(H1285="W4",F1285="predictive",OR(J1285="P2",J1285="P3",J1285="P4")),IF(OR(U1285=1,U1285="1"),"adequate","partial"),INDEX(Fit_Matrix!$B:$B,MATCH(P1285,Fit_Matrix!$A:$A,0)))),"CHECK KEY"))</f>
        <v/>
      </c>
      <c r="U1285" s="10"/>
      <c r="V1285" s="10"/>
      <c r="W1285" s="10"/>
      <c r="X1285" s="10"/>
      <c r="Y1285" s="10"/>
      <c r="Z1285" s="10"/>
      <c r="AA1285" s="11" t="str">
        <f t="shared" si="41"/>
        <v/>
      </c>
    </row>
    <row r="1286" spans="16:27" ht="15" customHeight="1">
      <c r="P1286" t="str">
        <f t="shared" si="40"/>
        <v/>
      </c>
      <c r="Q1286" t="str">
        <f>IF(P1286="","",IFERROR(IF(AND(H1286="W7",OR(F1286="causal",F1286="predictive")),IF(AND(OR(K1286=1,K1286="1"),OR(L1286=1,L1286="1"),OR(M1286=1,M1286="1")),"adequate","partial"),IF(AND(H1286="W4",F1286="predictive",OR(J1286="P2",J1286="P3",J1286="P4")),IF(OR(U1286=1,U1286="1"),"adequate","partial"),INDEX(Fit_Matrix!$B:$B,MATCH(P1286,Fit_Matrix!$A:$A,0)))),"CHECK KEY"))</f>
        <v/>
      </c>
      <c r="U1286" s="10"/>
      <c r="V1286" s="10"/>
      <c r="W1286" s="10"/>
      <c r="X1286" s="10"/>
      <c r="Y1286" s="10"/>
      <c r="Z1286" s="10"/>
      <c r="AA1286" s="11" t="str">
        <f t="shared" si="41"/>
        <v/>
      </c>
    </row>
    <row r="1287" spans="16:27" ht="15" customHeight="1">
      <c r="P1287" t="str">
        <f t="shared" si="40"/>
        <v/>
      </c>
      <c r="Q1287" t="str">
        <f>IF(P1287="","",IFERROR(IF(AND(H1287="W7",OR(F1287="causal",F1287="predictive")),IF(AND(OR(K1287=1,K1287="1"),OR(L1287=1,L1287="1"),OR(M1287=1,M1287="1")),"adequate","partial"),IF(AND(H1287="W4",F1287="predictive",OR(J1287="P2",J1287="P3",J1287="P4")),IF(OR(U1287=1,U1287="1"),"adequate","partial"),INDEX(Fit_Matrix!$B:$B,MATCH(P1287,Fit_Matrix!$A:$A,0)))),"CHECK KEY"))</f>
        <v/>
      </c>
      <c r="U1287" s="10"/>
      <c r="V1287" s="10"/>
      <c r="W1287" s="10"/>
      <c r="X1287" s="10"/>
      <c r="Y1287" s="10"/>
      <c r="Z1287" s="10"/>
      <c r="AA1287" s="11" t="str">
        <f t="shared" si="41"/>
        <v/>
      </c>
    </row>
    <row r="1288" spans="16:27" ht="15" customHeight="1">
      <c r="P1288" t="str">
        <f t="shared" si="40"/>
        <v/>
      </c>
      <c r="Q1288" t="str">
        <f>IF(P1288="","",IFERROR(IF(AND(H1288="W7",OR(F1288="causal",F1288="predictive")),IF(AND(OR(K1288=1,K1288="1"),OR(L1288=1,L1288="1"),OR(M1288=1,M1288="1")),"adequate","partial"),IF(AND(H1288="W4",F1288="predictive",OR(J1288="P2",J1288="P3",J1288="P4")),IF(OR(U1288=1,U1288="1"),"adequate","partial"),INDEX(Fit_Matrix!$B:$B,MATCH(P1288,Fit_Matrix!$A:$A,0)))),"CHECK KEY"))</f>
        <v/>
      </c>
      <c r="U1288" s="10"/>
      <c r="V1288" s="10"/>
      <c r="W1288" s="10"/>
      <c r="X1288" s="10"/>
      <c r="Y1288" s="10"/>
      <c r="Z1288" s="10"/>
      <c r="AA1288" s="11" t="str">
        <f t="shared" si="41"/>
        <v/>
      </c>
    </row>
    <row r="1289" spans="16:27" ht="15" customHeight="1">
      <c r="P1289" t="str">
        <f t="shared" si="40"/>
        <v/>
      </c>
      <c r="Q1289" t="str">
        <f>IF(P1289="","",IFERROR(IF(AND(H1289="W7",OR(F1289="causal",F1289="predictive")),IF(AND(OR(K1289=1,K1289="1"),OR(L1289=1,L1289="1"),OR(M1289=1,M1289="1")),"adequate","partial"),IF(AND(H1289="W4",F1289="predictive",OR(J1289="P2",J1289="P3",J1289="P4")),IF(OR(U1289=1,U1289="1"),"adequate","partial"),INDEX(Fit_Matrix!$B:$B,MATCH(P1289,Fit_Matrix!$A:$A,0)))),"CHECK KEY"))</f>
        <v/>
      </c>
      <c r="U1289" s="10"/>
      <c r="V1289" s="10"/>
      <c r="W1289" s="10"/>
      <c r="X1289" s="10"/>
      <c r="Y1289" s="10"/>
      <c r="Z1289" s="10"/>
      <c r="AA1289" s="11" t="str">
        <f t="shared" si="41"/>
        <v/>
      </c>
    </row>
    <row r="1290" spans="16:27" ht="15" customHeight="1">
      <c r="P1290" t="str">
        <f t="shared" si="40"/>
        <v/>
      </c>
      <c r="Q1290" t="str">
        <f>IF(P1290="","",IFERROR(IF(AND(H1290="W7",OR(F1290="causal",F1290="predictive")),IF(AND(OR(K1290=1,K1290="1"),OR(L1290=1,L1290="1"),OR(M1290=1,M1290="1")),"adequate","partial"),IF(AND(H1290="W4",F1290="predictive",OR(J1290="P2",J1290="P3",J1290="P4")),IF(OR(U1290=1,U1290="1"),"adequate","partial"),INDEX(Fit_Matrix!$B:$B,MATCH(P1290,Fit_Matrix!$A:$A,0)))),"CHECK KEY"))</f>
        <v/>
      </c>
      <c r="U1290" s="10"/>
      <c r="V1290" s="10"/>
      <c r="W1290" s="10"/>
      <c r="X1290" s="10"/>
      <c r="Y1290" s="10"/>
      <c r="Z1290" s="10"/>
      <c r="AA1290" s="11" t="str">
        <f t="shared" si="41"/>
        <v/>
      </c>
    </row>
    <row r="1291" spans="16:27" ht="15" customHeight="1">
      <c r="P1291" t="str">
        <f t="shared" si="40"/>
        <v/>
      </c>
      <c r="Q1291" t="str">
        <f>IF(P1291="","",IFERROR(IF(AND(H1291="W7",OR(F1291="causal",F1291="predictive")),IF(AND(OR(K1291=1,K1291="1"),OR(L1291=1,L1291="1"),OR(M1291=1,M1291="1")),"adequate","partial"),IF(AND(H1291="W4",F1291="predictive",OR(J1291="P2",J1291="P3",J1291="P4")),IF(OR(U1291=1,U1291="1"),"adequate","partial"),INDEX(Fit_Matrix!$B:$B,MATCH(P1291,Fit_Matrix!$A:$A,0)))),"CHECK KEY"))</f>
        <v/>
      </c>
      <c r="U1291" s="10"/>
      <c r="V1291" s="10"/>
      <c r="W1291" s="10"/>
      <c r="X1291" s="10"/>
      <c r="Y1291" s="10"/>
      <c r="Z1291" s="10"/>
      <c r="AA1291" s="11" t="str">
        <f t="shared" si="41"/>
        <v/>
      </c>
    </row>
    <row r="1292" spans="16:27" ht="15" customHeight="1">
      <c r="P1292" t="str">
        <f t="shared" si="40"/>
        <v/>
      </c>
      <c r="Q1292" t="str">
        <f>IF(P1292="","",IFERROR(IF(AND(H1292="W7",OR(F1292="causal",F1292="predictive")),IF(AND(OR(K1292=1,K1292="1"),OR(L1292=1,L1292="1"),OR(M1292=1,M1292="1")),"adequate","partial"),IF(AND(H1292="W4",F1292="predictive",OR(J1292="P2",J1292="P3",J1292="P4")),IF(OR(U1292=1,U1292="1"),"adequate","partial"),INDEX(Fit_Matrix!$B:$B,MATCH(P1292,Fit_Matrix!$A:$A,0)))),"CHECK KEY"))</f>
        <v/>
      </c>
      <c r="U1292" s="10"/>
      <c r="V1292" s="10"/>
      <c r="W1292" s="10"/>
      <c r="X1292" s="10"/>
      <c r="Y1292" s="10"/>
      <c r="Z1292" s="10"/>
      <c r="AA1292" s="11" t="str">
        <f t="shared" si="41"/>
        <v/>
      </c>
    </row>
    <row r="1293" spans="16:27" ht="15" customHeight="1">
      <c r="P1293" t="str">
        <f t="shared" si="40"/>
        <v/>
      </c>
      <c r="Q1293" t="str">
        <f>IF(P1293="","",IFERROR(IF(AND(H1293="W7",OR(F1293="causal",F1293="predictive")),IF(AND(OR(K1293=1,K1293="1"),OR(L1293=1,L1293="1"),OR(M1293=1,M1293="1")),"adequate","partial"),IF(AND(H1293="W4",F1293="predictive",OR(J1293="P2",J1293="P3",J1293="P4")),IF(OR(U1293=1,U1293="1"),"adequate","partial"),INDEX(Fit_Matrix!$B:$B,MATCH(P1293,Fit_Matrix!$A:$A,0)))),"CHECK KEY"))</f>
        <v/>
      </c>
      <c r="U1293" s="10"/>
      <c r="V1293" s="10"/>
      <c r="W1293" s="10"/>
      <c r="X1293" s="10"/>
      <c r="Y1293" s="10"/>
      <c r="Z1293" s="10"/>
      <c r="AA1293" s="11" t="str">
        <f t="shared" si="41"/>
        <v/>
      </c>
    </row>
    <row r="1294" spans="16:27" ht="15" customHeight="1">
      <c r="P1294" t="str">
        <f t="shared" si="40"/>
        <v/>
      </c>
      <c r="Q1294" t="str">
        <f>IF(P1294="","",IFERROR(IF(AND(H1294="W7",OR(F1294="causal",F1294="predictive")),IF(AND(OR(K1294=1,K1294="1"),OR(L1294=1,L1294="1"),OR(M1294=1,M1294="1")),"adequate","partial"),IF(AND(H1294="W4",F1294="predictive",OR(J1294="P2",J1294="P3",J1294="P4")),IF(OR(U1294=1,U1294="1"),"adequate","partial"),INDEX(Fit_Matrix!$B:$B,MATCH(P1294,Fit_Matrix!$A:$A,0)))),"CHECK KEY"))</f>
        <v/>
      </c>
      <c r="U1294" s="10"/>
      <c r="V1294" s="10"/>
      <c r="W1294" s="10"/>
      <c r="X1294" s="10"/>
      <c r="Y1294" s="10"/>
      <c r="Z1294" s="10"/>
      <c r="AA1294" s="11" t="str">
        <f t="shared" si="41"/>
        <v/>
      </c>
    </row>
    <row r="1295" spans="16:27" ht="15" customHeight="1">
      <c r="P1295" t="str">
        <f t="shared" si="40"/>
        <v/>
      </c>
      <c r="Q1295" t="str">
        <f>IF(P1295="","",IFERROR(IF(AND(H1295="W7",OR(F1295="causal",F1295="predictive")),IF(AND(OR(K1295=1,K1295="1"),OR(L1295=1,L1295="1"),OR(M1295=1,M1295="1")),"adequate","partial"),IF(AND(H1295="W4",F1295="predictive",OR(J1295="P2",J1295="P3",J1295="P4")),IF(OR(U1295=1,U1295="1"),"adequate","partial"),INDEX(Fit_Matrix!$B:$B,MATCH(P1295,Fit_Matrix!$A:$A,0)))),"CHECK KEY"))</f>
        <v/>
      </c>
      <c r="U1295" s="10"/>
      <c r="V1295" s="10"/>
      <c r="W1295" s="10"/>
      <c r="X1295" s="10"/>
      <c r="Y1295" s="10"/>
      <c r="Z1295" s="10"/>
      <c r="AA1295" s="11" t="str">
        <f t="shared" si="41"/>
        <v/>
      </c>
    </row>
    <row r="1296" spans="16:27" ht="15" customHeight="1">
      <c r="P1296" t="str">
        <f t="shared" si="40"/>
        <v/>
      </c>
      <c r="Q1296" t="str">
        <f>IF(P1296="","",IFERROR(IF(AND(H1296="W7",OR(F1296="causal",F1296="predictive")),IF(AND(OR(K1296=1,K1296="1"),OR(L1296=1,L1296="1"),OR(M1296=1,M1296="1")),"adequate","partial"),IF(AND(H1296="W4",F1296="predictive",OR(J1296="P2",J1296="P3",J1296="P4")),IF(OR(U1296=1,U1296="1"),"adequate","partial"),INDEX(Fit_Matrix!$B:$B,MATCH(P1296,Fit_Matrix!$A:$A,0)))),"CHECK KEY"))</f>
        <v/>
      </c>
      <c r="U1296" s="10"/>
      <c r="V1296" s="10"/>
      <c r="W1296" s="10"/>
      <c r="X1296" s="10"/>
      <c r="Y1296" s="10"/>
      <c r="Z1296" s="10"/>
      <c r="AA1296" s="11" t="str">
        <f t="shared" si="41"/>
        <v/>
      </c>
    </row>
    <row r="1297" spans="16:27" ht="15" customHeight="1">
      <c r="P1297" t="str">
        <f t="shared" si="40"/>
        <v/>
      </c>
      <c r="Q1297" t="str">
        <f>IF(P1297="","",IFERROR(IF(AND(H1297="W7",OR(F1297="causal",F1297="predictive")),IF(AND(OR(K1297=1,K1297="1"),OR(L1297=1,L1297="1"),OR(M1297=1,M1297="1")),"adequate","partial"),IF(AND(H1297="W4",F1297="predictive",OR(J1297="P2",J1297="P3",J1297="P4")),IF(OR(U1297=1,U1297="1"),"adequate","partial"),INDEX(Fit_Matrix!$B:$B,MATCH(P1297,Fit_Matrix!$A:$A,0)))),"CHECK KEY"))</f>
        <v/>
      </c>
      <c r="U1297" s="10"/>
      <c r="V1297" s="10"/>
      <c r="W1297" s="10"/>
      <c r="X1297" s="10"/>
      <c r="Y1297" s="10"/>
      <c r="Z1297" s="10"/>
      <c r="AA1297" s="11" t="str">
        <f t="shared" si="41"/>
        <v/>
      </c>
    </row>
    <row r="1298" spans="16:27" ht="15" customHeight="1">
      <c r="P1298" t="str">
        <f t="shared" si="40"/>
        <v/>
      </c>
      <c r="Q1298" t="str">
        <f>IF(P1298="","",IFERROR(IF(AND(H1298="W7",OR(F1298="causal",F1298="predictive")),IF(AND(OR(K1298=1,K1298="1"),OR(L1298=1,L1298="1"),OR(M1298=1,M1298="1")),"adequate","partial"),IF(AND(H1298="W4",F1298="predictive",OR(J1298="P2",J1298="P3",J1298="P4")),IF(OR(U1298=1,U1298="1"),"adequate","partial"),INDEX(Fit_Matrix!$B:$B,MATCH(P1298,Fit_Matrix!$A:$A,0)))),"CHECK KEY"))</f>
        <v/>
      </c>
      <c r="U1298" s="10"/>
      <c r="V1298" s="10"/>
      <c r="W1298" s="10"/>
      <c r="X1298" s="10"/>
      <c r="Y1298" s="10"/>
      <c r="Z1298" s="10"/>
      <c r="AA1298" s="11" t="str">
        <f t="shared" si="41"/>
        <v/>
      </c>
    </row>
    <row r="1299" spans="16:27" ht="15" customHeight="1">
      <c r="P1299" t="str">
        <f t="shared" si="40"/>
        <v/>
      </c>
      <c r="Q1299" t="str">
        <f>IF(P1299="","",IFERROR(IF(AND(H1299="W7",OR(F1299="causal",F1299="predictive")),IF(AND(OR(K1299=1,K1299="1"),OR(L1299=1,L1299="1"),OR(M1299=1,M1299="1")),"adequate","partial"),IF(AND(H1299="W4",F1299="predictive",OR(J1299="P2",J1299="P3",J1299="P4")),IF(OR(U1299=1,U1299="1"),"adequate","partial"),INDEX(Fit_Matrix!$B:$B,MATCH(P1299,Fit_Matrix!$A:$A,0)))),"CHECK KEY"))</f>
        <v/>
      </c>
      <c r="U1299" s="10"/>
      <c r="V1299" s="10"/>
      <c r="W1299" s="10"/>
      <c r="X1299" s="10"/>
      <c r="Y1299" s="10"/>
      <c r="Z1299" s="10"/>
      <c r="AA1299" s="11" t="str">
        <f t="shared" si="41"/>
        <v/>
      </c>
    </row>
    <row r="1300" spans="16:27" ht="15" customHeight="1">
      <c r="P1300" t="str">
        <f t="shared" si="40"/>
        <v/>
      </c>
      <c r="Q1300" t="str">
        <f>IF(P1300="","",IFERROR(IF(AND(H1300="W7",OR(F1300="causal",F1300="predictive")),IF(AND(OR(K1300=1,K1300="1"),OR(L1300=1,L1300="1"),OR(M1300=1,M1300="1")),"adequate","partial"),IF(AND(H1300="W4",F1300="predictive",OR(J1300="P2",J1300="P3",J1300="P4")),IF(OR(U1300=1,U1300="1"),"adequate","partial"),INDEX(Fit_Matrix!$B:$B,MATCH(P1300,Fit_Matrix!$A:$A,0)))),"CHECK KEY"))</f>
        <v/>
      </c>
      <c r="U1300" s="10"/>
      <c r="V1300" s="10"/>
      <c r="W1300" s="10"/>
      <c r="X1300" s="10"/>
      <c r="Y1300" s="10"/>
      <c r="Z1300" s="10"/>
      <c r="AA1300" s="11" t="str">
        <f t="shared" si="41"/>
        <v/>
      </c>
    </row>
    <row r="1301" spans="16:27" ht="15" customHeight="1">
      <c r="P1301" t="str">
        <f t="shared" si="40"/>
        <v/>
      </c>
      <c r="Q1301" t="str">
        <f>IF(P1301="","",IFERROR(IF(AND(H1301="W7",OR(F1301="causal",F1301="predictive")),IF(AND(OR(K1301=1,K1301="1"),OR(L1301=1,L1301="1"),OR(M1301=1,M1301="1")),"adequate","partial"),IF(AND(H1301="W4",F1301="predictive",OR(J1301="P2",J1301="P3",J1301="P4")),IF(OR(U1301=1,U1301="1"),"adequate","partial"),INDEX(Fit_Matrix!$B:$B,MATCH(P1301,Fit_Matrix!$A:$A,0)))),"CHECK KEY"))</f>
        <v/>
      </c>
      <c r="U1301" s="10"/>
      <c r="V1301" s="10"/>
      <c r="W1301" s="10"/>
      <c r="X1301" s="10"/>
      <c r="Y1301" s="10"/>
      <c r="Z1301" s="10"/>
      <c r="AA1301" s="11" t="str">
        <f t="shared" si="41"/>
        <v/>
      </c>
    </row>
    <row r="1302" spans="16:27" ht="15" customHeight="1">
      <c r="P1302" t="str">
        <f t="shared" si="40"/>
        <v/>
      </c>
      <c r="Q1302" t="str">
        <f>IF(P1302="","",IFERROR(IF(AND(H1302="W7",OR(F1302="causal",F1302="predictive")),IF(AND(OR(K1302=1,K1302="1"),OR(L1302=1,L1302="1"),OR(M1302=1,M1302="1")),"adequate","partial"),IF(AND(H1302="W4",F1302="predictive",OR(J1302="P2",J1302="P3",J1302="P4")),IF(OR(U1302=1,U1302="1"),"adequate","partial"),INDEX(Fit_Matrix!$B:$B,MATCH(P1302,Fit_Matrix!$A:$A,0)))),"CHECK KEY"))</f>
        <v/>
      </c>
      <c r="U1302" s="10"/>
      <c r="V1302" s="10"/>
      <c r="W1302" s="10"/>
      <c r="X1302" s="10"/>
      <c r="Y1302" s="10"/>
      <c r="Z1302" s="10"/>
      <c r="AA1302" s="11" t="str">
        <f t="shared" si="41"/>
        <v/>
      </c>
    </row>
    <row r="1303" spans="16:27" ht="15" customHeight="1">
      <c r="P1303" t="str">
        <f t="shared" si="40"/>
        <v/>
      </c>
      <c r="Q1303" t="str">
        <f>IF(P1303="","",IFERROR(IF(AND(H1303="W7",OR(F1303="causal",F1303="predictive")),IF(AND(OR(K1303=1,K1303="1"),OR(L1303=1,L1303="1"),OR(M1303=1,M1303="1")),"adequate","partial"),IF(AND(H1303="W4",F1303="predictive",OR(J1303="P2",J1303="P3",J1303="P4")),IF(OR(U1303=1,U1303="1"),"adequate","partial"),INDEX(Fit_Matrix!$B:$B,MATCH(P1303,Fit_Matrix!$A:$A,0)))),"CHECK KEY"))</f>
        <v/>
      </c>
      <c r="U1303" s="10"/>
      <c r="V1303" s="10"/>
      <c r="W1303" s="10"/>
      <c r="X1303" s="10"/>
      <c r="Y1303" s="10"/>
      <c r="Z1303" s="10"/>
      <c r="AA1303" s="11" t="str">
        <f t="shared" si="41"/>
        <v/>
      </c>
    </row>
    <row r="1304" spans="16:27" ht="15" customHeight="1">
      <c r="P1304" t="str">
        <f t="shared" si="40"/>
        <v/>
      </c>
      <c r="Q1304" t="str">
        <f>IF(P1304="","",IFERROR(IF(AND(H1304="W7",OR(F1304="causal",F1304="predictive")),IF(AND(OR(K1304=1,K1304="1"),OR(L1304=1,L1304="1"),OR(M1304=1,M1304="1")),"adequate","partial"),IF(AND(H1304="W4",F1304="predictive",OR(J1304="P2",J1304="P3",J1304="P4")),IF(OR(U1304=1,U1304="1"),"adequate","partial"),INDEX(Fit_Matrix!$B:$B,MATCH(P1304,Fit_Matrix!$A:$A,0)))),"CHECK KEY"))</f>
        <v/>
      </c>
      <c r="U1304" s="10"/>
      <c r="V1304" s="10"/>
      <c r="W1304" s="10"/>
      <c r="X1304" s="10"/>
      <c r="Y1304" s="10"/>
      <c r="Z1304" s="10"/>
      <c r="AA1304" s="11" t="str">
        <f t="shared" si="41"/>
        <v/>
      </c>
    </row>
    <row r="1305" spans="16:27" ht="15" customHeight="1">
      <c r="P1305" t="str">
        <f t="shared" si="40"/>
        <v/>
      </c>
      <c r="Q1305" t="str">
        <f>IF(P1305="","",IFERROR(IF(AND(H1305="W7",OR(F1305="causal",F1305="predictive")),IF(AND(OR(K1305=1,K1305="1"),OR(L1305=1,L1305="1"),OR(M1305=1,M1305="1")),"adequate","partial"),IF(AND(H1305="W4",F1305="predictive",OR(J1305="P2",J1305="P3",J1305="P4")),IF(OR(U1305=1,U1305="1"),"adequate","partial"),INDEX(Fit_Matrix!$B:$B,MATCH(P1305,Fit_Matrix!$A:$A,0)))),"CHECK KEY"))</f>
        <v/>
      </c>
      <c r="U1305" s="10"/>
      <c r="V1305" s="10"/>
      <c r="W1305" s="10"/>
      <c r="X1305" s="10"/>
      <c r="Y1305" s="10"/>
      <c r="Z1305" s="10"/>
      <c r="AA1305" s="11" t="str">
        <f t="shared" si="41"/>
        <v/>
      </c>
    </row>
    <row r="1306" spans="16:27" ht="15" customHeight="1">
      <c r="P1306" t="str">
        <f t="shared" si="40"/>
        <v/>
      </c>
      <c r="Q1306" t="str">
        <f>IF(P1306="","",IFERROR(IF(AND(H1306="W7",OR(F1306="causal",F1306="predictive")),IF(AND(OR(K1306=1,K1306="1"),OR(L1306=1,L1306="1"),OR(M1306=1,M1306="1")),"adequate","partial"),IF(AND(H1306="W4",F1306="predictive",OR(J1306="P2",J1306="P3",J1306="P4")),IF(OR(U1306=1,U1306="1"),"adequate","partial"),INDEX(Fit_Matrix!$B:$B,MATCH(P1306,Fit_Matrix!$A:$A,0)))),"CHECK KEY"))</f>
        <v/>
      </c>
      <c r="U1306" s="10"/>
      <c r="V1306" s="10"/>
      <c r="W1306" s="10"/>
      <c r="X1306" s="10"/>
      <c r="Y1306" s="10"/>
      <c r="Z1306" s="10"/>
      <c r="AA1306" s="11" t="str">
        <f t="shared" si="41"/>
        <v/>
      </c>
    </row>
    <row r="1307" spans="16:27" ht="15" customHeight="1">
      <c r="P1307" t="str">
        <f t="shared" si="40"/>
        <v/>
      </c>
      <c r="Q1307" t="str">
        <f>IF(P1307="","",IFERROR(IF(AND(H1307="W7",OR(F1307="causal",F1307="predictive")),IF(AND(OR(K1307=1,K1307="1"),OR(L1307=1,L1307="1"),OR(M1307=1,M1307="1")),"adequate","partial"),IF(AND(H1307="W4",F1307="predictive",OR(J1307="P2",J1307="P3",J1307="P4")),IF(OR(U1307=1,U1307="1"),"adequate","partial"),INDEX(Fit_Matrix!$B:$B,MATCH(P1307,Fit_Matrix!$A:$A,0)))),"CHECK KEY"))</f>
        <v/>
      </c>
      <c r="U1307" s="10"/>
      <c r="V1307" s="10"/>
      <c r="W1307" s="10"/>
      <c r="X1307" s="10"/>
      <c r="Y1307" s="10"/>
      <c r="Z1307" s="10"/>
      <c r="AA1307" s="11" t="str">
        <f t="shared" si="41"/>
        <v/>
      </c>
    </row>
    <row r="1308" spans="16:27" ht="15" customHeight="1">
      <c r="P1308" t="str">
        <f t="shared" si="40"/>
        <v/>
      </c>
      <c r="Q1308" t="str">
        <f>IF(P1308="","",IFERROR(IF(AND(H1308="W7",OR(F1308="causal",F1308="predictive")),IF(AND(OR(K1308=1,K1308="1"),OR(L1308=1,L1308="1"),OR(M1308=1,M1308="1")),"adequate","partial"),IF(AND(H1308="W4",F1308="predictive",OR(J1308="P2",J1308="P3",J1308="P4")),IF(OR(U1308=1,U1308="1"),"adequate","partial"),INDEX(Fit_Matrix!$B:$B,MATCH(P1308,Fit_Matrix!$A:$A,0)))),"CHECK KEY"))</f>
        <v/>
      </c>
      <c r="U1308" s="10"/>
      <c r="V1308" s="10"/>
      <c r="W1308" s="10"/>
      <c r="X1308" s="10"/>
      <c r="Y1308" s="10"/>
      <c r="Z1308" s="10"/>
      <c r="AA1308" s="11" t="str">
        <f t="shared" si="41"/>
        <v/>
      </c>
    </row>
    <row r="1309" spans="16:27" ht="15" customHeight="1">
      <c r="P1309" t="str">
        <f t="shared" si="40"/>
        <v/>
      </c>
      <c r="Q1309" t="str">
        <f>IF(P1309="","",IFERROR(IF(AND(H1309="W7",OR(F1309="causal",F1309="predictive")),IF(AND(OR(K1309=1,K1309="1"),OR(L1309=1,L1309="1"),OR(M1309=1,M1309="1")),"adequate","partial"),IF(AND(H1309="W4",F1309="predictive",OR(J1309="P2",J1309="P3",J1309="P4")),IF(OR(U1309=1,U1309="1"),"adequate","partial"),INDEX(Fit_Matrix!$B:$B,MATCH(P1309,Fit_Matrix!$A:$A,0)))),"CHECK KEY"))</f>
        <v/>
      </c>
      <c r="U1309" s="10"/>
      <c r="V1309" s="10"/>
      <c r="W1309" s="10"/>
      <c r="X1309" s="10"/>
      <c r="Y1309" s="10"/>
      <c r="Z1309" s="10"/>
      <c r="AA1309" s="11" t="str">
        <f t="shared" si="41"/>
        <v/>
      </c>
    </row>
    <row r="1310" spans="16:27" ht="15" customHeight="1">
      <c r="P1310" t="str">
        <f t="shared" si="40"/>
        <v/>
      </c>
      <c r="Q1310" t="str">
        <f>IF(P1310="","",IFERROR(IF(AND(H1310="W7",OR(F1310="causal",F1310="predictive")),IF(AND(OR(K1310=1,K1310="1"),OR(L1310=1,L1310="1"),OR(M1310=1,M1310="1")),"adequate","partial"),IF(AND(H1310="W4",F1310="predictive",OR(J1310="P2",J1310="P3",J1310="P4")),IF(OR(U1310=1,U1310="1"),"adequate","partial"),INDEX(Fit_Matrix!$B:$B,MATCH(P1310,Fit_Matrix!$A:$A,0)))),"CHECK KEY"))</f>
        <v/>
      </c>
      <c r="U1310" s="10"/>
      <c r="V1310" s="10"/>
      <c r="W1310" s="10"/>
      <c r="X1310" s="10"/>
      <c r="Y1310" s="10"/>
      <c r="Z1310" s="10"/>
      <c r="AA1310" s="11" t="str">
        <f t="shared" si="41"/>
        <v/>
      </c>
    </row>
    <row r="1311" spans="16:27" ht="15" customHeight="1">
      <c r="P1311" t="str">
        <f t="shared" si="40"/>
        <v/>
      </c>
      <c r="Q1311" t="str">
        <f>IF(P1311="","",IFERROR(IF(AND(H1311="W7",OR(F1311="causal",F1311="predictive")),IF(AND(OR(K1311=1,K1311="1"),OR(L1311=1,L1311="1"),OR(M1311=1,M1311="1")),"adequate","partial"),IF(AND(H1311="W4",F1311="predictive",OR(J1311="P2",J1311="P3",J1311="P4")),IF(OR(U1311=1,U1311="1"),"adequate","partial"),INDEX(Fit_Matrix!$B:$B,MATCH(P1311,Fit_Matrix!$A:$A,0)))),"CHECK KEY"))</f>
        <v/>
      </c>
      <c r="U1311" s="10"/>
      <c r="V1311" s="10"/>
      <c r="W1311" s="10"/>
      <c r="X1311" s="10"/>
      <c r="Y1311" s="10"/>
      <c r="Z1311" s="10"/>
      <c r="AA1311" s="11" t="str">
        <f t="shared" si="41"/>
        <v/>
      </c>
    </row>
    <row r="1312" spans="16:27" ht="15" customHeight="1">
      <c r="P1312" t="str">
        <f t="shared" si="40"/>
        <v/>
      </c>
      <c r="Q1312" t="str">
        <f>IF(P1312="","",IFERROR(IF(AND(H1312="W7",OR(F1312="causal",F1312="predictive")),IF(AND(OR(K1312=1,K1312="1"),OR(L1312=1,L1312="1"),OR(M1312=1,M1312="1")),"adequate","partial"),IF(AND(H1312="W4",F1312="predictive",OR(J1312="P2",J1312="P3",J1312="P4")),IF(OR(U1312=1,U1312="1"),"adequate","partial"),INDEX(Fit_Matrix!$B:$B,MATCH(P1312,Fit_Matrix!$A:$A,0)))),"CHECK KEY"))</f>
        <v/>
      </c>
      <c r="U1312" s="10"/>
      <c r="V1312" s="10"/>
      <c r="W1312" s="10"/>
      <c r="X1312" s="10"/>
      <c r="Y1312" s="10"/>
      <c r="Z1312" s="10"/>
      <c r="AA1312" s="11" t="str">
        <f t="shared" si="41"/>
        <v/>
      </c>
    </row>
    <row r="1313" spans="16:27" ht="15" customHeight="1">
      <c r="P1313" t="str">
        <f t="shared" si="40"/>
        <v/>
      </c>
      <c r="Q1313" t="str">
        <f>IF(P1313="","",IFERROR(IF(AND(H1313="W7",OR(F1313="causal",F1313="predictive")),IF(AND(OR(K1313=1,K1313="1"),OR(L1313=1,L1313="1"),OR(M1313=1,M1313="1")),"adequate","partial"),IF(AND(H1313="W4",F1313="predictive",OR(J1313="P2",J1313="P3",J1313="P4")),IF(OR(U1313=1,U1313="1"),"adequate","partial"),INDEX(Fit_Matrix!$B:$B,MATCH(P1313,Fit_Matrix!$A:$A,0)))),"CHECK KEY"))</f>
        <v/>
      </c>
      <c r="U1313" s="10"/>
      <c r="V1313" s="10"/>
      <c r="W1313" s="10"/>
      <c r="X1313" s="10"/>
      <c r="Y1313" s="10"/>
      <c r="Z1313" s="10"/>
      <c r="AA1313" s="11" t="str">
        <f t="shared" si="41"/>
        <v/>
      </c>
    </row>
    <row r="1314" spans="16:27" ht="15" customHeight="1">
      <c r="P1314" t="str">
        <f t="shared" si="40"/>
        <v/>
      </c>
      <c r="Q1314" t="str">
        <f>IF(P1314="","",IFERROR(IF(AND(H1314="W7",OR(F1314="causal",F1314="predictive")),IF(AND(OR(K1314=1,K1314="1"),OR(L1314=1,L1314="1"),OR(M1314=1,M1314="1")),"adequate","partial"),IF(AND(H1314="W4",F1314="predictive",OR(J1314="P2",J1314="P3",J1314="P4")),IF(OR(U1314=1,U1314="1"),"adequate","partial"),INDEX(Fit_Matrix!$B:$B,MATCH(P1314,Fit_Matrix!$A:$A,0)))),"CHECK KEY"))</f>
        <v/>
      </c>
      <c r="U1314" s="10"/>
      <c r="V1314" s="10"/>
      <c r="W1314" s="10"/>
      <c r="X1314" s="10"/>
      <c r="Y1314" s="10"/>
      <c r="Z1314" s="10"/>
      <c r="AA1314" s="11" t="str">
        <f t="shared" si="41"/>
        <v/>
      </c>
    </row>
    <row r="1315" spans="16:27" ht="15" customHeight="1">
      <c r="P1315" t="str">
        <f t="shared" si="40"/>
        <v/>
      </c>
      <c r="Q1315" t="str">
        <f>IF(P1315="","",IFERROR(IF(AND(H1315="W7",OR(F1315="causal",F1315="predictive")),IF(AND(OR(K1315=1,K1315="1"),OR(L1315=1,L1315="1"),OR(M1315=1,M1315="1")),"adequate","partial"),IF(AND(H1315="W4",F1315="predictive",OR(J1315="P2",J1315="P3",J1315="P4")),IF(OR(U1315=1,U1315="1"),"adequate","partial"),INDEX(Fit_Matrix!$B:$B,MATCH(P1315,Fit_Matrix!$A:$A,0)))),"CHECK KEY"))</f>
        <v/>
      </c>
      <c r="U1315" s="10"/>
      <c r="V1315" s="10"/>
      <c r="W1315" s="10"/>
      <c r="X1315" s="10"/>
      <c r="Y1315" s="10"/>
      <c r="Z1315" s="10"/>
      <c r="AA1315" s="11" t="str">
        <f t="shared" si="41"/>
        <v/>
      </c>
    </row>
    <row r="1316" spans="16:27" ht="15" customHeight="1">
      <c r="P1316" t="str">
        <f t="shared" si="40"/>
        <v/>
      </c>
      <c r="Q1316" t="str">
        <f>IF(P1316="","",IFERROR(IF(AND(H1316="W7",OR(F1316="causal",F1316="predictive")),IF(AND(OR(K1316=1,K1316="1"),OR(L1316=1,L1316="1"),OR(M1316=1,M1316="1")),"adequate","partial"),IF(AND(H1316="W4",F1316="predictive",OR(J1316="P2",J1316="P3",J1316="P4")),IF(OR(U1316=1,U1316="1"),"adequate","partial"),INDEX(Fit_Matrix!$B:$B,MATCH(P1316,Fit_Matrix!$A:$A,0)))),"CHECK KEY"))</f>
        <v/>
      </c>
      <c r="U1316" s="10"/>
      <c r="V1316" s="10"/>
      <c r="W1316" s="10"/>
      <c r="X1316" s="10"/>
      <c r="Y1316" s="10"/>
      <c r="Z1316" s="10"/>
      <c r="AA1316" s="11" t="str">
        <f t="shared" si="41"/>
        <v/>
      </c>
    </row>
    <row r="1317" spans="16:27" ht="15" customHeight="1">
      <c r="P1317" t="str">
        <f t="shared" si="40"/>
        <v/>
      </c>
      <c r="Q1317" t="str">
        <f>IF(P1317="","",IFERROR(IF(AND(H1317="W7",OR(F1317="causal",F1317="predictive")),IF(AND(OR(K1317=1,K1317="1"),OR(L1317=1,L1317="1"),OR(M1317=1,M1317="1")),"adequate","partial"),IF(AND(H1317="W4",F1317="predictive",OR(J1317="P2",J1317="P3",J1317="P4")),IF(OR(U1317=1,U1317="1"),"adequate","partial"),INDEX(Fit_Matrix!$B:$B,MATCH(P1317,Fit_Matrix!$A:$A,0)))),"CHECK KEY"))</f>
        <v/>
      </c>
      <c r="U1317" s="10"/>
      <c r="V1317" s="10"/>
      <c r="W1317" s="10"/>
      <c r="X1317" s="10"/>
      <c r="Y1317" s="10"/>
      <c r="Z1317" s="10"/>
      <c r="AA1317" s="11" t="str">
        <f t="shared" si="41"/>
        <v/>
      </c>
    </row>
    <row r="1318" spans="16:27" ht="15" customHeight="1">
      <c r="P1318" t="str">
        <f t="shared" si="40"/>
        <v/>
      </c>
      <c r="Q1318" t="str">
        <f>IF(P1318="","",IFERROR(IF(AND(H1318="W7",OR(F1318="causal",F1318="predictive")),IF(AND(OR(K1318=1,K1318="1"),OR(L1318=1,L1318="1"),OR(M1318=1,M1318="1")),"adequate","partial"),IF(AND(H1318="W4",F1318="predictive",OR(J1318="P2",J1318="P3",J1318="P4")),IF(OR(U1318=1,U1318="1"),"adequate","partial"),INDEX(Fit_Matrix!$B:$B,MATCH(P1318,Fit_Matrix!$A:$A,0)))),"CHECK KEY"))</f>
        <v/>
      </c>
      <c r="U1318" s="10"/>
      <c r="V1318" s="10"/>
      <c r="W1318" s="10"/>
      <c r="X1318" s="10"/>
      <c r="Y1318" s="10"/>
      <c r="Z1318" s="10"/>
      <c r="AA1318" s="11" t="str">
        <f t="shared" si="41"/>
        <v/>
      </c>
    </row>
    <row r="1319" spans="16:27" ht="15" customHeight="1">
      <c r="P1319" t="str">
        <f t="shared" si="40"/>
        <v/>
      </c>
      <c r="Q1319" t="str">
        <f>IF(P1319="","",IFERROR(IF(AND(H1319="W7",OR(F1319="causal",F1319="predictive")),IF(AND(OR(K1319=1,K1319="1"),OR(L1319=1,L1319="1"),OR(M1319=1,M1319="1")),"adequate","partial"),IF(AND(H1319="W4",F1319="predictive",OR(J1319="P2",J1319="P3",J1319="P4")),IF(OR(U1319=1,U1319="1"),"adequate","partial"),INDEX(Fit_Matrix!$B:$B,MATCH(P1319,Fit_Matrix!$A:$A,0)))),"CHECK KEY"))</f>
        <v/>
      </c>
      <c r="U1319" s="10"/>
      <c r="V1319" s="10"/>
      <c r="W1319" s="10"/>
      <c r="X1319" s="10"/>
      <c r="Y1319" s="10"/>
      <c r="Z1319" s="10"/>
      <c r="AA1319" s="11" t="str">
        <f t="shared" si="41"/>
        <v/>
      </c>
    </row>
    <row r="1320" spans="16:27" ht="15" customHeight="1">
      <c r="P1320" t="str">
        <f t="shared" si="40"/>
        <v/>
      </c>
      <c r="Q1320" t="str">
        <f>IF(P1320="","",IFERROR(IF(AND(H1320="W7",OR(F1320="causal",F1320="predictive")),IF(AND(OR(K1320=1,K1320="1"),OR(L1320=1,L1320="1"),OR(M1320=1,M1320="1")),"adequate","partial"),IF(AND(H1320="W4",F1320="predictive",OR(J1320="P2",J1320="P3",J1320="P4")),IF(OR(U1320=1,U1320="1"),"adequate","partial"),INDEX(Fit_Matrix!$B:$B,MATCH(P1320,Fit_Matrix!$A:$A,0)))),"CHECK KEY"))</f>
        <v/>
      </c>
      <c r="U1320" s="10"/>
      <c r="V1320" s="10"/>
      <c r="W1320" s="10"/>
      <c r="X1320" s="10"/>
      <c r="Y1320" s="10"/>
      <c r="Z1320" s="10"/>
      <c r="AA1320" s="11" t="str">
        <f t="shared" si="41"/>
        <v/>
      </c>
    </row>
    <row r="1321" spans="16:27" ht="15" customHeight="1">
      <c r="P1321" t="str">
        <f t="shared" si="40"/>
        <v/>
      </c>
      <c r="Q1321" t="str">
        <f>IF(P1321="","",IFERROR(IF(AND(H1321="W7",OR(F1321="causal",F1321="predictive")),IF(AND(OR(K1321=1,K1321="1"),OR(L1321=1,L1321="1"),OR(M1321=1,M1321="1")),"adequate","partial"),IF(AND(H1321="W4",F1321="predictive",OR(J1321="P2",J1321="P3",J1321="P4")),IF(OR(U1321=1,U1321="1"),"adequate","partial"),INDEX(Fit_Matrix!$B:$B,MATCH(P1321,Fit_Matrix!$A:$A,0)))),"CHECK KEY"))</f>
        <v/>
      </c>
      <c r="U1321" s="10"/>
      <c r="V1321" s="10"/>
      <c r="W1321" s="10"/>
      <c r="X1321" s="10"/>
      <c r="Y1321" s="10"/>
      <c r="Z1321" s="10"/>
      <c r="AA1321" s="11" t="str">
        <f t="shared" si="41"/>
        <v/>
      </c>
    </row>
    <row r="1322" spans="16:27" ht="15" customHeight="1">
      <c r="P1322" t="str">
        <f t="shared" si="40"/>
        <v/>
      </c>
      <c r="Q1322" t="str">
        <f>IF(P1322="","",IFERROR(IF(AND(H1322="W7",OR(F1322="causal",F1322="predictive")),IF(AND(OR(K1322=1,K1322="1"),OR(L1322=1,L1322="1"),OR(M1322=1,M1322="1")),"adequate","partial"),IF(AND(H1322="W4",F1322="predictive",OR(J1322="P2",J1322="P3",J1322="P4")),IF(OR(U1322=1,U1322="1"),"adequate","partial"),INDEX(Fit_Matrix!$B:$B,MATCH(P1322,Fit_Matrix!$A:$A,0)))),"CHECK KEY"))</f>
        <v/>
      </c>
      <c r="U1322" s="10"/>
      <c r="V1322" s="10"/>
      <c r="W1322" s="10"/>
      <c r="X1322" s="10"/>
      <c r="Y1322" s="10"/>
      <c r="Z1322" s="10"/>
      <c r="AA1322" s="11" t="str">
        <f t="shared" si="41"/>
        <v/>
      </c>
    </row>
    <row r="1323" spans="16:27" ht="15" customHeight="1">
      <c r="P1323" t="str">
        <f t="shared" si="40"/>
        <v/>
      </c>
      <c r="Q1323" t="str">
        <f>IF(P1323="","",IFERROR(IF(AND(H1323="W7",OR(F1323="causal",F1323="predictive")),IF(AND(OR(K1323=1,K1323="1"),OR(L1323=1,L1323="1"),OR(M1323=1,M1323="1")),"adequate","partial"),IF(AND(H1323="W4",F1323="predictive",OR(J1323="P2",J1323="P3",J1323="P4")),IF(OR(U1323=1,U1323="1"),"adequate","partial"),INDEX(Fit_Matrix!$B:$B,MATCH(P1323,Fit_Matrix!$A:$A,0)))),"CHECK KEY"))</f>
        <v/>
      </c>
      <c r="U1323" s="10"/>
      <c r="V1323" s="10"/>
      <c r="W1323" s="10"/>
      <c r="X1323" s="10"/>
      <c r="Y1323" s="10"/>
      <c r="Z1323" s="10"/>
      <c r="AA1323" s="11" t="str">
        <f t="shared" si="41"/>
        <v/>
      </c>
    </row>
    <row r="1324" spans="16:27" ht="15" customHeight="1">
      <c r="P1324" t="str">
        <f t="shared" si="40"/>
        <v/>
      </c>
      <c r="Q1324" t="str">
        <f>IF(P1324="","",IFERROR(IF(AND(H1324="W7",OR(F1324="causal",F1324="predictive")),IF(AND(OR(K1324=1,K1324="1"),OR(L1324=1,L1324="1"),OR(M1324=1,M1324="1")),"adequate","partial"),IF(AND(H1324="W4",F1324="predictive",OR(J1324="P2",J1324="P3",J1324="P4")),IF(OR(U1324=1,U1324="1"),"adequate","partial"),INDEX(Fit_Matrix!$B:$B,MATCH(P1324,Fit_Matrix!$A:$A,0)))),"CHECK KEY"))</f>
        <v/>
      </c>
      <c r="U1324" s="10"/>
      <c r="V1324" s="10"/>
      <c r="W1324" s="10"/>
      <c r="X1324" s="10"/>
      <c r="Y1324" s="10"/>
      <c r="Z1324" s="10"/>
      <c r="AA1324" s="11" t="str">
        <f t="shared" si="41"/>
        <v/>
      </c>
    </row>
    <row r="1325" spans="16:27" ht="15" customHeight="1">
      <c r="P1325" t="str">
        <f t="shared" si="40"/>
        <v/>
      </c>
      <c r="Q1325" t="str">
        <f>IF(P1325="","",IFERROR(IF(AND(H1325="W7",OR(F1325="causal",F1325="predictive")),IF(AND(OR(K1325=1,K1325="1"),OR(L1325=1,L1325="1"),OR(M1325=1,M1325="1")),"adequate","partial"),IF(AND(H1325="W4",F1325="predictive",OR(J1325="P2",J1325="P3",J1325="P4")),IF(OR(U1325=1,U1325="1"),"adequate","partial"),INDEX(Fit_Matrix!$B:$B,MATCH(P1325,Fit_Matrix!$A:$A,0)))),"CHECK KEY"))</f>
        <v/>
      </c>
      <c r="U1325" s="10"/>
      <c r="V1325" s="10"/>
      <c r="W1325" s="10"/>
      <c r="X1325" s="10"/>
      <c r="Y1325" s="10"/>
      <c r="Z1325" s="10"/>
      <c r="AA1325" s="11" t="str">
        <f t="shared" si="41"/>
        <v/>
      </c>
    </row>
    <row r="1326" spans="16:27" ht="15" customHeight="1">
      <c r="P1326" t="str">
        <f t="shared" si="40"/>
        <v/>
      </c>
      <c r="Q1326" t="str">
        <f>IF(P1326="","",IFERROR(IF(AND(H1326="W7",OR(F1326="causal",F1326="predictive")),IF(AND(OR(K1326=1,K1326="1"),OR(L1326=1,L1326="1"),OR(M1326=1,M1326="1")),"adequate","partial"),IF(AND(H1326="W4",F1326="predictive",OR(J1326="P2",J1326="P3",J1326="P4")),IF(OR(U1326=1,U1326="1"),"adequate","partial"),INDEX(Fit_Matrix!$B:$B,MATCH(P1326,Fit_Matrix!$A:$A,0)))),"CHECK KEY"))</f>
        <v/>
      </c>
      <c r="U1326" s="10"/>
      <c r="V1326" s="10"/>
      <c r="W1326" s="10"/>
      <c r="X1326" s="10"/>
      <c r="Y1326" s="10"/>
      <c r="Z1326" s="10"/>
      <c r="AA1326" s="11" t="str">
        <f t="shared" si="41"/>
        <v/>
      </c>
    </row>
    <row r="1327" spans="16:27" ht="15" customHeight="1">
      <c r="P1327" t="str">
        <f t="shared" si="40"/>
        <v/>
      </c>
      <c r="Q1327" t="str">
        <f>IF(P1327="","",IFERROR(IF(AND(H1327="W7",OR(F1327="causal",F1327="predictive")),IF(AND(OR(K1327=1,K1327="1"),OR(L1327=1,L1327="1"),OR(M1327=1,M1327="1")),"adequate","partial"),IF(AND(H1327="W4",F1327="predictive",OR(J1327="P2",J1327="P3",J1327="P4")),IF(OR(U1327=1,U1327="1"),"adequate","partial"),INDEX(Fit_Matrix!$B:$B,MATCH(P1327,Fit_Matrix!$A:$A,0)))),"CHECK KEY"))</f>
        <v/>
      </c>
      <c r="U1327" s="10"/>
      <c r="V1327" s="10"/>
      <c r="W1327" s="10"/>
      <c r="X1327" s="10"/>
      <c r="Y1327" s="10"/>
      <c r="Z1327" s="10"/>
      <c r="AA1327" s="11" t="str">
        <f t="shared" si="41"/>
        <v/>
      </c>
    </row>
    <row r="1328" spans="16:27" ht="15" customHeight="1">
      <c r="P1328" t="str">
        <f t="shared" si="40"/>
        <v/>
      </c>
      <c r="Q1328" t="str">
        <f>IF(P1328="","",IFERROR(IF(AND(H1328="W7",OR(F1328="causal",F1328="predictive")),IF(AND(OR(K1328=1,K1328="1"),OR(L1328=1,L1328="1"),OR(M1328=1,M1328="1")),"adequate","partial"),IF(AND(H1328="W4",F1328="predictive",OR(J1328="P2",J1328="P3",J1328="P4")),IF(OR(U1328=1,U1328="1"),"adequate","partial"),INDEX(Fit_Matrix!$B:$B,MATCH(P1328,Fit_Matrix!$A:$A,0)))),"CHECK KEY"))</f>
        <v/>
      </c>
      <c r="U1328" s="10"/>
      <c r="V1328" s="10"/>
      <c r="W1328" s="10"/>
      <c r="X1328" s="10"/>
      <c r="Y1328" s="10"/>
      <c r="Z1328" s="10"/>
      <c r="AA1328" s="11" t="str">
        <f t="shared" si="41"/>
        <v/>
      </c>
    </row>
    <row r="1329" spans="16:27" ht="15" customHeight="1">
      <c r="P1329" t="str">
        <f t="shared" si="40"/>
        <v/>
      </c>
      <c r="Q1329" t="str">
        <f>IF(P1329="","",IFERROR(IF(AND(H1329="W7",OR(F1329="causal",F1329="predictive")),IF(AND(OR(K1329=1,K1329="1"),OR(L1329=1,L1329="1"),OR(M1329=1,M1329="1")),"adequate","partial"),IF(AND(H1329="W4",F1329="predictive",OR(J1329="P2",J1329="P3",J1329="P4")),IF(OR(U1329=1,U1329="1"),"adequate","partial"),INDEX(Fit_Matrix!$B:$B,MATCH(P1329,Fit_Matrix!$A:$A,0)))),"CHECK KEY"))</f>
        <v/>
      </c>
      <c r="U1329" s="10"/>
      <c r="V1329" s="10"/>
      <c r="W1329" s="10"/>
      <c r="X1329" s="10"/>
      <c r="Y1329" s="10"/>
      <c r="Z1329" s="10"/>
      <c r="AA1329" s="11" t="str">
        <f t="shared" si="41"/>
        <v/>
      </c>
    </row>
    <row r="1330" spans="16:27" ht="15" customHeight="1">
      <c r="P1330" t="str">
        <f t="shared" si="40"/>
        <v/>
      </c>
      <c r="Q1330" t="str">
        <f>IF(P1330="","",IFERROR(IF(AND(H1330="W7",OR(F1330="causal",F1330="predictive")),IF(AND(OR(K1330=1,K1330="1"),OR(L1330=1,L1330="1"),OR(M1330=1,M1330="1")),"adequate","partial"),IF(AND(H1330="W4",F1330="predictive",OR(J1330="P2",J1330="P3",J1330="P4")),IF(OR(U1330=1,U1330="1"),"adequate","partial"),INDEX(Fit_Matrix!$B:$B,MATCH(P1330,Fit_Matrix!$A:$A,0)))),"CHECK KEY"))</f>
        <v/>
      </c>
      <c r="U1330" s="10"/>
      <c r="V1330" s="10"/>
      <c r="W1330" s="10"/>
      <c r="X1330" s="10"/>
      <c r="Y1330" s="10"/>
      <c r="Z1330" s="10"/>
      <c r="AA1330" s="11" t="str">
        <f t="shared" si="41"/>
        <v/>
      </c>
    </row>
    <row r="1331" spans="16:27" ht="15" customHeight="1">
      <c r="P1331" t="str">
        <f t="shared" si="40"/>
        <v/>
      </c>
      <c r="Q1331" t="str">
        <f>IF(P1331="","",IFERROR(IF(AND(H1331="W7",OR(F1331="causal",F1331="predictive")),IF(AND(OR(K1331=1,K1331="1"),OR(L1331=1,L1331="1"),OR(M1331=1,M1331="1")),"adequate","partial"),IF(AND(H1331="W4",F1331="predictive",OR(J1331="P2",J1331="P3",J1331="P4")),IF(OR(U1331=1,U1331="1"),"adequate","partial"),INDEX(Fit_Matrix!$B:$B,MATCH(P1331,Fit_Matrix!$A:$A,0)))),"CHECK KEY"))</f>
        <v/>
      </c>
      <c r="U1331" s="10"/>
      <c r="V1331" s="10"/>
      <c r="W1331" s="10"/>
      <c r="X1331" s="10"/>
      <c r="Y1331" s="10"/>
      <c r="Z1331" s="10"/>
      <c r="AA1331" s="11" t="str">
        <f t="shared" si="41"/>
        <v/>
      </c>
    </row>
    <row r="1332" spans="16:27" ht="15" customHeight="1">
      <c r="P1332" t="str">
        <f t="shared" si="40"/>
        <v/>
      </c>
      <c r="Q1332" t="str">
        <f>IF(P1332="","",IFERROR(IF(AND(H1332="W7",OR(F1332="causal",F1332="predictive")),IF(AND(OR(K1332=1,K1332="1"),OR(L1332=1,L1332="1"),OR(M1332=1,M1332="1")),"adequate","partial"),IF(AND(H1332="W4",F1332="predictive",OR(J1332="P2",J1332="P3",J1332="P4")),IF(OR(U1332=1,U1332="1"),"adequate","partial"),INDEX(Fit_Matrix!$B:$B,MATCH(P1332,Fit_Matrix!$A:$A,0)))),"CHECK KEY"))</f>
        <v/>
      </c>
      <c r="U1332" s="10"/>
      <c r="V1332" s="10"/>
      <c r="W1332" s="10"/>
      <c r="X1332" s="10"/>
      <c r="Y1332" s="10"/>
      <c r="Z1332" s="10"/>
      <c r="AA1332" s="11" t="str">
        <f t="shared" si="41"/>
        <v/>
      </c>
    </row>
    <row r="1333" spans="16:27" ht="15" customHeight="1">
      <c r="P1333" t="str">
        <f t="shared" si="40"/>
        <v/>
      </c>
      <c r="Q1333" t="str">
        <f>IF(P1333="","",IFERROR(IF(AND(H1333="W7",OR(F1333="causal",F1333="predictive")),IF(AND(OR(K1333=1,K1333="1"),OR(L1333=1,L1333="1"),OR(M1333=1,M1333="1")),"adequate","partial"),IF(AND(H1333="W4",F1333="predictive",OR(J1333="P2",J1333="P3",J1333="P4")),IF(OR(U1333=1,U1333="1"),"adequate","partial"),INDEX(Fit_Matrix!$B:$B,MATCH(P1333,Fit_Matrix!$A:$A,0)))),"CHECK KEY"))</f>
        <v/>
      </c>
      <c r="U1333" s="10"/>
      <c r="V1333" s="10"/>
      <c r="W1333" s="10"/>
      <c r="X1333" s="10"/>
      <c r="Y1333" s="10"/>
      <c r="Z1333" s="10"/>
      <c r="AA1333" s="11" t="str">
        <f t="shared" si="41"/>
        <v/>
      </c>
    </row>
    <row r="1334" spans="16:27" ht="15" customHeight="1">
      <c r="P1334" t="str">
        <f t="shared" si="40"/>
        <v/>
      </c>
      <c r="Q1334" t="str">
        <f>IF(P1334="","",IFERROR(IF(AND(H1334="W7",OR(F1334="causal",F1334="predictive")),IF(AND(OR(K1334=1,K1334="1"),OR(L1334=1,L1334="1"),OR(M1334=1,M1334="1")),"adequate","partial"),IF(AND(H1334="W4",F1334="predictive",OR(J1334="P2",J1334="P3",J1334="P4")),IF(OR(U1334=1,U1334="1"),"adequate","partial"),INDEX(Fit_Matrix!$B:$B,MATCH(P1334,Fit_Matrix!$A:$A,0)))),"CHECK KEY"))</f>
        <v/>
      </c>
      <c r="U1334" s="10"/>
      <c r="V1334" s="10"/>
      <c r="W1334" s="10"/>
      <c r="X1334" s="10"/>
      <c r="Y1334" s="10"/>
      <c r="Z1334" s="10"/>
      <c r="AA1334" s="11" t="str">
        <f t="shared" si="41"/>
        <v/>
      </c>
    </row>
    <row r="1335" spans="16:27" ht="15" customHeight="1">
      <c r="P1335" t="str">
        <f t="shared" si="40"/>
        <v/>
      </c>
      <c r="Q1335" t="str">
        <f>IF(P1335="","",IFERROR(IF(AND(H1335="W7",OR(F1335="causal",F1335="predictive")),IF(AND(OR(K1335=1,K1335="1"),OR(L1335=1,L1335="1"),OR(M1335=1,M1335="1")),"adequate","partial"),IF(AND(H1335="W4",F1335="predictive",OR(J1335="P2",J1335="P3",J1335="P4")),IF(OR(U1335=1,U1335="1"),"adequate","partial"),INDEX(Fit_Matrix!$B:$B,MATCH(P1335,Fit_Matrix!$A:$A,0)))),"CHECK KEY"))</f>
        <v/>
      </c>
      <c r="U1335" s="10"/>
      <c r="V1335" s="10"/>
      <c r="W1335" s="10"/>
      <c r="X1335" s="10"/>
      <c r="Y1335" s="10"/>
      <c r="Z1335" s="10"/>
      <c r="AA1335" s="11" t="str">
        <f t="shared" si="41"/>
        <v/>
      </c>
    </row>
    <row r="1336" spans="16:27" ht="15" customHeight="1">
      <c r="P1336" t="str">
        <f t="shared" si="40"/>
        <v/>
      </c>
      <c r="Q1336" t="str">
        <f>IF(P1336="","",IFERROR(IF(AND(H1336="W7",OR(F1336="causal",F1336="predictive")),IF(AND(OR(K1336=1,K1336="1"),OR(L1336=1,L1336="1"),OR(M1336=1,M1336="1")),"adequate","partial"),IF(AND(H1336="W4",F1336="predictive",OR(J1336="P2",J1336="P3",J1336="P4")),IF(OR(U1336=1,U1336="1"),"adequate","partial"),INDEX(Fit_Matrix!$B:$B,MATCH(P1336,Fit_Matrix!$A:$A,0)))),"CHECK KEY"))</f>
        <v/>
      </c>
      <c r="U1336" s="10"/>
      <c r="V1336" s="10"/>
      <c r="W1336" s="10"/>
      <c r="X1336" s="10"/>
      <c r="Y1336" s="10"/>
      <c r="Z1336" s="10"/>
      <c r="AA1336" s="11" t="str">
        <f t="shared" si="41"/>
        <v/>
      </c>
    </row>
    <row r="1337" spans="16:27" ht="15" customHeight="1">
      <c r="P1337" t="str">
        <f t="shared" si="40"/>
        <v/>
      </c>
      <c r="Q1337" t="str">
        <f>IF(P1337="","",IFERROR(IF(AND(H1337="W7",OR(F1337="causal",F1337="predictive")),IF(AND(OR(K1337=1,K1337="1"),OR(L1337=1,L1337="1"),OR(M1337=1,M1337="1")),"adequate","partial"),IF(AND(H1337="W4",F1337="predictive",OR(J1337="P2",J1337="P3",J1337="P4")),IF(OR(U1337=1,U1337="1"),"adequate","partial"),INDEX(Fit_Matrix!$B:$B,MATCH(P1337,Fit_Matrix!$A:$A,0)))),"CHECK KEY"))</f>
        <v/>
      </c>
      <c r="U1337" s="10"/>
      <c r="V1337" s="10"/>
      <c r="W1337" s="10"/>
      <c r="X1337" s="10"/>
      <c r="Y1337" s="10"/>
      <c r="Z1337" s="10"/>
      <c r="AA1337" s="11" t="str">
        <f t="shared" si="41"/>
        <v/>
      </c>
    </row>
    <row r="1338" spans="16:27" ht="15" customHeight="1">
      <c r="P1338" t="str">
        <f t="shared" si="40"/>
        <v/>
      </c>
      <c r="Q1338" t="str">
        <f>IF(P1338="","",IFERROR(IF(AND(H1338="W7",OR(F1338="causal",F1338="predictive")),IF(AND(OR(K1338=1,K1338="1"),OR(L1338=1,L1338="1"),OR(M1338=1,M1338="1")),"adequate","partial"),IF(AND(H1338="W4",F1338="predictive",OR(J1338="P2",J1338="P3",J1338="P4")),IF(OR(U1338=1,U1338="1"),"adequate","partial"),INDEX(Fit_Matrix!$B:$B,MATCH(P1338,Fit_Matrix!$A:$A,0)))),"CHECK KEY"))</f>
        <v/>
      </c>
      <c r="U1338" s="10"/>
      <c r="V1338" s="10"/>
      <c r="W1338" s="10"/>
      <c r="X1338" s="10"/>
      <c r="Y1338" s="10"/>
      <c r="Z1338" s="10"/>
      <c r="AA1338" s="11" t="str">
        <f t="shared" si="41"/>
        <v/>
      </c>
    </row>
    <row r="1339" spans="16:27" ht="15" customHeight="1">
      <c r="P1339" t="str">
        <f t="shared" si="40"/>
        <v/>
      </c>
      <c r="Q1339" t="str">
        <f>IF(P1339="","",IFERROR(IF(AND(H1339="W7",OR(F1339="causal",F1339="predictive")),IF(AND(OR(K1339=1,K1339="1"),OR(L1339=1,L1339="1"),OR(M1339=1,M1339="1")),"adequate","partial"),IF(AND(H1339="W4",F1339="predictive",OR(J1339="P2",J1339="P3",J1339="P4")),IF(OR(U1339=1,U1339="1"),"adequate","partial"),INDEX(Fit_Matrix!$B:$B,MATCH(P1339,Fit_Matrix!$A:$A,0)))),"CHECK KEY"))</f>
        <v/>
      </c>
      <c r="U1339" s="10"/>
      <c r="V1339" s="10"/>
      <c r="W1339" s="10"/>
      <c r="X1339" s="10"/>
      <c r="Y1339" s="10"/>
      <c r="Z1339" s="10"/>
      <c r="AA1339" s="11" t="str">
        <f t="shared" si="41"/>
        <v/>
      </c>
    </row>
    <row r="1340" spans="16:27" ht="15" customHeight="1">
      <c r="P1340" t="str">
        <f t="shared" si="40"/>
        <v/>
      </c>
      <c r="Q1340" t="str">
        <f>IF(P1340="","",IFERROR(IF(AND(H1340="W7",OR(F1340="causal",F1340="predictive")),IF(AND(OR(K1340=1,K1340="1"),OR(L1340=1,L1340="1"),OR(M1340=1,M1340="1")),"adequate","partial"),IF(AND(H1340="W4",F1340="predictive",OR(J1340="P2",J1340="P3",J1340="P4")),IF(OR(U1340=1,U1340="1"),"adequate","partial"),INDEX(Fit_Matrix!$B:$B,MATCH(P1340,Fit_Matrix!$A:$A,0)))),"CHECK KEY"))</f>
        <v/>
      </c>
      <c r="U1340" s="10"/>
      <c r="V1340" s="10"/>
      <c r="W1340" s="10"/>
      <c r="X1340" s="10"/>
      <c r="Y1340" s="10"/>
      <c r="Z1340" s="10"/>
      <c r="AA1340" s="11" t="str">
        <f t="shared" si="41"/>
        <v/>
      </c>
    </row>
    <row r="1341" spans="16:27" ht="15" customHeight="1">
      <c r="P1341" t="str">
        <f t="shared" si="40"/>
        <v/>
      </c>
      <c r="Q1341" t="str">
        <f>IF(P1341="","",IFERROR(IF(AND(H1341="W7",OR(F1341="causal",F1341="predictive")),IF(AND(OR(K1341=1,K1341="1"),OR(L1341=1,L1341="1"),OR(M1341=1,M1341="1")),"adequate","partial"),IF(AND(H1341="W4",F1341="predictive",OR(J1341="P2",J1341="P3",J1341="P4")),IF(OR(U1341=1,U1341="1"),"adequate","partial"),INDEX(Fit_Matrix!$B:$B,MATCH(P1341,Fit_Matrix!$A:$A,0)))),"CHECK KEY"))</f>
        <v/>
      </c>
      <c r="U1341" s="10"/>
      <c r="V1341" s="10"/>
      <c r="W1341" s="10"/>
      <c r="X1341" s="10"/>
      <c r="Y1341" s="10"/>
      <c r="Z1341" s="10"/>
      <c r="AA1341" s="11" t="str">
        <f t="shared" si="41"/>
        <v/>
      </c>
    </row>
    <row r="1342" spans="16:27" ht="15" customHeight="1">
      <c r="P1342" t="str">
        <f t="shared" si="40"/>
        <v/>
      </c>
      <c r="Q1342" t="str">
        <f>IF(P1342="","",IFERROR(IF(AND(H1342="W7",OR(F1342="causal",F1342="predictive")),IF(AND(OR(K1342=1,K1342="1"),OR(L1342=1,L1342="1"),OR(M1342=1,M1342="1")),"adequate","partial"),IF(AND(H1342="W4",F1342="predictive",OR(J1342="P2",J1342="P3",J1342="P4")),IF(OR(U1342=1,U1342="1"),"adequate","partial"),INDEX(Fit_Matrix!$B:$B,MATCH(P1342,Fit_Matrix!$A:$A,0)))),"CHECK KEY"))</f>
        <v/>
      </c>
      <c r="U1342" s="10"/>
      <c r="V1342" s="10"/>
      <c r="W1342" s="10"/>
      <c r="X1342" s="10"/>
      <c r="Y1342" s="10"/>
      <c r="Z1342" s="10"/>
      <c r="AA1342" s="11" t="str">
        <f t="shared" si="41"/>
        <v/>
      </c>
    </row>
    <row r="1343" spans="16:27" ht="15" customHeight="1">
      <c r="P1343" t="str">
        <f t="shared" si="40"/>
        <v/>
      </c>
      <c r="Q1343" t="str">
        <f>IF(P1343="","",IFERROR(IF(AND(H1343="W7",OR(F1343="causal",F1343="predictive")),IF(AND(OR(K1343=1,K1343="1"),OR(L1343=1,L1343="1"),OR(M1343=1,M1343="1")),"adequate","partial"),IF(AND(H1343="W4",F1343="predictive",OR(J1343="P2",J1343="P3",J1343="P4")),IF(OR(U1343=1,U1343="1"),"adequate","partial"),INDEX(Fit_Matrix!$B:$B,MATCH(P1343,Fit_Matrix!$A:$A,0)))),"CHECK KEY"))</f>
        <v/>
      </c>
      <c r="U1343" s="10"/>
      <c r="V1343" s="10"/>
      <c r="W1343" s="10"/>
      <c r="X1343" s="10"/>
      <c r="Y1343" s="10"/>
      <c r="Z1343" s="10"/>
      <c r="AA1343" s="11" t="str">
        <f t="shared" si="41"/>
        <v/>
      </c>
    </row>
    <row r="1344" spans="16:27" ht="15" customHeight="1">
      <c r="P1344" t="str">
        <f t="shared" si="40"/>
        <v/>
      </c>
      <c r="Q1344" t="str">
        <f>IF(P1344="","",IFERROR(IF(AND(H1344="W7",OR(F1344="causal",F1344="predictive")),IF(AND(OR(K1344=1,K1344="1"),OR(L1344=1,L1344="1"),OR(M1344=1,M1344="1")),"adequate","partial"),IF(AND(H1344="W4",F1344="predictive",OR(J1344="P2",J1344="P3",J1344="P4")),IF(OR(U1344=1,U1344="1"),"adequate","partial"),INDEX(Fit_Matrix!$B:$B,MATCH(P1344,Fit_Matrix!$A:$A,0)))),"CHECK KEY"))</f>
        <v/>
      </c>
      <c r="U1344" s="10"/>
      <c r="V1344" s="10"/>
      <c r="W1344" s="10"/>
      <c r="X1344" s="10"/>
      <c r="Y1344" s="10"/>
      <c r="Z1344" s="10"/>
      <c r="AA1344" s="11" t="str">
        <f t="shared" si="41"/>
        <v/>
      </c>
    </row>
    <row r="1345" spans="16:27" ht="15" customHeight="1">
      <c r="P1345" t="str">
        <f t="shared" si="40"/>
        <v/>
      </c>
      <c r="Q1345" t="str">
        <f>IF(P1345="","",IFERROR(IF(AND(H1345="W7",OR(F1345="causal",F1345="predictive")),IF(AND(OR(K1345=1,K1345="1"),OR(L1345=1,L1345="1"),OR(M1345=1,M1345="1")),"adequate","partial"),IF(AND(H1345="W4",F1345="predictive",OR(J1345="P2",J1345="P3",J1345="P4")),IF(OR(U1345=1,U1345="1"),"adequate","partial"),INDEX(Fit_Matrix!$B:$B,MATCH(P1345,Fit_Matrix!$A:$A,0)))),"CHECK KEY"))</f>
        <v/>
      </c>
      <c r="U1345" s="10"/>
      <c r="V1345" s="10"/>
      <c r="W1345" s="10"/>
      <c r="X1345" s="10"/>
      <c r="Y1345" s="10"/>
      <c r="Z1345" s="10"/>
      <c r="AA1345" s="11" t="str">
        <f t="shared" si="41"/>
        <v/>
      </c>
    </row>
    <row r="1346" spans="16:27" ht="15" customHeight="1">
      <c r="P1346" t="str">
        <f t="shared" ref="P1346:P1409" si="42">IF(OR(F1346="",H1346="",J1346=""),"",J1346&amp;"|"&amp;F1346&amp;"|"&amp;IF(H1346="W3","W3_"&amp;IF(I1346="","unknown",I1346),H1346))</f>
        <v/>
      </c>
      <c r="Q1346" t="str">
        <f>IF(P1346="","",IFERROR(IF(AND(H1346="W7",OR(F1346="causal",F1346="predictive")),IF(AND(OR(K1346=1,K1346="1"),OR(L1346=1,L1346="1"),OR(M1346=1,M1346="1")),"adequate","partial"),IF(AND(H1346="W4",F1346="predictive",OR(J1346="P2",J1346="P3",J1346="P4")),IF(OR(U1346=1,U1346="1"),"adequate","partial"),INDEX(Fit_Matrix!$B:$B,MATCH(P1346,Fit_Matrix!$A:$A,0)))),"CHECK KEY"))</f>
        <v/>
      </c>
      <c r="U1346" s="10"/>
      <c r="V1346" s="10"/>
      <c r="W1346" s="10"/>
      <c r="X1346" s="10"/>
      <c r="Y1346" s="10"/>
      <c r="Z1346" s="10"/>
      <c r="AA1346" s="11" t="str">
        <f t="shared" ref="AA1346:AA1409" si="43">IF(A1346="","",IF(AND(J1346="P4",F1346="causal"),"P4-CAUSAL",""))</f>
        <v/>
      </c>
    </row>
    <row r="1347" spans="16:27" ht="15" customHeight="1">
      <c r="P1347" t="str">
        <f t="shared" si="42"/>
        <v/>
      </c>
      <c r="Q1347" t="str">
        <f>IF(P1347="","",IFERROR(IF(AND(H1347="W7",OR(F1347="causal",F1347="predictive")),IF(AND(OR(K1347=1,K1347="1"),OR(L1347=1,L1347="1"),OR(M1347=1,M1347="1")),"adequate","partial"),IF(AND(H1347="W4",F1347="predictive",OR(J1347="P2",J1347="P3",J1347="P4")),IF(OR(U1347=1,U1347="1"),"adequate","partial"),INDEX(Fit_Matrix!$B:$B,MATCH(P1347,Fit_Matrix!$A:$A,0)))),"CHECK KEY"))</f>
        <v/>
      </c>
      <c r="U1347" s="10"/>
      <c r="V1347" s="10"/>
      <c r="W1347" s="10"/>
      <c r="X1347" s="10"/>
      <c r="Y1347" s="10"/>
      <c r="Z1347" s="10"/>
      <c r="AA1347" s="11" t="str">
        <f t="shared" si="43"/>
        <v/>
      </c>
    </row>
    <row r="1348" spans="16:27" ht="15" customHeight="1">
      <c r="P1348" t="str">
        <f t="shared" si="42"/>
        <v/>
      </c>
      <c r="Q1348" t="str">
        <f>IF(P1348="","",IFERROR(IF(AND(H1348="W7",OR(F1348="causal",F1348="predictive")),IF(AND(OR(K1348=1,K1348="1"),OR(L1348=1,L1348="1"),OR(M1348=1,M1348="1")),"adequate","partial"),IF(AND(H1348="W4",F1348="predictive",OR(J1348="P2",J1348="P3",J1348="P4")),IF(OR(U1348=1,U1348="1"),"adequate","partial"),INDEX(Fit_Matrix!$B:$B,MATCH(P1348,Fit_Matrix!$A:$A,0)))),"CHECK KEY"))</f>
        <v/>
      </c>
      <c r="U1348" s="10"/>
      <c r="V1348" s="10"/>
      <c r="W1348" s="10"/>
      <c r="X1348" s="10"/>
      <c r="Y1348" s="10"/>
      <c r="Z1348" s="10"/>
      <c r="AA1348" s="11" t="str">
        <f t="shared" si="43"/>
        <v/>
      </c>
    </row>
    <row r="1349" spans="16:27" ht="15" customHeight="1">
      <c r="P1349" t="str">
        <f t="shared" si="42"/>
        <v/>
      </c>
      <c r="Q1349" t="str">
        <f>IF(P1349="","",IFERROR(IF(AND(H1349="W7",OR(F1349="causal",F1349="predictive")),IF(AND(OR(K1349=1,K1349="1"),OR(L1349=1,L1349="1"),OR(M1349=1,M1349="1")),"adequate","partial"),IF(AND(H1349="W4",F1349="predictive",OR(J1349="P2",J1349="P3",J1349="P4")),IF(OR(U1349=1,U1349="1"),"adequate","partial"),INDEX(Fit_Matrix!$B:$B,MATCH(P1349,Fit_Matrix!$A:$A,0)))),"CHECK KEY"))</f>
        <v/>
      </c>
      <c r="U1349" s="10"/>
      <c r="V1349" s="10"/>
      <c r="W1349" s="10"/>
      <c r="X1349" s="10"/>
      <c r="Y1349" s="10"/>
      <c r="Z1349" s="10"/>
      <c r="AA1349" s="11" t="str">
        <f t="shared" si="43"/>
        <v/>
      </c>
    </row>
    <row r="1350" spans="16:27" ht="15" customHeight="1">
      <c r="P1350" t="str">
        <f t="shared" si="42"/>
        <v/>
      </c>
      <c r="Q1350" t="str">
        <f>IF(P1350="","",IFERROR(IF(AND(H1350="W7",OR(F1350="causal",F1350="predictive")),IF(AND(OR(K1350=1,K1350="1"),OR(L1350=1,L1350="1"),OR(M1350=1,M1350="1")),"adequate","partial"),IF(AND(H1350="W4",F1350="predictive",OR(J1350="P2",J1350="P3",J1350="P4")),IF(OR(U1350=1,U1350="1"),"adequate","partial"),INDEX(Fit_Matrix!$B:$B,MATCH(P1350,Fit_Matrix!$A:$A,0)))),"CHECK KEY"))</f>
        <v/>
      </c>
      <c r="U1350" s="10"/>
      <c r="V1350" s="10"/>
      <c r="W1350" s="10"/>
      <c r="X1350" s="10"/>
      <c r="Y1350" s="10"/>
      <c r="Z1350" s="10"/>
      <c r="AA1350" s="11" t="str">
        <f t="shared" si="43"/>
        <v/>
      </c>
    </row>
    <row r="1351" spans="16:27" ht="15" customHeight="1">
      <c r="P1351" t="str">
        <f t="shared" si="42"/>
        <v/>
      </c>
      <c r="Q1351" t="str">
        <f>IF(P1351="","",IFERROR(IF(AND(H1351="W7",OR(F1351="causal",F1351="predictive")),IF(AND(OR(K1351=1,K1351="1"),OR(L1351=1,L1351="1"),OR(M1351=1,M1351="1")),"adequate","partial"),IF(AND(H1351="W4",F1351="predictive",OR(J1351="P2",J1351="P3",J1351="P4")),IF(OR(U1351=1,U1351="1"),"adequate","partial"),INDEX(Fit_Matrix!$B:$B,MATCH(P1351,Fit_Matrix!$A:$A,0)))),"CHECK KEY"))</f>
        <v/>
      </c>
      <c r="U1351" s="10"/>
      <c r="V1351" s="10"/>
      <c r="W1351" s="10"/>
      <c r="X1351" s="10"/>
      <c r="Y1351" s="10"/>
      <c r="Z1351" s="10"/>
      <c r="AA1351" s="11" t="str">
        <f t="shared" si="43"/>
        <v/>
      </c>
    </row>
    <row r="1352" spans="16:27" ht="15" customHeight="1">
      <c r="P1352" t="str">
        <f t="shared" si="42"/>
        <v/>
      </c>
      <c r="Q1352" t="str">
        <f>IF(P1352="","",IFERROR(IF(AND(H1352="W7",OR(F1352="causal",F1352="predictive")),IF(AND(OR(K1352=1,K1352="1"),OR(L1352=1,L1352="1"),OR(M1352=1,M1352="1")),"adequate","partial"),IF(AND(H1352="W4",F1352="predictive",OR(J1352="P2",J1352="P3",J1352="P4")),IF(OR(U1352=1,U1352="1"),"adequate","partial"),INDEX(Fit_Matrix!$B:$B,MATCH(P1352,Fit_Matrix!$A:$A,0)))),"CHECK KEY"))</f>
        <v/>
      </c>
      <c r="U1352" s="10"/>
      <c r="V1352" s="10"/>
      <c r="W1352" s="10"/>
      <c r="X1352" s="10"/>
      <c r="Y1352" s="10"/>
      <c r="Z1352" s="10"/>
      <c r="AA1352" s="11" t="str">
        <f t="shared" si="43"/>
        <v/>
      </c>
    </row>
    <row r="1353" spans="16:27" ht="15" customHeight="1">
      <c r="P1353" t="str">
        <f t="shared" si="42"/>
        <v/>
      </c>
      <c r="Q1353" t="str">
        <f>IF(P1353="","",IFERROR(IF(AND(H1353="W7",OR(F1353="causal",F1353="predictive")),IF(AND(OR(K1353=1,K1353="1"),OR(L1353=1,L1353="1"),OR(M1353=1,M1353="1")),"adequate","partial"),IF(AND(H1353="W4",F1353="predictive",OR(J1353="P2",J1353="P3",J1353="P4")),IF(OR(U1353=1,U1353="1"),"adequate","partial"),INDEX(Fit_Matrix!$B:$B,MATCH(P1353,Fit_Matrix!$A:$A,0)))),"CHECK KEY"))</f>
        <v/>
      </c>
      <c r="U1353" s="10"/>
      <c r="V1353" s="10"/>
      <c r="W1353" s="10"/>
      <c r="X1353" s="10"/>
      <c r="Y1353" s="10"/>
      <c r="Z1353" s="10"/>
      <c r="AA1353" s="11" t="str">
        <f t="shared" si="43"/>
        <v/>
      </c>
    </row>
    <row r="1354" spans="16:27" ht="15" customHeight="1">
      <c r="P1354" t="str">
        <f t="shared" si="42"/>
        <v/>
      </c>
      <c r="Q1354" t="str">
        <f>IF(P1354="","",IFERROR(IF(AND(H1354="W7",OR(F1354="causal",F1354="predictive")),IF(AND(OR(K1354=1,K1354="1"),OR(L1354=1,L1354="1"),OR(M1354=1,M1354="1")),"adequate","partial"),IF(AND(H1354="W4",F1354="predictive",OR(J1354="P2",J1354="P3",J1354="P4")),IF(OR(U1354=1,U1354="1"),"adequate","partial"),INDEX(Fit_Matrix!$B:$B,MATCH(P1354,Fit_Matrix!$A:$A,0)))),"CHECK KEY"))</f>
        <v/>
      </c>
      <c r="U1354" s="10"/>
      <c r="V1354" s="10"/>
      <c r="W1354" s="10"/>
      <c r="X1354" s="10"/>
      <c r="Y1354" s="10"/>
      <c r="Z1354" s="10"/>
      <c r="AA1354" s="11" t="str">
        <f t="shared" si="43"/>
        <v/>
      </c>
    </row>
    <row r="1355" spans="16:27" ht="15" customHeight="1">
      <c r="P1355" t="str">
        <f t="shared" si="42"/>
        <v/>
      </c>
      <c r="Q1355" t="str">
        <f>IF(P1355="","",IFERROR(IF(AND(H1355="W7",OR(F1355="causal",F1355="predictive")),IF(AND(OR(K1355=1,K1355="1"),OR(L1355=1,L1355="1"),OR(M1355=1,M1355="1")),"adequate","partial"),IF(AND(H1355="W4",F1355="predictive",OR(J1355="P2",J1355="P3",J1355="P4")),IF(OR(U1355=1,U1355="1"),"adequate","partial"),INDEX(Fit_Matrix!$B:$B,MATCH(P1355,Fit_Matrix!$A:$A,0)))),"CHECK KEY"))</f>
        <v/>
      </c>
      <c r="U1355" s="10"/>
      <c r="V1355" s="10"/>
      <c r="W1355" s="10"/>
      <c r="X1355" s="10"/>
      <c r="Y1355" s="10"/>
      <c r="Z1355" s="10"/>
      <c r="AA1355" s="11" t="str">
        <f t="shared" si="43"/>
        <v/>
      </c>
    </row>
    <row r="1356" spans="16:27" ht="15" customHeight="1">
      <c r="P1356" t="str">
        <f t="shared" si="42"/>
        <v/>
      </c>
      <c r="Q1356" t="str">
        <f>IF(P1356="","",IFERROR(IF(AND(H1356="W7",OR(F1356="causal",F1356="predictive")),IF(AND(OR(K1356=1,K1356="1"),OR(L1356=1,L1356="1"),OR(M1356=1,M1356="1")),"adequate","partial"),IF(AND(H1356="W4",F1356="predictive",OR(J1356="P2",J1356="P3",J1356="P4")),IF(OR(U1356=1,U1356="1"),"adequate","partial"),INDEX(Fit_Matrix!$B:$B,MATCH(P1356,Fit_Matrix!$A:$A,0)))),"CHECK KEY"))</f>
        <v/>
      </c>
      <c r="U1356" s="10"/>
      <c r="V1356" s="10"/>
      <c r="W1356" s="10"/>
      <c r="X1356" s="10"/>
      <c r="Y1356" s="10"/>
      <c r="Z1356" s="10"/>
      <c r="AA1356" s="11" t="str">
        <f t="shared" si="43"/>
        <v/>
      </c>
    </row>
    <row r="1357" spans="16:27" ht="15" customHeight="1">
      <c r="P1357" t="str">
        <f t="shared" si="42"/>
        <v/>
      </c>
      <c r="Q1357" t="str">
        <f>IF(P1357="","",IFERROR(IF(AND(H1357="W7",OR(F1357="causal",F1357="predictive")),IF(AND(OR(K1357=1,K1357="1"),OR(L1357=1,L1357="1"),OR(M1357=1,M1357="1")),"adequate","partial"),IF(AND(H1357="W4",F1357="predictive",OR(J1357="P2",J1357="P3",J1357="P4")),IF(OR(U1357=1,U1357="1"),"adequate","partial"),INDEX(Fit_Matrix!$B:$B,MATCH(P1357,Fit_Matrix!$A:$A,0)))),"CHECK KEY"))</f>
        <v/>
      </c>
      <c r="U1357" s="10"/>
      <c r="V1357" s="10"/>
      <c r="W1357" s="10"/>
      <c r="X1357" s="10"/>
      <c r="Y1357" s="10"/>
      <c r="Z1357" s="10"/>
      <c r="AA1357" s="11" t="str">
        <f t="shared" si="43"/>
        <v/>
      </c>
    </row>
    <row r="1358" spans="16:27" ht="15" customHeight="1">
      <c r="P1358" t="str">
        <f t="shared" si="42"/>
        <v/>
      </c>
      <c r="Q1358" t="str">
        <f>IF(P1358="","",IFERROR(IF(AND(H1358="W7",OR(F1358="causal",F1358="predictive")),IF(AND(OR(K1358=1,K1358="1"),OR(L1358=1,L1358="1"),OR(M1358=1,M1358="1")),"adequate","partial"),IF(AND(H1358="W4",F1358="predictive",OR(J1358="P2",J1358="P3",J1358="P4")),IF(OR(U1358=1,U1358="1"),"adequate","partial"),INDEX(Fit_Matrix!$B:$B,MATCH(P1358,Fit_Matrix!$A:$A,0)))),"CHECK KEY"))</f>
        <v/>
      </c>
      <c r="U1358" s="10"/>
      <c r="V1358" s="10"/>
      <c r="W1358" s="10"/>
      <c r="X1358" s="10"/>
      <c r="Y1358" s="10"/>
      <c r="Z1358" s="10"/>
      <c r="AA1358" s="11" t="str">
        <f t="shared" si="43"/>
        <v/>
      </c>
    </row>
    <row r="1359" spans="16:27" ht="15" customHeight="1">
      <c r="P1359" t="str">
        <f t="shared" si="42"/>
        <v/>
      </c>
      <c r="Q1359" t="str">
        <f>IF(P1359="","",IFERROR(IF(AND(H1359="W7",OR(F1359="causal",F1359="predictive")),IF(AND(OR(K1359=1,K1359="1"),OR(L1359=1,L1359="1"),OR(M1359=1,M1359="1")),"adequate","partial"),IF(AND(H1359="W4",F1359="predictive",OR(J1359="P2",J1359="P3",J1359="P4")),IF(OR(U1359=1,U1359="1"),"adequate","partial"),INDEX(Fit_Matrix!$B:$B,MATCH(P1359,Fit_Matrix!$A:$A,0)))),"CHECK KEY"))</f>
        <v/>
      </c>
      <c r="U1359" s="10"/>
      <c r="V1359" s="10"/>
      <c r="W1359" s="10"/>
      <c r="X1359" s="10"/>
      <c r="Y1359" s="10"/>
      <c r="Z1359" s="10"/>
      <c r="AA1359" s="11" t="str">
        <f t="shared" si="43"/>
        <v/>
      </c>
    </row>
    <row r="1360" spans="16:27" ht="15" customHeight="1">
      <c r="P1360" t="str">
        <f t="shared" si="42"/>
        <v/>
      </c>
      <c r="Q1360" t="str">
        <f>IF(P1360="","",IFERROR(IF(AND(H1360="W7",OR(F1360="causal",F1360="predictive")),IF(AND(OR(K1360=1,K1360="1"),OR(L1360=1,L1360="1"),OR(M1360=1,M1360="1")),"adequate","partial"),IF(AND(H1360="W4",F1360="predictive",OR(J1360="P2",J1360="P3",J1360="P4")),IF(OR(U1360=1,U1360="1"),"adequate","partial"),INDEX(Fit_Matrix!$B:$B,MATCH(P1360,Fit_Matrix!$A:$A,0)))),"CHECK KEY"))</f>
        <v/>
      </c>
      <c r="U1360" s="10"/>
      <c r="V1360" s="10"/>
      <c r="W1360" s="10"/>
      <c r="X1360" s="10"/>
      <c r="Y1360" s="10"/>
      <c r="Z1360" s="10"/>
      <c r="AA1360" s="11" t="str">
        <f t="shared" si="43"/>
        <v/>
      </c>
    </row>
    <row r="1361" spans="16:27" ht="15" customHeight="1">
      <c r="P1361" t="str">
        <f t="shared" si="42"/>
        <v/>
      </c>
      <c r="Q1361" t="str">
        <f>IF(P1361="","",IFERROR(IF(AND(H1361="W7",OR(F1361="causal",F1361="predictive")),IF(AND(OR(K1361=1,K1361="1"),OR(L1361=1,L1361="1"),OR(M1361=1,M1361="1")),"adequate","partial"),IF(AND(H1361="W4",F1361="predictive",OR(J1361="P2",J1361="P3",J1361="P4")),IF(OR(U1361=1,U1361="1"),"adequate","partial"),INDEX(Fit_Matrix!$B:$B,MATCH(P1361,Fit_Matrix!$A:$A,0)))),"CHECK KEY"))</f>
        <v/>
      </c>
      <c r="U1361" s="10"/>
      <c r="V1361" s="10"/>
      <c r="W1361" s="10"/>
      <c r="X1361" s="10"/>
      <c r="Y1361" s="10"/>
      <c r="Z1361" s="10"/>
      <c r="AA1361" s="11" t="str">
        <f t="shared" si="43"/>
        <v/>
      </c>
    </row>
    <row r="1362" spans="16:27" ht="15" customHeight="1">
      <c r="P1362" t="str">
        <f t="shared" si="42"/>
        <v/>
      </c>
      <c r="Q1362" t="str">
        <f>IF(P1362="","",IFERROR(IF(AND(H1362="W7",OR(F1362="causal",F1362="predictive")),IF(AND(OR(K1362=1,K1362="1"),OR(L1362=1,L1362="1"),OR(M1362=1,M1362="1")),"adequate","partial"),IF(AND(H1362="W4",F1362="predictive",OR(J1362="P2",J1362="P3",J1362="P4")),IF(OR(U1362=1,U1362="1"),"adequate","partial"),INDEX(Fit_Matrix!$B:$B,MATCH(P1362,Fit_Matrix!$A:$A,0)))),"CHECK KEY"))</f>
        <v/>
      </c>
      <c r="U1362" s="10"/>
      <c r="V1362" s="10"/>
      <c r="W1362" s="10"/>
      <c r="X1362" s="10"/>
      <c r="Y1362" s="10"/>
      <c r="Z1362" s="10"/>
      <c r="AA1362" s="11" t="str">
        <f t="shared" si="43"/>
        <v/>
      </c>
    </row>
    <row r="1363" spans="16:27" ht="15" customHeight="1">
      <c r="P1363" t="str">
        <f t="shared" si="42"/>
        <v/>
      </c>
      <c r="Q1363" t="str">
        <f>IF(P1363="","",IFERROR(IF(AND(H1363="W7",OR(F1363="causal",F1363="predictive")),IF(AND(OR(K1363=1,K1363="1"),OR(L1363=1,L1363="1"),OR(M1363=1,M1363="1")),"adequate","partial"),IF(AND(H1363="W4",F1363="predictive",OR(J1363="P2",J1363="P3",J1363="P4")),IF(OR(U1363=1,U1363="1"),"adequate","partial"),INDEX(Fit_Matrix!$B:$B,MATCH(P1363,Fit_Matrix!$A:$A,0)))),"CHECK KEY"))</f>
        <v/>
      </c>
      <c r="U1363" s="10"/>
      <c r="V1363" s="10"/>
      <c r="W1363" s="10"/>
      <c r="X1363" s="10"/>
      <c r="Y1363" s="10"/>
      <c r="Z1363" s="10"/>
      <c r="AA1363" s="11" t="str">
        <f t="shared" si="43"/>
        <v/>
      </c>
    </row>
    <row r="1364" spans="16:27" ht="15" customHeight="1">
      <c r="P1364" t="str">
        <f t="shared" si="42"/>
        <v/>
      </c>
      <c r="Q1364" t="str">
        <f>IF(P1364="","",IFERROR(IF(AND(H1364="W7",OR(F1364="causal",F1364="predictive")),IF(AND(OR(K1364=1,K1364="1"),OR(L1364=1,L1364="1"),OR(M1364=1,M1364="1")),"adequate","partial"),IF(AND(H1364="W4",F1364="predictive",OR(J1364="P2",J1364="P3",J1364="P4")),IF(OR(U1364=1,U1364="1"),"adequate","partial"),INDEX(Fit_Matrix!$B:$B,MATCH(P1364,Fit_Matrix!$A:$A,0)))),"CHECK KEY"))</f>
        <v/>
      </c>
      <c r="U1364" s="10"/>
      <c r="V1364" s="10"/>
      <c r="W1364" s="10"/>
      <c r="X1364" s="10"/>
      <c r="Y1364" s="10"/>
      <c r="Z1364" s="10"/>
      <c r="AA1364" s="11" t="str">
        <f t="shared" si="43"/>
        <v/>
      </c>
    </row>
    <row r="1365" spans="16:27" ht="15" customHeight="1">
      <c r="P1365" t="str">
        <f t="shared" si="42"/>
        <v/>
      </c>
      <c r="Q1365" t="str">
        <f>IF(P1365="","",IFERROR(IF(AND(H1365="W7",OR(F1365="causal",F1365="predictive")),IF(AND(OR(K1365=1,K1365="1"),OR(L1365=1,L1365="1"),OR(M1365=1,M1365="1")),"adequate","partial"),IF(AND(H1365="W4",F1365="predictive",OR(J1365="P2",J1365="P3",J1365="P4")),IF(OR(U1365=1,U1365="1"),"adequate","partial"),INDEX(Fit_Matrix!$B:$B,MATCH(P1365,Fit_Matrix!$A:$A,0)))),"CHECK KEY"))</f>
        <v/>
      </c>
      <c r="U1365" s="10"/>
      <c r="V1365" s="10"/>
      <c r="W1365" s="10"/>
      <c r="X1365" s="10"/>
      <c r="Y1365" s="10"/>
      <c r="Z1365" s="10"/>
      <c r="AA1365" s="11" t="str">
        <f t="shared" si="43"/>
        <v/>
      </c>
    </row>
    <row r="1366" spans="16:27" ht="15" customHeight="1">
      <c r="P1366" t="str">
        <f t="shared" si="42"/>
        <v/>
      </c>
      <c r="Q1366" t="str">
        <f>IF(P1366="","",IFERROR(IF(AND(H1366="W7",OR(F1366="causal",F1366="predictive")),IF(AND(OR(K1366=1,K1366="1"),OR(L1366=1,L1366="1"),OR(M1366=1,M1366="1")),"adequate","partial"),IF(AND(H1366="W4",F1366="predictive",OR(J1366="P2",J1366="P3",J1366="P4")),IF(OR(U1366=1,U1366="1"),"adequate","partial"),INDEX(Fit_Matrix!$B:$B,MATCH(P1366,Fit_Matrix!$A:$A,0)))),"CHECK KEY"))</f>
        <v/>
      </c>
      <c r="U1366" s="10"/>
      <c r="V1366" s="10"/>
      <c r="W1366" s="10"/>
      <c r="X1366" s="10"/>
      <c r="Y1366" s="10"/>
      <c r="Z1366" s="10"/>
      <c r="AA1366" s="11" t="str">
        <f t="shared" si="43"/>
        <v/>
      </c>
    </row>
    <row r="1367" spans="16:27" ht="15" customHeight="1">
      <c r="P1367" t="str">
        <f t="shared" si="42"/>
        <v/>
      </c>
      <c r="Q1367" t="str">
        <f>IF(P1367="","",IFERROR(IF(AND(H1367="W7",OR(F1367="causal",F1367="predictive")),IF(AND(OR(K1367=1,K1367="1"),OR(L1367=1,L1367="1"),OR(M1367=1,M1367="1")),"adequate","partial"),IF(AND(H1367="W4",F1367="predictive",OR(J1367="P2",J1367="P3",J1367="P4")),IF(OR(U1367=1,U1367="1"),"adequate","partial"),INDEX(Fit_Matrix!$B:$B,MATCH(P1367,Fit_Matrix!$A:$A,0)))),"CHECK KEY"))</f>
        <v/>
      </c>
      <c r="U1367" s="10"/>
      <c r="V1367" s="10"/>
      <c r="W1367" s="10"/>
      <c r="X1367" s="10"/>
      <c r="Y1367" s="10"/>
      <c r="Z1367" s="10"/>
      <c r="AA1367" s="11" t="str">
        <f t="shared" si="43"/>
        <v/>
      </c>
    </row>
    <row r="1368" spans="16:27" ht="15" customHeight="1">
      <c r="P1368" t="str">
        <f t="shared" si="42"/>
        <v/>
      </c>
      <c r="Q1368" t="str">
        <f>IF(P1368="","",IFERROR(IF(AND(H1368="W7",OR(F1368="causal",F1368="predictive")),IF(AND(OR(K1368=1,K1368="1"),OR(L1368=1,L1368="1"),OR(M1368=1,M1368="1")),"adequate","partial"),IF(AND(H1368="W4",F1368="predictive",OR(J1368="P2",J1368="P3",J1368="P4")),IF(OR(U1368=1,U1368="1"),"adequate","partial"),INDEX(Fit_Matrix!$B:$B,MATCH(P1368,Fit_Matrix!$A:$A,0)))),"CHECK KEY"))</f>
        <v/>
      </c>
      <c r="U1368" s="10"/>
      <c r="V1368" s="10"/>
      <c r="W1368" s="10"/>
      <c r="X1368" s="10"/>
      <c r="Y1368" s="10"/>
      <c r="Z1368" s="10"/>
      <c r="AA1368" s="11" t="str">
        <f t="shared" si="43"/>
        <v/>
      </c>
    </row>
    <row r="1369" spans="16:27" ht="15" customHeight="1">
      <c r="P1369" t="str">
        <f t="shared" si="42"/>
        <v/>
      </c>
      <c r="Q1369" t="str">
        <f>IF(P1369="","",IFERROR(IF(AND(H1369="W7",OR(F1369="causal",F1369="predictive")),IF(AND(OR(K1369=1,K1369="1"),OR(L1369=1,L1369="1"),OR(M1369=1,M1369="1")),"adequate","partial"),IF(AND(H1369="W4",F1369="predictive",OR(J1369="P2",J1369="P3",J1369="P4")),IF(OR(U1369=1,U1369="1"),"adequate","partial"),INDEX(Fit_Matrix!$B:$B,MATCH(P1369,Fit_Matrix!$A:$A,0)))),"CHECK KEY"))</f>
        <v/>
      </c>
      <c r="U1369" s="10"/>
      <c r="V1369" s="10"/>
      <c r="W1369" s="10"/>
      <c r="X1369" s="10"/>
      <c r="Y1369" s="10"/>
      <c r="Z1369" s="10"/>
      <c r="AA1369" s="11" t="str">
        <f t="shared" si="43"/>
        <v/>
      </c>
    </row>
    <row r="1370" spans="16:27" ht="15" customHeight="1">
      <c r="P1370" t="str">
        <f t="shared" si="42"/>
        <v/>
      </c>
      <c r="Q1370" t="str">
        <f>IF(P1370="","",IFERROR(IF(AND(H1370="W7",OR(F1370="causal",F1370="predictive")),IF(AND(OR(K1370=1,K1370="1"),OR(L1370=1,L1370="1"),OR(M1370=1,M1370="1")),"adequate","partial"),IF(AND(H1370="W4",F1370="predictive",OR(J1370="P2",J1370="P3",J1370="P4")),IF(OR(U1370=1,U1370="1"),"adequate","partial"),INDEX(Fit_Matrix!$B:$B,MATCH(P1370,Fit_Matrix!$A:$A,0)))),"CHECK KEY"))</f>
        <v/>
      </c>
      <c r="U1370" s="10"/>
      <c r="V1370" s="10"/>
      <c r="W1370" s="10"/>
      <c r="X1370" s="10"/>
      <c r="Y1370" s="10"/>
      <c r="Z1370" s="10"/>
      <c r="AA1370" s="11" t="str">
        <f t="shared" si="43"/>
        <v/>
      </c>
    </row>
    <row r="1371" spans="16:27" ht="15" customHeight="1">
      <c r="P1371" t="str">
        <f t="shared" si="42"/>
        <v/>
      </c>
      <c r="Q1371" t="str">
        <f>IF(P1371="","",IFERROR(IF(AND(H1371="W7",OR(F1371="causal",F1371="predictive")),IF(AND(OR(K1371=1,K1371="1"),OR(L1371=1,L1371="1"),OR(M1371=1,M1371="1")),"adequate","partial"),IF(AND(H1371="W4",F1371="predictive",OR(J1371="P2",J1371="P3",J1371="P4")),IF(OR(U1371=1,U1371="1"),"adequate","partial"),INDEX(Fit_Matrix!$B:$B,MATCH(P1371,Fit_Matrix!$A:$A,0)))),"CHECK KEY"))</f>
        <v/>
      </c>
      <c r="U1371" s="10"/>
      <c r="V1371" s="10"/>
      <c r="W1371" s="10"/>
      <c r="X1371" s="10"/>
      <c r="Y1371" s="10"/>
      <c r="Z1371" s="10"/>
      <c r="AA1371" s="11" t="str">
        <f t="shared" si="43"/>
        <v/>
      </c>
    </row>
    <row r="1372" spans="16:27" ht="15" customHeight="1">
      <c r="P1372" t="str">
        <f t="shared" si="42"/>
        <v/>
      </c>
      <c r="Q1372" t="str">
        <f>IF(P1372="","",IFERROR(IF(AND(H1372="W7",OR(F1372="causal",F1372="predictive")),IF(AND(OR(K1372=1,K1372="1"),OR(L1372=1,L1372="1"),OR(M1372=1,M1372="1")),"adequate","partial"),IF(AND(H1372="W4",F1372="predictive",OR(J1372="P2",J1372="P3",J1372="P4")),IF(OR(U1372=1,U1372="1"),"adequate","partial"),INDEX(Fit_Matrix!$B:$B,MATCH(P1372,Fit_Matrix!$A:$A,0)))),"CHECK KEY"))</f>
        <v/>
      </c>
      <c r="U1372" s="10"/>
      <c r="V1372" s="10"/>
      <c r="W1372" s="10"/>
      <c r="X1372" s="10"/>
      <c r="Y1372" s="10"/>
      <c r="Z1372" s="10"/>
      <c r="AA1372" s="11" t="str">
        <f t="shared" si="43"/>
        <v/>
      </c>
    </row>
    <row r="1373" spans="16:27" ht="15" customHeight="1">
      <c r="P1373" t="str">
        <f t="shared" si="42"/>
        <v/>
      </c>
      <c r="Q1373" t="str">
        <f>IF(P1373="","",IFERROR(IF(AND(H1373="W7",OR(F1373="causal",F1373="predictive")),IF(AND(OR(K1373=1,K1373="1"),OR(L1373=1,L1373="1"),OR(M1373=1,M1373="1")),"adequate","partial"),IF(AND(H1373="W4",F1373="predictive",OR(J1373="P2",J1373="P3",J1373="P4")),IF(OR(U1373=1,U1373="1"),"adequate","partial"),INDEX(Fit_Matrix!$B:$B,MATCH(P1373,Fit_Matrix!$A:$A,0)))),"CHECK KEY"))</f>
        <v/>
      </c>
      <c r="U1373" s="10"/>
      <c r="V1373" s="10"/>
      <c r="W1373" s="10"/>
      <c r="X1373" s="10"/>
      <c r="Y1373" s="10"/>
      <c r="Z1373" s="10"/>
      <c r="AA1373" s="11" t="str">
        <f t="shared" si="43"/>
        <v/>
      </c>
    </row>
    <row r="1374" spans="16:27" ht="15" customHeight="1">
      <c r="P1374" t="str">
        <f t="shared" si="42"/>
        <v/>
      </c>
      <c r="Q1374" t="str">
        <f>IF(P1374="","",IFERROR(IF(AND(H1374="W7",OR(F1374="causal",F1374="predictive")),IF(AND(OR(K1374=1,K1374="1"),OR(L1374=1,L1374="1"),OR(M1374=1,M1374="1")),"adequate","partial"),IF(AND(H1374="W4",F1374="predictive",OR(J1374="P2",J1374="P3",J1374="P4")),IF(OR(U1374=1,U1374="1"),"adequate","partial"),INDEX(Fit_Matrix!$B:$B,MATCH(P1374,Fit_Matrix!$A:$A,0)))),"CHECK KEY"))</f>
        <v/>
      </c>
      <c r="U1374" s="10"/>
      <c r="V1374" s="10"/>
      <c r="W1374" s="10"/>
      <c r="X1374" s="10"/>
      <c r="Y1374" s="10"/>
      <c r="Z1374" s="10"/>
      <c r="AA1374" s="11" t="str">
        <f t="shared" si="43"/>
        <v/>
      </c>
    </row>
    <row r="1375" spans="16:27" ht="15" customHeight="1">
      <c r="P1375" t="str">
        <f t="shared" si="42"/>
        <v/>
      </c>
      <c r="Q1375" t="str">
        <f>IF(P1375="","",IFERROR(IF(AND(H1375="W7",OR(F1375="causal",F1375="predictive")),IF(AND(OR(K1375=1,K1375="1"),OR(L1375=1,L1375="1"),OR(M1375=1,M1375="1")),"adequate","partial"),IF(AND(H1375="W4",F1375="predictive",OR(J1375="P2",J1375="P3",J1375="P4")),IF(OR(U1375=1,U1375="1"),"adequate","partial"),INDEX(Fit_Matrix!$B:$B,MATCH(P1375,Fit_Matrix!$A:$A,0)))),"CHECK KEY"))</f>
        <v/>
      </c>
      <c r="U1375" s="10"/>
      <c r="V1375" s="10"/>
      <c r="W1375" s="10"/>
      <c r="X1375" s="10"/>
      <c r="Y1375" s="10"/>
      <c r="Z1375" s="10"/>
      <c r="AA1375" s="11" t="str">
        <f t="shared" si="43"/>
        <v/>
      </c>
    </row>
    <row r="1376" spans="16:27" ht="15" customHeight="1">
      <c r="P1376" t="str">
        <f t="shared" si="42"/>
        <v/>
      </c>
      <c r="Q1376" t="str">
        <f>IF(P1376="","",IFERROR(IF(AND(H1376="W7",OR(F1376="causal",F1376="predictive")),IF(AND(OR(K1376=1,K1376="1"),OR(L1376=1,L1376="1"),OR(M1376=1,M1376="1")),"adequate","partial"),IF(AND(H1376="W4",F1376="predictive",OR(J1376="P2",J1376="P3",J1376="P4")),IF(OR(U1376=1,U1376="1"),"adequate","partial"),INDEX(Fit_Matrix!$B:$B,MATCH(P1376,Fit_Matrix!$A:$A,0)))),"CHECK KEY"))</f>
        <v/>
      </c>
      <c r="U1376" s="10"/>
      <c r="V1376" s="10"/>
      <c r="W1376" s="10"/>
      <c r="X1376" s="10"/>
      <c r="Y1376" s="10"/>
      <c r="Z1376" s="10"/>
      <c r="AA1376" s="11" t="str">
        <f t="shared" si="43"/>
        <v/>
      </c>
    </row>
    <row r="1377" spans="16:27" ht="15" customHeight="1">
      <c r="P1377" t="str">
        <f t="shared" si="42"/>
        <v/>
      </c>
      <c r="Q1377" t="str">
        <f>IF(P1377="","",IFERROR(IF(AND(H1377="W7",OR(F1377="causal",F1377="predictive")),IF(AND(OR(K1377=1,K1377="1"),OR(L1377=1,L1377="1"),OR(M1377=1,M1377="1")),"adequate","partial"),IF(AND(H1377="W4",F1377="predictive",OR(J1377="P2",J1377="P3",J1377="P4")),IF(OR(U1377=1,U1377="1"),"adequate","partial"),INDEX(Fit_Matrix!$B:$B,MATCH(P1377,Fit_Matrix!$A:$A,0)))),"CHECK KEY"))</f>
        <v/>
      </c>
      <c r="U1377" s="10"/>
      <c r="V1377" s="10"/>
      <c r="W1377" s="10"/>
      <c r="X1377" s="10"/>
      <c r="Y1377" s="10"/>
      <c r="Z1377" s="10"/>
      <c r="AA1377" s="11" t="str">
        <f t="shared" si="43"/>
        <v/>
      </c>
    </row>
    <row r="1378" spans="16:27" ht="15" customHeight="1">
      <c r="P1378" t="str">
        <f t="shared" si="42"/>
        <v/>
      </c>
      <c r="Q1378" t="str">
        <f>IF(P1378="","",IFERROR(IF(AND(H1378="W7",OR(F1378="causal",F1378="predictive")),IF(AND(OR(K1378=1,K1378="1"),OR(L1378=1,L1378="1"),OR(M1378=1,M1378="1")),"adequate","partial"),IF(AND(H1378="W4",F1378="predictive",OR(J1378="P2",J1378="P3",J1378="P4")),IF(OR(U1378=1,U1378="1"),"adequate","partial"),INDEX(Fit_Matrix!$B:$B,MATCH(P1378,Fit_Matrix!$A:$A,0)))),"CHECK KEY"))</f>
        <v/>
      </c>
      <c r="U1378" s="10"/>
      <c r="V1378" s="10"/>
      <c r="W1378" s="10"/>
      <c r="X1378" s="10"/>
      <c r="Y1378" s="10"/>
      <c r="Z1378" s="10"/>
      <c r="AA1378" s="11" t="str">
        <f t="shared" si="43"/>
        <v/>
      </c>
    </row>
    <row r="1379" spans="16:27" ht="15" customHeight="1">
      <c r="P1379" t="str">
        <f t="shared" si="42"/>
        <v/>
      </c>
      <c r="Q1379" t="str">
        <f>IF(P1379="","",IFERROR(IF(AND(H1379="W7",OR(F1379="causal",F1379="predictive")),IF(AND(OR(K1379=1,K1379="1"),OR(L1379=1,L1379="1"),OR(M1379=1,M1379="1")),"adequate","partial"),IF(AND(H1379="W4",F1379="predictive",OR(J1379="P2",J1379="P3",J1379="P4")),IF(OR(U1379=1,U1379="1"),"adequate","partial"),INDEX(Fit_Matrix!$B:$B,MATCH(P1379,Fit_Matrix!$A:$A,0)))),"CHECK KEY"))</f>
        <v/>
      </c>
      <c r="U1379" s="10"/>
      <c r="V1379" s="10"/>
      <c r="W1379" s="10"/>
      <c r="X1379" s="10"/>
      <c r="Y1379" s="10"/>
      <c r="Z1379" s="10"/>
      <c r="AA1379" s="11" t="str">
        <f t="shared" si="43"/>
        <v/>
      </c>
    </row>
    <row r="1380" spans="16:27" ht="15" customHeight="1">
      <c r="P1380" t="str">
        <f t="shared" si="42"/>
        <v/>
      </c>
      <c r="Q1380" t="str">
        <f>IF(P1380="","",IFERROR(IF(AND(H1380="W7",OR(F1380="causal",F1380="predictive")),IF(AND(OR(K1380=1,K1380="1"),OR(L1380=1,L1380="1"),OR(M1380=1,M1380="1")),"adequate","partial"),IF(AND(H1380="W4",F1380="predictive",OR(J1380="P2",J1380="P3",J1380="P4")),IF(OR(U1380=1,U1380="1"),"adequate","partial"),INDEX(Fit_Matrix!$B:$B,MATCH(P1380,Fit_Matrix!$A:$A,0)))),"CHECK KEY"))</f>
        <v/>
      </c>
      <c r="U1380" s="10"/>
      <c r="V1380" s="10"/>
      <c r="W1380" s="10"/>
      <c r="X1380" s="10"/>
      <c r="Y1380" s="10"/>
      <c r="Z1380" s="10"/>
      <c r="AA1380" s="11" t="str">
        <f t="shared" si="43"/>
        <v/>
      </c>
    </row>
    <row r="1381" spans="16:27" ht="15" customHeight="1">
      <c r="P1381" t="str">
        <f t="shared" si="42"/>
        <v/>
      </c>
      <c r="Q1381" t="str">
        <f>IF(P1381="","",IFERROR(IF(AND(H1381="W7",OR(F1381="causal",F1381="predictive")),IF(AND(OR(K1381=1,K1381="1"),OR(L1381=1,L1381="1"),OR(M1381=1,M1381="1")),"adequate","partial"),IF(AND(H1381="W4",F1381="predictive",OR(J1381="P2",J1381="P3",J1381="P4")),IF(OR(U1381=1,U1381="1"),"adequate","partial"),INDEX(Fit_Matrix!$B:$B,MATCH(P1381,Fit_Matrix!$A:$A,0)))),"CHECK KEY"))</f>
        <v/>
      </c>
      <c r="U1381" s="10"/>
      <c r="V1381" s="10"/>
      <c r="W1381" s="10"/>
      <c r="X1381" s="10"/>
      <c r="Y1381" s="10"/>
      <c r="Z1381" s="10"/>
      <c r="AA1381" s="11" t="str">
        <f t="shared" si="43"/>
        <v/>
      </c>
    </row>
    <row r="1382" spans="16:27" ht="15" customHeight="1">
      <c r="P1382" t="str">
        <f t="shared" si="42"/>
        <v/>
      </c>
      <c r="Q1382" t="str">
        <f>IF(P1382="","",IFERROR(IF(AND(H1382="W7",OR(F1382="causal",F1382="predictive")),IF(AND(OR(K1382=1,K1382="1"),OR(L1382=1,L1382="1"),OR(M1382=1,M1382="1")),"adequate","partial"),IF(AND(H1382="W4",F1382="predictive",OR(J1382="P2",J1382="P3",J1382="P4")),IF(OR(U1382=1,U1382="1"),"adequate","partial"),INDEX(Fit_Matrix!$B:$B,MATCH(P1382,Fit_Matrix!$A:$A,0)))),"CHECK KEY"))</f>
        <v/>
      </c>
      <c r="U1382" s="10"/>
      <c r="V1382" s="10"/>
      <c r="W1382" s="10"/>
      <c r="X1382" s="10"/>
      <c r="Y1382" s="10"/>
      <c r="Z1382" s="10"/>
      <c r="AA1382" s="11" t="str">
        <f t="shared" si="43"/>
        <v/>
      </c>
    </row>
    <row r="1383" spans="16:27" ht="15" customHeight="1">
      <c r="P1383" t="str">
        <f t="shared" si="42"/>
        <v/>
      </c>
      <c r="Q1383" t="str">
        <f>IF(P1383="","",IFERROR(IF(AND(H1383="W7",OR(F1383="causal",F1383="predictive")),IF(AND(OR(K1383=1,K1383="1"),OR(L1383=1,L1383="1"),OR(M1383=1,M1383="1")),"adequate","partial"),IF(AND(H1383="W4",F1383="predictive",OR(J1383="P2",J1383="P3",J1383="P4")),IF(OR(U1383=1,U1383="1"),"adequate","partial"),INDEX(Fit_Matrix!$B:$B,MATCH(P1383,Fit_Matrix!$A:$A,0)))),"CHECK KEY"))</f>
        <v/>
      </c>
      <c r="U1383" s="10"/>
      <c r="V1383" s="10"/>
      <c r="W1383" s="10"/>
      <c r="X1383" s="10"/>
      <c r="Y1383" s="10"/>
      <c r="Z1383" s="10"/>
      <c r="AA1383" s="11" t="str">
        <f t="shared" si="43"/>
        <v/>
      </c>
    </row>
    <row r="1384" spans="16:27" ht="15" customHeight="1">
      <c r="P1384" t="str">
        <f t="shared" si="42"/>
        <v/>
      </c>
      <c r="Q1384" t="str">
        <f>IF(P1384="","",IFERROR(IF(AND(H1384="W7",OR(F1384="causal",F1384="predictive")),IF(AND(OR(K1384=1,K1384="1"),OR(L1384=1,L1384="1"),OR(M1384=1,M1384="1")),"adequate","partial"),IF(AND(H1384="W4",F1384="predictive",OR(J1384="P2",J1384="P3",J1384="P4")),IF(OR(U1384=1,U1384="1"),"adequate","partial"),INDEX(Fit_Matrix!$B:$B,MATCH(P1384,Fit_Matrix!$A:$A,0)))),"CHECK KEY"))</f>
        <v/>
      </c>
      <c r="U1384" s="10"/>
      <c r="V1384" s="10"/>
      <c r="W1384" s="10"/>
      <c r="X1384" s="10"/>
      <c r="Y1384" s="10"/>
      <c r="Z1384" s="10"/>
      <c r="AA1384" s="11" t="str">
        <f t="shared" si="43"/>
        <v/>
      </c>
    </row>
    <row r="1385" spans="16:27" ht="15" customHeight="1">
      <c r="P1385" t="str">
        <f t="shared" si="42"/>
        <v/>
      </c>
      <c r="Q1385" t="str">
        <f>IF(P1385="","",IFERROR(IF(AND(H1385="W7",OR(F1385="causal",F1385="predictive")),IF(AND(OR(K1385=1,K1385="1"),OR(L1385=1,L1385="1"),OR(M1385=1,M1385="1")),"adequate","partial"),IF(AND(H1385="W4",F1385="predictive",OR(J1385="P2",J1385="P3",J1385="P4")),IF(OR(U1385=1,U1385="1"),"adequate","partial"),INDEX(Fit_Matrix!$B:$B,MATCH(P1385,Fit_Matrix!$A:$A,0)))),"CHECK KEY"))</f>
        <v/>
      </c>
      <c r="U1385" s="10"/>
      <c r="V1385" s="10"/>
      <c r="W1385" s="10"/>
      <c r="X1385" s="10"/>
      <c r="Y1385" s="10"/>
      <c r="Z1385" s="10"/>
      <c r="AA1385" s="11" t="str">
        <f t="shared" si="43"/>
        <v/>
      </c>
    </row>
    <row r="1386" spans="16:27" ht="15" customHeight="1">
      <c r="P1386" t="str">
        <f t="shared" si="42"/>
        <v/>
      </c>
      <c r="Q1386" t="str">
        <f>IF(P1386="","",IFERROR(IF(AND(H1386="W7",OR(F1386="causal",F1386="predictive")),IF(AND(OR(K1386=1,K1386="1"),OR(L1386=1,L1386="1"),OR(M1386=1,M1386="1")),"adequate","partial"),IF(AND(H1386="W4",F1386="predictive",OR(J1386="P2",J1386="P3",J1386="P4")),IF(OR(U1386=1,U1386="1"),"adequate","partial"),INDEX(Fit_Matrix!$B:$B,MATCH(P1386,Fit_Matrix!$A:$A,0)))),"CHECK KEY"))</f>
        <v/>
      </c>
      <c r="U1386" s="10"/>
      <c r="V1386" s="10"/>
      <c r="W1386" s="10"/>
      <c r="X1386" s="10"/>
      <c r="Y1386" s="10"/>
      <c r="Z1386" s="10"/>
      <c r="AA1386" s="11" t="str">
        <f t="shared" si="43"/>
        <v/>
      </c>
    </row>
    <row r="1387" spans="16:27" ht="15" customHeight="1">
      <c r="P1387" t="str">
        <f t="shared" si="42"/>
        <v/>
      </c>
      <c r="Q1387" t="str">
        <f>IF(P1387="","",IFERROR(IF(AND(H1387="W7",OR(F1387="causal",F1387="predictive")),IF(AND(OR(K1387=1,K1387="1"),OR(L1387=1,L1387="1"),OR(M1387=1,M1387="1")),"adequate","partial"),IF(AND(H1387="W4",F1387="predictive",OR(J1387="P2",J1387="P3",J1387="P4")),IF(OR(U1387=1,U1387="1"),"adequate","partial"),INDEX(Fit_Matrix!$B:$B,MATCH(P1387,Fit_Matrix!$A:$A,0)))),"CHECK KEY"))</f>
        <v/>
      </c>
      <c r="U1387" s="10"/>
      <c r="V1387" s="10"/>
      <c r="W1387" s="10"/>
      <c r="X1387" s="10"/>
      <c r="Y1387" s="10"/>
      <c r="Z1387" s="10"/>
      <c r="AA1387" s="11" t="str">
        <f t="shared" si="43"/>
        <v/>
      </c>
    </row>
    <row r="1388" spans="16:27" ht="15" customHeight="1">
      <c r="P1388" t="str">
        <f t="shared" si="42"/>
        <v/>
      </c>
      <c r="Q1388" t="str">
        <f>IF(P1388="","",IFERROR(IF(AND(H1388="W7",OR(F1388="causal",F1388="predictive")),IF(AND(OR(K1388=1,K1388="1"),OR(L1388=1,L1388="1"),OR(M1388=1,M1388="1")),"adequate","partial"),IF(AND(H1388="W4",F1388="predictive",OR(J1388="P2",J1388="P3",J1388="P4")),IF(OR(U1388=1,U1388="1"),"adequate","partial"),INDEX(Fit_Matrix!$B:$B,MATCH(P1388,Fit_Matrix!$A:$A,0)))),"CHECK KEY"))</f>
        <v/>
      </c>
      <c r="U1388" s="10"/>
      <c r="V1388" s="10"/>
      <c r="W1388" s="10"/>
      <c r="X1388" s="10"/>
      <c r="Y1388" s="10"/>
      <c r="Z1388" s="10"/>
      <c r="AA1388" s="11" t="str">
        <f t="shared" si="43"/>
        <v/>
      </c>
    </row>
    <row r="1389" spans="16:27" ht="15" customHeight="1">
      <c r="P1389" t="str">
        <f t="shared" si="42"/>
        <v/>
      </c>
      <c r="Q1389" t="str">
        <f>IF(P1389="","",IFERROR(IF(AND(H1389="W7",OR(F1389="causal",F1389="predictive")),IF(AND(OR(K1389=1,K1389="1"),OR(L1389=1,L1389="1"),OR(M1389=1,M1389="1")),"adequate","partial"),IF(AND(H1389="W4",F1389="predictive",OR(J1389="P2",J1389="P3",J1389="P4")),IF(OR(U1389=1,U1389="1"),"adequate","partial"),INDEX(Fit_Matrix!$B:$B,MATCH(P1389,Fit_Matrix!$A:$A,0)))),"CHECK KEY"))</f>
        <v/>
      </c>
      <c r="U1389" s="10"/>
      <c r="V1389" s="10"/>
      <c r="W1389" s="10"/>
      <c r="X1389" s="10"/>
      <c r="Y1389" s="10"/>
      <c r="Z1389" s="10"/>
      <c r="AA1389" s="11" t="str">
        <f t="shared" si="43"/>
        <v/>
      </c>
    </row>
    <row r="1390" spans="16:27" ht="15" customHeight="1">
      <c r="P1390" t="str">
        <f t="shared" si="42"/>
        <v/>
      </c>
      <c r="Q1390" t="str">
        <f>IF(P1390="","",IFERROR(IF(AND(H1390="W7",OR(F1390="causal",F1390="predictive")),IF(AND(OR(K1390=1,K1390="1"),OR(L1390=1,L1390="1"),OR(M1390=1,M1390="1")),"adequate","partial"),IF(AND(H1390="W4",F1390="predictive",OR(J1390="P2",J1390="P3",J1390="P4")),IF(OR(U1390=1,U1390="1"),"adequate","partial"),INDEX(Fit_Matrix!$B:$B,MATCH(P1390,Fit_Matrix!$A:$A,0)))),"CHECK KEY"))</f>
        <v/>
      </c>
      <c r="U1390" s="10"/>
      <c r="V1390" s="10"/>
      <c r="W1390" s="10"/>
      <c r="X1390" s="10"/>
      <c r="Y1390" s="10"/>
      <c r="Z1390" s="10"/>
      <c r="AA1390" s="11" t="str">
        <f t="shared" si="43"/>
        <v/>
      </c>
    </row>
    <row r="1391" spans="16:27" ht="15" customHeight="1">
      <c r="P1391" t="str">
        <f t="shared" si="42"/>
        <v/>
      </c>
      <c r="Q1391" t="str">
        <f>IF(P1391="","",IFERROR(IF(AND(H1391="W7",OR(F1391="causal",F1391="predictive")),IF(AND(OR(K1391=1,K1391="1"),OR(L1391=1,L1391="1"),OR(M1391=1,M1391="1")),"adequate","partial"),IF(AND(H1391="W4",F1391="predictive",OR(J1391="P2",J1391="P3",J1391="P4")),IF(OR(U1391=1,U1391="1"),"adequate","partial"),INDEX(Fit_Matrix!$B:$B,MATCH(P1391,Fit_Matrix!$A:$A,0)))),"CHECK KEY"))</f>
        <v/>
      </c>
      <c r="U1391" s="10"/>
      <c r="V1391" s="10"/>
      <c r="W1391" s="10"/>
      <c r="X1391" s="10"/>
      <c r="Y1391" s="10"/>
      <c r="Z1391" s="10"/>
      <c r="AA1391" s="11" t="str">
        <f t="shared" si="43"/>
        <v/>
      </c>
    </row>
    <row r="1392" spans="16:27" ht="15" customHeight="1">
      <c r="P1392" t="str">
        <f t="shared" si="42"/>
        <v/>
      </c>
      <c r="Q1392" t="str">
        <f>IF(P1392="","",IFERROR(IF(AND(H1392="W7",OR(F1392="causal",F1392="predictive")),IF(AND(OR(K1392=1,K1392="1"),OR(L1392=1,L1392="1"),OR(M1392=1,M1392="1")),"adequate","partial"),IF(AND(H1392="W4",F1392="predictive",OR(J1392="P2",J1392="P3",J1392="P4")),IF(OR(U1392=1,U1392="1"),"adequate","partial"),INDEX(Fit_Matrix!$B:$B,MATCH(P1392,Fit_Matrix!$A:$A,0)))),"CHECK KEY"))</f>
        <v/>
      </c>
      <c r="U1392" s="10"/>
      <c r="V1392" s="10"/>
      <c r="W1392" s="10"/>
      <c r="X1392" s="10"/>
      <c r="Y1392" s="10"/>
      <c r="Z1392" s="10"/>
      <c r="AA1392" s="11" t="str">
        <f t="shared" si="43"/>
        <v/>
      </c>
    </row>
    <row r="1393" spans="16:27" ht="15" customHeight="1">
      <c r="P1393" t="str">
        <f t="shared" si="42"/>
        <v/>
      </c>
      <c r="Q1393" t="str">
        <f>IF(P1393="","",IFERROR(IF(AND(H1393="W7",OR(F1393="causal",F1393="predictive")),IF(AND(OR(K1393=1,K1393="1"),OR(L1393=1,L1393="1"),OR(M1393=1,M1393="1")),"adequate","partial"),IF(AND(H1393="W4",F1393="predictive",OR(J1393="P2",J1393="P3",J1393="P4")),IF(OR(U1393=1,U1393="1"),"adequate","partial"),INDEX(Fit_Matrix!$B:$B,MATCH(P1393,Fit_Matrix!$A:$A,0)))),"CHECK KEY"))</f>
        <v/>
      </c>
      <c r="U1393" s="10"/>
      <c r="V1393" s="10"/>
      <c r="W1393" s="10"/>
      <c r="X1393" s="10"/>
      <c r="Y1393" s="10"/>
      <c r="Z1393" s="10"/>
      <c r="AA1393" s="11" t="str">
        <f t="shared" si="43"/>
        <v/>
      </c>
    </row>
    <row r="1394" spans="16:27" ht="15" customHeight="1">
      <c r="P1394" t="str">
        <f t="shared" si="42"/>
        <v/>
      </c>
      <c r="Q1394" t="str">
        <f>IF(P1394="","",IFERROR(IF(AND(H1394="W7",OR(F1394="causal",F1394="predictive")),IF(AND(OR(K1394=1,K1394="1"),OR(L1394=1,L1394="1"),OR(M1394=1,M1394="1")),"adequate","partial"),IF(AND(H1394="W4",F1394="predictive",OR(J1394="P2",J1394="P3",J1394="P4")),IF(OR(U1394=1,U1394="1"),"adequate","partial"),INDEX(Fit_Matrix!$B:$B,MATCH(P1394,Fit_Matrix!$A:$A,0)))),"CHECK KEY"))</f>
        <v/>
      </c>
      <c r="U1394" s="10"/>
      <c r="V1394" s="10"/>
      <c r="W1394" s="10"/>
      <c r="X1394" s="10"/>
      <c r="Y1394" s="10"/>
      <c r="Z1394" s="10"/>
      <c r="AA1394" s="11" t="str">
        <f t="shared" si="43"/>
        <v/>
      </c>
    </row>
    <row r="1395" spans="16:27" ht="15" customHeight="1">
      <c r="P1395" t="str">
        <f t="shared" si="42"/>
        <v/>
      </c>
      <c r="Q1395" t="str">
        <f>IF(P1395="","",IFERROR(IF(AND(H1395="W7",OR(F1395="causal",F1395="predictive")),IF(AND(OR(K1395=1,K1395="1"),OR(L1395=1,L1395="1"),OR(M1395=1,M1395="1")),"adequate","partial"),IF(AND(H1395="W4",F1395="predictive",OR(J1395="P2",J1395="P3",J1395="P4")),IF(OR(U1395=1,U1395="1"),"adequate","partial"),INDEX(Fit_Matrix!$B:$B,MATCH(P1395,Fit_Matrix!$A:$A,0)))),"CHECK KEY"))</f>
        <v/>
      </c>
      <c r="U1395" s="10"/>
      <c r="V1395" s="10"/>
      <c r="W1395" s="10"/>
      <c r="X1395" s="10"/>
      <c r="Y1395" s="10"/>
      <c r="Z1395" s="10"/>
      <c r="AA1395" s="11" t="str">
        <f t="shared" si="43"/>
        <v/>
      </c>
    </row>
    <row r="1396" spans="16:27" ht="15" customHeight="1">
      <c r="P1396" t="str">
        <f t="shared" si="42"/>
        <v/>
      </c>
      <c r="Q1396" t="str">
        <f>IF(P1396="","",IFERROR(IF(AND(H1396="W7",OR(F1396="causal",F1396="predictive")),IF(AND(OR(K1396=1,K1396="1"),OR(L1396=1,L1396="1"),OR(M1396=1,M1396="1")),"adequate","partial"),IF(AND(H1396="W4",F1396="predictive",OR(J1396="P2",J1396="P3",J1396="P4")),IF(OR(U1396=1,U1396="1"),"adequate","partial"),INDEX(Fit_Matrix!$B:$B,MATCH(P1396,Fit_Matrix!$A:$A,0)))),"CHECK KEY"))</f>
        <v/>
      </c>
      <c r="U1396" s="10"/>
      <c r="V1396" s="10"/>
      <c r="W1396" s="10"/>
      <c r="X1396" s="10"/>
      <c r="Y1396" s="10"/>
      <c r="Z1396" s="10"/>
      <c r="AA1396" s="11" t="str">
        <f t="shared" si="43"/>
        <v/>
      </c>
    </row>
    <row r="1397" spans="16:27" ht="15" customHeight="1">
      <c r="P1397" t="str">
        <f t="shared" si="42"/>
        <v/>
      </c>
      <c r="Q1397" t="str">
        <f>IF(P1397="","",IFERROR(IF(AND(H1397="W7",OR(F1397="causal",F1397="predictive")),IF(AND(OR(K1397=1,K1397="1"),OR(L1397=1,L1397="1"),OR(M1397=1,M1397="1")),"adequate","partial"),IF(AND(H1397="W4",F1397="predictive",OR(J1397="P2",J1397="P3",J1397="P4")),IF(OR(U1397=1,U1397="1"),"adequate","partial"),INDEX(Fit_Matrix!$B:$B,MATCH(P1397,Fit_Matrix!$A:$A,0)))),"CHECK KEY"))</f>
        <v/>
      </c>
      <c r="U1397" s="10"/>
      <c r="V1397" s="10"/>
      <c r="W1397" s="10"/>
      <c r="X1397" s="10"/>
      <c r="Y1397" s="10"/>
      <c r="Z1397" s="10"/>
      <c r="AA1397" s="11" t="str">
        <f t="shared" si="43"/>
        <v/>
      </c>
    </row>
    <row r="1398" spans="16:27" ht="15" customHeight="1">
      <c r="P1398" t="str">
        <f t="shared" si="42"/>
        <v/>
      </c>
      <c r="Q1398" t="str">
        <f>IF(P1398="","",IFERROR(IF(AND(H1398="W7",OR(F1398="causal",F1398="predictive")),IF(AND(OR(K1398=1,K1398="1"),OR(L1398=1,L1398="1"),OR(M1398=1,M1398="1")),"adequate","partial"),IF(AND(H1398="W4",F1398="predictive",OR(J1398="P2",J1398="P3",J1398="P4")),IF(OR(U1398=1,U1398="1"),"adequate","partial"),INDEX(Fit_Matrix!$B:$B,MATCH(P1398,Fit_Matrix!$A:$A,0)))),"CHECK KEY"))</f>
        <v/>
      </c>
      <c r="U1398" s="10"/>
      <c r="V1398" s="10"/>
      <c r="W1398" s="10"/>
      <c r="X1398" s="10"/>
      <c r="Y1398" s="10"/>
      <c r="Z1398" s="10"/>
      <c r="AA1398" s="11" t="str">
        <f t="shared" si="43"/>
        <v/>
      </c>
    </row>
    <row r="1399" spans="16:27" ht="15" customHeight="1">
      <c r="P1399" t="str">
        <f t="shared" si="42"/>
        <v/>
      </c>
      <c r="Q1399" t="str">
        <f>IF(P1399="","",IFERROR(IF(AND(H1399="W7",OR(F1399="causal",F1399="predictive")),IF(AND(OR(K1399=1,K1399="1"),OR(L1399=1,L1399="1"),OR(M1399=1,M1399="1")),"adequate","partial"),IF(AND(H1399="W4",F1399="predictive",OR(J1399="P2",J1399="P3",J1399="P4")),IF(OR(U1399=1,U1399="1"),"adequate","partial"),INDEX(Fit_Matrix!$B:$B,MATCH(P1399,Fit_Matrix!$A:$A,0)))),"CHECK KEY"))</f>
        <v/>
      </c>
      <c r="U1399" s="10"/>
      <c r="V1399" s="10"/>
      <c r="W1399" s="10"/>
      <c r="X1399" s="10"/>
      <c r="Y1399" s="10"/>
      <c r="Z1399" s="10"/>
      <c r="AA1399" s="11" t="str">
        <f t="shared" si="43"/>
        <v/>
      </c>
    </row>
    <row r="1400" spans="16:27" ht="15" customHeight="1">
      <c r="P1400" t="str">
        <f t="shared" si="42"/>
        <v/>
      </c>
      <c r="Q1400" t="str">
        <f>IF(P1400="","",IFERROR(IF(AND(H1400="W7",OR(F1400="causal",F1400="predictive")),IF(AND(OR(K1400=1,K1400="1"),OR(L1400=1,L1400="1"),OR(M1400=1,M1400="1")),"adequate","partial"),IF(AND(H1400="W4",F1400="predictive",OR(J1400="P2",J1400="P3",J1400="P4")),IF(OR(U1400=1,U1400="1"),"adequate","partial"),INDEX(Fit_Matrix!$B:$B,MATCH(P1400,Fit_Matrix!$A:$A,0)))),"CHECK KEY"))</f>
        <v/>
      </c>
      <c r="U1400" s="10"/>
      <c r="V1400" s="10"/>
      <c r="W1400" s="10"/>
      <c r="X1400" s="10"/>
      <c r="Y1400" s="10"/>
      <c r="Z1400" s="10"/>
      <c r="AA1400" s="11" t="str">
        <f t="shared" si="43"/>
        <v/>
      </c>
    </row>
    <row r="1401" spans="16:27" ht="15" customHeight="1">
      <c r="P1401" t="str">
        <f t="shared" si="42"/>
        <v/>
      </c>
      <c r="Q1401" t="str">
        <f>IF(P1401="","",IFERROR(IF(AND(H1401="W7",OR(F1401="causal",F1401="predictive")),IF(AND(OR(K1401=1,K1401="1"),OR(L1401=1,L1401="1"),OR(M1401=1,M1401="1")),"adequate","partial"),IF(AND(H1401="W4",F1401="predictive",OR(J1401="P2",J1401="P3",J1401="P4")),IF(OR(U1401=1,U1401="1"),"adequate","partial"),INDEX(Fit_Matrix!$B:$B,MATCH(P1401,Fit_Matrix!$A:$A,0)))),"CHECK KEY"))</f>
        <v/>
      </c>
      <c r="U1401" s="10"/>
      <c r="V1401" s="10"/>
      <c r="W1401" s="10"/>
      <c r="X1401" s="10"/>
      <c r="Y1401" s="10"/>
      <c r="Z1401" s="10"/>
      <c r="AA1401" s="11" t="str">
        <f t="shared" si="43"/>
        <v/>
      </c>
    </row>
    <row r="1402" spans="16:27" ht="15" customHeight="1">
      <c r="P1402" t="str">
        <f t="shared" si="42"/>
        <v/>
      </c>
      <c r="Q1402" t="str">
        <f>IF(P1402="","",IFERROR(IF(AND(H1402="W7",OR(F1402="causal",F1402="predictive")),IF(AND(OR(K1402=1,K1402="1"),OR(L1402=1,L1402="1"),OR(M1402=1,M1402="1")),"adequate","partial"),IF(AND(H1402="W4",F1402="predictive",OR(J1402="P2",J1402="P3",J1402="P4")),IF(OR(U1402=1,U1402="1"),"adequate","partial"),INDEX(Fit_Matrix!$B:$B,MATCH(P1402,Fit_Matrix!$A:$A,0)))),"CHECK KEY"))</f>
        <v/>
      </c>
      <c r="U1402" s="10"/>
      <c r="V1402" s="10"/>
      <c r="W1402" s="10"/>
      <c r="X1402" s="10"/>
      <c r="Y1402" s="10"/>
      <c r="Z1402" s="10"/>
      <c r="AA1402" s="11" t="str">
        <f t="shared" si="43"/>
        <v/>
      </c>
    </row>
    <row r="1403" spans="16:27" ht="15" customHeight="1">
      <c r="P1403" t="str">
        <f t="shared" si="42"/>
        <v/>
      </c>
      <c r="Q1403" t="str">
        <f>IF(P1403="","",IFERROR(IF(AND(H1403="W7",OR(F1403="causal",F1403="predictive")),IF(AND(OR(K1403=1,K1403="1"),OR(L1403=1,L1403="1"),OR(M1403=1,M1403="1")),"adequate","partial"),IF(AND(H1403="W4",F1403="predictive",OR(J1403="P2",J1403="P3",J1403="P4")),IF(OR(U1403=1,U1403="1"),"adequate","partial"),INDEX(Fit_Matrix!$B:$B,MATCH(P1403,Fit_Matrix!$A:$A,0)))),"CHECK KEY"))</f>
        <v/>
      </c>
      <c r="U1403" s="10"/>
      <c r="V1403" s="10"/>
      <c r="W1403" s="10"/>
      <c r="X1403" s="10"/>
      <c r="Y1403" s="10"/>
      <c r="Z1403" s="10"/>
      <c r="AA1403" s="11" t="str">
        <f t="shared" si="43"/>
        <v/>
      </c>
    </row>
    <row r="1404" spans="16:27" ht="15" customHeight="1">
      <c r="P1404" t="str">
        <f t="shared" si="42"/>
        <v/>
      </c>
      <c r="Q1404" t="str">
        <f>IF(P1404="","",IFERROR(IF(AND(H1404="W7",OR(F1404="causal",F1404="predictive")),IF(AND(OR(K1404=1,K1404="1"),OR(L1404=1,L1404="1"),OR(M1404=1,M1404="1")),"adequate","partial"),IF(AND(H1404="W4",F1404="predictive",OR(J1404="P2",J1404="P3",J1404="P4")),IF(OR(U1404=1,U1404="1"),"adequate","partial"),INDEX(Fit_Matrix!$B:$B,MATCH(P1404,Fit_Matrix!$A:$A,0)))),"CHECK KEY"))</f>
        <v/>
      </c>
      <c r="U1404" s="10"/>
      <c r="V1404" s="10"/>
      <c r="W1404" s="10"/>
      <c r="X1404" s="10"/>
      <c r="Y1404" s="10"/>
      <c r="Z1404" s="10"/>
      <c r="AA1404" s="11" t="str">
        <f t="shared" si="43"/>
        <v/>
      </c>
    </row>
    <row r="1405" spans="16:27" ht="15" customHeight="1">
      <c r="P1405" t="str">
        <f t="shared" si="42"/>
        <v/>
      </c>
      <c r="Q1405" t="str">
        <f>IF(P1405="","",IFERROR(IF(AND(H1405="W7",OR(F1405="causal",F1405="predictive")),IF(AND(OR(K1405=1,K1405="1"),OR(L1405=1,L1405="1"),OR(M1405=1,M1405="1")),"adequate","partial"),IF(AND(H1405="W4",F1405="predictive",OR(J1405="P2",J1405="P3",J1405="P4")),IF(OR(U1405=1,U1405="1"),"adequate","partial"),INDEX(Fit_Matrix!$B:$B,MATCH(P1405,Fit_Matrix!$A:$A,0)))),"CHECK KEY"))</f>
        <v/>
      </c>
      <c r="U1405" s="10"/>
      <c r="V1405" s="10"/>
      <c r="W1405" s="10"/>
      <c r="X1405" s="10"/>
      <c r="Y1405" s="10"/>
      <c r="Z1405" s="10"/>
      <c r="AA1405" s="11" t="str">
        <f t="shared" si="43"/>
        <v/>
      </c>
    </row>
    <row r="1406" spans="16:27" ht="15" customHeight="1">
      <c r="P1406" t="str">
        <f t="shared" si="42"/>
        <v/>
      </c>
      <c r="Q1406" t="str">
        <f>IF(P1406="","",IFERROR(IF(AND(H1406="W7",OR(F1406="causal",F1406="predictive")),IF(AND(OR(K1406=1,K1406="1"),OR(L1406=1,L1406="1"),OR(M1406=1,M1406="1")),"adequate","partial"),IF(AND(H1406="W4",F1406="predictive",OR(J1406="P2",J1406="P3",J1406="P4")),IF(OR(U1406=1,U1406="1"),"adequate","partial"),INDEX(Fit_Matrix!$B:$B,MATCH(P1406,Fit_Matrix!$A:$A,0)))),"CHECK KEY"))</f>
        <v/>
      </c>
      <c r="U1406" s="10"/>
      <c r="V1406" s="10"/>
      <c r="W1406" s="10"/>
      <c r="X1406" s="10"/>
      <c r="Y1406" s="10"/>
      <c r="Z1406" s="10"/>
      <c r="AA1406" s="11" t="str">
        <f t="shared" si="43"/>
        <v/>
      </c>
    </row>
    <row r="1407" spans="16:27" ht="15" customHeight="1">
      <c r="P1407" t="str">
        <f t="shared" si="42"/>
        <v/>
      </c>
      <c r="Q1407" t="str">
        <f>IF(P1407="","",IFERROR(IF(AND(H1407="W7",OR(F1407="causal",F1407="predictive")),IF(AND(OR(K1407=1,K1407="1"),OR(L1407=1,L1407="1"),OR(M1407=1,M1407="1")),"adequate","partial"),IF(AND(H1407="W4",F1407="predictive",OR(J1407="P2",J1407="P3",J1407="P4")),IF(OR(U1407=1,U1407="1"),"adequate","partial"),INDEX(Fit_Matrix!$B:$B,MATCH(P1407,Fit_Matrix!$A:$A,0)))),"CHECK KEY"))</f>
        <v/>
      </c>
      <c r="U1407" s="10"/>
      <c r="V1407" s="10"/>
      <c r="W1407" s="10"/>
      <c r="X1407" s="10"/>
      <c r="Y1407" s="10"/>
      <c r="Z1407" s="10"/>
      <c r="AA1407" s="11" t="str">
        <f t="shared" si="43"/>
        <v/>
      </c>
    </row>
    <row r="1408" spans="16:27" ht="15" customHeight="1">
      <c r="P1408" t="str">
        <f t="shared" si="42"/>
        <v/>
      </c>
      <c r="Q1408" t="str">
        <f>IF(P1408="","",IFERROR(IF(AND(H1408="W7",OR(F1408="causal",F1408="predictive")),IF(AND(OR(K1408=1,K1408="1"),OR(L1408=1,L1408="1"),OR(M1408=1,M1408="1")),"adequate","partial"),IF(AND(H1408="W4",F1408="predictive",OR(J1408="P2",J1408="P3",J1408="P4")),IF(OR(U1408=1,U1408="1"),"adequate","partial"),INDEX(Fit_Matrix!$B:$B,MATCH(P1408,Fit_Matrix!$A:$A,0)))),"CHECK KEY"))</f>
        <v/>
      </c>
      <c r="U1408" s="10"/>
      <c r="V1408" s="10"/>
      <c r="W1408" s="10"/>
      <c r="X1408" s="10"/>
      <c r="Y1408" s="10"/>
      <c r="Z1408" s="10"/>
      <c r="AA1408" s="11" t="str">
        <f t="shared" si="43"/>
        <v/>
      </c>
    </row>
    <row r="1409" spans="16:27" ht="15" customHeight="1">
      <c r="P1409" t="str">
        <f t="shared" si="42"/>
        <v/>
      </c>
      <c r="Q1409" t="str">
        <f>IF(P1409="","",IFERROR(IF(AND(H1409="W7",OR(F1409="causal",F1409="predictive")),IF(AND(OR(K1409=1,K1409="1"),OR(L1409=1,L1409="1"),OR(M1409=1,M1409="1")),"adequate","partial"),IF(AND(H1409="W4",F1409="predictive",OR(J1409="P2",J1409="P3",J1409="P4")),IF(OR(U1409=1,U1409="1"),"adequate","partial"),INDEX(Fit_Matrix!$B:$B,MATCH(P1409,Fit_Matrix!$A:$A,0)))),"CHECK KEY"))</f>
        <v/>
      </c>
      <c r="U1409" s="10"/>
      <c r="V1409" s="10"/>
      <c r="W1409" s="10"/>
      <c r="X1409" s="10"/>
      <c r="Y1409" s="10"/>
      <c r="Z1409" s="10"/>
      <c r="AA1409" s="11" t="str">
        <f t="shared" si="43"/>
        <v/>
      </c>
    </row>
    <row r="1410" spans="16:27" ht="15" customHeight="1">
      <c r="P1410" t="str">
        <f t="shared" ref="P1410:P1473" si="44">IF(OR(F1410="",H1410="",J1410=""),"",J1410&amp;"|"&amp;F1410&amp;"|"&amp;IF(H1410="W3","W3_"&amp;IF(I1410="","unknown",I1410),H1410))</f>
        <v/>
      </c>
      <c r="Q1410" t="str">
        <f>IF(P1410="","",IFERROR(IF(AND(H1410="W7",OR(F1410="causal",F1410="predictive")),IF(AND(OR(K1410=1,K1410="1"),OR(L1410=1,L1410="1"),OR(M1410=1,M1410="1")),"adequate","partial"),IF(AND(H1410="W4",F1410="predictive",OR(J1410="P2",J1410="P3",J1410="P4")),IF(OR(U1410=1,U1410="1"),"adequate","partial"),INDEX(Fit_Matrix!$B:$B,MATCH(P1410,Fit_Matrix!$A:$A,0)))),"CHECK KEY"))</f>
        <v/>
      </c>
      <c r="U1410" s="10"/>
      <c r="V1410" s="10"/>
      <c r="W1410" s="10"/>
      <c r="X1410" s="10"/>
      <c r="Y1410" s="10"/>
      <c r="Z1410" s="10"/>
      <c r="AA1410" s="11" t="str">
        <f t="shared" ref="AA1410:AA1473" si="45">IF(A1410="","",IF(AND(J1410="P4",F1410="causal"),"P4-CAUSAL",""))</f>
        <v/>
      </c>
    </row>
    <row r="1411" spans="16:27" ht="15" customHeight="1">
      <c r="P1411" t="str">
        <f t="shared" si="44"/>
        <v/>
      </c>
      <c r="Q1411" t="str">
        <f>IF(P1411="","",IFERROR(IF(AND(H1411="W7",OR(F1411="causal",F1411="predictive")),IF(AND(OR(K1411=1,K1411="1"),OR(L1411=1,L1411="1"),OR(M1411=1,M1411="1")),"adequate","partial"),IF(AND(H1411="W4",F1411="predictive",OR(J1411="P2",J1411="P3",J1411="P4")),IF(OR(U1411=1,U1411="1"),"adequate","partial"),INDEX(Fit_Matrix!$B:$B,MATCH(P1411,Fit_Matrix!$A:$A,0)))),"CHECK KEY"))</f>
        <v/>
      </c>
      <c r="U1411" s="10"/>
      <c r="V1411" s="10"/>
      <c r="W1411" s="10"/>
      <c r="X1411" s="10"/>
      <c r="Y1411" s="10"/>
      <c r="Z1411" s="10"/>
      <c r="AA1411" s="11" t="str">
        <f t="shared" si="45"/>
        <v/>
      </c>
    </row>
    <row r="1412" spans="16:27" ht="15" customHeight="1">
      <c r="P1412" t="str">
        <f t="shared" si="44"/>
        <v/>
      </c>
      <c r="Q1412" t="str">
        <f>IF(P1412="","",IFERROR(IF(AND(H1412="W7",OR(F1412="causal",F1412="predictive")),IF(AND(OR(K1412=1,K1412="1"),OR(L1412=1,L1412="1"),OR(M1412=1,M1412="1")),"adequate","partial"),IF(AND(H1412="W4",F1412="predictive",OR(J1412="P2",J1412="P3",J1412="P4")),IF(OR(U1412=1,U1412="1"),"adequate","partial"),INDEX(Fit_Matrix!$B:$B,MATCH(P1412,Fit_Matrix!$A:$A,0)))),"CHECK KEY"))</f>
        <v/>
      </c>
      <c r="U1412" s="10"/>
      <c r="V1412" s="10"/>
      <c r="W1412" s="10"/>
      <c r="X1412" s="10"/>
      <c r="Y1412" s="10"/>
      <c r="Z1412" s="10"/>
      <c r="AA1412" s="11" t="str">
        <f t="shared" si="45"/>
        <v/>
      </c>
    </row>
    <row r="1413" spans="16:27" ht="15" customHeight="1">
      <c r="P1413" t="str">
        <f t="shared" si="44"/>
        <v/>
      </c>
      <c r="Q1413" t="str">
        <f>IF(P1413="","",IFERROR(IF(AND(H1413="W7",OR(F1413="causal",F1413="predictive")),IF(AND(OR(K1413=1,K1413="1"),OR(L1413=1,L1413="1"),OR(M1413=1,M1413="1")),"adequate","partial"),IF(AND(H1413="W4",F1413="predictive",OR(J1413="P2",J1413="P3",J1413="P4")),IF(OR(U1413=1,U1413="1"),"adequate","partial"),INDEX(Fit_Matrix!$B:$B,MATCH(P1413,Fit_Matrix!$A:$A,0)))),"CHECK KEY"))</f>
        <v/>
      </c>
      <c r="U1413" s="10"/>
      <c r="V1413" s="10"/>
      <c r="W1413" s="10"/>
      <c r="X1413" s="10"/>
      <c r="Y1413" s="10"/>
      <c r="Z1413" s="10"/>
      <c r="AA1413" s="11" t="str">
        <f t="shared" si="45"/>
        <v/>
      </c>
    </row>
    <row r="1414" spans="16:27" ht="15" customHeight="1">
      <c r="P1414" t="str">
        <f t="shared" si="44"/>
        <v/>
      </c>
      <c r="Q1414" t="str">
        <f>IF(P1414="","",IFERROR(IF(AND(H1414="W7",OR(F1414="causal",F1414="predictive")),IF(AND(OR(K1414=1,K1414="1"),OR(L1414=1,L1414="1"),OR(M1414=1,M1414="1")),"adequate","partial"),IF(AND(H1414="W4",F1414="predictive",OR(J1414="P2",J1414="P3",J1414="P4")),IF(OR(U1414=1,U1414="1"),"adequate","partial"),INDEX(Fit_Matrix!$B:$B,MATCH(P1414,Fit_Matrix!$A:$A,0)))),"CHECK KEY"))</f>
        <v/>
      </c>
      <c r="U1414" s="10"/>
      <c r="V1414" s="10"/>
      <c r="W1414" s="10"/>
      <c r="X1414" s="10"/>
      <c r="Y1414" s="10"/>
      <c r="Z1414" s="10"/>
      <c r="AA1414" s="11" t="str">
        <f t="shared" si="45"/>
        <v/>
      </c>
    </row>
    <row r="1415" spans="16:27" ht="15" customHeight="1">
      <c r="P1415" t="str">
        <f t="shared" si="44"/>
        <v/>
      </c>
      <c r="Q1415" t="str">
        <f>IF(P1415="","",IFERROR(IF(AND(H1415="W7",OR(F1415="causal",F1415="predictive")),IF(AND(OR(K1415=1,K1415="1"),OR(L1415=1,L1415="1"),OR(M1415=1,M1415="1")),"adequate","partial"),IF(AND(H1415="W4",F1415="predictive",OR(J1415="P2",J1415="P3",J1415="P4")),IF(OR(U1415=1,U1415="1"),"adequate","partial"),INDEX(Fit_Matrix!$B:$B,MATCH(P1415,Fit_Matrix!$A:$A,0)))),"CHECK KEY"))</f>
        <v/>
      </c>
      <c r="U1415" s="10"/>
      <c r="V1415" s="10"/>
      <c r="W1415" s="10"/>
      <c r="X1415" s="10"/>
      <c r="Y1415" s="10"/>
      <c r="Z1415" s="10"/>
      <c r="AA1415" s="11" t="str">
        <f t="shared" si="45"/>
        <v/>
      </c>
    </row>
    <row r="1416" spans="16:27" ht="15" customHeight="1">
      <c r="P1416" t="str">
        <f t="shared" si="44"/>
        <v/>
      </c>
      <c r="Q1416" t="str">
        <f>IF(P1416="","",IFERROR(IF(AND(H1416="W7",OR(F1416="causal",F1416="predictive")),IF(AND(OR(K1416=1,K1416="1"),OR(L1416=1,L1416="1"),OR(M1416=1,M1416="1")),"adequate","partial"),IF(AND(H1416="W4",F1416="predictive",OR(J1416="P2",J1416="P3",J1416="P4")),IF(OR(U1416=1,U1416="1"),"adequate","partial"),INDEX(Fit_Matrix!$B:$B,MATCH(P1416,Fit_Matrix!$A:$A,0)))),"CHECK KEY"))</f>
        <v/>
      </c>
      <c r="U1416" s="10"/>
      <c r="V1416" s="10"/>
      <c r="W1416" s="10"/>
      <c r="X1416" s="10"/>
      <c r="Y1416" s="10"/>
      <c r="Z1416" s="10"/>
      <c r="AA1416" s="11" t="str">
        <f t="shared" si="45"/>
        <v/>
      </c>
    </row>
    <row r="1417" spans="16:27" ht="15" customHeight="1">
      <c r="P1417" t="str">
        <f t="shared" si="44"/>
        <v/>
      </c>
      <c r="Q1417" t="str">
        <f>IF(P1417="","",IFERROR(IF(AND(H1417="W7",OR(F1417="causal",F1417="predictive")),IF(AND(OR(K1417=1,K1417="1"),OR(L1417=1,L1417="1"),OR(M1417=1,M1417="1")),"adequate","partial"),IF(AND(H1417="W4",F1417="predictive",OR(J1417="P2",J1417="P3",J1417="P4")),IF(OR(U1417=1,U1417="1"),"adequate","partial"),INDEX(Fit_Matrix!$B:$B,MATCH(P1417,Fit_Matrix!$A:$A,0)))),"CHECK KEY"))</f>
        <v/>
      </c>
      <c r="U1417" s="10"/>
      <c r="V1417" s="10"/>
      <c r="W1417" s="10"/>
      <c r="X1417" s="10"/>
      <c r="Y1417" s="10"/>
      <c r="Z1417" s="10"/>
      <c r="AA1417" s="11" t="str">
        <f t="shared" si="45"/>
        <v/>
      </c>
    </row>
    <row r="1418" spans="16:27" ht="15" customHeight="1">
      <c r="P1418" t="str">
        <f t="shared" si="44"/>
        <v/>
      </c>
      <c r="Q1418" t="str">
        <f>IF(P1418="","",IFERROR(IF(AND(H1418="W7",OR(F1418="causal",F1418="predictive")),IF(AND(OR(K1418=1,K1418="1"),OR(L1418=1,L1418="1"),OR(M1418=1,M1418="1")),"adequate","partial"),IF(AND(H1418="W4",F1418="predictive",OR(J1418="P2",J1418="P3",J1418="P4")),IF(OR(U1418=1,U1418="1"),"adequate","partial"),INDEX(Fit_Matrix!$B:$B,MATCH(P1418,Fit_Matrix!$A:$A,0)))),"CHECK KEY"))</f>
        <v/>
      </c>
      <c r="U1418" s="10"/>
      <c r="V1418" s="10"/>
      <c r="W1418" s="10"/>
      <c r="X1418" s="10"/>
      <c r="Y1418" s="10"/>
      <c r="Z1418" s="10"/>
      <c r="AA1418" s="11" t="str">
        <f t="shared" si="45"/>
        <v/>
      </c>
    </row>
    <row r="1419" spans="16:27" ht="15" customHeight="1">
      <c r="P1419" t="str">
        <f t="shared" si="44"/>
        <v/>
      </c>
      <c r="Q1419" t="str">
        <f>IF(P1419="","",IFERROR(IF(AND(H1419="W7",OR(F1419="causal",F1419="predictive")),IF(AND(OR(K1419=1,K1419="1"),OR(L1419=1,L1419="1"),OR(M1419=1,M1419="1")),"adequate","partial"),IF(AND(H1419="W4",F1419="predictive",OR(J1419="P2",J1419="P3",J1419="P4")),IF(OR(U1419=1,U1419="1"),"adequate","partial"),INDEX(Fit_Matrix!$B:$B,MATCH(P1419,Fit_Matrix!$A:$A,0)))),"CHECK KEY"))</f>
        <v/>
      </c>
      <c r="U1419" s="10"/>
      <c r="V1419" s="10"/>
      <c r="W1419" s="10"/>
      <c r="X1419" s="10"/>
      <c r="Y1419" s="10"/>
      <c r="Z1419" s="10"/>
      <c r="AA1419" s="11" t="str">
        <f t="shared" si="45"/>
        <v/>
      </c>
    </row>
    <row r="1420" spans="16:27" ht="15" customHeight="1">
      <c r="P1420" t="str">
        <f t="shared" si="44"/>
        <v/>
      </c>
      <c r="Q1420" t="str">
        <f>IF(P1420="","",IFERROR(IF(AND(H1420="W7",OR(F1420="causal",F1420="predictive")),IF(AND(OR(K1420=1,K1420="1"),OR(L1420=1,L1420="1"),OR(M1420=1,M1420="1")),"adequate","partial"),IF(AND(H1420="W4",F1420="predictive",OR(J1420="P2",J1420="P3",J1420="P4")),IF(OR(U1420=1,U1420="1"),"adequate","partial"),INDEX(Fit_Matrix!$B:$B,MATCH(P1420,Fit_Matrix!$A:$A,0)))),"CHECK KEY"))</f>
        <v/>
      </c>
      <c r="U1420" s="10"/>
      <c r="V1420" s="10"/>
      <c r="W1420" s="10"/>
      <c r="X1420" s="10"/>
      <c r="Y1420" s="10"/>
      <c r="Z1420" s="10"/>
      <c r="AA1420" s="11" t="str">
        <f t="shared" si="45"/>
        <v/>
      </c>
    </row>
    <row r="1421" spans="16:27" ht="15" customHeight="1">
      <c r="P1421" t="str">
        <f t="shared" si="44"/>
        <v/>
      </c>
      <c r="Q1421" t="str">
        <f>IF(P1421="","",IFERROR(IF(AND(H1421="W7",OR(F1421="causal",F1421="predictive")),IF(AND(OR(K1421=1,K1421="1"),OR(L1421=1,L1421="1"),OR(M1421=1,M1421="1")),"adequate","partial"),IF(AND(H1421="W4",F1421="predictive",OR(J1421="P2",J1421="P3",J1421="P4")),IF(OR(U1421=1,U1421="1"),"adequate","partial"),INDEX(Fit_Matrix!$B:$B,MATCH(P1421,Fit_Matrix!$A:$A,0)))),"CHECK KEY"))</f>
        <v/>
      </c>
      <c r="U1421" s="10"/>
      <c r="V1421" s="10"/>
      <c r="W1421" s="10"/>
      <c r="X1421" s="10"/>
      <c r="Y1421" s="10"/>
      <c r="Z1421" s="10"/>
      <c r="AA1421" s="11" t="str">
        <f t="shared" si="45"/>
        <v/>
      </c>
    </row>
    <row r="1422" spans="16:27" ht="15" customHeight="1">
      <c r="P1422" t="str">
        <f t="shared" si="44"/>
        <v/>
      </c>
      <c r="Q1422" t="str">
        <f>IF(P1422="","",IFERROR(IF(AND(H1422="W7",OR(F1422="causal",F1422="predictive")),IF(AND(OR(K1422=1,K1422="1"),OR(L1422=1,L1422="1"),OR(M1422=1,M1422="1")),"adequate","partial"),IF(AND(H1422="W4",F1422="predictive",OR(J1422="P2",J1422="P3",J1422="P4")),IF(OR(U1422=1,U1422="1"),"adequate","partial"),INDEX(Fit_Matrix!$B:$B,MATCH(P1422,Fit_Matrix!$A:$A,0)))),"CHECK KEY"))</f>
        <v/>
      </c>
      <c r="U1422" s="10"/>
      <c r="V1422" s="10"/>
      <c r="W1422" s="10"/>
      <c r="X1422" s="10"/>
      <c r="Y1422" s="10"/>
      <c r="Z1422" s="10"/>
      <c r="AA1422" s="11" t="str">
        <f t="shared" si="45"/>
        <v/>
      </c>
    </row>
    <row r="1423" spans="16:27" ht="15" customHeight="1">
      <c r="P1423" t="str">
        <f t="shared" si="44"/>
        <v/>
      </c>
      <c r="Q1423" t="str">
        <f>IF(P1423="","",IFERROR(IF(AND(H1423="W7",OR(F1423="causal",F1423="predictive")),IF(AND(OR(K1423=1,K1423="1"),OR(L1423=1,L1423="1"),OR(M1423=1,M1423="1")),"adequate","partial"),IF(AND(H1423="W4",F1423="predictive",OR(J1423="P2",J1423="P3",J1423="P4")),IF(OR(U1423=1,U1423="1"),"adequate","partial"),INDEX(Fit_Matrix!$B:$B,MATCH(P1423,Fit_Matrix!$A:$A,0)))),"CHECK KEY"))</f>
        <v/>
      </c>
      <c r="U1423" s="10"/>
      <c r="V1423" s="10"/>
      <c r="W1423" s="10"/>
      <c r="X1423" s="10"/>
      <c r="Y1423" s="10"/>
      <c r="Z1423" s="10"/>
      <c r="AA1423" s="11" t="str">
        <f t="shared" si="45"/>
        <v/>
      </c>
    </row>
    <row r="1424" spans="16:27" ht="15" customHeight="1">
      <c r="P1424" t="str">
        <f t="shared" si="44"/>
        <v/>
      </c>
      <c r="Q1424" t="str">
        <f>IF(P1424="","",IFERROR(IF(AND(H1424="W7",OR(F1424="causal",F1424="predictive")),IF(AND(OR(K1424=1,K1424="1"),OR(L1424=1,L1424="1"),OR(M1424=1,M1424="1")),"adequate","partial"),IF(AND(H1424="W4",F1424="predictive",OR(J1424="P2",J1424="P3",J1424="P4")),IF(OR(U1424=1,U1424="1"),"adequate","partial"),INDEX(Fit_Matrix!$B:$B,MATCH(P1424,Fit_Matrix!$A:$A,0)))),"CHECK KEY"))</f>
        <v/>
      </c>
      <c r="U1424" s="10"/>
      <c r="V1424" s="10"/>
      <c r="W1424" s="10"/>
      <c r="X1424" s="10"/>
      <c r="Y1424" s="10"/>
      <c r="Z1424" s="10"/>
      <c r="AA1424" s="11" t="str">
        <f t="shared" si="45"/>
        <v/>
      </c>
    </row>
    <row r="1425" spans="16:27" ht="15" customHeight="1">
      <c r="P1425" t="str">
        <f t="shared" si="44"/>
        <v/>
      </c>
      <c r="Q1425" t="str">
        <f>IF(P1425="","",IFERROR(IF(AND(H1425="W7",OR(F1425="causal",F1425="predictive")),IF(AND(OR(K1425=1,K1425="1"),OR(L1425=1,L1425="1"),OR(M1425=1,M1425="1")),"adequate","partial"),IF(AND(H1425="W4",F1425="predictive",OR(J1425="P2",J1425="P3",J1425="P4")),IF(OR(U1425=1,U1425="1"),"adequate","partial"),INDEX(Fit_Matrix!$B:$B,MATCH(P1425,Fit_Matrix!$A:$A,0)))),"CHECK KEY"))</f>
        <v/>
      </c>
      <c r="U1425" s="10"/>
      <c r="V1425" s="10"/>
      <c r="W1425" s="10"/>
      <c r="X1425" s="10"/>
      <c r="Y1425" s="10"/>
      <c r="Z1425" s="10"/>
      <c r="AA1425" s="11" t="str">
        <f t="shared" si="45"/>
        <v/>
      </c>
    </row>
    <row r="1426" spans="16:27" ht="15" customHeight="1">
      <c r="P1426" t="str">
        <f t="shared" si="44"/>
        <v/>
      </c>
      <c r="Q1426" t="str">
        <f>IF(P1426="","",IFERROR(IF(AND(H1426="W7",OR(F1426="causal",F1426="predictive")),IF(AND(OR(K1426=1,K1426="1"),OR(L1426=1,L1426="1"),OR(M1426=1,M1426="1")),"adequate","partial"),IF(AND(H1426="W4",F1426="predictive",OR(J1426="P2",J1426="P3",J1426="P4")),IF(OR(U1426=1,U1426="1"),"adequate","partial"),INDEX(Fit_Matrix!$B:$B,MATCH(P1426,Fit_Matrix!$A:$A,0)))),"CHECK KEY"))</f>
        <v/>
      </c>
      <c r="U1426" s="10"/>
      <c r="V1426" s="10"/>
      <c r="W1426" s="10"/>
      <c r="X1426" s="10"/>
      <c r="Y1426" s="10"/>
      <c r="Z1426" s="10"/>
      <c r="AA1426" s="11" t="str">
        <f t="shared" si="45"/>
        <v/>
      </c>
    </row>
    <row r="1427" spans="16:27" ht="15" customHeight="1">
      <c r="P1427" t="str">
        <f t="shared" si="44"/>
        <v/>
      </c>
      <c r="Q1427" t="str">
        <f>IF(P1427="","",IFERROR(IF(AND(H1427="W7",OR(F1427="causal",F1427="predictive")),IF(AND(OR(K1427=1,K1427="1"),OR(L1427=1,L1427="1"),OR(M1427=1,M1427="1")),"adequate","partial"),IF(AND(H1427="W4",F1427="predictive",OR(J1427="P2",J1427="P3",J1427="P4")),IF(OR(U1427=1,U1427="1"),"adequate","partial"),INDEX(Fit_Matrix!$B:$B,MATCH(P1427,Fit_Matrix!$A:$A,0)))),"CHECK KEY"))</f>
        <v/>
      </c>
      <c r="U1427" s="10"/>
      <c r="V1427" s="10"/>
      <c r="W1427" s="10"/>
      <c r="X1427" s="10"/>
      <c r="Y1427" s="10"/>
      <c r="Z1427" s="10"/>
      <c r="AA1427" s="11" t="str">
        <f t="shared" si="45"/>
        <v/>
      </c>
    </row>
    <row r="1428" spans="16:27" ht="15" customHeight="1">
      <c r="P1428" t="str">
        <f t="shared" si="44"/>
        <v/>
      </c>
      <c r="Q1428" t="str">
        <f>IF(P1428="","",IFERROR(IF(AND(H1428="W7",OR(F1428="causal",F1428="predictive")),IF(AND(OR(K1428=1,K1428="1"),OR(L1428=1,L1428="1"),OR(M1428=1,M1428="1")),"adequate","partial"),IF(AND(H1428="W4",F1428="predictive",OR(J1428="P2",J1428="P3",J1428="P4")),IF(OR(U1428=1,U1428="1"),"adequate","partial"),INDEX(Fit_Matrix!$B:$B,MATCH(P1428,Fit_Matrix!$A:$A,0)))),"CHECK KEY"))</f>
        <v/>
      </c>
      <c r="U1428" s="10"/>
      <c r="V1428" s="10"/>
      <c r="W1428" s="10"/>
      <c r="X1428" s="10"/>
      <c r="Y1428" s="10"/>
      <c r="Z1428" s="10"/>
      <c r="AA1428" s="11" t="str">
        <f t="shared" si="45"/>
        <v/>
      </c>
    </row>
    <row r="1429" spans="16:27" ht="15" customHeight="1">
      <c r="P1429" t="str">
        <f t="shared" si="44"/>
        <v/>
      </c>
      <c r="Q1429" t="str">
        <f>IF(P1429="","",IFERROR(IF(AND(H1429="W7",OR(F1429="causal",F1429="predictive")),IF(AND(OR(K1429=1,K1429="1"),OR(L1429=1,L1429="1"),OR(M1429=1,M1429="1")),"adequate","partial"),IF(AND(H1429="W4",F1429="predictive",OR(J1429="P2",J1429="P3",J1429="P4")),IF(OR(U1429=1,U1429="1"),"adequate","partial"),INDEX(Fit_Matrix!$B:$B,MATCH(P1429,Fit_Matrix!$A:$A,0)))),"CHECK KEY"))</f>
        <v/>
      </c>
      <c r="U1429" s="10"/>
      <c r="V1429" s="10"/>
      <c r="W1429" s="10"/>
      <c r="X1429" s="10"/>
      <c r="Y1429" s="10"/>
      <c r="Z1429" s="10"/>
      <c r="AA1429" s="11" t="str">
        <f t="shared" si="45"/>
        <v/>
      </c>
    </row>
    <row r="1430" spans="16:27" ht="15" customHeight="1">
      <c r="P1430" t="str">
        <f t="shared" si="44"/>
        <v/>
      </c>
      <c r="Q1430" t="str">
        <f>IF(P1430="","",IFERROR(IF(AND(H1430="W7",OR(F1430="causal",F1430="predictive")),IF(AND(OR(K1430=1,K1430="1"),OR(L1430=1,L1430="1"),OR(M1430=1,M1430="1")),"adequate","partial"),IF(AND(H1430="W4",F1430="predictive",OR(J1430="P2",J1430="P3",J1430="P4")),IF(OR(U1430=1,U1430="1"),"adequate","partial"),INDEX(Fit_Matrix!$B:$B,MATCH(P1430,Fit_Matrix!$A:$A,0)))),"CHECK KEY"))</f>
        <v/>
      </c>
      <c r="U1430" s="10"/>
      <c r="V1430" s="10"/>
      <c r="W1430" s="10"/>
      <c r="X1430" s="10"/>
      <c r="Y1430" s="10"/>
      <c r="Z1430" s="10"/>
      <c r="AA1430" s="11" t="str">
        <f t="shared" si="45"/>
        <v/>
      </c>
    </row>
    <row r="1431" spans="16:27" ht="15" customHeight="1">
      <c r="P1431" t="str">
        <f t="shared" si="44"/>
        <v/>
      </c>
      <c r="Q1431" t="str">
        <f>IF(P1431="","",IFERROR(IF(AND(H1431="W7",OR(F1431="causal",F1431="predictive")),IF(AND(OR(K1431=1,K1431="1"),OR(L1431=1,L1431="1"),OR(M1431=1,M1431="1")),"adequate","partial"),IF(AND(H1431="W4",F1431="predictive",OR(J1431="P2",J1431="P3",J1431="P4")),IF(OR(U1431=1,U1431="1"),"adequate","partial"),INDEX(Fit_Matrix!$B:$B,MATCH(P1431,Fit_Matrix!$A:$A,0)))),"CHECK KEY"))</f>
        <v/>
      </c>
      <c r="U1431" s="10"/>
      <c r="V1431" s="10"/>
      <c r="W1431" s="10"/>
      <c r="X1431" s="10"/>
      <c r="Y1431" s="10"/>
      <c r="Z1431" s="10"/>
      <c r="AA1431" s="11" t="str">
        <f t="shared" si="45"/>
        <v/>
      </c>
    </row>
    <row r="1432" spans="16:27" ht="15" customHeight="1">
      <c r="P1432" t="str">
        <f t="shared" si="44"/>
        <v/>
      </c>
      <c r="Q1432" t="str">
        <f>IF(P1432="","",IFERROR(IF(AND(H1432="W7",OR(F1432="causal",F1432="predictive")),IF(AND(OR(K1432=1,K1432="1"),OR(L1432=1,L1432="1"),OR(M1432=1,M1432="1")),"adequate","partial"),IF(AND(H1432="W4",F1432="predictive",OR(J1432="P2",J1432="P3",J1432="P4")),IF(OR(U1432=1,U1432="1"),"adequate","partial"),INDEX(Fit_Matrix!$B:$B,MATCH(P1432,Fit_Matrix!$A:$A,0)))),"CHECK KEY"))</f>
        <v/>
      </c>
      <c r="U1432" s="10"/>
      <c r="V1432" s="10"/>
      <c r="W1432" s="10"/>
      <c r="X1432" s="10"/>
      <c r="Y1432" s="10"/>
      <c r="Z1432" s="10"/>
      <c r="AA1432" s="11" t="str">
        <f t="shared" si="45"/>
        <v/>
      </c>
    </row>
    <row r="1433" spans="16:27" ht="15" customHeight="1">
      <c r="P1433" t="str">
        <f t="shared" si="44"/>
        <v/>
      </c>
      <c r="Q1433" t="str">
        <f>IF(P1433="","",IFERROR(IF(AND(H1433="W7",OR(F1433="causal",F1433="predictive")),IF(AND(OR(K1433=1,K1433="1"),OR(L1433=1,L1433="1"),OR(M1433=1,M1433="1")),"adequate","partial"),IF(AND(H1433="W4",F1433="predictive",OR(J1433="P2",J1433="P3",J1433="P4")),IF(OR(U1433=1,U1433="1"),"adequate","partial"),INDEX(Fit_Matrix!$B:$B,MATCH(P1433,Fit_Matrix!$A:$A,0)))),"CHECK KEY"))</f>
        <v/>
      </c>
      <c r="U1433" s="10"/>
      <c r="V1433" s="10"/>
      <c r="W1433" s="10"/>
      <c r="X1433" s="10"/>
      <c r="Y1433" s="10"/>
      <c r="Z1433" s="10"/>
      <c r="AA1433" s="11" t="str">
        <f t="shared" si="45"/>
        <v/>
      </c>
    </row>
    <row r="1434" spans="16:27" ht="15" customHeight="1">
      <c r="P1434" t="str">
        <f t="shared" si="44"/>
        <v/>
      </c>
      <c r="Q1434" t="str">
        <f>IF(P1434="","",IFERROR(IF(AND(H1434="W7",OR(F1434="causal",F1434="predictive")),IF(AND(OR(K1434=1,K1434="1"),OR(L1434=1,L1434="1"),OR(M1434=1,M1434="1")),"adequate","partial"),IF(AND(H1434="W4",F1434="predictive",OR(J1434="P2",J1434="P3",J1434="P4")),IF(OR(U1434=1,U1434="1"),"adequate","partial"),INDEX(Fit_Matrix!$B:$B,MATCH(P1434,Fit_Matrix!$A:$A,0)))),"CHECK KEY"))</f>
        <v/>
      </c>
      <c r="U1434" s="10"/>
      <c r="V1434" s="10"/>
      <c r="W1434" s="10"/>
      <c r="X1434" s="10"/>
      <c r="Y1434" s="10"/>
      <c r="Z1434" s="10"/>
      <c r="AA1434" s="11" t="str">
        <f t="shared" si="45"/>
        <v/>
      </c>
    </row>
    <row r="1435" spans="16:27" ht="15" customHeight="1">
      <c r="P1435" t="str">
        <f t="shared" si="44"/>
        <v/>
      </c>
      <c r="Q1435" t="str">
        <f>IF(P1435="","",IFERROR(IF(AND(H1435="W7",OR(F1435="causal",F1435="predictive")),IF(AND(OR(K1435=1,K1435="1"),OR(L1435=1,L1435="1"),OR(M1435=1,M1435="1")),"adequate","partial"),IF(AND(H1435="W4",F1435="predictive",OR(J1435="P2",J1435="P3",J1435="P4")),IF(OR(U1435=1,U1435="1"),"adequate","partial"),INDEX(Fit_Matrix!$B:$B,MATCH(P1435,Fit_Matrix!$A:$A,0)))),"CHECK KEY"))</f>
        <v/>
      </c>
      <c r="U1435" s="10"/>
      <c r="V1435" s="10"/>
      <c r="W1435" s="10"/>
      <c r="X1435" s="10"/>
      <c r="Y1435" s="10"/>
      <c r="Z1435" s="10"/>
      <c r="AA1435" s="11" t="str">
        <f t="shared" si="45"/>
        <v/>
      </c>
    </row>
    <row r="1436" spans="16:27" ht="15" customHeight="1">
      <c r="P1436" t="str">
        <f t="shared" si="44"/>
        <v/>
      </c>
      <c r="Q1436" t="str">
        <f>IF(P1436="","",IFERROR(IF(AND(H1436="W7",OR(F1436="causal",F1436="predictive")),IF(AND(OR(K1436=1,K1436="1"),OR(L1436=1,L1436="1"),OR(M1436=1,M1436="1")),"adequate","partial"),IF(AND(H1436="W4",F1436="predictive",OR(J1436="P2",J1436="P3",J1436="P4")),IF(OR(U1436=1,U1436="1"),"adequate","partial"),INDEX(Fit_Matrix!$B:$B,MATCH(P1436,Fit_Matrix!$A:$A,0)))),"CHECK KEY"))</f>
        <v/>
      </c>
      <c r="U1436" s="10"/>
      <c r="V1436" s="10"/>
      <c r="W1436" s="10"/>
      <c r="X1436" s="10"/>
      <c r="Y1436" s="10"/>
      <c r="Z1436" s="10"/>
      <c r="AA1436" s="11" t="str">
        <f t="shared" si="45"/>
        <v/>
      </c>
    </row>
    <row r="1437" spans="16:27" ht="15" customHeight="1">
      <c r="P1437" t="str">
        <f t="shared" si="44"/>
        <v/>
      </c>
      <c r="Q1437" t="str">
        <f>IF(P1437="","",IFERROR(IF(AND(H1437="W7",OR(F1437="causal",F1437="predictive")),IF(AND(OR(K1437=1,K1437="1"),OR(L1437=1,L1437="1"),OR(M1437=1,M1437="1")),"adequate","partial"),IF(AND(H1437="W4",F1437="predictive",OR(J1437="P2",J1437="P3",J1437="P4")),IF(OR(U1437=1,U1437="1"),"adequate","partial"),INDEX(Fit_Matrix!$B:$B,MATCH(P1437,Fit_Matrix!$A:$A,0)))),"CHECK KEY"))</f>
        <v/>
      </c>
      <c r="U1437" s="10"/>
      <c r="V1437" s="10"/>
      <c r="W1437" s="10"/>
      <c r="X1437" s="10"/>
      <c r="Y1437" s="10"/>
      <c r="Z1437" s="10"/>
      <c r="AA1437" s="11" t="str">
        <f t="shared" si="45"/>
        <v/>
      </c>
    </row>
    <row r="1438" spans="16:27" ht="15" customHeight="1">
      <c r="P1438" t="str">
        <f t="shared" si="44"/>
        <v/>
      </c>
      <c r="Q1438" t="str">
        <f>IF(P1438="","",IFERROR(IF(AND(H1438="W7",OR(F1438="causal",F1438="predictive")),IF(AND(OR(K1438=1,K1438="1"),OR(L1438=1,L1438="1"),OR(M1438=1,M1438="1")),"adequate","partial"),IF(AND(H1438="W4",F1438="predictive",OR(J1438="P2",J1438="P3",J1438="P4")),IF(OR(U1438=1,U1438="1"),"adequate","partial"),INDEX(Fit_Matrix!$B:$B,MATCH(P1438,Fit_Matrix!$A:$A,0)))),"CHECK KEY"))</f>
        <v/>
      </c>
      <c r="U1438" s="10"/>
      <c r="V1438" s="10"/>
      <c r="W1438" s="10"/>
      <c r="X1438" s="10"/>
      <c r="Y1438" s="10"/>
      <c r="Z1438" s="10"/>
      <c r="AA1438" s="11" t="str">
        <f t="shared" si="45"/>
        <v/>
      </c>
    </row>
    <row r="1439" spans="16:27" ht="15" customHeight="1">
      <c r="P1439" t="str">
        <f t="shared" si="44"/>
        <v/>
      </c>
      <c r="Q1439" t="str">
        <f>IF(P1439="","",IFERROR(IF(AND(H1439="W7",OR(F1439="causal",F1439="predictive")),IF(AND(OR(K1439=1,K1439="1"),OR(L1439=1,L1439="1"),OR(M1439=1,M1439="1")),"adequate","partial"),IF(AND(H1439="W4",F1439="predictive",OR(J1439="P2",J1439="P3",J1439="P4")),IF(OR(U1439=1,U1439="1"),"adequate","partial"),INDEX(Fit_Matrix!$B:$B,MATCH(P1439,Fit_Matrix!$A:$A,0)))),"CHECK KEY"))</f>
        <v/>
      </c>
      <c r="U1439" s="10"/>
      <c r="V1439" s="10"/>
      <c r="W1439" s="10"/>
      <c r="X1439" s="10"/>
      <c r="Y1439" s="10"/>
      <c r="Z1439" s="10"/>
      <c r="AA1439" s="11" t="str">
        <f t="shared" si="45"/>
        <v/>
      </c>
    </row>
    <row r="1440" spans="16:27" ht="15" customHeight="1">
      <c r="P1440" t="str">
        <f t="shared" si="44"/>
        <v/>
      </c>
      <c r="Q1440" t="str">
        <f>IF(P1440="","",IFERROR(IF(AND(H1440="W7",OR(F1440="causal",F1440="predictive")),IF(AND(OR(K1440=1,K1440="1"),OR(L1440=1,L1440="1"),OR(M1440=1,M1440="1")),"adequate","partial"),IF(AND(H1440="W4",F1440="predictive",OR(J1440="P2",J1440="P3",J1440="P4")),IF(OR(U1440=1,U1440="1"),"adequate","partial"),INDEX(Fit_Matrix!$B:$B,MATCH(P1440,Fit_Matrix!$A:$A,0)))),"CHECK KEY"))</f>
        <v/>
      </c>
      <c r="U1440" s="10"/>
      <c r="V1440" s="10"/>
      <c r="W1440" s="10"/>
      <c r="X1440" s="10"/>
      <c r="Y1440" s="10"/>
      <c r="Z1440" s="10"/>
      <c r="AA1440" s="11" t="str">
        <f t="shared" si="45"/>
        <v/>
      </c>
    </row>
    <row r="1441" spans="16:27" ht="15" customHeight="1">
      <c r="P1441" t="str">
        <f t="shared" si="44"/>
        <v/>
      </c>
      <c r="Q1441" t="str">
        <f>IF(P1441="","",IFERROR(IF(AND(H1441="W7",OR(F1441="causal",F1441="predictive")),IF(AND(OR(K1441=1,K1441="1"),OR(L1441=1,L1441="1"),OR(M1441=1,M1441="1")),"adequate","partial"),IF(AND(H1441="W4",F1441="predictive",OR(J1441="P2",J1441="P3",J1441="P4")),IF(OR(U1441=1,U1441="1"),"adequate","partial"),INDEX(Fit_Matrix!$B:$B,MATCH(P1441,Fit_Matrix!$A:$A,0)))),"CHECK KEY"))</f>
        <v/>
      </c>
      <c r="U1441" s="10"/>
      <c r="V1441" s="10"/>
      <c r="W1441" s="10"/>
      <c r="X1441" s="10"/>
      <c r="Y1441" s="10"/>
      <c r="Z1441" s="10"/>
      <c r="AA1441" s="11" t="str">
        <f t="shared" si="45"/>
        <v/>
      </c>
    </row>
    <row r="1442" spans="16:27" ht="15" customHeight="1">
      <c r="P1442" t="str">
        <f t="shared" si="44"/>
        <v/>
      </c>
      <c r="Q1442" t="str">
        <f>IF(P1442="","",IFERROR(IF(AND(H1442="W7",OR(F1442="causal",F1442="predictive")),IF(AND(OR(K1442=1,K1442="1"),OR(L1442=1,L1442="1"),OR(M1442=1,M1442="1")),"adequate","partial"),IF(AND(H1442="W4",F1442="predictive",OR(J1442="P2",J1442="P3",J1442="P4")),IF(OR(U1442=1,U1442="1"),"adequate","partial"),INDEX(Fit_Matrix!$B:$B,MATCH(P1442,Fit_Matrix!$A:$A,0)))),"CHECK KEY"))</f>
        <v/>
      </c>
      <c r="U1442" s="10"/>
      <c r="V1442" s="10"/>
      <c r="W1442" s="10"/>
      <c r="X1442" s="10"/>
      <c r="Y1442" s="10"/>
      <c r="Z1442" s="10"/>
      <c r="AA1442" s="11" t="str">
        <f t="shared" si="45"/>
        <v/>
      </c>
    </row>
    <row r="1443" spans="16:27" ht="15" customHeight="1">
      <c r="P1443" t="str">
        <f t="shared" si="44"/>
        <v/>
      </c>
      <c r="Q1443" t="str">
        <f>IF(P1443="","",IFERROR(IF(AND(H1443="W7",OR(F1443="causal",F1443="predictive")),IF(AND(OR(K1443=1,K1443="1"),OR(L1443=1,L1443="1"),OR(M1443=1,M1443="1")),"adequate","partial"),IF(AND(H1443="W4",F1443="predictive",OR(J1443="P2",J1443="P3",J1443="P4")),IF(OR(U1443=1,U1443="1"),"adequate","partial"),INDEX(Fit_Matrix!$B:$B,MATCH(P1443,Fit_Matrix!$A:$A,0)))),"CHECK KEY"))</f>
        <v/>
      </c>
      <c r="U1443" s="10"/>
      <c r="V1443" s="10"/>
      <c r="W1443" s="10"/>
      <c r="X1443" s="10"/>
      <c r="Y1443" s="10"/>
      <c r="Z1443" s="10"/>
      <c r="AA1443" s="11" t="str">
        <f t="shared" si="45"/>
        <v/>
      </c>
    </row>
    <row r="1444" spans="16:27" ht="15" customHeight="1">
      <c r="P1444" t="str">
        <f t="shared" si="44"/>
        <v/>
      </c>
      <c r="Q1444" t="str">
        <f>IF(P1444="","",IFERROR(IF(AND(H1444="W7",OR(F1444="causal",F1444="predictive")),IF(AND(OR(K1444=1,K1444="1"),OR(L1444=1,L1444="1"),OR(M1444=1,M1444="1")),"adequate","partial"),IF(AND(H1444="W4",F1444="predictive",OR(J1444="P2",J1444="P3",J1444="P4")),IF(OR(U1444=1,U1444="1"),"adequate","partial"),INDEX(Fit_Matrix!$B:$B,MATCH(P1444,Fit_Matrix!$A:$A,0)))),"CHECK KEY"))</f>
        <v/>
      </c>
      <c r="U1444" s="10"/>
      <c r="V1444" s="10"/>
      <c r="W1444" s="10"/>
      <c r="X1444" s="10"/>
      <c r="Y1444" s="10"/>
      <c r="Z1444" s="10"/>
      <c r="AA1444" s="11" t="str">
        <f t="shared" si="45"/>
        <v/>
      </c>
    </row>
    <row r="1445" spans="16:27" ht="15" customHeight="1">
      <c r="P1445" t="str">
        <f t="shared" si="44"/>
        <v/>
      </c>
      <c r="Q1445" t="str">
        <f>IF(P1445="","",IFERROR(IF(AND(H1445="W7",OR(F1445="causal",F1445="predictive")),IF(AND(OR(K1445=1,K1445="1"),OR(L1445=1,L1445="1"),OR(M1445=1,M1445="1")),"adequate","partial"),IF(AND(H1445="W4",F1445="predictive",OR(J1445="P2",J1445="P3",J1445="P4")),IF(OR(U1445=1,U1445="1"),"adequate","partial"),INDEX(Fit_Matrix!$B:$B,MATCH(P1445,Fit_Matrix!$A:$A,0)))),"CHECK KEY"))</f>
        <v/>
      </c>
      <c r="U1445" s="10"/>
      <c r="V1445" s="10"/>
      <c r="W1445" s="10"/>
      <c r="X1445" s="10"/>
      <c r="Y1445" s="10"/>
      <c r="Z1445" s="10"/>
      <c r="AA1445" s="11" t="str">
        <f t="shared" si="45"/>
        <v/>
      </c>
    </row>
    <row r="1446" spans="16:27" ht="15" customHeight="1">
      <c r="P1446" t="str">
        <f t="shared" si="44"/>
        <v/>
      </c>
      <c r="Q1446" t="str">
        <f>IF(P1446="","",IFERROR(IF(AND(H1446="W7",OR(F1446="causal",F1446="predictive")),IF(AND(OR(K1446=1,K1446="1"),OR(L1446=1,L1446="1"),OR(M1446=1,M1446="1")),"adequate","partial"),IF(AND(H1446="W4",F1446="predictive",OR(J1446="P2",J1446="P3",J1446="P4")),IF(OR(U1446=1,U1446="1"),"adequate","partial"),INDEX(Fit_Matrix!$B:$B,MATCH(P1446,Fit_Matrix!$A:$A,0)))),"CHECK KEY"))</f>
        <v/>
      </c>
      <c r="U1446" s="10"/>
      <c r="V1446" s="10"/>
      <c r="W1446" s="10"/>
      <c r="X1446" s="10"/>
      <c r="Y1446" s="10"/>
      <c r="Z1446" s="10"/>
      <c r="AA1446" s="11" t="str">
        <f t="shared" si="45"/>
        <v/>
      </c>
    </row>
    <row r="1447" spans="16:27" ht="15" customHeight="1">
      <c r="P1447" t="str">
        <f t="shared" si="44"/>
        <v/>
      </c>
      <c r="Q1447" t="str">
        <f>IF(P1447="","",IFERROR(IF(AND(H1447="W7",OR(F1447="causal",F1447="predictive")),IF(AND(OR(K1447=1,K1447="1"),OR(L1447=1,L1447="1"),OR(M1447=1,M1447="1")),"adequate","partial"),IF(AND(H1447="W4",F1447="predictive",OR(J1447="P2",J1447="P3",J1447="P4")),IF(OR(U1447=1,U1447="1"),"adequate","partial"),INDEX(Fit_Matrix!$B:$B,MATCH(P1447,Fit_Matrix!$A:$A,0)))),"CHECK KEY"))</f>
        <v/>
      </c>
      <c r="U1447" s="10"/>
      <c r="V1447" s="10"/>
      <c r="W1447" s="10"/>
      <c r="X1447" s="10"/>
      <c r="Y1447" s="10"/>
      <c r="Z1447" s="10"/>
      <c r="AA1447" s="11" t="str">
        <f t="shared" si="45"/>
        <v/>
      </c>
    </row>
    <row r="1448" spans="16:27" ht="15" customHeight="1">
      <c r="P1448" t="str">
        <f t="shared" si="44"/>
        <v/>
      </c>
      <c r="Q1448" t="str">
        <f>IF(P1448="","",IFERROR(IF(AND(H1448="W7",OR(F1448="causal",F1448="predictive")),IF(AND(OR(K1448=1,K1448="1"),OR(L1448=1,L1448="1"),OR(M1448=1,M1448="1")),"adequate","partial"),IF(AND(H1448="W4",F1448="predictive",OR(J1448="P2",J1448="P3",J1448="P4")),IF(OR(U1448=1,U1448="1"),"adequate","partial"),INDEX(Fit_Matrix!$B:$B,MATCH(P1448,Fit_Matrix!$A:$A,0)))),"CHECK KEY"))</f>
        <v/>
      </c>
      <c r="U1448" s="10"/>
      <c r="V1448" s="10"/>
      <c r="W1448" s="10"/>
      <c r="X1448" s="10"/>
      <c r="Y1448" s="10"/>
      <c r="Z1448" s="10"/>
      <c r="AA1448" s="11" t="str">
        <f t="shared" si="45"/>
        <v/>
      </c>
    </row>
    <row r="1449" spans="16:27" ht="15" customHeight="1">
      <c r="P1449" t="str">
        <f t="shared" si="44"/>
        <v/>
      </c>
      <c r="Q1449" t="str">
        <f>IF(P1449="","",IFERROR(IF(AND(H1449="W7",OR(F1449="causal",F1449="predictive")),IF(AND(OR(K1449=1,K1449="1"),OR(L1449=1,L1449="1"),OR(M1449=1,M1449="1")),"adequate","partial"),IF(AND(H1449="W4",F1449="predictive",OR(J1449="P2",J1449="P3",J1449="P4")),IF(OR(U1449=1,U1449="1"),"adequate","partial"),INDEX(Fit_Matrix!$B:$B,MATCH(P1449,Fit_Matrix!$A:$A,0)))),"CHECK KEY"))</f>
        <v/>
      </c>
      <c r="U1449" s="10"/>
      <c r="V1449" s="10"/>
      <c r="W1449" s="10"/>
      <c r="X1449" s="10"/>
      <c r="Y1449" s="10"/>
      <c r="Z1449" s="10"/>
      <c r="AA1449" s="11" t="str">
        <f t="shared" si="45"/>
        <v/>
      </c>
    </row>
    <row r="1450" spans="16:27" ht="15" customHeight="1">
      <c r="P1450" t="str">
        <f t="shared" si="44"/>
        <v/>
      </c>
      <c r="Q1450" t="str">
        <f>IF(P1450="","",IFERROR(IF(AND(H1450="W7",OR(F1450="causal",F1450="predictive")),IF(AND(OR(K1450=1,K1450="1"),OR(L1450=1,L1450="1"),OR(M1450=1,M1450="1")),"adequate","partial"),IF(AND(H1450="W4",F1450="predictive",OR(J1450="P2",J1450="P3",J1450="P4")),IF(OR(U1450=1,U1450="1"),"adequate","partial"),INDEX(Fit_Matrix!$B:$B,MATCH(P1450,Fit_Matrix!$A:$A,0)))),"CHECK KEY"))</f>
        <v/>
      </c>
      <c r="U1450" s="10"/>
      <c r="V1450" s="10"/>
      <c r="W1450" s="10"/>
      <c r="X1450" s="10"/>
      <c r="Y1450" s="10"/>
      <c r="Z1450" s="10"/>
      <c r="AA1450" s="11" t="str">
        <f t="shared" si="45"/>
        <v/>
      </c>
    </row>
    <row r="1451" spans="16:27" ht="15" customHeight="1">
      <c r="P1451" t="str">
        <f t="shared" si="44"/>
        <v/>
      </c>
      <c r="Q1451" t="str">
        <f>IF(P1451="","",IFERROR(IF(AND(H1451="W7",OR(F1451="causal",F1451="predictive")),IF(AND(OR(K1451=1,K1451="1"),OR(L1451=1,L1451="1"),OR(M1451=1,M1451="1")),"adequate","partial"),IF(AND(H1451="W4",F1451="predictive",OR(J1451="P2",J1451="P3",J1451="P4")),IF(OR(U1451=1,U1451="1"),"adequate","partial"),INDEX(Fit_Matrix!$B:$B,MATCH(P1451,Fit_Matrix!$A:$A,0)))),"CHECK KEY"))</f>
        <v/>
      </c>
      <c r="U1451" s="10"/>
      <c r="V1451" s="10"/>
      <c r="W1451" s="10"/>
      <c r="X1451" s="10"/>
      <c r="Y1451" s="10"/>
      <c r="Z1451" s="10"/>
      <c r="AA1451" s="11" t="str">
        <f t="shared" si="45"/>
        <v/>
      </c>
    </row>
    <row r="1452" spans="16:27" ht="15" customHeight="1">
      <c r="P1452" t="str">
        <f t="shared" si="44"/>
        <v/>
      </c>
      <c r="Q1452" t="str">
        <f>IF(P1452="","",IFERROR(IF(AND(H1452="W7",OR(F1452="causal",F1452="predictive")),IF(AND(OR(K1452=1,K1452="1"),OR(L1452=1,L1452="1"),OR(M1452=1,M1452="1")),"adequate","partial"),IF(AND(H1452="W4",F1452="predictive",OR(J1452="P2",J1452="P3",J1452="P4")),IF(OR(U1452=1,U1452="1"),"adequate","partial"),INDEX(Fit_Matrix!$B:$B,MATCH(P1452,Fit_Matrix!$A:$A,0)))),"CHECK KEY"))</f>
        <v/>
      </c>
      <c r="U1452" s="10"/>
      <c r="V1452" s="10"/>
      <c r="W1452" s="10"/>
      <c r="X1452" s="10"/>
      <c r="Y1452" s="10"/>
      <c r="Z1452" s="10"/>
      <c r="AA1452" s="11" t="str">
        <f t="shared" si="45"/>
        <v/>
      </c>
    </row>
    <row r="1453" spans="16:27" ht="15" customHeight="1">
      <c r="P1453" t="str">
        <f t="shared" si="44"/>
        <v/>
      </c>
      <c r="Q1453" t="str">
        <f>IF(P1453="","",IFERROR(IF(AND(H1453="W7",OR(F1453="causal",F1453="predictive")),IF(AND(OR(K1453=1,K1453="1"),OR(L1453=1,L1453="1"),OR(M1453=1,M1453="1")),"adequate","partial"),IF(AND(H1453="W4",F1453="predictive",OR(J1453="P2",J1453="P3",J1453="P4")),IF(OR(U1453=1,U1453="1"),"adequate","partial"),INDEX(Fit_Matrix!$B:$B,MATCH(P1453,Fit_Matrix!$A:$A,0)))),"CHECK KEY"))</f>
        <v/>
      </c>
      <c r="U1453" s="10"/>
      <c r="V1453" s="10"/>
      <c r="W1453" s="10"/>
      <c r="X1453" s="10"/>
      <c r="Y1453" s="10"/>
      <c r="Z1453" s="10"/>
      <c r="AA1453" s="11" t="str">
        <f t="shared" si="45"/>
        <v/>
      </c>
    </row>
    <row r="1454" spans="16:27" ht="15" customHeight="1">
      <c r="P1454" t="str">
        <f t="shared" si="44"/>
        <v/>
      </c>
      <c r="Q1454" t="str">
        <f>IF(P1454="","",IFERROR(IF(AND(H1454="W7",OR(F1454="causal",F1454="predictive")),IF(AND(OR(K1454=1,K1454="1"),OR(L1454=1,L1454="1"),OR(M1454=1,M1454="1")),"adequate","partial"),IF(AND(H1454="W4",F1454="predictive",OR(J1454="P2",J1454="P3",J1454="P4")),IF(OR(U1454=1,U1454="1"),"adequate","partial"),INDEX(Fit_Matrix!$B:$B,MATCH(P1454,Fit_Matrix!$A:$A,0)))),"CHECK KEY"))</f>
        <v/>
      </c>
      <c r="U1454" s="10"/>
      <c r="V1454" s="10"/>
      <c r="W1454" s="10"/>
      <c r="X1454" s="10"/>
      <c r="Y1454" s="10"/>
      <c r="Z1454" s="10"/>
      <c r="AA1454" s="11" t="str">
        <f t="shared" si="45"/>
        <v/>
      </c>
    </row>
    <row r="1455" spans="16:27" ht="15" customHeight="1">
      <c r="P1455" t="str">
        <f t="shared" si="44"/>
        <v/>
      </c>
      <c r="Q1455" t="str">
        <f>IF(P1455="","",IFERROR(IF(AND(H1455="W7",OR(F1455="causal",F1455="predictive")),IF(AND(OR(K1455=1,K1455="1"),OR(L1455=1,L1455="1"),OR(M1455=1,M1455="1")),"adequate","partial"),IF(AND(H1455="W4",F1455="predictive",OR(J1455="P2",J1455="P3",J1455="P4")),IF(OR(U1455=1,U1455="1"),"adequate","partial"),INDEX(Fit_Matrix!$B:$B,MATCH(P1455,Fit_Matrix!$A:$A,0)))),"CHECK KEY"))</f>
        <v/>
      </c>
      <c r="U1455" s="10"/>
      <c r="V1455" s="10"/>
      <c r="W1455" s="10"/>
      <c r="X1455" s="10"/>
      <c r="Y1455" s="10"/>
      <c r="Z1455" s="10"/>
      <c r="AA1455" s="11" t="str">
        <f t="shared" si="45"/>
        <v/>
      </c>
    </row>
    <row r="1456" spans="16:27" ht="15" customHeight="1">
      <c r="P1456" t="str">
        <f t="shared" si="44"/>
        <v/>
      </c>
      <c r="Q1456" t="str">
        <f>IF(P1456="","",IFERROR(IF(AND(H1456="W7",OR(F1456="causal",F1456="predictive")),IF(AND(OR(K1456=1,K1456="1"),OR(L1456=1,L1456="1"),OR(M1456=1,M1456="1")),"adequate","partial"),IF(AND(H1456="W4",F1456="predictive",OR(J1456="P2",J1456="P3",J1456="P4")),IF(OR(U1456=1,U1456="1"),"adequate","partial"),INDEX(Fit_Matrix!$B:$B,MATCH(P1456,Fit_Matrix!$A:$A,0)))),"CHECK KEY"))</f>
        <v/>
      </c>
      <c r="U1456" s="10"/>
      <c r="V1456" s="10"/>
      <c r="W1456" s="10"/>
      <c r="X1456" s="10"/>
      <c r="Y1456" s="10"/>
      <c r="Z1456" s="10"/>
      <c r="AA1456" s="11" t="str">
        <f t="shared" si="45"/>
        <v/>
      </c>
    </row>
    <row r="1457" spans="16:27" ht="15" customHeight="1">
      <c r="P1457" t="str">
        <f t="shared" si="44"/>
        <v/>
      </c>
      <c r="Q1457" t="str">
        <f>IF(P1457="","",IFERROR(IF(AND(H1457="W7",OR(F1457="causal",F1457="predictive")),IF(AND(OR(K1457=1,K1457="1"),OR(L1457=1,L1457="1"),OR(M1457=1,M1457="1")),"adequate","partial"),IF(AND(H1457="W4",F1457="predictive",OR(J1457="P2",J1457="P3",J1457="P4")),IF(OR(U1457=1,U1457="1"),"adequate","partial"),INDEX(Fit_Matrix!$B:$B,MATCH(P1457,Fit_Matrix!$A:$A,0)))),"CHECK KEY"))</f>
        <v/>
      </c>
      <c r="U1457" s="10"/>
      <c r="V1457" s="10"/>
      <c r="W1457" s="10"/>
      <c r="X1457" s="10"/>
      <c r="Y1457" s="10"/>
      <c r="Z1457" s="10"/>
      <c r="AA1457" s="11" t="str">
        <f t="shared" si="45"/>
        <v/>
      </c>
    </row>
    <row r="1458" spans="16:27" ht="15" customHeight="1">
      <c r="P1458" t="str">
        <f t="shared" si="44"/>
        <v/>
      </c>
      <c r="Q1458" t="str">
        <f>IF(P1458="","",IFERROR(IF(AND(H1458="W7",OR(F1458="causal",F1458="predictive")),IF(AND(OR(K1458=1,K1458="1"),OR(L1458=1,L1458="1"),OR(M1458=1,M1458="1")),"adequate","partial"),IF(AND(H1458="W4",F1458="predictive",OR(J1458="P2",J1458="P3",J1458="P4")),IF(OR(U1458=1,U1458="1"),"adequate","partial"),INDEX(Fit_Matrix!$B:$B,MATCH(P1458,Fit_Matrix!$A:$A,0)))),"CHECK KEY"))</f>
        <v/>
      </c>
      <c r="U1458" s="10"/>
      <c r="V1458" s="10"/>
      <c r="W1458" s="10"/>
      <c r="X1458" s="10"/>
      <c r="Y1458" s="10"/>
      <c r="Z1458" s="10"/>
      <c r="AA1458" s="11" t="str">
        <f t="shared" si="45"/>
        <v/>
      </c>
    </row>
    <row r="1459" spans="16:27" ht="15" customHeight="1">
      <c r="P1459" t="str">
        <f t="shared" si="44"/>
        <v/>
      </c>
      <c r="Q1459" t="str">
        <f>IF(P1459="","",IFERROR(IF(AND(H1459="W7",OR(F1459="causal",F1459="predictive")),IF(AND(OR(K1459=1,K1459="1"),OR(L1459=1,L1459="1"),OR(M1459=1,M1459="1")),"adequate","partial"),IF(AND(H1459="W4",F1459="predictive",OR(J1459="P2",J1459="P3",J1459="P4")),IF(OR(U1459=1,U1459="1"),"adequate","partial"),INDEX(Fit_Matrix!$B:$B,MATCH(P1459,Fit_Matrix!$A:$A,0)))),"CHECK KEY"))</f>
        <v/>
      </c>
      <c r="U1459" s="10"/>
      <c r="V1459" s="10"/>
      <c r="W1459" s="10"/>
      <c r="X1459" s="10"/>
      <c r="Y1459" s="10"/>
      <c r="Z1459" s="10"/>
      <c r="AA1459" s="11" t="str">
        <f t="shared" si="45"/>
        <v/>
      </c>
    </row>
    <row r="1460" spans="16:27" ht="15" customHeight="1">
      <c r="P1460" t="str">
        <f t="shared" si="44"/>
        <v/>
      </c>
      <c r="Q1460" t="str">
        <f>IF(P1460="","",IFERROR(IF(AND(H1460="W7",OR(F1460="causal",F1460="predictive")),IF(AND(OR(K1460=1,K1460="1"),OR(L1460=1,L1460="1"),OR(M1460=1,M1460="1")),"adequate","partial"),IF(AND(H1460="W4",F1460="predictive",OR(J1460="P2",J1460="P3",J1460="P4")),IF(OR(U1460=1,U1460="1"),"adequate","partial"),INDEX(Fit_Matrix!$B:$B,MATCH(P1460,Fit_Matrix!$A:$A,0)))),"CHECK KEY"))</f>
        <v/>
      </c>
      <c r="U1460" s="10"/>
      <c r="V1460" s="10"/>
      <c r="W1460" s="10"/>
      <c r="X1460" s="10"/>
      <c r="Y1460" s="10"/>
      <c r="Z1460" s="10"/>
      <c r="AA1460" s="11" t="str">
        <f t="shared" si="45"/>
        <v/>
      </c>
    </row>
    <row r="1461" spans="16:27" ht="15" customHeight="1">
      <c r="P1461" t="str">
        <f t="shared" si="44"/>
        <v/>
      </c>
      <c r="Q1461" t="str">
        <f>IF(P1461="","",IFERROR(IF(AND(H1461="W7",OR(F1461="causal",F1461="predictive")),IF(AND(OR(K1461=1,K1461="1"),OR(L1461=1,L1461="1"),OR(M1461=1,M1461="1")),"adequate","partial"),IF(AND(H1461="W4",F1461="predictive",OR(J1461="P2",J1461="P3",J1461="P4")),IF(OR(U1461=1,U1461="1"),"adequate","partial"),INDEX(Fit_Matrix!$B:$B,MATCH(P1461,Fit_Matrix!$A:$A,0)))),"CHECK KEY"))</f>
        <v/>
      </c>
      <c r="U1461" s="10"/>
      <c r="V1461" s="10"/>
      <c r="W1461" s="10"/>
      <c r="X1461" s="10"/>
      <c r="Y1461" s="10"/>
      <c r="Z1461" s="10"/>
      <c r="AA1461" s="11" t="str">
        <f t="shared" si="45"/>
        <v/>
      </c>
    </row>
    <row r="1462" spans="16:27" ht="15" customHeight="1">
      <c r="P1462" t="str">
        <f t="shared" si="44"/>
        <v/>
      </c>
      <c r="Q1462" t="str">
        <f>IF(P1462="","",IFERROR(IF(AND(H1462="W7",OR(F1462="causal",F1462="predictive")),IF(AND(OR(K1462=1,K1462="1"),OR(L1462=1,L1462="1"),OR(M1462=1,M1462="1")),"adequate","partial"),IF(AND(H1462="W4",F1462="predictive",OR(J1462="P2",J1462="P3",J1462="P4")),IF(OR(U1462=1,U1462="1"),"adequate","partial"),INDEX(Fit_Matrix!$B:$B,MATCH(P1462,Fit_Matrix!$A:$A,0)))),"CHECK KEY"))</f>
        <v/>
      </c>
      <c r="U1462" s="10"/>
      <c r="V1462" s="10"/>
      <c r="W1462" s="10"/>
      <c r="X1462" s="10"/>
      <c r="Y1462" s="10"/>
      <c r="Z1462" s="10"/>
      <c r="AA1462" s="11" t="str">
        <f t="shared" si="45"/>
        <v/>
      </c>
    </row>
    <row r="1463" spans="16:27" ht="15" customHeight="1">
      <c r="P1463" t="str">
        <f t="shared" si="44"/>
        <v/>
      </c>
      <c r="Q1463" t="str">
        <f>IF(P1463="","",IFERROR(IF(AND(H1463="W7",OR(F1463="causal",F1463="predictive")),IF(AND(OR(K1463=1,K1463="1"),OR(L1463=1,L1463="1"),OR(M1463=1,M1463="1")),"adequate","partial"),IF(AND(H1463="W4",F1463="predictive",OR(J1463="P2",J1463="P3",J1463="P4")),IF(OR(U1463=1,U1463="1"),"adequate","partial"),INDEX(Fit_Matrix!$B:$B,MATCH(P1463,Fit_Matrix!$A:$A,0)))),"CHECK KEY"))</f>
        <v/>
      </c>
      <c r="U1463" s="10"/>
      <c r="V1463" s="10"/>
      <c r="W1463" s="10"/>
      <c r="X1463" s="10"/>
      <c r="Y1463" s="10"/>
      <c r="Z1463" s="10"/>
      <c r="AA1463" s="11" t="str">
        <f t="shared" si="45"/>
        <v/>
      </c>
    </row>
    <row r="1464" spans="16:27" ht="15" customHeight="1">
      <c r="P1464" t="str">
        <f t="shared" si="44"/>
        <v/>
      </c>
      <c r="Q1464" t="str">
        <f>IF(P1464="","",IFERROR(IF(AND(H1464="W7",OR(F1464="causal",F1464="predictive")),IF(AND(OR(K1464=1,K1464="1"),OR(L1464=1,L1464="1"),OR(M1464=1,M1464="1")),"adequate","partial"),IF(AND(H1464="W4",F1464="predictive",OR(J1464="P2",J1464="P3",J1464="P4")),IF(OR(U1464=1,U1464="1"),"adequate","partial"),INDEX(Fit_Matrix!$B:$B,MATCH(P1464,Fit_Matrix!$A:$A,0)))),"CHECK KEY"))</f>
        <v/>
      </c>
      <c r="U1464" s="10"/>
      <c r="V1464" s="10"/>
      <c r="W1464" s="10"/>
      <c r="X1464" s="10"/>
      <c r="Y1464" s="10"/>
      <c r="Z1464" s="10"/>
      <c r="AA1464" s="11" t="str">
        <f t="shared" si="45"/>
        <v/>
      </c>
    </row>
    <row r="1465" spans="16:27" ht="15" customHeight="1">
      <c r="P1465" t="str">
        <f t="shared" si="44"/>
        <v/>
      </c>
      <c r="Q1465" t="str">
        <f>IF(P1465="","",IFERROR(IF(AND(H1465="W7",OR(F1465="causal",F1465="predictive")),IF(AND(OR(K1465=1,K1465="1"),OR(L1465=1,L1465="1"),OR(M1465=1,M1465="1")),"adequate","partial"),IF(AND(H1465="W4",F1465="predictive",OR(J1465="P2",J1465="P3",J1465="P4")),IF(OR(U1465=1,U1465="1"),"adequate","partial"),INDEX(Fit_Matrix!$B:$B,MATCH(P1465,Fit_Matrix!$A:$A,0)))),"CHECK KEY"))</f>
        <v/>
      </c>
      <c r="U1465" s="10"/>
      <c r="V1465" s="10"/>
      <c r="W1465" s="10"/>
      <c r="X1465" s="10"/>
      <c r="Y1465" s="10"/>
      <c r="Z1465" s="10"/>
      <c r="AA1465" s="11" t="str">
        <f t="shared" si="45"/>
        <v/>
      </c>
    </row>
    <row r="1466" spans="16:27" ht="15" customHeight="1">
      <c r="P1466" t="str">
        <f t="shared" si="44"/>
        <v/>
      </c>
      <c r="Q1466" t="str">
        <f>IF(P1466="","",IFERROR(IF(AND(H1466="W7",OR(F1466="causal",F1466="predictive")),IF(AND(OR(K1466=1,K1466="1"),OR(L1466=1,L1466="1"),OR(M1466=1,M1466="1")),"adequate","partial"),IF(AND(H1466="W4",F1466="predictive",OR(J1466="P2",J1466="P3",J1466="P4")),IF(OR(U1466=1,U1466="1"),"adequate","partial"),INDEX(Fit_Matrix!$B:$B,MATCH(P1466,Fit_Matrix!$A:$A,0)))),"CHECK KEY"))</f>
        <v/>
      </c>
      <c r="U1466" s="10"/>
      <c r="V1466" s="10"/>
      <c r="W1466" s="10"/>
      <c r="X1466" s="10"/>
      <c r="Y1466" s="10"/>
      <c r="Z1466" s="10"/>
      <c r="AA1466" s="11" t="str">
        <f t="shared" si="45"/>
        <v/>
      </c>
    </row>
    <row r="1467" spans="16:27" ht="15" customHeight="1">
      <c r="P1467" t="str">
        <f t="shared" si="44"/>
        <v/>
      </c>
      <c r="Q1467" t="str">
        <f>IF(P1467="","",IFERROR(IF(AND(H1467="W7",OR(F1467="causal",F1467="predictive")),IF(AND(OR(K1467=1,K1467="1"),OR(L1467=1,L1467="1"),OR(M1467=1,M1467="1")),"adequate","partial"),IF(AND(H1467="W4",F1467="predictive",OR(J1467="P2",J1467="P3",J1467="P4")),IF(OR(U1467=1,U1467="1"),"adequate","partial"),INDEX(Fit_Matrix!$B:$B,MATCH(P1467,Fit_Matrix!$A:$A,0)))),"CHECK KEY"))</f>
        <v/>
      </c>
      <c r="U1467" s="10"/>
      <c r="V1467" s="10"/>
      <c r="W1467" s="10"/>
      <c r="X1467" s="10"/>
      <c r="Y1467" s="10"/>
      <c r="Z1467" s="10"/>
      <c r="AA1467" s="11" t="str">
        <f t="shared" si="45"/>
        <v/>
      </c>
    </row>
    <row r="1468" spans="16:27" ht="15" customHeight="1">
      <c r="P1468" t="str">
        <f t="shared" si="44"/>
        <v/>
      </c>
      <c r="Q1468" t="str">
        <f>IF(P1468="","",IFERROR(IF(AND(H1468="W7",OR(F1468="causal",F1468="predictive")),IF(AND(OR(K1468=1,K1468="1"),OR(L1468=1,L1468="1"),OR(M1468=1,M1468="1")),"adequate","partial"),IF(AND(H1468="W4",F1468="predictive",OR(J1468="P2",J1468="P3",J1468="P4")),IF(OR(U1468=1,U1468="1"),"adequate","partial"),INDEX(Fit_Matrix!$B:$B,MATCH(P1468,Fit_Matrix!$A:$A,0)))),"CHECK KEY"))</f>
        <v/>
      </c>
      <c r="U1468" s="10"/>
      <c r="V1468" s="10"/>
      <c r="W1468" s="10"/>
      <c r="X1468" s="10"/>
      <c r="Y1468" s="10"/>
      <c r="Z1468" s="10"/>
      <c r="AA1468" s="11" t="str">
        <f t="shared" si="45"/>
        <v/>
      </c>
    </row>
    <row r="1469" spans="16:27" ht="15" customHeight="1">
      <c r="P1469" t="str">
        <f t="shared" si="44"/>
        <v/>
      </c>
      <c r="Q1469" t="str">
        <f>IF(P1469="","",IFERROR(IF(AND(H1469="W7",OR(F1469="causal",F1469="predictive")),IF(AND(OR(K1469=1,K1469="1"),OR(L1469=1,L1469="1"),OR(M1469=1,M1469="1")),"adequate","partial"),IF(AND(H1469="W4",F1469="predictive",OR(J1469="P2",J1469="P3",J1469="P4")),IF(OR(U1469=1,U1469="1"),"adequate","partial"),INDEX(Fit_Matrix!$B:$B,MATCH(P1469,Fit_Matrix!$A:$A,0)))),"CHECK KEY"))</f>
        <v/>
      </c>
      <c r="U1469" s="10"/>
      <c r="V1469" s="10"/>
      <c r="W1469" s="10"/>
      <c r="X1469" s="10"/>
      <c r="Y1469" s="10"/>
      <c r="Z1469" s="10"/>
      <c r="AA1469" s="11" t="str">
        <f t="shared" si="45"/>
        <v/>
      </c>
    </row>
    <row r="1470" spans="16:27" ht="15" customHeight="1">
      <c r="P1470" t="str">
        <f t="shared" si="44"/>
        <v/>
      </c>
      <c r="Q1470" t="str">
        <f>IF(P1470="","",IFERROR(IF(AND(H1470="W7",OR(F1470="causal",F1470="predictive")),IF(AND(OR(K1470=1,K1470="1"),OR(L1470=1,L1470="1"),OR(M1470=1,M1470="1")),"adequate","partial"),IF(AND(H1470="W4",F1470="predictive",OR(J1470="P2",J1470="P3",J1470="P4")),IF(OR(U1470=1,U1470="1"),"adequate","partial"),INDEX(Fit_Matrix!$B:$B,MATCH(P1470,Fit_Matrix!$A:$A,0)))),"CHECK KEY"))</f>
        <v/>
      </c>
      <c r="U1470" s="10"/>
      <c r="V1470" s="10"/>
      <c r="W1470" s="10"/>
      <c r="X1470" s="10"/>
      <c r="Y1470" s="10"/>
      <c r="Z1470" s="10"/>
      <c r="AA1470" s="11" t="str">
        <f t="shared" si="45"/>
        <v/>
      </c>
    </row>
    <row r="1471" spans="16:27" ht="15" customHeight="1">
      <c r="P1471" t="str">
        <f t="shared" si="44"/>
        <v/>
      </c>
      <c r="Q1471" t="str">
        <f>IF(P1471="","",IFERROR(IF(AND(H1471="W7",OR(F1471="causal",F1471="predictive")),IF(AND(OR(K1471=1,K1471="1"),OR(L1471=1,L1471="1"),OR(M1471=1,M1471="1")),"adequate","partial"),IF(AND(H1471="W4",F1471="predictive",OR(J1471="P2",J1471="P3",J1471="P4")),IF(OR(U1471=1,U1471="1"),"adequate","partial"),INDEX(Fit_Matrix!$B:$B,MATCH(P1471,Fit_Matrix!$A:$A,0)))),"CHECK KEY"))</f>
        <v/>
      </c>
      <c r="U1471" s="10"/>
      <c r="V1471" s="10"/>
      <c r="W1471" s="10"/>
      <c r="X1471" s="10"/>
      <c r="Y1471" s="10"/>
      <c r="Z1471" s="10"/>
      <c r="AA1471" s="11" t="str">
        <f t="shared" si="45"/>
        <v/>
      </c>
    </row>
    <row r="1472" spans="16:27" ht="15" customHeight="1">
      <c r="P1472" t="str">
        <f t="shared" si="44"/>
        <v/>
      </c>
      <c r="Q1472" t="str">
        <f>IF(P1472="","",IFERROR(IF(AND(H1472="W7",OR(F1472="causal",F1472="predictive")),IF(AND(OR(K1472=1,K1472="1"),OR(L1472=1,L1472="1"),OR(M1472=1,M1472="1")),"adequate","partial"),IF(AND(H1472="W4",F1472="predictive",OR(J1472="P2",J1472="P3",J1472="P4")),IF(OR(U1472=1,U1472="1"),"adequate","partial"),INDEX(Fit_Matrix!$B:$B,MATCH(P1472,Fit_Matrix!$A:$A,0)))),"CHECK KEY"))</f>
        <v/>
      </c>
      <c r="U1472" s="10"/>
      <c r="V1472" s="10"/>
      <c r="W1472" s="10"/>
      <c r="X1472" s="10"/>
      <c r="Y1472" s="10"/>
      <c r="Z1472" s="10"/>
      <c r="AA1472" s="11" t="str">
        <f t="shared" si="45"/>
        <v/>
      </c>
    </row>
    <row r="1473" spans="16:27" ht="15" customHeight="1">
      <c r="P1473" t="str">
        <f t="shared" si="44"/>
        <v/>
      </c>
      <c r="Q1473" t="str">
        <f>IF(P1473="","",IFERROR(IF(AND(H1473="W7",OR(F1473="causal",F1473="predictive")),IF(AND(OR(K1473=1,K1473="1"),OR(L1473=1,L1473="1"),OR(M1473=1,M1473="1")),"adequate","partial"),IF(AND(H1473="W4",F1473="predictive",OR(J1473="P2",J1473="P3",J1473="P4")),IF(OR(U1473=1,U1473="1"),"adequate","partial"),INDEX(Fit_Matrix!$B:$B,MATCH(P1473,Fit_Matrix!$A:$A,0)))),"CHECK KEY"))</f>
        <v/>
      </c>
      <c r="U1473" s="10"/>
      <c r="V1473" s="10"/>
      <c r="W1473" s="10"/>
      <c r="X1473" s="10"/>
      <c r="Y1473" s="10"/>
      <c r="Z1473" s="10"/>
      <c r="AA1473" s="11" t="str">
        <f t="shared" si="45"/>
        <v/>
      </c>
    </row>
    <row r="1474" spans="16:27" ht="15" customHeight="1">
      <c r="P1474" t="str">
        <f t="shared" ref="P1474:P1537" si="46">IF(OR(F1474="",H1474="",J1474=""),"",J1474&amp;"|"&amp;F1474&amp;"|"&amp;IF(H1474="W3","W3_"&amp;IF(I1474="","unknown",I1474),H1474))</f>
        <v/>
      </c>
      <c r="Q1474" t="str">
        <f>IF(P1474="","",IFERROR(IF(AND(H1474="W7",OR(F1474="causal",F1474="predictive")),IF(AND(OR(K1474=1,K1474="1"),OR(L1474=1,L1474="1"),OR(M1474=1,M1474="1")),"adequate","partial"),IF(AND(H1474="W4",F1474="predictive",OR(J1474="P2",J1474="P3",J1474="P4")),IF(OR(U1474=1,U1474="1"),"adequate","partial"),INDEX(Fit_Matrix!$B:$B,MATCH(P1474,Fit_Matrix!$A:$A,0)))),"CHECK KEY"))</f>
        <v/>
      </c>
      <c r="U1474" s="10"/>
      <c r="V1474" s="10"/>
      <c r="W1474" s="10"/>
      <c r="X1474" s="10"/>
      <c r="Y1474" s="10"/>
      <c r="Z1474" s="10"/>
      <c r="AA1474" s="11" t="str">
        <f t="shared" ref="AA1474:AA1537" si="47">IF(A1474="","",IF(AND(J1474="P4",F1474="causal"),"P4-CAUSAL",""))</f>
        <v/>
      </c>
    </row>
    <row r="1475" spans="16:27" ht="15" customHeight="1">
      <c r="P1475" t="str">
        <f t="shared" si="46"/>
        <v/>
      </c>
      <c r="Q1475" t="str">
        <f>IF(P1475="","",IFERROR(IF(AND(H1475="W7",OR(F1475="causal",F1475="predictive")),IF(AND(OR(K1475=1,K1475="1"),OR(L1475=1,L1475="1"),OR(M1475=1,M1475="1")),"adequate","partial"),IF(AND(H1475="W4",F1475="predictive",OR(J1475="P2",J1475="P3",J1475="P4")),IF(OR(U1475=1,U1475="1"),"adequate","partial"),INDEX(Fit_Matrix!$B:$B,MATCH(P1475,Fit_Matrix!$A:$A,0)))),"CHECK KEY"))</f>
        <v/>
      </c>
      <c r="U1475" s="10"/>
      <c r="V1475" s="10"/>
      <c r="W1475" s="10"/>
      <c r="X1475" s="10"/>
      <c r="Y1475" s="10"/>
      <c r="Z1475" s="10"/>
      <c r="AA1475" s="11" t="str">
        <f t="shared" si="47"/>
        <v/>
      </c>
    </row>
    <row r="1476" spans="16:27" ht="15" customHeight="1">
      <c r="P1476" t="str">
        <f t="shared" si="46"/>
        <v/>
      </c>
      <c r="Q1476" t="str">
        <f>IF(P1476="","",IFERROR(IF(AND(H1476="W7",OR(F1476="causal",F1476="predictive")),IF(AND(OR(K1476=1,K1476="1"),OR(L1476=1,L1476="1"),OR(M1476=1,M1476="1")),"adequate","partial"),IF(AND(H1476="W4",F1476="predictive",OR(J1476="P2",J1476="P3",J1476="P4")),IF(OR(U1476=1,U1476="1"),"adequate","partial"),INDEX(Fit_Matrix!$B:$B,MATCH(P1476,Fit_Matrix!$A:$A,0)))),"CHECK KEY"))</f>
        <v/>
      </c>
      <c r="U1476" s="10"/>
      <c r="V1476" s="10"/>
      <c r="W1476" s="10"/>
      <c r="X1476" s="10"/>
      <c r="Y1476" s="10"/>
      <c r="Z1476" s="10"/>
      <c r="AA1476" s="11" t="str">
        <f t="shared" si="47"/>
        <v/>
      </c>
    </row>
    <row r="1477" spans="16:27" ht="15" customHeight="1">
      <c r="P1477" t="str">
        <f t="shared" si="46"/>
        <v/>
      </c>
      <c r="Q1477" t="str">
        <f>IF(P1477="","",IFERROR(IF(AND(H1477="W7",OR(F1477="causal",F1477="predictive")),IF(AND(OR(K1477=1,K1477="1"),OR(L1477=1,L1477="1"),OR(M1477=1,M1477="1")),"adequate","partial"),IF(AND(H1477="W4",F1477="predictive",OR(J1477="P2",J1477="P3",J1477="P4")),IF(OR(U1477=1,U1477="1"),"adequate","partial"),INDEX(Fit_Matrix!$B:$B,MATCH(P1477,Fit_Matrix!$A:$A,0)))),"CHECK KEY"))</f>
        <v/>
      </c>
      <c r="U1477" s="10"/>
      <c r="V1477" s="10"/>
      <c r="W1477" s="10"/>
      <c r="X1477" s="10"/>
      <c r="Y1477" s="10"/>
      <c r="Z1477" s="10"/>
      <c r="AA1477" s="11" t="str">
        <f t="shared" si="47"/>
        <v/>
      </c>
    </row>
    <row r="1478" spans="16:27" ht="15" customHeight="1">
      <c r="P1478" t="str">
        <f t="shared" si="46"/>
        <v/>
      </c>
      <c r="Q1478" t="str">
        <f>IF(P1478="","",IFERROR(IF(AND(H1478="W7",OR(F1478="causal",F1478="predictive")),IF(AND(OR(K1478=1,K1478="1"),OR(L1478=1,L1478="1"),OR(M1478=1,M1478="1")),"adequate","partial"),IF(AND(H1478="W4",F1478="predictive",OR(J1478="P2",J1478="P3",J1478="P4")),IF(OR(U1478=1,U1478="1"),"adequate","partial"),INDEX(Fit_Matrix!$B:$B,MATCH(P1478,Fit_Matrix!$A:$A,0)))),"CHECK KEY"))</f>
        <v/>
      </c>
      <c r="U1478" s="10"/>
      <c r="V1478" s="10"/>
      <c r="W1478" s="10"/>
      <c r="X1478" s="10"/>
      <c r="Y1478" s="10"/>
      <c r="Z1478" s="10"/>
      <c r="AA1478" s="11" t="str">
        <f t="shared" si="47"/>
        <v/>
      </c>
    </row>
    <row r="1479" spans="16:27" ht="15" customHeight="1">
      <c r="P1479" t="str">
        <f t="shared" si="46"/>
        <v/>
      </c>
      <c r="Q1479" t="str">
        <f>IF(P1479="","",IFERROR(IF(AND(H1479="W7",OR(F1479="causal",F1479="predictive")),IF(AND(OR(K1479=1,K1479="1"),OR(L1479=1,L1479="1"),OR(M1479=1,M1479="1")),"adequate","partial"),IF(AND(H1479="W4",F1479="predictive",OR(J1479="P2",J1479="P3",J1479="P4")),IF(OR(U1479=1,U1479="1"),"adequate","partial"),INDEX(Fit_Matrix!$B:$B,MATCH(P1479,Fit_Matrix!$A:$A,0)))),"CHECK KEY"))</f>
        <v/>
      </c>
      <c r="U1479" s="10"/>
      <c r="V1479" s="10"/>
      <c r="W1479" s="10"/>
      <c r="X1479" s="10"/>
      <c r="Y1479" s="10"/>
      <c r="Z1479" s="10"/>
      <c r="AA1479" s="11" t="str">
        <f t="shared" si="47"/>
        <v/>
      </c>
    </row>
    <row r="1480" spans="16:27" ht="15" customHeight="1">
      <c r="P1480" t="str">
        <f t="shared" si="46"/>
        <v/>
      </c>
      <c r="Q1480" t="str">
        <f>IF(P1480="","",IFERROR(IF(AND(H1480="W7",OR(F1480="causal",F1480="predictive")),IF(AND(OR(K1480=1,K1480="1"),OR(L1480=1,L1480="1"),OR(M1480=1,M1480="1")),"adequate","partial"),IF(AND(H1480="W4",F1480="predictive",OR(J1480="P2",J1480="P3",J1480="P4")),IF(OR(U1480=1,U1480="1"),"adequate","partial"),INDEX(Fit_Matrix!$B:$B,MATCH(P1480,Fit_Matrix!$A:$A,0)))),"CHECK KEY"))</f>
        <v/>
      </c>
      <c r="U1480" s="10"/>
      <c r="V1480" s="10"/>
      <c r="W1480" s="10"/>
      <c r="X1480" s="10"/>
      <c r="Y1480" s="10"/>
      <c r="Z1480" s="10"/>
      <c r="AA1480" s="11" t="str">
        <f t="shared" si="47"/>
        <v/>
      </c>
    </row>
    <row r="1481" spans="16:27" ht="15" customHeight="1">
      <c r="P1481" t="str">
        <f t="shared" si="46"/>
        <v/>
      </c>
      <c r="Q1481" t="str">
        <f>IF(P1481="","",IFERROR(IF(AND(H1481="W7",OR(F1481="causal",F1481="predictive")),IF(AND(OR(K1481=1,K1481="1"),OR(L1481=1,L1481="1"),OR(M1481=1,M1481="1")),"adequate","partial"),IF(AND(H1481="W4",F1481="predictive",OR(J1481="P2",J1481="P3",J1481="P4")),IF(OR(U1481=1,U1481="1"),"adequate","partial"),INDEX(Fit_Matrix!$B:$B,MATCH(P1481,Fit_Matrix!$A:$A,0)))),"CHECK KEY"))</f>
        <v/>
      </c>
      <c r="U1481" s="10"/>
      <c r="V1481" s="10"/>
      <c r="W1481" s="10"/>
      <c r="X1481" s="10"/>
      <c r="Y1481" s="10"/>
      <c r="Z1481" s="10"/>
      <c r="AA1481" s="11" t="str">
        <f t="shared" si="47"/>
        <v/>
      </c>
    </row>
    <row r="1482" spans="16:27" ht="15" customHeight="1">
      <c r="P1482" t="str">
        <f t="shared" si="46"/>
        <v/>
      </c>
      <c r="Q1482" t="str">
        <f>IF(P1482="","",IFERROR(IF(AND(H1482="W7",OR(F1482="causal",F1482="predictive")),IF(AND(OR(K1482=1,K1482="1"),OR(L1482=1,L1482="1"),OR(M1482=1,M1482="1")),"adequate","partial"),IF(AND(H1482="W4",F1482="predictive",OR(J1482="P2",J1482="P3",J1482="P4")),IF(OR(U1482=1,U1482="1"),"adequate","partial"),INDEX(Fit_Matrix!$B:$B,MATCH(P1482,Fit_Matrix!$A:$A,0)))),"CHECK KEY"))</f>
        <v/>
      </c>
      <c r="U1482" s="10"/>
      <c r="V1482" s="10"/>
      <c r="W1482" s="10"/>
      <c r="X1482" s="10"/>
      <c r="Y1482" s="10"/>
      <c r="Z1482" s="10"/>
      <c r="AA1482" s="11" t="str">
        <f t="shared" si="47"/>
        <v/>
      </c>
    </row>
    <row r="1483" spans="16:27" ht="15" customHeight="1">
      <c r="P1483" t="str">
        <f t="shared" si="46"/>
        <v/>
      </c>
      <c r="Q1483" t="str">
        <f>IF(P1483="","",IFERROR(IF(AND(H1483="W7",OR(F1483="causal",F1483="predictive")),IF(AND(OR(K1483=1,K1483="1"),OR(L1483=1,L1483="1"),OR(M1483=1,M1483="1")),"adequate","partial"),IF(AND(H1483="W4",F1483="predictive",OR(J1483="P2",J1483="P3",J1483="P4")),IF(OR(U1483=1,U1483="1"),"adequate","partial"),INDEX(Fit_Matrix!$B:$B,MATCH(P1483,Fit_Matrix!$A:$A,0)))),"CHECK KEY"))</f>
        <v/>
      </c>
      <c r="U1483" s="10"/>
      <c r="V1483" s="10"/>
      <c r="W1483" s="10"/>
      <c r="X1483" s="10"/>
      <c r="Y1483" s="10"/>
      <c r="Z1483" s="10"/>
      <c r="AA1483" s="11" t="str">
        <f t="shared" si="47"/>
        <v/>
      </c>
    </row>
    <row r="1484" spans="16:27" ht="15" customHeight="1">
      <c r="P1484" t="str">
        <f t="shared" si="46"/>
        <v/>
      </c>
      <c r="Q1484" t="str">
        <f>IF(P1484="","",IFERROR(IF(AND(H1484="W7",OR(F1484="causal",F1484="predictive")),IF(AND(OR(K1484=1,K1484="1"),OR(L1484=1,L1484="1"),OR(M1484=1,M1484="1")),"adequate","partial"),IF(AND(H1484="W4",F1484="predictive",OR(J1484="P2",J1484="P3",J1484="P4")),IF(OR(U1484=1,U1484="1"),"adequate","partial"),INDEX(Fit_Matrix!$B:$B,MATCH(P1484,Fit_Matrix!$A:$A,0)))),"CHECK KEY"))</f>
        <v/>
      </c>
      <c r="U1484" s="10"/>
      <c r="V1484" s="10"/>
      <c r="W1484" s="10"/>
      <c r="X1484" s="10"/>
      <c r="Y1484" s="10"/>
      <c r="Z1484" s="10"/>
      <c r="AA1484" s="11" t="str">
        <f t="shared" si="47"/>
        <v/>
      </c>
    </row>
    <row r="1485" spans="16:27" ht="15" customHeight="1">
      <c r="P1485" t="str">
        <f t="shared" si="46"/>
        <v/>
      </c>
      <c r="Q1485" t="str">
        <f>IF(P1485="","",IFERROR(IF(AND(H1485="W7",OR(F1485="causal",F1485="predictive")),IF(AND(OR(K1485=1,K1485="1"),OR(L1485=1,L1485="1"),OR(M1485=1,M1485="1")),"adequate","partial"),IF(AND(H1485="W4",F1485="predictive",OR(J1485="P2",J1485="P3",J1485="P4")),IF(OR(U1485=1,U1485="1"),"adequate","partial"),INDEX(Fit_Matrix!$B:$B,MATCH(P1485,Fit_Matrix!$A:$A,0)))),"CHECK KEY"))</f>
        <v/>
      </c>
      <c r="U1485" s="10"/>
      <c r="V1485" s="10"/>
      <c r="W1485" s="10"/>
      <c r="X1485" s="10"/>
      <c r="Y1485" s="10"/>
      <c r="Z1485" s="10"/>
      <c r="AA1485" s="11" t="str">
        <f t="shared" si="47"/>
        <v/>
      </c>
    </row>
    <row r="1486" spans="16:27" ht="15" customHeight="1">
      <c r="P1486" t="str">
        <f t="shared" si="46"/>
        <v/>
      </c>
      <c r="Q1486" t="str">
        <f>IF(P1486="","",IFERROR(IF(AND(H1486="W7",OR(F1486="causal",F1486="predictive")),IF(AND(OR(K1486=1,K1486="1"),OR(L1486=1,L1486="1"),OR(M1486=1,M1486="1")),"adequate","partial"),IF(AND(H1486="W4",F1486="predictive",OR(J1486="P2",J1486="P3",J1486="P4")),IF(OR(U1486=1,U1486="1"),"adequate","partial"),INDEX(Fit_Matrix!$B:$B,MATCH(P1486,Fit_Matrix!$A:$A,0)))),"CHECK KEY"))</f>
        <v/>
      </c>
      <c r="U1486" s="10"/>
      <c r="V1486" s="10"/>
      <c r="W1486" s="10"/>
      <c r="X1486" s="10"/>
      <c r="Y1486" s="10"/>
      <c r="Z1486" s="10"/>
      <c r="AA1486" s="11" t="str">
        <f t="shared" si="47"/>
        <v/>
      </c>
    </row>
    <row r="1487" spans="16:27" ht="15" customHeight="1">
      <c r="P1487" t="str">
        <f t="shared" si="46"/>
        <v/>
      </c>
      <c r="Q1487" t="str">
        <f>IF(P1487="","",IFERROR(IF(AND(H1487="W7",OR(F1487="causal",F1487="predictive")),IF(AND(OR(K1487=1,K1487="1"),OR(L1487=1,L1487="1"),OR(M1487=1,M1487="1")),"adequate","partial"),IF(AND(H1487="W4",F1487="predictive",OR(J1487="P2",J1487="P3",J1487="P4")),IF(OR(U1487=1,U1487="1"),"adequate","partial"),INDEX(Fit_Matrix!$B:$B,MATCH(P1487,Fit_Matrix!$A:$A,0)))),"CHECK KEY"))</f>
        <v/>
      </c>
      <c r="U1487" s="10"/>
      <c r="V1487" s="10"/>
      <c r="W1487" s="10"/>
      <c r="X1487" s="10"/>
      <c r="Y1487" s="10"/>
      <c r="Z1487" s="10"/>
      <c r="AA1487" s="11" t="str">
        <f t="shared" si="47"/>
        <v/>
      </c>
    </row>
    <row r="1488" spans="16:27" ht="15" customHeight="1">
      <c r="P1488" t="str">
        <f t="shared" si="46"/>
        <v/>
      </c>
      <c r="Q1488" t="str">
        <f>IF(P1488="","",IFERROR(IF(AND(H1488="W7",OR(F1488="causal",F1488="predictive")),IF(AND(OR(K1488=1,K1488="1"),OR(L1488=1,L1488="1"),OR(M1488=1,M1488="1")),"adequate","partial"),IF(AND(H1488="W4",F1488="predictive",OR(J1488="P2",J1488="P3",J1488="P4")),IF(OR(U1488=1,U1488="1"),"adequate","partial"),INDEX(Fit_Matrix!$B:$B,MATCH(P1488,Fit_Matrix!$A:$A,0)))),"CHECK KEY"))</f>
        <v/>
      </c>
      <c r="U1488" s="10"/>
      <c r="V1488" s="10"/>
      <c r="W1488" s="10"/>
      <c r="X1488" s="10"/>
      <c r="Y1488" s="10"/>
      <c r="Z1488" s="10"/>
      <c r="AA1488" s="11" t="str">
        <f t="shared" si="47"/>
        <v/>
      </c>
    </row>
    <row r="1489" spans="16:27" ht="15" customHeight="1">
      <c r="P1489" t="str">
        <f t="shared" si="46"/>
        <v/>
      </c>
      <c r="Q1489" t="str">
        <f>IF(P1489="","",IFERROR(IF(AND(H1489="W7",OR(F1489="causal",F1489="predictive")),IF(AND(OR(K1489=1,K1489="1"),OR(L1489=1,L1489="1"),OR(M1489=1,M1489="1")),"adequate","partial"),IF(AND(H1489="W4",F1489="predictive",OR(J1489="P2",J1489="P3",J1489="P4")),IF(OR(U1489=1,U1489="1"),"adequate","partial"),INDEX(Fit_Matrix!$B:$B,MATCH(P1489,Fit_Matrix!$A:$A,0)))),"CHECK KEY"))</f>
        <v/>
      </c>
      <c r="U1489" s="10"/>
      <c r="V1489" s="10"/>
      <c r="W1489" s="10"/>
      <c r="X1489" s="10"/>
      <c r="Y1489" s="10"/>
      <c r="Z1489" s="10"/>
      <c r="AA1489" s="11" t="str">
        <f t="shared" si="47"/>
        <v/>
      </c>
    </row>
    <row r="1490" spans="16:27" ht="15" customHeight="1">
      <c r="P1490" t="str">
        <f t="shared" si="46"/>
        <v/>
      </c>
      <c r="Q1490" t="str">
        <f>IF(P1490="","",IFERROR(IF(AND(H1490="W7",OR(F1490="causal",F1490="predictive")),IF(AND(OR(K1490=1,K1490="1"),OR(L1490=1,L1490="1"),OR(M1490=1,M1490="1")),"adequate","partial"),IF(AND(H1490="W4",F1490="predictive",OR(J1490="P2",J1490="P3",J1490="P4")),IF(OR(U1490=1,U1490="1"),"adequate","partial"),INDEX(Fit_Matrix!$B:$B,MATCH(P1490,Fit_Matrix!$A:$A,0)))),"CHECK KEY"))</f>
        <v/>
      </c>
      <c r="U1490" s="10"/>
      <c r="V1490" s="10"/>
      <c r="W1490" s="10"/>
      <c r="X1490" s="10"/>
      <c r="Y1490" s="10"/>
      <c r="Z1490" s="10"/>
      <c r="AA1490" s="11" t="str">
        <f t="shared" si="47"/>
        <v/>
      </c>
    </row>
    <row r="1491" spans="16:27" ht="15" customHeight="1">
      <c r="P1491" t="str">
        <f t="shared" si="46"/>
        <v/>
      </c>
      <c r="Q1491" t="str">
        <f>IF(P1491="","",IFERROR(IF(AND(H1491="W7",OR(F1491="causal",F1491="predictive")),IF(AND(OR(K1491=1,K1491="1"),OR(L1491=1,L1491="1"),OR(M1491=1,M1491="1")),"adequate","partial"),IF(AND(H1491="W4",F1491="predictive",OR(J1491="P2",J1491="P3",J1491="P4")),IF(OR(U1491=1,U1491="1"),"adequate","partial"),INDEX(Fit_Matrix!$B:$B,MATCH(P1491,Fit_Matrix!$A:$A,0)))),"CHECK KEY"))</f>
        <v/>
      </c>
      <c r="U1491" s="10"/>
      <c r="V1491" s="10"/>
      <c r="W1491" s="10"/>
      <c r="X1491" s="10"/>
      <c r="Y1491" s="10"/>
      <c r="Z1491" s="10"/>
      <c r="AA1491" s="11" t="str">
        <f t="shared" si="47"/>
        <v/>
      </c>
    </row>
    <row r="1492" spans="16:27" ht="15" customHeight="1">
      <c r="P1492" t="str">
        <f t="shared" si="46"/>
        <v/>
      </c>
      <c r="Q1492" t="str">
        <f>IF(P1492="","",IFERROR(IF(AND(H1492="W7",OR(F1492="causal",F1492="predictive")),IF(AND(OR(K1492=1,K1492="1"),OR(L1492=1,L1492="1"),OR(M1492=1,M1492="1")),"adequate","partial"),IF(AND(H1492="W4",F1492="predictive",OR(J1492="P2",J1492="P3",J1492="P4")),IF(OR(U1492=1,U1492="1"),"adequate","partial"),INDEX(Fit_Matrix!$B:$B,MATCH(P1492,Fit_Matrix!$A:$A,0)))),"CHECK KEY"))</f>
        <v/>
      </c>
      <c r="U1492" s="10"/>
      <c r="V1492" s="10"/>
      <c r="W1492" s="10"/>
      <c r="X1492" s="10"/>
      <c r="Y1492" s="10"/>
      <c r="Z1492" s="10"/>
      <c r="AA1492" s="11" t="str">
        <f t="shared" si="47"/>
        <v/>
      </c>
    </row>
    <row r="1493" spans="16:27" ht="15" customHeight="1">
      <c r="P1493" t="str">
        <f t="shared" si="46"/>
        <v/>
      </c>
      <c r="Q1493" t="str">
        <f>IF(P1493="","",IFERROR(IF(AND(H1493="W7",OR(F1493="causal",F1493="predictive")),IF(AND(OR(K1493=1,K1493="1"),OR(L1493=1,L1493="1"),OR(M1493=1,M1493="1")),"adequate","partial"),IF(AND(H1493="W4",F1493="predictive",OR(J1493="P2",J1493="P3",J1493="P4")),IF(OR(U1493=1,U1493="1"),"adequate","partial"),INDEX(Fit_Matrix!$B:$B,MATCH(P1493,Fit_Matrix!$A:$A,0)))),"CHECK KEY"))</f>
        <v/>
      </c>
      <c r="U1493" s="10"/>
      <c r="V1493" s="10"/>
      <c r="W1493" s="10"/>
      <c r="X1493" s="10"/>
      <c r="Y1493" s="10"/>
      <c r="Z1493" s="10"/>
      <c r="AA1493" s="11" t="str">
        <f t="shared" si="47"/>
        <v/>
      </c>
    </row>
    <row r="1494" spans="16:27" ht="15" customHeight="1">
      <c r="P1494" t="str">
        <f t="shared" si="46"/>
        <v/>
      </c>
      <c r="Q1494" t="str">
        <f>IF(P1494="","",IFERROR(IF(AND(H1494="W7",OR(F1494="causal",F1494="predictive")),IF(AND(OR(K1494=1,K1494="1"),OR(L1494=1,L1494="1"),OR(M1494=1,M1494="1")),"adequate","partial"),IF(AND(H1494="W4",F1494="predictive",OR(J1494="P2",J1494="P3",J1494="P4")),IF(OR(U1494=1,U1494="1"),"adequate","partial"),INDEX(Fit_Matrix!$B:$B,MATCH(P1494,Fit_Matrix!$A:$A,0)))),"CHECK KEY"))</f>
        <v/>
      </c>
      <c r="U1494" s="10"/>
      <c r="V1494" s="10"/>
      <c r="W1494" s="10"/>
      <c r="X1494" s="10"/>
      <c r="Y1494" s="10"/>
      <c r="Z1494" s="10"/>
      <c r="AA1494" s="11" t="str">
        <f t="shared" si="47"/>
        <v/>
      </c>
    </row>
    <row r="1495" spans="16:27" ht="15" customHeight="1">
      <c r="P1495" t="str">
        <f t="shared" si="46"/>
        <v/>
      </c>
      <c r="Q1495" t="str">
        <f>IF(P1495="","",IFERROR(IF(AND(H1495="W7",OR(F1495="causal",F1495="predictive")),IF(AND(OR(K1495=1,K1495="1"),OR(L1495=1,L1495="1"),OR(M1495=1,M1495="1")),"adequate","partial"),IF(AND(H1495="W4",F1495="predictive",OR(J1495="P2",J1495="P3",J1495="P4")),IF(OR(U1495=1,U1495="1"),"adequate","partial"),INDEX(Fit_Matrix!$B:$B,MATCH(P1495,Fit_Matrix!$A:$A,0)))),"CHECK KEY"))</f>
        <v/>
      </c>
      <c r="U1495" s="10"/>
      <c r="V1495" s="10"/>
      <c r="W1495" s="10"/>
      <c r="X1495" s="10"/>
      <c r="Y1495" s="10"/>
      <c r="Z1495" s="10"/>
      <c r="AA1495" s="11" t="str">
        <f t="shared" si="47"/>
        <v/>
      </c>
    </row>
    <row r="1496" spans="16:27" ht="15" customHeight="1">
      <c r="P1496" t="str">
        <f t="shared" si="46"/>
        <v/>
      </c>
      <c r="Q1496" t="str">
        <f>IF(P1496="","",IFERROR(IF(AND(H1496="W7",OR(F1496="causal",F1496="predictive")),IF(AND(OR(K1496=1,K1496="1"),OR(L1496=1,L1496="1"),OR(M1496=1,M1496="1")),"adequate","partial"),IF(AND(H1496="W4",F1496="predictive",OR(J1496="P2",J1496="P3",J1496="P4")),IF(OR(U1496=1,U1496="1"),"adequate","partial"),INDEX(Fit_Matrix!$B:$B,MATCH(P1496,Fit_Matrix!$A:$A,0)))),"CHECK KEY"))</f>
        <v/>
      </c>
      <c r="U1496" s="10"/>
      <c r="V1496" s="10"/>
      <c r="W1496" s="10"/>
      <c r="X1496" s="10"/>
      <c r="Y1496" s="10"/>
      <c r="Z1496" s="10"/>
      <c r="AA1496" s="11" t="str">
        <f t="shared" si="47"/>
        <v/>
      </c>
    </row>
    <row r="1497" spans="16:27" ht="15" customHeight="1">
      <c r="P1497" t="str">
        <f t="shared" si="46"/>
        <v/>
      </c>
      <c r="Q1497" t="str">
        <f>IF(P1497="","",IFERROR(IF(AND(H1497="W7",OR(F1497="causal",F1497="predictive")),IF(AND(OR(K1497=1,K1497="1"),OR(L1497=1,L1497="1"),OR(M1497=1,M1497="1")),"adequate","partial"),IF(AND(H1497="W4",F1497="predictive",OR(J1497="P2",J1497="P3",J1497="P4")),IF(OR(U1497=1,U1497="1"),"adequate","partial"),INDEX(Fit_Matrix!$B:$B,MATCH(P1497,Fit_Matrix!$A:$A,0)))),"CHECK KEY"))</f>
        <v/>
      </c>
      <c r="U1497" s="10"/>
      <c r="V1497" s="10"/>
      <c r="W1497" s="10"/>
      <c r="X1497" s="10"/>
      <c r="Y1497" s="10"/>
      <c r="Z1497" s="10"/>
      <c r="AA1497" s="11" t="str">
        <f t="shared" si="47"/>
        <v/>
      </c>
    </row>
    <row r="1498" spans="16:27" ht="15" customHeight="1">
      <c r="P1498" t="str">
        <f t="shared" si="46"/>
        <v/>
      </c>
      <c r="Q1498" t="str">
        <f>IF(P1498="","",IFERROR(IF(AND(H1498="W7",OR(F1498="causal",F1498="predictive")),IF(AND(OR(K1498=1,K1498="1"),OR(L1498=1,L1498="1"),OR(M1498=1,M1498="1")),"adequate","partial"),IF(AND(H1498="W4",F1498="predictive",OR(J1498="P2",J1498="P3",J1498="P4")),IF(OR(U1498=1,U1498="1"),"adequate","partial"),INDEX(Fit_Matrix!$B:$B,MATCH(P1498,Fit_Matrix!$A:$A,0)))),"CHECK KEY"))</f>
        <v/>
      </c>
      <c r="U1498" s="10"/>
      <c r="V1498" s="10"/>
      <c r="W1498" s="10"/>
      <c r="X1498" s="10"/>
      <c r="Y1498" s="10"/>
      <c r="Z1498" s="10"/>
      <c r="AA1498" s="11" t="str">
        <f t="shared" si="47"/>
        <v/>
      </c>
    </row>
    <row r="1499" spans="16:27" ht="15" customHeight="1">
      <c r="P1499" t="str">
        <f t="shared" si="46"/>
        <v/>
      </c>
      <c r="Q1499" t="str">
        <f>IF(P1499="","",IFERROR(IF(AND(H1499="W7",OR(F1499="causal",F1499="predictive")),IF(AND(OR(K1499=1,K1499="1"),OR(L1499=1,L1499="1"),OR(M1499=1,M1499="1")),"adequate","partial"),IF(AND(H1499="W4",F1499="predictive",OR(J1499="P2",J1499="P3",J1499="P4")),IF(OR(U1499=1,U1499="1"),"adequate","partial"),INDEX(Fit_Matrix!$B:$B,MATCH(P1499,Fit_Matrix!$A:$A,0)))),"CHECK KEY"))</f>
        <v/>
      </c>
      <c r="U1499" s="10"/>
      <c r="V1499" s="10"/>
      <c r="W1499" s="10"/>
      <c r="X1499" s="10"/>
      <c r="Y1499" s="10"/>
      <c r="Z1499" s="10"/>
      <c r="AA1499" s="11" t="str">
        <f t="shared" si="47"/>
        <v/>
      </c>
    </row>
    <row r="1500" spans="16:27" ht="15" customHeight="1">
      <c r="P1500" t="str">
        <f t="shared" si="46"/>
        <v/>
      </c>
      <c r="Q1500" t="str">
        <f>IF(P1500="","",IFERROR(IF(AND(H1500="W7",OR(F1500="causal",F1500="predictive")),IF(AND(OR(K1500=1,K1500="1"),OR(L1500=1,L1500="1"),OR(M1500=1,M1500="1")),"adequate","partial"),IF(AND(H1500="W4",F1500="predictive",OR(J1500="P2",J1500="P3",J1500="P4")),IF(OR(U1500=1,U1500="1"),"adequate","partial"),INDEX(Fit_Matrix!$B:$B,MATCH(P1500,Fit_Matrix!$A:$A,0)))),"CHECK KEY"))</f>
        <v/>
      </c>
      <c r="U1500" s="10"/>
      <c r="V1500" s="10"/>
      <c r="W1500" s="10"/>
      <c r="X1500" s="10"/>
      <c r="Y1500" s="10"/>
      <c r="Z1500" s="10"/>
      <c r="AA1500" s="11" t="str">
        <f t="shared" si="47"/>
        <v/>
      </c>
    </row>
    <row r="1501" spans="16:27" ht="15" customHeight="1">
      <c r="P1501" t="str">
        <f t="shared" si="46"/>
        <v/>
      </c>
      <c r="Q1501" t="str">
        <f>IF(P1501="","",IFERROR(IF(AND(H1501="W7",OR(F1501="causal",F1501="predictive")),IF(AND(OR(K1501=1,K1501="1"),OR(L1501=1,L1501="1"),OR(M1501=1,M1501="1")),"adequate","partial"),IF(AND(H1501="W4",F1501="predictive",OR(J1501="P2",J1501="P3",J1501="P4")),IF(OR(U1501=1,U1501="1"),"adequate","partial"),INDEX(Fit_Matrix!$B:$B,MATCH(P1501,Fit_Matrix!$A:$A,0)))),"CHECK KEY"))</f>
        <v/>
      </c>
      <c r="U1501" s="10"/>
      <c r="V1501" s="10"/>
      <c r="W1501" s="10"/>
      <c r="X1501" s="10"/>
      <c r="Y1501" s="10"/>
      <c r="Z1501" s="10"/>
      <c r="AA1501" s="11" t="str">
        <f t="shared" si="47"/>
        <v/>
      </c>
    </row>
    <row r="1502" spans="16:27" ht="15" customHeight="1">
      <c r="P1502" t="str">
        <f t="shared" si="46"/>
        <v/>
      </c>
      <c r="Q1502" t="str">
        <f>IF(P1502="","",IFERROR(IF(AND(H1502="W7",OR(F1502="causal",F1502="predictive")),IF(AND(OR(K1502=1,K1502="1"),OR(L1502=1,L1502="1"),OR(M1502=1,M1502="1")),"adequate","partial"),IF(AND(H1502="W4",F1502="predictive",OR(J1502="P2",J1502="P3",J1502="P4")),IF(OR(U1502=1,U1502="1"),"adequate","partial"),INDEX(Fit_Matrix!$B:$B,MATCH(P1502,Fit_Matrix!$A:$A,0)))),"CHECK KEY"))</f>
        <v/>
      </c>
      <c r="U1502" s="10"/>
      <c r="V1502" s="10"/>
      <c r="W1502" s="10"/>
      <c r="X1502" s="10"/>
      <c r="Y1502" s="10"/>
      <c r="Z1502" s="10"/>
      <c r="AA1502" s="11" t="str">
        <f t="shared" si="47"/>
        <v/>
      </c>
    </row>
    <row r="1503" spans="16:27" ht="15" customHeight="1">
      <c r="P1503" t="str">
        <f t="shared" si="46"/>
        <v/>
      </c>
      <c r="Q1503" t="str">
        <f>IF(P1503="","",IFERROR(IF(AND(H1503="W7",OR(F1503="causal",F1503="predictive")),IF(AND(OR(K1503=1,K1503="1"),OR(L1503=1,L1503="1"),OR(M1503=1,M1503="1")),"adequate","partial"),IF(AND(H1503="W4",F1503="predictive",OR(J1503="P2",J1503="P3",J1503="P4")),IF(OR(U1503=1,U1503="1"),"adequate","partial"),INDEX(Fit_Matrix!$B:$B,MATCH(P1503,Fit_Matrix!$A:$A,0)))),"CHECK KEY"))</f>
        <v/>
      </c>
      <c r="U1503" s="10"/>
      <c r="V1503" s="10"/>
      <c r="W1503" s="10"/>
      <c r="X1503" s="10"/>
      <c r="Y1503" s="10"/>
      <c r="Z1503" s="10"/>
      <c r="AA1503" s="11" t="str">
        <f t="shared" si="47"/>
        <v/>
      </c>
    </row>
    <row r="1504" spans="16:27" ht="15" customHeight="1">
      <c r="P1504" t="str">
        <f t="shared" si="46"/>
        <v/>
      </c>
      <c r="Q1504" t="str">
        <f>IF(P1504="","",IFERROR(IF(AND(H1504="W7",OR(F1504="causal",F1504="predictive")),IF(AND(OR(K1504=1,K1504="1"),OR(L1504=1,L1504="1"),OR(M1504=1,M1504="1")),"adequate","partial"),IF(AND(H1504="W4",F1504="predictive",OR(J1504="P2",J1504="P3",J1504="P4")),IF(OR(U1504=1,U1504="1"),"adequate","partial"),INDEX(Fit_Matrix!$B:$B,MATCH(P1504,Fit_Matrix!$A:$A,0)))),"CHECK KEY"))</f>
        <v/>
      </c>
      <c r="U1504" s="10"/>
      <c r="V1504" s="10"/>
      <c r="W1504" s="10"/>
      <c r="X1504" s="10"/>
      <c r="Y1504" s="10"/>
      <c r="Z1504" s="10"/>
      <c r="AA1504" s="11" t="str">
        <f t="shared" si="47"/>
        <v/>
      </c>
    </row>
    <row r="1505" spans="16:27" ht="15" customHeight="1">
      <c r="P1505" t="str">
        <f t="shared" si="46"/>
        <v/>
      </c>
      <c r="Q1505" t="str">
        <f>IF(P1505="","",IFERROR(IF(AND(H1505="W7",OR(F1505="causal",F1505="predictive")),IF(AND(OR(K1505=1,K1505="1"),OR(L1505=1,L1505="1"),OR(M1505=1,M1505="1")),"adequate","partial"),IF(AND(H1505="W4",F1505="predictive",OR(J1505="P2",J1505="P3",J1505="P4")),IF(OR(U1505=1,U1505="1"),"adequate","partial"),INDEX(Fit_Matrix!$B:$B,MATCH(P1505,Fit_Matrix!$A:$A,0)))),"CHECK KEY"))</f>
        <v/>
      </c>
      <c r="U1505" s="10"/>
      <c r="V1505" s="10"/>
      <c r="W1505" s="10"/>
      <c r="X1505" s="10"/>
      <c r="Y1505" s="10"/>
      <c r="Z1505" s="10"/>
      <c r="AA1505" s="11" t="str">
        <f t="shared" si="47"/>
        <v/>
      </c>
    </row>
    <row r="1506" spans="16:27" ht="15" customHeight="1">
      <c r="P1506" t="str">
        <f t="shared" si="46"/>
        <v/>
      </c>
      <c r="Q1506" t="str">
        <f>IF(P1506="","",IFERROR(IF(AND(H1506="W7",OR(F1506="causal",F1506="predictive")),IF(AND(OR(K1506=1,K1506="1"),OR(L1506=1,L1506="1"),OR(M1506=1,M1506="1")),"adequate","partial"),IF(AND(H1506="W4",F1506="predictive",OR(J1506="P2",J1506="P3",J1506="P4")),IF(OR(U1506=1,U1506="1"),"adequate","partial"),INDEX(Fit_Matrix!$B:$B,MATCH(P1506,Fit_Matrix!$A:$A,0)))),"CHECK KEY"))</f>
        <v/>
      </c>
      <c r="U1506" s="10"/>
      <c r="V1506" s="10"/>
      <c r="W1506" s="10"/>
      <c r="X1506" s="10"/>
      <c r="Y1506" s="10"/>
      <c r="Z1506" s="10"/>
      <c r="AA1506" s="11" t="str">
        <f t="shared" si="47"/>
        <v/>
      </c>
    </row>
    <row r="1507" spans="16:27" ht="15" customHeight="1">
      <c r="P1507" t="str">
        <f t="shared" si="46"/>
        <v/>
      </c>
      <c r="Q1507" t="str">
        <f>IF(P1507="","",IFERROR(IF(AND(H1507="W7",OR(F1507="causal",F1507="predictive")),IF(AND(OR(K1507=1,K1507="1"),OR(L1507=1,L1507="1"),OR(M1507=1,M1507="1")),"adequate","partial"),IF(AND(H1507="W4",F1507="predictive",OR(J1507="P2",J1507="P3",J1507="P4")),IF(OR(U1507=1,U1507="1"),"adequate","partial"),INDEX(Fit_Matrix!$B:$B,MATCH(P1507,Fit_Matrix!$A:$A,0)))),"CHECK KEY"))</f>
        <v/>
      </c>
      <c r="U1507" s="10"/>
      <c r="V1507" s="10"/>
      <c r="W1507" s="10"/>
      <c r="X1507" s="10"/>
      <c r="Y1507" s="10"/>
      <c r="Z1507" s="10"/>
      <c r="AA1507" s="11" t="str">
        <f t="shared" si="47"/>
        <v/>
      </c>
    </row>
    <row r="1508" spans="16:27" ht="15" customHeight="1">
      <c r="P1508" t="str">
        <f t="shared" si="46"/>
        <v/>
      </c>
      <c r="Q1508" t="str">
        <f>IF(P1508="","",IFERROR(IF(AND(H1508="W7",OR(F1508="causal",F1508="predictive")),IF(AND(OR(K1508=1,K1508="1"),OR(L1508=1,L1508="1"),OR(M1508=1,M1508="1")),"adequate","partial"),IF(AND(H1508="W4",F1508="predictive",OR(J1508="P2",J1508="P3",J1508="P4")),IF(OR(U1508=1,U1508="1"),"adequate","partial"),INDEX(Fit_Matrix!$B:$B,MATCH(P1508,Fit_Matrix!$A:$A,0)))),"CHECK KEY"))</f>
        <v/>
      </c>
      <c r="U1508" s="10"/>
      <c r="V1508" s="10"/>
      <c r="W1508" s="10"/>
      <c r="X1508" s="10"/>
      <c r="Y1508" s="10"/>
      <c r="Z1508" s="10"/>
      <c r="AA1508" s="11" t="str">
        <f t="shared" si="47"/>
        <v/>
      </c>
    </row>
    <row r="1509" spans="16:27" ht="15" customHeight="1">
      <c r="P1509" t="str">
        <f t="shared" si="46"/>
        <v/>
      </c>
      <c r="Q1509" t="str">
        <f>IF(P1509="","",IFERROR(IF(AND(H1509="W7",OR(F1509="causal",F1509="predictive")),IF(AND(OR(K1509=1,K1509="1"),OR(L1509=1,L1509="1"),OR(M1509=1,M1509="1")),"adequate","partial"),IF(AND(H1509="W4",F1509="predictive",OR(J1509="P2",J1509="P3",J1509="P4")),IF(OR(U1509=1,U1509="1"),"adequate","partial"),INDEX(Fit_Matrix!$B:$B,MATCH(P1509,Fit_Matrix!$A:$A,0)))),"CHECK KEY"))</f>
        <v/>
      </c>
      <c r="U1509" s="10"/>
      <c r="V1509" s="10"/>
      <c r="W1509" s="10"/>
      <c r="X1509" s="10"/>
      <c r="Y1509" s="10"/>
      <c r="Z1509" s="10"/>
      <c r="AA1509" s="11" t="str">
        <f t="shared" si="47"/>
        <v/>
      </c>
    </row>
    <row r="1510" spans="16:27" ht="15" customHeight="1">
      <c r="P1510" t="str">
        <f t="shared" si="46"/>
        <v/>
      </c>
      <c r="Q1510" t="str">
        <f>IF(P1510="","",IFERROR(IF(AND(H1510="W7",OR(F1510="causal",F1510="predictive")),IF(AND(OR(K1510=1,K1510="1"),OR(L1510=1,L1510="1"),OR(M1510=1,M1510="1")),"adequate","partial"),IF(AND(H1510="W4",F1510="predictive",OR(J1510="P2",J1510="P3",J1510="P4")),IF(OR(U1510=1,U1510="1"),"adequate","partial"),INDEX(Fit_Matrix!$B:$B,MATCH(P1510,Fit_Matrix!$A:$A,0)))),"CHECK KEY"))</f>
        <v/>
      </c>
      <c r="U1510" s="10"/>
      <c r="V1510" s="10"/>
      <c r="W1510" s="10"/>
      <c r="X1510" s="10"/>
      <c r="Y1510" s="10"/>
      <c r="Z1510" s="10"/>
      <c r="AA1510" s="11" t="str">
        <f t="shared" si="47"/>
        <v/>
      </c>
    </row>
    <row r="1511" spans="16:27" ht="15" customHeight="1">
      <c r="P1511" t="str">
        <f t="shared" si="46"/>
        <v/>
      </c>
      <c r="Q1511" t="str">
        <f>IF(P1511="","",IFERROR(IF(AND(H1511="W7",OR(F1511="causal",F1511="predictive")),IF(AND(OR(K1511=1,K1511="1"),OR(L1511=1,L1511="1"),OR(M1511=1,M1511="1")),"adequate","partial"),IF(AND(H1511="W4",F1511="predictive",OR(J1511="P2",J1511="P3",J1511="P4")),IF(OR(U1511=1,U1511="1"),"adequate","partial"),INDEX(Fit_Matrix!$B:$B,MATCH(P1511,Fit_Matrix!$A:$A,0)))),"CHECK KEY"))</f>
        <v/>
      </c>
      <c r="U1511" s="10"/>
      <c r="V1511" s="10"/>
      <c r="W1511" s="10"/>
      <c r="X1511" s="10"/>
      <c r="Y1511" s="10"/>
      <c r="Z1511" s="10"/>
      <c r="AA1511" s="11" t="str">
        <f t="shared" si="47"/>
        <v/>
      </c>
    </row>
    <row r="1512" spans="16:27" ht="15" customHeight="1">
      <c r="P1512" t="str">
        <f t="shared" si="46"/>
        <v/>
      </c>
      <c r="Q1512" t="str">
        <f>IF(P1512="","",IFERROR(IF(AND(H1512="W7",OR(F1512="causal",F1512="predictive")),IF(AND(OR(K1512=1,K1512="1"),OR(L1512=1,L1512="1"),OR(M1512=1,M1512="1")),"adequate","partial"),IF(AND(H1512="W4",F1512="predictive",OR(J1512="P2",J1512="P3",J1512="P4")),IF(OR(U1512=1,U1512="1"),"adequate","partial"),INDEX(Fit_Matrix!$B:$B,MATCH(P1512,Fit_Matrix!$A:$A,0)))),"CHECK KEY"))</f>
        <v/>
      </c>
      <c r="U1512" s="10"/>
      <c r="V1512" s="10"/>
      <c r="W1512" s="10"/>
      <c r="X1512" s="10"/>
      <c r="Y1512" s="10"/>
      <c r="Z1512" s="10"/>
      <c r="AA1512" s="11" t="str">
        <f t="shared" si="47"/>
        <v/>
      </c>
    </row>
    <row r="1513" spans="16:27" ht="15" customHeight="1">
      <c r="P1513" t="str">
        <f t="shared" si="46"/>
        <v/>
      </c>
      <c r="Q1513" t="str">
        <f>IF(P1513="","",IFERROR(IF(AND(H1513="W7",OR(F1513="causal",F1513="predictive")),IF(AND(OR(K1513=1,K1513="1"),OR(L1513=1,L1513="1"),OR(M1513=1,M1513="1")),"adequate","partial"),IF(AND(H1513="W4",F1513="predictive",OR(J1513="P2",J1513="P3",J1513="P4")),IF(OR(U1513=1,U1513="1"),"adequate","partial"),INDEX(Fit_Matrix!$B:$B,MATCH(P1513,Fit_Matrix!$A:$A,0)))),"CHECK KEY"))</f>
        <v/>
      </c>
      <c r="U1513" s="10"/>
      <c r="V1513" s="10"/>
      <c r="W1513" s="10"/>
      <c r="X1513" s="10"/>
      <c r="Y1513" s="10"/>
      <c r="Z1513" s="10"/>
      <c r="AA1513" s="11" t="str">
        <f t="shared" si="47"/>
        <v/>
      </c>
    </row>
    <row r="1514" spans="16:27" ht="15" customHeight="1">
      <c r="P1514" t="str">
        <f t="shared" si="46"/>
        <v/>
      </c>
      <c r="Q1514" t="str">
        <f>IF(P1514="","",IFERROR(IF(AND(H1514="W7",OR(F1514="causal",F1514="predictive")),IF(AND(OR(K1514=1,K1514="1"),OR(L1514=1,L1514="1"),OR(M1514=1,M1514="1")),"adequate","partial"),IF(AND(H1514="W4",F1514="predictive",OR(J1514="P2",J1514="P3",J1514="P4")),IF(OR(U1514=1,U1514="1"),"adequate","partial"),INDEX(Fit_Matrix!$B:$B,MATCH(P1514,Fit_Matrix!$A:$A,0)))),"CHECK KEY"))</f>
        <v/>
      </c>
      <c r="U1514" s="10"/>
      <c r="V1514" s="10"/>
      <c r="W1514" s="10"/>
      <c r="X1514" s="10"/>
      <c r="Y1514" s="10"/>
      <c r="Z1514" s="10"/>
      <c r="AA1514" s="11" t="str">
        <f t="shared" si="47"/>
        <v/>
      </c>
    </row>
    <row r="1515" spans="16:27" ht="15" customHeight="1">
      <c r="P1515" t="str">
        <f t="shared" si="46"/>
        <v/>
      </c>
      <c r="Q1515" t="str">
        <f>IF(P1515="","",IFERROR(IF(AND(H1515="W7",OR(F1515="causal",F1515="predictive")),IF(AND(OR(K1515=1,K1515="1"),OR(L1515=1,L1515="1"),OR(M1515=1,M1515="1")),"adequate","partial"),IF(AND(H1515="W4",F1515="predictive",OR(J1515="P2",J1515="P3",J1515="P4")),IF(OR(U1515=1,U1515="1"),"adequate","partial"),INDEX(Fit_Matrix!$B:$B,MATCH(P1515,Fit_Matrix!$A:$A,0)))),"CHECK KEY"))</f>
        <v/>
      </c>
      <c r="U1515" s="10"/>
      <c r="V1515" s="10"/>
      <c r="W1515" s="10"/>
      <c r="X1515" s="10"/>
      <c r="Y1515" s="10"/>
      <c r="Z1515" s="10"/>
      <c r="AA1515" s="11" t="str">
        <f t="shared" si="47"/>
        <v/>
      </c>
    </row>
    <row r="1516" spans="16:27" ht="15" customHeight="1">
      <c r="P1516" t="str">
        <f t="shared" si="46"/>
        <v/>
      </c>
      <c r="Q1516" t="str">
        <f>IF(P1516="","",IFERROR(IF(AND(H1516="W7",OR(F1516="causal",F1516="predictive")),IF(AND(OR(K1516=1,K1516="1"),OR(L1516=1,L1516="1"),OR(M1516=1,M1516="1")),"adequate","partial"),IF(AND(H1516="W4",F1516="predictive",OR(J1516="P2",J1516="P3",J1516="P4")),IF(OR(U1516=1,U1516="1"),"adequate","partial"),INDEX(Fit_Matrix!$B:$B,MATCH(P1516,Fit_Matrix!$A:$A,0)))),"CHECK KEY"))</f>
        <v/>
      </c>
      <c r="U1516" s="10"/>
      <c r="V1516" s="10"/>
      <c r="W1516" s="10"/>
      <c r="X1516" s="10"/>
      <c r="Y1516" s="10"/>
      <c r="Z1516" s="10"/>
      <c r="AA1516" s="11" t="str">
        <f t="shared" si="47"/>
        <v/>
      </c>
    </row>
    <row r="1517" spans="16:27" ht="15" customHeight="1">
      <c r="P1517" t="str">
        <f t="shared" si="46"/>
        <v/>
      </c>
      <c r="Q1517" t="str">
        <f>IF(P1517="","",IFERROR(IF(AND(H1517="W7",OR(F1517="causal",F1517="predictive")),IF(AND(OR(K1517=1,K1517="1"),OR(L1517=1,L1517="1"),OR(M1517=1,M1517="1")),"adequate","partial"),IF(AND(H1517="W4",F1517="predictive",OR(J1517="P2",J1517="P3",J1517="P4")),IF(OR(U1517=1,U1517="1"),"adequate","partial"),INDEX(Fit_Matrix!$B:$B,MATCH(P1517,Fit_Matrix!$A:$A,0)))),"CHECK KEY"))</f>
        <v/>
      </c>
      <c r="U1517" s="10"/>
      <c r="V1517" s="10"/>
      <c r="W1517" s="10"/>
      <c r="X1517" s="10"/>
      <c r="Y1517" s="10"/>
      <c r="Z1517" s="10"/>
      <c r="AA1517" s="11" t="str">
        <f t="shared" si="47"/>
        <v/>
      </c>
    </row>
    <row r="1518" spans="16:27" ht="15" customHeight="1">
      <c r="P1518" t="str">
        <f t="shared" si="46"/>
        <v/>
      </c>
      <c r="Q1518" t="str">
        <f>IF(P1518="","",IFERROR(IF(AND(H1518="W7",OR(F1518="causal",F1518="predictive")),IF(AND(OR(K1518=1,K1518="1"),OR(L1518=1,L1518="1"),OR(M1518=1,M1518="1")),"adequate","partial"),IF(AND(H1518="W4",F1518="predictive",OR(J1518="P2",J1518="P3",J1518="P4")),IF(OR(U1518=1,U1518="1"),"adequate","partial"),INDEX(Fit_Matrix!$B:$B,MATCH(P1518,Fit_Matrix!$A:$A,0)))),"CHECK KEY"))</f>
        <v/>
      </c>
      <c r="U1518" s="10"/>
      <c r="V1518" s="10"/>
      <c r="W1518" s="10"/>
      <c r="X1518" s="10"/>
      <c r="Y1518" s="10"/>
      <c r="Z1518" s="10"/>
      <c r="AA1518" s="11" t="str">
        <f t="shared" si="47"/>
        <v/>
      </c>
    </row>
    <row r="1519" spans="16:27" ht="15" customHeight="1">
      <c r="P1519" t="str">
        <f t="shared" si="46"/>
        <v/>
      </c>
      <c r="Q1519" t="str">
        <f>IF(P1519="","",IFERROR(IF(AND(H1519="W7",OR(F1519="causal",F1519="predictive")),IF(AND(OR(K1519=1,K1519="1"),OR(L1519=1,L1519="1"),OR(M1519=1,M1519="1")),"adequate","partial"),IF(AND(H1519="W4",F1519="predictive",OR(J1519="P2",J1519="P3",J1519="P4")),IF(OR(U1519=1,U1519="1"),"adequate","partial"),INDEX(Fit_Matrix!$B:$B,MATCH(P1519,Fit_Matrix!$A:$A,0)))),"CHECK KEY"))</f>
        <v/>
      </c>
      <c r="U1519" s="10"/>
      <c r="V1519" s="10"/>
      <c r="W1519" s="10"/>
      <c r="X1519" s="10"/>
      <c r="Y1519" s="10"/>
      <c r="Z1519" s="10"/>
      <c r="AA1519" s="11" t="str">
        <f t="shared" si="47"/>
        <v/>
      </c>
    </row>
    <row r="1520" spans="16:27" ht="15" customHeight="1">
      <c r="P1520" t="str">
        <f t="shared" si="46"/>
        <v/>
      </c>
      <c r="Q1520" t="str">
        <f>IF(P1520="","",IFERROR(IF(AND(H1520="W7",OR(F1520="causal",F1520="predictive")),IF(AND(OR(K1520=1,K1520="1"),OR(L1520=1,L1520="1"),OR(M1520=1,M1520="1")),"adequate","partial"),IF(AND(H1520="W4",F1520="predictive",OR(J1520="P2",J1520="P3",J1520="P4")),IF(OR(U1520=1,U1520="1"),"adequate","partial"),INDEX(Fit_Matrix!$B:$B,MATCH(P1520,Fit_Matrix!$A:$A,0)))),"CHECK KEY"))</f>
        <v/>
      </c>
      <c r="U1520" s="10"/>
      <c r="V1520" s="10"/>
      <c r="W1520" s="10"/>
      <c r="X1520" s="10"/>
      <c r="Y1520" s="10"/>
      <c r="Z1520" s="10"/>
      <c r="AA1520" s="11" t="str">
        <f t="shared" si="47"/>
        <v/>
      </c>
    </row>
    <row r="1521" spans="16:27" ht="15" customHeight="1">
      <c r="P1521" t="str">
        <f t="shared" si="46"/>
        <v/>
      </c>
      <c r="Q1521" t="str">
        <f>IF(P1521="","",IFERROR(IF(AND(H1521="W7",OR(F1521="causal",F1521="predictive")),IF(AND(OR(K1521=1,K1521="1"),OR(L1521=1,L1521="1"),OR(M1521=1,M1521="1")),"adequate","partial"),IF(AND(H1521="W4",F1521="predictive",OR(J1521="P2",J1521="P3",J1521="P4")),IF(OR(U1521=1,U1521="1"),"adequate","partial"),INDEX(Fit_Matrix!$B:$B,MATCH(P1521,Fit_Matrix!$A:$A,0)))),"CHECK KEY"))</f>
        <v/>
      </c>
      <c r="U1521" s="10"/>
      <c r="V1521" s="10"/>
      <c r="W1521" s="10"/>
      <c r="X1521" s="10"/>
      <c r="Y1521" s="10"/>
      <c r="Z1521" s="10"/>
      <c r="AA1521" s="11" t="str">
        <f t="shared" si="47"/>
        <v/>
      </c>
    </row>
    <row r="1522" spans="16:27" ht="15" customHeight="1">
      <c r="P1522" t="str">
        <f t="shared" si="46"/>
        <v/>
      </c>
      <c r="Q1522" t="str">
        <f>IF(P1522="","",IFERROR(IF(AND(H1522="W7",OR(F1522="causal",F1522="predictive")),IF(AND(OR(K1522=1,K1522="1"),OR(L1522=1,L1522="1"),OR(M1522=1,M1522="1")),"adequate","partial"),IF(AND(H1522="W4",F1522="predictive",OR(J1522="P2",J1522="P3",J1522="P4")),IF(OR(U1522=1,U1522="1"),"adequate","partial"),INDEX(Fit_Matrix!$B:$B,MATCH(P1522,Fit_Matrix!$A:$A,0)))),"CHECK KEY"))</f>
        <v/>
      </c>
      <c r="U1522" s="10"/>
      <c r="V1522" s="10"/>
      <c r="W1522" s="10"/>
      <c r="X1522" s="10"/>
      <c r="Y1522" s="10"/>
      <c r="Z1522" s="10"/>
      <c r="AA1522" s="11" t="str">
        <f t="shared" si="47"/>
        <v/>
      </c>
    </row>
    <row r="1523" spans="16:27" ht="15" customHeight="1">
      <c r="P1523" t="str">
        <f t="shared" si="46"/>
        <v/>
      </c>
      <c r="Q1523" t="str">
        <f>IF(P1523="","",IFERROR(IF(AND(H1523="W7",OR(F1523="causal",F1523="predictive")),IF(AND(OR(K1523=1,K1523="1"),OR(L1523=1,L1523="1"),OR(M1523=1,M1523="1")),"adequate","partial"),IF(AND(H1523="W4",F1523="predictive",OR(J1523="P2",J1523="P3",J1523="P4")),IF(OR(U1523=1,U1523="1"),"adequate","partial"),INDEX(Fit_Matrix!$B:$B,MATCH(P1523,Fit_Matrix!$A:$A,0)))),"CHECK KEY"))</f>
        <v/>
      </c>
      <c r="U1523" s="10"/>
      <c r="V1523" s="10"/>
      <c r="W1523" s="10"/>
      <c r="X1523" s="10"/>
      <c r="Y1523" s="10"/>
      <c r="Z1523" s="10"/>
      <c r="AA1523" s="11" t="str">
        <f t="shared" si="47"/>
        <v/>
      </c>
    </row>
    <row r="1524" spans="16:27" ht="15" customHeight="1">
      <c r="P1524" t="str">
        <f t="shared" si="46"/>
        <v/>
      </c>
      <c r="Q1524" t="str">
        <f>IF(P1524="","",IFERROR(IF(AND(H1524="W7",OR(F1524="causal",F1524="predictive")),IF(AND(OR(K1524=1,K1524="1"),OR(L1524=1,L1524="1"),OR(M1524=1,M1524="1")),"adequate","partial"),IF(AND(H1524="W4",F1524="predictive",OR(J1524="P2",J1524="P3",J1524="P4")),IF(OR(U1524=1,U1524="1"),"adequate","partial"),INDEX(Fit_Matrix!$B:$B,MATCH(P1524,Fit_Matrix!$A:$A,0)))),"CHECK KEY"))</f>
        <v/>
      </c>
      <c r="U1524" s="10"/>
      <c r="V1524" s="10"/>
      <c r="W1524" s="10"/>
      <c r="X1524" s="10"/>
      <c r="Y1524" s="10"/>
      <c r="Z1524" s="10"/>
      <c r="AA1524" s="11" t="str">
        <f t="shared" si="47"/>
        <v/>
      </c>
    </row>
    <row r="1525" spans="16:27" ht="15" customHeight="1">
      <c r="P1525" t="str">
        <f t="shared" si="46"/>
        <v/>
      </c>
      <c r="Q1525" t="str">
        <f>IF(P1525="","",IFERROR(IF(AND(H1525="W7",OR(F1525="causal",F1525="predictive")),IF(AND(OR(K1525=1,K1525="1"),OR(L1525=1,L1525="1"),OR(M1525=1,M1525="1")),"adequate","partial"),IF(AND(H1525="W4",F1525="predictive",OR(J1525="P2",J1525="P3",J1525="P4")),IF(OR(U1525=1,U1525="1"),"adequate","partial"),INDEX(Fit_Matrix!$B:$B,MATCH(P1525,Fit_Matrix!$A:$A,0)))),"CHECK KEY"))</f>
        <v/>
      </c>
      <c r="U1525" s="10"/>
      <c r="V1525" s="10"/>
      <c r="W1525" s="10"/>
      <c r="X1525" s="10"/>
      <c r="Y1525" s="10"/>
      <c r="Z1525" s="10"/>
      <c r="AA1525" s="11" t="str">
        <f t="shared" si="47"/>
        <v/>
      </c>
    </row>
    <row r="1526" spans="16:27" ht="15" customHeight="1">
      <c r="P1526" t="str">
        <f t="shared" si="46"/>
        <v/>
      </c>
      <c r="Q1526" t="str">
        <f>IF(P1526="","",IFERROR(IF(AND(H1526="W7",OR(F1526="causal",F1526="predictive")),IF(AND(OR(K1526=1,K1526="1"),OR(L1526=1,L1526="1"),OR(M1526=1,M1526="1")),"adequate","partial"),IF(AND(H1526="W4",F1526="predictive",OR(J1526="P2",J1526="P3",J1526="P4")),IF(OR(U1526=1,U1526="1"),"adequate","partial"),INDEX(Fit_Matrix!$B:$B,MATCH(P1526,Fit_Matrix!$A:$A,0)))),"CHECK KEY"))</f>
        <v/>
      </c>
      <c r="U1526" s="10"/>
      <c r="V1526" s="10"/>
      <c r="W1526" s="10"/>
      <c r="X1526" s="10"/>
      <c r="Y1526" s="10"/>
      <c r="Z1526" s="10"/>
      <c r="AA1526" s="11" t="str">
        <f t="shared" si="47"/>
        <v/>
      </c>
    </row>
    <row r="1527" spans="16:27" ht="15" customHeight="1">
      <c r="P1527" t="str">
        <f t="shared" si="46"/>
        <v/>
      </c>
      <c r="Q1527" t="str">
        <f>IF(P1527="","",IFERROR(IF(AND(H1527="W7",OR(F1527="causal",F1527="predictive")),IF(AND(OR(K1527=1,K1527="1"),OR(L1527=1,L1527="1"),OR(M1527=1,M1527="1")),"adequate","partial"),IF(AND(H1527="W4",F1527="predictive",OR(J1527="P2",J1527="P3",J1527="P4")),IF(OR(U1527=1,U1527="1"),"adequate","partial"),INDEX(Fit_Matrix!$B:$B,MATCH(P1527,Fit_Matrix!$A:$A,0)))),"CHECK KEY"))</f>
        <v/>
      </c>
      <c r="U1527" s="10"/>
      <c r="V1527" s="10"/>
      <c r="W1527" s="10"/>
      <c r="X1527" s="10"/>
      <c r="Y1527" s="10"/>
      <c r="Z1527" s="10"/>
      <c r="AA1527" s="11" t="str">
        <f t="shared" si="47"/>
        <v/>
      </c>
    </row>
    <row r="1528" spans="16:27" ht="15" customHeight="1">
      <c r="P1528" t="str">
        <f t="shared" si="46"/>
        <v/>
      </c>
      <c r="Q1528" t="str">
        <f>IF(P1528="","",IFERROR(IF(AND(H1528="W7",OR(F1528="causal",F1528="predictive")),IF(AND(OR(K1528=1,K1528="1"),OR(L1528=1,L1528="1"),OR(M1528=1,M1528="1")),"adequate","partial"),IF(AND(H1528="W4",F1528="predictive",OR(J1528="P2",J1528="P3",J1528="P4")),IF(OR(U1528=1,U1528="1"),"adequate","partial"),INDEX(Fit_Matrix!$B:$B,MATCH(P1528,Fit_Matrix!$A:$A,0)))),"CHECK KEY"))</f>
        <v/>
      </c>
      <c r="U1528" s="10"/>
      <c r="V1528" s="10"/>
      <c r="W1528" s="10"/>
      <c r="X1528" s="10"/>
      <c r="Y1528" s="10"/>
      <c r="Z1528" s="10"/>
      <c r="AA1528" s="11" t="str">
        <f t="shared" si="47"/>
        <v/>
      </c>
    </row>
    <row r="1529" spans="16:27" ht="15" customHeight="1">
      <c r="P1529" t="str">
        <f t="shared" si="46"/>
        <v/>
      </c>
      <c r="Q1529" t="str">
        <f>IF(P1529="","",IFERROR(IF(AND(H1529="W7",OR(F1529="causal",F1529="predictive")),IF(AND(OR(K1529=1,K1529="1"),OR(L1529=1,L1529="1"),OR(M1529=1,M1529="1")),"adequate","partial"),IF(AND(H1529="W4",F1529="predictive",OR(J1529="P2",J1529="P3",J1529="P4")),IF(OR(U1529=1,U1529="1"),"adequate","partial"),INDEX(Fit_Matrix!$B:$B,MATCH(P1529,Fit_Matrix!$A:$A,0)))),"CHECK KEY"))</f>
        <v/>
      </c>
      <c r="U1529" s="10"/>
      <c r="V1529" s="10"/>
      <c r="W1529" s="10"/>
      <c r="X1529" s="10"/>
      <c r="Y1529" s="10"/>
      <c r="Z1529" s="10"/>
      <c r="AA1529" s="11" t="str">
        <f t="shared" si="47"/>
        <v/>
      </c>
    </row>
    <row r="1530" spans="16:27" ht="15" customHeight="1">
      <c r="P1530" t="str">
        <f t="shared" si="46"/>
        <v/>
      </c>
      <c r="Q1530" t="str">
        <f>IF(P1530="","",IFERROR(IF(AND(H1530="W7",OR(F1530="causal",F1530="predictive")),IF(AND(OR(K1530=1,K1530="1"),OR(L1530=1,L1530="1"),OR(M1530=1,M1530="1")),"adequate","partial"),IF(AND(H1530="W4",F1530="predictive",OR(J1530="P2",J1530="P3",J1530="P4")),IF(OR(U1530=1,U1530="1"),"adequate","partial"),INDEX(Fit_Matrix!$B:$B,MATCH(P1530,Fit_Matrix!$A:$A,0)))),"CHECK KEY"))</f>
        <v/>
      </c>
      <c r="U1530" s="10"/>
      <c r="V1530" s="10"/>
      <c r="W1530" s="10"/>
      <c r="X1530" s="10"/>
      <c r="Y1530" s="10"/>
      <c r="Z1530" s="10"/>
      <c r="AA1530" s="11" t="str">
        <f t="shared" si="47"/>
        <v/>
      </c>
    </row>
    <row r="1531" spans="16:27" ht="15" customHeight="1">
      <c r="P1531" t="str">
        <f t="shared" si="46"/>
        <v/>
      </c>
      <c r="Q1531" t="str">
        <f>IF(P1531="","",IFERROR(IF(AND(H1531="W7",OR(F1531="causal",F1531="predictive")),IF(AND(OR(K1531=1,K1531="1"),OR(L1531=1,L1531="1"),OR(M1531=1,M1531="1")),"adequate","partial"),IF(AND(H1531="W4",F1531="predictive",OR(J1531="P2",J1531="P3",J1531="P4")),IF(OR(U1531=1,U1531="1"),"adequate","partial"),INDEX(Fit_Matrix!$B:$B,MATCH(P1531,Fit_Matrix!$A:$A,0)))),"CHECK KEY"))</f>
        <v/>
      </c>
      <c r="U1531" s="10"/>
      <c r="V1531" s="10"/>
      <c r="W1531" s="10"/>
      <c r="X1531" s="10"/>
      <c r="Y1531" s="10"/>
      <c r="Z1531" s="10"/>
      <c r="AA1531" s="11" t="str">
        <f t="shared" si="47"/>
        <v/>
      </c>
    </row>
    <row r="1532" spans="16:27" ht="15" customHeight="1">
      <c r="P1532" t="str">
        <f t="shared" si="46"/>
        <v/>
      </c>
      <c r="Q1532" t="str">
        <f>IF(P1532="","",IFERROR(IF(AND(H1532="W7",OR(F1532="causal",F1532="predictive")),IF(AND(OR(K1532=1,K1532="1"),OR(L1532=1,L1532="1"),OR(M1532=1,M1532="1")),"adequate","partial"),IF(AND(H1532="W4",F1532="predictive",OR(J1532="P2",J1532="P3",J1532="P4")),IF(OR(U1532=1,U1532="1"),"adequate","partial"),INDEX(Fit_Matrix!$B:$B,MATCH(P1532,Fit_Matrix!$A:$A,0)))),"CHECK KEY"))</f>
        <v/>
      </c>
      <c r="U1532" s="10"/>
      <c r="V1532" s="10"/>
      <c r="W1532" s="10"/>
      <c r="X1532" s="10"/>
      <c r="Y1532" s="10"/>
      <c r="Z1532" s="10"/>
      <c r="AA1532" s="11" t="str">
        <f t="shared" si="47"/>
        <v/>
      </c>
    </row>
    <row r="1533" spans="16:27" ht="15" customHeight="1">
      <c r="P1533" t="str">
        <f t="shared" si="46"/>
        <v/>
      </c>
      <c r="Q1533" t="str">
        <f>IF(P1533="","",IFERROR(IF(AND(H1533="W7",OR(F1533="causal",F1533="predictive")),IF(AND(OR(K1533=1,K1533="1"),OR(L1533=1,L1533="1"),OR(M1533=1,M1533="1")),"adequate","partial"),IF(AND(H1533="W4",F1533="predictive",OR(J1533="P2",J1533="P3",J1533="P4")),IF(OR(U1533=1,U1533="1"),"adequate","partial"),INDEX(Fit_Matrix!$B:$B,MATCH(P1533,Fit_Matrix!$A:$A,0)))),"CHECK KEY"))</f>
        <v/>
      </c>
      <c r="U1533" s="10"/>
      <c r="V1533" s="10"/>
      <c r="W1533" s="10"/>
      <c r="X1533" s="10"/>
      <c r="Y1533" s="10"/>
      <c r="Z1533" s="10"/>
      <c r="AA1533" s="11" t="str">
        <f t="shared" si="47"/>
        <v/>
      </c>
    </row>
    <row r="1534" spans="16:27" ht="15" customHeight="1">
      <c r="P1534" t="str">
        <f t="shared" si="46"/>
        <v/>
      </c>
      <c r="Q1534" t="str">
        <f>IF(P1534="","",IFERROR(IF(AND(H1534="W7",OR(F1534="causal",F1534="predictive")),IF(AND(OR(K1534=1,K1534="1"),OR(L1534=1,L1534="1"),OR(M1534=1,M1534="1")),"adequate","partial"),IF(AND(H1534="W4",F1534="predictive",OR(J1534="P2",J1534="P3",J1534="P4")),IF(OR(U1534=1,U1534="1"),"adequate","partial"),INDEX(Fit_Matrix!$B:$B,MATCH(P1534,Fit_Matrix!$A:$A,0)))),"CHECK KEY"))</f>
        <v/>
      </c>
      <c r="U1534" s="10"/>
      <c r="V1534" s="10"/>
      <c r="W1534" s="10"/>
      <c r="X1534" s="10"/>
      <c r="Y1534" s="10"/>
      <c r="Z1534" s="10"/>
      <c r="AA1534" s="11" t="str">
        <f t="shared" si="47"/>
        <v/>
      </c>
    </row>
    <row r="1535" spans="16:27" ht="15" customHeight="1">
      <c r="P1535" t="str">
        <f t="shared" si="46"/>
        <v/>
      </c>
      <c r="Q1535" t="str">
        <f>IF(P1535="","",IFERROR(IF(AND(H1535="W7",OR(F1535="causal",F1535="predictive")),IF(AND(OR(K1535=1,K1535="1"),OR(L1535=1,L1535="1"),OR(M1535=1,M1535="1")),"adequate","partial"),IF(AND(H1535="W4",F1535="predictive",OR(J1535="P2",J1535="P3",J1535="P4")),IF(OR(U1535=1,U1535="1"),"adequate","partial"),INDEX(Fit_Matrix!$B:$B,MATCH(P1535,Fit_Matrix!$A:$A,0)))),"CHECK KEY"))</f>
        <v/>
      </c>
      <c r="U1535" s="10"/>
      <c r="V1535" s="10"/>
      <c r="W1535" s="10"/>
      <c r="X1535" s="10"/>
      <c r="Y1535" s="10"/>
      <c r="Z1535" s="10"/>
      <c r="AA1535" s="11" t="str">
        <f t="shared" si="47"/>
        <v/>
      </c>
    </row>
    <row r="1536" spans="16:27" ht="15" customHeight="1">
      <c r="P1536" t="str">
        <f t="shared" si="46"/>
        <v/>
      </c>
      <c r="Q1536" t="str">
        <f>IF(P1536="","",IFERROR(IF(AND(H1536="W7",OR(F1536="causal",F1536="predictive")),IF(AND(OR(K1536=1,K1536="1"),OR(L1536=1,L1536="1"),OR(M1536=1,M1536="1")),"adequate","partial"),IF(AND(H1536="W4",F1536="predictive",OR(J1536="P2",J1536="P3",J1536="P4")),IF(OR(U1536=1,U1536="1"),"adequate","partial"),INDEX(Fit_Matrix!$B:$B,MATCH(P1536,Fit_Matrix!$A:$A,0)))),"CHECK KEY"))</f>
        <v/>
      </c>
      <c r="U1536" s="10"/>
      <c r="V1536" s="10"/>
      <c r="W1536" s="10"/>
      <c r="X1536" s="10"/>
      <c r="Y1536" s="10"/>
      <c r="Z1536" s="10"/>
      <c r="AA1536" s="11" t="str">
        <f t="shared" si="47"/>
        <v/>
      </c>
    </row>
    <row r="1537" spans="16:27" ht="15" customHeight="1">
      <c r="P1537" t="str">
        <f t="shared" si="46"/>
        <v/>
      </c>
      <c r="Q1537" t="str">
        <f>IF(P1537="","",IFERROR(IF(AND(H1537="W7",OR(F1537="causal",F1537="predictive")),IF(AND(OR(K1537=1,K1537="1"),OR(L1537=1,L1537="1"),OR(M1537=1,M1537="1")),"adequate","partial"),IF(AND(H1537="W4",F1537="predictive",OR(J1537="P2",J1537="P3",J1537="P4")),IF(OR(U1537=1,U1537="1"),"adequate","partial"),INDEX(Fit_Matrix!$B:$B,MATCH(P1537,Fit_Matrix!$A:$A,0)))),"CHECK KEY"))</f>
        <v/>
      </c>
      <c r="U1537" s="10"/>
      <c r="V1537" s="10"/>
      <c r="W1537" s="10"/>
      <c r="X1537" s="10"/>
      <c r="Y1537" s="10"/>
      <c r="Z1537" s="10"/>
      <c r="AA1537" s="11" t="str">
        <f t="shared" si="47"/>
        <v/>
      </c>
    </row>
    <row r="1538" spans="16:27" ht="15" customHeight="1">
      <c r="P1538" t="str">
        <f t="shared" ref="P1538:P1601" si="48">IF(OR(F1538="",H1538="",J1538=""),"",J1538&amp;"|"&amp;F1538&amp;"|"&amp;IF(H1538="W3","W3_"&amp;IF(I1538="","unknown",I1538),H1538))</f>
        <v/>
      </c>
      <c r="Q1538" t="str">
        <f>IF(P1538="","",IFERROR(IF(AND(H1538="W7",OR(F1538="causal",F1538="predictive")),IF(AND(OR(K1538=1,K1538="1"),OR(L1538=1,L1538="1"),OR(M1538=1,M1538="1")),"adequate","partial"),IF(AND(H1538="W4",F1538="predictive",OR(J1538="P2",J1538="P3",J1538="P4")),IF(OR(U1538=1,U1538="1"),"adequate","partial"),INDEX(Fit_Matrix!$B:$B,MATCH(P1538,Fit_Matrix!$A:$A,0)))),"CHECK KEY"))</f>
        <v/>
      </c>
      <c r="U1538" s="10"/>
      <c r="V1538" s="10"/>
      <c r="W1538" s="10"/>
      <c r="X1538" s="10"/>
      <c r="Y1538" s="10"/>
      <c r="Z1538" s="10"/>
      <c r="AA1538" s="11" t="str">
        <f t="shared" ref="AA1538:AA1601" si="49">IF(A1538="","",IF(AND(J1538="P4",F1538="causal"),"P4-CAUSAL",""))</f>
        <v/>
      </c>
    </row>
    <row r="1539" spans="16:27" ht="15" customHeight="1">
      <c r="P1539" t="str">
        <f t="shared" si="48"/>
        <v/>
      </c>
      <c r="Q1539" t="str">
        <f>IF(P1539="","",IFERROR(IF(AND(H1539="W7",OR(F1539="causal",F1539="predictive")),IF(AND(OR(K1539=1,K1539="1"),OR(L1539=1,L1539="1"),OR(M1539=1,M1539="1")),"adequate","partial"),IF(AND(H1539="W4",F1539="predictive",OR(J1539="P2",J1539="P3",J1539="P4")),IF(OR(U1539=1,U1539="1"),"adequate","partial"),INDEX(Fit_Matrix!$B:$B,MATCH(P1539,Fit_Matrix!$A:$A,0)))),"CHECK KEY"))</f>
        <v/>
      </c>
      <c r="U1539" s="10"/>
      <c r="V1539" s="10"/>
      <c r="W1539" s="10"/>
      <c r="X1539" s="10"/>
      <c r="Y1539" s="10"/>
      <c r="Z1539" s="10"/>
      <c r="AA1539" s="11" t="str">
        <f t="shared" si="49"/>
        <v/>
      </c>
    </row>
    <row r="1540" spans="16:27" ht="15" customHeight="1">
      <c r="P1540" t="str">
        <f t="shared" si="48"/>
        <v/>
      </c>
      <c r="Q1540" t="str">
        <f>IF(P1540="","",IFERROR(IF(AND(H1540="W7",OR(F1540="causal",F1540="predictive")),IF(AND(OR(K1540=1,K1540="1"),OR(L1540=1,L1540="1"),OR(M1540=1,M1540="1")),"adequate","partial"),IF(AND(H1540="W4",F1540="predictive",OR(J1540="P2",J1540="P3",J1540="P4")),IF(OR(U1540=1,U1540="1"),"adequate","partial"),INDEX(Fit_Matrix!$B:$B,MATCH(P1540,Fit_Matrix!$A:$A,0)))),"CHECK KEY"))</f>
        <v/>
      </c>
      <c r="U1540" s="10"/>
      <c r="V1540" s="10"/>
      <c r="W1540" s="10"/>
      <c r="X1540" s="10"/>
      <c r="Y1540" s="10"/>
      <c r="Z1540" s="10"/>
      <c r="AA1540" s="11" t="str">
        <f t="shared" si="49"/>
        <v/>
      </c>
    </row>
    <row r="1541" spans="16:27" ht="15" customHeight="1">
      <c r="P1541" t="str">
        <f t="shared" si="48"/>
        <v/>
      </c>
      <c r="Q1541" t="str">
        <f>IF(P1541="","",IFERROR(IF(AND(H1541="W7",OR(F1541="causal",F1541="predictive")),IF(AND(OR(K1541=1,K1541="1"),OR(L1541=1,L1541="1"),OR(M1541=1,M1541="1")),"adequate","partial"),IF(AND(H1541="W4",F1541="predictive",OR(J1541="P2",J1541="P3",J1541="P4")),IF(OR(U1541=1,U1541="1"),"adequate","partial"),INDEX(Fit_Matrix!$B:$B,MATCH(P1541,Fit_Matrix!$A:$A,0)))),"CHECK KEY"))</f>
        <v/>
      </c>
      <c r="U1541" s="10"/>
      <c r="V1541" s="10"/>
      <c r="W1541" s="10"/>
      <c r="X1541" s="10"/>
      <c r="Y1541" s="10"/>
      <c r="Z1541" s="10"/>
      <c r="AA1541" s="11" t="str">
        <f t="shared" si="49"/>
        <v/>
      </c>
    </row>
    <row r="1542" spans="16:27" ht="15" customHeight="1">
      <c r="P1542" t="str">
        <f t="shared" si="48"/>
        <v/>
      </c>
      <c r="Q1542" t="str">
        <f>IF(P1542="","",IFERROR(IF(AND(H1542="W7",OR(F1542="causal",F1542="predictive")),IF(AND(OR(K1542=1,K1542="1"),OR(L1542=1,L1542="1"),OR(M1542=1,M1542="1")),"adequate","partial"),IF(AND(H1542="W4",F1542="predictive",OR(J1542="P2",J1542="P3",J1542="P4")),IF(OR(U1542=1,U1542="1"),"adequate","partial"),INDEX(Fit_Matrix!$B:$B,MATCH(P1542,Fit_Matrix!$A:$A,0)))),"CHECK KEY"))</f>
        <v/>
      </c>
      <c r="U1542" s="10"/>
      <c r="V1542" s="10"/>
      <c r="W1542" s="10"/>
      <c r="X1542" s="10"/>
      <c r="Y1542" s="10"/>
      <c r="Z1542" s="10"/>
      <c r="AA1542" s="11" t="str">
        <f t="shared" si="49"/>
        <v/>
      </c>
    </row>
    <row r="1543" spans="16:27" ht="15" customHeight="1">
      <c r="P1543" t="str">
        <f t="shared" si="48"/>
        <v/>
      </c>
      <c r="Q1543" t="str">
        <f>IF(P1543="","",IFERROR(IF(AND(H1543="W7",OR(F1543="causal",F1543="predictive")),IF(AND(OR(K1543=1,K1543="1"),OR(L1543=1,L1543="1"),OR(M1543=1,M1543="1")),"adequate","partial"),IF(AND(H1543="W4",F1543="predictive",OR(J1543="P2",J1543="P3",J1543="P4")),IF(OR(U1543=1,U1543="1"),"adequate","partial"),INDEX(Fit_Matrix!$B:$B,MATCH(P1543,Fit_Matrix!$A:$A,0)))),"CHECK KEY"))</f>
        <v/>
      </c>
      <c r="U1543" s="10"/>
      <c r="V1543" s="10"/>
      <c r="W1543" s="10"/>
      <c r="X1543" s="10"/>
      <c r="Y1543" s="10"/>
      <c r="Z1543" s="10"/>
      <c r="AA1543" s="11" t="str">
        <f t="shared" si="49"/>
        <v/>
      </c>
    </row>
    <row r="1544" spans="16:27" ht="15" customHeight="1">
      <c r="P1544" t="str">
        <f t="shared" si="48"/>
        <v/>
      </c>
      <c r="Q1544" t="str">
        <f>IF(P1544="","",IFERROR(IF(AND(H1544="W7",OR(F1544="causal",F1544="predictive")),IF(AND(OR(K1544=1,K1544="1"),OR(L1544=1,L1544="1"),OR(M1544=1,M1544="1")),"adequate","partial"),IF(AND(H1544="W4",F1544="predictive",OR(J1544="P2",J1544="P3",J1544="P4")),IF(OR(U1544=1,U1544="1"),"adequate","partial"),INDEX(Fit_Matrix!$B:$B,MATCH(P1544,Fit_Matrix!$A:$A,0)))),"CHECK KEY"))</f>
        <v/>
      </c>
      <c r="U1544" s="10"/>
      <c r="V1544" s="10"/>
      <c r="W1544" s="10"/>
      <c r="X1544" s="10"/>
      <c r="Y1544" s="10"/>
      <c r="Z1544" s="10"/>
      <c r="AA1544" s="11" t="str">
        <f t="shared" si="49"/>
        <v/>
      </c>
    </row>
    <row r="1545" spans="16:27" ht="15" customHeight="1">
      <c r="P1545" t="str">
        <f t="shared" si="48"/>
        <v/>
      </c>
      <c r="Q1545" t="str">
        <f>IF(P1545="","",IFERROR(IF(AND(H1545="W7",OR(F1545="causal",F1545="predictive")),IF(AND(OR(K1545=1,K1545="1"),OR(L1545=1,L1545="1"),OR(M1545=1,M1545="1")),"adequate","partial"),IF(AND(H1545="W4",F1545="predictive",OR(J1545="P2",J1545="P3",J1545="P4")),IF(OR(U1545=1,U1545="1"),"adequate","partial"),INDEX(Fit_Matrix!$B:$B,MATCH(P1545,Fit_Matrix!$A:$A,0)))),"CHECK KEY"))</f>
        <v/>
      </c>
      <c r="U1545" s="10"/>
      <c r="V1545" s="10"/>
      <c r="W1545" s="10"/>
      <c r="X1545" s="10"/>
      <c r="Y1545" s="10"/>
      <c r="Z1545" s="10"/>
      <c r="AA1545" s="11" t="str">
        <f t="shared" si="49"/>
        <v/>
      </c>
    </row>
    <row r="1546" spans="16:27" ht="15" customHeight="1">
      <c r="P1546" t="str">
        <f t="shared" si="48"/>
        <v/>
      </c>
      <c r="Q1546" t="str">
        <f>IF(P1546="","",IFERROR(IF(AND(H1546="W7",OR(F1546="causal",F1546="predictive")),IF(AND(OR(K1546=1,K1546="1"),OR(L1546=1,L1546="1"),OR(M1546=1,M1546="1")),"adequate","partial"),IF(AND(H1546="W4",F1546="predictive",OR(J1546="P2",J1546="P3",J1546="P4")),IF(OR(U1546=1,U1546="1"),"adequate","partial"),INDEX(Fit_Matrix!$B:$B,MATCH(P1546,Fit_Matrix!$A:$A,0)))),"CHECK KEY"))</f>
        <v/>
      </c>
      <c r="U1546" s="10"/>
      <c r="V1546" s="10"/>
      <c r="W1546" s="10"/>
      <c r="X1546" s="10"/>
      <c r="Y1546" s="10"/>
      <c r="Z1546" s="10"/>
      <c r="AA1546" s="11" t="str">
        <f t="shared" si="49"/>
        <v/>
      </c>
    </row>
    <row r="1547" spans="16:27" ht="15" customHeight="1">
      <c r="P1547" t="str">
        <f t="shared" si="48"/>
        <v/>
      </c>
      <c r="Q1547" t="str">
        <f>IF(P1547="","",IFERROR(IF(AND(H1547="W7",OR(F1547="causal",F1547="predictive")),IF(AND(OR(K1547=1,K1547="1"),OR(L1547=1,L1547="1"),OR(M1547=1,M1547="1")),"adequate","partial"),IF(AND(H1547="W4",F1547="predictive",OR(J1547="P2",J1547="P3",J1547="P4")),IF(OR(U1547=1,U1547="1"),"adequate","partial"),INDEX(Fit_Matrix!$B:$B,MATCH(P1547,Fit_Matrix!$A:$A,0)))),"CHECK KEY"))</f>
        <v/>
      </c>
      <c r="U1547" s="10"/>
      <c r="V1547" s="10"/>
      <c r="W1547" s="10"/>
      <c r="X1547" s="10"/>
      <c r="Y1547" s="10"/>
      <c r="Z1547" s="10"/>
      <c r="AA1547" s="11" t="str">
        <f t="shared" si="49"/>
        <v/>
      </c>
    </row>
    <row r="1548" spans="16:27" ht="15" customHeight="1">
      <c r="P1548" t="str">
        <f t="shared" si="48"/>
        <v/>
      </c>
      <c r="Q1548" t="str">
        <f>IF(P1548="","",IFERROR(IF(AND(H1548="W7",OR(F1548="causal",F1548="predictive")),IF(AND(OR(K1548=1,K1548="1"),OR(L1548=1,L1548="1"),OR(M1548=1,M1548="1")),"adequate","partial"),IF(AND(H1548="W4",F1548="predictive",OR(J1548="P2",J1548="P3",J1548="P4")),IF(OR(U1548=1,U1548="1"),"adequate","partial"),INDEX(Fit_Matrix!$B:$B,MATCH(P1548,Fit_Matrix!$A:$A,0)))),"CHECK KEY"))</f>
        <v/>
      </c>
      <c r="U1548" s="10"/>
      <c r="V1548" s="10"/>
      <c r="W1548" s="10"/>
      <c r="X1548" s="10"/>
      <c r="Y1548" s="10"/>
      <c r="Z1548" s="10"/>
      <c r="AA1548" s="11" t="str">
        <f t="shared" si="49"/>
        <v/>
      </c>
    </row>
    <row r="1549" spans="16:27" ht="15" customHeight="1">
      <c r="P1549" t="str">
        <f t="shared" si="48"/>
        <v/>
      </c>
      <c r="Q1549" t="str">
        <f>IF(P1549="","",IFERROR(IF(AND(H1549="W7",OR(F1549="causal",F1549="predictive")),IF(AND(OR(K1549=1,K1549="1"),OR(L1549=1,L1549="1"),OR(M1549=1,M1549="1")),"adequate","partial"),IF(AND(H1549="W4",F1549="predictive",OR(J1549="P2",J1549="P3",J1549="P4")),IF(OR(U1549=1,U1549="1"),"adequate","partial"),INDEX(Fit_Matrix!$B:$B,MATCH(P1549,Fit_Matrix!$A:$A,0)))),"CHECK KEY"))</f>
        <v/>
      </c>
      <c r="U1549" s="10"/>
      <c r="V1549" s="10"/>
      <c r="W1549" s="10"/>
      <c r="X1549" s="10"/>
      <c r="Y1549" s="10"/>
      <c r="Z1549" s="10"/>
      <c r="AA1549" s="11" t="str">
        <f t="shared" si="49"/>
        <v/>
      </c>
    </row>
    <row r="1550" spans="16:27" ht="15" customHeight="1">
      <c r="P1550" t="str">
        <f t="shared" si="48"/>
        <v/>
      </c>
      <c r="Q1550" t="str">
        <f>IF(P1550="","",IFERROR(IF(AND(H1550="W7",OR(F1550="causal",F1550="predictive")),IF(AND(OR(K1550=1,K1550="1"),OR(L1550=1,L1550="1"),OR(M1550=1,M1550="1")),"adequate","partial"),IF(AND(H1550="W4",F1550="predictive",OR(J1550="P2",J1550="P3",J1550="P4")),IF(OR(U1550=1,U1550="1"),"adequate","partial"),INDEX(Fit_Matrix!$B:$B,MATCH(P1550,Fit_Matrix!$A:$A,0)))),"CHECK KEY"))</f>
        <v/>
      </c>
      <c r="U1550" s="10"/>
      <c r="V1550" s="10"/>
      <c r="W1550" s="10"/>
      <c r="X1550" s="10"/>
      <c r="Y1550" s="10"/>
      <c r="Z1550" s="10"/>
      <c r="AA1550" s="11" t="str">
        <f t="shared" si="49"/>
        <v/>
      </c>
    </row>
    <row r="1551" spans="16:27" ht="15" customHeight="1">
      <c r="P1551" t="str">
        <f t="shared" si="48"/>
        <v/>
      </c>
      <c r="Q1551" t="str">
        <f>IF(P1551="","",IFERROR(IF(AND(H1551="W7",OR(F1551="causal",F1551="predictive")),IF(AND(OR(K1551=1,K1551="1"),OR(L1551=1,L1551="1"),OR(M1551=1,M1551="1")),"adequate","partial"),IF(AND(H1551="W4",F1551="predictive",OR(J1551="P2",J1551="P3",J1551="P4")),IF(OR(U1551=1,U1551="1"),"adequate","partial"),INDEX(Fit_Matrix!$B:$B,MATCH(P1551,Fit_Matrix!$A:$A,0)))),"CHECK KEY"))</f>
        <v/>
      </c>
      <c r="U1551" s="10"/>
      <c r="V1551" s="10"/>
      <c r="W1551" s="10"/>
      <c r="X1551" s="10"/>
      <c r="Y1551" s="10"/>
      <c r="Z1551" s="10"/>
      <c r="AA1551" s="11" t="str">
        <f t="shared" si="49"/>
        <v/>
      </c>
    </row>
    <row r="1552" spans="16:27" ht="15" customHeight="1">
      <c r="P1552" t="str">
        <f t="shared" si="48"/>
        <v/>
      </c>
      <c r="Q1552" t="str">
        <f>IF(P1552="","",IFERROR(IF(AND(H1552="W7",OR(F1552="causal",F1552="predictive")),IF(AND(OR(K1552=1,K1552="1"),OR(L1552=1,L1552="1"),OR(M1552=1,M1552="1")),"adequate","partial"),IF(AND(H1552="W4",F1552="predictive",OR(J1552="P2",J1552="P3",J1552="P4")),IF(OR(U1552=1,U1552="1"),"adequate","partial"),INDEX(Fit_Matrix!$B:$B,MATCH(P1552,Fit_Matrix!$A:$A,0)))),"CHECK KEY"))</f>
        <v/>
      </c>
      <c r="U1552" s="10"/>
      <c r="V1552" s="10"/>
      <c r="W1552" s="10"/>
      <c r="X1552" s="10"/>
      <c r="Y1552" s="10"/>
      <c r="Z1552" s="10"/>
      <c r="AA1552" s="11" t="str">
        <f t="shared" si="49"/>
        <v/>
      </c>
    </row>
    <row r="1553" spans="16:27" ht="15" customHeight="1">
      <c r="P1553" t="str">
        <f t="shared" si="48"/>
        <v/>
      </c>
      <c r="Q1553" t="str">
        <f>IF(P1553="","",IFERROR(IF(AND(H1553="W7",OR(F1553="causal",F1553="predictive")),IF(AND(OR(K1553=1,K1553="1"),OR(L1553=1,L1553="1"),OR(M1553=1,M1553="1")),"adequate","partial"),IF(AND(H1553="W4",F1553="predictive",OR(J1553="P2",J1553="P3",J1553="P4")),IF(OR(U1553=1,U1553="1"),"adequate","partial"),INDEX(Fit_Matrix!$B:$B,MATCH(P1553,Fit_Matrix!$A:$A,0)))),"CHECK KEY"))</f>
        <v/>
      </c>
      <c r="U1553" s="10"/>
      <c r="V1553" s="10"/>
      <c r="W1553" s="10"/>
      <c r="X1553" s="10"/>
      <c r="Y1553" s="10"/>
      <c r="Z1553" s="10"/>
      <c r="AA1553" s="11" t="str">
        <f t="shared" si="49"/>
        <v/>
      </c>
    </row>
    <row r="1554" spans="16:27" ht="15" customHeight="1">
      <c r="P1554" t="str">
        <f t="shared" si="48"/>
        <v/>
      </c>
      <c r="Q1554" t="str">
        <f>IF(P1554="","",IFERROR(IF(AND(H1554="W7",OR(F1554="causal",F1554="predictive")),IF(AND(OR(K1554=1,K1554="1"),OR(L1554=1,L1554="1"),OR(M1554=1,M1554="1")),"adequate","partial"),IF(AND(H1554="W4",F1554="predictive",OR(J1554="P2",J1554="P3",J1554="P4")),IF(OR(U1554=1,U1554="1"),"adequate","partial"),INDEX(Fit_Matrix!$B:$B,MATCH(P1554,Fit_Matrix!$A:$A,0)))),"CHECK KEY"))</f>
        <v/>
      </c>
      <c r="U1554" s="10"/>
      <c r="V1554" s="10"/>
      <c r="W1554" s="10"/>
      <c r="X1554" s="10"/>
      <c r="Y1554" s="10"/>
      <c r="Z1554" s="10"/>
      <c r="AA1554" s="11" t="str">
        <f t="shared" si="49"/>
        <v/>
      </c>
    </row>
    <row r="1555" spans="16:27" ht="15" customHeight="1">
      <c r="P1555" t="str">
        <f t="shared" si="48"/>
        <v/>
      </c>
      <c r="Q1555" t="str">
        <f>IF(P1555="","",IFERROR(IF(AND(H1555="W7",OR(F1555="causal",F1555="predictive")),IF(AND(OR(K1555=1,K1555="1"),OR(L1555=1,L1555="1"),OR(M1555=1,M1555="1")),"adequate","partial"),IF(AND(H1555="W4",F1555="predictive",OR(J1555="P2",J1555="P3",J1555="P4")),IF(OR(U1555=1,U1555="1"),"adequate","partial"),INDEX(Fit_Matrix!$B:$B,MATCH(P1555,Fit_Matrix!$A:$A,0)))),"CHECK KEY"))</f>
        <v/>
      </c>
      <c r="U1555" s="10"/>
      <c r="V1555" s="10"/>
      <c r="W1555" s="10"/>
      <c r="X1555" s="10"/>
      <c r="Y1555" s="10"/>
      <c r="Z1555" s="10"/>
      <c r="AA1555" s="11" t="str">
        <f t="shared" si="49"/>
        <v/>
      </c>
    </row>
    <row r="1556" spans="16:27" ht="15" customHeight="1">
      <c r="P1556" t="str">
        <f t="shared" si="48"/>
        <v/>
      </c>
      <c r="Q1556" t="str">
        <f>IF(P1556="","",IFERROR(IF(AND(H1556="W7",OR(F1556="causal",F1556="predictive")),IF(AND(OR(K1556=1,K1556="1"),OR(L1556=1,L1556="1"),OR(M1556=1,M1556="1")),"adequate","partial"),IF(AND(H1556="W4",F1556="predictive",OR(J1556="P2",J1556="P3",J1556="P4")),IF(OR(U1556=1,U1556="1"),"adequate","partial"),INDEX(Fit_Matrix!$B:$B,MATCH(P1556,Fit_Matrix!$A:$A,0)))),"CHECK KEY"))</f>
        <v/>
      </c>
      <c r="U1556" s="10"/>
      <c r="V1556" s="10"/>
      <c r="W1556" s="10"/>
      <c r="X1556" s="10"/>
      <c r="Y1556" s="10"/>
      <c r="Z1556" s="10"/>
      <c r="AA1556" s="11" t="str">
        <f t="shared" si="49"/>
        <v/>
      </c>
    </row>
    <row r="1557" spans="16:27" ht="15" customHeight="1">
      <c r="P1557" t="str">
        <f t="shared" si="48"/>
        <v/>
      </c>
      <c r="Q1557" t="str">
        <f>IF(P1557="","",IFERROR(IF(AND(H1557="W7",OR(F1557="causal",F1557="predictive")),IF(AND(OR(K1557=1,K1557="1"),OR(L1557=1,L1557="1"),OR(M1557=1,M1557="1")),"adequate","partial"),IF(AND(H1557="W4",F1557="predictive",OR(J1557="P2",J1557="P3",J1557="P4")),IF(OR(U1557=1,U1557="1"),"adequate","partial"),INDEX(Fit_Matrix!$B:$B,MATCH(P1557,Fit_Matrix!$A:$A,0)))),"CHECK KEY"))</f>
        <v/>
      </c>
      <c r="U1557" s="10"/>
      <c r="V1557" s="10"/>
      <c r="W1557" s="10"/>
      <c r="X1557" s="10"/>
      <c r="Y1557" s="10"/>
      <c r="Z1557" s="10"/>
      <c r="AA1557" s="11" t="str">
        <f t="shared" si="49"/>
        <v/>
      </c>
    </row>
    <row r="1558" spans="16:27" ht="15" customHeight="1">
      <c r="P1558" t="str">
        <f t="shared" si="48"/>
        <v/>
      </c>
      <c r="Q1558" t="str">
        <f>IF(P1558="","",IFERROR(IF(AND(H1558="W7",OR(F1558="causal",F1558="predictive")),IF(AND(OR(K1558=1,K1558="1"),OR(L1558=1,L1558="1"),OR(M1558=1,M1558="1")),"adequate","partial"),IF(AND(H1558="W4",F1558="predictive",OR(J1558="P2",J1558="P3",J1558="P4")),IF(OR(U1558=1,U1558="1"),"adequate","partial"),INDEX(Fit_Matrix!$B:$B,MATCH(P1558,Fit_Matrix!$A:$A,0)))),"CHECK KEY"))</f>
        <v/>
      </c>
      <c r="U1558" s="10"/>
      <c r="V1558" s="10"/>
      <c r="W1558" s="10"/>
      <c r="X1558" s="10"/>
      <c r="Y1558" s="10"/>
      <c r="Z1558" s="10"/>
      <c r="AA1558" s="11" t="str">
        <f t="shared" si="49"/>
        <v/>
      </c>
    </row>
    <row r="1559" spans="16:27" ht="15" customHeight="1">
      <c r="P1559" t="str">
        <f t="shared" si="48"/>
        <v/>
      </c>
      <c r="Q1559" t="str">
        <f>IF(P1559="","",IFERROR(IF(AND(H1559="W7",OR(F1559="causal",F1559="predictive")),IF(AND(OR(K1559=1,K1559="1"),OR(L1559=1,L1559="1"),OR(M1559=1,M1559="1")),"adequate","partial"),IF(AND(H1559="W4",F1559="predictive",OR(J1559="P2",J1559="P3",J1559="P4")),IF(OR(U1559=1,U1559="1"),"adequate","partial"),INDEX(Fit_Matrix!$B:$B,MATCH(P1559,Fit_Matrix!$A:$A,0)))),"CHECK KEY"))</f>
        <v/>
      </c>
      <c r="U1559" s="10"/>
      <c r="V1559" s="10"/>
      <c r="W1559" s="10"/>
      <c r="X1559" s="10"/>
      <c r="Y1559" s="10"/>
      <c r="Z1559" s="10"/>
      <c r="AA1559" s="11" t="str">
        <f t="shared" si="49"/>
        <v/>
      </c>
    </row>
    <row r="1560" spans="16:27" ht="15" customHeight="1">
      <c r="P1560" t="str">
        <f t="shared" si="48"/>
        <v/>
      </c>
      <c r="Q1560" t="str">
        <f>IF(P1560="","",IFERROR(IF(AND(H1560="W7",OR(F1560="causal",F1560="predictive")),IF(AND(OR(K1560=1,K1560="1"),OR(L1560=1,L1560="1"),OR(M1560=1,M1560="1")),"adequate","partial"),IF(AND(H1560="W4",F1560="predictive",OR(J1560="P2",J1560="P3",J1560="P4")),IF(OR(U1560=1,U1560="1"),"adequate","partial"),INDEX(Fit_Matrix!$B:$B,MATCH(P1560,Fit_Matrix!$A:$A,0)))),"CHECK KEY"))</f>
        <v/>
      </c>
      <c r="U1560" s="10"/>
      <c r="V1560" s="10"/>
      <c r="W1560" s="10"/>
      <c r="X1560" s="10"/>
      <c r="Y1560" s="10"/>
      <c r="Z1560" s="10"/>
      <c r="AA1560" s="11" t="str">
        <f t="shared" si="49"/>
        <v/>
      </c>
    </row>
    <row r="1561" spans="16:27" ht="15" customHeight="1">
      <c r="P1561" t="str">
        <f t="shared" si="48"/>
        <v/>
      </c>
      <c r="Q1561" t="str">
        <f>IF(P1561="","",IFERROR(IF(AND(H1561="W7",OR(F1561="causal",F1561="predictive")),IF(AND(OR(K1561=1,K1561="1"),OR(L1561=1,L1561="1"),OR(M1561=1,M1561="1")),"adequate","partial"),IF(AND(H1561="W4",F1561="predictive",OR(J1561="P2",J1561="P3",J1561="P4")),IF(OR(U1561=1,U1561="1"),"adequate","partial"),INDEX(Fit_Matrix!$B:$B,MATCH(P1561,Fit_Matrix!$A:$A,0)))),"CHECK KEY"))</f>
        <v/>
      </c>
      <c r="U1561" s="10"/>
      <c r="V1561" s="10"/>
      <c r="W1561" s="10"/>
      <c r="X1561" s="10"/>
      <c r="Y1561" s="10"/>
      <c r="Z1561" s="10"/>
      <c r="AA1561" s="11" t="str">
        <f t="shared" si="49"/>
        <v/>
      </c>
    </row>
    <row r="1562" spans="16:27" ht="15" customHeight="1">
      <c r="P1562" t="str">
        <f t="shared" si="48"/>
        <v/>
      </c>
      <c r="Q1562" t="str">
        <f>IF(P1562="","",IFERROR(IF(AND(H1562="W7",OR(F1562="causal",F1562="predictive")),IF(AND(OR(K1562=1,K1562="1"),OR(L1562=1,L1562="1"),OR(M1562=1,M1562="1")),"adequate","partial"),IF(AND(H1562="W4",F1562="predictive",OR(J1562="P2",J1562="P3",J1562="P4")),IF(OR(U1562=1,U1562="1"),"adequate","partial"),INDEX(Fit_Matrix!$B:$B,MATCH(P1562,Fit_Matrix!$A:$A,0)))),"CHECK KEY"))</f>
        <v/>
      </c>
      <c r="U1562" s="10"/>
      <c r="V1562" s="10"/>
      <c r="W1562" s="10"/>
      <c r="X1562" s="10"/>
      <c r="Y1562" s="10"/>
      <c r="Z1562" s="10"/>
      <c r="AA1562" s="11" t="str">
        <f t="shared" si="49"/>
        <v/>
      </c>
    </row>
    <row r="1563" spans="16:27" ht="15" customHeight="1">
      <c r="P1563" t="str">
        <f t="shared" si="48"/>
        <v/>
      </c>
      <c r="Q1563" t="str">
        <f>IF(P1563="","",IFERROR(IF(AND(H1563="W7",OR(F1563="causal",F1563="predictive")),IF(AND(OR(K1563=1,K1563="1"),OR(L1563=1,L1563="1"),OR(M1563=1,M1563="1")),"adequate","partial"),IF(AND(H1563="W4",F1563="predictive",OR(J1563="P2",J1563="P3",J1563="P4")),IF(OR(U1563=1,U1563="1"),"adequate","partial"),INDEX(Fit_Matrix!$B:$B,MATCH(P1563,Fit_Matrix!$A:$A,0)))),"CHECK KEY"))</f>
        <v/>
      </c>
      <c r="U1563" s="10"/>
      <c r="V1563" s="10"/>
      <c r="W1563" s="10"/>
      <c r="X1563" s="10"/>
      <c r="Y1563" s="10"/>
      <c r="Z1563" s="10"/>
      <c r="AA1563" s="11" t="str">
        <f t="shared" si="49"/>
        <v/>
      </c>
    </row>
    <row r="1564" spans="16:27" ht="15" customHeight="1">
      <c r="P1564" t="str">
        <f t="shared" si="48"/>
        <v/>
      </c>
      <c r="Q1564" t="str">
        <f>IF(P1564="","",IFERROR(IF(AND(H1564="W7",OR(F1564="causal",F1564="predictive")),IF(AND(OR(K1564=1,K1564="1"),OR(L1564=1,L1564="1"),OR(M1564=1,M1564="1")),"adequate","partial"),IF(AND(H1564="W4",F1564="predictive",OR(J1564="P2",J1564="P3",J1564="P4")),IF(OR(U1564=1,U1564="1"),"adequate","partial"),INDEX(Fit_Matrix!$B:$B,MATCH(P1564,Fit_Matrix!$A:$A,0)))),"CHECK KEY"))</f>
        <v/>
      </c>
      <c r="U1564" s="10"/>
      <c r="V1564" s="10"/>
      <c r="W1564" s="10"/>
      <c r="X1564" s="10"/>
      <c r="Y1564" s="10"/>
      <c r="Z1564" s="10"/>
      <c r="AA1564" s="11" t="str">
        <f t="shared" si="49"/>
        <v/>
      </c>
    </row>
    <row r="1565" spans="16:27" ht="15" customHeight="1">
      <c r="P1565" t="str">
        <f t="shared" si="48"/>
        <v/>
      </c>
      <c r="Q1565" t="str">
        <f>IF(P1565="","",IFERROR(IF(AND(H1565="W7",OR(F1565="causal",F1565="predictive")),IF(AND(OR(K1565=1,K1565="1"),OR(L1565=1,L1565="1"),OR(M1565=1,M1565="1")),"adequate","partial"),IF(AND(H1565="W4",F1565="predictive",OR(J1565="P2",J1565="P3",J1565="P4")),IF(OR(U1565=1,U1565="1"),"adequate","partial"),INDEX(Fit_Matrix!$B:$B,MATCH(P1565,Fit_Matrix!$A:$A,0)))),"CHECK KEY"))</f>
        <v/>
      </c>
      <c r="U1565" s="10"/>
      <c r="V1565" s="10"/>
      <c r="W1565" s="10"/>
      <c r="X1565" s="10"/>
      <c r="Y1565" s="10"/>
      <c r="Z1565" s="10"/>
      <c r="AA1565" s="11" t="str">
        <f t="shared" si="49"/>
        <v/>
      </c>
    </row>
    <row r="1566" spans="16:27" ht="15" customHeight="1">
      <c r="P1566" t="str">
        <f t="shared" si="48"/>
        <v/>
      </c>
      <c r="Q1566" t="str">
        <f>IF(P1566="","",IFERROR(IF(AND(H1566="W7",OR(F1566="causal",F1566="predictive")),IF(AND(OR(K1566=1,K1566="1"),OR(L1566=1,L1566="1"),OR(M1566=1,M1566="1")),"adequate","partial"),IF(AND(H1566="W4",F1566="predictive",OR(J1566="P2",J1566="P3",J1566="P4")),IF(OR(U1566=1,U1566="1"),"adequate","partial"),INDEX(Fit_Matrix!$B:$B,MATCH(P1566,Fit_Matrix!$A:$A,0)))),"CHECK KEY"))</f>
        <v/>
      </c>
      <c r="U1566" s="10"/>
      <c r="V1566" s="10"/>
      <c r="W1566" s="10"/>
      <c r="X1566" s="10"/>
      <c r="Y1566" s="10"/>
      <c r="Z1566" s="10"/>
      <c r="AA1566" s="11" t="str">
        <f t="shared" si="49"/>
        <v/>
      </c>
    </row>
    <row r="1567" spans="16:27" ht="15" customHeight="1">
      <c r="P1567" t="str">
        <f t="shared" si="48"/>
        <v/>
      </c>
      <c r="Q1567" t="str">
        <f>IF(P1567="","",IFERROR(IF(AND(H1567="W7",OR(F1567="causal",F1567="predictive")),IF(AND(OR(K1567=1,K1567="1"),OR(L1567=1,L1567="1"),OR(M1567=1,M1567="1")),"adequate","partial"),IF(AND(H1567="W4",F1567="predictive",OR(J1567="P2",J1567="P3",J1567="P4")),IF(OR(U1567=1,U1567="1"),"adequate","partial"),INDEX(Fit_Matrix!$B:$B,MATCH(P1567,Fit_Matrix!$A:$A,0)))),"CHECK KEY"))</f>
        <v/>
      </c>
      <c r="U1567" s="10"/>
      <c r="V1567" s="10"/>
      <c r="W1567" s="10"/>
      <c r="X1567" s="10"/>
      <c r="Y1567" s="10"/>
      <c r="Z1567" s="10"/>
      <c r="AA1567" s="11" t="str">
        <f t="shared" si="49"/>
        <v/>
      </c>
    </row>
    <row r="1568" spans="16:27" ht="15" customHeight="1">
      <c r="P1568" t="str">
        <f t="shared" si="48"/>
        <v/>
      </c>
      <c r="Q1568" t="str">
        <f>IF(P1568="","",IFERROR(IF(AND(H1568="W7",OR(F1568="causal",F1568="predictive")),IF(AND(OR(K1568=1,K1568="1"),OR(L1568=1,L1568="1"),OR(M1568=1,M1568="1")),"adequate","partial"),IF(AND(H1568="W4",F1568="predictive",OR(J1568="P2",J1568="P3",J1568="P4")),IF(OR(U1568=1,U1568="1"),"adequate","partial"),INDEX(Fit_Matrix!$B:$B,MATCH(P1568,Fit_Matrix!$A:$A,0)))),"CHECK KEY"))</f>
        <v/>
      </c>
      <c r="U1568" s="10"/>
      <c r="V1568" s="10"/>
      <c r="W1568" s="10"/>
      <c r="X1568" s="10"/>
      <c r="Y1568" s="10"/>
      <c r="Z1568" s="10"/>
      <c r="AA1568" s="11" t="str">
        <f t="shared" si="49"/>
        <v/>
      </c>
    </row>
    <row r="1569" spans="16:27" ht="15" customHeight="1">
      <c r="P1569" t="str">
        <f t="shared" si="48"/>
        <v/>
      </c>
      <c r="Q1569" t="str">
        <f>IF(P1569="","",IFERROR(IF(AND(H1569="W7",OR(F1569="causal",F1569="predictive")),IF(AND(OR(K1569=1,K1569="1"),OR(L1569=1,L1569="1"),OR(M1569=1,M1569="1")),"adequate","partial"),IF(AND(H1569="W4",F1569="predictive",OR(J1569="P2",J1569="P3",J1569="P4")),IF(OR(U1569=1,U1569="1"),"adequate","partial"),INDEX(Fit_Matrix!$B:$B,MATCH(P1569,Fit_Matrix!$A:$A,0)))),"CHECK KEY"))</f>
        <v/>
      </c>
      <c r="U1569" s="10"/>
      <c r="V1569" s="10"/>
      <c r="W1569" s="10"/>
      <c r="X1569" s="10"/>
      <c r="Y1569" s="10"/>
      <c r="Z1569" s="10"/>
      <c r="AA1569" s="11" t="str">
        <f t="shared" si="49"/>
        <v/>
      </c>
    </row>
    <row r="1570" spans="16:27" ht="15" customHeight="1">
      <c r="P1570" t="str">
        <f t="shared" si="48"/>
        <v/>
      </c>
      <c r="Q1570" t="str">
        <f>IF(P1570="","",IFERROR(IF(AND(H1570="W7",OR(F1570="causal",F1570="predictive")),IF(AND(OR(K1570=1,K1570="1"),OR(L1570=1,L1570="1"),OR(M1570=1,M1570="1")),"adequate","partial"),IF(AND(H1570="W4",F1570="predictive",OR(J1570="P2",J1570="P3",J1570="P4")),IF(OR(U1570=1,U1570="1"),"adequate","partial"),INDEX(Fit_Matrix!$B:$B,MATCH(P1570,Fit_Matrix!$A:$A,0)))),"CHECK KEY"))</f>
        <v/>
      </c>
      <c r="U1570" s="10"/>
      <c r="V1570" s="10"/>
      <c r="W1570" s="10"/>
      <c r="X1570" s="10"/>
      <c r="Y1570" s="10"/>
      <c r="Z1570" s="10"/>
      <c r="AA1570" s="11" t="str">
        <f t="shared" si="49"/>
        <v/>
      </c>
    </row>
    <row r="1571" spans="16:27" ht="15" customHeight="1">
      <c r="P1571" t="str">
        <f t="shared" si="48"/>
        <v/>
      </c>
      <c r="Q1571" t="str">
        <f>IF(P1571="","",IFERROR(IF(AND(H1571="W7",OR(F1571="causal",F1571="predictive")),IF(AND(OR(K1571=1,K1571="1"),OR(L1571=1,L1571="1"),OR(M1571=1,M1571="1")),"adequate","partial"),IF(AND(H1571="W4",F1571="predictive",OR(J1571="P2",J1571="P3",J1571="P4")),IF(OR(U1571=1,U1571="1"),"adequate","partial"),INDEX(Fit_Matrix!$B:$B,MATCH(P1571,Fit_Matrix!$A:$A,0)))),"CHECK KEY"))</f>
        <v/>
      </c>
      <c r="U1571" s="10"/>
      <c r="V1571" s="10"/>
      <c r="W1571" s="10"/>
      <c r="X1571" s="10"/>
      <c r="Y1571" s="10"/>
      <c r="Z1571" s="10"/>
      <c r="AA1571" s="11" t="str">
        <f t="shared" si="49"/>
        <v/>
      </c>
    </row>
    <row r="1572" spans="16:27" ht="15" customHeight="1">
      <c r="P1572" t="str">
        <f t="shared" si="48"/>
        <v/>
      </c>
      <c r="Q1572" t="str">
        <f>IF(P1572="","",IFERROR(IF(AND(H1572="W7",OR(F1572="causal",F1572="predictive")),IF(AND(OR(K1572=1,K1572="1"),OR(L1572=1,L1572="1"),OR(M1572=1,M1572="1")),"adequate","partial"),IF(AND(H1572="W4",F1572="predictive",OR(J1572="P2",J1572="P3",J1572="P4")),IF(OR(U1572=1,U1572="1"),"adequate","partial"),INDEX(Fit_Matrix!$B:$B,MATCH(P1572,Fit_Matrix!$A:$A,0)))),"CHECK KEY"))</f>
        <v/>
      </c>
      <c r="U1572" s="10"/>
      <c r="V1572" s="10"/>
      <c r="W1572" s="10"/>
      <c r="X1572" s="10"/>
      <c r="Y1572" s="10"/>
      <c r="Z1572" s="10"/>
      <c r="AA1572" s="11" t="str">
        <f t="shared" si="49"/>
        <v/>
      </c>
    </row>
    <row r="1573" spans="16:27" ht="15" customHeight="1">
      <c r="P1573" t="str">
        <f t="shared" si="48"/>
        <v/>
      </c>
      <c r="Q1573" t="str">
        <f>IF(P1573="","",IFERROR(IF(AND(H1573="W7",OR(F1573="causal",F1573="predictive")),IF(AND(OR(K1573=1,K1573="1"),OR(L1573=1,L1573="1"),OR(M1573=1,M1573="1")),"adequate","partial"),IF(AND(H1573="W4",F1573="predictive",OR(J1573="P2",J1573="P3",J1573="P4")),IF(OR(U1573=1,U1573="1"),"adequate","partial"),INDEX(Fit_Matrix!$B:$B,MATCH(P1573,Fit_Matrix!$A:$A,0)))),"CHECK KEY"))</f>
        <v/>
      </c>
      <c r="U1573" s="10"/>
      <c r="V1573" s="10"/>
      <c r="W1573" s="10"/>
      <c r="X1573" s="10"/>
      <c r="Y1573" s="10"/>
      <c r="Z1573" s="10"/>
      <c r="AA1573" s="11" t="str">
        <f t="shared" si="49"/>
        <v/>
      </c>
    </row>
    <row r="1574" spans="16:27" ht="15" customHeight="1">
      <c r="P1574" t="str">
        <f t="shared" si="48"/>
        <v/>
      </c>
      <c r="Q1574" t="str">
        <f>IF(P1574="","",IFERROR(IF(AND(H1574="W7",OR(F1574="causal",F1574="predictive")),IF(AND(OR(K1574=1,K1574="1"),OR(L1574=1,L1574="1"),OR(M1574=1,M1574="1")),"adequate","partial"),IF(AND(H1574="W4",F1574="predictive",OR(J1574="P2",J1574="P3",J1574="P4")),IF(OR(U1574=1,U1574="1"),"adequate","partial"),INDEX(Fit_Matrix!$B:$B,MATCH(P1574,Fit_Matrix!$A:$A,0)))),"CHECK KEY"))</f>
        <v/>
      </c>
      <c r="U1574" s="10"/>
      <c r="V1574" s="10"/>
      <c r="W1574" s="10"/>
      <c r="X1574" s="10"/>
      <c r="Y1574" s="10"/>
      <c r="Z1574" s="10"/>
      <c r="AA1574" s="11" t="str">
        <f t="shared" si="49"/>
        <v/>
      </c>
    </row>
    <row r="1575" spans="16:27" ht="15" customHeight="1">
      <c r="P1575" t="str">
        <f t="shared" si="48"/>
        <v/>
      </c>
      <c r="Q1575" t="str">
        <f>IF(P1575="","",IFERROR(IF(AND(H1575="W7",OR(F1575="causal",F1575="predictive")),IF(AND(OR(K1575=1,K1575="1"),OR(L1575=1,L1575="1"),OR(M1575=1,M1575="1")),"adequate","partial"),IF(AND(H1575="W4",F1575="predictive",OR(J1575="P2",J1575="P3",J1575="P4")),IF(OR(U1575=1,U1575="1"),"adequate","partial"),INDEX(Fit_Matrix!$B:$B,MATCH(P1575,Fit_Matrix!$A:$A,0)))),"CHECK KEY"))</f>
        <v/>
      </c>
      <c r="U1575" s="10"/>
      <c r="V1575" s="10"/>
      <c r="W1575" s="10"/>
      <c r="X1575" s="10"/>
      <c r="Y1575" s="10"/>
      <c r="Z1575" s="10"/>
      <c r="AA1575" s="11" t="str">
        <f t="shared" si="49"/>
        <v/>
      </c>
    </row>
    <row r="1576" spans="16:27" ht="15" customHeight="1">
      <c r="P1576" t="str">
        <f t="shared" si="48"/>
        <v/>
      </c>
      <c r="Q1576" t="str">
        <f>IF(P1576="","",IFERROR(IF(AND(H1576="W7",OR(F1576="causal",F1576="predictive")),IF(AND(OR(K1576=1,K1576="1"),OR(L1576=1,L1576="1"),OR(M1576=1,M1576="1")),"adequate","partial"),IF(AND(H1576="W4",F1576="predictive",OR(J1576="P2",J1576="P3",J1576="P4")),IF(OR(U1576=1,U1576="1"),"adequate","partial"),INDEX(Fit_Matrix!$B:$B,MATCH(P1576,Fit_Matrix!$A:$A,0)))),"CHECK KEY"))</f>
        <v/>
      </c>
      <c r="U1576" s="10"/>
      <c r="V1576" s="10"/>
      <c r="W1576" s="10"/>
      <c r="X1576" s="10"/>
      <c r="Y1576" s="10"/>
      <c r="Z1576" s="10"/>
      <c r="AA1576" s="11" t="str">
        <f t="shared" si="49"/>
        <v/>
      </c>
    </row>
    <row r="1577" spans="16:27" ht="15" customHeight="1">
      <c r="P1577" t="str">
        <f t="shared" si="48"/>
        <v/>
      </c>
      <c r="Q1577" t="str">
        <f>IF(P1577="","",IFERROR(IF(AND(H1577="W7",OR(F1577="causal",F1577="predictive")),IF(AND(OR(K1577=1,K1577="1"),OR(L1577=1,L1577="1"),OR(M1577=1,M1577="1")),"adequate","partial"),IF(AND(H1577="W4",F1577="predictive",OR(J1577="P2",J1577="P3",J1577="P4")),IF(OR(U1577=1,U1577="1"),"adequate","partial"),INDEX(Fit_Matrix!$B:$B,MATCH(P1577,Fit_Matrix!$A:$A,0)))),"CHECK KEY"))</f>
        <v/>
      </c>
      <c r="U1577" s="10"/>
      <c r="V1577" s="10"/>
      <c r="W1577" s="10"/>
      <c r="X1577" s="10"/>
      <c r="Y1577" s="10"/>
      <c r="Z1577" s="10"/>
      <c r="AA1577" s="11" t="str">
        <f t="shared" si="49"/>
        <v/>
      </c>
    </row>
    <row r="1578" spans="16:27" ht="15" customHeight="1">
      <c r="P1578" t="str">
        <f t="shared" si="48"/>
        <v/>
      </c>
      <c r="Q1578" t="str">
        <f>IF(P1578="","",IFERROR(IF(AND(H1578="W7",OR(F1578="causal",F1578="predictive")),IF(AND(OR(K1578=1,K1578="1"),OR(L1578=1,L1578="1"),OR(M1578=1,M1578="1")),"adequate","partial"),IF(AND(H1578="W4",F1578="predictive",OR(J1578="P2",J1578="P3",J1578="P4")),IF(OR(U1578=1,U1578="1"),"adequate","partial"),INDEX(Fit_Matrix!$B:$B,MATCH(P1578,Fit_Matrix!$A:$A,0)))),"CHECK KEY"))</f>
        <v/>
      </c>
      <c r="U1578" s="10"/>
      <c r="V1578" s="10"/>
      <c r="W1578" s="10"/>
      <c r="X1578" s="10"/>
      <c r="Y1578" s="10"/>
      <c r="Z1578" s="10"/>
      <c r="AA1578" s="11" t="str">
        <f t="shared" si="49"/>
        <v/>
      </c>
    </row>
    <row r="1579" spans="16:27" ht="15" customHeight="1">
      <c r="P1579" t="str">
        <f t="shared" si="48"/>
        <v/>
      </c>
      <c r="Q1579" t="str">
        <f>IF(P1579="","",IFERROR(IF(AND(H1579="W7",OR(F1579="causal",F1579="predictive")),IF(AND(OR(K1579=1,K1579="1"),OR(L1579=1,L1579="1"),OR(M1579=1,M1579="1")),"adequate","partial"),IF(AND(H1579="W4",F1579="predictive",OR(J1579="P2",J1579="P3",J1579="P4")),IF(OR(U1579=1,U1579="1"),"adequate","partial"),INDEX(Fit_Matrix!$B:$B,MATCH(P1579,Fit_Matrix!$A:$A,0)))),"CHECK KEY"))</f>
        <v/>
      </c>
      <c r="U1579" s="10"/>
      <c r="V1579" s="10"/>
      <c r="W1579" s="10"/>
      <c r="X1579" s="10"/>
      <c r="Y1579" s="10"/>
      <c r="Z1579" s="10"/>
      <c r="AA1579" s="11" t="str">
        <f t="shared" si="49"/>
        <v/>
      </c>
    </row>
    <row r="1580" spans="16:27" ht="15" customHeight="1">
      <c r="P1580" t="str">
        <f t="shared" si="48"/>
        <v/>
      </c>
      <c r="Q1580" t="str">
        <f>IF(P1580="","",IFERROR(IF(AND(H1580="W7",OR(F1580="causal",F1580="predictive")),IF(AND(OR(K1580=1,K1580="1"),OR(L1580=1,L1580="1"),OR(M1580=1,M1580="1")),"adequate","partial"),IF(AND(H1580="W4",F1580="predictive",OR(J1580="P2",J1580="P3",J1580="P4")),IF(OR(U1580=1,U1580="1"),"adequate","partial"),INDEX(Fit_Matrix!$B:$B,MATCH(P1580,Fit_Matrix!$A:$A,0)))),"CHECK KEY"))</f>
        <v/>
      </c>
      <c r="U1580" s="10"/>
      <c r="V1580" s="10"/>
      <c r="W1580" s="10"/>
      <c r="X1580" s="10"/>
      <c r="Y1580" s="10"/>
      <c r="Z1580" s="10"/>
      <c r="AA1580" s="11" t="str">
        <f t="shared" si="49"/>
        <v/>
      </c>
    </row>
    <row r="1581" spans="16:27" ht="15" customHeight="1">
      <c r="P1581" t="str">
        <f t="shared" si="48"/>
        <v/>
      </c>
      <c r="Q1581" t="str">
        <f>IF(P1581="","",IFERROR(IF(AND(H1581="W7",OR(F1581="causal",F1581="predictive")),IF(AND(OR(K1581=1,K1581="1"),OR(L1581=1,L1581="1"),OR(M1581=1,M1581="1")),"adequate","partial"),IF(AND(H1581="W4",F1581="predictive",OR(J1581="P2",J1581="P3",J1581="P4")),IF(OR(U1581=1,U1581="1"),"adequate","partial"),INDEX(Fit_Matrix!$B:$B,MATCH(P1581,Fit_Matrix!$A:$A,0)))),"CHECK KEY"))</f>
        <v/>
      </c>
      <c r="U1581" s="10"/>
      <c r="V1581" s="10"/>
      <c r="W1581" s="10"/>
      <c r="X1581" s="10"/>
      <c r="Y1581" s="10"/>
      <c r="Z1581" s="10"/>
      <c r="AA1581" s="11" t="str">
        <f t="shared" si="49"/>
        <v/>
      </c>
    </row>
    <row r="1582" spans="16:27" ht="15" customHeight="1">
      <c r="P1582" t="str">
        <f t="shared" si="48"/>
        <v/>
      </c>
      <c r="Q1582" t="str">
        <f>IF(P1582="","",IFERROR(IF(AND(H1582="W7",OR(F1582="causal",F1582="predictive")),IF(AND(OR(K1582=1,K1582="1"),OR(L1582=1,L1582="1"),OR(M1582=1,M1582="1")),"adequate","partial"),IF(AND(H1582="W4",F1582="predictive",OR(J1582="P2",J1582="P3",J1582="P4")),IF(OR(U1582=1,U1582="1"),"adequate","partial"),INDEX(Fit_Matrix!$B:$B,MATCH(P1582,Fit_Matrix!$A:$A,0)))),"CHECK KEY"))</f>
        <v/>
      </c>
      <c r="U1582" s="10"/>
      <c r="V1582" s="10"/>
      <c r="W1582" s="10"/>
      <c r="X1582" s="10"/>
      <c r="Y1582" s="10"/>
      <c r="Z1582" s="10"/>
      <c r="AA1582" s="11" t="str">
        <f t="shared" si="49"/>
        <v/>
      </c>
    </row>
    <row r="1583" spans="16:27" ht="15" customHeight="1">
      <c r="P1583" t="str">
        <f t="shared" si="48"/>
        <v/>
      </c>
      <c r="Q1583" t="str">
        <f>IF(P1583="","",IFERROR(IF(AND(H1583="W7",OR(F1583="causal",F1583="predictive")),IF(AND(OR(K1583=1,K1583="1"),OR(L1583=1,L1583="1"),OR(M1583=1,M1583="1")),"adequate","partial"),IF(AND(H1583="W4",F1583="predictive",OR(J1583="P2",J1583="P3",J1583="P4")),IF(OR(U1583=1,U1583="1"),"adequate","partial"),INDEX(Fit_Matrix!$B:$B,MATCH(P1583,Fit_Matrix!$A:$A,0)))),"CHECK KEY"))</f>
        <v/>
      </c>
      <c r="U1583" s="10"/>
      <c r="V1583" s="10"/>
      <c r="W1583" s="10"/>
      <c r="X1583" s="10"/>
      <c r="Y1583" s="10"/>
      <c r="Z1583" s="10"/>
      <c r="AA1583" s="11" t="str">
        <f t="shared" si="49"/>
        <v/>
      </c>
    </row>
    <row r="1584" spans="16:27" ht="15" customHeight="1">
      <c r="P1584" t="str">
        <f t="shared" si="48"/>
        <v/>
      </c>
      <c r="Q1584" t="str">
        <f>IF(P1584="","",IFERROR(IF(AND(H1584="W7",OR(F1584="causal",F1584="predictive")),IF(AND(OR(K1584=1,K1584="1"),OR(L1584=1,L1584="1"),OR(M1584=1,M1584="1")),"adequate","partial"),IF(AND(H1584="W4",F1584="predictive",OR(J1584="P2",J1584="P3",J1584="P4")),IF(OR(U1584=1,U1584="1"),"adequate","partial"),INDEX(Fit_Matrix!$B:$B,MATCH(P1584,Fit_Matrix!$A:$A,0)))),"CHECK KEY"))</f>
        <v/>
      </c>
      <c r="U1584" s="10"/>
      <c r="V1584" s="10"/>
      <c r="W1584" s="10"/>
      <c r="X1584" s="10"/>
      <c r="Y1584" s="10"/>
      <c r="Z1584" s="10"/>
      <c r="AA1584" s="11" t="str">
        <f t="shared" si="49"/>
        <v/>
      </c>
    </row>
    <row r="1585" spans="16:27" ht="15" customHeight="1">
      <c r="P1585" t="str">
        <f t="shared" si="48"/>
        <v/>
      </c>
      <c r="Q1585" t="str">
        <f>IF(P1585="","",IFERROR(IF(AND(H1585="W7",OR(F1585="causal",F1585="predictive")),IF(AND(OR(K1585=1,K1585="1"),OR(L1585=1,L1585="1"),OR(M1585=1,M1585="1")),"adequate","partial"),IF(AND(H1585="W4",F1585="predictive",OR(J1585="P2",J1585="P3",J1585="P4")),IF(OR(U1585=1,U1585="1"),"adequate","partial"),INDEX(Fit_Matrix!$B:$B,MATCH(P1585,Fit_Matrix!$A:$A,0)))),"CHECK KEY"))</f>
        <v/>
      </c>
      <c r="U1585" s="10"/>
      <c r="V1585" s="10"/>
      <c r="W1585" s="10"/>
      <c r="X1585" s="10"/>
      <c r="Y1585" s="10"/>
      <c r="Z1585" s="10"/>
      <c r="AA1585" s="11" t="str">
        <f t="shared" si="49"/>
        <v/>
      </c>
    </row>
    <row r="1586" spans="16:27" ht="15" customHeight="1">
      <c r="P1586" t="str">
        <f t="shared" si="48"/>
        <v/>
      </c>
      <c r="Q1586" t="str">
        <f>IF(P1586="","",IFERROR(IF(AND(H1586="W7",OR(F1586="causal",F1586="predictive")),IF(AND(OR(K1586=1,K1586="1"),OR(L1586=1,L1586="1"),OR(M1586=1,M1586="1")),"adequate","partial"),IF(AND(H1586="W4",F1586="predictive",OR(J1586="P2",J1586="P3",J1586="P4")),IF(OR(U1586=1,U1586="1"),"adequate","partial"),INDEX(Fit_Matrix!$B:$B,MATCH(P1586,Fit_Matrix!$A:$A,0)))),"CHECK KEY"))</f>
        <v/>
      </c>
      <c r="U1586" s="10"/>
      <c r="V1586" s="10"/>
      <c r="W1586" s="10"/>
      <c r="X1586" s="10"/>
      <c r="Y1586" s="10"/>
      <c r="Z1586" s="10"/>
      <c r="AA1586" s="11" t="str">
        <f t="shared" si="49"/>
        <v/>
      </c>
    </row>
    <row r="1587" spans="16:27" ht="15" customHeight="1">
      <c r="P1587" t="str">
        <f t="shared" si="48"/>
        <v/>
      </c>
      <c r="Q1587" t="str">
        <f>IF(P1587="","",IFERROR(IF(AND(H1587="W7",OR(F1587="causal",F1587="predictive")),IF(AND(OR(K1587=1,K1587="1"),OR(L1587=1,L1587="1"),OR(M1587=1,M1587="1")),"adequate","partial"),IF(AND(H1587="W4",F1587="predictive",OR(J1587="P2",J1587="P3",J1587="P4")),IF(OR(U1587=1,U1587="1"),"adequate","partial"),INDEX(Fit_Matrix!$B:$B,MATCH(P1587,Fit_Matrix!$A:$A,0)))),"CHECK KEY"))</f>
        <v/>
      </c>
      <c r="U1587" s="10"/>
      <c r="V1587" s="10"/>
      <c r="W1587" s="10"/>
      <c r="X1587" s="10"/>
      <c r="Y1587" s="10"/>
      <c r="Z1587" s="10"/>
      <c r="AA1587" s="11" t="str">
        <f t="shared" si="49"/>
        <v/>
      </c>
    </row>
    <row r="1588" spans="16:27" ht="15" customHeight="1">
      <c r="P1588" t="str">
        <f t="shared" si="48"/>
        <v/>
      </c>
      <c r="Q1588" t="str">
        <f>IF(P1588="","",IFERROR(IF(AND(H1588="W7",OR(F1588="causal",F1588="predictive")),IF(AND(OR(K1588=1,K1588="1"),OR(L1588=1,L1588="1"),OR(M1588=1,M1588="1")),"adequate","partial"),IF(AND(H1588="W4",F1588="predictive",OR(J1588="P2",J1588="P3",J1588="P4")),IF(OR(U1588=1,U1588="1"),"adequate","partial"),INDEX(Fit_Matrix!$B:$B,MATCH(P1588,Fit_Matrix!$A:$A,0)))),"CHECK KEY"))</f>
        <v/>
      </c>
      <c r="U1588" s="10"/>
      <c r="V1588" s="10"/>
      <c r="W1588" s="10"/>
      <c r="X1588" s="10"/>
      <c r="Y1588" s="10"/>
      <c r="Z1588" s="10"/>
      <c r="AA1588" s="11" t="str">
        <f t="shared" si="49"/>
        <v/>
      </c>
    </row>
    <row r="1589" spans="16:27" ht="15" customHeight="1">
      <c r="P1589" t="str">
        <f t="shared" si="48"/>
        <v/>
      </c>
      <c r="Q1589" t="str">
        <f>IF(P1589="","",IFERROR(IF(AND(H1589="W7",OR(F1589="causal",F1589="predictive")),IF(AND(OR(K1589=1,K1589="1"),OR(L1589=1,L1589="1"),OR(M1589=1,M1589="1")),"adequate","partial"),IF(AND(H1589="W4",F1589="predictive",OR(J1589="P2",J1589="P3",J1589="P4")),IF(OR(U1589=1,U1589="1"),"adequate","partial"),INDEX(Fit_Matrix!$B:$B,MATCH(P1589,Fit_Matrix!$A:$A,0)))),"CHECK KEY"))</f>
        <v/>
      </c>
      <c r="U1589" s="10"/>
      <c r="V1589" s="10"/>
      <c r="W1589" s="10"/>
      <c r="X1589" s="10"/>
      <c r="Y1589" s="10"/>
      <c r="Z1589" s="10"/>
      <c r="AA1589" s="11" t="str">
        <f t="shared" si="49"/>
        <v/>
      </c>
    </row>
    <row r="1590" spans="16:27" ht="15" customHeight="1">
      <c r="P1590" t="str">
        <f t="shared" si="48"/>
        <v/>
      </c>
      <c r="Q1590" t="str">
        <f>IF(P1590="","",IFERROR(IF(AND(H1590="W7",OR(F1590="causal",F1590="predictive")),IF(AND(OR(K1590=1,K1590="1"),OR(L1590=1,L1590="1"),OR(M1590=1,M1590="1")),"adequate","partial"),IF(AND(H1590="W4",F1590="predictive",OR(J1590="P2",J1590="P3",J1590="P4")),IF(OR(U1590=1,U1590="1"),"adequate","partial"),INDEX(Fit_Matrix!$B:$B,MATCH(P1590,Fit_Matrix!$A:$A,0)))),"CHECK KEY"))</f>
        <v/>
      </c>
      <c r="U1590" s="10"/>
      <c r="V1590" s="10"/>
      <c r="W1590" s="10"/>
      <c r="X1590" s="10"/>
      <c r="Y1590" s="10"/>
      <c r="Z1590" s="10"/>
      <c r="AA1590" s="11" t="str">
        <f t="shared" si="49"/>
        <v/>
      </c>
    </row>
    <row r="1591" spans="16:27" ht="15" customHeight="1">
      <c r="P1591" t="str">
        <f t="shared" si="48"/>
        <v/>
      </c>
      <c r="Q1591" t="str">
        <f>IF(P1591="","",IFERROR(IF(AND(H1591="W7",OR(F1591="causal",F1591="predictive")),IF(AND(OR(K1591=1,K1591="1"),OR(L1591=1,L1591="1"),OR(M1591=1,M1591="1")),"adequate","partial"),IF(AND(H1591="W4",F1591="predictive",OR(J1591="P2",J1591="P3",J1591="P4")),IF(OR(U1591=1,U1591="1"),"adequate","partial"),INDEX(Fit_Matrix!$B:$B,MATCH(P1591,Fit_Matrix!$A:$A,0)))),"CHECK KEY"))</f>
        <v/>
      </c>
      <c r="U1591" s="10"/>
      <c r="V1591" s="10"/>
      <c r="W1591" s="10"/>
      <c r="X1591" s="10"/>
      <c r="Y1591" s="10"/>
      <c r="Z1591" s="10"/>
      <c r="AA1591" s="11" t="str">
        <f t="shared" si="49"/>
        <v/>
      </c>
    </row>
    <row r="1592" spans="16:27" ht="15" customHeight="1">
      <c r="P1592" t="str">
        <f t="shared" si="48"/>
        <v/>
      </c>
      <c r="Q1592" t="str">
        <f>IF(P1592="","",IFERROR(IF(AND(H1592="W7",OR(F1592="causal",F1592="predictive")),IF(AND(OR(K1592=1,K1592="1"),OR(L1592=1,L1592="1"),OR(M1592=1,M1592="1")),"adequate","partial"),IF(AND(H1592="W4",F1592="predictive",OR(J1592="P2",J1592="P3",J1592="P4")),IF(OR(U1592=1,U1592="1"),"adequate","partial"),INDEX(Fit_Matrix!$B:$B,MATCH(P1592,Fit_Matrix!$A:$A,0)))),"CHECK KEY"))</f>
        <v/>
      </c>
      <c r="U1592" s="10"/>
      <c r="V1592" s="10"/>
      <c r="W1592" s="10"/>
      <c r="X1592" s="10"/>
      <c r="Y1592" s="10"/>
      <c r="Z1592" s="10"/>
      <c r="AA1592" s="11" t="str">
        <f t="shared" si="49"/>
        <v/>
      </c>
    </row>
    <row r="1593" spans="16:27" ht="15" customHeight="1">
      <c r="P1593" t="str">
        <f t="shared" si="48"/>
        <v/>
      </c>
      <c r="Q1593" t="str">
        <f>IF(P1593="","",IFERROR(IF(AND(H1593="W7",OR(F1593="causal",F1593="predictive")),IF(AND(OR(K1593=1,K1593="1"),OR(L1593=1,L1593="1"),OR(M1593=1,M1593="1")),"adequate","partial"),IF(AND(H1593="W4",F1593="predictive",OR(J1593="P2",J1593="P3",J1593="P4")),IF(OR(U1593=1,U1593="1"),"adequate","partial"),INDEX(Fit_Matrix!$B:$B,MATCH(P1593,Fit_Matrix!$A:$A,0)))),"CHECK KEY"))</f>
        <v/>
      </c>
      <c r="U1593" s="10"/>
      <c r="V1593" s="10"/>
      <c r="W1593" s="10"/>
      <c r="X1593" s="10"/>
      <c r="Y1593" s="10"/>
      <c r="Z1593" s="10"/>
      <c r="AA1593" s="11" t="str">
        <f t="shared" si="49"/>
        <v/>
      </c>
    </row>
    <row r="1594" spans="16:27" ht="15" customHeight="1">
      <c r="P1594" t="str">
        <f t="shared" si="48"/>
        <v/>
      </c>
      <c r="Q1594" t="str">
        <f>IF(P1594="","",IFERROR(IF(AND(H1594="W7",OR(F1594="causal",F1594="predictive")),IF(AND(OR(K1594=1,K1594="1"),OR(L1594=1,L1594="1"),OR(M1594=1,M1594="1")),"adequate","partial"),IF(AND(H1594="W4",F1594="predictive",OR(J1594="P2",J1594="P3",J1594="P4")),IF(OR(U1594=1,U1594="1"),"adequate","partial"),INDEX(Fit_Matrix!$B:$B,MATCH(P1594,Fit_Matrix!$A:$A,0)))),"CHECK KEY"))</f>
        <v/>
      </c>
      <c r="U1594" s="10"/>
      <c r="V1594" s="10"/>
      <c r="W1594" s="10"/>
      <c r="X1594" s="10"/>
      <c r="Y1594" s="10"/>
      <c r="Z1594" s="10"/>
      <c r="AA1594" s="11" t="str">
        <f t="shared" si="49"/>
        <v/>
      </c>
    </row>
    <row r="1595" spans="16:27" ht="15" customHeight="1">
      <c r="P1595" t="str">
        <f t="shared" si="48"/>
        <v/>
      </c>
      <c r="Q1595" t="str">
        <f>IF(P1595="","",IFERROR(IF(AND(H1595="W7",OR(F1595="causal",F1595="predictive")),IF(AND(OR(K1595=1,K1595="1"),OR(L1595=1,L1595="1"),OR(M1595=1,M1595="1")),"adequate","partial"),IF(AND(H1595="W4",F1595="predictive",OR(J1595="P2",J1595="P3",J1595="P4")),IF(OR(U1595=1,U1595="1"),"adequate","partial"),INDEX(Fit_Matrix!$B:$B,MATCH(P1595,Fit_Matrix!$A:$A,0)))),"CHECK KEY"))</f>
        <v/>
      </c>
      <c r="U1595" s="10"/>
      <c r="V1595" s="10"/>
      <c r="W1595" s="10"/>
      <c r="X1595" s="10"/>
      <c r="Y1595" s="10"/>
      <c r="Z1595" s="10"/>
      <c r="AA1595" s="11" t="str">
        <f t="shared" si="49"/>
        <v/>
      </c>
    </row>
    <row r="1596" spans="16:27" ht="15" customHeight="1">
      <c r="P1596" t="str">
        <f t="shared" si="48"/>
        <v/>
      </c>
      <c r="Q1596" t="str">
        <f>IF(P1596="","",IFERROR(IF(AND(H1596="W7",OR(F1596="causal",F1596="predictive")),IF(AND(OR(K1596=1,K1596="1"),OR(L1596=1,L1596="1"),OR(M1596=1,M1596="1")),"adequate","partial"),IF(AND(H1596="W4",F1596="predictive",OR(J1596="P2",J1596="P3",J1596="P4")),IF(OR(U1596=1,U1596="1"),"adequate","partial"),INDEX(Fit_Matrix!$B:$B,MATCH(P1596,Fit_Matrix!$A:$A,0)))),"CHECK KEY"))</f>
        <v/>
      </c>
      <c r="U1596" s="10"/>
      <c r="V1596" s="10"/>
      <c r="W1596" s="10"/>
      <c r="X1596" s="10"/>
      <c r="Y1596" s="10"/>
      <c r="Z1596" s="10"/>
      <c r="AA1596" s="11" t="str">
        <f t="shared" si="49"/>
        <v/>
      </c>
    </row>
    <row r="1597" spans="16:27" ht="15" customHeight="1">
      <c r="P1597" t="str">
        <f t="shared" si="48"/>
        <v/>
      </c>
      <c r="Q1597" t="str">
        <f>IF(P1597="","",IFERROR(IF(AND(H1597="W7",OR(F1597="causal",F1597="predictive")),IF(AND(OR(K1597=1,K1597="1"),OR(L1597=1,L1597="1"),OR(M1597=1,M1597="1")),"adequate","partial"),IF(AND(H1597="W4",F1597="predictive",OR(J1597="P2",J1597="P3",J1597="P4")),IF(OR(U1597=1,U1597="1"),"adequate","partial"),INDEX(Fit_Matrix!$B:$B,MATCH(P1597,Fit_Matrix!$A:$A,0)))),"CHECK KEY"))</f>
        <v/>
      </c>
      <c r="U1597" s="10"/>
      <c r="V1597" s="10"/>
      <c r="W1597" s="10"/>
      <c r="X1597" s="10"/>
      <c r="Y1597" s="10"/>
      <c r="Z1597" s="10"/>
      <c r="AA1597" s="11" t="str">
        <f t="shared" si="49"/>
        <v/>
      </c>
    </row>
    <row r="1598" spans="16:27" ht="15" customHeight="1">
      <c r="P1598" t="str">
        <f t="shared" si="48"/>
        <v/>
      </c>
      <c r="Q1598" t="str">
        <f>IF(P1598="","",IFERROR(IF(AND(H1598="W7",OR(F1598="causal",F1598="predictive")),IF(AND(OR(K1598=1,K1598="1"),OR(L1598=1,L1598="1"),OR(M1598=1,M1598="1")),"adequate","partial"),IF(AND(H1598="W4",F1598="predictive",OR(J1598="P2",J1598="P3",J1598="P4")),IF(OR(U1598=1,U1598="1"),"adequate","partial"),INDEX(Fit_Matrix!$B:$B,MATCH(P1598,Fit_Matrix!$A:$A,0)))),"CHECK KEY"))</f>
        <v/>
      </c>
      <c r="U1598" s="10"/>
      <c r="V1598" s="10"/>
      <c r="W1598" s="10"/>
      <c r="X1598" s="10"/>
      <c r="Y1598" s="10"/>
      <c r="Z1598" s="10"/>
      <c r="AA1598" s="11" t="str">
        <f t="shared" si="49"/>
        <v/>
      </c>
    </row>
    <row r="1599" spans="16:27" ht="15" customHeight="1">
      <c r="P1599" t="str">
        <f t="shared" si="48"/>
        <v/>
      </c>
      <c r="Q1599" t="str">
        <f>IF(P1599="","",IFERROR(IF(AND(H1599="W7",OR(F1599="causal",F1599="predictive")),IF(AND(OR(K1599=1,K1599="1"),OR(L1599=1,L1599="1"),OR(M1599=1,M1599="1")),"adequate","partial"),IF(AND(H1599="W4",F1599="predictive",OR(J1599="P2",J1599="P3",J1599="P4")),IF(OR(U1599=1,U1599="1"),"adequate","partial"),INDEX(Fit_Matrix!$B:$B,MATCH(P1599,Fit_Matrix!$A:$A,0)))),"CHECK KEY"))</f>
        <v/>
      </c>
      <c r="U1599" s="10"/>
      <c r="V1599" s="10"/>
      <c r="W1599" s="10"/>
      <c r="X1599" s="10"/>
      <c r="Y1599" s="10"/>
      <c r="Z1599" s="10"/>
      <c r="AA1599" s="11" t="str">
        <f t="shared" si="49"/>
        <v/>
      </c>
    </row>
    <row r="1600" spans="16:27" ht="15" customHeight="1">
      <c r="P1600" t="str">
        <f t="shared" si="48"/>
        <v/>
      </c>
      <c r="Q1600" t="str">
        <f>IF(P1600="","",IFERROR(IF(AND(H1600="W7",OR(F1600="causal",F1600="predictive")),IF(AND(OR(K1600=1,K1600="1"),OR(L1600=1,L1600="1"),OR(M1600=1,M1600="1")),"adequate","partial"),IF(AND(H1600="W4",F1600="predictive",OR(J1600="P2",J1600="P3",J1600="P4")),IF(OR(U1600=1,U1600="1"),"adequate","partial"),INDEX(Fit_Matrix!$B:$B,MATCH(P1600,Fit_Matrix!$A:$A,0)))),"CHECK KEY"))</f>
        <v/>
      </c>
      <c r="U1600" s="10"/>
      <c r="V1600" s="10"/>
      <c r="W1600" s="10"/>
      <c r="X1600" s="10"/>
      <c r="Y1600" s="10"/>
      <c r="Z1600" s="10"/>
      <c r="AA1600" s="11" t="str">
        <f t="shared" si="49"/>
        <v/>
      </c>
    </row>
    <row r="1601" spans="16:27" ht="15" customHeight="1">
      <c r="P1601" t="str">
        <f t="shared" si="48"/>
        <v/>
      </c>
      <c r="Q1601" t="str">
        <f>IF(P1601="","",IFERROR(IF(AND(H1601="W7",OR(F1601="causal",F1601="predictive")),IF(AND(OR(K1601=1,K1601="1"),OR(L1601=1,L1601="1"),OR(M1601=1,M1601="1")),"adequate","partial"),IF(AND(H1601="W4",F1601="predictive",OR(J1601="P2",J1601="P3",J1601="P4")),IF(OR(U1601=1,U1601="1"),"adequate","partial"),INDEX(Fit_Matrix!$B:$B,MATCH(P1601,Fit_Matrix!$A:$A,0)))),"CHECK KEY"))</f>
        <v/>
      </c>
      <c r="U1601" s="10"/>
      <c r="V1601" s="10"/>
      <c r="W1601" s="10"/>
      <c r="X1601" s="10"/>
      <c r="Y1601" s="10"/>
      <c r="Z1601" s="10"/>
      <c r="AA1601" s="11" t="str">
        <f t="shared" si="49"/>
        <v/>
      </c>
    </row>
    <row r="1602" spans="16:27" ht="15" customHeight="1">
      <c r="P1602" t="str">
        <f t="shared" ref="P1602:P1665" si="50">IF(OR(F1602="",H1602="",J1602=""),"",J1602&amp;"|"&amp;F1602&amp;"|"&amp;IF(H1602="W3","W3_"&amp;IF(I1602="","unknown",I1602),H1602))</f>
        <v/>
      </c>
      <c r="Q1602" t="str">
        <f>IF(P1602="","",IFERROR(IF(AND(H1602="W7",OR(F1602="causal",F1602="predictive")),IF(AND(OR(K1602=1,K1602="1"),OR(L1602=1,L1602="1"),OR(M1602=1,M1602="1")),"adequate","partial"),IF(AND(H1602="W4",F1602="predictive",OR(J1602="P2",J1602="P3",J1602="P4")),IF(OR(U1602=1,U1602="1"),"adequate","partial"),INDEX(Fit_Matrix!$B:$B,MATCH(P1602,Fit_Matrix!$A:$A,0)))),"CHECK KEY"))</f>
        <v/>
      </c>
      <c r="U1602" s="10"/>
      <c r="V1602" s="10"/>
      <c r="W1602" s="10"/>
      <c r="X1602" s="10"/>
      <c r="Y1602" s="10"/>
      <c r="Z1602" s="10"/>
      <c r="AA1602" s="11" t="str">
        <f t="shared" ref="AA1602:AA1665" si="51">IF(A1602="","",IF(AND(J1602="P4",F1602="causal"),"P4-CAUSAL",""))</f>
        <v/>
      </c>
    </row>
    <row r="1603" spans="16:27" ht="15" customHeight="1">
      <c r="P1603" t="str">
        <f t="shared" si="50"/>
        <v/>
      </c>
      <c r="Q1603" t="str">
        <f>IF(P1603="","",IFERROR(IF(AND(H1603="W7",OR(F1603="causal",F1603="predictive")),IF(AND(OR(K1603=1,K1603="1"),OR(L1603=1,L1603="1"),OR(M1603=1,M1603="1")),"adequate","partial"),IF(AND(H1603="W4",F1603="predictive",OR(J1603="P2",J1603="P3",J1603="P4")),IF(OR(U1603=1,U1603="1"),"adequate","partial"),INDEX(Fit_Matrix!$B:$B,MATCH(P1603,Fit_Matrix!$A:$A,0)))),"CHECK KEY"))</f>
        <v/>
      </c>
      <c r="U1603" s="10"/>
      <c r="V1603" s="10"/>
      <c r="W1603" s="10"/>
      <c r="X1603" s="10"/>
      <c r="Y1603" s="10"/>
      <c r="Z1603" s="10"/>
      <c r="AA1603" s="11" t="str">
        <f t="shared" si="51"/>
        <v/>
      </c>
    </row>
    <row r="1604" spans="16:27" ht="15" customHeight="1">
      <c r="P1604" t="str">
        <f t="shared" si="50"/>
        <v/>
      </c>
      <c r="Q1604" t="str">
        <f>IF(P1604="","",IFERROR(IF(AND(H1604="W7",OR(F1604="causal",F1604="predictive")),IF(AND(OR(K1604=1,K1604="1"),OR(L1604=1,L1604="1"),OR(M1604=1,M1604="1")),"adequate","partial"),IF(AND(H1604="W4",F1604="predictive",OR(J1604="P2",J1604="P3",J1604="P4")),IF(OR(U1604=1,U1604="1"),"adequate","partial"),INDEX(Fit_Matrix!$B:$B,MATCH(P1604,Fit_Matrix!$A:$A,0)))),"CHECK KEY"))</f>
        <v/>
      </c>
      <c r="U1604" s="10"/>
      <c r="V1604" s="10"/>
      <c r="W1604" s="10"/>
      <c r="X1604" s="10"/>
      <c r="Y1604" s="10"/>
      <c r="Z1604" s="10"/>
      <c r="AA1604" s="11" t="str">
        <f t="shared" si="51"/>
        <v/>
      </c>
    </row>
    <row r="1605" spans="16:27" ht="15" customHeight="1">
      <c r="P1605" t="str">
        <f t="shared" si="50"/>
        <v/>
      </c>
      <c r="Q1605" t="str">
        <f>IF(P1605="","",IFERROR(IF(AND(H1605="W7",OR(F1605="causal",F1605="predictive")),IF(AND(OR(K1605=1,K1605="1"),OR(L1605=1,L1605="1"),OR(M1605=1,M1605="1")),"adequate","partial"),IF(AND(H1605="W4",F1605="predictive",OR(J1605="P2",J1605="P3",J1605="P4")),IF(OR(U1605=1,U1605="1"),"adequate","partial"),INDEX(Fit_Matrix!$B:$B,MATCH(P1605,Fit_Matrix!$A:$A,0)))),"CHECK KEY"))</f>
        <v/>
      </c>
      <c r="U1605" s="10"/>
      <c r="V1605" s="10"/>
      <c r="W1605" s="10"/>
      <c r="X1605" s="10"/>
      <c r="Y1605" s="10"/>
      <c r="Z1605" s="10"/>
      <c r="AA1605" s="11" t="str">
        <f t="shared" si="51"/>
        <v/>
      </c>
    </row>
    <row r="1606" spans="16:27" ht="15" customHeight="1">
      <c r="P1606" t="str">
        <f t="shared" si="50"/>
        <v/>
      </c>
      <c r="Q1606" t="str">
        <f>IF(P1606="","",IFERROR(IF(AND(H1606="W7",OR(F1606="causal",F1606="predictive")),IF(AND(OR(K1606=1,K1606="1"),OR(L1606=1,L1606="1"),OR(M1606=1,M1606="1")),"adequate","partial"),IF(AND(H1606="W4",F1606="predictive",OR(J1606="P2",J1606="P3",J1606="P4")),IF(OR(U1606=1,U1606="1"),"adequate","partial"),INDEX(Fit_Matrix!$B:$B,MATCH(P1606,Fit_Matrix!$A:$A,0)))),"CHECK KEY"))</f>
        <v/>
      </c>
      <c r="U1606" s="10"/>
      <c r="V1606" s="10"/>
      <c r="W1606" s="10"/>
      <c r="X1606" s="10"/>
      <c r="Y1606" s="10"/>
      <c r="Z1606" s="10"/>
      <c r="AA1606" s="11" t="str">
        <f t="shared" si="51"/>
        <v/>
      </c>
    </row>
    <row r="1607" spans="16:27" ht="15" customHeight="1">
      <c r="P1607" t="str">
        <f t="shared" si="50"/>
        <v/>
      </c>
      <c r="Q1607" t="str">
        <f>IF(P1607="","",IFERROR(IF(AND(H1607="W7",OR(F1607="causal",F1607="predictive")),IF(AND(OR(K1607=1,K1607="1"),OR(L1607=1,L1607="1"),OR(M1607=1,M1607="1")),"adequate","partial"),IF(AND(H1607="W4",F1607="predictive",OR(J1607="P2",J1607="P3",J1607="P4")),IF(OR(U1607=1,U1607="1"),"adequate","partial"),INDEX(Fit_Matrix!$B:$B,MATCH(P1607,Fit_Matrix!$A:$A,0)))),"CHECK KEY"))</f>
        <v/>
      </c>
      <c r="U1607" s="10"/>
      <c r="V1607" s="10"/>
      <c r="W1607" s="10"/>
      <c r="X1607" s="10"/>
      <c r="Y1607" s="10"/>
      <c r="Z1607" s="10"/>
      <c r="AA1607" s="11" t="str">
        <f t="shared" si="51"/>
        <v/>
      </c>
    </row>
    <row r="1608" spans="16:27" ht="15" customHeight="1">
      <c r="P1608" t="str">
        <f t="shared" si="50"/>
        <v/>
      </c>
      <c r="Q1608" t="str">
        <f>IF(P1608="","",IFERROR(IF(AND(H1608="W7",OR(F1608="causal",F1608="predictive")),IF(AND(OR(K1608=1,K1608="1"),OR(L1608=1,L1608="1"),OR(M1608=1,M1608="1")),"adequate","partial"),IF(AND(H1608="W4",F1608="predictive",OR(J1608="P2",J1608="P3",J1608="P4")),IF(OR(U1608=1,U1608="1"),"adequate","partial"),INDEX(Fit_Matrix!$B:$B,MATCH(P1608,Fit_Matrix!$A:$A,0)))),"CHECK KEY"))</f>
        <v/>
      </c>
      <c r="U1608" s="10"/>
      <c r="V1608" s="10"/>
      <c r="W1608" s="10"/>
      <c r="X1608" s="10"/>
      <c r="Y1608" s="10"/>
      <c r="Z1608" s="10"/>
      <c r="AA1608" s="11" t="str">
        <f t="shared" si="51"/>
        <v/>
      </c>
    </row>
    <row r="1609" spans="16:27" ht="15" customHeight="1">
      <c r="P1609" t="str">
        <f t="shared" si="50"/>
        <v/>
      </c>
      <c r="Q1609" t="str">
        <f>IF(P1609="","",IFERROR(IF(AND(H1609="W7",OR(F1609="causal",F1609="predictive")),IF(AND(OR(K1609=1,K1609="1"),OR(L1609=1,L1609="1"),OR(M1609=1,M1609="1")),"adequate","partial"),IF(AND(H1609="W4",F1609="predictive",OR(J1609="P2",J1609="P3",J1609="P4")),IF(OR(U1609=1,U1609="1"),"adequate","partial"),INDEX(Fit_Matrix!$B:$B,MATCH(P1609,Fit_Matrix!$A:$A,0)))),"CHECK KEY"))</f>
        <v/>
      </c>
      <c r="U1609" s="10"/>
      <c r="V1609" s="10"/>
      <c r="W1609" s="10"/>
      <c r="X1609" s="10"/>
      <c r="Y1609" s="10"/>
      <c r="Z1609" s="10"/>
      <c r="AA1609" s="11" t="str">
        <f t="shared" si="51"/>
        <v/>
      </c>
    </row>
    <row r="1610" spans="16:27" ht="15" customHeight="1">
      <c r="P1610" t="str">
        <f t="shared" si="50"/>
        <v/>
      </c>
      <c r="Q1610" t="str">
        <f>IF(P1610="","",IFERROR(IF(AND(H1610="W7",OR(F1610="causal",F1610="predictive")),IF(AND(OR(K1610=1,K1610="1"),OR(L1610=1,L1610="1"),OR(M1610=1,M1610="1")),"adequate","partial"),IF(AND(H1610="W4",F1610="predictive",OR(J1610="P2",J1610="P3",J1610="P4")),IF(OR(U1610=1,U1610="1"),"adequate","partial"),INDEX(Fit_Matrix!$B:$B,MATCH(P1610,Fit_Matrix!$A:$A,0)))),"CHECK KEY"))</f>
        <v/>
      </c>
      <c r="U1610" s="10"/>
      <c r="V1610" s="10"/>
      <c r="W1610" s="10"/>
      <c r="X1610" s="10"/>
      <c r="Y1610" s="10"/>
      <c r="Z1610" s="10"/>
      <c r="AA1610" s="11" t="str">
        <f t="shared" si="51"/>
        <v/>
      </c>
    </row>
    <row r="1611" spans="16:27" ht="15" customHeight="1">
      <c r="P1611" t="str">
        <f t="shared" si="50"/>
        <v/>
      </c>
      <c r="Q1611" t="str">
        <f>IF(P1611="","",IFERROR(IF(AND(H1611="W7",OR(F1611="causal",F1611="predictive")),IF(AND(OR(K1611=1,K1611="1"),OR(L1611=1,L1611="1"),OR(M1611=1,M1611="1")),"adequate","partial"),IF(AND(H1611="W4",F1611="predictive",OR(J1611="P2",J1611="P3",J1611="P4")),IF(OR(U1611=1,U1611="1"),"adequate","partial"),INDEX(Fit_Matrix!$B:$B,MATCH(P1611,Fit_Matrix!$A:$A,0)))),"CHECK KEY"))</f>
        <v/>
      </c>
      <c r="U1611" s="10"/>
      <c r="V1611" s="10"/>
      <c r="W1611" s="10"/>
      <c r="X1611" s="10"/>
      <c r="Y1611" s="10"/>
      <c r="Z1611" s="10"/>
      <c r="AA1611" s="11" t="str">
        <f t="shared" si="51"/>
        <v/>
      </c>
    </row>
    <row r="1612" spans="16:27" ht="15" customHeight="1">
      <c r="P1612" t="str">
        <f t="shared" si="50"/>
        <v/>
      </c>
      <c r="Q1612" t="str">
        <f>IF(P1612="","",IFERROR(IF(AND(H1612="W7",OR(F1612="causal",F1612="predictive")),IF(AND(OR(K1612=1,K1612="1"),OR(L1612=1,L1612="1"),OR(M1612=1,M1612="1")),"adequate","partial"),IF(AND(H1612="W4",F1612="predictive",OR(J1612="P2",J1612="P3",J1612="P4")),IF(OR(U1612=1,U1612="1"),"adequate","partial"),INDEX(Fit_Matrix!$B:$B,MATCH(P1612,Fit_Matrix!$A:$A,0)))),"CHECK KEY"))</f>
        <v/>
      </c>
      <c r="U1612" s="10"/>
      <c r="V1612" s="10"/>
      <c r="W1612" s="10"/>
      <c r="X1612" s="10"/>
      <c r="Y1612" s="10"/>
      <c r="Z1612" s="10"/>
      <c r="AA1612" s="11" t="str">
        <f t="shared" si="51"/>
        <v/>
      </c>
    </row>
    <row r="1613" spans="16:27" ht="15" customHeight="1">
      <c r="P1613" t="str">
        <f t="shared" si="50"/>
        <v/>
      </c>
      <c r="Q1613" t="str">
        <f>IF(P1613="","",IFERROR(IF(AND(H1613="W7",OR(F1613="causal",F1613="predictive")),IF(AND(OR(K1613=1,K1613="1"),OR(L1613=1,L1613="1"),OR(M1613=1,M1613="1")),"adequate","partial"),IF(AND(H1613="W4",F1613="predictive",OR(J1613="P2",J1613="P3",J1613="P4")),IF(OR(U1613=1,U1613="1"),"adequate","partial"),INDEX(Fit_Matrix!$B:$B,MATCH(P1613,Fit_Matrix!$A:$A,0)))),"CHECK KEY"))</f>
        <v/>
      </c>
      <c r="U1613" s="10"/>
      <c r="V1613" s="10"/>
      <c r="W1613" s="10"/>
      <c r="X1613" s="10"/>
      <c r="Y1613" s="10"/>
      <c r="Z1613" s="10"/>
      <c r="AA1613" s="11" t="str">
        <f t="shared" si="51"/>
        <v/>
      </c>
    </row>
    <row r="1614" spans="16:27" ht="15" customHeight="1">
      <c r="P1614" t="str">
        <f t="shared" si="50"/>
        <v/>
      </c>
      <c r="Q1614" t="str">
        <f>IF(P1614="","",IFERROR(IF(AND(H1614="W7",OR(F1614="causal",F1614="predictive")),IF(AND(OR(K1614=1,K1614="1"),OR(L1614=1,L1614="1"),OR(M1614=1,M1614="1")),"adequate","partial"),IF(AND(H1614="W4",F1614="predictive",OR(J1614="P2",J1614="P3",J1614="P4")),IF(OR(U1614=1,U1614="1"),"adequate","partial"),INDEX(Fit_Matrix!$B:$B,MATCH(P1614,Fit_Matrix!$A:$A,0)))),"CHECK KEY"))</f>
        <v/>
      </c>
      <c r="U1614" s="10"/>
      <c r="V1614" s="10"/>
      <c r="W1614" s="10"/>
      <c r="X1614" s="10"/>
      <c r="Y1614" s="10"/>
      <c r="Z1614" s="10"/>
      <c r="AA1614" s="11" t="str">
        <f t="shared" si="51"/>
        <v/>
      </c>
    </row>
    <row r="1615" spans="16:27" ht="15" customHeight="1">
      <c r="P1615" t="str">
        <f t="shared" si="50"/>
        <v/>
      </c>
      <c r="Q1615" t="str">
        <f>IF(P1615="","",IFERROR(IF(AND(H1615="W7",OR(F1615="causal",F1615="predictive")),IF(AND(OR(K1615=1,K1615="1"),OR(L1615=1,L1615="1"),OR(M1615=1,M1615="1")),"adequate","partial"),IF(AND(H1615="W4",F1615="predictive",OR(J1615="P2",J1615="P3",J1615="P4")),IF(OR(U1615=1,U1615="1"),"adequate","partial"),INDEX(Fit_Matrix!$B:$B,MATCH(P1615,Fit_Matrix!$A:$A,0)))),"CHECK KEY"))</f>
        <v/>
      </c>
      <c r="U1615" s="10"/>
      <c r="V1615" s="10"/>
      <c r="W1615" s="10"/>
      <c r="X1615" s="10"/>
      <c r="Y1615" s="10"/>
      <c r="Z1615" s="10"/>
      <c r="AA1615" s="11" t="str">
        <f t="shared" si="51"/>
        <v/>
      </c>
    </row>
    <row r="1616" spans="16:27" ht="15" customHeight="1">
      <c r="P1616" t="str">
        <f t="shared" si="50"/>
        <v/>
      </c>
      <c r="Q1616" t="str">
        <f>IF(P1616="","",IFERROR(IF(AND(H1616="W7",OR(F1616="causal",F1616="predictive")),IF(AND(OR(K1616=1,K1616="1"),OR(L1616=1,L1616="1"),OR(M1616=1,M1616="1")),"adequate","partial"),IF(AND(H1616="W4",F1616="predictive",OR(J1616="P2",J1616="P3",J1616="P4")),IF(OR(U1616=1,U1616="1"),"adequate","partial"),INDEX(Fit_Matrix!$B:$B,MATCH(P1616,Fit_Matrix!$A:$A,0)))),"CHECK KEY"))</f>
        <v/>
      </c>
      <c r="U1616" s="10"/>
      <c r="V1616" s="10"/>
      <c r="W1616" s="10"/>
      <c r="X1616" s="10"/>
      <c r="Y1616" s="10"/>
      <c r="Z1616" s="10"/>
      <c r="AA1616" s="11" t="str">
        <f t="shared" si="51"/>
        <v/>
      </c>
    </row>
    <row r="1617" spans="16:27" ht="15" customHeight="1">
      <c r="P1617" t="str">
        <f t="shared" si="50"/>
        <v/>
      </c>
      <c r="Q1617" t="str">
        <f>IF(P1617="","",IFERROR(IF(AND(H1617="W7",OR(F1617="causal",F1617="predictive")),IF(AND(OR(K1617=1,K1617="1"),OR(L1617=1,L1617="1"),OR(M1617=1,M1617="1")),"adequate","partial"),IF(AND(H1617="W4",F1617="predictive",OR(J1617="P2",J1617="P3",J1617="P4")),IF(OR(U1617=1,U1617="1"),"adequate","partial"),INDEX(Fit_Matrix!$B:$B,MATCH(P1617,Fit_Matrix!$A:$A,0)))),"CHECK KEY"))</f>
        <v/>
      </c>
      <c r="U1617" s="10"/>
      <c r="V1617" s="10"/>
      <c r="W1617" s="10"/>
      <c r="X1617" s="10"/>
      <c r="Y1617" s="10"/>
      <c r="Z1617" s="10"/>
      <c r="AA1617" s="11" t="str">
        <f t="shared" si="51"/>
        <v/>
      </c>
    </row>
    <row r="1618" spans="16:27" ht="15" customHeight="1">
      <c r="P1618" t="str">
        <f t="shared" si="50"/>
        <v/>
      </c>
      <c r="Q1618" t="str">
        <f>IF(P1618="","",IFERROR(IF(AND(H1618="W7",OR(F1618="causal",F1618="predictive")),IF(AND(OR(K1618=1,K1618="1"),OR(L1618=1,L1618="1"),OR(M1618=1,M1618="1")),"adequate","partial"),IF(AND(H1618="W4",F1618="predictive",OR(J1618="P2",J1618="P3",J1618="P4")),IF(OR(U1618=1,U1618="1"),"adequate","partial"),INDEX(Fit_Matrix!$B:$B,MATCH(P1618,Fit_Matrix!$A:$A,0)))),"CHECK KEY"))</f>
        <v/>
      </c>
      <c r="U1618" s="10"/>
      <c r="V1618" s="10"/>
      <c r="W1618" s="10"/>
      <c r="X1618" s="10"/>
      <c r="Y1618" s="10"/>
      <c r="Z1618" s="10"/>
      <c r="AA1618" s="11" t="str">
        <f t="shared" si="51"/>
        <v/>
      </c>
    </row>
    <row r="1619" spans="16:27" ht="15" customHeight="1">
      <c r="P1619" t="str">
        <f t="shared" si="50"/>
        <v/>
      </c>
      <c r="Q1619" t="str">
        <f>IF(P1619="","",IFERROR(IF(AND(H1619="W7",OR(F1619="causal",F1619="predictive")),IF(AND(OR(K1619=1,K1619="1"),OR(L1619=1,L1619="1"),OR(M1619=1,M1619="1")),"adequate","partial"),IF(AND(H1619="W4",F1619="predictive",OR(J1619="P2",J1619="P3",J1619="P4")),IF(OR(U1619=1,U1619="1"),"adequate","partial"),INDEX(Fit_Matrix!$B:$B,MATCH(P1619,Fit_Matrix!$A:$A,0)))),"CHECK KEY"))</f>
        <v/>
      </c>
      <c r="U1619" s="10"/>
      <c r="V1619" s="10"/>
      <c r="W1619" s="10"/>
      <c r="X1619" s="10"/>
      <c r="Y1619" s="10"/>
      <c r="Z1619" s="10"/>
      <c r="AA1619" s="11" t="str">
        <f t="shared" si="51"/>
        <v/>
      </c>
    </row>
    <row r="1620" spans="16:27" ht="15" customHeight="1">
      <c r="P1620" t="str">
        <f t="shared" si="50"/>
        <v/>
      </c>
      <c r="Q1620" t="str">
        <f>IF(P1620="","",IFERROR(IF(AND(H1620="W7",OR(F1620="causal",F1620="predictive")),IF(AND(OR(K1620=1,K1620="1"),OR(L1620=1,L1620="1"),OR(M1620=1,M1620="1")),"adequate","partial"),IF(AND(H1620="W4",F1620="predictive",OR(J1620="P2",J1620="P3",J1620="P4")),IF(OR(U1620=1,U1620="1"),"adequate","partial"),INDEX(Fit_Matrix!$B:$B,MATCH(P1620,Fit_Matrix!$A:$A,0)))),"CHECK KEY"))</f>
        <v/>
      </c>
      <c r="U1620" s="10"/>
      <c r="V1620" s="10"/>
      <c r="W1620" s="10"/>
      <c r="X1620" s="10"/>
      <c r="Y1620" s="10"/>
      <c r="Z1620" s="10"/>
      <c r="AA1620" s="11" t="str">
        <f t="shared" si="51"/>
        <v/>
      </c>
    </row>
    <row r="1621" spans="16:27" ht="15" customHeight="1">
      <c r="P1621" t="str">
        <f t="shared" si="50"/>
        <v/>
      </c>
      <c r="Q1621" t="str">
        <f>IF(P1621="","",IFERROR(IF(AND(H1621="W7",OR(F1621="causal",F1621="predictive")),IF(AND(OR(K1621=1,K1621="1"),OR(L1621=1,L1621="1"),OR(M1621=1,M1621="1")),"adequate","partial"),IF(AND(H1621="W4",F1621="predictive",OR(J1621="P2",J1621="P3",J1621="P4")),IF(OR(U1621=1,U1621="1"),"adequate","partial"),INDEX(Fit_Matrix!$B:$B,MATCH(P1621,Fit_Matrix!$A:$A,0)))),"CHECK KEY"))</f>
        <v/>
      </c>
      <c r="U1621" s="10"/>
      <c r="V1621" s="10"/>
      <c r="W1621" s="10"/>
      <c r="X1621" s="10"/>
      <c r="Y1621" s="10"/>
      <c r="Z1621" s="10"/>
      <c r="AA1621" s="11" t="str">
        <f t="shared" si="51"/>
        <v/>
      </c>
    </row>
    <row r="1622" spans="16:27" ht="15" customHeight="1">
      <c r="P1622" t="str">
        <f t="shared" si="50"/>
        <v/>
      </c>
      <c r="Q1622" t="str">
        <f>IF(P1622="","",IFERROR(IF(AND(H1622="W7",OR(F1622="causal",F1622="predictive")),IF(AND(OR(K1622=1,K1622="1"),OR(L1622=1,L1622="1"),OR(M1622=1,M1622="1")),"adequate","partial"),IF(AND(H1622="W4",F1622="predictive",OR(J1622="P2",J1622="P3",J1622="P4")),IF(OR(U1622=1,U1622="1"),"adequate","partial"),INDEX(Fit_Matrix!$B:$B,MATCH(P1622,Fit_Matrix!$A:$A,0)))),"CHECK KEY"))</f>
        <v/>
      </c>
      <c r="U1622" s="10"/>
      <c r="V1622" s="10"/>
      <c r="W1622" s="10"/>
      <c r="X1622" s="10"/>
      <c r="Y1622" s="10"/>
      <c r="Z1622" s="10"/>
      <c r="AA1622" s="11" t="str">
        <f t="shared" si="51"/>
        <v/>
      </c>
    </row>
    <row r="1623" spans="16:27" ht="15" customHeight="1">
      <c r="P1623" t="str">
        <f t="shared" si="50"/>
        <v/>
      </c>
      <c r="Q1623" t="str">
        <f>IF(P1623="","",IFERROR(IF(AND(H1623="W7",OR(F1623="causal",F1623="predictive")),IF(AND(OR(K1623=1,K1623="1"),OR(L1623=1,L1623="1"),OR(M1623=1,M1623="1")),"adequate","partial"),IF(AND(H1623="W4",F1623="predictive",OR(J1623="P2",J1623="P3",J1623="P4")),IF(OR(U1623=1,U1623="1"),"adequate","partial"),INDEX(Fit_Matrix!$B:$B,MATCH(P1623,Fit_Matrix!$A:$A,0)))),"CHECK KEY"))</f>
        <v/>
      </c>
      <c r="U1623" s="10"/>
      <c r="V1623" s="10"/>
      <c r="W1623" s="10"/>
      <c r="X1623" s="10"/>
      <c r="Y1623" s="10"/>
      <c r="Z1623" s="10"/>
      <c r="AA1623" s="11" t="str">
        <f t="shared" si="51"/>
        <v/>
      </c>
    </row>
    <row r="1624" spans="16:27" ht="15" customHeight="1">
      <c r="P1624" t="str">
        <f t="shared" si="50"/>
        <v/>
      </c>
      <c r="Q1624" t="str">
        <f>IF(P1624="","",IFERROR(IF(AND(H1624="W7",OR(F1624="causal",F1624="predictive")),IF(AND(OR(K1624=1,K1624="1"),OR(L1624=1,L1624="1"),OR(M1624=1,M1624="1")),"adequate","partial"),IF(AND(H1624="W4",F1624="predictive",OR(J1624="P2",J1624="P3",J1624="P4")),IF(OR(U1624=1,U1624="1"),"adequate","partial"),INDEX(Fit_Matrix!$B:$B,MATCH(P1624,Fit_Matrix!$A:$A,0)))),"CHECK KEY"))</f>
        <v/>
      </c>
      <c r="U1624" s="10"/>
      <c r="V1624" s="10"/>
      <c r="W1624" s="10"/>
      <c r="X1624" s="10"/>
      <c r="Y1624" s="10"/>
      <c r="Z1624" s="10"/>
      <c r="AA1624" s="11" t="str">
        <f t="shared" si="51"/>
        <v/>
      </c>
    </row>
    <row r="1625" spans="16:27" ht="15" customHeight="1">
      <c r="P1625" t="str">
        <f t="shared" si="50"/>
        <v/>
      </c>
      <c r="Q1625" t="str">
        <f>IF(P1625="","",IFERROR(IF(AND(H1625="W7",OR(F1625="causal",F1625="predictive")),IF(AND(OR(K1625=1,K1625="1"),OR(L1625=1,L1625="1"),OR(M1625=1,M1625="1")),"adequate","partial"),IF(AND(H1625="W4",F1625="predictive",OR(J1625="P2",J1625="P3",J1625="P4")),IF(OR(U1625=1,U1625="1"),"adequate","partial"),INDEX(Fit_Matrix!$B:$B,MATCH(P1625,Fit_Matrix!$A:$A,0)))),"CHECK KEY"))</f>
        <v/>
      </c>
      <c r="U1625" s="10"/>
      <c r="V1625" s="10"/>
      <c r="W1625" s="10"/>
      <c r="X1625" s="10"/>
      <c r="Y1625" s="10"/>
      <c r="Z1625" s="10"/>
      <c r="AA1625" s="11" t="str">
        <f t="shared" si="51"/>
        <v/>
      </c>
    </row>
    <row r="1626" spans="16:27" ht="15" customHeight="1">
      <c r="P1626" t="str">
        <f t="shared" si="50"/>
        <v/>
      </c>
      <c r="Q1626" t="str">
        <f>IF(P1626="","",IFERROR(IF(AND(H1626="W7",OR(F1626="causal",F1626="predictive")),IF(AND(OR(K1626=1,K1626="1"),OR(L1626=1,L1626="1"),OR(M1626=1,M1626="1")),"adequate","partial"),IF(AND(H1626="W4",F1626="predictive",OR(J1626="P2",J1626="P3",J1626="P4")),IF(OR(U1626=1,U1626="1"),"adequate","partial"),INDEX(Fit_Matrix!$B:$B,MATCH(P1626,Fit_Matrix!$A:$A,0)))),"CHECK KEY"))</f>
        <v/>
      </c>
      <c r="U1626" s="10"/>
      <c r="V1626" s="10"/>
      <c r="W1626" s="10"/>
      <c r="X1626" s="10"/>
      <c r="Y1626" s="10"/>
      <c r="Z1626" s="10"/>
      <c r="AA1626" s="11" t="str">
        <f t="shared" si="51"/>
        <v/>
      </c>
    </row>
    <row r="1627" spans="16:27" ht="15" customHeight="1">
      <c r="P1627" t="str">
        <f t="shared" si="50"/>
        <v/>
      </c>
      <c r="Q1627" t="str">
        <f>IF(P1627="","",IFERROR(IF(AND(H1627="W7",OR(F1627="causal",F1627="predictive")),IF(AND(OR(K1627=1,K1627="1"),OR(L1627=1,L1627="1"),OR(M1627=1,M1627="1")),"adequate","partial"),IF(AND(H1627="W4",F1627="predictive",OR(J1627="P2",J1627="P3",J1627="P4")),IF(OR(U1627=1,U1627="1"),"adequate","partial"),INDEX(Fit_Matrix!$B:$B,MATCH(P1627,Fit_Matrix!$A:$A,0)))),"CHECK KEY"))</f>
        <v/>
      </c>
      <c r="U1627" s="10"/>
      <c r="V1627" s="10"/>
      <c r="W1627" s="10"/>
      <c r="X1627" s="10"/>
      <c r="Y1627" s="10"/>
      <c r="Z1627" s="10"/>
      <c r="AA1627" s="11" t="str">
        <f t="shared" si="51"/>
        <v/>
      </c>
    </row>
    <row r="1628" spans="16:27" ht="15" customHeight="1">
      <c r="P1628" t="str">
        <f t="shared" si="50"/>
        <v/>
      </c>
      <c r="Q1628" t="str">
        <f>IF(P1628="","",IFERROR(IF(AND(H1628="W7",OR(F1628="causal",F1628="predictive")),IF(AND(OR(K1628=1,K1628="1"),OR(L1628=1,L1628="1"),OR(M1628=1,M1628="1")),"adequate","partial"),IF(AND(H1628="W4",F1628="predictive",OR(J1628="P2",J1628="P3",J1628="P4")),IF(OR(U1628=1,U1628="1"),"adequate","partial"),INDEX(Fit_Matrix!$B:$B,MATCH(P1628,Fit_Matrix!$A:$A,0)))),"CHECK KEY"))</f>
        <v/>
      </c>
      <c r="U1628" s="10"/>
      <c r="V1628" s="10"/>
      <c r="W1628" s="10"/>
      <c r="X1628" s="10"/>
      <c r="Y1628" s="10"/>
      <c r="Z1628" s="10"/>
      <c r="AA1628" s="11" t="str">
        <f t="shared" si="51"/>
        <v/>
      </c>
    </row>
    <row r="1629" spans="16:27" ht="15" customHeight="1">
      <c r="P1629" t="str">
        <f t="shared" si="50"/>
        <v/>
      </c>
      <c r="Q1629" t="str">
        <f>IF(P1629="","",IFERROR(IF(AND(H1629="W7",OR(F1629="causal",F1629="predictive")),IF(AND(OR(K1629=1,K1629="1"),OR(L1629=1,L1629="1"),OR(M1629=1,M1629="1")),"adequate","partial"),IF(AND(H1629="W4",F1629="predictive",OR(J1629="P2",J1629="P3",J1629="P4")),IF(OR(U1629=1,U1629="1"),"adequate","partial"),INDEX(Fit_Matrix!$B:$B,MATCH(P1629,Fit_Matrix!$A:$A,0)))),"CHECK KEY"))</f>
        <v/>
      </c>
      <c r="U1629" s="10"/>
      <c r="V1629" s="10"/>
      <c r="W1629" s="10"/>
      <c r="X1629" s="10"/>
      <c r="Y1629" s="10"/>
      <c r="Z1629" s="10"/>
      <c r="AA1629" s="11" t="str">
        <f t="shared" si="51"/>
        <v/>
      </c>
    </row>
    <row r="1630" spans="16:27" ht="15" customHeight="1">
      <c r="P1630" t="str">
        <f t="shared" si="50"/>
        <v/>
      </c>
      <c r="Q1630" t="str">
        <f>IF(P1630="","",IFERROR(IF(AND(H1630="W7",OR(F1630="causal",F1630="predictive")),IF(AND(OR(K1630=1,K1630="1"),OR(L1630=1,L1630="1"),OR(M1630=1,M1630="1")),"adequate","partial"),IF(AND(H1630="W4",F1630="predictive",OR(J1630="P2",J1630="P3",J1630="P4")),IF(OR(U1630=1,U1630="1"),"adequate","partial"),INDEX(Fit_Matrix!$B:$B,MATCH(P1630,Fit_Matrix!$A:$A,0)))),"CHECK KEY"))</f>
        <v/>
      </c>
      <c r="U1630" s="10"/>
      <c r="V1630" s="10"/>
      <c r="W1630" s="10"/>
      <c r="X1630" s="10"/>
      <c r="Y1630" s="10"/>
      <c r="Z1630" s="10"/>
      <c r="AA1630" s="11" t="str">
        <f t="shared" si="51"/>
        <v/>
      </c>
    </row>
    <row r="1631" spans="16:27" ht="15" customHeight="1">
      <c r="P1631" t="str">
        <f t="shared" si="50"/>
        <v/>
      </c>
      <c r="Q1631" t="str">
        <f>IF(P1631="","",IFERROR(IF(AND(H1631="W7",OR(F1631="causal",F1631="predictive")),IF(AND(OR(K1631=1,K1631="1"),OR(L1631=1,L1631="1"),OR(M1631=1,M1631="1")),"adequate","partial"),IF(AND(H1631="W4",F1631="predictive",OR(J1631="P2",J1631="P3",J1631="P4")),IF(OR(U1631=1,U1631="1"),"adequate","partial"),INDEX(Fit_Matrix!$B:$B,MATCH(P1631,Fit_Matrix!$A:$A,0)))),"CHECK KEY"))</f>
        <v/>
      </c>
      <c r="U1631" s="10"/>
      <c r="V1631" s="10"/>
      <c r="W1631" s="10"/>
      <c r="X1631" s="10"/>
      <c r="Y1631" s="10"/>
      <c r="Z1631" s="10"/>
      <c r="AA1631" s="11" t="str">
        <f t="shared" si="51"/>
        <v/>
      </c>
    </row>
    <row r="1632" spans="16:27" ht="15" customHeight="1">
      <c r="P1632" t="str">
        <f t="shared" si="50"/>
        <v/>
      </c>
      <c r="Q1632" t="str">
        <f>IF(P1632="","",IFERROR(IF(AND(H1632="W7",OR(F1632="causal",F1632="predictive")),IF(AND(OR(K1632=1,K1632="1"),OR(L1632=1,L1632="1"),OR(M1632=1,M1632="1")),"adequate","partial"),IF(AND(H1632="W4",F1632="predictive",OR(J1632="P2",J1632="P3",J1632="P4")),IF(OR(U1632=1,U1632="1"),"adequate","partial"),INDEX(Fit_Matrix!$B:$B,MATCH(P1632,Fit_Matrix!$A:$A,0)))),"CHECK KEY"))</f>
        <v/>
      </c>
      <c r="U1632" s="10"/>
      <c r="V1632" s="10"/>
      <c r="W1632" s="10"/>
      <c r="X1632" s="10"/>
      <c r="Y1632" s="10"/>
      <c r="Z1632" s="10"/>
      <c r="AA1632" s="11" t="str">
        <f t="shared" si="51"/>
        <v/>
      </c>
    </row>
    <row r="1633" spans="16:27" ht="15" customHeight="1">
      <c r="P1633" t="str">
        <f t="shared" si="50"/>
        <v/>
      </c>
      <c r="Q1633" t="str">
        <f>IF(P1633="","",IFERROR(IF(AND(H1633="W7",OR(F1633="causal",F1633="predictive")),IF(AND(OR(K1633=1,K1633="1"),OR(L1633=1,L1633="1"),OR(M1633=1,M1633="1")),"adequate","partial"),IF(AND(H1633="W4",F1633="predictive",OR(J1633="P2",J1633="P3",J1633="P4")),IF(OR(U1633=1,U1633="1"),"adequate","partial"),INDEX(Fit_Matrix!$B:$B,MATCH(P1633,Fit_Matrix!$A:$A,0)))),"CHECK KEY"))</f>
        <v/>
      </c>
      <c r="U1633" s="10"/>
      <c r="V1633" s="10"/>
      <c r="W1633" s="10"/>
      <c r="X1633" s="10"/>
      <c r="Y1633" s="10"/>
      <c r="Z1633" s="10"/>
      <c r="AA1633" s="11" t="str">
        <f t="shared" si="51"/>
        <v/>
      </c>
    </row>
    <row r="1634" spans="16:27" ht="15" customHeight="1">
      <c r="P1634" t="str">
        <f t="shared" si="50"/>
        <v/>
      </c>
      <c r="Q1634" t="str">
        <f>IF(P1634="","",IFERROR(IF(AND(H1634="W7",OR(F1634="causal",F1634="predictive")),IF(AND(OR(K1634=1,K1634="1"),OR(L1634=1,L1634="1"),OR(M1634=1,M1634="1")),"adequate","partial"),IF(AND(H1634="W4",F1634="predictive",OR(J1634="P2",J1634="P3",J1634="P4")),IF(OR(U1634=1,U1634="1"),"adequate","partial"),INDEX(Fit_Matrix!$B:$B,MATCH(P1634,Fit_Matrix!$A:$A,0)))),"CHECK KEY"))</f>
        <v/>
      </c>
      <c r="U1634" s="10"/>
      <c r="V1634" s="10"/>
      <c r="W1634" s="10"/>
      <c r="X1634" s="10"/>
      <c r="Y1634" s="10"/>
      <c r="Z1634" s="10"/>
      <c r="AA1634" s="11" t="str">
        <f t="shared" si="51"/>
        <v/>
      </c>
    </row>
    <row r="1635" spans="16:27" ht="15" customHeight="1">
      <c r="P1635" t="str">
        <f t="shared" si="50"/>
        <v/>
      </c>
      <c r="Q1635" t="str">
        <f>IF(P1635="","",IFERROR(IF(AND(H1635="W7",OR(F1635="causal",F1635="predictive")),IF(AND(OR(K1635=1,K1635="1"),OR(L1635=1,L1635="1"),OR(M1635=1,M1635="1")),"adequate","partial"),IF(AND(H1635="W4",F1635="predictive",OR(J1635="P2",J1635="P3",J1635="P4")),IF(OR(U1635=1,U1635="1"),"adequate","partial"),INDEX(Fit_Matrix!$B:$B,MATCH(P1635,Fit_Matrix!$A:$A,0)))),"CHECK KEY"))</f>
        <v/>
      </c>
      <c r="U1635" s="10"/>
      <c r="V1635" s="10"/>
      <c r="W1635" s="10"/>
      <c r="X1635" s="10"/>
      <c r="Y1635" s="10"/>
      <c r="Z1635" s="10"/>
      <c r="AA1635" s="11" t="str">
        <f t="shared" si="51"/>
        <v/>
      </c>
    </row>
    <row r="1636" spans="16:27" ht="15" customHeight="1">
      <c r="P1636" t="str">
        <f t="shared" si="50"/>
        <v/>
      </c>
      <c r="Q1636" t="str">
        <f>IF(P1636="","",IFERROR(IF(AND(H1636="W7",OR(F1636="causal",F1636="predictive")),IF(AND(OR(K1636=1,K1636="1"),OR(L1636=1,L1636="1"),OR(M1636=1,M1636="1")),"adequate","partial"),IF(AND(H1636="W4",F1636="predictive",OR(J1636="P2",J1636="P3",J1636="P4")),IF(OR(U1636=1,U1636="1"),"adequate","partial"),INDEX(Fit_Matrix!$B:$B,MATCH(P1636,Fit_Matrix!$A:$A,0)))),"CHECK KEY"))</f>
        <v/>
      </c>
      <c r="U1636" s="10"/>
      <c r="V1636" s="10"/>
      <c r="W1636" s="10"/>
      <c r="X1636" s="10"/>
      <c r="Y1636" s="10"/>
      <c r="Z1636" s="10"/>
      <c r="AA1636" s="11" t="str">
        <f t="shared" si="51"/>
        <v/>
      </c>
    </row>
    <row r="1637" spans="16:27" ht="15" customHeight="1">
      <c r="P1637" t="str">
        <f t="shared" si="50"/>
        <v/>
      </c>
      <c r="Q1637" t="str">
        <f>IF(P1637="","",IFERROR(IF(AND(H1637="W7",OR(F1637="causal",F1637="predictive")),IF(AND(OR(K1637=1,K1637="1"),OR(L1637=1,L1637="1"),OR(M1637=1,M1637="1")),"adequate","partial"),IF(AND(H1637="W4",F1637="predictive",OR(J1637="P2",J1637="P3",J1637="P4")),IF(OR(U1637=1,U1637="1"),"adequate","partial"),INDEX(Fit_Matrix!$B:$B,MATCH(P1637,Fit_Matrix!$A:$A,0)))),"CHECK KEY"))</f>
        <v/>
      </c>
      <c r="U1637" s="10"/>
      <c r="V1637" s="10"/>
      <c r="W1637" s="10"/>
      <c r="X1637" s="10"/>
      <c r="Y1637" s="10"/>
      <c r="Z1637" s="10"/>
      <c r="AA1637" s="11" t="str">
        <f t="shared" si="51"/>
        <v/>
      </c>
    </row>
    <row r="1638" spans="16:27" ht="15" customHeight="1">
      <c r="P1638" t="str">
        <f t="shared" si="50"/>
        <v/>
      </c>
      <c r="Q1638" t="str">
        <f>IF(P1638="","",IFERROR(IF(AND(H1638="W7",OR(F1638="causal",F1638="predictive")),IF(AND(OR(K1638=1,K1638="1"),OR(L1638=1,L1638="1"),OR(M1638=1,M1638="1")),"adequate","partial"),IF(AND(H1638="W4",F1638="predictive",OR(J1638="P2",J1638="P3",J1638="P4")),IF(OR(U1638=1,U1638="1"),"adequate","partial"),INDEX(Fit_Matrix!$B:$B,MATCH(P1638,Fit_Matrix!$A:$A,0)))),"CHECK KEY"))</f>
        <v/>
      </c>
      <c r="U1638" s="10"/>
      <c r="V1638" s="10"/>
      <c r="W1638" s="10"/>
      <c r="X1638" s="10"/>
      <c r="Y1638" s="10"/>
      <c r="Z1638" s="10"/>
      <c r="AA1638" s="11" t="str">
        <f t="shared" si="51"/>
        <v/>
      </c>
    </row>
    <row r="1639" spans="16:27" ht="15" customHeight="1">
      <c r="P1639" t="str">
        <f t="shared" si="50"/>
        <v/>
      </c>
      <c r="Q1639" t="str">
        <f>IF(P1639="","",IFERROR(IF(AND(H1639="W7",OR(F1639="causal",F1639="predictive")),IF(AND(OR(K1639=1,K1639="1"),OR(L1639=1,L1639="1"),OR(M1639=1,M1639="1")),"adequate","partial"),IF(AND(H1639="W4",F1639="predictive",OR(J1639="P2",J1639="P3",J1639="P4")),IF(OR(U1639=1,U1639="1"),"adequate","partial"),INDEX(Fit_Matrix!$B:$B,MATCH(P1639,Fit_Matrix!$A:$A,0)))),"CHECK KEY"))</f>
        <v/>
      </c>
      <c r="U1639" s="10"/>
      <c r="V1639" s="10"/>
      <c r="W1639" s="10"/>
      <c r="X1639" s="10"/>
      <c r="Y1639" s="10"/>
      <c r="Z1639" s="10"/>
      <c r="AA1639" s="11" t="str">
        <f t="shared" si="51"/>
        <v/>
      </c>
    </row>
    <row r="1640" spans="16:27" ht="15" customHeight="1">
      <c r="P1640" t="str">
        <f t="shared" si="50"/>
        <v/>
      </c>
      <c r="Q1640" t="str">
        <f>IF(P1640="","",IFERROR(IF(AND(H1640="W7",OR(F1640="causal",F1640="predictive")),IF(AND(OR(K1640=1,K1640="1"),OR(L1640=1,L1640="1"),OR(M1640=1,M1640="1")),"adequate","partial"),IF(AND(H1640="W4",F1640="predictive",OR(J1640="P2",J1640="P3",J1640="P4")),IF(OR(U1640=1,U1640="1"),"adequate","partial"),INDEX(Fit_Matrix!$B:$B,MATCH(P1640,Fit_Matrix!$A:$A,0)))),"CHECK KEY"))</f>
        <v/>
      </c>
      <c r="U1640" s="10"/>
      <c r="V1640" s="10"/>
      <c r="W1640" s="10"/>
      <c r="X1640" s="10"/>
      <c r="Y1640" s="10"/>
      <c r="Z1640" s="10"/>
      <c r="AA1640" s="11" t="str">
        <f t="shared" si="51"/>
        <v/>
      </c>
    </row>
    <row r="1641" spans="16:27" ht="15" customHeight="1">
      <c r="P1641" t="str">
        <f t="shared" si="50"/>
        <v/>
      </c>
      <c r="Q1641" t="str">
        <f>IF(P1641="","",IFERROR(IF(AND(H1641="W7",OR(F1641="causal",F1641="predictive")),IF(AND(OR(K1641=1,K1641="1"),OR(L1641=1,L1641="1"),OR(M1641=1,M1641="1")),"adequate","partial"),IF(AND(H1641="W4",F1641="predictive",OR(J1641="P2",J1641="P3",J1641="P4")),IF(OR(U1641=1,U1641="1"),"adequate","partial"),INDEX(Fit_Matrix!$B:$B,MATCH(P1641,Fit_Matrix!$A:$A,0)))),"CHECK KEY"))</f>
        <v/>
      </c>
      <c r="U1641" s="10"/>
      <c r="V1641" s="10"/>
      <c r="W1641" s="10"/>
      <c r="X1641" s="10"/>
      <c r="Y1641" s="10"/>
      <c r="Z1641" s="10"/>
      <c r="AA1641" s="11" t="str">
        <f t="shared" si="51"/>
        <v/>
      </c>
    </row>
    <row r="1642" spans="16:27" ht="15" customHeight="1">
      <c r="P1642" t="str">
        <f t="shared" si="50"/>
        <v/>
      </c>
      <c r="Q1642" t="str">
        <f>IF(P1642="","",IFERROR(IF(AND(H1642="W7",OR(F1642="causal",F1642="predictive")),IF(AND(OR(K1642=1,K1642="1"),OR(L1642=1,L1642="1"),OR(M1642=1,M1642="1")),"adequate","partial"),IF(AND(H1642="W4",F1642="predictive",OR(J1642="P2",J1642="P3",J1642="P4")),IF(OR(U1642=1,U1642="1"),"adequate","partial"),INDEX(Fit_Matrix!$B:$B,MATCH(P1642,Fit_Matrix!$A:$A,0)))),"CHECK KEY"))</f>
        <v/>
      </c>
      <c r="U1642" s="10"/>
      <c r="V1642" s="10"/>
      <c r="W1642" s="10"/>
      <c r="X1642" s="10"/>
      <c r="Y1642" s="10"/>
      <c r="Z1642" s="10"/>
      <c r="AA1642" s="11" t="str">
        <f t="shared" si="51"/>
        <v/>
      </c>
    </row>
    <row r="1643" spans="16:27" ht="15" customHeight="1">
      <c r="P1643" t="str">
        <f t="shared" si="50"/>
        <v/>
      </c>
      <c r="Q1643" t="str">
        <f>IF(P1643="","",IFERROR(IF(AND(H1643="W7",OR(F1643="causal",F1643="predictive")),IF(AND(OR(K1643=1,K1643="1"),OR(L1643=1,L1643="1"),OR(M1643=1,M1643="1")),"adequate","partial"),IF(AND(H1643="W4",F1643="predictive",OR(J1643="P2",J1643="P3",J1643="P4")),IF(OR(U1643=1,U1643="1"),"adequate","partial"),INDEX(Fit_Matrix!$B:$B,MATCH(P1643,Fit_Matrix!$A:$A,0)))),"CHECK KEY"))</f>
        <v/>
      </c>
      <c r="U1643" s="10"/>
      <c r="V1643" s="10"/>
      <c r="W1643" s="10"/>
      <c r="X1643" s="10"/>
      <c r="Y1643" s="10"/>
      <c r="Z1643" s="10"/>
      <c r="AA1643" s="11" t="str">
        <f t="shared" si="51"/>
        <v/>
      </c>
    </row>
    <row r="1644" spans="16:27" ht="15" customHeight="1">
      <c r="P1644" t="str">
        <f t="shared" si="50"/>
        <v/>
      </c>
      <c r="Q1644" t="str">
        <f>IF(P1644="","",IFERROR(IF(AND(H1644="W7",OR(F1644="causal",F1644="predictive")),IF(AND(OR(K1644=1,K1644="1"),OR(L1644=1,L1644="1"),OR(M1644=1,M1644="1")),"adequate","partial"),IF(AND(H1644="W4",F1644="predictive",OR(J1644="P2",J1644="P3",J1644="P4")),IF(OR(U1644=1,U1644="1"),"adequate","partial"),INDEX(Fit_Matrix!$B:$B,MATCH(P1644,Fit_Matrix!$A:$A,0)))),"CHECK KEY"))</f>
        <v/>
      </c>
      <c r="U1644" s="10"/>
      <c r="V1644" s="10"/>
      <c r="W1644" s="10"/>
      <c r="X1644" s="10"/>
      <c r="Y1644" s="10"/>
      <c r="Z1644" s="10"/>
      <c r="AA1644" s="11" t="str">
        <f t="shared" si="51"/>
        <v/>
      </c>
    </row>
    <row r="1645" spans="16:27" ht="15" customHeight="1">
      <c r="P1645" t="str">
        <f t="shared" si="50"/>
        <v/>
      </c>
      <c r="Q1645" t="str">
        <f>IF(P1645="","",IFERROR(IF(AND(H1645="W7",OR(F1645="causal",F1645="predictive")),IF(AND(OR(K1645=1,K1645="1"),OR(L1645=1,L1645="1"),OR(M1645=1,M1645="1")),"adequate","partial"),IF(AND(H1645="W4",F1645="predictive",OR(J1645="P2",J1645="P3",J1645="P4")),IF(OR(U1645=1,U1645="1"),"adequate","partial"),INDEX(Fit_Matrix!$B:$B,MATCH(P1645,Fit_Matrix!$A:$A,0)))),"CHECK KEY"))</f>
        <v/>
      </c>
      <c r="U1645" s="10"/>
      <c r="V1645" s="10"/>
      <c r="W1645" s="10"/>
      <c r="X1645" s="10"/>
      <c r="Y1645" s="10"/>
      <c r="Z1645" s="10"/>
      <c r="AA1645" s="11" t="str">
        <f t="shared" si="51"/>
        <v/>
      </c>
    </row>
    <row r="1646" spans="16:27" ht="15" customHeight="1">
      <c r="P1646" t="str">
        <f t="shared" si="50"/>
        <v/>
      </c>
      <c r="Q1646" t="str">
        <f>IF(P1646="","",IFERROR(IF(AND(H1646="W7",OR(F1646="causal",F1646="predictive")),IF(AND(OR(K1646=1,K1646="1"),OR(L1646=1,L1646="1"),OR(M1646=1,M1646="1")),"adequate","partial"),IF(AND(H1646="W4",F1646="predictive",OR(J1646="P2",J1646="P3",J1646="P4")),IF(OR(U1646=1,U1646="1"),"adequate","partial"),INDEX(Fit_Matrix!$B:$B,MATCH(P1646,Fit_Matrix!$A:$A,0)))),"CHECK KEY"))</f>
        <v/>
      </c>
      <c r="U1646" s="10"/>
      <c r="V1646" s="10"/>
      <c r="W1646" s="10"/>
      <c r="X1646" s="10"/>
      <c r="Y1646" s="10"/>
      <c r="Z1646" s="10"/>
      <c r="AA1646" s="11" t="str">
        <f t="shared" si="51"/>
        <v/>
      </c>
    </row>
    <row r="1647" spans="16:27" ht="15" customHeight="1">
      <c r="P1647" t="str">
        <f t="shared" si="50"/>
        <v/>
      </c>
      <c r="Q1647" t="str">
        <f>IF(P1647="","",IFERROR(IF(AND(H1647="W7",OR(F1647="causal",F1647="predictive")),IF(AND(OR(K1647=1,K1647="1"),OR(L1647=1,L1647="1"),OR(M1647=1,M1647="1")),"adequate","partial"),IF(AND(H1647="W4",F1647="predictive",OR(J1647="P2",J1647="P3",J1647="P4")),IF(OR(U1647=1,U1647="1"),"adequate","partial"),INDEX(Fit_Matrix!$B:$B,MATCH(P1647,Fit_Matrix!$A:$A,0)))),"CHECK KEY"))</f>
        <v/>
      </c>
      <c r="U1647" s="10"/>
      <c r="V1647" s="10"/>
      <c r="W1647" s="10"/>
      <c r="X1647" s="10"/>
      <c r="Y1647" s="10"/>
      <c r="Z1647" s="10"/>
      <c r="AA1647" s="11" t="str">
        <f t="shared" si="51"/>
        <v/>
      </c>
    </row>
    <row r="1648" spans="16:27" ht="15" customHeight="1">
      <c r="P1648" t="str">
        <f t="shared" si="50"/>
        <v/>
      </c>
      <c r="Q1648" t="str">
        <f>IF(P1648="","",IFERROR(IF(AND(H1648="W7",OR(F1648="causal",F1648="predictive")),IF(AND(OR(K1648=1,K1648="1"),OR(L1648=1,L1648="1"),OR(M1648=1,M1648="1")),"adequate","partial"),IF(AND(H1648="W4",F1648="predictive",OR(J1648="P2",J1648="P3",J1648="P4")),IF(OR(U1648=1,U1648="1"),"adequate","partial"),INDEX(Fit_Matrix!$B:$B,MATCH(P1648,Fit_Matrix!$A:$A,0)))),"CHECK KEY"))</f>
        <v/>
      </c>
      <c r="U1648" s="10"/>
      <c r="V1648" s="10"/>
      <c r="W1648" s="10"/>
      <c r="X1648" s="10"/>
      <c r="Y1648" s="10"/>
      <c r="Z1648" s="10"/>
      <c r="AA1648" s="11" t="str">
        <f t="shared" si="51"/>
        <v/>
      </c>
    </row>
    <row r="1649" spans="16:27" ht="15" customHeight="1">
      <c r="P1649" t="str">
        <f t="shared" si="50"/>
        <v/>
      </c>
      <c r="Q1649" t="str">
        <f>IF(P1649="","",IFERROR(IF(AND(H1649="W7",OR(F1649="causal",F1649="predictive")),IF(AND(OR(K1649=1,K1649="1"),OR(L1649=1,L1649="1"),OR(M1649=1,M1649="1")),"adequate","partial"),IF(AND(H1649="W4",F1649="predictive",OR(J1649="P2",J1649="P3",J1649="P4")),IF(OR(U1649=1,U1649="1"),"adequate","partial"),INDEX(Fit_Matrix!$B:$B,MATCH(P1649,Fit_Matrix!$A:$A,0)))),"CHECK KEY"))</f>
        <v/>
      </c>
      <c r="U1649" s="10"/>
      <c r="V1649" s="10"/>
      <c r="W1649" s="10"/>
      <c r="X1649" s="10"/>
      <c r="Y1649" s="10"/>
      <c r="Z1649" s="10"/>
      <c r="AA1649" s="11" t="str">
        <f t="shared" si="51"/>
        <v/>
      </c>
    </row>
    <row r="1650" spans="16:27" ht="15" customHeight="1">
      <c r="P1650" t="str">
        <f t="shared" si="50"/>
        <v/>
      </c>
      <c r="Q1650" t="str">
        <f>IF(P1650="","",IFERROR(IF(AND(H1650="W7",OR(F1650="causal",F1650="predictive")),IF(AND(OR(K1650=1,K1650="1"),OR(L1650=1,L1650="1"),OR(M1650=1,M1650="1")),"adequate","partial"),IF(AND(H1650="W4",F1650="predictive",OR(J1650="P2",J1650="P3",J1650="P4")),IF(OR(U1650=1,U1650="1"),"adequate","partial"),INDEX(Fit_Matrix!$B:$B,MATCH(P1650,Fit_Matrix!$A:$A,0)))),"CHECK KEY"))</f>
        <v/>
      </c>
      <c r="U1650" s="10"/>
      <c r="V1650" s="10"/>
      <c r="W1650" s="10"/>
      <c r="X1650" s="10"/>
      <c r="Y1650" s="10"/>
      <c r="Z1650" s="10"/>
      <c r="AA1650" s="11" t="str">
        <f t="shared" si="51"/>
        <v/>
      </c>
    </row>
    <row r="1651" spans="16:27" ht="15" customHeight="1">
      <c r="P1651" t="str">
        <f t="shared" si="50"/>
        <v/>
      </c>
      <c r="Q1651" t="str">
        <f>IF(P1651="","",IFERROR(IF(AND(H1651="W7",OR(F1651="causal",F1651="predictive")),IF(AND(OR(K1651=1,K1651="1"),OR(L1651=1,L1651="1"),OR(M1651=1,M1651="1")),"adequate","partial"),IF(AND(H1651="W4",F1651="predictive",OR(J1651="P2",J1651="P3",J1651="P4")),IF(OR(U1651=1,U1651="1"),"adequate","partial"),INDEX(Fit_Matrix!$B:$B,MATCH(P1651,Fit_Matrix!$A:$A,0)))),"CHECK KEY"))</f>
        <v/>
      </c>
      <c r="U1651" s="10"/>
      <c r="V1651" s="10"/>
      <c r="W1651" s="10"/>
      <c r="X1651" s="10"/>
      <c r="Y1651" s="10"/>
      <c r="Z1651" s="10"/>
      <c r="AA1651" s="11" t="str">
        <f t="shared" si="51"/>
        <v/>
      </c>
    </row>
    <row r="1652" spans="16:27" ht="15" customHeight="1">
      <c r="P1652" t="str">
        <f t="shared" si="50"/>
        <v/>
      </c>
      <c r="Q1652" t="str">
        <f>IF(P1652="","",IFERROR(IF(AND(H1652="W7",OR(F1652="causal",F1652="predictive")),IF(AND(OR(K1652=1,K1652="1"),OR(L1652=1,L1652="1"),OR(M1652=1,M1652="1")),"adequate","partial"),IF(AND(H1652="W4",F1652="predictive",OR(J1652="P2",J1652="P3",J1652="P4")),IF(OR(U1652=1,U1652="1"),"adequate","partial"),INDEX(Fit_Matrix!$B:$B,MATCH(P1652,Fit_Matrix!$A:$A,0)))),"CHECK KEY"))</f>
        <v/>
      </c>
      <c r="U1652" s="10"/>
      <c r="V1652" s="10"/>
      <c r="W1652" s="10"/>
      <c r="X1652" s="10"/>
      <c r="Y1652" s="10"/>
      <c r="Z1652" s="10"/>
      <c r="AA1652" s="11" t="str">
        <f t="shared" si="51"/>
        <v/>
      </c>
    </row>
    <row r="1653" spans="16:27" ht="15" customHeight="1">
      <c r="P1653" t="str">
        <f t="shared" si="50"/>
        <v/>
      </c>
      <c r="Q1653" t="str">
        <f>IF(P1653="","",IFERROR(IF(AND(H1653="W7",OR(F1653="causal",F1653="predictive")),IF(AND(OR(K1653=1,K1653="1"),OR(L1653=1,L1653="1"),OR(M1653=1,M1653="1")),"adequate","partial"),IF(AND(H1653="W4",F1653="predictive",OR(J1653="P2",J1653="P3",J1653="P4")),IF(OR(U1653=1,U1653="1"),"adequate","partial"),INDEX(Fit_Matrix!$B:$B,MATCH(P1653,Fit_Matrix!$A:$A,0)))),"CHECK KEY"))</f>
        <v/>
      </c>
      <c r="U1653" s="10"/>
      <c r="V1653" s="10"/>
      <c r="W1653" s="10"/>
      <c r="X1653" s="10"/>
      <c r="Y1653" s="10"/>
      <c r="Z1653" s="10"/>
      <c r="AA1653" s="11" t="str">
        <f t="shared" si="51"/>
        <v/>
      </c>
    </row>
    <row r="1654" spans="16:27" ht="15" customHeight="1">
      <c r="P1654" t="str">
        <f t="shared" si="50"/>
        <v/>
      </c>
      <c r="Q1654" t="str">
        <f>IF(P1654="","",IFERROR(IF(AND(H1654="W7",OR(F1654="causal",F1654="predictive")),IF(AND(OR(K1654=1,K1654="1"),OR(L1654=1,L1654="1"),OR(M1654=1,M1654="1")),"adequate","partial"),IF(AND(H1654="W4",F1654="predictive",OR(J1654="P2",J1654="P3",J1654="P4")),IF(OR(U1654=1,U1654="1"),"adequate","partial"),INDEX(Fit_Matrix!$B:$B,MATCH(P1654,Fit_Matrix!$A:$A,0)))),"CHECK KEY"))</f>
        <v/>
      </c>
      <c r="U1654" s="10"/>
      <c r="V1654" s="10"/>
      <c r="W1654" s="10"/>
      <c r="X1654" s="10"/>
      <c r="Y1654" s="10"/>
      <c r="Z1654" s="10"/>
      <c r="AA1654" s="11" t="str">
        <f t="shared" si="51"/>
        <v/>
      </c>
    </row>
    <row r="1655" spans="16:27" ht="15" customHeight="1">
      <c r="P1655" t="str">
        <f t="shared" si="50"/>
        <v/>
      </c>
      <c r="Q1655" t="str">
        <f>IF(P1655="","",IFERROR(IF(AND(H1655="W7",OR(F1655="causal",F1655="predictive")),IF(AND(OR(K1655=1,K1655="1"),OR(L1655=1,L1655="1"),OR(M1655=1,M1655="1")),"adequate","partial"),IF(AND(H1655="W4",F1655="predictive",OR(J1655="P2",J1655="P3",J1655="P4")),IF(OR(U1655=1,U1655="1"),"adequate","partial"),INDEX(Fit_Matrix!$B:$B,MATCH(P1655,Fit_Matrix!$A:$A,0)))),"CHECK KEY"))</f>
        <v/>
      </c>
      <c r="U1655" s="10"/>
      <c r="V1655" s="10"/>
      <c r="W1655" s="10"/>
      <c r="X1655" s="10"/>
      <c r="Y1655" s="10"/>
      <c r="Z1655" s="10"/>
      <c r="AA1655" s="11" t="str">
        <f t="shared" si="51"/>
        <v/>
      </c>
    </row>
    <row r="1656" spans="16:27" ht="15" customHeight="1">
      <c r="P1656" t="str">
        <f t="shared" si="50"/>
        <v/>
      </c>
      <c r="Q1656" t="str">
        <f>IF(P1656="","",IFERROR(IF(AND(H1656="W7",OR(F1656="causal",F1656="predictive")),IF(AND(OR(K1656=1,K1656="1"),OR(L1656=1,L1656="1"),OR(M1656=1,M1656="1")),"adequate","partial"),IF(AND(H1656="W4",F1656="predictive",OR(J1656="P2",J1656="P3",J1656="P4")),IF(OR(U1656=1,U1656="1"),"adequate","partial"),INDEX(Fit_Matrix!$B:$B,MATCH(P1656,Fit_Matrix!$A:$A,0)))),"CHECK KEY"))</f>
        <v/>
      </c>
      <c r="U1656" s="10"/>
      <c r="V1656" s="10"/>
      <c r="W1656" s="10"/>
      <c r="X1656" s="10"/>
      <c r="Y1656" s="10"/>
      <c r="Z1656" s="10"/>
      <c r="AA1656" s="11" t="str">
        <f t="shared" si="51"/>
        <v/>
      </c>
    </row>
    <row r="1657" spans="16:27" ht="15" customHeight="1">
      <c r="P1657" t="str">
        <f t="shared" si="50"/>
        <v/>
      </c>
      <c r="Q1657" t="str">
        <f>IF(P1657="","",IFERROR(IF(AND(H1657="W7",OR(F1657="causal",F1657="predictive")),IF(AND(OR(K1657=1,K1657="1"),OR(L1657=1,L1657="1"),OR(M1657=1,M1657="1")),"adequate","partial"),IF(AND(H1657="W4",F1657="predictive",OR(J1657="P2",J1657="P3",J1657="P4")),IF(OR(U1657=1,U1657="1"),"adequate","partial"),INDEX(Fit_Matrix!$B:$B,MATCH(P1657,Fit_Matrix!$A:$A,0)))),"CHECK KEY"))</f>
        <v/>
      </c>
      <c r="U1657" s="10"/>
      <c r="V1657" s="10"/>
      <c r="W1657" s="10"/>
      <c r="X1657" s="10"/>
      <c r="Y1657" s="10"/>
      <c r="Z1657" s="10"/>
      <c r="AA1657" s="11" t="str">
        <f t="shared" si="51"/>
        <v/>
      </c>
    </row>
    <row r="1658" spans="16:27" ht="15" customHeight="1">
      <c r="P1658" t="str">
        <f t="shared" si="50"/>
        <v/>
      </c>
      <c r="Q1658" t="str">
        <f>IF(P1658="","",IFERROR(IF(AND(H1658="W7",OR(F1658="causal",F1658="predictive")),IF(AND(OR(K1658=1,K1658="1"),OR(L1658=1,L1658="1"),OR(M1658=1,M1658="1")),"adequate","partial"),IF(AND(H1658="W4",F1658="predictive",OR(J1658="P2",J1658="P3",J1658="P4")),IF(OR(U1658=1,U1658="1"),"adequate","partial"),INDEX(Fit_Matrix!$B:$B,MATCH(P1658,Fit_Matrix!$A:$A,0)))),"CHECK KEY"))</f>
        <v/>
      </c>
      <c r="U1658" s="10"/>
      <c r="V1658" s="10"/>
      <c r="W1658" s="10"/>
      <c r="X1658" s="10"/>
      <c r="Y1658" s="10"/>
      <c r="Z1658" s="10"/>
      <c r="AA1658" s="11" t="str">
        <f t="shared" si="51"/>
        <v/>
      </c>
    </row>
    <row r="1659" spans="16:27" ht="15" customHeight="1">
      <c r="P1659" t="str">
        <f t="shared" si="50"/>
        <v/>
      </c>
      <c r="Q1659" t="str">
        <f>IF(P1659="","",IFERROR(IF(AND(H1659="W7",OR(F1659="causal",F1659="predictive")),IF(AND(OR(K1659=1,K1659="1"),OR(L1659=1,L1659="1"),OR(M1659=1,M1659="1")),"adequate","partial"),IF(AND(H1659="W4",F1659="predictive",OR(J1659="P2",J1659="P3",J1659="P4")),IF(OR(U1659=1,U1659="1"),"adequate","partial"),INDEX(Fit_Matrix!$B:$B,MATCH(P1659,Fit_Matrix!$A:$A,0)))),"CHECK KEY"))</f>
        <v/>
      </c>
      <c r="U1659" s="10"/>
      <c r="V1659" s="10"/>
      <c r="W1659" s="10"/>
      <c r="X1659" s="10"/>
      <c r="Y1659" s="10"/>
      <c r="Z1659" s="10"/>
      <c r="AA1659" s="11" t="str">
        <f t="shared" si="51"/>
        <v/>
      </c>
    </row>
    <row r="1660" spans="16:27" ht="15" customHeight="1">
      <c r="P1660" t="str">
        <f t="shared" si="50"/>
        <v/>
      </c>
      <c r="Q1660" t="str">
        <f>IF(P1660="","",IFERROR(IF(AND(H1660="W7",OR(F1660="causal",F1660="predictive")),IF(AND(OR(K1660=1,K1660="1"),OR(L1660=1,L1660="1"),OR(M1660=1,M1660="1")),"adequate","partial"),IF(AND(H1660="W4",F1660="predictive",OR(J1660="P2",J1660="P3",J1660="P4")),IF(OR(U1660=1,U1660="1"),"adequate","partial"),INDEX(Fit_Matrix!$B:$B,MATCH(P1660,Fit_Matrix!$A:$A,0)))),"CHECK KEY"))</f>
        <v/>
      </c>
      <c r="U1660" s="10"/>
      <c r="V1660" s="10"/>
      <c r="W1660" s="10"/>
      <c r="X1660" s="10"/>
      <c r="Y1660" s="10"/>
      <c r="Z1660" s="10"/>
      <c r="AA1660" s="11" t="str">
        <f t="shared" si="51"/>
        <v/>
      </c>
    </row>
    <row r="1661" spans="16:27" ht="15" customHeight="1">
      <c r="P1661" t="str">
        <f t="shared" si="50"/>
        <v/>
      </c>
      <c r="Q1661" t="str">
        <f>IF(P1661="","",IFERROR(IF(AND(H1661="W7",OR(F1661="causal",F1661="predictive")),IF(AND(OR(K1661=1,K1661="1"),OR(L1661=1,L1661="1"),OR(M1661=1,M1661="1")),"adequate","partial"),IF(AND(H1661="W4",F1661="predictive",OR(J1661="P2",J1661="P3",J1661="P4")),IF(OR(U1661=1,U1661="1"),"adequate","partial"),INDEX(Fit_Matrix!$B:$B,MATCH(P1661,Fit_Matrix!$A:$A,0)))),"CHECK KEY"))</f>
        <v/>
      </c>
      <c r="U1661" s="10"/>
      <c r="V1661" s="10"/>
      <c r="W1661" s="10"/>
      <c r="X1661" s="10"/>
      <c r="Y1661" s="10"/>
      <c r="Z1661" s="10"/>
      <c r="AA1661" s="11" t="str">
        <f t="shared" si="51"/>
        <v/>
      </c>
    </row>
    <row r="1662" spans="16:27" ht="15" customHeight="1">
      <c r="P1662" t="str">
        <f t="shared" si="50"/>
        <v/>
      </c>
      <c r="Q1662" t="str">
        <f>IF(P1662="","",IFERROR(IF(AND(H1662="W7",OR(F1662="causal",F1662="predictive")),IF(AND(OR(K1662=1,K1662="1"),OR(L1662=1,L1662="1"),OR(M1662=1,M1662="1")),"adequate","partial"),IF(AND(H1662="W4",F1662="predictive",OR(J1662="P2",J1662="P3",J1662="P4")),IF(OR(U1662=1,U1662="1"),"adequate","partial"),INDEX(Fit_Matrix!$B:$B,MATCH(P1662,Fit_Matrix!$A:$A,0)))),"CHECK KEY"))</f>
        <v/>
      </c>
      <c r="U1662" s="10"/>
      <c r="V1662" s="10"/>
      <c r="W1662" s="10"/>
      <c r="X1662" s="10"/>
      <c r="Y1662" s="10"/>
      <c r="Z1662" s="10"/>
      <c r="AA1662" s="11" t="str">
        <f t="shared" si="51"/>
        <v/>
      </c>
    </row>
    <row r="1663" spans="16:27" ht="15" customHeight="1">
      <c r="P1663" t="str">
        <f t="shared" si="50"/>
        <v/>
      </c>
      <c r="Q1663" t="str">
        <f>IF(P1663="","",IFERROR(IF(AND(H1663="W7",OR(F1663="causal",F1663="predictive")),IF(AND(OR(K1663=1,K1663="1"),OR(L1663=1,L1663="1"),OR(M1663=1,M1663="1")),"adequate","partial"),IF(AND(H1663="W4",F1663="predictive",OR(J1663="P2",J1663="P3",J1663="P4")),IF(OR(U1663=1,U1663="1"),"adequate","partial"),INDEX(Fit_Matrix!$B:$B,MATCH(P1663,Fit_Matrix!$A:$A,0)))),"CHECK KEY"))</f>
        <v/>
      </c>
      <c r="U1663" s="10"/>
      <c r="V1663" s="10"/>
      <c r="W1663" s="10"/>
      <c r="X1663" s="10"/>
      <c r="Y1663" s="10"/>
      <c r="Z1663" s="10"/>
      <c r="AA1663" s="11" t="str">
        <f t="shared" si="51"/>
        <v/>
      </c>
    </row>
    <row r="1664" spans="16:27" ht="15" customHeight="1">
      <c r="P1664" t="str">
        <f t="shared" si="50"/>
        <v/>
      </c>
      <c r="Q1664" t="str">
        <f>IF(P1664="","",IFERROR(IF(AND(H1664="W7",OR(F1664="causal",F1664="predictive")),IF(AND(OR(K1664=1,K1664="1"),OR(L1664=1,L1664="1"),OR(M1664=1,M1664="1")),"adequate","partial"),IF(AND(H1664="W4",F1664="predictive",OR(J1664="P2",J1664="P3",J1664="P4")),IF(OR(U1664=1,U1664="1"),"adequate","partial"),INDEX(Fit_Matrix!$B:$B,MATCH(P1664,Fit_Matrix!$A:$A,0)))),"CHECK KEY"))</f>
        <v/>
      </c>
      <c r="U1664" s="10"/>
      <c r="V1664" s="10"/>
      <c r="W1664" s="10"/>
      <c r="X1664" s="10"/>
      <c r="Y1664" s="10"/>
      <c r="Z1664" s="10"/>
      <c r="AA1664" s="11" t="str">
        <f t="shared" si="51"/>
        <v/>
      </c>
    </row>
    <row r="1665" spans="16:27" ht="15" customHeight="1">
      <c r="P1665" t="str">
        <f t="shared" si="50"/>
        <v/>
      </c>
      <c r="Q1665" t="str">
        <f>IF(P1665="","",IFERROR(IF(AND(H1665="W7",OR(F1665="causal",F1665="predictive")),IF(AND(OR(K1665=1,K1665="1"),OR(L1665=1,L1665="1"),OR(M1665=1,M1665="1")),"adequate","partial"),IF(AND(H1665="W4",F1665="predictive",OR(J1665="P2",J1665="P3",J1665="P4")),IF(OR(U1665=1,U1665="1"),"adequate","partial"),INDEX(Fit_Matrix!$B:$B,MATCH(P1665,Fit_Matrix!$A:$A,0)))),"CHECK KEY"))</f>
        <v/>
      </c>
      <c r="U1665" s="10"/>
      <c r="V1665" s="10"/>
      <c r="W1665" s="10"/>
      <c r="X1665" s="10"/>
      <c r="Y1665" s="10"/>
      <c r="Z1665" s="10"/>
      <c r="AA1665" s="11" t="str">
        <f t="shared" si="51"/>
        <v/>
      </c>
    </row>
    <row r="1666" spans="16:27" ht="15" customHeight="1">
      <c r="P1666" t="str">
        <f t="shared" ref="P1666:P1729" si="52">IF(OR(F1666="",H1666="",J1666=""),"",J1666&amp;"|"&amp;F1666&amp;"|"&amp;IF(H1666="W3","W3_"&amp;IF(I1666="","unknown",I1666),H1666))</f>
        <v/>
      </c>
      <c r="Q1666" t="str">
        <f>IF(P1666="","",IFERROR(IF(AND(H1666="W7",OR(F1666="causal",F1666="predictive")),IF(AND(OR(K1666=1,K1666="1"),OR(L1666=1,L1666="1"),OR(M1666=1,M1666="1")),"adequate","partial"),IF(AND(H1666="W4",F1666="predictive",OR(J1666="P2",J1666="P3",J1666="P4")),IF(OR(U1666=1,U1666="1"),"adequate","partial"),INDEX(Fit_Matrix!$B:$B,MATCH(P1666,Fit_Matrix!$A:$A,0)))),"CHECK KEY"))</f>
        <v/>
      </c>
      <c r="U1666" s="10"/>
      <c r="V1666" s="10"/>
      <c r="W1666" s="10"/>
      <c r="X1666" s="10"/>
      <c r="Y1666" s="10"/>
      <c r="Z1666" s="10"/>
      <c r="AA1666" s="11" t="str">
        <f t="shared" ref="AA1666:AA1729" si="53">IF(A1666="","",IF(AND(J1666="P4",F1666="causal"),"P4-CAUSAL",""))</f>
        <v/>
      </c>
    </row>
    <row r="1667" spans="16:27" ht="15" customHeight="1">
      <c r="P1667" t="str">
        <f t="shared" si="52"/>
        <v/>
      </c>
      <c r="Q1667" t="str">
        <f>IF(P1667="","",IFERROR(IF(AND(H1667="W7",OR(F1667="causal",F1667="predictive")),IF(AND(OR(K1667=1,K1667="1"),OR(L1667=1,L1667="1"),OR(M1667=1,M1667="1")),"adequate","partial"),IF(AND(H1667="W4",F1667="predictive",OR(J1667="P2",J1667="P3",J1667="P4")),IF(OR(U1667=1,U1667="1"),"adequate","partial"),INDEX(Fit_Matrix!$B:$B,MATCH(P1667,Fit_Matrix!$A:$A,0)))),"CHECK KEY"))</f>
        <v/>
      </c>
      <c r="U1667" s="10"/>
      <c r="V1667" s="10"/>
      <c r="W1667" s="10"/>
      <c r="X1667" s="10"/>
      <c r="Y1667" s="10"/>
      <c r="Z1667" s="10"/>
      <c r="AA1667" s="11" t="str">
        <f t="shared" si="53"/>
        <v/>
      </c>
    </row>
    <row r="1668" spans="16:27" ht="15" customHeight="1">
      <c r="P1668" t="str">
        <f t="shared" si="52"/>
        <v/>
      </c>
      <c r="Q1668" t="str">
        <f>IF(P1668="","",IFERROR(IF(AND(H1668="W7",OR(F1668="causal",F1668="predictive")),IF(AND(OR(K1668=1,K1668="1"),OR(L1668=1,L1668="1"),OR(M1668=1,M1668="1")),"adequate","partial"),IF(AND(H1668="W4",F1668="predictive",OR(J1668="P2",J1668="P3",J1668="P4")),IF(OR(U1668=1,U1668="1"),"adequate","partial"),INDEX(Fit_Matrix!$B:$B,MATCH(P1668,Fit_Matrix!$A:$A,0)))),"CHECK KEY"))</f>
        <v/>
      </c>
      <c r="U1668" s="10"/>
      <c r="V1668" s="10"/>
      <c r="W1668" s="10"/>
      <c r="X1668" s="10"/>
      <c r="Y1668" s="10"/>
      <c r="Z1668" s="10"/>
      <c r="AA1668" s="11" t="str">
        <f t="shared" si="53"/>
        <v/>
      </c>
    </row>
    <row r="1669" spans="16:27" ht="15" customHeight="1">
      <c r="P1669" t="str">
        <f t="shared" si="52"/>
        <v/>
      </c>
      <c r="Q1669" t="str">
        <f>IF(P1669="","",IFERROR(IF(AND(H1669="W7",OR(F1669="causal",F1669="predictive")),IF(AND(OR(K1669=1,K1669="1"),OR(L1669=1,L1669="1"),OR(M1669=1,M1669="1")),"adequate","partial"),IF(AND(H1669="W4",F1669="predictive",OR(J1669="P2",J1669="P3",J1669="P4")),IF(OR(U1669=1,U1669="1"),"adequate","partial"),INDEX(Fit_Matrix!$B:$B,MATCH(P1669,Fit_Matrix!$A:$A,0)))),"CHECK KEY"))</f>
        <v/>
      </c>
      <c r="U1669" s="10"/>
      <c r="V1669" s="10"/>
      <c r="W1669" s="10"/>
      <c r="X1669" s="10"/>
      <c r="Y1669" s="10"/>
      <c r="Z1669" s="10"/>
      <c r="AA1669" s="11" t="str">
        <f t="shared" si="53"/>
        <v/>
      </c>
    </row>
    <row r="1670" spans="16:27" ht="15" customHeight="1">
      <c r="P1670" t="str">
        <f t="shared" si="52"/>
        <v/>
      </c>
      <c r="Q1670" t="str">
        <f>IF(P1670="","",IFERROR(IF(AND(H1670="W7",OR(F1670="causal",F1670="predictive")),IF(AND(OR(K1670=1,K1670="1"),OR(L1670=1,L1670="1"),OR(M1670=1,M1670="1")),"adequate","partial"),IF(AND(H1670="W4",F1670="predictive",OR(J1670="P2",J1670="P3",J1670="P4")),IF(OR(U1670=1,U1670="1"),"adequate","partial"),INDEX(Fit_Matrix!$B:$B,MATCH(P1670,Fit_Matrix!$A:$A,0)))),"CHECK KEY"))</f>
        <v/>
      </c>
      <c r="U1670" s="10"/>
      <c r="V1670" s="10"/>
      <c r="W1670" s="10"/>
      <c r="X1670" s="10"/>
      <c r="Y1670" s="10"/>
      <c r="Z1670" s="10"/>
      <c r="AA1670" s="11" t="str">
        <f t="shared" si="53"/>
        <v/>
      </c>
    </row>
    <row r="1671" spans="16:27" ht="15" customHeight="1">
      <c r="P1671" t="str">
        <f t="shared" si="52"/>
        <v/>
      </c>
      <c r="Q1671" t="str">
        <f>IF(P1671="","",IFERROR(IF(AND(H1671="W7",OR(F1671="causal",F1671="predictive")),IF(AND(OR(K1671=1,K1671="1"),OR(L1671=1,L1671="1"),OR(M1671=1,M1671="1")),"adequate","partial"),IF(AND(H1671="W4",F1671="predictive",OR(J1671="P2",J1671="P3",J1671="P4")),IF(OR(U1671=1,U1671="1"),"adequate","partial"),INDEX(Fit_Matrix!$B:$B,MATCH(P1671,Fit_Matrix!$A:$A,0)))),"CHECK KEY"))</f>
        <v/>
      </c>
      <c r="U1671" s="10"/>
      <c r="V1671" s="10"/>
      <c r="W1671" s="10"/>
      <c r="X1671" s="10"/>
      <c r="Y1671" s="10"/>
      <c r="Z1671" s="10"/>
      <c r="AA1671" s="11" t="str">
        <f t="shared" si="53"/>
        <v/>
      </c>
    </row>
    <row r="1672" spans="16:27" ht="15" customHeight="1">
      <c r="P1672" t="str">
        <f t="shared" si="52"/>
        <v/>
      </c>
      <c r="Q1672" t="str">
        <f>IF(P1672="","",IFERROR(IF(AND(H1672="W7",OR(F1672="causal",F1672="predictive")),IF(AND(OR(K1672=1,K1672="1"),OR(L1672=1,L1672="1"),OR(M1672=1,M1672="1")),"adequate","partial"),IF(AND(H1672="W4",F1672="predictive",OR(J1672="P2",J1672="P3",J1672="P4")),IF(OR(U1672=1,U1672="1"),"adequate","partial"),INDEX(Fit_Matrix!$B:$B,MATCH(P1672,Fit_Matrix!$A:$A,0)))),"CHECK KEY"))</f>
        <v/>
      </c>
      <c r="U1672" s="10"/>
      <c r="V1672" s="10"/>
      <c r="W1672" s="10"/>
      <c r="X1672" s="10"/>
      <c r="Y1672" s="10"/>
      <c r="Z1672" s="10"/>
      <c r="AA1672" s="11" t="str">
        <f t="shared" si="53"/>
        <v/>
      </c>
    </row>
    <row r="1673" spans="16:27" ht="15" customHeight="1">
      <c r="P1673" t="str">
        <f t="shared" si="52"/>
        <v/>
      </c>
      <c r="Q1673" t="str">
        <f>IF(P1673="","",IFERROR(IF(AND(H1673="W7",OR(F1673="causal",F1673="predictive")),IF(AND(OR(K1673=1,K1673="1"),OR(L1673=1,L1673="1"),OR(M1673=1,M1673="1")),"adequate","partial"),IF(AND(H1673="W4",F1673="predictive",OR(J1673="P2",J1673="P3",J1673="P4")),IF(OR(U1673=1,U1673="1"),"adequate","partial"),INDEX(Fit_Matrix!$B:$B,MATCH(P1673,Fit_Matrix!$A:$A,0)))),"CHECK KEY"))</f>
        <v/>
      </c>
      <c r="U1673" s="10"/>
      <c r="V1673" s="10"/>
      <c r="W1673" s="10"/>
      <c r="X1673" s="10"/>
      <c r="Y1673" s="10"/>
      <c r="Z1673" s="10"/>
      <c r="AA1673" s="11" t="str">
        <f t="shared" si="53"/>
        <v/>
      </c>
    </row>
    <row r="1674" spans="16:27" ht="15" customHeight="1">
      <c r="P1674" t="str">
        <f t="shared" si="52"/>
        <v/>
      </c>
      <c r="Q1674" t="str">
        <f>IF(P1674="","",IFERROR(IF(AND(H1674="W7",OR(F1674="causal",F1674="predictive")),IF(AND(OR(K1674=1,K1674="1"),OR(L1674=1,L1674="1"),OR(M1674=1,M1674="1")),"adequate","partial"),IF(AND(H1674="W4",F1674="predictive",OR(J1674="P2",J1674="P3",J1674="P4")),IF(OR(U1674=1,U1674="1"),"adequate","partial"),INDEX(Fit_Matrix!$B:$B,MATCH(P1674,Fit_Matrix!$A:$A,0)))),"CHECK KEY"))</f>
        <v/>
      </c>
      <c r="U1674" s="10"/>
      <c r="V1674" s="10"/>
      <c r="W1674" s="10"/>
      <c r="X1674" s="10"/>
      <c r="Y1674" s="10"/>
      <c r="Z1674" s="10"/>
      <c r="AA1674" s="11" t="str">
        <f t="shared" si="53"/>
        <v/>
      </c>
    </row>
    <row r="1675" spans="16:27" ht="15" customHeight="1">
      <c r="P1675" t="str">
        <f t="shared" si="52"/>
        <v/>
      </c>
      <c r="Q1675" t="str">
        <f>IF(P1675="","",IFERROR(IF(AND(H1675="W7",OR(F1675="causal",F1675="predictive")),IF(AND(OR(K1675=1,K1675="1"),OR(L1675=1,L1675="1"),OR(M1675=1,M1675="1")),"adequate","partial"),IF(AND(H1675="W4",F1675="predictive",OR(J1675="P2",J1675="P3",J1675="P4")),IF(OR(U1675=1,U1675="1"),"adequate","partial"),INDEX(Fit_Matrix!$B:$B,MATCH(P1675,Fit_Matrix!$A:$A,0)))),"CHECK KEY"))</f>
        <v/>
      </c>
      <c r="U1675" s="10"/>
      <c r="V1675" s="10"/>
      <c r="W1675" s="10"/>
      <c r="X1675" s="10"/>
      <c r="Y1675" s="10"/>
      <c r="Z1675" s="10"/>
      <c r="AA1675" s="11" t="str">
        <f t="shared" si="53"/>
        <v/>
      </c>
    </row>
    <row r="1676" spans="16:27" ht="15" customHeight="1">
      <c r="P1676" t="str">
        <f t="shared" si="52"/>
        <v/>
      </c>
      <c r="Q1676" t="str">
        <f>IF(P1676="","",IFERROR(IF(AND(H1676="W7",OR(F1676="causal",F1676="predictive")),IF(AND(OR(K1676=1,K1676="1"),OR(L1676=1,L1676="1"),OR(M1676=1,M1676="1")),"adequate","partial"),IF(AND(H1676="W4",F1676="predictive",OR(J1676="P2",J1676="P3",J1676="P4")),IF(OR(U1676=1,U1676="1"),"adequate","partial"),INDEX(Fit_Matrix!$B:$B,MATCH(P1676,Fit_Matrix!$A:$A,0)))),"CHECK KEY"))</f>
        <v/>
      </c>
      <c r="U1676" s="10"/>
      <c r="V1676" s="10"/>
      <c r="W1676" s="10"/>
      <c r="X1676" s="10"/>
      <c r="Y1676" s="10"/>
      <c r="Z1676" s="10"/>
      <c r="AA1676" s="11" t="str">
        <f t="shared" si="53"/>
        <v/>
      </c>
    </row>
    <row r="1677" spans="16:27" ht="15" customHeight="1">
      <c r="P1677" t="str">
        <f t="shared" si="52"/>
        <v/>
      </c>
      <c r="Q1677" t="str">
        <f>IF(P1677="","",IFERROR(IF(AND(H1677="W7",OR(F1677="causal",F1677="predictive")),IF(AND(OR(K1677=1,K1677="1"),OR(L1677=1,L1677="1"),OR(M1677=1,M1677="1")),"adequate","partial"),IF(AND(H1677="W4",F1677="predictive",OR(J1677="P2",J1677="P3",J1677="P4")),IF(OR(U1677=1,U1677="1"),"adequate","partial"),INDEX(Fit_Matrix!$B:$B,MATCH(P1677,Fit_Matrix!$A:$A,0)))),"CHECK KEY"))</f>
        <v/>
      </c>
      <c r="U1677" s="10"/>
      <c r="V1677" s="10"/>
      <c r="W1677" s="10"/>
      <c r="X1677" s="10"/>
      <c r="Y1677" s="10"/>
      <c r="Z1677" s="10"/>
      <c r="AA1677" s="11" t="str">
        <f t="shared" si="53"/>
        <v/>
      </c>
    </row>
    <row r="1678" spans="16:27" ht="15" customHeight="1">
      <c r="P1678" t="str">
        <f t="shared" si="52"/>
        <v/>
      </c>
      <c r="Q1678" t="str">
        <f>IF(P1678="","",IFERROR(IF(AND(H1678="W7",OR(F1678="causal",F1678="predictive")),IF(AND(OR(K1678=1,K1678="1"),OR(L1678=1,L1678="1"),OR(M1678=1,M1678="1")),"adequate","partial"),IF(AND(H1678="W4",F1678="predictive",OR(J1678="P2",J1678="P3",J1678="P4")),IF(OR(U1678=1,U1678="1"),"adequate","partial"),INDEX(Fit_Matrix!$B:$B,MATCH(P1678,Fit_Matrix!$A:$A,0)))),"CHECK KEY"))</f>
        <v/>
      </c>
      <c r="U1678" s="10"/>
      <c r="V1678" s="10"/>
      <c r="W1678" s="10"/>
      <c r="X1678" s="10"/>
      <c r="Y1678" s="10"/>
      <c r="Z1678" s="10"/>
      <c r="AA1678" s="11" t="str">
        <f t="shared" si="53"/>
        <v/>
      </c>
    </row>
    <row r="1679" spans="16:27" ht="15" customHeight="1">
      <c r="P1679" t="str">
        <f t="shared" si="52"/>
        <v/>
      </c>
      <c r="Q1679" t="str">
        <f>IF(P1679="","",IFERROR(IF(AND(H1679="W7",OR(F1679="causal",F1679="predictive")),IF(AND(OR(K1679=1,K1679="1"),OR(L1679=1,L1679="1"),OR(M1679=1,M1679="1")),"adequate","partial"),IF(AND(H1679="W4",F1679="predictive",OR(J1679="P2",J1679="P3",J1679="P4")),IF(OR(U1679=1,U1679="1"),"adequate","partial"),INDEX(Fit_Matrix!$B:$B,MATCH(P1679,Fit_Matrix!$A:$A,0)))),"CHECK KEY"))</f>
        <v/>
      </c>
      <c r="U1679" s="10"/>
      <c r="V1679" s="10"/>
      <c r="W1679" s="10"/>
      <c r="X1679" s="10"/>
      <c r="Y1679" s="10"/>
      <c r="Z1679" s="10"/>
      <c r="AA1679" s="11" t="str">
        <f t="shared" si="53"/>
        <v/>
      </c>
    </row>
    <row r="1680" spans="16:27" ht="15" customHeight="1">
      <c r="P1680" t="str">
        <f t="shared" si="52"/>
        <v/>
      </c>
      <c r="Q1680" t="str">
        <f>IF(P1680="","",IFERROR(IF(AND(H1680="W7",OR(F1680="causal",F1680="predictive")),IF(AND(OR(K1680=1,K1680="1"),OR(L1680=1,L1680="1"),OR(M1680=1,M1680="1")),"adequate","partial"),IF(AND(H1680="W4",F1680="predictive",OR(J1680="P2",J1680="P3",J1680="P4")),IF(OR(U1680=1,U1680="1"),"adequate","partial"),INDEX(Fit_Matrix!$B:$B,MATCH(P1680,Fit_Matrix!$A:$A,0)))),"CHECK KEY"))</f>
        <v/>
      </c>
      <c r="U1680" s="10"/>
      <c r="V1680" s="10"/>
      <c r="W1680" s="10"/>
      <c r="X1680" s="10"/>
      <c r="Y1680" s="10"/>
      <c r="Z1680" s="10"/>
      <c r="AA1680" s="11" t="str">
        <f t="shared" si="53"/>
        <v/>
      </c>
    </row>
    <row r="1681" spans="16:27" ht="15" customHeight="1">
      <c r="P1681" t="str">
        <f t="shared" si="52"/>
        <v/>
      </c>
      <c r="Q1681" t="str">
        <f>IF(P1681="","",IFERROR(IF(AND(H1681="W7",OR(F1681="causal",F1681="predictive")),IF(AND(OR(K1681=1,K1681="1"),OR(L1681=1,L1681="1"),OR(M1681=1,M1681="1")),"adequate","partial"),IF(AND(H1681="W4",F1681="predictive",OR(J1681="P2",J1681="P3",J1681="P4")),IF(OR(U1681=1,U1681="1"),"adequate","partial"),INDEX(Fit_Matrix!$B:$B,MATCH(P1681,Fit_Matrix!$A:$A,0)))),"CHECK KEY"))</f>
        <v/>
      </c>
      <c r="U1681" s="10"/>
      <c r="V1681" s="10"/>
      <c r="W1681" s="10"/>
      <c r="X1681" s="10"/>
      <c r="Y1681" s="10"/>
      <c r="Z1681" s="10"/>
      <c r="AA1681" s="11" t="str">
        <f t="shared" si="53"/>
        <v/>
      </c>
    </row>
    <row r="1682" spans="16:27" ht="15" customHeight="1">
      <c r="P1682" t="str">
        <f t="shared" si="52"/>
        <v/>
      </c>
      <c r="Q1682" t="str">
        <f>IF(P1682="","",IFERROR(IF(AND(H1682="W7",OR(F1682="causal",F1682="predictive")),IF(AND(OR(K1682=1,K1682="1"),OR(L1682=1,L1682="1"),OR(M1682=1,M1682="1")),"adequate","partial"),IF(AND(H1682="W4",F1682="predictive",OR(J1682="P2",J1682="P3",J1682="P4")),IF(OR(U1682=1,U1682="1"),"adequate","partial"),INDEX(Fit_Matrix!$B:$B,MATCH(P1682,Fit_Matrix!$A:$A,0)))),"CHECK KEY"))</f>
        <v/>
      </c>
      <c r="U1682" s="10"/>
      <c r="V1682" s="10"/>
      <c r="W1682" s="10"/>
      <c r="X1682" s="10"/>
      <c r="Y1682" s="10"/>
      <c r="Z1682" s="10"/>
      <c r="AA1682" s="11" t="str">
        <f t="shared" si="53"/>
        <v/>
      </c>
    </row>
    <row r="1683" spans="16:27" ht="15" customHeight="1">
      <c r="P1683" t="str">
        <f t="shared" si="52"/>
        <v/>
      </c>
      <c r="Q1683" t="str">
        <f>IF(P1683="","",IFERROR(IF(AND(H1683="W7",OR(F1683="causal",F1683="predictive")),IF(AND(OR(K1683=1,K1683="1"),OR(L1683=1,L1683="1"),OR(M1683=1,M1683="1")),"adequate","partial"),IF(AND(H1683="W4",F1683="predictive",OR(J1683="P2",J1683="P3",J1683="P4")),IF(OR(U1683=1,U1683="1"),"adequate","partial"),INDEX(Fit_Matrix!$B:$B,MATCH(P1683,Fit_Matrix!$A:$A,0)))),"CHECK KEY"))</f>
        <v/>
      </c>
      <c r="U1683" s="10"/>
      <c r="V1683" s="10"/>
      <c r="W1683" s="10"/>
      <c r="X1683" s="10"/>
      <c r="Y1683" s="10"/>
      <c r="Z1683" s="10"/>
      <c r="AA1683" s="11" t="str">
        <f t="shared" si="53"/>
        <v/>
      </c>
    </row>
    <row r="1684" spans="16:27" ht="15" customHeight="1">
      <c r="P1684" t="str">
        <f t="shared" si="52"/>
        <v/>
      </c>
      <c r="Q1684" t="str">
        <f>IF(P1684="","",IFERROR(IF(AND(H1684="W7",OR(F1684="causal",F1684="predictive")),IF(AND(OR(K1684=1,K1684="1"),OR(L1684=1,L1684="1"),OR(M1684=1,M1684="1")),"adequate","partial"),IF(AND(H1684="W4",F1684="predictive",OR(J1684="P2",J1684="P3",J1684="P4")),IF(OR(U1684=1,U1684="1"),"adequate","partial"),INDEX(Fit_Matrix!$B:$B,MATCH(P1684,Fit_Matrix!$A:$A,0)))),"CHECK KEY"))</f>
        <v/>
      </c>
      <c r="U1684" s="10"/>
      <c r="V1684" s="10"/>
      <c r="W1684" s="10"/>
      <c r="X1684" s="10"/>
      <c r="Y1684" s="10"/>
      <c r="Z1684" s="10"/>
      <c r="AA1684" s="11" t="str">
        <f t="shared" si="53"/>
        <v/>
      </c>
    </row>
    <row r="1685" spans="16:27" ht="15" customHeight="1">
      <c r="P1685" t="str">
        <f t="shared" si="52"/>
        <v/>
      </c>
      <c r="Q1685" t="str">
        <f>IF(P1685="","",IFERROR(IF(AND(H1685="W7",OR(F1685="causal",F1685="predictive")),IF(AND(OR(K1685=1,K1685="1"),OR(L1685=1,L1685="1"),OR(M1685=1,M1685="1")),"adequate","partial"),IF(AND(H1685="W4",F1685="predictive",OR(J1685="P2",J1685="P3",J1685="P4")),IF(OR(U1685=1,U1685="1"),"adequate","partial"),INDEX(Fit_Matrix!$B:$B,MATCH(P1685,Fit_Matrix!$A:$A,0)))),"CHECK KEY"))</f>
        <v/>
      </c>
      <c r="U1685" s="10"/>
      <c r="V1685" s="10"/>
      <c r="W1685" s="10"/>
      <c r="X1685" s="10"/>
      <c r="Y1685" s="10"/>
      <c r="Z1685" s="10"/>
      <c r="AA1685" s="11" t="str">
        <f t="shared" si="53"/>
        <v/>
      </c>
    </row>
    <row r="1686" spans="16:27" ht="15" customHeight="1">
      <c r="P1686" t="str">
        <f t="shared" si="52"/>
        <v/>
      </c>
      <c r="Q1686" t="str">
        <f>IF(P1686="","",IFERROR(IF(AND(H1686="W7",OR(F1686="causal",F1686="predictive")),IF(AND(OR(K1686=1,K1686="1"),OR(L1686=1,L1686="1"),OR(M1686=1,M1686="1")),"adequate","partial"),IF(AND(H1686="W4",F1686="predictive",OR(J1686="P2",J1686="P3",J1686="P4")),IF(OR(U1686=1,U1686="1"),"adequate","partial"),INDEX(Fit_Matrix!$B:$B,MATCH(P1686,Fit_Matrix!$A:$A,0)))),"CHECK KEY"))</f>
        <v/>
      </c>
      <c r="U1686" s="10"/>
      <c r="V1686" s="10"/>
      <c r="W1686" s="10"/>
      <c r="X1686" s="10"/>
      <c r="Y1686" s="10"/>
      <c r="Z1686" s="10"/>
      <c r="AA1686" s="11" t="str">
        <f t="shared" si="53"/>
        <v/>
      </c>
    </row>
    <row r="1687" spans="16:27" ht="15" customHeight="1">
      <c r="P1687" t="str">
        <f t="shared" si="52"/>
        <v/>
      </c>
      <c r="Q1687" t="str">
        <f>IF(P1687="","",IFERROR(IF(AND(H1687="W7",OR(F1687="causal",F1687="predictive")),IF(AND(OR(K1687=1,K1687="1"),OR(L1687=1,L1687="1"),OR(M1687=1,M1687="1")),"adequate","partial"),IF(AND(H1687="W4",F1687="predictive",OR(J1687="P2",J1687="P3",J1687="P4")),IF(OR(U1687=1,U1687="1"),"adequate","partial"),INDEX(Fit_Matrix!$B:$B,MATCH(P1687,Fit_Matrix!$A:$A,0)))),"CHECK KEY"))</f>
        <v/>
      </c>
      <c r="U1687" s="10"/>
      <c r="V1687" s="10"/>
      <c r="W1687" s="10"/>
      <c r="X1687" s="10"/>
      <c r="Y1687" s="10"/>
      <c r="Z1687" s="10"/>
      <c r="AA1687" s="11" t="str">
        <f t="shared" si="53"/>
        <v/>
      </c>
    </row>
    <row r="1688" spans="16:27" ht="15" customHeight="1">
      <c r="P1688" t="str">
        <f t="shared" si="52"/>
        <v/>
      </c>
      <c r="Q1688" t="str">
        <f>IF(P1688="","",IFERROR(IF(AND(H1688="W7",OR(F1688="causal",F1688="predictive")),IF(AND(OR(K1688=1,K1688="1"),OR(L1688=1,L1688="1"),OR(M1688=1,M1688="1")),"adequate","partial"),IF(AND(H1688="W4",F1688="predictive",OR(J1688="P2",J1688="P3",J1688="P4")),IF(OR(U1688=1,U1688="1"),"adequate","partial"),INDEX(Fit_Matrix!$B:$B,MATCH(P1688,Fit_Matrix!$A:$A,0)))),"CHECK KEY"))</f>
        <v/>
      </c>
      <c r="U1688" s="10"/>
      <c r="V1688" s="10"/>
      <c r="W1688" s="10"/>
      <c r="X1688" s="10"/>
      <c r="Y1688" s="10"/>
      <c r="Z1688" s="10"/>
      <c r="AA1688" s="11" t="str">
        <f t="shared" si="53"/>
        <v/>
      </c>
    </row>
    <row r="1689" spans="16:27" ht="15" customHeight="1">
      <c r="P1689" t="str">
        <f t="shared" si="52"/>
        <v/>
      </c>
      <c r="Q1689" t="str">
        <f>IF(P1689="","",IFERROR(IF(AND(H1689="W7",OR(F1689="causal",F1689="predictive")),IF(AND(OR(K1689=1,K1689="1"),OR(L1689=1,L1689="1"),OR(M1689=1,M1689="1")),"adequate","partial"),IF(AND(H1689="W4",F1689="predictive",OR(J1689="P2",J1689="P3",J1689="P4")),IF(OR(U1689=1,U1689="1"),"adequate","partial"),INDEX(Fit_Matrix!$B:$B,MATCH(P1689,Fit_Matrix!$A:$A,0)))),"CHECK KEY"))</f>
        <v/>
      </c>
      <c r="U1689" s="10"/>
      <c r="V1689" s="10"/>
      <c r="W1689" s="10"/>
      <c r="X1689" s="10"/>
      <c r="Y1689" s="10"/>
      <c r="Z1689" s="10"/>
      <c r="AA1689" s="11" t="str">
        <f t="shared" si="53"/>
        <v/>
      </c>
    </row>
    <row r="1690" spans="16:27" ht="15" customHeight="1">
      <c r="P1690" t="str">
        <f t="shared" si="52"/>
        <v/>
      </c>
      <c r="Q1690" t="str">
        <f>IF(P1690="","",IFERROR(IF(AND(H1690="W7",OR(F1690="causal",F1690="predictive")),IF(AND(OR(K1690=1,K1690="1"),OR(L1690=1,L1690="1"),OR(M1690=1,M1690="1")),"adequate","partial"),IF(AND(H1690="W4",F1690="predictive",OR(J1690="P2",J1690="P3",J1690="P4")),IF(OR(U1690=1,U1690="1"),"adequate","partial"),INDEX(Fit_Matrix!$B:$B,MATCH(P1690,Fit_Matrix!$A:$A,0)))),"CHECK KEY"))</f>
        <v/>
      </c>
      <c r="U1690" s="10"/>
      <c r="V1690" s="10"/>
      <c r="W1690" s="10"/>
      <c r="X1690" s="10"/>
      <c r="Y1690" s="10"/>
      <c r="Z1690" s="10"/>
      <c r="AA1690" s="11" t="str">
        <f t="shared" si="53"/>
        <v/>
      </c>
    </row>
    <row r="1691" spans="16:27" ht="15" customHeight="1">
      <c r="P1691" t="str">
        <f t="shared" si="52"/>
        <v/>
      </c>
      <c r="Q1691" t="str">
        <f>IF(P1691="","",IFERROR(IF(AND(H1691="W7",OR(F1691="causal",F1691="predictive")),IF(AND(OR(K1691=1,K1691="1"),OR(L1691=1,L1691="1"),OR(M1691=1,M1691="1")),"adequate","partial"),IF(AND(H1691="W4",F1691="predictive",OR(J1691="P2",J1691="P3",J1691="P4")),IF(OR(U1691=1,U1691="1"),"adequate","partial"),INDEX(Fit_Matrix!$B:$B,MATCH(P1691,Fit_Matrix!$A:$A,0)))),"CHECK KEY"))</f>
        <v/>
      </c>
      <c r="U1691" s="10"/>
      <c r="V1691" s="10"/>
      <c r="W1691" s="10"/>
      <c r="X1691" s="10"/>
      <c r="Y1691" s="10"/>
      <c r="Z1691" s="10"/>
      <c r="AA1691" s="11" t="str">
        <f t="shared" si="53"/>
        <v/>
      </c>
    </row>
    <row r="1692" spans="16:27" ht="15" customHeight="1">
      <c r="P1692" t="str">
        <f t="shared" si="52"/>
        <v/>
      </c>
      <c r="Q1692" t="str">
        <f>IF(P1692="","",IFERROR(IF(AND(H1692="W7",OR(F1692="causal",F1692="predictive")),IF(AND(OR(K1692=1,K1692="1"),OR(L1692=1,L1692="1"),OR(M1692=1,M1692="1")),"adequate","partial"),IF(AND(H1692="W4",F1692="predictive",OR(J1692="P2",J1692="P3",J1692="P4")),IF(OR(U1692=1,U1692="1"),"adequate","partial"),INDEX(Fit_Matrix!$B:$B,MATCH(P1692,Fit_Matrix!$A:$A,0)))),"CHECK KEY"))</f>
        <v/>
      </c>
      <c r="U1692" s="10"/>
      <c r="V1692" s="10"/>
      <c r="W1692" s="10"/>
      <c r="X1692" s="10"/>
      <c r="Y1692" s="10"/>
      <c r="Z1692" s="10"/>
      <c r="AA1692" s="11" t="str">
        <f t="shared" si="53"/>
        <v/>
      </c>
    </row>
    <row r="1693" spans="16:27" ht="15" customHeight="1">
      <c r="P1693" t="str">
        <f t="shared" si="52"/>
        <v/>
      </c>
      <c r="Q1693" t="str">
        <f>IF(P1693="","",IFERROR(IF(AND(H1693="W7",OR(F1693="causal",F1693="predictive")),IF(AND(OR(K1693=1,K1693="1"),OR(L1693=1,L1693="1"),OR(M1693=1,M1693="1")),"adequate","partial"),IF(AND(H1693="W4",F1693="predictive",OR(J1693="P2",J1693="P3",J1693="P4")),IF(OR(U1693=1,U1693="1"),"adequate","partial"),INDEX(Fit_Matrix!$B:$B,MATCH(P1693,Fit_Matrix!$A:$A,0)))),"CHECK KEY"))</f>
        <v/>
      </c>
      <c r="U1693" s="10"/>
      <c r="V1693" s="10"/>
      <c r="W1693" s="10"/>
      <c r="X1693" s="10"/>
      <c r="Y1693" s="10"/>
      <c r="Z1693" s="10"/>
      <c r="AA1693" s="11" t="str">
        <f t="shared" si="53"/>
        <v/>
      </c>
    </row>
    <row r="1694" spans="16:27" ht="15" customHeight="1">
      <c r="P1694" t="str">
        <f t="shared" si="52"/>
        <v/>
      </c>
      <c r="Q1694" t="str">
        <f>IF(P1694="","",IFERROR(IF(AND(H1694="W7",OR(F1694="causal",F1694="predictive")),IF(AND(OR(K1694=1,K1694="1"),OR(L1694=1,L1694="1"),OR(M1694=1,M1694="1")),"adequate","partial"),IF(AND(H1694="W4",F1694="predictive",OR(J1694="P2",J1694="P3",J1694="P4")),IF(OR(U1694=1,U1694="1"),"adequate","partial"),INDEX(Fit_Matrix!$B:$B,MATCH(P1694,Fit_Matrix!$A:$A,0)))),"CHECK KEY"))</f>
        <v/>
      </c>
      <c r="U1694" s="10"/>
      <c r="V1694" s="10"/>
      <c r="W1694" s="10"/>
      <c r="X1694" s="10"/>
      <c r="Y1694" s="10"/>
      <c r="Z1694" s="10"/>
      <c r="AA1694" s="11" t="str">
        <f t="shared" si="53"/>
        <v/>
      </c>
    </row>
    <row r="1695" spans="16:27" ht="15" customHeight="1">
      <c r="P1695" t="str">
        <f t="shared" si="52"/>
        <v/>
      </c>
      <c r="Q1695" t="str">
        <f>IF(P1695="","",IFERROR(IF(AND(H1695="W7",OR(F1695="causal",F1695="predictive")),IF(AND(OR(K1695=1,K1695="1"),OR(L1695=1,L1695="1"),OR(M1695=1,M1695="1")),"adequate","partial"),IF(AND(H1695="W4",F1695="predictive",OR(J1695="P2",J1695="P3",J1695="P4")),IF(OR(U1695=1,U1695="1"),"adequate","partial"),INDEX(Fit_Matrix!$B:$B,MATCH(P1695,Fit_Matrix!$A:$A,0)))),"CHECK KEY"))</f>
        <v/>
      </c>
      <c r="U1695" s="10"/>
      <c r="V1695" s="10"/>
      <c r="W1695" s="10"/>
      <c r="X1695" s="10"/>
      <c r="Y1695" s="10"/>
      <c r="Z1695" s="10"/>
      <c r="AA1695" s="11" t="str">
        <f t="shared" si="53"/>
        <v/>
      </c>
    </row>
    <row r="1696" spans="16:27" ht="15" customHeight="1">
      <c r="P1696" t="str">
        <f t="shared" si="52"/>
        <v/>
      </c>
      <c r="Q1696" t="str">
        <f>IF(P1696="","",IFERROR(IF(AND(H1696="W7",OR(F1696="causal",F1696="predictive")),IF(AND(OR(K1696=1,K1696="1"),OR(L1696=1,L1696="1"),OR(M1696=1,M1696="1")),"adequate","partial"),IF(AND(H1696="W4",F1696="predictive",OR(J1696="P2",J1696="P3",J1696="P4")),IF(OR(U1696=1,U1696="1"),"adequate","partial"),INDEX(Fit_Matrix!$B:$B,MATCH(P1696,Fit_Matrix!$A:$A,0)))),"CHECK KEY"))</f>
        <v/>
      </c>
      <c r="U1696" s="10"/>
      <c r="V1696" s="10"/>
      <c r="W1696" s="10"/>
      <c r="X1696" s="10"/>
      <c r="Y1696" s="10"/>
      <c r="Z1696" s="10"/>
      <c r="AA1696" s="11" t="str">
        <f t="shared" si="53"/>
        <v/>
      </c>
    </row>
    <row r="1697" spans="16:27" ht="15" customHeight="1">
      <c r="P1697" t="str">
        <f t="shared" si="52"/>
        <v/>
      </c>
      <c r="Q1697" t="str">
        <f>IF(P1697="","",IFERROR(IF(AND(H1697="W7",OR(F1697="causal",F1697="predictive")),IF(AND(OR(K1697=1,K1697="1"),OR(L1697=1,L1697="1"),OR(M1697=1,M1697="1")),"adequate","partial"),IF(AND(H1697="W4",F1697="predictive",OR(J1697="P2",J1697="P3",J1697="P4")),IF(OR(U1697=1,U1697="1"),"adequate","partial"),INDEX(Fit_Matrix!$B:$B,MATCH(P1697,Fit_Matrix!$A:$A,0)))),"CHECK KEY"))</f>
        <v/>
      </c>
      <c r="U1697" s="10"/>
      <c r="V1697" s="10"/>
      <c r="W1697" s="10"/>
      <c r="X1697" s="10"/>
      <c r="Y1697" s="10"/>
      <c r="Z1697" s="10"/>
      <c r="AA1697" s="11" t="str">
        <f t="shared" si="53"/>
        <v/>
      </c>
    </row>
    <row r="1698" spans="16:27" ht="15" customHeight="1">
      <c r="P1698" t="str">
        <f t="shared" si="52"/>
        <v/>
      </c>
      <c r="Q1698" t="str">
        <f>IF(P1698="","",IFERROR(IF(AND(H1698="W7",OR(F1698="causal",F1698="predictive")),IF(AND(OR(K1698=1,K1698="1"),OR(L1698=1,L1698="1"),OR(M1698=1,M1698="1")),"adequate","partial"),IF(AND(H1698="W4",F1698="predictive",OR(J1698="P2",J1698="P3",J1698="P4")),IF(OR(U1698=1,U1698="1"),"adequate","partial"),INDEX(Fit_Matrix!$B:$B,MATCH(P1698,Fit_Matrix!$A:$A,0)))),"CHECK KEY"))</f>
        <v/>
      </c>
      <c r="U1698" s="10"/>
      <c r="V1698" s="10"/>
      <c r="W1698" s="10"/>
      <c r="X1698" s="10"/>
      <c r="Y1698" s="10"/>
      <c r="Z1698" s="10"/>
      <c r="AA1698" s="11" t="str">
        <f t="shared" si="53"/>
        <v/>
      </c>
    </row>
    <row r="1699" spans="16:27" ht="15" customHeight="1">
      <c r="P1699" t="str">
        <f t="shared" si="52"/>
        <v/>
      </c>
      <c r="Q1699" t="str">
        <f>IF(P1699="","",IFERROR(IF(AND(H1699="W7",OR(F1699="causal",F1699="predictive")),IF(AND(OR(K1699=1,K1699="1"),OR(L1699=1,L1699="1"),OR(M1699=1,M1699="1")),"adequate","partial"),IF(AND(H1699="W4",F1699="predictive",OR(J1699="P2",J1699="P3",J1699="P4")),IF(OR(U1699=1,U1699="1"),"adequate","partial"),INDEX(Fit_Matrix!$B:$B,MATCH(P1699,Fit_Matrix!$A:$A,0)))),"CHECK KEY"))</f>
        <v/>
      </c>
      <c r="U1699" s="10"/>
      <c r="V1699" s="10"/>
      <c r="W1699" s="10"/>
      <c r="X1699" s="10"/>
      <c r="Y1699" s="10"/>
      <c r="Z1699" s="10"/>
      <c r="AA1699" s="11" t="str">
        <f t="shared" si="53"/>
        <v/>
      </c>
    </row>
    <row r="1700" spans="16:27" ht="15" customHeight="1">
      <c r="P1700" t="str">
        <f t="shared" si="52"/>
        <v/>
      </c>
      <c r="Q1700" t="str">
        <f>IF(P1700="","",IFERROR(IF(AND(H1700="W7",OR(F1700="causal",F1700="predictive")),IF(AND(OR(K1700=1,K1700="1"),OR(L1700=1,L1700="1"),OR(M1700=1,M1700="1")),"adequate","partial"),IF(AND(H1700="W4",F1700="predictive",OR(J1700="P2",J1700="P3",J1700="P4")),IF(OR(U1700=1,U1700="1"),"adequate","partial"),INDEX(Fit_Matrix!$B:$B,MATCH(P1700,Fit_Matrix!$A:$A,0)))),"CHECK KEY"))</f>
        <v/>
      </c>
      <c r="U1700" s="10"/>
      <c r="V1700" s="10"/>
      <c r="W1700" s="10"/>
      <c r="X1700" s="10"/>
      <c r="Y1700" s="10"/>
      <c r="Z1700" s="10"/>
      <c r="AA1700" s="11" t="str">
        <f t="shared" si="53"/>
        <v/>
      </c>
    </row>
    <row r="1701" spans="16:27" ht="15" customHeight="1">
      <c r="P1701" t="str">
        <f t="shared" si="52"/>
        <v/>
      </c>
      <c r="Q1701" t="str">
        <f>IF(P1701="","",IFERROR(IF(AND(H1701="W7",OR(F1701="causal",F1701="predictive")),IF(AND(OR(K1701=1,K1701="1"),OR(L1701=1,L1701="1"),OR(M1701=1,M1701="1")),"adequate","partial"),IF(AND(H1701="W4",F1701="predictive",OR(J1701="P2",J1701="P3",J1701="P4")),IF(OR(U1701=1,U1701="1"),"adequate","partial"),INDEX(Fit_Matrix!$B:$B,MATCH(P1701,Fit_Matrix!$A:$A,0)))),"CHECK KEY"))</f>
        <v/>
      </c>
      <c r="U1701" s="10"/>
      <c r="V1701" s="10"/>
      <c r="W1701" s="10"/>
      <c r="X1701" s="10"/>
      <c r="Y1701" s="10"/>
      <c r="Z1701" s="10"/>
      <c r="AA1701" s="11" t="str">
        <f t="shared" si="53"/>
        <v/>
      </c>
    </row>
    <row r="1702" spans="16:27" ht="15" customHeight="1">
      <c r="P1702" t="str">
        <f t="shared" si="52"/>
        <v/>
      </c>
      <c r="Q1702" t="str">
        <f>IF(P1702="","",IFERROR(IF(AND(H1702="W7",OR(F1702="causal",F1702="predictive")),IF(AND(OR(K1702=1,K1702="1"),OR(L1702=1,L1702="1"),OR(M1702=1,M1702="1")),"adequate","partial"),IF(AND(H1702="W4",F1702="predictive",OR(J1702="P2",J1702="P3",J1702="P4")),IF(OR(U1702=1,U1702="1"),"adequate","partial"),INDEX(Fit_Matrix!$B:$B,MATCH(P1702,Fit_Matrix!$A:$A,0)))),"CHECK KEY"))</f>
        <v/>
      </c>
      <c r="U1702" s="10"/>
      <c r="V1702" s="10"/>
      <c r="W1702" s="10"/>
      <c r="X1702" s="10"/>
      <c r="Y1702" s="10"/>
      <c r="Z1702" s="10"/>
      <c r="AA1702" s="11" t="str">
        <f t="shared" si="53"/>
        <v/>
      </c>
    </row>
    <row r="1703" spans="16:27" ht="15" customHeight="1">
      <c r="P1703" t="str">
        <f t="shared" si="52"/>
        <v/>
      </c>
      <c r="Q1703" t="str">
        <f>IF(P1703="","",IFERROR(IF(AND(H1703="W7",OR(F1703="causal",F1703="predictive")),IF(AND(OR(K1703=1,K1703="1"),OR(L1703=1,L1703="1"),OR(M1703=1,M1703="1")),"adequate","partial"),IF(AND(H1703="W4",F1703="predictive",OR(J1703="P2",J1703="P3",J1703="P4")),IF(OR(U1703=1,U1703="1"),"adequate","partial"),INDEX(Fit_Matrix!$B:$B,MATCH(P1703,Fit_Matrix!$A:$A,0)))),"CHECK KEY"))</f>
        <v/>
      </c>
      <c r="U1703" s="10"/>
      <c r="V1703" s="10"/>
      <c r="W1703" s="10"/>
      <c r="X1703" s="10"/>
      <c r="Y1703" s="10"/>
      <c r="Z1703" s="10"/>
      <c r="AA1703" s="11" t="str">
        <f t="shared" si="53"/>
        <v/>
      </c>
    </row>
    <row r="1704" spans="16:27" ht="15" customHeight="1">
      <c r="P1704" t="str">
        <f t="shared" si="52"/>
        <v/>
      </c>
      <c r="Q1704" t="str">
        <f>IF(P1704="","",IFERROR(IF(AND(H1704="W7",OR(F1704="causal",F1704="predictive")),IF(AND(OR(K1704=1,K1704="1"),OR(L1704=1,L1704="1"),OR(M1704=1,M1704="1")),"adequate","partial"),IF(AND(H1704="W4",F1704="predictive",OR(J1704="P2",J1704="P3",J1704="P4")),IF(OR(U1704=1,U1704="1"),"adequate","partial"),INDEX(Fit_Matrix!$B:$B,MATCH(P1704,Fit_Matrix!$A:$A,0)))),"CHECK KEY"))</f>
        <v/>
      </c>
      <c r="U1704" s="10"/>
      <c r="V1704" s="10"/>
      <c r="W1704" s="10"/>
      <c r="X1704" s="10"/>
      <c r="Y1704" s="10"/>
      <c r="Z1704" s="10"/>
      <c r="AA1704" s="11" t="str">
        <f t="shared" si="53"/>
        <v/>
      </c>
    </row>
    <row r="1705" spans="16:27" ht="15" customHeight="1">
      <c r="P1705" t="str">
        <f t="shared" si="52"/>
        <v/>
      </c>
      <c r="Q1705" t="str">
        <f>IF(P1705="","",IFERROR(IF(AND(H1705="W7",OR(F1705="causal",F1705="predictive")),IF(AND(OR(K1705=1,K1705="1"),OR(L1705=1,L1705="1"),OR(M1705=1,M1705="1")),"adequate","partial"),IF(AND(H1705="W4",F1705="predictive",OR(J1705="P2",J1705="P3",J1705="P4")),IF(OR(U1705=1,U1705="1"),"adequate","partial"),INDEX(Fit_Matrix!$B:$B,MATCH(P1705,Fit_Matrix!$A:$A,0)))),"CHECK KEY"))</f>
        <v/>
      </c>
      <c r="U1705" s="10"/>
      <c r="V1705" s="10"/>
      <c r="W1705" s="10"/>
      <c r="X1705" s="10"/>
      <c r="Y1705" s="10"/>
      <c r="Z1705" s="10"/>
      <c r="AA1705" s="11" t="str">
        <f t="shared" si="53"/>
        <v/>
      </c>
    </row>
    <row r="1706" spans="16:27" ht="15" customHeight="1">
      <c r="P1706" t="str">
        <f t="shared" si="52"/>
        <v/>
      </c>
      <c r="Q1706" t="str">
        <f>IF(P1706="","",IFERROR(IF(AND(H1706="W7",OR(F1706="causal",F1706="predictive")),IF(AND(OR(K1706=1,K1706="1"),OR(L1706=1,L1706="1"),OR(M1706=1,M1706="1")),"adequate","partial"),IF(AND(H1706="W4",F1706="predictive",OR(J1706="P2",J1706="P3",J1706="P4")),IF(OR(U1706=1,U1706="1"),"adequate","partial"),INDEX(Fit_Matrix!$B:$B,MATCH(P1706,Fit_Matrix!$A:$A,0)))),"CHECK KEY"))</f>
        <v/>
      </c>
      <c r="U1706" s="10"/>
      <c r="V1706" s="10"/>
      <c r="W1706" s="10"/>
      <c r="X1706" s="10"/>
      <c r="Y1706" s="10"/>
      <c r="Z1706" s="10"/>
      <c r="AA1706" s="11" t="str">
        <f t="shared" si="53"/>
        <v/>
      </c>
    </row>
    <row r="1707" spans="16:27" ht="15" customHeight="1">
      <c r="P1707" t="str">
        <f t="shared" si="52"/>
        <v/>
      </c>
      <c r="Q1707" t="str">
        <f>IF(P1707="","",IFERROR(IF(AND(H1707="W7",OR(F1707="causal",F1707="predictive")),IF(AND(OR(K1707=1,K1707="1"),OR(L1707=1,L1707="1"),OR(M1707=1,M1707="1")),"adequate","partial"),IF(AND(H1707="W4",F1707="predictive",OR(J1707="P2",J1707="P3",J1707="P4")),IF(OR(U1707=1,U1707="1"),"adequate","partial"),INDEX(Fit_Matrix!$B:$B,MATCH(P1707,Fit_Matrix!$A:$A,0)))),"CHECK KEY"))</f>
        <v/>
      </c>
      <c r="U1707" s="10"/>
      <c r="V1707" s="10"/>
      <c r="W1707" s="10"/>
      <c r="X1707" s="10"/>
      <c r="Y1707" s="10"/>
      <c r="Z1707" s="10"/>
      <c r="AA1707" s="11" t="str">
        <f t="shared" si="53"/>
        <v/>
      </c>
    </row>
    <row r="1708" spans="16:27" ht="15" customHeight="1">
      <c r="P1708" t="str">
        <f t="shared" si="52"/>
        <v/>
      </c>
      <c r="Q1708" t="str">
        <f>IF(P1708="","",IFERROR(IF(AND(H1708="W7",OR(F1708="causal",F1708="predictive")),IF(AND(OR(K1708=1,K1708="1"),OR(L1708=1,L1708="1"),OR(M1708=1,M1708="1")),"adequate","partial"),IF(AND(H1708="W4",F1708="predictive",OR(J1708="P2",J1708="P3",J1708="P4")),IF(OR(U1708=1,U1708="1"),"adequate","partial"),INDEX(Fit_Matrix!$B:$B,MATCH(P1708,Fit_Matrix!$A:$A,0)))),"CHECK KEY"))</f>
        <v/>
      </c>
      <c r="U1708" s="10"/>
      <c r="V1708" s="10"/>
      <c r="W1708" s="10"/>
      <c r="X1708" s="10"/>
      <c r="Y1708" s="10"/>
      <c r="Z1708" s="10"/>
      <c r="AA1708" s="11" t="str">
        <f t="shared" si="53"/>
        <v/>
      </c>
    </row>
    <row r="1709" spans="16:27" ht="15" customHeight="1">
      <c r="P1709" t="str">
        <f t="shared" si="52"/>
        <v/>
      </c>
      <c r="Q1709" t="str">
        <f>IF(P1709="","",IFERROR(IF(AND(H1709="W7",OR(F1709="causal",F1709="predictive")),IF(AND(OR(K1709=1,K1709="1"),OR(L1709=1,L1709="1"),OR(M1709=1,M1709="1")),"adequate","partial"),IF(AND(H1709="W4",F1709="predictive",OR(J1709="P2",J1709="P3",J1709="P4")),IF(OR(U1709=1,U1709="1"),"adequate","partial"),INDEX(Fit_Matrix!$B:$B,MATCH(P1709,Fit_Matrix!$A:$A,0)))),"CHECK KEY"))</f>
        <v/>
      </c>
      <c r="U1709" s="10"/>
      <c r="V1709" s="10"/>
      <c r="W1709" s="10"/>
      <c r="X1709" s="10"/>
      <c r="Y1709" s="10"/>
      <c r="Z1709" s="10"/>
      <c r="AA1709" s="11" t="str">
        <f t="shared" si="53"/>
        <v/>
      </c>
    </row>
    <row r="1710" spans="16:27" ht="15" customHeight="1">
      <c r="P1710" t="str">
        <f t="shared" si="52"/>
        <v/>
      </c>
      <c r="Q1710" t="str">
        <f>IF(P1710="","",IFERROR(IF(AND(H1710="W7",OR(F1710="causal",F1710="predictive")),IF(AND(OR(K1710=1,K1710="1"),OR(L1710=1,L1710="1"),OR(M1710=1,M1710="1")),"adequate","partial"),IF(AND(H1710="W4",F1710="predictive",OR(J1710="P2",J1710="P3",J1710="P4")),IF(OR(U1710=1,U1710="1"),"adequate","partial"),INDEX(Fit_Matrix!$B:$B,MATCH(P1710,Fit_Matrix!$A:$A,0)))),"CHECK KEY"))</f>
        <v/>
      </c>
      <c r="U1710" s="10"/>
      <c r="V1710" s="10"/>
      <c r="W1710" s="10"/>
      <c r="X1710" s="10"/>
      <c r="Y1710" s="10"/>
      <c r="Z1710" s="10"/>
      <c r="AA1710" s="11" t="str">
        <f t="shared" si="53"/>
        <v/>
      </c>
    </row>
    <row r="1711" spans="16:27" ht="15" customHeight="1">
      <c r="P1711" t="str">
        <f t="shared" si="52"/>
        <v/>
      </c>
      <c r="Q1711" t="str">
        <f>IF(P1711="","",IFERROR(IF(AND(H1711="W7",OR(F1711="causal",F1711="predictive")),IF(AND(OR(K1711=1,K1711="1"),OR(L1711=1,L1711="1"),OR(M1711=1,M1711="1")),"adequate","partial"),IF(AND(H1711="W4",F1711="predictive",OR(J1711="P2",J1711="P3",J1711="P4")),IF(OR(U1711=1,U1711="1"),"adequate","partial"),INDEX(Fit_Matrix!$B:$B,MATCH(P1711,Fit_Matrix!$A:$A,0)))),"CHECK KEY"))</f>
        <v/>
      </c>
      <c r="U1711" s="10"/>
      <c r="V1711" s="10"/>
      <c r="W1711" s="10"/>
      <c r="X1711" s="10"/>
      <c r="Y1711" s="10"/>
      <c r="Z1711" s="10"/>
      <c r="AA1711" s="11" t="str">
        <f t="shared" si="53"/>
        <v/>
      </c>
    </row>
    <row r="1712" spans="16:27" ht="15" customHeight="1">
      <c r="P1712" t="str">
        <f t="shared" si="52"/>
        <v/>
      </c>
      <c r="Q1712" t="str">
        <f>IF(P1712="","",IFERROR(IF(AND(H1712="W7",OR(F1712="causal",F1712="predictive")),IF(AND(OR(K1712=1,K1712="1"),OR(L1712=1,L1712="1"),OR(M1712=1,M1712="1")),"adequate","partial"),IF(AND(H1712="W4",F1712="predictive",OR(J1712="P2",J1712="P3",J1712="P4")),IF(OR(U1712=1,U1712="1"),"adequate","partial"),INDEX(Fit_Matrix!$B:$B,MATCH(P1712,Fit_Matrix!$A:$A,0)))),"CHECK KEY"))</f>
        <v/>
      </c>
      <c r="U1712" s="10"/>
      <c r="V1712" s="10"/>
      <c r="W1712" s="10"/>
      <c r="X1712" s="10"/>
      <c r="Y1712" s="10"/>
      <c r="Z1712" s="10"/>
      <c r="AA1712" s="11" t="str">
        <f t="shared" si="53"/>
        <v/>
      </c>
    </row>
    <row r="1713" spans="16:27" ht="15" customHeight="1">
      <c r="P1713" t="str">
        <f t="shared" si="52"/>
        <v/>
      </c>
      <c r="Q1713" t="str">
        <f>IF(P1713="","",IFERROR(IF(AND(H1713="W7",OR(F1713="causal",F1713="predictive")),IF(AND(OR(K1713=1,K1713="1"),OR(L1713=1,L1713="1"),OR(M1713=1,M1713="1")),"adequate","partial"),IF(AND(H1713="W4",F1713="predictive",OR(J1713="P2",J1713="P3",J1713="P4")),IF(OR(U1713=1,U1713="1"),"adequate","partial"),INDEX(Fit_Matrix!$B:$B,MATCH(P1713,Fit_Matrix!$A:$A,0)))),"CHECK KEY"))</f>
        <v/>
      </c>
      <c r="U1713" s="10"/>
      <c r="V1713" s="10"/>
      <c r="W1713" s="10"/>
      <c r="X1713" s="10"/>
      <c r="Y1713" s="10"/>
      <c r="Z1713" s="10"/>
      <c r="AA1713" s="11" t="str">
        <f t="shared" si="53"/>
        <v/>
      </c>
    </row>
    <row r="1714" spans="16:27" ht="15" customHeight="1">
      <c r="P1714" t="str">
        <f t="shared" si="52"/>
        <v/>
      </c>
      <c r="Q1714" t="str">
        <f>IF(P1714="","",IFERROR(IF(AND(H1714="W7",OR(F1714="causal",F1714="predictive")),IF(AND(OR(K1714=1,K1714="1"),OR(L1714=1,L1714="1"),OR(M1714=1,M1714="1")),"adequate","partial"),IF(AND(H1714="W4",F1714="predictive",OR(J1714="P2",J1714="P3",J1714="P4")),IF(OR(U1714=1,U1714="1"),"adequate","partial"),INDEX(Fit_Matrix!$B:$B,MATCH(P1714,Fit_Matrix!$A:$A,0)))),"CHECK KEY"))</f>
        <v/>
      </c>
      <c r="U1714" s="10"/>
      <c r="V1714" s="10"/>
      <c r="W1714" s="10"/>
      <c r="X1714" s="10"/>
      <c r="Y1714" s="10"/>
      <c r="Z1714" s="10"/>
      <c r="AA1714" s="11" t="str">
        <f t="shared" si="53"/>
        <v/>
      </c>
    </row>
    <row r="1715" spans="16:27" ht="15" customHeight="1">
      <c r="P1715" t="str">
        <f t="shared" si="52"/>
        <v/>
      </c>
      <c r="Q1715" t="str">
        <f>IF(P1715="","",IFERROR(IF(AND(H1715="W7",OR(F1715="causal",F1715="predictive")),IF(AND(OR(K1715=1,K1715="1"),OR(L1715=1,L1715="1"),OR(M1715=1,M1715="1")),"adequate","partial"),IF(AND(H1715="W4",F1715="predictive",OR(J1715="P2",J1715="P3",J1715="P4")),IF(OR(U1715=1,U1715="1"),"adequate","partial"),INDEX(Fit_Matrix!$B:$B,MATCH(P1715,Fit_Matrix!$A:$A,0)))),"CHECK KEY"))</f>
        <v/>
      </c>
      <c r="U1715" s="10"/>
      <c r="V1715" s="10"/>
      <c r="W1715" s="10"/>
      <c r="X1715" s="10"/>
      <c r="Y1715" s="10"/>
      <c r="Z1715" s="10"/>
      <c r="AA1715" s="11" t="str">
        <f t="shared" si="53"/>
        <v/>
      </c>
    </row>
    <row r="1716" spans="16:27" ht="15" customHeight="1">
      <c r="P1716" t="str">
        <f t="shared" si="52"/>
        <v/>
      </c>
      <c r="Q1716" t="str">
        <f>IF(P1716="","",IFERROR(IF(AND(H1716="W7",OR(F1716="causal",F1716="predictive")),IF(AND(OR(K1716=1,K1716="1"),OR(L1716=1,L1716="1"),OR(M1716=1,M1716="1")),"adequate","partial"),IF(AND(H1716="W4",F1716="predictive",OR(J1716="P2",J1716="P3",J1716="P4")),IF(OR(U1716=1,U1716="1"),"adequate","partial"),INDEX(Fit_Matrix!$B:$B,MATCH(P1716,Fit_Matrix!$A:$A,0)))),"CHECK KEY"))</f>
        <v/>
      </c>
      <c r="U1716" s="10"/>
      <c r="V1716" s="10"/>
      <c r="W1716" s="10"/>
      <c r="X1716" s="10"/>
      <c r="Y1716" s="10"/>
      <c r="Z1716" s="10"/>
      <c r="AA1716" s="11" t="str">
        <f t="shared" si="53"/>
        <v/>
      </c>
    </row>
    <row r="1717" spans="16:27" ht="15" customHeight="1">
      <c r="P1717" t="str">
        <f t="shared" si="52"/>
        <v/>
      </c>
      <c r="Q1717" t="str">
        <f>IF(P1717="","",IFERROR(IF(AND(H1717="W7",OR(F1717="causal",F1717="predictive")),IF(AND(OR(K1717=1,K1717="1"),OR(L1717=1,L1717="1"),OR(M1717=1,M1717="1")),"adequate","partial"),IF(AND(H1717="W4",F1717="predictive",OR(J1717="P2",J1717="P3",J1717="P4")),IF(OR(U1717=1,U1717="1"),"adequate","partial"),INDEX(Fit_Matrix!$B:$B,MATCH(P1717,Fit_Matrix!$A:$A,0)))),"CHECK KEY"))</f>
        <v/>
      </c>
      <c r="U1717" s="10"/>
      <c r="V1717" s="10"/>
      <c r="W1717" s="10"/>
      <c r="X1717" s="10"/>
      <c r="Y1717" s="10"/>
      <c r="Z1717" s="10"/>
      <c r="AA1717" s="11" t="str">
        <f t="shared" si="53"/>
        <v/>
      </c>
    </row>
    <row r="1718" spans="16:27" ht="15" customHeight="1">
      <c r="P1718" t="str">
        <f t="shared" si="52"/>
        <v/>
      </c>
      <c r="Q1718" t="str">
        <f>IF(P1718="","",IFERROR(IF(AND(H1718="W7",OR(F1718="causal",F1718="predictive")),IF(AND(OR(K1718=1,K1718="1"),OR(L1718=1,L1718="1"),OR(M1718=1,M1718="1")),"adequate","partial"),IF(AND(H1718="W4",F1718="predictive",OR(J1718="P2",J1718="P3",J1718="P4")),IF(OR(U1718=1,U1718="1"),"adequate","partial"),INDEX(Fit_Matrix!$B:$B,MATCH(P1718,Fit_Matrix!$A:$A,0)))),"CHECK KEY"))</f>
        <v/>
      </c>
      <c r="U1718" s="10"/>
      <c r="V1718" s="10"/>
      <c r="W1718" s="10"/>
      <c r="X1718" s="10"/>
      <c r="Y1718" s="10"/>
      <c r="Z1718" s="10"/>
      <c r="AA1718" s="11" t="str">
        <f t="shared" si="53"/>
        <v/>
      </c>
    </row>
    <row r="1719" spans="16:27" ht="15" customHeight="1">
      <c r="P1719" t="str">
        <f t="shared" si="52"/>
        <v/>
      </c>
      <c r="Q1719" t="str">
        <f>IF(P1719="","",IFERROR(IF(AND(H1719="W7",OR(F1719="causal",F1719="predictive")),IF(AND(OR(K1719=1,K1719="1"),OR(L1719=1,L1719="1"),OR(M1719=1,M1719="1")),"adequate","partial"),IF(AND(H1719="W4",F1719="predictive",OR(J1719="P2",J1719="P3",J1719="P4")),IF(OR(U1719=1,U1719="1"),"adequate","partial"),INDEX(Fit_Matrix!$B:$B,MATCH(P1719,Fit_Matrix!$A:$A,0)))),"CHECK KEY"))</f>
        <v/>
      </c>
      <c r="U1719" s="10"/>
      <c r="V1719" s="10"/>
      <c r="W1719" s="10"/>
      <c r="X1719" s="10"/>
      <c r="Y1719" s="10"/>
      <c r="Z1719" s="10"/>
      <c r="AA1719" s="11" t="str">
        <f t="shared" si="53"/>
        <v/>
      </c>
    </row>
    <row r="1720" spans="16:27" ht="15" customHeight="1">
      <c r="P1720" t="str">
        <f t="shared" si="52"/>
        <v/>
      </c>
      <c r="Q1720" t="str">
        <f>IF(P1720="","",IFERROR(IF(AND(H1720="W7",OR(F1720="causal",F1720="predictive")),IF(AND(OR(K1720=1,K1720="1"),OR(L1720=1,L1720="1"),OR(M1720=1,M1720="1")),"adequate","partial"),IF(AND(H1720="W4",F1720="predictive",OR(J1720="P2",J1720="P3",J1720="P4")),IF(OR(U1720=1,U1720="1"),"adequate","partial"),INDEX(Fit_Matrix!$B:$B,MATCH(P1720,Fit_Matrix!$A:$A,0)))),"CHECK KEY"))</f>
        <v/>
      </c>
      <c r="U1720" s="10"/>
      <c r="V1720" s="10"/>
      <c r="W1720" s="10"/>
      <c r="X1720" s="10"/>
      <c r="Y1720" s="10"/>
      <c r="Z1720" s="10"/>
      <c r="AA1720" s="11" t="str">
        <f t="shared" si="53"/>
        <v/>
      </c>
    </row>
    <row r="1721" spans="16:27" ht="15" customHeight="1">
      <c r="P1721" t="str">
        <f t="shared" si="52"/>
        <v/>
      </c>
      <c r="Q1721" t="str">
        <f>IF(P1721="","",IFERROR(IF(AND(H1721="W7",OR(F1721="causal",F1721="predictive")),IF(AND(OR(K1721=1,K1721="1"),OR(L1721=1,L1721="1"),OR(M1721=1,M1721="1")),"adequate","partial"),IF(AND(H1721="W4",F1721="predictive",OR(J1721="P2",J1721="P3",J1721="P4")),IF(OR(U1721=1,U1721="1"),"adequate","partial"),INDEX(Fit_Matrix!$B:$B,MATCH(P1721,Fit_Matrix!$A:$A,0)))),"CHECK KEY"))</f>
        <v/>
      </c>
      <c r="U1721" s="10"/>
      <c r="V1721" s="10"/>
      <c r="W1721" s="10"/>
      <c r="X1721" s="10"/>
      <c r="Y1721" s="10"/>
      <c r="Z1721" s="10"/>
      <c r="AA1721" s="11" t="str">
        <f t="shared" si="53"/>
        <v/>
      </c>
    </row>
    <row r="1722" spans="16:27" ht="15" customHeight="1">
      <c r="P1722" t="str">
        <f t="shared" si="52"/>
        <v/>
      </c>
      <c r="Q1722" t="str">
        <f>IF(P1722="","",IFERROR(IF(AND(H1722="W7",OR(F1722="causal",F1722="predictive")),IF(AND(OR(K1722=1,K1722="1"),OR(L1722=1,L1722="1"),OR(M1722=1,M1722="1")),"adequate","partial"),IF(AND(H1722="W4",F1722="predictive",OR(J1722="P2",J1722="P3",J1722="P4")),IF(OR(U1722=1,U1722="1"),"adequate","partial"),INDEX(Fit_Matrix!$B:$B,MATCH(P1722,Fit_Matrix!$A:$A,0)))),"CHECK KEY"))</f>
        <v/>
      </c>
      <c r="U1722" s="10"/>
      <c r="V1722" s="10"/>
      <c r="W1722" s="10"/>
      <c r="X1722" s="10"/>
      <c r="Y1722" s="10"/>
      <c r="Z1722" s="10"/>
      <c r="AA1722" s="11" t="str">
        <f t="shared" si="53"/>
        <v/>
      </c>
    </row>
    <row r="1723" spans="16:27" ht="15" customHeight="1">
      <c r="P1723" t="str">
        <f t="shared" si="52"/>
        <v/>
      </c>
      <c r="Q1723" t="str">
        <f>IF(P1723="","",IFERROR(IF(AND(H1723="W7",OR(F1723="causal",F1723="predictive")),IF(AND(OR(K1723=1,K1723="1"),OR(L1723=1,L1723="1"),OR(M1723=1,M1723="1")),"adequate","partial"),IF(AND(H1723="W4",F1723="predictive",OR(J1723="P2",J1723="P3",J1723="P4")),IF(OR(U1723=1,U1723="1"),"adequate","partial"),INDEX(Fit_Matrix!$B:$B,MATCH(P1723,Fit_Matrix!$A:$A,0)))),"CHECK KEY"))</f>
        <v/>
      </c>
      <c r="U1723" s="10"/>
      <c r="V1723" s="10"/>
      <c r="W1723" s="10"/>
      <c r="X1723" s="10"/>
      <c r="Y1723" s="10"/>
      <c r="Z1723" s="10"/>
      <c r="AA1723" s="11" t="str">
        <f t="shared" si="53"/>
        <v/>
      </c>
    </row>
    <row r="1724" spans="16:27" ht="15" customHeight="1">
      <c r="P1724" t="str">
        <f t="shared" si="52"/>
        <v/>
      </c>
      <c r="Q1724" t="str">
        <f>IF(P1724="","",IFERROR(IF(AND(H1724="W7",OR(F1724="causal",F1724="predictive")),IF(AND(OR(K1724=1,K1724="1"),OR(L1724=1,L1724="1"),OR(M1724=1,M1724="1")),"adequate","partial"),IF(AND(H1724="W4",F1724="predictive",OR(J1724="P2",J1724="P3",J1724="P4")),IF(OR(U1724=1,U1724="1"),"adequate","partial"),INDEX(Fit_Matrix!$B:$B,MATCH(P1724,Fit_Matrix!$A:$A,0)))),"CHECK KEY"))</f>
        <v/>
      </c>
      <c r="U1724" s="10"/>
      <c r="V1724" s="10"/>
      <c r="W1724" s="10"/>
      <c r="X1724" s="10"/>
      <c r="Y1724" s="10"/>
      <c r="Z1724" s="10"/>
      <c r="AA1724" s="11" t="str">
        <f t="shared" si="53"/>
        <v/>
      </c>
    </row>
    <row r="1725" spans="16:27" ht="15" customHeight="1">
      <c r="P1725" t="str">
        <f t="shared" si="52"/>
        <v/>
      </c>
      <c r="Q1725" t="str">
        <f>IF(P1725="","",IFERROR(IF(AND(H1725="W7",OR(F1725="causal",F1725="predictive")),IF(AND(OR(K1725=1,K1725="1"),OR(L1725=1,L1725="1"),OR(M1725=1,M1725="1")),"adequate","partial"),IF(AND(H1725="W4",F1725="predictive",OR(J1725="P2",J1725="P3",J1725="P4")),IF(OR(U1725=1,U1725="1"),"adequate","partial"),INDEX(Fit_Matrix!$B:$B,MATCH(P1725,Fit_Matrix!$A:$A,0)))),"CHECK KEY"))</f>
        <v/>
      </c>
      <c r="U1725" s="10"/>
      <c r="V1725" s="10"/>
      <c r="W1725" s="10"/>
      <c r="X1725" s="10"/>
      <c r="Y1725" s="10"/>
      <c r="Z1725" s="10"/>
      <c r="AA1725" s="11" t="str">
        <f t="shared" si="53"/>
        <v/>
      </c>
    </row>
    <row r="1726" spans="16:27" ht="15" customHeight="1">
      <c r="P1726" t="str">
        <f t="shared" si="52"/>
        <v/>
      </c>
      <c r="Q1726" t="str">
        <f>IF(P1726="","",IFERROR(IF(AND(H1726="W7",OR(F1726="causal",F1726="predictive")),IF(AND(OR(K1726=1,K1726="1"),OR(L1726=1,L1726="1"),OR(M1726=1,M1726="1")),"adequate","partial"),IF(AND(H1726="W4",F1726="predictive",OR(J1726="P2",J1726="P3",J1726="P4")),IF(OR(U1726=1,U1726="1"),"adequate","partial"),INDEX(Fit_Matrix!$B:$B,MATCH(P1726,Fit_Matrix!$A:$A,0)))),"CHECK KEY"))</f>
        <v/>
      </c>
      <c r="U1726" s="10"/>
      <c r="V1726" s="10"/>
      <c r="W1726" s="10"/>
      <c r="X1726" s="10"/>
      <c r="Y1726" s="10"/>
      <c r="Z1726" s="10"/>
      <c r="AA1726" s="11" t="str">
        <f t="shared" si="53"/>
        <v/>
      </c>
    </row>
    <row r="1727" spans="16:27" ht="15" customHeight="1">
      <c r="P1727" t="str">
        <f t="shared" si="52"/>
        <v/>
      </c>
      <c r="Q1727" t="str">
        <f>IF(P1727="","",IFERROR(IF(AND(H1727="W7",OR(F1727="causal",F1727="predictive")),IF(AND(OR(K1727=1,K1727="1"),OR(L1727=1,L1727="1"),OR(M1727=1,M1727="1")),"adequate","partial"),IF(AND(H1727="W4",F1727="predictive",OR(J1727="P2",J1727="P3",J1727="P4")),IF(OR(U1727=1,U1727="1"),"adequate","partial"),INDEX(Fit_Matrix!$B:$B,MATCH(P1727,Fit_Matrix!$A:$A,0)))),"CHECK KEY"))</f>
        <v/>
      </c>
      <c r="U1727" s="10"/>
      <c r="V1727" s="10"/>
      <c r="W1727" s="10"/>
      <c r="X1727" s="10"/>
      <c r="Y1727" s="10"/>
      <c r="Z1727" s="10"/>
      <c r="AA1727" s="11" t="str">
        <f t="shared" si="53"/>
        <v/>
      </c>
    </row>
    <row r="1728" spans="16:27" ht="15" customHeight="1">
      <c r="P1728" t="str">
        <f t="shared" si="52"/>
        <v/>
      </c>
      <c r="Q1728" t="str">
        <f>IF(P1728="","",IFERROR(IF(AND(H1728="W7",OR(F1728="causal",F1728="predictive")),IF(AND(OR(K1728=1,K1728="1"),OR(L1728=1,L1728="1"),OR(M1728=1,M1728="1")),"adequate","partial"),IF(AND(H1728="W4",F1728="predictive",OR(J1728="P2",J1728="P3",J1728="P4")),IF(OR(U1728=1,U1728="1"),"adequate","partial"),INDEX(Fit_Matrix!$B:$B,MATCH(P1728,Fit_Matrix!$A:$A,0)))),"CHECK KEY"))</f>
        <v/>
      </c>
      <c r="U1728" s="10"/>
      <c r="V1728" s="10"/>
      <c r="W1728" s="10"/>
      <c r="X1728" s="10"/>
      <c r="Y1728" s="10"/>
      <c r="Z1728" s="10"/>
      <c r="AA1728" s="11" t="str">
        <f t="shared" si="53"/>
        <v/>
      </c>
    </row>
    <row r="1729" spans="16:27" ht="15" customHeight="1">
      <c r="P1729" t="str">
        <f t="shared" si="52"/>
        <v/>
      </c>
      <c r="Q1729" t="str">
        <f>IF(P1729="","",IFERROR(IF(AND(H1729="W7",OR(F1729="causal",F1729="predictive")),IF(AND(OR(K1729=1,K1729="1"),OR(L1729=1,L1729="1"),OR(M1729=1,M1729="1")),"adequate","partial"),IF(AND(H1729="W4",F1729="predictive",OR(J1729="P2",J1729="P3",J1729="P4")),IF(OR(U1729=1,U1729="1"),"adequate","partial"),INDEX(Fit_Matrix!$B:$B,MATCH(P1729,Fit_Matrix!$A:$A,0)))),"CHECK KEY"))</f>
        <v/>
      </c>
      <c r="U1729" s="10"/>
      <c r="V1729" s="10"/>
      <c r="W1729" s="10"/>
      <c r="X1729" s="10"/>
      <c r="Y1729" s="10"/>
      <c r="Z1729" s="10"/>
      <c r="AA1729" s="11" t="str">
        <f t="shared" si="53"/>
        <v/>
      </c>
    </row>
    <row r="1730" spans="16:27" ht="15" customHeight="1">
      <c r="P1730" t="str">
        <f t="shared" ref="P1730:P1793" si="54">IF(OR(F1730="",H1730="",J1730=""),"",J1730&amp;"|"&amp;F1730&amp;"|"&amp;IF(H1730="W3","W3_"&amp;IF(I1730="","unknown",I1730),H1730))</f>
        <v/>
      </c>
      <c r="Q1730" t="str">
        <f>IF(P1730="","",IFERROR(IF(AND(H1730="W7",OR(F1730="causal",F1730="predictive")),IF(AND(OR(K1730=1,K1730="1"),OR(L1730=1,L1730="1"),OR(M1730=1,M1730="1")),"adequate","partial"),IF(AND(H1730="W4",F1730="predictive",OR(J1730="P2",J1730="P3",J1730="P4")),IF(OR(U1730=1,U1730="1"),"adequate","partial"),INDEX(Fit_Matrix!$B:$B,MATCH(P1730,Fit_Matrix!$A:$A,0)))),"CHECK KEY"))</f>
        <v/>
      </c>
      <c r="U1730" s="10"/>
      <c r="V1730" s="10"/>
      <c r="W1730" s="10"/>
      <c r="X1730" s="10"/>
      <c r="Y1730" s="10"/>
      <c r="Z1730" s="10"/>
      <c r="AA1730" s="11" t="str">
        <f t="shared" ref="AA1730:AA1793" si="55">IF(A1730="","",IF(AND(J1730="P4",F1730="causal"),"P4-CAUSAL",""))</f>
        <v/>
      </c>
    </row>
    <row r="1731" spans="16:27" ht="15" customHeight="1">
      <c r="P1731" t="str">
        <f t="shared" si="54"/>
        <v/>
      </c>
      <c r="Q1731" t="str">
        <f>IF(P1731="","",IFERROR(IF(AND(H1731="W7",OR(F1731="causal",F1731="predictive")),IF(AND(OR(K1731=1,K1731="1"),OR(L1731=1,L1731="1"),OR(M1731=1,M1731="1")),"adequate","partial"),IF(AND(H1731="W4",F1731="predictive",OR(J1731="P2",J1731="P3",J1731="P4")),IF(OR(U1731=1,U1731="1"),"adequate","partial"),INDEX(Fit_Matrix!$B:$B,MATCH(P1731,Fit_Matrix!$A:$A,0)))),"CHECK KEY"))</f>
        <v/>
      </c>
      <c r="U1731" s="10"/>
      <c r="V1731" s="10"/>
      <c r="W1731" s="10"/>
      <c r="X1731" s="10"/>
      <c r="Y1731" s="10"/>
      <c r="Z1731" s="10"/>
      <c r="AA1731" s="11" t="str">
        <f t="shared" si="55"/>
        <v/>
      </c>
    </row>
    <row r="1732" spans="16:27" ht="15" customHeight="1">
      <c r="P1732" t="str">
        <f t="shared" si="54"/>
        <v/>
      </c>
      <c r="Q1732" t="str">
        <f>IF(P1732="","",IFERROR(IF(AND(H1732="W7",OR(F1732="causal",F1732="predictive")),IF(AND(OR(K1732=1,K1732="1"),OR(L1732=1,L1732="1"),OR(M1732=1,M1732="1")),"adequate","partial"),IF(AND(H1732="W4",F1732="predictive",OR(J1732="P2",J1732="P3",J1732="P4")),IF(OR(U1732=1,U1732="1"),"adequate","partial"),INDEX(Fit_Matrix!$B:$B,MATCH(P1732,Fit_Matrix!$A:$A,0)))),"CHECK KEY"))</f>
        <v/>
      </c>
      <c r="U1732" s="10"/>
      <c r="V1732" s="10"/>
      <c r="W1732" s="10"/>
      <c r="X1732" s="10"/>
      <c r="Y1732" s="10"/>
      <c r="Z1732" s="10"/>
      <c r="AA1732" s="11" t="str">
        <f t="shared" si="55"/>
        <v/>
      </c>
    </row>
    <row r="1733" spans="16:27" ht="15" customHeight="1">
      <c r="P1733" t="str">
        <f t="shared" si="54"/>
        <v/>
      </c>
      <c r="Q1733" t="str">
        <f>IF(P1733="","",IFERROR(IF(AND(H1733="W7",OR(F1733="causal",F1733="predictive")),IF(AND(OR(K1733=1,K1733="1"),OR(L1733=1,L1733="1"),OR(M1733=1,M1733="1")),"adequate","partial"),IF(AND(H1733="W4",F1733="predictive",OR(J1733="P2",J1733="P3",J1733="P4")),IF(OR(U1733=1,U1733="1"),"adequate","partial"),INDEX(Fit_Matrix!$B:$B,MATCH(P1733,Fit_Matrix!$A:$A,0)))),"CHECK KEY"))</f>
        <v/>
      </c>
      <c r="U1733" s="10"/>
      <c r="V1733" s="10"/>
      <c r="W1733" s="10"/>
      <c r="X1733" s="10"/>
      <c r="Y1733" s="10"/>
      <c r="Z1733" s="10"/>
      <c r="AA1733" s="11" t="str">
        <f t="shared" si="55"/>
        <v/>
      </c>
    </row>
    <row r="1734" spans="16:27" ht="15" customHeight="1">
      <c r="P1734" t="str">
        <f t="shared" si="54"/>
        <v/>
      </c>
      <c r="Q1734" t="str">
        <f>IF(P1734="","",IFERROR(IF(AND(H1734="W7",OR(F1734="causal",F1734="predictive")),IF(AND(OR(K1734=1,K1734="1"),OR(L1734=1,L1734="1"),OR(M1734=1,M1734="1")),"adequate","partial"),IF(AND(H1734="W4",F1734="predictive",OR(J1734="P2",J1734="P3",J1734="P4")),IF(OR(U1734=1,U1734="1"),"adequate","partial"),INDEX(Fit_Matrix!$B:$B,MATCH(P1734,Fit_Matrix!$A:$A,0)))),"CHECK KEY"))</f>
        <v/>
      </c>
      <c r="U1734" s="10"/>
      <c r="V1734" s="10"/>
      <c r="W1734" s="10"/>
      <c r="X1734" s="10"/>
      <c r="Y1734" s="10"/>
      <c r="Z1734" s="10"/>
      <c r="AA1734" s="11" t="str">
        <f t="shared" si="55"/>
        <v/>
      </c>
    </row>
    <row r="1735" spans="16:27" ht="15" customHeight="1">
      <c r="P1735" t="str">
        <f t="shared" si="54"/>
        <v/>
      </c>
      <c r="Q1735" t="str">
        <f>IF(P1735="","",IFERROR(IF(AND(H1735="W7",OR(F1735="causal",F1735="predictive")),IF(AND(OR(K1735=1,K1735="1"),OR(L1735=1,L1735="1"),OR(M1735=1,M1735="1")),"adequate","partial"),IF(AND(H1735="W4",F1735="predictive",OR(J1735="P2",J1735="P3",J1735="P4")),IF(OR(U1735=1,U1735="1"),"adequate","partial"),INDEX(Fit_Matrix!$B:$B,MATCH(P1735,Fit_Matrix!$A:$A,0)))),"CHECK KEY"))</f>
        <v/>
      </c>
      <c r="U1735" s="10"/>
      <c r="V1735" s="10"/>
      <c r="W1735" s="10"/>
      <c r="X1735" s="10"/>
      <c r="Y1735" s="10"/>
      <c r="Z1735" s="10"/>
      <c r="AA1735" s="11" t="str">
        <f t="shared" si="55"/>
        <v/>
      </c>
    </row>
    <row r="1736" spans="16:27" ht="15" customHeight="1">
      <c r="P1736" t="str">
        <f t="shared" si="54"/>
        <v/>
      </c>
      <c r="Q1736" t="str">
        <f>IF(P1736="","",IFERROR(IF(AND(H1736="W7",OR(F1736="causal",F1736="predictive")),IF(AND(OR(K1736=1,K1736="1"),OR(L1736=1,L1736="1"),OR(M1736=1,M1736="1")),"adequate","partial"),IF(AND(H1736="W4",F1736="predictive",OR(J1736="P2",J1736="P3",J1736="P4")),IF(OR(U1736=1,U1736="1"),"adequate","partial"),INDEX(Fit_Matrix!$B:$B,MATCH(P1736,Fit_Matrix!$A:$A,0)))),"CHECK KEY"))</f>
        <v/>
      </c>
      <c r="U1736" s="10"/>
      <c r="V1736" s="10"/>
      <c r="W1736" s="10"/>
      <c r="X1736" s="10"/>
      <c r="Y1736" s="10"/>
      <c r="Z1736" s="10"/>
      <c r="AA1736" s="11" t="str">
        <f t="shared" si="55"/>
        <v/>
      </c>
    </row>
    <row r="1737" spans="16:27" ht="15" customHeight="1">
      <c r="P1737" t="str">
        <f t="shared" si="54"/>
        <v/>
      </c>
      <c r="Q1737" t="str">
        <f>IF(P1737="","",IFERROR(IF(AND(H1737="W7",OR(F1737="causal",F1737="predictive")),IF(AND(OR(K1737=1,K1737="1"),OR(L1737=1,L1737="1"),OR(M1737=1,M1737="1")),"adequate","partial"),IF(AND(H1737="W4",F1737="predictive",OR(J1737="P2",J1737="P3",J1737="P4")),IF(OR(U1737=1,U1737="1"),"adequate","partial"),INDEX(Fit_Matrix!$B:$B,MATCH(P1737,Fit_Matrix!$A:$A,0)))),"CHECK KEY"))</f>
        <v/>
      </c>
      <c r="U1737" s="10"/>
      <c r="V1737" s="10"/>
      <c r="W1737" s="10"/>
      <c r="X1737" s="10"/>
      <c r="Y1737" s="10"/>
      <c r="Z1737" s="10"/>
      <c r="AA1737" s="11" t="str">
        <f t="shared" si="55"/>
        <v/>
      </c>
    </row>
    <row r="1738" spans="16:27" ht="15" customHeight="1">
      <c r="P1738" t="str">
        <f t="shared" si="54"/>
        <v/>
      </c>
      <c r="Q1738" t="str">
        <f>IF(P1738="","",IFERROR(IF(AND(H1738="W7",OR(F1738="causal",F1738="predictive")),IF(AND(OR(K1738=1,K1738="1"),OR(L1738=1,L1738="1"),OR(M1738=1,M1738="1")),"adequate","partial"),IF(AND(H1738="W4",F1738="predictive",OR(J1738="P2",J1738="P3",J1738="P4")),IF(OR(U1738=1,U1738="1"),"adequate","partial"),INDEX(Fit_Matrix!$B:$B,MATCH(P1738,Fit_Matrix!$A:$A,0)))),"CHECK KEY"))</f>
        <v/>
      </c>
      <c r="U1738" s="10"/>
      <c r="V1738" s="10"/>
      <c r="W1738" s="10"/>
      <c r="X1738" s="10"/>
      <c r="Y1738" s="10"/>
      <c r="Z1738" s="10"/>
      <c r="AA1738" s="11" t="str">
        <f t="shared" si="55"/>
        <v/>
      </c>
    </row>
    <row r="1739" spans="16:27" ht="15" customHeight="1">
      <c r="P1739" t="str">
        <f t="shared" si="54"/>
        <v/>
      </c>
      <c r="Q1739" t="str">
        <f>IF(P1739="","",IFERROR(IF(AND(H1739="W7",OR(F1739="causal",F1739="predictive")),IF(AND(OR(K1739=1,K1739="1"),OR(L1739=1,L1739="1"),OR(M1739=1,M1739="1")),"adequate","partial"),IF(AND(H1739="W4",F1739="predictive",OR(J1739="P2",J1739="P3",J1739="P4")),IF(OR(U1739=1,U1739="1"),"adequate","partial"),INDEX(Fit_Matrix!$B:$B,MATCH(P1739,Fit_Matrix!$A:$A,0)))),"CHECK KEY"))</f>
        <v/>
      </c>
      <c r="U1739" s="10"/>
      <c r="V1739" s="10"/>
      <c r="W1739" s="10"/>
      <c r="X1739" s="10"/>
      <c r="Y1739" s="10"/>
      <c r="Z1739" s="10"/>
      <c r="AA1739" s="11" t="str">
        <f t="shared" si="55"/>
        <v/>
      </c>
    </row>
    <row r="1740" spans="16:27" ht="15" customHeight="1">
      <c r="P1740" t="str">
        <f t="shared" si="54"/>
        <v/>
      </c>
      <c r="Q1740" t="str">
        <f>IF(P1740="","",IFERROR(IF(AND(H1740="W7",OR(F1740="causal",F1740="predictive")),IF(AND(OR(K1740=1,K1740="1"),OR(L1740=1,L1740="1"),OR(M1740=1,M1740="1")),"adequate","partial"),IF(AND(H1740="W4",F1740="predictive",OR(J1740="P2",J1740="P3",J1740="P4")),IF(OR(U1740=1,U1740="1"),"adequate","partial"),INDEX(Fit_Matrix!$B:$B,MATCH(P1740,Fit_Matrix!$A:$A,0)))),"CHECK KEY"))</f>
        <v/>
      </c>
      <c r="U1740" s="10"/>
      <c r="V1740" s="10"/>
      <c r="W1740" s="10"/>
      <c r="X1740" s="10"/>
      <c r="Y1740" s="10"/>
      <c r="Z1740" s="10"/>
      <c r="AA1740" s="11" t="str">
        <f t="shared" si="55"/>
        <v/>
      </c>
    </row>
    <row r="1741" spans="16:27" ht="15" customHeight="1">
      <c r="P1741" t="str">
        <f t="shared" si="54"/>
        <v/>
      </c>
      <c r="Q1741" t="str">
        <f>IF(P1741="","",IFERROR(IF(AND(H1741="W7",OR(F1741="causal",F1741="predictive")),IF(AND(OR(K1741=1,K1741="1"),OR(L1741=1,L1741="1"),OR(M1741=1,M1741="1")),"adequate","partial"),IF(AND(H1741="W4",F1741="predictive",OR(J1741="P2",J1741="P3",J1741="P4")),IF(OR(U1741=1,U1741="1"),"adequate","partial"),INDEX(Fit_Matrix!$B:$B,MATCH(P1741,Fit_Matrix!$A:$A,0)))),"CHECK KEY"))</f>
        <v/>
      </c>
      <c r="U1741" s="10"/>
      <c r="V1741" s="10"/>
      <c r="W1741" s="10"/>
      <c r="X1741" s="10"/>
      <c r="Y1741" s="10"/>
      <c r="Z1741" s="10"/>
      <c r="AA1741" s="11" t="str">
        <f t="shared" si="55"/>
        <v/>
      </c>
    </row>
    <row r="1742" spans="16:27" ht="15" customHeight="1">
      <c r="P1742" t="str">
        <f t="shared" si="54"/>
        <v/>
      </c>
      <c r="Q1742" t="str">
        <f>IF(P1742="","",IFERROR(IF(AND(H1742="W7",OR(F1742="causal",F1742="predictive")),IF(AND(OR(K1742=1,K1742="1"),OR(L1742=1,L1742="1"),OR(M1742=1,M1742="1")),"adequate","partial"),IF(AND(H1742="W4",F1742="predictive",OR(J1742="P2",J1742="P3",J1742="P4")),IF(OR(U1742=1,U1742="1"),"adequate","partial"),INDEX(Fit_Matrix!$B:$B,MATCH(P1742,Fit_Matrix!$A:$A,0)))),"CHECK KEY"))</f>
        <v/>
      </c>
      <c r="U1742" s="10"/>
      <c r="V1742" s="10"/>
      <c r="W1742" s="10"/>
      <c r="X1742" s="10"/>
      <c r="Y1742" s="10"/>
      <c r="Z1742" s="10"/>
      <c r="AA1742" s="11" t="str">
        <f t="shared" si="55"/>
        <v/>
      </c>
    </row>
    <row r="1743" spans="16:27" ht="15" customHeight="1">
      <c r="P1743" t="str">
        <f t="shared" si="54"/>
        <v/>
      </c>
      <c r="Q1743" t="str">
        <f>IF(P1743="","",IFERROR(IF(AND(H1743="W7",OR(F1743="causal",F1743="predictive")),IF(AND(OR(K1743=1,K1743="1"),OR(L1743=1,L1743="1"),OR(M1743=1,M1743="1")),"adequate","partial"),IF(AND(H1743="W4",F1743="predictive",OR(J1743="P2",J1743="P3",J1743="P4")),IF(OR(U1743=1,U1743="1"),"adequate","partial"),INDEX(Fit_Matrix!$B:$B,MATCH(P1743,Fit_Matrix!$A:$A,0)))),"CHECK KEY"))</f>
        <v/>
      </c>
      <c r="U1743" s="10"/>
      <c r="V1743" s="10"/>
      <c r="W1743" s="10"/>
      <c r="X1743" s="10"/>
      <c r="Y1743" s="10"/>
      <c r="Z1743" s="10"/>
      <c r="AA1743" s="11" t="str">
        <f t="shared" si="55"/>
        <v/>
      </c>
    </row>
    <row r="1744" spans="16:27" ht="15" customHeight="1">
      <c r="P1744" t="str">
        <f t="shared" si="54"/>
        <v/>
      </c>
      <c r="Q1744" t="str">
        <f>IF(P1744="","",IFERROR(IF(AND(H1744="W7",OR(F1744="causal",F1744="predictive")),IF(AND(OR(K1744=1,K1744="1"),OR(L1744=1,L1744="1"),OR(M1744=1,M1744="1")),"adequate","partial"),IF(AND(H1744="W4",F1744="predictive",OR(J1744="P2",J1744="P3",J1744="P4")),IF(OR(U1744=1,U1744="1"),"adequate","partial"),INDEX(Fit_Matrix!$B:$B,MATCH(P1744,Fit_Matrix!$A:$A,0)))),"CHECK KEY"))</f>
        <v/>
      </c>
      <c r="U1744" s="10"/>
      <c r="V1744" s="10"/>
      <c r="W1744" s="10"/>
      <c r="X1744" s="10"/>
      <c r="Y1744" s="10"/>
      <c r="Z1744" s="10"/>
      <c r="AA1744" s="11" t="str">
        <f t="shared" si="55"/>
        <v/>
      </c>
    </row>
    <row r="1745" spans="16:27" ht="15" customHeight="1">
      <c r="P1745" t="str">
        <f t="shared" si="54"/>
        <v/>
      </c>
      <c r="Q1745" t="str">
        <f>IF(P1745="","",IFERROR(IF(AND(H1745="W7",OR(F1745="causal",F1745="predictive")),IF(AND(OR(K1745=1,K1745="1"),OR(L1745=1,L1745="1"),OR(M1745=1,M1745="1")),"adequate","partial"),IF(AND(H1745="W4",F1745="predictive",OR(J1745="P2",J1745="P3",J1745="P4")),IF(OR(U1745=1,U1745="1"),"adequate","partial"),INDEX(Fit_Matrix!$B:$B,MATCH(P1745,Fit_Matrix!$A:$A,0)))),"CHECK KEY"))</f>
        <v/>
      </c>
      <c r="U1745" s="10"/>
      <c r="V1745" s="10"/>
      <c r="W1745" s="10"/>
      <c r="X1745" s="10"/>
      <c r="Y1745" s="10"/>
      <c r="Z1745" s="10"/>
      <c r="AA1745" s="11" t="str">
        <f t="shared" si="55"/>
        <v/>
      </c>
    </row>
    <row r="1746" spans="16:27" ht="15" customHeight="1">
      <c r="P1746" t="str">
        <f t="shared" si="54"/>
        <v/>
      </c>
      <c r="Q1746" t="str">
        <f>IF(P1746="","",IFERROR(IF(AND(H1746="W7",OR(F1746="causal",F1746="predictive")),IF(AND(OR(K1746=1,K1746="1"),OR(L1746=1,L1746="1"),OR(M1746=1,M1746="1")),"adequate","partial"),IF(AND(H1746="W4",F1746="predictive",OR(J1746="P2",J1746="P3",J1746="P4")),IF(OR(U1746=1,U1746="1"),"adequate","partial"),INDEX(Fit_Matrix!$B:$B,MATCH(P1746,Fit_Matrix!$A:$A,0)))),"CHECK KEY"))</f>
        <v/>
      </c>
      <c r="U1746" s="10"/>
      <c r="V1746" s="10"/>
      <c r="W1746" s="10"/>
      <c r="X1746" s="10"/>
      <c r="Y1746" s="10"/>
      <c r="Z1746" s="10"/>
      <c r="AA1746" s="11" t="str">
        <f t="shared" si="55"/>
        <v/>
      </c>
    </row>
    <row r="1747" spans="16:27" ht="15" customHeight="1">
      <c r="P1747" t="str">
        <f t="shared" si="54"/>
        <v/>
      </c>
      <c r="Q1747" t="str">
        <f>IF(P1747="","",IFERROR(IF(AND(H1747="W7",OR(F1747="causal",F1747="predictive")),IF(AND(OR(K1747=1,K1747="1"),OR(L1747=1,L1747="1"),OR(M1747=1,M1747="1")),"adequate","partial"),IF(AND(H1747="W4",F1747="predictive",OR(J1747="P2",J1747="P3",J1747="P4")),IF(OR(U1747=1,U1747="1"),"adequate","partial"),INDEX(Fit_Matrix!$B:$B,MATCH(P1747,Fit_Matrix!$A:$A,0)))),"CHECK KEY"))</f>
        <v/>
      </c>
      <c r="U1747" s="10"/>
      <c r="V1747" s="10"/>
      <c r="W1747" s="10"/>
      <c r="X1747" s="10"/>
      <c r="Y1747" s="10"/>
      <c r="Z1747" s="10"/>
      <c r="AA1747" s="11" t="str">
        <f t="shared" si="55"/>
        <v/>
      </c>
    </row>
    <row r="1748" spans="16:27" ht="15" customHeight="1">
      <c r="P1748" t="str">
        <f t="shared" si="54"/>
        <v/>
      </c>
      <c r="Q1748" t="str">
        <f>IF(P1748="","",IFERROR(IF(AND(H1748="W7",OR(F1748="causal",F1748="predictive")),IF(AND(OR(K1748=1,K1748="1"),OR(L1748=1,L1748="1"),OR(M1748=1,M1748="1")),"adequate","partial"),IF(AND(H1748="W4",F1748="predictive",OR(J1748="P2",J1748="P3",J1748="P4")),IF(OR(U1748=1,U1748="1"),"adequate","partial"),INDEX(Fit_Matrix!$B:$B,MATCH(P1748,Fit_Matrix!$A:$A,0)))),"CHECK KEY"))</f>
        <v/>
      </c>
      <c r="U1748" s="10"/>
      <c r="V1748" s="10"/>
      <c r="W1748" s="10"/>
      <c r="X1748" s="10"/>
      <c r="Y1748" s="10"/>
      <c r="Z1748" s="10"/>
      <c r="AA1748" s="11" t="str">
        <f t="shared" si="55"/>
        <v/>
      </c>
    </row>
    <row r="1749" spans="16:27" ht="15" customHeight="1">
      <c r="P1749" t="str">
        <f t="shared" si="54"/>
        <v/>
      </c>
      <c r="Q1749" t="str">
        <f>IF(P1749="","",IFERROR(IF(AND(H1749="W7",OR(F1749="causal",F1749="predictive")),IF(AND(OR(K1749=1,K1749="1"),OR(L1749=1,L1749="1"),OR(M1749=1,M1749="1")),"adequate","partial"),IF(AND(H1749="W4",F1749="predictive",OR(J1749="P2",J1749="P3",J1749="P4")),IF(OR(U1749=1,U1749="1"),"adequate","partial"),INDEX(Fit_Matrix!$B:$B,MATCH(P1749,Fit_Matrix!$A:$A,0)))),"CHECK KEY"))</f>
        <v/>
      </c>
      <c r="U1749" s="10"/>
      <c r="V1749" s="10"/>
      <c r="W1749" s="10"/>
      <c r="X1749" s="10"/>
      <c r="Y1749" s="10"/>
      <c r="Z1749" s="10"/>
      <c r="AA1749" s="11" t="str">
        <f t="shared" si="55"/>
        <v/>
      </c>
    </row>
    <row r="1750" spans="16:27" ht="15" customHeight="1">
      <c r="P1750" t="str">
        <f t="shared" si="54"/>
        <v/>
      </c>
      <c r="Q1750" t="str">
        <f>IF(P1750="","",IFERROR(IF(AND(H1750="W7",OR(F1750="causal",F1750="predictive")),IF(AND(OR(K1750=1,K1750="1"),OR(L1750=1,L1750="1"),OR(M1750=1,M1750="1")),"adequate","partial"),IF(AND(H1750="W4",F1750="predictive",OR(J1750="P2",J1750="P3",J1750="P4")),IF(OR(U1750=1,U1750="1"),"adequate","partial"),INDEX(Fit_Matrix!$B:$B,MATCH(P1750,Fit_Matrix!$A:$A,0)))),"CHECK KEY"))</f>
        <v/>
      </c>
      <c r="U1750" s="10"/>
      <c r="V1750" s="10"/>
      <c r="W1750" s="10"/>
      <c r="X1750" s="10"/>
      <c r="Y1750" s="10"/>
      <c r="Z1750" s="10"/>
      <c r="AA1750" s="11" t="str">
        <f t="shared" si="55"/>
        <v/>
      </c>
    </row>
    <row r="1751" spans="16:27" ht="15" customHeight="1">
      <c r="P1751" t="str">
        <f t="shared" si="54"/>
        <v/>
      </c>
      <c r="Q1751" t="str">
        <f>IF(P1751="","",IFERROR(IF(AND(H1751="W7",OR(F1751="causal",F1751="predictive")),IF(AND(OR(K1751=1,K1751="1"),OR(L1751=1,L1751="1"),OR(M1751=1,M1751="1")),"adequate","partial"),IF(AND(H1751="W4",F1751="predictive",OR(J1751="P2",J1751="P3",J1751="P4")),IF(OR(U1751=1,U1751="1"),"adequate","partial"),INDEX(Fit_Matrix!$B:$B,MATCH(P1751,Fit_Matrix!$A:$A,0)))),"CHECK KEY"))</f>
        <v/>
      </c>
      <c r="U1751" s="10"/>
      <c r="V1751" s="10"/>
      <c r="W1751" s="10"/>
      <c r="X1751" s="10"/>
      <c r="Y1751" s="10"/>
      <c r="Z1751" s="10"/>
      <c r="AA1751" s="11" t="str">
        <f t="shared" si="55"/>
        <v/>
      </c>
    </row>
    <row r="1752" spans="16:27" ht="15" customHeight="1">
      <c r="P1752" t="str">
        <f t="shared" si="54"/>
        <v/>
      </c>
      <c r="Q1752" t="str">
        <f>IF(P1752="","",IFERROR(IF(AND(H1752="W7",OR(F1752="causal",F1752="predictive")),IF(AND(OR(K1752=1,K1752="1"),OR(L1752=1,L1752="1"),OR(M1752=1,M1752="1")),"adequate","partial"),IF(AND(H1752="W4",F1752="predictive",OR(J1752="P2",J1752="P3",J1752="P4")),IF(OR(U1752=1,U1752="1"),"adequate","partial"),INDEX(Fit_Matrix!$B:$B,MATCH(P1752,Fit_Matrix!$A:$A,0)))),"CHECK KEY"))</f>
        <v/>
      </c>
      <c r="U1752" s="10"/>
      <c r="V1752" s="10"/>
      <c r="W1752" s="10"/>
      <c r="X1752" s="10"/>
      <c r="Y1752" s="10"/>
      <c r="Z1752" s="10"/>
      <c r="AA1752" s="11" t="str">
        <f t="shared" si="55"/>
        <v/>
      </c>
    </row>
    <row r="1753" spans="16:27" ht="15" customHeight="1">
      <c r="P1753" t="str">
        <f t="shared" si="54"/>
        <v/>
      </c>
      <c r="Q1753" t="str">
        <f>IF(P1753="","",IFERROR(IF(AND(H1753="W7",OR(F1753="causal",F1753="predictive")),IF(AND(OR(K1753=1,K1753="1"),OR(L1753=1,L1753="1"),OR(M1753=1,M1753="1")),"adequate","partial"),IF(AND(H1753="W4",F1753="predictive",OR(J1753="P2",J1753="P3",J1753="P4")),IF(OR(U1753=1,U1753="1"),"adequate","partial"),INDEX(Fit_Matrix!$B:$B,MATCH(P1753,Fit_Matrix!$A:$A,0)))),"CHECK KEY"))</f>
        <v/>
      </c>
      <c r="U1753" s="10"/>
      <c r="V1753" s="10"/>
      <c r="W1753" s="10"/>
      <c r="X1753" s="10"/>
      <c r="Y1753" s="10"/>
      <c r="Z1753" s="10"/>
      <c r="AA1753" s="11" t="str">
        <f t="shared" si="55"/>
        <v/>
      </c>
    </row>
    <row r="1754" spans="16:27" ht="15" customHeight="1">
      <c r="P1754" t="str">
        <f t="shared" si="54"/>
        <v/>
      </c>
      <c r="Q1754" t="str">
        <f>IF(P1754="","",IFERROR(IF(AND(H1754="W7",OR(F1754="causal",F1754="predictive")),IF(AND(OR(K1754=1,K1754="1"),OR(L1754=1,L1754="1"),OR(M1754=1,M1754="1")),"adequate","partial"),IF(AND(H1754="W4",F1754="predictive",OR(J1754="P2",J1754="P3",J1754="P4")),IF(OR(U1754=1,U1754="1"),"adequate","partial"),INDEX(Fit_Matrix!$B:$B,MATCH(P1754,Fit_Matrix!$A:$A,0)))),"CHECK KEY"))</f>
        <v/>
      </c>
      <c r="U1754" s="10"/>
      <c r="V1754" s="10"/>
      <c r="W1754" s="10"/>
      <c r="X1754" s="10"/>
      <c r="Y1754" s="10"/>
      <c r="Z1754" s="10"/>
      <c r="AA1754" s="11" t="str">
        <f t="shared" si="55"/>
        <v/>
      </c>
    </row>
    <row r="1755" spans="16:27" ht="15" customHeight="1">
      <c r="P1755" t="str">
        <f t="shared" si="54"/>
        <v/>
      </c>
      <c r="Q1755" t="str">
        <f>IF(P1755="","",IFERROR(IF(AND(H1755="W7",OR(F1755="causal",F1755="predictive")),IF(AND(OR(K1755=1,K1755="1"),OR(L1755=1,L1755="1"),OR(M1755=1,M1755="1")),"adequate","partial"),IF(AND(H1755="W4",F1755="predictive",OR(J1755="P2",J1755="P3",J1755="P4")),IF(OR(U1755=1,U1755="1"),"adequate","partial"),INDEX(Fit_Matrix!$B:$B,MATCH(P1755,Fit_Matrix!$A:$A,0)))),"CHECK KEY"))</f>
        <v/>
      </c>
      <c r="U1755" s="10"/>
      <c r="V1755" s="10"/>
      <c r="W1755" s="10"/>
      <c r="X1755" s="10"/>
      <c r="Y1755" s="10"/>
      <c r="Z1755" s="10"/>
      <c r="AA1755" s="11" t="str">
        <f t="shared" si="55"/>
        <v/>
      </c>
    </row>
    <row r="1756" spans="16:27" ht="15" customHeight="1">
      <c r="P1756" t="str">
        <f t="shared" si="54"/>
        <v/>
      </c>
      <c r="Q1756" t="str">
        <f>IF(P1756="","",IFERROR(IF(AND(H1756="W7",OR(F1756="causal",F1756="predictive")),IF(AND(OR(K1756=1,K1756="1"),OR(L1756=1,L1756="1"),OR(M1756=1,M1756="1")),"adequate","partial"),IF(AND(H1756="W4",F1756="predictive",OR(J1756="P2",J1756="P3",J1756="P4")),IF(OR(U1756=1,U1756="1"),"adequate","partial"),INDEX(Fit_Matrix!$B:$B,MATCH(P1756,Fit_Matrix!$A:$A,0)))),"CHECK KEY"))</f>
        <v/>
      </c>
      <c r="U1756" s="10"/>
      <c r="V1756" s="10"/>
      <c r="W1756" s="10"/>
      <c r="X1756" s="10"/>
      <c r="Y1756" s="10"/>
      <c r="Z1756" s="10"/>
      <c r="AA1756" s="11" t="str">
        <f t="shared" si="55"/>
        <v/>
      </c>
    </row>
    <row r="1757" spans="16:27" ht="15" customHeight="1">
      <c r="P1757" t="str">
        <f t="shared" si="54"/>
        <v/>
      </c>
      <c r="Q1757" t="str">
        <f>IF(P1757="","",IFERROR(IF(AND(H1757="W7",OR(F1757="causal",F1757="predictive")),IF(AND(OR(K1757=1,K1757="1"),OR(L1757=1,L1757="1"),OR(M1757=1,M1757="1")),"adequate","partial"),IF(AND(H1757="W4",F1757="predictive",OR(J1757="P2",J1757="P3",J1757="P4")),IF(OR(U1757=1,U1757="1"),"adequate","partial"),INDEX(Fit_Matrix!$B:$B,MATCH(P1757,Fit_Matrix!$A:$A,0)))),"CHECK KEY"))</f>
        <v/>
      </c>
      <c r="U1757" s="10"/>
      <c r="V1757" s="10"/>
      <c r="W1757" s="10"/>
      <c r="X1757" s="10"/>
      <c r="Y1757" s="10"/>
      <c r="Z1757" s="10"/>
      <c r="AA1757" s="11" t="str">
        <f t="shared" si="55"/>
        <v/>
      </c>
    </row>
    <row r="1758" spans="16:27" ht="15" customHeight="1">
      <c r="P1758" t="str">
        <f t="shared" si="54"/>
        <v/>
      </c>
      <c r="Q1758" t="str">
        <f>IF(P1758="","",IFERROR(IF(AND(H1758="W7",OR(F1758="causal",F1758="predictive")),IF(AND(OR(K1758=1,K1758="1"),OR(L1758=1,L1758="1"),OR(M1758=1,M1758="1")),"adequate","partial"),IF(AND(H1758="W4",F1758="predictive",OR(J1758="P2",J1758="P3",J1758="P4")),IF(OR(U1758=1,U1758="1"),"adequate","partial"),INDEX(Fit_Matrix!$B:$B,MATCH(P1758,Fit_Matrix!$A:$A,0)))),"CHECK KEY"))</f>
        <v/>
      </c>
      <c r="U1758" s="10"/>
      <c r="V1758" s="10"/>
      <c r="W1758" s="10"/>
      <c r="X1758" s="10"/>
      <c r="Y1758" s="10"/>
      <c r="Z1758" s="10"/>
      <c r="AA1758" s="11" t="str">
        <f t="shared" si="55"/>
        <v/>
      </c>
    </row>
    <row r="1759" spans="16:27" ht="15" customHeight="1">
      <c r="P1759" t="str">
        <f t="shared" si="54"/>
        <v/>
      </c>
      <c r="Q1759" t="str">
        <f>IF(P1759="","",IFERROR(IF(AND(H1759="W7",OR(F1759="causal",F1759="predictive")),IF(AND(OR(K1759=1,K1759="1"),OR(L1759=1,L1759="1"),OR(M1759=1,M1759="1")),"adequate","partial"),IF(AND(H1759="W4",F1759="predictive",OR(J1759="P2",J1759="P3",J1759="P4")),IF(OR(U1759=1,U1759="1"),"adequate","partial"),INDEX(Fit_Matrix!$B:$B,MATCH(P1759,Fit_Matrix!$A:$A,0)))),"CHECK KEY"))</f>
        <v/>
      </c>
      <c r="U1759" s="10"/>
      <c r="V1759" s="10"/>
      <c r="W1759" s="10"/>
      <c r="X1759" s="10"/>
      <c r="Y1759" s="10"/>
      <c r="Z1759" s="10"/>
      <c r="AA1759" s="11" t="str">
        <f t="shared" si="55"/>
        <v/>
      </c>
    </row>
    <row r="1760" spans="16:27" ht="15" customHeight="1">
      <c r="P1760" t="str">
        <f t="shared" si="54"/>
        <v/>
      </c>
      <c r="Q1760" t="str">
        <f>IF(P1760="","",IFERROR(IF(AND(H1760="W7",OR(F1760="causal",F1760="predictive")),IF(AND(OR(K1760=1,K1760="1"),OR(L1760=1,L1760="1"),OR(M1760=1,M1760="1")),"adequate","partial"),IF(AND(H1760="W4",F1760="predictive",OR(J1760="P2",J1760="P3",J1760="P4")),IF(OR(U1760=1,U1760="1"),"adequate","partial"),INDEX(Fit_Matrix!$B:$B,MATCH(P1760,Fit_Matrix!$A:$A,0)))),"CHECK KEY"))</f>
        <v/>
      </c>
      <c r="U1760" s="10"/>
      <c r="V1760" s="10"/>
      <c r="W1760" s="10"/>
      <c r="X1760" s="10"/>
      <c r="Y1760" s="10"/>
      <c r="Z1760" s="10"/>
      <c r="AA1760" s="11" t="str">
        <f t="shared" si="55"/>
        <v/>
      </c>
    </row>
    <row r="1761" spans="16:27" ht="15" customHeight="1">
      <c r="P1761" t="str">
        <f t="shared" si="54"/>
        <v/>
      </c>
      <c r="Q1761" t="str">
        <f>IF(P1761="","",IFERROR(IF(AND(H1761="W7",OR(F1761="causal",F1761="predictive")),IF(AND(OR(K1761=1,K1761="1"),OR(L1761=1,L1761="1"),OR(M1761=1,M1761="1")),"adequate","partial"),IF(AND(H1761="W4",F1761="predictive",OR(J1761="P2",J1761="P3",J1761="P4")),IF(OR(U1761=1,U1761="1"),"adequate","partial"),INDEX(Fit_Matrix!$B:$B,MATCH(P1761,Fit_Matrix!$A:$A,0)))),"CHECK KEY"))</f>
        <v/>
      </c>
      <c r="U1761" s="10"/>
      <c r="V1761" s="10"/>
      <c r="W1761" s="10"/>
      <c r="X1761" s="10"/>
      <c r="Y1761" s="10"/>
      <c r="Z1761" s="10"/>
      <c r="AA1761" s="11" t="str">
        <f t="shared" si="55"/>
        <v/>
      </c>
    </row>
    <row r="1762" spans="16:27" ht="15" customHeight="1">
      <c r="P1762" t="str">
        <f t="shared" si="54"/>
        <v/>
      </c>
      <c r="Q1762" t="str">
        <f>IF(P1762="","",IFERROR(IF(AND(H1762="W7",OR(F1762="causal",F1762="predictive")),IF(AND(OR(K1762=1,K1762="1"),OR(L1762=1,L1762="1"),OR(M1762=1,M1762="1")),"adequate","partial"),IF(AND(H1762="W4",F1762="predictive",OR(J1762="P2",J1762="P3",J1762="P4")),IF(OR(U1762=1,U1762="1"),"adequate","partial"),INDEX(Fit_Matrix!$B:$B,MATCH(P1762,Fit_Matrix!$A:$A,0)))),"CHECK KEY"))</f>
        <v/>
      </c>
      <c r="U1762" s="10"/>
      <c r="V1762" s="10"/>
      <c r="W1762" s="10"/>
      <c r="X1762" s="10"/>
      <c r="Y1762" s="10"/>
      <c r="Z1762" s="10"/>
      <c r="AA1762" s="11" t="str">
        <f t="shared" si="55"/>
        <v/>
      </c>
    </row>
    <row r="1763" spans="16:27" ht="15" customHeight="1">
      <c r="P1763" t="str">
        <f t="shared" si="54"/>
        <v/>
      </c>
      <c r="Q1763" t="str">
        <f>IF(P1763="","",IFERROR(IF(AND(H1763="W7",OR(F1763="causal",F1763="predictive")),IF(AND(OR(K1763=1,K1763="1"),OR(L1763=1,L1763="1"),OR(M1763=1,M1763="1")),"adequate","partial"),IF(AND(H1763="W4",F1763="predictive",OR(J1763="P2",J1763="P3",J1763="P4")),IF(OR(U1763=1,U1763="1"),"adequate","partial"),INDEX(Fit_Matrix!$B:$B,MATCH(P1763,Fit_Matrix!$A:$A,0)))),"CHECK KEY"))</f>
        <v/>
      </c>
      <c r="U1763" s="10"/>
      <c r="V1763" s="10"/>
      <c r="W1763" s="10"/>
      <c r="X1763" s="10"/>
      <c r="Y1763" s="10"/>
      <c r="Z1763" s="10"/>
      <c r="AA1763" s="11" t="str">
        <f t="shared" si="55"/>
        <v/>
      </c>
    </row>
    <row r="1764" spans="16:27" ht="15" customHeight="1">
      <c r="P1764" t="str">
        <f t="shared" si="54"/>
        <v/>
      </c>
      <c r="Q1764" t="str">
        <f>IF(P1764="","",IFERROR(IF(AND(H1764="W7",OR(F1764="causal",F1764="predictive")),IF(AND(OR(K1764=1,K1764="1"),OR(L1764=1,L1764="1"),OR(M1764=1,M1764="1")),"adequate","partial"),IF(AND(H1764="W4",F1764="predictive",OR(J1764="P2",J1764="P3",J1764="P4")),IF(OR(U1764=1,U1764="1"),"adequate","partial"),INDEX(Fit_Matrix!$B:$B,MATCH(P1764,Fit_Matrix!$A:$A,0)))),"CHECK KEY"))</f>
        <v/>
      </c>
      <c r="U1764" s="10"/>
      <c r="V1764" s="10"/>
      <c r="W1764" s="10"/>
      <c r="X1764" s="10"/>
      <c r="Y1764" s="10"/>
      <c r="Z1764" s="10"/>
      <c r="AA1764" s="11" t="str">
        <f t="shared" si="55"/>
        <v/>
      </c>
    </row>
    <row r="1765" spans="16:27" ht="15" customHeight="1">
      <c r="P1765" t="str">
        <f t="shared" si="54"/>
        <v/>
      </c>
      <c r="Q1765" t="str">
        <f>IF(P1765="","",IFERROR(IF(AND(H1765="W7",OR(F1765="causal",F1765="predictive")),IF(AND(OR(K1765=1,K1765="1"),OR(L1765=1,L1765="1"),OR(M1765=1,M1765="1")),"adequate","partial"),IF(AND(H1765="W4",F1765="predictive",OR(J1765="P2",J1765="P3",J1765="P4")),IF(OR(U1765=1,U1765="1"),"adequate","partial"),INDEX(Fit_Matrix!$B:$B,MATCH(P1765,Fit_Matrix!$A:$A,0)))),"CHECK KEY"))</f>
        <v/>
      </c>
      <c r="U1765" s="10"/>
      <c r="V1765" s="10"/>
      <c r="W1765" s="10"/>
      <c r="X1765" s="10"/>
      <c r="Y1765" s="10"/>
      <c r="Z1765" s="10"/>
      <c r="AA1765" s="11" t="str">
        <f t="shared" si="55"/>
        <v/>
      </c>
    </row>
    <row r="1766" spans="16:27" ht="15" customHeight="1">
      <c r="P1766" t="str">
        <f t="shared" si="54"/>
        <v/>
      </c>
      <c r="Q1766" t="str">
        <f>IF(P1766="","",IFERROR(IF(AND(H1766="W7",OR(F1766="causal",F1766="predictive")),IF(AND(OR(K1766=1,K1766="1"),OR(L1766=1,L1766="1"),OR(M1766=1,M1766="1")),"adequate","partial"),IF(AND(H1766="W4",F1766="predictive",OR(J1766="P2",J1766="P3",J1766="P4")),IF(OR(U1766=1,U1766="1"),"adequate","partial"),INDEX(Fit_Matrix!$B:$B,MATCH(P1766,Fit_Matrix!$A:$A,0)))),"CHECK KEY"))</f>
        <v/>
      </c>
      <c r="U1766" s="10"/>
      <c r="V1766" s="10"/>
      <c r="W1766" s="10"/>
      <c r="X1766" s="10"/>
      <c r="Y1766" s="10"/>
      <c r="Z1766" s="10"/>
      <c r="AA1766" s="11" t="str">
        <f t="shared" si="55"/>
        <v/>
      </c>
    </row>
    <row r="1767" spans="16:27" ht="15" customHeight="1">
      <c r="P1767" t="str">
        <f t="shared" si="54"/>
        <v/>
      </c>
      <c r="Q1767" t="str">
        <f>IF(P1767="","",IFERROR(IF(AND(H1767="W7",OR(F1767="causal",F1767="predictive")),IF(AND(OR(K1767=1,K1767="1"),OR(L1767=1,L1767="1"),OR(M1767=1,M1767="1")),"adequate","partial"),IF(AND(H1767="W4",F1767="predictive",OR(J1767="P2",J1767="P3",J1767="P4")),IF(OR(U1767=1,U1767="1"),"adequate","partial"),INDEX(Fit_Matrix!$B:$B,MATCH(P1767,Fit_Matrix!$A:$A,0)))),"CHECK KEY"))</f>
        <v/>
      </c>
      <c r="U1767" s="10"/>
      <c r="V1767" s="10"/>
      <c r="W1767" s="10"/>
      <c r="X1767" s="10"/>
      <c r="Y1767" s="10"/>
      <c r="Z1767" s="10"/>
      <c r="AA1767" s="11" t="str">
        <f t="shared" si="55"/>
        <v/>
      </c>
    </row>
    <row r="1768" spans="16:27" ht="15" customHeight="1">
      <c r="P1768" t="str">
        <f t="shared" si="54"/>
        <v/>
      </c>
      <c r="Q1768" t="str">
        <f>IF(P1768="","",IFERROR(IF(AND(H1768="W7",OR(F1768="causal",F1768="predictive")),IF(AND(OR(K1768=1,K1768="1"),OR(L1768=1,L1768="1"),OR(M1768=1,M1768="1")),"adequate","partial"),IF(AND(H1768="W4",F1768="predictive",OR(J1768="P2",J1768="P3",J1768="P4")),IF(OR(U1768=1,U1768="1"),"adequate","partial"),INDEX(Fit_Matrix!$B:$B,MATCH(P1768,Fit_Matrix!$A:$A,0)))),"CHECK KEY"))</f>
        <v/>
      </c>
      <c r="U1768" s="10"/>
      <c r="V1768" s="10"/>
      <c r="W1768" s="10"/>
      <c r="X1768" s="10"/>
      <c r="Y1768" s="10"/>
      <c r="Z1768" s="10"/>
      <c r="AA1768" s="11" t="str">
        <f t="shared" si="55"/>
        <v/>
      </c>
    </row>
    <row r="1769" spans="16:27" ht="15" customHeight="1">
      <c r="P1769" t="str">
        <f t="shared" si="54"/>
        <v/>
      </c>
      <c r="Q1769" t="str">
        <f>IF(P1769="","",IFERROR(IF(AND(H1769="W7",OR(F1769="causal",F1769="predictive")),IF(AND(OR(K1769=1,K1769="1"),OR(L1769=1,L1769="1"),OR(M1769=1,M1769="1")),"adequate","partial"),IF(AND(H1769="W4",F1769="predictive",OR(J1769="P2",J1769="P3",J1769="P4")),IF(OR(U1769=1,U1769="1"),"adequate","partial"),INDEX(Fit_Matrix!$B:$B,MATCH(P1769,Fit_Matrix!$A:$A,0)))),"CHECK KEY"))</f>
        <v/>
      </c>
      <c r="U1769" s="10"/>
      <c r="V1769" s="10"/>
      <c r="W1769" s="10"/>
      <c r="X1769" s="10"/>
      <c r="Y1769" s="10"/>
      <c r="Z1769" s="10"/>
      <c r="AA1769" s="11" t="str">
        <f t="shared" si="55"/>
        <v/>
      </c>
    </row>
    <row r="1770" spans="16:27" ht="15" customHeight="1">
      <c r="P1770" t="str">
        <f t="shared" si="54"/>
        <v/>
      </c>
      <c r="Q1770" t="str">
        <f>IF(P1770="","",IFERROR(IF(AND(H1770="W7",OR(F1770="causal",F1770="predictive")),IF(AND(OR(K1770=1,K1770="1"),OR(L1770=1,L1770="1"),OR(M1770=1,M1770="1")),"adequate","partial"),IF(AND(H1770="W4",F1770="predictive",OR(J1770="P2",J1770="P3",J1770="P4")),IF(OR(U1770=1,U1770="1"),"adequate","partial"),INDEX(Fit_Matrix!$B:$B,MATCH(P1770,Fit_Matrix!$A:$A,0)))),"CHECK KEY"))</f>
        <v/>
      </c>
      <c r="U1770" s="10"/>
      <c r="V1770" s="10"/>
      <c r="W1770" s="10"/>
      <c r="X1770" s="10"/>
      <c r="Y1770" s="10"/>
      <c r="Z1770" s="10"/>
      <c r="AA1770" s="11" t="str">
        <f t="shared" si="55"/>
        <v/>
      </c>
    </row>
    <row r="1771" spans="16:27" ht="15" customHeight="1">
      <c r="P1771" t="str">
        <f t="shared" si="54"/>
        <v/>
      </c>
      <c r="Q1771" t="str">
        <f>IF(P1771="","",IFERROR(IF(AND(H1771="W7",OR(F1771="causal",F1771="predictive")),IF(AND(OR(K1771=1,K1771="1"),OR(L1771=1,L1771="1"),OR(M1771=1,M1771="1")),"adequate","partial"),IF(AND(H1771="W4",F1771="predictive",OR(J1771="P2",J1771="P3",J1771="P4")),IF(OR(U1771=1,U1771="1"),"adequate","partial"),INDEX(Fit_Matrix!$B:$B,MATCH(P1771,Fit_Matrix!$A:$A,0)))),"CHECK KEY"))</f>
        <v/>
      </c>
      <c r="U1771" s="10"/>
      <c r="V1771" s="10"/>
      <c r="W1771" s="10"/>
      <c r="X1771" s="10"/>
      <c r="Y1771" s="10"/>
      <c r="Z1771" s="10"/>
      <c r="AA1771" s="11" t="str">
        <f t="shared" si="55"/>
        <v/>
      </c>
    </row>
    <row r="1772" spans="16:27" ht="15" customHeight="1">
      <c r="P1772" t="str">
        <f t="shared" si="54"/>
        <v/>
      </c>
      <c r="Q1772" t="str">
        <f>IF(P1772="","",IFERROR(IF(AND(H1772="W7",OR(F1772="causal",F1772="predictive")),IF(AND(OR(K1772=1,K1772="1"),OR(L1772=1,L1772="1"),OR(M1772=1,M1772="1")),"adequate","partial"),IF(AND(H1772="W4",F1772="predictive",OR(J1772="P2",J1772="P3",J1772="P4")),IF(OR(U1772=1,U1772="1"),"adequate","partial"),INDEX(Fit_Matrix!$B:$B,MATCH(P1772,Fit_Matrix!$A:$A,0)))),"CHECK KEY"))</f>
        <v/>
      </c>
      <c r="U1772" s="10"/>
      <c r="V1772" s="10"/>
      <c r="W1772" s="10"/>
      <c r="X1772" s="10"/>
      <c r="Y1772" s="10"/>
      <c r="Z1772" s="10"/>
      <c r="AA1772" s="11" t="str">
        <f t="shared" si="55"/>
        <v/>
      </c>
    </row>
    <row r="1773" spans="16:27" ht="15" customHeight="1">
      <c r="P1773" t="str">
        <f t="shared" si="54"/>
        <v/>
      </c>
      <c r="Q1773" t="str">
        <f>IF(P1773="","",IFERROR(IF(AND(H1773="W7",OR(F1773="causal",F1773="predictive")),IF(AND(OR(K1773=1,K1773="1"),OR(L1773=1,L1773="1"),OR(M1773=1,M1773="1")),"adequate","partial"),IF(AND(H1773="W4",F1773="predictive",OR(J1773="P2",J1773="P3",J1773="P4")),IF(OR(U1773=1,U1773="1"),"adequate","partial"),INDEX(Fit_Matrix!$B:$B,MATCH(P1773,Fit_Matrix!$A:$A,0)))),"CHECK KEY"))</f>
        <v/>
      </c>
      <c r="U1773" s="10"/>
      <c r="V1773" s="10"/>
      <c r="W1773" s="10"/>
      <c r="X1773" s="10"/>
      <c r="Y1773" s="10"/>
      <c r="Z1773" s="10"/>
      <c r="AA1773" s="11" t="str">
        <f t="shared" si="55"/>
        <v/>
      </c>
    </row>
    <row r="1774" spans="16:27" ht="15" customHeight="1">
      <c r="P1774" t="str">
        <f t="shared" si="54"/>
        <v/>
      </c>
      <c r="Q1774" t="str">
        <f>IF(P1774="","",IFERROR(IF(AND(H1774="W7",OR(F1774="causal",F1774="predictive")),IF(AND(OR(K1774=1,K1774="1"),OR(L1774=1,L1774="1"),OR(M1774=1,M1774="1")),"adequate","partial"),IF(AND(H1774="W4",F1774="predictive",OR(J1774="P2",J1774="P3",J1774="P4")),IF(OR(U1774=1,U1774="1"),"adequate","partial"),INDEX(Fit_Matrix!$B:$B,MATCH(P1774,Fit_Matrix!$A:$A,0)))),"CHECK KEY"))</f>
        <v/>
      </c>
      <c r="U1774" s="10"/>
      <c r="V1774" s="10"/>
      <c r="W1774" s="10"/>
      <c r="X1774" s="10"/>
      <c r="Y1774" s="10"/>
      <c r="Z1774" s="10"/>
      <c r="AA1774" s="11" t="str">
        <f t="shared" si="55"/>
        <v/>
      </c>
    </row>
    <row r="1775" spans="16:27" ht="15" customHeight="1">
      <c r="P1775" t="str">
        <f t="shared" si="54"/>
        <v/>
      </c>
      <c r="Q1775" t="str">
        <f>IF(P1775="","",IFERROR(IF(AND(H1775="W7",OR(F1775="causal",F1775="predictive")),IF(AND(OR(K1775=1,K1775="1"),OR(L1775=1,L1775="1"),OR(M1775=1,M1775="1")),"adequate","partial"),IF(AND(H1775="W4",F1775="predictive",OR(J1775="P2",J1775="P3",J1775="P4")),IF(OR(U1775=1,U1775="1"),"adequate","partial"),INDEX(Fit_Matrix!$B:$B,MATCH(P1775,Fit_Matrix!$A:$A,0)))),"CHECK KEY"))</f>
        <v/>
      </c>
      <c r="U1775" s="10"/>
      <c r="V1775" s="10"/>
      <c r="W1775" s="10"/>
      <c r="X1775" s="10"/>
      <c r="Y1775" s="10"/>
      <c r="Z1775" s="10"/>
      <c r="AA1775" s="11" t="str">
        <f t="shared" si="55"/>
        <v/>
      </c>
    </row>
    <row r="1776" spans="16:27" ht="15" customHeight="1">
      <c r="P1776" t="str">
        <f t="shared" si="54"/>
        <v/>
      </c>
      <c r="Q1776" t="str">
        <f>IF(P1776="","",IFERROR(IF(AND(H1776="W7",OR(F1776="causal",F1776="predictive")),IF(AND(OR(K1776=1,K1776="1"),OR(L1776=1,L1776="1"),OR(M1776=1,M1776="1")),"adequate","partial"),IF(AND(H1776="W4",F1776="predictive",OR(J1776="P2",J1776="P3",J1776="P4")),IF(OR(U1776=1,U1776="1"),"adequate","partial"),INDEX(Fit_Matrix!$B:$B,MATCH(P1776,Fit_Matrix!$A:$A,0)))),"CHECK KEY"))</f>
        <v/>
      </c>
      <c r="U1776" s="10"/>
      <c r="V1776" s="10"/>
      <c r="W1776" s="10"/>
      <c r="X1776" s="10"/>
      <c r="Y1776" s="10"/>
      <c r="Z1776" s="10"/>
      <c r="AA1776" s="11" t="str">
        <f t="shared" si="55"/>
        <v/>
      </c>
    </row>
    <row r="1777" spans="16:27" ht="15" customHeight="1">
      <c r="P1777" t="str">
        <f t="shared" si="54"/>
        <v/>
      </c>
      <c r="Q1777" t="str">
        <f>IF(P1777="","",IFERROR(IF(AND(H1777="W7",OR(F1777="causal",F1777="predictive")),IF(AND(OR(K1777=1,K1777="1"),OR(L1777=1,L1777="1"),OR(M1777=1,M1777="1")),"adequate","partial"),IF(AND(H1777="W4",F1777="predictive",OR(J1777="P2",J1777="P3",J1777="P4")),IF(OR(U1777=1,U1777="1"),"adequate","partial"),INDEX(Fit_Matrix!$B:$B,MATCH(P1777,Fit_Matrix!$A:$A,0)))),"CHECK KEY"))</f>
        <v/>
      </c>
      <c r="U1777" s="10"/>
      <c r="V1777" s="10"/>
      <c r="W1777" s="10"/>
      <c r="X1777" s="10"/>
      <c r="Y1777" s="10"/>
      <c r="Z1777" s="10"/>
      <c r="AA1777" s="11" t="str">
        <f t="shared" si="55"/>
        <v/>
      </c>
    </row>
    <row r="1778" spans="16:27" ht="15" customHeight="1">
      <c r="P1778" t="str">
        <f t="shared" si="54"/>
        <v/>
      </c>
      <c r="Q1778" t="str">
        <f>IF(P1778="","",IFERROR(IF(AND(H1778="W7",OR(F1778="causal",F1778="predictive")),IF(AND(OR(K1778=1,K1778="1"),OR(L1778=1,L1778="1"),OR(M1778=1,M1778="1")),"adequate","partial"),IF(AND(H1778="W4",F1778="predictive",OR(J1778="P2",J1778="P3",J1778="P4")),IF(OR(U1778=1,U1778="1"),"adequate","partial"),INDEX(Fit_Matrix!$B:$B,MATCH(P1778,Fit_Matrix!$A:$A,0)))),"CHECK KEY"))</f>
        <v/>
      </c>
      <c r="U1778" s="10"/>
      <c r="V1778" s="10"/>
      <c r="W1778" s="10"/>
      <c r="X1778" s="10"/>
      <c r="Y1778" s="10"/>
      <c r="Z1778" s="10"/>
      <c r="AA1778" s="11" t="str">
        <f t="shared" si="55"/>
        <v/>
      </c>
    </row>
    <row r="1779" spans="16:27" ht="15" customHeight="1">
      <c r="P1779" t="str">
        <f t="shared" si="54"/>
        <v/>
      </c>
      <c r="Q1779" t="str">
        <f>IF(P1779="","",IFERROR(IF(AND(H1779="W7",OR(F1779="causal",F1779="predictive")),IF(AND(OR(K1779=1,K1779="1"),OR(L1779=1,L1779="1"),OR(M1779=1,M1779="1")),"adequate","partial"),IF(AND(H1779="W4",F1779="predictive",OR(J1779="P2",J1779="P3",J1779="P4")),IF(OR(U1779=1,U1779="1"),"adequate","partial"),INDEX(Fit_Matrix!$B:$B,MATCH(P1779,Fit_Matrix!$A:$A,0)))),"CHECK KEY"))</f>
        <v/>
      </c>
      <c r="U1779" s="10"/>
      <c r="V1779" s="10"/>
      <c r="W1779" s="10"/>
      <c r="X1779" s="10"/>
      <c r="Y1779" s="10"/>
      <c r="Z1779" s="10"/>
      <c r="AA1779" s="11" t="str">
        <f t="shared" si="55"/>
        <v/>
      </c>
    </row>
    <row r="1780" spans="16:27" ht="15" customHeight="1">
      <c r="P1780" t="str">
        <f t="shared" si="54"/>
        <v/>
      </c>
      <c r="Q1780" t="str">
        <f>IF(P1780="","",IFERROR(IF(AND(H1780="W7",OR(F1780="causal",F1780="predictive")),IF(AND(OR(K1780=1,K1780="1"),OR(L1780=1,L1780="1"),OR(M1780=1,M1780="1")),"adequate","partial"),IF(AND(H1780="W4",F1780="predictive",OR(J1780="P2",J1780="P3",J1780="P4")),IF(OR(U1780=1,U1780="1"),"adequate","partial"),INDEX(Fit_Matrix!$B:$B,MATCH(P1780,Fit_Matrix!$A:$A,0)))),"CHECK KEY"))</f>
        <v/>
      </c>
      <c r="U1780" s="10"/>
      <c r="V1780" s="10"/>
      <c r="W1780" s="10"/>
      <c r="X1780" s="10"/>
      <c r="Y1780" s="10"/>
      <c r="Z1780" s="10"/>
      <c r="AA1780" s="11" t="str">
        <f t="shared" si="55"/>
        <v/>
      </c>
    </row>
    <row r="1781" spans="16:27" ht="15" customHeight="1">
      <c r="P1781" t="str">
        <f t="shared" si="54"/>
        <v/>
      </c>
      <c r="Q1781" t="str">
        <f>IF(P1781="","",IFERROR(IF(AND(H1781="W7",OR(F1781="causal",F1781="predictive")),IF(AND(OR(K1781=1,K1781="1"),OR(L1781=1,L1781="1"),OR(M1781=1,M1781="1")),"adequate","partial"),IF(AND(H1781="W4",F1781="predictive",OR(J1781="P2",J1781="P3",J1781="P4")),IF(OR(U1781=1,U1781="1"),"adequate","partial"),INDEX(Fit_Matrix!$B:$B,MATCH(P1781,Fit_Matrix!$A:$A,0)))),"CHECK KEY"))</f>
        <v/>
      </c>
      <c r="U1781" s="10"/>
      <c r="V1781" s="10"/>
      <c r="W1781" s="10"/>
      <c r="X1781" s="10"/>
      <c r="Y1781" s="10"/>
      <c r="Z1781" s="10"/>
      <c r="AA1781" s="11" t="str">
        <f t="shared" si="55"/>
        <v/>
      </c>
    </row>
    <row r="1782" spans="16:27" ht="15" customHeight="1">
      <c r="P1782" t="str">
        <f t="shared" si="54"/>
        <v/>
      </c>
      <c r="Q1782" t="str">
        <f>IF(P1782="","",IFERROR(IF(AND(H1782="W7",OR(F1782="causal",F1782="predictive")),IF(AND(OR(K1782=1,K1782="1"),OR(L1782=1,L1782="1"),OR(M1782=1,M1782="1")),"adequate","partial"),IF(AND(H1782="W4",F1782="predictive",OR(J1782="P2",J1782="P3",J1782="P4")),IF(OR(U1782=1,U1782="1"),"adequate","partial"),INDEX(Fit_Matrix!$B:$B,MATCH(P1782,Fit_Matrix!$A:$A,0)))),"CHECK KEY"))</f>
        <v/>
      </c>
      <c r="U1782" s="10"/>
      <c r="V1782" s="10"/>
      <c r="W1782" s="10"/>
      <c r="X1782" s="10"/>
      <c r="Y1782" s="10"/>
      <c r="Z1782" s="10"/>
      <c r="AA1782" s="11" t="str">
        <f t="shared" si="55"/>
        <v/>
      </c>
    </row>
    <row r="1783" spans="16:27" ht="15" customHeight="1">
      <c r="P1783" t="str">
        <f t="shared" si="54"/>
        <v/>
      </c>
      <c r="Q1783" t="str">
        <f>IF(P1783="","",IFERROR(IF(AND(H1783="W7",OR(F1783="causal",F1783="predictive")),IF(AND(OR(K1783=1,K1783="1"),OR(L1783=1,L1783="1"),OR(M1783=1,M1783="1")),"adequate","partial"),IF(AND(H1783="W4",F1783="predictive",OR(J1783="P2",J1783="P3",J1783="P4")),IF(OR(U1783=1,U1783="1"),"adequate","partial"),INDEX(Fit_Matrix!$B:$B,MATCH(P1783,Fit_Matrix!$A:$A,0)))),"CHECK KEY"))</f>
        <v/>
      </c>
      <c r="U1783" s="10"/>
      <c r="V1783" s="10"/>
      <c r="W1783" s="10"/>
      <c r="X1783" s="10"/>
      <c r="Y1783" s="10"/>
      <c r="Z1783" s="10"/>
      <c r="AA1783" s="11" t="str">
        <f t="shared" si="55"/>
        <v/>
      </c>
    </row>
    <row r="1784" spans="16:27" ht="15" customHeight="1">
      <c r="P1784" t="str">
        <f t="shared" si="54"/>
        <v/>
      </c>
      <c r="Q1784" t="str">
        <f>IF(P1784="","",IFERROR(IF(AND(H1784="W7",OR(F1784="causal",F1784="predictive")),IF(AND(OR(K1784=1,K1784="1"),OR(L1784=1,L1784="1"),OR(M1784=1,M1784="1")),"adequate","partial"),IF(AND(H1784="W4",F1784="predictive",OR(J1784="P2",J1784="P3",J1784="P4")),IF(OR(U1784=1,U1784="1"),"adequate","partial"),INDEX(Fit_Matrix!$B:$B,MATCH(P1784,Fit_Matrix!$A:$A,0)))),"CHECK KEY"))</f>
        <v/>
      </c>
      <c r="U1784" s="10"/>
      <c r="V1784" s="10"/>
      <c r="W1784" s="10"/>
      <c r="X1784" s="10"/>
      <c r="Y1784" s="10"/>
      <c r="Z1784" s="10"/>
      <c r="AA1784" s="11" t="str">
        <f t="shared" si="55"/>
        <v/>
      </c>
    </row>
    <row r="1785" spans="16:27" ht="15" customHeight="1">
      <c r="P1785" t="str">
        <f t="shared" si="54"/>
        <v/>
      </c>
      <c r="Q1785" t="str">
        <f>IF(P1785="","",IFERROR(IF(AND(H1785="W7",OR(F1785="causal",F1785="predictive")),IF(AND(OR(K1785=1,K1785="1"),OR(L1785=1,L1785="1"),OR(M1785=1,M1785="1")),"adequate","partial"),IF(AND(H1785="W4",F1785="predictive",OR(J1785="P2",J1785="P3",J1785="P4")),IF(OR(U1785=1,U1785="1"),"adequate","partial"),INDEX(Fit_Matrix!$B:$B,MATCH(P1785,Fit_Matrix!$A:$A,0)))),"CHECK KEY"))</f>
        <v/>
      </c>
      <c r="U1785" s="10"/>
      <c r="V1785" s="10"/>
      <c r="W1785" s="10"/>
      <c r="X1785" s="10"/>
      <c r="Y1785" s="10"/>
      <c r="Z1785" s="10"/>
      <c r="AA1785" s="11" t="str">
        <f t="shared" si="55"/>
        <v/>
      </c>
    </row>
    <row r="1786" spans="16:27" ht="15" customHeight="1">
      <c r="P1786" t="str">
        <f t="shared" si="54"/>
        <v/>
      </c>
      <c r="Q1786" t="str">
        <f>IF(P1786="","",IFERROR(IF(AND(H1786="W7",OR(F1786="causal",F1786="predictive")),IF(AND(OR(K1786=1,K1786="1"),OR(L1786=1,L1786="1"),OR(M1786=1,M1786="1")),"adequate","partial"),IF(AND(H1786="W4",F1786="predictive",OR(J1786="P2",J1786="P3",J1786="P4")),IF(OR(U1786=1,U1786="1"),"adequate","partial"),INDEX(Fit_Matrix!$B:$B,MATCH(P1786,Fit_Matrix!$A:$A,0)))),"CHECK KEY"))</f>
        <v/>
      </c>
      <c r="U1786" s="10"/>
      <c r="V1786" s="10"/>
      <c r="W1786" s="10"/>
      <c r="X1786" s="10"/>
      <c r="Y1786" s="10"/>
      <c r="Z1786" s="10"/>
      <c r="AA1786" s="11" t="str">
        <f t="shared" si="55"/>
        <v/>
      </c>
    </row>
    <row r="1787" spans="16:27" ht="15" customHeight="1">
      <c r="P1787" t="str">
        <f t="shared" si="54"/>
        <v/>
      </c>
      <c r="Q1787" t="str">
        <f>IF(P1787="","",IFERROR(IF(AND(H1787="W7",OR(F1787="causal",F1787="predictive")),IF(AND(OR(K1787=1,K1787="1"),OR(L1787=1,L1787="1"),OR(M1787=1,M1787="1")),"adequate","partial"),IF(AND(H1787="W4",F1787="predictive",OR(J1787="P2",J1787="P3",J1787="P4")),IF(OR(U1787=1,U1787="1"),"adequate","partial"),INDEX(Fit_Matrix!$B:$B,MATCH(P1787,Fit_Matrix!$A:$A,0)))),"CHECK KEY"))</f>
        <v/>
      </c>
      <c r="U1787" s="10"/>
      <c r="V1787" s="10"/>
      <c r="W1787" s="10"/>
      <c r="X1787" s="10"/>
      <c r="Y1787" s="10"/>
      <c r="Z1787" s="10"/>
      <c r="AA1787" s="11" t="str">
        <f t="shared" si="55"/>
        <v/>
      </c>
    </row>
    <row r="1788" spans="16:27" ht="15" customHeight="1">
      <c r="P1788" t="str">
        <f t="shared" si="54"/>
        <v/>
      </c>
      <c r="Q1788" t="str">
        <f>IF(P1788="","",IFERROR(IF(AND(H1788="W7",OR(F1788="causal",F1788="predictive")),IF(AND(OR(K1788=1,K1788="1"),OR(L1788=1,L1788="1"),OR(M1788=1,M1788="1")),"adequate","partial"),IF(AND(H1788="W4",F1788="predictive",OR(J1788="P2",J1788="P3",J1788="P4")),IF(OR(U1788=1,U1788="1"),"adequate","partial"),INDEX(Fit_Matrix!$B:$B,MATCH(P1788,Fit_Matrix!$A:$A,0)))),"CHECK KEY"))</f>
        <v/>
      </c>
      <c r="U1788" s="10"/>
      <c r="V1788" s="10"/>
      <c r="W1788" s="10"/>
      <c r="X1788" s="10"/>
      <c r="Y1788" s="10"/>
      <c r="Z1788" s="10"/>
      <c r="AA1788" s="11" t="str">
        <f t="shared" si="55"/>
        <v/>
      </c>
    </row>
    <row r="1789" spans="16:27" ht="15" customHeight="1">
      <c r="P1789" t="str">
        <f t="shared" si="54"/>
        <v/>
      </c>
      <c r="Q1789" t="str">
        <f>IF(P1789="","",IFERROR(IF(AND(H1789="W7",OR(F1789="causal",F1789="predictive")),IF(AND(OR(K1789=1,K1789="1"),OR(L1789=1,L1789="1"),OR(M1789=1,M1789="1")),"adequate","partial"),IF(AND(H1789="W4",F1789="predictive",OR(J1789="P2",J1789="P3",J1789="P4")),IF(OR(U1789=1,U1789="1"),"adequate","partial"),INDEX(Fit_Matrix!$B:$B,MATCH(P1789,Fit_Matrix!$A:$A,0)))),"CHECK KEY"))</f>
        <v/>
      </c>
      <c r="U1789" s="10"/>
      <c r="V1789" s="10"/>
      <c r="W1789" s="10"/>
      <c r="X1789" s="10"/>
      <c r="Y1789" s="10"/>
      <c r="Z1789" s="10"/>
      <c r="AA1789" s="11" t="str">
        <f t="shared" si="55"/>
        <v/>
      </c>
    </row>
    <row r="1790" spans="16:27" ht="15" customHeight="1">
      <c r="P1790" t="str">
        <f t="shared" si="54"/>
        <v/>
      </c>
      <c r="Q1790" t="str">
        <f>IF(P1790="","",IFERROR(IF(AND(H1790="W7",OR(F1790="causal",F1790="predictive")),IF(AND(OR(K1790=1,K1790="1"),OR(L1790=1,L1790="1"),OR(M1790=1,M1790="1")),"adequate","partial"),IF(AND(H1790="W4",F1790="predictive",OR(J1790="P2",J1790="P3",J1790="P4")),IF(OR(U1790=1,U1790="1"),"adequate","partial"),INDEX(Fit_Matrix!$B:$B,MATCH(P1790,Fit_Matrix!$A:$A,0)))),"CHECK KEY"))</f>
        <v/>
      </c>
      <c r="U1790" s="10"/>
      <c r="V1790" s="10"/>
      <c r="W1790" s="10"/>
      <c r="X1790" s="10"/>
      <c r="Y1790" s="10"/>
      <c r="Z1790" s="10"/>
      <c r="AA1790" s="11" t="str">
        <f t="shared" si="55"/>
        <v/>
      </c>
    </row>
    <row r="1791" spans="16:27" ht="15" customHeight="1">
      <c r="P1791" t="str">
        <f t="shared" si="54"/>
        <v/>
      </c>
      <c r="Q1791" t="str">
        <f>IF(P1791="","",IFERROR(IF(AND(H1791="W7",OR(F1791="causal",F1791="predictive")),IF(AND(OR(K1791=1,K1791="1"),OR(L1791=1,L1791="1"),OR(M1791=1,M1791="1")),"adequate","partial"),IF(AND(H1791="W4",F1791="predictive",OR(J1791="P2",J1791="P3",J1791="P4")),IF(OR(U1791=1,U1791="1"),"adequate","partial"),INDEX(Fit_Matrix!$B:$B,MATCH(P1791,Fit_Matrix!$A:$A,0)))),"CHECK KEY"))</f>
        <v/>
      </c>
      <c r="U1791" s="10"/>
      <c r="V1791" s="10"/>
      <c r="W1791" s="10"/>
      <c r="X1791" s="10"/>
      <c r="Y1791" s="10"/>
      <c r="Z1791" s="10"/>
      <c r="AA1791" s="11" t="str">
        <f t="shared" si="55"/>
        <v/>
      </c>
    </row>
    <row r="1792" spans="16:27" ht="15" customHeight="1">
      <c r="P1792" t="str">
        <f t="shared" si="54"/>
        <v/>
      </c>
      <c r="Q1792" t="str">
        <f>IF(P1792="","",IFERROR(IF(AND(H1792="W7",OR(F1792="causal",F1792="predictive")),IF(AND(OR(K1792=1,K1792="1"),OR(L1792=1,L1792="1"),OR(M1792=1,M1792="1")),"adequate","partial"),IF(AND(H1792="W4",F1792="predictive",OR(J1792="P2",J1792="P3",J1792="P4")),IF(OR(U1792=1,U1792="1"),"adequate","partial"),INDEX(Fit_Matrix!$B:$B,MATCH(P1792,Fit_Matrix!$A:$A,0)))),"CHECK KEY"))</f>
        <v/>
      </c>
      <c r="U1792" s="10"/>
      <c r="V1792" s="10"/>
      <c r="W1792" s="10"/>
      <c r="X1792" s="10"/>
      <c r="Y1792" s="10"/>
      <c r="Z1792" s="10"/>
      <c r="AA1792" s="11" t="str">
        <f t="shared" si="55"/>
        <v/>
      </c>
    </row>
    <row r="1793" spans="16:27" ht="15" customHeight="1">
      <c r="P1793" t="str">
        <f t="shared" si="54"/>
        <v/>
      </c>
      <c r="Q1793" t="str">
        <f>IF(P1793="","",IFERROR(IF(AND(H1793="W7",OR(F1793="causal",F1793="predictive")),IF(AND(OR(K1793=1,K1793="1"),OR(L1793=1,L1793="1"),OR(M1793=1,M1793="1")),"adequate","partial"),IF(AND(H1793="W4",F1793="predictive",OR(J1793="P2",J1793="P3",J1793="P4")),IF(OR(U1793=1,U1793="1"),"adequate","partial"),INDEX(Fit_Matrix!$B:$B,MATCH(P1793,Fit_Matrix!$A:$A,0)))),"CHECK KEY"))</f>
        <v/>
      </c>
      <c r="U1793" s="10"/>
      <c r="V1793" s="10"/>
      <c r="W1793" s="10"/>
      <c r="X1793" s="10"/>
      <c r="Y1793" s="10"/>
      <c r="Z1793" s="10"/>
      <c r="AA1793" s="11" t="str">
        <f t="shared" si="55"/>
        <v/>
      </c>
    </row>
    <row r="1794" spans="16:27" ht="15" customHeight="1">
      <c r="P1794" t="str">
        <f t="shared" ref="P1794:P1857" si="56">IF(OR(F1794="",H1794="",J1794=""),"",J1794&amp;"|"&amp;F1794&amp;"|"&amp;IF(H1794="W3","W3_"&amp;IF(I1794="","unknown",I1794),H1794))</f>
        <v/>
      </c>
      <c r="Q1794" t="str">
        <f>IF(P1794="","",IFERROR(IF(AND(H1794="W7",OR(F1794="causal",F1794="predictive")),IF(AND(OR(K1794=1,K1794="1"),OR(L1794=1,L1794="1"),OR(M1794=1,M1794="1")),"adequate","partial"),IF(AND(H1794="W4",F1794="predictive",OR(J1794="P2",J1794="P3",J1794="P4")),IF(OR(U1794=1,U1794="1"),"adequate","partial"),INDEX(Fit_Matrix!$B:$B,MATCH(P1794,Fit_Matrix!$A:$A,0)))),"CHECK KEY"))</f>
        <v/>
      </c>
      <c r="U1794" s="10"/>
      <c r="V1794" s="10"/>
      <c r="W1794" s="10"/>
      <c r="X1794" s="10"/>
      <c r="Y1794" s="10"/>
      <c r="Z1794" s="10"/>
      <c r="AA1794" s="11" t="str">
        <f t="shared" ref="AA1794:AA1857" si="57">IF(A1794="","",IF(AND(J1794="P4",F1794="causal"),"P4-CAUSAL",""))</f>
        <v/>
      </c>
    </row>
    <row r="1795" spans="16:27" ht="15" customHeight="1">
      <c r="P1795" t="str">
        <f t="shared" si="56"/>
        <v/>
      </c>
      <c r="Q1795" t="str">
        <f>IF(P1795="","",IFERROR(IF(AND(H1795="W7",OR(F1795="causal",F1795="predictive")),IF(AND(OR(K1795=1,K1795="1"),OR(L1795=1,L1795="1"),OR(M1795=1,M1795="1")),"adequate","partial"),IF(AND(H1795="W4",F1795="predictive",OR(J1795="P2",J1795="P3",J1795="P4")),IF(OR(U1795=1,U1795="1"),"adequate","partial"),INDEX(Fit_Matrix!$B:$B,MATCH(P1795,Fit_Matrix!$A:$A,0)))),"CHECK KEY"))</f>
        <v/>
      </c>
      <c r="U1795" s="10"/>
      <c r="V1795" s="10"/>
      <c r="W1795" s="10"/>
      <c r="X1795" s="10"/>
      <c r="Y1795" s="10"/>
      <c r="Z1795" s="10"/>
      <c r="AA1795" s="11" t="str">
        <f t="shared" si="57"/>
        <v/>
      </c>
    </row>
    <row r="1796" spans="16:27" ht="15" customHeight="1">
      <c r="P1796" t="str">
        <f t="shared" si="56"/>
        <v/>
      </c>
      <c r="Q1796" t="str">
        <f>IF(P1796="","",IFERROR(IF(AND(H1796="W7",OR(F1796="causal",F1796="predictive")),IF(AND(OR(K1796=1,K1796="1"),OR(L1796=1,L1796="1"),OR(M1796=1,M1796="1")),"adequate","partial"),IF(AND(H1796="W4",F1796="predictive",OR(J1796="P2",J1796="P3",J1796="P4")),IF(OR(U1796=1,U1796="1"),"adequate","partial"),INDEX(Fit_Matrix!$B:$B,MATCH(P1796,Fit_Matrix!$A:$A,0)))),"CHECK KEY"))</f>
        <v/>
      </c>
      <c r="U1796" s="10"/>
      <c r="V1796" s="10"/>
      <c r="W1796" s="10"/>
      <c r="X1796" s="10"/>
      <c r="Y1796" s="10"/>
      <c r="Z1796" s="10"/>
      <c r="AA1796" s="11" t="str">
        <f t="shared" si="57"/>
        <v/>
      </c>
    </row>
    <row r="1797" spans="16:27" ht="15" customHeight="1">
      <c r="P1797" t="str">
        <f t="shared" si="56"/>
        <v/>
      </c>
      <c r="Q1797" t="str">
        <f>IF(P1797="","",IFERROR(IF(AND(H1797="W7",OR(F1797="causal",F1797="predictive")),IF(AND(OR(K1797=1,K1797="1"),OR(L1797=1,L1797="1"),OR(M1797=1,M1797="1")),"adequate","partial"),IF(AND(H1797="W4",F1797="predictive",OR(J1797="P2",J1797="P3",J1797="P4")),IF(OR(U1797=1,U1797="1"),"adequate","partial"),INDEX(Fit_Matrix!$B:$B,MATCH(P1797,Fit_Matrix!$A:$A,0)))),"CHECK KEY"))</f>
        <v/>
      </c>
      <c r="U1797" s="10"/>
      <c r="V1797" s="10"/>
      <c r="W1797" s="10"/>
      <c r="X1797" s="10"/>
      <c r="Y1797" s="10"/>
      <c r="Z1797" s="10"/>
      <c r="AA1797" s="11" t="str">
        <f t="shared" si="57"/>
        <v/>
      </c>
    </row>
    <row r="1798" spans="16:27" ht="15" customHeight="1">
      <c r="P1798" t="str">
        <f t="shared" si="56"/>
        <v/>
      </c>
      <c r="Q1798" t="str">
        <f>IF(P1798="","",IFERROR(IF(AND(H1798="W7",OR(F1798="causal",F1798="predictive")),IF(AND(OR(K1798=1,K1798="1"),OR(L1798=1,L1798="1"),OR(M1798=1,M1798="1")),"adequate","partial"),IF(AND(H1798="W4",F1798="predictive",OR(J1798="P2",J1798="P3",J1798="P4")),IF(OR(U1798=1,U1798="1"),"adequate","partial"),INDEX(Fit_Matrix!$B:$B,MATCH(P1798,Fit_Matrix!$A:$A,0)))),"CHECK KEY"))</f>
        <v/>
      </c>
      <c r="U1798" s="10"/>
      <c r="V1798" s="10"/>
      <c r="W1798" s="10"/>
      <c r="X1798" s="10"/>
      <c r="Y1798" s="10"/>
      <c r="Z1798" s="10"/>
      <c r="AA1798" s="11" t="str">
        <f t="shared" si="57"/>
        <v/>
      </c>
    </row>
    <row r="1799" spans="16:27" ht="15" customHeight="1">
      <c r="P1799" t="str">
        <f t="shared" si="56"/>
        <v/>
      </c>
      <c r="Q1799" t="str">
        <f>IF(P1799="","",IFERROR(IF(AND(H1799="W7",OR(F1799="causal",F1799="predictive")),IF(AND(OR(K1799=1,K1799="1"),OR(L1799=1,L1799="1"),OR(M1799=1,M1799="1")),"adequate","partial"),IF(AND(H1799="W4",F1799="predictive",OR(J1799="P2",J1799="P3",J1799="P4")),IF(OR(U1799=1,U1799="1"),"adequate","partial"),INDEX(Fit_Matrix!$B:$B,MATCH(P1799,Fit_Matrix!$A:$A,0)))),"CHECK KEY"))</f>
        <v/>
      </c>
      <c r="U1799" s="10"/>
      <c r="V1799" s="10"/>
      <c r="W1799" s="10"/>
      <c r="X1799" s="10"/>
      <c r="Y1799" s="10"/>
      <c r="Z1799" s="10"/>
      <c r="AA1799" s="11" t="str">
        <f t="shared" si="57"/>
        <v/>
      </c>
    </row>
    <row r="1800" spans="16:27" ht="15" customHeight="1">
      <c r="P1800" t="str">
        <f t="shared" si="56"/>
        <v/>
      </c>
      <c r="Q1800" t="str">
        <f>IF(P1800="","",IFERROR(IF(AND(H1800="W7",OR(F1800="causal",F1800="predictive")),IF(AND(OR(K1800=1,K1800="1"),OR(L1800=1,L1800="1"),OR(M1800=1,M1800="1")),"adequate","partial"),IF(AND(H1800="W4",F1800="predictive",OR(J1800="P2",J1800="P3",J1800="P4")),IF(OR(U1800=1,U1800="1"),"adequate","partial"),INDEX(Fit_Matrix!$B:$B,MATCH(P1800,Fit_Matrix!$A:$A,0)))),"CHECK KEY"))</f>
        <v/>
      </c>
      <c r="U1800" s="10"/>
      <c r="V1800" s="10"/>
      <c r="W1800" s="10"/>
      <c r="X1800" s="10"/>
      <c r="Y1800" s="10"/>
      <c r="Z1800" s="10"/>
      <c r="AA1800" s="11" t="str">
        <f t="shared" si="57"/>
        <v/>
      </c>
    </row>
    <row r="1801" spans="16:27" ht="15" customHeight="1">
      <c r="P1801" t="str">
        <f t="shared" si="56"/>
        <v/>
      </c>
      <c r="Q1801" t="str">
        <f>IF(P1801="","",IFERROR(IF(AND(H1801="W7",OR(F1801="causal",F1801="predictive")),IF(AND(OR(K1801=1,K1801="1"),OR(L1801=1,L1801="1"),OR(M1801=1,M1801="1")),"adequate","partial"),IF(AND(H1801="W4",F1801="predictive",OR(J1801="P2",J1801="P3",J1801="P4")),IF(OR(U1801=1,U1801="1"),"adequate","partial"),INDEX(Fit_Matrix!$B:$B,MATCH(P1801,Fit_Matrix!$A:$A,0)))),"CHECK KEY"))</f>
        <v/>
      </c>
      <c r="U1801" s="10"/>
      <c r="V1801" s="10"/>
      <c r="W1801" s="10"/>
      <c r="X1801" s="10"/>
      <c r="Y1801" s="10"/>
      <c r="Z1801" s="10"/>
      <c r="AA1801" s="11" t="str">
        <f t="shared" si="57"/>
        <v/>
      </c>
    </row>
    <row r="1802" spans="16:27" ht="15" customHeight="1">
      <c r="P1802" t="str">
        <f t="shared" si="56"/>
        <v/>
      </c>
      <c r="Q1802" t="str">
        <f>IF(P1802="","",IFERROR(IF(AND(H1802="W7",OR(F1802="causal",F1802="predictive")),IF(AND(OR(K1802=1,K1802="1"),OR(L1802=1,L1802="1"),OR(M1802=1,M1802="1")),"adequate","partial"),IF(AND(H1802="W4",F1802="predictive",OR(J1802="P2",J1802="P3",J1802="P4")),IF(OR(U1802=1,U1802="1"),"adequate","partial"),INDEX(Fit_Matrix!$B:$B,MATCH(P1802,Fit_Matrix!$A:$A,0)))),"CHECK KEY"))</f>
        <v/>
      </c>
      <c r="U1802" s="10"/>
      <c r="V1802" s="10"/>
      <c r="W1802" s="10"/>
      <c r="X1802" s="10"/>
      <c r="Y1802" s="10"/>
      <c r="Z1802" s="10"/>
      <c r="AA1802" s="11" t="str">
        <f t="shared" si="57"/>
        <v/>
      </c>
    </row>
    <row r="1803" spans="16:27" ht="15" customHeight="1">
      <c r="P1803" t="str">
        <f t="shared" si="56"/>
        <v/>
      </c>
      <c r="Q1803" t="str">
        <f>IF(P1803="","",IFERROR(IF(AND(H1803="W7",OR(F1803="causal",F1803="predictive")),IF(AND(OR(K1803=1,K1803="1"),OR(L1803=1,L1803="1"),OR(M1803=1,M1803="1")),"adequate","partial"),IF(AND(H1803="W4",F1803="predictive",OR(J1803="P2",J1803="P3",J1803="P4")),IF(OR(U1803=1,U1803="1"),"adequate","partial"),INDEX(Fit_Matrix!$B:$B,MATCH(P1803,Fit_Matrix!$A:$A,0)))),"CHECK KEY"))</f>
        <v/>
      </c>
      <c r="U1803" s="10"/>
      <c r="V1803" s="10"/>
      <c r="W1803" s="10"/>
      <c r="X1803" s="10"/>
      <c r="Y1803" s="10"/>
      <c r="Z1803" s="10"/>
      <c r="AA1803" s="11" t="str">
        <f t="shared" si="57"/>
        <v/>
      </c>
    </row>
    <row r="1804" spans="16:27" ht="15" customHeight="1">
      <c r="P1804" t="str">
        <f t="shared" si="56"/>
        <v/>
      </c>
      <c r="Q1804" t="str">
        <f>IF(P1804="","",IFERROR(IF(AND(H1804="W7",OR(F1804="causal",F1804="predictive")),IF(AND(OR(K1804=1,K1804="1"),OR(L1804=1,L1804="1"),OR(M1804=1,M1804="1")),"adequate","partial"),IF(AND(H1804="W4",F1804="predictive",OR(J1804="P2",J1804="P3",J1804="P4")),IF(OR(U1804=1,U1804="1"),"adequate","partial"),INDEX(Fit_Matrix!$B:$B,MATCH(P1804,Fit_Matrix!$A:$A,0)))),"CHECK KEY"))</f>
        <v/>
      </c>
      <c r="U1804" s="10"/>
      <c r="V1804" s="10"/>
      <c r="W1804" s="10"/>
      <c r="X1804" s="10"/>
      <c r="Y1804" s="10"/>
      <c r="Z1804" s="10"/>
      <c r="AA1804" s="11" t="str">
        <f t="shared" si="57"/>
        <v/>
      </c>
    </row>
    <row r="1805" spans="16:27" ht="15" customHeight="1">
      <c r="P1805" t="str">
        <f t="shared" si="56"/>
        <v/>
      </c>
      <c r="Q1805" t="str">
        <f>IF(P1805="","",IFERROR(IF(AND(H1805="W7",OR(F1805="causal",F1805="predictive")),IF(AND(OR(K1805=1,K1805="1"),OR(L1805=1,L1805="1"),OR(M1805=1,M1805="1")),"adequate","partial"),IF(AND(H1805="W4",F1805="predictive",OR(J1805="P2",J1805="P3",J1805="P4")),IF(OR(U1805=1,U1805="1"),"adequate","partial"),INDEX(Fit_Matrix!$B:$B,MATCH(P1805,Fit_Matrix!$A:$A,0)))),"CHECK KEY"))</f>
        <v/>
      </c>
      <c r="U1805" s="10"/>
      <c r="V1805" s="10"/>
      <c r="W1805" s="10"/>
      <c r="X1805" s="10"/>
      <c r="Y1805" s="10"/>
      <c r="Z1805" s="10"/>
      <c r="AA1805" s="11" t="str">
        <f t="shared" si="57"/>
        <v/>
      </c>
    </row>
    <row r="1806" spans="16:27" ht="15" customHeight="1">
      <c r="P1806" t="str">
        <f t="shared" si="56"/>
        <v/>
      </c>
      <c r="Q1806" t="str">
        <f>IF(P1806="","",IFERROR(IF(AND(H1806="W7",OR(F1806="causal",F1806="predictive")),IF(AND(OR(K1806=1,K1806="1"),OR(L1806=1,L1806="1"),OR(M1806=1,M1806="1")),"adequate","partial"),IF(AND(H1806="W4",F1806="predictive",OR(J1806="P2",J1806="P3",J1806="P4")),IF(OR(U1806=1,U1806="1"),"adequate","partial"),INDEX(Fit_Matrix!$B:$B,MATCH(P1806,Fit_Matrix!$A:$A,0)))),"CHECK KEY"))</f>
        <v/>
      </c>
      <c r="U1806" s="10"/>
      <c r="V1806" s="10"/>
      <c r="W1806" s="10"/>
      <c r="X1806" s="10"/>
      <c r="Y1806" s="10"/>
      <c r="Z1806" s="10"/>
      <c r="AA1806" s="11" t="str">
        <f t="shared" si="57"/>
        <v/>
      </c>
    </row>
    <row r="1807" spans="16:27" ht="15" customHeight="1">
      <c r="P1807" t="str">
        <f t="shared" si="56"/>
        <v/>
      </c>
      <c r="Q1807" t="str">
        <f>IF(P1807="","",IFERROR(IF(AND(H1807="W7",OR(F1807="causal",F1807="predictive")),IF(AND(OR(K1807=1,K1807="1"),OR(L1807=1,L1807="1"),OR(M1807=1,M1807="1")),"adequate","partial"),IF(AND(H1807="W4",F1807="predictive",OR(J1807="P2",J1807="P3",J1807="P4")),IF(OR(U1807=1,U1807="1"),"adequate","partial"),INDEX(Fit_Matrix!$B:$B,MATCH(P1807,Fit_Matrix!$A:$A,0)))),"CHECK KEY"))</f>
        <v/>
      </c>
      <c r="U1807" s="10"/>
      <c r="V1807" s="10"/>
      <c r="W1807" s="10"/>
      <c r="X1807" s="10"/>
      <c r="Y1807" s="10"/>
      <c r="Z1807" s="10"/>
      <c r="AA1807" s="11" t="str">
        <f t="shared" si="57"/>
        <v/>
      </c>
    </row>
    <row r="1808" spans="16:27" ht="15" customHeight="1">
      <c r="P1808" t="str">
        <f t="shared" si="56"/>
        <v/>
      </c>
      <c r="Q1808" t="str">
        <f>IF(P1808="","",IFERROR(IF(AND(H1808="W7",OR(F1808="causal",F1808="predictive")),IF(AND(OR(K1808=1,K1808="1"),OR(L1808=1,L1808="1"),OR(M1808=1,M1808="1")),"adequate","partial"),IF(AND(H1808="W4",F1808="predictive",OR(J1808="P2",J1808="P3",J1808="P4")),IF(OR(U1808=1,U1808="1"),"adequate","partial"),INDEX(Fit_Matrix!$B:$B,MATCH(P1808,Fit_Matrix!$A:$A,0)))),"CHECK KEY"))</f>
        <v/>
      </c>
      <c r="U1808" s="10"/>
      <c r="V1808" s="10"/>
      <c r="W1808" s="10"/>
      <c r="X1808" s="10"/>
      <c r="Y1808" s="10"/>
      <c r="Z1808" s="10"/>
      <c r="AA1808" s="11" t="str">
        <f t="shared" si="57"/>
        <v/>
      </c>
    </row>
    <row r="1809" spans="16:27" ht="15" customHeight="1">
      <c r="P1809" t="str">
        <f t="shared" si="56"/>
        <v/>
      </c>
      <c r="Q1809" t="str">
        <f>IF(P1809="","",IFERROR(IF(AND(H1809="W7",OR(F1809="causal",F1809="predictive")),IF(AND(OR(K1809=1,K1809="1"),OR(L1809=1,L1809="1"),OR(M1809=1,M1809="1")),"adequate","partial"),IF(AND(H1809="W4",F1809="predictive",OR(J1809="P2",J1809="P3",J1809="P4")),IF(OR(U1809=1,U1809="1"),"adequate","partial"),INDEX(Fit_Matrix!$B:$B,MATCH(P1809,Fit_Matrix!$A:$A,0)))),"CHECK KEY"))</f>
        <v/>
      </c>
      <c r="U1809" s="10"/>
      <c r="V1809" s="10"/>
      <c r="W1809" s="10"/>
      <c r="X1809" s="10"/>
      <c r="Y1809" s="10"/>
      <c r="Z1809" s="10"/>
      <c r="AA1809" s="11" t="str">
        <f t="shared" si="57"/>
        <v/>
      </c>
    </row>
    <row r="1810" spans="16:27" ht="15" customHeight="1">
      <c r="P1810" t="str">
        <f t="shared" si="56"/>
        <v/>
      </c>
      <c r="Q1810" t="str">
        <f>IF(P1810="","",IFERROR(IF(AND(H1810="W7",OR(F1810="causal",F1810="predictive")),IF(AND(OR(K1810=1,K1810="1"),OR(L1810=1,L1810="1"),OR(M1810=1,M1810="1")),"adequate","partial"),IF(AND(H1810="W4",F1810="predictive",OR(J1810="P2",J1810="P3",J1810="P4")),IF(OR(U1810=1,U1810="1"),"adequate","partial"),INDEX(Fit_Matrix!$B:$B,MATCH(P1810,Fit_Matrix!$A:$A,0)))),"CHECK KEY"))</f>
        <v/>
      </c>
      <c r="U1810" s="10"/>
      <c r="V1810" s="10"/>
      <c r="W1810" s="10"/>
      <c r="X1810" s="10"/>
      <c r="Y1810" s="10"/>
      <c r="Z1810" s="10"/>
      <c r="AA1810" s="11" t="str">
        <f t="shared" si="57"/>
        <v/>
      </c>
    </row>
    <row r="1811" spans="16:27" ht="15" customHeight="1">
      <c r="P1811" t="str">
        <f t="shared" si="56"/>
        <v/>
      </c>
      <c r="Q1811" t="str">
        <f>IF(P1811="","",IFERROR(IF(AND(H1811="W7",OR(F1811="causal",F1811="predictive")),IF(AND(OR(K1811=1,K1811="1"),OR(L1811=1,L1811="1"),OR(M1811=1,M1811="1")),"adequate","partial"),IF(AND(H1811="W4",F1811="predictive",OR(J1811="P2",J1811="P3",J1811="P4")),IF(OR(U1811=1,U1811="1"),"adequate","partial"),INDEX(Fit_Matrix!$B:$B,MATCH(P1811,Fit_Matrix!$A:$A,0)))),"CHECK KEY"))</f>
        <v/>
      </c>
      <c r="U1811" s="10"/>
      <c r="V1811" s="10"/>
      <c r="W1811" s="10"/>
      <c r="X1811" s="10"/>
      <c r="Y1811" s="10"/>
      <c r="Z1811" s="10"/>
      <c r="AA1811" s="11" t="str">
        <f t="shared" si="57"/>
        <v/>
      </c>
    </row>
    <row r="1812" spans="16:27" ht="15" customHeight="1">
      <c r="P1812" t="str">
        <f t="shared" si="56"/>
        <v/>
      </c>
      <c r="Q1812" t="str">
        <f>IF(P1812="","",IFERROR(IF(AND(H1812="W7",OR(F1812="causal",F1812="predictive")),IF(AND(OR(K1812=1,K1812="1"),OR(L1812=1,L1812="1"),OR(M1812=1,M1812="1")),"adequate","partial"),IF(AND(H1812="W4",F1812="predictive",OR(J1812="P2",J1812="P3",J1812="P4")),IF(OR(U1812=1,U1812="1"),"adequate","partial"),INDEX(Fit_Matrix!$B:$B,MATCH(P1812,Fit_Matrix!$A:$A,0)))),"CHECK KEY"))</f>
        <v/>
      </c>
      <c r="U1812" s="10"/>
      <c r="V1812" s="10"/>
      <c r="W1812" s="10"/>
      <c r="X1812" s="10"/>
      <c r="Y1812" s="10"/>
      <c r="Z1812" s="10"/>
      <c r="AA1812" s="11" t="str">
        <f t="shared" si="57"/>
        <v/>
      </c>
    </row>
    <row r="1813" spans="16:27" ht="15" customHeight="1">
      <c r="P1813" t="str">
        <f t="shared" si="56"/>
        <v/>
      </c>
      <c r="Q1813" t="str">
        <f>IF(P1813="","",IFERROR(IF(AND(H1813="W7",OR(F1813="causal",F1813="predictive")),IF(AND(OR(K1813=1,K1813="1"),OR(L1813=1,L1813="1"),OR(M1813=1,M1813="1")),"adequate","partial"),IF(AND(H1813="W4",F1813="predictive",OR(J1813="P2",J1813="P3",J1813="P4")),IF(OR(U1813=1,U1813="1"),"adequate","partial"),INDEX(Fit_Matrix!$B:$B,MATCH(P1813,Fit_Matrix!$A:$A,0)))),"CHECK KEY"))</f>
        <v/>
      </c>
      <c r="U1813" s="10"/>
      <c r="V1813" s="10"/>
      <c r="W1813" s="10"/>
      <c r="X1813" s="10"/>
      <c r="Y1813" s="10"/>
      <c r="Z1813" s="10"/>
      <c r="AA1813" s="11" t="str">
        <f t="shared" si="57"/>
        <v/>
      </c>
    </row>
    <row r="1814" spans="16:27" ht="15" customHeight="1">
      <c r="P1814" t="str">
        <f t="shared" si="56"/>
        <v/>
      </c>
      <c r="Q1814" t="str">
        <f>IF(P1814="","",IFERROR(IF(AND(H1814="W7",OR(F1814="causal",F1814="predictive")),IF(AND(OR(K1814=1,K1814="1"),OR(L1814=1,L1814="1"),OR(M1814=1,M1814="1")),"adequate","partial"),IF(AND(H1814="W4",F1814="predictive",OR(J1814="P2",J1814="P3",J1814="P4")),IF(OR(U1814=1,U1814="1"),"adequate","partial"),INDEX(Fit_Matrix!$B:$B,MATCH(P1814,Fit_Matrix!$A:$A,0)))),"CHECK KEY"))</f>
        <v/>
      </c>
      <c r="U1814" s="10"/>
      <c r="V1814" s="10"/>
      <c r="W1814" s="10"/>
      <c r="X1814" s="10"/>
      <c r="Y1814" s="10"/>
      <c r="Z1814" s="10"/>
      <c r="AA1814" s="11" t="str">
        <f t="shared" si="57"/>
        <v/>
      </c>
    </row>
    <row r="1815" spans="16:27" ht="15" customHeight="1">
      <c r="P1815" t="str">
        <f t="shared" si="56"/>
        <v/>
      </c>
      <c r="Q1815" t="str">
        <f>IF(P1815="","",IFERROR(IF(AND(H1815="W7",OR(F1815="causal",F1815="predictive")),IF(AND(OR(K1815=1,K1815="1"),OR(L1815=1,L1815="1"),OR(M1815=1,M1815="1")),"adequate","partial"),IF(AND(H1815="W4",F1815="predictive",OR(J1815="P2",J1815="P3",J1815="P4")),IF(OR(U1815=1,U1815="1"),"adequate","partial"),INDEX(Fit_Matrix!$B:$B,MATCH(P1815,Fit_Matrix!$A:$A,0)))),"CHECK KEY"))</f>
        <v/>
      </c>
      <c r="U1815" s="10"/>
      <c r="V1815" s="10"/>
      <c r="W1815" s="10"/>
      <c r="X1815" s="10"/>
      <c r="Y1815" s="10"/>
      <c r="Z1815" s="10"/>
      <c r="AA1815" s="11" t="str">
        <f t="shared" si="57"/>
        <v/>
      </c>
    </row>
    <row r="1816" spans="16:27" ht="15" customHeight="1">
      <c r="P1816" t="str">
        <f t="shared" si="56"/>
        <v/>
      </c>
      <c r="Q1816" t="str">
        <f>IF(P1816="","",IFERROR(IF(AND(H1816="W7",OR(F1816="causal",F1816="predictive")),IF(AND(OR(K1816=1,K1816="1"),OR(L1816=1,L1816="1"),OR(M1816=1,M1816="1")),"adequate","partial"),IF(AND(H1816="W4",F1816="predictive",OR(J1816="P2",J1816="P3",J1816="P4")),IF(OR(U1816=1,U1816="1"),"adequate","partial"),INDEX(Fit_Matrix!$B:$B,MATCH(P1816,Fit_Matrix!$A:$A,0)))),"CHECK KEY"))</f>
        <v/>
      </c>
      <c r="U1816" s="10"/>
      <c r="V1816" s="10"/>
      <c r="W1816" s="10"/>
      <c r="X1816" s="10"/>
      <c r="Y1816" s="10"/>
      <c r="Z1816" s="10"/>
      <c r="AA1816" s="11" t="str">
        <f t="shared" si="57"/>
        <v/>
      </c>
    </row>
    <row r="1817" spans="16:27" ht="15" customHeight="1">
      <c r="P1817" t="str">
        <f t="shared" si="56"/>
        <v/>
      </c>
      <c r="Q1817" t="str">
        <f>IF(P1817="","",IFERROR(IF(AND(H1817="W7",OR(F1817="causal",F1817="predictive")),IF(AND(OR(K1817=1,K1817="1"),OR(L1817=1,L1817="1"),OR(M1817=1,M1817="1")),"adequate","partial"),IF(AND(H1817="W4",F1817="predictive",OR(J1817="P2",J1817="P3",J1817="P4")),IF(OR(U1817=1,U1817="1"),"adequate","partial"),INDEX(Fit_Matrix!$B:$B,MATCH(P1817,Fit_Matrix!$A:$A,0)))),"CHECK KEY"))</f>
        <v/>
      </c>
      <c r="U1817" s="10"/>
      <c r="V1817" s="10"/>
      <c r="W1817" s="10"/>
      <c r="X1817" s="10"/>
      <c r="Y1817" s="10"/>
      <c r="Z1817" s="10"/>
      <c r="AA1817" s="11" t="str">
        <f t="shared" si="57"/>
        <v/>
      </c>
    </row>
    <row r="1818" spans="16:27" ht="15" customHeight="1">
      <c r="P1818" t="str">
        <f t="shared" si="56"/>
        <v/>
      </c>
      <c r="Q1818" t="str">
        <f>IF(P1818="","",IFERROR(IF(AND(H1818="W7",OR(F1818="causal",F1818="predictive")),IF(AND(OR(K1818=1,K1818="1"),OR(L1818=1,L1818="1"),OR(M1818=1,M1818="1")),"adequate","partial"),IF(AND(H1818="W4",F1818="predictive",OR(J1818="P2",J1818="P3",J1818="P4")),IF(OR(U1818=1,U1818="1"),"adequate","partial"),INDEX(Fit_Matrix!$B:$B,MATCH(P1818,Fit_Matrix!$A:$A,0)))),"CHECK KEY"))</f>
        <v/>
      </c>
      <c r="U1818" s="10"/>
      <c r="V1818" s="10"/>
      <c r="W1818" s="10"/>
      <c r="X1818" s="10"/>
      <c r="Y1818" s="10"/>
      <c r="Z1818" s="10"/>
      <c r="AA1818" s="11" t="str">
        <f t="shared" si="57"/>
        <v/>
      </c>
    </row>
    <row r="1819" spans="16:27" ht="15" customHeight="1">
      <c r="P1819" t="str">
        <f t="shared" si="56"/>
        <v/>
      </c>
      <c r="Q1819" t="str">
        <f>IF(P1819="","",IFERROR(IF(AND(H1819="W7",OR(F1819="causal",F1819="predictive")),IF(AND(OR(K1819=1,K1819="1"),OR(L1819=1,L1819="1"),OR(M1819=1,M1819="1")),"adequate","partial"),IF(AND(H1819="W4",F1819="predictive",OR(J1819="P2",J1819="P3",J1819="P4")),IF(OR(U1819=1,U1819="1"),"adequate","partial"),INDEX(Fit_Matrix!$B:$B,MATCH(P1819,Fit_Matrix!$A:$A,0)))),"CHECK KEY"))</f>
        <v/>
      </c>
      <c r="U1819" s="10"/>
      <c r="V1819" s="10"/>
      <c r="W1819" s="10"/>
      <c r="X1819" s="10"/>
      <c r="Y1819" s="10"/>
      <c r="Z1819" s="10"/>
      <c r="AA1819" s="11" t="str">
        <f t="shared" si="57"/>
        <v/>
      </c>
    </row>
    <row r="1820" spans="16:27" ht="15" customHeight="1">
      <c r="P1820" t="str">
        <f t="shared" si="56"/>
        <v/>
      </c>
      <c r="Q1820" t="str">
        <f>IF(P1820="","",IFERROR(IF(AND(H1820="W7",OR(F1820="causal",F1820="predictive")),IF(AND(OR(K1820=1,K1820="1"),OR(L1820=1,L1820="1"),OR(M1820=1,M1820="1")),"adequate","partial"),IF(AND(H1820="W4",F1820="predictive",OR(J1820="P2",J1820="P3",J1820="P4")),IF(OR(U1820=1,U1820="1"),"adequate","partial"),INDEX(Fit_Matrix!$B:$B,MATCH(P1820,Fit_Matrix!$A:$A,0)))),"CHECK KEY"))</f>
        <v/>
      </c>
      <c r="U1820" s="10"/>
      <c r="V1820" s="10"/>
      <c r="W1820" s="10"/>
      <c r="X1820" s="10"/>
      <c r="Y1820" s="10"/>
      <c r="Z1820" s="10"/>
      <c r="AA1820" s="11" t="str">
        <f t="shared" si="57"/>
        <v/>
      </c>
    </row>
    <row r="1821" spans="16:27" ht="15" customHeight="1">
      <c r="P1821" t="str">
        <f t="shared" si="56"/>
        <v/>
      </c>
      <c r="Q1821" t="str">
        <f>IF(P1821="","",IFERROR(IF(AND(H1821="W7",OR(F1821="causal",F1821="predictive")),IF(AND(OR(K1821=1,K1821="1"),OR(L1821=1,L1821="1"),OR(M1821=1,M1821="1")),"adequate","partial"),IF(AND(H1821="W4",F1821="predictive",OR(J1821="P2",J1821="P3",J1821="P4")),IF(OR(U1821=1,U1821="1"),"adequate","partial"),INDEX(Fit_Matrix!$B:$B,MATCH(P1821,Fit_Matrix!$A:$A,0)))),"CHECK KEY"))</f>
        <v/>
      </c>
      <c r="U1821" s="10"/>
      <c r="V1821" s="10"/>
      <c r="W1821" s="10"/>
      <c r="X1821" s="10"/>
      <c r="Y1821" s="10"/>
      <c r="Z1821" s="10"/>
      <c r="AA1821" s="11" t="str">
        <f t="shared" si="57"/>
        <v/>
      </c>
    </row>
    <row r="1822" spans="16:27" ht="15" customHeight="1">
      <c r="P1822" t="str">
        <f t="shared" si="56"/>
        <v/>
      </c>
      <c r="Q1822" t="str">
        <f>IF(P1822="","",IFERROR(IF(AND(H1822="W7",OR(F1822="causal",F1822="predictive")),IF(AND(OR(K1822=1,K1822="1"),OR(L1822=1,L1822="1"),OR(M1822=1,M1822="1")),"adequate","partial"),IF(AND(H1822="W4",F1822="predictive",OR(J1822="P2",J1822="P3",J1822="P4")),IF(OR(U1822=1,U1822="1"),"adequate","partial"),INDEX(Fit_Matrix!$B:$B,MATCH(P1822,Fit_Matrix!$A:$A,0)))),"CHECK KEY"))</f>
        <v/>
      </c>
      <c r="U1822" s="10"/>
      <c r="V1822" s="10"/>
      <c r="W1822" s="10"/>
      <c r="X1822" s="10"/>
      <c r="Y1822" s="10"/>
      <c r="Z1822" s="10"/>
      <c r="AA1822" s="11" t="str">
        <f t="shared" si="57"/>
        <v/>
      </c>
    </row>
    <row r="1823" spans="16:27" ht="15" customHeight="1">
      <c r="P1823" t="str">
        <f t="shared" si="56"/>
        <v/>
      </c>
      <c r="Q1823" t="str">
        <f>IF(P1823="","",IFERROR(IF(AND(H1823="W7",OR(F1823="causal",F1823="predictive")),IF(AND(OR(K1823=1,K1823="1"),OR(L1823=1,L1823="1"),OR(M1823=1,M1823="1")),"adequate","partial"),IF(AND(H1823="W4",F1823="predictive",OR(J1823="P2",J1823="P3",J1823="P4")),IF(OR(U1823=1,U1823="1"),"adequate","partial"),INDEX(Fit_Matrix!$B:$B,MATCH(P1823,Fit_Matrix!$A:$A,0)))),"CHECK KEY"))</f>
        <v/>
      </c>
      <c r="U1823" s="10"/>
      <c r="V1823" s="10"/>
      <c r="W1823" s="10"/>
      <c r="X1823" s="10"/>
      <c r="Y1823" s="10"/>
      <c r="Z1823" s="10"/>
      <c r="AA1823" s="11" t="str">
        <f t="shared" si="57"/>
        <v/>
      </c>
    </row>
    <row r="1824" spans="16:27" ht="15" customHeight="1">
      <c r="P1824" t="str">
        <f t="shared" si="56"/>
        <v/>
      </c>
      <c r="Q1824" t="str">
        <f>IF(P1824="","",IFERROR(IF(AND(H1824="W7",OR(F1824="causal",F1824="predictive")),IF(AND(OR(K1824=1,K1824="1"),OR(L1824=1,L1824="1"),OR(M1824=1,M1824="1")),"adequate","partial"),IF(AND(H1824="W4",F1824="predictive",OR(J1824="P2",J1824="P3",J1824="P4")),IF(OR(U1824=1,U1824="1"),"adequate","partial"),INDEX(Fit_Matrix!$B:$B,MATCH(P1824,Fit_Matrix!$A:$A,0)))),"CHECK KEY"))</f>
        <v/>
      </c>
      <c r="U1824" s="10"/>
      <c r="V1824" s="10"/>
      <c r="W1824" s="10"/>
      <c r="X1824" s="10"/>
      <c r="Y1824" s="10"/>
      <c r="Z1824" s="10"/>
      <c r="AA1824" s="11" t="str">
        <f t="shared" si="57"/>
        <v/>
      </c>
    </row>
    <row r="1825" spans="16:27" ht="15" customHeight="1">
      <c r="P1825" t="str">
        <f t="shared" si="56"/>
        <v/>
      </c>
      <c r="Q1825" t="str">
        <f>IF(P1825="","",IFERROR(IF(AND(H1825="W7",OR(F1825="causal",F1825="predictive")),IF(AND(OR(K1825=1,K1825="1"),OR(L1825=1,L1825="1"),OR(M1825=1,M1825="1")),"adequate","partial"),IF(AND(H1825="W4",F1825="predictive",OR(J1825="P2",J1825="P3",J1825="P4")),IF(OR(U1825=1,U1825="1"),"adequate","partial"),INDEX(Fit_Matrix!$B:$B,MATCH(P1825,Fit_Matrix!$A:$A,0)))),"CHECK KEY"))</f>
        <v/>
      </c>
      <c r="U1825" s="10"/>
      <c r="V1825" s="10"/>
      <c r="W1825" s="10"/>
      <c r="X1825" s="10"/>
      <c r="Y1825" s="10"/>
      <c r="Z1825" s="10"/>
      <c r="AA1825" s="11" t="str">
        <f t="shared" si="57"/>
        <v/>
      </c>
    </row>
    <row r="1826" spans="16:27" ht="15" customHeight="1">
      <c r="P1826" t="str">
        <f t="shared" si="56"/>
        <v/>
      </c>
      <c r="Q1826" t="str">
        <f>IF(P1826="","",IFERROR(IF(AND(H1826="W7",OR(F1826="causal",F1826="predictive")),IF(AND(OR(K1826=1,K1826="1"),OR(L1826=1,L1826="1"),OR(M1826=1,M1826="1")),"adequate","partial"),IF(AND(H1826="W4",F1826="predictive",OR(J1826="P2",J1826="P3",J1826="P4")),IF(OR(U1826=1,U1826="1"),"adequate","partial"),INDEX(Fit_Matrix!$B:$B,MATCH(P1826,Fit_Matrix!$A:$A,0)))),"CHECK KEY"))</f>
        <v/>
      </c>
      <c r="U1826" s="10"/>
      <c r="V1826" s="10"/>
      <c r="W1826" s="10"/>
      <c r="X1826" s="10"/>
      <c r="Y1826" s="10"/>
      <c r="Z1826" s="10"/>
      <c r="AA1826" s="11" t="str">
        <f t="shared" si="57"/>
        <v/>
      </c>
    </row>
    <row r="1827" spans="16:27" ht="15" customHeight="1">
      <c r="P1827" t="str">
        <f t="shared" si="56"/>
        <v/>
      </c>
      <c r="Q1827" t="str">
        <f>IF(P1827="","",IFERROR(IF(AND(H1827="W7",OR(F1827="causal",F1827="predictive")),IF(AND(OR(K1827=1,K1827="1"),OR(L1827=1,L1827="1"),OR(M1827=1,M1827="1")),"adequate","partial"),IF(AND(H1827="W4",F1827="predictive",OR(J1827="P2",J1827="P3",J1827="P4")),IF(OR(U1827=1,U1827="1"),"adequate","partial"),INDEX(Fit_Matrix!$B:$B,MATCH(P1827,Fit_Matrix!$A:$A,0)))),"CHECK KEY"))</f>
        <v/>
      </c>
      <c r="U1827" s="10"/>
      <c r="V1827" s="10"/>
      <c r="W1827" s="10"/>
      <c r="X1827" s="10"/>
      <c r="Y1827" s="10"/>
      <c r="Z1827" s="10"/>
      <c r="AA1827" s="11" t="str">
        <f t="shared" si="57"/>
        <v/>
      </c>
    </row>
    <row r="1828" spans="16:27" ht="15" customHeight="1">
      <c r="P1828" t="str">
        <f t="shared" si="56"/>
        <v/>
      </c>
      <c r="Q1828" t="str">
        <f>IF(P1828="","",IFERROR(IF(AND(H1828="W7",OR(F1828="causal",F1828="predictive")),IF(AND(OR(K1828=1,K1828="1"),OR(L1828=1,L1828="1"),OR(M1828=1,M1828="1")),"adequate","partial"),IF(AND(H1828="W4",F1828="predictive",OR(J1828="P2",J1828="P3",J1828="P4")),IF(OR(U1828=1,U1828="1"),"adequate","partial"),INDEX(Fit_Matrix!$B:$B,MATCH(P1828,Fit_Matrix!$A:$A,0)))),"CHECK KEY"))</f>
        <v/>
      </c>
      <c r="U1828" s="10"/>
      <c r="V1828" s="10"/>
      <c r="W1828" s="10"/>
      <c r="X1828" s="10"/>
      <c r="Y1828" s="10"/>
      <c r="Z1828" s="10"/>
      <c r="AA1828" s="11" t="str">
        <f t="shared" si="57"/>
        <v/>
      </c>
    </row>
    <row r="1829" spans="16:27" ht="15" customHeight="1">
      <c r="P1829" t="str">
        <f t="shared" si="56"/>
        <v/>
      </c>
      <c r="Q1829" t="str">
        <f>IF(P1829="","",IFERROR(IF(AND(H1829="W7",OR(F1829="causal",F1829="predictive")),IF(AND(OR(K1829=1,K1829="1"),OR(L1829=1,L1829="1"),OR(M1829=1,M1829="1")),"adequate","partial"),IF(AND(H1829="W4",F1829="predictive",OR(J1829="P2",J1829="P3",J1829="P4")),IF(OR(U1829=1,U1829="1"),"adequate","partial"),INDEX(Fit_Matrix!$B:$B,MATCH(P1829,Fit_Matrix!$A:$A,0)))),"CHECK KEY"))</f>
        <v/>
      </c>
      <c r="U1829" s="10"/>
      <c r="V1829" s="10"/>
      <c r="W1829" s="10"/>
      <c r="X1829" s="10"/>
      <c r="Y1829" s="10"/>
      <c r="Z1829" s="10"/>
      <c r="AA1829" s="11" t="str">
        <f t="shared" si="57"/>
        <v/>
      </c>
    </row>
    <row r="1830" spans="16:27" ht="15" customHeight="1">
      <c r="P1830" t="str">
        <f t="shared" si="56"/>
        <v/>
      </c>
      <c r="Q1830" t="str">
        <f>IF(P1830="","",IFERROR(IF(AND(H1830="W7",OR(F1830="causal",F1830="predictive")),IF(AND(OR(K1830=1,K1830="1"),OR(L1830=1,L1830="1"),OR(M1830=1,M1830="1")),"adequate","partial"),IF(AND(H1830="W4",F1830="predictive",OR(J1830="P2",J1830="P3",J1830="P4")),IF(OR(U1830=1,U1830="1"),"adequate","partial"),INDEX(Fit_Matrix!$B:$B,MATCH(P1830,Fit_Matrix!$A:$A,0)))),"CHECK KEY"))</f>
        <v/>
      </c>
      <c r="U1830" s="10"/>
      <c r="V1830" s="10"/>
      <c r="W1830" s="10"/>
      <c r="X1830" s="10"/>
      <c r="Y1830" s="10"/>
      <c r="Z1830" s="10"/>
      <c r="AA1830" s="11" t="str">
        <f t="shared" si="57"/>
        <v/>
      </c>
    </row>
    <row r="1831" spans="16:27" ht="15" customHeight="1">
      <c r="P1831" t="str">
        <f t="shared" si="56"/>
        <v/>
      </c>
      <c r="Q1831" t="str">
        <f>IF(P1831="","",IFERROR(IF(AND(H1831="W7",OR(F1831="causal",F1831="predictive")),IF(AND(OR(K1831=1,K1831="1"),OR(L1831=1,L1831="1"),OR(M1831=1,M1831="1")),"adequate","partial"),IF(AND(H1831="W4",F1831="predictive",OR(J1831="P2",J1831="P3",J1831="P4")),IF(OR(U1831=1,U1831="1"),"adequate","partial"),INDEX(Fit_Matrix!$B:$B,MATCH(P1831,Fit_Matrix!$A:$A,0)))),"CHECK KEY"))</f>
        <v/>
      </c>
      <c r="U1831" s="10"/>
      <c r="V1831" s="10"/>
      <c r="W1831" s="10"/>
      <c r="X1831" s="10"/>
      <c r="Y1831" s="10"/>
      <c r="Z1831" s="10"/>
      <c r="AA1831" s="11" t="str">
        <f t="shared" si="57"/>
        <v/>
      </c>
    </row>
    <row r="1832" spans="16:27" ht="15" customHeight="1">
      <c r="P1832" t="str">
        <f t="shared" si="56"/>
        <v/>
      </c>
      <c r="Q1832" t="str">
        <f>IF(P1832="","",IFERROR(IF(AND(H1832="W7",OR(F1832="causal",F1832="predictive")),IF(AND(OR(K1832=1,K1832="1"),OR(L1832=1,L1832="1"),OR(M1832=1,M1832="1")),"adequate","partial"),IF(AND(H1832="W4",F1832="predictive",OR(J1832="P2",J1832="P3",J1832="P4")),IF(OR(U1832=1,U1832="1"),"adequate","partial"),INDEX(Fit_Matrix!$B:$B,MATCH(P1832,Fit_Matrix!$A:$A,0)))),"CHECK KEY"))</f>
        <v/>
      </c>
      <c r="U1832" s="10"/>
      <c r="V1832" s="10"/>
      <c r="W1832" s="10"/>
      <c r="X1832" s="10"/>
      <c r="Y1832" s="10"/>
      <c r="Z1832" s="10"/>
      <c r="AA1832" s="11" t="str">
        <f t="shared" si="57"/>
        <v/>
      </c>
    </row>
    <row r="1833" spans="16:27" ht="15" customHeight="1">
      <c r="P1833" t="str">
        <f t="shared" si="56"/>
        <v/>
      </c>
      <c r="Q1833" t="str">
        <f>IF(P1833="","",IFERROR(IF(AND(H1833="W7",OR(F1833="causal",F1833="predictive")),IF(AND(OR(K1833=1,K1833="1"),OR(L1833=1,L1833="1"),OR(M1833=1,M1833="1")),"adequate","partial"),IF(AND(H1833="W4",F1833="predictive",OR(J1833="P2",J1833="P3",J1833="P4")),IF(OR(U1833=1,U1833="1"),"adequate","partial"),INDEX(Fit_Matrix!$B:$B,MATCH(P1833,Fit_Matrix!$A:$A,0)))),"CHECK KEY"))</f>
        <v/>
      </c>
      <c r="U1833" s="10"/>
      <c r="V1833" s="10"/>
      <c r="W1833" s="10"/>
      <c r="X1833" s="10"/>
      <c r="Y1833" s="10"/>
      <c r="Z1833" s="10"/>
      <c r="AA1833" s="11" t="str">
        <f t="shared" si="57"/>
        <v/>
      </c>
    </row>
    <row r="1834" spans="16:27" ht="15" customHeight="1">
      <c r="P1834" t="str">
        <f t="shared" si="56"/>
        <v/>
      </c>
      <c r="Q1834" t="str">
        <f>IF(P1834="","",IFERROR(IF(AND(H1834="W7",OR(F1834="causal",F1834="predictive")),IF(AND(OR(K1834=1,K1834="1"),OR(L1834=1,L1834="1"),OR(M1834=1,M1834="1")),"adequate","partial"),IF(AND(H1834="W4",F1834="predictive",OR(J1834="P2",J1834="P3",J1834="P4")),IF(OR(U1834=1,U1834="1"),"adequate","partial"),INDEX(Fit_Matrix!$B:$B,MATCH(P1834,Fit_Matrix!$A:$A,0)))),"CHECK KEY"))</f>
        <v/>
      </c>
      <c r="U1834" s="10"/>
      <c r="V1834" s="10"/>
      <c r="W1834" s="10"/>
      <c r="X1834" s="10"/>
      <c r="Y1834" s="10"/>
      <c r="Z1834" s="10"/>
      <c r="AA1834" s="11" t="str">
        <f t="shared" si="57"/>
        <v/>
      </c>
    </row>
    <row r="1835" spans="16:27" ht="15" customHeight="1">
      <c r="P1835" t="str">
        <f t="shared" si="56"/>
        <v/>
      </c>
      <c r="Q1835" t="str">
        <f>IF(P1835="","",IFERROR(IF(AND(H1835="W7",OR(F1835="causal",F1835="predictive")),IF(AND(OR(K1835=1,K1835="1"),OR(L1835=1,L1835="1"),OR(M1835=1,M1835="1")),"adequate","partial"),IF(AND(H1835="W4",F1835="predictive",OR(J1835="P2",J1835="P3",J1835="P4")),IF(OR(U1835=1,U1835="1"),"adequate","partial"),INDEX(Fit_Matrix!$B:$B,MATCH(P1835,Fit_Matrix!$A:$A,0)))),"CHECK KEY"))</f>
        <v/>
      </c>
      <c r="U1835" s="10"/>
      <c r="V1835" s="10"/>
      <c r="W1835" s="10"/>
      <c r="X1835" s="10"/>
      <c r="Y1835" s="10"/>
      <c r="Z1835" s="10"/>
      <c r="AA1835" s="11" t="str">
        <f t="shared" si="57"/>
        <v/>
      </c>
    </row>
    <row r="1836" spans="16:27" ht="15" customHeight="1">
      <c r="P1836" t="str">
        <f t="shared" si="56"/>
        <v/>
      </c>
      <c r="Q1836" t="str">
        <f>IF(P1836="","",IFERROR(IF(AND(H1836="W7",OR(F1836="causal",F1836="predictive")),IF(AND(OR(K1836=1,K1836="1"),OR(L1836=1,L1836="1"),OR(M1836=1,M1836="1")),"adequate","partial"),IF(AND(H1836="W4",F1836="predictive",OR(J1836="P2",J1836="P3",J1836="P4")),IF(OR(U1836=1,U1836="1"),"adequate","partial"),INDEX(Fit_Matrix!$B:$B,MATCH(P1836,Fit_Matrix!$A:$A,0)))),"CHECK KEY"))</f>
        <v/>
      </c>
      <c r="U1836" s="10"/>
      <c r="V1836" s="10"/>
      <c r="W1836" s="10"/>
      <c r="X1836" s="10"/>
      <c r="Y1836" s="10"/>
      <c r="Z1836" s="10"/>
      <c r="AA1836" s="11" t="str">
        <f t="shared" si="57"/>
        <v/>
      </c>
    </row>
    <row r="1837" spans="16:27" ht="15" customHeight="1">
      <c r="P1837" t="str">
        <f t="shared" si="56"/>
        <v/>
      </c>
      <c r="Q1837" t="str">
        <f>IF(P1837="","",IFERROR(IF(AND(H1837="W7",OR(F1837="causal",F1837="predictive")),IF(AND(OR(K1837=1,K1837="1"),OR(L1837=1,L1837="1"),OR(M1837=1,M1837="1")),"adequate","partial"),IF(AND(H1837="W4",F1837="predictive",OR(J1837="P2",J1837="P3",J1837="P4")),IF(OR(U1837=1,U1837="1"),"adequate","partial"),INDEX(Fit_Matrix!$B:$B,MATCH(P1837,Fit_Matrix!$A:$A,0)))),"CHECK KEY"))</f>
        <v/>
      </c>
      <c r="U1837" s="10"/>
      <c r="V1837" s="10"/>
      <c r="W1837" s="10"/>
      <c r="X1837" s="10"/>
      <c r="Y1837" s="10"/>
      <c r="Z1837" s="10"/>
      <c r="AA1837" s="11" t="str">
        <f t="shared" si="57"/>
        <v/>
      </c>
    </row>
    <row r="1838" spans="16:27" ht="15" customHeight="1">
      <c r="P1838" t="str">
        <f t="shared" si="56"/>
        <v/>
      </c>
      <c r="Q1838" t="str">
        <f>IF(P1838="","",IFERROR(IF(AND(H1838="W7",OR(F1838="causal",F1838="predictive")),IF(AND(OR(K1838=1,K1838="1"),OR(L1838=1,L1838="1"),OR(M1838=1,M1838="1")),"adequate","partial"),IF(AND(H1838="W4",F1838="predictive",OR(J1838="P2",J1838="P3",J1838="P4")),IF(OR(U1838=1,U1838="1"),"adequate","partial"),INDEX(Fit_Matrix!$B:$B,MATCH(P1838,Fit_Matrix!$A:$A,0)))),"CHECK KEY"))</f>
        <v/>
      </c>
      <c r="U1838" s="10"/>
      <c r="V1838" s="10"/>
      <c r="W1838" s="10"/>
      <c r="X1838" s="10"/>
      <c r="Y1838" s="10"/>
      <c r="Z1838" s="10"/>
      <c r="AA1838" s="11" t="str">
        <f t="shared" si="57"/>
        <v/>
      </c>
    </row>
    <row r="1839" spans="16:27" ht="15" customHeight="1">
      <c r="P1839" t="str">
        <f t="shared" si="56"/>
        <v/>
      </c>
      <c r="Q1839" t="str">
        <f>IF(P1839="","",IFERROR(IF(AND(H1839="W7",OR(F1839="causal",F1839="predictive")),IF(AND(OR(K1839=1,K1839="1"),OR(L1839=1,L1839="1"),OR(M1839=1,M1839="1")),"adequate","partial"),IF(AND(H1839="W4",F1839="predictive",OR(J1839="P2",J1839="P3",J1839="P4")),IF(OR(U1839=1,U1839="1"),"adequate","partial"),INDEX(Fit_Matrix!$B:$B,MATCH(P1839,Fit_Matrix!$A:$A,0)))),"CHECK KEY"))</f>
        <v/>
      </c>
      <c r="U1839" s="10"/>
      <c r="V1839" s="10"/>
      <c r="W1839" s="10"/>
      <c r="X1839" s="10"/>
      <c r="Y1839" s="10"/>
      <c r="Z1839" s="10"/>
      <c r="AA1839" s="11" t="str">
        <f t="shared" si="57"/>
        <v/>
      </c>
    </row>
    <row r="1840" spans="16:27" ht="15" customHeight="1">
      <c r="P1840" t="str">
        <f t="shared" si="56"/>
        <v/>
      </c>
      <c r="Q1840" t="str">
        <f>IF(P1840="","",IFERROR(IF(AND(H1840="W7",OR(F1840="causal",F1840="predictive")),IF(AND(OR(K1840=1,K1840="1"),OR(L1840=1,L1840="1"),OR(M1840=1,M1840="1")),"adequate","partial"),IF(AND(H1840="W4",F1840="predictive",OR(J1840="P2",J1840="P3",J1840="P4")),IF(OR(U1840=1,U1840="1"),"adequate","partial"),INDEX(Fit_Matrix!$B:$B,MATCH(P1840,Fit_Matrix!$A:$A,0)))),"CHECK KEY"))</f>
        <v/>
      </c>
      <c r="U1840" s="10"/>
      <c r="V1840" s="10"/>
      <c r="W1840" s="10"/>
      <c r="X1840" s="10"/>
      <c r="Y1840" s="10"/>
      <c r="Z1840" s="10"/>
      <c r="AA1840" s="11" t="str">
        <f t="shared" si="57"/>
        <v/>
      </c>
    </row>
    <row r="1841" spans="16:27" ht="15" customHeight="1">
      <c r="P1841" t="str">
        <f t="shared" si="56"/>
        <v/>
      </c>
      <c r="Q1841" t="str">
        <f>IF(P1841="","",IFERROR(IF(AND(H1841="W7",OR(F1841="causal",F1841="predictive")),IF(AND(OR(K1841=1,K1841="1"),OR(L1841=1,L1841="1"),OR(M1841=1,M1841="1")),"adequate","partial"),IF(AND(H1841="W4",F1841="predictive",OR(J1841="P2",J1841="P3",J1841="P4")),IF(OR(U1841=1,U1841="1"),"adequate","partial"),INDEX(Fit_Matrix!$B:$B,MATCH(P1841,Fit_Matrix!$A:$A,0)))),"CHECK KEY"))</f>
        <v/>
      </c>
      <c r="U1841" s="10"/>
      <c r="V1841" s="10"/>
      <c r="W1841" s="10"/>
      <c r="X1841" s="10"/>
      <c r="Y1841" s="10"/>
      <c r="Z1841" s="10"/>
      <c r="AA1841" s="11" t="str">
        <f t="shared" si="57"/>
        <v/>
      </c>
    </row>
    <row r="1842" spans="16:27" ht="15" customHeight="1">
      <c r="P1842" t="str">
        <f t="shared" si="56"/>
        <v/>
      </c>
      <c r="Q1842" t="str">
        <f>IF(P1842="","",IFERROR(IF(AND(H1842="W7",OR(F1842="causal",F1842="predictive")),IF(AND(OR(K1842=1,K1842="1"),OR(L1842=1,L1842="1"),OR(M1842=1,M1842="1")),"adequate","partial"),IF(AND(H1842="W4",F1842="predictive",OR(J1842="P2",J1842="P3",J1842="P4")),IF(OR(U1842=1,U1842="1"),"adequate","partial"),INDEX(Fit_Matrix!$B:$B,MATCH(P1842,Fit_Matrix!$A:$A,0)))),"CHECK KEY"))</f>
        <v/>
      </c>
      <c r="U1842" s="10"/>
      <c r="V1842" s="10"/>
      <c r="W1842" s="10"/>
      <c r="X1842" s="10"/>
      <c r="Y1842" s="10"/>
      <c r="Z1842" s="10"/>
      <c r="AA1842" s="11" t="str">
        <f t="shared" si="57"/>
        <v/>
      </c>
    </row>
    <row r="1843" spans="16:27" ht="15" customHeight="1">
      <c r="P1843" t="str">
        <f t="shared" si="56"/>
        <v/>
      </c>
      <c r="Q1843" t="str">
        <f>IF(P1843="","",IFERROR(IF(AND(H1843="W7",OR(F1843="causal",F1843="predictive")),IF(AND(OR(K1843=1,K1843="1"),OR(L1843=1,L1843="1"),OR(M1843=1,M1843="1")),"adequate","partial"),IF(AND(H1843="W4",F1843="predictive",OR(J1843="P2",J1843="P3",J1843="P4")),IF(OR(U1843=1,U1843="1"),"adequate","partial"),INDEX(Fit_Matrix!$B:$B,MATCH(P1843,Fit_Matrix!$A:$A,0)))),"CHECK KEY"))</f>
        <v/>
      </c>
      <c r="U1843" s="10"/>
      <c r="V1843" s="10"/>
      <c r="W1843" s="10"/>
      <c r="X1843" s="10"/>
      <c r="Y1843" s="10"/>
      <c r="Z1843" s="10"/>
      <c r="AA1843" s="11" t="str">
        <f t="shared" si="57"/>
        <v/>
      </c>
    </row>
    <row r="1844" spans="16:27" ht="15" customHeight="1">
      <c r="P1844" t="str">
        <f t="shared" si="56"/>
        <v/>
      </c>
      <c r="Q1844" t="str">
        <f>IF(P1844="","",IFERROR(IF(AND(H1844="W7",OR(F1844="causal",F1844="predictive")),IF(AND(OR(K1844=1,K1844="1"),OR(L1844=1,L1844="1"),OR(M1844=1,M1844="1")),"adequate","partial"),IF(AND(H1844="W4",F1844="predictive",OR(J1844="P2",J1844="P3",J1844="P4")),IF(OR(U1844=1,U1844="1"),"adequate","partial"),INDEX(Fit_Matrix!$B:$B,MATCH(P1844,Fit_Matrix!$A:$A,0)))),"CHECK KEY"))</f>
        <v/>
      </c>
      <c r="U1844" s="10"/>
      <c r="V1844" s="10"/>
      <c r="W1844" s="10"/>
      <c r="X1844" s="10"/>
      <c r="Y1844" s="10"/>
      <c r="Z1844" s="10"/>
      <c r="AA1844" s="11" t="str">
        <f t="shared" si="57"/>
        <v/>
      </c>
    </row>
    <row r="1845" spans="16:27" ht="15" customHeight="1">
      <c r="P1845" t="str">
        <f t="shared" si="56"/>
        <v/>
      </c>
      <c r="Q1845" t="str">
        <f>IF(P1845="","",IFERROR(IF(AND(H1845="W7",OR(F1845="causal",F1845="predictive")),IF(AND(OR(K1845=1,K1845="1"),OR(L1845=1,L1845="1"),OR(M1845=1,M1845="1")),"adequate","partial"),IF(AND(H1845="W4",F1845="predictive",OR(J1845="P2",J1845="P3",J1845="P4")),IF(OR(U1845=1,U1845="1"),"adequate","partial"),INDEX(Fit_Matrix!$B:$B,MATCH(P1845,Fit_Matrix!$A:$A,0)))),"CHECK KEY"))</f>
        <v/>
      </c>
      <c r="U1845" s="10"/>
      <c r="V1845" s="10"/>
      <c r="W1845" s="10"/>
      <c r="X1845" s="10"/>
      <c r="Y1845" s="10"/>
      <c r="Z1845" s="10"/>
      <c r="AA1845" s="11" t="str">
        <f t="shared" si="57"/>
        <v/>
      </c>
    </row>
    <row r="1846" spans="16:27" ht="15" customHeight="1">
      <c r="P1846" t="str">
        <f t="shared" si="56"/>
        <v/>
      </c>
      <c r="Q1846" t="str">
        <f>IF(P1846="","",IFERROR(IF(AND(H1846="W7",OR(F1846="causal",F1846="predictive")),IF(AND(OR(K1846=1,K1846="1"),OR(L1846=1,L1846="1"),OR(M1846=1,M1846="1")),"adequate","partial"),IF(AND(H1846="W4",F1846="predictive",OR(J1846="P2",J1846="P3",J1846="P4")),IF(OR(U1846=1,U1846="1"),"adequate","partial"),INDEX(Fit_Matrix!$B:$B,MATCH(P1846,Fit_Matrix!$A:$A,0)))),"CHECK KEY"))</f>
        <v/>
      </c>
      <c r="U1846" s="10"/>
      <c r="V1846" s="10"/>
      <c r="W1846" s="10"/>
      <c r="X1846" s="10"/>
      <c r="Y1846" s="10"/>
      <c r="Z1846" s="10"/>
      <c r="AA1846" s="11" t="str">
        <f t="shared" si="57"/>
        <v/>
      </c>
    </row>
    <row r="1847" spans="16:27" ht="15" customHeight="1">
      <c r="P1847" t="str">
        <f t="shared" si="56"/>
        <v/>
      </c>
      <c r="Q1847" t="str">
        <f>IF(P1847="","",IFERROR(IF(AND(H1847="W7",OR(F1847="causal",F1847="predictive")),IF(AND(OR(K1847=1,K1847="1"),OR(L1847=1,L1847="1"),OR(M1847=1,M1847="1")),"adequate","partial"),IF(AND(H1847="W4",F1847="predictive",OR(J1847="P2",J1847="P3",J1847="P4")),IF(OR(U1847=1,U1847="1"),"adequate","partial"),INDEX(Fit_Matrix!$B:$B,MATCH(P1847,Fit_Matrix!$A:$A,0)))),"CHECK KEY"))</f>
        <v/>
      </c>
      <c r="U1847" s="10"/>
      <c r="V1847" s="10"/>
      <c r="W1847" s="10"/>
      <c r="X1847" s="10"/>
      <c r="Y1847" s="10"/>
      <c r="Z1847" s="10"/>
      <c r="AA1847" s="11" t="str">
        <f t="shared" si="57"/>
        <v/>
      </c>
    </row>
    <row r="1848" spans="16:27" ht="15" customHeight="1">
      <c r="P1848" t="str">
        <f t="shared" si="56"/>
        <v/>
      </c>
      <c r="Q1848" t="str">
        <f>IF(P1848="","",IFERROR(IF(AND(H1848="W7",OR(F1848="causal",F1848="predictive")),IF(AND(OR(K1848=1,K1848="1"),OR(L1848=1,L1848="1"),OR(M1848=1,M1848="1")),"adequate","partial"),IF(AND(H1848="W4",F1848="predictive",OR(J1848="P2",J1848="P3",J1848="P4")),IF(OR(U1848=1,U1848="1"),"adequate","partial"),INDEX(Fit_Matrix!$B:$B,MATCH(P1848,Fit_Matrix!$A:$A,0)))),"CHECK KEY"))</f>
        <v/>
      </c>
      <c r="U1848" s="10"/>
      <c r="V1848" s="10"/>
      <c r="W1848" s="10"/>
      <c r="X1848" s="10"/>
      <c r="Y1848" s="10"/>
      <c r="Z1848" s="10"/>
      <c r="AA1848" s="11" t="str">
        <f t="shared" si="57"/>
        <v/>
      </c>
    </row>
    <row r="1849" spans="16:27" ht="15" customHeight="1">
      <c r="P1849" t="str">
        <f t="shared" si="56"/>
        <v/>
      </c>
      <c r="Q1849" t="str">
        <f>IF(P1849="","",IFERROR(IF(AND(H1849="W7",OR(F1849="causal",F1849="predictive")),IF(AND(OR(K1849=1,K1849="1"),OR(L1849=1,L1849="1"),OR(M1849=1,M1849="1")),"adequate","partial"),IF(AND(H1849="W4",F1849="predictive",OR(J1849="P2",J1849="P3",J1849="P4")),IF(OR(U1849=1,U1849="1"),"adequate","partial"),INDEX(Fit_Matrix!$B:$B,MATCH(P1849,Fit_Matrix!$A:$A,0)))),"CHECK KEY"))</f>
        <v/>
      </c>
      <c r="U1849" s="10"/>
      <c r="V1849" s="10"/>
      <c r="W1849" s="10"/>
      <c r="X1849" s="10"/>
      <c r="Y1849" s="10"/>
      <c r="Z1849" s="10"/>
      <c r="AA1849" s="11" t="str">
        <f t="shared" si="57"/>
        <v/>
      </c>
    </row>
    <row r="1850" spans="16:27" ht="15" customHeight="1">
      <c r="P1850" t="str">
        <f t="shared" si="56"/>
        <v/>
      </c>
      <c r="Q1850" t="str">
        <f>IF(P1850="","",IFERROR(IF(AND(H1850="W7",OR(F1850="causal",F1850="predictive")),IF(AND(OR(K1850=1,K1850="1"),OR(L1850=1,L1850="1"),OR(M1850=1,M1850="1")),"adequate","partial"),IF(AND(H1850="W4",F1850="predictive",OR(J1850="P2",J1850="P3",J1850="P4")),IF(OR(U1850=1,U1850="1"),"adequate","partial"),INDEX(Fit_Matrix!$B:$B,MATCH(P1850,Fit_Matrix!$A:$A,0)))),"CHECK KEY"))</f>
        <v/>
      </c>
      <c r="U1850" s="10"/>
      <c r="V1850" s="10"/>
      <c r="W1850" s="10"/>
      <c r="X1850" s="10"/>
      <c r="Y1850" s="10"/>
      <c r="Z1850" s="10"/>
      <c r="AA1850" s="11" t="str">
        <f t="shared" si="57"/>
        <v/>
      </c>
    </row>
    <row r="1851" spans="16:27" ht="15" customHeight="1">
      <c r="P1851" t="str">
        <f t="shared" si="56"/>
        <v/>
      </c>
      <c r="Q1851" t="str">
        <f>IF(P1851="","",IFERROR(IF(AND(H1851="W7",OR(F1851="causal",F1851="predictive")),IF(AND(OR(K1851=1,K1851="1"),OR(L1851=1,L1851="1"),OR(M1851=1,M1851="1")),"adequate","partial"),IF(AND(H1851="W4",F1851="predictive",OR(J1851="P2",J1851="P3",J1851="P4")),IF(OR(U1851=1,U1851="1"),"adequate","partial"),INDEX(Fit_Matrix!$B:$B,MATCH(P1851,Fit_Matrix!$A:$A,0)))),"CHECK KEY"))</f>
        <v/>
      </c>
      <c r="U1851" s="10"/>
      <c r="V1851" s="10"/>
      <c r="W1851" s="10"/>
      <c r="X1851" s="10"/>
      <c r="Y1851" s="10"/>
      <c r="Z1851" s="10"/>
      <c r="AA1851" s="11" t="str">
        <f t="shared" si="57"/>
        <v/>
      </c>
    </row>
    <row r="1852" spans="16:27" ht="15" customHeight="1">
      <c r="P1852" t="str">
        <f t="shared" si="56"/>
        <v/>
      </c>
      <c r="Q1852" t="str">
        <f>IF(P1852="","",IFERROR(IF(AND(H1852="W7",OR(F1852="causal",F1852="predictive")),IF(AND(OR(K1852=1,K1852="1"),OR(L1852=1,L1852="1"),OR(M1852=1,M1852="1")),"adequate","partial"),IF(AND(H1852="W4",F1852="predictive",OR(J1852="P2",J1852="P3",J1852="P4")),IF(OR(U1852=1,U1852="1"),"adequate","partial"),INDEX(Fit_Matrix!$B:$B,MATCH(P1852,Fit_Matrix!$A:$A,0)))),"CHECK KEY"))</f>
        <v/>
      </c>
      <c r="U1852" s="10"/>
      <c r="V1852" s="10"/>
      <c r="W1852" s="10"/>
      <c r="X1852" s="10"/>
      <c r="Y1852" s="10"/>
      <c r="Z1852" s="10"/>
      <c r="AA1852" s="11" t="str">
        <f t="shared" si="57"/>
        <v/>
      </c>
    </row>
    <row r="1853" spans="16:27" ht="15" customHeight="1">
      <c r="P1853" t="str">
        <f t="shared" si="56"/>
        <v/>
      </c>
      <c r="Q1853" t="str">
        <f>IF(P1853="","",IFERROR(IF(AND(H1853="W7",OR(F1853="causal",F1853="predictive")),IF(AND(OR(K1853=1,K1853="1"),OR(L1853=1,L1853="1"),OR(M1853=1,M1853="1")),"adequate","partial"),IF(AND(H1853="W4",F1853="predictive",OR(J1853="P2",J1853="P3",J1853="P4")),IF(OR(U1853=1,U1853="1"),"adequate","partial"),INDEX(Fit_Matrix!$B:$B,MATCH(P1853,Fit_Matrix!$A:$A,0)))),"CHECK KEY"))</f>
        <v/>
      </c>
      <c r="U1853" s="10"/>
      <c r="V1853" s="10"/>
      <c r="W1853" s="10"/>
      <c r="X1853" s="10"/>
      <c r="Y1853" s="10"/>
      <c r="Z1853" s="10"/>
      <c r="AA1853" s="11" t="str">
        <f t="shared" si="57"/>
        <v/>
      </c>
    </row>
    <row r="1854" spans="16:27" ht="15" customHeight="1">
      <c r="P1854" t="str">
        <f t="shared" si="56"/>
        <v/>
      </c>
      <c r="Q1854" t="str">
        <f>IF(P1854="","",IFERROR(IF(AND(H1854="W7",OR(F1854="causal",F1854="predictive")),IF(AND(OR(K1854=1,K1854="1"),OR(L1854=1,L1854="1"),OR(M1854=1,M1854="1")),"adequate","partial"),IF(AND(H1854="W4",F1854="predictive",OR(J1854="P2",J1854="P3",J1854="P4")),IF(OR(U1854=1,U1854="1"),"adequate","partial"),INDEX(Fit_Matrix!$B:$B,MATCH(P1854,Fit_Matrix!$A:$A,0)))),"CHECK KEY"))</f>
        <v/>
      </c>
      <c r="U1854" s="10"/>
      <c r="V1854" s="10"/>
      <c r="W1854" s="10"/>
      <c r="X1854" s="10"/>
      <c r="Y1854" s="10"/>
      <c r="Z1854" s="10"/>
      <c r="AA1854" s="11" t="str">
        <f t="shared" si="57"/>
        <v/>
      </c>
    </row>
    <row r="1855" spans="16:27" ht="15" customHeight="1">
      <c r="P1855" t="str">
        <f t="shared" si="56"/>
        <v/>
      </c>
      <c r="Q1855" t="str">
        <f>IF(P1855="","",IFERROR(IF(AND(H1855="W7",OR(F1855="causal",F1855="predictive")),IF(AND(OR(K1855=1,K1855="1"),OR(L1855=1,L1855="1"),OR(M1855=1,M1855="1")),"adequate","partial"),IF(AND(H1855="W4",F1855="predictive",OR(J1855="P2",J1855="P3",J1855="P4")),IF(OR(U1855=1,U1855="1"),"adequate","partial"),INDEX(Fit_Matrix!$B:$B,MATCH(P1855,Fit_Matrix!$A:$A,0)))),"CHECK KEY"))</f>
        <v/>
      </c>
      <c r="U1855" s="10"/>
      <c r="V1855" s="10"/>
      <c r="W1855" s="10"/>
      <c r="X1855" s="10"/>
      <c r="Y1855" s="10"/>
      <c r="Z1855" s="10"/>
      <c r="AA1855" s="11" t="str">
        <f t="shared" si="57"/>
        <v/>
      </c>
    </row>
    <row r="1856" spans="16:27" ht="15" customHeight="1">
      <c r="P1856" t="str">
        <f t="shared" si="56"/>
        <v/>
      </c>
      <c r="Q1856" t="str">
        <f>IF(P1856="","",IFERROR(IF(AND(H1856="W7",OR(F1856="causal",F1856="predictive")),IF(AND(OR(K1856=1,K1856="1"),OR(L1856=1,L1856="1"),OR(M1856=1,M1856="1")),"adequate","partial"),IF(AND(H1856="W4",F1856="predictive",OR(J1856="P2",J1856="P3",J1856="P4")),IF(OR(U1856=1,U1856="1"),"adequate","partial"),INDEX(Fit_Matrix!$B:$B,MATCH(P1856,Fit_Matrix!$A:$A,0)))),"CHECK KEY"))</f>
        <v/>
      </c>
      <c r="U1856" s="10"/>
      <c r="V1856" s="10"/>
      <c r="W1856" s="10"/>
      <c r="X1856" s="10"/>
      <c r="Y1856" s="10"/>
      <c r="Z1856" s="10"/>
      <c r="AA1856" s="11" t="str">
        <f t="shared" si="57"/>
        <v/>
      </c>
    </row>
    <row r="1857" spans="16:27" ht="15" customHeight="1">
      <c r="P1857" t="str">
        <f t="shared" si="56"/>
        <v/>
      </c>
      <c r="Q1857" t="str">
        <f>IF(P1857="","",IFERROR(IF(AND(H1857="W7",OR(F1857="causal",F1857="predictive")),IF(AND(OR(K1857=1,K1857="1"),OR(L1857=1,L1857="1"),OR(M1857=1,M1857="1")),"adequate","partial"),IF(AND(H1857="W4",F1857="predictive",OR(J1857="P2",J1857="P3",J1857="P4")),IF(OR(U1857=1,U1857="1"),"adequate","partial"),INDEX(Fit_Matrix!$B:$B,MATCH(P1857,Fit_Matrix!$A:$A,0)))),"CHECK KEY"))</f>
        <v/>
      </c>
      <c r="U1857" s="10"/>
      <c r="V1857" s="10"/>
      <c r="W1857" s="10"/>
      <c r="X1857" s="10"/>
      <c r="Y1857" s="10"/>
      <c r="Z1857" s="10"/>
      <c r="AA1857" s="11" t="str">
        <f t="shared" si="57"/>
        <v/>
      </c>
    </row>
    <row r="1858" spans="16:27" ht="15" customHeight="1">
      <c r="P1858" t="str">
        <f t="shared" ref="P1858:P1921" si="58">IF(OR(F1858="",H1858="",J1858=""),"",J1858&amp;"|"&amp;F1858&amp;"|"&amp;IF(H1858="W3","W3_"&amp;IF(I1858="","unknown",I1858),H1858))</f>
        <v/>
      </c>
      <c r="Q1858" t="str">
        <f>IF(P1858="","",IFERROR(IF(AND(H1858="W7",OR(F1858="causal",F1858="predictive")),IF(AND(OR(K1858=1,K1858="1"),OR(L1858=1,L1858="1"),OR(M1858=1,M1858="1")),"adequate","partial"),IF(AND(H1858="W4",F1858="predictive",OR(J1858="P2",J1858="P3",J1858="P4")),IF(OR(U1858=1,U1858="1"),"adequate","partial"),INDEX(Fit_Matrix!$B:$B,MATCH(P1858,Fit_Matrix!$A:$A,0)))),"CHECK KEY"))</f>
        <v/>
      </c>
      <c r="U1858" s="10"/>
      <c r="V1858" s="10"/>
      <c r="W1858" s="10"/>
      <c r="X1858" s="10"/>
      <c r="Y1858" s="10"/>
      <c r="Z1858" s="10"/>
      <c r="AA1858" s="11" t="str">
        <f t="shared" ref="AA1858:AA1921" si="59">IF(A1858="","",IF(AND(J1858="P4",F1858="causal"),"P4-CAUSAL",""))</f>
        <v/>
      </c>
    </row>
    <row r="1859" spans="16:27" ht="15" customHeight="1">
      <c r="P1859" t="str">
        <f t="shared" si="58"/>
        <v/>
      </c>
      <c r="Q1859" t="str">
        <f>IF(P1859="","",IFERROR(IF(AND(H1859="W7",OR(F1859="causal",F1859="predictive")),IF(AND(OR(K1859=1,K1859="1"),OR(L1859=1,L1859="1"),OR(M1859=1,M1859="1")),"adequate","partial"),IF(AND(H1859="W4",F1859="predictive",OR(J1859="P2",J1859="P3",J1859="P4")),IF(OR(U1859=1,U1859="1"),"adequate","partial"),INDEX(Fit_Matrix!$B:$B,MATCH(P1859,Fit_Matrix!$A:$A,0)))),"CHECK KEY"))</f>
        <v/>
      </c>
      <c r="U1859" s="10"/>
      <c r="V1859" s="10"/>
      <c r="W1859" s="10"/>
      <c r="X1859" s="10"/>
      <c r="Y1859" s="10"/>
      <c r="Z1859" s="10"/>
      <c r="AA1859" s="11" t="str">
        <f t="shared" si="59"/>
        <v/>
      </c>
    </row>
    <row r="1860" spans="16:27" ht="15" customHeight="1">
      <c r="P1860" t="str">
        <f t="shared" si="58"/>
        <v/>
      </c>
      <c r="Q1860" t="str">
        <f>IF(P1860="","",IFERROR(IF(AND(H1860="W7",OR(F1860="causal",F1860="predictive")),IF(AND(OR(K1860=1,K1860="1"),OR(L1860=1,L1860="1"),OR(M1860=1,M1860="1")),"adequate","partial"),IF(AND(H1860="W4",F1860="predictive",OR(J1860="P2",J1860="P3",J1860="P4")),IF(OR(U1860=1,U1860="1"),"adequate","partial"),INDEX(Fit_Matrix!$B:$B,MATCH(P1860,Fit_Matrix!$A:$A,0)))),"CHECK KEY"))</f>
        <v/>
      </c>
      <c r="U1860" s="10"/>
      <c r="V1860" s="10"/>
      <c r="W1860" s="10"/>
      <c r="X1860" s="10"/>
      <c r="Y1860" s="10"/>
      <c r="Z1860" s="10"/>
      <c r="AA1860" s="11" t="str">
        <f t="shared" si="59"/>
        <v/>
      </c>
    </row>
    <row r="1861" spans="16:27" ht="15" customHeight="1">
      <c r="P1861" t="str">
        <f t="shared" si="58"/>
        <v/>
      </c>
      <c r="Q1861" t="str">
        <f>IF(P1861="","",IFERROR(IF(AND(H1861="W7",OR(F1861="causal",F1861="predictive")),IF(AND(OR(K1861=1,K1861="1"),OR(L1861=1,L1861="1"),OR(M1861=1,M1861="1")),"adequate","partial"),IF(AND(H1861="W4",F1861="predictive",OR(J1861="P2",J1861="P3",J1861="P4")),IF(OR(U1861=1,U1861="1"),"adequate","partial"),INDEX(Fit_Matrix!$B:$B,MATCH(P1861,Fit_Matrix!$A:$A,0)))),"CHECK KEY"))</f>
        <v/>
      </c>
      <c r="U1861" s="10"/>
      <c r="V1861" s="10"/>
      <c r="W1861" s="10"/>
      <c r="X1861" s="10"/>
      <c r="Y1861" s="10"/>
      <c r="Z1861" s="10"/>
      <c r="AA1861" s="11" t="str">
        <f t="shared" si="59"/>
        <v/>
      </c>
    </row>
    <row r="1862" spans="16:27" ht="15" customHeight="1">
      <c r="P1862" t="str">
        <f t="shared" si="58"/>
        <v/>
      </c>
      <c r="Q1862" t="str">
        <f>IF(P1862="","",IFERROR(IF(AND(H1862="W7",OR(F1862="causal",F1862="predictive")),IF(AND(OR(K1862=1,K1862="1"),OR(L1862=1,L1862="1"),OR(M1862=1,M1862="1")),"adequate","partial"),IF(AND(H1862="W4",F1862="predictive",OR(J1862="P2",J1862="P3",J1862="P4")),IF(OR(U1862=1,U1862="1"),"adequate","partial"),INDEX(Fit_Matrix!$B:$B,MATCH(P1862,Fit_Matrix!$A:$A,0)))),"CHECK KEY"))</f>
        <v/>
      </c>
      <c r="U1862" s="10"/>
      <c r="V1862" s="10"/>
      <c r="W1862" s="10"/>
      <c r="X1862" s="10"/>
      <c r="Y1862" s="10"/>
      <c r="Z1862" s="10"/>
      <c r="AA1862" s="11" t="str">
        <f t="shared" si="59"/>
        <v/>
      </c>
    </row>
    <row r="1863" spans="16:27" ht="15" customHeight="1">
      <c r="P1863" t="str">
        <f t="shared" si="58"/>
        <v/>
      </c>
      <c r="Q1863" t="str">
        <f>IF(P1863="","",IFERROR(IF(AND(H1863="W7",OR(F1863="causal",F1863="predictive")),IF(AND(OR(K1863=1,K1863="1"),OR(L1863=1,L1863="1"),OR(M1863=1,M1863="1")),"adequate","partial"),IF(AND(H1863="W4",F1863="predictive",OR(J1863="P2",J1863="P3",J1863="P4")),IF(OR(U1863=1,U1863="1"),"adequate","partial"),INDEX(Fit_Matrix!$B:$B,MATCH(P1863,Fit_Matrix!$A:$A,0)))),"CHECK KEY"))</f>
        <v/>
      </c>
      <c r="U1863" s="10"/>
      <c r="V1863" s="10"/>
      <c r="W1863" s="10"/>
      <c r="X1863" s="10"/>
      <c r="Y1863" s="10"/>
      <c r="Z1863" s="10"/>
      <c r="AA1863" s="11" t="str">
        <f t="shared" si="59"/>
        <v/>
      </c>
    </row>
    <row r="1864" spans="16:27" ht="15" customHeight="1">
      <c r="P1864" t="str">
        <f t="shared" si="58"/>
        <v/>
      </c>
      <c r="Q1864" t="str">
        <f>IF(P1864="","",IFERROR(IF(AND(H1864="W7",OR(F1864="causal",F1864="predictive")),IF(AND(OR(K1864=1,K1864="1"),OR(L1864=1,L1864="1"),OR(M1864=1,M1864="1")),"adequate","partial"),IF(AND(H1864="W4",F1864="predictive",OR(J1864="P2",J1864="P3",J1864="P4")),IF(OR(U1864=1,U1864="1"),"adequate","partial"),INDEX(Fit_Matrix!$B:$B,MATCH(P1864,Fit_Matrix!$A:$A,0)))),"CHECK KEY"))</f>
        <v/>
      </c>
      <c r="U1864" s="10"/>
      <c r="V1864" s="10"/>
      <c r="W1864" s="10"/>
      <c r="X1864" s="10"/>
      <c r="Y1864" s="10"/>
      <c r="Z1864" s="10"/>
      <c r="AA1864" s="11" t="str">
        <f t="shared" si="59"/>
        <v/>
      </c>
    </row>
    <row r="1865" spans="16:27" ht="15" customHeight="1">
      <c r="P1865" t="str">
        <f t="shared" si="58"/>
        <v/>
      </c>
      <c r="Q1865" t="str">
        <f>IF(P1865="","",IFERROR(IF(AND(H1865="W7",OR(F1865="causal",F1865="predictive")),IF(AND(OR(K1865=1,K1865="1"),OR(L1865=1,L1865="1"),OR(M1865=1,M1865="1")),"adequate","partial"),IF(AND(H1865="W4",F1865="predictive",OR(J1865="P2",J1865="P3",J1865="P4")),IF(OR(U1865=1,U1865="1"),"adequate","partial"),INDEX(Fit_Matrix!$B:$B,MATCH(P1865,Fit_Matrix!$A:$A,0)))),"CHECK KEY"))</f>
        <v/>
      </c>
      <c r="U1865" s="10"/>
      <c r="V1865" s="10"/>
      <c r="W1865" s="10"/>
      <c r="X1865" s="10"/>
      <c r="Y1865" s="10"/>
      <c r="Z1865" s="10"/>
      <c r="AA1865" s="11" t="str">
        <f t="shared" si="59"/>
        <v/>
      </c>
    </row>
    <row r="1866" spans="16:27" ht="15" customHeight="1">
      <c r="P1866" t="str">
        <f t="shared" si="58"/>
        <v/>
      </c>
      <c r="Q1866" t="str">
        <f>IF(P1866="","",IFERROR(IF(AND(H1866="W7",OR(F1866="causal",F1866="predictive")),IF(AND(OR(K1866=1,K1866="1"),OR(L1866=1,L1866="1"),OR(M1866=1,M1866="1")),"adequate","partial"),IF(AND(H1866="W4",F1866="predictive",OR(J1866="P2",J1866="P3",J1866="P4")),IF(OR(U1866=1,U1866="1"),"adequate","partial"),INDEX(Fit_Matrix!$B:$B,MATCH(P1866,Fit_Matrix!$A:$A,0)))),"CHECK KEY"))</f>
        <v/>
      </c>
      <c r="U1866" s="10"/>
      <c r="V1866" s="10"/>
      <c r="W1866" s="10"/>
      <c r="X1866" s="10"/>
      <c r="Y1866" s="10"/>
      <c r="Z1866" s="10"/>
      <c r="AA1866" s="11" t="str">
        <f t="shared" si="59"/>
        <v/>
      </c>
    </row>
    <row r="1867" spans="16:27" ht="15" customHeight="1">
      <c r="P1867" t="str">
        <f t="shared" si="58"/>
        <v/>
      </c>
      <c r="Q1867" t="str">
        <f>IF(P1867="","",IFERROR(IF(AND(H1867="W7",OR(F1867="causal",F1867="predictive")),IF(AND(OR(K1867=1,K1867="1"),OR(L1867=1,L1867="1"),OR(M1867=1,M1867="1")),"adequate","partial"),IF(AND(H1867="W4",F1867="predictive",OR(J1867="P2",J1867="P3",J1867="P4")),IF(OR(U1867=1,U1867="1"),"adequate","partial"),INDEX(Fit_Matrix!$B:$B,MATCH(P1867,Fit_Matrix!$A:$A,0)))),"CHECK KEY"))</f>
        <v/>
      </c>
      <c r="U1867" s="10"/>
      <c r="V1867" s="10"/>
      <c r="W1867" s="10"/>
      <c r="X1867" s="10"/>
      <c r="Y1867" s="10"/>
      <c r="Z1867" s="10"/>
      <c r="AA1867" s="11" t="str">
        <f t="shared" si="59"/>
        <v/>
      </c>
    </row>
    <row r="1868" spans="16:27" ht="15" customHeight="1">
      <c r="P1868" t="str">
        <f t="shared" si="58"/>
        <v/>
      </c>
      <c r="Q1868" t="str">
        <f>IF(P1868="","",IFERROR(IF(AND(H1868="W7",OR(F1868="causal",F1868="predictive")),IF(AND(OR(K1868=1,K1868="1"),OR(L1868=1,L1868="1"),OR(M1868=1,M1868="1")),"adequate","partial"),IF(AND(H1868="W4",F1868="predictive",OR(J1868="P2",J1868="P3",J1868="P4")),IF(OR(U1868=1,U1868="1"),"adequate","partial"),INDEX(Fit_Matrix!$B:$B,MATCH(P1868,Fit_Matrix!$A:$A,0)))),"CHECK KEY"))</f>
        <v/>
      </c>
      <c r="U1868" s="10"/>
      <c r="V1868" s="10"/>
      <c r="W1868" s="10"/>
      <c r="X1868" s="10"/>
      <c r="Y1868" s="10"/>
      <c r="Z1868" s="10"/>
      <c r="AA1868" s="11" t="str">
        <f t="shared" si="59"/>
        <v/>
      </c>
    </row>
    <row r="1869" spans="16:27" ht="15" customHeight="1">
      <c r="P1869" t="str">
        <f t="shared" si="58"/>
        <v/>
      </c>
      <c r="Q1869" t="str">
        <f>IF(P1869="","",IFERROR(IF(AND(H1869="W7",OR(F1869="causal",F1869="predictive")),IF(AND(OR(K1869=1,K1869="1"),OR(L1869=1,L1869="1"),OR(M1869=1,M1869="1")),"adequate","partial"),IF(AND(H1869="W4",F1869="predictive",OR(J1869="P2",J1869="P3",J1869="P4")),IF(OR(U1869=1,U1869="1"),"adequate","partial"),INDEX(Fit_Matrix!$B:$B,MATCH(P1869,Fit_Matrix!$A:$A,0)))),"CHECK KEY"))</f>
        <v/>
      </c>
      <c r="U1869" s="10"/>
      <c r="V1869" s="10"/>
      <c r="W1869" s="10"/>
      <c r="X1869" s="10"/>
      <c r="Y1869" s="10"/>
      <c r="Z1869" s="10"/>
      <c r="AA1869" s="11" t="str">
        <f t="shared" si="59"/>
        <v/>
      </c>
    </row>
    <row r="1870" spans="16:27" ht="15" customHeight="1">
      <c r="P1870" t="str">
        <f t="shared" si="58"/>
        <v/>
      </c>
      <c r="Q1870" t="str">
        <f>IF(P1870="","",IFERROR(IF(AND(H1870="W7",OR(F1870="causal",F1870="predictive")),IF(AND(OR(K1870=1,K1870="1"),OR(L1870=1,L1870="1"),OR(M1870=1,M1870="1")),"adequate","partial"),IF(AND(H1870="W4",F1870="predictive",OR(J1870="P2",J1870="P3",J1870="P4")),IF(OR(U1870=1,U1870="1"),"adequate","partial"),INDEX(Fit_Matrix!$B:$B,MATCH(P1870,Fit_Matrix!$A:$A,0)))),"CHECK KEY"))</f>
        <v/>
      </c>
      <c r="U1870" s="10"/>
      <c r="V1870" s="10"/>
      <c r="W1870" s="10"/>
      <c r="X1870" s="10"/>
      <c r="Y1870" s="10"/>
      <c r="Z1870" s="10"/>
      <c r="AA1870" s="11" t="str">
        <f t="shared" si="59"/>
        <v/>
      </c>
    </row>
    <row r="1871" spans="16:27" ht="15" customHeight="1">
      <c r="P1871" t="str">
        <f t="shared" si="58"/>
        <v/>
      </c>
      <c r="Q1871" t="str">
        <f>IF(P1871="","",IFERROR(IF(AND(H1871="W7",OR(F1871="causal",F1871="predictive")),IF(AND(OR(K1871=1,K1871="1"),OR(L1871=1,L1871="1"),OR(M1871=1,M1871="1")),"adequate","partial"),IF(AND(H1871="W4",F1871="predictive",OR(J1871="P2",J1871="P3",J1871="P4")),IF(OR(U1871=1,U1871="1"),"adequate","partial"),INDEX(Fit_Matrix!$B:$B,MATCH(P1871,Fit_Matrix!$A:$A,0)))),"CHECK KEY"))</f>
        <v/>
      </c>
      <c r="U1871" s="10"/>
      <c r="V1871" s="10"/>
      <c r="W1871" s="10"/>
      <c r="X1871" s="10"/>
      <c r="Y1871" s="10"/>
      <c r="Z1871" s="10"/>
      <c r="AA1871" s="11" t="str">
        <f t="shared" si="59"/>
        <v/>
      </c>
    </row>
    <row r="1872" spans="16:27" ht="15" customHeight="1">
      <c r="P1872" t="str">
        <f t="shared" si="58"/>
        <v/>
      </c>
      <c r="Q1872" t="str">
        <f>IF(P1872="","",IFERROR(IF(AND(H1872="W7",OR(F1872="causal",F1872="predictive")),IF(AND(OR(K1872=1,K1872="1"),OR(L1872=1,L1872="1"),OR(M1872=1,M1872="1")),"adequate","partial"),IF(AND(H1872="W4",F1872="predictive",OR(J1872="P2",J1872="P3",J1872="P4")),IF(OR(U1872=1,U1872="1"),"adequate","partial"),INDEX(Fit_Matrix!$B:$B,MATCH(P1872,Fit_Matrix!$A:$A,0)))),"CHECK KEY"))</f>
        <v/>
      </c>
      <c r="U1872" s="10"/>
      <c r="V1872" s="10"/>
      <c r="W1872" s="10"/>
      <c r="X1872" s="10"/>
      <c r="Y1872" s="10"/>
      <c r="Z1872" s="10"/>
      <c r="AA1872" s="11" t="str">
        <f t="shared" si="59"/>
        <v/>
      </c>
    </row>
    <row r="1873" spans="16:27" ht="15" customHeight="1">
      <c r="P1873" t="str">
        <f t="shared" si="58"/>
        <v/>
      </c>
      <c r="Q1873" t="str">
        <f>IF(P1873="","",IFERROR(IF(AND(H1873="W7",OR(F1873="causal",F1873="predictive")),IF(AND(OR(K1873=1,K1873="1"),OR(L1873=1,L1873="1"),OR(M1873=1,M1873="1")),"adequate","partial"),IF(AND(H1873="W4",F1873="predictive",OR(J1873="P2",J1873="P3",J1873="P4")),IF(OR(U1873=1,U1873="1"),"adequate","partial"),INDEX(Fit_Matrix!$B:$B,MATCH(P1873,Fit_Matrix!$A:$A,0)))),"CHECK KEY"))</f>
        <v/>
      </c>
      <c r="U1873" s="10"/>
      <c r="V1873" s="10"/>
      <c r="W1873" s="10"/>
      <c r="X1873" s="10"/>
      <c r="Y1873" s="10"/>
      <c r="Z1873" s="10"/>
      <c r="AA1873" s="11" t="str">
        <f t="shared" si="59"/>
        <v/>
      </c>
    </row>
    <row r="1874" spans="16:27" ht="15" customHeight="1">
      <c r="P1874" t="str">
        <f t="shared" si="58"/>
        <v/>
      </c>
      <c r="Q1874" t="str">
        <f>IF(P1874="","",IFERROR(IF(AND(H1874="W7",OR(F1874="causal",F1874="predictive")),IF(AND(OR(K1874=1,K1874="1"),OR(L1874=1,L1874="1"),OR(M1874=1,M1874="1")),"adequate","partial"),IF(AND(H1874="W4",F1874="predictive",OR(J1874="P2",J1874="P3",J1874="P4")),IF(OR(U1874=1,U1874="1"),"adequate","partial"),INDEX(Fit_Matrix!$B:$B,MATCH(P1874,Fit_Matrix!$A:$A,0)))),"CHECK KEY"))</f>
        <v/>
      </c>
      <c r="U1874" s="10"/>
      <c r="V1874" s="10"/>
      <c r="W1874" s="10"/>
      <c r="X1874" s="10"/>
      <c r="Y1874" s="10"/>
      <c r="Z1874" s="10"/>
      <c r="AA1874" s="11" t="str">
        <f t="shared" si="59"/>
        <v/>
      </c>
    </row>
    <row r="1875" spans="16:27" ht="15" customHeight="1">
      <c r="P1875" t="str">
        <f t="shared" si="58"/>
        <v/>
      </c>
      <c r="Q1875" t="str">
        <f>IF(P1875="","",IFERROR(IF(AND(H1875="W7",OR(F1875="causal",F1875="predictive")),IF(AND(OR(K1875=1,K1875="1"),OR(L1875=1,L1875="1"),OR(M1875=1,M1875="1")),"adequate","partial"),IF(AND(H1875="W4",F1875="predictive",OR(J1875="P2",J1875="P3",J1875="P4")),IF(OR(U1875=1,U1875="1"),"adequate","partial"),INDEX(Fit_Matrix!$B:$B,MATCH(P1875,Fit_Matrix!$A:$A,0)))),"CHECK KEY"))</f>
        <v/>
      </c>
      <c r="U1875" s="10"/>
      <c r="V1875" s="10"/>
      <c r="W1875" s="10"/>
      <c r="X1875" s="10"/>
      <c r="Y1875" s="10"/>
      <c r="Z1875" s="10"/>
      <c r="AA1875" s="11" t="str">
        <f t="shared" si="59"/>
        <v/>
      </c>
    </row>
    <row r="1876" spans="16:27" ht="15" customHeight="1">
      <c r="P1876" t="str">
        <f t="shared" si="58"/>
        <v/>
      </c>
      <c r="Q1876" t="str">
        <f>IF(P1876="","",IFERROR(IF(AND(H1876="W7",OR(F1876="causal",F1876="predictive")),IF(AND(OR(K1876=1,K1876="1"),OR(L1876=1,L1876="1"),OR(M1876=1,M1876="1")),"adequate","partial"),IF(AND(H1876="W4",F1876="predictive",OR(J1876="P2",J1876="P3",J1876="P4")),IF(OR(U1876=1,U1876="1"),"adequate","partial"),INDEX(Fit_Matrix!$B:$B,MATCH(P1876,Fit_Matrix!$A:$A,0)))),"CHECK KEY"))</f>
        <v/>
      </c>
      <c r="U1876" s="10"/>
      <c r="V1876" s="10"/>
      <c r="W1876" s="10"/>
      <c r="X1876" s="10"/>
      <c r="Y1876" s="10"/>
      <c r="Z1876" s="10"/>
      <c r="AA1876" s="11" t="str">
        <f t="shared" si="59"/>
        <v/>
      </c>
    </row>
    <row r="1877" spans="16:27" ht="15" customHeight="1">
      <c r="P1877" t="str">
        <f t="shared" si="58"/>
        <v/>
      </c>
      <c r="Q1877" t="str">
        <f>IF(P1877="","",IFERROR(IF(AND(H1877="W7",OR(F1877="causal",F1877="predictive")),IF(AND(OR(K1877=1,K1877="1"),OR(L1877=1,L1877="1"),OR(M1877=1,M1877="1")),"adequate","partial"),IF(AND(H1877="W4",F1877="predictive",OR(J1877="P2",J1877="P3",J1877="P4")),IF(OR(U1877=1,U1877="1"),"adequate","partial"),INDEX(Fit_Matrix!$B:$B,MATCH(P1877,Fit_Matrix!$A:$A,0)))),"CHECK KEY"))</f>
        <v/>
      </c>
      <c r="U1877" s="10"/>
      <c r="V1877" s="10"/>
      <c r="W1877" s="10"/>
      <c r="X1877" s="10"/>
      <c r="Y1877" s="10"/>
      <c r="Z1877" s="10"/>
      <c r="AA1877" s="11" t="str">
        <f t="shared" si="59"/>
        <v/>
      </c>
    </row>
    <row r="1878" spans="16:27" ht="15" customHeight="1">
      <c r="P1878" t="str">
        <f t="shared" si="58"/>
        <v/>
      </c>
      <c r="Q1878" t="str">
        <f>IF(P1878="","",IFERROR(IF(AND(H1878="W7",OR(F1878="causal",F1878="predictive")),IF(AND(OR(K1878=1,K1878="1"),OR(L1878=1,L1878="1"),OR(M1878=1,M1878="1")),"adequate","partial"),IF(AND(H1878="W4",F1878="predictive",OR(J1878="P2",J1878="P3",J1878="P4")),IF(OR(U1878=1,U1878="1"),"adequate","partial"),INDEX(Fit_Matrix!$B:$B,MATCH(P1878,Fit_Matrix!$A:$A,0)))),"CHECK KEY"))</f>
        <v/>
      </c>
      <c r="U1878" s="10"/>
      <c r="V1878" s="10"/>
      <c r="W1878" s="10"/>
      <c r="X1878" s="10"/>
      <c r="Y1878" s="10"/>
      <c r="Z1878" s="10"/>
      <c r="AA1878" s="11" t="str">
        <f t="shared" si="59"/>
        <v/>
      </c>
    </row>
    <row r="1879" spans="16:27" ht="15" customHeight="1">
      <c r="P1879" t="str">
        <f t="shared" si="58"/>
        <v/>
      </c>
      <c r="Q1879" t="str">
        <f>IF(P1879="","",IFERROR(IF(AND(H1879="W7",OR(F1879="causal",F1879="predictive")),IF(AND(OR(K1879=1,K1879="1"),OR(L1879=1,L1879="1"),OR(M1879=1,M1879="1")),"adequate","partial"),IF(AND(H1879="W4",F1879="predictive",OR(J1879="P2",J1879="P3",J1879="P4")),IF(OR(U1879=1,U1879="1"),"adequate","partial"),INDEX(Fit_Matrix!$B:$B,MATCH(P1879,Fit_Matrix!$A:$A,0)))),"CHECK KEY"))</f>
        <v/>
      </c>
      <c r="U1879" s="10"/>
      <c r="V1879" s="10"/>
      <c r="W1879" s="10"/>
      <c r="X1879" s="10"/>
      <c r="Y1879" s="10"/>
      <c r="Z1879" s="10"/>
      <c r="AA1879" s="11" t="str">
        <f t="shared" si="59"/>
        <v/>
      </c>
    </row>
    <row r="1880" spans="16:27" ht="15" customHeight="1">
      <c r="P1880" t="str">
        <f t="shared" si="58"/>
        <v/>
      </c>
      <c r="Q1880" t="str">
        <f>IF(P1880="","",IFERROR(IF(AND(H1880="W7",OR(F1880="causal",F1880="predictive")),IF(AND(OR(K1880=1,K1880="1"),OR(L1880=1,L1880="1"),OR(M1880=1,M1880="1")),"adequate","partial"),IF(AND(H1880="W4",F1880="predictive",OR(J1880="P2",J1880="P3",J1880="P4")),IF(OR(U1880=1,U1880="1"),"adequate","partial"),INDEX(Fit_Matrix!$B:$B,MATCH(P1880,Fit_Matrix!$A:$A,0)))),"CHECK KEY"))</f>
        <v/>
      </c>
      <c r="U1880" s="10"/>
      <c r="V1880" s="10"/>
      <c r="W1880" s="10"/>
      <c r="X1880" s="10"/>
      <c r="Y1880" s="10"/>
      <c r="Z1880" s="10"/>
      <c r="AA1880" s="11" t="str">
        <f t="shared" si="59"/>
        <v/>
      </c>
    </row>
    <row r="1881" spans="16:27" ht="15" customHeight="1">
      <c r="P1881" t="str">
        <f t="shared" si="58"/>
        <v/>
      </c>
      <c r="Q1881" t="str">
        <f>IF(P1881="","",IFERROR(IF(AND(H1881="W7",OR(F1881="causal",F1881="predictive")),IF(AND(OR(K1881=1,K1881="1"),OR(L1881=1,L1881="1"),OR(M1881=1,M1881="1")),"adequate","partial"),IF(AND(H1881="W4",F1881="predictive",OR(J1881="P2",J1881="P3",J1881="P4")),IF(OR(U1881=1,U1881="1"),"adequate","partial"),INDEX(Fit_Matrix!$B:$B,MATCH(P1881,Fit_Matrix!$A:$A,0)))),"CHECK KEY"))</f>
        <v/>
      </c>
      <c r="U1881" s="10"/>
      <c r="V1881" s="10"/>
      <c r="W1881" s="10"/>
      <c r="X1881" s="10"/>
      <c r="Y1881" s="10"/>
      <c r="Z1881" s="10"/>
      <c r="AA1881" s="11" t="str">
        <f t="shared" si="59"/>
        <v/>
      </c>
    </row>
    <row r="1882" spans="16:27" ht="15" customHeight="1">
      <c r="P1882" t="str">
        <f t="shared" si="58"/>
        <v/>
      </c>
      <c r="Q1882" t="str">
        <f>IF(P1882="","",IFERROR(IF(AND(H1882="W7",OR(F1882="causal",F1882="predictive")),IF(AND(OR(K1882=1,K1882="1"),OR(L1882=1,L1882="1"),OR(M1882=1,M1882="1")),"adequate","partial"),IF(AND(H1882="W4",F1882="predictive",OR(J1882="P2",J1882="P3",J1882="P4")),IF(OR(U1882=1,U1882="1"),"adequate","partial"),INDEX(Fit_Matrix!$B:$B,MATCH(P1882,Fit_Matrix!$A:$A,0)))),"CHECK KEY"))</f>
        <v/>
      </c>
      <c r="U1882" s="10"/>
      <c r="V1882" s="10"/>
      <c r="W1882" s="10"/>
      <c r="X1882" s="10"/>
      <c r="Y1882" s="10"/>
      <c r="Z1882" s="10"/>
      <c r="AA1882" s="11" t="str">
        <f t="shared" si="59"/>
        <v/>
      </c>
    </row>
    <row r="1883" spans="16:27" ht="15" customHeight="1">
      <c r="P1883" t="str">
        <f t="shared" si="58"/>
        <v/>
      </c>
      <c r="Q1883" t="str">
        <f>IF(P1883="","",IFERROR(IF(AND(H1883="W7",OR(F1883="causal",F1883="predictive")),IF(AND(OR(K1883=1,K1883="1"),OR(L1883=1,L1883="1"),OR(M1883=1,M1883="1")),"adequate","partial"),IF(AND(H1883="W4",F1883="predictive",OR(J1883="P2",J1883="P3",J1883="P4")),IF(OR(U1883=1,U1883="1"),"adequate","partial"),INDEX(Fit_Matrix!$B:$B,MATCH(P1883,Fit_Matrix!$A:$A,0)))),"CHECK KEY"))</f>
        <v/>
      </c>
      <c r="U1883" s="10"/>
      <c r="V1883" s="10"/>
      <c r="W1883" s="10"/>
      <c r="X1883" s="10"/>
      <c r="Y1883" s="10"/>
      <c r="Z1883" s="10"/>
      <c r="AA1883" s="11" t="str">
        <f t="shared" si="59"/>
        <v/>
      </c>
    </row>
    <row r="1884" spans="16:27" ht="15" customHeight="1">
      <c r="P1884" t="str">
        <f t="shared" si="58"/>
        <v/>
      </c>
      <c r="Q1884" t="str">
        <f>IF(P1884="","",IFERROR(IF(AND(H1884="W7",OR(F1884="causal",F1884="predictive")),IF(AND(OR(K1884=1,K1884="1"),OR(L1884=1,L1884="1"),OR(M1884=1,M1884="1")),"adequate","partial"),IF(AND(H1884="W4",F1884="predictive",OR(J1884="P2",J1884="P3",J1884="P4")),IF(OR(U1884=1,U1884="1"),"adequate","partial"),INDEX(Fit_Matrix!$B:$B,MATCH(P1884,Fit_Matrix!$A:$A,0)))),"CHECK KEY"))</f>
        <v/>
      </c>
      <c r="U1884" s="10"/>
      <c r="V1884" s="10"/>
      <c r="W1884" s="10"/>
      <c r="X1884" s="10"/>
      <c r="Y1884" s="10"/>
      <c r="Z1884" s="10"/>
      <c r="AA1884" s="11" t="str">
        <f t="shared" si="59"/>
        <v/>
      </c>
    </row>
    <row r="1885" spans="16:27" ht="15" customHeight="1">
      <c r="P1885" t="str">
        <f t="shared" si="58"/>
        <v/>
      </c>
      <c r="Q1885" t="str">
        <f>IF(P1885="","",IFERROR(IF(AND(H1885="W7",OR(F1885="causal",F1885="predictive")),IF(AND(OR(K1885=1,K1885="1"),OR(L1885=1,L1885="1"),OR(M1885=1,M1885="1")),"adequate","partial"),IF(AND(H1885="W4",F1885="predictive",OR(J1885="P2",J1885="P3",J1885="P4")),IF(OR(U1885=1,U1885="1"),"adequate","partial"),INDEX(Fit_Matrix!$B:$B,MATCH(P1885,Fit_Matrix!$A:$A,0)))),"CHECK KEY"))</f>
        <v/>
      </c>
      <c r="U1885" s="10"/>
      <c r="V1885" s="10"/>
      <c r="W1885" s="10"/>
      <c r="X1885" s="10"/>
      <c r="Y1885" s="10"/>
      <c r="Z1885" s="10"/>
      <c r="AA1885" s="11" t="str">
        <f t="shared" si="59"/>
        <v/>
      </c>
    </row>
    <row r="1886" spans="16:27" ht="15" customHeight="1">
      <c r="P1886" t="str">
        <f t="shared" si="58"/>
        <v/>
      </c>
      <c r="Q1886" t="str">
        <f>IF(P1886="","",IFERROR(IF(AND(H1886="W7",OR(F1886="causal",F1886="predictive")),IF(AND(OR(K1886=1,K1886="1"),OR(L1886=1,L1886="1"),OR(M1886=1,M1886="1")),"adequate","partial"),IF(AND(H1886="W4",F1886="predictive",OR(J1886="P2",J1886="P3",J1886="P4")),IF(OR(U1886=1,U1886="1"),"adequate","partial"),INDEX(Fit_Matrix!$B:$B,MATCH(P1886,Fit_Matrix!$A:$A,0)))),"CHECK KEY"))</f>
        <v/>
      </c>
      <c r="U1886" s="10"/>
      <c r="V1886" s="10"/>
      <c r="W1886" s="10"/>
      <c r="X1886" s="10"/>
      <c r="Y1886" s="10"/>
      <c r="Z1886" s="10"/>
      <c r="AA1886" s="11" t="str">
        <f t="shared" si="59"/>
        <v/>
      </c>
    </row>
    <row r="1887" spans="16:27" ht="15" customHeight="1">
      <c r="P1887" t="str">
        <f t="shared" si="58"/>
        <v/>
      </c>
      <c r="Q1887" t="str">
        <f>IF(P1887="","",IFERROR(IF(AND(H1887="W7",OR(F1887="causal",F1887="predictive")),IF(AND(OR(K1887=1,K1887="1"),OR(L1887=1,L1887="1"),OR(M1887=1,M1887="1")),"adequate","partial"),IF(AND(H1887="W4",F1887="predictive",OR(J1887="P2",J1887="P3",J1887="P4")),IF(OR(U1887=1,U1887="1"),"adequate","partial"),INDEX(Fit_Matrix!$B:$B,MATCH(P1887,Fit_Matrix!$A:$A,0)))),"CHECK KEY"))</f>
        <v/>
      </c>
      <c r="U1887" s="10"/>
      <c r="V1887" s="10"/>
      <c r="W1887" s="10"/>
      <c r="X1887" s="10"/>
      <c r="Y1887" s="10"/>
      <c r="Z1887" s="10"/>
      <c r="AA1887" s="11" t="str">
        <f t="shared" si="59"/>
        <v/>
      </c>
    </row>
    <row r="1888" spans="16:27" ht="15" customHeight="1">
      <c r="P1888" t="str">
        <f t="shared" si="58"/>
        <v/>
      </c>
      <c r="Q1888" t="str">
        <f>IF(P1888="","",IFERROR(IF(AND(H1888="W7",OR(F1888="causal",F1888="predictive")),IF(AND(OR(K1888=1,K1888="1"),OR(L1888=1,L1888="1"),OR(M1888=1,M1888="1")),"adequate","partial"),IF(AND(H1888="W4",F1888="predictive",OR(J1888="P2",J1888="P3",J1888="P4")),IF(OR(U1888=1,U1888="1"),"adequate","partial"),INDEX(Fit_Matrix!$B:$B,MATCH(P1888,Fit_Matrix!$A:$A,0)))),"CHECK KEY"))</f>
        <v/>
      </c>
      <c r="U1888" s="10"/>
      <c r="V1888" s="10"/>
      <c r="W1888" s="10"/>
      <c r="X1888" s="10"/>
      <c r="Y1888" s="10"/>
      <c r="Z1888" s="10"/>
      <c r="AA1888" s="11" t="str">
        <f t="shared" si="59"/>
        <v/>
      </c>
    </row>
    <row r="1889" spans="16:27" ht="15" customHeight="1">
      <c r="P1889" t="str">
        <f t="shared" si="58"/>
        <v/>
      </c>
      <c r="Q1889" t="str">
        <f>IF(P1889="","",IFERROR(IF(AND(H1889="W7",OR(F1889="causal",F1889="predictive")),IF(AND(OR(K1889=1,K1889="1"),OR(L1889=1,L1889="1"),OR(M1889=1,M1889="1")),"adequate","partial"),IF(AND(H1889="W4",F1889="predictive",OR(J1889="P2",J1889="P3",J1889="P4")),IF(OR(U1889=1,U1889="1"),"adequate","partial"),INDEX(Fit_Matrix!$B:$B,MATCH(P1889,Fit_Matrix!$A:$A,0)))),"CHECK KEY"))</f>
        <v/>
      </c>
      <c r="U1889" s="10"/>
      <c r="V1889" s="10"/>
      <c r="W1889" s="10"/>
      <c r="X1889" s="10"/>
      <c r="Y1889" s="10"/>
      <c r="Z1889" s="10"/>
      <c r="AA1889" s="11" t="str">
        <f t="shared" si="59"/>
        <v/>
      </c>
    </row>
    <row r="1890" spans="16:27" ht="15" customHeight="1">
      <c r="P1890" t="str">
        <f t="shared" si="58"/>
        <v/>
      </c>
      <c r="Q1890" t="str">
        <f>IF(P1890="","",IFERROR(IF(AND(H1890="W7",OR(F1890="causal",F1890="predictive")),IF(AND(OR(K1890=1,K1890="1"),OR(L1890=1,L1890="1"),OR(M1890=1,M1890="1")),"adequate","partial"),IF(AND(H1890="W4",F1890="predictive",OR(J1890="P2",J1890="P3",J1890="P4")),IF(OR(U1890=1,U1890="1"),"adequate","partial"),INDEX(Fit_Matrix!$B:$B,MATCH(P1890,Fit_Matrix!$A:$A,0)))),"CHECK KEY"))</f>
        <v/>
      </c>
      <c r="U1890" s="10"/>
      <c r="V1890" s="10"/>
      <c r="W1890" s="10"/>
      <c r="X1890" s="10"/>
      <c r="Y1890" s="10"/>
      <c r="Z1890" s="10"/>
      <c r="AA1890" s="11" t="str">
        <f t="shared" si="59"/>
        <v/>
      </c>
    </row>
    <row r="1891" spans="16:27" ht="15" customHeight="1">
      <c r="P1891" t="str">
        <f t="shared" si="58"/>
        <v/>
      </c>
      <c r="Q1891" t="str">
        <f>IF(P1891="","",IFERROR(IF(AND(H1891="W7",OR(F1891="causal",F1891="predictive")),IF(AND(OR(K1891=1,K1891="1"),OR(L1891=1,L1891="1"),OR(M1891=1,M1891="1")),"adequate","partial"),IF(AND(H1891="W4",F1891="predictive",OR(J1891="P2",J1891="P3",J1891="P4")),IF(OR(U1891=1,U1891="1"),"adequate","partial"),INDEX(Fit_Matrix!$B:$B,MATCH(P1891,Fit_Matrix!$A:$A,0)))),"CHECK KEY"))</f>
        <v/>
      </c>
      <c r="U1891" s="10"/>
      <c r="V1891" s="10"/>
      <c r="W1891" s="10"/>
      <c r="X1891" s="10"/>
      <c r="Y1891" s="10"/>
      <c r="Z1891" s="10"/>
      <c r="AA1891" s="11" t="str">
        <f t="shared" si="59"/>
        <v/>
      </c>
    </row>
    <row r="1892" spans="16:27" ht="15" customHeight="1">
      <c r="P1892" t="str">
        <f t="shared" si="58"/>
        <v/>
      </c>
      <c r="Q1892" t="str">
        <f>IF(P1892="","",IFERROR(IF(AND(H1892="W7",OR(F1892="causal",F1892="predictive")),IF(AND(OR(K1892=1,K1892="1"),OR(L1892=1,L1892="1"),OR(M1892=1,M1892="1")),"adequate","partial"),IF(AND(H1892="W4",F1892="predictive",OR(J1892="P2",J1892="P3",J1892="P4")),IF(OR(U1892=1,U1892="1"),"adequate","partial"),INDEX(Fit_Matrix!$B:$B,MATCH(P1892,Fit_Matrix!$A:$A,0)))),"CHECK KEY"))</f>
        <v/>
      </c>
      <c r="U1892" s="10"/>
      <c r="V1892" s="10"/>
      <c r="W1892" s="10"/>
      <c r="X1892" s="10"/>
      <c r="Y1892" s="10"/>
      <c r="Z1892" s="10"/>
      <c r="AA1892" s="11" t="str">
        <f t="shared" si="59"/>
        <v/>
      </c>
    </row>
    <row r="1893" spans="16:27" ht="15" customHeight="1">
      <c r="P1893" t="str">
        <f t="shared" si="58"/>
        <v/>
      </c>
      <c r="Q1893" t="str">
        <f>IF(P1893="","",IFERROR(IF(AND(H1893="W7",OR(F1893="causal",F1893="predictive")),IF(AND(OR(K1893=1,K1893="1"),OR(L1893=1,L1893="1"),OR(M1893=1,M1893="1")),"adequate","partial"),IF(AND(H1893="W4",F1893="predictive",OR(J1893="P2",J1893="P3",J1893="P4")),IF(OR(U1893=1,U1893="1"),"adequate","partial"),INDEX(Fit_Matrix!$B:$B,MATCH(P1893,Fit_Matrix!$A:$A,0)))),"CHECK KEY"))</f>
        <v/>
      </c>
      <c r="U1893" s="10"/>
      <c r="V1893" s="10"/>
      <c r="W1893" s="10"/>
      <c r="X1893" s="10"/>
      <c r="Y1893" s="10"/>
      <c r="Z1893" s="10"/>
      <c r="AA1893" s="11" t="str">
        <f t="shared" si="59"/>
        <v/>
      </c>
    </row>
    <row r="1894" spans="16:27" ht="15" customHeight="1">
      <c r="P1894" t="str">
        <f t="shared" si="58"/>
        <v/>
      </c>
      <c r="Q1894" t="str">
        <f>IF(P1894="","",IFERROR(IF(AND(H1894="W7",OR(F1894="causal",F1894="predictive")),IF(AND(OR(K1894=1,K1894="1"),OR(L1894=1,L1894="1"),OR(M1894=1,M1894="1")),"adequate","partial"),IF(AND(H1894="W4",F1894="predictive",OR(J1894="P2",J1894="P3",J1894="P4")),IF(OR(U1894=1,U1894="1"),"adequate","partial"),INDEX(Fit_Matrix!$B:$B,MATCH(P1894,Fit_Matrix!$A:$A,0)))),"CHECK KEY"))</f>
        <v/>
      </c>
      <c r="U1894" s="10"/>
      <c r="V1894" s="10"/>
      <c r="W1894" s="10"/>
      <c r="X1894" s="10"/>
      <c r="Y1894" s="10"/>
      <c r="Z1894" s="10"/>
      <c r="AA1894" s="11" t="str">
        <f t="shared" si="59"/>
        <v/>
      </c>
    </row>
    <row r="1895" spans="16:27" ht="15" customHeight="1">
      <c r="P1895" t="str">
        <f t="shared" si="58"/>
        <v/>
      </c>
      <c r="Q1895" t="str">
        <f>IF(P1895="","",IFERROR(IF(AND(H1895="W7",OR(F1895="causal",F1895="predictive")),IF(AND(OR(K1895=1,K1895="1"),OR(L1895=1,L1895="1"),OR(M1895=1,M1895="1")),"adequate","partial"),IF(AND(H1895="W4",F1895="predictive",OR(J1895="P2",J1895="P3",J1895="P4")),IF(OR(U1895=1,U1895="1"),"adequate","partial"),INDEX(Fit_Matrix!$B:$B,MATCH(P1895,Fit_Matrix!$A:$A,0)))),"CHECK KEY"))</f>
        <v/>
      </c>
      <c r="U1895" s="10"/>
      <c r="V1895" s="10"/>
      <c r="W1895" s="10"/>
      <c r="X1895" s="10"/>
      <c r="Y1895" s="10"/>
      <c r="Z1895" s="10"/>
      <c r="AA1895" s="11" t="str">
        <f t="shared" si="59"/>
        <v/>
      </c>
    </row>
    <row r="1896" spans="16:27" ht="15" customHeight="1">
      <c r="P1896" t="str">
        <f t="shared" si="58"/>
        <v/>
      </c>
      <c r="Q1896" t="str">
        <f>IF(P1896="","",IFERROR(IF(AND(H1896="W7",OR(F1896="causal",F1896="predictive")),IF(AND(OR(K1896=1,K1896="1"),OR(L1896=1,L1896="1"),OR(M1896=1,M1896="1")),"adequate","partial"),IF(AND(H1896="W4",F1896="predictive",OR(J1896="P2",J1896="P3",J1896="P4")),IF(OR(U1896=1,U1896="1"),"adequate","partial"),INDEX(Fit_Matrix!$B:$B,MATCH(P1896,Fit_Matrix!$A:$A,0)))),"CHECK KEY"))</f>
        <v/>
      </c>
      <c r="U1896" s="10"/>
      <c r="V1896" s="10"/>
      <c r="W1896" s="10"/>
      <c r="X1896" s="10"/>
      <c r="Y1896" s="10"/>
      <c r="Z1896" s="10"/>
      <c r="AA1896" s="11" t="str">
        <f t="shared" si="59"/>
        <v/>
      </c>
    </row>
    <row r="1897" spans="16:27" ht="15" customHeight="1">
      <c r="P1897" t="str">
        <f t="shared" si="58"/>
        <v/>
      </c>
      <c r="Q1897" t="str">
        <f>IF(P1897="","",IFERROR(IF(AND(H1897="W7",OR(F1897="causal",F1897="predictive")),IF(AND(OR(K1897=1,K1897="1"),OR(L1897=1,L1897="1"),OR(M1897=1,M1897="1")),"adequate","partial"),IF(AND(H1897="W4",F1897="predictive",OR(J1897="P2",J1897="P3",J1897="P4")),IF(OR(U1897=1,U1897="1"),"adequate","partial"),INDEX(Fit_Matrix!$B:$B,MATCH(P1897,Fit_Matrix!$A:$A,0)))),"CHECK KEY"))</f>
        <v/>
      </c>
      <c r="U1897" s="10"/>
      <c r="V1897" s="10"/>
      <c r="W1897" s="10"/>
      <c r="X1897" s="10"/>
      <c r="Y1897" s="10"/>
      <c r="Z1897" s="10"/>
      <c r="AA1897" s="11" t="str">
        <f t="shared" si="59"/>
        <v/>
      </c>
    </row>
    <row r="1898" spans="16:27" ht="15" customHeight="1">
      <c r="P1898" t="str">
        <f t="shared" si="58"/>
        <v/>
      </c>
      <c r="Q1898" t="str">
        <f>IF(P1898="","",IFERROR(IF(AND(H1898="W7",OR(F1898="causal",F1898="predictive")),IF(AND(OR(K1898=1,K1898="1"),OR(L1898=1,L1898="1"),OR(M1898=1,M1898="1")),"adequate","partial"),IF(AND(H1898="W4",F1898="predictive",OR(J1898="P2",J1898="P3",J1898="P4")),IF(OR(U1898=1,U1898="1"),"adequate","partial"),INDEX(Fit_Matrix!$B:$B,MATCH(P1898,Fit_Matrix!$A:$A,0)))),"CHECK KEY"))</f>
        <v/>
      </c>
      <c r="U1898" s="10"/>
      <c r="V1898" s="10"/>
      <c r="W1898" s="10"/>
      <c r="X1898" s="10"/>
      <c r="Y1898" s="10"/>
      <c r="Z1898" s="10"/>
      <c r="AA1898" s="11" t="str">
        <f t="shared" si="59"/>
        <v/>
      </c>
    </row>
    <row r="1899" spans="16:27" ht="15" customHeight="1">
      <c r="P1899" t="str">
        <f t="shared" si="58"/>
        <v/>
      </c>
      <c r="Q1899" t="str">
        <f>IF(P1899="","",IFERROR(IF(AND(H1899="W7",OR(F1899="causal",F1899="predictive")),IF(AND(OR(K1899=1,K1899="1"),OR(L1899=1,L1899="1"),OR(M1899=1,M1899="1")),"adequate","partial"),IF(AND(H1899="W4",F1899="predictive",OR(J1899="P2",J1899="P3",J1899="P4")),IF(OR(U1899=1,U1899="1"),"adequate","partial"),INDEX(Fit_Matrix!$B:$B,MATCH(P1899,Fit_Matrix!$A:$A,0)))),"CHECK KEY"))</f>
        <v/>
      </c>
      <c r="U1899" s="10"/>
      <c r="V1899" s="10"/>
      <c r="W1899" s="10"/>
      <c r="X1899" s="10"/>
      <c r="Y1899" s="10"/>
      <c r="Z1899" s="10"/>
      <c r="AA1899" s="11" t="str">
        <f t="shared" si="59"/>
        <v/>
      </c>
    </row>
    <row r="1900" spans="16:27" ht="15" customHeight="1">
      <c r="P1900" t="str">
        <f t="shared" si="58"/>
        <v/>
      </c>
      <c r="Q1900" t="str">
        <f>IF(P1900="","",IFERROR(IF(AND(H1900="W7",OR(F1900="causal",F1900="predictive")),IF(AND(OR(K1900=1,K1900="1"),OR(L1900=1,L1900="1"),OR(M1900=1,M1900="1")),"adequate","partial"),IF(AND(H1900="W4",F1900="predictive",OR(J1900="P2",J1900="P3",J1900="P4")),IF(OR(U1900=1,U1900="1"),"adequate","partial"),INDEX(Fit_Matrix!$B:$B,MATCH(P1900,Fit_Matrix!$A:$A,0)))),"CHECK KEY"))</f>
        <v/>
      </c>
      <c r="U1900" s="10"/>
      <c r="V1900" s="10"/>
      <c r="W1900" s="10"/>
      <c r="X1900" s="10"/>
      <c r="Y1900" s="10"/>
      <c r="Z1900" s="10"/>
      <c r="AA1900" s="11" t="str">
        <f t="shared" si="59"/>
        <v/>
      </c>
    </row>
    <row r="1901" spans="16:27" ht="15" customHeight="1">
      <c r="P1901" t="str">
        <f t="shared" si="58"/>
        <v/>
      </c>
      <c r="Q1901" t="str">
        <f>IF(P1901="","",IFERROR(IF(AND(H1901="W7",OR(F1901="causal",F1901="predictive")),IF(AND(OR(K1901=1,K1901="1"),OR(L1901=1,L1901="1"),OR(M1901=1,M1901="1")),"adequate","partial"),IF(AND(H1901="W4",F1901="predictive",OR(J1901="P2",J1901="P3",J1901="P4")),IF(OR(U1901=1,U1901="1"),"adequate","partial"),INDEX(Fit_Matrix!$B:$B,MATCH(P1901,Fit_Matrix!$A:$A,0)))),"CHECK KEY"))</f>
        <v/>
      </c>
      <c r="U1901" s="10"/>
      <c r="V1901" s="10"/>
      <c r="W1901" s="10"/>
      <c r="X1901" s="10"/>
      <c r="Y1901" s="10"/>
      <c r="Z1901" s="10"/>
      <c r="AA1901" s="11" t="str">
        <f t="shared" si="59"/>
        <v/>
      </c>
    </row>
    <row r="1902" spans="16:27" ht="15" customHeight="1">
      <c r="P1902" t="str">
        <f t="shared" si="58"/>
        <v/>
      </c>
      <c r="Q1902" t="str">
        <f>IF(P1902="","",IFERROR(IF(AND(H1902="W7",OR(F1902="causal",F1902="predictive")),IF(AND(OR(K1902=1,K1902="1"),OR(L1902=1,L1902="1"),OR(M1902=1,M1902="1")),"adequate","partial"),IF(AND(H1902="W4",F1902="predictive",OR(J1902="P2",J1902="P3",J1902="P4")),IF(OR(U1902=1,U1902="1"),"adequate","partial"),INDEX(Fit_Matrix!$B:$B,MATCH(P1902,Fit_Matrix!$A:$A,0)))),"CHECK KEY"))</f>
        <v/>
      </c>
      <c r="U1902" s="10"/>
      <c r="V1902" s="10"/>
      <c r="W1902" s="10"/>
      <c r="X1902" s="10"/>
      <c r="Y1902" s="10"/>
      <c r="Z1902" s="10"/>
      <c r="AA1902" s="11" t="str">
        <f t="shared" si="59"/>
        <v/>
      </c>
    </row>
    <row r="1903" spans="16:27" ht="15" customHeight="1">
      <c r="P1903" t="str">
        <f t="shared" si="58"/>
        <v/>
      </c>
      <c r="Q1903" t="str">
        <f>IF(P1903="","",IFERROR(IF(AND(H1903="W7",OR(F1903="causal",F1903="predictive")),IF(AND(OR(K1903=1,K1903="1"),OR(L1903=1,L1903="1"),OR(M1903=1,M1903="1")),"adequate","partial"),IF(AND(H1903="W4",F1903="predictive",OR(J1903="P2",J1903="P3",J1903="P4")),IF(OR(U1903=1,U1903="1"),"adequate","partial"),INDEX(Fit_Matrix!$B:$B,MATCH(P1903,Fit_Matrix!$A:$A,0)))),"CHECK KEY"))</f>
        <v/>
      </c>
      <c r="U1903" s="10"/>
      <c r="V1903" s="10"/>
      <c r="W1903" s="10"/>
      <c r="X1903" s="10"/>
      <c r="Y1903" s="10"/>
      <c r="Z1903" s="10"/>
      <c r="AA1903" s="11" t="str">
        <f t="shared" si="59"/>
        <v/>
      </c>
    </row>
    <row r="1904" spans="16:27" ht="15" customHeight="1">
      <c r="P1904" t="str">
        <f t="shared" si="58"/>
        <v/>
      </c>
      <c r="Q1904" t="str">
        <f>IF(P1904="","",IFERROR(IF(AND(H1904="W7",OR(F1904="causal",F1904="predictive")),IF(AND(OR(K1904=1,K1904="1"),OR(L1904=1,L1904="1"),OR(M1904=1,M1904="1")),"adequate","partial"),IF(AND(H1904="W4",F1904="predictive",OR(J1904="P2",J1904="P3",J1904="P4")),IF(OR(U1904=1,U1904="1"),"adequate","partial"),INDEX(Fit_Matrix!$B:$B,MATCH(P1904,Fit_Matrix!$A:$A,0)))),"CHECK KEY"))</f>
        <v/>
      </c>
      <c r="U1904" s="10"/>
      <c r="V1904" s="10"/>
      <c r="W1904" s="10"/>
      <c r="X1904" s="10"/>
      <c r="Y1904" s="10"/>
      <c r="Z1904" s="10"/>
      <c r="AA1904" s="11" t="str">
        <f t="shared" si="59"/>
        <v/>
      </c>
    </row>
    <row r="1905" spans="16:27" ht="15" customHeight="1">
      <c r="P1905" t="str">
        <f t="shared" si="58"/>
        <v/>
      </c>
      <c r="Q1905" t="str">
        <f>IF(P1905="","",IFERROR(IF(AND(H1905="W7",OR(F1905="causal",F1905="predictive")),IF(AND(OR(K1905=1,K1905="1"),OR(L1905=1,L1905="1"),OR(M1905=1,M1905="1")),"adequate","partial"),IF(AND(H1905="W4",F1905="predictive",OR(J1905="P2",J1905="P3",J1905="P4")),IF(OR(U1905=1,U1905="1"),"adequate","partial"),INDEX(Fit_Matrix!$B:$B,MATCH(P1905,Fit_Matrix!$A:$A,0)))),"CHECK KEY"))</f>
        <v/>
      </c>
      <c r="U1905" s="10"/>
      <c r="V1905" s="10"/>
      <c r="W1905" s="10"/>
      <c r="X1905" s="10"/>
      <c r="Y1905" s="10"/>
      <c r="Z1905" s="10"/>
      <c r="AA1905" s="11" t="str">
        <f t="shared" si="59"/>
        <v/>
      </c>
    </row>
    <row r="1906" spans="16:27" ht="15" customHeight="1">
      <c r="P1906" t="str">
        <f t="shared" si="58"/>
        <v/>
      </c>
      <c r="Q1906" t="str">
        <f>IF(P1906="","",IFERROR(IF(AND(H1906="W7",OR(F1906="causal",F1906="predictive")),IF(AND(OR(K1906=1,K1906="1"),OR(L1906=1,L1906="1"),OR(M1906=1,M1906="1")),"adequate","partial"),IF(AND(H1906="W4",F1906="predictive",OR(J1906="P2",J1906="P3",J1906="P4")),IF(OR(U1906=1,U1906="1"),"adequate","partial"),INDEX(Fit_Matrix!$B:$B,MATCH(P1906,Fit_Matrix!$A:$A,0)))),"CHECK KEY"))</f>
        <v/>
      </c>
      <c r="U1906" s="10"/>
      <c r="V1906" s="10"/>
      <c r="W1906" s="10"/>
      <c r="X1906" s="10"/>
      <c r="Y1906" s="10"/>
      <c r="Z1906" s="10"/>
      <c r="AA1906" s="11" t="str">
        <f t="shared" si="59"/>
        <v/>
      </c>
    </row>
    <row r="1907" spans="16:27" ht="15" customHeight="1">
      <c r="P1907" t="str">
        <f t="shared" si="58"/>
        <v/>
      </c>
      <c r="Q1907" t="str">
        <f>IF(P1907="","",IFERROR(IF(AND(H1907="W7",OR(F1907="causal",F1907="predictive")),IF(AND(OR(K1907=1,K1907="1"),OR(L1907=1,L1907="1"),OR(M1907=1,M1907="1")),"adequate","partial"),IF(AND(H1907="W4",F1907="predictive",OR(J1907="P2",J1907="P3",J1907="P4")),IF(OR(U1907=1,U1907="1"),"adequate","partial"),INDEX(Fit_Matrix!$B:$B,MATCH(P1907,Fit_Matrix!$A:$A,0)))),"CHECK KEY"))</f>
        <v/>
      </c>
      <c r="U1907" s="10"/>
      <c r="V1907" s="10"/>
      <c r="W1907" s="10"/>
      <c r="X1907" s="10"/>
      <c r="Y1907" s="10"/>
      <c r="Z1907" s="10"/>
      <c r="AA1907" s="11" t="str">
        <f t="shared" si="59"/>
        <v/>
      </c>
    </row>
    <row r="1908" spans="16:27" ht="15" customHeight="1">
      <c r="P1908" t="str">
        <f t="shared" si="58"/>
        <v/>
      </c>
      <c r="Q1908" t="str">
        <f>IF(P1908="","",IFERROR(IF(AND(H1908="W7",OR(F1908="causal",F1908="predictive")),IF(AND(OR(K1908=1,K1908="1"),OR(L1908=1,L1908="1"),OR(M1908=1,M1908="1")),"adequate","partial"),IF(AND(H1908="W4",F1908="predictive",OR(J1908="P2",J1908="P3",J1908="P4")),IF(OR(U1908=1,U1908="1"),"adequate","partial"),INDEX(Fit_Matrix!$B:$B,MATCH(P1908,Fit_Matrix!$A:$A,0)))),"CHECK KEY"))</f>
        <v/>
      </c>
      <c r="U1908" s="10"/>
      <c r="V1908" s="10"/>
      <c r="W1908" s="10"/>
      <c r="X1908" s="10"/>
      <c r="Y1908" s="10"/>
      <c r="Z1908" s="10"/>
      <c r="AA1908" s="11" t="str">
        <f t="shared" si="59"/>
        <v/>
      </c>
    </row>
    <row r="1909" spans="16:27" ht="15" customHeight="1">
      <c r="P1909" t="str">
        <f t="shared" si="58"/>
        <v/>
      </c>
      <c r="Q1909" t="str">
        <f>IF(P1909="","",IFERROR(IF(AND(H1909="W7",OR(F1909="causal",F1909="predictive")),IF(AND(OR(K1909=1,K1909="1"),OR(L1909=1,L1909="1"),OR(M1909=1,M1909="1")),"adequate","partial"),IF(AND(H1909="W4",F1909="predictive",OR(J1909="P2",J1909="P3",J1909="P4")),IF(OR(U1909=1,U1909="1"),"adequate","partial"),INDEX(Fit_Matrix!$B:$B,MATCH(P1909,Fit_Matrix!$A:$A,0)))),"CHECK KEY"))</f>
        <v/>
      </c>
      <c r="U1909" s="10"/>
      <c r="V1909" s="10"/>
      <c r="W1909" s="10"/>
      <c r="X1909" s="10"/>
      <c r="Y1909" s="10"/>
      <c r="Z1909" s="10"/>
      <c r="AA1909" s="11" t="str">
        <f t="shared" si="59"/>
        <v/>
      </c>
    </row>
    <row r="1910" spans="16:27" ht="15" customHeight="1">
      <c r="P1910" t="str">
        <f t="shared" si="58"/>
        <v/>
      </c>
      <c r="Q1910" t="str">
        <f>IF(P1910="","",IFERROR(IF(AND(H1910="W7",OR(F1910="causal",F1910="predictive")),IF(AND(OR(K1910=1,K1910="1"),OR(L1910=1,L1910="1"),OR(M1910=1,M1910="1")),"adequate","partial"),IF(AND(H1910="W4",F1910="predictive",OR(J1910="P2",J1910="P3",J1910="P4")),IF(OR(U1910=1,U1910="1"),"adequate","partial"),INDEX(Fit_Matrix!$B:$B,MATCH(P1910,Fit_Matrix!$A:$A,0)))),"CHECK KEY"))</f>
        <v/>
      </c>
      <c r="U1910" s="10"/>
      <c r="V1910" s="10"/>
      <c r="W1910" s="10"/>
      <c r="X1910" s="10"/>
      <c r="Y1910" s="10"/>
      <c r="Z1910" s="10"/>
      <c r="AA1910" s="11" t="str">
        <f t="shared" si="59"/>
        <v/>
      </c>
    </row>
    <row r="1911" spans="16:27" ht="15" customHeight="1">
      <c r="P1911" t="str">
        <f t="shared" si="58"/>
        <v/>
      </c>
      <c r="Q1911" t="str">
        <f>IF(P1911="","",IFERROR(IF(AND(H1911="W7",OR(F1911="causal",F1911="predictive")),IF(AND(OR(K1911=1,K1911="1"),OR(L1911=1,L1911="1"),OR(M1911=1,M1911="1")),"adequate","partial"),IF(AND(H1911="W4",F1911="predictive",OR(J1911="P2",J1911="P3",J1911="P4")),IF(OR(U1911=1,U1911="1"),"adequate","partial"),INDEX(Fit_Matrix!$B:$B,MATCH(P1911,Fit_Matrix!$A:$A,0)))),"CHECK KEY"))</f>
        <v/>
      </c>
      <c r="U1911" s="10"/>
      <c r="V1911" s="10"/>
      <c r="W1911" s="10"/>
      <c r="X1911" s="10"/>
      <c r="Y1911" s="10"/>
      <c r="Z1911" s="10"/>
      <c r="AA1911" s="11" t="str">
        <f t="shared" si="59"/>
        <v/>
      </c>
    </row>
    <row r="1912" spans="16:27" ht="15" customHeight="1">
      <c r="P1912" t="str">
        <f t="shared" si="58"/>
        <v/>
      </c>
      <c r="Q1912" t="str">
        <f>IF(P1912="","",IFERROR(IF(AND(H1912="W7",OR(F1912="causal",F1912="predictive")),IF(AND(OR(K1912=1,K1912="1"),OR(L1912=1,L1912="1"),OR(M1912=1,M1912="1")),"adequate","partial"),IF(AND(H1912="W4",F1912="predictive",OR(J1912="P2",J1912="P3",J1912="P4")),IF(OR(U1912=1,U1912="1"),"adequate","partial"),INDEX(Fit_Matrix!$B:$B,MATCH(P1912,Fit_Matrix!$A:$A,0)))),"CHECK KEY"))</f>
        <v/>
      </c>
      <c r="U1912" s="10"/>
      <c r="V1912" s="10"/>
      <c r="W1912" s="10"/>
      <c r="X1912" s="10"/>
      <c r="Y1912" s="10"/>
      <c r="Z1912" s="10"/>
      <c r="AA1912" s="11" t="str">
        <f t="shared" si="59"/>
        <v/>
      </c>
    </row>
    <row r="1913" spans="16:27" ht="15" customHeight="1">
      <c r="P1913" t="str">
        <f t="shared" si="58"/>
        <v/>
      </c>
      <c r="Q1913" t="str">
        <f>IF(P1913="","",IFERROR(IF(AND(H1913="W7",OR(F1913="causal",F1913="predictive")),IF(AND(OR(K1913=1,K1913="1"),OR(L1913=1,L1913="1"),OR(M1913=1,M1913="1")),"adequate","partial"),IF(AND(H1913="W4",F1913="predictive",OR(J1913="P2",J1913="P3",J1913="P4")),IF(OR(U1913=1,U1913="1"),"adequate","partial"),INDEX(Fit_Matrix!$B:$B,MATCH(P1913,Fit_Matrix!$A:$A,0)))),"CHECK KEY"))</f>
        <v/>
      </c>
      <c r="U1913" s="10"/>
      <c r="V1913" s="10"/>
      <c r="W1913" s="10"/>
      <c r="X1913" s="10"/>
      <c r="Y1913" s="10"/>
      <c r="Z1913" s="10"/>
      <c r="AA1913" s="11" t="str">
        <f t="shared" si="59"/>
        <v/>
      </c>
    </row>
    <row r="1914" spans="16:27" ht="15" customHeight="1">
      <c r="P1914" t="str">
        <f t="shared" si="58"/>
        <v/>
      </c>
      <c r="Q1914" t="str">
        <f>IF(P1914="","",IFERROR(IF(AND(H1914="W7",OR(F1914="causal",F1914="predictive")),IF(AND(OR(K1914=1,K1914="1"),OR(L1914=1,L1914="1"),OR(M1914=1,M1914="1")),"adequate","partial"),IF(AND(H1914="W4",F1914="predictive",OR(J1914="P2",J1914="P3",J1914="P4")),IF(OR(U1914=1,U1914="1"),"adequate","partial"),INDEX(Fit_Matrix!$B:$B,MATCH(P1914,Fit_Matrix!$A:$A,0)))),"CHECK KEY"))</f>
        <v/>
      </c>
      <c r="U1914" s="10"/>
      <c r="V1914" s="10"/>
      <c r="W1914" s="10"/>
      <c r="X1914" s="10"/>
      <c r="Y1914" s="10"/>
      <c r="Z1914" s="10"/>
      <c r="AA1914" s="11" t="str">
        <f t="shared" si="59"/>
        <v/>
      </c>
    </row>
    <row r="1915" spans="16:27" ht="15" customHeight="1">
      <c r="P1915" t="str">
        <f t="shared" si="58"/>
        <v/>
      </c>
      <c r="Q1915" t="str">
        <f>IF(P1915="","",IFERROR(IF(AND(H1915="W7",OR(F1915="causal",F1915="predictive")),IF(AND(OR(K1915=1,K1915="1"),OR(L1915=1,L1915="1"),OR(M1915=1,M1915="1")),"adequate","partial"),IF(AND(H1915="W4",F1915="predictive",OR(J1915="P2",J1915="P3",J1915="P4")),IF(OR(U1915=1,U1915="1"),"adequate","partial"),INDEX(Fit_Matrix!$B:$B,MATCH(P1915,Fit_Matrix!$A:$A,0)))),"CHECK KEY"))</f>
        <v/>
      </c>
      <c r="U1915" s="10"/>
      <c r="V1915" s="10"/>
      <c r="W1915" s="10"/>
      <c r="X1915" s="10"/>
      <c r="Y1915" s="10"/>
      <c r="Z1915" s="10"/>
      <c r="AA1915" s="11" t="str">
        <f t="shared" si="59"/>
        <v/>
      </c>
    </row>
    <row r="1916" spans="16:27" ht="15" customHeight="1">
      <c r="P1916" t="str">
        <f t="shared" si="58"/>
        <v/>
      </c>
      <c r="Q1916" t="str">
        <f>IF(P1916="","",IFERROR(IF(AND(H1916="W7",OR(F1916="causal",F1916="predictive")),IF(AND(OR(K1916=1,K1916="1"),OR(L1916=1,L1916="1"),OR(M1916=1,M1916="1")),"adequate","partial"),IF(AND(H1916="W4",F1916="predictive",OR(J1916="P2",J1916="P3",J1916="P4")),IF(OR(U1916=1,U1916="1"),"adequate","partial"),INDEX(Fit_Matrix!$B:$B,MATCH(P1916,Fit_Matrix!$A:$A,0)))),"CHECK KEY"))</f>
        <v/>
      </c>
      <c r="U1916" s="10"/>
      <c r="V1916" s="10"/>
      <c r="W1916" s="10"/>
      <c r="X1916" s="10"/>
      <c r="Y1916" s="10"/>
      <c r="Z1916" s="10"/>
      <c r="AA1916" s="11" t="str">
        <f t="shared" si="59"/>
        <v/>
      </c>
    </row>
    <row r="1917" spans="16:27" ht="15" customHeight="1">
      <c r="P1917" t="str">
        <f t="shared" si="58"/>
        <v/>
      </c>
      <c r="Q1917" t="str">
        <f>IF(P1917="","",IFERROR(IF(AND(H1917="W7",OR(F1917="causal",F1917="predictive")),IF(AND(OR(K1917=1,K1917="1"),OR(L1917=1,L1917="1"),OR(M1917=1,M1917="1")),"adequate","partial"),IF(AND(H1917="W4",F1917="predictive",OR(J1917="P2",J1917="P3",J1917="P4")),IF(OR(U1917=1,U1917="1"),"adequate","partial"),INDEX(Fit_Matrix!$B:$B,MATCH(P1917,Fit_Matrix!$A:$A,0)))),"CHECK KEY"))</f>
        <v/>
      </c>
      <c r="U1917" s="10"/>
      <c r="V1917" s="10"/>
      <c r="W1917" s="10"/>
      <c r="X1917" s="10"/>
      <c r="Y1917" s="10"/>
      <c r="Z1917" s="10"/>
      <c r="AA1917" s="11" t="str">
        <f t="shared" si="59"/>
        <v/>
      </c>
    </row>
    <row r="1918" spans="16:27" ht="15" customHeight="1">
      <c r="P1918" t="str">
        <f t="shared" si="58"/>
        <v/>
      </c>
      <c r="Q1918" t="str">
        <f>IF(P1918="","",IFERROR(IF(AND(H1918="W7",OR(F1918="causal",F1918="predictive")),IF(AND(OR(K1918=1,K1918="1"),OR(L1918=1,L1918="1"),OR(M1918=1,M1918="1")),"adequate","partial"),IF(AND(H1918="W4",F1918="predictive",OR(J1918="P2",J1918="P3",J1918="P4")),IF(OR(U1918=1,U1918="1"),"adequate","partial"),INDEX(Fit_Matrix!$B:$B,MATCH(P1918,Fit_Matrix!$A:$A,0)))),"CHECK KEY"))</f>
        <v/>
      </c>
      <c r="U1918" s="10"/>
      <c r="V1918" s="10"/>
      <c r="W1918" s="10"/>
      <c r="X1918" s="10"/>
      <c r="Y1918" s="10"/>
      <c r="Z1918" s="10"/>
      <c r="AA1918" s="11" t="str">
        <f t="shared" si="59"/>
        <v/>
      </c>
    </row>
    <row r="1919" spans="16:27" ht="15" customHeight="1">
      <c r="P1919" t="str">
        <f t="shared" si="58"/>
        <v/>
      </c>
      <c r="Q1919" t="str">
        <f>IF(P1919="","",IFERROR(IF(AND(H1919="W7",OR(F1919="causal",F1919="predictive")),IF(AND(OR(K1919=1,K1919="1"),OR(L1919=1,L1919="1"),OR(M1919=1,M1919="1")),"adequate","partial"),IF(AND(H1919="W4",F1919="predictive",OR(J1919="P2",J1919="P3",J1919="P4")),IF(OR(U1919=1,U1919="1"),"adequate","partial"),INDEX(Fit_Matrix!$B:$B,MATCH(P1919,Fit_Matrix!$A:$A,0)))),"CHECK KEY"))</f>
        <v/>
      </c>
      <c r="U1919" s="10"/>
      <c r="V1919" s="10"/>
      <c r="W1919" s="10"/>
      <c r="X1919" s="10"/>
      <c r="Y1919" s="10"/>
      <c r="Z1919" s="10"/>
      <c r="AA1919" s="11" t="str">
        <f t="shared" si="59"/>
        <v/>
      </c>
    </row>
    <row r="1920" spans="16:27" ht="15" customHeight="1">
      <c r="P1920" t="str">
        <f t="shared" si="58"/>
        <v/>
      </c>
      <c r="Q1920" t="str">
        <f>IF(P1920="","",IFERROR(IF(AND(H1920="W7",OR(F1920="causal",F1920="predictive")),IF(AND(OR(K1920=1,K1920="1"),OR(L1920=1,L1920="1"),OR(M1920=1,M1920="1")),"adequate","partial"),IF(AND(H1920="W4",F1920="predictive",OR(J1920="P2",J1920="P3",J1920="P4")),IF(OR(U1920=1,U1920="1"),"adequate","partial"),INDEX(Fit_Matrix!$B:$B,MATCH(P1920,Fit_Matrix!$A:$A,0)))),"CHECK KEY"))</f>
        <v/>
      </c>
      <c r="U1920" s="10"/>
      <c r="V1920" s="10"/>
      <c r="W1920" s="10"/>
      <c r="X1920" s="10"/>
      <c r="Y1920" s="10"/>
      <c r="Z1920" s="10"/>
      <c r="AA1920" s="11" t="str">
        <f t="shared" si="59"/>
        <v/>
      </c>
    </row>
    <row r="1921" spans="16:27" ht="15" customHeight="1">
      <c r="P1921" t="str">
        <f t="shared" si="58"/>
        <v/>
      </c>
      <c r="Q1921" t="str">
        <f>IF(P1921="","",IFERROR(IF(AND(H1921="W7",OR(F1921="causal",F1921="predictive")),IF(AND(OR(K1921=1,K1921="1"),OR(L1921=1,L1921="1"),OR(M1921=1,M1921="1")),"adequate","partial"),IF(AND(H1921="W4",F1921="predictive",OR(J1921="P2",J1921="P3",J1921="P4")),IF(OR(U1921=1,U1921="1"),"adequate","partial"),INDEX(Fit_Matrix!$B:$B,MATCH(P1921,Fit_Matrix!$A:$A,0)))),"CHECK KEY"))</f>
        <v/>
      </c>
      <c r="U1921" s="10"/>
      <c r="V1921" s="10"/>
      <c r="W1921" s="10"/>
      <c r="X1921" s="10"/>
      <c r="Y1921" s="10"/>
      <c r="Z1921" s="10"/>
      <c r="AA1921" s="11" t="str">
        <f t="shared" si="59"/>
        <v/>
      </c>
    </row>
    <row r="1922" spans="16:27" ht="15" customHeight="1">
      <c r="P1922" t="str">
        <f t="shared" ref="P1922:P1985" si="60">IF(OR(F1922="",H1922="",J1922=""),"",J1922&amp;"|"&amp;F1922&amp;"|"&amp;IF(H1922="W3","W3_"&amp;IF(I1922="","unknown",I1922),H1922))</f>
        <v/>
      </c>
      <c r="Q1922" t="str">
        <f>IF(P1922="","",IFERROR(IF(AND(H1922="W7",OR(F1922="causal",F1922="predictive")),IF(AND(OR(K1922=1,K1922="1"),OR(L1922=1,L1922="1"),OR(M1922=1,M1922="1")),"adequate","partial"),IF(AND(H1922="W4",F1922="predictive",OR(J1922="P2",J1922="P3",J1922="P4")),IF(OR(U1922=1,U1922="1"),"adequate","partial"),INDEX(Fit_Matrix!$B:$B,MATCH(P1922,Fit_Matrix!$A:$A,0)))),"CHECK KEY"))</f>
        <v/>
      </c>
      <c r="U1922" s="10"/>
      <c r="V1922" s="10"/>
      <c r="W1922" s="10"/>
      <c r="X1922" s="10"/>
      <c r="Y1922" s="10"/>
      <c r="Z1922" s="10"/>
      <c r="AA1922" s="11" t="str">
        <f t="shared" ref="AA1922:AA1985" si="61">IF(A1922="","",IF(AND(J1922="P4",F1922="causal"),"P4-CAUSAL",""))</f>
        <v/>
      </c>
    </row>
    <row r="1923" spans="16:27" ht="15" customHeight="1">
      <c r="P1923" t="str">
        <f t="shared" si="60"/>
        <v/>
      </c>
      <c r="Q1923" t="str">
        <f>IF(P1923="","",IFERROR(IF(AND(H1923="W7",OR(F1923="causal",F1923="predictive")),IF(AND(OR(K1923=1,K1923="1"),OR(L1923=1,L1923="1"),OR(M1923=1,M1923="1")),"adequate","partial"),IF(AND(H1923="W4",F1923="predictive",OR(J1923="P2",J1923="P3",J1923="P4")),IF(OR(U1923=1,U1923="1"),"adequate","partial"),INDEX(Fit_Matrix!$B:$B,MATCH(P1923,Fit_Matrix!$A:$A,0)))),"CHECK KEY"))</f>
        <v/>
      </c>
      <c r="U1923" s="10"/>
      <c r="V1923" s="10"/>
      <c r="W1923" s="10"/>
      <c r="X1923" s="10"/>
      <c r="Y1923" s="10"/>
      <c r="Z1923" s="10"/>
      <c r="AA1923" s="11" t="str">
        <f t="shared" si="61"/>
        <v/>
      </c>
    </row>
    <row r="1924" spans="16:27" ht="15" customHeight="1">
      <c r="P1924" t="str">
        <f t="shared" si="60"/>
        <v/>
      </c>
      <c r="Q1924" t="str">
        <f>IF(P1924="","",IFERROR(IF(AND(H1924="W7",OR(F1924="causal",F1924="predictive")),IF(AND(OR(K1924=1,K1924="1"),OR(L1924=1,L1924="1"),OR(M1924=1,M1924="1")),"adequate","partial"),IF(AND(H1924="W4",F1924="predictive",OR(J1924="P2",J1924="P3",J1924="P4")),IF(OR(U1924=1,U1924="1"),"adequate","partial"),INDEX(Fit_Matrix!$B:$B,MATCH(P1924,Fit_Matrix!$A:$A,0)))),"CHECK KEY"))</f>
        <v/>
      </c>
      <c r="U1924" s="10"/>
      <c r="V1924" s="10"/>
      <c r="W1924" s="10"/>
      <c r="X1924" s="10"/>
      <c r="Y1924" s="10"/>
      <c r="Z1924" s="10"/>
      <c r="AA1924" s="11" t="str">
        <f t="shared" si="61"/>
        <v/>
      </c>
    </row>
    <row r="1925" spans="16:27" ht="15" customHeight="1">
      <c r="P1925" t="str">
        <f t="shared" si="60"/>
        <v/>
      </c>
      <c r="Q1925" t="str">
        <f>IF(P1925="","",IFERROR(IF(AND(H1925="W7",OR(F1925="causal",F1925="predictive")),IF(AND(OR(K1925=1,K1925="1"),OR(L1925=1,L1925="1"),OR(M1925=1,M1925="1")),"adequate","partial"),IF(AND(H1925="W4",F1925="predictive",OR(J1925="P2",J1925="P3",J1925="P4")),IF(OR(U1925=1,U1925="1"),"adequate","partial"),INDEX(Fit_Matrix!$B:$B,MATCH(P1925,Fit_Matrix!$A:$A,0)))),"CHECK KEY"))</f>
        <v/>
      </c>
      <c r="U1925" s="10"/>
      <c r="V1925" s="10"/>
      <c r="W1925" s="10"/>
      <c r="X1925" s="10"/>
      <c r="Y1925" s="10"/>
      <c r="Z1925" s="10"/>
      <c r="AA1925" s="11" t="str">
        <f t="shared" si="61"/>
        <v/>
      </c>
    </row>
    <row r="1926" spans="16:27" ht="15" customHeight="1">
      <c r="P1926" t="str">
        <f t="shared" si="60"/>
        <v/>
      </c>
      <c r="Q1926" t="str">
        <f>IF(P1926="","",IFERROR(IF(AND(H1926="W7",OR(F1926="causal",F1926="predictive")),IF(AND(OR(K1926=1,K1926="1"),OR(L1926=1,L1926="1"),OR(M1926=1,M1926="1")),"adequate","partial"),IF(AND(H1926="W4",F1926="predictive",OR(J1926="P2",J1926="P3",J1926="P4")),IF(OR(U1926=1,U1926="1"),"adequate","partial"),INDEX(Fit_Matrix!$B:$B,MATCH(P1926,Fit_Matrix!$A:$A,0)))),"CHECK KEY"))</f>
        <v/>
      </c>
      <c r="U1926" s="10"/>
      <c r="V1926" s="10"/>
      <c r="W1926" s="10"/>
      <c r="X1926" s="10"/>
      <c r="Y1926" s="10"/>
      <c r="Z1926" s="10"/>
      <c r="AA1926" s="11" t="str">
        <f t="shared" si="61"/>
        <v/>
      </c>
    </row>
    <row r="1927" spans="16:27" ht="15" customHeight="1">
      <c r="P1927" t="str">
        <f t="shared" si="60"/>
        <v/>
      </c>
      <c r="Q1927" t="str">
        <f>IF(P1927="","",IFERROR(IF(AND(H1927="W7",OR(F1927="causal",F1927="predictive")),IF(AND(OR(K1927=1,K1927="1"),OR(L1927=1,L1927="1"),OR(M1927=1,M1927="1")),"adequate","partial"),IF(AND(H1927="W4",F1927="predictive",OR(J1927="P2",J1927="P3",J1927="P4")),IF(OR(U1927=1,U1927="1"),"adequate","partial"),INDEX(Fit_Matrix!$B:$B,MATCH(P1927,Fit_Matrix!$A:$A,0)))),"CHECK KEY"))</f>
        <v/>
      </c>
      <c r="U1927" s="10"/>
      <c r="V1927" s="10"/>
      <c r="W1927" s="10"/>
      <c r="X1927" s="10"/>
      <c r="Y1927" s="10"/>
      <c r="Z1927" s="10"/>
      <c r="AA1927" s="11" t="str">
        <f t="shared" si="61"/>
        <v/>
      </c>
    </row>
    <row r="1928" spans="16:27" ht="15" customHeight="1">
      <c r="P1928" t="str">
        <f t="shared" si="60"/>
        <v/>
      </c>
      <c r="Q1928" t="str">
        <f>IF(P1928="","",IFERROR(IF(AND(H1928="W7",OR(F1928="causal",F1928="predictive")),IF(AND(OR(K1928=1,K1928="1"),OR(L1928=1,L1928="1"),OR(M1928=1,M1928="1")),"adequate","partial"),IF(AND(H1928="W4",F1928="predictive",OR(J1928="P2",J1928="P3",J1928="P4")),IF(OR(U1928=1,U1928="1"),"adequate","partial"),INDEX(Fit_Matrix!$B:$B,MATCH(P1928,Fit_Matrix!$A:$A,0)))),"CHECK KEY"))</f>
        <v/>
      </c>
      <c r="U1928" s="10"/>
      <c r="V1928" s="10"/>
      <c r="W1928" s="10"/>
      <c r="X1928" s="10"/>
      <c r="Y1928" s="10"/>
      <c r="Z1928" s="10"/>
      <c r="AA1928" s="11" t="str">
        <f t="shared" si="61"/>
        <v/>
      </c>
    </row>
    <row r="1929" spans="16:27" ht="15" customHeight="1">
      <c r="P1929" t="str">
        <f t="shared" si="60"/>
        <v/>
      </c>
      <c r="Q1929" t="str">
        <f>IF(P1929="","",IFERROR(IF(AND(H1929="W7",OR(F1929="causal",F1929="predictive")),IF(AND(OR(K1929=1,K1929="1"),OR(L1929=1,L1929="1"),OR(M1929=1,M1929="1")),"adequate","partial"),IF(AND(H1929="W4",F1929="predictive",OR(J1929="P2",J1929="P3",J1929="P4")),IF(OR(U1929=1,U1929="1"),"adequate","partial"),INDEX(Fit_Matrix!$B:$B,MATCH(P1929,Fit_Matrix!$A:$A,0)))),"CHECK KEY"))</f>
        <v/>
      </c>
      <c r="U1929" s="10"/>
      <c r="V1929" s="10"/>
      <c r="W1929" s="10"/>
      <c r="X1929" s="10"/>
      <c r="Y1929" s="10"/>
      <c r="Z1929" s="10"/>
      <c r="AA1929" s="11" t="str">
        <f t="shared" si="61"/>
        <v/>
      </c>
    </row>
    <row r="1930" spans="16:27" ht="15" customHeight="1">
      <c r="P1930" t="str">
        <f t="shared" si="60"/>
        <v/>
      </c>
      <c r="Q1930" t="str">
        <f>IF(P1930="","",IFERROR(IF(AND(H1930="W7",OR(F1930="causal",F1930="predictive")),IF(AND(OR(K1930=1,K1930="1"),OR(L1930=1,L1930="1"),OR(M1930=1,M1930="1")),"adequate","partial"),IF(AND(H1930="W4",F1930="predictive",OR(J1930="P2",J1930="P3",J1930="P4")),IF(OR(U1930=1,U1930="1"),"adequate","partial"),INDEX(Fit_Matrix!$B:$B,MATCH(P1930,Fit_Matrix!$A:$A,0)))),"CHECK KEY"))</f>
        <v/>
      </c>
      <c r="U1930" s="10"/>
      <c r="V1930" s="10"/>
      <c r="W1930" s="10"/>
      <c r="X1930" s="10"/>
      <c r="Y1930" s="10"/>
      <c r="Z1930" s="10"/>
      <c r="AA1930" s="11" t="str">
        <f t="shared" si="61"/>
        <v/>
      </c>
    </row>
    <row r="1931" spans="16:27" ht="15" customHeight="1">
      <c r="P1931" t="str">
        <f t="shared" si="60"/>
        <v/>
      </c>
      <c r="Q1931" t="str">
        <f>IF(P1931="","",IFERROR(IF(AND(H1931="W7",OR(F1931="causal",F1931="predictive")),IF(AND(OR(K1931=1,K1931="1"),OR(L1931=1,L1931="1"),OR(M1931=1,M1931="1")),"adequate","partial"),IF(AND(H1931="W4",F1931="predictive",OR(J1931="P2",J1931="P3",J1931="P4")),IF(OR(U1931=1,U1931="1"),"adequate","partial"),INDEX(Fit_Matrix!$B:$B,MATCH(P1931,Fit_Matrix!$A:$A,0)))),"CHECK KEY"))</f>
        <v/>
      </c>
      <c r="U1931" s="10"/>
      <c r="V1931" s="10"/>
      <c r="W1931" s="10"/>
      <c r="X1931" s="10"/>
      <c r="Y1931" s="10"/>
      <c r="Z1931" s="10"/>
      <c r="AA1931" s="11" t="str">
        <f t="shared" si="61"/>
        <v/>
      </c>
    </row>
    <row r="1932" spans="16:27" ht="15" customHeight="1">
      <c r="P1932" t="str">
        <f t="shared" si="60"/>
        <v/>
      </c>
      <c r="Q1932" t="str">
        <f>IF(P1932="","",IFERROR(IF(AND(H1932="W7",OR(F1932="causal",F1932="predictive")),IF(AND(OR(K1932=1,K1932="1"),OR(L1932=1,L1932="1"),OR(M1932=1,M1932="1")),"adequate","partial"),IF(AND(H1932="W4",F1932="predictive",OR(J1932="P2",J1932="P3",J1932="P4")),IF(OR(U1932=1,U1932="1"),"adequate","partial"),INDEX(Fit_Matrix!$B:$B,MATCH(P1932,Fit_Matrix!$A:$A,0)))),"CHECK KEY"))</f>
        <v/>
      </c>
      <c r="U1932" s="10"/>
      <c r="V1932" s="10"/>
      <c r="W1932" s="10"/>
      <c r="X1932" s="10"/>
      <c r="Y1932" s="10"/>
      <c r="Z1932" s="10"/>
      <c r="AA1932" s="11" t="str">
        <f t="shared" si="61"/>
        <v/>
      </c>
    </row>
    <row r="1933" spans="16:27" ht="15" customHeight="1">
      <c r="P1933" t="str">
        <f t="shared" si="60"/>
        <v/>
      </c>
      <c r="Q1933" t="str">
        <f>IF(P1933="","",IFERROR(IF(AND(H1933="W7",OR(F1933="causal",F1933="predictive")),IF(AND(OR(K1933=1,K1933="1"),OR(L1933=1,L1933="1"),OR(M1933=1,M1933="1")),"adequate","partial"),IF(AND(H1933="W4",F1933="predictive",OR(J1933="P2",J1933="P3",J1933="P4")),IF(OR(U1933=1,U1933="1"),"adequate","partial"),INDEX(Fit_Matrix!$B:$B,MATCH(P1933,Fit_Matrix!$A:$A,0)))),"CHECK KEY"))</f>
        <v/>
      </c>
      <c r="U1933" s="10"/>
      <c r="V1933" s="10"/>
      <c r="W1933" s="10"/>
      <c r="X1933" s="10"/>
      <c r="Y1933" s="10"/>
      <c r="Z1933" s="10"/>
      <c r="AA1933" s="11" t="str">
        <f t="shared" si="61"/>
        <v/>
      </c>
    </row>
    <row r="1934" spans="16:27" ht="15" customHeight="1">
      <c r="P1934" t="str">
        <f t="shared" si="60"/>
        <v/>
      </c>
      <c r="Q1934" t="str">
        <f>IF(P1934="","",IFERROR(IF(AND(H1934="W7",OR(F1934="causal",F1934="predictive")),IF(AND(OR(K1934=1,K1934="1"),OR(L1934=1,L1934="1"),OR(M1934=1,M1934="1")),"adequate","partial"),IF(AND(H1934="W4",F1934="predictive",OR(J1934="P2",J1934="P3",J1934="P4")),IF(OR(U1934=1,U1934="1"),"adequate","partial"),INDEX(Fit_Matrix!$B:$B,MATCH(P1934,Fit_Matrix!$A:$A,0)))),"CHECK KEY"))</f>
        <v/>
      </c>
      <c r="U1934" s="10"/>
      <c r="V1934" s="10"/>
      <c r="W1934" s="10"/>
      <c r="X1934" s="10"/>
      <c r="Y1934" s="10"/>
      <c r="Z1934" s="10"/>
      <c r="AA1934" s="11" t="str">
        <f t="shared" si="61"/>
        <v/>
      </c>
    </row>
    <row r="1935" spans="16:27" ht="15" customHeight="1">
      <c r="P1935" t="str">
        <f t="shared" si="60"/>
        <v/>
      </c>
      <c r="Q1935" t="str">
        <f>IF(P1935="","",IFERROR(IF(AND(H1935="W7",OR(F1935="causal",F1935="predictive")),IF(AND(OR(K1935=1,K1935="1"),OR(L1935=1,L1935="1"),OR(M1935=1,M1935="1")),"adequate","partial"),IF(AND(H1935="W4",F1935="predictive",OR(J1935="P2",J1935="P3",J1935="P4")),IF(OR(U1935=1,U1935="1"),"adequate","partial"),INDEX(Fit_Matrix!$B:$B,MATCH(P1935,Fit_Matrix!$A:$A,0)))),"CHECK KEY"))</f>
        <v/>
      </c>
      <c r="U1935" s="10"/>
      <c r="V1935" s="10"/>
      <c r="W1935" s="10"/>
      <c r="X1935" s="10"/>
      <c r="Y1935" s="10"/>
      <c r="Z1935" s="10"/>
      <c r="AA1935" s="11" t="str">
        <f t="shared" si="61"/>
        <v/>
      </c>
    </row>
    <row r="1936" spans="16:27" ht="15" customHeight="1">
      <c r="P1936" t="str">
        <f t="shared" si="60"/>
        <v/>
      </c>
      <c r="Q1936" t="str">
        <f>IF(P1936="","",IFERROR(IF(AND(H1936="W7",OR(F1936="causal",F1936="predictive")),IF(AND(OR(K1936=1,K1936="1"),OR(L1936=1,L1936="1"),OR(M1936=1,M1936="1")),"adequate","partial"),IF(AND(H1936="W4",F1936="predictive",OR(J1936="P2",J1936="P3",J1936="P4")),IF(OR(U1936=1,U1936="1"),"adequate","partial"),INDEX(Fit_Matrix!$B:$B,MATCH(P1936,Fit_Matrix!$A:$A,0)))),"CHECK KEY"))</f>
        <v/>
      </c>
      <c r="U1936" s="10"/>
      <c r="V1936" s="10"/>
      <c r="W1936" s="10"/>
      <c r="X1936" s="10"/>
      <c r="Y1936" s="10"/>
      <c r="Z1936" s="10"/>
      <c r="AA1936" s="11" t="str">
        <f t="shared" si="61"/>
        <v/>
      </c>
    </row>
    <row r="1937" spans="16:27" ht="15" customHeight="1">
      <c r="P1937" t="str">
        <f t="shared" si="60"/>
        <v/>
      </c>
      <c r="Q1937" t="str">
        <f>IF(P1937="","",IFERROR(IF(AND(H1937="W7",OR(F1937="causal",F1937="predictive")),IF(AND(OR(K1937=1,K1937="1"),OR(L1937=1,L1937="1"),OR(M1937=1,M1937="1")),"adequate","partial"),IF(AND(H1937="W4",F1937="predictive",OR(J1937="P2",J1937="P3",J1937="P4")),IF(OR(U1937=1,U1937="1"),"adequate","partial"),INDEX(Fit_Matrix!$B:$B,MATCH(P1937,Fit_Matrix!$A:$A,0)))),"CHECK KEY"))</f>
        <v/>
      </c>
      <c r="U1937" s="10"/>
      <c r="V1937" s="10"/>
      <c r="W1937" s="10"/>
      <c r="X1937" s="10"/>
      <c r="Y1937" s="10"/>
      <c r="Z1937" s="10"/>
      <c r="AA1937" s="11" t="str">
        <f t="shared" si="61"/>
        <v/>
      </c>
    </row>
    <row r="1938" spans="16:27" ht="15" customHeight="1">
      <c r="P1938" t="str">
        <f t="shared" si="60"/>
        <v/>
      </c>
      <c r="Q1938" t="str">
        <f>IF(P1938="","",IFERROR(IF(AND(H1938="W7",OR(F1938="causal",F1938="predictive")),IF(AND(OR(K1938=1,K1938="1"),OR(L1938=1,L1938="1"),OR(M1938=1,M1938="1")),"adequate","partial"),IF(AND(H1938="W4",F1938="predictive",OR(J1938="P2",J1938="P3",J1938="P4")),IF(OR(U1938=1,U1938="1"),"adequate","partial"),INDEX(Fit_Matrix!$B:$B,MATCH(P1938,Fit_Matrix!$A:$A,0)))),"CHECK KEY"))</f>
        <v/>
      </c>
      <c r="U1938" s="10"/>
      <c r="V1938" s="10"/>
      <c r="W1938" s="10"/>
      <c r="X1938" s="10"/>
      <c r="Y1938" s="10"/>
      <c r="Z1938" s="10"/>
      <c r="AA1938" s="11" t="str">
        <f t="shared" si="61"/>
        <v/>
      </c>
    </row>
    <row r="1939" spans="16:27" ht="15" customHeight="1">
      <c r="P1939" t="str">
        <f t="shared" si="60"/>
        <v/>
      </c>
      <c r="Q1939" t="str">
        <f>IF(P1939="","",IFERROR(IF(AND(H1939="W7",OR(F1939="causal",F1939="predictive")),IF(AND(OR(K1939=1,K1939="1"),OR(L1939=1,L1939="1"),OR(M1939=1,M1939="1")),"adequate","partial"),IF(AND(H1939="W4",F1939="predictive",OR(J1939="P2",J1939="P3",J1939="P4")),IF(OR(U1939=1,U1939="1"),"adequate","partial"),INDEX(Fit_Matrix!$B:$B,MATCH(P1939,Fit_Matrix!$A:$A,0)))),"CHECK KEY"))</f>
        <v/>
      </c>
      <c r="U1939" s="10"/>
      <c r="V1939" s="10"/>
      <c r="W1939" s="10"/>
      <c r="X1939" s="10"/>
      <c r="Y1939" s="10"/>
      <c r="Z1939" s="10"/>
      <c r="AA1939" s="11" t="str">
        <f t="shared" si="61"/>
        <v/>
      </c>
    </row>
    <row r="1940" spans="16:27" ht="15" customHeight="1">
      <c r="P1940" t="str">
        <f t="shared" si="60"/>
        <v/>
      </c>
      <c r="Q1940" t="str">
        <f>IF(P1940="","",IFERROR(IF(AND(H1940="W7",OR(F1940="causal",F1940="predictive")),IF(AND(OR(K1940=1,K1940="1"),OR(L1940=1,L1940="1"),OR(M1940=1,M1940="1")),"adequate","partial"),IF(AND(H1940="W4",F1940="predictive",OR(J1940="P2",J1940="P3",J1940="P4")),IF(OR(U1940=1,U1940="1"),"adequate","partial"),INDEX(Fit_Matrix!$B:$B,MATCH(P1940,Fit_Matrix!$A:$A,0)))),"CHECK KEY"))</f>
        <v/>
      </c>
      <c r="U1940" s="10"/>
      <c r="V1940" s="10"/>
      <c r="W1940" s="10"/>
      <c r="X1940" s="10"/>
      <c r="Y1940" s="10"/>
      <c r="Z1940" s="10"/>
      <c r="AA1940" s="11" t="str">
        <f t="shared" si="61"/>
        <v/>
      </c>
    </row>
    <row r="1941" spans="16:27" ht="15" customHeight="1">
      <c r="P1941" t="str">
        <f t="shared" si="60"/>
        <v/>
      </c>
      <c r="Q1941" t="str">
        <f>IF(P1941="","",IFERROR(IF(AND(H1941="W7",OR(F1941="causal",F1941="predictive")),IF(AND(OR(K1941=1,K1941="1"),OR(L1941=1,L1941="1"),OR(M1941=1,M1941="1")),"adequate","partial"),IF(AND(H1941="W4",F1941="predictive",OR(J1941="P2",J1941="P3",J1941="P4")),IF(OR(U1941=1,U1941="1"),"adequate","partial"),INDEX(Fit_Matrix!$B:$B,MATCH(P1941,Fit_Matrix!$A:$A,0)))),"CHECK KEY"))</f>
        <v/>
      </c>
      <c r="U1941" s="10"/>
      <c r="V1941" s="10"/>
      <c r="W1941" s="10"/>
      <c r="X1941" s="10"/>
      <c r="Y1941" s="10"/>
      <c r="Z1941" s="10"/>
      <c r="AA1941" s="11" t="str">
        <f t="shared" si="61"/>
        <v/>
      </c>
    </row>
    <row r="1942" spans="16:27" ht="15" customHeight="1">
      <c r="P1942" t="str">
        <f t="shared" si="60"/>
        <v/>
      </c>
      <c r="Q1942" t="str">
        <f>IF(P1942="","",IFERROR(IF(AND(H1942="W7",OR(F1942="causal",F1942="predictive")),IF(AND(OR(K1942=1,K1942="1"),OR(L1942=1,L1942="1"),OR(M1942=1,M1942="1")),"adequate","partial"),IF(AND(H1942="W4",F1942="predictive",OR(J1942="P2",J1942="P3",J1942="P4")),IF(OR(U1942=1,U1942="1"),"adequate","partial"),INDEX(Fit_Matrix!$B:$B,MATCH(P1942,Fit_Matrix!$A:$A,0)))),"CHECK KEY"))</f>
        <v/>
      </c>
      <c r="U1942" s="10"/>
      <c r="V1942" s="10"/>
      <c r="W1942" s="10"/>
      <c r="X1942" s="10"/>
      <c r="Y1942" s="10"/>
      <c r="Z1942" s="10"/>
      <c r="AA1942" s="11" t="str">
        <f t="shared" si="61"/>
        <v/>
      </c>
    </row>
    <row r="1943" spans="16:27" ht="15" customHeight="1">
      <c r="P1943" t="str">
        <f t="shared" si="60"/>
        <v/>
      </c>
      <c r="Q1943" t="str">
        <f>IF(P1943="","",IFERROR(IF(AND(H1943="W7",OR(F1943="causal",F1943="predictive")),IF(AND(OR(K1943=1,K1943="1"),OR(L1943=1,L1943="1"),OR(M1943=1,M1943="1")),"adequate","partial"),IF(AND(H1943="W4",F1943="predictive",OR(J1943="P2",J1943="P3",J1943="P4")),IF(OR(U1943=1,U1943="1"),"adequate","partial"),INDEX(Fit_Matrix!$B:$B,MATCH(P1943,Fit_Matrix!$A:$A,0)))),"CHECK KEY"))</f>
        <v/>
      </c>
      <c r="U1943" s="10"/>
      <c r="V1943" s="10"/>
      <c r="W1943" s="10"/>
      <c r="X1943" s="10"/>
      <c r="Y1943" s="10"/>
      <c r="Z1943" s="10"/>
      <c r="AA1943" s="11" t="str">
        <f t="shared" si="61"/>
        <v/>
      </c>
    </row>
    <row r="1944" spans="16:27" ht="15" customHeight="1">
      <c r="P1944" t="str">
        <f t="shared" si="60"/>
        <v/>
      </c>
      <c r="Q1944" t="str">
        <f>IF(P1944="","",IFERROR(IF(AND(H1944="W7",OR(F1944="causal",F1944="predictive")),IF(AND(OR(K1944=1,K1944="1"),OR(L1944=1,L1944="1"),OR(M1944=1,M1944="1")),"adequate","partial"),IF(AND(H1944="W4",F1944="predictive",OR(J1944="P2",J1944="P3",J1944="P4")),IF(OR(U1944=1,U1944="1"),"adequate","partial"),INDEX(Fit_Matrix!$B:$B,MATCH(P1944,Fit_Matrix!$A:$A,0)))),"CHECK KEY"))</f>
        <v/>
      </c>
      <c r="U1944" s="10"/>
      <c r="V1944" s="10"/>
      <c r="W1944" s="10"/>
      <c r="X1944" s="10"/>
      <c r="Y1944" s="10"/>
      <c r="Z1944" s="10"/>
      <c r="AA1944" s="11" t="str">
        <f t="shared" si="61"/>
        <v/>
      </c>
    </row>
    <row r="1945" spans="16:27" ht="15" customHeight="1">
      <c r="P1945" t="str">
        <f t="shared" si="60"/>
        <v/>
      </c>
      <c r="Q1945" t="str">
        <f>IF(P1945="","",IFERROR(IF(AND(H1945="W7",OR(F1945="causal",F1945="predictive")),IF(AND(OR(K1945=1,K1945="1"),OR(L1945=1,L1945="1"),OR(M1945=1,M1945="1")),"adequate","partial"),IF(AND(H1945="W4",F1945="predictive",OR(J1945="P2",J1945="P3",J1945="P4")),IF(OR(U1945=1,U1945="1"),"adequate","partial"),INDEX(Fit_Matrix!$B:$B,MATCH(P1945,Fit_Matrix!$A:$A,0)))),"CHECK KEY"))</f>
        <v/>
      </c>
      <c r="U1945" s="10"/>
      <c r="V1945" s="10"/>
      <c r="W1945" s="10"/>
      <c r="X1945" s="10"/>
      <c r="Y1945" s="10"/>
      <c r="Z1945" s="10"/>
      <c r="AA1945" s="11" t="str">
        <f t="shared" si="61"/>
        <v/>
      </c>
    </row>
    <row r="1946" spans="16:27" ht="15" customHeight="1">
      <c r="P1946" t="str">
        <f t="shared" si="60"/>
        <v/>
      </c>
      <c r="Q1946" t="str">
        <f>IF(P1946="","",IFERROR(IF(AND(H1946="W7",OR(F1946="causal",F1946="predictive")),IF(AND(OR(K1946=1,K1946="1"),OR(L1946=1,L1946="1"),OR(M1946=1,M1946="1")),"adequate","partial"),IF(AND(H1946="W4",F1946="predictive",OR(J1946="P2",J1946="P3",J1946="P4")),IF(OR(U1946=1,U1946="1"),"adequate","partial"),INDEX(Fit_Matrix!$B:$B,MATCH(P1946,Fit_Matrix!$A:$A,0)))),"CHECK KEY"))</f>
        <v/>
      </c>
      <c r="U1946" s="10"/>
      <c r="V1946" s="10"/>
      <c r="W1946" s="10"/>
      <c r="X1946" s="10"/>
      <c r="Y1946" s="10"/>
      <c r="Z1946" s="10"/>
      <c r="AA1946" s="11" t="str">
        <f t="shared" si="61"/>
        <v/>
      </c>
    </row>
    <row r="1947" spans="16:27" ht="15" customHeight="1">
      <c r="P1947" t="str">
        <f t="shared" si="60"/>
        <v/>
      </c>
      <c r="Q1947" t="str">
        <f>IF(P1947="","",IFERROR(IF(AND(H1947="W7",OR(F1947="causal",F1947="predictive")),IF(AND(OR(K1947=1,K1947="1"),OR(L1947=1,L1947="1"),OR(M1947=1,M1947="1")),"adequate","partial"),IF(AND(H1947="W4",F1947="predictive",OR(J1947="P2",J1947="P3",J1947="P4")),IF(OR(U1947=1,U1947="1"),"adequate","partial"),INDEX(Fit_Matrix!$B:$B,MATCH(P1947,Fit_Matrix!$A:$A,0)))),"CHECK KEY"))</f>
        <v/>
      </c>
      <c r="U1947" s="10"/>
      <c r="V1947" s="10"/>
      <c r="W1947" s="10"/>
      <c r="X1947" s="10"/>
      <c r="Y1947" s="10"/>
      <c r="Z1947" s="10"/>
      <c r="AA1947" s="11" t="str">
        <f t="shared" si="61"/>
        <v/>
      </c>
    </row>
    <row r="1948" spans="16:27" ht="15" customHeight="1">
      <c r="P1948" t="str">
        <f t="shared" si="60"/>
        <v/>
      </c>
      <c r="Q1948" t="str">
        <f>IF(P1948="","",IFERROR(IF(AND(H1948="W7",OR(F1948="causal",F1948="predictive")),IF(AND(OR(K1948=1,K1948="1"),OR(L1948=1,L1948="1"),OR(M1948=1,M1948="1")),"adequate","partial"),IF(AND(H1948="W4",F1948="predictive",OR(J1948="P2",J1948="P3",J1948="P4")),IF(OR(U1948=1,U1948="1"),"adequate","partial"),INDEX(Fit_Matrix!$B:$B,MATCH(P1948,Fit_Matrix!$A:$A,0)))),"CHECK KEY"))</f>
        <v/>
      </c>
      <c r="U1948" s="10"/>
      <c r="V1948" s="10"/>
      <c r="W1948" s="10"/>
      <c r="X1948" s="10"/>
      <c r="Y1948" s="10"/>
      <c r="Z1948" s="10"/>
      <c r="AA1948" s="11" t="str">
        <f t="shared" si="61"/>
        <v/>
      </c>
    </row>
    <row r="1949" spans="16:27" ht="15" customHeight="1">
      <c r="P1949" t="str">
        <f t="shared" si="60"/>
        <v/>
      </c>
      <c r="Q1949" t="str">
        <f>IF(P1949="","",IFERROR(IF(AND(H1949="W7",OR(F1949="causal",F1949="predictive")),IF(AND(OR(K1949=1,K1949="1"),OR(L1949=1,L1949="1"),OR(M1949=1,M1949="1")),"adequate","partial"),IF(AND(H1949="W4",F1949="predictive",OR(J1949="P2",J1949="P3",J1949="P4")),IF(OR(U1949=1,U1949="1"),"adequate","partial"),INDEX(Fit_Matrix!$B:$B,MATCH(P1949,Fit_Matrix!$A:$A,0)))),"CHECK KEY"))</f>
        <v/>
      </c>
      <c r="U1949" s="10"/>
      <c r="V1949" s="10"/>
      <c r="W1949" s="10"/>
      <c r="X1949" s="10"/>
      <c r="Y1949" s="10"/>
      <c r="Z1949" s="10"/>
      <c r="AA1949" s="11" t="str">
        <f t="shared" si="61"/>
        <v/>
      </c>
    </row>
    <row r="1950" spans="16:27" ht="15" customHeight="1">
      <c r="P1950" t="str">
        <f t="shared" si="60"/>
        <v/>
      </c>
      <c r="Q1950" t="str">
        <f>IF(P1950="","",IFERROR(IF(AND(H1950="W7",OR(F1950="causal",F1950="predictive")),IF(AND(OR(K1950=1,K1950="1"),OR(L1950=1,L1950="1"),OR(M1950=1,M1950="1")),"adequate","partial"),IF(AND(H1950="W4",F1950="predictive",OR(J1950="P2",J1950="P3",J1950="P4")),IF(OR(U1950=1,U1950="1"),"adequate","partial"),INDEX(Fit_Matrix!$B:$B,MATCH(P1950,Fit_Matrix!$A:$A,0)))),"CHECK KEY"))</f>
        <v/>
      </c>
      <c r="U1950" s="10"/>
      <c r="V1950" s="10"/>
      <c r="W1950" s="10"/>
      <c r="X1950" s="10"/>
      <c r="Y1950" s="10"/>
      <c r="Z1950" s="10"/>
      <c r="AA1950" s="11" t="str">
        <f t="shared" si="61"/>
        <v/>
      </c>
    </row>
    <row r="1951" spans="16:27" ht="15" customHeight="1">
      <c r="P1951" t="str">
        <f t="shared" si="60"/>
        <v/>
      </c>
      <c r="Q1951" t="str">
        <f>IF(P1951="","",IFERROR(IF(AND(H1951="W7",OR(F1951="causal",F1951="predictive")),IF(AND(OR(K1951=1,K1951="1"),OR(L1951=1,L1951="1"),OR(M1951=1,M1951="1")),"adequate","partial"),IF(AND(H1951="W4",F1951="predictive",OR(J1951="P2",J1951="P3",J1951="P4")),IF(OR(U1951=1,U1951="1"),"adequate","partial"),INDEX(Fit_Matrix!$B:$B,MATCH(P1951,Fit_Matrix!$A:$A,0)))),"CHECK KEY"))</f>
        <v/>
      </c>
      <c r="U1951" s="10"/>
      <c r="V1951" s="10"/>
      <c r="W1951" s="10"/>
      <c r="X1951" s="10"/>
      <c r="Y1951" s="10"/>
      <c r="Z1951" s="10"/>
      <c r="AA1951" s="11" t="str">
        <f t="shared" si="61"/>
        <v/>
      </c>
    </row>
    <row r="1952" spans="16:27" ht="15" customHeight="1">
      <c r="P1952" t="str">
        <f t="shared" si="60"/>
        <v/>
      </c>
      <c r="Q1952" t="str">
        <f>IF(P1952="","",IFERROR(IF(AND(H1952="W7",OR(F1952="causal",F1952="predictive")),IF(AND(OR(K1952=1,K1952="1"),OR(L1952=1,L1952="1"),OR(M1952=1,M1952="1")),"adequate","partial"),IF(AND(H1952="W4",F1952="predictive",OR(J1952="P2",J1952="P3",J1952="P4")),IF(OR(U1952=1,U1952="1"),"adequate","partial"),INDEX(Fit_Matrix!$B:$B,MATCH(P1952,Fit_Matrix!$A:$A,0)))),"CHECK KEY"))</f>
        <v/>
      </c>
      <c r="U1952" s="10"/>
      <c r="V1952" s="10"/>
      <c r="W1952" s="10"/>
      <c r="X1952" s="10"/>
      <c r="Y1952" s="10"/>
      <c r="Z1952" s="10"/>
      <c r="AA1952" s="11" t="str">
        <f t="shared" si="61"/>
        <v/>
      </c>
    </row>
    <row r="1953" spans="16:27" ht="15" customHeight="1">
      <c r="P1953" t="str">
        <f t="shared" si="60"/>
        <v/>
      </c>
      <c r="Q1953" t="str">
        <f>IF(P1953="","",IFERROR(IF(AND(H1953="W7",OR(F1953="causal",F1953="predictive")),IF(AND(OR(K1953=1,K1953="1"),OR(L1953=1,L1953="1"),OR(M1953=1,M1953="1")),"adequate","partial"),IF(AND(H1953="W4",F1953="predictive",OR(J1953="P2",J1953="P3",J1953="P4")),IF(OR(U1953=1,U1953="1"),"adequate","partial"),INDEX(Fit_Matrix!$B:$B,MATCH(P1953,Fit_Matrix!$A:$A,0)))),"CHECK KEY"))</f>
        <v/>
      </c>
      <c r="U1953" s="10"/>
      <c r="V1953" s="10"/>
      <c r="W1953" s="10"/>
      <c r="X1953" s="10"/>
      <c r="Y1953" s="10"/>
      <c r="Z1953" s="10"/>
      <c r="AA1953" s="11" t="str">
        <f t="shared" si="61"/>
        <v/>
      </c>
    </row>
    <row r="1954" spans="16:27" ht="15" customHeight="1">
      <c r="P1954" t="str">
        <f t="shared" si="60"/>
        <v/>
      </c>
      <c r="Q1954" t="str">
        <f>IF(P1954="","",IFERROR(IF(AND(H1954="W7",OR(F1954="causal",F1954="predictive")),IF(AND(OR(K1954=1,K1954="1"),OR(L1954=1,L1954="1"),OR(M1954=1,M1954="1")),"adequate","partial"),IF(AND(H1954="W4",F1954="predictive",OR(J1954="P2",J1954="P3",J1954="P4")),IF(OR(U1954=1,U1954="1"),"adequate","partial"),INDEX(Fit_Matrix!$B:$B,MATCH(P1954,Fit_Matrix!$A:$A,0)))),"CHECK KEY"))</f>
        <v/>
      </c>
      <c r="U1954" s="10"/>
      <c r="V1954" s="10"/>
      <c r="W1954" s="10"/>
      <c r="X1954" s="10"/>
      <c r="Y1954" s="10"/>
      <c r="Z1954" s="10"/>
      <c r="AA1954" s="11" t="str">
        <f t="shared" si="61"/>
        <v/>
      </c>
    </row>
    <row r="1955" spans="16:27" ht="15" customHeight="1">
      <c r="P1955" t="str">
        <f t="shared" si="60"/>
        <v/>
      </c>
      <c r="Q1955" t="str">
        <f>IF(P1955="","",IFERROR(IF(AND(H1955="W7",OR(F1955="causal",F1955="predictive")),IF(AND(OR(K1955=1,K1955="1"),OR(L1955=1,L1955="1"),OR(M1955=1,M1955="1")),"adequate","partial"),IF(AND(H1955="W4",F1955="predictive",OR(J1955="P2",J1955="P3",J1955="P4")),IF(OR(U1955=1,U1955="1"),"adequate","partial"),INDEX(Fit_Matrix!$B:$B,MATCH(P1955,Fit_Matrix!$A:$A,0)))),"CHECK KEY"))</f>
        <v/>
      </c>
      <c r="U1955" s="10"/>
      <c r="V1955" s="10"/>
      <c r="W1955" s="10"/>
      <c r="X1955" s="10"/>
      <c r="Y1955" s="10"/>
      <c r="Z1955" s="10"/>
      <c r="AA1955" s="11" t="str">
        <f t="shared" si="61"/>
        <v/>
      </c>
    </row>
    <row r="1956" spans="16:27" ht="15" customHeight="1">
      <c r="P1956" t="str">
        <f t="shared" si="60"/>
        <v/>
      </c>
      <c r="Q1956" t="str">
        <f>IF(P1956="","",IFERROR(IF(AND(H1956="W7",OR(F1956="causal",F1956="predictive")),IF(AND(OR(K1956=1,K1956="1"),OR(L1956=1,L1956="1"),OR(M1956=1,M1956="1")),"adequate","partial"),IF(AND(H1956="W4",F1956="predictive",OR(J1956="P2",J1956="P3",J1956="P4")),IF(OR(U1956=1,U1956="1"),"adequate","partial"),INDEX(Fit_Matrix!$B:$B,MATCH(P1956,Fit_Matrix!$A:$A,0)))),"CHECK KEY"))</f>
        <v/>
      </c>
      <c r="U1956" s="10"/>
      <c r="V1956" s="10"/>
      <c r="W1956" s="10"/>
      <c r="X1956" s="10"/>
      <c r="Y1956" s="10"/>
      <c r="Z1956" s="10"/>
      <c r="AA1956" s="11" t="str">
        <f t="shared" si="61"/>
        <v/>
      </c>
    </row>
    <row r="1957" spans="16:27" ht="15" customHeight="1">
      <c r="P1957" t="str">
        <f t="shared" si="60"/>
        <v/>
      </c>
      <c r="Q1957" t="str">
        <f>IF(P1957="","",IFERROR(IF(AND(H1957="W7",OR(F1957="causal",F1957="predictive")),IF(AND(OR(K1957=1,K1957="1"),OR(L1957=1,L1957="1"),OR(M1957=1,M1957="1")),"adequate","partial"),IF(AND(H1957="W4",F1957="predictive",OR(J1957="P2",J1957="P3",J1957="P4")),IF(OR(U1957=1,U1957="1"),"adequate","partial"),INDEX(Fit_Matrix!$B:$B,MATCH(P1957,Fit_Matrix!$A:$A,0)))),"CHECK KEY"))</f>
        <v/>
      </c>
      <c r="U1957" s="10"/>
      <c r="V1957" s="10"/>
      <c r="W1957" s="10"/>
      <c r="X1957" s="10"/>
      <c r="Y1957" s="10"/>
      <c r="Z1957" s="10"/>
      <c r="AA1957" s="11" t="str">
        <f t="shared" si="61"/>
        <v/>
      </c>
    </row>
    <row r="1958" spans="16:27" ht="15" customHeight="1">
      <c r="P1958" t="str">
        <f t="shared" si="60"/>
        <v/>
      </c>
      <c r="Q1958" t="str">
        <f>IF(P1958="","",IFERROR(IF(AND(H1958="W7",OR(F1958="causal",F1958="predictive")),IF(AND(OR(K1958=1,K1958="1"),OR(L1958=1,L1958="1"),OR(M1958=1,M1958="1")),"adequate","partial"),IF(AND(H1958="W4",F1958="predictive",OR(J1958="P2",J1958="P3",J1958="P4")),IF(OR(U1958=1,U1958="1"),"adequate","partial"),INDEX(Fit_Matrix!$B:$B,MATCH(P1958,Fit_Matrix!$A:$A,0)))),"CHECK KEY"))</f>
        <v/>
      </c>
      <c r="U1958" s="10"/>
      <c r="V1958" s="10"/>
      <c r="W1958" s="10"/>
      <c r="X1958" s="10"/>
      <c r="Y1958" s="10"/>
      <c r="Z1958" s="10"/>
      <c r="AA1958" s="11" t="str">
        <f t="shared" si="61"/>
        <v/>
      </c>
    </row>
    <row r="1959" spans="16:27" ht="15" customHeight="1">
      <c r="P1959" t="str">
        <f t="shared" si="60"/>
        <v/>
      </c>
      <c r="Q1959" t="str">
        <f>IF(P1959="","",IFERROR(IF(AND(H1959="W7",OR(F1959="causal",F1959="predictive")),IF(AND(OR(K1959=1,K1959="1"),OR(L1959=1,L1959="1"),OR(M1959=1,M1959="1")),"adequate","partial"),IF(AND(H1959="W4",F1959="predictive",OR(J1959="P2",J1959="P3",J1959="P4")),IF(OR(U1959=1,U1959="1"),"adequate","partial"),INDEX(Fit_Matrix!$B:$B,MATCH(P1959,Fit_Matrix!$A:$A,0)))),"CHECK KEY"))</f>
        <v/>
      </c>
      <c r="U1959" s="10"/>
      <c r="V1959" s="10"/>
      <c r="W1959" s="10"/>
      <c r="X1959" s="10"/>
      <c r="Y1959" s="10"/>
      <c r="Z1959" s="10"/>
      <c r="AA1959" s="11" t="str">
        <f t="shared" si="61"/>
        <v/>
      </c>
    </row>
    <row r="1960" spans="16:27" ht="15" customHeight="1">
      <c r="P1960" t="str">
        <f t="shared" si="60"/>
        <v/>
      </c>
      <c r="Q1960" t="str">
        <f>IF(P1960="","",IFERROR(IF(AND(H1960="W7",OR(F1960="causal",F1960="predictive")),IF(AND(OR(K1960=1,K1960="1"),OR(L1960=1,L1960="1"),OR(M1960=1,M1960="1")),"adequate","partial"),IF(AND(H1960="W4",F1960="predictive",OR(J1960="P2",J1960="P3",J1960="P4")),IF(OR(U1960=1,U1960="1"),"adequate","partial"),INDEX(Fit_Matrix!$B:$B,MATCH(P1960,Fit_Matrix!$A:$A,0)))),"CHECK KEY"))</f>
        <v/>
      </c>
      <c r="U1960" s="10"/>
      <c r="V1960" s="10"/>
      <c r="W1960" s="10"/>
      <c r="X1960" s="10"/>
      <c r="Y1960" s="10"/>
      <c r="Z1960" s="10"/>
      <c r="AA1960" s="11" t="str">
        <f t="shared" si="61"/>
        <v/>
      </c>
    </row>
    <row r="1961" spans="16:27" ht="15" customHeight="1">
      <c r="P1961" t="str">
        <f t="shared" si="60"/>
        <v/>
      </c>
      <c r="Q1961" t="str">
        <f>IF(P1961="","",IFERROR(IF(AND(H1961="W7",OR(F1961="causal",F1961="predictive")),IF(AND(OR(K1961=1,K1961="1"),OR(L1961=1,L1961="1"),OR(M1961=1,M1961="1")),"adequate","partial"),IF(AND(H1961="W4",F1961="predictive",OR(J1961="P2",J1961="P3",J1961="P4")),IF(OR(U1961=1,U1961="1"),"adequate","partial"),INDEX(Fit_Matrix!$B:$B,MATCH(P1961,Fit_Matrix!$A:$A,0)))),"CHECK KEY"))</f>
        <v/>
      </c>
      <c r="U1961" s="10"/>
      <c r="V1961" s="10"/>
      <c r="W1961" s="10"/>
      <c r="X1961" s="10"/>
      <c r="Y1961" s="10"/>
      <c r="Z1961" s="10"/>
      <c r="AA1961" s="11" t="str">
        <f t="shared" si="61"/>
        <v/>
      </c>
    </row>
    <row r="1962" spans="16:27" ht="15" customHeight="1">
      <c r="P1962" t="str">
        <f t="shared" si="60"/>
        <v/>
      </c>
      <c r="Q1962" t="str">
        <f>IF(P1962="","",IFERROR(IF(AND(H1962="W7",OR(F1962="causal",F1962="predictive")),IF(AND(OR(K1962=1,K1962="1"),OR(L1962=1,L1962="1"),OR(M1962=1,M1962="1")),"adequate","partial"),IF(AND(H1962="W4",F1962="predictive",OR(J1962="P2",J1962="P3",J1962="P4")),IF(OR(U1962=1,U1962="1"),"adequate","partial"),INDEX(Fit_Matrix!$B:$B,MATCH(P1962,Fit_Matrix!$A:$A,0)))),"CHECK KEY"))</f>
        <v/>
      </c>
      <c r="U1962" s="10"/>
      <c r="V1962" s="10"/>
      <c r="W1962" s="10"/>
      <c r="X1962" s="10"/>
      <c r="Y1962" s="10"/>
      <c r="Z1962" s="10"/>
      <c r="AA1962" s="11" t="str">
        <f t="shared" si="61"/>
        <v/>
      </c>
    </row>
    <row r="1963" spans="16:27" ht="15" customHeight="1">
      <c r="P1963" t="str">
        <f t="shared" si="60"/>
        <v/>
      </c>
      <c r="Q1963" t="str">
        <f>IF(P1963="","",IFERROR(IF(AND(H1963="W7",OR(F1963="causal",F1963="predictive")),IF(AND(OR(K1963=1,K1963="1"),OR(L1963=1,L1963="1"),OR(M1963=1,M1963="1")),"adequate","partial"),IF(AND(H1963="W4",F1963="predictive",OR(J1963="P2",J1963="P3",J1963="P4")),IF(OR(U1963=1,U1963="1"),"adequate","partial"),INDEX(Fit_Matrix!$B:$B,MATCH(P1963,Fit_Matrix!$A:$A,0)))),"CHECK KEY"))</f>
        <v/>
      </c>
      <c r="U1963" s="10"/>
      <c r="V1963" s="10"/>
      <c r="W1963" s="10"/>
      <c r="X1963" s="10"/>
      <c r="Y1963" s="10"/>
      <c r="Z1963" s="10"/>
      <c r="AA1963" s="11" t="str">
        <f t="shared" si="61"/>
        <v/>
      </c>
    </row>
    <row r="1964" spans="16:27" ht="15" customHeight="1">
      <c r="P1964" t="str">
        <f t="shared" si="60"/>
        <v/>
      </c>
      <c r="Q1964" t="str">
        <f>IF(P1964="","",IFERROR(IF(AND(H1964="W7",OR(F1964="causal",F1964="predictive")),IF(AND(OR(K1964=1,K1964="1"),OR(L1964=1,L1964="1"),OR(M1964=1,M1964="1")),"adequate","partial"),IF(AND(H1964="W4",F1964="predictive",OR(J1964="P2",J1964="P3",J1964="P4")),IF(OR(U1964=1,U1964="1"),"adequate","partial"),INDEX(Fit_Matrix!$B:$B,MATCH(P1964,Fit_Matrix!$A:$A,0)))),"CHECK KEY"))</f>
        <v/>
      </c>
      <c r="U1964" s="10"/>
      <c r="V1964" s="10"/>
      <c r="W1964" s="10"/>
      <c r="X1964" s="10"/>
      <c r="Y1964" s="10"/>
      <c r="Z1964" s="10"/>
      <c r="AA1964" s="11" t="str">
        <f t="shared" si="61"/>
        <v/>
      </c>
    </row>
    <row r="1965" spans="16:27" ht="15" customHeight="1">
      <c r="P1965" t="str">
        <f t="shared" si="60"/>
        <v/>
      </c>
      <c r="Q1965" t="str">
        <f>IF(P1965="","",IFERROR(IF(AND(H1965="W7",OR(F1965="causal",F1965="predictive")),IF(AND(OR(K1965=1,K1965="1"),OR(L1965=1,L1965="1"),OR(M1965=1,M1965="1")),"adequate","partial"),IF(AND(H1965="W4",F1965="predictive",OR(J1965="P2",J1965="P3",J1965="P4")),IF(OR(U1965=1,U1965="1"),"adequate","partial"),INDEX(Fit_Matrix!$B:$B,MATCH(P1965,Fit_Matrix!$A:$A,0)))),"CHECK KEY"))</f>
        <v/>
      </c>
      <c r="U1965" s="10"/>
      <c r="V1965" s="10"/>
      <c r="W1965" s="10"/>
      <c r="X1965" s="10"/>
      <c r="Y1965" s="10"/>
      <c r="Z1965" s="10"/>
      <c r="AA1965" s="11" t="str">
        <f t="shared" si="61"/>
        <v/>
      </c>
    </row>
    <row r="1966" spans="16:27" ht="15" customHeight="1">
      <c r="P1966" t="str">
        <f t="shared" si="60"/>
        <v/>
      </c>
      <c r="Q1966" t="str">
        <f>IF(P1966="","",IFERROR(IF(AND(H1966="W7",OR(F1966="causal",F1966="predictive")),IF(AND(OR(K1966=1,K1966="1"),OR(L1966=1,L1966="1"),OR(M1966=1,M1966="1")),"adequate","partial"),IF(AND(H1966="W4",F1966="predictive",OR(J1966="P2",J1966="P3",J1966="P4")),IF(OR(U1966=1,U1966="1"),"adequate","partial"),INDEX(Fit_Matrix!$B:$B,MATCH(P1966,Fit_Matrix!$A:$A,0)))),"CHECK KEY"))</f>
        <v/>
      </c>
      <c r="U1966" s="10"/>
      <c r="V1966" s="10"/>
      <c r="W1966" s="10"/>
      <c r="X1966" s="10"/>
      <c r="Y1966" s="10"/>
      <c r="Z1966" s="10"/>
      <c r="AA1966" s="11" t="str">
        <f t="shared" si="61"/>
        <v/>
      </c>
    </row>
    <row r="1967" spans="16:27" ht="15" customHeight="1">
      <c r="P1967" t="str">
        <f t="shared" si="60"/>
        <v/>
      </c>
      <c r="Q1967" t="str">
        <f>IF(P1967="","",IFERROR(IF(AND(H1967="W7",OR(F1967="causal",F1967="predictive")),IF(AND(OR(K1967=1,K1967="1"),OR(L1967=1,L1967="1"),OR(M1967=1,M1967="1")),"adequate","partial"),IF(AND(H1967="W4",F1967="predictive",OR(J1967="P2",J1967="P3",J1967="P4")),IF(OR(U1967=1,U1967="1"),"adequate","partial"),INDEX(Fit_Matrix!$B:$B,MATCH(P1967,Fit_Matrix!$A:$A,0)))),"CHECK KEY"))</f>
        <v/>
      </c>
      <c r="U1967" s="10"/>
      <c r="V1967" s="10"/>
      <c r="W1967" s="10"/>
      <c r="X1967" s="10"/>
      <c r="Y1967" s="10"/>
      <c r="Z1967" s="10"/>
      <c r="AA1967" s="11" t="str">
        <f t="shared" si="61"/>
        <v/>
      </c>
    </row>
    <row r="1968" spans="16:27" ht="15" customHeight="1">
      <c r="P1968" t="str">
        <f t="shared" si="60"/>
        <v/>
      </c>
      <c r="Q1968" t="str">
        <f>IF(P1968="","",IFERROR(IF(AND(H1968="W7",OR(F1968="causal",F1968="predictive")),IF(AND(OR(K1968=1,K1968="1"),OR(L1968=1,L1968="1"),OR(M1968=1,M1968="1")),"adequate","partial"),IF(AND(H1968="W4",F1968="predictive",OR(J1968="P2",J1968="P3",J1968="P4")),IF(OR(U1968=1,U1968="1"),"adequate","partial"),INDEX(Fit_Matrix!$B:$B,MATCH(P1968,Fit_Matrix!$A:$A,0)))),"CHECK KEY"))</f>
        <v/>
      </c>
      <c r="U1968" s="10"/>
      <c r="V1968" s="10"/>
      <c r="W1968" s="10"/>
      <c r="X1968" s="10"/>
      <c r="Y1968" s="10"/>
      <c r="Z1968" s="10"/>
      <c r="AA1968" s="11" t="str">
        <f t="shared" si="61"/>
        <v/>
      </c>
    </row>
    <row r="1969" spans="16:27" ht="15" customHeight="1">
      <c r="P1969" t="str">
        <f t="shared" si="60"/>
        <v/>
      </c>
      <c r="Q1969" t="str">
        <f>IF(P1969="","",IFERROR(IF(AND(H1969="W7",OR(F1969="causal",F1969="predictive")),IF(AND(OR(K1969=1,K1969="1"),OR(L1969=1,L1969="1"),OR(M1969=1,M1969="1")),"adequate","partial"),IF(AND(H1969="W4",F1969="predictive",OR(J1969="P2",J1969="P3",J1969="P4")),IF(OR(U1969=1,U1969="1"),"adequate","partial"),INDEX(Fit_Matrix!$B:$B,MATCH(P1969,Fit_Matrix!$A:$A,0)))),"CHECK KEY"))</f>
        <v/>
      </c>
      <c r="U1969" s="10"/>
      <c r="V1969" s="10"/>
      <c r="W1969" s="10"/>
      <c r="X1969" s="10"/>
      <c r="Y1969" s="10"/>
      <c r="Z1969" s="10"/>
      <c r="AA1969" s="11" t="str">
        <f t="shared" si="61"/>
        <v/>
      </c>
    </row>
    <row r="1970" spans="16:27" ht="15" customHeight="1">
      <c r="P1970" t="str">
        <f t="shared" si="60"/>
        <v/>
      </c>
      <c r="Q1970" t="str">
        <f>IF(P1970="","",IFERROR(IF(AND(H1970="W7",OR(F1970="causal",F1970="predictive")),IF(AND(OR(K1970=1,K1970="1"),OR(L1970=1,L1970="1"),OR(M1970=1,M1970="1")),"adequate","partial"),IF(AND(H1970="W4",F1970="predictive",OR(J1970="P2",J1970="P3",J1970="P4")),IF(OR(U1970=1,U1970="1"),"adequate","partial"),INDEX(Fit_Matrix!$B:$B,MATCH(P1970,Fit_Matrix!$A:$A,0)))),"CHECK KEY"))</f>
        <v/>
      </c>
      <c r="U1970" s="10"/>
      <c r="V1970" s="10"/>
      <c r="W1970" s="10"/>
      <c r="X1970" s="10"/>
      <c r="Y1970" s="10"/>
      <c r="Z1970" s="10"/>
      <c r="AA1970" s="11" t="str">
        <f t="shared" si="61"/>
        <v/>
      </c>
    </row>
    <row r="1971" spans="16:27" ht="15" customHeight="1">
      <c r="P1971" t="str">
        <f t="shared" si="60"/>
        <v/>
      </c>
      <c r="Q1971" t="str">
        <f>IF(P1971="","",IFERROR(IF(AND(H1971="W7",OR(F1971="causal",F1971="predictive")),IF(AND(OR(K1971=1,K1971="1"),OR(L1971=1,L1971="1"),OR(M1971=1,M1971="1")),"adequate","partial"),IF(AND(H1971="W4",F1971="predictive",OR(J1971="P2",J1971="P3",J1971="P4")),IF(OR(U1971=1,U1971="1"),"adequate","partial"),INDEX(Fit_Matrix!$B:$B,MATCH(P1971,Fit_Matrix!$A:$A,0)))),"CHECK KEY"))</f>
        <v/>
      </c>
      <c r="U1971" s="10"/>
      <c r="V1971" s="10"/>
      <c r="W1971" s="10"/>
      <c r="X1971" s="10"/>
      <c r="Y1971" s="10"/>
      <c r="Z1971" s="10"/>
      <c r="AA1971" s="11" t="str">
        <f t="shared" si="61"/>
        <v/>
      </c>
    </row>
    <row r="1972" spans="16:27" ht="15" customHeight="1">
      <c r="P1972" t="str">
        <f t="shared" si="60"/>
        <v/>
      </c>
      <c r="Q1972" t="str">
        <f>IF(P1972="","",IFERROR(IF(AND(H1972="W7",OR(F1972="causal",F1972="predictive")),IF(AND(OR(K1972=1,K1972="1"),OR(L1972=1,L1972="1"),OR(M1972=1,M1972="1")),"adequate","partial"),IF(AND(H1972="W4",F1972="predictive",OR(J1972="P2",J1972="P3",J1972="P4")),IF(OR(U1972=1,U1972="1"),"adequate","partial"),INDEX(Fit_Matrix!$B:$B,MATCH(P1972,Fit_Matrix!$A:$A,0)))),"CHECK KEY"))</f>
        <v/>
      </c>
      <c r="U1972" s="10"/>
      <c r="V1972" s="10"/>
      <c r="W1972" s="10"/>
      <c r="X1972" s="10"/>
      <c r="Y1972" s="10"/>
      <c r="Z1972" s="10"/>
      <c r="AA1972" s="11" t="str">
        <f t="shared" si="61"/>
        <v/>
      </c>
    </row>
    <row r="1973" spans="16:27" ht="15" customHeight="1">
      <c r="P1973" t="str">
        <f t="shared" si="60"/>
        <v/>
      </c>
      <c r="Q1973" t="str">
        <f>IF(P1973="","",IFERROR(IF(AND(H1973="W7",OR(F1973="causal",F1973="predictive")),IF(AND(OR(K1973=1,K1973="1"),OR(L1973=1,L1973="1"),OR(M1973=1,M1973="1")),"adequate","partial"),IF(AND(H1973="W4",F1973="predictive",OR(J1973="P2",J1973="P3",J1973="P4")),IF(OR(U1973=1,U1973="1"),"adequate","partial"),INDEX(Fit_Matrix!$B:$B,MATCH(P1973,Fit_Matrix!$A:$A,0)))),"CHECK KEY"))</f>
        <v/>
      </c>
      <c r="U1973" s="10"/>
      <c r="V1973" s="10"/>
      <c r="W1973" s="10"/>
      <c r="X1973" s="10"/>
      <c r="Y1973" s="10"/>
      <c r="Z1973" s="10"/>
      <c r="AA1973" s="11" t="str">
        <f t="shared" si="61"/>
        <v/>
      </c>
    </row>
    <row r="1974" spans="16:27" ht="15" customHeight="1">
      <c r="P1974" t="str">
        <f t="shared" si="60"/>
        <v/>
      </c>
      <c r="Q1974" t="str">
        <f>IF(P1974="","",IFERROR(IF(AND(H1974="W7",OR(F1974="causal",F1974="predictive")),IF(AND(OR(K1974=1,K1974="1"),OR(L1974=1,L1974="1"),OR(M1974=1,M1974="1")),"adequate","partial"),IF(AND(H1974="W4",F1974="predictive",OR(J1974="P2",J1974="P3",J1974="P4")),IF(OR(U1974=1,U1974="1"),"adequate","partial"),INDEX(Fit_Matrix!$B:$B,MATCH(P1974,Fit_Matrix!$A:$A,0)))),"CHECK KEY"))</f>
        <v/>
      </c>
      <c r="U1974" s="10"/>
      <c r="V1974" s="10"/>
      <c r="W1974" s="10"/>
      <c r="X1974" s="10"/>
      <c r="Y1974" s="10"/>
      <c r="Z1974" s="10"/>
      <c r="AA1974" s="11" t="str">
        <f t="shared" si="61"/>
        <v/>
      </c>
    </row>
    <row r="1975" spans="16:27" ht="15" customHeight="1">
      <c r="P1975" t="str">
        <f t="shared" si="60"/>
        <v/>
      </c>
      <c r="Q1975" t="str">
        <f>IF(P1975="","",IFERROR(IF(AND(H1975="W7",OR(F1975="causal",F1975="predictive")),IF(AND(OR(K1975=1,K1975="1"),OR(L1975=1,L1975="1"),OR(M1975=1,M1975="1")),"adequate","partial"),IF(AND(H1975="W4",F1975="predictive",OR(J1975="P2",J1975="P3",J1975="P4")),IF(OR(U1975=1,U1975="1"),"adequate","partial"),INDEX(Fit_Matrix!$B:$B,MATCH(P1975,Fit_Matrix!$A:$A,0)))),"CHECK KEY"))</f>
        <v/>
      </c>
      <c r="U1975" s="10"/>
      <c r="V1975" s="10"/>
      <c r="W1975" s="10"/>
      <c r="X1975" s="10"/>
      <c r="Y1975" s="10"/>
      <c r="Z1975" s="10"/>
      <c r="AA1975" s="11" t="str">
        <f t="shared" si="61"/>
        <v/>
      </c>
    </row>
    <row r="1976" spans="16:27" ht="15" customHeight="1">
      <c r="P1976" t="str">
        <f t="shared" si="60"/>
        <v/>
      </c>
      <c r="Q1976" t="str">
        <f>IF(P1976="","",IFERROR(IF(AND(H1976="W7",OR(F1976="causal",F1976="predictive")),IF(AND(OR(K1976=1,K1976="1"),OR(L1976=1,L1976="1"),OR(M1976=1,M1976="1")),"adequate","partial"),IF(AND(H1976="W4",F1976="predictive",OR(J1976="P2",J1976="P3",J1976="P4")),IF(OR(U1976=1,U1976="1"),"adequate","partial"),INDEX(Fit_Matrix!$B:$B,MATCH(P1976,Fit_Matrix!$A:$A,0)))),"CHECK KEY"))</f>
        <v/>
      </c>
      <c r="U1976" s="10"/>
      <c r="V1976" s="10"/>
      <c r="W1976" s="10"/>
      <c r="X1976" s="10"/>
      <c r="Y1976" s="10"/>
      <c r="Z1976" s="10"/>
      <c r="AA1976" s="11" t="str">
        <f t="shared" si="61"/>
        <v/>
      </c>
    </row>
    <row r="1977" spans="16:27" ht="15" customHeight="1">
      <c r="P1977" t="str">
        <f t="shared" si="60"/>
        <v/>
      </c>
      <c r="Q1977" t="str">
        <f>IF(P1977="","",IFERROR(IF(AND(H1977="W7",OR(F1977="causal",F1977="predictive")),IF(AND(OR(K1977=1,K1977="1"),OR(L1977=1,L1977="1"),OR(M1977=1,M1977="1")),"adequate","partial"),IF(AND(H1977="W4",F1977="predictive",OR(J1977="P2",J1977="P3",J1977="P4")),IF(OR(U1977=1,U1977="1"),"adequate","partial"),INDEX(Fit_Matrix!$B:$B,MATCH(P1977,Fit_Matrix!$A:$A,0)))),"CHECK KEY"))</f>
        <v/>
      </c>
      <c r="U1977" s="10"/>
      <c r="V1977" s="10"/>
      <c r="W1977" s="10"/>
      <c r="X1977" s="10"/>
      <c r="Y1977" s="10"/>
      <c r="Z1977" s="10"/>
      <c r="AA1977" s="11" t="str">
        <f t="shared" si="61"/>
        <v/>
      </c>
    </row>
    <row r="1978" spans="16:27" ht="15" customHeight="1">
      <c r="P1978" t="str">
        <f t="shared" si="60"/>
        <v/>
      </c>
      <c r="Q1978" t="str">
        <f>IF(P1978="","",IFERROR(IF(AND(H1978="W7",OR(F1978="causal",F1978="predictive")),IF(AND(OR(K1978=1,K1978="1"),OR(L1978=1,L1978="1"),OR(M1978=1,M1978="1")),"adequate","partial"),IF(AND(H1978="W4",F1978="predictive",OR(J1978="P2",J1978="P3",J1978="P4")),IF(OR(U1978=1,U1978="1"),"adequate","partial"),INDEX(Fit_Matrix!$B:$B,MATCH(P1978,Fit_Matrix!$A:$A,0)))),"CHECK KEY"))</f>
        <v/>
      </c>
      <c r="U1978" s="10"/>
      <c r="V1978" s="10"/>
      <c r="W1978" s="10"/>
      <c r="X1978" s="10"/>
      <c r="Y1978" s="10"/>
      <c r="Z1978" s="10"/>
      <c r="AA1978" s="11" t="str">
        <f t="shared" si="61"/>
        <v/>
      </c>
    </row>
    <row r="1979" spans="16:27" ht="15" customHeight="1">
      <c r="P1979" t="str">
        <f t="shared" si="60"/>
        <v/>
      </c>
      <c r="Q1979" t="str">
        <f>IF(P1979="","",IFERROR(IF(AND(H1979="W7",OR(F1979="causal",F1979="predictive")),IF(AND(OR(K1979=1,K1979="1"),OR(L1979=1,L1979="1"),OR(M1979=1,M1979="1")),"adequate","partial"),IF(AND(H1979="W4",F1979="predictive",OR(J1979="P2",J1979="P3",J1979="P4")),IF(OR(U1979=1,U1979="1"),"adequate","partial"),INDEX(Fit_Matrix!$B:$B,MATCH(P1979,Fit_Matrix!$A:$A,0)))),"CHECK KEY"))</f>
        <v/>
      </c>
      <c r="U1979" s="10"/>
      <c r="V1979" s="10"/>
      <c r="W1979" s="10"/>
      <c r="X1979" s="10"/>
      <c r="Y1979" s="10"/>
      <c r="Z1979" s="10"/>
      <c r="AA1979" s="11" t="str">
        <f t="shared" si="61"/>
        <v/>
      </c>
    </row>
    <row r="1980" spans="16:27" ht="15" customHeight="1">
      <c r="P1980" t="str">
        <f t="shared" si="60"/>
        <v/>
      </c>
      <c r="Q1980" t="str">
        <f>IF(P1980="","",IFERROR(IF(AND(H1980="W7",OR(F1980="causal",F1980="predictive")),IF(AND(OR(K1980=1,K1980="1"),OR(L1980=1,L1980="1"),OR(M1980=1,M1980="1")),"adequate","partial"),IF(AND(H1980="W4",F1980="predictive",OR(J1980="P2",J1980="P3",J1980="P4")),IF(OR(U1980=1,U1980="1"),"adequate","partial"),INDEX(Fit_Matrix!$B:$B,MATCH(P1980,Fit_Matrix!$A:$A,0)))),"CHECK KEY"))</f>
        <v/>
      </c>
      <c r="U1980" s="10"/>
      <c r="V1980" s="10"/>
      <c r="W1980" s="10"/>
      <c r="X1980" s="10"/>
      <c r="Y1980" s="10"/>
      <c r="Z1980" s="10"/>
      <c r="AA1980" s="11" t="str">
        <f t="shared" si="61"/>
        <v/>
      </c>
    </row>
    <row r="1981" spans="16:27" ht="15" customHeight="1">
      <c r="P1981" t="str">
        <f t="shared" si="60"/>
        <v/>
      </c>
      <c r="Q1981" t="str">
        <f>IF(P1981="","",IFERROR(IF(AND(H1981="W7",OR(F1981="causal",F1981="predictive")),IF(AND(OR(K1981=1,K1981="1"),OR(L1981=1,L1981="1"),OR(M1981=1,M1981="1")),"adequate","partial"),IF(AND(H1981="W4",F1981="predictive",OR(J1981="P2",J1981="P3",J1981="P4")),IF(OR(U1981=1,U1981="1"),"adequate","partial"),INDEX(Fit_Matrix!$B:$B,MATCH(P1981,Fit_Matrix!$A:$A,0)))),"CHECK KEY"))</f>
        <v/>
      </c>
      <c r="U1981" s="10"/>
      <c r="V1981" s="10"/>
      <c r="W1981" s="10"/>
      <c r="X1981" s="10"/>
      <c r="Y1981" s="10"/>
      <c r="Z1981" s="10"/>
      <c r="AA1981" s="11" t="str">
        <f t="shared" si="61"/>
        <v/>
      </c>
    </row>
    <row r="1982" spans="16:27" ht="15" customHeight="1">
      <c r="P1982" t="str">
        <f t="shared" si="60"/>
        <v/>
      </c>
      <c r="Q1982" t="str">
        <f>IF(P1982="","",IFERROR(IF(AND(H1982="W7",OR(F1982="causal",F1982="predictive")),IF(AND(OR(K1982=1,K1982="1"),OR(L1982=1,L1982="1"),OR(M1982=1,M1982="1")),"adequate","partial"),IF(AND(H1982="W4",F1982="predictive",OR(J1982="P2",J1982="P3",J1982="P4")),IF(OR(U1982=1,U1982="1"),"adequate","partial"),INDEX(Fit_Matrix!$B:$B,MATCH(P1982,Fit_Matrix!$A:$A,0)))),"CHECK KEY"))</f>
        <v/>
      </c>
      <c r="U1982" s="10"/>
      <c r="V1982" s="10"/>
      <c r="W1982" s="10"/>
      <c r="X1982" s="10"/>
      <c r="Y1982" s="10"/>
      <c r="Z1982" s="10"/>
      <c r="AA1982" s="11" t="str">
        <f t="shared" si="61"/>
        <v/>
      </c>
    </row>
    <row r="1983" spans="16:27" ht="15" customHeight="1">
      <c r="P1983" t="str">
        <f t="shared" si="60"/>
        <v/>
      </c>
      <c r="Q1983" t="str">
        <f>IF(P1983="","",IFERROR(IF(AND(H1983="W7",OR(F1983="causal",F1983="predictive")),IF(AND(OR(K1983=1,K1983="1"),OR(L1983=1,L1983="1"),OR(M1983=1,M1983="1")),"adequate","partial"),IF(AND(H1983="W4",F1983="predictive",OR(J1983="P2",J1983="P3",J1983="P4")),IF(OR(U1983=1,U1983="1"),"adequate","partial"),INDEX(Fit_Matrix!$B:$B,MATCH(P1983,Fit_Matrix!$A:$A,0)))),"CHECK KEY"))</f>
        <v/>
      </c>
      <c r="U1983" s="10"/>
      <c r="V1983" s="10"/>
      <c r="W1983" s="10"/>
      <c r="X1983" s="10"/>
      <c r="Y1983" s="10"/>
      <c r="Z1983" s="10"/>
      <c r="AA1983" s="11" t="str">
        <f t="shared" si="61"/>
        <v/>
      </c>
    </row>
    <row r="1984" spans="16:27" ht="15" customHeight="1">
      <c r="P1984" t="str">
        <f t="shared" si="60"/>
        <v/>
      </c>
      <c r="Q1984" t="str">
        <f>IF(P1984="","",IFERROR(IF(AND(H1984="W7",OR(F1984="causal",F1984="predictive")),IF(AND(OR(K1984=1,K1984="1"),OR(L1984=1,L1984="1"),OR(M1984=1,M1984="1")),"adequate","partial"),IF(AND(H1984="W4",F1984="predictive",OR(J1984="P2",J1984="P3",J1984="P4")),IF(OR(U1984=1,U1984="1"),"adequate","partial"),INDEX(Fit_Matrix!$B:$B,MATCH(P1984,Fit_Matrix!$A:$A,0)))),"CHECK KEY"))</f>
        <v/>
      </c>
      <c r="U1984" s="10"/>
      <c r="V1984" s="10"/>
      <c r="W1984" s="10"/>
      <c r="X1984" s="10"/>
      <c r="Y1984" s="10"/>
      <c r="Z1984" s="10"/>
      <c r="AA1984" s="11" t="str">
        <f t="shared" si="61"/>
        <v/>
      </c>
    </row>
    <row r="1985" spans="16:27" ht="15" customHeight="1">
      <c r="P1985" t="str">
        <f t="shared" si="60"/>
        <v/>
      </c>
      <c r="Q1985" t="str">
        <f>IF(P1985="","",IFERROR(IF(AND(H1985="W7",OR(F1985="causal",F1985="predictive")),IF(AND(OR(K1985=1,K1985="1"),OR(L1985=1,L1985="1"),OR(M1985=1,M1985="1")),"adequate","partial"),IF(AND(H1985="W4",F1985="predictive",OR(J1985="P2",J1985="P3",J1985="P4")),IF(OR(U1985=1,U1985="1"),"adequate","partial"),INDEX(Fit_Matrix!$B:$B,MATCH(P1985,Fit_Matrix!$A:$A,0)))),"CHECK KEY"))</f>
        <v/>
      </c>
      <c r="U1985" s="10"/>
      <c r="V1985" s="10"/>
      <c r="W1985" s="10"/>
      <c r="X1985" s="10"/>
      <c r="Y1985" s="10"/>
      <c r="Z1985" s="10"/>
      <c r="AA1985" s="11" t="str">
        <f t="shared" si="61"/>
        <v/>
      </c>
    </row>
    <row r="1986" spans="16:27" ht="15" customHeight="1">
      <c r="P1986" t="str">
        <f t="shared" ref="P1986:P2049" si="62">IF(OR(F1986="",H1986="",J1986=""),"",J1986&amp;"|"&amp;F1986&amp;"|"&amp;IF(H1986="W3","W3_"&amp;IF(I1986="","unknown",I1986),H1986))</f>
        <v/>
      </c>
      <c r="Q1986" t="str">
        <f>IF(P1986="","",IFERROR(IF(AND(H1986="W7",OR(F1986="causal",F1986="predictive")),IF(AND(OR(K1986=1,K1986="1"),OR(L1986=1,L1986="1"),OR(M1986=1,M1986="1")),"adequate","partial"),IF(AND(H1986="W4",F1986="predictive",OR(J1986="P2",J1986="P3",J1986="P4")),IF(OR(U1986=1,U1986="1"),"adequate","partial"),INDEX(Fit_Matrix!$B:$B,MATCH(P1986,Fit_Matrix!$A:$A,0)))),"CHECK KEY"))</f>
        <v/>
      </c>
      <c r="U1986" s="10"/>
      <c r="V1986" s="10"/>
      <c r="W1986" s="10"/>
      <c r="X1986" s="10"/>
      <c r="Y1986" s="10"/>
      <c r="Z1986" s="10"/>
      <c r="AA1986" s="11" t="str">
        <f t="shared" ref="AA1986:AA2049" si="63">IF(A1986="","",IF(AND(J1986="P4",F1986="causal"),"P4-CAUSAL",""))</f>
        <v/>
      </c>
    </row>
    <row r="1987" spans="16:27" ht="15" customHeight="1">
      <c r="P1987" t="str">
        <f t="shared" si="62"/>
        <v/>
      </c>
      <c r="Q1987" t="str">
        <f>IF(P1987="","",IFERROR(IF(AND(H1987="W7",OR(F1987="causal",F1987="predictive")),IF(AND(OR(K1987=1,K1987="1"),OR(L1987=1,L1987="1"),OR(M1987=1,M1987="1")),"adequate","partial"),IF(AND(H1987="W4",F1987="predictive",OR(J1987="P2",J1987="P3",J1987="P4")),IF(OR(U1987=1,U1987="1"),"adequate","partial"),INDEX(Fit_Matrix!$B:$B,MATCH(P1987,Fit_Matrix!$A:$A,0)))),"CHECK KEY"))</f>
        <v/>
      </c>
      <c r="U1987" s="10"/>
      <c r="V1987" s="10"/>
      <c r="W1987" s="10"/>
      <c r="X1987" s="10"/>
      <c r="Y1987" s="10"/>
      <c r="Z1987" s="10"/>
      <c r="AA1987" s="11" t="str">
        <f t="shared" si="63"/>
        <v/>
      </c>
    </row>
    <row r="1988" spans="16:27" ht="15" customHeight="1">
      <c r="P1988" t="str">
        <f t="shared" si="62"/>
        <v/>
      </c>
      <c r="Q1988" t="str">
        <f>IF(P1988="","",IFERROR(IF(AND(H1988="W7",OR(F1988="causal",F1988="predictive")),IF(AND(OR(K1988=1,K1988="1"),OR(L1988=1,L1988="1"),OR(M1988=1,M1988="1")),"adequate","partial"),IF(AND(H1988="W4",F1988="predictive",OR(J1988="P2",J1988="P3",J1988="P4")),IF(OR(U1988=1,U1988="1"),"adequate","partial"),INDEX(Fit_Matrix!$B:$B,MATCH(P1988,Fit_Matrix!$A:$A,0)))),"CHECK KEY"))</f>
        <v/>
      </c>
      <c r="U1988" s="10"/>
      <c r="V1988" s="10"/>
      <c r="W1988" s="10"/>
      <c r="X1988" s="10"/>
      <c r="Y1988" s="10"/>
      <c r="Z1988" s="10"/>
      <c r="AA1988" s="11" t="str">
        <f t="shared" si="63"/>
        <v/>
      </c>
    </row>
    <row r="1989" spans="16:27" ht="15" customHeight="1">
      <c r="P1989" t="str">
        <f t="shared" si="62"/>
        <v/>
      </c>
      <c r="Q1989" t="str">
        <f>IF(P1989="","",IFERROR(IF(AND(H1989="W7",OR(F1989="causal",F1989="predictive")),IF(AND(OR(K1989=1,K1989="1"),OR(L1989=1,L1989="1"),OR(M1989=1,M1989="1")),"adequate","partial"),IF(AND(H1989="W4",F1989="predictive",OR(J1989="P2",J1989="P3",J1989="P4")),IF(OR(U1989=1,U1989="1"),"adequate","partial"),INDEX(Fit_Matrix!$B:$B,MATCH(P1989,Fit_Matrix!$A:$A,0)))),"CHECK KEY"))</f>
        <v/>
      </c>
      <c r="U1989" s="10"/>
      <c r="V1989" s="10"/>
      <c r="W1989" s="10"/>
      <c r="X1989" s="10"/>
      <c r="Y1989" s="10"/>
      <c r="Z1989" s="10"/>
      <c r="AA1989" s="11" t="str">
        <f t="shared" si="63"/>
        <v/>
      </c>
    </row>
    <row r="1990" spans="16:27" ht="15" customHeight="1">
      <c r="P1990" t="str">
        <f t="shared" si="62"/>
        <v/>
      </c>
      <c r="Q1990" t="str">
        <f>IF(P1990="","",IFERROR(IF(AND(H1990="W7",OR(F1990="causal",F1990="predictive")),IF(AND(OR(K1990=1,K1990="1"),OR(L1990=1,L1990="1"),OR(M1990=1,M1990="1")),"adequate","partial"),IF(AND(H1990="W4",F1990="predictive",OR(J1990="P2",J1990="P3",J1990="P4")),IF(OR(U1990=1,U1990="1"),"adequate","partial"),INDEX(Fit_Matrix!$B:$B,MATCH(P1990,Fit_Matrix!$A:$A,0)))),"CHECK KEY"))</f>
        <v/>
      </c>
      <c r="U1990" s="10"/>
      <c r="V1990" s="10"/>
      <c r="W1990" s="10"/>
      <c r="X1990" s="10"/>
      <c r="Y1990" s="10"/>
      <c r="Z1990" s="10"/>
      <c r="AA1990" s="11" t="str">
        <f t="shared" si="63"/>
        <v/>
      </c>
    </row>
    <row r="1991" spans="16:27" ht="15" customHeight="1">
      <c r="P1991" t="str">
        <f t="shared" si="62"/>
        <v/>
      </c>
      <c r="Q1991" t="str">
        <f>IF(P1991="","",IFERROR(IF(AND(H1991="W7",OR(F1991="causal",F1991="predictive")),IF(AND(OR(K1991=1,K1991="1"),OR(L1991=1,L1991="1"),OR(M1991=1,M1991="1")),"adequate","partial"),IF(AND(H1991="W4",F1991="predictive",OR(J1991="P2",J1991="P3",J1991="P4")),IF(OR(U1991=1,U1991="1"),"adequate","partial"),INDEX(Fit_Matrix!$B:$B,MATCH(P1991,Fit_Matrix!$A:$A,0)))),"CHECK KEY"))</f>
        <v/>
      </c>
      <c r="U1991" s="10"/>
      <c r="V1991" s="10"/>
      <c r="W1991" s="10"/>
      <c r="X1991" s="10"/>
      <c r="Y1991" s="10"/>
      <c r="Z1991" s="10"/>
      <c r="AA1991" s="11" t="str">
        <f t="shared" si="63"/>
        <v/>
      </c>
    </row>
    <row r="1992" spans="16:27" ht="15" customHeight="1">
      <c r="P1992" t="str">
        <f t="shared" si="62"/>
        <v/>
      </c>
      <c r="Q1992" t="str">
        <f>IF(P1992="","",IFERROR(IF(AND(H1992="W7",OR(F1992="causal",F1992="predictive")),IF(AND(OR(K1992=1,K1992="1"),OR(L1992=1,L1992="1"),OR(M1992=1,M1992="1")),"adequate","partial"),IF(AND(H1992="W4",F1992="predictive",OR(J1992="P2",J1992="P3",J1992="P4")),IF(OR(U1992=1,U1992="1"),"adequate","partial"),INDEX(Fit_Matrix!$B:$B,MATCH(P1992,Fit_Matrix!$A:$A,0)))),"CHECK KEY"))</f>
        <v/>
      </c>
      <c r="U1992" s="10"/>
      <c r="V1992" s="10"/>
      <c r="W1992" s="10"/>
      <c r="X1992" s="10"/>
      <c r="Y1992" s="10"/>
      <c r="Z1992" s="10"/>
      <c r="AA1992" s="11" t="str">
        <f t="shared" si="63"/>
        <v/>
      </c>
    </row>
    <row r="1993" spans="16:27" ht="15" customHeight="1">
      <c r="P1993" t="str">
        <f t="shared" si="62"/>
        <v/>
      </c>
      <c r="Q1993" t="str">
        <f>IF(P1993="","",IFERROR(IF(AND(H1993="W7",OR(F1993="causal",F1993="predictive")),IF(AND(OR(K1993=1,K1993="1"),OR(L1993=1,L1993="1"),OR(M1993=1,M1993="1")),"adequate","partial"),IF(AND(H1993="W4",F1993="predictive",OR(J1993="P2",J1993="P3",J1993="P4")),IF(OR(U1993=1,U1993="1"),"adequate","partial"),INDEX(Fit_Matrix!$B:$B,MATCH(P1993,Fit_Matrix!$A:$A,0)))),"CHECK KEY"))</f>
        <v/>
      </c>
      <c r="U1993" s="10"/>
      <c r="V1993" s="10"/>
      <c r="W1993" s="10"/>
      <c r="X1993" s="10"/>
      <c r="Y1993" s="10"/>
      <c r="Z1993" s="10"/>
      <c r="AA1993" s="11" t="str">
        <f t="shared" si="63"/>
        <v/>
      </c>
    </row>
    <row r="1994" spans="16:27" ht="15" customHeight="1">
      <c r="P1994" t="str">
        <f t="shared" si="62"/>
        <v/>
      </c>
      <c r="Q1994" t="str">
        <f>IF(P1994="","",IFERROR(IF(AND(H1994="W7",OR(F1994="causal",F1994="predictive")),IF(AND(OR(K1994=1,K1994="1"),OR(L1994=1,L1994="1"),OR(M1994=1,M1994="1")),"adequate","partial"),IF(AND(H1994="W4",F1994="predictive",OR(J1994="P2",J1994="P3",J1994="P4")),IF(OR(U1994=1,U1994="1"),"adequate","partial"),INDEX(Fit_Matrix!$B:$B,MATCH(P1994,Fit_Matrix!$A:$A,0)))),"CHECK KEY"))</f>
        <v/>
      </c>
      <c r="U1994" s="10"/>
      <c r="V1994" s="10"/>
      <c r="W1994" s="10"/>
      <c r="X1994" s="10"/>
      <c r="Y1994" s="10"/>
      <c r="Z1994" s="10"/>
      <c r="AA1994" s="11" t="str">
        <f t="shared" si="63"/>
        <v/>
      </c>
    </row>
    <row r="1995" spans="16:27" ht="15" customHeight="1">
      <c r="P1995" t="str">
        <f t="shared" si="62"/>
        <v/>
      </c>
      <c r="Q1995" t="str">
        <f>IF(P1995="","",IFERROR(IF(AND(H1995="W7",OR(F1995="causal",F1995="predictive")),IF(AND(OR(K1995=1,K1995="1"),OR(L1995=1,L1995="1"),OR(M1995=1,M1995="1")),"adequate","partial"),IF(AND(H1995="W4",F1995="predictive",OR(J1995="P2",J1995="P3",J1995="P4")),IF(OR(U1995=1,U1995="1"),"adequate","partial"),INDEX(Fit_Matrix!$B:$B,MATCH(P1995,Fit_Matrix!$A:$A,0)))),"CHECK KEY"))</f>
        <v/>
      </c>
      <c r="U1995" s="10"/>
      <c r="V1995" s="10"/>
      <c r="W1995" s="10"/>
      <c r="X1995" s="10"/>
      <c r="Y1995" s="10"/>
      <c r="Z1995" s="10"/>
      <c r="AA1995" s="11" t="str">
        <f t="shared" si="63"/>
        <v/>
      </c>
    </row>
    <row r="1996" spans="16:27" ht="15" customHeight="1">
      <c r="P1996" t="str">
        <f t="shared" si="62"/>
        <v/>
      </c>
      <c r="Q1996" t="str">
        <f>IF(P1996="","",IFERROR(IF(AND(H1996="W7",OR(F1996="causal",F1996="predictive")),IF(AND(OR(K1996=1,K1996="1"),OR(L1996=1,L1996="1"),OR(M1996=1,M1996="1")),"adequate","partial"),IF(AND(H1996="W4",F1996="predictive",OR(J1996="P2",J1996="P3",J1996="P4")),IF(OR(U1996=1,U1996="1"),"adequate","partial"),INDEX(Fit_Matrix!$B:$B,MATCH(P1996,Fit_Matrix!$A:$A,0)))),"CHECK KEY"))</f>
        <v/>
      </c>
      <c r="U1996" s="10"/>
      <c r="V1996" s="10"/>
      <c r="W1996" s="10"/>
      <c r="X1996" s="10"/>
      <c r="Y1996" s="10"/>
      <c r="Z1996" s="10"/>
      <c r="AA1996" s="11" t="str">
        <f t="shared" si="63"/>
        <v/>
      </c>
    </row>
    <row r="1997" spans="16:27" ht="15" customHeight="1">
      <c r="P1997" t="str">
        <f t="shared" si="62"/>
        <v/>
      </c>
      <c r="Q1997" t="str">
        <f>IF(P1997="","",IFERROR(IF(AND(H1997="W7",OR(F1997="causal",F1997="predictive")),IF(AND(OR(K1997=1,K1997="1"),OR(L1997=1,L1997="1"),OR(M1997=1,M1997="1")),"adequate","partial"),IF(AND(H1997="W4",F1997="predictive",OR(J1997="P2",J1997="P3",J1997="P4")),IF(OR(U1997=1,U1997="1"),"adequate","partial"),INDEX(Fit_Matrix!$B:$B,MATCH(P1997,Fit_Matrix!$A:$A,0)))),"CHECK KEY"))</f>
        <v/>
      </c>
      <c r="U1997" s="10"/>
      <c r="V1997" s="10"/>
      <c r="W1997" s="10"/>
      <c r="X1997" s="10"/>
      <c r="Y1997" s="10"/>
      <c r="Z1997" s="10"/>
      <c r="AA1997" s="11" t="str">
        <f t="shared" si="63"/>
        <v/>
      </c>
    </row>
    <row r="1998" spans="16:27" ht="15" customHeight="1">
      <c r="P1998" t="str">
        <f t="shared" si="62"/>
        <v/>
      </c>
      <c r="Q1998" t="str">
        <f>IF(P1998="","",IFERROR(IF(AND(H1998="W7",OR(F1998="causal",F1998="predictive")),IF(AND(OR(K1998=1,K1998="1"),OR(L1998=1,L1998="1"),OR(M1998=1,M1998="1")),"adequate","partial"),IF(AND(H1998="W4",F1998="predictive",OR(J1998="P2",J1998="P3",J1998="P4")),IF(OR(U1998=1,U1998="1"),"adequate","partial"),INDEX(Fit_Matrix!$B:$B,MATCH(P1998,Fit_Matrix!$A:$A,0)))),"CHECK KEY"))</f>
        <v/>
      </c>
      <c r="U1998" s="10"/>
      <c r="V1998" s="10"/>
      <c r="W1998" s="10"/>
      <c r="X1998" s="10"/>
      <c r="Y1998" s="10"/>
      <c r="Z1998" s="10"/>
      <c r="AA1998" s="11" t="str">
        <f t="shared" si="63"/>
        <v/>
      </c>
    </row>
    <row r="1999" spans="16:27" ht="15" customHeight="1">
      <c r="P1999" t="str">
        <f t="shared" si="62"/>
        <v/>
      </c>
      <c r="Q1999" t="str">
        <f>IF(P1999="","",IFERROR(IF(AND(H1999="W7",OR(F1999="causal",F1999="predictive")),IF(AND(OR(K1999=1,K1999="1"),OR(L1999=1,L1999="1"),OR(M1999=1,M1999="1")),"adequate","partial"),IF(AND(H1999="W4",F1999="predictive",OR(J1999="P2",J1999="P3",J1999="P4")),IF(OR(U1999=1,U1999="1"),"adequate","partial"),INDEX(Fit_Matrix!$B:$B,MATCH(P1999,Fit_Matrix!$A:$A,0)))),"CHECK KEY"))</f>
        <v/>
      </c>
      <c r="U1999" s="10"/>
      <c r="V1999" s="10"/>
      <c r="W1999" s="10"/>
      <c r="X1999" s="10"/>
      <c r="Y1999" s="10"/>
      <c r="Z1999" s="10"/>
      <c r="AA1999" s="11" t="str">
        <f t="shared" si="63"/>
        <v/>
      </c>
    </row>
    <row r="2000" spans="16:27" ht="15" customHeight="1">
      <c r="P2000" t="str">
        <f t="shared" si="62"/>
        <v/>
      </c>
      <c r="Q2000" t="str">
        <f>IF(P2000="","",IFERROR(IF(AND(H2000="W7",OR(F2000="causal",F2000="predictive")),IF(AND(OR(K2000=1,K2000="1"),OR(L2000=1,L2000="1"),OR(M2000=1,M2000="1")),"adequate","partial"),IF(AND(H2000="W4",F2000="predictive",OR(J2000="P2",J2000="P3",J2000="P4")),IF(OR(U2000=1,U2000="1"),"adequate","partial"),INDEX(Fit_Matrix!$B:$B,MATCH(P2000,Fit_Matrix!$A:$A,0)))),"CHECK KEY"))</f>
        <v/>
      </c>
      <c r="U2000" s="10"/>
      <c r="V2000" s="10"/>
      <c r="W2000" s="10"/>
      <c r="X2000" s="10"/>
      <c r="Y2000" s="10"/>
      <c r="Z2000" s="10"/>
      <c r="AA2000" s="11" t="str">
        <f t="shared" si="63"/>
        <v/>
      </c>
    </row>
    <row r="2001" spans="16:27" ht="15" customHeight="1">
      <c r="P2001" t="str">
        <f t="shared" si="62"/>
        <v/>
      </c>
      <c r="Q2001" t="str">
        <f>IF(P2001="","",IFERROR(IF(AND(H2001="W7",OR(F2001="causal",F2001="predictive")),IF(AND(OR(K2001=1,K2001="1"),OR(L2001=1,L2001="1"),OR(M2001=1,M2001="1")),"adequate","partial"),IF(AND(H2001="W4",F2001="predictive",OR(J2001="P2",J2001="P3",J2001="P4")),IF(OR(U2001=1,U2001="1"),"adequate","partial"),INDEX(Fit_Matrix!$B:$B,MATCH(P2001,Fit_Matrix!$A:$A,0)))),"CHECK KEY"))</f>
        <v/>
      </c>
      <c r="U2001" s="10"/>
      <c r="V2001" s="10"/>
      <c r="W2001" s="10"/>
      <c r="X2001" s="10"/>
      <c r="Y2001" s="10"/>
      <c r="Z2001" s="10"/>
      <c r="AA2001" s="11" t="str">
        <f t="shared" si="63"/>
        <v/>
      </c>
    </row>
    <row r="2002" spans="16:27" ht="15" customHeight="1">
      <c r="P2002" t="str">
        <f t="shared" si="62"/>
        <v/>
      </c>
      <c r="Q2002" t="str">
        <f>IF(P2002="","",IFERROR(IF(AND(H2002="W7",OR(F2002="causal",F2002="predictive")),IF(AND(OR(K2002=1,K2002="1"),OR(L2002=1,L2002="1"),OR(M2002=1,M2002="1")),"adequate","partial"),IF(AND(H2002="W4",F2002="predictive",OR(J2002="P2",J2002="P3",J2002="P4")),IF(OR(U2002=1,U2002="1"),"adequate","partial"),INDEX(Fit_Matrix!$B:$B,MATCH(P2002,Fit_Matrix!$A:$A,0)))),"CHECK KEY"))</f>
        <v/>
      </c>
      <c r="U2002" s="10"/>
      <c r="V2002" s="10"/>
      <c r="W2002" s="10"/>
      <c r="X2002" s="10"/>
      <c r="Y2002" s="10"/>
      <c r="Z2002" s="10"/>
      <c r="AA2002" s="11" t="str">
        <f t="shared" si="63"/>
        <v/>
      </c>
    </row>
    <row r="2003" spans="16:27" ht="15" customHeight="1">
      <c r="P2003" t="str">
        <f t="shared" si="62"/>
        <v/>
      </c>
      <c r="Q2003" t="str">
        <f>IF(P2003="","",IFERROR(IF(AND(H2003="W7",OR(F2003="causal",F2003="predictive")),IF(AND(OR(K2003=1,K2003="1"),OR(L2003=1,L2003="1"),OR(M2003=1,M2003="1")),"adequate","partial"),IF(AND(H2003="W4",F2003="predictive",OR(J2003="P2",J2003="P3",J2003="P4")),IF(OR(U2003=1,U2003="1"),"adequate","partial"),INDEX(Fit_Matrix!$B:$B,MATCH(P2003,Fit_Matrix!$A:$A,0)))),"CHECK KEY"))</f>
        <v/>
      </c>
      <c r="U2003" s="10"/>
      <c r="V2003" s="10"/>
      <c r="W2003" s="10"/>
      <c r="X2003" s="10"/>
      <c r="Y2003" s="10"/>
      <c r="Z2003" s="10"/>
      <c r="AA2003" s="11" t="str">
        <f t="shared" si="63"/>
        <v/>
      </c>
    </row>
    <row r="2004" spans="16:27" ht="15" customHeight="1">
      <c r="P2004" t="str">
        <f t="shared" si="62"/>
        <v/>
      </c>
      <c r="Q2004" t="str">
        <f>IF(P2004="","",IFERROR(IF(AND(H2004="W7",OR(F2004="causal",F2004="predictive")),IF(AND(OR(K2004=1,K2004="1"),OR(L2004=1,L2004="1"),OR(M2004=1,M2004="1")),"adequate","partial"),IF(AND(H2004="W4",F2004="predictive",OR(J2004="P2",J2004="P3",J2004="P4")),IF(OR(U2004=1,U2004="1"),"adequate","partial"),INDEX(Fit_Matrix!$B:$B,MATCH(P2004,Fit_Matrix!$A:$A,0)))),"CHECK KEY"))</f>
        <v/>
      </c>
      <c r="U2004" s="10"/>
      <c r="V2004" s="10"/>
      <c r="W2004" s="10"/>
      <c r="X2004" s="10"/>
      <c r="Y2004" s="10"/>
      <c r="Z2004" s="10"/>
      <c r="AA2004" s="11" t="str">
        <f t="shared" si="63"/>
        <v/>
      </c>
    </row>
    <row r="2005" spans="16:27" ht="15" customHeight="1">
      <c r="P2005" t="str">
        <f t="shared" si="62"/>
        <v/>
      </c>
      <c r="Q2005" t="str">
        <f>IF(P2005="","",IFERROR(IF(AND(H2005="W7",OR(F2005="causal",F2005="predictive")),IF(AND(OR(K2005=1,K2005="1"),OR(L2005=1,L2005="1"),OR(M2005=1,M2005="1")),"adequate","partial"),IF(AND(H2005="W4",F2005="predictive",OR(J2005="P2",J2005="P3",J2005="P4")),IF(OR(U2005=1,U2005="1"),"adequate","partial"),INDEX(Fit_Matrix!$B:$B,MATCH(P2005,Fit_Matrix!$A:$A,0)))),"CHECK KEY"))</f>
        <v/>
      </c>
      <c r="U2005" s="10"/>
      <c r="V2005" s="10"/>
      <c r="W2005" s="10"/>
      <c r="X2005" s="10"/>
      <c r="Y2005" s="10"/>
      <c r="Z2005" s="10"/>
      <c r="AA2005" s="11" t="str">
        <f t="shared" si="63"/>
        <v/>
      </c>
    </row>
    <row r="2006" spans="16:27" ht="15" customHeight="1">
      <c r="P2006" t="str">
        <f t="shared" si="62"/>
        <v/>
      </c>
      <c r="Q2006" t="str">
        <f>IF(P2006="","",IFERROR(IF(AND(H2006="W7",OR(F2006="causal",F2006="predictive")),IF(AND(OR(K2006=1,K2006="1"),OR(L2006=1,L2006="1"),OR(M2006=1,M2006="1")),"adequate","partial"),IF(AND(H2006="W4",F2006="predictive",OR(J2006="P2",J2006="P3",J2006="P4")),IF(OR(U2006=1,U2006="1"),"adequate","partial"),INDEX(Fit_Matrix!$B:$B,MATCH(P2006,Fit_Matrix!$A:$A,0)))),"CHECK KEY"))</f>
        <v/>
      </c>
      <c r="U2006" s="10"/>
      <c r="V2006" s="10"/>
      <c r="W2006" s="10"/>
      <c r="X2006" s="10"/>
      <c r="Y2006" s="10"/>
      <c r="Z2006" s="10"/>
      <c r="AA2006" s="11" t="str">
        <f t="shared" si="63"/>
        <v/>
      </c>
    </row>
    <row r="2007" spans="16:27" ht="15" customHeight="1">
      <c r="P2007" t="str">
        <f t="shared" si="62"/>
        <v/>
      </c>
      <c r="Q2007" t="str">
        <f>IF(P2007="","",IFERROR(IF(AND(H2007="W7",OR(F2007="causal",F2007="predictive")),IF(AND(OR(K2007=1,K2007="1"),OR(L2007=1,L2007="1"),OR(M2007=1,M2007="1")),"adequate","partial"),IF(AND(H2007="W4",F2007="predictive",OR(J2007="P2",J2007="P3",J2007="P4")),IF(OR(U2007=1,U2007="1"),"adequate","partial"),INDEX(Fit_Matrix!$B:$B,MATCH(P2007,Fit_Matrix!$A:$A,0)))),"CHECK KEY"))</f>
        <v/>
      </c>
      <c r="U2007" s="10"/>
      <c r="V2007" s="10"/>
      <c r="W2007" s="10"/>
      <c r="X2007" s="10"/>
      <c r="Y2007" s="10"/>
      <c r="Z2007" s="10"/>
      <c r="AA2007" s="11" t="str">
        <f t="shared" si="63"/>
        <v/>
      </c>
    </row>
    <row r="2008" spans="16:27" ht="15" customHeight="1">
      <c r="P2008" t="str">
        <f t="shared" si="62"/>
        <v/>
      </c>
      <c r="Q2008" t="str">
        <f>IF(P2008="","",IFERROR(IF(AND(H2008="W7",OR(F2008="causal",F2008="predictive")),IF(AND(OR(K2008=1,K2008="1"),OR(L2008=1,L2008="1"),OR(M2008=1,M2008="1")),"adequate","partial"),IF(AND(H2008="W4",F2008="predictive",OR(J2008="P2",J2008="P3",J2008="P4")),IF(OR(U2008=1,U2008="1"),"adequate","partial"),INDEX(Fit_Matrix!$B:$B,MATCH(P2008,Fit_Matrix!$A:$A,0)))),"CHECK KEY"))</f>
        <v/>
      </c>
      <c r="U2008" s="10"/>
      <c r="V2008" s="10"/>
      <c r="W2008" s="10"/>
      <c r="X2008" s="10"/>
      <c r="Y2008" s="10"/>
      <c r="Z2008" s="10"/>
      <c r="AA2008" s="11" t="str">
        <f t="shared" si="63"/>
        <v/>
      </c>
    </row>
    <row r="2009" spans="16:27" ht="15" customHeight="1">
      <c r="P2009" t="str">
        <f t="shared" si="62"/>
        <v/>
      </c>
      <c r="Q2009" t="str">
        <f>IF(P2009="","",IFERROR(IF(AND(H2009="W7",OR(F2009="causal",F2009="predictive")),IF(AND(OR(K2009=1,K2009="1"),OR(L2009=1,L2009="1"),OR(M2009=1,M2009="1")),"adequate","partial"),IF(AND(H2009="W4",F2009="predictive",OR(J2009="P2",J2009="P3",J2009="P4")),IF(OR(U2009=1,U2009="1"),"adequate","partial"),INDEX(Fit_Matrix!$B:$B,MATCH(P2009,Fit_Matrix!$A:$A,0)))),"CHECK KEY"))</f>
        <v/>
      </c>
      <c r="U2009" s="10"/>
      <c r="V2009" s="10"/>
      <c r="W2009" s="10"/>
      <c r="X2009" s="10"/>
      <c r="Y2009" s="10"/>
      <c r="Z2009" s="10"/>
      <c r="AA2009" s="11" t="str">
        <f t="shared" si="63"/>
        <v/>
      </c>
    </row>
    <row r="2010" spans="16:27" ht="15" customHeight="1">
      <c r="P2010" t="str">
        <f t="shared" si="62"/>
        <v/>
      </c>
      <c r="Q2010" t="str">
        <f>IF(P2010="","",IFERROR(IF(AND(H2010="W7",OR(F2010="causal",F2010="predictive")),IF(AND(OR(K2010=1,K2010="1"),OR(L2010=1,L2010="1"),OR(M2010=1,M2010="1")),"adequate","partial"),IF(AND(H2010="W4",F2010="predictive",OR(J2010="P2",J2010="P3",J2010="P4")),IF(OR(U2010=1,U2010="1"),"adequate","partial"),INDEX(Fit_Matrix!$B:$B,MATCH(P2010,Fit_Matrix!$A:$A,0)))),"CHECK KEY"))</f>
        <v/>
      </c>
      <c r="U2010" s="10"/>
      <c r="V2010" s="10"/>
      <c r="W2010" s="10"/>
      <c r="X2010" s="10"/>
      <c r="Y2010" s="10"/>
      <c r="Z2010" s="10"/>
      <c r="AA2010" s="11" t="str">
        <f t="shared" si="63"/>
        <v/>
      </c>
    </row>
    <row r="2011" spans="16:27" ht="15" customHeight="1">
      <c r="P2011" t="str">
        <f t="shared" si="62"/>
        <v/>
      </c>
      <c r="Q2011" t="str">
        <f>IF(P2011="","",IFERROR(IF(AND(H2011="W7",OR(F2011="causal",F2011="predictive")),IF(AND(OR(K2011=1,K2011="1"),OR(L2011=1,L2011="1"),OR(M2011=1,M2011="1")),"adequate","partial"),IF(AND(H2011="W4",F2011="predictive",OR(J2011="P2",J2011="P3",J2011="P4")),IF(OR(U2011=1,U2011="1"),"adequate","partial"),INDEX(Fit_Matrix!$B:$B,MATCH(P2011,Fit_Matrix!$A:$A,0)))),"CHECK KEY"))</f>
        <v/>
      </c>
      <c r="U2011" s="10"/>
      <c r="V2011" s="10"/>
      <c r="W2011" s="10"/>
      <c r="X2011" s="10"/>
      <c r="Y2011" s="10"/>
      <c r="Z2011" s="10"/>
      <c r="AA2011" s="11" t="str">
        <f t="shared" si="63"/>
        <v/>
      </c>
    </row>
    <row r="2012" spans="16:27" ht="15" customHeight="1">
      <c r="P2012" t="str">
        <f t="shared" si="62"/>
        <v/>
      </c>
      <c r="Q2012" t="str">
        <f>IF(P2012="","",IFERROR(IF(AND(H2012="W7",OR(F2012="causal",F2012="predictive")),IF(AND(OR(K2012=1,K2012="1"),OR(L2012=1,L2012="1"),OR(M2012=1,M2012="1")),"adequate","partial"),IF(AND(H2012="W4",F2012="predictive",OR(J2012="P2",J2012="P3",J2012="P4")),IF(OR(U2012=1,U2012="1"),"adequate","partial"),INDEX(Fit_Matrix!$B:$B,MATCH(P2012,Fit_Matrix!$A:$A,0)))),"CHECK KEY"))</f>
        <v/>
      </c>
      <c r="U2012" s="10"/>
      <c r="V2012" s="10"/>
      <c r="W2012" s="10"/>
      <c r="X2012" s="10"/>
      <c r="Y2012" s="10"/>
      <c r="Z2012" s="10"/>
      <c r="AA2012" s="11" t="str">
        <f t="shared" si="63"/>
        <v/>
      </c>
    </row>
    <row r="2013" spans="16:27" ht="15" customHeight="1">
      <c r="P2013" t="str">
        <f t="shared" si="62"/>
        <v/>
      </c>
      <c r="Q2013" t="str">
        <f>IF(P2013="","",IFERROR(IF(AND(H2013="W7",OR(F2013="causal",F2013="predictive")),IF(AND(OR(K2013=1,K2013="1"),OR(L2013=1,L2013="1"),OR(M2013=1,M2013="1")),"adequate","partial"),IF(AND(H2013="W4",F2013="predictive",OR(J2013="P2",J2013="P3",J2013="P4")),IF(OR(U2013=1,U2013="1"),"adequate","partial"),INDEX(Fit_Matrix!$B:$B,MATCH(P2013,Fit_Matrix!$A:$A,0)))),"CHECK KEY"))</f>
        <v/>
      </c>
      <c r="U2013" s="10"/>
      <c r="V2013" s="10"/>
      <c r="W2013" s="10"/>
      <c r="X2013" s="10"/>
      <c r="Y2013" s="10"/>
      <c r="Z2013" s="10"/>
      <c r="AA2013" s="11" t="str">
        <f t="shared" si="63"/>
        <v/>
      </c>
    </row>
    <row r="2014" spans="16:27" ht="15" customHeight="1">
      <c r="P2014" t="str">
        <f t="shared" si="62"/>
        <v/>
      </c>
      <c r="Q2014" t="str">
        <f>IF(P2014="","",IFERROR(IF(AND(H2014="W7",OR(F2014="causal",F2014="predictive")),IF(AND(OR(K2014=1,K2014="1"),OR(L2014=1,L2014="1"),OR(M2014=1,M2014="1")),"adequate","partial"),IF(AND(H2014="W4",F2014="predictive",OR(J2014="P2",J2014="P3",J2014="P4")),IF(OR(U2014=1,U2014="1"),"adequate","partial"),INDEX(Fit_Matrix!$B:$B,MATCH(P2014,Fit_Matrix!$A:$A,0)))),"CHECK KEY"))</f>
        <v/>
      </c>
      <c r="U2014" s="10"/>
      <c r="V2014" s="10"/>
      <c r="W2014" s="10"/>
      <c r="X2014" s="10"/>
      <c r="Y2014" s="10"/>
      <c r="Z2014" s="10"/>
      <c r="AA2014" s="11" t="str">
        <f t="shared" si="63"/>
        <v/>
      </c>
    </row>
    <row r="2015" spans="16:27" ht="15" customHeight="1">
      <c r="P2015" t="str">
        <f t="shared" si="62"/>
        <v/>
      </c>
      <c r="Q2015" t="str">
        <f>IF(P2015="","",IFERROR(IF(AND(H2015="W7",OR(F2015="causal",F2015="predictive")),IF(AND(OR(K2015=1,K2015="1"),OR(L2015=1,L2015="1"),OR(M2015=1,M2015="1")),"adequate","partial"),IF(AND(H2015="W4",F2015="predictive",OR(J2015="P2",J2015="P3",J2015="P4")),IF(OR(U2015=1,U2015="1"),"adequate","partial"),INDEX(Fit_Matrix!$B:$B,MATCH(P2015,Fit_Matrix!$A:$A,0)))),"CHECK KEY"))</f>
        <v/>
      </c>
      <c r="U2015" s="10"/>
      <c r="V2015" s="10"/>
      <c r="W2015" s="10"/>
      <c r="X2015" s="10"/>
      <c r="Y2015" s="10"/>
      <c r="Z2015" s="10"/>
      <c r="AA2015" s="11" t="str">
        <f t="shared" si="63"/>
        <v/>
      </c>
    </row>
    <row r="2016" spans="16:27" ht="15" customHeight="1">
      <c r="P2016" t="str">
        <f t="shared" si="62"/>
        <v/>
      </c>
      <c r="Q2016" t="str">
        <f>IF(P2016="","",IFERROR(IF(AND(H2016="W7",OR(F2016="causal",F2016="predictive")),IF(AND(OR(K2016=1,K2016="1"),OR(L2016=1,L2016="1"),OR(M2016=1,M2016="1")),"adequate","partial"),IF(AND(H2016="W4",F2016="predictive",OR(J2016="P2",J2016="P3",J2016="P4")),IF(OR(U2016=1,U2016="1"),"adequate","partial"),INDEX(Fit_Matrix!$B:$B,MATCH(P2016,Fit_Matrix!$A:$A,0)))),"CHECK KEY"))</f>
        <v/>
      </c>
      <c r="U2016" s="10"/>
      <c r="V2016" s="10"/>
      <c r="W2016" s="10"/>
      <c r="X2016" s="10"/>
      <c r="Y2016" s="10"/>
      <c r="Z2016" s="10"/>
      <c r="AA2016" s="11" t="str">
        <f t="shared" si="63"/>
        <v/>
      </c>
    </row>
    <row r="2017" spans="16:27" ht="15" customHeight="1">
      <c r="P2017" t="str">
        <f t="shared" si="62"/>
        <v/>
      </c>
      <c r="Q2017" t="str">
        <f>IF(P2017="","",IFERROR(IF(AND(H2017="W7",OR(F2017="causal",F2017="predictive")),IF(AND(OR(K2017=1,K2017="1"),OR(L2017=1,L2017="1"),OR(M2017=1,M2017="1")),"adequate","partial"),IF(AND(H2017="W4",F2017="predictive",OR(J2017="P2",J2017="P3",J2017="P4")),IF(OR(U2017=1,U2017="1"),"adequate","partial"),INDEX(Fit_Matrix!$B:$B,MATCH(P2017,Fit_Matrix!$A:$A,0)))),"CHECK KEY"))</f>
        <v/>
      </c>
      <c r="U2017" s="10"/>
      <c r="V2017" s="10"/>
      <c r="W2017" s="10"/>
      <c r="X2017" s="10"/>
      <c r="Y2017" s="10"/>
      <c r="Z2017" s="10"/>
      <c r="AA2017" s="11" t="str">
        <f t="shared" si="63"/>
        <v/>
      </c>
    </row>
    <row r="2018" spans="16:27" ht="15" customHeight="1">
      <c r="P2018" t="str">
        <f t="shared" si="62"/>
        <v/>
      </c>
      <c r="Q2018" t="str">
        <f>IF(P2018="","",IFERROR(IF(AND(H2018="W7",OR(F2018="causal",F2018="predictive")),IF(AND(OR(K2018=1,K2018="1"),OR(L2018=1,L2018="1"),OR(M2018=1,M2018="1")),"adequate","partial"),IF(AND(H2018="W4",F2018="predictive",OR(J2018="P2",J2018="P3",J2018="P4")),IF(OR(U2018=1,U2018="1"),"adequate","partial"),INDEX(Fit_Matrix!$B:$B,MATCH(P2018,Fit_Matrix!$A:$A,0)))),"CHECK KEY"))</f>
        <v/>
      </c>
      <c r="U2018" s="10"/>
      <c r="V2018" s="10"/>
      <c r="W2018" s="10"/>
      <c r="X2018" s="10"/>
      <c r="Y2018" s="10"/>
      <c r="Z2018" s="10"/>
      <c r="AA2018" s="11" t="str">
        <f t="shared" si="63"/>
        <v/>
      </c>
    </row>
    <row r="2019" spans="16:27" ht="15" customHeight="1">
      <c r="P2019" t="str">
        <f t="shared" si="62"/>
        <v/>
      </c>
      <c r="Q2019" t="str">
        <f>IF(P2019="","",IFERROR(IF(AND(H2019="W7",OR(F2019="causal",F2019="predictive")),IF(AND(OR(K2019=1,K2019="1"),OR(L2019=1,L2019="1"),OR(M2019=1,M2019="1")),"adequate","partial"),IF(AND(H2019="W4",F2019="predictive",OR(J2019="P2",J2019="P3",J2019="P4")),IF(OR(U2019=1,U2019="1"),"adequate","partial"),INDEX(Fit_Matrix!$B:$B,MATCH(P2019,Fit_Matrix!$A:$A,0)))),"CHECK KEY"))</f>
        <v/>
      </c>
      <c r="U2019" s="10"/>
      <c r="V2019" s="10"/>
      <c r="W2019" s="10"/>
      <c r="X2019" s="10"/>
      <c r="Y2019" s="10"/>
      <c r="Z2019" s="10"/>
      <c r="AA2019" s="11" t="str">
        <f t="shared" si="63"/>
        <v/>
      </c>
    </row>
    <row r="2020" spans="16:27" ht="15" customHeight="1">
      <c r="P2020" t="str">
        <f t="shared" si="62"/>
        <v/>
      </c>
      <c r="Q2020" t="str">
        <f>IF(P2020="","",IFERROR(IF(AND(H2020="W7",OR(F2020="causal",F2020="predictive")),IF(AND(OR(K2020=1,K2020="1"),OR(L2020=1,L2020="1"),OR(M2020=1,M2020="1")),"adequate","partial"),IF(AND(H2020="W4",F2020="predictive",OR(J2020="P2",J2020="P3",J2020="P4")),IF(OR(U2020=1,U2020="1"),"adequate","partial"),INDEX(Fit_Matrix!$B:$B,MATCH(P2020,Fit_Matrix!$A:$A,0)))),"CHECK KEY"))</f>
        <v/>
      </c>
      <c r="U2020" s="10"/>
      <c r="V2020" s="10"/>
      <c r="W2020" s="10"/>
      <c r="X2020" s="10"/>
      <c r="Y2020" s="10"/>
      <c r="Z2020" s="10"/>
      <c r="AA2020" s="11" t="str">
        <f t="shared" si="63"/>
        <v/>
      </c>
    </row>
    <row r="2021" spans="16:27" ht="15" customHeight="1">
      <c r="P2021" t="str">
        <f t="shared" si="62"/>
        <v/>
      </c>
      <c r="Q2021" t="str">
        <f>IF(P2021="","",IFERROR(IF(AND(H2021="W7",OR(F2021="causal",F2021="predictive")),IF(AND(OR(K2021=1,K2021="1"),OR(L2021=1,L2021="1"),OR(M2021=1,M2021="1")),"adequate","partial"),IF(AND(H2021="W4",F2021="predictive",OR(J2021="P2",J2021="P3",J2021="P4")),IF(OR(U2021=1,U2021="1"),"adequate","partial"),INDEX(Fit_Matrix!$B:$B,MATCH(P2021,Fit_Matrix!$A:$A,0)))),"CHECK KEY"))</f>
        <v/>
      </c>
      <c r="U2021" s="10"/>
      <c r="V2021" s="10"/>
      <c r="W2021" s="10"/>
      <c r="X2021" s="10"/>
      <c r="Y2021" s="10"/>
      <c r="Z2021" s="10"/>
      <c r="AA2021" s="11" t="str">
        <f t="shared" si="63"/>
        <v/>
      </c>
    </row>
    <row r="2022" spans="16:27" ht="15" customHeight="1">
      <c r="P2022" t="str">
        <f t="shared" si="62"/>
        <v/>
      </c>
      <c r="Q2022" t="str">
        <f>IF(P2022="","",IFERROR(IF(AND(H2022="W7",OR(F2022="causal",F2022="predictive")),IF(AND(OR(K2022=1,K2022="1"),OR(L2022=1,L2022="1"),OR(M2022=1,M2022="1")),"adequate","partial"),IF(AND(H2022="W4",F2022="predictive",OR(J2022="P2",J2022="P3",J2022="P4")),IF(OR(U2022=1,U2022="1"),"adequate","partial"),INDEX(Fit_Matrix!$B:$B,MATCH(P2022,Fit_Matrix!$A:$A,0)))),"CHECK KEY"))</f>
        <v/>
      </c>
      <c r="U2022" s="10"/>
      <c r="V2022" s="10"/>
      <c r="W2022" s="10"/>
      <c r="X2022" s="10"/>
      <c r="Y2022" s="10"/>
      <c r="Z2022" s="10"/>
      <c r="AA2022" s="11" t="str">
        <f t="shared" si="63"/>
        <v/>
      </c>
    </row>
    <row r="2023" spans="16:27" ht="15" customHeight="1">
      <c r="P2023" t="str">
        <f t="shared" si="62"/>
        <v/>
      </c>
      <c r="Q2023" t="str">
        <f>IF(P2023="","",IFERROR(IF(AND(H2023="W7",OR(F2023="causal",F2023="predictive")),IF(AND(OR(K2023=1,K2023="1"),OR(L2023=1,L2023="1"),OR(M2023=1,M2023="1")),"adequate","partial"),IF(AND(H2023="W4",F2023="predictive",OR(J2023="P2",J2023="P3",J2023="P4")),IF(OR(U2023=1,U2023="1"),"adequate","partial"),INDEX(Fit_Matrix!$B:$B,MATCH(P2023,Fit_Matrix!$A:$A,0)))),"CHECK KEY"))</f>
        <v/>
      </c>
      <c r="U2023" s="10"/>
      <c r="V2023" s="10"/>
      <c r="W2023" s="10"/>
      <c r="X2023" s="10"/>
      <c r="Y2023" s="10"/>
      <c r="Z2023" s="10"/>
      <c r="AA2023" s="11" t="str">
        <f t="shared" si="63"/>
        <v/>
      </c>
    </row>
    <row r="2024" spans="16:27" ht="15" customHeight="1">
      <c r="P2024" t="str">
        <f t="shared" si="62"/>
        <v/>
      </c>
      <c r="Q2024" t="str">
        <f>IF(P2024="","",IFERROR(IF(AND(H2024="W7",OR(F2024="causal",F2024="predictive")),IF(AND(OR(K2024=1,K2024="1"),OR(L2024=1,L2024="1"),OR(M2024=1,M2024="1")),"adequate","partial"),IF(AND(H2024="W4",F2024="predictive",OR(J2024="P2",J2024="P3",J2024="P4")),IF(OR(U2024=1,U2024="1"),"adequate","partial"),INDEX(Fit_Matrix!$B:$B,MATCH(P2024,Fit_Matrix!$A:$A,0)))),"CHECK KEY"))</f>
        <v/>
      </c>
      <c r="U2024" s="10"/>
      <c r="V2024" s="10"/>
      <c r="W2024" s="10"/>
      <c r="X2024" s="10"/>
      <c r="Y2024" s="10"/>
      <c r="Z2024" s="10"/>
      <c r="AA2024" s="11" t="str">
        <f t="shared" si="63"/>
        <v/>
      </c>
    </row>
    <row r="2025" spans="16:27" ht="15" customHeight="1">
      <c r="P2025" t="str">
        <f t="shared" si="62"/>
        <v/>
      </c>
      <c r="Q2025" t="str">
        <f>IF(P2025="","",IFERROR(IF(AND(H2025="W7",OR(F2025="causal",F2025="predictive")),IF(AND(OR(K2025=1,K2025="1"),OR(L2025=1,L2025="1"),OR(M2025=1,M2025="1")),"adequate","partial"),IF(AND(H2025="W4",F2025="predictive",OR(J2025="P2",J2025="P3",J2025="P4")),IF(OR(U2025=1,U2025="1"),"adequate","partial"),INDEX(Fit_Matrix!$B:$B,MATCH(P2025,Fit_Matrix!$A:$A,0)))),"CHECK KEY"))</f>
        <v/>
      </c>
      <c r="U2025" s="10"/>
      <c r="V2025" s="10"/>
      <c r="W2025" s="10"/>
      <c r="X2025" s="10"/>
      <c r="Y2025" s="10"/>
      <c r="Z2025" s="10"/>
      <c r="AA2025" s="11" t="str">
        <f t="shared" si="63"/>
        <v/>
      </c>
    </row>
    <row r="2026" spans="16:27" ht="15" customHeight="1">
      <c r="P2026" t="str">
        <f t="shared" si="62"/>
        <v/>
      </c>
      <c r="Q2026" t="str">
        <f>IF(P2026="","",IFERROR(IF(AND(H2026="W7",OR(F2026="causal",F2026="predictive")),IF(AND(OR(K2026=1,K2026="1"),OR(L2026=1,L2026="1"),OR(M2026=1,M2026="1")),"adequate","partial"),IF(AND(H2026="W4",F2026="predictive",OR(J2026="P2",J2026="P3",J2026="P4")),IF(OR(U2026=1,U2026="1"),"adequate","partial"),INDEX(Fit_Matrix!$B:$B,MATCH(P2026,Fit_Matrix!$A:$A,0)))),"CHECK KEY"))</f>
        <v/>
      </c>
      <c r="U2026" s="10"/>
      <c r="V2026" s="10"/>
      <c r="W2026" s="10"/>
      <c r="X2026" s="10"/>
      <c r="Y2026" s="10"/>
      <c r="Z2026" s="10"/>
      <c r="AA2026" s="11" t="str">
        <f t="shared" si="63"/>
        <v/>
      </c>
    </row>
    <row r="2027" spans="16:27" ht="15" customHeight="1">
      <c r="P2027" t="str">
        <f t="shared" si="62"/>
        <v/>
      </c>
      <c r="Q2027" t="str">
        <f>IF(P2027="","",IFERROR(IF(AND(H2027="W7",OR(F2027="causal",F2027="predictive")),IF(AND(OR(K2027=1,K2027="1"),OR(L2027=1,L2027="1"),OR(M2027=1,M2027="1")),"adequate","partial"),IF(AND(H2027="W4",F2027="predictive",OR(J2027="P2",J2027="P3",J2027="P4")),IF(OR(U2027=1,U2027="1"),"adequate","partial"),INDEX(Fit_Matrix!$B:$B,MATCH(P2027,Fit_Matrix!$A:$A,0)))),"CHECK KEY"))</f>
        <v/>
      </c>
      <c r="U2027" s="10"/>
      <c r="V2027" s="10"/>
      <c r="W2027" s="10"/>
      <c r="X2027" s="10"/>
      <c r="Y2027" s="10"/>
      <c r="Z2027" s="10"/>
      <c r="AA2027" s="11" t="str">
        <f t="shared" si="63"/>
        <v/>
      </c>
    </row>
    <row r="2028" spans="16:27" ht="15" customHeight="1">
      <c r="P2028" t="str">
        <f t="shared" si="62"/>
        <v/>
      </c>
      <c r="Q2028" t="str">
        <f>IF(P2028="","",IFERROR(IF(AND(H2028="W7",OR(F2028="causal",F2028="predictive")),IF(AND(OR(K2028=1,K2028="1"),OR(L2028=1,L2028="1"),OR(M2028=1,M2028="1")),"adequate","partial"),IF(AND(H2028="W4",F2028="predictive",OR(J2028="P2",J2028="P3",J2028="P4")),IF(OR(U2028=1,U2028="1"),"adequate","partial"),INDEX(Fit_Matrix!$B:$B,MATCH(P2028,Fit_Matrix!$A:$A,0)))),"CHECK KEY"))</f>
        <v/>
      </c>
      <c r="U2028" s="10"/>
      <c r="V2028" s="10"/>
      <c r="W2028" s="10"/>
      <c r="X2028" s="10"/>
      <c r="Y2028" s="10"/>
      <c r="Z2028" s="10"/>
      <c r="AA2028" s="11" t="str">
        <f t="shared" si="63"/>
        <v/>
      </c>
    </row>
    <row r="2029" spans="16:27" ht="15" customHeight="1">
      <c r="P2029" t="str">
        <f t="shared" si="62"/>
        <v/>
      </c>
      <c r="Q2029" t="str">
        <f>IF(P2029="","",IFERROR(IF(AND(H2029="W7",OR(F2029="causal",F2029="predictive")),IF(AND(OR(K2029=1,K2029="1"),OR(L2029=1,L2029="1"),OR(M2029=1,M2029="1")),"adequate","partial"),IF(AND(H2029="W4",F2029="predictive",OR(J2029="P2",J2029="P3",J2029="P4")),IF(OR(U2029=1,U2029="1"),"adequate","partial"),INDEX(Fit_Matrix!$B:$B,MATCH(P2029,Fit_Matrix!$A:$A,0)))),"CHECK KEY"))</f>
        <v/>
      </c>
      <c r="U2029" s="10"/>
      <c r="V2029" s="10"/>
      <c r="W2029" s="10"/>
      <c r="X2029" s="10"/>
      <c r="Y2029" s="10"/>
      <c r="Z2029" s="10"/>
      <c r="AA2029" s="11" t="str">
        <f t="shared" si="63"/>
        <v/>
      </c>
    </row>
    <row r="2030" spans="16:27" ht="15" customHeight="1">
      <c r="P2030" t="str">
        <f t="shared" si="62"/>
        <v/>
      </c>
      <c r="Q2030" t="str">
        <f>IF(P2030="","",IFERROR(IF(AND(H2030="W7",OR(F2030="causal",F2030="predictive")),IF(AND(OR(K2030=1,K2030="1"),OR(L2030=1,L2030="1"),OR(M2030=1,M2030="1")),"adequate","partial"),IF(AND(H2030="W4",F2030="predictive",OR(J2030="P2",J2030="P3",J2030="P4")),IF(OR(U2030=1,U2030="1"),"adequate","partial"),INDEX(Fit_Matrix!$B:$B,MATCH(P2030,Fit_Matrix!$A:$A,0)))),"CHECK KEY"))</f>
        <v/>
      </c>
      <c r="U2030" s="10"/>
      <c r="V2030" s="10"/>
      <c r="W2030" s="10"/>
      <c r="X2030" s="10"/>
      <c r="Y2030" s="10"/>
      <c r="Z2030" s="10"/>
      <c r="AA2030" s="11" t="str">
        <f t="shared" si="63"/>
        <v/>
      </c>
    </row>
    <row r="2031" spans="16:27" ht="15" customHeight="1">
      <c r="P2031" t="str">
        <f t="shared" si="62"/>
        <v/>
      </c>
      <c r="Q2031" t="str">
        <f>IF(P2031="","",IFERROR(IF(AND(H2031="W7",OR(F2031="causal",F2031="predictive")),IF(AND(OR(K2031=1,K2031="1"),OR(L2031=1,L2031="1"),OR(M2031=1,M2031="1")),"adequate","partial"),IF(AND(H2031="W4",F2031="predictive",OR(J2031="P2",J2031="P3",J2031="P4")),IF(OR(U2031=1,U2031="1"),"adequate","partial"),INDEX(Fit_Matrix!$B:$B,MATCH(P2031,Fit_Matrix!$A:$A,0)))),"CHECK KEY"))</f>
        <v/>
      </c>
      <c r="U2031" s="10"/>
      <c r="V2031" s="10"/>
      <c r="W2031" s="10"/>
      <c r="X2031" s="10"/>
      <c r="Y2031" s="10"/>
      <c r="Z2031" s="10"/>
      <c r="AA2031" s="11" t="str">
        <f t="shared" si="63"/>
        <v/>
      </c>
    </row>
    <row r="2032" spans="16:27" ht="15" customHeight="1">
      <c r="P2032" t="str">
        <f t="shared" si="62"/>
        <v/>
      </c>
      <c r="Q2032" t="str">
        <f>IF(P2032="","",IFERROR(IF(AND(H2032="W7",OR(F2032="causal",F2032="predictive")),IF(AND(OR(K2032=1,K2032="1"),OR(L2032=1,L2032="1"),OR(M2032=1,M2032="1")),"adequate","partial"),IF(AND(H2032="W4",F2032="predictive",OR(J2032="P2",J2032="P3",J2032="P4")),IF(OR(U2032=1,U2032="1"),"adequate","partial"),INDEX(Fit_Matrix!$B:$B,MATCH(P2032,Fit_Matrix!$A:$A,0)))),"CHECK KEY"))</f>
        <v/>
      </c>
      <c r="U2032" s="10"/>
      <c r="V2032" s="10"/>
      <c r="W2032" s="10"/>
      <c r="X2032" s="10"/>
      <c r="Y2032" s="10"/>
      <c r="Z2032" s="10"/>
      <c r="AA2032" s="11" t="str">
        <f t="shared" si="63"/>
        <v/>
      </c>
    </row>
    <row r="2033" spans="16:27" ht="15" customHeight="1">
      <c r="P2033" t="str">
        <f t="shared" si="62"/>
        <v/>
      </c>
      <c r="Q2033" t="str">
        <f>IF(P2033="","",IFERROR(IF(AND(H2033="W7",OR(F2033="causal",F2033="predictive")),IF(AND(OR(K2033=1,K2033="1"),OR(L2033=1,L2033="1"),OR(M2033=1,M2033="1")),"adequate","partial"),IF(AND(H2033="W4",F2033="predictive",OR(J2033="P2",J2033="P3",J2033="P4")),IF(OR(U2033=1,U2033="1"),"adequate","partial"),INDEX(Fit_Matrix!$B:$B,MATCH(P2033,Fit_Matrix!$A:$A,0)))),"CHECK KEY"))</f>
        <v/>
      </c>
      <c r="U2033" s="10"/>
      <c r="V2033" s="10"/>
      <c r="W2033" s="10"/>
      <c r="X2033" s="10"/>
      <c r="Y2033" s="10"/>
      <c r="Z2033" s="10"/>
      <c r="AA2033" s="11" t="str">
        <f t="shared" si="63"/>
        <v/>
      </c>
    </row>
    <row r="2034" spans="16:27" ht="15" customHeight="1">
      <c r="P2034" t="str">
        <f t="shared" si="62"/>
        <v/>
      </c>
      <c r="Q2034" t="str">
        <f>IF(P2034="","",IFERROR(IF(AND(H2034="W7",OR(F2034="causal",F2034="predictive")),IF(AND(OR(K2034=1,K2034="1"),OR(L2034=1,L2034="1"),OR(M2034=1,M2034="1")),"adequate","partial"),IF(AND(H2034="W4",F2034="predictive",OR(J2034="P2",J2034="P3",J2034="P4")),IF(OR(U2034=1,U2034="1"),"adequate","partial"),INDEX(Fit_Matrix!$B:$B,MATCH(P2034,Fit_Matrix!$A:$A,0)))),"CHECK KEY"))</f>
        <v/>
      </c>
      <c r="U2034" s="10"/>
      <c r="V2034" s="10"/>
      <c r="W2034" s="10"/>
      <c r="X2034" s="10"/>
      <c r="Y2034" s="10"/>
      <c r="Z2034" s="10"/>
      <c r="AA2034" s="11" t="str">
        <f t="shared" si="63"/>
        <v/>
      </c>
    </row>
    <row r="2035" spans="16:27" ht="15" customHeight="1">
      <c r="P2035" t="str">
        <f t="shared" si="62"/>
        <v/>
      </c>
      <c r="Q2035" t="str">
        <f>IF(P2035="","",IFERROR(IF(AND(H2035="W7",OR(F2035="causal",F2035="predictive")),IF(AND(OR(K2035=1,K2035="1"),OR(L2035=1,L2035="1"),OR(M2035=1,M2035="1")),"adequate","partial"),IF(AND(H2035="W4",F2035="predictive",OR(J2035="P2",J2035="P3",J2035="P4")),IF(OR(U2035=1,U2035="1"),"adequate","partial"),INDEX(Fit_Matrix!$B:$B,MATCH(P2035,Fit_Matrix!$A:$A,0)))),"CHECK KEY"))</f>
        <v/>
      </c>
      <c r="U2035" s="10"/>
      <c r="V2035" s="10"/>
      <c r="W2035" s="10"/>
      <c r="X2035" s="10"/>
      <c r="Y2035" s="10"/>
      <c r="Z2035" s="10"/>
      <c r="AA2035" s="11" t="str">
        <f t="shared" si="63"/>
        <v/>
      </c>
    </row>
    <row r="2036" spans="16:27" ht="15" customHeight="1">
      <c r="P2036" t="str">
        <f t="shared" si="62"/>
        <v/>
      </c>
      <c r="Q2036" t="str">
        <f>IF(P2036="","",IFERROR(IF(AND(H2036="W7",OR(F2036="causal",F2036="predictive")),IF(AND(OR(K2036=1,K2036="1"),OR(L2036=1,L2036="1"),OR(M2036=1,M2036="1")),"adequate","partial"),IF(AND(H2036="W4",F2036="predictive",OR(J2036="P2",J2036="P3",J2036="P4")),IF(OR(U2036=1,U2036="1"),"adequate","partial"),INDEX(Fit_Matrix!$B:$B,MATCH(P2036,Fit_Matrix!$A:$A,0)))),"CHECK KEY"))</f>
        <v/>
      </c>
      <c r="U2036" s="10"/>
      <c r="V2036" s="10"/>
      <c r="W2036" s="10"/>
      <c r="X2036" s="10"/>
      <c r="Y2036" s="10"/>
      <c r="Z2036" s="10"/>
      <c r="AA2036" s="11" t="str">
        <f t="shared" si="63"/>
        <v/>
      </c>
    </row>
    <row r="2037" spans="16:27" ht="15" customHeight="1">
      <c r="P2037" t="str">
        <f t="shared" si="62"/>
        <v/>
      </c>
      <c r="Q2037" t="str">
        <f>IF(P2037="","",IFERROR(IF(AND(H2037="W7",OR(F2037="causal",F2037="predictive")),IF(AND(OR(K2037=1,K2037="1"),OR(L2037=1,L2037="1"),OR(M2037=1,M2037="1")),"adequate","partial"),IF(AND(H2037="W4",F2037="predictive",OR(J2037="P2",J2037="P3",J2037="P4")),IF(OR(U2037=1,U2037="1"),"adequate","partial"),INDEX(Fit_Matrix!$B:$B,MATCH(P2037,Fit_Matrix!$A:$A,0)))),"CHECK KEY"))</f>
        <v/>
      </c>
      <c r="U2037" s="10"/>
      <c r="V2037" s="10"/>
      <c r="W2037" s="10"/>
      <c r="X2037" s="10"/>
      <c r="Y2037" s="10"/>
      <c r="Z2037" s="10"/>
      <c r="AA2037" s="11" t="str">
        <f t="shared" si="63"/>
        <v/>
      </c>
    </row>
    <row r="2038" spans="16:27" ht="15" customHeight="1">
      <c r="P2038" t="str">
        <f t="shared" si="62"/>
        <v/>
      </c>
      <c r="Q2038" t="str">
        <f>IF(P2038="","",IFERROR(IF(AND(H2038="W7",OR(F2038="causal",F2038="predictive")),IF(AND(OR(K2038=1,K2038="1"),OR(L2038=1,L2038="1"),OR(M2038=1,M2038="1")),"adequate","partial"),IF(AND(H2038="W4",F2038="predictive",OR(J2038="P2",J2038="P3",J2038="P4")),IF(OR(U2038=1,U2038="1"),"adequate","partial"),INDEX(Fit_Matrix!$B:$B,MATCH(P2038,Fit_Matrix!$A:$A,0)))),"CHECK KEY"))</f>
        <v/>
      </c>
      <c r="U2038" s="10"/>
      <c r="V2038" s="10"/>
      <c r="W2038" s="10"/>
      <c r="X2038" s="10"/>
      <c r="Y2038" s="10"/>
      <c r="Z2038" s="10"/>
      <c r="AA2038" s="11" t="str">
        <f t="shared" si="63"/>
        <v/>
      </c>
    </row>
    <row r="2039" spans="16:27" ht="15" customHeight="1">
      <c r="P2039" t="str">
        <f t="shared" si="62"/>
        <v/>
      </c>
      <c r="Q2039" t="str">
        <f>IF(P2039="","",IFERROR(IF(AND(H2039="W7",OR(F2039="causal",F2039="predictive")),IF(AND(OR(K2039=1,K2039="1"),OR(L2039=1,L2039="1"),OR(M2039=1,M2039="1")),"adequate","partial"),IF(AND(H2039="W4",F2039="predictive",OR(J2039="P2",J2039="P3",J2039="P4")),IF(OR(U2039=1,U2039="1"),"adequate","partial"),INDEX(Fit_Matrix!$B:$B,MATCH(P2039,Fit_Matrix!$A:$A,0)))),"CHECK KEY"))</f>
        <v/>
      </c>
      <c r="U2039" s="10"/>
      <c r="V2039" s="10"/>
      <c r="W2039" s="10"/>
      <c r="X2039" s="10"/>
      <c r="Y2039" s="10"/>
      <c r="Z2039" s="10"/>
      <c r="AA2039" s="11" t="str">
        <f t="shared" si="63"/>
        <v/>
      </c>
    </row>
    <row r="2040" spans="16:27" ht="15" customHeight="1">
      <c r="P2040" t="str">
        <f t="shared" si="62"/>
        <v/>
      </c>
      <c r="Q2040" t="str">
        <f>IF(P2040="","",IFERROR(IF(AND(H2040="W7",OR(F2040="causal",F2040="predictive")),IF(AND(OR(K2040=1,K2040="1"),OR(L2040=1,L2040="1"),OR(M2040=1,M2040="1")),"adequate","partial"),IF(AND(H2040="W4",F2040="predictive",OR(J2040="P2",J2040="P3",J2040="P4")),IF(OR(U2040=1,U2040="1"),"adequate","partial"),INDEX(Fit_Matrix!$B:$B,MATCH(P2040,Fit_Matrix!$A:$A,0)))),"CHECK KEY"))</f>
        <v/>
      </c>
      <c r="U2040" s="10"/>
      <c r="V2040" s="10"/>
      <c r="W2040" s="10"/>
      <c r="X2040" s="10"/>
      <c r="Y2040" s="10"/>
      <c r="Z2040" s="10"/>
      <c r="AA2040" s="11" t="str">
        <f t="shared" si="63"/>
        <v/>
      </c>
    </row>
    <row r="2041" spans="16:27" ht="15" customHeight="1">
      <c r="P2041" t="str">
        <f t="shared" si="62"/>
        <v/>
      </c>
      <c r="Q2041" t="str">
        <f>IF(P2041="","",IFERROR(IF(AND(H2041="W7",OR(F2041="causal",F2041="predictive")),IF(AND(OR(K2041=1,K2041="1"),OR(L2041=1,L2041="1"),OR(M2041=1,M2041="1")),"adequate","partial"),IF(AND(H2041="W4",F2041="predictive",OR(J2041="P2",J2041="P3",J2041="P4")),IF(OR(U2041=1,U2041="1"),"adequate","partial"),INDEX(Fit_Matrix!$B:$B,MATCH(P2041,Fit_Matrix!$A:$A,0)))),"CHECK KEY"))</f>
        <v/>
      </c>
      <c r="U2041" s="10"/>
      <c r="V2041" s="10"/>
      <c r="W2041" s="10"/>
      <c r="X2041" s="10"/>
      <c r="Y2041" s="10"/>
      <c r="Z2041" s="10"/>
      <c r="AA2041" s="11" t="str">
        <f t="shared" si="63"/>
        <v/>
      </c>
    </row>
    <row r="2042" spans="16:27" ht="15" customHeight="1">
      <c r="P2042" t="str">
        <f t="shared" si="62"/>
        <v/>
      </c>
      <c r="Q2042" t="str">
        <f>IF(P2042="","",IFERROR(IF(AND(H2042="W7",OR(F2042="causal",F2042="predictive")),IF(AND(OR(K2042=1,K2042="1"),OR(L2042=1,L2042="1"),OR(M2042=1,M2042="1")),"adequate","partial"),IF(AND(H2042="W4",F2042="predictive",OR(J2042="P2",J2042="P3",J2042="P4")),IF(OR(U2042=1,U2042="1"),"adequate","partial"),INDEX(Fit_Matrix!$B:$B,MATCH(P2042,Fit_Matrix!$A:$A,0)))),"CHECK KEY"))</f>
        <v/>
      </c>
      <c r="U2042" s="10"/>
      <c r="V2042" s="10"/>
      <c r="W2042" s="10"/>
      <c r="X2042" s="10"/>
      <c r="Y2042" s="10"/>
      <c r="Z2042" s="10"/>
      <c r="AA2042" s="11" t="str">
        <f t="shared" si="63"/>
        <v/>
      </c>
    </row>
    <row r="2043" spans="16:27" ht="15" customHeight="1">
      <c r="P2043" t="str">
        <f t="shared" si="62"/>
        <v/>
      </c>
      <c r="Q2043" t="str">
        <f>IF(P2043="","",IFERROR(IF(AND(H2043="W7",OR(F2043="causal",F2043="predictive")),IF(AND(OR(K2043=1,K2043="1"),OR(L2043=1,L2043="1"),OR(M2043=1,M2043="1")),"adequate","partial"),IF(AND(H2043="W4",F2043="predictive",OR(J2043="P2",J2043="P3",J2043="P4")),IF(OR(U2043=1,U2043="1"),"adequate","partial"),INDEX(Fit_Matrix!$B:$B,MATCH(P2043,Fit_Matrix!$A:$A,0)))),"CHECK KEY"))</f>
        <v/>
      </c>
      <c r="U2043" s="10"/>
      <c r="V2043" s="10"/>
      <c r="W2043" s="10"/>
      <c r="X2043" s="10"/>
      <c r="Y2043" s="10"/>
      <c r="Z2043" s="10"/>
      <c r="AA2043" s="11" t="str">
        <f t="shared" si="63"/>
        <v/>
      </c>
    </row>
    <row r="2044" spans="16:27" ht="15" customHeight="1">
      <c r="P2044" t="str">
        <f t="shared" si="62"/>
        <v/>
      </c>
      <c r="Q2044" t="str">
        <f>IF(P2044="","",IFERROR(IF(AND(H2044="W7",OR(F2044="causal",F2044="predictive")),IF(AND(OR(K2044=1,K2044="1"),OR(L2044=1,L2044="1"),OR(M2044=1,M2044="1")),"adequate","partial"),IF(AND(H2044="W4",F2044="predictive",OR(J2044="P2",J2044="P3",J2044="P4")),IF(OR(U2044=1,U2044="1"),"adequate","partial"),INDEX(Fit_Matrix!$B:$B,MATCH(P2044,Fit_Matrix!$A:$A,0)))),"CHECK KEY"))</f>
        <v/>
      </c>
      <c r="U2044" s="10"/>
      <c r="V2044" s="10"/>
      <c r="W2044" s="10"/>
      <c r="X2044" s="10"/>
      <c r="Y2044" s="10"/>
      <c r="Z2044" s="10"/>
      <c r="AA2044" s="11" t="str">
        <f t="shared" si="63"/>
        <v/>
      </c>
    </row>
    <row r="2045" spans="16:27" ht="15" customHeight="1">
      <c r="P2045" t="str">
        <f t="shared" si="62"/>
        <v/>
      </c>
      <c r="Q2045" t="str">
        <f>IF(P2045="","",IFERROR(IF(AND(H2045="W7",OR(F2045="causal",F2045="predictive")),IF(AND(OR(K2045=1,K2045="1"),OR(L2045=1,L2045="1"),OR(M2045=1,M2045="1")),"adequate","partial"),IF(AND(H2045="W4",F2045="predictive",OR(J2045="P2",J2045="P3",J2045="P4")),IF(OR(U2045=1,U2045="1"),"adequate","partial"),INDEX(Fit_Matrix!$B:$B,MATCH(P2045,Fit_Matrix!$A:$A,0)))),"CHECK KEY"))</f>
        <v/>
      </c>
      <c r="U2045" s="10"/>
      <c r="V2045" s="10"/>
      <c r="W2045" s="10"/>
      <c r="X2045" s="10"/>
      <c r="Y2045" s="10"/>
      <c r="Z2045" s="10"/>
      <c r="AA2045" s="11" t="str">
        <f t="shared" si="63"/>
        <v/>
      </c>
    </row>
    <row r="2046" spans="16:27" ht="15" customHeight="1">
      <c r="P2046" t="str">
        <f t="shared" si="62"/>
        <v/>
      </c>
      <c r="Q2046" t="str">
        <f>IF(P2046="","",IFERROR(IF(AND(H2046="W7",OR(F2046="causal",F2046="predictive")),IF(AND(OR(K2046=1,K2046="1"),OR(L2046=1,L2046="1"),OR(M2046=1,M2046="1")),"adequate","partial"),IF(AND(H2046="W4",F2046="predictive",OR(J2046="P2",J2046="P3",J2046="P4")),IF(OR(U2046=1,U2046="1"),"adequate","partial"),INDEX(Fit_Matrix!$B:$B,MATCH(P2046,Fit_Matrix!$A:$A,0)))),"CHECK KEY"))</f>
        <v/>
      </c>
      <c r="U2046" s="10"/>
      <c r="V2046" s="10"/>
      <c r="W2046" s="10"/>
      <c r="X2046" s="10"/>
      <c r="Y2046" s="10"/>
      <c r="Z2046" s="10"/>
      <c r="AA2046" s="11" t="str">
        <f t="shared" si="63"/>
        <v/>
      </c>
    </row>
    <row r="2047" spans="16:27" ht="15" customHeight="1">
      <c r="P2047" t="str">
        <f t="shared" si="62"/>
        <v/>
      </c>
      <c r="Q2047" t="str">
        <f>IF(P2047="","",IFERROR(IF(AND(H2047="W7",OR(F2047="causal",F2047="predictive")),IF(AND(OR(K2047=1,K2047="1"),OR(L2047=1,L2047="1"),OR(M2047=1,M2047="1")),"adequate","partial"),IF(AND(H2047="W4",F2047="predictive",OR(J2047="P2",J2047="P3",J2047="P4")),IF(OR(U2047=1,U2047="1"),"adequate","partial"),INDEX(Fit_Matrix!$B:$B,MATCH(P2047,Fit_Matrix!$A:$A,0)))),"CHECK KEY"))</f>
        <v/>
      </c>
      <c r="U2047" s="10"/>
      <c r="V2047" s="10"/>
      <c r="W2047" s="10"/>
      <c r="X2047" s="10"/>
      <c r="Y2047" s="10"/>
      <c r="Z2047" s="10"/>
      <c r="AA2047" s="11" t="str">
        <f t="shared" si="63"/>
        <v/>
      </c>
    </row>
    <row r="2048" spans="16:27" ht="15" customHeight="1">
      <c r="P2048" t="str">
        <f t="shared" si="62"/>
        <v/>
      </c>
      <c r="Q2048" t="str">
        <f>IF(P2048="","",IFERROR(IF(AND(H2048="W7",OR(F2048="causal",F2048="predictive")),IF(AND(OR(K2048=1,K2048="1"),OR(L2048=1,L2048="1"),OR(M2048=1,M2048="1")),"adequate","partial"),IF(AND(H2048="W4",F2048="predictive",OR(J2048="P2",J2048="P3",J2048="P4")),IF(OR(U2048=1,U2048="1"),"adequate","partial"),INDEX(Fit_Matrix!$B:$B,MATCH(P2048,Fit_Matrix!$A:$A,0)))),"CHECK KEY"))</f>
        <v/>
      </c>
      <c r="U2048" s="10"/>
      <c r="V2048" s="10"/>
      <c r="W2048" s="10"/>
      <c r="X2048" s="10"/>
      <c r="Y2048" s="10"/>
      <c r="Z2048" s="10"/>
      <c r="AA2048" s="11" t="str">
        <f t="shared" si="63"/>
        <v/>
      </c>
    </row>
    <row r="2049" spans="16:27" ht="15" customHeight="1">
      <c r="P2049" t="str">
        <f t="shared" si="62"/>
        <v/>
      </c>
      <c r="Q2049" t="str">
        <f>IF(P2049="","",IFERROR(IF(AND(H2049="W7",OR(F2049="causal",F2049="predictive")),IF(AND(OR(K2049=1,K2049="1"),OR(L2049=1,L2049="1"),OR(M2049=1,M2049="1")),"adequate","partial"),IF(AND(H2049="W4",F2049="predictive",OR(J2049="P2",J2049="P3",J2049="P4")),IF(OR(U2049=1,U2049="1"),"adequate","partial"),INDEX(Fit_Matrix!$B:$B,MATCH(P2049,Fit_Matrix!$A:$A,0)))),"CHECK KEY"))</f>
        <v/>
      </c>
      <c r="U2049" s="10"/>
      <c r="V2049" s="10"/>
      <c r="W2049" s="10"/>
      <c r="X2049" s="10"/>
      <c r="Y2049" s="10"/>
      <c r="Z2049" s="10"/>
      <c r="AA2049" s="11" t="str">
        <f t="shared" si="63"/>
        <v/>
      </c>
    </row>
    <row r="2050" spans="16:27" ht="15" customHeight="1">
      <c r="P2050" t="str">
        <f t="shared" ref="P2050:P2113" si="64">IF(OR(F2050="",H2050="",J2050=""),"",J2050&amp;"|"&amp;F2050&amp;"|"&amp;IF(H2050="W3","W3_"&amp;IF(I2050="","unknown",I2050),H2050))</f>
        <v/>
      </c>
      <c r="Q2050" t="str">
        <f>IF(P2050="","",IFERROR(IF(AND(H2050="W7",OR(F2050="causal",F2050="predictive")),IF(AND(OR(K2050=1,K2050="1"),OR(L2050=1,L2050="1"),OR(M2050=1,M2050="1")),"adequate","partial"),IF(AND(H2050="W4",F2050="predictive",OR(J2050="P2",J2050="P3",J2050="P4")),IF(OR(U2050=1,U2050="1"),"adequate","partial"),INDEX(Fit_Matrix!$B:$B,MATCH(P2050,Fit_Matrix!$A:$A,0)))),"CHECK KEY"))</f>
        <v/>
      </c>
      <c r="U2050" s="10"/>
      <c r="V2050" s="10"/>
      <c r="W2050" s="10"/>
      <c r="X2050" s="10"/>
      <c r="Y2050" s="10"/>
      <c r="Z2050" s="10"/>
      <c r="AA2050" s="11" t="str">
        <f t="shared" ref="AA2050:AA2113" si="65">IF(A2050="","",IF(AND(J2050="P4",F2050="causal"),"P4-CAUSAL",""))</f>
        <v/>
      </c>
    </row>
    <row r="2051" spans="16:27" ht="15" customHeight="1">
      <c r="P2051" t="str">
        <f t="shared" si="64"/>
        <v/>
      </c>
      <c r="Q2051" t="str">
        <f>IF(P2051="","",IFERROR(IF(AND(H2051="W7",OR(F2051="causal",F2051="predictive")),IF(AND(OR(K2051=1,K2051="1"),OR(L2051=1,L2051="1"),OR(M2051=1,M2051="1")),"adequate","partial"),IF(AND(H2051="W4",F2051="predictive",OR(J2051="P2",J2051="P3",J2051="P4")),IF(OR(U2051=1,U2051="1"),"adequate","partial"),INDEX(Fit_Matrix!$B:$B,MATCH(P2051,Fit_Matrix!$A:$A,0)))),"CHECK KEY"))</f>
        <v/>
      </c>
      <c r="U2051" s="10"/>
      <c r="V2051" s="10"/>
      <c r="W2051" s="10"/>
      <c r="X2051" s="10"/>
      <c r="Y2051" s="10"/>
      <c r="Z2051" s="10"/>
      <c r="AA2051" s="11" t="str">
        <f t="shared" si="65"/>
        <v/>
      </c>
    </row>
    <row r="2052" spans="16:27" ht="15" customHeight="1">
      <c r="P2052" t="str">
        <f t="shared" si="64"/>
        <v/>
      </c>
      <c r="Q2052" t="str">
        <f>IF(P2052="","",IFERROR(IF(AND(H2052="W7",OR(F2052="causal",F2052="predictive")),IF(AND(OR(K2052=1,K2052="1"),OR(L2052=1,L2052="1"),OR(M2052=1,M2052="1")),"adequate","partial"),IF(AND(H2052="W4",F2052="predictive",OR(J2052="P2",J2052="P3",J2052="P4")),IF(OR(U2052=1,U2052="1"),"adequate","partial"),INDEX(Fit_Matrix!$B:$B,MATCH(P2052,Fit_Matrix!$A:$A,0)))),"CHECK KEY"))</f>
        <v/>
      </c>
      <c r="U2052" s="10"/>
      <c r="V2052" s="10"/>
      <c r="W2052" s="10"/>
      <c r="X2052" s="10"/>
      <c r="Y2052" s="10"/>
      <c r="Z2052" s="10"/>
      <c r="AA2052" s="11" t="str">
        <f t="shared" si="65"/>
        <v/>
      </c>
    </row>
    <row r="2053" spans="16:27" ht="15" customHeight="1">
      <c r="P2053" t="str">
        <f t="shared" si="64"/>
        <v/>
      </c>
      <c r="Q2053" t="str">
        <f>IF(P2053="","",IFERROR(IF(AND(H2053="W7",OR(F2053="causal",F2053="predictive")),IF(AND(OR(K2053=1,K2053="1"),OR(L2053=1,L2053="1"),OR(M2053=1,M2053="1")),"adequate","partial"),IF(AND(H2053="W4",F2053="predictive",OR(J2053="P2",J2053="P3",J2053="P4")),IF(OR(U2053=1,U2053="1"),"adequate","partial"),INDEX(Fit_Matrix!$B:$B,MATCH(P2053,Fit_Matrix!$A:$A,0)))),"CHECK KEY"))</f>
        <v/>
      </c>
      <c r="U2053" s="10"/>
      <c r="V2053" s="10"/>
      <c r="W2053" s="10"/>
      <c r="X2053" s="10"/>
      <c r="Y2053" s="10"/>
      <c r="Z2053" s="10"/>
      <c r="AA2053" s="11" t="str">
        <f t="shared" si="65"/>
        <v/>
      </c>
    </row>
    <row r="2054" spans="16:27" ht="15" customHeight="1">
      <c r="P2054" t="str">
        <f t="shared" si="64"/>
        <v/>
      </c>
      <c r="Q2054" t="str">
        <f>IF(P2054="","",IFERROR(IF(AND(H2054="W7",OR(F2054="causal",F2054="predictive")),IF(AND(OR(K2054=1,K2054="1"),OR(L2054=1,L2054="1"),OR(M2054=1,M2054="1")),"adequate","partial"),IF(AND(H2054="W4",F2054="predictive",OR(J2054="P2",J2054="P3",J2054="P4")),IF(OR(U2054=1,U2054="1"),"adequate","partial"),INDEX(Fit_Matrix!$B:$B,MATCH(P2054,Fit_Matrix!$A:$A,0)))),"CHECK KEY"))</f>
        <v/>
      </c>
      <c r="U2054" s="10"/>
      <c r="V2054" s="10"/>
      <c r="W2054" s="10"/>
      <c r="X2054" s="10"/>
      <c r="Y2054" s="10"/>
      <c r="Z2054" s="10"/>
      <c r="AA2054" s="11" t="str">
        <f t="shared" si="65"/>
        <v/>
      </c>
    </row>
    <row r="2055" spans="16:27" ht="15" customHeight="1">
      <c r="P2055" t="str">
        <f t="shared" si="64"/>
        <v/>
      </c>
      <c r="Q2055" t="str">
        <f>IF(P2055="","",IFERROR(IF(AND(H2055="W7",OR(F2055="causal",F2055="predictive")),IF(AND(OR(K2055=1,K2055="1"),OR(L2055=1,L2055="1"),OR(M2055=1,M2055="1")),"adequate","partial"),IF(AND(H2055="W4",F2055="predictive",OR(J2055="P2",J2055="P3",J2055="P4")),IF(OR(U2055=1,U2055="1"),"adequate","partial"),INDEX(Fit_Matrix!$B:$B,MATCH(P2055,Fit_Matrix!$A:$A,0)))),"CHECK KEY"))</f>
        <v/>
      </c>
      <c r="U2055" s="10"/>
      <c r="V2055" s="10"/>
      <c r="W2055" s="10"/>
      <c r="X2055" s="10"/>
      <c r="Y2055" s="10"/>
      <c r="Z2055" s="10"/>
      <c r="AA2055" s="11" t="str">
        <f t="shared" si="65"/>
        <v/>
      </c>
    </row>
    <row r="2056" spans="16:27" ht="15" customHeight="1">
      <c r="P2056" t="str">
        <f t="shared" si="64"/>
        <v/>
      </c>
      <c r="Q2056" t="str">
        <f>IF(P2056="","",IFERROR(IF(AND(H2056="W7",OR(F2056="causal",F2056="predictive")),IF(AND(OR(K2056=1,K2056="1"),OR(L2056=1,L2056="1"),OR(M2056=1,M2056="1")),"adequate","partial"),IF(AND(H2056="W4",F2056="predictive",OR(J2056="P2",J2056="P3",J2056="P4")),IF(OR(U2056=1,U2056="1"),"adequate","partial"),INDEX(Fit_Matrix!$B:$B,MATCH(P2056,Fit_Matrix!$A:$A,0)))),"CHECK KEY"))</f>
        <v/>
      </c>
      <c r="U2056" s="10"/>
      <c r="V2056" s="10"/>
      <c r="W2056" s="10"/>
      <c r="X2056" s="10"/>
      <c r="Y2056" s="10"/>
      <c r="Z2056" s="10"/>
      <c r="AA2056" s="11" t="str">
        <f t="shared" si="65"/>
        <v/>
      </c>
    </row>
    <row r="2057" spans="16:27" ht="15" customHeight="1">
      <c r="P2057" t="str">
        <f t="shared" si="64"/>
        <v/>
      </c>
      <c r="Q2057" t="str">
        <f>IF(P2057="","",IFERROR(IF(AND(H2057="W7",OR(F2057="causal",F2057="predictive")),IF(AND(OR(K2057=1,K2057="1"),OR(L2057=1,L2057="1"),OR(M2057=1,M2057="1")),"adequate","partial"),IF(AND(H2057="W4",F2057="predictive",OR(J2057="P2",J2057="P3",J2057="P4")),IF(OR(U2057=1,U2057="1"),"adequate","partial"),INDEX(Fit_Matrix!$B:$B,MATCH(P2057,Fit_Matrix!$A:$A,0)))),"CHECK KEY"))</f>
        <v/>
      </c>
      <c r="U2057" s="10"/>
      <c r="V2057" s="10"/>
      <c r="W2057" s="10"/>
      <c r="X2057" s="10"/>
      <c r="Y2057" s="10"/>
      <c r="Z2057" s="10"/>
      <c r="AA2057" s="11" t="str">
        <f t="shared" si="65"/>
        <v/>
      </c>
    </row>
    <row r="2058" spans="16:27" ht="15" customHeight="1">
      <c r="P2058" t="str">
        <f t="shared" si="64"/>
        <v/>
      </c>
      <c r="Q2058" t="str">
        <f>IF(P2058="","",IFERROR(IF(AND(H2058="W7",OR(F2058="causal",F2058="predictive")),IF(AND(OR(K2058=1,K2058="1"),OR(L2058=1,L2058="1"),OR(M2058=1,M2058="1")),"adequate","partial"),IF(AND(H2058="W4",F2058="predictive",OR(J2058="P2",J2058="P3",J2058="P4")),IF(OR(U2058=1,U2058="1"),"adequate","partial"),INDEX(Fit_Matrix!$B:$B,MATCH(P2058,Fit_Matrix!$A:$A,0)))),"CHECK KEY"))</f>
        <v/>
      </c>
      <c r="U2058" s="10"/>
      <c r="V2058" s="10"/>
      <c r="W2058" s="10"/>
      <c r="X2058" s="10"/>
      <c r="Y2058" s="10"/>
      <c r="Z2058" s="10"/>
      <c r="AA2058" s="11" t="str">
        <f t="shared" si="65"/>
        <v/>
      </c>
    </row>
    <row r="2059" spans="16:27" ht="15" customHeight="1">
      <c r="P2059" t="str">
        <f t="shared" si="64"/>
        <v/>
      </c>
      <c r="Q2059" t="str">
        <f>IF(P2059="","",IFERROR(IF(AND(H2059="W7",OR(F2059="causal",F2059="predictive")),IF(AND(OR(K2059=1,K2059="1"),OR(L2059=1,L2059="1"),OR(M2059=1,M2059="1")),"adequate","partial"),IF(AND(H2059="W4",F2059="predictive",OR(J2059="P2",J2059="P3",J2059="P4")),IF(OR(U2059=1,U2059="1"),"adequate","partial"),INDEX(Fit_Matrix!$B:$B,MATCH(P2059,Fit_Matrix!$A:$A,0)))),"CHECK KEY"))</f>
        <v/>
      </c>
      <c r="U2059" s="10"/>
      <c r="V2059" s="10"/>
      <c r="W2059" s="10"/>
      <c r="X2059" s="10"/>
      <c r="Y2059" s="10"/>
      <c r="Z2059" s="10"/>
      <c r="AA2059" s="11" t="str">
        <f t="shared" si="65"/>
        <v/>
      </c>
    </row>
    <row r="2060" spans="16:27" ht="15" customHeight="1">
      <c r="P2060" t="str">
        <f t="shared" si="64"/>
        <v/>
      </c>
      <c r="Q2060" t="str">
        <f>IF(P2060="","",IFERROR(IF(AND(H2060="W7",OR(F2060="causal",F2060="predictive")),IF(AND(OR(K2060=1,K2060="1"),OR(L2060=1,L2060="1"),OR(M2060=1,M2060="1")),"adequate","partial"),IF(AND(H2060="W4",F2060="predictive",OR(J2060="P2",J2060="P3",J2060="P4")),IF(OR(U2060=1,U2060="1"),"adequate","partial"),INDEX(Fit_Matrix!$B:$B,MATCH(P2060,Fit_Matrix!$A:$A,0)))),"CHECK KEY"))</f>
        <v/>
      </c>
      <c r="U2060" s="10"/>
      <c r="V2060" s="10"/>
      <c r="W2060" s="10"/>
      <c r="X2060" s="10"/>
      <c r="Y2060" s="10"/>
      <c r="Z2060" s="10"/>
      <c r="AA2060" s="11" t="str">
        <f t="shared" si="65"/>
        <v/>
      </c>
    </row>
    <row r="2061" spans="16:27" ht="15" customHeight="1">
      <c r="P2061" t="str">
        <f t="shared" si="64"/>
        <v/>
      </c>
      <c r="Q2061" t="str">
        <f>IF(P2061="","",IFERROR(IF(AND(H2061="W7",OR(F2061="causal",F2061="predictive")),IF(AND(OR(K2061=1,K2061="1"),OR(L2061=1,L2061="1"),OR(M2061=1,M2061="1")),"adequate","partial"),IF(AND(H2061="W4",F2061="predictive",OR(J2061="P2",J2061="P3",J2061="P4")),IF(OR(U2061=1,U2061="1"),"adequate","partial"),INDEX(Fit_Matrix!$B:$B,MATCH(P2061,Fit_Matrix!$A:$A,0)))),"CHECK KEY"))</f>
        <v/>
      </c>
      <c r="U2061" s="10"/>
      <c r="V2061" s="10"/>
      <c r="W2061" s="10"/>
      <c r="X2061" s="10"/>
      <c r="Y2061" s="10"/>
      <c r="Z2061" s="10"/>
      <c r="AA2061" s="11" t="str">
        <f t="shared" si="65"/>
        <v/>
      </c>
    </row>
    <row r="2062" spans="16:27" ht="15" customHeight="1">
      <c r="P2062" t="str">
        <f t="shared" si="64"/>
        <v/>
      </c>
      <c r="Q2062" t="str">
        <f>IF(P2062="","",IFERROR(IF(AND(H2062="W7",OR(F2062="causal",F2062="predictive")),IF(AND(OR(K2062=1,K2062="1"),OR(L2062=1,L2062="1"),OR(M2062=1,M2062="1")),"adequate","partial"),IF(AND(H2062="W4",F2062="predictive",OR(J2062="P2",J2062="P3",J2062="P4")),IF(OR(U2062=1,U2062="1"),"adequate","partial"),INDEX(Fit_Matrix!$B:$B,MATCH(P2062,Fit_Matrix!$A:$A,0)))),"CHECK KEY"))</f>
        <v/>
      </c>
      <c r="U2062" s="10"/>
      <c r="V2062" s="10"/>
      <c r="W2062" s="10"/>
      <c r="X2062" s="10"/>
      <c r="Y2062" s="10"/>
      <c r="Z2062" s="10"/>
      <c r="AA2062" s="11" t="str">
        <f t="shared" si="65"/>
        <v/>
      </c>
    </row>
    <row r="2063" spans="16:27" ht="15" customHeight="1">
      <c r="P2063" t="str">
        <f t="shared" si="64"/>
        <v/>
      </c>
      <c r="Q2063" t="str">
        <f>IF(P2063="","",IFERROR(IF(AND(H2063="W7",OR(F2063="causal",F2063="predictive")),IF(AND(OR(K2063=1,K2063="1"),OR(L2063=1,L2063="1"),OR(M2063=1,M2063="1")),"adequate","partial"),IF(AND(H2063="W4",F2063="predictive",OR(J2063="P2",J2063="P3",J2063="P4")),IF(OR(U2063=1,U2063="1"),"adequate","partial"),INDEX(Fit_Matrix!$B:$B,MATCH(P2063,Fit_Matrix!$A:$A,0)))),"CHECK KEY"))</f>
        <v/>
      </c>
      <c r="U2063" s="10"/>
      <c r="V2063" s="10"/>
      <c r="W2063" s="10"/>
      <c r="X2063" s="10"/>
      <c r="Y2063" s="10"/>
      <c r="Z2063" s="10"/>
      <c r="AA2063" s="11" t="str">
        <f t="shared" si="65"/>
        <v/>
      </c>
    </row>
    <row r="2064" spans="16:27" ht="15" customHeight="1">
      <c r="P2064" t="str">
        <f t="shared" si="64"/>
        <v/>
      </c>
      <c r="Q2064" t="str">
        <f>IF(P2064="","",IFERROR(IF(AND(H2064="W7",OR(F2064="causal",F2064="predictive")),IF(AND(OR(K2064=1,K2064="1"),OR(L2064=1,L2064="1"),OR(M2064=1,M2064="1")),"adequate","partial"),IF(AND(H2064="W4",F2064="predictive",OR(J2064="P2",J2064="P3",J2064="P4")),IF(OR(U2064=1,U2064="1"),"adequate","partial"),INDEX(Fit_Matrix!$B:$B,MATCH(P2064,Fit_Matrix!$A:$A,0)))),"CHECK KEY"))</f>
        <v/>
      </c>
      <c r="U2064" s="10"/>
      <c r="V2064" s="10"/>
      <c r="W2064" s="10"/>
      <c r="X2064" s="10"/>
      <c r="Y2064" s="10"/>
      <c r="Z2064" s="10"/>
      <c r="AA2064" s="11" t="str">
        <f t="shared" si="65"/>
        <v/>
      </c>
    </row>
    <row r="2065" spans="16:27" ht="15" customHeight="1">
      <c r="P2065" t="str">
        <f t="shared" si="64"/>
        <v/>
      </c>
      <c r="Q2065" t="str">
        <f>IF(P2065="","",IFERROR(IF(AND(H2065="W7",OR(F2065="causal",F2065="predictive")),IF(AND(OR(K2065=1,K2065="1"),OR(L2065=1,L2065="1"),OR(M2065=1,M2065="1")),"adequate","partial"),IF(AND(H2065="W4",F2065="predictive",OR(J2065="P2",J2065="P3",J2065="P4")),IF(OR(U2065=1,U2065="1"),"adequate","partial"),INDEX(Fit_Matrix!$B:$B,MATCH(P2065,Fit_Matrix!$A:$A,0)))),"CHECK KEY"))</f>
        <v/>
      </c>
      <c r="U2065" s="10"/>
      <c r="V2065" s="10"/>
      <c r="W2065" s="10"/>
      <c r="X2065" s="10"/>
      <c r="Y2065" s="10"/>
      <c r="Z2065" s="10"/>
      <c r="AA2065" s="11" t="str">
        <f t="shared" si="65"/>
        <v/>
      </c>
    </row>
    <row r="2066" spans="16:27" ht="15" customHeight="1">
      <c r="P2066" t="str">
        <f t="shared" si="64"/>
        <v/>
      </c>
      <c r="Q2066" t="str">
        <f>IF(P2066="","",IFERROR(IF(AND(H2066="W7",OR(F2066="causal",F2066="predictive")),IF(AND(OR(K2066=1,K2066="1"),OR(L2066=1,L2066="1"),OR(M2066=1,M2066="1")),"adequate","partial"),IF(AND(H2066="W4",F2066="predictive",OR(J2066="P2",J2066="P3",J2066="P4")),IF(OR(U2066=1,U2066="1"),"adequate","partial"),INDEX(Fit_Matrix!$B:$B,MATCH(P2066,Fit_Matrix!$A:$A,0)))),"CHECK KEY"))</f>
        <v/>
      </c>
      <c r="U2066" s="10"/>
      <c r="V2066" s="10"/>
      <c r="W2066" s="10"/>
      <c r="X2066" s="10"/>
      <c r="Y2066" s="10"/>
      <c r="Z2066" s="10"/>
      <c r="AA2066" s="11" t="str">
        <f t="shared" si="65"/>
        <v/>
      </c>
    </row>
    <row r="2067" spans="16:27" ht="15" customHeight="1">
      <c r="P2067" t="str">
        <f t="shared" si="64"/>
        <v/>
      </c>
      <c r="Q2067" t="str">
        <f>IF(P2067="","",IFERROR(IF(AND(H2067="W7",OR(F2067="causal",F2067="predictive")),IF(AND(OR(K2067=1,K2067="1"),OR(L2067=1,L2067="1"),OR(M2067=1,M2067="1")),"adequate","partial"),IF(AND(H2067="W4",F2067="predictive",OR(J2067="P2",J2067="P3",J2067="P4")),IF(OR(U2067=1,U2067="1"),"adequate","partial"),INDEX(Fit_Matrix!$B:$B,MATCH(P2067,Fit_Matrix!$A:$A,0)))),"CHECK KEY"))</f>
        <v/>
      </c>
      <c r="U2067" s="10"/>
      <c r="V2067" s="10"/>
      <c r="W2067" s="10"/>
      <c r="X2067" s="10"/>
      <c r="Y2067" s="10"/>
      <c r="Z2067" s="10"/>
      <c r="AA2067" s="11" t="str">
        <f t="shared" si="65"/>
        <v/>
      </c>
    </row>
    <row r="2068" spans="16:27" ht="15" customHeight="1">
      <c r="P2068" t="str">
        <f t="shared" si="64"/>
        <v/>
      </c>
      <c r="Q2068" t="str">
        <f>IF(P2068="","",IFERROR(IF(AND(H2068="W7",OR(F2068="causal",F2068="predictive")),IF(AND(OR(K2068=1,K2068="1"),OR(L2068=1,L2068="1"),OR(M2068=1,M2068="1")),"adequate","partial"),IF(AND(H2068="W4",F2068="predictive",OR(J2068="P2",J2068="P3",J2068="P4")),IF(OR(U2068=1,U2068="1"),"adequate","partial"),INDEX(Fit_Matrix!$B:$B,MATCH(P2068,Fit_Matrix!$A:$A,0)))),"CHECK KEY"))</f>
        <v/>
      </c>
      <c r="U2068" s="10"/>
      <c r="V2068" s="10"/>
      <c r="W2068" s="10"/>
      <c r="X2068" s="10"/>
      <c r="Y2068" s="10"/>
      <c r="Z2068" s="10"/>
      <c r="AA2068" s="11" t="str">
        <f t="shared" si="65"/>
        <v/>
      </c>
    </row>
    <row r="2069" spans="16:27" ht="15" customHeight="1">
      <c r="P2069" t="str">
        <f t="shared" si="64"/>
        <v/>
      </c>
      <c r="Q2069" t="str">
        <f>IF(P2069="","",IFERROR(IF(AND(H2069="W7",OR(F2069="causal",F2069="predictive")),IF(AND(OR(K2069=1,K2069="1"),OR(L2069=1,L2069="1"),OR(M2069=1,M2069="1")),"adequate","partial"),IF(AND(H2069="W4",F2069="predictive",OR(J2069="P2",J2069="P3",J2069="P4")),IF(OR(U2069=1,U2069="1"),"adequate","partial"),INDEX(Fit_Matrix!$B:$B,MATCH(P2069,Fit_Matrix!$A:$A,0)))),"CHECK KEY"))</f>
        <v/>
      </c>
      <c r="U2069" s="10"/>
      <c r="V2069" s="10"/>
      <c r="W2069" s="10"/>
      <c r="X2069" s="10"/>
      <c r="Y2069" s="10"/>
      <c r="Z2069" s="10"/>
      <c r="AA2069" s="11" t="str">
        <f t="shared" si="65"/>
        <v/>
      </c>
    </row>
    <row r="2070" spans="16:27" ht="15" customHeight="1">
      <c r="P2070" t="str">
        <f t="shared" si="64"/>
        <v/>
      </c>
      <c r="Q2070" t="str">
        <f>IF(P2070="","",IFERROR(IF(AND(H2070="W7",OR(F2070="causal",F2070="predictive")),IF(AND(OR(K2070=1,K2070="1"),OR(L2070=1,L2070="1"),OR(M2070=1,M2070="1")),"adequate","partial"),IF(AND(H2070="W4",F2070="predictive",OR(J2070="P2",J2070="P3",J2070="P4")),IF(OR(U2070=1,U2070="1"),"adequate","partial"),INDEX(Fit_Matrix!$B:$B,MATCH(P2070,Fit_Matrix!$A:$A,0)))),"CHECK KEY"))</f>
        <v/>
      </c>
      <c r="U2070" s="10"/>
      <c r="V2070" s="10"/>
      <c r="W2070" s="10"/>
      <c r="X2070" s="10"/>
      <c r="Y2070" s="10"/>
      <c r="Z2070" s="10"/>
      <c r="AA2070" s="11" t="str">
        <f t="shared" si="65"/>
        <v/>
      </c>
    </row>
    <row r="2071" spans="16:27" ht="15" customHeight="1">
      <c r="P2071" t="str">
        <f t="shared" si="64"/>
        <v/>
      </c>
      <c r="Q2071" t="str">
        <f>IF(P2071="","",IFERROR(IF(AND(H2071="W7",OR(F2071="causal",F2071="predictive")),IF(AND(OR(K2071=1,K2071="1"),OR(L2071=1,L2071="1"),OR(M2071=1,M2071="1")),"adequate","partial"),IF(AND(H2071="W4",F2071="predictive",OR(J2071="P2",J2071="P3",J2071="P4")),IF(OR(U2071=1,U2071="1"),"adequate","partial"),INDEX(Fit_Matrix!$B:$B,MATCH(P2071,Fit_Matrix!$A:$A,0)))),"CHECK KEY"))</f>
        <v/>
      </c>
      <c r="U2071" s="10"/>
      <c r="V2071" s="10"/>
      <c r="W2071" s="10"/>
      <c r="X2071" s="10"/>
      <c r="Y2071" s="10"/>
      <c r="Z2071" s="10"/>
      <c r="AA2071" s="11" t="str">
        <f t="shared" si="65"/>
        <v/>
      </c>
    </row>
    <row r="2072" spans="16:27" ht="15" customHeight="1">
      <c r="P2072" t="str">
        <f t="shared" si="64"/>
        <v/>
      </c>
      <c r="Q2072" t="str">
        <f>IF(P2072="","",IFERROR(IF(AND(H2072="W7",OR(F2072="causal",F2072="predictive")),IF(AND(OR(K2072=1,K2072="1"),OR(L2072=1,L2072="1"),OR(M2072=1,M2072="1")),"adequate","partial"),IF(AND(H2072="W4",F2072="predictive",OR(J2072="P2",J2072="P3",J2072="P4")),IF(OR(U2072=1,U2072="1"),"adequate","partial"),INDEX(Fit_Matrix!$B:$B,MATCH(P2072,Fit_Matrix!$A:$A,0)))),"CHECK KEY"))</f>
        <v/>
      </c>
      <c r="U2072" s="10"/>
      <c r="V2072" s="10"/>
      <c r="W2072" s="10"/>
      <c r="X2072" s="10"/>
      <c r="Y2072" s="10"/>
      <c r="Z2072" s="10"/>
      <c r="AA2072" s="11" t="str">
        <f t="shared" si="65"/>
        <v/>
      </c>
    </row>
    <row r="2073" spans="16:27" ht="15" customHeight="1">
      <c r="P2073" t="str">
        <f t="shared" si="64"/>
        <v/>
      </c>
      <c r="Q2073" t="str">
        <f>IF(P2073="","",IFERROR(IF(AND(H2073="W7",OR(F2073="causal",F2073="predictive")),IF(AND(OR(K2073=1,K2073="1"),OR(L2073=1,L2073="1"),OR(M2073=1,M2073="1")),"adequate","partial"),IF(AND(H2073="W4",F2073="predictive",OR(J2073="P2",J2073="P3",J2073="P4")),IF(OR(U2073=1,U2073="1"),"adequate","partial"),INDEX(Fit_Matrix!$B:$B,MATCH(P2073,Fit_Matrix!$A:$A,0)))),"CHECK KEY"))</f>
        <v/>
      </c>
      <c r="U2073" s="10"/>
      <c r="V2073" s="10"/>
      <c r="W2073" s="10"/>
      <c r="X2073" s="10"/>
      <c r="Y2073" s="10"/>
      <c r="Z2073" s="10"/>
      <c r="AA2073" s="11" t="str">
        <f t="shared" si="65"/>
        <v/>
      </c>
    </row>
    <row r="2074" spans="16:27" ht="15" customHeight="1">
      <c r="P2074" t="str">
        <f t="shared" si="64"/>
        <v/>
      </c>
      <c r="Q2074" t="str">
        <f>IF(P2074="","",IFERROR(IF(AND(H2074="W7",OR(F2074="causal",F2074="predictive")),IF(AND(OR(K2074=1,K2074="1"),OR(L2074=1,L2074="1"),OR(M2074=1,M2074="1")),"adequate","partial"),IF(AND(H2074="W4",F2074="predictive",OR(J2074="P2",J2074="P3",J2074="P4")),IF(OR(U2074=1,U2074="1"),"adequate","partial"),INDEX(Fit_Matrix!$B:$B,MATCH(P2074,Fit_Matrix!$A:$A,0)))),"CHECK KEY"))</f>
        <v/>
      </c>
      <c r="U2074" s="10"/>
      <c r="V2074" s="10"/>
      <c r="W2074" s="10"/>
      <c r="X2074" s="10"/>
      <c r="Y2074" s="10"/>
      <c r="Z2074" s="10"/>
      <c r="AA2074" s="11" t="str">
        <f t="shared" si="65"/>
        <v/>
      </c>
    </row>
    <row r="2075" spans="16:27" ht="15" customHeight="1">
      <c r="P2075" t="str">
        <f t="shared" si="64"/>
        <v/>
      </c>
      <c r="Q2075" t="str">
        <f>IF(P2075="","",IFERROR(IF(AND(H2075="W7",OR(F2075="causal",F2075="predictive")),IF(AND(OR(K2075=1,K2075="1"),OR(L2075=1,L2075="1"),OR(M2075=1,M2075="1")),"adequate","partial"),IF(AND(H2075="W4",F2075="predictive",OR(J2075="P2",J2075="P3",J2075="P4")),IF(OR(U2075=1,U2075="1"),"adequate","partial"),INDEX(Fit_Matrix!$B:$B,MATCH(P2075,Fit_Matrix!$A:$A,0)))),"CHECK KEY"))</f>
        <v/>
      </c>
      <c r="U2075" s="10"/>
      <c r="V2075" s="10"/>
      <c r="W2075" s="10"/>
      <c r="X2075" s="10"/>
      <c r="Y2075" s="10"/>
      <c r="Z2075" s="10"/>
      <c r="AA2075" s="11" t="str">
        <f t="shared" si="65"/>
        <v/>
      </c>
    </row>
    <row r="2076" spans="16:27" ht="15" customHeight="1">
      <c r="P2076" t="str">
        <f t="shared" si="64"/>
        <v/>
      </c>
      <c r="Q2076" t="str">
        <f>IF(P2076="","",IFERROR(IF(AND(H2076="W7",OR(F2076="causal",F2076="predictive")),IF(AND(OR(K2076=1,K2076="1"),OR(L2076=1,L2076="1"),OR(M2076=1,M2076="1")),"adequate","partial"),IF(AND(H2076="W4",F2076="predictive",OR(J2076="P2",J2076="P3",J2076="P4")),IF(OR(U2076=1,U2076="1"),"adequate","partial"),INDEX(Fit_Matrix!$B:$B,MATCH(P2076,Fit_Matrix!$A:$A,0)))),"CHECK KEY"))</f>
        <v/>
      </c>
      <c r="U2076" s="10"/>
      <c r="V2076" s="10"/>
      <c r="W2076" s="10"/>
      <c r="X2076" s="10"/>
      <c r="Y2076" s="10"/>
      <c r="Z2076" s="10"/>
      <c r="AA2076" s="11" t="str">
        <f t="shared" si="65"/>
        <v/>
      </c>
    </row>
    <row r="2077" spans="16:27" ht="15" customHeight="1">
      <c r="P2077" t="str">
        <f t="shared" si="64"/>
        <v/>
      </c>
      <c r="Q2077" t="str">
        <f>IF(P2077="","",IFERROR(IF(AND(H2077="W7",OR(F2077="causal",F2077="predictive")),IF(AND(OR(K2077=1,K2077="1"),OR(L2077=1,L2077="1"),OR(M2077=1,M2077="1")),"adequate","partial"),IF(AND(H2077="W4",F2077="predictive",OR(J2077="P2",J2077="P3",J2077="P4")),IF(OR(U2077=1,U2077="1"),"adequate","partial"),INDEX(Fit_Matrix!$B:$B,MATCH(P2077,Fit_Matrix!$A:$A,0)))),"CHECK KEY"))</f>
        <v/>
      </c>
      <c r="U2077" s="10"/>
      <c r="V2077" s="10"/>
      <c r="W2077" s="10"/>
      <c r="X2077" s="10"/>
      <c r="Y2077" s="10"/>
      <c r="Z2077" s="10"/>
      <c r="AA2077" s="11" t="str">
        <f t="shared" si="65"/>
        <v/>
      </c>
    </row>
    <row r="2078" spans="16:27" ht="15" customHeight="1">
      <c r="P2078" t="str">
        <f t="shared" si="64"/>
        <v/>
      </c>
      <c r="Q2078" t="str">
        <f>IF(P2078="","",IFERROR(IF(AND(H2078="W7",OR(F2078="causal",F2078="predictive")),IF(AND(OR(K2078=1,K2078="1"),OR(L2078=1,L2078="1"),OR(M2078=1,M2078="1")),"adequate","partial"),IF(AND(H2078="W4",F2078="predictive",OR(J2078="P2",J2078="P3",J2078="P4")),IF(OR(U2078=1,U2078="1"),"adequate","partial"),INDEX(Fit_Matrix!$B:$B,MATCH(P2078,Fit_Matrix!$A:$A,0)))),"CHECK KEY"))</f>
        <v/>
      </c>
      <c r="U2078" s="10"/>
      <c r="V2078" s="10"/>
      <c r="W2078" s="10"/>
      <c r="X2078" s="10"/>
      <c r="Y2078" s="10"/>
      <c r="Z2078" s="10"/>
      <c r="AA2078" s="11" t="str">
        <f t="shared" si="65"/>
        <v/>
      </c>
    </row>
    <row r="2079" spans="16:27" ht="15" customHeight="1">
      <c r="P2079" t="str">
        <f t="shared" si="64"/>
        <v/>
      </c>
      <c r="Q2079" t="str">
        <f>IF(P2079="","",IFERROR(IF(AND(H2079="W7",OR(F2079="causal",F2079="predictive")),IF(AND(OR(K2079=1,K2079="1"),OR(L2079=1,L2079="1"),OR(M2079=1,M2079="1")),"adequate","partial"),IF(AND(H2079="W4",F2079="predictive",OR(J2079="P2",J2079="P3",J2079="P4")),IF(OR(U2079=1,U2079="1"),"adequate","partial"),INDEX(Fit_Matrix!$B:$B,MATCH(P2079,Fit_Matrix!$A:$A,0)))),"CHECK KEY"))</f>
        <v/>
      </c>
      <c r="U2079" s="10"/>
      <c r="V2079" s="10"/>
      <c r="W2079" s="10"/>
      <c r="X2079" s="10"/>
      <c r="Y2079" s="10"/>
      <c r="Z2079" s="10"/>
      <c r="AA2079" s="11" t="str">
        <f t="shared" si="65"/>
        <v/>
      </c>
    </row>
    <row r="2080" spans="16:27" ht="15" customHeight="1">
      <c r="P2080" t="str">
        <f t="shared" si="64"/>
        <v/>
      </c>
      <c r="Q2080" t="str">
        <f>IF(P2080="","",IFERROR(IF(AND(H2080="W7",OR(F2080="causal",F2080="predictive")),IF(AND(OR(K2080=1,K2080="1"),OR(L2080=1,L2080="1"),OR(M2080=1,M2080="1")),"adequate","partial"),IF(AND(H2080="W4",F2080="predictive",OR(J2080="P2",J2080="P3",J2080="P4")),IF(OR(U2080=1,U2080="1"),"adequate","partial"),INDEX(Fit_Matrix!$B:$B,MATCH(P2080,Fit_Matrix!$A:$A,0)))),"CHECK KEY"))</f>
        <v/>
      </c>
      <c r="U2080" s="10"/>
      <c r="V2080" s="10"/>
      <c r="W2080" s="10"/>
      <c r="X2080" s="10"/>
      <c r="Y2080" s="10"/>
      <c r="Z2080" s="10"/>
      <c r="AA2080" s="11" t="str">
        <f t="shared" si="65"/>
        <v/>
      </c>
    </row>
    <row r="2081" spans="16:27" ht="15" customHeight="1">
      <c r="P2081" t="str">
        <f t="shared" si="64"/>
        <v/>
      </c>
      <c r="Q2081" t="str">
        <f>IF(P2081="","",IFERROR(IF(AND(H2081="W7",OR(F2081="causal",F2081="predictive")),IF(AND(OR(K2081=1,K2081="1"),OR(L2081=1,L2081="1"),OR(M2081=1,M2081="1")),"adequate","partial"),IF(AND(H2081="W4",F2081="predictive",OR(J2081="P2",J2081="P3",J2081="P4")),IF(OR(U2081=1,U2081="1"),"adequate","partial"),INDEX(Fit_Matrix!$B:$B,MATCH(P2081,Fit_Matrix!$A:$A,0)))),"CHECK KEY"))</f>
        <v/>
      </c>
      <c r="U2081" s="10"/>
      <c r="V2081" s="10"/>
      <c r="W2081" s="10"/>
      <c r="X2081" s="10"/>
      <c r="Y2081" s="10"/>
      <c r="Z2081" s="10"/>
      <c r="AA2081" s="11" t="str">
        <f t="shared" si="65"/>
        <v/>
      </c>
    </row>
    <row r="2082" spans="16:27" ht="15" customHeight="1">
      <c r="P2082" t="str">
        <f t="shared" si="64"/>
        <v/>
      </c>
      <c r="Q2082" t="str">
        <f>IF(P2082="","",IFERROR(IF(AND(H2082="W7",OR(F2082="causal",F2082="predictive")),IF(AND(OR(K2082=1,K2082="1"),OR(L2082=1,L2082="1"),OR(M2082=1,M2082="1")),"adequate","partial"),IF(AND(H2082="W4",F2082="predictive",OR(J2082="P2",J2082="P3",J2082="P4")),IF(OR(U2082=1,U2082="1"),"adequate","partial"),INDEX(Fit_Matrix!$B:$B,MATCH(P2082,Fit_Matrix!$A:$A,0)))),"CHECK KEY"))</f>
        <v/>
      </c>
      <c r="U2082" s="10"/>
      <c r="V2082" s="10"/>
      <c r="W2082" s="10"/>
      <c r="X2082" s="10"/>
      <c r="Y2082" s="10"/>
      <c r="Z2082" s="10"/>
      <c r="AA2082" s="11" t="str">
        <f t="shared" si="65"/>
        <v/>
      </c>
    </row>
    <row r="2083" spans="16:27" ht="15" customHeight="1">
      <c r="P2083" t="str">
        <f t="shared" si="64"/>
        <v/>
      </c>
      <c r="Q2083" t="str">
        <f>IF(P2083="","",IFERROR(IF(AND(H2083="W7",OR(F2083="causal",F2083="predictive")),IF(AND(OR(K2083=1,K2083="1"),OR(L2083=1,L2083="1"),OR(M2083=1,M2083="1")),"adequate","partial"),IF(AND(H2083="W4",F2083="predictive",OR(J2083="P2",J2083="P3",J2083="P4")),IF(OR(U2083=1,U2083="1"),"adequate","partial"),INDEX(Fit_Matrix!$B:$B,MATCH(P2083,Fit_Matrix!$A:$A,0)))),"CHECK KEY"))</f>
        <v/>
      </c>
      <c r="U2083" s="10"/>
      <c r="V2083" s="10"/>
      <c r="W2083" s="10"/>
      <c r="X2083" s="10"/>
      <c r="Y2083" s="10"/>
      <c r="Z2083" s="10"/>
      <c r="AA2083" s="11" t="str">
        <f t="shared" si="65"/>
        <v/>
      </c>
    </row>
    <row r="2084" spans="16:27" ht="15" customHeight="1">
      <c r="P2084" t="str">
        <f t="shared" si="64"/>
        <v/>
      </c>
      <c r="Q2084" t="str">
        <f>IF(P2084="","",IFERROR(IF(AND(H2084="W7",OR(F2084="causal",F2084="predictive")),IF(AND(OR(K2084=1,K2084="1"),OR(L2084=1,L2084="1"),OR(M2084=1,M2084="1")),"adequate","partial"),IF(AND(H2084="W4",F2084="predictive",OR(J2084="P2",J2084="P3",J2084="P4")),IF(OR(U2084=1,U2084="1"),"adequate","partial"),INDEX(Fit_Matrix!$B:$B,MATCH(P2084,Fit_Matrix!$A:$A,0)))),"CHECK KEY"))</f>
        <v/>
      </c>
      <c r="U2084" s="10"/>
      <c r="V2084" s="10"/>
      <c r="W2084" s="10"/>
      <c r="X2084" s="10"/>
      <c r="Y2084" s="10"/>
      <c r="Z2084" s="10"/>
      <c r="AA2084" s="11" t="str">
        <f t="shared" si="65"/>
        <v/>
      </c>
    </row>
    <row r="2085" spans="16:27" ht="15" customHeight="1">
      <c r="P2085" t="str">
        <f t="shared" si="64"/>
        <v/>
      </c>
      <c r="Q2085" t="str">
        <f>IF(P2085="","",IFERROR(IF(AND(H2085="W7",OR(F2085="causal",F2085="predictive")),IF(AND(OR(K2085=1,K2085="1"),OR(L2085=1,L2085="1"),OR(M2085=1,M2085="1")),"adequate","partial"),IF(AND(H2085="W4",F2085="predictive",OR(J2085="P2",J2085="P3",J2085="P4")),IF(OR(U2085=1,U2085="1"),"adequate","partial"),INDEX(Fit_Matrix!$B:$B,MATCH(P2085,Fit_Matrix!$A:$A,0)))),"CHECK KEY"))</f>
        <v/>
      </c>
      <c r="U2085" s="10"/>
      <c r="V2085" s="10"/>
      <c r="W2085" s="10"/>
      <c r="X2085" s="10"/>
      <c r="Y2085" s="10"/>
      <c r="Z2085" s="10"/>
      <c r="AA2085" s="11" t="str">
        <f t="shared" si="65"/>
        <v/>
      </c>
    </row>
    <row r="2086" spans="16:27" ht="15" customHeight="1">
      <c r="P2086" t="str">
        <f t="shared" si="64"/>
        <v/>
      </c>
      <c r="Q2086" t="str">
        <f>IF(P2086="","",IFERROR(IF(AND(H2086="W7",OR(F2086="causal",F2086="predictive")),IF(AND(OR(K2086=1,K2086="1"),OR(L2086=1,L2086="1"),OR(M2086=1,M2086="1")),"adequate","partial"),IF(AND(H2086="W4",F2086="predictive",OR(J2086="P2",J2086="P3",J2086="P4")),IF(OR(U2086=1,U2086="1"),"adequate","partial"),INDEX(Fit_Matrix!$B:$B,MATCH(P2086,Fit_Matrix!$A:$A,0)))),"CHECK KEY"))</f>
        <v/>
      </c>
      <c r="U2086" s="10"/>
      <c r="V2086" s="10"/>
      <c r="W2086" s="10"/>
      <c r="X2086" s="10"/>
      <c r="Y2086" s="10"/>
      <c r="Z2086" s="10"/>
      <c r="AA2086" s="11" t="str">
        <f t="shared" si="65"/>
        <v/>
      </c>
    </row>
    <row r="2087" spans="16:27" ht="15" customHeight="1">
      <c r="P2087" t="str">
        <f t="shared" si="64"/>
        <v/>
      </c>
      <c r="Q2087" t="str">
        <f>IF(P2087="","",IFERROR(IF(AND(H2087="W7",OR(F2087="causal",F2087="predictive")),IF(AND(OR(K2087=1,K2087="1"),OR(L2087=1,L2087="1"),OR(M2087=1,M2087="1")),"adequate","partial"),IF(AND(H2087="W4",F2087="predictive",OR(J2087="P2",J2087="P3",J2087="P4")),IF(OR(U2087=1,U2087="1"),"adequate","partial"),INDEX(Fit_Matrix!$B:$B,MATCH(P2087,Fit_Matrix!$A:$A,0)))),"CHECK KEY"))</f>
        <v/>
      </c>
      <c r="U2087" s="10"/>
      <c r="V2087" s="10"/>
      <c r="W2087" s="10"/>
      <c r="X2087" s="10"/>
      <c r="Y2087" s="10"/>
      <c r="Z2087" s="10"/>
      <c r="AA2087" s="11" t="str">
        <f t="shared" si="65"/>
        <v/>
      </c>
    </row>
    <row r="2088" spans="16:27" ht="15" customHeight="1">
      <c r="P2088" t="str">
        <f t="shared" si="64"/>
        <v/>
      </c>
      <c r="Q2088" t="str">
        <f>IF(P2088="","",IFERROR(IF(AND(H2088="W7",OR(F2088="causal",F2088="predictive")),IF(AND(OR(K2088=1,K2088="1"),OR(L2088=1,L2088="1"),OR(M2088=1,M2088="1")),"adequate","partial"),IF(AND(H2088="W4",F2088="predictive",OR(J2088="P2",J2088="P3",J2088="P4")),IF(OR(U2088=1,U2088="1"),"adequate","partial"),INDEX(Fit_Matrix!$B:$B,MATCH(P2088,Fit_Matrix!$A:$A,0)))),"CHECK KEY"))</f>
        <v/>
      </c>
      <c r="U2088" s="10"/>
      <c r="V2088" s="10"/>
      <c r="W2088" s="10"/>
      <c r="X2088" s="10"/>
      <c r="Y2088" s="10"/>
      <c r="Z2088" s="10"/>
      <c r="AA2088" s="11" t="str">
        <f t="shared" si="65"/>
        <v/>
      </c>
    </row>
    <row r="2089" spans="16:27" ht="15" customHeight="1">
      <c r="P2089" t="str">
        <f t="shared" si="64"/>
        <v/>
      </c>
      <c r="Q2089" t="str">
        <f>IF(P2089="","",IFERROR(IF(AND(H2089="W7",OR(F2089="causal",F2089="predictive")),IF(AND(OR(K2089=1,K2089="1"),OR(L2089=1,L2089="1"),OR(M2089=1,M2089="1")),"adequate","partial"),IF(AND(H2089="W4",F2089="predictive",OR(J2089="P2",J2089="P3",J2089="P4")),IF(OR(U2089=1,U2089="1"),"adequate","partial"),INDEX(Fit_Matrix!$B:$B,MATCH(P2089,Fit_Matrix!$A:$A,0)))),"CHECK KEY"))</f>
        <v/>
      </c>
      <c r="U2089" s="10"/>
      <c r="V2089" s="10"/>
      <c r="W2089" s="10"/>
      <c r="X2089" s="10"/>
      <c r="Y2089" s="10"/>
      <c r="Z2089" s="10"/>
      <c r="AA2089" s="11" t="str">
        <f t="shared" si="65"/>
        <v/>
      </c>
    </row>
    <row r="2090" spans="16:27" ht="15" customHeight="1">
      <c r="P2090" t="str">
        <f t="shared" si="64"/>
        <v/>
      </c>
      <c r="Q2090" t="str">
        <f>IF(P2090="","",IFERROR(IF(AND(H2090="W7",OR(F2090="causal",F2090="predictive")),IF(AND(OR(K2090=1,K2090="1"),OR(L2090=1,L2090="1"),OR(M2090=1,M2090="1")),"adequate","partial"),IF(AND(H2090="W4",F2090="predictive",OR(J2090="P2",J2090="P3",J2090="P4")),IF(OR(U2090=1,U2090="1"),"adequate","partial"),INDEX(Fit_Matrix!$B:$B,MATCH(P2090,Fit_Matrix!$A:$A,0)))),"CHECK KEY"))</f>
        <v/>
      </c>
      <c r="U2090" s="10"/>
      <c r="V2090" s="10"/>
      <c r="W2090" s="10"/>
      <c r="X2090" s="10"/>
      <c r="Y2090" s="10"/>
      <c r="Z2090" s="10"/>
      <c r="AA2090" s="11" t="str">
        <f t="shared" si="65"/>
        <v/>
      </c>
    </row>
    <row r="2091" spans="16:27" ht="15" customHeight="1">
      <c r="P2091" t="str">
        <f t="shared" si="64"/>
        <v/>
      </c>
      <c r="Q2091" t="str">
        <f>IF(P2091="","",IFERROR(IF(AND(H2091="W7",OR(F2091="causal",F2091="predictive")),IF(AND(OR(K2091=1,K2091="1"),OR(L2091=1,L2091="1"),OR(M2091=1,M2091="1")),"adequate","partial"),IF(AND(H2091="W4",F2091="predictive",OR(J2091="P2",J2091="P3",J2091="P4")),IF(OR(U2091=1,U2091="1"),"adequate","partial"),INDEX(Fit_Matrix!$B:$B,MATCH(P2091,Fit_Matrix!$A:$A,0)))),"CHECK KEY"))</f>
        <v/>
      </c>
      <c r="U2091" s="10"/>
      <c r="V2091" s="10"/>
      <c r="W2091" s="10"/>
      <c r="X2091" s="10"/>
      <c r="Y2091" s="10"/>
      <c r="Z2091" s="10"/>
      <c r="AA2091" s="11" t="str">
        <f t="shared" si="65"/>
        <v/>
      </c>
    </row>
    <row r="2092" spans="16:27" ht="15" customHeight="1">
      <c r="P2092" t="str">
        <f t="shared" si="64"/>
        <v/>
      </c>
      <c r="Q2092" t="str">
        <f>IF(P2092="","",IFERROR(IF(AND(H2092="W7",OR(F2092="causal",F2092="predictive")),IF(AND(OR(K2092=1,K2092="1"),OR(L2092=1,L2092="1"),OR(M2092=1,M2092="1")),"adequate","partial"),IF(AND(H2092="W4",F2092="predictive",OR(J2092="P2",J2092="P3",J2092="P4")),IF(OR(U2092=1,U2092="1"),"adequate","partial"),INDEX(Fit_Matrix!$B:$B,MATCH(P2092,Fit_Matrix!$A:$A,0)))),"CHECK KEY"))</f>
        <v/>
      </c>
      <c r="U2092" s="10"/>
      <c r="V2092" s="10"/>
      <c r="W2092" s="10"/>
      <c r="X2092" s="10"/>
      <c r="Y2092" s="10"/>
      <c r="Z2092" s="10"/>
      <c r="AA2092" s="11" t="str">
        <f t="shared" si="65"/>
        <v/>
      </c>
    </row>
    <row r="2093" spans="16:27" ht="15" customHeight="1">
      <c r="P2093" t="str">
        <f t="shared" si="64"/>
        <v/>
      </c>
      <c r="Q2093" t="str">
        <f>IF(P2093="","",IFERROR(IF(AND(H2093="W7",OR(F2093="causal",F2093="predictive")),IF(AND(OR(K2093=1,K2093="1"),OR(L2093=1,L2093="1"),OR(M2093=1,M2093="1")),"adequate","partial"),IF(AND(H2093="W4",F2093="predictive",OR(J2093="P2",J2093="P3",J2093="P4")),IF(OR(U2093=1,U2093="1"),"adequate","partial"),INDEX(Fit_Matrix!$B:$B,MATCH(P2093,Fit_Matrix!$A:$A,0)))),"CHECK KEY"))</f>
        <v/>
      </c>
      <c r="U2093" s="10"/>
      <c r="V2093" s="10"/>
      <c r="W2093" s="10"/>
      <c r="X2093" s="10"/>
      <c r="Y2093" s="10"/>
      <c r="Z2093" s="10"/>
      <c r="AA2093" s="11" t="str">
        <f t="shared" si="65"/>
        <v/>
      </c>
    </row>
    <row r="2094" spans="16:27" ht="15" customHeight="1">
      <c r="P2094" t="str">
        <f t="shared" si="64"/>
        <v/>
      </c>
      <c r="Q2094" t="str">
        <f>IF(P2094="","",IFERROR(IF(AND(H2094="W7",OR(F2094="causal",F2094="predictive")),IF(AND(OR(K2094=1,K2094="1"),OR(L2094=1,L2094="1"),OR(M2094=1,M2094="1")),"adequate","partial"),IF(AND(H2094="W4",F2094="predictive",OR(J2094="P2",J2094="P3",J2094="P4")),IF(OR(U2094=1,U2094="1"),"adequate","partial"),INDEX(Fit_Matrix!$B:$B,MATCH(P2094,Fit_Matrix!$A:$A,0)))),"CHECK KEY"))</f>
        <v/>
      </c>
      <c r="U2094" s="10"/>
      <c r="V2094" s="10"/>
      <c r="W2094" s="10"/>
      <c r="X2094" s="10"/>
      <c r="Y2094" s="10"/>
      <c r="Z2094" s="10"/>
      <c r="AA2094" s="11" t="str">
        <f t="shared" si="65"/>
        <v/>
      </c>
    </row>
    <row r="2095" spans="16:27" ht="15" customHeight="1">
      <c r="P2095" t="str">
        <f t="shared" si="64"/>
        <v/>
      </c>
      <c r="Q2095" t="str">
        <f>IF(P2095="","",IFERROR(IF(AND(H2095="W7",OR(F2095="causal",F2095="predictive")),IF(AND(OR(K2095=1,K2095="1"),OR(L2095=1,L2095="1"),OR(M2095=1,M2095="1")),"adequate","partial"),IF(AND(H2095="W4",F2095="predictive",OR(J2095="P2",J2095="P3",J2095="P4")),IF(OR(U2095=1,U2095="1"),"adequate","partial"),INDEX(Fit_Matrix!$B:$B,MATCH(P2095,Fit_Matrix!$A:$A,0)))),"CHECK KEY"))</f>
        <v/>
      </c>
      <c r="U2095" s="10"/>
      <c r="V2095" s="10"/>
      <c r="W2095" s="10"/>
      <c r="X2095" s="10"/>
      <c r="Y2095" s="10"/>
      <c r="Z2095" s="10"/>
      <c r="AA2095" s="11" t="str">
        <f t="shared" si="65"/>
        <v/>
      </c>
    </row>
    <row r="2096" spans="16:27" ht="15" customHeight="1">
      <c r="P2096" t="str">
        <f t="shared" si="64"/>
        <v/>
      </c>
      <c r="Q2096" t="str">
        <f>IF(P2096="","",IFERROR(IF(AND(H2096="W7",OR(F2096="causal",F2096="predictive")),IF(AND(OR(K2096=1,K2096="1"),OR(L2096=1,L2096="1"),OR(M2096=1,M2096="1")),"adequate","partial"),IF(AND(H2096="W4",F2096="predictive",OR(J2096="P2",J2096="P3",J2096="P4")),IF(OR(U2096=1,U2096="1"),"adequate","partial"),INDEX(Fit_Matrix!$B:$B,MATCH(P2096,Fit_Matrix!$A:$A,0)))),"CHECK KEY"))</f>
        <v/>
      </c>
      <c r="U2096" s="10"/>
      <c r="V2096" s="10"/>
      <c r="W2096" s="10"/>
      <c r="X2096" s="10"/>
      <c r="Y2096" s="10"/>
      <c r="Z2096" s="10"/>
      <c r="AA2096" s="11" t="str">
        <f t="shared" si="65"/>
        <v/>
      </c>
    </row>
    <row r="2097" spans="16:27" ht="15" customHeight="1">
      <c r="P2097" t="str">
        <f t="shared" si="64"/>
        <v/>
      </c>
      <c r="Q2097" t="str">
        <f>IF(P2097="","",IFERROR(IF(AND(H2097="W7",OR(F2097="causal",F2097="predictive")),IF(AND(OR(K2097=1,K2097="1"),OR(L2097=1,L2097="1"),OR(M2097=1,M2097="1")),"adequate","partial"),IF(AND(H2097="W4",F2097="predictive",OR(J2097="P2",J2097="P3",J2097="P4")),IF(OR(U2097=1,U2097="1"),"adequate","partial"),INDEX(Fit_Matrix!$B:$B,MATCH(P2097,Fit_Matrix!$A:$A,0)))),"CHECK KEY"))</f>
        <v/>
      </c>
      <c r="U2097" s="10"/>
      <c r="V2097" s="10"/>
      <c r="W2097" s="10"/>
      <c r="X2097" s="10"/>
      <c r="Y2097" s="10"/>
      <c r="Z2097" s="10"/>
      <c r="AA2097" s="11" t="str">
        <f t="shared" si="65"/>
        <v/>
      </c>
    </row>
    <row r="2098" spans="16:27" ht="15" customHeight="1">
      <c r="P2098" t="str">
        <f t="shared" si="64"/>
        <v/>
      </c>
      <c r="Q2098" t="str">
        <f>IF(P2098="","",IFERROR(IF(AND(H2098="W7",OR(F2098="causal",F2098="predictive")),IF(AND(OR(K2098=1,K2098="1"),OR(L2098=1,L2098="1"),OR(M2098=1,M2098="1")),"adequate","partial"),IF(AND(H2098="W4",F2098="predictive",OR(J2098="P2",J2098="P3",J2098="P4")),IF(OR(U2098=1,U2098="1"),"adequate","partial"),INDEX(Fit_Matrix!$B:$B,MATCH(P2098,Fit_Matrix!$A:$A,0)))),"CHECK KEY"))</f>
        <v/>
      </c>
      <c r="U2098" s="10"/>
      <c r="V2098" s="10"/>
      <c r="W2098" s="10"/>
      <c r="X2098" s="10"/>
      <c r="Y2098" s="10"/>
      <c r="Z2098" s="10"/>
      <c r="AA2098" s="11" t="str">
        <f t="shared" si="65"/>
        <v/>
      </c>
    </row>
    <row r="2099" spans="16:27" ht="15" customHeight="1">
      <c r="P2099" t="str">
        <f t="shared" si="64"/>
        <v/>
      </c>
      <c r="Q2099" t="str">
        <f>IF(P2099="","",IFERROR(IF(AND(H2099="W7",OR(F2099="causal",F2099="predictive")),IF(AND(OR(K2099=1,K2099="1"),OR(L2099=1,L2099="1"),OR(M2099=1,M2099="1")),"adequate","partial"),IF(AND(H2099="W4",F2099="predictive",OR(J2099="P2",J2099="P3",J2099="P4")),IF(OR(U2099=1,U2099="1"),"adequate","partial"),INDEX(Fit_Matrix!$B:$B,MATCH(P2099,Fit_Matrix!$A:$A,0)))),"CHECK KEY"))</f>
        <v/>
      </c>
      <c r="U2099" s="10"/>
      <c r="V2099" s="10"/>
      <c r="W2099" s="10"/>
      <c r="X2099" s="10"/>
      <c r="Y2099" s="10"/>
      <c r="Z2099" s="10"/>
      <c r="AA2099" s="11" t="str">
        <f t="shared" si="65"/>
        <v/>
      </c>
    </row>
    <row r="2100" spans="16:27" ht="15" customHeight="1">
      <c r="P2100" t="str">
        <f t="shared" si="64"/>
        <v/>
      </c>
      <c r="Q2100" t="str">
        <f>IF(P2100="","",IFERROR(IF(AND(H2100="W7",OR(F2100="causal",F2100="predictive")),IF(AND(OR(K2100=1,K2100="1"),OR(L2100=1,L2100="1"),OR(M2100=1,M2100="1")),"adequate","partial"),IF(AND(H2100="W4",F2100="predictive",OR(J2100="P2",J2100="P3",J2100="P4")),IF(OR(U2100=1,U2100="1"),"adequate","partial"),INDEX(Fit_Matrix!$B:$B,MATCH(P2100,Fit_Matrix!$A:$A,0)))),"CHECK KEY"))</f>
        <v/>
      </c>
      <c r="U2100" s="10"/>
      <c r="V2100" s="10"/>
      <c r="W2100" s="10"/>
      <c r="X2100" s="10"/>
      <c r="Y2100" s="10"/>
      <c r="Z2100" s="10"/>
      <c r="AA2100" s="11" t="str">
        <f t="shared" si="65"/>
        <v/>
      </c>
    </row>
    <row r="2101" spans="16:27" ht="15" customHeight="1">
      <c r="P2101" t="str">
        <f t="shared" si="64"/>
        <v/>
      </c>
      <c r="Q2101" t="str">
        <f>IF(P2101="","",IFERROR(IF(AND(H2101="W7",OR(F2101="causal",F2101="predictive")),IF(AND(OR(K2101=1,K2101="1"),OR(L2101=1,L2101="1"),OR(M2101=1,M2101="1")),"adequate","partial"),IF(AND(H2101="W4",F2101="predictive",OR(J2101="P2",J2101="P3",J2101="P4")),IF(OR(U2101=1,U2101="1"),"adequate","partial"),INDEX(Fit_Matrix!$B:$B,MATCH(P2101,Fit_Matrix!$A:$A,0)))),"CHECK KEY"))</f>
        <v/>
      </c>
      <c r="U2101" s="10"/>
      <c r="V2101" s="10"/>
      <c r="W2101" s="10"/>
      <c r="X2101" s="10"/>
      <c r="Y2101" s="10"/>
      <c r="Z2101" s="10"/>
      <c r="AA2101" s="11" t="str">
        <f t="shared" si="65"/>
        <v/>
      </c>
    </row>
    <row r="2102" spans="16:27" ht="15" customHeight="1">
      <c r="P2102" t="str">
        <f t="shared" si="64"/>
        <v/>
      </c>
      <c r="Q2102" t="str">
        <f>IF(P2102="","",IFERROR(IF(AND(H2102="W7",OR(F2102="causal",F2102="predictive")),IF(AND(OR(K2102=1,K2102="1"),OR(L2102=1,L2102="1"),OR(M2102=1,M2102="1")),"adequate","partial"),IF(AND(H2102="W4",F2102="predictive",OR(J2102="P2",J2102="P3",J2102="P4")),IF(OR(U2102=1,U2102="1"),"adequate","partial"),INDEX(Fit_Matrix!$B:$B,MATCH(P2102,Fit_Matrix!$A:$A,0)))),"CHECK KEY"))</f>
        <v/>
      </c>
      <c r="U2102" s="10"/>
      <c r="V2102" s="10"/>
      <c r="W2102" s="10"/>
      <c r="X2102" s="10"/>
      <c r="Y2102" s="10"/>
      <c r="Z2102" s="10"/>
      <c r="AA2102" s="11" t="str">
        <f t="shared" si="65"/>
        <v/>
      </c>
    </row>
    <row r="2103" spans="16:27" ht="15" customHeight="1">
      <c r="P2103" t="str">
        <f t="shared" si="64"/>
        <v/>
      </c>
      <c r="Q2103" t="str">
        <f>IF(P2103="","",IFERROR(IF(AND(H2103="W7",OR(F2103="causal",F2103="predictive")),IF(AND(OR(K2103=1,K2103="1"),OR(L2103=1,L2103="1"),OR(M2103=1,M2103="1")),"adequate","partial"),IF(AND(H2103="W4",F2103="predictive",OR(J2103="P2",J2103="P3",J2103="P4")),IF(OR(U2103=1,U2103="1"),"adequate","partial"),INDEX(Fit_Matrix!$B:$B,MATCH(P2103,Fit_Matrix!$A:$A,0)))),"CHECK KEY"))</f>
        <v/>
      </c>
      <c r="U2103" s="10"/>
      <c r="V2103" s="10"/>
      <c r="W2103" s="10"/>
      <c r="X2103" s="10"/>
      <c r="Y2103" s="10"/>
      <c r="Z2103" s="10"/>
      <c r="AA2103" s="11" t="str">
        <f t="shared" si="65"/>
        <v/>
      </c>
    </row>
    <row r="2104" spans="16:27" ht="15" customHeight="1">
      <c r="P2104" t="str">
        <f t="shared" si="64"/>
        <v/>
      </c>
      <c r="Q2104" t="str">
        <f>IF(P2104="","",IFERROR(IF(AND(H2104="W7",OR(F2104="causal",F2104="predictive")),IF(AND(OR(K2104=1,K2104="1"),OR(L2104=1,L2104="1"),OR(M2104=1,M2104="1")),"adequate","partial"),IF(AND(H2104="W4",F2104="predictive",OR(J2104="P2",J2104="P3",J2104="P4")),IF(OR(U2104=1,U2104="1"),"adequate","partial"),INDEX(Fit_Matrix!$B:$B,MATCH(P2104,Fit_Matrix!$A:$A,0)))),"CHECK KEY"))</f>
        <v/>
      </c>
      <c r="U2104" s="10"/>
      <c r="V2104" s="10"/>
      <c r="W2104" s="10"/>
      <c r="X2104" s="10"/>
      <c r="Y2104" s="10"/>
      <c r="Z2104" s="10"/>
      <c r="AA2104" s="11" t="str">
        <f t="shared" si="65"/>
        <v/>
      </c>
    </row>
    <row r="2105" spans="16:27" ht="15" customHeight="1">
      <c r="P2105" t="str">
        <f t="shared" si="64"/>
        <v/>
      </c>
      <c r="Q2105" t="str">
        <f>IF(P2105="","",IFERROR(IF(AND(H2105="W7",OR(F2105="causal",F2105="predictive")),IF(AND(OR(K2105=1,K2105="1"),OR(L2105=1,L2105="1"),OR(M2105=1,M2105="1")),"adequate","partial"),IF(AND(H2105="W4",F2105="predictive",OR(J2105="P2",J2105="P3",J2105="P4")),IF(OR(U2105=1,U2105="1"),"adequate","partial"),INDEX(Fit_Matrix!$B:$B,MATCH(P2105,Fit_Matrix!$A:$A,0)))),"CHECK KEY"))</f>
        <v/>
      </c>
      <c r="U2105" s="10"/>
      <c r="V2105" s="10"/>
      <c r="W2105" s="10"/>
      <c r="X2105" s="10"/>
      <c r="Y2105" s="10"/>
      <c r="Z2105" s="10"/>
      <c r="AA2105" s="11" t="str">
        <f t="shared" si="65"/>
        <v/>
      </c>
    </row>
    <row r="2106" spans="16:27" ht="15" customHeight="1">
      <c r="P2106" t="str">
        <f t="shared" si="64"/>
        <v/>
      </c>
      <c r="Q2106" t="str">
        <f>IF(P2106="","",IFERROR(IF(AND(H2106="W7",OR(F2106="causal",F2106="predictive")),IF(AND(OR(K2106=1,K2106="1"),OR(L2106=1,L2106="1"),OR(M2106=1,M2106="1")),"adequate","partial"),IF(AND(H2106="W4",F2106="predictive",OR(J2106="P2",J2106="P3",J2106="P4")),IF(OR(U2106=1,U2106="1"),"adequate","partial"),INDEX(Fit_Matrix!$B:$B,MATCH(P2106,Fit_Matrix!$A:$A,0)))),"CHECK KEY"))</f>
        <v/>
      </c>
      <c r="U2106" s="10"/>
      <c r="V2106" s="10"/>
      <c r="W2106" s="10"/>
      <c r="X2106" s="10"/>
      <c r="Y2106" s="10"/>
      <c r="Z2106" s="10"/>
      <c r="AA2106" s="11" t="str">
        <f t="shared" si="65"/>
        <v/>
      </c>
    </row>
    <row r="2107" spans="16:27" ht="15" customHeight="1">
      <c r="P2107" t="str">
        <f t="shared" si="64"/>
        <v/>
      </c>
      <c r="Q2107" t="str">
        <f>IF(P2107="","",IFERROR(IF(AND(H2107="W7",OR(F2107="causal",F2107="predictive")),IF(AND(OR(K2107=1,K2107="1"),OR(L2107=1,L2107="1"),OR(M2107=1,M2107="1")),"adequate","partial"),IF(AND(H2107="W4",F2107="predictive",OR(J2107="P2",J2107="P3",J2107="P4")),IF(OR(U2107=1,U2107="1"),"adequate","partial"),INDEX(Fit_Matrix!$B:$B,MATCH(P2107,Fit_Matrix!$A:$A,0)))),"CHECK KEY"))</f>
        <v/>
      </c>
      <c r="U2107" s="10"/>
      <c r="V2107" s="10"/>
      <c r="W2107" s="10"/>
      <c r="X2107" s="10"/>
      <c r="Y2107" s="10"/>
      <c r="Z2107" s="10"/>
      <c r="AA2107" s="11" t="str">
        <f t="shared" si="65"/>
        <v/>
      </c>
    </row>
    <row r="2108" spans="16:27" ht="15" customHeight="1">
      <c r="P2108" t="str">
        <f t="shared" si="64"/>
        <v/>
      </c>
      <c r="Q2108" t="str">
        <f>IF(P2108="","",IFERROR(IF(AND(H2108="W7",OR(F2108="causal",F2108="predictive")),IF(AND(OR(K2108=1,K2108="1"),OR(L2108=1,L2108="1"),OR(M2108=1,M2108="1")),"adequate","partial"),IF(AND(H2108="W4",F2108="predictive",OR(J2108="P2",J2108="P3",J2108="P4")),IF(OR(U2108=1,U2108="1"),"adequate","partial"),INDEX(Fit_Matrix!$B:$B,MATCH(P2108,Fit_Matrix!$A:$A,0)))),"CHECK KEY"))</f>
        <v/>
      </c>
      <c r="U2108" s="10"/>
      <c r="V2108" s="10"/>
      <c r="W2108" s="10"/>
      <c r="X2108" s="10"/>
      <c r="Y2108" s="10"/>
      <c r="Z2108" s="10"/>
      <c r="AA2108" s="11" t="str">
        <f t="shared" si="65"/>
        <v/>
      </c>
    </row>
    <row r="2109" spans="16:27" ht="15" customHeight="1">
      <c r="P2109" t="str">
        <f t="shared" si="64"/>
        <v/>
      </c>
      <c r="Q2109" t="str">
        <f>IF(P2109="","",IFERROR(IF(AND(H2109="W7",OR(F2109="causal",F2109="predictive")),IF(AND(OR(K2109=1,K2109="1"),OR(L2109=1,L2109="1"),OR(M2109=1,M2109="1")),"adequate","partial"),IF(AND(H2109="W4",F2109="predictive",OR(J2109="P2",J2109="P3",J2109="P4")),IF(OR(U2109=1,U2109="1"),"adequate","partial"),INDEX(Fit_Matrix!$B:$B,MATCH(P2109,Fit_Matrix!$A:$A,0)))),"CHECK KEY"))</f>
        <v/>
      </c>
      <c r="U2109" s="10"/>
      <c r="V2109" s="10"/>
      <c r="W2109" s="10"/>
      <c r="X2109" s="10"/>
      <c r="Y2109" s="10"/>
      <c r="Z2109" s="10"/>
      <c r="AA2109" s="11" t="str">
        <f t="shared" si="65"/>
        <v/>
      </c>
    </row>
    <row r="2110" spans="16:27" ht="15" customHeight="1">
      <c r="P2110" t="str">
        <f t="shared" si="64"/>
        <v/>
      </c>
      <c r="Q2110" t="str">
        <f>IF(P2110="","",IFERROR(IF(AND(H2110="W7",OR(F2110="causal",F2110="predictive")),IF(AND(OR(K2110=1,K2110="1"),OR(L2110=1,L2110="1"),OR(M2110=1,M2110="1")),"adequate","partial"),IF(AND(H2110="W4",F2110="predictive",OR(J2110="P2",J2110="P3",J2110="P4")),IF(OR(U2110=1,U2110="1"),"adequate","partial"),INDEX(Fit_Matrix!$B:$B,MATCH(P2110,Fit_Matrix!$A:$A,0)))),"CHECK KEY"))</f>
        <v/>
      </c>
      <c r="U2110" s="10"/>
      <c r="V2110" s="10"/>
      <c r="W2110" s="10"/>
      <c r="X2110" s="10"/>
      <c r="Y2110" s="10"/>
      <c r="Z2110" s="10"/>
      <c r="AA2110" s="11" t="str">
        <f t="shared" si="65"/>
        <v/>
      </c>
    </row>
    <row r="2111" spans="16:27" ht="15" customHeight="1">
      <c r="P2111" t="str">
        <f t="shared" si="64"/>
        <v/>
      </c>
      <c r="Q2111" t="str">
        <f>IF(P2111="","",IFERROR(IF(AND(H2111="W7",OR(F2111="causal",F2111="predictive")),IF(AND(OR(K2111=1,K2111="1"),OR(L2111=1,L2111="1"),OR(M2111=1,M2111="1")),"adequate","partial"),IF(AND(H2111="W4",F2111="predictive",OR(J2111="P2",J2111="P3",J2111="P4")),IF(OR(U2111=1,U2111="1"),"adequate","partial"),INDEX(Fit_Matrix!$B:$B,MATCH(P2111,Fit_Matrix!$A:$A,0)))),"CHECK KEY"))</f>
        <v/>
      </c>
      <c r="U2111" s="10"/>
      <c r="V2111" s="10"/>
      <c r="W2111" s="10"/>
      <c r="X2111" s="10"/>
      <c r="Y2111" s="10"/>
      <c r="Z2111" s="10"/>
      <c r="AA2111" s="11" t="str">
        <f t="shared" si="65"/>
        <v/>
      </c>
    </row>
    <row r="2112" spans="16:27" ht="15" customHeight="1">
      <c r="P2112" t="str">
        <f t="shared" si="64"/>
        <v/>
      </c>
      <c r="Q2112" t="str">
        <f>IF(P2112="","",IFERROR(IF(AND(H2112="W7",OR(F2112="causal",F2112="predictive")),IF(AND(OR(K2112=1,K2112="1"),OR(L2112=1,L2112="1"),OR(M2112=1,M2112="1")),"adequate","partial"),IF(AND(H2112="W4",F2112="predictive",OR(J2112="P2",J2112="P3",J2112="P4")),IF(OR(U2112=1,U2112="1"),"adequate","partial"),INDEX(Fit_Matrix!$B:$B,MATCH(P2112,Fit_Matrix!$A:$A,0)))),"CHECK KEY"))</f>
        <v/>
      </c>
      <c r="U2112" s="10"/>
      <c r="V2112" s="10"/>
      <c r="W2112" s="10"/>
      <c r="X2112" s="10"/>
      <c r="Y2112" s="10"/>
      <c r="Z2112" s="10"/>
      <c r="AA2112" s="11" t="str">
        <f t="shared" si="65"/>
        <v/>
      </c>
    </row>
    <row r="2113" spans="16:27" ht="15" customHeight="1">
      <c r="P2113" t="str">
        <f t="shared" si="64"/>
        <v/>
      </c>
      <c r="Q2113" t="str">
        <f>IF(P2113="","",IFERROR(IF(AND(H2113="W7",OR(F2113="causal",F2113="predictive")),IF(AND(OR(K2113=1,K2113="1"),OR(L2113=1,L2113="1"),OR(M2113=1,M2113="1")),"adequate","partial"),IF(AND(H2113="W4",F2113="predictive",OR(J2113="P2",J2113="P3",J2113="P4")),IF(OR(U2113=1,U2113="1"),"adequate","partial"),INDEX(Fit_Matrix!$B:$B,MATCH(P2113,Fit_Matrix!$A:$A,0)))),"CHECK KEY"))</f>
        <v/>
      </c>
      <c r="U2113" s="10"/>
      <c r="V2113" s="10"/>
      <c r="W2113" s="10"/>
      <c r="X2113" s="10"/>
      <c r="Y2113" s="10"/>
      <c r="Z2113" s="10"/>
      <c r="AA2113" s="11" t="str">
        <f t="shared" si="65"/>
        <v/>
      </c>
    </row>
    <row r="2114" spans="16:27" ht="15" customHeight="1">
      <c r="P2114" t="str">
        <f t="shared" ref="P2114:P2177" si="66">IF(OR(F2114="",H2114="",J2114=""),"",J2114&amp;"|"&amp;F2114&amp;"|"&amp;IF(H2114="W3","W3_"&amp;IF(I2114="","unknown",I2114),H2114))</f>
        <v/>
      </c>
      <c r="Q2114" t="str">
        <f>IF(P2114="","",IFERROR(IF(AND(H2114="W7",OR(F2114="causal",F2114="predictive")),IF(AND(OR(K2114=1,K2114="1"),OR(L2114=1,L2114="1"),OR(M2114=1,M2114="1")),"adequate","partial"),IF(AND(H2114="W4",F2114="predictive",OR(J2114="P2",J2114="P3",J2114="P4")),IF(OR(U2114=1,U2114="1"),"adequate","partial"),INDEX(Fit_Matrix!$B:$B,MATCH(P2114,Fit_Matrix!$A:$A,0)))),"CHECK KEY"))</f>
        <v/>
      </c>
      <c r="U2114" s="10"/>
      <c r="V2114" s="10"/>
      <c r="W2114" s="10"/>
      <c r="X2114" s="10"/>
      <c r="Y2114" s="10"/>
      <c r="Z2114" s="10"/>
      <c r="AA2114" s="11" t="str">
        <f t="shared" ref="AA2114:AA2177" si="67">IF(A2114="","",IF(AND(J2114="P4",F2114="causal"),"P4-CAUSAL",""))</f>
        <v/>
      </c>
    </row>
    <row r="2115" spans="16:27" ht="15" customHeight="1">
      <c r="P2115" t="str">
        <f t="shared" si="66"/>
        <v/>
      </c>
      <c r="Q2115" t="str">
        <f>IF(P2115="","",IFERROR(IF(AND(H2115="W7",OR(F2115="causal",F2115="predictive")),IF(AND(OR(K2115=1,K2115="1"),OR(L2115=1,L2115="1"),OR(M2115=1,M2115="1")),"adequate","partial"),IF(AND(H2115="W4",F2115="predictive",OR(J2115="P2",J2115="P3",J2115="P4")),IF(OR(U2115=1,U2115="1"),"adequate","partial"),INDEX(Fit_Matrix!$B:$B,MATCH(P2115,Fit_Matrix!$A:$A,0)))),"CHECK KEY"))</f>
        <v/>
      </c>
      <c r="U2115" s="10"/>
      <c r="V2115" s="10"/>
      <c r="W2115" s="10"/>
      <c r="X2115" s="10"/>
      <c r="Y2115" s="10"/>
      <c r="Z2115" s="10"/>
      <c r="AA2115" s="11" t="str">
        <f t="shared" si="67"/>
        <v/>
      </c>
    </row>
    <row r="2116" spans="16:27" ht="15" customHeight="1">
      <c r="P2116" t="str">
        <f t="shared" si="66"/>
        <v/>
      </c>
      <c r="Q2116" t="str">
        <f>IF(P2116="","",IFERROR(IF(AND(H2116="W7",OR(F2116="causal",F2116="predictive")),IF(AND(OR(K2116=1,K2116="1"),OR(L2116=1,L2116="1"),OR(M2116=1,M2116="1")),"adequate","partial"),IF(AND(H2116="W4",F2116="predictive",OR(J2116="P2",J2116="P3",J2116="P4")),IF(OR(U2116=1,U2116="1"),"adequate","partial"),INDEX(Fit_Matrix!$B:$B,MATCH(P2116,Fit_Matrix!$A:$A,0)))),"CHECK KEY"))</f>
        <v/>
      </c>
      <c r="U2116" s="10"/>
      <c r="V2116" s="10"/>
      <c r="W2116" s="10"/>
      <c r="X2116" s="10"/>
      <c r="Y2116" s="10"/>
      <c r="Z2116" s="10"/>
      <c r="AA2116" s="11" t="str">
        <f t="shared" si="67"/>
        <v/>
      </c>
    </row>
    <row r="2117" spans="16:27" ht="15" customHeight="1">
      <c r="P2117" t="str">
        <f t="shared" si="66"/>
        <v/>
      </c>
      <c r="Q2117" t="str">
        <f>IF(P2117="","",IFERROR(IF(AND(H2117="W7",OR(F2117="causal",F2117="predictive")),IF(AND(OR(K2117=1,K2117="1"),OR(L2117=1,L2117="1"),OR(M2117=1,M2117="1")),"adequate","partial"),IF(AND(H2117="W4",F2117="predictive",OR(J2117="P2",J2117="P3",J2117="P4")),IF(OR(U2117=1,U2117="1"),"adequate","partial"),INDEX(Fit_Matrix!$B:$B,MATCH(P2117,Fit_Matrix!$A:$A,0)))),"CHECK KEY"))</f>
        <v/>
      </c>
      <c r="U2117" s="10"/>
      <c r="V2117" s="10"/>
      <c r="W2117" s="10"/>
      <c r="X2117" s="10"/>
      <c r="Y2117" s="10"/>
      <c r="Z2117" s="10"/>
      <c r="AA2117" s="11" t="str">
        <f t="shared" si="67"/>
        <v/>
      </c>
    </row>
    <row r="2118" spans="16:27" ht="15" customHeight="1">
      <c r="P2118" t="str">
        <f t="shared" si="66"/>
        <v/>
      </c>
      <c r="Q2118" t="str">
        <f>IF(P2118="","",IFERROR(IF(AND(H2118="W7",OR(F2118="causal",F2118="predictive")),IF(AND(OR(K2118=1,K2118="1"),OR(L2118=1,L2118="1"),OR(M2118=1,M2118="1")),"adequate","partial"),IF(AND(H2118="W4",F2118="predictive",OR(J2118="P2",J2118="P3",J2118="P4")),IF(OR(U2118=1,U2118="1"),"adequate","partial"),INDEX(Fit_Matrix!$B:$B,MATCH(P2118,Fit_Matrix!$A:$A,0)))),"CHECK KEY"))</f>
        <v/>
      </c>
      <c r="U2118" s="10"/>
      <c r="V2118" s="10"/>
      <c r="W2118" s="10"/>
      <c r="X2118" s="10"/>
      <c r="Y2118" s="10"/>
      <c r="Z2118" s="10"/>
      <c r="AA2118" s="11" t="str">
        <f t="shared" si="67"/>
        <v/>
      </c>
    </row>
    <row r="2119" spans="16:27" ht="15" customHeight="1">
      <c r="P2119" t="str">
        <f t="shared" si="66"/>
        <v/>
      </c>
      <c r="Q2119" t="str">
        <f>IF(P2119="","",IFERROR(IF(AND(H2119="W7",OR(F2119="causal",F2119="predictive")),IF(AND(OR(K2119=1,K2119="1"),OR(L2119=1,L2119="1"),OR(M2119=1,M2119="1")),"adequate","partial"),IF(AND(H2119="W4",F2119="predictive",OR(J2119="P2",J2119="P3",J2119="P4")),IF(OR(U2119=1,U2119="1"),"adequate","partial"),INDEX(Fit_Matrix!$B:$B,MATCH(P2119,Fit_Matrix!$A:$A,0)))),"CHECK KEY"))</f>
        <v/>
      </c>
      <c r="U2119" s="10"/>
      <c r="V2119" s="10"/>
      <c r="W2119" s="10"/>
      <c r="X2119" s="10"/>
      <c r="Y2119" s="10"/>
      <c r="Z2119" s="10"/>
      <c r="AA2119" s="11" t="str">
        <f t="shared" si="67"/>
        <v/>
      </c>
    </row>
    <row r="2120" spans="16:27" ht="15" customHeight="1">
      <c r="P2120" t="str">
        <f t="shared" si="66"/>
        <v/>
      </c>
      <c r="Q2120" t="str">
        <f>IF(P2120="","",IFERROR(IF(AND(H2120="W7",OR(F2120="causal",F2120="predictive")),IF(AND(OR(K2120=1,K2120="1"),OR(L2120=1,L2120="1"),OR(M2120=1,M2120="1")),"adequate","partial"),IF(AND(H2120="W4",F2120="predictive",OR(J2120="P2",J2120="P3",J2120="P4")),IF(OR(U2120=1,U2120="1"),"adequate","partial"),INDEX(Fit_Matrix!$B:$B,MATCH(P2120,Fit_Matrix!$A:$A,0)))),"CHECK KEY"))</f>
        <v/>
      </c>
      <c r="U2120" s="10"/>
      <c r="V2120" s="10"/>
      <c r="W2120" s="10"/>
      <c r="X2120" s="10"/>
      <c r="Y2120" s="10"/>
      <c r="Z2120" s="10"/>
      <c r="AA2120" s="11" t="str">
        <f t="shared" si="67"/>
        <v/>
      </c>
    </row>
    <row r="2121" spans="16:27" ht="15" customHeight="1">
      <c r="P2121" t="str">
        <f t="shared" si="66"/>
        <v/>
      </c>
      <c r="Q2121" t="str">
        <f>IF(P2121="","",IFERROR(IF(AND(H2121="W7",OR(F2121="causal",F2121="predictive")),IF(AND(OR(K2121=1,K2121="1"),OR(L2121=1,L2121="1"),OR(M2121=1,M2121="1")),"adequate","partial"),IF(AND(H2121="W4",F2121="predictive",OR(J2121="P2",J2121="P3",J2121="P4")),IF(OR(U2121=1,U2121="1"),"adequate","partial"),INDEX(Fit_Matrix!$B:$B,MATCH(P2121,Fit_Matrix!$A:$A,0)))),"CHECK KEY"))</f>
        <v/>
      </c>
      <c r="U2121" s="10"/>
      <c r="V2121" s="10"/>
      <c r="W2121" s="10"/>
      <c r="X2121" s="10"/>
      <c r="Y2121" s="10"/>
      <c r="Z2121" s="10"/>
      <c r="AA2121" s="11" t="str">
        <f t="shared" si="67"/>
        <v/>
      </c>
    </row>
    <row r="2122" spans="16:27" ht="15" customHeight="1">
      <c r="P2122" t="str">
        <f t="shared" si="66"/>
        <v/>
      </c>
      <c r="Q2122" t="str">
        <f>IF(P2122="","",IFERROR(IF(AND(H2122="W7",OR(F2122="causal",F2122="predictive")),IF(AND(OR(K2122=1,K2122="1"),OR(L2122=1,L2122="1"),OR(M2122=1,M2122="1")),"adequate","partial"),IF(AND(H2122="W4",F2122="predictive",OR(J2122="P2",J2122="P3",J2122="P4")),IF(OR(U2122=1,U2122="1"),"adequate","partial"),INDEX(Fit_Matrix!$B:$B,MATCH(P2122,Fit_Matrix!$A:$A,0)))),"CHECK KEY"))</f>
        <v/>
      </c>
      <c r="U2122" s="10"/>
      <c r="V2122" s="10"/>
      <c r="W2122" s="10"/>
      <c r="X2122" s="10"/>
      <c r="Y2122" s="10"/>
      <c r="Z2122" s="10"/>
      <c r="AA2122" s="11" t="str">
        <f t="shared" si="67"/>
        <v/>
      </c>
    </row>
    <row r="2123" spans="16:27" ht="15" customHeight="1">
      <c r="P2123" t="str">
        <f t="shared" si="66"/>
        <v/>
      </c>
      <c r="Q2123" t="str">
        <f>IF(P2123="","",IFERROR(IF(AND(H2123="W7",OR(F2123="causal",F2123="predictive")),IF(AND(OR(K2123=1,K2123="1"),OR(L2123=1,L2123="1"),OR(M2123=1,M2123="1")),"adequate","partial"),IF(AND(H2123="W4",F2123="predictive",OR(J2123="P2",J2123="P3",J2123="P4")),IF(OR(U2123=1,U2123="1"),"adequate","partial"),INDEX(Fit_Matrix!$B:$B,MATCH(P2123,Fit_Matrix!$A:$A,0)))),"CHECK KEY"))</f>
        <v/>
      </c>
      <c r="U2123" s="10"/>
      <c r="V2123" s="10"/>
      <c r="W2123" s="10"/>
      <c r="X2123" s="10"/>
      <c r="Y2123" s="10"/>
      <c r="Z2123" s="10"/>
      <c r="AA2123" s="11" t="str">
        <f t="shared" si="67"/>
        <v/>
      </c>
    </row>
    <row r="2124" spans="16:27" ht="15" customHeight="1">
      <c r="P2124" t="str">
        <f t="shared" si="66"/>
        <v/>
      </c>
      <c r="Q2124" t="str">
        <f>IF(P2124="","",IFERROR(IF(AND(H2124="W7",OR(F2124="causal",F2124="predictive")),IF(AND(OR(K2124=1,K2124="1"),OR(L2124=1,L2124="1"),OR(M2124=1,M2124="1")),"adequate","partial"),IF(AND(H2124="W4",F2124="predictive",OR(J2124="P2",J2124="P3",J2124="P4")),IF(OR(U2124=1,U2124="1"),"adequate","partial"),INDEX(Fit_Matrix!$B:$B,MATCH(P2124,Fit_Matrix!$A:$A,0)))),"CHECK KEY"))</f>
        <v/>
      </c>
      <c r="U2124" s="10"/>
      <c r="V2124" s="10"/>
      <c r="W2124" s="10"/>
      <c r="X2124" s="10"/>
      <c r="Y2124" s="10"/>
      <c r="Z2124" s="10"/>
      <c r="AA2124" s="11" t="str">
        <f t="shared" si="67"/>
        <v/>
      </c>
    </row>
    <row r="2125" spans="16:27" ht="15" customHeight="1">
      <c r="P2125" t="str">
        <f t="shared" si="66"/>
        <v/>
      </c>
      <c r="Q2125" t="str">
        <f>IF(P2125="","",IFERROR(IF(AND(H2125="W7",OR(F2125="causal",F2125="predictive")),IF(AND(OR(K2125=1,K2125="1"),OR(L2125=1,L2125="1"),OR(M2125=1,M2125="1")),"adequate","partial"),IF(AND(H2125="W4",F2125="predictive",OR(J2125="P2",J2125="P3",J2125="P4")),IF(OR(U2125=1,U2125="1"),"adequate","partial"),INDEX(Fit_Matrix!$B:$B,MATCH(P2125,Fit_Matrix!$A:$A,0)))),"CHECK KEY"))</f>
        <v/>
      </c>
      <c r="U2125" s="10"/>
      <c r="V2125" s="10"/>
      <c r="W2125" s="10"/>
      <c r="X2125" s="10"/>
      <c r="Y2125" s="10"/>
      <c r="Z2125" s="10"/>
      <c r="AA2125" s="11" t="str">
        <f t="shared" si="67"/>
        <v/>
      </c>
    </row>
    <row r="2126" spans="16:27" ht="15" customHeight="1">
      <c r="P2126" t="str">
        <f t="shared" si="66"/>
        <v/>
      </c>
      <c r="Q2126" t="str">
        <f>IF(P2126="","",IFERROR(IF(AND(H2126="W7",OR(F2126="causal",F2126="predictive")),IF(AND(OR(K2126=1,K2126="1"),OR(L2126=1,L2126="1"),OR(M2126=1,M2126="1")),"adequate","partial"),IF(AND(H2126="W4",F2126="predictive",OR(J2126="P2",J2126="P3",J2126="P4")),IF(OR(U2126=1,U2126="1"),"adequate","partial"),INDEX(Fit_Matrix!$B:$B,MATCH(P2126,Fit_Matrix!$A:$A,0)))),"CHECK KEY"))</f>
        <v/>
      </c>
      <c r="U2126" s="10"/>
      <c r="V2126" s="10"/>
      <c r="W2126" s="10"/>
      <c r="X2126" s="10"/>
      <c r="Y2126" s="10"/>
      <c r="Z2126" s="10"/>
      <c r="AA2126" s="11" t="str">
        <f t="shared" si="67"/>
        <v/>
      </c>
    </row>
    <row r="2127" spans="16:27" ht="15" customHeight="1">
      <c r="P2127" t="str">
        <f t="shared" si="66"/>
        <v/>
      </c>
      <c r="Q2127" t="str">
        <f>IF(P2127="","",IFERROR(IF(AND(H2127="W7",OR(F2127="causal",F2127="predictive")),IF(AND(OR(K2127=1,K2127="1"),OR(L2127=1,L2127="1"),OR(M2127=1,M2127="1")),"adequate","partial"),IF(AND(H2127="W4",F2127="predictive",OR(J2127="P2",J2127="P3",J2127="P4")),IF(OR(U2127=1,U2127="1"),"adequate","partial"),INDEX(Fit_Matrix!$B:$B,MATCH(P2127,Fit_Matrix!$A:$A,0)))),"CHECK KEY"))</f>
        <v/>
      </c>
      <c r="U2127" s="10"/>
      <c r="V2127" s="10"/>
      <c r="W2127" s="10"/>
      <c r="X2127" s="10"/>
      <c r="Y2127" s="10"/>
      <c r="Z2127" s="10"/>
      <c r="AA2127" s="11" t="str">
        <f t="shared" si="67"/>
        <v/>
      </c>
    </row>
    <row r="2128" spans="16:27" ht="15" customHeight="1">
      <c r="P2128" t="str">
        <f t="shared" si="66"/>
        <v/>
      </c>
      <c r="Q2128" t="str">
        <f>IF(P2128="","",IFERROR(IF(AND(H2128="W7",OR(F2128="causal",F2128="predictive")),IF(AND(OR(K2128=1,K2128="1"),OR(L2128=1,L2128="1"),OR(M2128=1,M2128="1")),"adequate","partial"),IF(AND(H2128="W4",F2128="predictive",OR(J2128="P2",J2128="P3",J2128="P4")),IF(OR(U2128=1,U2128="1"),"adequate","partial"),INDEX(Fit_Matrix!$B:$B,MATCH(P2128,Fit_Matrix!$A:$A,0)))),"CHECK KEY"))</f>
        <v/>
      </c>
      <c r="U2128" s="10"/>
      <c r="V2128" s="10"/>
      <c r="W2128" s="10"/>
      <c r="X2128" s="10"/>
      <c r="Y2128" s="10"/>
      <c r="Z2128" s="10"/>
      <c r="AA2128" s="11" t="str">
        <f t="shared" si="67"/>
        <v/>
      </c>
    </row>
    <row r="2129" spans="16:27" ht="15" customHeight="1">
      <c r="P2129" t="str">
        <f t="shared" si="66"/>
        <v/>
      </c>
      <c r="Q2129" t="str">
        <f>IF(P2129="","",IFERROR(IF(AND(H2129="W7",OR(F2129="causal",F2129="predictive")),IF(AND(OR(K2129=1,K2129="1"),OR(L2129=1,L2129="1"),OR(M2129=1,M2129="1")),"adequate","partial"),IF(AND(H2129="W4",F2129="predictive",OR(J2129="P2",J2129="P3",J2129="P4")),IF(OR(U2129=1,U2129="1"),"adequate","partial"),INDEX(Fit_Matrix!$B:$B,MATCH(P2129,Fit_Matrix!$A:$A,0)))),"CHECK KEY"))</f>
        <v/>
      </c>
      <c r="U2129" s="10"/>
      <c r="V2129" s="10"/>
      <c r="W2129" s="10"/>
      <c r="X2129" s="10"/>
      <c r="Y2129" s="10"/>
      <c r="Z2129" s="10"/>
      <c r="AA2129" s="11" t="str">
        <f t="shared" si="67"/>
        <v/>
      </c>
    </row>
    <row r="2130" spans="16:27" ht="15" customHeight="1">
      <c r="P2130" t="str">
        <f t="shared" si="66"/>
        <v/>
      </c>
      <c r="Q2130" t="str">
        <f>IF(P2130="","",IFERROR(IF(AND(H2130="W7",OR(F2130="causal",F2130="predictive")),IF(AND(OR(K2130=1,K2130="1"),OR(L2130=1,L2130="1"),OR(M2130=1,M2130="1")),"adequate","partial"),IF(AND(H2130="W4",F2130="predictive",OR(J2130="P2",J2130="P3",J2130="P4")),IF(OR(U2130=1,U2130="1"),"adequate","partial"),INDEX(Fit_Matrix!$B:$B,MATCH(P2130,Fit_Matrix!$A:$A,0)))),"CHECK KEY"))</f>
        <v/>
      </c>
      <c r="U2130" s="10"/>
      <c r="V2130" s="10"/>
      <c r="W2130" s="10"/>
      <c r="X2130" s="10"/>
      <c r="Y2130" s="10"/>
      <c r="Z2130" s="10"/>
      <c r="AA2130" s="11" t="str">
        <f t="shared" si="67"/>
        <v/>
      </c>
    </row>
    <row r="2131" spans="16:27" ht="15" customHeight="1">
      <c r="P2131" t="str">
        <f t="shared" si="66"/>
        <v/>
      </c>
      <c r="Q2131" t="str">
        <f>IF(P2131="","",IFERROR(IF(AND(H2131="W7",OR(F2131="causal",F2131="predictive")),IF(AND(OR(K2131=1,K2131="1"),OR(L2131=1,L2131="1"),OR(M2131=1,M2131="1")),"adequate","partial"),IF(AND(H2131="W4",F2131="predictive",OR(J2131="P2",J2131="P3",J2131="P4")),IF(OR(U2131=1,U2131="1"),"adequate","partial"),INDEX(Fit_Matrix!$B:$B,MATCH(P2131,Fit_Matrix!$A:$A,0)))),"CHECK KEY"))</f>
        <v/>
      </c>
      <c r="U2131" s="10"/>
      <c r="V2131" s="10"/>
      <c r="W2131" s="10"/>
      <c r="X2131" s="10"/>
      <c r="Y2131" s="10"/>
      <c r="Z2131" s="10"/>
      <c r="AA2131" s="11" t="str">
        <f t="shared" si="67"/>
        <v/>
      </c>
    </row>
    <row r="2132" spans="16:27" ht="15" customHeight="1">
      <c r="P2132" t="str">
        <f t="shared" si="66"/>
        <v/>
      </c>
      <c r="Q2132" t="str">
        <f>IF(P2132="","",IFERROR(IF(AND(H2132="W7",OR(F2132="causal",F2132="predictive")),IF(AND(OR(K2132=1,K2132="1"),OR(L2132=1,L2132="1"),OR(M2132=1,M2132="1")),"adequate","partial"),IF(AND(H2132="W4",F2132="predictive",OR(J2132="P2",J2132="P3",J2132="P4")),IF(OR(U2132=1,U2132="1"),"adequate","partial"),INDEX(Fit_Matrix!$B:$B,MATCH(P2132,Fit_Matrix!$A:$A,0)))),"CHECK KEY"))</f>
        <v/>
      </c>
      <c r="U2132" s="10"/>
      <c r="V2132" s="10"/>
      <c r="W2132" s="10"/>
      <c r="X2132" s="10"/>
      <c r="Y2132" s="10"/>
      <c r="Z2132" s="10"/>
      <c r="AA2132" s="11" t="str">
        <f t="shared" si="67"/>
        <v/>
      </c>
    </row>
    <row r="2133" spans="16:27" ht="15" customHeight="1">
      <c r="P2133" t="str">
        <f t="shared" si="66"/>
        <v/>
      </c>
      <c r="Q2133" t="str">
        <f>IF(P2133="","",IFERROR(IF(AND(H2133="W7",OR(F2133="causal",F2133="predictive")),IF(AND(OR(K2133=1,K2133="1"),OR(L2133=1,L2133="1"),OR(M2133=1,M2133="1")),"adequate","partial"),IF(AND(H2133="W4",F2133="predictive",OR(J2133="P2",J2133="P3",J2133="P4")),IF(OR(U2133=1,U2133="1"),"adequate","partial"),INDEX(Fit_Matrix!$B:$B,MATCH(P2133,Fit_Matrix!$A:$A,0)))),"CHECK KEY"))</f>
        <v/>
      </c>
      <c r="U2133" s="10"/>
      <c r="V2133" s="10"/>
      <c r="W2133" s="10"/>
      <c r="X2133" s="10"/>
      <c r="Y2133" s="10"/>
      <c r="Z2133" s="10"/>
      <c r="AA2133" s="11" t="str">
        <f t="shared" si="67"/>
        <v/>
      </c>
    </row>
    <row r="2134" spans="16:27" ht="15" customHeight="1">
      <c r="P2134" t="str">
        <f t="shared" si="66"/>
        <v/>
      </c>
      <c r="Q2134" t="str">
        <f>IF(P2134="","",IFERROR(IF(AND(H2134="W7",OR(F2134="causal",F2134="predictive")),IF(AND(OR(K2134=1,K2134="1"),OR(L2134=1,L2134="1"),OR(M2134=1,M2134="1")),"adequate","partial"),IF(AND(H2134="W4",F2134="predictive",OR(J2134="P2",J2134="P3",J2134="P4")),IF(OR(U2134=1,U2134="1"),"adequate","partial"),INDEX(Fit_Matrix!$B:$B,MATCH(P2134,Fit_Matrix!$A:$A,0)))),"CHECK KEY"))</f>
        <v/>
      </c>
      <c r="U2134" s="10"/>
      <c r="V2134" s="10"/>
      <c r="W2134" s="10"/>
      <c r="X2134" s="10"/>
      <c r="Y2134" s="10"/>
      <c r="Z2134" s="10"/>
      <c r="AA2134" s="11" t="str">
        <f t="shared" si="67"/>
        <v/>
      </c>
    </row>
    <row r="2135" spans="16:27" ht="15" customHeight="1">
      <c r="P2135" t="str">
        <f t="shared" si="66"/>
        <v/>
      </c>
      <c r="Q2135" t="str">
        <f>IF(P2135="","",IFERROR(IF(AND(H2135="W7",OR(F2135="causal",F2135="predictive")),IF(AND(OR(K2135=1,K2135="1"),OR(L2135=1,L2135="1"),OR(M2135=1,M2135="1")),"adequate","partial"),IF(AND(H2135="W4",F2135="predictive",OR(J2135="P2",J2135="P3",J2135="P4")),IF(OR(U2135=1,U2135="1"),"adequate","partial"),INDEX(Fit_Matrix!$B:$B,MATCH(P2135,Fit_Matrix!$A:$A,0)))),"CHECK KEY"))</f>
        <v/>
      </c>
      <c r="U2135" s="10"/>
      <c r="V2135" s="10"/>
      <c r="W2135" s="10"/>
      <c r="X2135" s="10"/>
      <c r="Y2135" s="10"/>
      <c r="Z2135" s="10"/>
      <c r="AA2135" s="11" t="str">
        <f t="shared" si="67"/>
        <v/>
      </c>
    </row>
    <row r="2136" spans="16:27" ht="15" customHeight="1">
      <c r="P2136" t="str">
        <f t="shared" si="66"/>
        <v/>
      </c>
      <c r="Q2136" t="str">
        <f>IF(P2136="","",IFERROR(IF(AND(H2136="W7",OR(F2136="causal",F2136="predictive")),IF(AND(OR(K2136=1,K2136="1"),OR(L2136=1,L2136="1"),OR(M2136=1,M2136="1")),"adequate","partial"),IF(AND(H2136="W4",F2136="predictive",OR(J2136="P2",J2136="P3",J2136="P4")),IF(OR(U2136=1,U2136="1"),"adequate","partial"),INDEX(Fit_Matrix!$B:$B,MATCH(P2136,Fit_Matrix!$A:$A,0)))),"CHECK KEY"))</f>
        <v/>
      </c>
      <c r="U2136" s="10"/>
      <c r="V2136" s="10"/>
      <c r="W2136" s="10"/>
      <c r="X2136" s="10"/>
      <c r="Y2136" s="10"/>
      <c r="Z2136" s="10"/>
      <c r="AA2136" s="11" t="str">
        <f t="shared" si="67"/>
        <v/>
      </c>
    </row>
    <row r="2137" spans="16:27" ht="15" customHeight="1">
      <c r="P2137" t="str">
        <f t="shared" si="66"/>
        <v/>
      </c>
      <c r="Q2137" t="str">
        <f>IF(P2137="","",IFERROR(IF(AND(H2137="W7",OR(F2137="causal",F2137="predictive")),IF(AND(OR(K2137=1,K2137="1"),OR(L2137=1,L2137="1"),OR(M2137=1,M2137="1")),"adequate","partial"),IF(AND(H2137="W4",F2137="predictive",OR(J2137="P2",J2137="P3",J2137="P4")),IF(OR(U2137=1,U2137="1"),"adequate","partial"),INDEX(Fit_Matrix!$B:$B,MATCH(P2137,Fit_Matrix!$A:$A,0)))),"CHECK KEY"))</f>
        <v/>
      </c>
      <c r="U2137" s="10"/>
      <c r="V2137" s="10"/>
      <c r="W2137" s="10"/>
      <c r="X2137" s="10"/>
      <c r="Y2137" s="10"/>
      <c r="Z2137" s="10"/>
      <c r="AA2137" s="11" t="str">
        <f t="shared" si="67"/>
        <v/>
      </c>
    </row>
    <row r="2138" spans="16:27" ht="15" customHeight="1">
      <c r="P2138" t="str">
        <f t="shared" si="66"/>
        <v/>
      </c>
      <c r="Q2138" t="str">
        <f>IF(P2138="","",IFERROR(IF(AND(H2138="W7",OR(F2138="causal",F2138="predictive")),IF(AND(OR(K2138=1,K2138="1"),OR(L2138=1,L2138="1"),OR(M2138=1,M2138="1")),"adequate","partial"),IF(AND(H2138="W4",F2138="predictive",OR(J2138="P2",J2138="P3",J2138="P4")),IF(OR(U2138=1,U2138="1"),"adequate","partial"),INDEX(Fit_Matrix!$B:$B,MATCH(P2138,Fit_Matrix!$A:$A,0)))),"CHECK KEY"))</f>
        <v/>
      </c>
      <c r="U2138" s="10"/>
      <c r="V2138" s="10"/>
      <c r="W2138" s="10"/>
      <c r="X2138" s="10"/>
      <c r="Y2138" s="10"/>
      <c r="Z2138" s="10"/>
      <c r="AA2138" s="11" t="str">
        <f t="shared" si="67"/>
        <v/>
      </c>
    </row>
    <row r="2139" spans="16:27" ht="15" customHeight="1">
      <c r="P2139" t="str">
        <f t="shared" si="66"/>
        <v/>
      </c>
      <c r="Q2139" t="str">
        <f>IF(P2139="","",IFERROR(IF(AND(H2139="W7",OR(F2139="causal",F2139="predictive")),IF(AND(OR(K2139=1,K2139="1"),OR(L2139=1,L2139="1"),OR(M2139=1,M2139="1")),"adequate","partial"),IF(AND(H2139="W4",F2139="predictive",OR(J2139="P2",J2139="P3",J2139="P4")),IF(OR(U2139=1,U2139="1"),"adequate","partial"),INDEX(Fit_Matrix!$B:$B,MATCH(P2139,Fit_Matrix!$A:$A,0)))),"CHECK KEY"))</f>
        <v/>
      </c>
      <c r="U2139" s="10"/>
      <c r="V2139" s="10"/>
      <c r="W2139" s="10"/>
      <c r="X2139" s="10"/>
      <c r="Y2139" s="10"/>
      <c r="Z2139" s="10"/>
      <c r="AA2139" s="11" t="str">
        <f t="shared" si="67"/>
        <v/>
      </c>
    </row>
    <row r="2140" spans="16:27" ht="15" customHeight="1">
      <c r="P2140" t="str">
        <f t="shared" si="66"/>
        <v/>
      </c>
      <c r="Q2140" t="str">
        <f>IF(P2140="","",IFERROR(IF(AND(H2140="W7",OR(F2140="causal",F2140="predictive")),IF(AND(OR(K2140=1,K2140="1"),OR(L2140=1,L2140="1"),OR(M2140=1,M2140="1")),"adequate","partial"),IF(AND(H2140="W4",F2140="predictive",OR(J2140="P2",J2140="P3",J2140="P4")),IF(OR(U2140=1,U2140="1"),"adequate","partial"),INDEX(Fit_Matrix!$B:$B,MATCH(P2140,Fit_Matrix!$A:$A,0)))),"CHECK KEY"))</f>
        <v/>
      </c>
      <c r="U2140" s="10"/>
      <c r="V2140" s="10"/>
      <c r="W2140" s="10"/>
      <c r="X2140" s="10"/>
      <c r="Y2140" s="10"/>
      <c r="Z2140" s="10"/>
      <c r="AA2140" s="11" t="str">
        <f t="shared" si="67"/>
        <v/>
      </c>
    </row>
    <row r="2141" spans="16:27" ht="15" customHeight="1">
      <c r="P2141" t="str">
        <f t="shared" si="66"/>
        <v/>
      </c>
      <c r="Q2141" t="str">
        <f>IF(P2141="","",IFERROR(IF(AND(H2141="W7",OR(F2141="causal",F2141="predictive")),IF(AND(OR(K2141=1,K2141="1"),OR(L2141=1,L2141="1"),OR(M2141=1,M2141="1")),"adequate","partial"),IF(AND(H2141="W4",F2141="predictive",OR(J2141="P2",J2141="P3",J2141="P4")),IF(OR(U2141=1,U2141="1"),"adequate","partial"),INDEX(Fit_Matrix!$B:$B,MATCH(P2141,Fit_Matrix!$A:$A,0)))),"CHECK KEY"))</f>
        <v/>
      </c>
      <c r="U2141" s="10"/>
      <c r="V2141" s="10"/>
      <c r="W2141" s="10"/>
      <c r="X2141" s="10"/>
      <c r="Y2141" s="10"/>
      <c r="Z2141" s="10"/>
      <c r="AA2141" s="11" t="str">
        <f t="shared" si="67"/>
        <v/>
      </c>
    </row>
    <row r="2142" spans="16:27" ht="15" customHeight="1">
      <c r="P2142" t="str">
        <f t="shared" si="66"/>
        <v/>
      </c>
      <c r="Q2142" t="str">
        <f>IF(P2142="","",IFERROR(IF(AND(H2142="W7",OR(F2142="causal",F2142="predictive")),IF(AND(OR(K2142=1,K2142="1"),OR(L2142=1,L2142="1"),OR(M2142=1,M2142="1")),"adequate","partial"),IF(AND(H2142="W4",F2142="predictive",OR(J2142="P2",J2142="P3",J2142="P4")),IF(OR(U2142=1,U2142="1"),"adequate","partial"),INDEX(Fit_Matrix!$B:$B,MATCH(P2142,Fit_Matrix!$A:$A,0)))),"CHECK KEY"))</f>
        <v/>
      </c>
      <c r="U2142" s="10"/>
      <c r="V2142" s="10"/>
      <c r="W2142" s="10"/>
      <c r="X2142" s="10"/>
      <c r="Y2142" s="10"/>
      <c r="Z2142" s="10"/>
      <c r="AA2142" s="11" t="str">
        <f t="shared" si="67"/>
        <v/>
      </c>
    </row>
    <row r="2143" spans="16:27" ht="15" customHeight="1">
      <c r="P2143" t="str">
        <f t="shared" si="66"/>
        <v/>
      </c>
      <c r="Q2143" t="str">
        <f>IF(P2143="","",IFERROR(IF(AND(H2143="W7",OR(F2143="causal",F2143="predictive")),IF(AND(OR(K2143=1,K2143="1"),OR(L2143=1,L2143="1"),OR(M2143=1,M2143="1")),"adequate","partial"),IF(AND(H2143="W4",F2143="predictive",OR(J2143="P2",J2143="P3",J2143="P4")),IF(OR(U2143=1,U2143="1"),"adequate","partial"),INDEX(Fit_Matrix!$B:$B,MATCH(P2143,Fit_Matrix!$A:$A,0)))),"CHECK KEY"))</f>
        <v/>
      </c>
      <c r="U2143" s="10"/>
      <c r="V2143" s="10"/>
      <c r="W2143" s="10"/>
      <c r="X2143" s="10"/>
      <c r="Y2143" s="10"/>
      <c r="Z2143" s="10"/>
      <c r="AA2143" s="11" t="str">
        <f t="shared" si="67"/>
        <v/>
      </c>
    </row>
    <row r="2144" spans="16:27" ht="15" customHeight="1">
      <c r="P2144" t="str">
        <f t="shared" si="66"/>
        <v/>
      </c>
      <c r="Q2144" t="str">
        <f>IF(P2144="","",IFERROR(IF(AND(H2144="W7",OR(F2144="causal",F2144="predictive")),IF(AND(OR(K2144=1,K2144="1"),OR(L2144=1,L2144="1"),OR(M2144=1,M2144="1")),"adequate","partial"),IF(AND(H2144="W4",F2144="predictive",OR(J2144="P2",J2144="P3",J2144="P4")),IF(OR(U2144=1,U2144="1"),"adequate","partial"),INDEX(Fit_Matrix!$B:$B,MATCH(P2144,Fit_Matrix!$A:$A,0)))),"CHECK KEY"))</f>
        <v/>
      </c>
      <c r="U2144" s="10"/>
      <c r="V2144" s="10"/>
      <c r="W2144" s="10"/>
      <c r="X2144" s="10"/>
      <c r="Y2144" s="10"/>
      <c r="Z2144" s="10"/>
      <c r="AA2144" s="11" t="str">
        <f t="shared" si="67"/>
        <v/>
      </c>
    </row>
    <row r="2145" spans="16:27" ht="15" customHeight="1">
      <c r="P2145" t="str">
        <f t="shared" si="66"/>
        <v/>
      </c>
      <c r="Q2145" t="str">
        <f>IF(P2145="","",IFERROR(IF(AND(H2145="W7",OR(F2145="causal",F2145="predictive")),IF(AND(OR(K2145=1,K2145="1"),OR(L2145=1,L2145="1"),OR(M2145=1,M2145="1")),"adequate","partial"),IF(AND(H2145="W4",F2145="predictive",OR(J2145="P2",J2145="P3",J2145="P4")),IF(OR(U2145=1,U2145="1"),"adequate","partial"),INDEX(Fit_Matrix!$B:$B,MATCH(P2145,Fit_Matrix!$A:$A,0)))),"CHECK KEY"))</f>
        <v/>
      </c>
      <c r="U2145" s="10"/>
      <c r="V2145" s="10"/>
      <c r="W2145" s="10"/>
      <c r="X2145" s="10"/>
      <c r="Y2145" s="10"/>
      <c r="Z2145" s="10"/>
      <c r="AA2145" s="11" t="str">
        <f t="shared" si="67"/>
        <v/>
      </c>
    </row>
    <row r="2146" spans="16:27" ht="15" customHeight="1">
      <c r="P2146" t="str">
        <f t="shared" si="66"/>
        <v/>
      </c>
      <c r="Q2146" t="str">
        <f>IF(P2146="","",IFERROR(IF(AND(H2146="W7",OR(F2146="causal",F2146="predictive")),IF(AND(OR(K2146=1,K2146="1"),OR(L2146=1,L2146="1"),OR(M2146=1,M2146="1")),"adequate","partial"),IF(AND(H2146="W4",F2146="predictive",OR(J2146="P2",J2146="P3",J2146="P4")),IF(OR(U2146=1,U2146="1"),"adequate","partial"),INDEX(Fit_Matrix!$B:$B,MATCH(P2146,Fit_Matrix!$A:$A,0)))),"CHECK KEY"))</f>
        <v/>
      </c>
      <c r="U2146" s="10"/>
      <c r="V2146" s="10"/>
      <c r="W2146" s="10"/>
      <c r="X2146" s="10"/>
      <c r="Y2146" s="10"/>
      <c r="Z2146" s="10"/>
      <c r="AA2146" s="11" t="str">
        <f t="shared" si="67"/>
        <v/>
      </c>
    </row>
    <row r="2147" spans="16:27" ht="15" customHeight="1">
      <c r="P2147" t="str">
        <f t="shared" si="66"/>
        <v/>
      </c>
      <c r="Q2147" t="str">
        <f>IF(P2147="","",IFERROR(IF(AND(H2147="W7",OR(F2147="causal",F2147="predictive")),IF(AND(OR(K2147=1,K2147="1"),OR(L2147=1,L2147="1"),OR(M2147=1,M2147="1")),"adequate","partial"),IF(AND(H2147="W4",F2147="predictive",OR(J2147="P2",J2147="P3",J2147="P4")),IF(OR(U2147=1,U2147="1"),"adequate","partial"),INDEX(Fit_Matrix!$B:$B,MATCH(P2147,Fit_Matrix!$A:$A,0)))),"CHECK KEY"))</f>
        <v/>
      </c>
      <c r="U2147" s="10"/>
      <c r="V2147" s="10"/>
      <c r="W2147" s="10"/>
      <c r="X2147" s="10"/>
      <c r="Y2147" s="10"/>
      <c r="Z2147" s="10"/>
      <c r="AA2147" s="11" t="str">
        <f t="shared" si="67"/>
        <v/>
      </c>
    </row>
    <row r="2148" spans="16:27" ht="15" customHeight="1">
      <c r="P2148" t="str">
        <f t="shared" si="66"/>
        <v/>
      </c>
      <c r="Q2148" t="str">
        <f>IF(P2148="","",IFERROR(IF(AND(H2148="W7",OR(F2148="causal",F2148="predictive")),IF(AND(OR(K2148=1,K2148="1"),OR(L2148=1,L2148="1"),OR(M2148=1,M2148="1")),"adequate","partial"),IF(AND(H2148="W4",F2148="predictive",OR(J2148="P2",J2148="P3",J2148="P4")),IF(OR(U2148=1,U2148="1"),"adequate","partial"),INDEX(Fit_Matrix!$B:$B,MATCH(P2148,Fit_Matrix!$A:$A,0)))),"CHECK KEY"))</f>
        <v/>
      </c>
      <c r="U2148" s="10"/>
      <c r="V2148" s="10"/>
      <c r="W2148" s="10"/>
      <c r="X2148" s="10"/>
      <c r="Y2148" s="10"/>
      <c r="Z2148" s="10"/>
      <c r="AA2148" s="11" t="str">
        <f t="shared" si="67"/>
        <v/>
      </c>
    </row>
    <row r="2149" spans="16:27" ht="15" customHeight="1">
      <c r="P2149" t="str">
        <f t="shared" si="66"/>
        <v/>
      </c>
      <c r="Q2149" t="str">
        <f>IF(P2149="","",IFERROR(IF(AND(H2149="W7",OR(F2149="causal",F2149="predictive")),IF(AND(OR(K2149=1,K2149="1"),OR(L2149=1,L2149="1"),OR(M2149=1,M2149="1")),"adequate","partial"),IF(AND(H2149="W4",F2149="predictive",OR(J2149="P2",J2149="P3",J2149="P4")),IF(OR(U2149=1,U2149="1"),"adequate","partial"),INDEX(Fit_Matrix!$B:$B,MATCH(P2149,Fit_Matrix!$A:$A,0)))),"CHECK KEY"))</f>
        <v/>
      </c>
      <c r="U2149" s="10"/>
      <c r="V2149" s="10"/>
      <c r="W2149" s="10"/>
      <c r="X2149" s="10"/>
      <c r="Y2149" s="10"/>
      <c r="Z2149" s="10"/>
      <c r="AA2149" s="11" t="str">
        <f t="shared" si="67"/>
        <v/>
      </c>
    </row>
    <row r="2150" spans="16:27" ht="15" customHeight="1">
      <c r="P2150" t="str">
        <f t="shared" si="66"/>
        <v/>
      </c>
      <c r="Q2150" t="str">
        <f>IF(P2150="","",IFERROR(IF(AND(H2150="W7",OR(F2150="causal",F2150="predictive")),IF(AND(OR(K2150=1,K2150="1"),OR(L2150=1,L2150="1"),OR(M2150=1,M2150="1")),"adequate","partial"),IF(AND(H2150="W4",F2150="predictive",OR(J2150="P2",J2150="P3",J2150="P4")),IF(OR(U2150=1,U2150="1"),"adequate","partial"),INDEX(Fit_Matrix!$B:$B,MATCH(P2150,Fit_Matrix!$A:$A,0)))),"CHECK KEY"))</f>
        <v/>
      </c>
      <c r="U2150" s="10"/>
      <c r="V2150" s="10"/>
      <c r="W2150" s="10"/>
      <c r="X2150" s="10"/>
      <c r="Y2150" s="10"/>
      <c r="Z2150" s="10"/>
      <c r="AA2150" s="11" t="str">
        <f t="shared" si="67"/>
        <v/>
      </c>
    </row>
    <row r="2151" spans="16:27" ht="15" customHeight="1">
      <c r="P2151" t="str">
        <f t="shared" si="66"/>
        <v/>
      </c>
      <c r="Q2151" t="str">
        <f>IF(P2151="","",IFERROR(IF(AND(H2151="W7",OR(F2151="causal",F2151="predictive")),IF(AND(OR(K2151=1,K2151="1"),OR(L2151=1,L2151="1"),OR(M2151=1,M2151="1")),"adequate","partial"),IF(AND(H2151="W4",F2151="predictive",OR(J2151="P2",J2151="P3",J2151="P4")),IF(OR(U2151=1,U2151="1"),"adequate","partial"),INDEX(Fit_Matrix!$B:$B,MATCH(P2151,Fit_Matrix!$A:$A,0)))),"CHECK KEY"))</f>
        <v/>
      </c>
      <c r="U2151" s="10"/>
      <c r="V2151" s="10"/>
      <c r="W2151" s="10"/>
      <c r="X2151" s="10"/>
      <c r="Y2151" s="10"/>
      <c r="Z2151" s="10"/>
      <c r="AA2151" s="11" t="str">
        <f t="shared" si="67"/>
        <v/>
      </c>
    </row>
    <row r="2152" spans="16:27" ht="15" customHeight="1">
      <c r="P2152" t="str">
        <f t="shared" si="66"/>
        <v/>
      </c>
      <c r="Q2152" t="str">
        <f>IF(P2152="","",IFERROR(IF(AND(H2152="W7",OR(F2152="causal",F2152="predictive")),IF(AND(OR(K2152=1,K2152="1"),OR(L2152=1,L2152="1"),OR(M2152=1,M2152="1")),"adequate","partial"),IF(AND(H2152="W4",F2152="predictive",OR(J2152="P2",J2152="P3",J2152="P4")),IF(OR(U2152=1,U2152="1"),"adequate","partial"),INDEX(Fit_Matrix!$B:$B,MATCH(P2152,Fit_Matrix!$A:$A,0)))),"CHECK KEY"))</f>
        <v/>
      </c>
      <c r="U2152" s="10"/>
      <c r="V2152" s="10"/>
      <c r="W2152" s="10"/>
      <c r="X2152" s="10"/>
      <c r="Y2152" s="10"/>
      <c r="Z2152" s="10"/>
      <c r="AA2152" s="11" t="str">
        <f t="shared" si="67"/>
        <v/>
      </c>
    </row>
    <row r="2153" spans="16:27" ht="15" customHeight="1">
      <c r="P2153" t="str">
        <f t="shared" si="66"/>
        <v/>
      </c>
      <c r="Q2153" t="str">
        <f>IF(P2153="","",IFERROR(IF(AND(H2153="W7",OR(F2153="causal",F2153="predictive")),IF(AND(OR(K2153=1,K2153="1"),OR(L2153=1,L2153="1"),OR(M2153=1,M2153="1")),"adequate","partial"),IF(AND(H2153="W4",F2153="predictive",OR(J2153="P2",J2153="P3",J2153="P4")),IF(OR(U2153=1,U2153="1"),"adequate","partial"),INDEX(Fit_Matrix!$B:$B,MATCH(P2153,Fit_Matrix!$A:$A,0)))),"CHECK KEY"))</f>
        <v/>
      </c>
      <c r="U2153" s="10"/>
      <c r="V2153" s="10"/>
      <c r="W2153" s="10"/>
      <c r="X2153" s="10"/>
      <c r="Y2153" s="10"/>
      <c r="Z2153" s="10"/>
      <c r="AA2153" s="11" t="str">
        <f t="shared" si="67"/>
        <v/>
      </c>
    </row>
    <row r="2154" spans="16:27" ht="15" customHeight="1">
      <c r="P2154" t="str">
        <f t="shared" si="66"/>
        <v/>
      </c>
      <c r="Q2154" t="str">
        <f>IF(P2154="","",IFERROR(IF(AND(H2154="W7",OR(F2154="causal",F2154="predictive")),IF(AND(OR(K2154=1,K2154="1"),OR(L2154=1,L2154="1"),OR(M2154=1,M2154="1")),"adequate","partial"),IF(AND(H2154="W4",F2154="predictive",OR(J2154="P2",J2154="P3",J2154="P4")),IF(OR(U2154=1,U2154="1"),"adequate","partial"),INDEX(Fit_Matrix!$B:$B,MATCH(P2154,Fit_Matrix!$A:$A,0)))),"CHECK KEY"))</f>
        <v/>
      </c>
      <c r="U2154" s="10"/>
      <c r="V2154" s="10"/>
      <c r="W2154" s="10"/>
      <c r="X2154" s="10"/>
      <c r="Y2154" s="10"/>
      <c r="Z2154" s="10"/>
      <c r="AA2154" s="11" t="str">
        <f t="shared" si="67"/>
        <v/>
      </c>
    </row>
    <row r="2155" spans="16:27" ht="15" customHeight="1">
      <c r="P2155" t="str">
        <f t="shared" si="66"/>
        <v/>
      </c>
      <c r="Q2155" t="str">
        <f>IF(P2155="","",IFERROR(IF(AND(H2155="W7",OR(F2155="causal",F2155="predictive")),IF(AND(OR(K2155=1,K2155="1"),OR(L2155=1,L2155="1"),OR(M2155=1,M2155="1")),"adequate","partial"),IF(AND(H2155="W4",F2155="predictive",OR(J2155="P2",J2155="P3",J2155="P4")),IF(OR(U2155=1,U2155="1"),"adequate","partial"),INDEX(Fit_Matrix!$B:$B,MATCH(P2155,Fit_Matrix!$A:$A,0)))),"CHECK KEY"))</f>
        <v/>
      </c>
      <c r="U2155" s="10"/>
      <c r="V2155" s="10"/>
      <c r="W2155" s="10"/>
      <c r="X2155" s="10"/>
      <c r="Y2155" s="10"/>
      <c r="Z2155" s="10"/>
      <c r="AA2155" s="11" t="str">
        <f t="shared" si="67"/>
        <v/>
      </c>
    </row>
    <row r="2156" spans="16:27" ht="15" customHeight="1">
      <c r="P2156" t="str">
        <f t="shared" si="66"/>
        <v/>
      </c>
      <c r="Q2156" t="str">
        <f>IF(P2156="","",IFERROR(IF(AND(H2156="W7",OR(F2156="causal",F2156="predictive")),IF(AND(OR(K2156=1,K2156="1"),OR(L2156=1,L2156="1"),OR(M2156=1,M2156="1")),"adequate","partial"),IF(AND(H2156="W4",F2156="predictive",OR(J2156="P2",J2156="P3",J2156="P4")),IF(OR(U2156=1,U2156="1"),"adequate","partial"),INDEX(Fit_Matrix!$B:$B,MATCH(P2156,Fit_Matrix!$A:$A,0)))),"CHECK KEY"))</f>
        <v/>
      </c>
      <c r="U2156" s="10"/>
      <c r="V2156" s="10"/>
      <c r="W2156" s="10"/>
      <c r="X2156" s="10"/>
      <c r="Y2156" s="10"/>
      <c r="Z2156" s="10"/>
      <c r="AA2156" s="11" t="str">
        <f t="shared" si="67"/>
        <v/>
      </c>
    </row>
    <row r="2157" spans="16:27" ht="15" customHeight="1">
      <c r="P2157" t="str">
        <f t="shared" si="66"/>
        <v/>
      </c>
      <c r="Q2157" t="str">
        <f>IF(P2157="","",IFERROR(IF(AND(H2157="W7",OR(F2157="causal",F2157="predictive")),IF(AND(OR(K2157=1,K2157="1"),OR(L2157=1,L2157="1"),OR(M2157=1,M2157="1")),"adequate","partial"),IF(AND(H2157="W4",F2157="predictive",OR(J2157="P2",J2157="P3",J2157="P4")),IF(OR(U2157=1,U2157="1"),"adequate","partial"),INDEX(Fit_Matrix!$B:$B,MATCH(P2157,Fit_Matrix!$A:$A,0)))),"CHECK KEY"))</f>
        <v/>
      </c>
      <c r="U2157" s="10"/>
      <c r="V2157" s="10"/>
      <c r="W2157" s="10"/>
      <c r="X2157" s="10"/>
      <c r="Y2157" s="10"/>
      <c r="Z2157" s="10"/>
      <c r="AA2157" s="11" t="str">
        <f t="shared" si="67"/>
        <v/>
      </c>
    </row>
    <row r="2158" spans="16:27" ht="15" customHeight="1">
      <c r="P2158" t="str">
        <f t="shared" si="66"/>
        <v/>
      </c>
      <c r="Q2158" t="str">
        <f>IF(P2158="","",IFERROR(IF(AND(H2158="W7",OR(F2158="causal",F2158="predictive")),IF(AND(OR(K2158=1,K2158="1"),OR(L2158=1,L2158="1"),OR(M2158=1,M2158="1")),"adequate","partial"),IF(AND(H2158="W4",F2158="predictive",OR(J2158="P2",J2158="P3",J2158="P4")),IF(OR(U2158=1,U2158="1"),"adequate","partial"),INDEX(Fit_Matrix!$B:$B,MATCH(P2158,Fit_Matrix!$A:$A,0)))),"CHECK KEY"))</f>
        <v/>
      </c>
      <c r="U2158" s="10"/>
      <c r="V2158" s="10"/>
      <c r="W2158" s="10"/>
      <c r="X2158" s="10"/>
      <c r="Y2158" s="10"/>
      <c r="Z2158" s="10"/>
      <c r="AA2158" s="11" t="str">
        <f t="shared" si="67"/>
        <v/>
      </c>
    </row>
    <row r="2159" spans="16:27" ht="15" customHeight="1">
      <c r="P2159" t="str">
        <f t="shared" si="66"/>
        <v/>
      </c>
      <c r="Q2159" t="str">
        <f>IF(P2159="","",IFERROR(IF(AND(H2159="W7",OR(F2159="causal",F2159="predictive")),IF(AND(OR(K2159=1,K2159="1"),OR(L2159=1,L2159="1"),OR(M2159=1,M2159="1")),"adequate","partial"),IF(AND(H2159="W4",F2159="predictive",OR(J2159="P2",J2159="P3",J2159="P4")),IF(OR(U2159=1,U2159="1"),"adequate","partial"),INDEX(Fit_Matrix!$B:$B,MATCH(P2159,Fit_Matrix!$A:$A,0)))),"CHECK KEY"))</f>
        <v/>
      </c>
      <c r="U2159" s="10"/>
      <c r="V2159" s="10"/>
      <c r="W2159" s="10"/>
      <c r="X2159" s="10"/>
      <c r="Y2159" s="10"/>
      <c r="Z2159" s="10"/>
      <c r="AA2159" s="11" t="str">
        <f t="shared" si="67"/>
        <v/>
      </c>
    </row>
    <row r="2160" spans="16:27" ht="15" customHeight="1">
      <c r="P2160" t="str">
        <f t="shared" si="66"/>
        <v/>
      </c>
      <c r="Q2160" t="str">
        <f>IF(P2160="","",IFERROR(IF(AND(H2160="W7",OR(F2160="causal",F2160="predictive")),IF(AND(OR(K2160=1,K2160="1"),OR(L2160=1,L2160="1"),OR(M2160=1,M2160="1")),"adequate","partial"),IF(AND(H2160="W4",F2160="predictive",OR(J2160="P2",J2160="P3",J2160="P4")),IF(OR(U2160=1,U2160="1"),"adequate","partial"),INDEX(Fit_Matrix!$B:$B,MATCH(P2160,Fit_Matrix!$A:$A,0)))),"CHECK KEY"))</f>
        <v/>
      </c>
      <c r="U2160" s="10"/>
      <c r="V2160" s="10"/>
      <c r="W2160" s="10"/>
      <c r="X2160" s="10"/>
      <c r="Y2160" s="10"/>
      <c r="Z2160" s="10"/>
      <c r="AA2160" s="11" t="str">
        <f t="shared" si="67"/>
        <v/>
      </c>
    </row>
    <row r="2161" spans="16:27" ht="15" customHeight="1">
      <c r="P2161" t="str">
        <f t="shared" si="66"/>
        <v/>
      </c>
      <c r="Q2161" t="str">
        <f>IF(P2161="","",IFERROR(IF(AND(H2161="W7",OR(F2161="causal",F2161="predictive")),IF(AND(OR(K2161=1,K2161="1"),OR(L2161=1,L2161="1"),OR(M2161=1,M2161="1")),"adequate","partial"),IF(AND(H2161="W4",F2161="predictive",OR(J2161="P2",J2161="P3",J2161="P4")),IF(OR(U2161=1,U2161="1"),"adequate","partial"),INDEX(Fit_Matrix!$B:$B,MATCH(P2161,Fit_Matrix!$A:$A,0)))),"CHECK KEY"))</f>
        <v/>
      </c>
      <c r="U2161" s="10"/>
      <c r="V2161" s="10"/>
      <c r="W2161" s="10"/>
      <c r="X2161" s="10"/>
      <c r="Y2161" s="10"/>
      <c r="Z2161" s="10"/>
      <c r="AA2161" s="11" t="str">
        <f t="shared" si="67"/>
        <v/>
      </c>
    </row>
    <row r="2162" spans="16:27" ht="15" customHeight="1">
      <c r="P2162" t="str">
        <f t="shared" si="66"/>
        <v/>
      </c>
      <c r="Q2162" t="str">
        <f>IF(P2162="","",IFERROR(IF(AND(H2162="W7",OR(F2162="causal",F2162="predictive")),IF(AND(OR(K2162=1,K2162="1"),OR(L2162=1,L2162="1"),OR(M2162=1,M2162="1")),"adequate","partial"),IF(AND(H2162="W4",F2162="predictive",OR(J2162="P2",J2162="P3",J2162="P4")),IF(OR(U2162=1,U2162="1"),"adequate","partial"),INDEX(Fit_Matrix!$B:$B,MATCH(P2162,Fit_Matrix!$A:$A,0)))),"CHECK KEY"))</f>
        <v/>
      </c>
      <c r="U2162" s="10"/>
      <c r="V2162" s="10"/>
      <c r="W2162" s="10"/>
      <c r="X2162" s="10"/>
      <c r="Y2162" s="10"/>
      <c r="Z2162" s="10"/>
      <c r="AA2162" s="11" t="str">
        <f t="shared" si="67"/>
        <v/>
      </c>
    </row>
    <row r="2163" spans="16:27" ht="15" customHeight="1">
      <c r="P2163" t="str">
        <f t="shared" si="66"/>
        <v/>
      </c>
      <c r="Q2163" t="str">
        <f>IF(P2163="","",IFERROR(IF(AND(H2163="W7",OR(F2163="causal",F2163="predictive")),IF(AND(OR(K2163=1,K2163="1"),OR(L2163=1,L2163="1"),OR(M2163=1,M2163="1")),"adequate","partial"),IF(AND(H2163="W4",F2163="predictive",OR(J2163="P2",J2163="P3",J2163="P4")),IF(OR(U2163=1,U2163="1"),"adequate","partial"),INDEX(Fit_Matrix!$B:$B,MATCH(P2163,Fit_Matrix!$A:$A,0)))),"CHECK KEY"))</f>
        <v/>
      </c>
      <c r="U2163" s="10"/>
      <c r="V2163" s="10"/>
      <c r="W2163" s="10"/>
      <c r="X2163" s="10"/>
      <c r="Y2163" s="10"/>
      <c r="Z2163" s="10"/>
      <c r="AA2163" s="11" t="str">
        <f t="shared" si="67"/>
        <v/>
      </c>
    </row>
    <row r="2164" spans="16:27" ht="15" customHeight="1">
      <c r="P2164" t="str">
        <f t="shared" si="66"/>
        <v/>
      </c>
      <c r="Q2164" t="str">
        <f>IF(P2164="","",IFERROR(IF(AND(H2164="W7",OR(F2164="causal",F2164="predictive")),IF(AND(OR(K2164=1,K2164="1"),OR(L2164=1,L2164="1"),OR(M2164=1,M2164="1")),"adequate","partial"),IF(AND(H2164="W4",F2164="predictive",OR(J2164="P2",J2164="P3",J2164="P4")),IF(OR(U2164=1,U2164="1"),"adequate","partial"),INDEX(Fit_Matrix!$B:$B,MATCH(P2164,Fit_Matrix!$A:$A,0)))),"CHECK KEY"))</f>
        <v/>
      </c>
      <c r="U2164" s="10"/>
      <c r="V2164" s="10"/>
      <c r="W2164" s="10"/>
      <c r="X2164" s="10"/>
      <c r="Y2164" s="10"/>
      <c r="Z2164" s="10"/>
      <c r="AA2164" s="11" t="str">
        <f t="shared" si="67"/>
        <v/>
      </c>
    </row>
    <row r="2165" spans="16:27" ht="15" customHeight="1">
      <c r="P2165" t="str">
        <f t="shared" si="66"/>
        <v/>
      </c>
      <c r="Q2165" t="str">
        <f>IF(P2165="","",IFERROR(IF(AND(H2165="W7",OR(F2165="causal",F2165="predictive")),IF(AND(OR(K2165=1,K2165="1"),OR(L2165=1,L2165="1"),OR(M2165=1,M2165="1")),"adequate","partial"),IF(AND(H2165="W4",F2165="predictive",OR(J2165="P2",J2165="P3",J2165="P4")),IF(OR(U2165=1,U2165="1"),"adequate","partial"),INDEX(Fit_Matrix!$B:$B,MATCH(P2165,Fit_Matrix!$A:$A,0)))),"CHECK KEY"))</f>
        <v/>
      </c>
      <c r="U2165" s="10"/>
      <c r="V2165" s="10"/>
      <c r="W2165" s="10"/>
      <c r="X2165" s="10"/>
      <c r="Y2165" s="10"/>
      <c r="Z2165" s="10"/>
      <c r="AA2165" s="11" t="str">
        <f t="shared" si="67"/>
        <v/>
      </c>
    </row>
    <row r="2166" spans="16:27" ht="15" customHeight="1">
      <c r="P2166" t="str">
        <f t="shared" si="66"/>
        <v/>
      </c>
      <c r="Q2166" t="str">
        <f>IF(P2166="","",IFERROR(IF(AND(H2166="W7",OR(F2166="causal",F2166="predictive")),IF(AND(OR(K2166=1,K2166="1"),OR(L2166=1,L2166="1"),OR(M2166=1,M2166="1")),"adequate","partial"),IF(AND(H2166="W4",F2166="predictive",OR(J2166="P2",J2166="P3",J2166="P4")),IF(OR(U2166=1,U2166="1"),"adequate","partial"),INDEX(Fit_Matrix!$B:$B,MATCH(P2166,Fit_Matrix!$A:$A,0)))),"CHECK KEY"))</f>
        <v/>
      </c>
      <c r="U2166" s="10"/>
      <c r="V2166" s="10"/>
      <c r="W2166" s="10"/>
      <c r="X2166" s="10"/>
      <c r="Y2166" s="10"/>
      <c r="Z2166" s="10"/>
      <c r="AA2166" s="11" t="str">
        <f t="shared" si="67"/>
        <v/>
      </c>
    </row>
    <row r="2167" spans="16:27" ht="15" customHeight="1">
      <c r="P2167" t="str">
        <f t="shared" si="66"/>
        <v/>
      </c>
      <c r="Q2167" t="str">
        <f>IF(P2167="","",IFERROR(IF(AND(H2167="W7",OR(F2167="causal",F2167="predictive")),IF(AND(OR(K2167=1,K2167="1"),OR(L2167=1,L2167="1"),OR(M2167=1,M2167="1")),"adequate","partial"),IF(AND(H2167="W4",F2167="predictive",OR(J2167="P2",J2167="P3",J2167="P4")),IF(OR(U2167=1,U2167="1"),"adequate","partial"),INDEX(Fit_Matrix!$B:$B,MATCH(P2167,Fit_Matrix!$A:$A,0)))),"CHECK KEY"))</f>
        <v/>
      </c>
      <c r="U2167" s="10"/>
      <c r="V2167" s="10"/>
      <c r="W2167" s="10"/>
      <c r="X2167" s="10"/>
      <c r="Y2167" s="10"/>
      <c r="Z2167" s="10"/>
      <c r="AA2167" s="11" t="str">
        <f t="shared" si="67"/>
        <v/>
      </c>
    </row>
    <row r="2168" spans="16:27" ht="15" customHeight="1">
      <c r="P2168" t="str">
        <f t="shared" si="66"/>
        <v/>
      </c>
      <c r="Q2168" t="str">
        <f>IF(P2168="","",IFERROR(IF(AND(H2168="W7",OR(F2168="causal",F2168="predictive")),IF(AND(OR(K2168=1,K2168="1"),OR(L2168=1,L2168="1"),OR(M2168=1,M2168="1")),"adequate","partial"),IF(AND(H2168="W4",F2168="predictive",OR(J2168="P2",J2168="P3",J2168="P4")),IF(OR(U2168=1,U2168="1"),"adequate","partial"),INDEX(Fit_Matrix!$B:$B,MATCH(P2168,Fit_Matrix!$A:$A,0)))),"CHECK KEY"))</f>
        <v/>
      </c>
      <c r="U2168" s="10"/>
      <c r="V2168" s="10"/>
      <c r="W2168" s="10"/>
      <c r="X2168" s="10"/>
      <c r="Y2168" s="10"/>
      <c r="Z2168" s="10"/>
      <c r="AA2168" s="11" t="str">
        <f t="shared" si="67"/>
        <v/>
      </c>
    </row>
    <row r="2169" spans="16:27" ht="15" customHeight="1">
      <c r="P2169" t="str">
        <f t="shared" si="66"/>
        <v/>
      </c>
      <c r="Q2169" t="str">
        <f>IF(P2169="","",IFERROR(IF(AND(H2169="W7",OR(F2169="causal",F2169="predictive")),IF(AND(OR(K2169=1,K2169="1"),OR(L2169=1,L2169="1"),OR(M2169=1,M2169="1")),"adequate","partial"),IF(AND(H2169="W4",F2169="predictive",OR(J2169="P2",J2169="P3",J2169="P4")),IF(OR(U2169=1,U2169="1"),"adequate","partial"),INDEX(Fit_Matrix!$B:$B,MATCH(P2169,Fit_Matrix!$A:$A,0)))),"CHECK KEY"))</f>
        <v/>
      </c>
      <c r="U2169" s="10"/>
      <c r="V2169" s="10"/>
      <c r="W2169" s="10"/>
      <c r="X2169" s="10"/>
      <c r="Y2169" s="10"/>
      <c r="Z2169" s="10"/>
      <c r="AA2169" s="11" t="str">
        <f t="shared" si="67"/>
        <v/>
      </c>
    </row>
    <row r="2170" spans="16:27" ht="15" customHeight="1">
      <c r="P2170" t="str">
        <f t="shared" si="66"/>
        <v/>
      </c>
      <c r="Q2170" t="str">
        <f>IF(P2170="","",IFERROR(IF(AND(H2170="W7",OR(F2170="causal",F2170="predictive")),IF(AND(OR(K2170=1,K2170="1"),OR(L2170=1,L2170="1"),OR(M2170=1,M2170="1")),"adequate","partial"),IF(AND(H2170="W4",F2170="predictive",OR(J2170="P2",J2170="P3",J2170="P4")),IF(OR(U2170=1,U2170="1"),"adequate","partial"),INDEX(Fit_Matrix!$B:$B,MATCH(P2170,Fit_Matrix!$A:$A,0)))),"CHECK KEY"))</f>
        <v/>
      </c>
      <c r="U2170" s="10"/>
      <c r="V2170" s="10"/>
      <c r="W2170" s="10"/>
      <c r="X2170" s="10"/>
      <c r="Y2170" s="10"/>
      <c r="Z2170" s="10"/>
      <c r="AA2170" s="11" t="str">
        <f t="shared" si="67"/>
        <v/>
      </c>
    </row>
    <row r="2171" spans="16:27" ht="15" customHeight="1">
      <c r="P2171" t="str">
        <f t="shared" si="66"/>
        <v/>
      </c>
      <c r="Q2171" t="str">
        <f>IF(P2171="","",IFERROR(IF(AND(H2171="W7",OR(F2171="causal",F2171="predictive")),IF(AND(OR(K2171=1,K2171="1"),OR(L2171=1,L2171="1"),OR(M2171=1,M2171="1")),"adequate","partial"),IF(AND(H2171="W4",F2171="predictive",OR(J2171="P2",J2171="P3",J2171="P4")),IF(OR(U2171=1,U2171="1"),"adequate","partial"),INDEX(Fit_Matrix!$B:$B,MATCH(P2171,Fit_Matrix!$A:$A,0)))),"CHECK KEY"))</f>
        <v/>
      </c>
      <c r="U2171" s="10"/>
      <c r="V2171" s="10"/>
      <c r="W2171" s="10"/>
      <c r="X2171" s="10"/>
      <c r="Y2171" s="10"/>
      <c r="Z2171" s="10"/>
      <c r="AA2171" s="11" t="str">
        <f t="shared" si="67"/>
        <v/>
      </c>
    </row>
    <row r="2172" spans="16:27" ht="15" customHeight="1">
      <c r="P2172" t="str">
        <f t="shared" si="66"/>
        <v/>
      </c>
      <c r="Q2172" t="str">
        <f>IF(P2172="","",IFERROR(IF(AND(H2172="W7",OR(F2172="causal",F2172="predictive")),IF(AND(OR(K2172=1,K2172="1"),OR(L2172=1,L2172="1"),OR(M2172=1,M2172="1")),"adequate","partial"),IF(AND(H2172="W4",F2172="predictive",OR(J2172="P2",J2172="P3",J2172="P4")),IF(OR(U2172=1,U2172="1"),"adequate","partial"),INDEX(Fit_Matrix!$B:$B,MATCH(P2172,Fit_Matrix!$A:$A,0)))),"CHECK KEY"))</f>
        <v/>
      </c>
      <c r="U2172" s="10"/>
      <c r="V2172" s="10"/>
      <c r="W2172" s="10"/>
      <c r="X2172" s="10"/>
      <c r="Y2172" s="10"/>
      <c r="Z2172" s="10"/>
      <c r="AA2172" s="11" t="str">
        <f t="shared" si="67"/>
        <v/>
      </c>
    </row>
    <row r="2173" spans="16:27" ht="15" customHeight="1">
      <c r="P2173" t="str">
        <f t="shared" si="66"/>
        <v/>
      </c>
      <c r="Q2173" t="str">
        <f>IF(P2173="","",IFERROR(IF(AND(H2173="W7",OR(F2173="causal",F2173="predictive")),IF(AND(OR(K2173=1,K2173="1"),OR(L2173=1,L2173="1"),OR(M2173=1,M2173="1")),"adequate","partial"),IF(AND(H2173="W4",F2173="predictive",OR(J2173="P2",J2173="P3",J2173="P4")),IF(OR(U2173=1,U2173="1"),"adequate","partial"),INDEX(Fit_Matrix!$B:$B,MATCH(P2173,Fit_Matrix!$A:$A,0)))),"CHECK KEY"))</f>
        <v/>
      </c>
      <c r="U2173" s="10"/>
      <c r="V2173" s="10"/>
      <c r="W2173" s="10"/>
      <c r="X2173" s="10"/>
      <c r="Y2173" s="10"/>
      <c r="Z2173" s="10"/>
      <c r="AA2173" s="11" t="str">
        <f t="shared" si="67"/>
        <v/>
      </c>
    </row>
    <row r="2174" spans="16:27" ht="15" customHeight="1">
      <c r="P2174" t="str">
        <f t="shared" si="66"/>
        <v/>
      </c>
      <c r="Q2174" t="str">
        <f>IF(P2174="","",IFERROR(IF(AND(H2174="W7",OR(F2174="causal",F2174="predictive")),IF(AND(OR(K2174=1,K2174="1"),OR(L2174=1,L2174="1"),OR(M2174=1,M2174="1")),"adequate","partial"),IF(AND(H2174="W4",F2174="predictive",OR(J2174="P2",J2174="P3",J2174="P4")),IF(OR(U2174=1,U2174="1"),"adequate","partial"),INDEX(Fit_Matrix!$B:$B,MATCH(P2174,Fit_Matrix!$A:$A,0)))),"CHECK KEY"))</f>
        <v/>
      </c>
      <c r="U2174" s="10"/>
      <c r="V2174" s="10"/>
      <c r="W2174" s="10"/>
      <c r="X2174" s="10"/>
      <c r="Y2174" s="10"/>
      <c r="Z2174" s="10"/>
      <c r="AA2174" s="11" t="str">
        <f t="shared" si="67"/>
        <v/>
      </c>
    </row>
    <row r="2175" spans="16:27" ht="15" customHeight="1">
      <c r="P2175" t="str">
        <f t="shared" si="66"/>
        <v/>
      </c>
      <c r="Q2175" t="str">
        <f>IF(P2175="","",IFERROR(IF(AND(H2175="W7",OR(F2175="causal",F2175="predictive")),IF(AND(OR(K2175=1,K2175="1"),OR(L2175=1,L2175="1"),OR(M2175=1,M2175="1")),"adequate","partial"),IF(AND(H2175="W4",F2175="predictive",OR(J2175="P2",J2175="P3",J2175="P4")),IF(OR(U2175=1,U2175="1"),"adequate","partial"),INDEX(Fit_Matrix!$B:$B,MATCH(P2175,Fit_Matrix!$A:$A,0)))),"CHECK KEY"))</f>
        <v/>
      </c>
      <c r="U2175" s="10"/>
      <c r="V2175" s="10"/>
      <c r="W2175" s="10"/>
      <c r="X2175" s="10"/>
      <c r="Y2175" s="10"/>
      <c r="Z2175" s="10"/>
      <c r="AA2175" s="11" t="str">
        <f t="shared" si="67"/>
        <v/>
      </c>
    </row>
    <row r="2176" spans="16:27" ht="15" customHeight="1">
      <c r="P2176" t="str">
        <f t="shared" si="66"/>
        <v/>
      </c>
      <c r="Q2176" t="str">
        <f>IF(P2176="","",IFERROR(IF(AND(H2176="W7",OR(F2176="causal",F2176="predictive")),IF(AND(OR(K2176=1,K2176="1"),OR(L2176=1,L2176="1"),OR(M2176=1,M2176="1")),"adequate","partial"),IF(AND(H2176="W4",F2176="predictive",OR(J2176="P2",J2176="P3",J2176="P4")),IF(OR(U2176=1,U2176="1"),"adequate","partial"),INDEX(Fit_Matrix!$B:$B,MATCH(P2176,Fit_Matrix!$A:$A,0)))),"CHECK KEY"))</f>
        <v/>
      </c>
      <c r="U2176" s="10"/>
      <c r="V2176" s="10"/>
      <c r="W2176" s="10"/>
      <c r="X2176" s="10"/>
      <c r="Y2176" s="10"/>
      <c r="Z2176" s="10"/>
      <c r="AA2176" s="11" t="str">
        <f t="shared" si="67"/>
        <v/>
      </c>
    </row>
    <row r="2177" spans="16:27" ht="15" customHeight="1">
      <c r="P2177" t="str">
        <f t="shared" si="66"/>
        <v/>
      </c>
      <c r="Q2177" t="str">
        <f>IF(P2177="","",IFERROR(IF(AND(H2177="W7",OR(F2177="causal",F2177="predictive")),IF(AND(OR(K2177=1,K2177="1"),OR(L2177=1,L2177="1"),OR(M2177=1,M2177="1")),"adequate","partial"),IF(AND(H2177="W4",F2177="predictive",OR(J2177="P2",J2177="P3",J2177="P4")),IF(OR(U2177=1,U2177="1"),"adequate","partial"),INDEX(Fit_Matrix!$B:$B,MATCH(P2177,Fit_Matrix!$A:$A,0)))),"CHECK KEY"))</f>
        <v/>
      </c>
      <c r="U2177" s="10"/>
      <c r="V2177" s="10"/>
      <c r="W2177" s="10"/>
      <c r="X2177" s="10"/>
      <c r="Y2177" s="10"/>
      <c r="Z2177" s="10"/>
      <c r="AA2177" s="11" t="str">
        <f t="shared" si="67"/>
        <v/>
      </c>
    </row>
    <row r="2178" spans="16:27" ht="15" customHeight="1">
      <c r="P2178" t="str">
        <f t="shared" ref="P2178:P2241" si="68">IF(OR(F2178="",H2178="",J2178=""),"",J2178&amp;"|"&amp;F2178&amp;"|"&amp;IF(H2178="W3","W3_"&amp;IF(I2178="","unknown",I2178),H2178))</f>
        <v/>
      </c>
      <c r="Q2178" t="str">
        <f>IF(P2178="","",IFERROR(IF(AND(H2178="W7",OR(F2178="causal",F2178="predictive")),IF(AND(OR(K2178=1,K2178="1"),OR(L2178=1,L2178="1"),OR(M2178=1,M2178="1")),"adequate","partial"),IF(AND(H2178="W4",F2178="predictive",OR(J2178="P2",J2178="P3",J2178="P4")),IF(OR(U2178=1,U2178="1"),"adequate","partial"),INDEX(Fit_Matrix!$B:$B,MATCH(P2178,Fit_Matrix!$A:$A,0)))),"CHECK KEY"))</f>
        <v/>
      </c>
      <c r="U2178" s="10"/>
      <c r="V2178" s="10"/>
      <c r="W2178" s="10"/>
      <c r="X2178" s="10"/>
      <c r="Y2178" s="10"/>
      <c r="Z2178" s="10"/>
      <c r="AA2178" s="11" t="str">
        <f t="shared" ref="AA2178:AA2241" si="69">IF(A2178="","",IF(AND(J2178="P4",F2178="causal"),"P4-CAUSAL",""))</f>
        <v/>
      </c>
    </row>
    <row r="2179" spans="16:27" ht="15" customHeight="1">
      <c r="P2179" t="str">
        <f t="shared" si="68"/>
        <v/>
      </c>
      <c r="Q2179" t="str">
        <f>IF(P2179="","",IFERROR(IF(AND(H2179="W7",OR(F2179="causal",F2179="predictive")),IF(AND(OR(K2179=1,K2179="1"),OR(L2179=1,L2179="1"),OR(M2179=1,M2179="1")),"adequate","partial"),IF(AND(H2179="W4",F2179="predictive",OR(J2179="P2",J2179="P3",J2179="P4")),IF(OR(U2179=1,U2179="1"),"adequate","partial"),INDEX(Fit_Matrix!$B:$B,MATCH(P2179,Fit_Matrix!$A:$A,0)))),"CHECK KEY"))</f>
        <v/>
      </c>
      <c r="U2179" s="10"/>
      <c r="V2179" s="10"/>
      <c r="W2179" s="10"/>
      <c r="X2179" s="10"/>
      <c r="Y2179" s="10"/>
      <c r="Z2179" s="10"/>
      <c r="AA2179" s="11" t="str">
        <f t="shared" si="69"/>
        <v/>
      </c>
    </row>
    <row r="2180" spans="16:27" ht="15" customHeight="1">
      <c r="P2180" t="str">
        <f t="shared" si="68"/>
        <v/>
      </c>
      <c r="Q2180" t="str">
        <f>IF(P2180="","",IFERROR(IF(AND(H2180="W7",OR(F2180="causal",F2180="predictive")),IF(AND(OR(K2180=1,K2180="1"),OR(L2180=1,L2180="1"),OR(M2180=1,M2180="1")),"adequate","partial"),IF(AND(H2180="W4",F2180="predictive",OR(J2180="P2",J2180="P3",J2180="P4")),IF(OR(U2180=1,U2180="1"),"adequate","partial"),INDEX(Fit_Matrix!$B:$B,MATCH(P2180,Fit_Matrix!$A:$A,0)))),"CHECK KEY"))</f>
        <v/>
      </c>
      <c r="U2180" s="10"/>
      <c r="V2180" s="10"/>
      <c r="W2180" s="10"/>
      <c r="X2180" s="10"/>
      <c r="Y2180" s="10"/>
      <c r="Z2180" s="10"/>
      <c r="AA2180" s="11" t="str">
        <f t="shared" si="69"/>
        <v/>
      </c>
    </row>
    <row r="2181" spans="16:27" ht="15" customHeight="1">
      <c r="P2181" t="str">
        <f t="shared" si="68"/>
        <v/>
      </c>
      <c r="Q2181" t="str">
        <f>IF(P2181="","",IFERROR(IF(AND(H2181="W7",OR(F2181="causal",F2181="predictive")),IF(AND(OR(K2181=1,K2181="1"),OR(L2181=1,L2181="1"),OR(M2181=1,M2181="1")),"adequate","partial"),IF(AND(H2181="W4",F2181="predictive",OR(J2181="P2",J2181="P3",J2181="P4")),IF(OR(U2181=1,U2181="1"),"adequate","partial"),INDEX(Fit_Matrix!$B:$B,MATCH(P2181,Fit_Matrix!$A:$A,0)))),"CHECK KEY"))</f>
        <v/>
      </c>
      <c r="U2181" s="10"/>
      <c r="V2181" s="10"/>
      <c r="W2181" s="10"/>
      <c r="X2181" s="10"/>
      <c r="Y2181" s="10"/>
      <c r="Z2181" s="10"/>
      <c r="AA2181" s="11" t="str">
        <f t="shared" si="69"/>
        <v/>
      </c>
    </row>
    <row r="2182" spans="16:27" ht="15" customHeight="1">
      <c r="P2182" t="str">
        <f t="shared" si="68"/>
        <v/>
      </c>
      <c r="Q2182" t="str">
        <f>IF(P2182="","",IFERROR(IF(AND(H2182="W7",OR(F2182="causal",F2182="predictive")),IF(AND(OR(K2182=1,K2182="1"),OR(L2182=1,L2182="1"),OR(M2182=1,M2182="1")),"adequate","partial"),IF(AND(H2182="W4",F2182="predictive",OR(J2182="P2",J2182="P3",J2182="P4")),IF(OR(U2182=1,U2182="1"),"adequate","partial"),INDEX(Fit_Matrix!$B:$B,MATCH(P2182,Fit_Matrix!$A:$A,0)))),"CHECK KEY"))</f>
        <v/>
      </c>
      <c r="U2182" s="10"/>
      <c r="V2182" s="10"/>
      <c r="W2182" s="10"/>
      <c r="X2182" s="10"/>
      <c r="Y2182" s="10"/>
      <c r="Z2182" s="10"/>
      <c r="AA2182" s="11" t="str">
        <f t="shared" si="69"/>
        <v/>
      </c>
    </row>
    <row r="2183" spans="16:27" ht="15" customHeight="1">
      <c r="P2183" t="str">
        <f t="shared" si="68"/>
        <v/>
      </c>
      <c r="Q2183" t="str">
        <f>IF(P2183="","",IFERROR(IF(AND(H2183="W7",OR(F2183="causal",F2183="predictive")),IF(AND(OR(K2183=1,K2183="1"),OR(L2183=1,L2183="1"),OR(M2183=1,M2183="1")),"adequate","partial"),IF(AND(H2183="W4",F2183="predictive",OR(J2183="P2",J2183="P3",J2183="P4")),IF(OR(U2183=1,U2183="1"),"adequate","partial"),INDEX(Fit_Matrix!$B:$B,MATCH(P2183,Fit_Matrix!$A:$A,0)))),"CHECK KEY"))</f>
        <v/>
      </c>
      <c r="U2183" s="10"/>
      <c r="V2183" s="10"/>
      <c r="W2183" s="10"/>
      <c r="X2183" s="10"/>
      <c r="Y2183" s="10"/>
      <c r="Z2183" s="10"/>
      <c r="AA2183" s="11" t="str">
        <f t="shared" si="69"/>
        <v/>
      </c>
    </row>
    <row r="2184" spans="16:27" ht="15" customHeight="1">
      <c r="P2184" t="str">
        <f t="shared" si="68"/>
        <v/>
      </c>
      <c r="Q2184" t="str">
        <f>IF(P2184="","",IFERROR(IF(AND(H2184="W7",OR(F2184="causal",F2184="predictive")),IF(AND(OR(K2184=1,K2184="1"),OR(L2184=1,L2184="1"),OR(M2184=1,M2184="1")),"adequate","partial"),IF(AND(H2184="W4",F2184="predictive",OR(J2184="P2",J2184="P3",J2184="P4")),IF(OR(U2184=1,U2184="1"),"adequate","partial"),INDEX(Fit_Matrix!$B:$B,MATCH(P2184,Fit_Matrix!$A:$A,0)))),"CHECK KEY"))</f>
        <v/>
      </c>
      <c r="U2184" s="10"/>
      <c r="V2184" s="10"/>
      <c r="W2184" s="10"/>
      <c r="X2184" s="10"/>
      <c r="Y2184" s="10"/>
      <c r="Z2184" s="10"/>
      <c r="AA2184" s="11" t="str">
        <f t="shared" si="69"/>
        <v/>
      </c>
    </row>
    <row r="2185" spans="16:27" ht="15" customHeight="1">
      <c r="P2185" t="str">
        <f t="shared" si="68"/>
        <v/>
      </c>
      <c r="Q2185" t="str">
        <f>IF(P2185="","",IFERROR(IF(AND(H2185="W7",OR(F2185="causal",F2185="predictive")),IF(AND(OR(K2185=1,K2185="1"),OR(L2185=1,L2185="1"),OR(M2185=1,M2185="1")),"adequate","partial"),IF(AND(H2185="W4",F2185="predictive",OR(J2185="P2",J2185="P3",J2185="P4")),IF(OR(U2185=1,U2185="1"),"adequate","partial"),INDEX(Fit_Matrix!$B:$B,MATCH(P2185,Fit_Matrix!$A:$A,0)))),"CHECK KEY"))</f>
        <v/>
      </c>
      <c r="U2185" s="10"/>
      <c r="V2185" s="10"/>
      <c r="W2185" s="10"/>
      <c r="X2185" s="10"/>
      <c r="Y2185" s="10"/>
      <c r="Z2185" s="10"/>
      <c r="AA2185" s="11" t="str">
        <f t="shared" si="69"/>
        <v/>
      </c>
    </row>
    <row r="2186" spans="16:27" ht="15" customHeight="1">
      <c r="P2186" t="str">
        <f t="shared" si="68"/>
        <v/>
      </c>
      <c r="Q2186" t="str">
        <f>IF(P2186="","",IFERROR(IF(AND(H2186="W7",OR(F2186="causal",F2186="predictive")),IF(AND(OR(K2186=1,K2186="1"),OR(L2186=1,L2186="1"),OR(M2186=1,M2186="1")),"adequate","partial"),IF(AND(H2186="W4",F2186="predictive",OR(J2186="P2",J2186="P3",J2186="P4")),IF(OR(U2186=1,U2186="1"),"adequate","partial"),INDEX(Fit_Matrix!$B:$B,MATCH(P2186,Fit_Matrix!$A:$A,0)))),"CHECK KEY"))</f>
        <v/>
      </c>
      <c r="U2186" s="10"/>
      <c r="V2186" s="10"/>
      <c r="W2186" s="10"/>
      <c r="X2186" s="10"/>
      <c r="Y2186" s="10"/>
      <c r="Z2186" s="10"/>
      <c r="AA2186" s="11" t="str">
        <f t="shared" si="69"/>
        <v/>
      </c>
    </row>
    <row r="2187" spans="16:27" ht="15" customHeight="1">
      <c r="P2187" t="str">
        <f t="shared" si="68"/>
        <v/>
      </c>
      <c r="Q2187" t="str">
        <f>IF(P2187="","",IFERROR(IF(AND(H2187="W7",OR(F2187="causal",F2187="predictive")),IF(AND(OR(K2187=1,K2187="1"),OR(L2187=1,L2187="1"),OR(M2187=1,M2187="1")),"adequate","partial"),IF(AND(H2187="W4",F2187="predictive",OR(J2187="P2",J2187="P3",J2187="P4")),IF(OR(U2187=1,U2187="1"),"adequate","partial"),INDEX(Fit_Matrix!$B:$B,MATCH(P2187,Fit_Matrix!$A:$A,0)))),"CHECK KEY"))</f>
        <v/>
      </c>
      <c r="U2187" s="10"/>
      <c r="V2187" s="10"/>
      <c r="W2187" s="10"/>
      <c r="X2187" s="10"/>
      <c r="Y2187" s="10"/>
      <c r="Z2187" s="10"/>
      <c r="AA2187" s="11" t="str">
        <f t="shared" si="69"/>
        <v/>
      </c>
    </row>
    <row r="2188" spans="16:27" ht="15" customHeight="1">
      <c r="P2188" t="str">
        <f t="shared" si="68"/>
        <v/>
      </c>
      <c r="Q2188" t="str">
        <f>IF(P2188="","",IFERROR(IF(AND(H2188="W7",OR(F2188="causal",F2188="predictive")),IF(AND(OR(K2188=1,K2188="1"),OR(L2188=1,L2188="1"),OR(M2188=1,M2188="1")),"adequate","partial"),IF(AND(H2188="W4",F2188="predictive",OR(J2188="P2",J2188="P3",J2188="P4")),IF(OR(U2188=1,U2188="1"),"adequate","partial"),INDEX(Fit_Matrix!$B:$B,MATCH(P2188,Fit_Matrix!$A:$A,0)))),"CHECK KEY"))</f>
        <v/>
      </c>
      <c r="U2188" s="10"/>
      <c r="V2188" s="10"/>
      <c r="W2188" s="10"/>
      <c r="X2188" s="10"/>
      <c r="Y2188" s="10"/>
      <c r="Z2188" s="10"/>
      <c r="AA2188" s="11" t="str">
        <f t="shared" si="69"/>
        <v/>
      </c>
    </row>
    <row r="2189" spans="16:27" ht="15" customHeight="1">
      <c r="P2189" t="str">
        <f t="shared" si="68"/>
        <v/>
      </c>
      <c r="Q2189" t="str">
        <f>IF(P2189="","",IFERROR(IF(AND(H2189="W7",OR(F2189="causal",F2189="predictive")),IF(AND(OR(K2189=1,K2189="1"),OR(L2189=1,L2189="1"),OR(M2189=1,M2189="1")),"adequate","partial"),IF(AND(H2189="W4",F2189="predictive",OR(J2189="P2",J2189="P3",J2189="P4")),IF(OR(U2189=1,U2189="1"),"adequate","partial"),INDEX(Fit_Matrix!$B:$B,MATCH(P2189,Fit_Matrix!$A:$A,0)))),"CHECK KEY"))</f>
        <v/>
      </c>
      <c r="U2189" s="10"/>
      <c r="V2189" s="10"/>
      <c r="W2189" s="10"/>
      <c r="X2189" s="10"/>
      <c r="Y2189" s="10"/>
      <c r="Z2189" s="10"/>
      <c r="AA2189" s="11" t="str">
        <f t="shared" si="69"/>
        <v/>
      </c>
    </row>
    <row r="2190" spans="16:27" ht="15" customHeight="1">
      <c r="P2190" t="str">
        <f t="shared" si="68"/>
        <v/>
      </c>
      <c r="Q2190" t="str">
        <f>IF(P2190="","",IFERROR(IF(AND(H2190="W7",OR(F2190="causal",F2190="predictive")),IF(AND(OR(K2190=1,K2190="1"),OR(L2190=1,L2190="1"),OR(M2190=1,M2190="1")),"adequate","partial"),IF(AND(H2190="W4",F2190="predictive",OR(J2190="P2",J2190="P3",J2190="P4")),IF(OR(U2190=1,U2190="1"),"adequate","partial"),INDEX(Fit_Matrix!$B:$B,MATCH(P2190,Fit_Matrix!$A:$A,0)))),"CHECK KEY"))</f>
        <v/>
      </c>
      <c r="U2190" s="10"/>
      <c r="V2190" s="10"/>
      <c r="W2190" s="10"/>
      <c r="X2190" s="10"/>
      <c r="Y2190" s="10"/>
      <c r="Z2190" s="10"/>
      <c r="AA2190" s="11" t="str">
        <f t="shared" si="69"/>
        <v/>
      </c>
    </row>
    <row r="2191" spans="16:27" ht="15" customHeight="1">
      <c r="P2191" t="str">
        <f t="shared" si="68"/>
        <v/>
      </c>
      <c r="Q2191" t="str">
        <f>IF(P2191="","",IFERROR(IF(AND(H2191="W7",OR(F2191="causal",F2191="predictive")),IF(AND(OR(K2191=1,K2191="1"),OR(L2191=1,L2191="1"),OR(M2191=1,M2191="1")),"adequate","partial"),IF(AND(H2191="W4",F2191="predictive",OR(J2191="P2",J2191="P3",J2191="P4")),IF(OR(U2191=1,U2191="1"),"adequate","partial"),INDEX(Fit_Matrix!$B:$B,MATCH(P2191,Fit_Matrix!$A:$A,0)))),"CHECK KEY"))</f>
        <v/>
      </c>
      <c r="U2191" s="10"/>
      <c r="V2191" s="10"/>
      <c r="W2191" s="10"/>
      <c r="X2191" s="10"/>
      <c r="Y2191" s="10"/>
      <c r="Z2191" s="10"/>
      <c r="AA2191" s="11" t="str">
        <f t="shared" si="69"/>
        <v/>
      </c>
    </row>
    <row r="2192" spans="16:27" ht="15" customHeight="1">
      <c r="P2192" t="str">
        <f t="shared" si="68"/>
        <v/>
      </c>
      <c r="Q2192" t="str">
        <f>IF(P2192="","",IFERROR(IF(AND(H2192="W7",OR(F2192="causal",F2192="predictive")),IF(AND(OR(K2192=1,K2192="1"),OR(L2192=1,L2192="1"),OR(M2192=1,M2192="1")),"adequate","partial"),IF(AND(H2192="W4",F2192="predictive",OR(J2192="P2",J2192="P3",J2192="P4")),IF(OR(U2192=1,U2192="1"),"adequate","partial"),INDEX(Fit_Matrix!$B:$B,MATCH(P2192,Fit_Matrix!$A:$A,0)))),"CHECK KEY"))</f>
        <v/>
      </c>
      <c r="U2192" s="10"/>
      <c r="V2192" s="10"/>
      <c r="W2192" s="10"/>
      <c r="X2192" s="10"/>
      <c r="Y2192" s="10"/>
      <c r="Z2192" s="10"/>
      <c r="AA2192" s="11" t="str">
        <f t="shared" si="69"/>
        <v/>
      </c>
    </row>
    <row r="2193" spans="16:27" ht="15" customHeight="1">
      <c r="P2193" t="str">
        <f t="shared" si="68"/>
        <v/>
      </c>
      <c r="Q2193" t="str">
        <f>IF(P2193="","",IFERROR(IF(AND(H2193="W7",OR(F2193="causal",F2193="predictive")),IF(AND(OR(K2193=1,K2193="1"),OR(L2193=1,L2193="1"),OR(M2193=1,M2193="1")),"adequate","partial"),IF(AND(H2193="W4",F2193="predictive",OR(J2193="P2",J2193="P3",J2193="P4")),IF(OR(U2193=1,U2193="1"),"adequate","partial"),INDEX(Fit_Matrix!$B:$B,MATCH(P2193,Fit_Matrix!$A:$A,0)))),"CHECK KEY"))</f>
        <v/>
      </c>
      <c r="U2193" s="10"/>
      <c r="V2193" s="10"/>
      <c r="W2193" s="10"/>
      <c r="X2193" s="10"/>
      <c r="Y2193" s="10"/>
      <c r="Z2193" s="10"/>
      <c r="AA2193" s="11" t="str">
        <f t="shared" si="69"/>
        <v/>
      </c>
    </row>
    <row r="2194" spans="16:27" ht="15" customHeight="1">
      <c r="P2194" t="str">
        <f t="shared" si="68"/>
        <v/>
      </c>
      <c r="Q2194" t="str">
        <f>IF(P2194="","",IFERROR(IF(AND(H2194="W7",OR(F2194="causal",F2194="predictive")),IF(AND(OR(K2194=1,K2194="1"),OR(L2194=1,L2194="1"),OR(M2194=1,M2194="1")),"adequate","partial"),IF(AND(H2194="W4",F2194="predictive",OR(J2194="P2",J2194="P3",J2194="P4")),IF(OR(U2194=1,U2194="1"),"adequate","partial"),INDEX(Fit_Matrix!$B:$B,MATCH(P2194,Fit_Matrix!$A:$A,0)))),"CHECK KEY"))</f>
        <v/>
      </c>
      <c r="U2194" s="10"/>
      <c r="V2194" s="10"/>
      <c r="W2194" s="10"/>
      <c r="X2194" s="10"/>
      <c r="Y2194" s="10"/>
      <c r="Z2194" s="10"/>
      <c r="AA2194" s="11" t="str">
        <f t="shared" si="69"/>
        <v/>
      </c>
    </row>
    <row r="2195" spans="16:27" ht="15" customHeight="1">
      <c r="P2195" t="str">
        <f t="shared" si="68"/>
        <v/>
      </c>
      <c r="Q2195" t="str">
        <f>IF(P2195="","",IFERROR(IF(AND(H2195="W7",OR(F2195="causal",F2195="predictive")),IF(AND(OR(K2195=1,K2195="1"),OR(L2195=1,L2195="1"),OR(M2195=1,M2195="1")),"adequate","partial"),IF(AND(H2195="W4",F2195="predictive",OR(J2195="P2",J2195="P3",J2195="P4")),IF(OR(U2195=1,U2195="1"),"adequate","partial"),INDEX(Fit_Matrix!$B:$B,MATCH(P2195,Fit_Matrix!$A:$A,0)))),"CHECK KEY"))</f>
        <v/>
      </c>
      <c r="U2195" s="10"/>
      <c r="V2195" s="10"/>
      <c r="W2195" s="10"/>
      <c r="X2195" s="10"/>
      <c r="Y2195" s="10"/>
      <c r="Z2195" s="10"/>
      <c r="AA2195" s="11" t="str">
        <f t="shared" si="69"/>
        <v/>
      </c>
    </row>
    <row r="2196" spans="16:27" ht="15" customHeight="1">
      <c r="P2196" t="str">
        <f t="shared" si="68"/>
        <v/>
      </c>
      <c r="Q2196" t="str">
        <f>IF(P2196="","",IFERROR(IF(AND(H2196="W7",OR(F2196="causal",F2196="predictive")),IF(AND(OR(K2196=1,K2196="1"),OR(L2196=1,L2196="1"),OR(M2196=1,M2196="1")),"adequate","partial"),IF(AND(H2196="W4",F2196="predictive",OR(J2196="P2",J2196="P3",J2196="P4")),IF(OR(U2196=1,U2196="1"),"adequate","partial"),INDEX(Fit_Matrix!$B:$B,MATCH(P2196,Fit_Matrix!$A:$A,0)))),"CHECK KEY"))</f>
        <v/>
      </c>
      <c r="U2196" s="10"/>
      <c r="V2196" s="10"/>
      <c r="W2196" s="10"/>
      <c r="X2196" s="10"/>
      <c r="Y2196" s="10"/>
      <c r="Z2196" s="10"/>
      <c r="AA2196" s="11" t="str">
        <f t="shared" si="69"/>
        <v/>
      </c>
    </row>
    <row r="2197" spans="16:27" ht="15" customHeight="1">
      <c r="P2197" t="str">
        <f t="shared" si="68"/>
        <v/>
      </c>
      <c r="Q2197" t="str">
        <f>IF(P2197="","",IFERROR(IF(AND(H2197="W7",OR(F2197="causal",F2197="predictive")),IF(AND(OR(K2197=1,K2197="1"),OR(L2197=1,L2197="1"),OR(M2197=1,M2197="1")),"adequate","partial"),IF(AND(H2197="W4",F2197="predictive",OR(J2197="P2",J2197="P3",J2197="P4")),IF(OR(U2197=1,U2197="1"),"adequate","partial"),INDEX(Fit_Matrix!$B:$B,MATCH(P2197,Fit_Matrix!$A:$A,0)))),"CHECK KEY"))</f>
        <v/>
      </c>
      <c r="U2197" s="10"/>
      <c r="V2197" s="10"/>
      <c r="W2197" s="10"/>
      <c r="X2197" s="10"/>
      <c r="Y2197" s="10"/>
      <c r="Z2197" s="10"/>
      <c r="AA2197" s="11" t="str">
        <f t="shared" si="69"/>
        <v/>
      </c>
    </row>
    <row r="2198" spans="16:27" ht="15" customHeight="1">
      <c r="P2198" t="str">
        <f t="shared" si="68"/>
        <v/>
      </c>
      <c r="Q2198" t="str">
        <f>IF(P2198="","",IFERROR(IF(AND(H2198="W7",OR(F2198="causal",F2198="predictive")),IF(AND(OR(K2198=1,K2198="1"),OR(L2198=1,L2198="1"),OR(M2198=1,M2198="1")),"adequate","partial"),IF(AND(H2198="W4",F2198="predictive",OR(J2198="P2",J2198="P3",J2198="P4")),IF(OR(U2198=1,U2198="1"),"adequate","partial"),INDEX(Fit_Matrix!$B:$B,MATCH(P2198,Fit_Matrix!$A:$A,0)))),"CHECK KEY"))</f>
        <v/>
      </c>
      <c r="U2198" s="10"/>
      <c r="V2198" s="10"/>
      <c r="W2198" s="10"/>
      <c r="X2198" s="10"/>
      <c r="Y2198" s="10"/>
      <c r="Z2198" s="10"/>
      <c r="AA2198" s="11" t="str">
        <f t="shared" si="69"/>
        <v/>
      </c>
    </row>
    <row r="2199" spans="16:27" ht="15" customHeight="1">
      <c r="P2199" t="str">
        <f t="shared" si="68"/>
        <v/>
      </c>
      <c r="Q2199" t="str">
        <f>IF(P2199="","",IFERROR(IF(AND(H2199="W7",OR(F2199="causal",F2199="predictive")),IF(AND(OR(K2199=1,K2199="1"),OR(L2199=1,L2199="1"),OR(M2199=1,M2199="1")),"adequate","partial"),IF(AND(H2199="W4",F2199="predictive",OR(J2199="P2",J2199="P3",J2199="P4")),IF(OR(U2199=1,U2199="1"),"adequate","partial"),INDEX(Fit_Matrix!$B:$B,MATCH(P2199,Fit_Matrix!$A:$A,0)))),"CHECK KEY"))</f>
        <v/>
      </c>
      <c r="U2199" s="10"/>
      <c r="V2199" s="10"/>
      <c r="W2199" s="10"/>
      <c r="X2199" s="10"/>
      <c r="Y2199" s="10"/>
      <c r="Z2199" s="10"/>
      <c r="AA2199" s="11" t="str">
        <f t="shared" si="69"/>
        <v/>
      </c>
    </row>
    <row r="2200" spans="16:27" ht="15" customHeight="1">
      <c r="P2200" t="str">
        <f t="shared" si="68"/>
        <v/>
      </c>
      <c r="Q2200" t="str">
        <f>IF(P2200="","",IFERROR(IF(AND(H2200="W7",OR(F2200="causal",F2200="predictive")),IF(AND(OR(K2200=1,K2200="1"),OR(L2200=1,L2200="1"),OR(M2200=1,M2200="1")),"adequate","partial"),IF(AND(H2200="W4",F2200="predictive",OR(J2200="P2",J2200="P3",J2200="P4")),IF(OR(U2200=1,U2200="1"),"adequate","partial"),INDEX(Fit_Matrix!$B:$B,MATCH(P2200,Fit_Matrix!$A:$A,0)))),"CHECK KEY"))</f>
        <v/>
      </c>
      <c r="U2200" s="10"/>
      <c r="V2200" s="10"/>
      <c r="W2200" s="10"/>
      <c r="X2200" s="10"/>
      <c r="Y2200" s="10"/>
      <c r="Z2200" s="10"/>
      <c r="AA2200" s="11" t="str">
        <f t="shared" si="69"/>
        <v/>
      </c>
    </row>
    <row r="2201" spans="16:27" ht="15" customHeight="1">
      <c r="P2201" t="str">
        <f t="shared" si="68"/>
        <v/>
      </c>
      <c r="Q2201" t="str">
        <f>IF(P2201="","",IFERROR(IF(AND(H2201="W7",OR(F2201="causal",F2201="predictive")),IF(AND(OR(K2201=1,K2201="1"),OR(L2201=1,L2201="1"),OR(M2201=1,M2201="1")),"adequate","partial"),IF(AND(H2201="W4",F2201="predictive",OR(J2201="P2",J2201="P3",J2201="P4")),IF(OR(U2201=1,U2201="1"),"adequate","partial"),INDEX(Fit_Matrix!$B:$B,MATCH(P2201,Fit_Matrix!$A:$A,0)))),"CHECK KEY"))</f>
        <v/>
      </c>
      <c r="U2201" s="10"/>
      <c r="V2201" s="10"/>
      <c r="W2201" s="10"/>
      <c r="X2201" s="10"/>
      <c r="Y2201" s="10"/>
      <c r="Z2201" s="10"/>
      <c r="AA2201" s="11" t="str">
        <f t="shared" si="69"/>
        <v/>
      </c>
    </row>
    <row r="2202" spans="16:27" ht="15" customHeight="1">
      <c r="P2202" t="str">
        <f t="shared" si="68"/>
        <v/>
      </c>
      <c r="Q2202" t="str">
        <f>IF(P2202="","",IFERROR(IF(AND(H2202="W7",OR(F2202="causal",F2202="predictive")),IF(AND(OR(K2202=1,K2202="1"),OR(L2202=1,L2202="1"),OR(M2202=1,M2202="1")),"adequate","partial"),IF(AND(H2202="W4",F2202="predictive",OR(J2202="P2",J2202="P3",J2202="P4")),IF(OR(U2202=1,U2202="1"),"adequate","partial"),INDEX(Fit_Matrix!$B:$B,MATCH(P2202,Fit_Matrix!$A:$A,0)))),"CHECK KEY"))</f>
        <v/>
      </c>
      <c r="U2202" s="10"/>
      <c r="V2202" s="10"/>
      <c r="W2202" s="10"/>
      <c r="X2202" s="10"/>
      <c r="Y2202" s="10"/>
      <c r="Z2202" s="10"/>
      <c r="AA2202" s="11" t="str">
        <f t="shared" si="69"/>
        <v/>
      </c>
    </row>
    <row r="2203" spans="16:27" ht="15" customHeight="1">
      <c r="P2203" t="str">
        <f t="shared" si="68"/>
        <v/>
      </c>
      <c r="Q2203" t="str">
        <f>IF(P2203="","",IFERROR(IF(AND(H2203="W7",OR(F2203="causal",F2203="predictive")),IF(AND(OR(K2203=1,K2203="1"),OR(L2203=1,L2203="1"),OR(M2203=1,M2203="1")),"adequate","partial"),IF(AND(H2203="W4",F2203="predictive",OR(J2203="P2",J2203="P3",J2203="P4")),IF(OR(U2203=1,U2203="1"),"adequate","partial"),INDEX(Fit_Matrix!$B:$B,MATCH(P2203,Fit_Matrix!$A:$A,0)))),"CHECK KEY"))</f>
        <v/>
      </c>
      <c r="U2203" s="10"/>
      <c r="V2203" s="10"/>
      <c r="W2203" s="10"/>
      <c r="X2203" s="10"/>
      <c r="Y2203" s="10"/>
      <c r="Z2203" s="10"/>
      <c r="AA2203" s="11" t="str">
        <f t="shared" si="69"/>
        <v/>
      </c>
    </row>
    <row r="2204" spans="16:27" ht="15" customHeight="1">
      <c r="P2204" t="str">
        <f t="shared" si="68"/>
        <v/>
      </c>
      <c r="Q2204" t="str">
        <f>IF(P2204="","",IFERROR(IF(AND(H2204="W7",OR(F2204="causal",F2204="predictive")),IF(AND(OR(K2204=1,K2204="1"),OR(L2204=1,L2204="1"),OR(M2204=1,M2204="1")),"adequate","partial"),IF(AND(H2204="W4",F2204="predictive",OR(J2204="P2",J2204="P3",J2204="P4")),IF(OR(U2204=1,U2204="1"),"adequate","partial"),INDEX(Fit_Matrix!$B:$B,MATCH(P2204,Fit_Matrix!$A:$A,0)))),"CHECK KEY"))</f>
        <v/>
      </c>
      <c r="U2204" s="10"/>
      <c r="V2204" s="10"/>
      <c r="W2204" s="10"/>
      <c r="X2204" s="10"/>
      <c r="Y2204" s="10"/>
      <c r="Z2204" s="10"/>
      <c r="AA2204" s="11" t="str">
        <f t="shared" si="69"/>
        <v/>
      </c>
    </row>
    <row r="2205" spans="16:27" ht="15" customHeight="1">
      <c r="P2205" t="str">
        <f t="shared" si="68"/>
        <v/>
      </c>
      <c r="Q2205" t="str">
        <f>IF(P2205="","",IFERROR(IF(AND(H2205="W7",OR(F2205="causal",F2205="predictive")),IF(AND(OR(K2205=1,K2205="1"),OR(L2205=1,L2205="1"),OR(M2205=1,M2205="1")),"adequate","partial"),IF(AND(H2205="W4",F2205="predictive",OR(J2205="P2",J2205="P3",J2205="P4")),IF(OR(U2205=1,U2205="1"),"adequate","partial"),INDEX(Fit_Matrix!$B:$B,MATCH(P2205,Fit_Matrix!$A:$A,0)))),"CHECK KEY"))</f>
        <v/>
      </c>
      <c r="U2205" s="10"/>
      <c r="V2205" s="10"/>
      <c r="W2205" s="10"/>
      <c r="X2205" s="10"/>
      <c r="Y2205" s="10"/>
      <c r="Z2205" s="10"/>
      <c r="AA2205" s="11" t="str">
        <f t="shared" si="69"/>
        <v/>
      </c>
    </row>
    <row r="2206" spans="16:27" ht="15" customHeight="1">
      <c r="P2206" t="str">
        <f t="shared" si="68"/>
        <v/>
      </c>
      <c r="Q2206" t="str">
        <f>IF(P2206="","",IFERROR(IF(AND(H2206="W7",OR(F2206="causal",F2206="predictive")),IF(AND(OR(K2206=1,K2206="1"),OR(L2206=1,L2206="1"),OR(M2206=1,M2206="1")),"adequate","partial"),IF(AND(H2206="W4",F2206="predictive",OR(J2206="P2",J2206="P3",J2206="P4")),IF(OR(U2206=1,U2206="1"),"adequate","partial"),INDEX(Fit_Matrix!$B:$B,MATCH(P2206,Fit_Matrix!$A:$A,0)))),"CHECK KEY"))</f>
        <v/>
      </c>
      <c r="U2206" s="10"/>
      <c r="V2206" s="10"/>
      <c r="W2206" s="10"/>
      <c r="X2206" s="10"/>
      <c r="Y2206" s="10"/>
      <c r="Z2206" s="10"/>
      <c r="AA2206" s="11" t="str">
        <f t="shared" si="69"/>
        <v/>
      </c>
    </row>
    <row r="2207" spans="16:27" ht="15" customHeight="1">
      <c r="P2207" t="str">
        <f t="shared" si="68"/>
        <v/>
      </c>
      <c r="Q2207" t="str">
        <f>IF(P2207="","",IFERROR(IF(AND(H2207="W7",OR(F2207="causal",F2207="predictive")),IF(AND(OR(K2207=1,K2207="1"),OR(L2207=1,L2207="1"),OR(M2207=1,M2207="1")),"adequate","partial"),IF(AND(H2207="W4",F2207="predictive",OR(J2207="P2",J2207="P3",J2207="P4")),IF(OR(U2207=1,U2207="1"),"adequate","partial"),INDEX(Fit_Matrix!$B:$B,MATCH(P2207,Fit_Matrix!$A:$A,0)))),"CHECK KEY"))</f>
        <v/>
      </c>
      <c r="U2207" s="10"/>
      <c r="V2207" s="10"/>
      <c r="W2207" s="10"/>
      <c r="X2207" s="10"/>
      <c r="Y2207" s="10"/>
      <c r="Z2207" s="10"/>
      <c r="AA2207" s="11" t="str">
        <f t="shared" si="69"/>
        <v/>
      </c>
    </row>
    <row r="2208" spans="16:27" ht="15" customHeight="1">
      <c r="P2208" t="str">
        <f t="shared" si="68"/>
        <v/>
      </c>
      <c r="Q2208" t="str">
        <f>IF(P2208="","",IFERROR(IF(AND(H2208="W7",OR(F2208="causal",F2208="predictive")),IF(AND(OR(K2208=1,K2208="1"),OR(L2208=1,L2208="1"),OR(M2208=1,M2208="1")),"adequate","partial"),IF(AND(H2208="W4",F2208="predictive",OR(J2208="P2",J2208="P3",J2208="P4")),IF(OR(U2208=1,U2208="1"),"adequate","partial"),INDEX(Fit_Matrix!$B:$B,MATCH(P2208,Fit_Matrix!$A:$A,0)))),"CHECK KEY"))</f>
        <v/>
      </c>
      <c r="U2208" s="10"/>
      <c r="V2208" s="10"/>
      <c r="W2208" s="10"/>
      <c r="X2208" s="10"/>
      <c r="Y2208" s="10"/>
      <c r="Z2208" s="10"/>
      <c r="AA2208" s="11" t="str">
        <f t="shared" si="69"/>
        <v/>
      </c>
    </row>
    <row r="2209" spans="16:27" ht="15" customHeight="1">
      <c r="P2209" t="str">
        <f t="shared" si="68"/>
        <v/>
      </c>
      <c r="Q2209" t="str">
        <f>IF(P2209="","",IFERROR(IF(AND(H2209="W7",OR(F2209="causal",F2209="predictive")),IF(AND(OR(K2209=1,K2209="1"),OR(L2209=1,L2209="1"),OR(M2209=1,M2209="1")),"adequate","partial"),IF(AND(H2209="W4",F2209="predictive",OR(J2209="P2",J2209="P3",J2209="P4")),IF(OR(U2209=1,U2209="1"),"adequate","partial"),INDEX(Fit_Matrix!$B:$B,MATCH(P2209,Fit_Matrix!$A:$A,0)))),"CHECK KEY"))</f>
        <v/>
      </c>
      <c r="U2209" s="10"/>
      <c r="V2209" s="10"/>
      <c r="W2209" s="10"/>
      <c r="X2209" s="10"/>
      <c r="Y2209" s="10"/>
      <c r="Z2209" s="10"/>
      <c r="AA2209" s="11" t="str">
        <f t="shared" si="69"/>
        <v/>
      </c>
    </row>
    <row r="2210" spans="16:27" ht="15" customHeight="1">
      <c r="P2210" t="str">
        <f t="shared" si="68"/>
        <v/>
      </c>
      <c r="Q2210" t="str">
        <f>IF(P2210="","",IFERROR(IF(AND(H2210="W7",OR(F2210="causal",F2210="predictive")),IF(AND(OR(K2210=1,K2210="1"),OR(L2210=1,L2210="1"),OR(M2210=1,M2210="1")),"adequate","partial"),IF(AND(H2210="W4",F2210="predictive",OR(J2210="P2",J2210="P3",J2210="P4")),IF(OR(U2210=1,U2210="1"),"adequate","partial"),INDEX(Fit_Matrix!$B:$B,MATCH(P2210,Fit_Matrix!$A:$A,0)))),"CHECK KEY"))</f>
        <v/>
      </c>
      <c r="U2210" s="10"/>
      <c r="V2210" s="10"/>
      <c r="W2210" s="10"/>
      <c r="X2210" s="10"/>
      <c r="Y2210" s="10"/>
      <c r="Z2210" s="10"/>
      <c r="AA2210" s="11" t="str">
        <f t="shared" si="69"/>
        <v/>
      </c>
    </row>
    <row r="2211" spans="16:27" ht="15" customHeight="1">
      <c r="P2211" t="str">
        <f t="shared" si="68"/>
        <v/>
      </c>
      <c r="Q2211" t="str">
        <f>IF(P2211="","",IFERROR(IF(AND(H2211="W7",OR(F2211="causal",F2211="predictive")),IF(AND(OR(K2211=1,K2211="1"),OR(L2211=1,L2211="1"),OR(M2211=1,M2211="1")),"adequate","partial"),IF(AND(H2211="W4",F2211="predictive",OR(J2211="P2",J2211="P3",J2211="P4")),IF(OR(U2211=1,U2211="1"),"adequate","partial"),INDEX(Fit_Matrix!$B:$B,MATCH(P2211,Fit_Matrix!$A:$A,0)))),"CHECK KEY"))</f>
        <v/>
      </c>
      <c r="U2211" s="10"/>
      <c r="V2211" s="10"/>
      <c r="W2211" s="10"/>
      <c r="X2211" s="10"/>
      <c r="Y2211" s="10"/>
      <c r="Z2211" s="10"/>
      <c r="AA2211" s="11" t="str">
        <f t="shared" si="69"/>
        <v/>
      </c>
    </row>
    <row r="2212" spans="16:27" ht="15" customHeight="1">
      <c r="P2212" t="str">
        <f t="shared" si="68"/>
        <v/>
      </c>
      <c r="Q2212" t="str">
        <f>IF(P2212="","",IFERROR(IF(AND(H2212="W7",OR(F2212="causal",F2212="predictive")),IF(AND(OR(K2212=1,K2212="1"),OR(L2212=1,L2212="1"),OR(M2212=1,M2212="1")),"adequate","partial"),IF(AND(H2212="W4",F2212="predictive",OR(J2212="P2",J2212="P3",J2212="P4")),IF(OR(U2212=1,U2212="1"),"adequate","partial"),INDEX(Fit_Matrix!$B:$B,MATCH(P2212,Fit_Matrix!$A:$A,0)))),"CHECK KEY"))</f>
        <v/>
      </c>
      <c r="U2212" s="10"/>
      <c r="V2212" s="10"/>
      <c r="W2212" s="10"/>
      <c r="X2212" s="10"/>
      <c r="Y2212" s="10"/>
      <c r="Z2212" s="10"/>
      <c r="AA2212" s="11" t="str">
        <f t="shared" si="69"/>
        <v/>
      </c>
    </row>
    <row r="2213" spans="16:27" ht="15" customHeight="1">
      <c r="P2213" t="str">
        <f t="shared" si="68"/>
        <v/>
      </c>
      <c r="Q2213" t="str">
        <f>IF(P2213="","",IFERROR(IF(AND(H2213="W7",OR(F2213="causal",F2213="predictive")),IF(AND(OR(K2213=1,K2213="1"),OR(L2213=1,L2213="1"),OR(M2213=1,M2213="1")),"adequate","partial"),IF(AND(H2213="W4",F2213="predictive",OR(J2213="P2",J2213="P3",J2213="P4")),IF(OR(U2213=1,U2213="1"),"adequate","partial"),INDEX(Fit_Matrix!$B:$B,MATCH(P2213,Fit_Matrix!$A:$A,0)))),"CHECK KEY"))</f>
        <v/>
      </c>
      <c r="U2213" s="10"/>
      <c r="V2213" s="10"/>
      <c r="W2213" s="10"/>
      <c r="X2213" s="10"/>
      <c r="Y2213" s="10"/>
      <c r="Z2213" s="10"/>
      <c r="AA2213" s="11" t="str">
        <f t="shared" si="69"/>
        <v/>
      </c>
    </row>
    <row r="2214" spans="16:27" ht="15" customHeight="1">
      <c r="P2214" t="str">
        <f t="shared" si="68"/>
        <v/>
      </c>
      <c r="Q2214" t="str">
        <f>IF(P2214="","",IFERROR(IF(AND(H2214="W7",OR(F2214="causal",F2214="predictive")),IF(AND(OR(K2214=1,K2214="1"),OR(L2214=1,L2214="1"),OR(M2214=1,M2214="1")),"adequate","partial"),IF(AND(H2214="W4",F2214="predictive",OR(J2214="P2",J2214="P3",J2214="P4")),IF(OR(U2214=1,U2214="1"),"adequate","partial"),INDEX(Fit_Matrix!$B:$B,MATCH(P2214,Fit_Matrix!$A:$A,0)))),"CHECK KEY"))</f>
        <v/>
      </c>
      <c r="U2214" s="10"/>
      <c r="V2214" s="10"/>
      <c r="W2214" s="10"/>
      <c r="X2214" s="10"/>
      <c r="Y2214" s="10"/>
      <c r="Z2214" s="10"/>
      <c r="AA2214" s="11" t="str">
        <f t="shared" si="69"/>
        <v/>
      </c>
    </row>
    <row r="2215" spans="16:27" ht="15" customHeight="1">
      <c r="P2215" t="str">
        <f t="shared" si="68"/>
        <v/>
      </c>
      <c r="Q2215" t="str">
        <f>IF(P2215="","",IFERROR(IF(AND(H2215="W7",OR(F2215="causal",F2215="predictive")),IF(AND(OR(K2215=1,K2215="1"),OR(L2215=1,L2215="1"),OR(M2215=1,M2215="1")),"adequate","partial"),IF(AND(H2215="W4",F2215="predictive",OR(J2215="P2",J2215="P3",J2215="P4")),IF(OR(U2215=1,U2215="1"),"adequate","partial"),INDEX(Fit_Matrix!$B:$B,MATCH(P2215,Fit_Matrix!$A:$A,0)))),"CHECK KEY"))</f>
        <v/>
      </c>
      <c r="U2215" s="10"/>
      <c r="V2215" s="10"/>
      <c r="W2215" s="10"/>
      <c r="X2215" s="10"/>
      <c r="Y2215" s="10"/>
      <c r="Z2215" s="10"/>
      <c r="AA2215" s="11" t="str">
        <f t="shared" si="69"/>
        <v/>
      </c>
    </row>
    <row r="2216" spans="16:27" ht="15" customHeight="1">
      <c r="P2216" t="str">
        <f t="shared" si="68"/>
        <v/>
      </c>
      <c r="Q2216" t="str">
        <f>IF(P2216="","",IFERROR(IF(AND(H2216="W7",OR(F2216="causal",F2216="predictive")),IF(AND(OR(K2216=1,K2216="1"),OR(L2216=1,L2216="1"),OR(M2216=1,M2216="1")),"adequate","partial"),IF(AND(H2216="W4",F2216="predictive",OR(J2216="P2",J2216="P3",J2216="P4")),IF(OR(U2216=1,U2216="1"),"adequate","partial"),INDEX(Fit_Matrix!$B:$B,MATCH(P2216,Fit_Matrix!$A:$A,0)))),"CHECK KEY"))</f>
        <v/>
      </c>
      <c r="U2216" s="10"/>
      <c r="V2216" s="10"/>
      <c r="W2216" s="10"/>
      <c r="X2216" s="10"/>
      <c r="Y2216" s="10"/>
      <c r="Z2216" s="10"/>
      <c r="AA2216" s="11" t="str">
        <f t="shared" si="69"/>
        <v/>
      </c>
    </row>
    <row r="2217" spans="16:27" ht="15" customHeight="1">
      <c r="P2217" t="str">
        <f t="shared" si="68"/>
        <v/>
      </c>
      <c r="Q2217" t="str">
        <f>IF(P2217="","",IFERROR(IF(AND(H2217="W7",OR(F2217="causal",F2217="predictive")),IF(AND(OR(K2217=1,K2217="1"),OR(L2217=1,L2217="1"),OR(M2217=1,M2217="1")),"adequate","partial"),IF(AND(H2217="W4",F2217="predictive",OR(J2217="P2",J2217="P3",J2217="P4")),IF(OR(U2217=1,U2217="1"),"adequate","partial"),INDEX(Fit_Matrix!$B:$B,MATCH(P2217,Fit_Matrix!$A:$A,0)))),"CHECK KEY"))</f>
        <v/>
      </c>
      <c r="U2217" s="10"/>
      <c r="V2217" s="10"/>
      <c r="W2217" s="10"/>
      <c r="X2217" s="10"/>
      <c r="Y2217" s="10"/>
      <c r="Z2217" s="10"/>
      <c r="AA2217" s="11" t="str">
        <f t="shared" si="69"/>
        <v/>
      </c>
    </row>
    <row r="2218" spans="16:27" ht="15" customHeight="1">
      <c r="P2218" t="str">
        <f t="shared" si="68"/>
        <v/>
      </c>
      <c r="Q2218" t="str">
        <f>IF(P2218="","",IFERROR(IF(AND(H2218="W7",OR(F2218="causal",F2218="predictive")),IF(AND(OR(K2218=1,K2218="1"),OR(L2218=1,L2218="1"),OR(M2218=1,M2218="1")),"adequate","partial"),IF(AND(H2218="W4",F2218="predictive",OR(J2218="P2",J2218="P3",J2218="P4")),IF(OR(U2218=1,U2218="1"),"adequate","partial"),INDEX(Fit_Matrix!$B:$B,MATCH(P2218,Fit_Matrix!$A:$A,0)))),"CHECK KEY"))</f>
        <v/>
      </c>
      <c r="U2218" s="10"/>
      <c r="V2218" s="10"/>
      <c r="W2218" s="10"/>
      <c r="X2218" s="10"/>
      <c r="Y2218" s="10"/>
      <c r="Z2218" s="10"/>
      <c r="AA2218" s="11" t="str">
        <f t="shared" si="69"/>
        <v/>
      </c>
    </row>
    <row r="2219" spans="16:27" ht="15" customHeight="1">
      <c r="P2219" t="str">
        <f t="shared" si="68"/>
        <v/>
      </c>
      <c r="Q2219" t="str">
        <f>IF(P2219="","",IFERROR(IF(AND(H2219="W7",OR(F2219="causal",F2219="predictive")),IF(AND(OR(K2219=1,K2219="1"),OR(L2219=1,L2219="1"),OR(M2219=1,M2219="1")),"adequate","partial"),IF(AND(H2219="W4",F2219="predictive",OR(J2219="P2",J2219="P3",J2219="P4")),IF(OR(U2219=1,U2219="1"),"adequate","partial"),INDEX(Fit_Matrix!$B:$B,MATCH(P2219,Fit_Matrix!$A:$A,0)))),"CHECK KEY"))</f>
        <v/>
      </c>
      <c r="U2219" s="10"/>
      <c r="V2219" s="10"/>
      <c r="W2219" s="10"/>
      <c r="X2219" s="10"/>
      <c r="Y2219" s="10"/>
      <c r="Z2219" s="10"/>
      <c r="AA2219" s="11" t="str">
        <f t="shared" si="69"/>
        <v/>
      </c>
    </row>
    <row r="2220" spans="16:27" ht="15" customHeight="1">
      <c r="P2220" t="str">
        <f t="shared" si="68"/>
        <v/>
      </c>
      <c r="Q2220" t="str">
        <f>IF(P2220="","",IFERROR(IF(AND(H2220="W7",OR(F2220="causal",F2220="predictive")),IF(AND(OR(K2220=1,K2220="1"),OR(L2220=1,L2220="1"),OR(M2220=1,M2220="1")),"adequate","partial"),IF(AND(H2220="W4",F2220="predictive",OR(J2220="P2",J2220="P3",J2220="P4")),IF(OR(U2220=1,U2220="1"),"adequate","partial"),INDEX(Fit_Matrix!$B:$B,MATCH(P2220,Fit_Matrix!$A:$A,0)))),"CHECK KEY"))</f>
        <v/>
      </c>
      <c r="U2220" s="10"/>
      <c r="V2220" s="10"/>
      <c r="W2220" s="10"/>
      <c r="X2220" s="10"/>
      <c r="Y2220" s="10"/>
      <c r="Z2220" s="10"/>
      <c r="AA2220" s="11" t="str">
        <f t="shared" si="69"/>
        <v/>
      </c>
    </row>
    <row r="2221" spans="16:27" ht="15" customHeight="1">
      <c r="P2221" t="str">
        <f t="shared" si="68"/>
        <v/>
      </c>
      <c r="Q2221" t="str">
        <f>IF(P2221="","",IFERROR(IF(AND(H2221="W7",OR(F2221="causal",F2221="predictive")),IF(AND(OR(K2221=1,K2221="1"),OR(L2221=1,L2221="1"),OR(M2221=1,M2221="1")),"adequate","partial"),IF(AND(H2221="W4",F2221="predictive",OR(J2221="P2",J2221="P3",J2221="P4")),IF(OR(U2221=1,U2221="1"),"adequate","partial"),INDEX(Fit_Matrix!$B:$B,MATCH(P2221,Fit_Matrix!$A:$A,0)))),"CHECK KEY"))</f>
        <v/>
      </c>
      <c r="U2221" s="10"/>
      <c r="V2221" s="10"/>
      <c r="W2221" s="10"/>
      <c r="X2221" s="10"/>
      <c r="Y2221" s="10"/>
      <c r="Z2221" s="10"/>
      <c r="AA2221" s="11" t="str">
        <f t="shared" si="69"/>
        <v/>
      </c>
    </row>
    <row r="2222" spans="16:27" ht="15" customHeight="1">
      <c r="P2222" t="str">
        <f t="shared" si="68"/>
        <v/>
      </c>
      <c r="Q2222" t="str">
        <f>IF(P2222="","",IFERROR(IF(AND(H2222="W7",OR(F2222="causal",F2222="predictive")),IF(AND(OR(K2222=1,K2222="1"),OR(L2222=1,L2222="1"),OR(M2222=1,M2222="1")),"adequate","partial"),IF(AND(H2222="W4",F2222="predictive",OR(J2222="P2",J2222="P3",J2222="P4")),IF(OR(U2222=1,U2222="1"),"adequate","partial"),INDEX(Fit_Matrix!$B:$B,MATCH(P2222,Fit_Matrix!$A:$A,0)))),"CHECK KEY"))</f>
        <v/>
      </c>
      <c r="U2222" s="10"/>
      <c r="V2222" s="10"/>
      <c r="W2222" s="10"/>
      <c r="X2222" s="10"/>
      <c r="Y2222" s="10"/>
      <c r="Z2222" s="10"/>
      <c r="AA2222" s="11" t="str">
        <f t="shared" si="69"/>
        <v/>
      </c>
    </row>
    <row r="2223" spans="16:27" ht="15" customHeight="1">
      <c r="P2223" t="str">
        <f t="shared" si="68"/>
        <v/>
      </c>
      <c r="Q2223" t="str">
        <f>IF(P2223="","",IFERROR(IF(AND(H2223="W7",OR(F2223="causal",F2223="predictive")),IF(AND(OR(K2223=1,K2223="1"),OR(L2223=1,L2223="1"),OR(M2223=1,M2223="1")),"adequate","partial"),IF(AND(H2223="W4",F2223="predictive",OR(J2223="P2",J2223="P3",J2223="P4")),IF(OR(U2223=1,U2223="1"),"adequate","partial"),INDEX(Fit_Matrix!$B:$B,MATCH(P2223,Fit_Matrix!$A:$A,0)))),"CHECK KEY"))</f>
        <v/>
      </c>
      <c r="U2223" s="10"/>
      <c r="V2223" s="10"/>
      <c r="W2223" s="10"/>
      <c r="X2223" s="10"/>
      <c r="Y2223" s="10"/>
      <c r="Z2223" s="10"/>
      <c r="AA2223" s="11" t="str">
        <f t="shared" si="69"/>
        <v/>
      </c>
    </row>
    <row r="2224" spans="16:27" ht="15" customHeight="1">
      <c r="P2224" t="str">
        <f t="shared" si="68"/>
        <v/>
      </c>
      <c r="Q2224" t="str">
        <f>IF(P2224="","",IFERROR(IF(AND(H2224="W7",OR(F2224="causal",F2224="predictive")),IF(AND(OR(K2224=1,K2224="1"),OR(L2224=1,L2224="1"),OR(M2224=1,M2224="1")),"adequate","partial"),IF(AND(H2224="W4",F2224="predictive",OR(J2224="P2",J2224="P3",J2224="P4")),IF(OR(U2224=1,U2224="1"),"adequate","partial"),INDEX(Fit_Matrix!$B:$B,MATCH(P2224,Fit_Matrix!$A:$A,0)))),"CHECK KEY"))</f>
        <v/>
      </c>
      <c r="U2224" s="10"/>
      <c r="V2224" s="10"/>
      <c r="W2224" s="10"/>
      <c r="X2224" s="10"/>
      <c r="Y2224" s="10"/>
      <c r="Z2224" s="10"/>
      <c r="AA2224" s="11" t="str">
        <f t="shared" si="69"/>
        <v/>
      </c>
    </row>
    <row r="2225" spans="16:27" ht="15" customHeight="1">
      <c r="P2225" t="str">
        <f t="shared" si="68"/>
        <v/>
      </c>
      <c r="Q2225" t="str">
        <f>IF(P2225="","",IFERROR(IF(AND(H2225="W7",OR(F2225="causal",F2225="predictive")),IF(AND(OR(K2225=1,K2225="1"),OR(L2225=1,L2225="1"),OR(M2225=1,M2225="1")),"adequate","partial"),IF(AND(H2225="W4",F2225="predictive",OR(J2225="P2",J2225="P3",J2225="P4")),IF(OR(U2225=1,U2225="1"),"adequate","partial"),INDEX(Fit_Matrix!$B:$B,MATCH(P2225,Fit_Matrix!$A:$A,0)))),"CHECK KEY"))</f>
        <v/>
      </c>
      <c r="U2225" s="10"/>
      <c r="V2225" s="10"/>
      <c r="W2225" s="10"/>
      <c r="X2225" s="10"/>
      <c r="Y2225" s="10"/>
      <c r="Z2225" s="10"/>
      <c r="AA2225" s="11" t="str">
        <f t="shared" si="69"/>
        <v/>
      </c>
    </row>
    <row r="2226" spans="16:27" ht="15" customHeight="1">
      <c r="P2226" t="str">
        <f t="shared" si="68"/>
        <v/>
      </c>
      <c r="Q2226" t="str">
        <f>IF(P2226="","",IFERROR(IF(AND(H2226="W7",OR(F2226="causal",F2226="predictive")),IF(AND(OR(K2226=1,K2226="1"),OR(L2226=1,L2226="1"),OR(M2226=1,M2226="1")),"adequate","partial"),IF(AND(H2226="W4",F2226="predictive",OR(J2226="P2",J2226="P3",J2226="P4")),IF(OR(U2226=1,U2226="1"),"adequate","partial"),INDEX(Fit_Matrix!$B:$B,MATCH(P2226,Fit_Matrix!$A:$A,0)))),"CHECK KEY"))</f>
        <v/>
      </c>
      <c r="U2226" s="10"/>
      <c r="V2226" s="10"/>
      <c r="W2226" s="10"/>
      <c r="X2226" s="10"/>
      <c r="Y2226" s="10"/>
      <c r="Z2226" s="10"/>
      <c r="AA2226" s="11" t="str">
        <f t="shared" si="69"/>
        <v/>
      </c>
    </row>
    <row r="2227" spans="16:27" ht="15" customHeight="1">
      <c r="P2227" t="str">
        <f t="shared" si="68"/>
        <v/>
      </c>
      <c r="Q2227" t="str">
        <f>IF(P2227="","",IFERROR(IF(AND(H2227="W7",OR(F2227="causal",F2227="predictive")),IF(AND(OR(K2227=1,K2227="1"),OR(L2227=1,L2227="1"),OR(M2227=1,M2227="1")),"adequate","partial"),IF(AND(H2227="W4",F2227="predictive",OR(J2227="P2",J2227="P3",J2227="P4")),IF(OR(U2227=1,U2227="1"),"adequate","partial"),INDEX(Fit_Matrix!$B:$B,MATCH(P2227,Fit_Matrix!$A:$A,0)))),"CHECK KEY"))</f>
        <v/>
      </c>
      <c r="U2227" s="10"/>
      <c r="V2227" s="10"/>
      <c r="W2227" s="10"/>
      <c r="X2227" s="10"/>
      <c r="Y2227" s="10"/>
      <c r="Z2227" s="10"/>
      <c r="AA2227" s="11" t="str">
        <f t="shared" si="69"/>
        <v/>
      </c>
    </row>
    <row r="2228" spans="16:27" ht="15" customHeight="1">
      <c r="P2228" t="str">
        <f t="shared" si="68"/>
        <v/>
      </c>
      <c r="Q2228" t="str">
        <f>IF(P2228="","",IFERROR(IF(AND(H2228="W7",OR(F2228="causal",F2228="predictive")),IF(AND(OR(K2228=1,K2228="1"),OR(L2228=1,L2228="1"),OR(M2228=1,M2228="1")),"adequate","partial"),IF(AND(H2228="W4",F2228="predictive",OR(J2228="P2",J2228="P3",J2228="P4")),IF(OR(U2228=1,U2228="1"),"adequate","partial"),INDEX(Fit_Matrix!$B:$B,MATCH(P2228,Fit_Matrix!$A:$A,0)))),"CHECK KEY"))</f>
        <v/>
      </c>
      <c r="U2228" s="10"/>
      <c r="V2228" s="10"/>
      <c r="W2228" s="10"/>
      <c r="X2228" s="10"/>
      <c r="Y2228" s="10"/>
      <c r="Z2228" s="10"/>
      <c r="AA2228" s="11" t="str">
        <f t="shared" si="69"/>
        <v/>
      </c>
    </row>
    <row r="2229" spans="16:27" ht="15" customHeight="1">
      <c r="P2229" t="str">
        <f t="shared" si="68"/>
        <v/>
      </c>
      <c r="Q2229" t="str">
        <f>IF(P2229="","",IFERROR(IF(AND(H2229="W7",OR(F2229="causal",F2229="predictive")),IF(AND(OR(K2229=1,K2229="1"),OR(L2229=1,L2229="1"),OR(M2229=1,M2229="1")),"adequate","partial"),IF(AND(H2229="W4",F2229="predictive",OR(J2229="P2",J2229="P3",J2229="P4")),IF(OR(U2229=1,U2229="1"),"adequate","partial"),INDEX(Fit_Matrix!$B:$B,MATCH(P2229,Fit_Matrix!$A:$A,0)))),"CHECK KEY"))</f>
        <v/>
      </c>
      <c r="U2229" s="10"/>
      <c r="V2229" s="10"/>
      <c r="W2229" s="10"/>
      <c r="X2229" s="10"/>
      <c r="Y2229" s="10"/>
      <c r="Z2229" s="10"/>
      <c r="AA2229" s="11" t="str">
        <f t="shared" si="69"/>
        <v/>
      </c>
    </row>
    <row r="2230" spans="16:27" ht="15" customHeight="1">
      <c r="P2230" t="str">
        <f t="shared" si="68"/>
        <v/>
      </c>
      <c r="Q2230" t="str">
        <f>IF(P2230="","",IFERROR(IF(AND(H2230="W7",OR(F2230="causal",F2230="predictive")),IF(AND(OR(K2230=1,K2230="1"),OR(L2230=1,L2230="1"),OR(M2230=1,M2230="1")),"adequate","partial"),IF(AND(H2230="W4",F2230="predictive",OR(J2230="P2",J2230="P3",J2230="P4")),IF(OR(U2230=1,U2230="1"),"adequate","partial"),INDEX(Fit_Matrix!$B:$B,MATCH(P2230,Fit_Matrix!$A:$A,0)))),"CHECK KEY"))</f>
        <v/>
      </c>
      <c r="U2230" s="10"/>
      <c r="V2230" s="10"/>
      <c r="W2230" s="10"/>
      <c r="X2230" s="10"/>
      <c r="Y2230" s="10"/>
      <c r="Z2230" s="10"/>
      <c r="AA2230" s="11" t="str">
        <f t="shared" si="69"/>
        <v/>
      </c>
    </row>
    <row r="2231" spans="16:27" ht="15" customHeight="1">
      <c r="P2231" t="str">
        <f t="shared" si="68"/>
        <v/>
      </c>
      <c r="Q2231" t="str">
        <f>IF(P2231="","",IFERROR(IF(AND(H2231="W7",OR(F2231="causal",F2231="predictive")),IF(AND(OR(K2231=1,K2231="1"),OR(L2231=1,L2231="1"),OR(M2231=1,M2231="1")),"adequate","partial"),IF(AND(H2231="W4",F2231="predictive",OR(J2231="P2",J2231="P3",J2231="P4")),IF(OR(U2231=1,U2231="1"),"adequate","partial"),INDEX(Fit_Matrix!$B:$B,MATCH(P2231,Fit_Matrix!$A:$A,0)))),"CHECK KEY"))</f>
        <v/>
      </c>
      <c r="U2231" s="10"/>
      <c r="V2231" s="10"/>
      <c r="W2231" s="10"/>
      <c r="X2231" s="10"/>
      <c r="Y2231" s="10"/>
      <c r="Z2231" s="10"/>
      <c r="AA2231" s="11" t="str">
        <f t="shared" si="69"/>
        <v/>
      </c>
    </row>
    <row r="2232" spans="16:27" ht="15" customHeight="1">
      <c r="P2232" t="str">
        <f t="shared" si="68"/>
        <v/>
      </c>
      <c r="Q2232" t="str">
        <f>IF(P2232="","",IFERROR(IF(AND(H2232="W7",OR(F2232="causal",F2232="predictive")),IF(AND(OR(K2232=1,K2232="1"),OR(L2232=1,L2232="1"),OR(M2232=1,M2232="1")),"adequate","partial"),IF(AND(H2232="W4",F2232="predictive",OR(J2232="P2",J2232="P3",J2232="P4")),IF(OR(U2232=1,U2232="1"),"adequate","partial"),INDEX(Fit_Matrix!$B:$B,MATCH(P2232,Fit_Matrix!$A:$A,0)))),"CHECK KEY"))</f>
        <v/>
      </c>
      <c r="U2232" s="10"/>
      <c r="V2232" s="10"/>
      <c r="W2232" s="10"/>
      <c r="X2232" s="10"/>
      <c r="Y2232" s="10"/>
      <c r="Z2232" s="10"/>
      <c r="AA2232" s="11" t="str">
        <f t="shared" si="69"/>
        <v/>
      </c>
    </row>
    <row r="2233" spans="16:27" ht="15" customHeight="1">
      <c r="P2233" t="str">
        <f t="shared" si="68"/>
        <v/>
      </c>
      <c r="Q2233" t="str">
        <f>IF(P2233="","",IFERROR(IF(AND(H2233="W7",OR(F2233="causal",F2233="predictive")),IF(AND(OR(K2233=1,K2233="1"),OR(L2233=1,L2233="1"),OR(M2233=1,M2233="1")),"adequate","partial"),IF(AND(H2233="W4",F2233="predictive",OR(J2233="P2",J2233="P3",J2233="P4")),IF(OR(U2233=1,U2233="1"),"adequate","partial"),INDEX(Fit_Matrix!$B:$B,MATCH(P2233,Fit_Matrix!$A:$A,0)))),"CHECK KEY"))</f>
        <v/>
      </c>
      <c r="U2233" s="10"/>
      <c r="V2233" s="10"/>
      <c r="W2233" s="10"/>
      <c r="X2233" s="10"/>
      <c r="Y2233" s="10"/>
      <c r="Z2233" s="10"/>
      <c r="AA2233" s="11" t="str">
        <f t="shared" si="69"/>
        <v/>
      </c>
    </row>
    <row r="2234" spans="16:27" ht="15" customHeight="1">
      <c r="P2234" t="str">
        <f t="shared" si="68"/>
        <v/>
      </c>
      <c r="Q2234" t="str">
        <f>IF(P2234="","",IFERROR(IF(AND(H2234="W7",OR(F2234="causal",F2234="predictive")),IF(AND(OR(K2234=1,K2234="1"),OR(L2234=1,L2234="1"),OR(M2234=1,M2234="1")),"adequate","partial"),IF(AND(H2234="W4",F2234="predictive",OR(J2234="P2",J2234="P3",J2234="P4")),IF(OR(U2234=1,U2234="1"),"adequate","partial"),INDEX(Fit_Matrix!$B:$B,MATCH(P2234,Fit_Matrix!$A:$A,0)))),"CHECK KEY"))</f>
        <v/>
      </c>
      <c r="U2234" s="10"/>
      <c r="V2234" s="10"/>
      <c r="W2234" s="10"/>
      <c r="X2234" s="10"/>
      <c r="Y2234" s="10"/>
      <c r="Z2234" s="10"/>
      <c r="AA2234" s="11" t="str">
        <f t="shared" si="69"/>
        <v/>
      </c>
    </row>
    <row r="2235" spans="16:27" ht="15" customHeight="1">
      <c r="P2235" t="str">
        <f t="shared" si="68"/>
        <v/>
      </c>
      <c r="Q2235" t="str">
        <f>IF(P2235="","",IFERROR(IF(AND(H2235="W7",OR(F2235="causal",F2235="predictive")),IF(AND(OR(K2235=1,K2235="1"),OR(L2235=1,L2235="1"),OR(M2235=1,M2235="1")),"adequate","partial"),IF(AND(H2235="W4",F2235="predictive",OR(J2235="P2",J2235="P3",J2235="P4")),IF(OR(U2235=1,U2235="1"),"adequate","partial"),INDEX(Fit_Matrix!$B:$B,MATCH(P2235,Fit_Matrix!$A:$A,0)))),"CHECK KEY"))</f>
        <v/>
      </c>
      <c r="U2235" s="10"/>
      <c r="V2235" s="10"/>
      <c r="W2235" s="10"/>
      <c r="X2235" s="10"/>
      <c r="Y2235" s="10"/>
      <c r="Z2235" s="10"/>
      <c r="AA2235" s="11" t="str">
        <f t="shared" si="69"/>
        <v/>
      </c>
    </row>
    <row r="2236" spans="16:27" ht="15" customHeight="1">
      <c r="P2236" t="str">
        <f t="shared" si="68"/>
        <v/>
      </c>
      <c r="Q2236" t="str">
        <f>IF(P2236="","",IFERROR(IF(AND(H2236="W7",OR(F2236="causal",F2236="predictive")),IF(AND(OR(K2236=1,K2236="1"),OR(L2236=1,L2236="1"),OR(M2236=1,M2236="1")),"adequate","partial"),IF(AND(H2236="W4",F2236="predictive",OR(J2236="P2",J2236="P3",J2236="P4")),IF(OR(U2236=1,U2236="1"),"adequate","partial"),INDEX(Fit_Matrix!$B:$B,MATCH(P2236,Fit_Matrix!$A:$A,0)))),"CHECK KEY"))</f>
        <v/>
      </c>
      <c r="U2236" s="10"/>
      <c r="V2236" s="10"/>
      <c r="W2236" s="10"/>
      <c r="X2236" s="10"/>
      <c r="Y2236" s="10"/>
      <c r="Z2236" s="10"/>
      <c r="AA2236" s="11" t="str">
        <f t="shared" si="69"/>
        <v/>
      </c>
    </row>
    <row r="2237" spans="16:27" ht="15" customHeight="1">
      <c r="P2237" t="str">
        <f t="shared" si="68"/>
        <v/>
      </c>
      <c r="Q2237" t="str">
        <f>IF(P2237="","",IFERROR(IF(AND(H2237="W7",OR(F2237="causal",F2237="predictive")),IF(AND(OR(K2237=1,K2237="1"),OR(L2237=1,L2237="1"),OR(M2237=1,M2237="1")),"adequate","partial"),IF(AND(H2237="W4",F2237="predictive",OR(J2237="P2",J2237="P3",J2237="P4")),IF(OR(U2237=1,U2237="1"),"adequate","partial"),INDEX(Fit_Matrix!$B:$B,MATCH(P2237,Fit_Matrix!$A:$A,0)))),"CHECK KEY"))</f>
        <v/>
      </c>
      <c r="U2237" s="10"/>
      <c r="V2237" s="10"/>
      <c r="W2237" s="10"/>
      <c r="X2237" s="10"/>
      <c r="Y2237" s="10"/>
      <c r="Z2237" s="10"/>
      <c r="AA2237" s="11" t="str">
        <f t="shared" si="69"/>
        <v/>
      </c>
    </row>
    <row r="2238" spans="16:27" ht="15" customHeight="1">
      <c r="P2238" t="str">
        <f t="shared" si="68"/>
        <v/>
      </c>
      <c r="Q2238" t="str">
        <f>IF(P2238="","",IFERROR(IF(AND(H2238="W7",OR(F2238="causal",F2238="predictive")),IF(AND(OR(K2238=1,K2238="1"),OR(L2238=1,L2238="1"),OR(M2238=1,M2238="1")),"adequate","partial"),IF(AND(H2238="W4",F2238="predictive",OR(J2238="P2",J2238="P3",J2238="P4")),IF(OR(U2238=1,U2238="1"),"adequate","partial"),INDEX(Fit_Matrix!$B:$B,MATCH(P2238,Fit_Matrix!$A:$A,0)))),"CHECK KEY"))</f>
        <v/>
      </c>
      <c r="U2238" s="10"/>
      <c r="V2238" s="10"/>
      <c r="W2238" s="10"/>
      <c r="X2238" s="10"/>
      <c r="Y2238" s="10"/>
      <c r="Z2238" s="10"/>
      <c r="AA2238" s="11" t="str">
        <f t="shared" si="69"/>
        <v/>
      </c>
    </row>
    <row r="2239" spans="16:27" ht="15" customHeight="1">
      <c r="P2239" t="str">
        <f t="shared" si="68"/>
        <v/>
      </c>
      <c r="Q2239" t="str">
        <f>IF(P2239="","",IFERROR(IF(AND(H2239="W7",OR(F2239="causal",F2239="predictive")),IF(AND(OR(K2239=1,K2239="1"),OR(L2239=1,L2239="1"),OR(M2239=1,M2239="1")),"adequate","partial"),IF(AND(H2239="W4",F2239="predictive",OR(J2239="P2",J2239="P3",J2239="P4")),IF(OR(U2239=1,U2239="1"),"adequate","partial"),INDEX(Fit_Matrix!$B:$B,MATCH(P2239,Fit_Matrix!$A:$A,0)))),"CHECK KEY"))</f>
        <v/>
      </c>
      <c r="U2239" s="10"/>
      <c r="V2239" s="10"/>
      <c r="W2239" s="10"/>
      <c r="X2239" s="10"/>
      <c r="Y2239" s="10"/>
      <c r="Z2239" s="10"/>
      <c r="AA2239" s="11" t="str">
        <f t="shared" si="69"/>
        <v/>
      </c>
    </row>
    <row r="2240" spans="16:27" ht="15" customHeight="1">
      <c r="P2240" t="str">
        <f t="shared" si="68"/>
        <v/>
      </c>
      <c r="Q2240" t="str">
        <f>IF(P2240="","",IFERROR(IF(AND(H2240="W7",OR(F2240="causal",F2240="predictive")),IF(AND(OR(K2240=1,K2240="1"),OR(L2240=1,L2240="1"),OR(M2240=1,M2240="1")),"adequate","partial"),IF(AND(H2240="W4",F2240="predictive",OR(J2240="P2",J2240="P3",J2240="P4")),IF(OR(U2240=1,U2240="1"),"adequate","partial"),INDEX(Fit_Matrix!$B:$B,MATCH(P2240,Fit_Matrix!$A:$A,0)))),"CHECK KEY"))</f>
        <v/>
      </c>
      <c r="U2240" s="10"/>
      <c r="V2240" s="10"/>
      <c r="W2240" s="10"/>
      <c r="X2240" s="10"/>
      <c r="Y2240" s="10"/>
      <c r="Z2240" s="10"/>
      <c r="AA2240" s="11" t="str">
        <f t="shared" si="69"/>
        <v/>
      </c>
    </row>
    <row r="2241" spans="16:27" ht="15" customHeight="1">
      <c r="P2241" t="str">
        <f t="shared" si="68"/>
        <v/>
      </c>
      <c r="Q2241" t="str">
        <f>IF(P2241="","",IFERROR(IF(AND(H2241="W7",OR(F2241="causal",F2241="predictive")),IF(AND(OR(K2241=1,K2241="1"),OR(L2241=1,L2241="1"),OR(M2241=1,M2241="1")),"adequate","partial"),IF(AND(H2241="W4",F2241="predictive",OR(J2241="P2",J2241="P3",J2241="P4")),IF(OR(U2241=1,U2241="1"),"adequate","partial"),INDEX(Fit_Matrix!$B:$B,MATCH(P2241,Fit_Matrix!$A:$A,0)))),"CHECK KEY"))</f>
        <v/>
      </c>
      <c r="U2241" s="10"/>
      <c r="V2241" s="10"/>
      <c r="W2241" s="10"/>
      <c r="X2241" s="10"/>
      <c r="Y2241" s="10"/>
      <c r="Z2241" s="10"/>
      <c r="AA2241" s="11" t="str">
        <f t="shared" si="69"/>
        <v/>
      </c>
    </row>
    <row r="2242" spans="16:27" ht="15" customHeight="1">
      <c r="P2242" t="str">
        <f t="shared" ref="P2242:P2305" si="70">IF(OR(F2242="",H2242="",J2242=""),"",J2242&amp;"|"&amp;F2242&amp;"|"&amp;IF(H2242="W3","W3_"&amp;IF(I2242="","unknown",I2242),H2242))</f>
        <v/>
      </c>
      <c r="Q2242" t="str">
        <f>IF(P2242="","",IFERROR(IF(AND(H2242="W7",OR(F2242="causal",F2242="predictive")),IF(AND(OR(K2242=1,K2242="1"),OR(L2242=1,L2242="1"),OR(M2242=1,M2242="1")),"adequate","partial"),IF(AND(H2242="W4",F2242="predictive",OR(J2242="P2",J2242="P3",J2242="P4")),IF(OR(U2242=1,U2242="1"),"adequate","partial"),INDEX(Fit_Matrix!$B:$B,MATCH(P2242,Fit_Matrix!$A:$A,0)))),"CHECK KEY"))</f>
        <v/>
      </c>
      <c r="U2242" s="10"/>
      <c r="V2242" s="10"/>
      <c r="W2242" s="10"/>
      <c r="X2242" s="10"/>
      <c r="Y2242" s="10"/>
      <c r="Z2242" s="10"/>
      <c r="AA2242" s="11" t="str">
        <f t="shared" ref="AA2242:AA2305" si="71">IF(A2242="","",IF(AND(J2242="P4",F2242="causal"),"P4-CAUSAL",""))</f>
        <v/>
      </c>
    </row>
    <row r="2243" spans="16:27" ht="15" customHeight="1">
      <c r="P2243" t="str">
        <f t="shared" si="70"/>
        <v/>
      </c>
      <c r="Q2243" t="str">
        <f>IF(P2243="","",IFERROR(IF(AND(H2243="W7",OR(F2243="causal",F2243="predictive")),IF(AND(OR(K2243=1,K2243="1"),OR(L2243=1,L2243="1"),OR(M2243=1,M2243="1")),"adequate","partial"),IF(AND(H2243="W4",F2243="predictive",OR(J2243="P2",J2243="P3",J2243="P4")),IF(OR(U2243=1,U2243="1"),"adequate","partial"),INDEX(Fit_Matrix!$B:$B,MATCH(P2243,Fit_Matrix!$A:$A,0)))),"CHECK KEY"))</f>
        <v/>
      </c>
      <c r="U2243" s="10"/>
      <c r="V2243" s="10"/>
      <c r="W2243" s="10"/>
      <c r="X2243" s="10"/>
      <c r="Y2243" s="10"/>
      <c r="Z2243" s="10"/>
      <c r="AA2243" s="11" t="str">
        <f t="shared" si="71"/>
        <v/>
      </c>
    </row>
    <row r="2244" spans="16:27" ht="15" customHeight="1">
      <c r="P2244" t="str">
        <f t="shared" si="70"/>
        <v/>
      </c>
      <c r="Q2244" t="str">
        <f>IF(P2244="","",IFERROR(IF(AND(H2244="W7",OR(F2244="causal",F2244="predictive")),IF(AND(OR(K2244=1,K2244="1"),OR(L2244=1,L2244="1"),OR(M2244=1,M2244="1")),"adequate","partial"),IF(AND(H2244="W4",F2244="predictive",OR(J2244="P2",J2244="P3",J2244="P4")),IF(OR(U2244=1,U2244="1"),"adequate","partial"),INDEX(Fit_Matrix!$B:$B,MATCH(P2244,Fit_Matrix!$A:$A,0)))),"CHECK KEY"))</f>
        <v/>
      </c>
      <c r="U2244" s="10"/>
      <c r="V2244" s="10"/>
      <c r="W2244" s="10"/>
      <c r="X2244" s="10"/>
      <c r="Y2244" s="10"/>
      <c r="Z2244" s="10"/>
      <c r="AA2244" s="11" t="str">
        <f t="shared" si="71"/>
        <v/>
      </c>
    </row>
    <row r="2245" spans="16:27" ht="15" customHeight="1">
      <c r="P2245" t="str">
        <f t="shared" si="70"/>
        <v/>
      </c>
      <c r="Q2245" t="str">
        <f>IF(P2245="","",IFERROR(IF(AND(H2245="W7",OR(F2245="causal",F2245="predictive")),IF(AND(OR(K2245=1,K2245="1"),OR(L2245=1,L2245="1"),OR(M2245=1,M2245="1")),"adequate","partial"),IF(AND(H2245="W4",F2245="predictive",OR(J2245="P2",J2245="P3",J2245="P4")),IF(OR(U2245=1,U2245="1"),"adequate","partial"),INDEX(Fit_Matrix!$B:$B,MATCH(P2245,Fit_Matrix!$A:$A,0)))),"CHECK KEY"))</f>
        <v/>
      </c>
      <c r="U2245" s="10"/>
      <c r="V2245" s="10"/>
      <c r="W2245" s="10"/>
      <c r="X2245" s="10"/>
      <c r="Y2245" s="10"/>
      <c r="Z2245" s="10"/>
      <c r="AA2245" s="11" t="str">
        <f t="shared" si="71"/>
        <v/>
      </c>
    </row>
    <row r="2246" spans="16:27" ht="15" customHeight="1">
      <c r="P2246" t="str">
        <f t="shared" si="70"/>
        <v/>
      </c>
      <c r="Q2246" t="str">
        <f>IF(P2246="","",IFERROR(IF(AND(H2246="W7",OR(F2246="causal",F2246="predictive")),IF(AND(OR(K2246=1,K2246="1"),OR(L2246=1,L2246="1"),OR(M2246=1,M2246="1")),"adequate","partial"),IF(AND(H2246="W4",F2246="predictive",OR(J2246="P2",J2246="P3",J2246="P4")),IF(OR(U2246=1,U2246="1"),"adequate","partial"),INDEX(Fit_Matrix!$B:$B,MATCH(P2246,Fit_Matrix!$A:$A,0)))),"CHECK KEY"))</f>
        <v/>
      </c>
      <c r="U2246" s="10"/>
      <c r="V2246" s="10"/>
      <c r="W2246" s="10"/>
      <c r="X2246" s="10"/>
      <c r="Y2246" s="10"/>
      <c r="Z2246" s="10"/>
      <c r="AA2246" s="11" t="str">
        <f t="shared" si="71"/>
        <v/>
      </c>
    </row>
    <row r="2247" spans="16:27" ht="15" customHeight="1">
      <c r="P2247" t="str">
        <f t="shared" si="70"/>
        <v/>
      </c>
      <c r="Q2247" t="str">
        <f>IF(P2247="","",IFERROR(IF(AND(H2247="W7",OR(F2247="causal",F2247="predictive")),IF(AND(OR(K2247=1,K2247="1"),OR(L2247=1,L2247="1"),OR(M2247=1,M2247="1")),"adequate","partial"),IF(AND(H2247="W4",F2247="predictive",OR(J2247="P2",J2247="P3",J2247="P4")),IF(OR(U2247=1,U2247="1"),"adequate","partial"),INDEX(Fit_Matrix!$B:$B,MATCH(P2247,Fit_Matrix!$A:$A,0)))),"CHECK KEY"))</f>
        <v/>
      </c>
      <c r="U2247" s="10"/>
      <c r="V2247" s="10"/>
      <c r="W2247" s="10"/>
      <c r="X2247" s="10"/>
      <c r="Y2247" s="10"/>
      <c r="Z2247" s="10"/>
      <c r="AA2247" s="11" t="str">
        <f t="shared" si="71"/>
        <v/>
      </c>
    </row>
    <row r="2248" spans="16:27" ht="15" customHeight="1">
      <c r="P2248" t="str">
        <f t="shared" si="70"/>
        <v/>
      </c>
      <c r="Q2248" t="str">
        <f>IF(P2248="","",IFERROR(IF(AND(H2248="W7",OR(F2248="causal",F2248="predictive")),IF(AND(OR(K2248=1,K2248="1"),OR(L2248=1,L2248="1"),OR(M2248=1,M2248="1")),"adequate","partial"),IF(AND(H2248="W4",F2248="predictive",OR(J2248="P2",J2248="P3",J2248="P4")),IF(OR(U2248=1,U2248="1"),"adequate","partial"),INDEX(Fit_Matrix!$B:$B,MATCH(P2248,Fit_Matrix!$A:$A,0)))),"CHECK KEY"))</f>
        <v/>
      </c>
      <c r="U2248" s="10"/>
      <c r="V2248" s="10"/>
      <c r="W2248" s="10"/>
      <c r="X2248" s="10"/>
      <c r="Y2248" s="10"/>
      <c r="Z2248" s="10"/>
      <c r="AA2248" s="11" t="str">
        <f t="shared" si="71"/>
        <v/>
      </c>
    </row>
    <row r="2249" spans="16:27" ht="15" customHeight="1">
      <c r="P2249" t="str">
        <f t="shared" si="70"/>
        <v/>
      </c>
      <c r="Q2249" t="str">
        <f>IF(P2249="","",IFERROR(IF(AND(H2249="W7",OR(F2249="causal",F2249="predictive")),IF(AND(OR(K2249=1,K2249="1"),OR(L2249=1,L2249="1"),OR(M2249=1,M2249="1")),"adequate","partial"),IF(AND(H2249="W4",F2249="predictive",OR(J2249="P2",J2249="P3",J2249="P4")),IF(OR(U2249=1,U2249="1"),"adequate","partial"),INDEX(Fit_Matrix!$B:$B,MATCH(P2249,Fit_Matrix!$A:$A,0)))),"CHECK KEY"))</f>
        <v/>
      </c>
      <c r="U2249" s="10"/>
      <c r="V2249" s="10"/>
      <c r="W2249" s="10"/>
      <c r="X2249" s="10"/>
      <c r="Y2249" s="10"/>
      <c r="Z2249" s="10"/>
      <c r="AA2249" s="11" t="str">
        <f t="shared" si="71"/>
        <v/>
      </c>
    </row>
    <row r="2250" spans="16:27" ht="15" customHeight="1">
      <c r="P2250" t="str">
        <f t="shared" si="70"/>
        <v/>
      </c>
      <c r="Q2250" t="str">
        <f>IF(P2250="","",IFERROR(IF(AND(H2250="W7",OR(F2250="causal",F2250="predictive")),IF(AND(OR(K2250=1,K2250="1"),OR(L2250=1,L2250="1"),OR(M2250=1,M2250="1")),"adequate","partial"),IF(AND(H2250="W4",F2250="predictive",OR(J2250="P2",J2250="P3",J2250="P4")),IF(OR(U2250=1,U2250="1"),"adequate","partial"),INDEX(Fit_Matrix!$B:$B,MATCH(P2250,Fit_Matrix!$A:$A,0)))),"CHECK KEY"))</f>
        <v/>
      </c>
      <c r="U2250" s="10"/>
      <c r="V2250" s="10"/>
      <c r="W2250" s="10"/>
      <c r="X2250" s="10"/>
      <c r="Y2250" s="10"/>
      <c r="Z2250" s="10"/>
      <c r="AA2250" s="11" t="str">
        <f t="shared" si="71"/>
        <v/>
      </c>
    </row>
    <row r="2251" spans="16:27" ht="15" customHeight="1">
      <c r="P2251" t="str">
        <f t="shared" si="70"/>
        <v/>
      </c>
      <c r="Q2251" t="str">
        <f>IF(P2251="","",IFERROR(IF(AND(H2251="W7",OR(F2251="causal",F2251="predictive")),IF(AND(OR(K2251=1,K2251="1"),OR(L2251=1,L2251="1"),OR(M2251=1,M2251="1")),"adequate","partial"),IF(AND(H2251="W4",F2251="predictive",OR(J2251="P2",J2251="P3",J2251="P4")),IF(OR(U2251=1,U2251="1"),"adequate","partial"),INDEX(Fit_Matrix!$B:$B,MATCH(P2251,Fit_Matrix!$A:$A,0)))),"CHECK KEY"))</f>
        <v/>
      </c>
      <c r="U2251" s="10"/>
      <c r="V2251" s="10"/>
      <c r="W2251" s="10"/>
      <c r="X2251" s="10"/>
      <c r="Y2251" s="10"/>
      <c r="Z2251" s="10"/>
      <c r="AA2251" s="11" t="str">
        <f t="shared" si="71"/>
        <v/>
      </c>
    </row>
    <row r="2252" spans="16:27" ht="15" customHeight="1">
      <c r="P2252" t="str">
        <f t="shared" si="70"/>
        <v/>
      </c>
      <c r="Q2252" t="str">
        <f>IF(P2252="","",IFERROR(IF(AND(H2252="W7",OR(F2252="causal",F2252="predictive")),IF(AND(OR(K2252=1,K2252="1"),OR(L2252=1,L2252="1"),OR(M2252=1,M2252="1")),"adequate","partial"),IF(AND(H2252="W4",F2252="predictive",OR(J2252="P2",J2252="P3",J2252="P4")),IF(OR(U2252=1,U2252="1"),"adequate","partial"),INDEX(Fit_Matrix!$B:$B,MATCH(P2252,Fit_Matrix!$A:$A,0)))),"CHECK KEY"))</f>
        <v/>
      </c>
      <c r="U2252" s="10"/>
      <c r="V2252" s="10"/>
      <c r="W2252" s="10"/>
      <c r="X2252" s="10"/>
      <c r="Y2252" s="10"/>
      <c r="Z2252" s="10"/>
      <c r="AA2252" s="11" t="str">
        <f t="shared" si="71"/>
        <v/>
      </c>
    </row>
    <row r="2253" spans="16:27" ht="15" customHeight="1">
      <c r="P2253" t="str">
        <f t="shared" si="70"/>
        <v/>
      </c>
      <c r="Q2253" t="str">
        <f>IF(P2253="","",IFERROR(IF(AND(H2253="W7",OR(F2253="causal",F2253="predictive")),IF(AND(OR(K2253=1,K2253="1"),OR(L2253=1,L2253="1"),OR(M2253=1,M2253="1")),"adequate","partial"),IF(AND(H2253="W4",F2253="predictive",OR(J2253="P2",J2253="P3",J2253="P4")),IF(OR(U2253=1,U2253="1"),"adequate","partial"),INDEX(Fit_Matrix!$B:$B,MATCH(P2253,Fit_Matrix!$A:$A,0)))),"CHECK KEY"))</f>
        <v/>
      </c>
      <c r="U2253" s="10"/>
      <c r="V2253" s="10"/>
      <c r="W2253" s="10"/>
      <c r="X2253" s="10"/>
      <c r="Y2253" s="10"/>
      <c r="Z2253" s="10"/>
      <c r="AA2253" s="11" t="str">
        <f t="shared" si="71"/>
        <v/>
      </c>
    </row>
    <row r="2254" spans="16:27" ht="15" customHeight="1">
      <c r="P2254" t="str">
        <f t="shared" si="70"/>
        <v/>
      </c>
      <c r="Q2254" t="str">
        <f>IF(P2254="","",IFERROR(IF(AND(H2254="W7",OR(F2254="causal",F2254="predictive")),IF(AND(OR(K2254=1,K2254="1"),OR(L2254=1,L2254="1"),OR(M2254=1,M2254="1")),"adequate","partial"),IF(AND(H2254="W4",F2254="predictive",OR(J2254="P2",J2254="P3",J2254="P4")),IF(OR(U2254=1,U2254="1"),"adequate","partial"),INDEX(Fit_Matrix!$B:$B,MATCH(P2254,Fit_Matrix!$A:$A,0)))),"CHECK KEY"))</f>
        <v/>
      </c>
      <c r="U2254" s="10"/>
      <c r="V2254" s="10"/>
      <c r="W2254" s="10"/>
      <c r="X2254" s="10"/>
      <c r="Y2254" s="10"/>
      <c r="Z2254" s="10"/>
      <c r="AA2254" s="11" t="str">
        <f t="shared" si="71"/>
        <v/>
      </c>
    </row>
    <row r="2255" spans="16:27" ht="15" customHeight="1">
      <c r="P2255" t="str">
        <f t="shared" si="70"/>
        <v/>
      </c>
      <c r="Q2255" t="str">
        <f>IF(P2255="","",IFERROR(IF(AND(H2255="W7",OR(F2255="causal",F2255="predictive")),IF(AND(OR(K2255=1,K2255="1"),OR(L2255=1,L2255="1"),OR(M2255=1,M2255="1")),"adequate","partial"),IF(AND(H2255="W4",F2255="predictive",OR(J2255="P2",J2255="P3",J2255="P4")),IF(OR(U2255=1,U2255="1"),"adequate","partial"),INDEX(Fit_Matrix!$B:$B,MATCH(P2255,Fit_Matrix!$A:$A,0)))),"CHECK KEY"))</f>
        <v/>
      </c>
      <c r="U2255" s="10"/>
      <c r="V2255" s="10"/>
      <c r="W2255" s="10"/>
      <c r="X2255" s="10"/>
      <c r="Y2255" s="10"/>
      <c r="Z2255" s="10"/>
      <c r="AA2255" s="11" t="str">
        <f t="shared" si="71"/>
        <v/>
      </c>
    </row>
    <row r="2256" spans="16:27" ht="15" customHeight="1">
      <c r="P2256" t="str">
        <f t="shared" si="70"/>
        <v/>
      </c>
      <c r="Q2256" t="str">
        <f>IF(P2256="","",IFERROR(IF(AND(H2256="W7",OR(F2256="causal",F2256="predictive")),IF(AND(OR(K2256=1,K2256="1"),OR(L2256=1,L2256="1"),OR(M2256=1,M2256="1")),"adequate","partial"),IF(AND(H2256="W4",F2256="predictive",OR(J2256="P2",J2256="P3",J2256="P4")),IF(OR(U2256=1,U2256="1"),"adequate","partial"),INDEX(Fit_Matrix!$B:$B,MATCH(P2256,Fit_Matrix!$A:$A,0)))),"CHECK KEY"))</f>
        <v/>
      </c>
      <c r="U2256" s="10"/>
      <c r="V2256" s="10"/>
      <c r="W2256" s="10"/>
      <c r="X2256" s="10"/>
      <c r="Y2256" s="10"/>
      <c r="Z2256" s="10"/>
      <c r="AA2256" s="11" t="str">
        <f t="shared" si="71"/>
        <v/>
      </c>
    </row>
    <row r="2257" spans="16:27" ht="15" customHeight="1">
      <c r="P2257" t="str">
        <f t="shared" si="70"/>
        <v/>
      </c>
      <c r="Q2257" t="str">
        <f>IF(P2257="","",IFERROR(IF(AND(H2257="W7",OR(F2257="causal",F2257="predictive")),IF(AND(OR(K2257=1,K2257="1"),OR(L2257=1,L2257="1"),OR(M2257=1,M2257="1")),"adequate","partial"),IF(AND(H2257="W4",F2257="predictive",OR(J2257="P2",J2257="P3",J2257="P4")),IF(OR(U2257=1,U2257="1"),"adequate","partial"),INDEX(Fit_Matrix!$B:$B,MATCH(P2257,Fit_Matrix!$A:$A,0)))),"CHECK KEY"))</f>
        <v/>
      </c>
      <c r="U2257" s="10"/>
      <c r="V2257" s="10"/>
      <c r="W2257" s="10"/>
      <c r="X2257" s="10"/>
      <c r="Y2257" s="10"/>
      <c r="Z2257" s="10"/>
      <c r="AA2257" s="11" t="str">
        <f t="shared" si="71"/>
        <v/>
      </c>
    </row>
    <row r="2258" spans="16:27" ht="15" customHeight="1">
      <c r="P2258" t="str">
        <f t="shared" si="70"/>
        <v/>
      </c>
      <c r="Q2258" t="str">
        <f>IF(P2258="","",IFERROR(IF(AND(H2258="W7",OR(F2258="causal",F2258="predictive")),IF(AND(OR(K2258=1,K2258="1"),OR(L2258=1,L2258="1"),OR(M2258=1,M2258="1")),"adequate","partial"),IF(AND(H2258="W4",F2258="predictive",OR(J2258="P2",J2258="P3",J2258="P4")),IF(OR(U2258=1,U2258="1"),"adequate","partial"),INDEX(Fit_Matrix!$B:$B,MATCH(P2258,Fit_Matrix!$A:$A,0)))),"CHECK KEY"))</f>
        <v/>
      </c>
      <c r="U2258" s="10"/>
      <c r="V2258" s="10"/>
      <c r="W2258" s="10"/>
      <c r="X2258" s="10"/>
      <c r="Y2258" s="10"/>
      <c r="Z2258" s="10"/>
      <c r="AA2258" s="11" t="str">
        <f t="shared" si="71"/>
        <v/>
      </c>
    </row>
    <row r="2259" spans="16:27" ht="15" customHeight="1">
      <c r="P2259" t="str">
        <f t="shared" si="70"/>
        <v/>
      </c>
      <c r="Q2259" t="str">
        <f>IF(P2259="","",IFERROR(IF(AND(H2259="W7",OR(F2259="causal",F2259="predictive")),IF(AND(OR(K2259=1,K2259="1"),OR(L2259=1,L2259="1"),OR(M2259=1,M2259="1")),"adequate","partial"),IF(AND(H2259="W4",F2259="predictive",OR(J2259="P2",J2259="P3",J2259="P4")),IF(OR(U2259=1,U2259="1"),"adequate","partial"),INDEX(Fit_Matrix!$B:$B,MATCH(P2259,Fit_Matrix!$A:$A,0)))),"CHECK KEY"))</f>
        <v/>
      </c>
      <c r="U2259" s="10"/>
      <c r="V2259" s="10"/>
      <c r="W2259" s="10"/>
      <c r="X2259" s="10"/>
      <c r="Y2259" s="10"/>
      <c r="Z2259" s="10"/>
      <c r="AA2259" s="11" t="str">
        <f t="shared" si="71"/>
        <v/>
      </c>
    </row>
    <row r="2260" spans="16:27" ht="15" customHeight="1">
      <c r="P2260" t="str">
        <f t="shared" si="70"/>
        <v/>
      </c>
      <c r="Q2260" t="str">
        <f>IF(P2260="","",IFERROR(IF(AND(H2260="W7",OR(F2260="causal",F2260="predictive")),IF(AND(OR(K2260=1,K2260="1"),OR(L2260=1,L2260="1"),OR(M2260=1,M2260="1")),"adequate","partial"),IF(AND(H2260="W4",F2260="predictive",OR(J2260="P2",J2260="P3",J2260="P4")),IF(OR(U2260=1,U2260="1"),"adequate","partial"),INDEX(Fit_Matrix!$B:$B,MATCH(P2260,Fit_Matrix!$A:$A,0)))),"CHECK KEY"))</f>
        <v/>
      </c>
      <c r="U2260" s="10"/>
      <c r="V2260" s="10"/>
      <c r="W2260" s="10"/>
      <c r="X2260" s="10"/>
      <c r="Y2260" s="10"/>
      <c r="Z2260" s="10"/>
      <c r="AA2260" s="11" t="str">
        <f t="shared" si="71"/>
        <v/>
      </c>
    </row>
    <row r="2261" spans="16:27" ht="15" customHeight="1">
      <c r="P2261" t="str">
        <f t="shared" si="70"/>
        <v/>
      </c>
      <c r="Q2261" t="str">
        <f>IF(P2261="","",IFERROR(IF(AND(H2261="W7",OR(F2261="causal",F2261="predictive")),IF(AND(OR(K2261=1,K2261="1"),OR(L2261=1,L2261="1"),OR(M2261=1,M2261="1")),"adequate","partial"),IF(AND(H2261="W4",F2261="predictive",OR(J2261="P2",J2261="P3",J2261="P4")),IF(OR(U2261=1,U2261="1"),"adequate","partial"),INDEX(Fit_Matrix!$B:$B,MATCH(P2261,Fit_Matrix!$A:$A,0)))),"CHECK KEY"))</f>
        <v/>
      </c>
      <c r="U2261" s="10"/>
      <c r="V2261" s="10"/>
      <c r="W2261" s="10"/>
      <c r="X2261" s="10"/>
      <c r="Y2261" s="10"/>
      <c r="Z2261" s="10"/>
      <c r="AA2261" s="11" t="str">
        <f t="shared" si="71"/>
        <v/>
      </c>
    </row>
    <row r="2262" spans="16:27" ht="15" customHeight="1">
      <c r="P2262" t="str">
        <f t="shared" si="70"/>
        <v/>
      </c>
      <c r="Q2262" t="str">
        <f>IF(P2262="","",IFERROR(IF(AND(H2262="W7",OR(F2262="causal",F2262="predictive")),IF(AND(OR(K2262=1,K2262="1"),OR(L2262=1,L2262="1"),OR(M2262=1,M2262="1")),"adequate","partial"),IF(AND(H2262="W4",F2262="predictive",OR(J2262="P2",J2262="P3",J2262="P4")),IF(OR(U2262=1,U2262="1"),"adequate","partial"),INDEX(Fit_Matrix!$B:$B,MATCH(P2262,Fit_Matrix!$A:$A,0)))),"CHECK KEY"))</f>
        <v/>
      </c>
      <c r="U2262" s="10"/>
      <c r="V2262" s="10"/>
      <c r="W2262" s="10"/>
      <c r="X2262" s="10"/>
      <c r="Y2262" s="10"/>
      <c r="Z2262" s="10"/>
      <c r="AA2262" s="11" t="str">
        <f t="shared" si="71"/>
        <v/>
      </c>
    </row>
    <row r="2263" spans="16:27" ht="15" customHeight="1">
      <c r="P2263" t="str">
        <f t="shared" si="70"/>
        <v/>
      </c>
      <c r="Q2263" t="str">
        <f>IF(P2263="","",IFERROR(IF(AND(H2263="W7",OR(F2263="causal",F2263="predictive")),IF(AND(OR(K2263=1,K2263="1"),OR(L2263=1,L2263="1"),OR(M2263=1,M2263="1")),"adequate","partial"),IF(AND(H2263="W4",F2263="predictive",OR(J2263="P2",J2263="P3",J2263="P4")),IF(OR(U2263=1,U2263="1"),"adequate","partial"),INDEX(Fit_Matrix!$B:$B,MATCH(P2263,Fit_Matrix!$A:$A,0)))),"CHECK KEY"))</f>
        <v/>
      </c>
      <c r="U2263" s="10"/>
      <c r="V2263" s="10"/>
      <c r="W2263" s="10"/>
      <c r="X2263" s="10"/>
      <c r="Y2263" s="10"/>
      <c r="Z2263" s="10"/>
      <c r="AA2263" s="11" t="str">
        <f t="shared" si="71"/>
        <v/>
      </c>
    </row>
    <row r="2264" spans="16:27" ht="15" customHeight="1">
      <c r="P2264" t="str">
        <f t="shared" si="70"/>
        <v/>
      </c>
      <c r="Q2264" t="str">
        <f>IF(P2264="","",IFERROR(IF(AND(H2264="W7",OR(F2264="causal",F2264="predictive")),IF(AND(OR(K2264=1,K2264="1"),OR(L2264=1,L2264="1"),OR(M2264=1,M2264="1")),"adequate","partial"),IF(AND(H2264="W4",F2264="predictive",OR(J2264="P2",J2264="P3",J2264="P4")),IF(OR(U2264=1,U2264="1"),"adequate","partial"),INDEX(Fit_Matrix!$B:$B,MATCH(P2264,Fit_Matrix!$A:$A,0)))),"CHECK KEY"))</f>
        <v/>
      </c>
      <c r="U2264" s="10"/>
      <c r="V2264" s="10"/>
      <c r="W2264" s="10"/>
      <c r="X2264" s="10"/>
      <c r="Y2264" s="10"/>
      <c r="Z2264" s="10"/>
      <c r="AA2264" s="11" t="str">
        <f t="shared" si="71"/>
        <v/>
      </c>
    </row>
    <row r="2265" spans="16:27" ht="15" customHeight="1">
      <c r="P2265" t="str">
        <f t="shared" si="70"/>
        <v/>
      </c>
      <c r="Q2265" t="str">
        <f>IF(P2265="","",IFERROR(IF(AND(H2265="W7",OR(F2265="causal",F2265="predictive")),IF(AND(OR(K2265=1,K2265="1"),OR(L2265=1,L2265="1"),OR(M2265=1,M2265="1")),"adequate","partial"),IF(AND(H2265="W4",F2265="predictive",OR(J2265="P2",J2265="P3",J2265="P4")),IF(OR(U2265=1,U2265="1"),"adequate","partial"),INDEX(Fit_Matrix!$B:$B,MATCH(P2265,Fit_Matrix!$A:$A,0)))),"CHECK KEY"))</f>
        <v/>
      </c>
      <c r="U2265" s="10"/>
      <c r="V2265" s="10"/>
      <c r="W2265" s="10"/>
      <c r="X2265" s="10"/>
      <c r="Y2265" s="10"/>
      <c r="Z2265" s="10"/>
      <c r="AA2265" s="11" t="str">
        <f t="shared" si="71"/>
        <v/>
      </c>
    </row>
    <row r="2266" spans="16:27" ht="15" customHeight="1">
      <c r="P2266" t="str">
        <f t="shared" si="70"/>
        <v/>
      </c>
      <c r="Q2266" t="str">
        <f>IF(P2266="","",IFERROR(IF(AND(H2266="W7",OR(F2266="causal",F2266="predictive")),IF(AND(OR(K2266=1,K2266="1"),OR(L2266=1,L2266="1"),OR(M2266=1,M2266="1")),"adequate","partial"),IF(AND(H2266="W4",F2266="predictive",OR(J2266="P2",J2266="P3",J2266="P4")),IF(OR(U2266=1,U2266="1"),"adequate","partial"),INDEX(Fit_Matrix!$B:$B,MATCH(P2266,Fit_Matrix!$A:$A,0)))),"CHECK KEY"))</f>
        <v/>
      </c>
      <c r="U2266" s="10"/>
      <c r="V2266" s="10"/>
      <c r="W2266" s="10"/>
      <c r="X2266" s="10"/>
      <c r="Y2266" s="10"/>
      <c r="Z2266" s="10"/>
      <c r="AA2266" s="11" t="str">
        <f t="shared" si="71"/>
        <v/>
      </c>
    </row>
    <row r="2267" spans="16:27" ht="15" customHeight="1">
      <c r="P2267" t="str">
        <f t="shared" si="70"/>
        <v/>
      </c>
      <c r="Q2267" t="str">
        <f>IF(P2267="","",IFERROR(IF(AND(H2267="W7",OR(F2267="causal",F2267="predictive")),IF(AND(OR(K2267=1,K2267="1"),OR(L2267=1,L2267="1"),OR(M2267=1,M2267="1")),"adequate","partial"),IF(AND(H2267="W4",F2267="predictive",OR(J2267="P2",J2267="P3",J2267="P4")),IF(OR(U2267=1,U2267="1"),"adequate","partial"),INDEX(Fit_Matrix!$B:$B,MATCH(P2267,Fit_Matrix!$A:$A,0)))),"CHECK KEY"))</f>
        <v/>
      </c>
      <c r="U2267" s="10"/>
      <c r="V2267" s="10"/>
      <c r="W2267" s="10"/>
      <c r="X2267" s="10"/>
      <c r="Y2267" s="10"/>
      <c r="Z2267" s="10"/>
      <c r="AA2267" s="11" t="str">
        <f t="shared" si="71"/>
        <v/>
      </c>
    </row>
    <row r="2268" spans="16:27" ht="15" customHeight="1">
      <c r="P2268" t="str">
        <f t="shared" si="70"/>
        <v/>
      </c>
      <c r="Q2268" t="str">
        <f>IF(P2268="","",IFERROR(IF(AND(H2268="W7",OR(F2268="causal",F2268="predictive")),IF(AND(OR(K2268=1,K2268="1"),OR(L2268=1,L2268="1"),OR(M2268=1,M2268="1")),"adequate","partial"),IF(AND(H2268="W4",F2268="predictive",OR(J2268="P2",J2268="P3",J2268="P4")),IF(OR(U2268=1,U2268="1"),"adequate","partial"),INDEX(Fit_Matrix!$B:$B,MATCH(P2268,Fit_Matrix!$A:$A,0)))),"CHECK KEY"))</f>
        <v/>
      </c>
      <c r="U2268" s="10"/>
      <c r="V2268" s="10"/>
      <c r="W2268" s="10"/>
      <c r="X2268" s="10"/>
      <c r="Y2268" s="10"/>
      <c r="Z2268" s="10"/>
      <c r="AA2268" s="11" t="str">
        <f t="shared" si="71"/>
        <v/>
      </c>
    </row>
    <row r="2269" spans="16:27" ht="15" customHeight="1">
      <c r="P2269" t="str">
        <f t="shared" si="70"/>
        <v/>
      </c>
      <c r="Q2269" t="str">
        <f>IF(P2269="","",IFERROR(IF(AND(H2269="W7",OR(F2269="causal",F2269="predictive")),IF(AND(OR(K2269=1,K2269="1"),OR(L2269=1,L2269="1"),OR(M2269=1,M2269="1")),"adequate","partial"),IF(AND(H2269="W4",F2269="predictive",OR(J2269="P2",J2269="P3",J2269="P4")),IF(OR(U2269=1,U2269="1"),"adequate","partial"),INDEX(Fit_Matrix!$B:$B,MATCH(P2269,Fit_Matrix!$A:$A,0)))),"CHECK KEY"))</f>
        <v/>
      </c>
      <c r="U2269" s="10"/>
      <c r="V2269" s="10"/>
      <c r="W2269" s="10"/>
      <c r="X2269" s="10"/>
      <c r="Y2269" s="10"/>
      <c r="Z2269" s="10"/>
      <c r="AA2269" s="11" t="str">
        <f t="shared" si="71"/>
        <v/>
      </c>
    </row>
    <row r="2270" spans="16:27" ht="15" customHeight="1">
      <c r="P2270" t="str">
        <f t="shared" si="70"/>
        <v/>
      </c>
      <c r="Q2270" t="str">
        <f>IF(P2270="","",IFERROR(IF(AND(H2270="W7",OR(F2270="causal",F2270="predictive")),IF(AND(OR(K2270=1,K2270="1"),OR(L2270=1,L2270="1"),OR(M2270=1,M2270="1")),"adequate","partial"),IF(AND(H2270="W4",F2270="predictive",OR(J2270="P2",J2270="P3",J2270="P4")),IF(OR(U2270=1,U2270="1"),"adequate","partial"),INDEX(Fit_Matrix!$B:$B,MATCH(P2270,Fit_Matrix!$A:$A,0)))),"CHECK KEY"))</f>
        <v/>
      </c>
      <c r="U2270" s="10"/>
      <c r="V2270" s="10"/>
      <c r="W2270" s="10"/>
      <c r="X2270" s="10"/>
      <c r="Y2270" s="10"/>
      <c r="Z2270" s="10"/>
      <c r="AA2270" s="11" t="str">
        <f t="shared" si="71"/>
        <v/>
      </c>
    </row>
    <row r="2271" spans="16:27" ht="15" customHeight="1">
      <c r="P2271" t="str">
        <f t="shared" si="70"/>
        <v/>
      </c>
      <c r="Q2271" t="str">
        <f>IF(P2271="","",IFERROR(IF(AND(H2271="W7",OR(F2271="causal",F2271="predictive")),IF(AND(OR(K2271=1,K2271="1"),OR(L2271=1,L2271="1"),OR(M2271=1,M2271="1")),"adequate","partial"),IF(AND(H2271="W4",F2271="predictive",OR(J2271="P2",J2271="P3",J2271="P4")),IF(OR(U2271=1,U2271="1"),"adequate","partial"),INDEX(Fit_Matrix!$B:$B,MATCH(P2271,Fit_Matrix!$A:$A,0)))),"CHECK KEY"))</f>
        <v/>
      </c>
      <c r="U2271" s="10"/>
      <c r="V2271" s="10"/>
      <c r="W2271" s="10"/>
      <c r="X2271" s="10"/>
      <c r="Y2271" s="10"/>
      <c r="Z2271" s="10"/>
      <c r="AA2271" s="11" t="str">
        <f t="shared" si="71"/>
        <v/>
      </c>
    </row>
    <row r="2272" spans="16:27" ht="15" customHeight="1">
      <c r="P2272" t="str">
        <f t="shared" si="70"/>
        <v/>
      </c>
      <c r="Q2272" t="str">
        <f>IF(P2272="","",IFERROR(IF(AND(H2272="W7",OR(F2272="causal",F2272="predictive")),IF(AND(OR(K2272=1,K2272="1"),OR(L2272=1,L2272="1"),OR(M2272=1,M2272="1")),"adequate","partial"),IF(AND(H2272="W4",F2272="predictive",OR(J2272="P2",J2272="P3",J2272="P4")),IF(OR(U2272=1,U2272="1"),"adequate","partial"),INDEX(Fit_Matrix!$B:$B,MATCH(P2272,Fit_Matrix!$A:$A,0)))),"CHECK KEY"))</f>
        <v/>
      </c>
      <c r="U2272" s="10"/>
      <c r="V2272" s="10"/>
      <c r="W2272" s="10"/>
      <c r="X2272" s="10"/>
      <c r="Y2272" s="10"/>
      <c r="Z2272" s="10"/>
      <c r="AA2272" s="11" t="str">
        <f t="shared" si="71"/>
        <v/>
      </c>
    </row>
    <row r="2273" spans="16:27" ht="15" customHeight="1">
      <c r="P2273" t="str">
        <f t="shared" si="70"/>
        <v/>
      </c>
      <c r="Q2273" t="str">
        <f>IF(P2273="","",IFERROR(IF(AND(H2273="W7",OR(F2273="causal",F2273="predictive")),IF(AND(OR(K2273=1,K2273="1"),OR(L2273=1,L2273="1"),OR(M2273=1,M2273="1")),"adequate","partial"),IF(AND(H2273="W4",F2273="predictive",OR(J2273="P2",J2273="P3",J2273="P4")),IF(OR(U2273=1,U2273="1"),"adequate","partial"),INDEX(Fit_Matrix!$B:$B,MATCH(P2273,Fit_Matrix!$A:$A,0)))),"CHECK KEY"))</f>
        <v/>
      </c>
      <c r="U2273" s="10"/>
      <c r="V2273" s="10"/>
      <c r="W2273" s="10"/>
      <c r="X2273" s="10"/>
      <c r="Y2273" s="10"/>
      <c r="Z2273" s="10"/>
      <c r="AA2273" s="11" t="str">
        <f t="shared" si="71"/>
        <v/>
      </c>
    </row>
    <row r="2274" spans="16:27" ht="15" customHeight="1">
      <c r="P2274" t="str">
        <f t="shared" si="70"/>
        <v/>
      </c>
      <c r="Q2274" t="str">
        <f>IF(P2274="","",IFERROR(IF(AND(H2274="W7",OR(F2274="causal",F2274="predictive")),IF(AND(OR(K2274=1,K2274="1"),OR(L2274=1,L2274="1"),OR(M2274=1,M2274="1")),"adequate","partial"),IF(AND(H2274="W4",F2274="predictive",OR(J2274="P2",J2274="P3",J2274="P4")),IF(OR(U2274=1,U2274="1"),"adequate","partial"),INDEX(Fit_Matrix!$B:$B,MATCH(P2274,Fit_Matrix!$A:$A,0)))),"CHECK KEY"))</f>
        <v/>
      </c>
      <c r="U2274" s="10"/>
      <c r="V2274" s="10"/>
      <c r="W2274" s="10"/>
      <c r="X2274" s="10"/>
      <c r="Y2274" s="10"/>
      <c r="Z2274" s="10"/>
      <c r="AA2274" s="11" t="str">
        <f t="shared" si="71"/>
        <v/>
      </c>
    </row>
    <row r="2275" spans="16:27" ht="15" customHeight="1">
      <c r="P2275" t="str">
        <f t="shared" si="70"/>
        <v/>
      </c>
      <c r="Q2275" t="str">
        <f>IF(P2275="","",IFERROR(IF(AND(H2275="W7",OR(F2275="causal",F2275="predictive")),IF(AND(OR(K2275=1,K2275="1"),OR(L2275=1,L2275="1"),OR(M2275=1,M2275="1")),"adequate","partial"),IF(AND(H2275="W4",F2275="predictive",OR(J2275="P2",J2275="P3",J2275="P4")),IF(OR(U2275=1,U2275="1"),"adequate","partial"),INDEX(Fit_Matrix!$B:$B,MATCH(P2275,Fit_Matrix!$A:$A,0)))),"CHECK KEY"))</f>
        <v/>
      </c>
      <c r="U2275" s="10"/>
      <c r="V2275" s="10"/>
      <c r="W2275" s="10"/>
      <c r="X2275" s="10"/>
      <c r="Y2275" s="10"/>
      <c r="Z2275" s="10"/>
      <c r="AA2275" s="11" t="str">
        <f t="shared" si="71"/>
        <v/>
      </c>
    </row>
    <row r="2276" spans="16:27" ht="15" customHeight="1">
      <c r="P2276" t="str">
        <f t="shared" si="70"/>
        <v/>
      </c>
      <c r="Q2276" t="str">
        <f>IF(P2276="","",IFERROR(IF(AND(H2276="W7",OR(F2276="causal",F2276="predictive")),IF(AND(OR(K2276=1,K2276="1"),OR(L2276=1,L2276="1"),OR(M2276=1,M2276="1")),"adequate","partial"),IF(AND(H2276="W4",F2276="predictive",OR(J2276="P2",J2276="P3",J2276="P4")),IF(OR(U2276=1,U2276="1"),"adequate","partial"),INDEX(Fit_Matrix!$B:$B,MATCH(P2276,Fit_Matrix!$A:$A,0)))),"CHECK KEY"))</f>
        <v/>
      </c>
      <c r="U2276" s="10"/>
      <c r="V2276" s="10"/>
      <c r="W2276" s="10"/>
      <c r="X2276" s="10"/>
      <c r="Y2276" s="10"/>
      <c r="Z2276" s="10"/>
      <c r="AA2276" s="11" t="str">
        <f t="shared" si="71"/>
        <v/>
      </c>
    </row>
    <row r="2277" spans="16:27" ht="15" customHeight="1">
      <c r="P2277" t="str">
        <f t="shared" si="70"/>
        <v/>
      </c>
      <c r="Q2277" t="str">
        <f>IF(P2277="","",IFERROR(IF(AND(H2277="W7",OR(F2277="causal",F2277="predictive")),IF(AND(OR(K2277=1,K2277="1"),OR(L2277=1,L2277="1"),OR(M2277=1,M2277="1")),"adequate","partial"),IF(AND(H2277="W4",F2277="predictive",OR(J2277="P2",J2277="P3",J2277="P4")),IF(OR(U2277=1,U2277="1"),"adequate","partial"),INDEX(Fit_Matrix!$B:$B,MATCH(P2277,Fit_Matrix!$A:$A,0)))),"CHECK KEY"))</f>
        <v/>
      </c>
      <c r="U2277" s="10"/>
      <c r="V2277" s="10"/>
      <c r="W2277" s="10"/>
      <c r="X2277" s="10"/>
      <c r="Y2277" s="10"/>
      <c r="Z2277" s="10"/>
      <c r="AA2277" s="11" t="str">
        <f t="shared" si="71"/>
        <v/>
      </c>
    </row>
    <row r="2278" spans="16:27" ht="15" customHeight="1">
      <c r="P2278" t="str">
        <f t="shared" si="70"/>
        <v/>
      </c>
      <c r="Q2278" t="str">
        <f>IF(P2278="","",IFERROR(IF(AND(H2278="W7",OR(F2278="causal",F2278="predictive")),IF(AND(OR(K2278=1,K2278="1"),OR(L2278=1,L2278="1"),OR(M2278=1,M2278="1")),"adequate","partial"),IF(AND(H2278="W4",F2278="predictive",OR(J2278="P2",J2278="P3",J2278="P4")),IF(OR(U2278=1,U2278="1"),"adequate","partial"),INDEX(Fit_Matrix!$B:$B,MATCH(P2278,Fit_Matrix!$A:$A,0)))),"CHECK KEY"))</f>
        <v/>
      </c>
      <c r="U2278" s="10"/>
      <c r="V2278" s="10"/>
      <c r="W2278" s="10"/>
      <c r="X2278" s="10"/>
      <c r="Y2278" s="10"/>
      <c r="Z2278" s="10"/>
      <c r="AA2278" s="11" t="str">
        <f t="shared" si="71"/>
        <v/>
      </c>
    </row>
    <row r="2279" spans="16:27" ht="15" customHeight="1">
      <c r="P2279" t="str">
        <f t="shared" si="70"/>
        <v/>
      </c>
      <c r="Q2279" t="str">
        <f>IF(P2279="","",IFERROR(IF(AND(H2279="W7",OR(F2279="causal",F2279="predictive")),IF(AND(OR(K2279=1,K2279="1"),OR(L2279=1,L2279="1"),OR(M2279=1,M2279="1")),"adequate","partial"),IF(AND(H2279="W4",F2279="predictive",OR(J2279="P2",J2279="P3",J2279="P4")),IF(OR(U2279=1,U2279="1"),"adequate","partial"),INDEX(Fit_Matrix!$B:$B,MATCH(P2279,Fit_Matrix!$A:$A,0)))),"CHECK KEY"))</f>
        <v/>
      </c>
      <c r="U2279" s="10"/>
      <c r="V2279" s="10"/>
      <c r="W2279" s="10"/>
      <c r="X2279" s="10"/>
      <c r="Y2279" s="10"/>
      <c r="Z2279" s="10"/>
      <c r="AA2279" s="11" t="str">
        <f t="shared" si="71"/>
        <v/>
      </c>
    </row>
    <row r="2280" spans="16:27" ht="15" customHeight="1">
      <c r="P2280" t="str">
        <f t="shared" si="70"/>
        <v/>
      </c>
      <c r="Q2280" t="str">
        <f>IF(P2280="","",IFERROR(IF(AND(H2280="W7",OR(F2280="causal",F2280="predictive")),IF(AND(OR(K2280=1,K2280="1"),OR(L2280=1,L2280="1"),OR(M2280=1,M2280="1")),"adequate","partial"),IF(AND(H2280="W4",F2280="predictive",OR(J2280="P2",J2280="P3",J2280="P4")),IF(OR(U2280=1,U2280="1"),"adequate","partial"),INDEX(Fit_Matrix!$B:$B,MATCH(P2280,Fit_Matrix!$A:$A,0)))),"CHECK KEY"))</f>
        <v/>
      </c>
      <c r="U2280" s="10"/>
      <c r="V2280" s="10"/>
      <c r="W2280" s="10"/>
      <c r="X2280" s="10"/>
      <c r="Y2280" s="10"/>
      <c r="Z2280" s="10"/>
      <c r="AA2280" s="11" t="str">
        <f t="shared" si="71"/>
        <v/>
      </c>
    </row>
    <row r="2281" spans="16:27" ht="15" customHeight="1">
      <c r="P2281" t="str">
        <f t="shared" si="70"/>
        <v/>
      </c>
      <c r="Q2281" t="str">
        <f>IF(P2281="","",IFERROR(IF(AND(H2281="W7",OR(F2281="causal",F2281="predictive")),IF(AND(OR(K2281=1,K2281="1"),OR(L2281=1,L2281="1"),OR(M2281=1,M2281="1")),"adequate","partial"),IF(AND(H2281="W4",F2281="predictive",OR(J2281="P2",J2281="P3",J2281="P4")),IF(OR(U2281=1,U2281="1"),"adequate","partial"),INDEX(Fit_Matrix!$B:$B,MATCH(P2281,Fit_Matrix!$A:$A,0)))),"CHECK KEY"))</f>
        <v/>
      </c>
      <c r="U2281" s="10"/>
      <c r="V2281" s="10"/>
      <c r="W2281" s="10"/>
      <c r="X2281" s="10"/>
      <c r="Y2281" s="10"/>
      <c r="Z2281" s="10"/>
      <c r="AA2281" s="11" t="str">
        <f t="shared" si="71"/>
        <v/>
      </c>
    </row>
    <row r="2282" spans="16:27" ht="15" customHeight="1">
      <c r="P2282" t="str">
        <f t="shared" si="70"/>
        <v/>
      </c>
      <c r="Q2282" t="str">
        <f>IF(P2282="","",IFERROR(IF(AND(H2282="W7",OR(F2282="causal",F2282="predictive")),IF(AND(OR(K2282=1,K2282="1"),OR(L2282=1,L2282="1"),OR(M2282=1,M2282="1")),"adequate","partial"),IF(AND(H2282="W4",F2282="predictive",OR(J2282="P2",J2282="P3",J2282="P4")),IF(OR(U2282=1,U2282="1"),"adequate","partial"),INDEX(Fit_Matrix!$B:$B,MATCH(P2282,Fit_Matrix!$A:$A,0)))),"CHECK KEY"))</f>
        <v/>
      </c>
      <c r="U2282" s="10"/>
      <c r="V2282" s="10"/>
      <c r="W2282" s="10"/>
      <c r="X2282" s="10"/>
      <c r="Y2282" s="10"/>
      <c r="Z2282" s="10"/>
      <c r="AA2282" s="11" t="str">
        <f t="shared" si="71"/>
        <v/>
      </c>
    </row>
    <row r="2283" spans="16:27" ht="15" customHeight="1">
      <c r="P2283" t="str">
        <f t="shared" si="70"/>
        <v/>
      </c>
      <c r="Q2283" t="str">
        <f>IF(P2283="","",IFERROR(IF(AND(H2283="W7",OR(F2283="causal",F2283="predictive")),IF(AND(OR(K2283=1,K2283="1"),OR(L2283=1,L2283="1"),OR(M2283=1,M2283="1")),"adequate","partial"),IF(AND(H2283="W4",F2283="predictive",OR(J2283="P2",J2283="P3",J2283="P4")),IF(OR(U2283=1,U2283="1"),"adequate","partial"),INDEX(Fit_Matrix!$B:$B,MATCH(P2283,Fit_Matrix!$A:$A,0)))),"CHECK KEY"))</f>
        <v/>
      </c>
      <c r="U2283" s="10"/>
      <c r="V2283" s="10"/>
      <c r="W2283" s="10"/>
      <c r="X2283" s="10"/>
      <c r="Y2283" s="10"/>
      <c r="Z2283" s="10"/>
      <c r="AA2283" s="11" t="str">
        <f t="shared" si="71"/>
        <v/>
      </c>
    </row>
    <row r="2284" spans="16:27" ht="15" customHeight="1">
      <c r="P2284" t="str">
        <f t="shared" si="70"/>
        <v/>
      </c>
      <c r="Q2284" t="str">
        <f>IF(P2284="","",IFERROR(IF(AND(H2284="W7",OR(F2284="causal",F2284="predictive")),IF(AND(OR(K2284=1,K2284="1"),OR(L2284=1,L2284="1"),OR(M2284=1,M2284="1")),"adequate","partial"),IF(AND(H2284="W4",F2284="predictive",OR(J2284="P2",J2284="P3",J2284="P4")),IF(OR(U2284=1,U2284="1"),"adequate","partial"),INDEX(Fit_Matrix!$B:$B,MATCH(P2284,Fit_Matrix!$A:$A,0)))),"CHECK KEY"))</f>
        <v/>
      </c>
      <c r="U2284" s="10"/>
      <c r="V2284" s="10"/>
      <c r="W2284" s="10"/>
      <c r="X2284" s="10"/>
      <c r="Y2284" s="10"/>
      <c r="Z2284" s="10"/>
      <c r="AA2284" s="11" t="str">
        <f t="shared" si="71"/>
        <v/>
      </c>
    </row>
    <row r="2285" spans="16:27" ht="15" customHeight="1">
      <c r="P2285" t="str">
        <f t="shared" si="70"/>
        <v/>
      </c>
      <c r="Q2285" t="str">
        <f>IF(P2285="","",IFERROR(IF(AND(H2285="W7",OR(F2285="causal",F2285="predictive")),IF(AND(OR(K2285=1,K2285="1"),OR(L2285=1,L2285="1"),OR(M2285=1,M2285="1")),"adequate","partial"),IF(AND(H2285="W4",F2285="predictive",OR(J2285="P2",J2285="P3",J2285="P4")),IF(OR(U2285=1,U2285="1"),"adequate","partial"),INDEX(Fit_Matrix!$B:$B,MATCH(P2285,Fit_Matrix!$A:$A,0)))),"CHECK KEY"))</f>
        <v/>
      </c>
      <c r="U2285" s="10"/>
      <c r="V2285" s="10"/>
      <c r="W2285" s="10"/>
      <c r="X2285" s="10"/>
      <c r="Y2285" s="10"/>
      <c r="Z2285" s="10"/>
      <c r="AA2285" s="11" t="str">
        <f t="shared" si="71"/>
        <v/>
      </c>
    </row>
    <row r="2286" spans="16:27" ht="15" customHeight="1">
      <c r="P2286" t="str">
        <f t="shared" si="70"/>
        <v/>
      </c>
      <c r="Q2286" t="str">
        <f>IF(P2286="","",IFERROR(IF(AND(H2286="W7",OR(F2286="causal",F2286="predictive")),IF(AND(OR(K2286=1,K2286="1"),OR(L2286=1,L2286="1"),OR(M2286=1,M2286="1")),"adequate","partial"),IF(AND(H2286="W4",F2286="predictive",OR(J2286="P2",J2286="P3",J2286="P4")),IF(OR(U2286=1,U2286="1"),"adequate","partial"),INDEX(Fit_Matrix!$B:$B,MATCH(P2286,Fit_Matrix!$A:$A,0)))),"CHECK KEY"))</f>
        <v/>
      </c>
      <c r="U2286" s="10"/>
      <c r="V2286" s="10"/>
      <c r="W2286" s="10"/>
      <c r="X2286" s="10"/>
      <c r="Y2286" s="10"/>
      <c r="Z2286" s="10"/>
      <c r="AA2286" s="11" t="str">
        <f t="shared" si="71"/>
        <v/>
      </c>
    </row>
    <row r="2287" spans="16:27" ht="15" customHeight="1">
      <c r="P2287" t="str">
        <f t="shared" si="70"/>
        <v/>
      </c>
      <c r="Q2287" t="str">
        <f>IF(P2287="","",IFERROR(IF(AND(H2287="W7",OR(F2287="causal",F2287="predictive")),IF(AND(OR(K2287=1,K2287="1"),OR(L2287=1,L2287="1"),OR(M2287=1,M2287="1")),"adequate","partial"),IF(AND(H2287="W4",F2287="predictive",OR(J2287="P2",J2287="P3",J2287="P4")),IF(OR(U2287=1,U2287="1"),"adequate","partial"),INDEX(Fit_Matrix!$B:$B,MATCH(P2287,Fit_Matrix!$A:$A,0)))),"CHECK KEY"))</f>
        <v/>
      </c>
      <c r="U2287" s="10"/>
      <c r="V2287" s="10"/>
      <c r="W2287" s="10"/>
      <c r="X2287" s="10"/>
      <c r="Y2287" s="10"/>
      <c r="Z2287" s="10"/>
      <c r="AA2287" s="11" t="str">
        <f t="shared" si="71"/>
        <v/>
      </c>
    </row>
    <row r="2288" spans="16:27" ht="15" customHeight="1">
      <c r="P2288" t="str">
        <f t="shared" si="70"/>
        <v/>
      </c>
      <c r="Q2288" t="str">
        <f>IF(P2288="","",IFERROR(IF(AND(H2288="W7",OR(F2288="causal",F2288="predictive")),IF(AND(OR(K2288=1,K2288="1"),OR(L2288=1,L2288="1"),OR(M2288=1,M2288="1")),"adequate","partial"),IF(AND(H2288="W4",F2288="predictive",OR(J2288="P2",J2288="P3",J2288="P4")),IF(OR(U2288=1,U2288="1"),"adequate","partial"),INDEX(Fit_Matrix!$B:$B,MATCH(P2288,Fit_Matrix!$A:$A,0)))),"CHECK KEY"))</f>
        <v/>
      </c>
      <c r="U2288" s="10"/>
      <c r="V2288" s="10"/>
      <c r="W2288" s="10"/>
      <c r="X2288" s="10"/>
      <c r="Y2288" s="10"/>
      <c r="Z2288" s="10"/>
      <c r="AA2288" s="11" t="str">
        <f t="shared" si="71"/>
        <v/>
      </c>
    </row>
    <row r="2289" spans="16:27" ht="15" customHeight="1">
      <c r="P2289" t="str">
        <f t="shared" si="70"/>
        <v/>
      </c>
      <c r="Q2289" t="str">
        <f>IF(P2289="","",IFERROR(IF(AND(H2289="W7",OR(F2289="causal",F2289="predictive")),IF(AND(OR(K2289=1,K2289="1"),OR(L2289=1,L2289="1"),OR(M2289=1,M2289="1")),"adequate","partial"),IF(AND(H2289="W4",F2289="predictive",OR(J2289="P2",J2289="P3",J2289="P4")),IF(OR(U2289=1,U2289="1"),"adequate","partial"),INDEX(Fit_Matrix!$B:$B,MATCH(P2289,Fit_Matrix!$A:$A,0)))),"CHECK KEY"))</f>
        <v/>
      </c>
      <c r="U2289" s="10"/>
      <c r="V2289" s="10"/>
      <c r="W2289" s="10"/>
      <c r="X2289" s="10"/>
      <c r="Y2289" s="10"/>
      <c r="Z2289" s="10"/>
      <c r="AA2289" s="11" t="str">
        <f t="shared" si="71"/>
        <v/>
      </c>
    </row>
    <row r="2290" spans="16:27" ht="15" customHeight="1">
      <c r="P2290" t="str">
        <f t="shared" si="70"/>
        <v/>
      </c>
      <c r="Q2290" t="str">
        <f>IF(P2290="","",IFERROR(IF(AND(H2290="W7",OR(F2290="causal",F2290="predictive")),IF(AND(OR(K2290=1,K2290="1"),OR(L2290=1,L2290="1"),OR(M2290=1,M2290="1")),"adequate","partial"),IF(AND(H2290="W4",F2290="predictive",OR(J2290="P2",J2290="P3",J2290="P4")),IF(OR(U2290=1,U2290="1"),"adequate","partial"),INDEX(Fit_Matrix!$B:$B,MATCH(P2290,Fit_Matrix!$A:$A,0)))),"CHECK KEY"))</f>
        <v/>
      </c>
      <c r="U2290" s="10"/>
      <c r="V2290" s="10"/>
      <c r="W2290" s="10"/>
      <c r="X2290" s="10"/>
      <c r="Y2290" s="10"/>
      <c r="Z2290" s="10"/>
      <c r="AA2290" s="11" t="str">
        <f t="shared" si="71"/>
        <v/>
      </c>
    </row>
    <row r="2291" spans="16:27" ht="15" customHeight="1">
      <c r="P2291" t="str">
        <f t="shared" si="70"/>
        <v/>
      </c>
      <c r="Q2291" t="str">
        <f>IF(P2291="","",IFERROR(IF(AND(H2291="W7",OR(F2291="causal",F2291="predictive")),IF(AND(OR(K2291=1,K2291="1"),OR(L2291=1,L2291="1"),OR(M2291=1,M2291="1")),"adequate","partial"),IF(AND(H2291="W4",F2291="predictive",OR(J2291="P2",J2291="P3",J2291="P4")),IF(OR(U2291=1,U2291="1"),"adequate","partial"),INDEX(Fit_Matrix!$B:$B,MATCH(P2291,Fit_Matrix!$A:$A,0)))),"CHECK KEY"))</f>
        <v/>
      </c>
      <c r="U2291" s="10"/>
      <c r="V2291" s="10"/>
      <c r="W2291" s="10"/>
      <c r="X2291" s="10"/>
      <c r="Y2291" s="10"/>
      <c r="Z2291" s="10"/>
      <c r="AA2291" s="11" t="str">
        <f t="shared" si="71"/>
        <v/>
      </c>
    </row>
    <row r="2292" spans="16:27" ht="15" customHeight="1">
      <c r="P2292" t="str">
        <f t="shared" si="70"/>
        <v/>
      </c>
      <c r="Q2292" t="str">
        <f>IF(P2292="","",IFERROR(IF(AND(H2292="W7",OR(F2292="causal",F2292="predictive")),IF(AND(OR(K2292=1,K2292="1"),OR(L2292=1,L2292="1"),OR(M2292=1,M2292="1")),"adequate","partial"),IF(AND(H2292="W4",F2292="predictive",OR(J2292="P2",J2292="P3",J2292="P4")),IF(OR(U2292=1,U2292="1"),"adequate","partial"),INDEX(Fit_Matrix!$B:$B,MATCH(P2292,Fit_Matrix!$A:$A,0)))),"CHECK KEY"))</f>
        <v/>
      </c>
      <c r="U2292" s="10"/>
      <c r="V2292" s="10"/>
      <c r="W2292" s="10"/>
      <c r="X2292" s="10"/>
      <c r="Y2292" s="10"/>
      <c r="Z2292" s="10"/>
      <c r="AA2292" s="11" t="str">
        <f t="shared" si="71"/>
        <v/>
      </c>
    </row>
    <row r="2293" spans="16:27" ht="15" customHeight="1">
      <c r="P2293" t="str">
        <f t="shared" si="70"/>
        <v/>
      </c>
      <c r="Q2293" t="str">
        <f>IF(P2293="","",IFERROR(IF(AND(H2293="W7",OR(F2293="causal",F2293="predictive")),IF(AND(OR(K2293=1,K2293="1"),OR(L2293=1,L2293="1"),OR(M2293=1,M2293="1")),"adequate","partial"),IF(AND(H2293="W4",F2293="predictive",OR(J2293="P2",J2293="P3",J2293="P4")),IF(OR(U2293=1,U2293="1"),"adequate","partial"),INDEX(Fit_Matrix!$B:$B,MATCH(P2293,Fit_Matrix!$A:$A,0)))),"CHECK KEY"))</f>
        <v/>
      </c>
      <c r="U2293" s="10"/>
      <c r="V2293" s="10"/>
      <c r="W2293" s="10"/>
      <c r="X2293" s="10"/>
      <c r="Y2293" s="10"/>
      <c r="Z2293" s="10"/>
      <c r="AA2293" s="11" t="str">
        <f t="shared" si="71"/>
        <v/>
      </c>
    </row>
    <row r="2294" spans="16:27" ht="15" customHeight="1">
      <c r="P2294" t="str">
        <f t="shared" si="70"/>
        <v/>
      </c>
      <c r="Q2294" t="str">
        <f>IF(P2294="","",IFERROR(IF(AND(H2294="W7",OR(F2294="causal",F2294="predictive")),IF(AND(OR(K2294=1,K2294="1"),OR(L2294=1,L2294="1"),OR(M2294=1,M2294="1")),"adequate","partial"),IF(AND(H2294="W4",F2294="predictive",OR(J2294="P2",J2294="P3",J2294="P4")),IF(OR(U2294=1,U2294="1"),"adequate","partial"),INDEX(Fit_Matrix!$B:$B,MATCH(P2294,Fit_Matrix!$A:$A,0)))),"CHECK KEY"))</f>
        <v/>
      </c>
      <c r="U2294" s="10"/>
      <c r="V2294" s="10"/>
      <c r="W2294" s="10"/>
      <c r="X2294" s="10"/>
      <c r="Y2294" s="10"/>
      <c r="Z2294" s="10"/>
      <c r="AA2294" s="11" t="str">
        <f t="shared" si="71"/>
        <v/>
      </c>
    </row>
    <row r="2295" spans="16:27" ht="15" customHeight="1">
      <c r="P2295" t="str">
        <f t="shared" si="70"/>
        <v/>
      </c>
      <c r="Q2295" t="str">
        <f>IF(P2295="","",IFERROR(IF(AND(H2295="W7",OR(F2295="causal",F2295="predictive")),IF(AND(OR(K2295=1,K2295="1"),OR(L2295=1,L2295="1"),OR(M2295=1,M2295="1")),"adequate","partial"),IF(AND(H2295="W4",F2295="predictive",OR(J2295="P2",J2295="P3",J2295="P4")),IF(OR(U2295=1,U2295="1"),"adequate","partial"),INDEX(Fit_Matrix!$B:$B,MATCH(P2295,Fit_Matrix!$A:$A,0)))),"CHECK KEY"))</f>
        <v/>
      </c>
      <c r="U2295" s="10"/>
      <c r="V2295" s="10"/>
      <c r="W2295" s="10"/>
      <c r="X2295" s="10"/>
      <c r="Y2295" s="10"/>
      <c r="Z2295" s="10"/>
      <c r="AA2295" s="11" t="str">
        <f t="shared" si="71"/>
        <v/>
      </c>
    </row>
    <row r="2296" spans="16:27" ht="15" customHeight="1">
      <c r="P2296" t="str">
        <f t="shared" si="70"/>
        <v/>
      </c>
      <c r="Q2296" t="str">
        <f>IF(P2296="","",IFERROR(IF(AND(H2296="W7",OR(F2296="causal",F2296="predictive")),IF(AND(OR(K2296=1,K2296="1"),OR(L2296=1,L2296="1"),OR(M2296=1,M2296="1")),"adequate","partial"),IF(AND(H2296="W4",F2296="predictive",OR(J2296="P2",J2296="P3",J2296="P4")),IF(OR(U2296=1,U2296="1"),"adequate","partial"),INDEX(Fit_Matrix!$B:$B,MATCH(P2296,Fit_Matrix!$A:$A,0)))),"CHECK KEY"))</f>
        <v/>
      </c>
      <c r="U2296" s="10"/>
      <c r="V2296" s="10"/>
      <c r="W2296" s="10"/>
      <c r="X2296" s="10"/>
      <c r="Y2296" s="10"/>
      <c r="Z2296" s="10"/>
      <c r="AA2296" s="11" t="str">
        <f t="shared" si="71"/>
        <v/>
      </c>
    </row>
    <row r="2297" spans="16:27" ht="15" customHeight="1">
      <c r="P2297" t="str">
        <f t="shared" si="70"/>
        <v/>
      </c>
      <c r="Q2297" t="str">
        <f>IF(P2297="","",IFERROR(IF(AND(H2297="W7",OR(F2297="causal",F2297="predictive")),IF(AND(OR(K2297=1,K2297="1"),OR(L2297=1,L2297="1"),OR(M2297=1,M2297="1")),"adequate","partial"),IF(AND(H2297="W4",F2297="predictive",OR(J2297="P2",J2297="P3",J2297="P4")),IF(OR(U2297=1,U2297="1"),"adequate","partial"),INDEX(Fit_Matrix!$B:$B,MATCH(P2297,Fit_Matrix!$A:$A,0)))),"CHECK KEY"))</f>
        <v/>
      </c>
      <c r="U2297" s="10"/>
      <c r="V2297" s="10"/>
      <c r="W2297" s="10"/>
      <c r="X2297" s="10"/>
      <c r="Y2297" s="10"/>
      <c r="Z2297" s="10"/>
      <c r="AA2297" s="11" t="str">
        <f t="shared" si="71"/>
        <v/>
      </c>
    </row>
    <row r="2298" spans="16:27" ht="15" customHeight="1">
      <c r="P2298" t="str">
        <f t="shared" si="70"/>
        <v/>
      </c>
      <c r="Q2298" t="str">
        <f>IF(P2298="","",IFERROR(IF(AND(H2298="W7",OR(F2298="causal",F2298="predictive")),IF(AND(OR(K2298=1,K2298="1"),OR(L2298=1,L2298="1"),OR(M2298=1,M2298="1")),"adequate","partial"),IF(AND(H2298="W4",F2298="predictive",OR(J2298="P2",J2298="P3",J2298="P4")),IF(OR(U2298=1,U2298="1"),"adequate","partial"),INDEX(Fit_Matrix!$B:$B,MATCH(P2298,Fit_Matrix!$A:$A,0)))),"CHECK KEY"))</f>
        <v/>
      </c>
      <c r="U2298" s="10"/>
      <c r="V2298" s="10"/>
      <c r="W2298" s="10"/>
      <c r="X2298" s="10"/>
      <c r="Y2298" s="10"/>
      <c r="Z2298" s="10"/>
      <c r="AA2298" s="11" t="str">
        <f t="shared" si="71"/>
        <v/>
      </c>
    </row>
    <row r="2299" spans="16:27" ht="15" customHeight="1">
      <c r="P2299" t="str">
        <f t="shared" si="70"/>
        <v/>
      </c>
      <c r="Q2299" t="str">
        <f>IF(P2299="","",IFERROR(IF(AND(H2299="W7",OR(F2299="causal",F2299="predictive")),IF(AND(OR(K2299=1,K2299="1"),OR(L2299=1,L2299="1"),OR(M2299=1,M2299="1")),"adequate","partial"),IF(AND(H2299="W4",F2299="predictive",OR(J2299="P2",J2299="P3",J2299="P4")),IF(OR(U2299=1,U2299="1"),"adequate","partial"),INDEX(Fit_Matrix!$B:$B,MATCH(P2299,Fit_Matrix!$A:$A,0)))),"CHECK KEY"))</f>
        <v/>
      </c>
      <c r="U2299" s="10"/>
      <c r="V2299" s="10"/>
      <c r="W2299" s="10"/>
      <c r="X2299" s="10"/>
      <c r="Y2299" s="10"/>
      <c r="Z2299" s="10"/>
      <c r="AA2299" s="11" t="str">
        <f t="shared" si="71"/>
        <v/>
      </c>
    </row>
    <row r="2300" spans="16:27" ht="15" customHeight="1">
      <c r="P2300" t="str">
        <f t="shared" si="70"/>
        <v/>
      </c>
      <c r="Q2300" t="str">
        <f>IF(P2300="","",IFERROR(IF(AND(H2300="W7",OR(F2300="causal",F2300="predictive")),IF(AND(OR(K2300=1,K2300="1"),OR(L2300=1,L2300="1"),OR(M2300=1,M2300="1")),"adequate","partial"),IF(AND(H2300="W4",F2300="predictive",OR(J2300="P2",J2300="P3",J2300="P4")),IF(OR(U2300=1,U2300="1"),"adequate","partial"),INDEX(Fit_Matrix!$B:$B,MATCH(P2300,Fit_Matrix!$A:$A,0)))),"CHECK KEY"))</f>
        <v/>
      </c>
      <c r="U2300" s="10"/>
      <c r="V2300" s="10"/>
      <c r="W2300" s="10"/>
      <c r="X2300" s="10"/>
      <c r="Y2300" s="10"/>
      <c r="Z2300" s="10"/>
      <c r="AA2300" s="11" t="str">
        <f t="shared" si="71"/>
        <v/>
      </c>
    </row>
    <row r="2301" spans="16:27" ht="15" customHeight="1">
      <c r="P2301" t="str">
        <f t="shared" si="70"/>
        <v/>
      </c>
      <c r="Q2301" t="str">
        <f>IF(P2301="","",IFERROR(IF(AND(H2301="W7",OR(F2301="causal",F2301="predictive")),IF(AND(OR(K2301=1,K2301="1"),OR(L2301=1,L2301="1"),OR(M2301=1,M2301="1")),"adequate","partial"),IF(AND(H2301="W4",F2301="predictive",OR(J2301="P2",J2301="P3",J2301="P4")),IF(OR(U2301=1,U2301="1"),"adequate","partial"),INDEX(Fit_Matrix!$B:$B,MATCH(P2301,Fit_Matrix!$A:$A,0)))),"CHECK KEY"))</f>
        <v/>
      </c>
      <c r="U2301" s="10"/>
      <c r="V2301" s="10"/>
      <c r="W2301" s="10"/>
      <c r="X2301" s="10"/>
      <c r="Y2301" s="10"/>
      <c r="Z2301" s="10"/>
      <c r="AA2301" s="11" t="str">
        <f t="shared" si="71"/>
        <v/>
      </c>
    </row>
    <row r="2302" spans="16:27" ht="15" customHeight="1">
      <c r="P2302" t="str">
        <f t="shared" si="70"/>
        <v/>
      </c>
      <c r="Q2302" t="str">
        <f>IF(P2302="","",IFERROR(IF(AND(H2302="W7",OR(F2302="causal",F2302="predictive")),IF(AND(OR(K2302=1,K2302="1"),OR(L2302=1,L2302="1"),OR(M2302=1,M2302="1")),"adequate","partial"),IF(AND(H2302="W4",F2302="predictive",OR(J2302="P2",J2302="P3",J2302="P4")),IF(OR(U2302=1,U2302="1"),"adequate","partial"),INDEX(Fit_Matrix!$B:$B,MATCH(P2302,Fit_Matrix!$A:$A,0)))),"CHECK KEY"))</f>
        <v/>
      </c>
      <c r="U2302" s="10"/>
      <c r="V2302" s="10"/>
      <c r="W2302" s="10"/>
      <c r="X2302" s="10"/>
      <c r="Y2302" s="10"/>
      <c r="Z2302" s="10"/>
      <c r="AA2302" s="11" t="str">
        <f t="shared" si="71"/>
        <v/>
      </c>
    </row>
    <row r="2303" spans="16:27" ht="15" customHeight="1">
      <c r="P2303" t="str">
        <f t="shared" si="70"/>
        <v/>
      </c>
      <c r="Q2303" t="str">
        <f>IF(P2303="","",IFERROR(IF(AND(H2303="W7",OR(F2303="causal",F2303="predictive")),IF(AND(OR(K2303=1,K2303="1"),OR(L2303=1,L2303="1"),OR(M2303=1,M2303="1")),"adequate","partial"),IF(AND(H2303="W4",F2303="predictive",OR(J2303="P2",J2303="P3",J2303="P4")),IF(OR(U2303=1,U2303="1"),"adequate","partial"),INDEX(Fit_Matrix!$B:$B,MATCH(P2303,Fit_Matrix!$A:$A,0)))),"CHECK KEY"))</f>
        <v/>
      </c>
      <c r="U2303" s="10"/>
      <c r="V2303" s="10"/>
      <c r="W2303" s="10"/>
      <c r="X2303" s="10"/>
      <c r="Y2303" s="10"/>
      <c r="Z2303" s="10"/>
      <c r="AA2303" s="11" t="str">
        <f t="shared" si="71"/>
        <v/>
      </c>
    </row>
    <row r="2304" spans="16:27" ht="15" customHeight="1">
      <c r="P2304" t="str">
        <f t="shared" si="70"/>
        <v/>
      </c>
      <c r="Q2304" t="str">
        <f>IF(P2304="","",IFERROR(IF(AND(H2304="W7",OR(F2304="causal",F2304="predictive")),IF(AND(OR(K2304=1,K2304="1"),OR(L2304=1,L2304="1"),OR(M2304=1,M2304="1")),"adequate","partial"),IF(AND(H2304="W4",F2304="predictive",OR(J2304="P2",J2304="P3",J2304="P4")),IF(OR(U2304=1,U2304="1"),"adequate","partial"),INDEX(Fit_Matrix!$B:$B,MATCH(P2304,Fit_Matrix!$A:$A,0)))),"CHECK KEY"))</f>
        <v/>
      </c>
      <c r="U2304" s="10"/>
      <c r="V2304" s="10"/>
      <c r="W2304" s="10"/>
      <c r="X2304" s="10"/>
      <c r="Y2304" s="10"/>
      <c r="Z2304" s="10"/>
      <c r="AA2304" s="11" t="str">
        <f t="shared" si="71"/>
        <v/>
      </c>
    </row>
    <row r="2305" spans="16:27" ht="15" customHeight="1">
      <c r="P2305" t="str">
        <f t="shared" si="70"/>
        <v/>
      </c>
      <c r="Q2305" t="str">
        <f>IF(P2305="","",IFERROR(IF(AND(H2305="W7",OR(F2305="causal",F2305="predictive")),IF(AND(OR(K2305=1,K2305="1"),OR(L2305=1,L2305="1"),OR(M2305=1,M2305="1")),"adequate","partial"),IF(AND(H2305="W4",F2305="predictive",OR(J2305="P2",J2305="P3",J2305="P4")),IF(OR(U2305=1,U2305="1"),"adequate","partial"),INDEX(Fit_Matrix!$B:$B,MATCH(P2305,Fit_Matrix!$A:$A,0)))),"CHECK KEY"))</f>
        <v/>
      </c>
      <c r="U2305" s="10"/>
      <c r="V2305" s="10"/>
      <c r="W2305" s="10"/>
      <c r="X2305" s="10"/>
      <c r="Y2305" s="10"/>
      <c r="Z2305" s="10"/>
      <c r="AA2305" s="11" t="str">
        <f t="shared" si="71"/>
        <v/>
      </c>
    </row>
    <row r="2306" spans="16:27" ht="15" customHeight="1">
      <c r="P2306" t="str">
        <f t="shared" ref="P2306:P2369" si="72">IF(OR(F2306="",H2306="",J2306=""),"",J2306&amp;"|"&amp;F2306&amp;"|"&amp;IF(H2306="W3","W3_"&amp;IF(I2306="","unknown",I2306),H2306))</f>
        <v/>
      </c>
      <c r="Q2306" t="str">
        <f>IF(P2306="","",IFERROR(IF(AND(H2306="W7",OR(F2306="causal",F2306="predictive")),IF(AND(OR(K2306=1,K2306="1"),OR(L2306=1,L2306="1"),OR(M2306=1,M2306="1")),"adequate","partial"),IF(AND(H2306="W4",F2306="predictive",OR(J2306="P2",J2306="P3",J2306="P4")),IF(OR(U2306=1,U2306="1"),"adequate","partial"),INDEX(Fit_Matrix!$B:$B,MATCH(P2306,Fit_Matrix!$A:$A,0)))),"CHECK KEY"))</f>
        <v/>
      </c>
      <c r="U2306" s="10"/>
      <c r="V2306" s="10"/>
      <c r="W2306" s="10"/>
      <c r="X2306" s="10"/>
      <c r="Y2306" s="10"/>
      <c r="Z2306" s="10"/>
      <c r="AA2306" s="11" t="str">
        <f t="shared" ref="AA2306:AA2369" si="73">IF(A2306="","",IF(AND(J2306="P4",F2306="causal"),"P4-CAUSAL",""))</f>
        <v/>
      </c>
    </row>
    <row r="2307" spans="16:27" ht="15" customHeight="1">
      <c r="P2307" t="str">
        <f t="shared" si="72"/>
        <v/>
      </c>
      <c r="Q2307" t="str">
        <f>IF(P2307="","",IFERROR(IF(AND(H2307="W7",OR(F2307="causal",F2307="predictive")),IF(AND(OR(K2307=1,K2307="1"),OR(L2307=1,L2307="1"),OR(M2307=1,M2307="1")),"adequate","partial"),IF(AND(H2307="W4",F2307="predictive",OR(J2307="P2",J2307="P3",J2307="P4")),IF(OR(U2307=1,U2307="1"),"adequate","partial"),INDEX(Fit_Matrix!$B:$B,MATCH(P2307,Fit_Matrix!$A:$A,0)))),"CHECK KEY"))</f>
        <v/>
      </c>
      <c r="U2307" s="10"/>
      <c r="V2307" s="10"/>
      <c r="W2307" s="10"/>
      <c r="X2307" s="10"/>
      <c r="Y2307" s="10"/>
      <c r="Z2307" s="10"/>
      <c r="AA2307" s="11" t="str">
        <f t="shared" si="73"/>
        <v/>
      </c>
    </row>
    <row r="2308" spans="16:27" ht="15" customHeight="1">
      <c r="P2308" t="str">
        <f t="shared" si="72"/>
        <v/>
      </c>
      <c r="Q2308" t="str">
        <f>IF(P2308="","",IFERROR(IF(AND(H2308="W7",OR(F2308="causal",F2308="predictive")),IF(AND(OR(K2308=1,K2308="1"),OR(L2308=1,L2308="1"),OR(M2308=1,M2308="1")),"adequate","partial"),IF(AND(H2308="W4",F2308="predictive",OR(J2308="P2",J2308="P3",J2308="P4")),IF(OR(U2308=1,U2308="1"),"adequate","partial"),INDEX(Fit_Matrix!$B:$B,MATCH(P2308,Fit_Matrix!$A:$A,0)))),"CHECK KEY"))</f>
        <v/>
      </c>
      <c r="U2308" s="10"/>
      <c r="V2308" s="10"/>
      <c r="W2308" s="10"/>
      <c r="X2308" s="10"/>
      <c r="Y2308" s="10"/>
      <c r="Z2308" s="10"/>
      <c r="AA2308" s="11" t="str">
        <f t="shared" si="73"/>
        <v/>
      </c>
    </row>
    <row r="2309" spans="16:27" ht="15" customHeight="1">
      <c r="P2309" t="str">
        <f t="shared" si="72"/>
        <v/>
      </c>
      <c r="Q2309" t="str">
        <f>IF(P2309="","",IFERROR(IF(AND(H2309="W7",OR(F2309="causal",F2309="predictive")),IF(AND(OR(K2309=1,K2309="1"),OR(L2309=1,L2309="1"),OR(M2309=1,M2309="1")),"adequate","partial"),IF(AND(H2309="W4",F2309="predictive",OR(J2309="P2",J2309="P3",J2309="P4")),IF(OR(U2309=1,U2309="1"),"adequate","partial"),INDEX(Fit_Matrix!$B:$B,MATCH(P2309,Fit_Matrix!$A:$A,0)))),"CHECK KEY"))</f>
        <v/>
      </c>
      <c r="U2309" s="10"/>
      <c r="V2309" s="10"/>
      <c r="W2309" s="10"/>
      <c r="X2309" s="10"/>
      <c r="Y2309" s="10"/>
      <c r="Z2309" s="10"/>
      <c r="AA2309" s="11" t="str">
        <f t="shared" si="73"/>
        <v/>
      </c>
    </row>
    <row r="2310" spans="16:27" ht="15" customHeight="1">
      <c r="P2310" t="str">
        <f t="shared" si="72"/>
        <v/>
      </c>
      <c r="Q2310" t="str">
        <f>IF(P2310="","",IFERROR(IF(AND(H2310="W7",OR(F2310="causal",F2310="predictive")),IF(AND(OR(K2310=1,K2310="1"),OR(L2310=1,L2310="1"),OR(M2310=1,M2310="1")),"adequate","partial"),IF(AND(H2310="W4",F2310="predictive",OR(J2310="P2",J2310="P3",J2310="P4")),IF(OR(U2310=1,U2310="1"),"adequate","partial"),INDEX(Fit_Matrix!$B:$B,MATCH(P2310,Fit_Matrix!$A:$A,0)))),"CHECK KEY"))</f>
        <v/>
      </c>
      <c r="U2310" s="10"/>
      <c r="V2310" s="10"/>
      <c r="W2310" s="10"/>
      <c r="X2310" s="10"/>
      <c r="Y2310" s="10"/>
      <c r="Z2310" s="10"/>
      <c r="AA2310" s="11" t="str">
        <f t="shared" si="73"/>
        <v/>
      </c>
    </row>
    <row r="2311" spans="16:27" ht="15" customHeight="1">
      <c r="P2311" t="str">
        <f t="shared" si="72"/>
        <v/>
      </c>
      <c r="Q2311" t="str">
        <f>IF(P2311="","",IFERROR(IF(AND(H2311="W7",OR(F2311="causal",F2311="predictive")),IF(AND(OR(K2311=1,K2311="1"),OR(L2311=1,L2311="1"),OR(M2311=1,M2311="1")),"adequate","partial"),IF(AND(H2311="W4",F2311="predictive",OR(J2311="P2",J2311="P3",J2311="P4")),IF(OR(U2311=1,U2311="1"),"adequate","partial"),INDEX(Fit_Matrix!$B:$B,MATCH(P2311,Fit_Matrix!$A:$A,0)))),"CHECK KEY"))</f>
        <v/>
      </c>
      <c r="U2311" s="10"/>
      <c r="V2311" s="10"/>
      <c r="W2311" s="10"/>
      <c r="X2311" s="10"/>
      <c r="Y2311" s="10"/>
      <c r="Z2311" s="10"/>
      <c r="AA2311" s="11" t="str">
        <f t="shared" si="73"/>
        <v/>
      </c>
    </row>
    <row r="2312" spans="16:27" ht="15" customHeight="1">
      <c r="P2312" t="str">
        <f t="shared" si="72"/>
        <v/>
      </c>
      <c r="Q2312" t="str">
        <f>IF(P2312="","",IFERROR(IF(AND(H2312="W7",OR(F2312="causal",F2312="predictive")),IF(AND(OR(K2312=1,K2312="1"),OR(L2312=1,L2312="1"),OR(M2312=1,M2312="1")),"adequate","partial"),IF(AND(H2312="W4",F2312="predictive",OR(J2312="P2",J2312="P3",J2312="P4")),IF(OR(U2312=1,U2312="1"),"adequate","partial"),INDEX(Fit_Matrix!$B:$B,MATCH(P2312,Fit_Matrix!$A:$A,0)))),"CHECK KEY"))</f>
        <v/>
      </c>
      <c r="U2312" s="10"/>
      <c r="V2312" s="10"/>
      <c r="W2312" s="10"/>
      <c r="X2312" s="10"/>
      <c r="Y2312" s="10"/>
      <c r="Z2312" s="10"/>
      <c r="AA2312" s="11" t="str">
        <f t="shared" si="73"/>
        <v/>
      </c>
    </row>
    <row r="2313" spans="16:27" ht="15" customHeight="1">
      <c r="P2313" t="str">
        <f t="shared" si="72"/>
        <v/>
      </c>
      <c r="Q2313" t="str">
        <f>IF(P2313="","",IFERROR(IF(AND(H2313="W7",OR(F2313="causal",F2313="predictive")),IF(AND(OR(K2313=1,K2313="1"),OR(L2313=1,L2313="1"),OR(M2313=1,M2313="1")),"adequate","partial"),IF(AND(H2313="W4",F2313="predictive",OR(J2313="P2",J2313="P3",J2313="P4")),IF(OR(U2313=1,U2313="1"),"adequate","partial"),INDEX(Fit_Matrix!$B:$B,MATCH(P2313,Fit_Matrix!$A:$A,0)))),"CHECK KEY"))</f>
        <v/>
      </c>
      <c r="U2313" s="10"/>
      <c r="V2313" s="10"/>
      <c r="W2313" s="10"/>
      <c r="X2313" s="10"/>
      <c r="Y2313" s="10"/>
      <c r="Z2313" s="10"/>
      <c r="AA2313" s="11" t="str">
        <f t="shared" si="73"/>
        <v/>
      </c>
    </row>
    <row r="2314" spans="16:27" ht="15" customHeight="1">
      <c r="P2314" t="str">
        <f t="shared" si="72"/>
        <v/>
      </c>
      <c r="Q2314" t="str">
        <f>IF(P2314="","",IFERROR(IF(AND(H2314="W7",OR(F2314="causal",F2314="predictive")),IF(AND(OR(K2314=1,K2314="1"),OR(L2314=1,L2314="1"),OR(M2314=1,M2314="1")),"adequate","partial"),IF(AND(H2314="W4",F2314="predictive",OR(J2314="P2",J2314="P3",J2314="P4")),IF(OR(U2314=1,U2314="1"),"adequate","partial"),INDEX(Fit_Matrix!$B:$B,MATCH(P2314,Fit_Matrix!$A:$A,0)))),"CHECK KEY"))</f>
        <v/>
      </c>
      <c r="U2314" s="10"/>
      <c r="V2314" s="10"/>
      <c r="W2314" s="10"/>
      <c r="X2314" s="10"/>
      <c r="Y2314" s="10"/>
      <c r="Z2314" s="10"/>
      <c r="AA2314" s="11" t="str">
        <f t="shared" si="73"/>
        <v/>
      </c>
    </row>
    <row r="2315" spans="16:27" ht="15" customHeight="1">
      <c r="P2315" t="str">
        <f t="shared" si="72"/>
        <v/>
      </c>
      <c r="Q2315" t="str">
        <f>IF(P2315="","",IFERROR(IF(AND(H2315="W7",OR(F2315="causal",F2315="predictive")),IF(AND(OR(K2315=1,K2315="1"),OR(L2315=1,L2315="1"),OR(M2315=1,M2315="1")),"adequate","partial"),IF(AND(H2315="W4",F2315="predictive",OR(J2315="P2",J2315="P3",J2315="P4")),IF(OR(U2315=1,U2315="1"),"adequate","partial"),INDEX(Fit_Matrix!$B:$B,MATCH(P2315,Fit_Matrix!$A:$A,0)))),"CHECK KEY"))</f>
        <v/>
      </c>
      <c r="U2315" s="10"/>
      <c r="V2315" s="10"/>
      <c r="W2315" s="10"/>
      <c r="X2315" s="10"/>
      <c r="Y2315" s="10"/>
      <c r="Z2315" s="10"/>
      <c r="AA2315" s="11" t="str">
        <f t="shared" si="73"/>
        <v/>
      </c>
    </row>
    <row r="2316" spans="16:27" ht="15" customHeight="1">
      <c r="P2316" t="str">
        <f t="shared" si="72"/>
        <v/>
      </c>
      <c r="Q2316" t="str">
        <f>IF(P2316="","",IFERROR(IF(AND(H2316="W7",OR(F2316="causal",F2316="predictive")),IF(AND(OR(K2316=1,K2316="1"),OR(L2316=1,L2316="1"),OR(M2316=1,M2316="1")),"adequate","partial"),IF(AND(H2316="W4",F2316="predictive",OR(J2316="P2",J2316="P3",J2316="P4")),IF(OR(U2316=1,U2316="1"),"adequate","partial"),INDEX(Fit_Matrix!$B:$B,MATCH(P2316,Fit_Matrix!$A:$A,0)))),"CHECK KEY"))</f>
        <v/>
      </c>
      <c r="U2316" s="10"/>
      <c r="V2316" s="10"/>
      <c r="W2316" s="10"/>
      <c r="X2316" s="10"/>
      <c r="Y2316" s="10"/>
      <c r="Z2316" s="10"/>
      <c r="AA2316" s="11" t="str">
        <f t="shared" si="73"/>
        <v/>
      </c>
    </row>
    <row r="2317" spans="16:27" ht="15" customHeight="1">
      <c r="P2317" t="str">
        <f t="shared" si="72"/>
        <v/>
      </c>
      <c r="Q2317" t="str">
        <f>IF(P2317="","",IFERROR(IF(AND(H2317="W7",OR(F2317="causal",F2317="predictive")),IF(AND(OR(K2317=1,K2317="1"),OR(L2317=1,L2317="1"),OR(M2317=1,M2317="1")),"adequate","partial"),IF(AND(H2317="W4",F2317="predictive",OR(J2317="P2",J2317="P3",J2317="P4")),IF(OR(U2317=1,U2317="1"),"adequate","partial"),INDEX(Fit_Matrix!$B:$B,MATCH(P2317,Fit_Matrix!$A:$A,0)))),"CHECK KEY"))</f>
        <v/>
      </c>
      <c r="U2317" s="10"/>
      <c r="V2317" s="10"/>
      <c r="W2317" s="10"/>
      <c r="X2317" s="10"/>
      <c r="Y2317" s="10"/>
      <c r="Z2317" s="10"/>
      <c r="AA2317" s="11" t="str">
        <f t="shared" si="73"/>
        <v/>
      </c>
    </row>
    <row r="2318" spans="16:27" ht="15" customHeight="1">
      <c r="P2318" t="str">
        <f t="shared" si="72"/>
        <v/>
      </c>
      <c r="Q2318" t="str">
        <f>IF(P2318="","",IFERROR(IF(AND(H2318="W7",OR(F2318="causal",F2318="predictive")),IF(AND(OR(K2318=1,K2318="1"),OR(L2318=1,L2318="1"),OR(M2318=1,M2318="1")),"adequate","partial"),IF(AND(H2318="W4",F2318="predictive",OR(J2318="P2",J2318="P3",J2318="P4")),IF(OR(U2318=1,U2318="1"),"adequate","partial"),INDEX(Fit_Matrix!$B:$B,MATCH(P2318,Fit_Matrix!$A:$A,0)))),"CHECK KEY"))</f>
        <v/>
      </c>
      <c r="U2318" s="10"/>
      <c r="V2318" s="10"/>
      <c r="W2318" s="10"/>
      <c r="X2318" s="10"/>
      <c r="Y2318" s="10"/>
      <c r="Z2318" s="10"/>
      <c r="AA2318" s="11" t="str">
        <f t="shared" si="73"/>
        <v/>
      </c>
    </row>
    <row r="2319" spans="16:27" ht="15" customHeight="1">
      <c r="P2319" t="str">
        <f t="shared" si="72"/>
        <v/>
      </c>
      <c r="Q2319" t="str">
        <f>IF(P2319="","",IFERROR(IF(AND(H2319="W7",OR(F2319="causal",F2319="predictive")),IF(AND(OR(K2319=1,K2319="1"),OR(L2319=1,L2319="1"),OR(M2319=1,M2319="1")),"adequate","partial"),IF(AND(H2319="W4",F2319="predictive",OR(J2319="P2",J2319="P3",J2319="P4")),IF(OR(U2319=1,U2319="1"),"adequate","partial"),INDEX(Fit_Matrix!$B:$B,MATCH(P2319,Fit_Matrix!$A:$A,0)))),"CHECK KEY"))</f>
        <v/>
      </c>
      <c r="U2319" s="10"/>
      <c r="V2319" s="10"/>
      <c r="W2319" s="10"/>
      <c r="X2319" s="10"/>
      <c r="Y2319" s="10"/>
      <c r="Z2319" s="10"/>
      <c r="AA2319" s="11" t="str">
        <f t="shared" si="73"/>
        <v/>
      </c>
    </row>
    <row r="2320" spans="16:27" ht="15" customHeight="1">
      <c r="P2320" t="str">
        <f t="shared" si="72"/>
        <v/>
      </c>
      <c r="Q2320" t="str">
        <f>IF(P2320="","",IFERROR(IF(AND(H2320="W7",OR(F2320="causal",F2320="predictive")),IF(AND(OR(K2320=1,K2320="1"),OR(L2320=1,L2320="1"),OR(M2320=1,M2320="1")),"adequate","partial"),IF(AND(H2320="W4",F2320="predictive",OR(J2320="P2",J2320="P3",J2320="P4")),IF(OR(U2320=1,U2320="1"),"adequate","partial"),INDEX(Fit_Matrix!$B:$B,MATCH(P2320,Fit_Matrix!$A:$A,0)))),"CHECK KEY"))</f>
        <v/>
      </c>
      <c r="U2320" s="10"/>
      <c r="V2320" s="10"/>
      <c r="W2320" s="10"/>
      <c r="X2320" s="10"/>
      <c r="Y2320" s="10"/>
      <c r="Z2320" s="10"/>
      <c r="AA2320" s="11" t="str">
        <f t="shared" si="73"/>
        <v/>
      </c>
    </row>
    <row r="2321" spans="16:27" ht="15" customHeight="1">
      <c r="P2321" t="str">
        <f t="shared" si="72"/>
        <v/>
      </c>
      <c r="Q2321" t="str">
        <f>IF(P2321="","",IFERROR(IF(AND(H2321="W7",OR(F2321="causal",F2321="predictive")),IF(AND(OR(K2321=1,K2321="1"),OR(L2321=1,L2321="1"),OR(M2321=1,M2321="1")),"adequate","partial"),IF(AND(H2321="W4",F2321="predictive",OR(J2321="P2",J2321="P3",J2321="P4")),IF(OR(U2321=1,U2321="1"),"adequate","partial"),INDEX(Fit_Matrix!$B:$B,MATCH(P2321,Fit_Matrix!$A:$A,0)))),"CHECK KEY"))</f>
        <v/>
      </c>
      <c r="U2321" s="10"/>
      <c r="V2321" s="10"/>
      <c r="W2321" s="10"/>
      <c r="X2321" s="10"/>
      <c r="Y2321" s="10"/>
      <c r="Z2321" s="10"/>
      <c r="AA2321" s="11" t="str">
        <f t="shared" si="73"/>
        <v/>
      </c>
    </row>
    <row r="2322" spans="16:27" ht="15" customHeight="1">
      <c r="P2322" t="str">
        <f t="shared" si="72"/>
        <v/>
      </c>
      <c r="Q2322" t="str">
        <f>IF(P2322="","",IFERROR(IF(AND(H2322="W7",OR(F2322="causal",F2322="predictive")),IF(AND(OR(K2322=1,K2322="1"),OR(L2322=1,L2322="1"),OR(M2322=1,M2322="1")),"adequate","partial"),IF(AND(H2322="W4",F2322="predictive",OR(J2322="P2",J2322="P3",J2322="P4")),IF(OR(U2322=1,U2322="1"),"adequate","partial"),INDEX(Fit_Matrix!$B:$B,MATCH(P2322,Fit_Matrix!$A:$A,0)))),"CHECK KEY"))</f>
        <v/>
      </c>
      <c r="U2322" s="10"/>
      <c r="V2322" s="10"/>
      <c r="W2322" s="10"/>
      <c r="X2322" s="10"/>
      <c r="Y2322" s="10"/>
      <c r="Z2322" s="10"/>
      <c r="AA2322" s="11" t="str">
        <f t="shared" si="73"/>
        <v/>
      </c>
    </row>
    <row r="2323" spans="16:27" ht="15" customHeight="1">
      <c r="P2323" t="str">
        <f t="shared" si="72"/>
        <v/>
      </c>
      <c r="Q2323" t="str">
        <f>IF(P2323="","",IFERROR(IF(AND(H2323="W7",OR(F2323="causal",F2323="predictive")),IF(AND(OR(K2323=1,K2323="1"),OR(L2323=1,L2323="1"),OR(M2323=1,M2323="1")),"adequate","partial"),IF(AND(H2323="W4",F2323="predictive",OR(J2323="P2",J2323="P3",J2323="P4")),IF(OR(U2323=1,U2323="1"),"adequate","partial"),INDEX(Fit_Matrix!$B:$B,MATCH(P2323,Fit_Matrix!$A:$A,0)))),"CHECK KEY"))</f>
        <v/>
      </c>
      <c r="U2323" s="10"/>
      <c r="V2323" s="10"/>
      <c r="W2323" s="10"/>
      <c r="X2323" s="10"/>
      <c r="Y2323" s="10"/>
      <c r="Z2323" s="10"/>
      <c r="AA2323" s="11" t="str">
        <f t="shared" si="73"/>
        <v/>
      </c>
    </row>
    <row r="2324" spans="16:27" ht="15" customHeight="1">
      <c r="P2324" t="str">
        <f t="shared" si="72"/>
        <v/>
      </c>
      <c r="Q2324" t="str">
        <f>IF(P2324="","",IFERROR(IF(AND(H2324="W7",OR(F2324="causal",F2324="predictive")),IF(AND(OR(K2324=1,K2324="1"),OR(L2324=1,L2324="1"),OR(M2324=1,M2324="1")),"adequate","partial"),IF(AND(H2324="W4",F2324="predictive",OR(J2324="P2",J2324="P3",J2324="P4")),IF(OR(U2324=1,U2324="1"),"adequate","partial"),INDEX(Fit_Matrix!$B:$B,MATCH(P2324,Fit_Matrix!$A:$A,0)))),"CHECK KEY"))</f>
        <v/>
      </c>
      <c r="U2324" s="10"/>
      <c r="V2324" s="10"/>
      <c r="W2324" s="10"/>
      <c r="X2324" s="10"/>
      <c r="Y2324" s="10"/>
      <c r="Z2324" s="10"/>
      <c r="AA2324" s="11" t="str">
        <f t="shared" si="73"/>
        <v/>
      </c>
    </row>
    <row r="2325" spans="16:27" ht="15" customHeight="1">
      <c r="P2325" t="str">
        <f t="shared" si="72"/>
        <v/>
      </c>
      <c r="Q2325" t="str">
        <f>IF(P2325="","",IFERROR(IF(AND(H2325="W7",OR(F2325="causal",F2325="predictive")),IF(AND(OR(K2325=1,K2325="1"),OR(L2325=1,L2325="1"),OR(M2325=1,M2325="1")),"adequate","partial"),IF(AND(H2325="W4",F2325="predictive",OR(J2325="P2",J2325="P3",J2325="P4")),IF(OR(U2325=1,U2325="1"),"adequate","partial"),INDEX(Fit_Matrix!$B:$B,MATCH(P2325,Fit_Matrix!$A:$A,0)))),"CHECK KEY"))</f>
        <v/>
      </c>
      <c r="U2325" s="10"/>
      <c r="V2325" s="10"/>
      <c r="W2325" s="10"/>
      <c r="X2325" s="10"/>
      <c r="Y2325" s="10"/>
      <c r="Z2325" s="10"/>
      <c r="AA2325" s="11" t="str">
        <f t="shared" si="73"/>
        <v/>
      </c>
    </row>
    <row r="2326" spans="16:27" ht="15" customHeight="1">
      <c r="P2326" t="str">
        <f t="shared" si="72"/>
        <v/>
      </c>
      <c r="Q2326" t="str">
        <f>IF(P2326="","",IFERROR(IF(AND(H2326="W7",OR(F2326="causal",F2326="predictive")),IF(AND(OR(K2326=1,K2326="1"),OR(L2326=1,L2326="1"),OR(M2326=1,M2326="1")),"adequate","partial"),IF(AND(H2326="W4",F2326="predictive",OR(J2326="P2",J2326="P3",J2326="P4")),IF(OR(U2326=1,U2326="1"),"adequate","partial"),INDEX(Fit_Matrix!$B:$B,MATCH(P2326,Fit_Matrix!$A:$A,0)))),"CHECK KEY"))</f>
        <v/>
      </c>
      <c r="U2326" s="10"/>
      <c r="V2326" s="10"/>
      <c r="W2326" s="10"/>
      <c r="X2326" s="10"/>
      <c r="Y2326" s="10"/>
      <c r="Z2326" s="10"/>
      <c r="AA2326" s="11" t="str">
        <f t="shared" si="73"/>
        <v/>
      </c>
    </row>
    <row r="2327" spans="16:27" ht="15" customHeight="1">
      <c r="P2327" t="str">
        <f t="shared" si="72"/>
        <v/>
      </c>
      <c r="Q2327" t="str">
        <f>IF(P2327="","",IFERROR(IF(AND(H2327="W7",OR(F2327="causal",F2327="predictive")),IF(AND(OR(K2327=1,K2327="1"),OR(L2327=1,L2327="1"),OR(M2327=1,M2327="1")),"adequate","partial"),IF(AND(H2327="W4",F2327="predictive",OR(J2327="P2",J2327="P3",J2327="P4")),IF(OR(U2327=1,U2327="1"),"adequate","partial"),INDEX(Fit_Matrix!$B:$B,MATCH(P2327,Fit_Matrix!$A:$A,0)))),"CHECK KEY"))</f>
        <v/>
      </c>
      <c r="U2327" s="10"/>
      <c r="V2327" s="10"/>
      <c r="W2327" s="10"/>
      <c r="X2327" s="10"/>
      <c r="Y2327" s="10"/>
      <c r="Z2327" s="10"/>
      <c r="AA2327" s="11" t="str">
        <f t="shared" si="73"/>
        <v/>
      </c>
    </row>
    <row r="2328" spans="16:27" ht="15" customHeight="1">
      <c r="P2328" t="str">
        <f t="shared" si="72"/>
        <v/>
      </c>
      <c r="Q2328" t="str">
        <f>IF(P2328="","",IFERROR(IF(AND(H2328="W7",OR(F2328="causal",F2328="predictive")),IF(AND(OR(K2328=1,K2328="1"),OR(L2328=1,L2328="1"),OR(M2328=1,M2328="1")),"adequate","partial"),IF(AND(H2328="W4",F2328="predictive",OR(J2328="P2",J2328="P3",J2328="P4")),IF(OR(U2328=1,U2328="1"),"adequate","partial"),INDEX(Fit_Matrix!$B:$B,MATCH(P2328,Fit_Matrix!$A:$A,0)))),"CHECK KEY"))</f>
        <v/>
      </c>
      <c r="U2328" s="10"/>
      <c r="V2328" s="10"/>
      <c r="W2328" s="10"/>
      <c r="X2328" s="10"/>
      <c r="Y2328" s="10"/>
      <c r="Z2328" s="10"/>
      <c r="AA2328" s="11" t="str">
        <f t="shared" si="73"/>
        <v/>
      </c>
    </row>
    <row r="2329" spans="16:27" ht="15" customHeight="1">
      <c r="P2329" t="str">
        <f t="shared" si="72"/>
        <v/>
      </c>
      <c r="Q2329" t="str">
        <f>IF(P2329="","",IFERROR(IF(AND(H2329="W7",OR(F2329="causal",F2329="predictive")),IF(AND(OR(K2329=1,K2329="1"),OR(L2329=1,L2329="1"),OR(M2329=1,M2329="1")),"adequate","partial"),IF(AND(H2329="W4",F2329="predictive",OR(J2329="P2",J2329="P3",J2329="P4")),IF(OR(U2329=1,U2329="1"),"adequate","partial"),INDEX(Fit_Matrix!$B:$B,MATCH(P2329,Fit_Matrix!$A:$A,0)))),"CHECK KEY"))</f>
        <v/>
      </c>
      <c r="U2329" s="10"/>
      <c r="V2329" s="10"/>
      <c r="W2329" s="10"/>
      <c r="X2329" s="10"/>
      <c r="Y2329" s="10"/>
      <c r="Z2329" s="10"/>
      <c r="AA2329" s="11" t="str">
        <f t="shared" si="73"/>
        <v/>
      </c>
    </row>
    <row r="2330" spans="16:27" ht="15" customHeight="1">
      <c r="P2330" t="str">
        <f t="shared" si="72"/>
        <v/>
      </c>
      <c r="Q2330" t="str">
        <f>IF(P2330="","",IFERROR(IF(AND(H2330="W7",OR(F2330="causal",F2330="predictive")),IF(AND(OR(K2330=1,K2330="1"),OR(L2330=1,L2330="1"),OR(M2330=1,M2330="1")),"adequate","partial"),IF(AND(H2330="W4",F2330="predictive",OR(J2330="P2",J2330="P3",J2330="P4")),IF(OR(U2330=1,U2330="1"),"adequate","partial"),INDEX(Fit_Matrix!$B:$B,MATCH(P2330,Fit_Matrix!$A:$A,0)))),"CHECK KEY"))</f>
        <v/>
      </c>
      <c r="U2330" s="10"/>
      <c r="V2330" s="10"/>
      <c r="W2330" s="10"/>
      <c r="X2330" s="10"/>
      <c r="Y2330" s="10"/>
      <c r="Z2330" s="10"/>
      <c r="AA2330" s="11" t="str">
        <f t="shared" si="73"/>
        <v/>
      </c>
    </row>
    <row r="2331" spans="16:27" ht="15" customHeight="1">
      <c r="P2331" t="str">
        <f t="shared" si="72"/>
        <v/>
      </c>
      <c r="Q2331" t="str">
        <f>IF(P2331="","",IFERROR(IF(AND(H2331="W7",OR(F2331="causal",F2331="predictive")),IF(AND(OR(K2331=1,K2331="1"),OR(L2331=1,L2331="1"),OR(M2331=1,M2331="1")),"adequate","partial"),IF(AND(H2331="W4",F2331="predictive",OR(J2331="P2",J2331="P3",J2331="P4")),IF(OR(U2331=1,U2331="1"),"adequate","partial"),INDEX(Fit_Matrix!$B:$B,MATCH(P2331,Fit_Matrix!$A:$A,0)))),"CHECK KEY"))</f>
        <v/>
      </c>
      <c r="U2331" s="10"/>
      <c r="V2331" s="10"/>
      <c r="W2331" s="10"/>
      <c r="X2331" s="10"/>
      <c r="Y2331" s="10"/>
      <c r="Z2331" s="10"/>
      <c r="AA2331" s="11" t="str">
        <f t="shared" si="73"/>
        <v/>
      </c>
    </row>
    <row r="2332" spans="16:27" ht="15" customHeight="1">
      <c r="P2332" t="str">
        <f t="shared" si="72"/>
        <v/>
      </c>
      <c r="Q2332" t="str">
        <f>IF(P2332="","",IFERROR(IF(AND(H2332="W7",OR(F2332="causal",F2332="predictive")),IF(AND(OR(K2332=1,K2332="1"),OR(L2332=1,L2332="1"),OR(M2332=1,M2332="1")),"adequate","partial"),IF(AND(H2332="W4",F2332="predictive",OR(J2332="P2",J2332="P3",J2332="P4")),IF(OR(U2332=1,U2332="1"),"adequate","partial"),INDEX(Fit_Matrix!$B:$B,MATCH(P2332,Fit_Matrix!$A:$A,0)))),"CHECK KEY"))</f>
        <v/>
      </c>
      <c r="U2332" s="10"/>
      <c r="V2332" s="10"/>
      <c r="W2332" s="10"/>
      <c r="X2332" s="10"/>
      <c r="Y2332" s="10"/>
      <c r="Z2332" s="10"/>
      <c r="AA2332" s="11" t="str">
        <f t="shared" si="73"/>
        <v/>
      </c>
    </row>
    <row r="2333" spans="16:27" ht="15" customHeight="1">
      <c r="P2333" t="str">
        <f t="shared" si="72"/>
        <v/>
      </c>
      <c r="Q2333" t="str">
        <f>IF(P2333="","",IFERROR(IF(AND(H2333="W7",OR(F2333="causal",F2333="predictive")),IF(AND(OR(K2333=1,K2333="1"),OR(L2333=1,L2333="1"),OR(M2333=1,M2333="1")),"adequate","partial"),IF(AND(H2333="W4",F2333="predictive",OR(J2333="P2",J2333="P3",J2333="P4")),IF(OR(U2333=1,U2333="1"),"adequate","partial"),INDEX(Fit_Matrix!$B:$B,MATCH(P2333,Fit_Matrix!$A:$A,0)))),"CHECK KEY"))</f>
        <v/>
      </c>
      <c r="U2333" s="10"/>
      <c r="V2333" s="10"/>
      <c r="W2333" s="10"/>
      <c r="X2333" s="10"/>
      <c r="Y2333" s="10"/>
      <c r="Z2333" s="10"/>
      <c r="AA2333" s="11" t="str">
        <f t="shared" si="73"/>
        <v/>
      </c>
    </row>
    <row r="2334" spans="16:27" ht="15" customHeight="1">
      <c r="P2334" t="str">
        <f t="shared" si="72"/>
        <v/>
      </c>
      <c r="Q2334" t="str">
        <f>IF(P2334="","",IFERROR(IF(AND(H2334="W7",OR(F2334="causal",F2334="predictive")),IF(AND(OR(K2334=1,K2334="1"),OR(L2334=1,L2334="1"),OR(M2334=1,M2334="1")),"adequate","partial"),IF(AND(H2334="W4",F2334="predictive",OR(J2334="P2",J2334="P3",J2334="P4")),IF(OR(U2334=1,U2334="1"),"adequate","partial"),INDEX(Fit_Matrix!$B:$B,MATCH(P2334,Fit_Matrix!$A:$A,0)))),"CHECK KEY"))</f>
        <v/>
      </c>
      <c r="U2334" s="10"/>
      <c r="V2334" s="10"/>
      <c r="W2334" s="10"/>
      <c r="X2334" s="10"/>
      <c r="Y2334" s="10"/>
      <c r="Z2334" s="10"/>
      <c r="AA2334" s="11" t="str">
        <f t="shared" si="73"/>
        <v/>
      </c>
    </row>
    <row r="2335" spans="16:27" ht="15" customHeight="1">
      <c r="P2335" t="str">
        <f t="shared" si="72"/>
        <v/>
      </c>
      <c r="Q2335" t="str">
        <f>IF(P2335="","",IFERROR(IF(AND(H2335="W7",OR(F2335="causal",F2335="predictive")),IF(AND(OR(K2335=1,K2335="1"),OR(L2335=1,L2335="1"),OR(M2335=1,M2335="1")),"adequate","partial"),IF(AND(H2335="W4",F2335="predictive",OR(J2335="P2",J2335="P3",J2335="P4")),IF(OR(U2335=1,U2335="1"),"adequate","partial"),INDEX(Fit_Matrix!$B:$B,MATCH(P2335,Fit_Matrix!$A:$A,0)))),"CHECK KEY"))</f>
        <v/>
      </c>
      <c r="U2335" s="10"/>
      <c r="V2335" s="10"/>
      <c r="W2335" s="10"/>
      <c r="X2335" s="10"/>
      <c r="Y2335" s="10"/>
      <c r="Z2335" s="10"/>
      <c r="AA2335" s="11" t="str">
        <f t="shared" si="73"/>
        <v/>
      </c>
    </row>
    <row r="2336" spans="16:27" ht="15" customHeight="1">
      <c r="P2336" t="str">
        <f t="shared" si="72"/>
        <v/>
      </c>
      <c r="Q2336" t="str">
        <f>IF(P2336="","",IFERROR(IF(AND(H2336="W7",OR(F2336="causal",F2336="predictive")),IF(AND(OR(K2336=1,K2336="1"),OR(L2336=1,L2336="1"),OR(M2336=1,M2336="1")),"adequate","partial"),IF(AND(H2336="W4",F2336="predictive",OR(J2336="P2",J2336="P3",J2336="P4")),IF(OR(U2336=1,U2336="1"),"adequate","partial"),INDEX(Fit_Matrix!$B:$B,MATCH(P2336,Fit_Matrix!$A:$A,0)))),"CHECK KEY"))</f>
        <v/>
      </c>
      <c r="U2336" s="10"/>
      <c r="V2336" s="10"/>
      <c r="W2336" s="10"/>
      <c r="X2336" s="10"/>
      <c r="Y2336" s="10"/>
      <c r="Z2336" s="10"/>
      <c r="AA2336" s="11" t="str">
        <f t="shared" si="73"/>
        <v/>
      </c>
    </row>
    <row r="2337" spans="16:27" ht="15" customHeight="1">
      <c r="P2337" t="str">
        <f t="shared" si="72"/>
        <v/>
      </c>
      <c r="Q2337" t="str">
        <f>IF(P2337="","",IFERROR(IF(AND(H2337="W7",OR(F2337="causal",F2337="predictive")),IF(AND(OR(K2337=1,K2337="1"),OR(L2337=1,L2337="1"),OR(M2337=1,M2337="1")),"adequate","partial"),IF(AND(H2337="W4",F2337="predictive",OR(J2337="P2",J2337="P3",J2337="P4")),IF(OR(U2337=1,U2337="1"),"adequate","partial"),INDEX(Fit_Matrix!$B:$B,MATCH(P2337,Fit_Matrix!$A:$A,0)))),"CHECK KEY"))</f>
        <v/>
      </c>
      <c r="U2337" s="10"/>
      <c r="V2337" s="10"/>
      <c r="W2337" s="10"/>
      <c r="X2337" s="10"/>
      <c r="Y2337" s="10"/>
      <c r="Z2337" s="10"/>
      <c r="AA2337" s="11" t="str">
        <f t="shared" si="73"/>
        <v/>
      </c>
    </row>
    <row r="2338" spans="16:27" ht="15" customHeight="1">
      <c r="P2338" t="str">
        <f t="shared" si="72"/>
        <v/>
      </c>
      <c r="Q2338" t="str">
        <f>IF(P2338="","",IFERROR(IF(AND(H2338="W7",OR(F2338="causal",F2338="predictive")),IF(AND(OR(K2338=1,K2338="1"),OR(L2338=1,L2338="1"),OR(M2338=1,M2338="1")),"adequate","partial"),IF(AND(H2338="W4",F2338="predictive",OR(J2338="P2",J2338="P3",J2338="P4")),IF(OR(U2338=1,U2338="1"),"adequate","partial"),INDEX(Fit_Matrix!$B:$B,MATCH(P2338,Fit_Matrix!$A:$A,0)))),"CHECK KEY"))</f>
        <v/>
      </c>
      <c r="U2338" s="10"/>
      <c r="V2338" s="10"/>
      <c r="W2338" s="10"/>
      <c r="X2338" s="10"/>
      <c r="Y2338" s="10"/>
      <c r="Z2338" s="10"/>
      <c r="AA2338" s="11" t="str">
        <f t="shared" si="73"/>
        <v/>
      </c>
    </row>
    <row r="2339" spans="16:27" ht="15" customHeight="1">
      <c r="P2339" t="str">
        <f t="shared" si="72"/>
        <v/>
      </c>
      <c r="Q2339" t="str">
        <f>IF(P2339="","",IFERROR(IF(AND(H2339="W7",OR(F2339="causal",F2339="predictive")),IF(AND(OR(K2339=1,K2339="1"),OR(L2339=1,L2339="1"),OR(M2339=1,M2339="1")),"adequate","partial"),IF(AND(H2339="W4",F2339="predictive",OR(J2339="P2",J2339="P3",J2339="P4")),IF(OR(U2339=1,U2339="1"),"adequate","partial"),INDEX(Fit_Matrix!$B:$B,MATCH(P2339,Fit_Matrix!$A:$A,0)))),"CHECK KEY"))</f>
        <v/>
      </c>
      <c r="U2339" s="10"/>
      <c r="V2339" s="10"/>
      <c r="W2339" s="10"/>
      <c r="X2339" s="10"/>
      <c r="Y2339" s="10"/>
      <c r="Z2339" s="10"/>
      <c r="AA2339" s="11" t="str">
        <f t="shared" si="73"/>
        <v/>
      </c>
    </row>
    <row r="2340" spans="16:27" ht="15" customHeight="1">
      <c r="P2340" t="str">
        <f t="shared" si="72"/>
        <v/>
      </c>
      <c r="Q2340" t="str">
        <f>IF(P2340="","",IFERROR(IF(AND(H2340="W7",OR(F2340="causal",F2340="predictive")),IF(AND(OR(K2340=1,K2340="1"),OR(L2340=1,L2340="1"),OR(M2340=1,M2340="1")),"adequate","partial"),IF(AND(H2340="W4",F2340="predictive",OR(J2340="P2",J2340="P3",J2340="P4")),IF(OR(U2340=1,U2340="1"),"adequate","partial"),INDEX(Fit_Matrix!$B:$B,MATCH(P2340,Fit_Matrix!$A:$A,0)))),"CHECK KEY"))</f>
        <v/>
      </c>
      <c r="U2340" s="10"/>
      <c r="V2340" s="10"/>
      <c r="W2340" s="10"/>
      <c r="X2340" s="10"/>
      <c r="Y2340" s="10"/>
      <c r="Z2340" s="10"/>
      <c r="AA2340" s="11" t="str">
        <f t="shared" si="73"/>
        <v/>
      </c>
    </row>
    <row r="2341" spans="16:27" ht="15" customHeight="1">
      <c r="P2341" t="str">
        <f t="shared" si="72"/>
        <v/>
      </c>
      <c r="Q2341" t="str">
        <f>IF(P2341="","",IFERROR(IF(AND(H2341="W7",OR(F2341="causal",F2341="predictive")),IF(AND(OR(K2341=1,K2341="1"),OR(L2341=1,L2341="1"),OR(M2341=1,M2341="1")),"adequate","partial"),IF(AND(H2341="W4",F2341="predictive",OR(J2341="P2",J2341="P3",J2341="P4")),IF(OR(U2341=1,U2341="1"),"adequate","partial"),INDEX(Fit_Matrix!$B:$B,MATCH(P2341,Fit_Matrix!$A:$A,0)))),"CHECK KEY"))</f>
        <v/>
      </c>
      <c r="U2341" s="10"/>
      <c r="V2341" s="10"/>
      <c r="W2341" s="10"/>
      <c r="X2341" s="10"/>
      <c r="Y2341" s="10"/>
      <c r="Z2341" s="10"/>
      <c r="AA2341" s="11" t="str">
        <f t="shared" si="73"/>
        <v/>
      </c>
    </row>
    <row r="2342" spans="16:27" ht="15" customHeight="1">
      <c r="P2342" t="str">
        <f t="shared" si="72"/>
        <v/>
      </c>
      <c r="Q2342" t="str">
        <f>IF(P2342="","",IFERROR(IF(AND(H2342="W7",OR(F2342="causal",F2342="predictive")),IF(AND(OR(K2342=1,K2342="1"),OR(L2342=1,L2342="1"),OR(M2342=1,M2342="1")),"adequate","partial"),IF(AND(H2342="W4",F2342="predictive",OR(J2342="P2",J2342="P3",J2342="P4")),IF(OR(U2342=1,U2342="1"),"adequate","partial"),INDEX(Fit_Matrix!$B:$B,MATCH(P2342,Fit_Matrix!$A:$A,0)))),"CHECK KEY"))</f>
        <v/>
      </c>
      <c r="U2342" s="10"/>
      <c r="V2342" s="10"/>
      <c r="W2342" s="10"/>
      <c r="X2342" s="10"/>
      <c r="Y2342" s="10"/>
      <c r="Z2342" s="10"/>
      <c r="AA2342" s="11" t="str">
        <f t="shared" si="73"/>
        <v/>
      </c>
    </row>
    <row r="2343" spans="16:27" ht="15" customHeight="1">
      <c r="P2343" t="str">
        <f t="shared" si="72"/>
        <v/>
      </c>
      <c r="Q2343" t="str">
        <f>IF(P2343="","",IFERROR(IF(AND(H2343="W7",OR(F2343="causal",F2343="predictive")),IF(AND(OR(K2343=1,K2343="1"),OR(L2343=1,L2343="1"),OR(M2343=1,M2343="1")),"adequate","partial"),IF(AND(H2343="W4",F2343="predictive",OR(J2343="P2",J2343="P3",J2343="P4")),IF(OR(U2343=1,U2343="1"),"adequate","partial"),INDEX(Fit_Matrix!$B:$B,MATCH(P2343,Fit_Matrix!$A:$A,0)))),"CHECK KEY"))</f>
        <v/>
      </c>
      <c r="U2343" s="10"/>
      <c r="V2343" s="10"/>
      <c r="W2343" s="10"/>
      <c r="X2343" s="10"/>
      <c r="Y2343" s="10"/>
      <c r="Z2343" s="10"/>
      <c r="AA2343" s="11" t="str">
        <f t="shared" si="73"/>
        <v/>
      </c>
    </row>
    <row r="2344" spans="16:27" ht="15" customHeight="1">
      <c r="P2344" t="str">
        <f t="shared" si="72"/>
        <v/>
      </c>
      <c r="Q2344" t="str">
        <f>IF(P2344="","",IFERROR(IF(AND(H2344="W7",OR(F2344="causal",F2344="predictive")),IF(AND(OR(K2344=1,K2344="1"),OR(L2344=1,L2344="1"),OR(M2344=1,M2344="1")),"adequate","partial"),IF(AND(H2344="W4",F2344="predictive",OR(J2344="P2",J2344="P3",J2344="P4")),IF(OR(U2344=1,U2344="1"),"adequate","partial"),INDEX(Fit_Matrix!$B:$B,MATCH(P2344,Fit_Matrix!$A:$A,0)))),"CHECK KEY"))</f>
        <v/>
      </c>
      <c r="U2344" s="10"/>
      <c r="V2344" s="10"/>
      <c r="W2344" s="10"/>
      <c r="X2344" s="10"/>
      <c r="Y2344" s="10"/>
      <c r="Z2344" s="10"/>
      <c r="AA2344" s="11" t="str">
        <f t="shared" si="73"/>
        <v/>
      </c>
    </row>
    <row r="2345" spans="16:27" ht="15" customHeight="1">
      <c r="P2345" t="str">
        <f t="shared" si="72"/>
        <v/>
      </c>
      <c r="Q2345" t="str">
        <f>IF(P2345="","",IFERROR(IF(AND(H2345="W7",OR(F2345="causal",F2345="predictive")),IF(AND(OR(K2345=1,K2345="1"),OR(L2345=1,L2345="1"),OR(M2345=1,M2345="1")),"adequate","partial"),IF(AND(H2345="W4",F2345="predictive",OR(J2345="P2",J2345="P3",J2345="P4")),IF(OR(U2345=1,U2345="1"),"adequate","partial"),INDEX(Fit_Matrix!$B:$B,MATCH(P2345,Fit_Matrix!$A:$A,0)))),"CHECK KEY"))</f>
        <v/>
      </c>
      <c r="U2345" s="10"/>
      <c r="V2345" s="10"/>
      <c r="W2345" s="10"/>
      <c r="X2345" s="10"/>
      <c r="Y2345" s="10"/>
      <c r="Z2345" s="10"/>
      <c r="AA2345" s="11" t="str">
        <f t="shared" si="73"/>
        <v/>
      </c>
    </row>
    <row r="2346" spans="16:27" ht="15" customHeight="1">
      <c r="P2346" t="str">
        <f t="shared" si="72"/>
        <v/>
      </c>
      <c r="Q2346" t="str">
        <f>IF(P2346="","",IFERROR(IF(AND(H2346="W7",OR(F2346="causal",F2346="predictive")),IF(AND(OR(K2346=1,K2346="1"),OR(L2346=1,L2346="1"),OR(M2346=1,M2346="1")),"adequate","partial"),IF(AND(H2346="W4",F2346="predictive",OR(J2346="P2",J2346="P3",J2346="P4")),IF(OR(U2346=1,U2346="1"),"adequate","partial"),INDEX(Fit_Matrix!$B:$B,MATCH(P2346,Fit_Matrix!$A:$A,0)))),"CHECK KEY"))</f>
        <v/>
      </c>
      <c r="U2346" s="10"/>
      <c r="V2346" s="10"/>
      <c r="W2346" s="10"/>
      <c r="X2346" s="10"/>
      <c r="Y2346" s="10"/>
      <c r="Z2346" s="10"/>
      <c r="AA2346" s="11" t="str">
        <f t="shared" si="73"/>
        <v/>
      </c>
    </row>
    <row r="2347" spans="16:27" ht="15" customHeight="1">
      <c r="P2347" t="str">
        <f t="shared" si="72"/>
        <v/>
      </c>
      <c r="Q2347" t="str">
        <f>IF(P2347="","",IFERROR(IF(AND(H2347="W7",OR(F2347="causal",F2347="predictive")),IF(AND(OR(K2347=1,K2347="1"),OR(L2347=1,L2347="1"),OR(M2347=1,M2347="1")),"adequate","partial"),IF(AND(H2347="W4",F2347="predictive",OR(J2347="P2",J2347="P3",J2347="P4")),IF(OR(U2347=1,U2347="1"),"adequate","partial"),INDEX(Fit_Matrix!$B:$B,MATCH(P2347,Fit_Matrix!$A:$A,0)))),"CHECK KEY"))</f>
        <v/>
      </c>
      <c r="U2347" s="10"/>
      <c r="V2347" s="10"/>
      <c r="W2347" s="10"/>
      <c r="X2347" s="10"/>
      <c r="Y2347" s="10"/>
      <c r="Z2347" s="10"/>
      <c r="AA2347" s="11" t="str">
        <f t="shared" si="73"/>
        <v/>
      </c>
    </row>
    <row r="2348" spans="16:27" ht="15" customHeight="1">
      <c r="P2348" t="str">
        <f t="shared" si="72"/>
        <v/>
      </c>
      <c r="Q2348" t="str">
        <f>IF(P2348="","",IFERROR(IF(AND(H2348="W7",OR(F2348="causal",F2348="predictive")),IF(AND(OR(K2348=1,K2348="1"),OR(L2348=1,L2348="1"),OR(M2348=1,M2348="1")),"adequate","partial"),IF(AND(H2348="W4",F2348="predictive",OR(J2348="P2",J2348="P3",J2348="P4")),IF(OR(U2348=1,U2348="1"),"adequate","partial"),INDEX(Fit_Matrix!$B:$B,MATCH(P2348,Fit_Matrix!$A:$A,0)))),"CHECK KEY"))</f>
        <v/>
      </c>
      <c r="U2348" s="10"/>
      <c r="V2348" s="10"/>
      <c r="W2348" s="10"/>
      <c r="X2348" s="10"/>
      <c r="Y2348" s="10"/>
      <c r="Z2348" s="10"/>
      <c r="AA2348" s="11" t="str">
        <f t="shared" si="73"/>
        <v/>
      </c>
    </row>
    <row r="2349" spans="16:27" ht="15" customHeight="1">
      <c r="P2349" t="str">
        <f t="shared" si="72"/>
        <v/>
      </c>
      <c r="Q2349" t="str">
        <f>IF(P2349="","",IFERROR(IF(AND(H2349="W7",OR(F2349="causal",F2349="predictive")),IF(AND(OR(K2349=1,K2349="1"),OR(L2349=1,L2349="1"),OR(M2349=1,M2349="1")),"adequate","partial"),IF(AND(H2349="W4",F2349="predictive",OR(J2349="P2",J2349="P3",J2349="P4")),IF(OR(U2349=1,U2349="1"),"adequate","partial"),INDEX(Fit_Matrix!$B:$B,MATCH(P2349,Fit_Matrix!$A:$A,0)))),"CHECK KEY"))</f>
        <v/>
      </c>
      <c r="U2349" s="10"/>
      <c r="V2349" s="10"/>
      <c r="W2349" s="10"/>
      <c r="X2349" s="10"/>
      <c r="Y2349" s="10"/>
      <c r="Z2349" s="10"/>
      <c r="AA2349" s="11" t="str">
        <f t="shared" si="73"/>
        <v/>
      </c>
    </row>
    <row r="2350" spans="16:27" ht="15" customHeight="1">
      <c r="P2350" t="str">
        <f t="shared" si="72"/>
        <v/>
      </c>
      <c r="Q2350" t="str">
        <f>IF(P2350="","",IFERROR(IF(AND(H2350="W7",OR(F2350="causal",F2350="predictive")),IF(AND(OR(K2350=1,K2350="1"),OR(L2350=1,L2350="1"),OR(M2350=1,M2350="1")),"adequate","partial"),IF(AND(H2350="W4",F2350="predictive",OR(J2350="P2",J2350="P3",J2350="P4")),IF(OR(U2350=1,U2350="1"),"adequate","partial"),INDEX(Fit_Matrix!$B:$B,MATCH(P2350,Fit_Matrix!$A:$A,0)))),"CHECK KEY"))</f>
        <v/>
      </c>
      <c r="U2350" s="10"/>
      <c r="V2350" s="10"/>
      <c r="W2350" s="10"/>
      <c r="X2350" s="10"/>
      <c r="Y2350" s="10"/>
      <c r="Z2350" s="10"/>
      <c r="AA2350" s="11" t="str">
        <f t="shared" si="73"/>
        <v/>
      </c>
    </row>
    <row r="2351" spans="16:27" ht="15" customHeight="1">
      <c r="P2351" t="str">
        <f t="shared" si="72"/>
        <v/>
      </c>
      <c r="Q2351" t="str">
        <f>IF(P2351="","",IFERROR(IF(AND(H2351="W7",OR(F2351="causal",F2351="predictive")),IF(AND(OR(K2351=1,K2351="1"),OR(L2351=1,L2351="1"),OR(M2351=1,M2351="1")),"adequate","partial"),IF(AND(H2351="W4",F2351="predictive",OR(J2351="P2",J2351="P3",J2351="P4")),IF(OR(U2351=1,U2351="1"),"adequate","partial"),INDEX(Fit_Matrix!$B:$B,MATCH(P2351,Fit_Matrix!$A:$A,0)))),"CHECK KEY"))</f>
        <v/>
      </c>
      <c r="U2351" s="10"/>
      <c r="V2351" s="10"/>
      <c r="W2351" s="10"/>
      <c r="X2351" s="10"/>
      <c r="Y2351" s="10"/>
      <c r="Z2351" s="10"/>
      <c r="AA2351" s="11" t="str">
        <f t="shared" si="73"/>
        <v/>
      </c>
    </row>
    <row r="2352" spans="16:27" ht="15" customHeight="1">
      <c r="P2352" t="str">
        <f t="shared" si="72"/>
        <v/>
      </c>
      <c r="Q2352" t="str">
        <f>IF(P2352="","",IFERROR(IF(AND(H2352="W7",OR(F2352="causal",F2352="predictive")),IF(AND(OR(K2352=1,K2352="1"),OR(L2352=1,L2352="1"),OR(M2352=1,M2352="1")),"adequate","partial"),IF(AND(H2352="W4",F2352="predictive",OR(J2352="P2",J2352="P3",J2352="P4")),IF(OR(U2352=1,U2352="1"),"adequate","partial"),INDEX(Fit_Matrix!$B:$B,MATCH(P2352,Fit_Matrix!$A:$A,0)))),"CHECK KEY"))</f>
        <v/>
      </c>
      <c r="U2352" s="10"/>
      <c r="V2352" s="10"/>
      <c r="W2352" s="10"/>
      <c r="X2352" s="10"/>
      <c r="Y2352" s="10"/>
      <c r="Z2352" s="10"/>
      <c r="AA2352" s="11" t="str">
        <f t="shared" si="73"/>
        <v/>
      </c>
    </row>
    <row r="2353" spans="16:27" ht="15" customHeight="1">
      <c r="P2353" t="str">
        <f t="shared" si="72"/>
        <v/>
      </c>
      <c r="Q2353" t="str">
        <f>IF(P2353="","",IFERROR(IF(AND(H2353="W7",OR(F2353="causal",F2353="predictive")),IF(AND(OR(K2353=1,K2353="1"),OR(L2353=1,L2353="1"),OR(M2353=1,M2353="1")),"adequate","partial"),IF(AND(H2353="W4",F2353="predictive",OR(J2353="P2",J2353="P3",J2353="P4")),IF(OR(U2353=1,U2353="1"),"adequate","partial"),INDEX(Fit_Matrix!$B:$B,MATCH(P2353,Fit_Matrix!$A:$A,0)))),"CHECK KEY"))</f>
        <v/>
      </c>
      <c r="U2353" s="10"/>
      <c r="V2353" s="10"/>
      <c r="W2353" s="10"/>
      <c r="X2353" s="10"/>
      <c r="Y2353" s="10"/>
      <c r="Z2353" s="10"/>
      <c r="AA2353" s="11" t="str">
        <f t="shared" si="73"/>
        <v/>
      </c>
    </row>
    <row r="2354" spans="16:27" ht="15" customHeight="1">
      <c r="P2354" t="str">
        <f t="shared" si="72"/>
        <v/>
      </c>
      <c r="Q2354" t="str">
        <f>IF(P2354="","",IFERROR(IF(AND(H2354="W7",OR(F2354="causal",F2354="predictive")),IF(AND(OR(K2354=1,K2354="1"),OR(L2354=1,L2354="1"),OR(M2354=1,M2354="1")),"adequate","partial"),IF(AND(H2354="W4",F2354="predictive",OR(J2354="P2",J2354="P3",J2354="P4")),IF(OR(U2354=1,U2354="1"),"adequate","partial"),INDEX(Fit_Matrix!$B:$B,MATCH(P2354,Fit_Matrix!$A:$A,0)))),"CHECK KEY"))</f>
        <v/>
      </c>
      <c r="U2354" s="10"/>
      <c r="V2354" s="10"/>
      <c r="W2354" s="10"/>
      <c r="X2354" s="10"/>
      <c r="Y2354" s="10"/>
      <c r="Z2354" s="10"/>
      <c r="AA2354" s="11" t="str">
        <f t="shared" si="73"/>
        <v/>
      </c>
    </row>
    <row r="2355" spans="16:27" ht="15" customHeight="1">
      <c r="P2355" t="str">
        <f t="shared" si="72"/>
        <v/>
      </c>
      <c r="Q2355" t="str">
        <f>IF(P2355="","",IFERROR(IF(AND(H2355="W7",OR(F2355="causal",F2355="predictive")),IF(AND(OR(K2355=1,K2355="1"),OR(L2355=1,L2355="1"),OR(M2355=1,M2355="1")),"adequate","partial"),IF(AND(H2355="W4",F2355="predictive",OR(J2355="P2",J2355="P3",J2355="P4")),IF(OR(U2355=1,U2355="1"),"adequate","partial"),INDEX(Fit_Matrix!$B:$B,MATCH(P2355,Fit_Matrix!$A:$A,0)))),"CHECK KEY"))</f>
        <v/>
      </c>
      <c r="U2355" s="10"/>
      <c r="V2355" s="10"/>
      <c r="W2355" s="10"/>
      <c r="X2355" s="10"/>
      <c r="Y2355" s="10"/>
      <c r="Z2355" s="10"/>
      <c r="AA2355" s="11" t="str">
        <f t="shared" si="73"/>
        <v/>
      </c>
    </row>
    <row r="2356" spans="16:27" ht="15" customHeight="1">
      <c r="P2356" t="str">
        <f t="shared" si="72"/>
        <v/>
      </c>
      <c r="Q2356" t="str">
        <f>IF(P2356="","",IFERROR(IF(AND(H2356="W7",OR(F2356="causal",F2356="predictive")),IF(AND(OR(K2356=1,K2356="1"),OR(L2356=1,L2356="1"),OR(M2356=1,M2356="1")),"adequate","partial"),IF(AND(H2356="W4",F2356="predictive",OR(J2356="P2",J2356="P3",J2356="P4")),IF(OR(U2356=1,U2356="1"),"adequate","partial"),INDEX(Fit_Matrix!$B:$B,MATCH(P2356,Fit_Matrix!$A:$A,0)))),"CHECK KEY"))</f>
        <v/>
      </c>
      <c r="U2356" s="10"/>
      <c r="V2356" s="10"/>
      <c r="W2356" s="10"/>
      <c r="X2356" s="10"/>
      <c r="Y2356" s="10"/>
      <c r="Z2356" s="10"/>
      <c r="AA2356" s="11" t="str">
        <f t="shared" si="73"/>
        <v/>
      </c>
    </row>
    <row r="2357" spans="16:27" ht="15" customHeight="1">
      <c r="P2357" t="str">
        <f t="shared" si="72"/>
        <v/>
      </c>
      <c r="Q2357" t="str">
        <f>IF(P2357="","",IFERROR(IF(AND(H2357="W7",OR(F2357="causal",F2357="predictive")),IF(AND(OR(K2357=1,K2357="1"),OR(L2357=1,L2357="1"),OR(M2357=1,M2357="1")),"adequate","partial"),IF(AND(H2357="W4",F2357="predictive",OR(J2357="P2",J2357="P3",J2357="P4")),IF(OR(U2357=1,U2357="1"),"adequate","partial"),INDEX(Fit_Matrix!$B:$B,MATCH(P2357,Fit_Matrix!$A:$A,0)))),"CHECK KEY"))</f>
        <v/>
      </c>
      <c r="U2357" s="10"/>
      <c r="V2357" s="10"/>
      <c r="W2357" s="10"/>
      <c r="X2357" s="10"/>
      <c r="Y2357" s="10"/>
      <c r="Z2357" s="10"/>
      <c r="AA2357" s="11" t="str">
        <f t="shared" si="73"/>
        <v/>
      </c>
    </row>
    <row r="2358" spans="16:27" ht="15" customHeight="1">
      <c r="P2358" t="str">
        <f t="shared" si="72"/>
        <v/>
      </c>
      <c r="Q2358" t="str">
        <f>IF(P2358="","",IFERROR(IF(AND(H2358="W7",OR(F2358="causal",F2358="predictive")),IF(AND(OR(K2358=1,K2358="1"),OR(L2358=1,L2358="1"),OR(M2358=1,M2358="1")),"adequate","partial"),IF(AND(H2358="W4",F2358="predictive",OR(J2358="P2",J2358="P3",J2358="P4")),IF(OR(U2358=1,U2358="1"),"adequate","partial"),INDEX(Fit_Matrix!$B:$B,MATCH(P2358,Fit_Matrix!$A:$A,0)))),"CHECK KEY"))</f>
        <v/>
      </c>
      <c r="U2358" s="10"/>
      <c r="V2358" s="10"/>
      <c r="W2358" s="10"/>
      <c r="X2358" s="10"/>
      <c r="Y2358" s="10"/>
      <c r="Z2358" s="10"/>
      <c r="AA2358" s="11" t="str">
        <f t="shared" si="73"/>
        <v/>
      </c>
    </row>
    <row r="2359" spans="16:27" ht="15" customHeight="1">
      <c r="P2359" t="str">
        <f t="shared" si="72"/>
        <v/>
      </c>
      <c r="Q2359" t="str">
        <f>IF(P2359="","",IFERROR(IF(AND(H2359="W7",OR(F2359="causal",F2359="predictive")),IF(AND(OR(K2359=1,K2359="1"),OR(L2359=1,L2359="1"),OR(M2359=1,M2359="1")),"adequate","partial"),IF(AND(H2359="W4",F2359="predictive",OR(J2359="P2",J2359="P3",J2359="P4")),IF(OR(U2359=1,U2359="1"),"adequate","partial"),INDEX(Fit_Matrix!$B:$B,MATCH(P2359,Fit_Matrix!$A:$A,0)))),"CHECK KEY"))</f>
        <v/>
      </c>
      <c r="U2359" s="10"/>
      <c r="V2359" s="10"/>
      <c r="W2359" s="10"/>
      <c r="X2359" s="10"/>
      <c r="Y2359" s="10"/>
      <c r="Z2359" s="10"/>
      <c r="AA2359" s="11" t="str">
        <f t="shared" si="73"/>
        <v/>
      </c>
    </row>
    <row r="2360" spans="16:27" ht="15" customHeight="1">
      <c r="P2360" t="str">
        <f t="shared" si="72"/>
        <v/>
      </c>
      <c r="Q2360" t="str">
        <f>IF(P2360="","",IFERROR(IF(AND(H2360="W7",OR(F2360="causal",F2360="predictive")),IF(AND(OR(K2360=1,K2360="1"),OR(L2360=1,L2360="1"),OR(M2360=1,M2360="1")),"adequate","partial"),IF(AND(H2360="W4",F2360="predictive",OR(J2360="P2",J2360="P3",J2360="P4")),IF(OR(U2360=1,U2360="1"),"adequate","partial"),INDEX(Fit_Matrix!$B:$B,MATCH(P2360,Fit_Matrix!$A:$A,0)))),"CHECK KEY"))</f>
        <v/>
      </c>
      <c r="U2360" s="10"/>
      <c r="V2360" s="10"/>
      <c r="W2360" s="10"/>
      <c r="X2360" s="10"/>
      <c r="Y2360" s="10"/>
      <c r="Z2360" s="10"/>
      <c r="AA2360" s="11" t="str">
        <f t="shared" si="73"/>
        <v/>
      </c>
    </row>
    <row r="2361" spans="16:27" ht="15" customHeight="1">
      <c r="P2361" t="str">
        <f t="shared" si="72"/>
        <v/>
      </c>
      <c r="Q2361" t="str">
        <f>IF(P2361="","",IFERROR(IF(AND(H2361="W7",OR(F2361="causal",F2361="predictive")),IF(AND(OR(K2361=1,K2361="1"),OR(L2361=1,L2361="1"),OR(M2361=1,M2361="1")),"adequate","partial"),IF(AND(H2361="W4",F2361="predictive",OR(J2361="P2",J2361="P3",J2361="P4")),IF(OR(U2361=1,U2361="1"),"adequate","partial"),INDEX(Fit_Matrix!$B:$B,MATCH(P2361,Fit_Matrix!$A:$A,0)))),"CHECK KEY"))</f>
        <v/>
      </c>
      <c r="U2361" s="10"/>
      <c r="V2361" s="10"/>
      <c r="W2361" s="10"/>
      <c r="X2361" s="10"/>
      <c r="Y2361" s="10"/>
      <c r="Z2361" s="10"/>
      <c r="AA2361" s="11" t="str">
        <f t="shared" si="73"/>
        <v/>
      </c>
    </row>
    <row r="2362" spans="16:27" ht="15" customHeight="1">
      <c r="P2362" t="str">
        <f t="shared" si="72"/>
        <v/>
      </c>
      <c r="Q2362" t="str">
        <f>IF(P2362="","",IFERROR(IF(AND(H2362="W7",OR(F2362="causal",F2362="predictive")),IF(AND(OR(K2362=1,K2362="1"),OR(L2362=1,L2362="1"),OR(M2362=1,M2362="1")),"adequate","partial"),IF(AND(H2362="W4",F2362="predictive",OR(J2362="P2",J2362="P3",J2362="P4")),IF(OR(U2362=1,U2362="1"),"adequate","partial"),INDEX(Fit_Matrix!$B:$B,MATCH(P2362,Fit_Matrix!$A:$A,0)))),"CHECK KEY"))</f>
        <v/>
      </c>
      <c r="U2362" s="10"/>
      <c r="V2362" s="10"/>
      <c r="W2362" s="10"/>
      <c r="X2362" s="10"/>
      <c r="Y2362" s="10"/>
      <c r="Z2362" s="10"/>
      <c r="AA2362" s="11" t="str">
        <f t="shared" si="73"/>
        <v/>
      </c>
    </row>
    <row r="2363" spans="16:27" ht="15" customHeight="1">
      <c r="P2363" t="str">
        <f t="shared" si="72"/>
        <v/>
      </c>
      <c r="Q2363" t="str">
        <f>IF(P2363="","",IFERROR(IF(AND(H2363="W7",OR(F2363="causal",F2363="predictive")),IF(AND(OR(K2363=1,K2363="1"),OR(L2363=1,L2363="1"),OR(M2363=1,M2363="1")),"adequate","partial"),IF(AND(H2363="W4",F2363="predictive",OR(J2363="P2",J2363="P3",J2363="P4")),IF(OR(U2363=1,U2363="1"),"adequate","partial"),INDEX(Fit_Matrix!$B:$B,MATCH(P2363,Fit_Matrix!$A:$A,0)))),"CHECK KEY"))</f>
        <v/>
      </c>
      <c r="U2363" s="10"/>
      <c r="V2363" s="10"/>
      <c r="W2363" s="10"/>
      <c r="X2363" s="10"/>
      <c r="Y2363" s="10"/>
      <c r="Z2363" s="10"/>
      <c r="AA2363" s="11" t="str">
        <f t="shared" si="73"/>
        <v/>
      </c>
    </row>
    <row r="2364" spans="16:27" ht="15" customHeight="1">
      <c r="P2364" t="str">
        <f t="shared" si="72"/>
        <v/>
      </c>
      <c r="Q2364" t="str">
        <f>IF(P2364="","",IFERROR(IF(AND(H2364="W7",OR(F2364="causal",F2364="predictive")),IF(AND(OR(K2364=1,K2364="1"),OR(L2364=1,L2364="1"),OR(M2364=1,M2364="1")),"adequate","partial"),IF(AND(H2364="W4",F2364="predictive",OR(J2364="P2",J2364="P3",J2364="P4")),IF(OR(U2364=1,U2364="1"),"adequate","partial"),INDEX(Fit_Matrix!$B:$B,MATCH(P2364,Fit_Matrix!$A:$A,0)))),"CHECK KEY"))</f>
        <v/>
      </c>
      <c r="U2364" s="10"/>
      <c r="V2364" s="10"/>
      <c r="W2364" s="10"/>
      <c r="X2364" s="10"/>
      <c r="Y2364" s="10"/>
      <c r="Z2364" s="10"/>
      <c r="AA2364" s="11" t="str">
        <f t="shared" si="73"/>
        <v/>
      </c>
    </row>
    <row r="2365" spans="16:27" ht="15" customHeight="1">
      <c r="P2365" t="str">
        <f t="shared" si="72"/>
        <v/>
      </c>
      <c r="Q2365" t="str">
        <f>IF(P2365="","",IFERROR(IF(AND(H2365="W7",OR(F2365="causal",F2365="predictive")),IF(AND(OR(K2365=1,K2365="1"),OR(L2365=1,L2365="1"),OR(M2365=1,M2365="1")),"adequate","partial"),IF(AND(H2365="W4",F2365="predictive",OR(J2365="P2",J2365="P3",J2365="P4")),IF(OR(U2365=1,U2365="1"),"adequate","partial"),INDEX(Fit_Matrix!$B:$B,MATCH(P2365,Fit_Matrix!$A:$A,0)))),"CHECK KEY"))</f>
        <v/>
      </c>
      <c r="U2365" s="10"/>
      <c r="V2365" s="10"/>
      <c r="W2365" s="10"/>
      <c r="X2365" s="10"/>
      <c r="Y2365" s="10"/>
      <c r="Z2365" s="10"/>
      <c r="AA2365" s="11" t="str">
        <f t="shared" si="73"/>
        <v/>
      </c>
    </row>
    <row r="2366" spans="16:27" ht="15" customHeight="1">
      <c r="P2366" t="str">
        <f t="shared" si="72"/>
        <v/>
      </c>
      <c r="Q2366" t="str">
        <f>IF(P2366="","",IFERROR(IF(AND(H2366="W7",OR(F2366="causal",F2366="predictive")),IF(AND(OR(K2366=1,K2366="1"),OR(L2366=1,L2366="1"),OR(M2366=1,M2366="1")),"adequate","partial"),IF(AND(H2366="W4",F2366="predictive",OR(J2366="P2",J2366="P3",J2366="P4")),IF(OR(U2366=1,U2366="1"),"adequate","partial"),INDEX(Fit_Matrix!$B:$B,MATCH(P2366,Fit_Matrix!$A:$A,0)))),"CHECK KEY"))</f>
        <v/>
      </c>
      <c r="U2366" s="10"/>
      <c r="V2366" s="10"/>
      <c r="W2366" s="10"/>
      <c r="X2366" s="10"/>
      <c r="Y2366" s="10"/>
      <c r="Z2366" s="10"/>
      <c r="AA2366" s="11" t="str">
        <f t="shared" si="73"/>
        <v/>
      </c>
    </row>
    <row r="2367" spans="16:27" ht="15" customHeight="1">
      <c r="P2367" t="str">
        <f t="shared" si="72"/>
        <v/>
      </c>
      <c r="Q2367" t="str">
        <f>IF(P2367="","",IFERROR(IF(AND(H2367="W7",OR(F2367="causal",F2367="predictive")),IF(AND(OR(K2367=1,K2367="1"),OR(L2367=1,L2367="1"),OR(M2367=1,M2367="1")),"adequate","partial"),IF(AND(H2367="W4",F2367="predictive",OR(J2367="P2",J2367="P3",J2367="P4")),IF(OR(U2367=1,U2367="1"),"adequate","partial"),INDEX(Fit_Matrix!$B:$B,MATCH(P2367,Fit_Matrix!$A:$A,0)))),"CHECK KEY"))</f>
        <v/>
      </c>
      <c r="U2367" s="10"/>
      <c r="V2367" s="10"/>
      <c r="W2367" s="10"/>
      <c r="X2367" s="10"/>
      <c r="Y2367" s="10"/>
      <c r="Z2367" s="10"/>
      <c r="AA2367" s="11" t="str">
        <f t="shared" si="73"/>
        <v/>
      </c>
    </row>
    <row r="2368" spans="16:27" ht="15" customHeight="1">
      <c r="P2368" t="str">
        <f t="shared" si="72"/>
        <v/>
      </c>
      <c r="Q2368" t="str">
        <f>IF(P2368="","",IFERROR(IF(AND(H2368="W7",OR(F2368="causal",F2368="predictive")),IF(AND(OR(K2368=1,K2368="1"),OR(L2368=1,L2368="1"),OR(M2368=1,M2368="1")),"adequate","partial"),IF(AND(H2368="W4",F2368="predictive",OR(J2368="P2",J2368="P3",J2368="P4")),IF(OR(U2368=1,U2368="1"),"adequate","partial"),INDEX(Fit_Matrix!$B:$B,MATCH(P2368,Fit_Matrix!$A:$A,0)))),"CHECK KEY"))</f>
        <v/>
      </c>
      <c r="U2368" s="10"/>
      <c r="V2368" s="10"/>
      <c r="W2368" s="10"/>
      <c r="X2368" s="10"/>
      <c r="Y2368" s="10"/>
      <c r="Z2368" s="10"/>
      <c r="AA2368" s="11" t="str">
        <f t="shared" si="73"/>
        <v/>
      </c>
    </row>
    <row r="2369" spans="16:27" ht="15" customHeight="1">
      <c r="P2369" t="str">
        <f t="shared" si="72"/>
        <v/>
      </c>
      <c r="Q2369" t="str">
        <f>IF(P2369="","",IFERROR(IF(AND(H2369="W7",OR(F2369="causal",F2369="predictive")),IF(AND(OR(K2369=1,K2369="1"),OR(L2369=1,L2369="1"),OR(M2369=1,M2369="1")),"adequate","partial"),IF(AND(H2369="W4",F2369="predictive",OR(J2369="P2",J2369="P3",J2369="P4")),IF(OR(U2369=1,U2369="1"),"adequate","partial"),INDEX(Fit_Matrix!$B:$B,MATCH(P2369,Fit_Matrix!$A:$A,0)))),"CHECK KEY"))</f>
        <v/>
      </c>
      <c r="U2369" s="10"/>
      <c r="V2369" s="10"/>
      <c r="W2369" s="10"/>
      <c r="X2369" s="10"/>
      <c r="Y2369" s="10"/>
      <c r="Z2369" s="10"/>
      <c r="AA2369" s="11" t="str">
        <f t="shared" si="73"/>
        <v/>
      </c>
    </row>
    <row r="2370" spans="16:27" ht="15" customHeight="1">
      <c r="P2370" t="str">
        <f t="shared" ref="P2370:P2433" si="74">IF(OR(F2370="",H2370="",J2370=""),"",J2370&amp;"|"&amp;F2370&amp;"|"&amp;IF(H2370="W3","W3_"&amp;IF(I2370="","unknown",I2370),H2370))</f>
        <v/>
      </c>
      <c r="Q2370" t="str">
        <f>IF(P2370="","",IFERROR(IF(AND(H2370="W7",OR(F2370="causal",F2370="predictive")),IF(AND(OR(K2370=1,K2370="1"),OR(L2370=1,L2370="1"),OR(M2370=1,M2370="1")),"adequate","partial"),IF(AND(H2370="W4",F2370="predictive",OR(J2370="P2",J2370="P3",J2370="P4")),IF(OR(U2370=1,U2370="1"),"adequate","partial"),INDEX(Fit_Matrix!$B:$B,MATCH(P2370,Fit_Matrix!$A:$A,0)))),"CHECK KEY"))</f>
        <v/>
      </c>
      <c r="U2370" s="10"/>
      <c r="V2370" s="10"/>
      <c r="W2370" s="10"/>
      <c r="X2370" s="10"/>
      <c r="Y2370" s="10"/>
      <c r="Z2370" s="10"/>
      <c r="AA2370" s="11" t="str">
        <f t="shared" ref="AA2370:AA2433" si="75">IF(A2370="","",IF(AND(J2370="P4",F2370="causal"),"P4-CAUSAL",""))</f>
        <v/>
      </c>
    </row>
    <row r="2371" spans="16:27" ht="15" customHeight="1">
      <c r="P2371" t="str">
        <f t="shared" si="74"/>
        <v/>
      </c>
      <c r="Q2371" t="str">
        <f>IF(P2371="","",IFERROR(IF(AND(H2371="W7",OR(F2371="causal",F2371="predictive")),IF(AND(OR(K2371=1,K2371="1"),OR(L2371=1,L2371="1"),OR(M2371=1,M2371="1")),"adequate","partial"),IF(AND(H2371="W4",F2371="predictive",OR(J2371="P2",J2371="P3",J2371="P4")),IF(OR(U2371=1,U2371="1"),"adequate","partial"),INDEX(Fit_Matrix!$B:$B,MATCH(P2371,Fit_Matrix!$A:$A,0)))),"CHECK KEY"))</f>
        <v/>
      </c>
      <c r="U2371" s="10"/>
      <c r="V2371" s="10"/>
      <c r="W2371" s="10"/>
      <c r="X2371" s="10"/>
      <c r="Y2371" s="10"/>
      <c r="Z2371" s="10"/>
      <c r="AA2371" s="11" t="str">
        <f t="shared" si="75"/>
        <v/>
      </c>
    </row>
    <row r="2372" spans="16:27" ht="15" customHeight="1">
      <c r="P2372" t="str">
        <f t="shared" si="74"/>
        <v/>
      </c>
      <c r="Q2372" t="str">
        <f>IF(P2372="","",IFERROR(IF(AND(H2372="W7",OR(F2372="causal",F2372="predictive")),IF(AND(OR(K2372=1,K2372="1"),OR(L2372=1,L2372="1"),OR(M2372=1,M2372="1")),"adequate","partial"),IF(AND(H2372="W4",F2372="predictive",OR(J2372="P2",J2372="P3",J2372="P4")),IF(OR(U2372=1,U2372="1"),"adequate","partial"),INDEX(Fit_Matrix!$B:$B,MATCH(P2372,Fit_Matrix!$A:$A,0)))),"CHECK KEY"))</f>
        <v/>
      </c>
      <c r="U2372" s="10"/>
      <c r="V2372" s="10"/>
      <c r="W2372" s="10"/>
      <c r="X2372" s="10"/>
      <c r="Y2372" s="10"/>
      <c r="Z2372" s="10"/>
      <c r="AA2372" s="11" t="str">
        <f t="shared" si="75"/>
        <v/>
      </c>
    </row>
    <row r="2373" spans="16:27" ht="15" customHeight="1">
      <c r="P2373" t="str">
        <f t="shared" si="74"/>
        <v/>
      </c>
      <c r="Q2373" t="str">
        <f>IF(P2373="","",IFERROR(IF(AND(H2373="W7",OR(F2373="causal",F2373="predictive")),IF(AND(OR(K2373=1,K2373="1"),OR(L2373=1,L2373="1"),OR(M2373=1,M2373="1")),"adequate","partial"),IF(AND(H2373="W4",F2373="predictive",OR(J2373="P2",J2373="P3",J2373="P4")),IF(OR(U2373=1,U2373="1"),"adequate","partial"),INDEX(Fit_Matrix!$B:$B,MATCH(P2373,Fit_Matrix!$A:$A,0)))),"CHECK KEY"))</f>
        <v/>
      </c>
      <c r="U2373" s="10"/>
      <c r="V2373" s="10"/>
      <c r="W2373" s="10"/>
      <c r="X2373" s="10"/>
      <c r="Y2373" s="10"/>
      <c r="Z2373" s="10"/>
      <c r="AA2373" s="11" t="str">
        <f t="shared" si="75"/>
        <v/>
      </c>
    </row>
    <row r="2374" spans="16:27" ht="15" customHeight="1">
      <c r="P2374" t="str">
        <f t="shared" si="74"/>
        <v/>
      </c>
      <c r="Q2374" t="str">
        <f>IF(P2374="","",IFERROR(IF(AND(H2374="W7",OR(F2374="causal",F2374="predictive")),IF(AND(OR(K2374=1,K2374="1"),OR(L2374=1,L2374="1"),OR(M2374=1,M2374="1")),"adequate","partial"),IF(AND(H2374="W4",F2374="predictive",OR(J2374="P2",J2374="P3",J2374="P4")),IF(OR(U2374=1,U2374="1"),"adequate","partial"),INDEX(Fit_Matrix!$B:$B,MATCH(P2374,Fit_Matrix!$A:$A,0)))),"CHECK KEY"))</f>
        <v/>
      </c>
      <c r="U2374" s="10"/>
      <c r="V2374" s="10"/>
      <c r="W2374" s="10"/>
      <c r="X2374" s="10"/>
      <c r="Y2374" s="10"/>
      <c r="Z2374" s="10"/>
      <c r="AA2374" s="11" t="str">
        <f t="shared" si="75"/>
        <v/>
      </c>
    </row>
    <row r="2375" spans="16:27" ht="15" customHeight="1">
      <c r="P2375" t="str">
        <f t="shared" si="74"/>
        <v/>
      </c>
      <c r="Q2375" t="str">
        <f>IF(P2375="","",IFERROR(IF(AND(H2375="W7",OR(F2375="causal",F2375="predictive")),IF(AND(OR(K2375=1,K2375="1"),OR(L2375=1,L2375="1"),OR(M2375=1,M2375="1")),"adequate","partial"),IF(AND(H2375="W4",F2375="predictive",OR(J2375="P2",J2375="P3",J2375="P4")),IF(OR(U2375=1,U2375="1"),"adequate","partial"),INDEX(Fit_Matrix!$B:$B,MATCH(P2375,Fit_Matrix!$A:$A,0)))),"CHECK KEY"))</f>
        <v/>
      </c>
      <c r="U2375" s="10"/>
      <c r="V2375" s="10"/>
      <c r="W2375" s="10"/>
      <c r="X2375" s="10"/>
      <c r="Y2375" s="10"/>
      <c r="Z2375" s="10"/>
      <c r="AA2375" s="11" t="str">
        <f t="shared" si="75"/>
        <v/>
      </c>
    </row>
    <row r="2376" spans="16:27" ht="15" customHeight="1">
      <c r="P2376" t="str">
        <f t="shared" si="74"/>
        <v/>
      </c>
      <c r="Q2376" t="str">
        <f>IF(P2376="","",IFERROR(IF(AND(H2376="W7",OR(F2376="causal",F2376="predictive")),IF(AND(OR(K2376=1,K2376="1"),OR(L2376=1,L2376="1"),OR(M2376=1,M2376="1")),"adequate","partial"),IF(AND(H2376="W4",F2376="predictive",OR(J2376="P2",J2376="P3",J2376="P4")),IF(OR(U2376=1,U2376="1"),"adequate","partial"),INDEX(Fit_Matrix!$B:$B,MATCH(P2376,Fit_Matrix!$A:$A,0)))),"CHECK KEY"))</f>
        <v/>
      </c>
      <c r="U2376" s="10"/>
      <c r="V2376" s="10"/>
      <c r="W2376" s="10"/>
      <c r="X2376" s="10"/>
      <c r="Y2376" s="10"/>
      <c r="Z2376" s="10"/>
      <c r="AA2376" s="11" t="str">
        <f t="shared" si="75"/>
        <v/>
      </c>
    </row>
    <row r="2377" spans="16:27" ht="15" customHeight="1">
      <c r="P2377" t="str">
        <f t="shared" si="74"/>
        <v/>
      </c>
      <c r="Q2377" t="str">
        <f>IF(P2377="","",IFERROR(IF(AND(H2377="W7",OR(F2377="causal",F2377="predictive")),IF(AND(OR(K2377=1,K2377="1"),OR(L2377=1,L2377="1"),OR(M2377=1,M2377="1")),"adequate","partial"),IF(AND(H2377="W4",F2377="predictive",OR(J2377="P2",J2377="P3",J2377="P4")),IF(OR(U2377=1,U2377="1"),"adequate","partial"),INDEX(Fit_Matrix!$B:$B,MATCH(P2377,Fit_Matrix!$A:$A,0)))),"CHECK KEY"))</f>
        <v/>
      </c>
      <c r="U2377" s="10"/>
      <c r="V2377" s="10"/>
      <c r="W2377" s="10"/>
      <c r="X2377" s="10"/>
      <c r="Y2377" s="10"/>
      <c r="Z2377" s="10"/>
      <c r="AA2377" s="11" t="str">
        <f t="shared" si="75"/>
        <v/>
      </c>
    </row>
    <row r="2378" spans="16:27" ht="15" customHeight="1">
      <c r="P2378" t="str">
        <f t="shared" si="74"/>
        <v/>
      </c>
      <c r="Q2378" t="str">
        <f>IF(P2378="","",IFERROR(IF(AND(H2378="W7",OR(F2378="causal",F2378="predictive")),IF(AND(OR(K2378=1,K2378="1"),OR(L2378=1,L2378="1"),OR(M2378=1,M2378="1")),"adequate","partial"),IF(AND(H2378="W4",F2378="predictive",OR(J2378="P2",J2378="P3",J2378="P4")),IF(OR(U2378=1,U2378="1"),"adequate","partial"),INDEX(Fit_Matrix!$B:$B,MATCH(P2378,Fit_Matrix!$A:$A,0)))),"CHECK KEY"))</f>
        <v/>
      </c>
      <c r="U2378" s="10"/>
      <c r="V2378" s="10"/>
      <c r="W2378" s="10"/>
      <c r="X2378" s="10"/>
      <c r="Y2378" s="10"/>
      <c r="Z2378" s="10"/>
      <c r="AA2378" s="11" t="str">
        <f t="shared" si="75"/>
        <v/>
      </c>
    </row>
    <row r="2379" spans="16:27" ht="15" customHeight="1">
      <c r="P2379" t="str">
        <f t="shared" si="74"/>
        <v/>
      </c>
      <c r="Q2379" t="str">
        <f>IF(P2379="","",IFERROR(IF(AND(H2379="W7",OR(F2379="causal",F2379="predictive")),IF(AND(OR(K2379=1,K2379="1"),OR(L2379=1,L2379="1"),OR(M2379=1,M2379="1")),"adequate","partial"),IF(AND(H2379="W4",F2379="predictive",OR(J2379="P2",J2379="P3",J2379="P4")),IF(OR(U2379=1,U2379="1"),"adequate","partial"),INDEX(Fit_Matrix!$B:$B,MATCH(P2379,Fit_Matrix!$A:$A,0)))),"CHECK KEY"))</f>
        <v/>
      </c>
      <c r="U2379" s="10"/>
      <c r="V2379" s="10"/>
      <c r="W2379" s="10"/>
      <c r="X2379" s="10"/>
      <c r="Y2379" s="10"/>
      <c r="Z2379" s="10"/>
      <c r="AA2379" s="11" t="str">
        <f t="shared" si="75"/>
        <v/>
      </c>
    </row>
    <row r="2380" spans="16:27" ht="15" customHeight="1">
      <c r="P2380" t="str">
        <f t="shared" si="74"/>
        <v/>
      </c>
      <c r="Q2380" t="str">
        <f>IF(P2380="","",IFERROR(IF(AND(H2380="W7",OR(F2380="causal",F2380="predictive")),IF(AND(OR(K2380=1,K2380="1"),OR(L2380=1,L2380="1"),OR(M2380=1,M2380="1")),"adequate","partial"),IF(AND(H2380="W4",F2380="predictive",OR(J2380="P2",J2380="P3",J2380="P4")),IF(OR(U2380=1,U2380="1"),"adequate","partial"),INDEX(Fit_Matrix!$B:$B,MATCH(P2380,Fit_Matrix!$A:$A,0)))),"CHECK KEY"))</f>
        <v/>
      </c>
      <c r="U2380" s="10"/>
      <c r="V2380" s="10"/>
      <c r="W2380" s="10"/>
      <c r="X2380" s="10"/>
      <c r="Y2380" s="10"/>
      <c r="Z2380" s="10"/>
      <c r="AA2380" s="11" t="str">
        <f t="shared" si="75"/>
        <v/>
      </c>
    </row>
    <row r="2381" spans="16:27" ht="15" customHeight="1">
      <c r="P2381" t="str">
        <f t="shared" si="74"/>
        <v/>
      </c>
      <c r="Q2381" t="str">
        <f>IF(P2381="","",IFERROR(IF(AND(H2381="W7",OR(F2381="causal",F2381="predictive")),IF(AND(OR(K2381=1,K2381="1"),OR(L2381=1,L2381="1"),OR(M2381=1,M2381="1")),"adequate","partial"),IF(AND(H2381="W4",F2381="predictive",OR(J2381="P2",J2381="P3",J2381="P4")),IF(OR(U2381=1,U2381="1"),"adequate","partial"),INDEX(Fit_Matrix!$B:$B,MATCH(P2381,Fit_Matrix!$A:$A,0)))),"CHECK KEY"))</f>
        <v/>
      </c>
      <c r="U2381" s="10"/>
      <c r="V2381" s="10"/>
      <c r="W2381" s="10"/>
      <c r="X2381" s="10"/>
      <c r="Y2381" s="10"/>
      <c r="Z2381" s="10"/>
      <c r="AA2381" s="11" t="str">
        <f t="shared" si="75"/>
        <v/>
      </c>
    </row>
    <row r="2382" spans="16:27" ht="15" customHeight="1">
      <c r="P2382" t="str">
        <f t="shared" si="74"/>
        <v/>
      </c>
      <c r="Q2382" t="str">
        <f>IF(P2382="","",IFERROR(IF(AND(H2382="W7",OR(F2382="causal",F2382="predictive")),IF(AND(OR(K2382=1,K2382="1"),OR(L2382=1,L2382="1"),OR(M2382=1,M2382="1")),"adequate","partial"),IF(AND(H2382="W4",F2382="predictive",OR(J2382="P2",J2382="P3",J2382="P4")),IF(OR(U2382=1,U2382="1"),"adequate","partial"),INDEX(Fit_Matrix!$B:$B,MATCH(P2382,Fit_Matrix!$A:$A,0)))),"CHECK KEY"))</f>
        <v/>
      </c>
      <c r="U2382" s="10"/>
      <c r="V2382" s="10"/>
      <c r="W2382" s="10"/>
      <c r="X2382" s="10"/>
      <c r="Y2382" s="10"/>
      <c r="Z2382" s="10"/>
      <c r="AA2382" s="11" t="str">
        <f t="shared" si="75"/>
        <v/>
      </c>
    </row>
    <row r="2383" spans="16:27" ht="15" customHeight="1">
      <c r="P2383" t="str">
        <f t="shared" si="74"/>
        <v/>
      </c>
      <c r="Q2383" t="str">
        <f>IF(P2383="","",IFERROR(IF(AND(H2383="W7",OR(F2383="causal",F2383="predictive")),IF(AND(OR(K2383=1,K2383="1"),OR(L2383=1,L2383="1"),OR(M2383=1,M2383="1")),"adequate","partial"),IF(AND(H2383="W4",F2383="predictive",OR(J2383="P2",J2383="P3",J2383="P4")),IF(OR(U2383=1,U2383="1"),"adequate","partial"),INDEX(Fit_Matrix!$B:$B,MATCH(P2383,Fit_Matrix!$A:$A,0)))),"CHECK KEY"))</f>
        <v/>
      </c>
      <c r="U2383" s="10"/>
      <c r="V2383" s="10"/>
      <c r="W2383" s="10"/>
      <c r="X2383" s="10"/>
      <c r="Y2383" s="10"/>
      <c r="Z2383" s="10"/>
      <c r="AA2383" s="11" t="str">
        <f t="shared" si="75"/>
        <v/>
      </c>
    </row>
    <row r="2384" spans="16:27" ht="15" customHeight="1">
      <c r="P2384" t="str">
        <f t="shared" si="74"/>
        <v/>
      </c>
      <c r="Q2384" t="str">
        <f>IF(P2384="","",IFERROR(IF(AND(H2384="W7",OR(F2384="causal",F2384="predictive")),IF(AND(OR(K2384=1,K2384="1"),OR(L2384=1,L2384="1"),OR(M2384=1,M2384="1")),"adequate","partial"),IF(AND(H2384="W4",F2384="predictive",OR(J2384="P2",J2384="P3",J2384="P4")),IF(OR(U2384=1,U2384="1"),"adequate","partial"),INDEX(Fit_Matrix!$B:$B,MATCH(P2384,Fit_Matrix!$A:$A,0)))),"CHECK KEY"))</f>
        <v/>
      </c>
      <c r="U2384" s="10"/>
      <c r="V2384" s="10"/>
      <c r="W2384" s="10"/>
      <c r="X2384" s="10"/>
      <c r="Y2384" s="10"/>
      <c r="Z2384" s="10"/>
      <c r="AA2384" s="11" t="str">
        <f t="shared" si="75"/>
        <v/>
      </c>
    </row>
    <row r="2385" spans="16:27" ht="15" customHeight="1">
      <c r="P2385" t="str">
        <f t="shared" si="74"/>
        <v/>
      </c>
      <c r="Q2385" t="str">
        <f>IF(P2385="","",IFERROR(IF(AND(H2385="W7",OR(F2385="causal",F2385="predictive")),IF(AND(OR(K2385=1,K2385="1"),OR(L2385=1,L2385="1"),OR(M2385=1,M2385="1")),"adequate","partial"),IF(AND(H2385="W4",F2385="predictive",OR(J2385="P2",J2385="P3",J2385="P4")),IF(OR(U2385=1,U2385="1"),"adequate","partial"),INDEX(Fit_Matrix!$B:$B,MATCH(P2385,Fit_Matrix!$A:$A,0)))),"CHECK KEY"))</f>
        <v/>
      </c>
      <c r="U2385" s="10"/>
      <c r="V2385" s="10"/>
      <c r="W2385" s="10"/>
      <c r="X2385" s="10"/>
      <c r="Y2385" s="10"/>
      <c r="Z2385" s="10"/>
      <c r="AA2385" s="11" t="str">
        <f t="shared" si="75"/>
        <v/>
      </c>
    </row>
    <row r="2386" spans="16:27" ht="15" customHeight="1">
      <c r="P2386" t="str">
        <f t="shared" si="74"/>
        <v/>
      </c>
      <c r="Q2386" t="str">
        <f>IF(P2386="","",IFERROR(IF(AND(H2386="W7",OR(F2386="causal",F2386="predictive")),IF(AND(OR(K2386=1,K2386="1"),OR(L2386=1,L2386="1"),OR(M2386=1,M2386="1")),"adequate","partial"),IF(AND(H2386="W4",F2386="predictive",OR(J2386="P2",J2386="P3",J2386="P4")),IF(OR(U2386=1,U2386="1"),"adequate","partial"),INDEX(Fit_Matrix!$B:$B,MATCH(P2386,Fit_Matrix!$A:$A,0)))),"CHECK KEY"))</f>
        <v/>
      </c>
      <c r="U2386" s="10"/>
      <c r="V2386" s="10"/>
      <c r="W2386" s="10"/>
      <c r="X2386" s="10"/>
      <c r="Y2386" s="10"/>
      <c r="Z2386" s="10"/>
      <c r="AA2386" s="11" t="str">
        <f t="shared" si="75"/>
        <v/>
      </c>
    </row>
    <row r="2387" spans="16:27" ht="15" customHeight="1">
      <c r="P2387" t="str">
        <f t="shared" si="74"/>
        <v/>
      </c>
      <c r="Q2387" t="str">
        <f>IF(P2387="","",IFERROR(IF(AND(H2387="W7",OR(F2387="causal",F2387="predictive")),IF(AND(OR(K2387=1,K2387="1"),OR(L2387=1,L2387="1"),OR(M2387=1,M2387="1")),"adequate","partial"),IF(AND(H2387="W4",F2387="predictive",OR(J2387="P2",J2387="P3",J2387="P4")),IF(OR(U2387=1,U2387="1"),"adequate","partial"),INDEX(Fit_Matrix!$B:$B,MATCH(P2387,Fit_Matrix!$A:$A,0)))),"CHECK KEY"))</f>
        <v/>
      </c>
      <c r="U2387" s="10"/>
      <c r="V2387" s="10"/>
      <c r="W2387" s="10"/>
      <c r="X2387" s="10"/>
      <c r="Y2387" s="10"/>
      <c r="Z2387" s="10"/>
      <c r="AA2387" s="11" t="str">
        <f t="shared" si="75"/>
        <v/>
      </c>
    </row>
    <row r="2388" spans="16:27" ht="15" customHeight="1">
      <c r="P2388" t="str">
        <f t="shared" si="74"/>
        <v/>
      </c>
      <c r="Q2388" t="str">
        <f>IF(P2388="","",IFERROR(IF(AND(H2388="W7",OR(F2388="causal",F2388="predictive")),IF(AND(OR(K2388=1,K2388="1"),OR(L2388=1,L2388="1"),OR(M2388=1,M2388="1")),"adequate","partial"),IF(AND(H2388="W4",F2388="predictive",OR(J2388="P2",J2388="P3",J2388="P4")),IF(OR(U2388=1,U2388="1"),"adequate","partial"),INDEX(Fit_Matrix!$B:$B,MATCH(P2388,Fit_Matrix!$A:$A,0)))),"CHECK KEY"))</f>
        <v/>
      </c>
      <c r="U2388" s="10"/>
      <c r="V2388" s="10"/>
      <c r="W2388" s="10"/>
      <c r="X2388" s="10"/>
      <c r="Y2388" s="10"/>
      <c r="Z2388" s="10"/>
      <c r="AA2388" s="11" t="str">
        <f t="shared" si="75"/>
        <v/>
      </c>
    </row>
    <row r="2389" spans="16:27" ht="15" customHeight="1">
      <c r="P2389" t="str">
        <f t="shared" si="74"/>
        <v/>
      </c>
      <c r="Q2389" t="str">
        <f>IF(P2389="","",IFERROR(IF(AND(H2389="W7",OR(F2389="causal",F2389="predictive")),IF(AND(OR(K2389=1,K2389="1"),OR(L2389=1,L2389="1"),OR(M2389=1,M2389="1")),"adequate","partial"),IF(AND(H2389="W4",F2389="predictive",OR(J2389="P2",J2389="P3",J2389="P4")),IF(OR(U2389=1,U2389="1"),"adequate","partial"),INDEX(Fit_Matrix!$B:$B,MATCH(P2389,Fit_Matrix!$A:$A,0)))),"CHECK KEY"))</f>
        <v/>
      </c>
      <c r="U2389" s="10"/>
      <c r="V2389" s="10"/>
      <c r="W2389" s="10"/>
      <c r="X2389" s="10"/>
      <c r="Y2389" s="10"/>
      <c r="Z2389" s="10"/>
      <c r="AA2389" s="11" t="str">
        <f t="shared" si="75"/>
        <v/>
      </c>
    </row>
    <row r="2390" spans="16:27" ht="15" customHeight="1">
      <c r="P2390" t="str">
        <f t="shared" si="74"/>
        <v/>
      </c>
      <c r="Q2390" t="str">
        <f>IF(P2390="","",IFERROR(IF(AND(H2390="W7",OR(F2390="causal",F2390="predictive")),IF(AND(OR(K2390=1,K2390="1"),OR(L2390=1,L2390="1"),OR(M2390=1,M2390="1")),"adequate","partial"),IF(AND(H2390="W4",F2390="predictive",OR(J2390="P2",J2390="P3",J2390="P4")),IF(OR(U2390=1,U2390="1"),"adequate","partial"),INDEX(Fit_Matrix!$B:$B,MATCH(P2390,Fit_Matrix!$A:$A,0)))),"CHECK KEY"))</f>
        <v/>
      </c>
      <c r="U2390" s="10"/>
      <c r="V2390" s="10"/>
      <c r="W2390" s="10"/>
      <c r="X2390" s="10"/>
      <c r="Y2390" s="10"/>
      <c r="Z2390" s="10"/>
      <c r="AA2390" s="11" t="str">
        <f t="shared" si="75"/>
        <v/>
      </c>
    </row>
    <row r="2391" spans="16:27" ht="15" customHeight="1">
      <c r="P2391" t="str">
        <f t="shared" si="74"/>
        <v/>
      </c>
      <c r="Q2391" t="str">
        <f>IF(P2391="","",IFERROR(IF(AND(H2391="W7",OR(F2391="causal",F2391="predictive")),IF(AND(OR(K2391=1,K2391="1"),OR(L2391=1,L2391="1"),OR(M2391=1,M2391="1")),"adequate","partial"),IF(AND(H2391="W4",F2391="predictive",OR(J2391="P2",J2391="P3",J2391="P4")),IF(OR(U2391=1,U2391="1"),"adequate","partial"),INDEX(Fit_Matrix!$B:$B,MATCH(P2391,Fit_Matrix!$A:$A,0)))),"CHECK KEY"))</f>
        <v/>
      </c>
      <c r="U2391" s="10"/>
      <c r="V2391" s="10"/>
      <c r="W2391" s="10"/>
      <c r="X2391" s="10"/>
      <c r="Y2391" s="10"/>
      <c r="Z2391" s="10"/>
      <c r="AA2391" s="11" t="str">
        <f t="shared" si="75"/>
        <v/>
      </c>
    </row>
    <row r="2392" spans="16:27" ht="15" customHeight="1">
      <c r="P2392" t="str">
        <f t="shared" si="74"/>
        <v/>
      </c>
      <c r="Q2392" t="str">
        <f>IF(P2392="","",IFERROR(IF(AND(H2392="W7",OR(F2392="causal",F2392="predictive")),IF(AND(OR(K2392=1,K2392="1"),OR(L2392=1,L2392="1"),OR(M2392=1,M2392="1")),"adequate","partial"),IF(AND(H2392="W4",F2392="predictive",OR(J2392="P2",J2392="P3",J2392="P4")),IF(OR(U2392=1,U2392="1"),"adequate","partial"),INDEX(Fit_Matrix!$B:$B,MATCH(P2392,Fit_Matrix!$A:$A,0)))),"CHECK KEY"))</f>
        <v/>
      </c>
      <c r="U2392" s="10"/>
      <c r="V2392" s="10"/>
      <c r="W2392" s="10"/>
      <c r="X2392" s="10"/>
      <c r="Y2392" s="10"/>
      <c r="Z2392" s="10"/>
      <c r="AA2392" s="11" t="str">
        <f t="shared" si="75"/>
        <v/>
      </c>
    </row>
    <row r="2393" spans="16:27" ht="15" customHeight="1">
      <c r="P2393" t="str">
        <f t="shared" si="74"/>
        <v/>
      </c>
      <c r="Q2393" t="str">
        <f>IF(P2393="","",IFERROR(IF(AND(H2393="W7",OR(F2393="causal",F2393="predictive")),IF(AND(OR(K2393=1,K2393="1"),OR(L2393=1,L2393="1"),OR(M2393=1,M2393="1")),"adequate","partial"),IF(AND(H2393="W4",F2393="predictive",OR(J2393="P2",J2393="P3",J2393="P4")),IF(OR(U2393=1,U2393="1"),"adequate","partial"),INDEX(Fit_Matrix!$B:$B,MATCH(P2393,Fit_Matrix!$A:$A,0)))),"CHECK KEY"))</f>
        <v/>
      </c>
      <c r="U2393" s="10"/>
      <c r="V2393" s="10"/>
      <c r="W2393" s="10"/>
      <c r="X2393" s="10"/>
      <c r="Y2393" s="10"/>
      <c r="Z2393" s="10"/>
      <c r="AA2393" s="11" t="str">
        <f t="shared" si="75"/>
        <v/>
      </c>
    </row>
    <row r="2394" spans="16:27" ht="15" customHeight="1">
      <c r="P2394" t="str">
        <f t="shared" si="74"/>
        <v/>
      </c>
      <c r="Q2394" t="str">
        <f>IF(P2394="","",IFERROR(IF(AND(H2394="W7",OR(F2394="causal",F2394="predictive")),IF(AND(OR(K2394=1,K2394="1"),OR(L2394=1,L2394="1"),OR(M2394=1,M2394="1")),"adequate","partial"),IF(AND(H2394="W4",F2394="predictive",OR(J2394="P2",J2394="P3",J2394="P4")),IF(OR(U2394=1,U2394="1"),"adequate","partial"),INDEX(Fit_Matrix!$B:$B,MATCH(P2394,Fit_Matrix!$A:$A,0)))),"CHECK KEY"))</f>
        <v/>
      </c>
      <c r="U2394" s="10"/>
      <c r="V2394" s="10"/>
      <c r="W2394" s="10"/>
      <c r="X2394" s="10"/>
      <c r="Y2394" s="10"/>
      <c r="Z2394" s="10"/>
      <c r="AA2394" s="11" t="str">
        <f t="shared" si="75"/>
        <v/>
      </c>
    </row>
    <row r="2395" spans="16:27" ht="15" customHeight="1">
      <c r="P2395" t="str">
        <f t="shared" si="74"/>
        <v/>
      </c>
      <c r="Q2395" t="str">
        <f>IF(P2395="","",IFERROR(IF(AND(H2395="W7",OR(F2395="causal",F2395="predictive")),IF(AND(OR(K2395=1,K2395="1"),OR(L2395=1,L2395="1"),OR(M2395=1,M2395="1")),"adequate","partial"),IF(AND(H2395="W4",F2395="predictive",OR(J2395="P2",J2395="P3",J2395="P4")),IF(OR(U2395=1,U2395="1"),"adequate","partial"),INDEX(Fit_Matrix!$B:$B,MATCH(P2395,Fit_Matrix!$A:$A,0)))),"CHECK KEY"))</f>
        <v/>
      </c>
      <c r="U2395" s="10"/>
      <c r="V2395" s="10"/>
      <c r="W2395" s="10"/>
      <c r="X2395" s="10"/>
      <c r="Y2395" s="10"/>
      <c r="Z2395" s="10"/>
      <c r="AA2395" s="11" t="str">
        <f t="shared" si="75"/>
        <v/>
      </c>
    </row>
    <row r="2396" spans="16:27" ht="15" customHeight="1">
      <c r="P2396" t="str">
        <f t="shared" si="74"/>
        <v/>
      </c>
      <c r="Q2396" t="str">
        <f>IF(P2396="","",IFERROR(IF(AND(H2396="W7",OR(F2396="causal",F2396="predictive")),IF(AND(OR(K2396=1,K2396="1"),OR(L2396=1,L2396="1"),OR(M2396=1,M2396="1")),"adequate","partial"),IF(AND(H2396="W4",F2396="predictive",OR(J2396="P2",J2396="P3",J2396="P4")),IF(OR(U2396=1,U2396="1"),"adequate","partial"),INDEX(Fit_Matrix!$B:$B,MATCH(P2396,Fit_Matrix!$A:$A,0)))),"CHECK KEY"))</f>
        <v/>
      </c>
      <c r="U2396" s="10"/>
      <c r="V2396" s="10"/>
      <c r="W2396" s="10"/>
      <c r="X2396" s="10"/>
      <c r="Y2396" s="10"/>
      <c r="Z2396" s="10"/>
      <c r="AA2396" s="11" t="str">
        <f t="shared" si="75"/>
        <v/>
      </c>
    </row>
    <row r="2397" spans="16:27" ht="15" customHeight="1">
      <c r="P2397" t="str">
        <f t="shared" si="74"/>
        <v/>
      </c>
      <c r="Q2397" t="str">
        <f>IF(P2397="","",IFERROR(IF(AND(H2397="W7",OR(F2397="causal",F2397="predictive")),IF(AND(OR(K2397=1,K2397="1"),OR(L2397=1,L2397="1"),OR(M2397=1,M2397="1")),"adequate","partial"),IF(AND(H2397="W4",F2397="predictive",OR(J2397="P2",J2397="P3",J2397="P4")),IF(OR(U2397=1,U2397="1"),"adequate","partial"),INDEX(Fit_Matrix!$B:$B,MATCH(P2397,Fit_Matrix!$A:$A,0)))),"CHECK KEY"))</f>
        <v/>
      </c>
      <c r="U2397" s="10"/>
      <c r="V2397" s="10"/>
      <c r="W2397" s="10"/>
      <c r="X2397" s="10"/>
      <c r="Y2397" s="10"/>
      <c r="Z2397" s="10"/>
      <c r="AA2397" s="11" t="str">
        <f t="shared" si="75"/>
        <v/>
      </c>
    </row>
    <row r="2398" spans="16:27" ht="15" customHeight="1">
      <c r="P2398" t="str">
        <f t="shared" si="74"/>
        <v/>
      </c>
      <c r="Q2398" t="str">
        <f>IF(P2398="","",IFERROR(IF(AND(H2398="W7",OR(F2398="causal",F2398="predictive")),IF(AND(OR(K2398=1,K2398="1"),OR(L2398=1,L2398="1"),OR(M2398=1,M2398="1")),"adequate","partial"),IF(AND(H2398="W4",F2398="predictive",OR(J2398="P2",J2398="P3",J2398="P4")),IF(OR(U2398=1,U2398="1"),"adequate","partial"),INDEX(Fit_Matrix!$B:$B,MATCH(P2398,Fit_Matrix!$A:$A,0)))),"CHECK KEY"))</f>
        <v/>
      </c>
      <c r="U2398" s="10"/>
      <c r="V2398" s="10"/>
      <c r="W2398" s="10"/>
      <c r="X2398" s="10"/>
      <c r="Y2398" s="10"/>
      <c r="Z2398" s="10"/>
      <c r="AA2398" s="11" t="str">
        <f t="shared" si="75"/>
        <v/>
      </c>
    </row>
    <row r="2399" spans="16:27" ht="15" customHeight="1">
      <c r="P2399" t="str">
        <f t="shared" si="74"/>
        <v/>
      </c>
      <c r="Q2399" t="str">
        <f>IF(P2399="","",IFERROR(IF(AND(H2399="W7",OR(F2399="causal",F2399="predictive")),IF(AND(OR(K2399=1,K2399="1"),OR(L2399=1,L2399="1"),OR(M2399=1,M2399="1")),"adequate","partial"),IF(AND(H2399="W4",F2399="predictive",OR(J2399="P2",J2399="P3",J2399="P4")),IF(OR(U2399=1,U2399="1"),"adequate","partial"),INDEX(Fit_Matrix!$B:$B,MATCH(P2399,Fit_Matrix!$A:$A,0)))),"CHECK KEY"))</f>
        <v/>
      </c>
      <c r="U2399" s="10"/>
      <c r="V2399" s="10"/>
      <c r="W2399" s="10"/>
      <c r="X2399" s="10"/>
      <c r="Y2399" s="10"/>
      <c r="Z2399" s="10"/>
      <c r="AA2399" s="11" t="str">
        <f t="shared" si="75"/>
        <v/>
      </c>
    </row>
    <row r="2400" spans="16:27" ht="15" customHeight="1">
      <c r="P2400" t="str">
        <f t="shared" si="74"/>
        <v/>
      </c>
      <c r="Q2400" t="str">
        <f>IF(P2400="","",IFERROR(IF(AND(H2400="W7",OR(F2400="causal",F2400="predictive")),IF(AND(OR(K2400=1,K2400="1"),OR(L2400=1,L2400="1"),OR(M2400=1,M2400="1")),"adequate","partial"),IF(AND(H2400="W4",F2400="predictive",OR(J2400="P2",J2400="P3",J2400="P4")),IF(OR(U2400=1,U2400="1"),"adequate","partial"),INDEX(Fit_Matrix!$B:$B,MATCH(P2400,Fit_Matrix!$A:$A,0)))),"CHECK KEY"))</f>
        <v/>
      </c>
      <c r="U2400" s="10"/>
      <c r="V2400" s="10"/>
      <c r="W2400" s="10"/>
      <c r="X2400" s="10"/>
      <c r="Y2400" s="10"/>
      <c r="Z2400" s="10"/>
      <c r="AA2400" s="11" t="str">
        <f t="shared" si="75"/>
        <v/>
      </c>
    </row>
    <row r="2401" spans="16:27" ht="15" customHeight="1">
      <c r="P2401" t="str">
        <f t="shared" si="74"/>
        <v/>
      </c>
      <c r="Q2401" t="str">
        <f>IF(P2401="","",IFERROR(IF(AND(H2401="W7",OR(F2401="causal",F2401="predictive")),IF(AND(OR(K2401=1,K2401="1"),OR(L2401=1,L2401="1"),OR(M2401=1,M2401="1")),"adequate","partial"),IF(AND(H2401="W4",F2401="predictive",OR(J2401="P2",J2401="P3",J2401="P4")),IF(OR(U2401=1,U2401="1"),"adequate","partial"),INDEX(Fit_Matrix!$B:$B,MATCH(P2401,Fit_Matrix!$A:$A,0)))),"CHECK KEY"))</f>
        <v/>
      </c>
      <c r="U2401" s="10"/>
      <c r="V2401" s="10"/>
      <c r="W2401" s="10"/>
      <c r="X2401" s="10"/>
      <c r="Y2401" s="10"/>
      <c r="Z2401" s="10"/>
      <c r="AA2401" s="11" t="str">
        <f t="shared" si="75"/>
        <v/>
      </c>
    </row>
    <row r="2402" spans="16:27" ht="15" customHeight="1">
      <c r="P2402" t="str">
        <f t="shared" si="74"/>
        <v/>
      </c>
      <c r="Q2402" t="str">
        <f>IF(P2402="","",IFERROR(IF(AND(H2402="W7",OR(F2402="causal",F2402="predictive")),IF(AND(OR(K2402=1,K2402="1"),OR(L2402=1,L2402="1"),OR(M2402=1,M2402="1")),"adequate","partial"),IF(AND(H2402="W4",F2402="predictive",OR(J2402="P2",J2402="P3",J2402="P4")),IF(OR(U2402=1,U2402="1"),"adequate","partial"),INDEX(Fit_Matrix!$B:$B,MATCH(P2402,Fit_Matrix!$A:$A,0)))),"CHECK KEY"))</f>
        <v/>
      </c>
      <c r="U2402" s="10"/>
      <c r="V2402" s="10"/>
      <c r="W2402" s="10"/>
      <c r="X2402" s="10"/>
      <c r="Y2402" s="10"/>
      <c r="Z2402" s="10"/>
      <c r="AA2402" s="11" t="str">
        <f t="shared" si="75"/>
        <v/>
      </c>
    </row>
    <row r="2403" spans="16:27" ht="15" customHeight="1">
      <c r="P2403" t="str">
        <f t="shared" si="74"/>
        <v/>
      </c>
      <c r="Q2403" t="str">
        <f>IF(P2403="","",IFERROR(IF(AND(H2403="W7",OR(F2403="causal",F2403="predictive")),IF(AND(OR(K2403=1,K2403="1"),OR(L2403=1,L2403="1"),OR(M2403=1,M2403="1")),"adequate","partial"),IF(AND(H2403="W4",F2403="predictive",OR(J2403="P2",J2403="P3",J2403="P4")),IF(OR(U2403=1,U2403="1"),"adequate","partial"),INDEX(Fit_Matrix!$B:$B,MATCH(P2403,Fit_Matrix!$A:$A,0)))),"CHECK KEY"))</f>
        <v/>
      </c>
      <c r="U2403" s="10"/>
      <c r="V2403" s="10"/>
      <c r="W2403" s="10"/>
      <c r="X2403" s="10"/>
      <c r="Y2403" s="10"/>
      <c r="Z2403" s="10"/>
      <c r="AA2403" s="11" t="str">
        <f t="shared" si="75"/>
        <v/>
      </c>
    </row>
    <row r="2404" spans="16:27" ht="15" customHeight="1">
      <c r="P2404" t="str">
        <f t="shared" si="74"/>
        <v/>
      </c>
      <c r="Q2404" t="str">
        <f>IF(P2404="","",IFERROR(IF(AND(H2404="W7",OR(F2404="causal",F2404="predictive")),IF(AND(OR(K2404=1,K2404="1"),OR(L2404=1,L2404="1"),OR(M2404=1,M2404="1")),"adequate","partial"),IF(AND(H2404="W4",F2404="predictive",OR(J2404="P2",J2404="P3",J2404="P4")),IF(OR(U2404=1,U2404="1"),"adequate","partial"),INDEX(Fit_Matrix!$B:$B,MATCH(P2404,Fit_Matrix!$A:$A,0)))),"CHECK KEY"))</f>
        <v/>
      </c>
      <c r="U2404" s="10"/>
      <c r="V2404" s="10"/>
      <c r="W2404" s="10"/>
      <c r="X2404" s="10"/>
      <c r="Y2404" s="10"/>
      <c r="Z2404" s="10"/>
      <c r="AA2404" s="11" t="str">
        <f t="shared" si="75"/>
        <v/>
      </c>
    </row>
    <row r="2405" spans="16:27" ht="15" customHeight="1">
      <c r="P2405" t="str">
        <f t="shared" si="74"/>
        <v/>
      </c>
      <c r="Q2405" t="str">
        <f>IF(P2405="","",IFERROR(IF(AND(H2405="W7",OR(F2405="causal",F2405="predictive")),IF(AND(OR(K2405=1,K2405="1"),OR(L2405=1,L2405="1"),OR(M2405=1,M2405="1")),"adequate","partial"),IF(AND(H2405="W4",F2405="predictive",OR(J2405="P2",J2405="P3",J2405="P4")),IF(OR(U2405=1,U2405="1"),"adequate","partial"),INDEX(Fit_Matrix!$B:$B,MATCH(P2405,Fit_Matrix!$A:$A,0)))),"CHECK KEY"))</f>
        <v/>
      </c>
      <c r="U2405" s="10"/>
      <c r="V2405" s="10"/>
      <c r="W2405" s="10"/>
      <c r="X2405" s="10"/>
      <c r="Y2405" s="10"/>
      <c r="Z2405" s="10"/>
      <c r="AA2405" s="11" t="str">
        <f t="shared" si="75"/>
        <v/>
      </c>
    </row>
    <row r="2406" spans="16:27" ht="15" customHeight="1">
      <c r="P2406" t="str">
        <f t="shared" si="74"/>
        <v/>
      </c>
      <c r="Q2406" t="str">
        <f>IF(P2406="","",IFERROR(IF(AND(H2406="W7",OR(F2406="causal",F2406="predictive")),IF(AND(OR(K2406=1,K2406="1"),OR(L2406=1,L2406="1"),OR(M2406=1,M2406="1")),"adequate","partial"),IF(AND(H2406="W4",F2406="predictive",OR(J2406="P2",J2406="P3",J2406="P4")),IF(OR(U2406=1,U2406="1"),"adequate","partial"),INDEX(Fit_Matrix!$B:$B,MATCH(P2406,Fit_Matrix!$A:$A,0)))),"CHECK KEY"))</f>
        <v/>
      </c>
      <c r="U2406" s="10"/>
      <c r="V2406" s="10"/>
      <c r="W2406" s="10"/>
      <c r="X2406" s="10"/>
      <c r="Y2406" s="10"/>
      <c r="Z2406" s="10"/>
      <c r="AA2406" s="11" t="str">
        <f t="shared" si="75"/>
        <v/>
      </c>
    </row>
    <row r="2407" spans="16:27" ht="15" customHeight="1">
      <c r="P2407" t="str">
        <f t="shared" si="74"/>
        <v/>
      </c>
      <c r="Q2407" t="str">
        <f>IF(P2407="","",IFERROR(IF(AND(H2407="W7",OR(F2407="causal",F2407="predictive")),IF(AND(OR(K2407=1,K2407="1"),OR(L2407=1,L2407="1"),OR(M2407=1,M2407="1")),"adequate","partial"),IF(AND(H2407="W4",F2407="predictive",OR(J2407="P2",J2407="P3",J2407="P4")),IF(OR(U2407=1,U2407="1"),"adequate","partial"),INDEX(Fit_Matrix!$B:$B,MATCH(P2407,Fit_Matrix!$A:$A,0)))),"CHECK KEY"))</f>
        <v/>
      </c>
      <c r="U2407" s="10"/>
      <c r="V2407" s="10"/>
      <c r="W2407" s="10"/>
      <c r="X2407" s="10"/>
      <c r="Y2407" s="10"/>
      <c r="Z2407" s="10"/>
      <c r="AA2407" s="11" t="str">
        <f t="shared" si="75"/>
        <v/>
      </c>
    </row>
    <row r="2408" spans="16:27" ht="15" customHeight="1">
      <c r="P2408" t="str">
        <f t="shared" si="74"/>
        <v/>
      </c>
      <c r="Q2408" t="str">
        <f>IF(P2408="","",IFERROR(IF(AND(H2408="W7",OR(F2408="causal",F2408="predictive")),IF(AND(OR(K2408=1,K2408="1"),OR(L2408=1,L2408="1"),OR(M2408=1,M2408="1")),"adequate","partial"),IF(AND(H2408="W4",F2408="predictive",OR(J2408="P2",J2408="P3",J2408="P4")),IF(OR(U2408=1,U2408="1"),"adequate","partial"),INDEX(Fit_Matrix!$B:$B,MATCH(P2408,Fit_Matrix!$A:$A,0)))),"CHECK KEY"))</f>
        <v/>
      </c>
      <c r="U2408" s="10"/>
      <c r="V2408" s="10"/>
      <c r="W2408" s="10"/>
      <c r="X2408" s="10"/>
      <c r="Y2408" s="10"/>
      <c r="Z2408" s="10"/>
      <c r="AA2408" s="11" t="str">
        <f t="shared" si="75"/>
        <v/>
      </c>
    </row>
    <row r="2409" spans="16:27" ht="15" customHeight="1">
      <c r="P2409" t="str">
        <f t="shared" si="74"/>
        <v/>
      </c>
      <c r="Q2409" t="str">
        <f>IF(P2409="","",IFERROR(IF(AND(H2409="W7",OR(F2409="causal",F2409="predictive")),IF(AND(OR(K2409=1,K2409="1"),OR(L2409=1,L2409="1"),OR(M2409=1,M2409="1")),"adequate","partial"),IF(AND(H2409="W4",F2409="predictive",OR(J2409="P2",J2409="P3",J2409="P4")),IF(OR(U2409=1,U2409="1"),"adequate","partial"),INDEX(Fit_Matrix!$B:$B,MATCH(P2409,Fit_Matrix!$A:$A,0)))),"CHECK KEY"))</f>
        <v/>
      </c>
      <c r="U2409" s="10"/>
      <c r="V2409" s="10"/>
      <c r="W2409" s="10"/>
      <c r="X2409" s="10"/>
      <c r="Y2409" s="10"/>
      <c r="Z2409" s="10"/>
      <c r="AA2409" s="11" t="str">
        <f t="shared" si="75"/>
        <v/>
      </c>
    </row>
    <row r="2410" spans="16:27" ht="15" customHeight="1">
      <c r="P2410" t="str">
        <f t="shared" si="74"/>
        <v/>
      </c>
      <c r="Q2410" t="str">
        <f>IF(P2410="","",IFERROR(IF(AND(H2410="W7",OR(F2410="causal",F2410="predictive")),IF(AND(OR(K2410=1,K2410="1"),OR(L2410=1,L2410="1"),OR(M2410=1,M2410="1")),"adequate","partial"),IF(AND(H2410="W4",F2410="predictive",OR(J2410="P2",J2410="P3",J2410="P4")),IF(OR(U2410=1,U2410="1"),"adequate","partial"),INDEX(Fit_Matrix!$B:$B,MATCH(P2410,Fit_Matrix!$A:$A,0)))),"CHECK KEY"))</f>
        <v/>
      </c>
      <c r="U2410" s="10"/>
      <c r="V2410" s="10"/>
      <c r="W2410" s="10"/>
      <c r="X2410" s="10"/>
      <c r="Y2410" s="10"/>
      <c r="Z2410" s="10"/>
      <c r="AA2410" s="11" t="str">
        <f t="shared" si="75"/>
        <v/>
      </c>
    </row>
    <row r="2411" spans="16:27" ht="15" customHeight="1">
      <c r="P2411" t="str">
        <f t="shared" si="74"/>
        <v/>
      </c>
      <c r="Q2411" t="str">
        <f>IF(P2411="","",IFERROR(IF(AND(H2411="W7",OR(F2411="causal",F2411="predictive")),IF(AND(OR(K2411=1,K2411="1"),OR(L2411=1,L2411="1"),OR(M2411=1,M2411="1")),"adequate","partial"),IF(AND(H2411="W4",F2411="predictive",OR(J2411="P2",J2411="P3",J2411="P4")),IF(OR(U2411=1,U2411="1"),"adequate","partial"),INDEX(Fit_Matrix!$B:$B,MATCH(P2411,Fit_Matrix!$A:$A,0)))),"CHECK KEY"))</f>
        <v/>
      </c>
      <c r="U2411" s="10"/>
      <c r="V2411" s="10"/>
      <c r="W2411" s="10"/>
      <c r="X2411" s="10"/>
      <c r="Y2411" s="10"/>
      <c r="Z2411" s="10"/>
      <c r="AA2411" s="11" t="str">
        <f t="shared" si="75"/>
        <v/>
      </c>
    </row>
    <row r="2412" spans="16:27" ht="15" customHeight="1">
      <c r="P2412" t="str">
        <f t="shared" si="74"/>
        <v/>
      </c>
      <c r="Q2412" t="str">
        <f>IF(P2412="","",IFERROR(IF(AND(H2412="W7",OR(F2412="causal",F2412="predictive")),IF(AND(OR(K2412=1,K2412="1"),OR(L2412=1,L2412="1"),OR(M2412=1,M2412="1")),"adequate","partial"),IF(AND(H2412="W4",F2412="predictive",OR(J2412="P2",J2412="P3",J2412="P4")),IF(OR(U2412=1,U2412="1"),"adequate","partial"),INDEX(Fit_Matrix!$B:$B,MATCH(P2412,Fit_Matrix!$A:$A,0)))),"CHECK KEY"))</f>
        <v/>
      </c>
      <c r="U2412" s="10"/>
      <c r="V2412" s="10"/>
      <c r="W2412" s="10"/>
      <c r="X2412" s="10"/>
      <c r="Y2412" s="10"/>
      <c r="Z2412" s="10"/>
      <c r="AA2412" s="11" t="str">
        <f t="shared" si="75"/>
        <v/>
      </c>
    </row>
    <row r="2413" spans="16:27" ht="15" customHeight="1">
      <c r="P2413" t="str">
        <f t="shared" si="74"/>
        <v/>
      </c>
      <c r="Q2413" t="str">
        <f>IF(P2413="","",IFERROR(IF(AND(H2413="W7",OR(F2413="causal",F2413="predictive")),IF(AND(OR(K2413=1,K2413="1"),OR(L2413=1,L2413="1"),OR(M2413=1,M2413="1")),"adequate","partial"),IF(AND(H2413="W4",F2413="predictive",OR(J2413="P2",J2413="P3",J2413="P4")),IF(OR(U2413=1,U2413="1"),"adequate","partial"),INDEX(Fit_Matrix!$B:$B,MATCH(P2413,Fit_Matrix!$A:$A,0)))),"CHECK KEY"))</f>
        <v/>
      </c>
      <c r="U2413" s="10"/>
      <c r="V2413" s="10"/>
      <c r="W2413" s="10"/>
      <c r="X2413" s="10"/>
      <c r="Y2413" s="10"/>
      <c r="Z2413" s="10"/>
      <c r="AA2413" s="11" t="str">
        <f t="shared" si="75"/>
        <v/>
      </c>
    </row>
    <row r="2414" spans="16:27" ht="15" customHeight="1">
      <c r="P2414" t="str">
        <f t="shared" si="74"/>
        <v/>
      </c>
      <c r="Q2414" t="str">
        <f>IF(P2414="","",IFERROR(IF(AND(H2414="W7",OR(F2414="causal",F2414="predictive")),IF(AND(OR(K2414=1,K2414="1"),OR(L2414=1,L2414="1"),OR(M2414=1,M2414="1")),"adequate","partial"),IF(AND(H2414="W4",F2414="predictive",OR(J2414="P2",J2414="P3",J2414="P4")),IF(OR(U2414=1,U2414="1"),"adequate","partial"),INDEX(Fit_Matrix!$B:$B,MATCH(P2414,Fit_Matrix!$A:$A,0)))),"CHECK KEY"))</f>
        <v/>
      </c>
      <c r="U2414" s="10"/>
      <c r="V2414" s="10"/>
      <c r="W2414" s="10"/>
      <c r="X2414" s="10"/>
      <c r="Y2414" s="10"/>
      <c r="Z2414" s="10"/>
      <c r="AA2414" s="11" t="str">
        <f t="shared" si="75"/>
        <v/>
      </c>
    </row>
    <row r="2415" spans="16:27" ht="15" customHeight="1">
      <c r="P2415" t="str">
        <f t="shared" si="74"/>
        <v/>
      </c>
      <c r="Q2415" t="str">
        <f>IF(P2415="","",IFERROR(IF(AND(H2415="W7",OR(F2415="causal",F2415="predictive")),IF(AND(OR(K2415=1,K2415="1"),OR(L2415=1,L2415="1"),OR(M2415=1,M2415="1")),"adequate","partial"),IF(AND(H2415="W4",F2415="predictive",OR(J2415="P2",J2415="P3",J2415="P4")),IF(OR(U2415=1,U2415="1"),"adequate","partial"),INDEX(Fit_Matrix!$B:$B,MATCH(P2415,Fit_Matrix!$A:$A,0)))),"CHECK KEY"))</f>
        <v/>
      </c>
      <c r="U2415" s="10"/>
      <c r="V2415" s="10"/>
      <c r="W2415" s="10"/>
      <c r="X2415" s="10"/>
      <c r="Y2415" s="10"/>
      <c r="Z2415" s="10"/>
      <c r="AA2415" s="11" t="str">
        <f t="shared" si="75"/>
        <v/>
      </c>
    </row>
    <row r="2416" spans="16:27" ht="15" customHeight="1">
      <c r="P2416" t="str">
        <f t="shared" si="74"/>
        <v/>
      </c>
      <c r="Q2416" t="str">
        <f>IF(P2416="","",IFERROR(IF(AND(H2416="W7",OR(F2416="causal",F2416="predictive")),IF(AND(OR(K2416=1,K2416="1"),OR(L2416=1,L2416="1"),OR(M2416=1,M2416="1")),"adequate","partial"),IF(AND(H2416="W4",F2416="predictive",OR(J2416="P2",J2416="P3",J2416="P4")),IF(OR(U2416=1,U2416="1"),"adequate","partial"),INDEX(Fit_Matrix!$B:$B,MATCH(P2416,Fit_Matrix!$A:$A,0)))),"CHECK KEY"))</f>
        <v/>
      </c>
      <c r="U2416" s="10"/>
      <c r="V2416" s="10"/>
      <c r="W2416" s="10"/>
      <c r="X2416" s="10"/>
      <c r="Y2416" s="10"/>
      <c r="Z2416" s="10"/>
      <c r="AA2416" s="11" t="str">
        <f t="shared" si="75"/>
        <v/>
      </c>
    </row>
    <row r="2417" spans="16:27" ht="15" customHeight="1">
      <c r="P2417" t="str">
        <f t="shared" si="74"/>
        <v/>
      </c>
      <c r="Q2417" t="str">
        <f>IF(P2417="","",IFERROR(IF(AND(H2417="W7",OR(F2417="causal",F2417="predictive")),IF(AND(OR(K2417=1,K2417="1"),OR(L2417=1,L2417="1"),OR(M2417=1,M2417="1")),"adequate","partial"),IF(AND(H2417="W4",F2417="predictive",OR(J2417="P2",J2417="P3",J2417="P4")),IF(OR(U2417=1,U2417="1"),"adequate","partial"),INDEX(Fit_Matrix!$B:$B,MATCH(P2417,Fit_Matrix!$A:$A,0)))),"CHECK KEY"))</f>
        <v/>
      </c>
      <c r="U2417" s="10"/>
      <c r="V2417" s="10"/>
      <c r="W2417" s="10"/>
      <c r="X2417" s="10"/>
      <c r="Y2417" s="10"/>
      <c r="Z2417" s="10"/>
      <c r="AA2417" s="11" t="str">
        <f t="shared" si="75"/>
        <v/>
      </c>
    </row>
    <row r="2418" spans="16:27" ht="15" customHeight="1">
      <c r="P2418" t="str">
        <f t="shared" si="74"/>
        <v/>
      </c>
      <c r="Q2418" t="str">
        <f>IF(P2418="","",IFERROR(IF(AND(H2418="W7",OR(F2418="causal",F2418="predictive")),IF(AND(OR(K2418=1,K2418="1"),OR(L2418=1,L2418="1"),OR(M2418=1,M2418="1")),"adequate","partial"),IF(AND(H2418="W4",F2418="predictive",OR(J2418="P2",J2418="P3",J2418="P4")),IF(OR(U2418=1,U2418="1"),"adequate","partial"),INDEX(Fit_Matrix!$B:$B,MATCH(P2418,Fit_Matrix!$A:$A,0)))),"CHECK KEY"))</f>
        <v/>
      </c>
      <c r="U2418" s="10"/>
      <c r="V2418" s="10"/>
      <c r="W2418" s="10"/>
      <c r="X2418" s="10"/>
      <c r="Y2418" s="10"/>
      <c r="Z2418" s="10"/>
      <c r="AA2418" s="11" t="str">
        <f t="shared" si="75"/>
        <v/>
      </c>
    </row>
    <row r="2419" spans="16:27" ht="15" customHeight="1">
      <c r="P2419" t="str">
        <f t="shared" si="74"/>
        <v/>
      </c>
      <c r="Q2419" t="str">
        <f>IF(P2419="","",IFERROR(IF(AND(H2419="W7",OR(F2419="causal",F2419="predictive")),IF(AND(OR(K2419=1,K2419="1"),OR(L2419=1,L2419="1"),OR(M2419=1,M2419="1")),"adequate","partial"),IF(AND(H2419="W4",F2419="predictive",OR(J2419="P2",J2419="P3",J2419="P4")),IF(OR(U2419=1,U2419="1"),"adequate","partial"),INDEX(Fit_Matrix!$B:$B,MATCH(P2419,Fit_Matrix!$A:$A,0)))),"CHECK KEY"))</f>
        <v/>
      </c>
      <c r="U2419" s="10"/>
      <c r="V2419" s="10"/>
      <c r="W2419" s="10"/>
      <c r="X2419" s="10"/>
      <c r="Y2419" s="10"/>
      <c r="Z2419" s="10"/>
      <c r="AA2419" s="11" t="str">
        <f t="shared" si="75"/>
        <v/>
      </c>
    </row>
    <row r="2420" spans="16:27" ht="15" customHeight="1">
      <c r="P2420" t="str">
        <f t="shared" si="74"/>
        <v/>
      </c>
      <c r="Q2420" t="str">
        <f>IF(P2420="","",IFERROR(IF(AND(H2420="W7",OR(F2420="causal",F2420="predictive")),IF(AND(OR(K2420=1,K2420="1"),OR(L2420=1,L2420="1"),OR(M2420=1,M2420="1")),"adequate","partial"),IF(AND(H2420="W4",F2420="predictive",OR(J2420="P2",J2420="P3",J2420="P4")),IF(OR(U2420=1,U2420="1"),"adequate","partial"),INDEX(Fit_Matrix!$B:$B,MATCH(P2420,Fit_Matrix!$A:$A,0)))),"CHECK KEY"))</f>
        <v/>
      </c>
      <c r="U2420" s="10"/>
      <c r="V2420" s="10"/>
      <c r="W2420" s="10"/>
      <c r="X2420" s="10"/>
      <c r="Y2420" s="10"/>
      <c r="Z2420" s="10"/>
      <c r="AA2420" s="11" t="str">
        <f t="shared" si="75"/>
        <v/>
      </c>
    </row>
    <row r="2421" spans="16:27" ht="15" customHeight="1">
      <c r="P2421" t="str">
        <f t="shared" si="74"/>
        <v/>
      </c>
      <c r="Q2421" t="str">
        <f>IF(P2421="","",IFERROR(IF(AND(H2421="W7",OR(F2421="causal",F2421="predictive")),IF(AND(OR(K2421=1,K2421="1"),OR(L2421=1,L2421="1"),OR(M2421=1,M2421="1")),"adequate","partial"),IF(AND(H2421="W4",F2421="predictive",OR(J2421="P2",J2421="P3",J2421="P4")),IF(OR(U2421=1,U2421="1"),"adequate","partial"),INDEX(Fit_Matrix!$B:$B,MATCH(P2421,Fit_Matrix!$A:$A,0)))),"CHECK KEY"))</f>
        <v/>
      </c>
      <c r="U2421" s="10"/>
      <c r="V2421" s="10"/>
      <c r="W2421" s="10"/>
      <c r="X2421" s="10"/>
      <c r="Y2421" s="10"/>
      <c r="Z2421" s="10"/>
      <c r="AA2421" s="11" t="str">
        <f t="shared" si="75"/>
        <v/>
      </c>
    </row>
    <row r="2422" spans="16:27" ht="15" customHeight="1">
      <c r="P2422" t="str">
        <f t="shared" si="74"/>
        <v/>
      </c>
      <c r="Q2422" t="str">
        <f>IF(P2422="","",IFERROR(IF(AND(H2422="W7",OR(F2422="causal",F2422="predictive")),IF(AND(OR(K2422=1,K2422="1"),OR(L2422=1,L2422="1"),OR(M2422=1,M2422="1")),"adequate","partial"),IF(AND(H2422="W4",F2422="predictive",OR(J2422="P2",J2422="P3",J2422="P4")),IF(OR(U2422=1,U2422="1"),"adequate","partial"),INDEX(Fit_Matrix!$B:$B,MATCH(P2422,Fit_Matrix!$A:$A,0)))),"CHECK KEY"))</f>
        <v/>
      </c>
      <c r="U2422" s="10"/>
      <c r="V2422" s="10"/>
      <c r="W2422" s="10"/>
      <c r="X2422" s="10"/>
      <c r="Y2422" s="10"/>
      <c r="Z2422" s="10"/>
      <c r="AA2422" s="11" t="str">
        <f t="shared" si="75"/>
        <v/>
      </c>
    </row>
    <row r="2423" spans="16:27" ht="15" customHeight="1">
      <c r="P2423" t="str">
        <f t="shared" si="74"/>
        <v/>
      </c>
      <c r="Q2423" t="str">
        <f>IF(P2423="","",IFERROR(IF(AND(H2423="W7",OR(F2423="causal",F2423="predictive")),IF(AND(OR(K2423=1,K2423="1"),OR(L2423=1,L2423="1"),OR(M2423=1,M2423="1")),"adequate","partial"),IF(AND(H2423="W4",F2423="predictive",OR(J2423="P2",J2423="P3",J2423="P4")),IF(OR(U2423=1,U2423="1"),"adequate","partial"),INDEX(Fit_Matrix!$B:$B,MATCH(P2423,Fit_Matrix!$A:$A,0)))),"CHECK KEY"))</f>
        <v/>
      </c>
      <c r="U2423" s="10"/>
      <c r="V2423" s="10"/>
      <c r="W2423" s="10"/>
      <c r="X2423" s="10"/>
      <c r="Y2423" s="10"/>
      <c r="Z2423" s="10"/>
      <c r="AA2423" s="11" t="str">
        <f t="shared" si="75"/>
        <v/>
      </c>
    </row>
    <row r="2424" spans="16:27" ht="15" customHeight="1">
      <c r="P2424" t="str">
        <f t="shared" si="74"/>
        <v/>
      </c>
      <c r="Q2424" t="str">
        <f>IF(P2424="","",IFERROR(IF(AND(H2424="W7",OR(F2424="causal",F2424="predictive")),IF(AND(OR(K2424=1,K2424="1"),OR(L2424=1,L2424="1"),OR(M2424=1,M2424="1")),"adequate","partial"),IF(AND(H2424="W4",F2424="predictive",OR(J2424="P2",J2424="P3",J2424="P4")),IF(OR(U2424=1,U2424="1"),"adequate","partial"),INDEX(Fit_Matrix!$B:$B,MATCH(P2424,Fit_Matrix!$A:$A,0)))),"CHECK KEY"))</f>
        <v/>
      </c>
      <c r="U2424" s="10"/>
      <c r="V2424" s="10"/>
      <c r="W2424" s="10"/>
      <c r="X2424" s="10"/>
      <c r="Y2424" s="10"/>
      <c r="Z2424" s="10"/>
      <c r="AA2424" s="11" t="str">
        <f t="shared" si="75"/>
        <v/>
      </c>
    </row>
    <row r="2425" spans="16:27" ht="15" customHeight="1">
      <c r="P2425" t="str">
        <f t="shared" si="74"/>
        <v/>
      </c>
      <c r="Q2425" t="str">
        <f>IF(P2425="","",IFERROR(IF(AND(H2425="W7",OR(F2425="causal",F2425="predictive")),IF(AND(OR(K2425=1,K2425="1"),OR(L2425=1,L2425="1"),OR(M2425=1,M2425="1")),"adequate","partial"),IF(AND(H2425="W4",F2425="predictive",OR(J2425="P2",J2425="P3",J2425="P4")),IF(OR(U2425=1,U2425="1"),"adequate","partial"),INDEX(Fit_Matrix!$B:$B,MATCH(P2425,Fit_Matrix!$A:$A,0)))),"CHECK KEY"))</f>
        <v/>
      </c>
      <c r="U2425" s="10"/>
      <c r="V2425" s="10"/>
      <c r="W2425" s="10"/>
      <c r="X2425" s="10"/>
      <c r="Y2425" s="10"/>
      <c r="Z2425" s="10"/>
      <c r="AA2425" s="11" t="str">
        <f t="shared" si="75"/>
        <v/>
      </c>
    </row>
    <row r="2426" spans="16:27" ht="15" customHeight="1">
      <c r="P2426" t="str">
        <f t="shared" si="74"/>
        <v/>
      </c>
      <c r="Q2426" t="str">
        <f>IF(P2426="","",IFERROR(IF(AND(H2426="W7",OR(F2426="causal",F2426="predictive")),IF(AND(OR(K2426=1,K2426="1"),OR(L2426=1,L2426="1"),OR(M2426=1,M2426="1")),"adequate","partial"),IF(AND(H2426="W4",F2426="predictive",OR(J2426="P2",J2426="P3",J2426="P4")),IF(OR(U2426=1,U2426="1"),"adequate","partial"),INDEX(Fit_Matrix!$B:$B,MATCH(P2426,Fit_Matrix!$A:$A,0)))),"CHECK KEY"))</f>
        <v/>
      </c>
      <c r="U2426" s="10"/>
      <c r="V2426" s="10"/>
      <c r="W2426" s="10"/>
      <c r="X2426" s="10"/>
      <c r="Y2426" s="10"/>
      <c r="Z2426" s="10"/>
      <c r="AA2426" s="11" t="str">
        <f t="shared" si="75"/>
        <v/>
      </c>
    </row>
    <row r="2427" spans="16:27" ht="15" customHeight="1">
      <c r="P2427" t="str">
        <f t="shared" si="74"/>
        <v/>
      </c>
      <c r="Q2427" t="str">
        <f>IF(P2427="","",IFERROR(IF(AND(H2427="W7",OR(F2427="causal",F2427="predictive")),IF(AND(OR(K2427=1,K2427="1"),OR(L2427=1,L2427="1"),OR(M2427=1,M2427="1")),"adequate","partial"),IF(AND(H2427="W4",F2427="predictive",OR(J2427="P2",J2427="P3",J2427="P4")),IF(OR(U2427=1,U2427="1"),"adequate","partial"),INDEX(Fit_Matrix!$B:$B,MATCH(P2427,Fit_Matrix!$A:$A,0)))),"CHECK KEY"))</f>
        <v/>
      </c>
      <c r="U2427" s="10"/>
      <c r="V2427" s="10"/>
      <c r="W2427" s="10"/>
      <c r="X2427" s="10"/>
      <c r="Y2427" s="10"/>
      <c r="Z2427" s="10"/>
      <c r="AA2427" s="11" t="str">
        <f t="shared" si="75"/>
        <v/>
      </c>
    </row>
    <row r="2428" spans="16:27" ht="15" customHeight="1">
      <c r="P2428" t="str">
        <f t="shared" si="74"/>
        <v/>
      </c>
      <c r="Q2428" t="str">
        <f>IF(P2428="","",IFERROR(IF(AND(H2428="W7",OR(F2428="causal",F2428="predictive")),IF(AND(OR(K2428=1,K2428="1"),OR(L2428=1,L2428="1"),OR(M2428=1,M2428="1")),"adequate","partial"),IF(AND(H2428="W4",F2428="predictive",OR(J2428="P2",J2428="P3",J2428="P4")),IF(OR(U2428=1,U2428="1"),"adequate","partial"),INDEX(Fit_Matrix!$B:$B,MATCH(P2428,Fit_Matrix!$A:$A,0)))),"CHECK KEY"))</f>
        <v/>
      </c>
      <c r="U2428" s="10"/>
      <c r="V2428" s="10"/>
      <c r="W2428" s="10"/>
      <c r="X2428" s="10"/>
      <c r="Y2428" s="10"/>
      <c r="Z2428" s="10"/>
      <c r="AA2428" s="11" t="str">
        <f t="shared" si="75"/>
        <v/>
      </c>
    </row>
    <row r="2429" spans="16:27" ht="15" customHeight="1">
      <c r="P2429" t="str">
        <f t="shared" si="74"/>
        <v/>
      </c>
      <c r="Q2429" t="str">
        <f>IF(P2429="","",IFERROR(IF(AND(H2429="W7",OR(F2429="causal",F2429="predictive")),IF(AND(OR(K2429=1,K2429="1"),OR(L2429=1,L2429="1"),OR(M2429=1,M2429="1")),"adequate","partial"),IF(AND(H2429="W4",F2429="predictive",OR(J2429="P2",J2429="P3",J2429="P4")),IF(OR(U2429=1,U2429="1"),"adequate","partial"),INDEX(Fit_Matrix!$B:$B,MATCH(P2429,Fit_Matrix!$A:$A,0)))),"CHECK KEY"))</f>
        <v/>
      </c>
      <c r="U2429" s="10"/>
      <c r="V2429" s="10"/>
      <c r="W2429" s="10"/>
      <c r="X2429" s="10"/>
      <c r="Y2429" s="10"/>
      <c r="Z2429" s="10"/>
      <c r="AA2429" s="11" t="str">
        <f t="shared" si="75"/>
        <v/>
      </c>
    </row>
    <row r="2430" spans="16:27" ht="15" customHeight="1">
      <c r="P2430" t="str">
        <f t="shared" si="74"/>
        <v/>
      </c>
      <c r="Q2430" t="str">
        <f>IF(P2430="","",IFERROR(IF(AND(H2430="W7",OR(F2430="causal",F2430="predictive")),IF(AND(OR(K2430=1,K2430="1"),OR(L2430=1,L2430="1"),OR(M2430=1,M2430="1")),"adequate","partial"),IF(AND(H2430="W4",F2430="predictive",OR(J2430="P2",J2430="P3",J2430="P4")),IF(OR(U2430=1,U2430="1"),"adequate","partial"),INDEX(Fit_Matrix!$B:$B,MATCH(P2430,Fit_Matrix!$A:$A,0)))),"CHECK KEY"))</f>
        <v/>
      </c>
      <c r="U2430" s="10"/>
      <c r="V2430" s="10"/>
      <c r="W2430" s="10"/>
      <c r="X2430" s="10"/>
      <c r="Y2430" s="10"/>
      <c r="Z2430" s="10"/>
      <c r="AA2430" s="11" t="str">
        <f t="shared" si="75"/>
        <v/>
      </c>
    </row>
    <row r="2431" spans="16:27" ht="15" customHeight="1">
      <c r="P2431" t="str">
        <f t="shared" si="74"/>
        <v/>
      </c>
      <c r="Q2431" t="str">
        <f>IF(P2431="","",IFERROR(IF(AND(H2431="W7",OR(F2431="causal",F2431="predictive")),IF(AND(OR(K2431=1,K2431="1"),OR(L2431=1,L2431="1"),OR(M2431=1,M2431="1")),"adequate","partial"),IF(AND(H2431="W4",F2431="predictive",OR(J2431="P2",J2431="P3",J2431="P4")),IF(OR(U2431=1,U2431="1"),"adequate","partial"),INDEX(Fit_Matrix!$B:$B,MATCH(P2431,Fit_Matrix!$A:$A,0)))),"CHECK KEY"))</f>
        <v/>
      </c>
      <c r="U2431" s="10"/>
      <c r="V2431" s="10"/>
      <c r="W2431" s="10"/>
      <c r="X2431" s="10"/>
      <c r="Y2431" s="10"/>
      <c r="Z2431" s="10"/>
      <c r="AA2431" s="11" t="str">
        <f t="shared" si="75"/>
        <v/>
      </c>
    </row>
    <row r="2432" spans="16:27" ht="15" customHeight="1">
      <c r="P2432" t="str">
        <f t="shared" si="74"/>
        <v/>
      </c>
      <c r="Q2432" t="str">
        <f>IF(P2432="","",IFERROR(IF(AND(H2432="W7",OR(F2432="causal",F2432="predictive")),IF(AND(OR(K2432=1,K2432="1"),OR(L2432=1,L2432="1"),OR(M2432=1,M2432="1")),"adequate","partial"),IF(AND(H2432="W4",F2432="predictive",OR(J2432="P2",J2432="P3",J2432="P4")),IF(OR(U2432=1,U2432="1"),"adequate","partial"),INDEX(Fit_Matrix!$B:$B,MATCH(P2432,Fit_Matrix!$A:$A,0)))),"CHECK KEY"))</f>
        <v/>
      </c>
      <c r="U2432" s="10"/>
      <c r="V2432" s="10"/>
      <c r="W2432" s="10"/>
      <c r="X2432" s="10"/>
      <c r="Y2432" s="10"/>
      <c r="Z2432" s="10"/>
      <c r="AA2432" s="11" t="str">
        <f t="shared" si="75"/>
        <v/>
      </c>
    </row>
    <row r="2433" spans="16:27" ht="15" customHeight="1">
      <c r="P2433" t="str">
        <f t="shared" si="74"/>
        <v/>
      </c>
      <c r="Q2433" t="str">
        <f>IF(P2433="","",IFERROR(IF(AND(H2433="W7",OR(F2433="causal",F2433="predictive")),IF(AND(OR(K2433=1,K2433="1"),OR(L2433=1,L2433="1"),OR(M2433=1,M2433="1")),"adequate","partial"),IF(AND(H2433="W4",F2433="predictive",OR(J2433="P2",J2433="P3",J2433="P4")),IF(OR(U2433=1,U2433="1"),"adequate","partial"),INDEX(Fit_Matrix!$B:$B,MATCH(P2433,Fit_Matrix!$A:$A,0)))),"CHECK KEY"))</f>
        <v/>
      </c>
      <c r="U2433" s="10"/>
      <c r="V2433" s="10"/>
      <c r="W2433" s="10"/>
      <c r="X2433" s="10"/>
      <c r="Y2433" s="10"/>
      <c r="Z2433" s="10"/>
      <c r="AA2433" s="11" t="str">
        <f t="shared" si="75"/>
        <v/>
      </c>
    </row>
    <row r="2434" spans="16:27" ht="15" customHeight="1">
      <c r="P2434" t="str">
        <f t="shared" ref="P2434:P2497" si="76">IF(OR(F2434="",H2434="",J2434=""),"",J2434&amp;"|"&amp;F2434&amp;"|"&amp;IF(H2434="W3","W3_"&amp;IF(I2434="","unknown",I2434),H2434))</f>
        <v/>
      </c>
      <c r="Q2434" t="str">
        <f>IF(P2434="","",IFERROR(IF(AND(H2434="W7",OR(F2434="causal",F2434="predictive")),IF(AND(OR(K2434=1,K2434="1"),OR(L2434=1,L2434="1"),OR(M2434=1,M2434="1")),"adequate","partial"),IF(AND(H2434="W4",F2434="predictive",OR(J2434="P2",J2434="P3",J2434="P4")),IF(OR(U2434=1,U2434="1"),"adequate","partial"),INDEX(Fit_Matrix!$B:$B,MATCH(P2434,Fit_Matrix!$A:$A,0)))),"CHECK KEY"))</f>
        <v/>
      </c>
      <c r="U2434" s="10"/>
      <c r="V2434" s="10"/>
      <c r="W2434" s="10"/>
      <c r="X2434" s="10"/>
      <c r="Y2434" s="10"/>
      <c r="Z2434" s="10"/>
      <c r="AA2434" s="11" t="str">
        <f t="shared" ref="AA2434:AA2497" si="77">IF(A2434="","",IF(AND(J2434="P4",F2434="causal"),"P4-CAUSAL",""))</f>
        <v/>
      </c>
    </row>
    <row r="2435" spans="16:27" ht="15" customHeight="1">
      <c r="P2435" t="str">
        <f t="shared" si="76"/>
        <v/>
      </c>
      <c r="Q2435" t="str">
        <f>IF(P2435="","",IFERROR(IF(AND(H2435="W7",OR(F2435="causal",F2435="predictive")),IF(AND(OR(K2435=1,K2435="1"),OR(L2435=1,L2435="1"),OR(M2435=1,M2435="1")),"adequate","partial"),IF(AND(H2435="W4",F2435="predictive",OR(J2435="P2",J2435="P3",J2435="P4")),IF(OR(U2435=1,U2435="1"),"adequate","partial"),INDEX(Fit_Matrix!$B:$B,MATCH(P2435,Fit_Matrix!$A:$A,0)))),"CHECK KEY"))</f>
        <v/>
      </c>
      <c r="U2435" s="10"/>
      <c r="V2435" s="10"/>
      <c r="W2435" s="10"/>
      <c r="X2435" s="10"/>
      <c r="Y2435" s="10"/>
      <c r="Z2435" s="10"/>
      <c r="AA2435" s="11" t="str">
        <f t="shared" si="77"/>
        <v/>
      </c>
    </row>
    <row r="2436" spans="16:27" ht="15" customHeight="1">
      <c r="P2436" t="str">
        <f t="shared" si="76"/>
        <v/>
      </c>
      <c r="Q2436" t="str">
        <f>IF(P2436="","",IFERROR(IF(AND(H2436="W7",OR(F2436="causal",F2436="predictive")),IF(AND(OR(K2436=1,K2436="1"),OR(L2436=1,L2436="1"),OR(M2436=1,M2436="1")),"adequate","partial"),IF(AND(H2436="W4",F2436="predictive",OR(J2436="P2",J2436="P3",J2436="P4")),IF(OR(U2436=1,U2436="1"),"adequate","partial"),INDEX(Fit_Matrix!$B:$B,MATCH(P2436,Fit_Matrix!$A:$A,0)))),"CHECK KEY"))</f>
        <v/>
      </c>
      <c r="U2436" s="10"/>
      <c r="V2436" s="10"/>
      <c r="W2436" s="10"/>
      <c r="X2436" s="10"/>
      <c r="Y2436" s="10"/>
      <c r="Z2436" s="10"/>
      <c r="AA2436" s="11" t="str">
        <f t="shared" si="77"/>
        <v/>
      </c>
    </row>
    <row r="2437" spans="16:27" ht="15" customHeight="1">
      <c r="P2437" t="str">
        <f t="shared" si="76"/>
        <v/>
      </c>
      <c r="Q2437" t="str">
        <f>IF(P2437="","",IFERROR(IF(AND(H2437="W7",OR(F2437="causal",F2437="predictive")),IF(AND(OR(K2437=1,K2437="1"),OR(L2437=1,L2437="1"),OR(M2437=1,M2437="1")),"adequate","partial"),IF(AND(H2437="W4",F2437="predictive",OR(J2437="P2",J2437="P3",J2437="P4")),IF(OR(U2437=1,U2437="1"),"adequate","partial"),INDEX(Fit_Matrix!$B:$B,MATCH(P2437,Fit_Matrix!$A:$A,0)))),"CHECK KEY"))</f>
        <v/>
      </c>
      <c r="U2437" s="10"/>
      <c r="V2437" s="10"/>
      <c r="W2437" s="10"/>
      <c r="X2437" s="10"/>
      <c r="Y2437" s="10"/>
      <c r="Z2437" s="10"/>
      <c r="AA2437" s="11" t="str">
        <f t="shared" si="77"/>
        <v/>
      </c>
    </row>
    <row r="2438" spans="16:27" ht="15" customHeight="1">
      <c r="P2438" t="str">
        <f t="shared" si="76"/>
        <v/>
      </c>
      <c r="Q2438" t="str">
        <f>IF(P2438="","",IFERROR(IF(AND(H2438="W7",OR(F2438="causal",F2438="predictive")),IF(AND(OR(K2438=1,K2438="1"),OR(L2438=1,L2438="1"),OR(M2438=1,M2438="1")),"adequate","partial"),IF(AND(H2438="W4",F2438="predictive",OR(J2438="P2",J2438="P3",J2438="P4")),IF(OR(U2438=1,U2438="1"),"adequate","partial"),INDEX(Fit_Matrix!$B:$B,MATCH(P2438,Fit_Matrix!$A:$A,0)))),"CHECK KEY"))</f>
        <v/>
      </c>
      <c r="U2438" s="10"/>
      <c r="V2438" s="10"/>
      <c r="W2438" s="10"/>
      <c r="X2438" s="10"/>
      <c r="Y2438" s="10"/>
      <c r="Z2438" s="10"/>
      <c r="AA2438" s="11" t="str">
        <f t="shared" si="77"/>
        <v/>
      </c>
    </row>
    <row r="2439" spans="16:27" ht="15" customHeight="1">
      <c r="P2439" t="str">
        <f t="shared" si="76"/>
        <v/>
      </c>
      <c r="Q2439" t="str">
        <f>IF(P2439="","",IFERROR(IF(AND(H2439="W7",OR(F2439="causal",F2439="predictive")),IF(AND(OR(K2439=1,K2439="1"),OR(L2439=1,L2439="1"),OR(M2439=1,M2439="1")),"adequate","partial"),IF(AND(H2439="W4",F2439="predictive",OR(J2439="P2",J2439="P3",J2439="P4")),IF(OR(U2439=1,U2439="1"),"adequate","partial"),INDEX(Fit_Matrix!$B:$B,MATCH(P2439,Fit_Matrix!$A:$A,0)))),"CHECK KEY"))</f>
        <v/>
      </c>
      <c r="U2439" s="10"/>
      <c r="V2439" s="10"/>
      <c r="W2439" s="10"/>
      <c r="X2439" s="10"/>
      <c r="Y2439" s="10"/>
      <c r="Z2439" s="10"/>
      <c r="AA2439" s="11" t="str">
        <f t="shared" si="77"/>
        <v/>
      </c>
    </row>
    <row r="2440" spans="16:27" ht="15" customHeight="1">
      <c r="P2440" t="str">
        <f t="shared" si="76"/>
        <v/>
      </c>
      <c r="Q2440" t="str">
        <f>IF(P2440="","",IFERROR(IF(AND(H2440="W7",OR(F2440="causal",F2440="predictive")),IF(AND(OR(K2440=1,K2440="1"),OR(L2440=1,L2440="1"),OR(M2440=1,M2440="1")),"adequate","partial"),IF(AND(H2440="W4",F2440="predictive",OR(J2440="P2",J2440="P3",J2440="P4")),IF(OR(U2440=1,U2440="1"),"adequate","partial"),INDEX(Fit_Matrix!$B:$B,MATCH(P2440,Fit_Matrix!$A:$A,0)))),"CHECK KEY"))</f>
        <v/>
      </c>
      <c r="U2440" s="10"/>
      <c r="V2440" s="10"/>
      <c r="W2440" s="10"/>
      <c r="X2440" s="10"/>
      <c r="Y2440" s="10"/>
      <c r="Z2440" s="10"/>
      <c r="AA2440" s="11" t="str">
        <f t="shared" si="77"/>
        <v/>
      </c>
    </row>
    <row r="2441" spans="16:27" ht="15" customHeight="1">
      <c r="P2441" t="str">
        <f t="shared" si="76"/>
        <v/>
      </c>
      <c r="Q2441" t="str">
        <f>IF(P2441="","",IFERROR(IF(AND(H2441="W7",OR(F2441="causal",F2441="predictive")),IF(AND(OR(K2441=1,K2441="1"),OR(L2441=1,L2441="1"),OR(M2441=1,M2441="1")),"adequate","partial"),IF(AND(H2441="W4",F2441="predictive",OR(J2441="P2",J2441="P3",J2441="P4")),IF(OR(U2441=1,U2441="1"),"adequate","partial"),INDEX(Fit_Matrix!$B:$B,MATCH(P2441,Fit_Matrix!$A:$A,0)))),"CHECK KEY"))</f>
        <v/>
      </c>
      <c r="U2441" s="10"/>
      <c r="V2441" s="10"/>
      <c r="W2441" s="10"/>
      <c r="X2441" s="10"/>
      <c r="Y2441" s="10"/>
      <c r="Z2441" s="10"/>
      <c r="AA2441" s="11" t="str">
        <f t="shared" si="77"/>
        <v/>
      </c>
    </row>
    <row r="2442" spans="16:27" ht="15" customHeight="1">
      <c r="P2442" t="str">
        <f t="shared" si="76"/>
        <v/>
      </c>
      <c r="Q2442" t="str">
        <f>IF(P2442="","",IFERROR(IF(AND(H2442="W7",OR(F2442="causal",F2442="predictive")),IF(AND(OR(K2442=1,K2442="1"),OR(L2442=1,L2442="1"),OR(M2442=1,M2442="1")),"adequate","partial"),IF(AND(H2442="W4",F2442="predictive",OR(J2442="P2",J2442="P3",J2442="P4")),IF(OR(U2442=1,U2442="1"),"adequate","partial"),INDEX(Fit_Matrix!$B:$B,MATCH(P2442,Fit_Matrix!$A:$A,0)))),"CHECK KEY"))</f>
        <v/>
      </c>
      <c r="U2442" s="10"/>
      <c r="V2442" s="10"/>
      <c r="W2442" s="10"/>
      <c r="X2442" s="10"/>
      <c r="Y2442" s="10"/>
      <c r="Z2442" s="10"/>
      <c r="AA2442" s="11" t="str">
        <f t="shared" si="77"/>
        <v/>
      </c>
    </row>
    <row r="2443" spans="16:27" ht="15" customHeight="1">
      <c r="P2443" t="str">
        <f t="shared" si="76"/>
        <v/>
      </c>
      <c r="Q2443" t="str">
        <f>IF(P2443="","",IFERROR(IF(AND(H2443="W7",OR(F2443="causal",F2443="predictive")),IF(AND(OR(K2443=1,K2443="1"),OR(L2443=1,L2443="1"),OR(M2443=1,M2443="1")),"adequate","partial"),IF(AND(H2443="W4",F2443="predictive",OR(J2443="P2",J2443="P3",J2443="P4")),IF(OR(U2443=1,U2443="1"),"adequate","partial"),INDEX(Fit_Matrix!$B:$B,MATCH(P2443,Fit_Matrix!$A:$A,0)))),"CHECK KEY"))</f>
        <v/>
      </c>
      <c r="U2443" s="10"/>
      <c r="V2443" s="10"/>
      <c r="W2443" s="10"/>
      <c r="X2443" s="10"/>
      <c r="Y2443" s="10"/>
      <c r="Z2443" s="10"/>
      <c r="AA2443" s="11" t="str">
        <f t="shared" si="77"/>
        <v/>
      </c>
    </row>
    <row r="2444" spans="16:27" ht="15" customHeight="1">
      <c r="P2444" t="str">
        <f t="shared" si="76"/>
        <v/>
      </c>
      <c r="Q2444" t="str">
        <f>IF(P2444="","",IFERROR(IF(AND(H2444="W7",OR(F2444="causal",F2444="predictive")),IF(AND(OR(K2444=1,K2444="1"),OR(L2444=1,L2444="1"),OR(M2444=1,M2444="1")),"adequate","partial"),IF(AND(H2444="W4",F2444="predictive",OR(J2444="P2",J2444="P3",J2444="P4")),IF(OR(U2444=1,U2444="1"),"adequate","partial"),INDEX(Fit_Matrix!$B:$B,MATCH(P2444,Fit_Matrix!$A:$A,0)))),"CHECK KEY"))</f>
        <v/>
      </c>
      <c r="U2444" s="10"/>
      <c r="V2444" s="10"/>
      <c r="W2444" s="10"/>
      <c r="X2444" s="10"/>
      <c r="Y2444" s="10"/>
      <c r="Z2444" s="10"/>
      <c r="AA2444" s="11" t="str">
        <f t="shared" si="77"/>
        <v/>
      </c>
    </row>
    <row r="2445" spans="16:27" ht="15" customHeight="1">
      <c r="P2445" t="str">
        <f t="shared" si="76"/>
        <v/>
      </c>
      <c r="Q2445" t="str">
        <f>IF(P2445="","",IFERROR(IF(AND(H2445="W7",OR(F2445="causal",F2445="predictive")),IF(AND(OR(K2445=1,K2445="1"),OR(L2445=1,L2445="1"),OR(M2445=1,M2445="1")),"adequate","partial"),IF(AND(H2445="W4",F2445="predictive",OR(J2445="P2",J2445="P3",J2445="P4")),IF(OR(U2445=1,U2445="1"),"adequate","partial"),INDEX(Fit_Matrix!$B:$B,MATCH(P2445,Fit_Matrix!$A:$A,0)))),"CHECK KEY"))</f>
        <v/>
      </c>
      <c r="U2445" s="10"/>
      <c r="V2445" s="10"/>
      <c r="W2445" s="10"/>
      <c r="X2445" s="10"/>
      <c r="Y2445" s="10"/>
      <c r="Z2445" s="10"/>
      <c r="AA2445" s="11" t="str">
        <f t="shared" si="77"/>
        <v/>
      </c>
    </row>
    <row r="2446" spans="16:27" ht="15" customHeight="1">
      <c r="P2446" t="str">
        <f t="shared" si="76"/>
        <v/>
      </c>
      <c r="Q2446" t="str">
        <f>IF(P2446="","",IFERROR(IF(AND(H2446="W7",OR(F2446="causal",F2446="predictive")),IF(AND(OR(K2446=1,K2446="1"),OR(L2446=1,L2446="1"),OR(M2446=1,M2446="1")),"adequate","partial"),IF(AND(H2446="W4",F2446="predictive",OR(J2446="P2",J2446="P3",J2446="P4")),IF(OR(U2446=1,U2446="1"),"adequate","partial"),INDEX(Fit_Matrix!$B:$B,MATCH(P2446,Fit_Matrix!$A:$A,0)))),"CHECK KEY"))</f>
        <v/>
      </c>
      <c r="U2446" s="10"/>
      <c r="V2446" s="10"/>
      <c r="W2446" s="10"/>
      <c r="X2446" s="10"/>
      <c r="Y2446" s="10"/>
      <c r="Z2446" s="10"/>
      <c r="AA2446" s="11" t="str">
        <f t="shared" si="77"/>
        <v/>
      </c>
    </row>
    <row r="2447" spans="16:27" ht="15" customHeight="1">
      <c r="P2447" t="str">
        <f t="shared" si="76"/>
        <v/>
      </c>
      <c r="Q2447" t="str">
        <f>IF(P2447="","",IFERROR(IF(AND(H2447="W7",OR(F2447="causal",F2447="predictive")),IF(AND(OR(K2447=1,K2447="1"),OR(L2447=1,L2447="1"),OR(M2447=1,M2447="1")),"adequate","partial"),IF(AND(H2447="W4",F2447="predictive",OR(J2447="P2",J2447="P3",J2447="P4")),IF(OR(U2447=1,U2447="1"),"adequate","partial"),INDEX(Fit_Matrix!$B:$B,MATCH(P2447,Fit_Matrix!$A:$A,0)))),"CHECK KEY"))</f>
        <v/>
      </c>
      <c r="U2447" s="10"/>
      <c r="V2447" s="10"/>
      <c r="W2447" s="10"/>
      <c r="X2447" s="10"/>
      <c r="Y2447" s="10"/>
      <c r="Z2447" s="10"/>
      <c r="AA2447" s="11" t="str">
        <f t="shared" si="77"/>
        <v/>
      </c>
    </row>
    <row r="2448" spans="16:27" ht="15" customHeight="1">
      <c r="P2448" t="str">
        <f t="shared" si="76"/>
        <v/>
      </c>
      <c r="Q2448" t="str">
        <f>IF(P2448="","",IFERROR(IF(AND(H2448="W7",OR(F2448="causal",F2448="predictive")),IF(AND(OR(K2448=1,K2448="1"),OR(L2448=1,L2448="1"),OR(M2448=1,M2448="1")),"adequate","partial"),IF(AND(H2448="W4",F2448="predictive",OR(J2448="P2",J2448="P3",J2448="P4")),IF(OR(U2448=1,U2448="1"),"adequate","partial"),INDEX(Fit_Matrix!$B:$B,MATCH(P2448,Fit_Matrix!$A:$A,0)))),"CHECK KEY"))</f>
        <v/>
      </c>
      <c r="U2448" s="10"/>
      <c r="V2448" s="10"/>
      <c r="W2448" s="10"/>
      <c r="X2448" s="10"/>
      <c r="Y2448" s="10"/>
      <c r="Z2448" s="10"/>
      <c r="AA2448" s="11" t="str">
        <f t="shared" si="77"/>
        <v/>
      </c>
    </row>
    <row r="2449" spans="16:27" ht="15" customHeight="1">
      <c r="P2449" t="str">
        <f t="shared" si="76"/>
        <v/>
      </c>
      <c r="Q2449" t="str">
        <f>IF(P2449="","",IFERROR(IF(AND(H2449="W7",OR(F2449="causal",F2449="predictive")),IF(AND(OR(K2449=1,K2449="1"),OR(L2449=1,L2449="1"),OR(M2449=1,M2449="1")),"adequate","partial"),IF(AND(H2449="W4",F2449="predictive",OR(J2449="P2",J2449="P3",J2449="P4")),IF(OR(U2449=1,U2449="1"),"adequate","partial"),INDEX(Fit_Matrix!$B:$B,MATCH(P2449,Fit_Matrix!$A:$A,0)))),"CHECK KEY"))</f>
        <v/>
      </c>
      <c r="U2449" s="10"/>
      <c r="V2449" s="10"/>
      <c r="W2449" s="10"/>
      <c r="X2449" s="10"/>
      <c r="Y2449" s="10"/>
      <c r="Z2449" s="10"/>
      <c r="AA2449" s="11" t="str">
        <f t="shared" si="77"/>
        <v/>
      </c>
    </row>
    <row r="2450" spans="16:27" ht="15" customHeight="1">
      <c r="P2450" t="str">
        <f t="shared" si="76"/>
        <v/>
      </c>
      <c r="Q2450" t="str">
        <f>IF(P2450="","",IFERROR(IF(AND(H2450="W7",OR(F2450="causal",F2450="predictive")),IF(AND(OR(K2450=1,K2450="1"),OR(L2450=1,L2450="1"),OR(M2450=1,M2450="1")),"adequate","partial"),IF(AND(H2450="W4",F2450="predictive",OR(J2450="P2",J2450="P3",J2450="P4")),IF(OR(U2450=1,U2450="1"),"adequate","partial"),INDEX(Fit_Matrix!$B:$B,MATCH(P2450,Fit_Matrix!$A:$A,0)))),"CHECK KEY"))</f>
        <v/>
      </c>
      <c r="U2450" s="10"/>
      <c r="V2450" s="10"/>
      <c r="W2450" s="10"/>
      <c r="X2450" s="10"/>
      <c r="Y2450" s="10"/>
      <c r="Z2450" s="10"/>
      <c r="AA2450" s="11" t="str">
        <f t="shared" si="77"/>
        <v/>
      </c>
    </row>
    <row r="2451" spans="16:27" ht="15" customHeight="1">
      <c r="P2451" t="str">
        <f t="shared" si="76"/>
        <v/>
      </c>
      <c r="Q2451" t="str">
        <f>IF(P2451="","",IFERROR(IF(AND(H2451="W7",OR(F2451="causal",F2451="predictive")),IF(AND(OR(K2451=1,K2451="1"),OR(L2451=1,L2451="1"),OR(M2451=1,M2451="1")),"adequate","partial"),IF(AND(H2451="W4",F2451="predictive",OR(J2451="P2",J2451="P3",J2451="P4")),IF(OR(U2451=1,U2451="1"),"adequate","partial"),INDEX(Fit_Matrix!$B:$B,MATCH(P2451,Fit_Matrix!$A:$A,0)))),"CHECK KEY"))</f>
        <v/>
      </c>
      <c r="U2451" s="10"/>
      <c r="V2451" s="10"/>
      <c r="W2451" s="10"/>
      <c r="X2451" s="10"/>
      <c r="Y2451" s="10"/>
      <c r="Z2451" s="10"/>
      <c r="AA2451" s="11" t="str">
        <f t="shared" si="77"/>
        <v/>
      </c>
    </row>
    <row r="2452" spans="16:27" ht="15" customHeight="1">
      <c r="P2452" t="str">
        <f t="shared" si="76"/>
        <v/>
      </c>
      <c r="Q2452" t="str">
        <f>IF(P2452="","",IFERROR(IF(AND(H2452="W7",OR(F2452="causal",F2452="predictive")),IF(AND(OR(K2452=1,K2452="1"),OR(L2452=1,L2452="1"),OR(M2452=1,M2452="1")),"adequate","partial"),IF(AND(H2452="W4",F2452="predictive",OR(J2452="P2",J2452="P3",J2452="P4")),IF(OR(U2452=1,U2452="1"),"adequate","partial"),INDEX(Fit_Matrix!$B:$B,MATCH(P2452,Fit_Matrix!$A:$A,0)))),"CHECK KEY"))</f>
        <v/>
      </c>
      <c r="U2452" s="10"/>
      <c r="V2452" s="10"/>
      <c r="W2452" s="10"/>
      <c r="X2452" s="10"/>
      <c r="Y2452" s="10"/>
      <c r="Z2452" s="10"/>
      <c r="AA2452" s="11" t="str">
        <f t="shared" si="77"/>
        <v/>
      </c>
    </row>
    <row r="2453" spans="16:27" ht="15" customHeight="1">
      <c r="P2453" t="str">
        <f t="shared" si="76"/>
        <v/>
      </c>
      <c r="Q2453" t="str">
        <f>IF(P2453="","",IFERROR(IF(AND(H2453="W7",OR(F2453="causal",F2453="predictive")),IF(AND(OR(K2453=1,K2453="1"),OR(L2453=1,L2453="1"),OR(M2453=1,M2453="1")),"adequate","partial"),IF(AND(H2453="W4",F2453="predictive",OR(J2453="P2",J2453="P3",J2453="P4")),IF(OR(U2453=1,U2453="1"),"adequate","partial"),INDEX(Fit_Matrix!$B:$B,MATCH(P2453,Fit_Matrix!$A:$A,0)))),"CHECK KEY"))</f>
        <v/>
      </c>
      <c r="U2453" s="10"/>
      <c r="V2453" s="10"/>
      <c r="W2453" s="10"/>
      <c r="X2453" s="10"/>
      <c r="Y2453" s="10"/>
      <c r="Z2453" s="10"/>
      <c r="AA2453" s="11" t="str">
        <f t="shared" si="77"/>
        <v/>
      </c>
    </row>
    <row r="2454" spans="16:27" ht="15" customHeight="1">
      <c r="P2454" t="str">
        <f t="shared" si="76"/>
        <v/>
      </c>
      <c r="Q2454" t="str">
        <f>IF(P2454="","",IFERROR(IF(AND(H2454="W7",OR(F2454="causal",F2454="predictive")),IF(AND(OR(K2454=1,K2454="1"),OR(L2454=1,L2454="1"),OR(M2454=1,M2454="1")),"adequate","partial"),IF(AND(H2454="W4",F2454="predictive",OR(J2454="P2",J2454="P3",J2454="P4")),IF(OR(U2454=1,U2454="1"),"adequate","partial"),INDEX(Fit_Matrix!$B:$B,MATCH(P2454,Fit_Matrix!$A:$A,0)))),"CHECK KEY"))</f>
        <v/>
      </c>
      <c r="U2454" s="10"/>
      <c r="V2454" s="10"/>
      <c r="W2454" s="10"/>
      <c r="X2454" s="10"/>
      <c r="Y2454" s="10"/>
      <c r="Z2454" s="10"/>
      <c r="AA2454" s="11" t="str">
        <f t="shared" si="77"/>
        <v/>
      </c>
    </row>
    <row r="2455" spans="16:27" ht="15" customHeight="1">
      <c r="P2455" t="str">
        <f t="shared" si="76"/>
        <v/>
      </c>
      <c r="Q2455" t="str">
        <f>IF(P2455="","",IFERROR(IF(AND(H2455="W7",OR(F2455="causal",F2455="predictive")),IF(AND(OR(K2455=1,K2455="1"),OR(L2455=1,L2455="1"),OR(M2455=1,M2455="1")),"adequate","partial"),IF(AND(H2455="W4",F2455="predictive",OR(J2455="P2",J2455="P3",J2455="P4")),IF(OR(U2455=1,U2455="1"),"adequate","partial"),INDEX(Fit_Matrix!$B:$B,MATCH(P2455,Fit_Matrix!$A:$A,0)))),"CHECK KEY"))</f>
        <v/>
      </c>
      <c r="U2455" s="10"/>
      <c r="V2455" s="10"/>
      <c r="W2455" s="10"/>
      <c r="X2455" s="10"/>
      <c r="Y2455" s="10"/>
      <c r="Z2455" s="10"/>
      <c r="AA2455" s="11" t="str">
        <f t="shared" si="77"/>
        <v/>
      </c>
    </row>
    <row r="2456" spans="16:27" ht="15" customHeight="1">
      <c r="P2456" t="str">
        <f t="shared" si="76"/>
        <v/>
      </c>
      <c r="Q2456" t="str">
        <f>IF(P2456="","",IFERROR(IF(AND(H2456="W7",OR(F2456="causal",F2456="predictive")),IF(AND(OR(K2456=1,K2456="1"),OR(L2456=1,L2456="1"),OR(M2456=1,M2456="1")),"adequate","partial"),IF(AND(H2456="W4",F2456="predictive",OR(J2456="P2",J2456="P3",J2456="P4")),IF(OR(U2456=1,U2456="1"),"adequate","partial"),INDEX(Fit_Matrix!$B:$B,MATCH(P2456,Fit_Matrix!$A:$A,0)))),"CHECK KEY"))</f>
        <v/>
      </c>
      <c r="U2456" s="10"/>
      <c r="V2456" s="10"/>
      <c r="W2456" s="10"/>
      <c r="X2456" s="10"/>
      <c r="Y2456" s="10"/>
      <c r="Z2456" s="10"/>
      <c r="AA2456" s="11" t="str">
        <f t="shared" si="77"/>
        <v/>
      </c>
    </row>
    <row r="2457" spans="16:27" ht="15" customHeight="1">
      <c r="P2457" t="str">
        <f t="shared" si="76"/>
        <v/>
      </c>
      <c r="Q2457" t="str">
        <f>IF(P2457="","",IFERROR(IF(AND(H2457="W7",OR(F2457="causal",F2457="predictive")),IF(AND(OR(K2457=1,K2457="1"),OR(L2457=1,L2457="1"),OR(M2457=1,M2457="1")),"adequate","partial"),IF(AND(H2457="W4",F2457="predictive",OR(J2457="P2",J2457="P3",J2457="P4")),IF(OR(U2457=1,U2457="1"),"adequate","partial"),INDEX(Fit_Matrix!$B:$B,MATCH(P2457,Fit_Matrix!$A:$A,0)))),"CHECK KEY"))</f>
        <v/>
      </c>
      <c r="U2457" s="10"/>
      <c r="V2457" s="10"/>
      <c r="W2457" s="10"/>
      <c r="X2457" s="10"/>
      <c r="Y2457" s="10"/>
      <c r="Z2457" s="10"/>
      <c r="AA2457" s="11" t="str">
        <f t="shared" si="77"/>
        <v/>
      </c>
    </row>
    <row r="2458" spans="16:27" ht="15" customHeight="1">
      <c r="P2458" t="str">
        <f t="shared" si="76"/>
        <v/>
      </c>
      <c r="Q2458" t="str">
        <f>IF(P2458="","",IFERROR(IF(AND(H2458="W7",OR(F2458="causal",F2458="predictive")),IF(AND(OR(K2458=1,K2458="1"),OR(L2458=1,L2458="1"),OR(M2458=1,M2458="1")),"adequate","partial"),IF(AND(H2458="W4",F2458="predictive",OR(J2458="P2",J2458="P3",J2458="P4")),IF(OR(U2458=1,U2458="1"),"adequate","partial"),INDEX(Fit_Matrix!$B:$B,MATCH(P2458,Fit_Matrix!$A:$A,0)))),"CHECK KEY"))</f>
        <v/>
      </c>
      <c r="U2458" s="10"/>
      <c r="V2458" s="10"/>
      <c r="W2458" s="10"/>
      <c r="X2458" s="10"/>
      <c r="Y2458" s="10"/>
      <c r="Z2458" s="10"/>
      <c r="AA2458" s="11" t="str">
        <f t="shared" si="77"/>
        <v/>
      </c>
    </row>
    <row r="2459" spans="16:27" ht="15" customHeight="1">
      <c r="P2459" t="str">
        <f t="shared" si="76"/>
        <v/>
      </c>
      <c r="Q2459" t="str">
        <f>IF(P2459="","",IFERROR(IF(AND(H2459="W7",OR(F2459="causal",F2459="predictive")),IF(AND(OR(K2459=1,K2459="1"),OR(L2459=1,L2459="1"),OR(M2459=1,M2459="1")),"adequate","partial"),IF(AND(H2459="W4",F2459="predictive",OR(J2459="P2",J2459="P3",J2459="P4")),IF(OR(U2459=1,U2459="1"),"adequate","partial"),INDEX(Fit_Matrix!$B:$B,MATCH(P2459,Fit_Matrix!$A:$A,0)))),"CHECK KEY"))</f>
        <v/>
      </c>
      <c r="U2459" s="10"/>
      <c r="V2459" s="10"/>
      <c r="W2459" s="10"/>
      <c r="X2459" s="10"/>
      <c r="Y2459" s="10"/>
      <c r="Z2459" s="10"/>
      <c r="AA2459" s="11" t="str">
        <f t="shared" si="77"/>
        <v/>
      </c>
    </row>
    <row r="2460" spans="16:27" ht="15" customHeight="1">
      <c r="P2460" t="str">
        <f t="shared" si="76"/>
        <v/>
      </c>
      <c r="Q2460" t="str">
        <f>IF(P2460="","",IFERROR(IF(AND(H2460="W7",OR(F2460="causal",F2460="predictive")),IF(AND(OR(K2460=1,K2460="1"),OR(L2460=1,L2460="1"),OR(M2460=1,M2460="1")),"adequate","partial"),IF(AND(H2460="W4",F2460="predictive",OR(J2460="P2",J2460="P3",J2460="P4")),IF(OR(U2460=1,U2460="1"),"adequate","partial"),INDEX(Fit_Matrix!$B:$B,MATCH(P2460,Fit_Matrix!$A:$A,0)))),"CHECK KEY"))</f>
        <v/>
      </c>
      <c r="U2460" s="10"/>
      <c r="V2460" s="10"/>
      <c r="W2460" s="10"/>
      <c r="X2460" s="10"/>
      <c r="Y2460" s="10"/>
      <c r="Z2460" s="10"/>
      <c r="AA2460" s="11" t="str">
        <f t="shared" si="77"/>
        <v/>
      </c>
    </row>
    <row r="2461" spans="16:27" ht="15" customHeight="1">
      <c r="P2461" t="str">
        <f t="shared" si="76"/>
        <v/>
      </c>
      <c r="Q2461" t="str">
        <f>IF(P2461="","",IFERROR(IF(AND(H2461="W7",OR(F2461="causal",F2461="predictive")),IF(AND(OR(K2461=1,K2461="1"),OR(L2461=1,L2461="1"),OR(M2461=1,M2461="1")),"adequate","partial"),IF(AND(H2461="W4",F2461="predictive",OR(J2461="P2",J2461="P3",J2461="P4")),IF(OR(U2461=1,U2461="1"),"adequate","partial"),INDEX(Fit_Matrix!$B:$B,MATCH(P2461,Fit_Matrix!$A:$A,0)))),"CHECK KEY"))</f>
        <v/>
      </c>
      <c r="U2461" s="10"/>
      <c r="V2461" s="10"/>
      <c r="W2461" s="10"/>
      <c r="X2461" s="10"/>
      <c r="Y2461" s="10"/>
      <c r="Z2461" s="10"/>
      <c r="AA2461" s="11" t="str">
        <f t="shared" si="77"/>
        <v/>
      </c>
    </row>
    <row r="2462" spans="16:27" ht="15" customHeight="1">
      <c r="P2462" t="str">
        <f t="shared" si="76"/>
        <v/>
      </c>
      <c r="Q2462" t="str">
        <f>IF(P2462="","",IFERROR(IF(AND(H2462="W7",OR(F2462="causal",F2462="predictive")),IF(AND(OR(K2462=1,K2462="1"),OR(L2462=1,L2462="1"),OR(M2462=1,M2462="1")),"adequate","partial"),IF(AND(H2462="W4",F2462="predictive",OR(J2462="P2",J2462="P3",J2462="P4")),IF(OR(U2462=1,U2462="1"),"adequate","partial"),INDEX(Fit_Matrix!$B:$B,MATCH(P2462,Fit_Matrix!$A:$A,0)))),"CHECK KEY"))</f>
        <v/>
      </c>
      <c r="U2462" s="10"/>
      <c r="V2462" s="10"/>
      <c r="W2462" s="10"/>
      <c r="X2462" s="10"/>
      <c r="Y2462" s="10"/>
      <c r="Z2462" s="10"/>
      <c r="AA2462" s="11" t="str">
        <f t="shared" si="77"/>
        <v/>
      </c>
    </row>
    <row r="2463" spans="16:27" ht="15" customHeight="1">
      <c r="P2463" t="str">
        <f t="shared" si="76"/>
        <v/>
      </c>
      <c r="Q2463" t="str">
        <f>IF(P2463="","",IFERROR(IF(AND(H2463="W7",OR(F2463="causal",F2463="predictive")),IF(AND(OR(K2463=1,K2463="1"),OR(L2463=1,L2463="1"),OR(M2463=1,M2463="1")),"adequate","partial"),IF(AND(H2463="W4",F2463="predictive",OR(J2463="P2",J2463="P3",J2463="P4")),IF(OR(U2463=1,U2463="1"),"adequate","partial"),INDEX(Fit_Matrix!$B:$B,MATCH(P2463,Fit_Matrix!$A:$A,0)))),"CHECK KEY"))</f>
        <v/>
      </c>
      <c r="U2463" s="10"/>
      <c r="V2463" s="10"/>
      <c r="W2463" s="10"/>
      <c r="X2463" s="10"/>
      <c r="Y2463" s="10"/>
      <c r="Z2463" s="10"/>
      <c r="AA2463" s="11" t="str">
        <f t="shared" si="77"/>
        <v/>
      </c>
    </row>
    <row r="2464" spans="16:27" ht="15" customHeight="1">
      <c r="P2464" t="str">
        <f t="shared" si="76"/>
        <v/>
      </c>
      <c r="Q2464" t="str">
        <f>IF(P2464="","",IFERROR(IF(AND(H2464="W7",OR(F2464="causal",F2464="predictive")),IF(AND(OR(K2464=1,K2464="1"),OR(L2464=1,L2464="1"),OR(M2464=1,M2464="1")),"adequate","partial"),IF(AND(H2464="W4",F2464="predictive",OR(J2464="P2",J2464="P3",J2464="P4")),IF(OR(U2464=1,U2464="1"),"adequate","partial"),INDEX(Fit_Matrix!$B:$B,MATCH(P2464,Fit_Matrix!$A:$A,0)))),"CHECK KEY"))</f>
        <v/>
      </c>
      <c r="U2464" s="10"/>
      <c r="V2464" s="10"/>
      <c r="W2464" s="10"/>
      <c r="X2464" s="10"/>
      <c r="Y2464" s="10"/>
      <c r="Z2464" s="10"/>
      <c r="AA2464" s="11" t="str">
        <f t="shared" si="77"/>
        <v/>
      </c>
    </row>
    <row r="2465" spans="16:27" ht="15" customHeight="1">
      <c r="P2465" t="str">
        <f t="shared" si="76"/>
        <v/>
      </c>
      <c r="Q2465" t="str">
        <f>IF(P2465="","",IFERROR(IF(AND(H2465="W7",OR(F2465="causal",F2465="predictive")),IF(AND(OR(K2465=1,K2465="1"),OR(L2465=1,L2465="1"),OR(M2465=1,M2465="1")),"adequate","partial"),IF(AND(H2465="W4",F2465="predictive",OR(J2465="P2",J2465="P3",J2465="P4")),IF(OR(U2465=1,U2465="1"),"adequate","partial"),INDEX(Fit_Matrix!$B:$B,MATCH(P2465,Fit_Matrix!$A:$A,0)))),"CHECK KEY"))</f>
        <v/>
      </c>
      <c r="U2465" s="10"/>
      <c r="V2465" s="10"/>
      <c r="W2465" s="10"/>
      <c r="X2465" s="10"/>
      <c r="Y2465" s="10"/>
      <c r="Z2465" s="10"/>
      <c r="AA2465" s="11" t="str">
        <f t="shared" si="77"/>
        <v/>
      </c>
    </row>
    <row r="2466" spans="16:27" ht="15" customHeight="1">
      <c r="P2466" t="str">
        <f t="shared" si="76"/>
        <v/>
      </c>
      <c r="Q2466" t="str">
        <f>IF(P2466="","",IFERROR(IF(AND(H2466="W7",OR(F2466="causal",F2466="predictive")),IF(AND(OR(K2466=1,K2466="1"),OR(L2466=1,L2466="1"),OR(M2466=1,M2466="1")),"adequate","partial"),IF(AND(H2466="W4",F2466="predictive",OR(J2466="P2",J2466="P3",J2466="P4")),IF(OR(U2466=1,U2466="1"),"adequate","partial"),INDEX(Fit_Matrix!$B:$B,MATCH(P2466,Fit_Matrix!$A:$A,0)))),"CHECK KEY"))</f>
        <v/>
      </c>
      <c r="U2466" s="10"/>
      <c r="V2466" s="10"/>
      <c r="W2466" s="10"/>
      <c r="X2466" s="10"/>
      <c r="Y2466" s="10"/>
      <c r="Z2466" s="10"/>
      <c r="AA2466" s="11" t="str">
        <f t="shared" si="77"/>
        <v/>
      </c>
    </row>
    <row r="2467" spans="16:27" ht="15" customHeight="1">
      <c r="P2467" t="str">
        <f t="shared" si="76"/>
        <v/>
      </c>
      <c r="Q2467" t="str">
        <f>IF(P2467="","",IFERROR(IF(AND(H2467="W7",OR(F2467="causal",F2467="predictive")),IF(AND(OR(K2467=1,K2467="1"),OR(L2467=1,L2467="1"),OR(M2467=1,M2467="1")),"adequate","partial"),IF(AND(H2467="W4",F2467="predictive",OR(J2467="P2",J2467="P3",J2467="P4")),IF(OR(U2467=1,U2467="1"),"adequate","partial"),INDEX(Fit_Matrix!$B:$B,MATCH(P2467,Fit_Matrix!$A:$A,0)))),"CHECK KEY"))</f>
        <v/>
      </c>
      <c r="U2467" s="10"/>
      <c r="V2467" s="10"/>
      <c r="W2467" s="10"/>
      <c r="X2467" s="10"/>
      <c r="Y2467" s="10"/>
      <c r="Z2467" s="10"/>
      <c r="AA2467" s="11" t="str">
        <f t="shared" si="77"/>
        <v/>
      </c>
    </row>
    <row r="2468" spans="16:27" ht="15" customHeight="1">
      <c r="P2468" t="str">
        <f t="shared" si="76"/>
        <v/>
      </c>
      <c r="Q2468" t="str">
        <f>IF(P2468="","",IFERROR(IF(AND(H2468="W7",OR(F2468="causal",F2468="predictive")),IF(AND(OR(K2468=1,K2468="1"),OR(L2468=1,L2468="1"),OR(M2468=1,M2468="1")),"adequate","partial"),IF(AND(H2468="W4",F2468="predictive",OR(J2468="P2",J2468="P3",J2468="P4")),IF(OR(U2468=1,U2468="1"),"adequate","partial"),INDEX(Fit_Matrix!$B:$B,MATCH(P2468,Fit_Matrix!$A:$A,0)))),"CHECK KEY"))</f>
        <v/>
      </c>
      <c r="U2468" s="10"/>
      <c r="V2468" s="10"/>
      <c r="W2468" s="10"/>
      <c r="X2468" s="10"/>
      <c r="Y2468" s="10"/>
      <c r="Z2468" s="10"/>
      <c r="AA2468" s="11" t="str">
        <f t="shared" si="77"/>
        <v/>
      </c>
    </row>
    <row r="2469" spans="16:27" ht="15" customHeight="1">
      <c r="P2469" t="str">
        <f t="shared" si="76"/>
        <v/>
      </c>
      <c r="Q2469" t="str">
        <f>IF(P2469="","",IFERROR(IF(AND(H2469="W7",OR(F2469="causal",F2469="predictive")),IF(AND(OR(K2469=1,K2469="1"),OR(L2469=1,L2469="1"),OR(M2469=1,M2469="1")),"adequate","partial"),IF(AND(H2469="W4",F2469="predictive",OR(J2469="P2",J2469="P3",J2469="P4")),IF(OR(U2469=1,U2469="1"),"adequate","partial"),INDEX(Fit_Matrix!$B:$B,MATCH(P2469,Fit_Matrix!$A:$A,0)))),"CHECK KEY"))</f>
        <v/>
      </c>
      <c r="U2469" s="10"/>
      <c r="V2469" s="10"/>
      <c r="W2469" s="10"/>
      <c r="X2469" s="10"/>
      <c r="Y2469" s="10"/>
      <c r="Z2469" s="10"/>
      <c r="AA2469" s="11" t="str">
        <f t="shared" si="77"/>
        <v/>
      </c>
    </row>
    <row r="2470" spans="16:27" ht="15" customHeight="1">
      <c r="P2470" t="str">
        <f t="shared" si="76"/>
        <v/>
      </c>
      <c r="Q2470" t="str">
        <f>IF(P2470="","",IFERROR(IF(AND(H2470="W7",OR(F2470="causal",F2470="predictive")),IF(AND(OR(K2470=1,K2470="1"),OR(L2470=1,L2470="1"),OR(M2470=1,M2470="1")),"adequate","partial"),IF(AND(H2470="W4",F2470="predictive",OR(J2470="P2",J2470="P3",J2470="P4")),IF(OR(U2470=1,U2470="1"),"adequate","partial"),INDEX(Fit_Matrix!$B:$B,MATCH(P2470,Fit_Matrix!$A:$A,0)))),"CHECK KEY"))</f>
        <v/>
      </c>
      <c r="U2470" s="10"/>
      <c r="V2470" s="10"/>
      <c r="W2470" s="10"/>
      <c r="X2470" s="10"/>
      <c r="Y2470" s="10"/>
      <c r="Z2470" s="10"/>
      <c r="AA2470" s="11" t="str">
        <f t="shared" si="77"/>
        <v/>
      </c>
    </row>
    <row r="2471" spans="16:27" ht="15" customHeight="1">
      <c r="P2471" t="str">
        <f t="shared" si="76"/>
        <v/>
      </c>
      <c r="Q2471" t="str">
        <f>IF(P2471="","",IFERROR(IF(AND(H2471="W7",OR(F2471="causal",F2471="predictive")),IF(AND(OR(K2471=1,K2471="1"),OR(L2471=1,L2471="1"),OR(M2471=1,M2471="1")),"adequate","partial"),IF(AND(H2471="W4",F2471="predictive",OR(J2471="P2",J2471="P3",J2471="P4")),IF(OR(U2471=1,U2471="1"),"adequate","partial"),INDEX(Fit_Matrix!$B:$B,MATCH(P2471,Fit_Matrix!$A:$A,0)))),"CHECK KEY"))</f>
        <v/>
      </c>
      <c r="U2471" s="10"/>
      <c r="V2471" s="10"/>
      <c r="W2471" s="10"/>
      <c r="X2471" s="10"/>
      <c r="Y2471" s="10"/>
      <c r="Z2471" s="10"/>
      <c r="AA2471" s="11" t="str">
        <f t="shared" si="77"/>
        <v/>
      </c>
    </row>
    <row r="2472" spans="16:27" ht="15" customHeight="1">
      <c r="P2472" t="str">
        <f t="shared" si="76"/>
        <v/>
      </c>
      <c r="Q2472" t="str">
        <f>IF(P2472="","",IFERROR(IF(AND(H2472="W7",OR(F2472="causal",F2472="predictive")),IF(AND(OR(K2472=1,K2472="1"),OR(L2472=1,L2472="1"),OR(M2472=1,M2472="1")),"adequate","partial"),IF(AND(H2472="W4",F2472="predictive",OR(J2472="P2",J2472="P3",J2472="P4")),IF(OR(U2472=1,U2472="1"),"adequate","partial"),INDEX(Fit_Matrix!$B:$B,MATCH(P2472,Fit_Matrix!$A:$A,0)))),"CHECK KEY"))</f>
        <v/>
      </c>
      <c r="U2472" s="10"/>
      <c r="V2472" s="10"/>
      <c r="W2472" s="10"/>
      <c r="X2472" s="10"/>
      <c r="Y2472" s="10"/>
      <c r="Z2472" s="10"/>
      <c r="AA2472" s="11" t="str">
        <f t="shared" si="77"/>
        <v/>
      </c>
    </row>
    <row r="2473" spans="16:27" ht="15" customHeight="1">
      <c r="P2473" t="str">
        <f t="shared" si="76"/>
        <v/>
      </c>
      <c r="Q2473" t="str">
        <f>IF(P2473="","",IFERROR(IF(AND(H2473="W7",OR(F2473="causal",F2473="predictive")),IF(AND(OR(K2473=1,K2473="1"),OR(L2473=1,L2473="1"),OR(M2473=1,M2473="1")),"adequate","partial"),IF(AND(H2473="W4",F2473="predictive",OR(J2473="P2",J2473="P3",J2473="P4")),IF(OR(U2473=1,U2473="1"),"adequate","partial"),INDEX(Fit_Matrix!$B:$B,MATCH(P2473,Fit_Matrix!$A:$A,0)))),"CHECK KEY"))</f>
        <v/>
      </c>
      <c r="U2473" s="10"/>
      <c r="V2473" s="10"/>
      <c r="W2473" s="10"/>
      <c r="X2473" s="10"/>
      <c r="Y2473" s="10"/>
      <c r="Z2473" s="10"/>
      <c r="AA2473" s="11" t="str">
        <f t="shared" si="77"/>
        <v/>
      </c>
    </row>
    <row r="2474" spans="16:27" ht="15" customHeight="1">
      <c r="P2474" t="str">
        <f t="shared" si="76"/>
        <v/>
      </c>
      <c r="Q2474" t="str">
        <f>IF(P2474="","",IFERROR(IF(AND(H2474="W7",OR(F2474="causal",F2474="predictive")),IF(AND(OR(K2474=1,K2474="1"),OR(L2474=1,L2474="1"),OR(M2474=1,M2474="1")),"adequate","partial"),IF(AND(H2474="W4",F2474="predictive",OR(J2474="P2",J2474="P3",J2474="P4")),IF(OR(U2474=1,U2474="1"),"adequate","partial"),INDEX(Fit_Matrix!$B:$B,MATCH(P2474,Fit_Matrix!$A:$A,0)))),"CHECK KEY"))</f>
        <v/>
      </c>
      <c r="U2474" s="10"/>
      <c r="V2474" s="10"/>
      <c r="W2474" s="10"/>
      <c r="X2474" s="10"/>
      <c r="Y2474" s="10"/>
      <c r="Z2474" s="10"/>
      <c r="AA2474" s="11" t="str">
        <f t="shared" si="77"/>
        <v/>
      </c>
    </row>
    <row r="2475" spans="16:27" ht="15" customHeight="1">
      <c r="P2475" t="str">
        <f t="shared" si="76"/>
        <v/>
      </c>
      <c r="Q2475" t="str">
        <f>IF(P2475="","",IFERROR(IF(AND(H2475="W7",OR(F2475="causal",F2475="predictive")),IF(AND(OR(K2475=1,K2475="1"),OR(L2475=1,L2475="1"),OR(M2475=1,M2475="1")),"adequate","partial"),IF(AND(H2475="W4",F2475="predictive",OR(J2475="P2",J2475="P3",J2475="P4")),IF(OR(U2475=1,U2475="1"),"adequate","partial"),INDEX(Fit_Matrix!$B:$B,MATCH(P2475,Fit_Matrix!$A:$A,0)))),"CHECK KEY"))</f>
        <v/>
      </c>
      <c r="U2475" s="10"/>
      <c r="V2475" s="10"/>
      <c r="W2475" s="10"/>
      <c r="X2475" s="10"/>
      <c r="Y2475" s="10"/>
      <c r="Z2475" s="10"/>
      <c r="AA2475" s="11" t="str">
        <f t="shared" si="77"/>
        <v/>
      </c>
    </row>
    <row r="2476" spans="16:27" ht="15" customHeight="1">
      <c r="P2476" t="str">
        <f t="shared" si="76"/>
        <v/>
      </c>
      <c r="Q2476" t="str">
        <f>IF(P2476="","",IFERROR(IF(AND(H2476="W7",OR(F2476="causal",F2476="predictive")),IF(AND(OR(K2476=1,K2476="1"),OR(L2476=1,L2476="1"),OR(M2476=1,M2476="1")),"adequate","partial"),IF(AND(H2476="W4",F2476="predictive",OR(J2476="P2",J2476="P3",J2476="P4")),IF(OR(U2476=1,U2476="1"),"adequate","partial"),INDEX(Fit_Matrix!$B:$B,MATCH(P2476,Fit_Matrix!$A:$A,0)))),"CHECK KEY"))</f>
        <v/>
      </c>
      <c r="U2476" s="10"/>
      <c r="V2476" s="10"/>
      <c r="W2476" s="10"/>
      <c r="X2476" s="10"/>
      <c r="Y2476" s="10"/>
      <c r="Z2476" s="10"/>
      <c r="AA2476" s="11" t="str">
        <f t="shared" si="77"/>
        <v/>
      </c>
    </row>
    <row r="2477" spans="16:27" ht="15" customHeight="1">
      <c r="P2477" t="str">
        <f t="shared" si="76"/>
        <v/>
      </c>
      <c r="Q2477" t="str">
        <f>IF(P2477="","",IFERROR(IF(AND(H2477="W7",OR(F2477="causal",F2477="predictive")),IF(AND(OR(K2477=1,K2477="1"),OR(L2477=1,L2477="1"),OR(M2477=1,M2477="1")),"adequate","partial"),IF(AND(H2477="W4",F2477="predictive",OR(J2477="P2",J2477="P3",J2477="P4")),IF(OR(U2477=1,U2477="1"),"adequate","partial"),INDEX(Fit_Matrix!$B:$B,MATCH(P2477,Fit_Matrix!$A:$A,0)))),"CHECK KEY"))</f>
        <v/>
      </c>
      <c r="U2477" s="10"/>
      <c r="V2477" s="10"/>
      <c r="W2477" s="10"/>
      <c r="X2477" s="10"/>
      <c r="Y2477" s="10"/>
      <c r="Z2477" s="10"/>
      <c r="AA2477" s="11" t="str">
        <f t="shared" si="77"/>
        <v/>
      </c>
    </row>
    <row r="2478" spans="16:27" ht="15" customHeight="1">
      <c r="P2478" t="str">
        <f t="shared" si="76"/>
        <v/>
      </c>
      <c r="Q2478" t="str">
        <f>IF(P2478="","",IFERROR(IF(AND(H2478="W7",OR(F2478="causal",F2478="predictive")),IF(AND(OR(K2478=1,K2478="1"),OR(L2478=1,L2478="1"),OR(M2478=1,M2478="1")),"adequate","partial"),IF(AND(H2478="W4",F2478="predictive",OR(J2478="P2",J2478="P3",J2478="P4")),IF(OR(U2478=1,U2478="1"),"adequate","partial"),INDEX(Fit_Matrix!$B:$B,MATCH(P2478,Fit_Matrix!$A:$A,0)))),"CHECK KEY"))</f>
        <v/>
      </c>
      <c r="U2478" s="10"/>
      <c r="V2478" s="10"/>
      <c r="W2478" s="10"/>
      <c r="X2478" s="10"/>
      <c r="Y2478" s="10"/>
      <c r="Z2478" s="10"/>
      <c r="AA2478" s="11" t="str">
        <f t="shared" si="77"/>
        <v/>
      </c>
    </row>
    <row r="2479" spans="16:27" ht="15" customHeight="1">
      <c r="P2479" t="str">
        <f t="shared" si="76"/>
        <v/>
      </c>
      <c r="Q2479" t="str">
        <f>IF(P2479="","",IFERROR(IF(AND(H2479="W7",OR(F2479="causal",F2479="predictive")),IF(AND(OR(K2479=1,K2479="1"),OR(L2479=1,L2479="1"),OR(M2479=1,M2479="1")),"adequate","partial"),IF(AND(H2479="W4",F2479="predictive",OR(J2479="P2",J2479="P3",J2479="P4")),IF(OR(U2479=1,U2479="1"),"adequate","partial"),INDEX(Fit_Matrix!$B:$B,MATCH(P2479,Fit_Matrix!$A:$A,0)))),"CHECK KEY"))</f>
        <v/>
      </c>
      <c r="U2479" s="10"/>
      <c r="V2479" s="10"/>
      <c r="W2479" s="10"/>
      <c r="X2479" s="10"/>
      <c r="Y2479" s="10"/>
      <c r="Z2479" s="10"/>
      <c r="AA2479" s="11" t="str">
        <f t="shared" si="77"/>
        <v/>
      </c>
    </row>
    <row r="2480" spans="16:27" ht="15" customHeight="1">
      <c r="P2480" t="str">
        <f t="shared" si="76"/>
        <v/>
      </c>
      <c r="Q2480" t="str">
        <f>IF(P2480="","",IFERROR(IF(AND(H2480="W7",OR(F2480="causal",F2480="predictive")),IF(AND(OR(K2480=1,K2480="1"),OR(L2480=1,L2480="1"),OR(M2480=1,M2480="1")),"adequate","partial"),IF(AND(H2480="W4",F2480="predictive",OR(J2480="P2",J2480="P3",J2480="P4")),IF(OR(U2480=1,U2480="1"),"adequate","partial"),INDEX(Fit_Matrix!$B:$B,MATCH(P2480,Fit_Matrix!$A:$A,0)))),"CHECK KEY"))</f>
        <v/>
      </c>
      <c r="U2480" s="10"/>
      <c r="V2480" s="10"/>
      <c r="W2480" s="10"/>
      <c r="X2480" s="10"/>
      <c r="Y2480" s="10"/>
      <c r="Z2480" s="10"/>
      <c r="AA2480" s="11" t="str">
        <f t="shared" si="77"/>
        <v/>
      </c>
    </row>
    <row r="2481" spans="16:27" ht="15" customHeight="1">
      <c r="P2481" t="str">
        <f t="shared" si="76"/>
        <v/>
      </c>
      <c r="Q2481" t="str">
        <f>IF(P2481="","",IFERROR(IF(AND(H2481="W7",OR(F2481="causal",F2481="predictive")),IF(AND(OR(K2481=1,K2481="1"),OR(L2481=1,L2481="1"),OR(M2481=1,M2481="1")),"adequate","partial"),IF(AND(H2481="W4",F2481="predictive",OR(J2481="P2",J2481="P3",J2481="P4")),IF(OR(U2481=1,U2481="1"),"adequate","partial"),INDEX(Fit_Matrix!$B:$B,MATCH(P2481,Fit_Matrix!$A:$A,0)))),"CHECK KEY"))</f>
        <v/>
      </c>
      <c r="U2481" s="10"/>
      <c r="V2481" s="10"/>
      <c r="W2481" s="10"/>
      <c r="X2481" s="10"/>
      <c r="Y2481" s="10"/>
      <c r="Z2481" s="10"/>
      <c r="AA2481" s="11" t="str">
        <f t="shared" si="77"/>
        <v/>
      </c>
    </row>
    <row r="2482" spans="16:27" ht="15" customHeight="1">
      <c r="P2482" t="str">
        <f t="shared" si="76"/>
        <v/>
      </c>
      <c r="Q2482" t="str">
        <f>IF(P2482="","",IFERROR(IF(AND(H2482="W7",OR(F2482="causal",F2482="predictive")),IF(AND(OR(K2482=1,K2482="1"),OR(L2482=1,L2482="1"),OR(M2482=1,M2482="1")),"adequate","partial"),IF(AND(H2482="W4",F2482="predictive",OR(J2482="P2",J2482="P3",J2482="P4")),IF(OR(U2482=1,U2482="1"),"adequate","partial"),INDEX(Fit_Matrix!$B:$B,MATCH(P2482,Fit_Matrix!$A:$A,0)))),"CHECK KEY"))</f>
        <v/>
      </c>
      <c r="U2482" s="10"/>
      <c r="V2482" s="10"/>
      <c r="W2482" s="10"/>
      <c r="X2482" s="10"/>
      <c r="Y2482" s="10"/>
      <c r="Z2482" s="10"/>
      <c r="AA2482" s="11" t="str">
        <f t="shared" si="77"/>
        <v/>
      </c>
    </row>
    <row r="2483" spans="16:27" ht="15" customHeight="1">
      <c r="P2483" t="str">
        <f t="shared" si="76"/>
        <v/>
      </c>
      <c r="Q2483" t="str">
        <f>IF(P2483="","",IFERROR(IF(AND(H2483="W7",OR(F2483="causal",F2483="predictive")),IF(AND(OR(K2483=1,K2483="1"),OR(L2483=1,L2483="1"),OR(M2483=1,M2483="1")),"adequate","partial"),IF(AND(H2483="W4",F2483="predictive",OR(J2483="P2",J2483="P3",J2483="P4")),IF(OR(U2483=1,U2483="1"),"adequate","partial"),INDEX(Fit_Matrix!$B:$B,MATCH(P2483,Fit_Matrix!$A:$A,0)))),"CHECK KEY"))</f>
        <v/>
      </c>
      <c r="U2483" s="10"/>
      <c r="V2483" s="10"/>
      <c r="W2483" s="10"/>
      <c r="X2483" s="10"/>
      <c r="Y2483" s="10"/>
      <c r="Z2483" s="10"/>
      <c r="AA2483" s="11" t="str">
        <f t="shared" si="77"/>
        <v/>
      </c>
    </row>
    <row r="2484" spans="16:27" ht="15" customHeight="1">
      <c r="P2484" t="str">
        <f t="shared" si="76"/>
        <v/>
      </c>
      <c r="Q2484" t="str">
        <f>IF(P2484="","",IFERROR(IF(AND(H2484="W7",OR(F2484="causal",F2484="predictive")),IF(AND(OR(K2484=1,K2484="1"),OR(L2484=1,L2484="1"),OR(M2484=1,M2484="1")),"adequate","partial"),IF(AND(H2484="W4",F2484="predictive",OR(J2484="P2",J2484="P3",J2484="P4")),IF(OR(U2484=1,U2484="1"),"adequate","partial"),INDEX(Fit_Matrix!$B:$B,MATCH(P2484,Fit_Matrix!$A:$A,0)))),"CHECK KEY"))</f>
        <v/>
      </c>
      <c r="U2484" s="10"/>
      <c r="V2484" s="10"/>
      <c r="W2484" s="10"/>
      <c r="X2484" s="10"/>
      <c r="Y2484" s="10"/>
      <c r="Z2484" s="10"/>
      <c r="AA2484" s="11" t="str">
        <f t="shared" si="77"/>
        <v/>
      </c>
    </row>
    <row r="2485" spans="16:27" ht="15" customHeight="1">
      <c r="P2485" t="str">
        <f t="shared" si="76"/>
        <v/>
      </c>
      <c r="Q2485" t="str">
        <f>IF(P2485="","",IFERROR(IF(AND(H2485="W7",OR(F2485="causal",F2485="predictive")),IF(AND(OR(K2485=1,K2485="1"),OR(L2485=1,L2485="1"),OR(M2485=1,M2485="1")),"adequate","partial"),IF(AND(H2485="W4",F2485="predictive",OR(J2485="P2",J2485="P3",J2485="P4")),IF(OR(U2485=1,U2485="1"),"adequate","partial"),INDEX(Fit_Matrix!$B:$B,MATCH(P2485,Fit_Matrix!$A:$A,0)))),"CHECK KEY"))</f>
        <v/>
      </c>
      <c r="U2485" s="10"/>
      <c r="V2485" s="10"/>
      <c r="W2485" s="10"/>
      <c r="X2485" s="10"/>
      <c r="Y2485" s="10"/>
      <c r="Z2485" s="10"/>
      <c r="AA2485" s="11" t="str">
        <f t="shared" si="77"/>
        <v/>
      </c>
    </row>
    <row r="2486" spans="16:27" ht="15" customHeight="1">
      <c r="P2486" t="str">
        <f t="shared" si="76"/>
        <v/>
      </c>
      <c r="Q2486" t="str">
        <f>IF(P2486="","",IFERROR(IF(AND(H2486="W7",OR(F2486="causal",F2486="predictive")),IF(AND(OR(K2486=1,K2486="1"),OR(L2486=1,L2486="1"),OR(M2486=1,M2486="1")),"adequate","partial"),IF(AND(H2486="W4",F2486="predictive",OR(J2486="P2",J2486="P3",J2486="P4")),IF(OR(U2486=1,U2486="1"),"adequate","partial"),INDEX(Fit_Matrix!$B:$B,MATCH(P2486,Fit_Matrix!$A:$A,0)))),"CHECK KEY"))</f>
        <v/>
      </c>
      <c r="U2486" s="10"/>
      <c r="V2486" s="10"/>
      <c r="W2486" s="10"/>
      <c r="X2486" s="10"/>
      <c r="Y2486" s="10"/>
      <c r="Z2486" s="10"/>
      <c r="AA2486" s="11" t="str">
        <f t="shared" si="77"/>
        <v/>
      </c>
    </row>
    <row r="2487" spans="16:27" ht="15" customHeight="1">
      <c r="P2487" t="str">
        <f t="shared" si="76"/>
        <v/>
      </c>
      <c r="Q2487" t="str">
        <f>IF(P2487="","",IFERROR(IF(AND(H2487="W7",OR(F2487="causal",F2487="predictive")),IF(AND(OR(K2487=1,K2487="1"),OR(L2487=1,L2487="1"),OR(M2487=1,M2487="1")),"adequate","partial"),IF(AND(H2487="W4",F2487="predictive",OR(J2487="P2",J2487="P3",J2487="P4")),IF(OR(U2487=1,U2487="1"),"adequate","partial"),INDEX(Fit_Matrix!$B:$B,MATCH(P2487,Fit_Matrix!$A:$A,0)))),"CHECK KEY"))</f>
        <v/>
      </c>
      <c r="U2487" s="10"/>
      <c r="V2487" s="10"/>
      <c r="W2487" s="10"/>
      <c r="X2487" s="10"/>
      <c r="Y2487" s="10"/>
      <c r="Z2487" s="10"/>
      <c r="AA2487" s="11" t="str">
        <f t="shared" si="77"/>
        <v/>
      </c>
    </row>
    <row r="2488" spans="16:27" ht="15" customHeight="1">
      <c r="P2488" t="str">
        <f t="shared" si="76"/>
        <v/>
      </c>
      <c r="Q2488" t="str">
        <f>IF(P2488="","",IFERROR(IF(AND(H2488="W7",OR(F2488="causal",F2488="predictive")),IF(AND(OR(K2488=1,K2488="1"),OR(L2488=1,L2488="1"),OR(M2488=1,M2488="1")),"adequate","partial"),IF(AND(H2488="W4",F2488="predictive",OR(J2488="P2",J2488="P3",J2488="P4")),IF(OR(U2488=1,U2488="1"),"adequate","partial"),INDEX(Fit_Matrix!$B:$B,MATCH(P2488,Fit_Matrix!$A:$A,0)))),"CHECK KEY"))</f>
        <v/>
      </c>
      <c r="U2488" s="10"/>
      <c r="V2488" s="10"/>
      <c r="W2488" s="10"/>
      <c r="X2488" s="10"/>
      <c r="Y2488" s="10"/>
      <c r="Z2488" s="10"/>
      <c r="AA2488" s="11" t="str">
        <f t="shared" si="77"/>
        <v/>
      </c>
    </row>
    <row r="2489" spans="16:27" ht="15" customHeight="1">
      <c r="P2489" t="str">
        <f t="shared" si="76"/>
        <v/>
      </c>
      <c r="Q2489" t="str">
        <f>IF(P2489="","",IFERROR(IF(AND(H2489="W7",OR(F2489="causal",F2489="predictive")),IF(AND(OR(K2489=1,K2489="1"),OR(L2489=1,L2489="1"),OR(M2489=1,M2489="1")),"adequate","partial"),IF(AND(H2489="W4",F2489="predictive",OR(J2489="P2",J2489="P3",J2489="P4")),IF(OR(U2489=1,U2489="1"),"adequate","partial"),INDEX(Fit_Matrix!$B:$B,MATCH(P2489,Fit_Matrix!$A:$A,0)))),"CHECK KEY"))</f>
        <v/>
      </c>
      <c r="U2489" s="10"/>
      <c r="V2489" s="10"/>
      <c r="W2489" s="10"/>
      <c r="X2489" s="10"/>
      <c r="Y2489" s="10"/>
      <c r="Z2489" s="10"/>
      <c r="AA2489" s="11" t="str">
        <f t="shared" si="77"/>
        <v/>
      </c>
    </row>
    <row r="2490" spans="16:27" ht="15" customHeight="1">
      <c r="P2490" t="str">
        <f t="shared" si="76"/>
        <v/>
      </c>
      <c r="Q2490" t="str">
        <f>IF(P2490="","",IFERROR(IF(AND(H2490="W7",OR(F2490="causal",F2490="predictive")),IF(AND(OR(K2490=1,K2490="1"),OR(L2490=1,L2490="1"),OR(M2490=1,M2490="1")),"adequate","partial"),IF(AND(H2490="W4",F2490="predictive",OR(J2490="P2",J2490="P3",J2490="P4")),IF(OR(U2490=1,U2490="1"),"adequate","partial"),INDEX(Fit_Matrix!$B:$B,MATCH(P2490,Fit_Matrix!$A:$A,0)))),"CHECK KEY"))</f>
        <v/>
      </c>
      <c r="U2490" s="10"/>
      <c r="V2490" s="10"/>
      <c r="W2490" s="10"/>
      <c r="X2490" s="10"/>
      <c r="Y2490" s="10"/>
      <c r="Z2490" s="10"/>
      <c r="AA2490" s="11" t="str">
        <f t="shared" si="77"/>
        <v/>
      </c>
    </row>
    <row r="2491" spans="16:27" ht="15" customHeight="1">
      <c r="P2491" t="str">
        <f t="shared" si="76"/>
        <v/>
      </c>
      <c r="Q2491" t="str">
        <f>IF(P2491="","",IFERROR(IF(AND(H2491="W7",OR(F2491="causal",F2491="predictive")),IF(AND(OR(K2491=1,K2491="1"),OR(L2491=1,L2491="1"),OR(M2491=1,M2491="1")),"adequate","partial"),IF(AND(H2491="W4",F2491="predictive",OR(J2491="P2",J2491="P3",J2491="P4")),IF(OR(U2491=1,U2491="1"),"adequate","partial"),INDEX(Fit_Matrix!$B:$B,MATCH(P2491,Fit_Matrix!$A:$A,0)))),"CHECK KEY"))</f>
        <v/>
      </c>
      <c r="U2491" s="10"/>
      <c r="V2491" s="10"/>
      <c r="W2491" s="10"/>
      <c r="X2491" s="10"/>
      <c r="Y2491" s="10"/>
      <c r="Z2491" s="10"/>
      <c r="AA2491" s="11" t="str">
        <f t="shared" si="77"/>
        <v/>
      </c>
    </row>
    <row r="2492" spans="16:27" ht="15" customHeight="1">
      <c r="P2492" t="str">
        <f t="shared" si="76"/>
        <v/>
      </c>
      <c r="Q2492" t="str">
        <f>IF(P2492="","",IFERROR(IF(AND(H2492="W7",OR(F2492="causal",F2492="predictive")),IF(AND(OR(K2492=1,K2492="1"),OR(L2492=1,L2492="1"),OR(M2492=1,M2492="1")),"adequate","partial"),IF(AND(H2492="W4",F2492="predictive",OR(J2492="P2",J2492="P3",J2492="P4")),IF(OR(U2492=1,U2492="1"),"adequate","partial"),INDEX(Fit_Matrix!$B:$B,MATCH(P2492,Fit_Matrix!$A:$A,0)))),"CHECK KEY"))</f>
        <v/>
      </c>
      <c r="U2492" s="10"/>
      <c r="V2492" s="10"/>
      <c r="W2492" s="10"/>
      <c r="X2492" s="10"/>
      <c r="Y2492" s="10"/>
      <c r="Z2492" s="10"/>
      <c r="AA2492" s="11" t="str">
        <f t="shared" si="77"/>
        <v/>
      </c>
    </row>
    <row r="2493" spans="16:27" ht="15" customHeight="1">
      <c r="P2493" t="str">
        <f t="shared" si="76"/>
        <v/>
      </c>
      <c r="Q2493" t="str">
        <f>IF(P2493="","",IFERROR(IF(AND(H2493="W7",OR(F2493="causal",F2493="predictive")),IF(AND(OR(K2493=1,K2493="1"),OR(L2493=1,L2493="1"),OR(M2493=1,M2493="1")),"adequate","partial"),IF(AND(H2493="W4",F2493="predictive",OR(J2493="P2",J2493="P3",J2493="P4")),IF(OR(U2493=1,U2493="1"),"adequate","partial"),INDEX(Fit_Matrix!$B:$B,MATCH(P2493,Fit_Matrix!$A:$A,0)))),"CHECK KEY"))</f>
        <v/>
      </c>
      <c r="U2493" s="10"/>
      <c r="V2493" s="10"/>
      <c r="W2493" s="10"/>
      <c r="X2493" s="10"/>
      <c r="Y2493" s="10"/>
      <c r="Z2493" s="10"/>
      <c r="AA2493" s="11" t="str">
        <f t="shared" si="77"/>
        <v/>
      </c>
    </row>
    <row r="2494" spans="16:27" ht="15" customHeight="1">
      <c r="P2494" t="str">
        <f t="shared" si="76"/>
        <v/>
      </c>
      <c r="Q2494" t="str">
        <f>IF(P2494="","",IFERROR(IF(AND(H2494="W7",OR(F2494="causal",F2494="predictive")),IF(AND(OR(K2494=1,K2494="1"),OR(L2494=1,L2494="1"),OR(M2494=1,M2494="1")),"adequate","partial"),IF(AND(H2494="W4",F2494="predictive",OR(J2494="P2",J2494="P3",J2494="P4")),IF(OR(U2494=1,U2494="1"),"adequate","partial"),INDEX(Fit_Matrix!$B:$B,MATCH(P2494,Fit_Matrix!$A:$A,0)))),"CHECK KEY"))</f>
        <v/>
      </c>
      <c r="U2494" s="10"/>
      <c r="V2494" s="10"/>
      <c r="W2494" s="10"/>
      <c r="X2494" s="10"/>
      <c r="Y2494" s="10"/>
      <c r="Z2494" s="10"/>
      <c r="AA2494" s="11" t="str">
        <f t="shared" si="77"/>
        <v/>
      </c>
    </row>
    <row r="2495" spans="16:27" ht="15" customHeight="1">
      <c r="P2495" t="str">
        <f t="shared" si="76"/>
        <v/>
      </c>
      <c r="Q2495" t="str">
        <f>IF(P2495="","",IFERROR(IF(AND(H2495="W7",OR(F2495="causal",F2495="predictive")),IF(AND(OR(K2495=1,K2495="1"),OR(L2495=1,L2495="1"),OR(M2495=1,M2495="1")),"adequate","partial"),IF(AND(H2495="W4",F2495="predictive",OR(J2495="P2",J2495="P3",J2495="P4")),IF(OR(U2495=1,U2495="1"),"adequate","partial"),INDEX(Fit_Matrix!$B:$B,MATCH(P2495,Fit_Matrix!$A:$A,0)))),"CHECK KEY"))</f>
        <v/>
      </c>
      <c r="U2495" s="10"/>
      <c r="V2495" s="10"/>
      <c r="W2495" s="10"/>
      <c r="X2495" s="10"/>
      <c r="Y2495" s="10"/>
      <c r="Z2495" s="10"/>
      <c r="AA2495" s="11" t="str">
        <f t="shared" si="77"/>
        <v/>
      </c>
    </row>
    <row r="2496" spans="16:27" ht="15" customHeight="1">
      <c r="P2496" t="str">
        <f t="shared" si="76"/>
        <v/>
      </c>
      <c r="Q2496" t="str">
        <f>IF(P2496="","",IFERROR(IF(AND(H2496="W7",OR(F2496="causal",F2496="predictive")),IF(AND(OR(K2496=1,K2496="1"),OR(L2496=1,L2496="1"),OR(M2496=1,M2496="1")),"adequate","partial"),IF(AND(H2496="W4",F2496="predictive",OR(J2496="P2",J2496="P3",J2496="P4")),IF(OR(U2496=1,U2496="1"),"adequate","partial"),INDEX(Fit_Matrix!$B:$B,MATCH(P2496,Fit_Matrix!$A:$A,0)))),"CHECK KEY"))</f>
        <v/>
      </c>
      <c r="U2496" s="10"/>
      <c r="V2496" s="10"/>
      <c r="W2496" s="10"/>
      <c r="X2496" s="10"/>
      <c r="Y2496" s="10"/>
      <c r="Z2496" s="10"/>
      <c r="AA2496" s="11" t="str">
        <f t="shared" si="77"/>
        <v/>
      </c>
    </row>
    <row r="2497" spans="16:27" ht="15" customHeight="1">
      <c r="P2497" t="str">
        <f t="shared" si="76"/>
        <v/>
      </c>
      <c r="Q2497" t="str">
        <f>IF(P2497="","",IFERROR(IF(AND(H2497="W7",OR(F2497="causal",F2497="predictive")),IF(AND(OR(K2497=1,K2497="1"),OR(L2497=1,L2497="1"),OR(M2497=1,M2497="1")),"adequate","partial"),IF(AND(H2497="W4",F2497="predictive",OR(J2497="P2",J2497="P3",J2497="P4")),IF(OR(U2497=1,U2497="1"),"adequate","partial"),INDEX(Fit_Matrix!$B:$B,MATCH(P2497,Fit_Matrix!$A:$A,0)))),"CHECK KEY"))</f>
        <v/>
      </c>
      <c r="U2497" s="10"/>
      <c r="V2497" s="10"/>
      <c r="W2497" s="10"/>
      <c r="X2497" s="10"/>
      <c r="Y2497" s="10"/>
      <c r="Z2497" s="10"/>
      <c r="AA2497" s="11" t="str">
        <f t="shared" si="77"/>
        <v/>
      </c>
    </row>
    <row r="2498" spans="16:27" ht="15" customHeight="1">
      <c r="P2498" t="str">
        <f t="shared" ref="P2498:P2561" si="78">IF(OR(F2498="",H2498="",J2498=""),"",J2498&amp;"|"&amp;F2498&amp;"|"&amp;IF(H2498="W3","W3_"&amp;IF(I2498="","unknown",I2498),H2498))</f>
        <v/>
      </c>
      <c r="Q2498" t="str">
        <f>IF(P2498="","",IFERROR(IF(AND(H2498="W7",OR(F2498="causal",F2498="predictive")),IF(AND(OR(K2498=1,K2498="1"),OR(L2498=1,L2498="1"),OR(M2498=1,M2498="1")),"adequate","partial"),IF(AND(H2498="W4",F2498="predictive",OR(J2498="P2",J2498="P3",J2498="P4")),IF(OR(U2498=1,U2498="1"),"adequate","partial"),INDEX(Fit_Matrix!$B:$B,MATCH(P2498,Fit_Matrix!$A:$A,0)))),"CHECK KEY"))</f>
        <v/>
      </c>
      <c r="U2498" s="10"/>
      <c r="V2498" s="10"/>
      <c r="W2498" s="10"/>
      <c r="X2498" s="10"/>
      <c r="Y2498" s="10"/>
      <c r="Z2498" s="10"/>
      <c r="AA2498" s="11" t="str">
        <f t="shared" ref="AA2498:AA2561" si="79">IF(A2498="","",IF(AND(J2498="P4",F2498="causal"),"P4-CAUSAL",""))</f>
        <v/>
      </c>
    </row>
    <row r="2499" spans="16:27" ht="15" customHeight="1">
      <c r="P2499" t="str">
        <f t="shared" si="78"/>
        <v/>
      </c>
      <c r="Q2499" t="str">
        <f>IF(P2499="","",IFERROR(IF(AND(H2499="W7",OR(F2499="causal",F2499="predictive")),IF(AND(OR(K2499=1,K2499="1"),OR(L2499=1,L2499="1"),OR(M2499=1,M2499="1")),"adequate","partial"),IF(AND(H2499="W4",F2499="predictive",OR(J2499="P2",J2499="P3",J2499="P4")),IF(OR(U2499=1,U2499="1"),"adequate","partial"),INDEX(Fit_Matrix!$B:$B,MATCH(P2499,Fit_Matrix!$A:$A,0)))),"CHECK KEY"))</f>
        <v/>
      </c>
      <c r="U2499" s="10"/>
      <c r="V2499" s="10"/>
      <c r="W2499" s="10"/>
      <c r="X2499" s="10"/>
      <c r="Y2499" s="10"/>
      <c r="Z2499" s="10"/>
      <c r="AA2499" s="11" t="str">
        <f t="shared" si="79"/>
        <v/>
      </c>
    </row>
    <row r="2500" spans="16:27" ht="15" customHeight="1">
      <c r="P2500" t="str">
        <f t="shared" si="78"/>
        <v/>
      </c>
      <c r="Q2500" t="str">
        <f>IF(P2500="","",IFERROR(IF(AND(H2500="W7",OR(F2500="causal",F2500="predictive")),IF(AND(OR(K2500=1,K2500="1"),OR(L2500=1,L2500="1"),OR(M2500=1,M2500="1")),"adequate","partial"),IF(AND(H2500="W4",F2500="predictive",OR(J2500="P2",J2500="P3",J2500="P4")),IF(OR(U2500=1,U2500="1"),"adequate","partial"),INDEX(Fit_Matrix!$B:$B,MATCH(P2500,Fit_Matrix!$A:$A,0)))),"CHECK KEY"))</f>
        <v/>
      </c>
      <c r="U2500" s="10"/>
      <c r="V2500" s="10"/>
      <c r="W2500" s="10"/>
      <c r="X2500" s="10"/>
      <c r="Y2500" s="10"/>
      <c r="Z2500" s="10"/>
      <c r="AA2500" s="11" t="str">
        <f t="shared" si="79"/>
        <v/>
      </c>
    </row>
    <row r="2501" spans="16:27" ht="15" customHeight="1">
      <c r="P2501" t="str">
        <f t="shared" si="78"/>
        <v/>
      </c>
      <c r="Q2501" t="str">
        <f>IF(P2501="","",IFERROR(IF(AND(H2501="W7",OR(F2501="causal",F2501="predictive")),IF(AND(OR(K2501=1,K2501="1"),OR(L2501=1,L2501="1"),OR(M2501=1,M2501="1")),"adequate","partial"),IF(AND(H2501="W4",F2501="predictive",OR(J2501="P2",J2501="P3",J2501="P4")),IF(OR(U2501=1,U2501="1"),"adequate","partial"),INDEX(Fit_Matrix!$B:$B,MATCH(P2501,Fit_Matrix!$A:$A,0)))),"CHECK KEY"))</f>
        <v/>
      </c>
      <c r="U2501" s="10"/>
      <c r="V2501" s="10"/>
      <c r="W2501" s="10"/>
      <c r="X2501" s="10"/>
      <c r="Y2501" s="10"/>
      <c r="Z2501" s="10"/>
      <c r="AA2501" s="11" t="str">
        <f t="shared" si="79"/>
        <v/>
      </c>
    </row>
    <row r="2502" spans="16:27" ht="15" customHeight="1">
      <c r="P2502" t="str">
        <f t="shared" si="78"/>
        <v/>
      </c>
      <c r="Q2502" t="str">
        <f>IF(P2502="","",IFERROR(IF(AND(H2502="W7",OR(F2502="causal",F2502="predictive")),IF(AND(OR(K2502=1,K2502="1"),OR(L2502=1,L2502="1"),OR(M2502=1,M2502="1")),"adequate","partial"),IF(AND(H2502="W4",F2502="predictive",OR(J2502="P2",J2502="P3",J2502="P4")),IF(OR(U2502=1,U2502="1"),"adequate","partial"),INDEX(Fit_Matrix!$B:$B,MATCH(P2502,Fit_Matrix!$A:$A,0)))),"CHECK KEY"))</f>
        <v/>
      </c>
      <c r="U2502" s="10"/>
      <c r="V2502" s="10"/>
      <c r="W2502" s="10"/>
      <c r="X2502" s="10"/>
      <c r="Y2502" s="10"/>
      <c r="Z2502" s="10"/>
      <c r="AA2502" s="11" t="str">
        <f t="shared" si="79"/>
        <v/>
      </c>
    </row>
    <row r="2503" spans="16:27" ht="15" customHeight="1">
      <c r="P2503" t="str">
        <f t="shared" si="78"/>
        <v/>
      </c>
      <c r="Q2503" t="str">
        <f>IF(P2503="","",IFERROR(IF(AND(H2503="W7",OR(F2503="causal",F2503="predictive")),IF(AND(OR(K2503=1,K2503="1"),OR(L2503=1,L2503="1"),OR(M2503=1,M2503="1")),"adequate","partial"),IF(AND(H2503="W4",F2503="predictive",OR(J2503="P2",J2503="P3",J2503="P4")),IF(OR(U2503=1,U2503="1"),"adequate","partial"),INDEX(Fit_Matrix!$B:$B,MATCH(P2503,Fit_Matrix!$A:$A,0)))),"CHECK KEY"))</f>
        <v/>
      </c>
      <c r="U2503" s="10"/>
      <c r="V2503" s="10"/>
      <c r="W2503" s="10"/>
      <c r="X2503" s="10"/>
      <c r="Y2503" s="10"/>
      <c r="Z2503" s="10"/>
      <c r="AA2503" s="11" t="str">
        <f t="shared" si="79"/>
        <v/>
      </c>
    </row>
    <row r="2504" spans="16:27" ht="15" customHeight="1">
      <c r="P2504" t="str">
        <f t="shared" si="78"/>
        <v/>
      </c>
      <c r="Q2504" t="str">
        <f>IF(P2504="","",IFERROR(IF(AND(H2504="W7",OR(F2504="causal",F2504="predictive")),IF(AND(OR(K2504=1,K2504="1"),OR(L2504=1,L2504="1"),OR(M2504=1,M2504="1")),"adequate","partial"),IF(AND(H2504="W4",F2504="predictive",OR(J2504="P2",J2504="P3",J2504="P4")),IF(OR(U2504=1,U2504="1"),"adequate","partial"),INDEX(Fit_Matrix!$B:$B,MATCH(P2504,Fit_Matrix!$A:$A,0)))),"CHECK KEY"))</f>
        <v/>
      </c>
      <c r="U2504" s="10"/>
      <c r="V2504" s="10"/>
      <c r="W2504" s="10"/>
      <c r="X2504" s="10"/>
      <c r="Y2504" s="10"/>
      <c r="Z2504" s="10"/>
      <c r="AA2504" s="11" t="str">
        <f t="shared" si="79"/>
        <v/>
      </c>
    </row>
    <row r="2505" spans="16:27" ht="15" customHeight="1">
      <c r="P2505" t="str">
        <f t="shared" si="78"/>
        <v/>
      </c>
      <c r="Q2505" t="str">
        <f>IF(P2505="","",IFERROR(IF(AND(H2505="W7",OR(F2505="causal",F2505="predictive")),IF(AND(OR(K2505=1,K2505="1"),OR(L2505=1,L2505="1"),OR(M2505=1,M2505="1")),"adequate","partial"),IF(AND(H2505="W4",F2505="predictive",OR(J2505="P2",J2505="P3",J2505="P4")),IF(OR(U2505=1,U2505="1"),"adequate","partial"),INDEX(Fit_Matrix!$B:$B,MATCH(P2505,Fit_Matrix!$A:$A,0)))),"CHECK KEY"))</f>
        <v/>
      </c>
      <c r="U2505" s="10"/>
      <c r="V2505" s="10"/>
      <c r="W2505" s="10"/>
      <c r="X2505" s="10"/>
      <c r="Y2505" s="10"/>
      <c r="Z2505" s="10"/>
      <c r="AA2505" s="11" t="str">
        <f t="shared" si="79"/>
        <v/>
      </c>
    </row>
    <row r="2506" spans="16:27" ht="15" customHeight="1">
      <c r="P2506" t="str">
        <f t="shared" si="78"/>
        <v/>
      </c>
      <c r="Q2506" t="str">
        <f>IF(P2506="","",IFERROR(IF(AND(H2506="W7",OR(F2506="causal",F2506="predictive")),IF(AND(OR(K2506=1,K2506="1"),OR(L2506=1,L2506="1"),OR(M2506=1,M2506="1")),"adequate","partial"),IF(AND(H2506="W4",F2506="predictive",OR(J2506="P2",J2506="P3",J2506="P4")),IF(OR(U2506=1,U2506="1"),"adequate","partial"),INDEX(Fit_Matrix!$B:$B,MATCH(P2506,Fit_Matrix!$A:$A,0)))),"CHECK KEY"))</f>
        <v/>
      </c>
      <c r="U2506" s="10"/>
      <c r="V2506" s="10"/>
      <c r="W2506" s="10"/>
      <c r="X2506" s="10"/>
      <c r="Y2506" s="10"/>
      <c r="Z2506" s="10"/>
      <c r="AA2506" s="11" t="str">
        <f t="shared" si="79"/>
        <v/>
      </c>
    </row>
    <row r="2507" spans="16:27" ht="15" customHeight="1">
      <c r="P2507" t="str">
        <f t="shared" si="78"/>
        <v/>
      </c>
      <c r="Q2507" t="str">
        <f>IF(P2507="","",IFERROR(IF(AND(H2507="W7",OR(F2507="causal",F2507="predictive")),IF(AND(OR(K2507=1,K2507="1"),OR(L2507=1,L2507="1"),OR(M2507=1,M2507="1")),"adequate","partial"),IF(AND(H2507="W4",F2507="predictive",OR(J2507="P2",J2507="P3",J2507="P4")),IF(OR(U2507=1,U2507="1"),"adequate","partial"),INDEX(Fit_Matrix!$B:$B,MATCH(P2507,Fit_Matrix!$A:$A,0)))),"CHECK KEY"))</f>
        <v/>
      </c>
      <c r="U2507" s="10"/>
      <c r="V2507" s="10"/>
      <c r="W2507" s="10"/>
      <c r="X2507" s="10"/>
      <c r="Y2507" s="10"/>
      <c r="Z2507" s="10"/>
      <c r="AA2507" s="11" t="str">
        <f t="shared" si="79"/>
        <v/>
      </c>
    </row>
    <row r="2508" spans="16:27" ht="15" customHeight="1">
      <c r="P2508" t="str">
        <f t="shared" si="78"/>
        <v/>
      </c>
      <c r="Q2508" t="str">
        <f>IF(P2508="","",IFERROR(IF(AND(H2508="W7",OR(F2508="causal",F2508="predictive")),IF(AND(OR(K2508=1,K2508="1"),OR(L2508=1,L2508="1"),OR(M2508=1,M2508="1")),"adequate","partial"),IF(AND(H2508="W4",F2508="predictive",OR(J2508="P2",J2508="P3",J2508="P4")),IF(OR(U2508=1,U2508="1"),"adequate","partial"),INDEX(Fit_Matrix!$B:$B,MATCH(P2508,Fit_Matrix!$A:$A,0)))),"CHECK KEY"))</f>
        <v/>
      </c>
      <c r="U2508" s="10"/>
      <c r="V2508" s="10"/>
      <c r="W2508" s="10"/>
      <c r="X2508" s="10"/>
      <c r="Y2508" s="10"/>
      <c r="Z2508" s="10"/>
      <c r="AA2508" s="11" t="str">
        <f t="shared" si="79"/>
        <v/>
      </c>
    </row>
    <row r="2509" spans="16:27" ht="15" customHeight="1">
      <c r="P2509" t="str">
        <f t="shared" si="78"/>
        <v/>
      </c>
      <c r="Q2509" t="str">
        <f>IF(P2509="","",IFERROR(IF(AND(H2509="W7",OR(F2509="causal",F2509="predictive")),IF(AND(OR(K2509=1,K2509="1"),OR(L2509=1,L2509="1"),OR(M2509=1,M2509="1")),"adequate","partial"),IF(AND(H2509="W4",F2509="predictive",OR(J2509="P2",J2509="P3",J2509="P4")),IF(OR(U2509=1,U2509="1"),"adequate","partial"),INDEX(Fit_Matrix!$B:$B,MATCH(P2509,Fit_Matrix!$A:$A,0)))),"CHECK KEY"))</f>
        <v/>
      </c>
      <c r="U2509" s="10"/>
      <c r="V2509" s="10"/>
      <c r="W2509" s="10"/>
      <c r="X2509" s="10"/>
      <c r="Y2509" s="10"/>
      <c r="Z2509" s="10"/>
      <c r="AA2509" s="11" t="str">
        <f t="shared" si="79"/>
        <v/>
      </c>
    </row>
    <row r="2510" spans="16:27" ht="15" customHeight="1">
      <c r="P2510" t="str">
        <f t="shared" si="78"/>
        <v/>
      </c>
      <c r="Q2510" t="str">
        <f>IF(P2510="","",IFERROR(IF(AND(H2510="W7",OR(F2510="causal",F2510="predictive")),IF(AND(OR(K2510=1,K2510="1"),OR(L2510=1,L2510="1"),OR(M2510=1,M2510="1")),"adequate","partial"),IF(AND(H2510="W4",F2510="predictive",OR(J2510="P2",J2510="P3",J2510="P4")),IF(OR(U2510=1,U2510="1"),"adequate","partial"),INDEX(Fit_Matrix!$B:$B,MATCH(P2510,Fit_Matrix!$A:$A,0)))),"CHECK KEY"))</f>
        <v/>
      </c>
      <c r="U2510" s="10"/>
      <c r="V2510" s="10"/>
      <c r="W2510" s="10"/>
      <c r="X2510" s="10"/>
      <c r="Y2510" s="10"/>
      <c r="Z2510" s="10"/>
      <c r="AA2510" s="11" t="str">
        <f t="shared" si="79"/>
        <v/>
      </c>
    </row>
    <row r="2511" spans="16:27" ht="15" customHeight="1">
      <c r="P2511" t="str">
        <f t="shared" si="78"/>
        <v/>
      </c>
      <c r="Q2511" t="str">
        <f>IF(P2511="","",IFERROR(IF(AND(H2511="W7",OR(F2511="causal",F2511="predictive")),IF(AND(OR(K2511=1,K2511="1"),OR(L2511=1,L2511="1"),OR(M2511=1,M2511="1")),"adequate","partial"),IF(AND(H2511="W4",F2511="predictive",OR(J2511="P2",J2511="P3",J2511="P4")),IF(OR(U2511=1,U2511="1"),"adequate","partial"),INDEX(Fit_Matrix!$B:$B,MATCH(P2511,Fit_Matrix!$A:$A,0)))),"CHECK KEY"))</f>
        <v/>
      </c>
      <c r="U2511" s="10"/>
      <c r="V2511" s="10"/>
      <c r="W2511" s="10"/>
      <c r="X2511" s="10"/>
      <c r="Y2511" s="10"/>
      <c r="Z2511" s="10"/>
      <c r="AA2511" s="11" t="str">
        <f t="shared" si="79"/>
        <v/>
      </c>
    </row>
    <row r="2512" spans="16:27" ht="15" customHeight="1">
      <c r="P2512" t="str">
        <f t="shared" si="78"/>
        <v/>
      </c>
      <c r="Q2512" t="str">
        <f>IF(P2512="","",IFERROR(IF(AND(H2512="W7",OR(F2512="causal",F2512="predictive")),IF(AND(OR(K2512=1,K2512="1"),OR(L2512=1,L2512="1"),OR(M2512=1,M2512="1")),"adequate","partial"),IF(AND(H2512="W4",F2512="predictive",OR(J2512="P2",J2512="P3",J2512="P4")),IF(OR(U2512=1,U2512="1"),"adequate","partial"),INDEX(Fit_Matrix!$B:$B,MATCH(P2512,Fit_Matrix!$A:$A,0)))),"CHECK KEY"))</f>
        <v/>
      </c>
      <c r="U2512" s="10"/>
      <c r="V2512" s="10"/>
      <c r="W2512" s="10"/>
      <c r="X2512" s="10"/>
      <c r="Y2512" s="10"/>
      <c r="Z2512" s="10"/>
      <c r="AA2512" s="11" t="str">
        <f t="shared" si="79"/>
        <v/>
      </c>
    </row>
    <row r="2513" spans="16:27" ht="15" customHeight="1">
      <c r="P2513" t="str">
        <f t="shared" si="78"/>
        <v/>
      </c>
      <c r="Q2513" t="str">
        <f>IF(P2513="","",IFERROR(IF(AND(H2513="W7",OR(F2513="causal",F2513="predictive")),IF(AND(OR(K2513=1,K2513="1"),OR(L2513=1,L2513="1"),OR(M2513=1,M2513="1")),"adequate","partial"),IF(AND(H2513="W4",F2513="predictive",OR(J2513="P2",J2513="P3",J2513="P4")),IF(OR(U2513=1,U2513="1"),"adequate","partial"),INDEX(Fit_Matrix!$B:$B,MATCH(P2513,Fit_Matrix!$A:$A,0)))),"CHECK KEY"))</f>
        <v/>
      </c>
      <c r="U2513" s="10"/>
      <c r="V2513" s="10"/>
      <c r="W2513" s="10"/>
      <c r="X2513" s="10"/>
      <c r="Y2513" s="10"/>
      <c r="Z2513" s="10"/>
      <c r="AA2513" s="11" t="str">
        <f t="shared" si="79"/>
        <v/>
      </c>
    </row>
    <row r="2514" spans="16:27" ht="15" customHeight="1">
      <c r="P2514" t="str">
        <f t="shared" si="78"/>
        <v/>
      </c>
      <c r="Q2514" t="str">
        <f>IF(P2514="","",IFERROR(IF(AND(H2514="W7",OR(F2514="causal",F2514="predictive")),IF(AND(OR(K2514=1,K2514="1"),OR(L2514=1,L2514="1"),OR(M2514=1,M2514="1")),"adequate","partial"),IF(AND(H2514="W4",F2514="predictive",OR(J2514="P2",J2514="P3",J2514="P4")),IF(OR(U2514=1,U2514="1"),"adequate","partial"),INDEX(Fit_Matrix!$B:$B,MATCH(P2514,Fit_Matrix!$A:$A,0)))),"CHECK KEY"))</f>
        <v/>
      </c>
      <c r="U2514" s="10"/>
      <c r="V2514" s="10"/>
      <c r="W2514" s="10"/>
      <c r="X2514" s="10"/>
      <c r="Y2514" s="10"/>
      <c r="Z2514" s="10"/>
      <c r="AA2514" s="11" t="str">
        <f t="shared" si="79"/>
        <v/>
      </c>
    </row>
    <row r="2515" spans="16:27" ht="15" customHeight="1">
      <c r="P2515" t="str">
        <f t="shared" si="78"/>
        <v/>
      </c>
      <c r="Q2515" t="str">
        <f>IF(P2515="","",IFERROR(IF(AND(H2515="W7",OR(F2515="causal",F2515="predictive")),IF(AND(OR(K2515=1,K2515="1"),OR(L2515=1,L2515="1"),OR(M2515=1,M2515="1")),"adequate","partial"),IF(AND(H2515="W4",F2515="predictive",OR(J2515="P2",J2515="P3",J2515="P4")),IF(OR(U2515=1,U2515="1"),"adequate","partial"),INDEX(Fit_Matrix!$B:$B,MATCH(P2515,Fit_Matrix!$A:$A,0)))),"CHECK KEY"))</f>
        <v/>
      </c>
      <c r="U2515" s="10"/>
      <c r="V2515" s="10"/>
      <c r="W2515" s="10"/>
      <c r="X2515" s="10"/>
      <c r="Y2515" s="10"/>
      <c r="Z2515" s="10"/>
      <c r="AA2515" s="11" t="str">
        <f t="shared" si="79"/>
        <v/>
      </c>
    </row>
    <row r="2516" spans="16:27" ht="15" customHeight="1">
      <c r="P2516" t="str">
        <f t="shared" si="78"/>
        <v/>
      </c>
      <c r="Q2516" t="str">
        <f>IF(P2516="","",IFERROR(IF(AND(H2516="W7",OR(F2516="causal",F2516="predictive")),IF(AND(OR(K2516=1,K2516="1"),OR(L2516=1,L2516="1"),OR(M2516=1,M2516="1")),"adequate","partial"),IF(AND(H2516="W4",F2516="predictive",OR(J2516="P2",J2516="P3",J2516="P4")),IF(OR(U2516=1,U2516="1"),"adequate","partial"),INDEX(Fit_Matrix!$B:$B,MATCH(P2516,Fit_Matrix!$A:$A,0)))),"CHECK KEY"))</f>
        <v/>
      </c>
      <c r="U2516" s="10"/>
      <c r="V2516" s="10"/>
      <c r="W2516" s="10"/>
      <c r="X2516" s="10"/>
      <c r="Y2516" s="10"/>
      <c r="Z2516" s="10"/>
      <c r="AA2516" s="11" t="str">
        <f t="shared" si="79"/>
        <v/>
      </c>
    </row>
    <row r="2517" spans="16:27" ht="15" customHeight="1">
      <c r="P2517" t="str">
        <f t="shared" si="78"/>
        <v/>
      </c>
      <c r="Q2517" t="str">
        <f>IF(P2517="","",IFERROR(IF(AND(H2517="W7",OR(F2517="causal",F2517="predictive")),IF(AND(OR(K2517=1,K2517="1"),OR(L2517=1,L2517="1"),OR(M2517=1,M2517="1")),"adequate","partial"),IF(AND(H2517="W4",F2517="predictive",OR(J2517="P2",J2517="P3",J2517="P4")),IF(OR(U2517=1,U2517="1"),"adequate","partial"),INDEX(Fit_Matrix!$B:$B,MATCH(P2517,Fit_Matrix!$A:$A,0)))),"CHECK KEY"))</f>
        <v/>
      </c>
      <c r="U2517" s="10"/>
      <c r="V2517" s="10"/>
      <c r="W2517" s="10"/>
      <c r="X2517" s="10"/>
      <c r="Y2517" s="10"/>
      <c r="Z2517" s="10"/>
      <c r="AA2517" s="11" t="str">
        <f t="shared" si="79"/>
        <v/>
      </c>
    </row>
    <row r="2518" spans="16:27" ht="15" customHeight="1">
      <c r="P2518" t="str">
        <f t="shared" si="78"/>
        <v/>
      </c>
      <c r="Q2518" t="str">
        <f>IF(P2518="","",IFERROR(IF(AND(H2518="W7",OR(F2518="causal",F2518="predictive")),IF(AND(OR(K2518=1,K2518="1"),OR(L2518=1,L2518="1"),OR(M2518=1,M2518="1")),"adequate","partial"),IF(AND(H2518="W4",F2518="predictive",OR(J2518="P2",J2518="P3",J2518="P4")),IF(OR(U2518=1,U2518="1"),"adequate","partial"),INDEX(Fit_Matrix!$B:$B,MATCH(P2518,Fit_Matrix!$A:$A,0)))),"CHECK KEY"))</f>
        <v/>
      </c>
      <c r="U2518" s="10"/>
      <c r="V2518" s="10"/>
      <c r="W2518" s="10"/>
      <c r="X2518" s="10"/>
      <c r="Y2518" s="10"/>
      <c r="Z2518" s="10"/>
      <c r="AA2518" s="11" t="str">
        <f t="shared" si="79"/>
        <v/>
      </c>
    </row>
    <row r="2519" spans="16:27" ht="15" customHeight="1">
      <c r="P2519" t="str">
        <f t="shared" si="78"/>
        <v/>
      </c>
      <c r="Q2519" t="str">
        <f>IF(P2519="","",IFERROR(IF(AND(H2519="W7",OR(F2519="causal",F2519="predictive")),IF(AND(OR(K2519=1,K2519="1"),OR(L2519=1,L2519="1"),OR(M2519=1,M2519="1")),"adequate","partial"),IF(AND(H2519="W4",F2519="predictive",OR(J2519="P2",J2519="P3",J2519="P4")),IF(OR(U2519=1,U2519="1"),"adequate","partial"),INDEX(Fit_Matrix!$B:$B,MATCH(P2519,Fit_Matrix!$A:$A,0)))),"CHECK KEY"))</f>
        <v/>
      </c>
      <c r="U2519" s="10"/>
      <c r="V2519" s="10"/>
      <c r="W2519" s="10"/>
      <c r="X2519" s="10"/>
      <c r="Y2519" s="10"/>
      <c r="Z2519" s="10"/>
      <c r="AA2519" s="11" t="str">
        <f t="shared" si="79"/>
        <v/>
      </c>
    </row>
    <row r="2520" spans="16:27" ht="15" customHeight="1">
      <c r="P2520" t="str">
        <f t="shared" si="78"/>
        <v/>
      </c>
      <c r="Q2520" t="str">
        <f>IF(P2520="","",IFERROR(IF(AND(H2520="W7",OR(F2520="causal",F2520="predictive")),IF(AND(OR(K2520=1,K2520="1"),OR(L2520=1,L2520="1"),OR(M2520=1,M2520="1")),"adequate","partial"),IF(AND(H2520="W4",F2520="predictive",OR(J2520="P2",J2520="P3",J2520="P4")),IF(OR(U2520=1,U2520="1"),"adequate","partial"),INDEX(Fit_Matrix!$B:$B,MATCH(P2520,Fit_Matrix!$A:$A,0)))),"CHECK KEY"))</f>
        <v/>
      </c>
      <c r="U2520" s="10"/>
      <c r="V2520" s="10"/>
      <c r="W2520" s="10"/>
      <c r="X2520" s="10"/>
      <c r="Y2520" s="10"/>
      <c r="Z2520" s="10"/>
      <c r="AA2520" s="11" t="str">
        <f t="shared" si="79"/>
        <v/>
      </c>
    </row>
    <row r="2521" spans="16:27" ht="15" customHeight="1">
      <c r="P2521" t="str">
        <f t="shared" si="78"/>
        <v/>
      </c>
      <c r="Q2521" t="str">
        <f>IF(P2521="","",IFERROR(IF(AND(H2521="W7",OR(F2521="causal",F2521="predictive")),IF(AND(OR(K2521=1,K2521="1"),OR(L2521=1,L2521="1"),OR(M2521=1,M2521="1")),"adequate","partial"),IF(AND(H2521="W4",F2521="predictive",OR(J2521="P2",J2521="P3",J2521="P4")),IF(OR(U2521=1,U2521="1"),"adequate","partial"),INDEX(Fit_Matrix!$B:$B,MATCH(P2521,Fit_Matrix!$A:$A,0)))),"CHECK KEY"))</f>
        <v/>
      </c>
      <c r="U2521" s="10"/>
      <c r="V2521" s="10"/>
      <c r="W2521" s="10"/>
      <c r="X2521" s="10"/>
      <c r="Y2521" s="10"/>
      <c r="Z2521" s="10"/>
      <c r="AA2521" s="11" t="str">
        <f t="shared" si="79"/>
        <v/>
      </c>
    </row>
    <row r="2522" spans="16:27" ht="15" customHeight="1">
      <c r="P2522" t="str">
        <f t="shared" si="78"/>
        <v/>
      </c>
      <c r="Q2522" t="str">
        <f>IF(P2522="","",IFERROR(IF(AND(H2522="W7",OR(F2522="causal",F2522="predictive")),IF(AND(OR(K2522=1,K2522="1"),OR(L2522=1,L2522="1"),OR(M2522=1,M2522="1")),"adequate","partial"),IF(AND(H2522="W4",F2522="predictive",OR(J2522="P2",J2522="P3",J2522="P4")),IF(OR(U2522=1,U2522="1"),"adequate","partial"),INDEX(Fit_Matrix!$B:$B,MATCH(P2522,Fit_Matrix!$A:$A,0)))),"CHECK KEY"))</f>
        <v/>
      </c>
      <c r="U2522" s="10"/>
      <c r="V2522" s="10"/>
      <c r="W2522" s="10"/>
      <c r="X2522" s="10"/>
      <c r="Y2522" s="10"/>
      <c r="Z2522" s="10"/>
      <c r="AA2522" s="11" t="str">
        <f t="shared" si="79"/>
        <v/>
      </c>
    </row>
    <row r="2523" spans="16:27" ht="15" customHeight="1">
      <c r="P2523" t="str">
        <f t="shared" si="78"/>
        <v/>
      </c>
      <c r="Q2523" t="str">
        <f>IF(P2523="","",IFERROR(IF(AND(H2523="W7",OR(F2523="causal",F2523="predictive")),IF(AND(OR(K2523=1,K2523="1"),OR(L2523=1,L2523="1"),OR(M2523=1,M2523="1")),"adequate","partial"),IF(AND(H2523="W4",F2523="predictive",OR(J2523="P2",J2523="P3",J2523="P4")),IF(OR(U2523=1,U2523="1"),"adequate","partial"),INDEX(Fit_Matrix!$B:$B,MATCH(P2523,Fit_Matrix!$A:$A,0)))),"CHECK KEY"))</f>
        <v/>
      </c>
      <c r="U2523" s="10"/>
      <c r="V2523" s="10"/>
      <c r="W2523" s="10"/>
      <c r="X2523" s="10"/>
      <c r="Y2523" s="10"/>
      <c r="Z2523" s="10"/>
      <c r="AA2523" s="11" t="str">
        <f t="shared" si="79"/>
        <v/>
      </c>
    </row>
    <row r="2524" spans="16:27" ht="15" customHeight="1">
      <c r="P2524" t="str">
        <f t="shared" si="78"/>
        <v/>
      </c>
      <c r="Q2524" t="str">
        <f>IF(P2524="","",IFERROR(IF(AND(H2524="W7",OR(F2524="causal",F2524="predictive")),IF(AND(OR(K2524=1,K2524="1"),OR(L2524=1,L2524="1"),OR(M2524=1,M2524="1")),"adequate","partial"),IF(AND(H2524="W4",F2524="predictive",OR(J2524="P2",J2524="P3",J2524="P4")),IF(OR(U2524=1,U2524="1"),"adequate","partial"),INDEX(Fit_Matrix!$B:$B,MATCH(P2524,Fit_Matrix!$A:$A,0)))),"CHECK KEY"))</f>
        <v/>
      </c>
      <c r="U2524" s="10"/>
      <c r="V2524" s="10"/>
      <c r="W2524" s="10"/>
      <c r="X2524" s="10"/>
      <c r="Y2524" s="10"/>
      <c r="Z2524" s="10"/>
      <c r="AA2524" s="11" t="str">
        <f t="shared" si="79"/>
        <v/>
      </c>
    </row>
    <row r="2525" spans="16:27" ht="15" customHeight="1">
      <c r="P2525" t="str">
        <f t="shared" si="78"/>
        <v/>
      </c>
      <c r="Q2525" t="str">
        <f>IF(P2525="","",IFERROR(IF(AND(H2525="W7",OR(F2525="causal",F2525="predictive")),IF(AND(OR(K2525=1,K2525="1"),OR(L2525=1,L2525="1"),OR(M2525=1,M2525="1")),"adequate","partial"),IF(AND(H2525="W4",F2525="predictive",OR(J2525="P2",J2525="P3",J2525="P4")),IF(OR(U2525=1,U2525="1"),"adequate","partial"),INDEX(Fit_Matrix!$B:$B,MATCH(P2525,Fit_Matrix!$A:$A,0)))),"CHECK KEY"))</f>
        <v/>
      </c>
      <c r="U2525" s="10"/>
      <c r="V2525" s="10"/>
      <c r="W2525" s="10"/>
      <c r="X2525" s="10"/>
      <c r="Y2525" s="10"/>
      <c r="Z2525" s="10"/>
      <c r="AA2525" s="11" t="str">
        <f t="shared" si="79"/>
        <v/>
      </c>
    </row>
    <row r="2526" spans="16:27" ht="15" customHeight="1">
      <c r="P2526" t="str">
        <f t="shared" si="78"/>
        <v/>
      </c>
      <c r="Q2526" t="str">
        <f>IF(P2526="","",IFERROR(IF(AND(H2526="W7",OR(F2526="causal",F2526="predictive")),IF(AND(OR(K2526=1,K2526="1"),OR(L2526=1,L2526="1"),OR(M2526=1,M2526="1")),"adequate","partial"),IF(AND(H2526="W4",F2526="predictive",OR(J2526="P2",J2526="P3",J2526="P4")),IF(OR(U2526=1,U2526="1"),"adequate","partial"),INDEX(Fit_Matrix!$B:$B,MATCH(P2526,Fit_Matrix!$A:$A,0)))),"CHECK KEY"))</f>
        <v/>
      </c>
      <c r="U2526" s="10"/>
      <c r="V2526" s="10"/>
      <c r="W2526" s="10"/>
      <c r="X2526" s="10"/>
      <c r="Y2526" s="10"/>
      <c r="Z2526" s="10"/>
      <c r="AA2526" s="11" t="str">
        <f t="shared" si="79"/>
        <v/>
      </c>
    </row>
    <row r="2527" spans="16:27" ht="15" customHeight="1">
      <c r="P2527" t="str">
        <f t="shared" si="78"/>
        <v/>
      </c>
      <c r="Q2527" t="str">
        <f>IF(P2527="","",IFERROR(IF(AND(H2527="W7",OR(F2527="causal",F2527="predictive")),IF(AND(OR(K2527=1,K2527="1"),OR(L2527=1,L2527="1"),OR(M2527=1,M2527="1")),"adequate","partial"),IF(AND(H2527="W4",F2527="predictive",OR(J2527="P2",J2527="P3",J2527="P4")),IF(OR(U2527=1,U2527="1"),"adequate","partial"),INDEX(Fit_Matrix!$B:$B,MATCH(P2527,Fit_Matrix!$A:$A,0)))),"CHECK KEY"))</f>
        <v/>
      </c>
      <c r="U2527" s="10"/>
      <c r="V2527" s="10"/>
      <c r="W2527" s="10"/>
      <c r="X2527" s="10"/>
      <c r="Y2527" s="10"/>
      <c r="Z2527" s="10"/>
      <c r="AA2527" s="11" t="str">
        <f t="shared" si="79"/>
        <v/>
      </c>
    </row>
    <row r="2528" spans="16:27" ht="15" customHeight="1">
      <c r="P2528" t="str">
        <f t="shared" si="78"/>
        <v/>
      </c>
      <c r="Q2528" t="str">
        <f>IF(P2528="","",IFERROR(IF(AND(H2528="W7",OR(F2528="causal",F2528="predictive")),IF(AND(OR(K2528=1,K2528="1"),OR(L2528=1,L2528="1"),OR(M2528=1,M2528="1")),"adequate","partial"),IF(AND(H2528="W4",F2528="predictive",OR(J2528="P2",J2528="P3",J2528="P4")),IF(OR(U2528=1,U2528="1"),"adequate","partial"),INDEX(Fit_Matrix!$B:$B,MATCH(P2528,Fit_Matrix!$A:$A,0)))),"CHECK KEY"))</f>
        <v/>
      </c>
      <c r="U2528" s="10"/>
      <c r="V2528" s="10"/>
      <c r="W2528" s="10"/>
      <c r="X2528" s="10"/>
      <c r="Y2528" s="10"/>
      <c r="Z2528" s="10"/>
      <c r="AA2528" s="11" t="str">
        <f t="shared" si="79"/>
        <v/>
      </c>
    </row>
    <row r="2529" spans="16:27" ht="15" customHeight="1">
      <c r="P2529" t="str">
        <f t="shared" si="78"/>
        <v/>
      </c>
      <c r="Q2529" t="str">
        <f>IF(P2529="","",IFERROR(IF(AND(H2529="W7",OR(F2529="causal",F2529="predictive")),IF(AND(OR(K2529=1,K2529="1"),OR(L2529=1,L2529="1"),OR(M2529=1,M2529="1")),"adequate","partial"),IF(AND(H2529="W4",F2529="predictive",OR(J2529="P2",J2529="P3",J2529="P4")),IF(OR(U2529=1,U2529="1"),"adequate","partial"),INDEX(Fit_Matrix!$B:$B,MATCH(P2529,Fit_Matrix!$A:$A,0)))),"CHECK KEY"))</f>
        <v/>
      </c>
      <c r="U2529" s="10"/>
      <c r="V2529" s="10"/>
      <c r="W2529" s="10"/>
      <c r="X2529" s="10"/>
      <c r="Y2529" s="10"/>
      <c r="Z2529" s="10"/>
      <c r="AA2529" s="11" t="str">
        <f t="shared" si="79"/>
        <v/>
      </c>
    </row>
    <row r="2530" spans="16:27" ht="15" customHeight="1">
      <c r="P2530" t="str">
        <f t="shared" si="78"/>
        <v/>
      </c>
      <c r="Q2530" t="str">
        <f>IF(P2530="","",IFERROR(IF(AND(H2530="W7",OR(F2530="causal",F2530="predictive")),IF(AND(OR(K2530=1,K2530="1"),OR(L2530=1,L2530="1"),OR(M2530=1,M2530="1")),"adequate","partial"),IF(AND(H2530="W4",F2530="predictive",OR(J2530="P2",J2530="P3",J2530="P4")),IF(OR(U2530=1,U2530="1"),"adequate","partial"),INDEX(Fit_Matrix!$B:$B,MATCH(P2530,Fit_Matrix!$A:$A,0)))),"CHECK KEY"))</f>
        <v/>
      </c>
      <c r="U2530" s="10"/>
      <c r="V2530" s="10"/>
      <c r="W2530" s="10"/>
      <c r="X2530" s="10"/>
      <c r="Y2530" s="10"/>
      <c r="Z2530" s="10"/>
      <c r="AA2530" s="11" t="str">
        <f t="shared" si="79"/>
        <v/>
      </c>
    </row>
    <row r="2531" spans="16:27" ht="15" customHeight="1">
      <c r="P2531" t="str">
        <f t="shared" si="78"/>
        <v/>
      </c>
      <c r="Q2531" t="str">
        <f>IF(P2531="","",IFERROR(IF(AND(H2531="W7",OR(F2531="causal",F2531="predictive")),IF(AND(OR(K2531=1,K2531="1"),OR(L2531=1,L2531="1"),OR(M2531=1,M2531="1")),"adequate","partial"),IF(AND(H2531="W4",F2531="predictive",OR(J2531="P2",J2531="P3",J2531="P4")),IF(OR(U2531=1,U2531="1"),"adequate","partial"),INDEX(Fit_Matrix!$B:$B,MATCH(P2531,Fit_Matrix!$A:$A,0)))),"CHECK KEY"))</f>
        <v/>
      </c>
      <c r="U2531" s="10"/>
      <c r="V2531" s="10"/>
      <c r="W2531" s="10"/>
      <c r="X2531" s="10"/>
      <c r="Y2531" s="10"/>
      <c r="Z2531" s="10"/>
      <c r="AA2531" s="11" t="str">
        <f t="shared" si="79"/>
        <v/>
      </c>
    </row>
    <row r="2532" spans="16:27" ht="15" customHeight="1">
      <c r="P2532" t="str">
        <f t="shared" si="78"/>
        <v/>
      </c>
      <c r="Q2532" t="str">
        <f>IF(P2532="","",IFERROR(IF(AND(H2532="W7",OR(F2532="causal",F2532="predictive")),IF(AND(OR(K2532=1,K2532="1"),OR(L2532=1,L2532="1"),OR(M2532=1,M2532="1")),"adequate","partial"),IF(AND(H2532="W4",F2532="predictive",OR(J2532="P2",J2532="P3",J2532="P4")),IF(OR(U2532=1,U2532="1"),"adequate","partial"),INDEX(Fit_Matrix!$B:$B,MATCH(P2532,Fit_Matrix!$A:$A,0)))),"CHECK KEY"))</f>
        <v/>
      </c>
      <c r="U2532" s="10"/>
      <c r="V2532" s="10"/>
      <c r="W2532" s="10"/>
      <c r="X2532" s="10"/>
      <c r="Y2532" s="10"/>
      <c r="Z2532" s="10"/>
      <c r="AA2532" s="11" t="str">
        <f t="shared" si="79"/>
        <v/>
      </c>
    </row>
    <row r="2533" spans="16:27" ht="15" customHeight="1">
      <c r="P2533" t="str">
        <f t="shared" si="78"/>
        <v/>
      </c>
      <c r="Q2533" t="str">
        <f>IF(P2533="","",IFERROR(IF(AND(H2533="W7",OR(F2533="causal",F2533="predictive")),IF(AND(OR(K2533=1,K2533="1"),OR(L2533=1,L2533="1"),OR(M2533=1,M2533="1")),"adequate","partial"),IF(AND(H2533="W4",F2533="predictive",OR(J2533="P2",J2533="P3",J2533="P4")),IF(OR(U2533=1,U2533="1"),"adequate","partial"),INDEX(Fit_Matrix!$B:$B,MATCH(P2533,Fit_Matrix!$A:$A,0)))),"CHECK KEY"))</f>
        <v/>
      </c>
      <c r="U2533" s="10"/>
      <c r="V2533" s="10"/>
      <c r="W2533" s="10"/>
      <c r="X2533" s="10"/>
      <c r="Y2533" s="10"/>
      <c r="Z2533" s="10"/>
      <c r="AA2533" s="11" t="str">
        <f t="shared" si="79"/>
        <v/>
      </c>
    </row>
    <row r="2534" spans="16:27" ht="15" customHeight="1">
      <c r="P2534" t="str">
        <f t="shared" si="78"/>
        <v/>
      </c>
      <c r="Q2534" t="str">
        <f>IF(P2534="","",IFERROR(IF(AND(H2534="W7",OR(F2534="causal",F2534="predictive")),IF(AND(OR(K2534=1,K2534="1"),OR(L2534=1,L2534="1"),OR(M2534=1,M2534="1")),"adequate","partial"),IF(AND(H2534="W4",F2534="predictive",OR(J2534="P2",J2534="P3",J2534="P4")),IF(OR(U2534=1,U2534="1"),"adequate","partial"),INDEX(Fit_Matrix!$B:$B,MATCH(P2534,Fit_Matrix!$A:$A,0)))),"CHECK KEY"))</f>
        <v/>
      </c>
      <c r="U2534" s="10"/>
      <c r="V2534" s="10"/>
      <c r="W2534" s="10"/>
      <c r="X2534" s="10"/>
      <c r="Y2534" s="10"/>
      <c r="Z2534" s="10"/>
      <c r="AA2534" s="11" t="str">
        <f t="shared" si="79"/>
        <v/>
      </c>
    </row>
    <row r="2535" spans="16:27" ht="15" customHeight="1">
      <c r="P2535" t="str">
        <f t="shared" si="78"/>
        <v/>
      </c>
      <c r="Q2535" t="str">
        <f>IF(P2535="","",IFERROR(IF(AND(H2535="W7",OR(F2535="causal",F2535="predictive")),IF(AND(OR(K2535=1,K2535="1"),OR(L2535=1,L2535="1"),OR(M2535=1,M2535="1")),"adequate","partial"),IF(AND(H2535="W4",F2535="predictive",OR(J2535="P2",J2535="P3",J2535="P4")),IF(OR(U2535=1,U2535="1"),"adequate","partial"),INDEX(Fit_Matrix!$B:$B,MATCH(P2535,Fit_Matrix!$A:$A,0)))),"CHECK KEY"))</f>
        <v/>
      </c>
      <c r="U2535" s="10"/>
      <c r="V2535" s="10"/>
      <c r="W2535" s="10"/>
      <c r="X2535" s="10"/>
      <c r="Y2535" s="10"/>
      <c r="Z2535" s="10"/>
      <c r="AA2535" s="11" t="str">
        <f t="shared" si="79"/>
        <v/>
      </c>
    </row>
    <row r="2536" spans="16:27" ht="15" customHeight="1">
      <c r="P2536" t="str">
        <f t="shared" si="78"/>
        <v/>
      </c>
      <c r="Q2536" t="str">
        <f>IF(P2536="","",IFERROR(IF(AND(H2536="W7",OR(F2536="causal",F2536="predictive")),IF(AND(OR(K2536=1,K2536="1"),OR(L2536=1,L2536="1"),OR(M2536=1,M2536="1")),"adequate","partial"),IF(AND(H2536="W4",F2536="predictive",OR(J2536="P2",J2536="P3",J2536="P4")),IF(OR(U2536=1,U2536="1"),"adequate","partial"),INDEX(Fit_Matrix!$B:$B,MATCH(P2536,Fit_Matrix!$A:$A,0)))),"CHECK KEY"))</f>
        <v/>
      </c>
      <c r="U2536" s="10"/>
      <c r="V2536" s="10"/>
      <c r="W2536" s="10"/>
      <c r="X2536" s="10"/>
      <c r="Y2536" s="10"/>
      <c r="Z2536" s="10"/>
      <c r="AA2536" s="11" t="str">
        <f t="shared" si="79"/>
        <v/>
      </c>
    </row>
    <row r="2537" spans="16:27" ht="15" customHeight="1">
      <c r="P2537" t="str">
        <f t="shared" si="78"/>
        <v/>
      </c>
      <c r="Q2537" t="str">
        <f>IF(P2537="","",IFERROR(IF(AND(H2537="W7",OR(F2537="causal",F2537="predictive")),IF(AND(OR(K2537=1,K2537="1"),OR(L2537=1,L2537="1"),OR(M2537=1,M2537="1")),"adequate","partial"),IF(AND(H2537="W4",F2537="predictive",OR(J2537="P2",J2537="P3",J2537="P4")),IF(OR(U2537=1,U2537="1"),"adequate","partial"),INDEX(Fit_Matrix!$B:$B,MATCH(P2537,Fit_Matrix!$A:$A,0)))),"CHECK KEY"))</f>
        <v/>
      </c>
      <c r="U2537" s="10"/>
      <c r="V2537" s="10"/>
      <c r="W2537" s="10"/>
      <c r="X2537" s="10"/>
      <c r="Y2537" s="10"/>
      <c r="Z2537" s="10"/>
      <c r="AA2537" s="11" t="str">
        <f t="shared" si="79"/>
        <v/>
      </c>
    </row>
    <row r="2538" spans="16:27" ht="15" customHeight="1">
      <c r="P2538" t="str">
        <f t="shared" si="78"/>
        <v/>
      </c>
      <c r="Q2538" t="str">
        <f>IF(P2538="","",IFERROR(IF(AND(H2538="W7",OR(F2538="causal",F2538="predictive")),IF(AND(OR(K2538=1,K2538="1"),OR(L2538=1,L2538="1"),OR(M2538=1,M2538="1")),"adequate","partial"),IF(AND(H2538="W4",F2538="predictive",OR(J2538="P2",J2538="P3",J2538="P4")),IF(OR(U2538=1,U2538="1"),"adequate","partial"),INDEX(Fit_Matrix!$B:$B,MATCH(P2538,Fit_Matrix!$A:$A,0)))),"CHECK KEY"))</f>
        <v/>
      </c>
      <c r="U2538" s="10"/>
      <c r="V2538" s="10"/>
      <c r="W2538" s="10"/>
      <c r="X2538" s="10"/>
      <c r="Y2538" s="10"/>
      <c r="Z2538" s="10"/>
      <c r="AA2538" s="11" t="str">
        <f t="shared" si="79"/>
        <v/>
      </c>
    </row>
    <row r="2539" spans="16:27" ht="15" customHeight="1">
      <c r="P2539" t="str">
        <f t="shared" si="78"/>
        <v/>
      </c>
      <c r="Q2539" t="str">
        <f>IF(P2539="","",IFERROR(IF(AND(H2539="W7",OR(F2539="causal",F2539="predictive")),IF(AND(OR(K2539=1,K2539="1"),OR(L2539=1,L2539="1"),OR(M2539=1,M2539="1")),"adequate","partial"),IF(AND(H2539="W4",F2539="predictive",OR(J2539="P2",J2539="P3",J2539="P4")),IF(OR(U2539=1,U2539="1"),"adequate","partial"),INDEX(Fit_Matrix!$B:$B,MATCH(P2539,Fit_Matrix!$A:$A,0)))),"CHECK KEY"))</f>
        <v/>
      </c>
      <c r="U2539" s="10"/>
      <c r="V2539" s="10"/>
      <c r="W2539" s="10"/>
      <c r="X2539" s="10"/>
      <c r="Y2539" s="10"/>
      <c r="Z2539" s="10"/>
      <c r="AA2539" s="11" t="str">
        <f t="shared" si="79"/>
        <v/>
      </c>
    </row>
    <row r="2540" spans="16:27" ht="15" customHeight="1">
      <c r="P2540" t="str">
        <f t="shared" si="78"/>
        <v/>
      </c>
      <c r="Q2540" t="str">
        <f>IF(P2540="","",IFERROR(IF(AND(H2540="W7",OR(F2540="causal",F2540="predictive")),IF(AND(OR(K2540=1,K2540="1"),OR(L2540=1,L2540="1"),OR(M2540=1,M2540="1")),"adequate","partial"),IF(AND(H2540="W4",F2540="predictive",OR(J2540="P2",J2540="P3",J2540="P4")),IF(OR(U2540=1,U2540="1"),"adequate","partial"),INDEX(Fit_Matrix!$B:$B,MATCH(P2540,Fit_Matrix!$A:$A,0)))),"CHECK KEY"))</f>
        <v/>
      </c>
      <c r="U2540" s="10"/>
      <c r="V2540" s="10"/>
      <c r="W2540" s="10"/>
      <c r="X2540" s="10"/>
      <c r="Y2540" s="10"/>
      <c r="Z2540" s="10"/>
      <c r="AA2540" s="11" t="str">
        <f t="shared" si="79"/>
        <v/>
      </c>
    </row>
    <row r="2541" spans="16:27" ht="15" customHeight="1">
      <c r="P2541" t="str">
        <f t="shared" si="78"/>
        <v/>
      </c>
      <c r="Q2541" t="str">
        <f>IF(P2541="","",IFERROR(IF(AND(H2541="W7",OR(F2541="causal",F2541="predictive")),IF(AND(OR(K2541=1,K2541="1"),OR(L2541=1,L2541="1"),OR(M2541=1,M2541="1")),"adequate","partial"),IF(AND(H2541="W4",F2541="predictive",OR(J2541="P2",J2541="P3",J2541="P4")),IF(OR(U2541=1,U2541="1"),"adequate","partial"),INDEX(Fit_Matrix!$B:$B,MATCH(P2541,Fit_Matrix!$A:$A,0)))),"CHECK KEY"))</f>
        <v/>
      </c>
      <c r="U2541" s="10"/>
      <c r="V2541" s="10"/>
      <c r="W2541" s="10"/>
      <c r="X2541" s="10"/>
      <c r="Y2541" s="10"/>
      <c r="Z2541" s="10"/>
      <c r="AA2541" s="11" t="str">
        <f t="shared" si="79"/>
        <v/>
      </c>
    </row>
    <row r="2542" spans="16:27" ht="15" customHeight="1">
      <c r="P2542" t="str">
        <f t="shared" si="78"/>
        <v/>
      </c>
      <c r="Q2542" t="str">
        <f>IF(P2542="","",IFERROR(IF(AND(H2542="W7",OR(F2542="causal",F2542="predictive")),IF(AND(OR(K2542=1,K2542="1"),OR(L2542=1,L2542="1"),OR(M2542=1,M2542="1")),"adequate","partial"),IF(AND(H2542="W4",F2542="predictive",OR(J2542="P2",J2542="P3",J2542="P4")),IF(OR(U2542=1,U2542="1"),"adequate","partial"),INDEX(Fit_Matrix!$B:$B,MATCH(P2542,Fit_Matrix!$A:$A,0)))),"CHECK KEY"))</f>
        <v/>
      </c>
      <c r="U2542" s="10"/>
      <c r="V2542" s="10"/>
      <c r="W2542" s="10"/>
      <c r="X2542" s="10"/>
      <c r="Y2542" s="10"/>
      <c r="Z2542" s="10"/>
      <c r="AA2542" s="11" t="str">
        <f t="shared" si="79"/>
        <v/>
      </c>
    </row>
    <row r="2543" spans="16:27" ht="15" customHeight="1">
      <c r="P2543" t="str">
        <f t="shared" si="78"/>
        <v/>
      </c>
      <c r="Q2543" t="str">
        <f>IF(P2543="","",IFERROR(IF(AND(H2543="W7",OR(F2543="causal",F2543="predictive")),IF(AND(OR(K2543=1,K2543="1"),OR(L2543=1,L2543="1"),OR(M2543=1,M2543="1")),"adequate","partial"),IF(AND(H2543="W4",F2543="predictive",OR(J2543="P2",J2543="P3",J2543="P4")),IF(OR(U2543=1,U2543="1"),"adequate","partial"),INDEX(Fit_Matrix!$B:$B,MATCH(P2543,Fit_Matrix!$A:$A,0)))),"CHECK KEY"))</f>
        <v/>
      </c>
      <c r="U2543" s="10"/>
      <c r="V2543" s="10"/>
      <c r="W2543" s="10"/>
      <c r="X2543" s="10"/>
      <c r="Y2543" s="10"/>
      <c r="Z2543" s="10"/>
      <c r="AA2543" s="11" t="str">
        <f t="shared" si="79"/>
        <v/>
      </c>
    </row>
    <row r="2544" spans="16:27" ht="15" customHeight="1">
      <c r="P2544" t="str">
        <f t="shared" si="78"/>
        <v/>
      </c>
      <c r="Q2544" t="str">
        <f>IF(P2544="","",IFERROR(IF(AND(H2544="W7",OR(F2544="causal",F2544="predictive")),IF(AND(OR(K2544=1,K2544="1"),OR(L2544=1,L2544="1"),OR(M2544=1,M2544="1")),"adequate","partial"),IF(AND(H2544="W4",F2544="predictive",OR(J2544="P2",J2544="P3",J2544="P4")),IF(OR(U2544=1,U2544="1"),"adequate","partial"),INDEX(Fit_Matrix!$B:$B,MATCH(P2544,Fit_Matrix!$A:$A,0)))),"CHECK KEY"))</f>
        <v/>
      </c>
      <c r="U2544" s="10"/>
      <c r="V2544" s="10"/>
      <c r="W2544" s="10"/>
      <c r="X2544" s="10"/>
      <c r="Y2544" s="10"/>
      <c r="Z2544" s="10"/>
      <c r="AA2544" s="11" t="str">
        <f t="shared" si="79"/>
        <v/>
      </c>
    </row>
    <row r="2545" spans="16:27" ht="15" customHeight="1">
      <c r="P2545" t="str">
        <f t="shared" si="78"/>
        <v/>
      </c>
      <c r="Q2545" t="str">
        <f>IF(P2545="","",IFERROR(IF(AND(H2545="W7",OR(F2545="causal",F2545="predictive")),IF(AND(OR(K2545=1,K2545="1"),OR(L2545=1,L2545="1"),OR(M2545=1,M2545="1")),"adequate","partial"),IF(AND(H2545="W4",F2545="predictive",OR(J2545="P2",J2545="P3",J2545="P4")),IF(OR(U2545=1,U2545="1"),"adequate","partial"),INDEX(Fit_Matrix!$B:$B,MATCH(P2545,Fit_Matrix!$A:$A,0)))),"CHECK KEY"))</f>
        <v/>
      </c>
      <c r="U2545" s="10"/>
      <c r="V2545" s="10"/>
      <c r="W2545" s="10"/>
      <c r="X2545" s="10"/>
      <c r="Y2545" s="10"/>
      <c r="Z2545" s="10"/>
      <c r="AA2545" s="11" t="str">
        <f t="shared" si="79"/>
        <v/>
      </c>
    </row>
    <row r="2546" spans="16:27" ht="15" customHeight="1">
      <c r="P2546" t="str">
        <f t="shared" si="78"/>
        <v/>
      </c>
      <c r="Q2546" t="str">
        <f>IF(P2546="","",IFERROR(IF(AND(H2546="W7",OR(F2546="causal",F2546="predictive")),IF(AND(OR(K2546=1,K2546="1"),OR(L2546=1,L2546="1"),OR(M2546=1,M2546="1")),"adequate","partial"),IF(AND(H2546="W4",F2546="predictive",OR(J2546="P2",J2546="P3",J2546="P4")),IF(OR(U2546=1,U2546="1"),"adequate","partial"),INDEX(Fit_Matrix!$B:$B,MATCH(P2546,Fit_Matrix!$A:$A,0)))),"CHECK KEY"))</f>
        <v/>
      </c>
      <c r="U2546" s="10"/>
      <c r="V2546" s="10"/>
      <c r="W2546" s="10"/>
      <c r="X2546" s="10"/>
      <c r="Y2546" s="10"/>
      <c r="Z2546" s="10"/>
      <c r="AA2546" s="11" t="str">
        <f t="shared" si="79"/>
        <v/>
      </c>
    </row>
    <row r="2547" spans="16:27" ht="15" customHeight="1">
      <c r="P2547" t="str">
        <f t="shared" si="78"/>
        <v/>
      </c>
      <c r="Q2547" t="str">
        <f>IF(P2547="","",IFERROR(IF(AND(H2547="W7",OR(F2547="causal",F2547="predictive")),IF(AND(OR(K2547=1,K2547="1"),OR(L2547=1,L2547="1"),OR(M2547=1,M2547="1")),"adequate","partial"),IF(AND(H2547="W4",F2547="predictive",OR(J2547="P2",J2547="P3",J2547="P4")),IF(OR(U2547=1,U2547="1"),"adequate","partial"),INDEX(Fit_Matrix!$B:$B,MATCH(P2547,Fit_Matrix!$A:$A,0)))),"CHECK KEY"))</f>
        <v/>
      </c>
      <c r="U2547" s="10"/>
      <c r="V2547" s="10"/>
      <c r="W2547" s="10"/>
      <c r="X2547" s="10"/>
      <c r="Y2547" s="10"/>
      <c r="Z2547" s="10"/>
      <c r="AA2547" s="11" t="str">
        <f t="shared" si="79"/>
        <v/>
      </c>
    </row>
    <row r="2548" spans="16:27" ht="15" customHeight="1">
      <c r="P2548" t="str">
        <f t="shared" si="78"/>
        <v/>
      </c>
      <c r="Q2548" t="str">
        <f>IF(P2548="","",IFERROR(IF(AND(H2548="W7",OR(F2548="causal",F2548="predictive")),IF(AND(OR(K2548=1,K2548="1"),OR(L2548=1,L2548="1"),OR(M2548=1,M2548="1")),"adequate","partial"),IF(AND(H2548="W4",F2548="predictive",OR(J2548="P2",J2548="P3",J2548="P4")),IF(OR(U2548=1,U2548="1"),"adequate","partial"),INDEX(Fit_Matrix!$B:$B,MATCH(P2548,Fit_Matrix!$A:$A,0)))),"CHECK KEY"))</f>
        <v/>
      </c>
      <c r="U2548" s="10"/>
      <c r="V2548" s="10"/>
      <c r="W2548" s="10"/>
      <c r="X2548" s="10"/>
      <c r="Y2548" s="10"/>
      <c r="Z2548" s="10"/>
      <c r="AA2548" s="11" t="str">
        <f t="shared" si="79"/>
        <v/>
      </c>
    </row>
    <row r="2549" spans="16:27" ht="15" customHeight="1">
      <c r="P2549" t="str">
        <f t="shared" si="78"/>
        <v/>
      </c>
      <c r="Q2549" t="str">
        <f>IF(P2549="","",IFERROR(IF(AND(H2549="W7",OR(F2549="causal",F2549="predictive")),IF(AND(OR(K2549=1,K2549="1"),OR(L2549=1,L2549="1"),OR(M2549=1,M2549="1")),"adequate","partial"),IF(AND(H2549="W4",F2549="predictive",OR(J2549="P2",J2549="P3",J2549="P4")),IF(OR(U2549=1,U2549="1"),"adequate","partial"),INDEX(Fit_Matrix!$B:$B,MATCH(P2549,Fit_Matrix!$A:$A,0)))),"CHECK KEY"))</f>
        <v/>
      </c>
      <c r="U2549" s="10"/>
      <c r="V2549" s="10"/>
      <c r="W2549" s="10"/>
      <c r="X2549" s="10"/>
      <c r="Y2549" s="10"/>
      <c r="Z2549" s="10"/>
      <c r="AA2549" s="11" t="str">
        <f t="shared" si="79"/>
        <v/>
      </c>
    </row>
    <row r="2550" spans="16:27" ht="15" customHeight="1">
      <c r="P2550" t="str">
        <f t="shared" si="78"/>
        <v/>
      </c>
      <c r="Q2550" t="str">
        <f>IF(P2550="","",IFERROR(IF(AND(H2550="W7",OR(F2550="causal",F2550="predictive")),IF(AND(OR(K2550=1,K2550="1"),OR(L2550=1,L2550="1"),OR(M2550=1,M2550="1")),"adequate","partial"),IF(AND(H2550="W4",F2550="predictive",OR(J2550="P2",J2550="P3",J2550="P4")),IF(OR(U2550=1,U2550="1"),"adequate","partial"),INDEX(Fit_Matrix!$B:$B,MATCH(P2550,Fit_Matrix!$A:$A,0)))),"CHECK KEY"))</f>
        <v/>
      </c>
      <c r="U2550" s="10"/>
      <c r="V2550" s="10"/>
      <c r="W2550" s="10"/>
      <c r="X2550" s="10"/>
      <c r="Y2550" s="10"/>
      <c r="Z2550" s="10"/>
      <c r="AA2550" s="11" t="str">
        <f t="shared" si="79"/>
        <v/>
      </c>
    </row>
    <row r="2551" spans="16:27" ht="15" customHeight="1">
      <c r="P2551" t="str">
        <f t="shared" si="78"/>
        <v/>
      </c>
      <c r="Q2551" t="str">
        <f>IF(P2551="","",IFERROR(IF(AND(H2551="W7",OR(F2551="causal",F2551="predictive")),IF(AND(OR(K2551=1,K2551="1"),OR(L2551=1,L2551="1"),OR(M2551=1,M2551="1")),"adequate","partial"),IF(AND(H2551="W4",F2551="predictive",OR(J2551="P2",J2551="P3",J2551="P4")),IF(OR(U2551=1,U2551="1"),"adequate","partial"),INDEX(Fit_Matrix!$B:$B,MATCH(P2551,Fit_Matrix!$A:$A,0)))),"CHECK KEY"))</f>
        <v/>
      </c>
      <c r="U2551" s="10"/>
      <c r="V2551" s="10"/>
      <c r="W2551" s="10"/>
      <c r="X2551" s="10"/>
      <c r="Y2551" s="10"/>
      <c r="Z2551" s="10"/>
      <c r="AA2551" s="11" t="str">
        <f t="shared" si="79"/>
        <v/>
      </c>
    </row>
    <row r="2552" spans="16:27" ht="15" customHeight="1">
      <c r="P2552" t="str">
        <f t="shared" si="78"/>
        <v/>
      </c>
      <c r="Q2552" t="str">
        <f>IF(P2552="","",IFERROR(IF(AND(H2552="W7",OR(F2552="causal",F2552="predictive")),IF(AND(OR(K2552=1,K2552="1"),OR(L2552=1,L2552="1"),OR(M2552=1,M2552="1")),"adequate","partial"),IF(AND(H2552="W4",F2552="predictive",OR(J2552="P2",J2552="P3",J2552="P4")),IF(OR(U2552=1,U2552="1"),"adequate","partial"),INDEX(Fit_Matrix!$B:$B,MATCH(P2552,Fit_Matrix!$A:$A,0)))),"CHECK KEY"))</f>
        <v/>
      </c>
      <c r="U2552" s="10"/>
      <c r="V2552" s="10"/>
      <c r="W2552" s="10"/>
      <c r="X2552" s="10"/>
      <c r="Y2552" s="10"/>
      <c r="Z2552" s="10"/>
      <c r="AA2552" s="11" t="str">
        <f t="shared" si="79"/>
        <v/>
      </c>
    </row>
    <row r="2553" spans="16:27" ht="15" customHeight="1">
      <c r="P2553" t="str">
        <f t="shared" si="78"/>
        <v/>
      </c>
      <c r="Q2553" t="str">
        <f>IF(P2553="","",IFERROR(IF(AND(H2553="W7",OR(F2553="causal",F2553="predictive")),IF(AND(OR(K2553=1,K2553="1"),OR(L2553=1,L2553="1"),OR(M2553=1,M2553="1")),"adequate","partial"),IF(AND(H2553="W4",F2553="predictive",OR(J2553="P2",J2553="P3",J2553="P4")),IF(OR(U2553=1,U2553="1"),"adequate","partial"),INDEX(Fit_Matrix!$B:$B,MATCH(P2553,Fit_Matrix!$A:$A,0)))),"CHECK KEY"))</f>
        <v/>
      </c>
      <c r="U2553" s="10"/>
      <c r="V2553" s="10"/>
      <c r="W2553" s="10"/>
      <c r="X2553" s="10"/>
      <c r="Y2553" s="10"/>
      <c r="Z2553" s="10"/>
      <c r="AA2553" s="11" t="str">
        <f t="shared" si="79"/>
        <v/>
      </c>
    </row>
    <row r="2554" spans="16:27" ht="15" customHeight="1">
      <c r="P2554" t="str">
        <f t="shared" si="78"/>
        <v/>
      </c>
      <c r="Q2554" t="str">
        <f>IF(P2554="","",IFERROR(IF(AND(H2554="W7",OR(F2554="causal",F2554="predictive")),IF(AND(OR(K2554=1,K2554="1"),OR(L2554=1,L2554="1"),OR(M2554=1,M2554="1")),"adequate","partial"),IF(AND(H2554="W4",F2554="predictive",OR(J2554="P2",J2554="P3",J2554="P4")),IF(OR(U2554=1,U2554="1"),"adequate","partial"),INDEX(Fit_Matrix!$B:$B,MATCH(P2554,Fit_Matrix!$A:$A,0)))),"CHECK KEY"))</f>
        <v/>
      </c>
      <c r="U2554" s="10"/>
      <c r="V2554" s="10"/>
      <c r="W2554" s="10"/>
      <c r="X2554" s="10"/>
      <c r="Y2554" s="10"/>
      <c r="Z2554" s="10"/>
      <c r="AA2554" s="11" t="str">
        <f t="shared" si="79"/>
        <v/>
      </c>
    </row>
    <row r="2555" spans="16:27" ht="15" customHeight="1">
      <c r="P2555" t="str">
        <f t="shared" si="78"/>
        <v/>
      </c>
      <c r="Q2555" t="str">
        <f>IF(P2555="","",IFERROR(IF(AND(H2555="W7",OR(F2555="causal",F2555="predictive")),IF(AND(OR(K2555=1,K2555="1"),OR(L2555=1,L2555="1"),OR(M2555=1,M2555="1")),"adequate","partial"),IF(AND(H2555="W4",F2555="predictive",OR(J2555="P2",J2555="P3",J2555="P4")),IF(OR(U2555=1,U2555="1"),"adequate","partial"),INDEX(Fit_Matrix!$B:$B,MATCH(P2555,Fit_Matrix!$A:$A,0)))),"CHECK KEY"))</f>
        <v/>
      </c>
      <c r="U2555" s="10"/>
      <c r="V2555" s="10"/>
      <c r="W2555" s="10"/>
      <c r="X2555" s="10"/>
      <c r="Y2555" s="10"/>
      <c r="Z2555" s="10"/>
      <c r="AA2555" s="11" t="str">
        <f t="shared" si="79"/>
        <v/>
      </c>
    </row>
    <row r="2556" spans="16:27" ht="15" customHeight="1">
      <c r="P2556" t="str">
        <f t="shared" si="78"/>
        <v/>
      </c>
      <c r="Q2556" t="str">
        <f>IF(P2556="","",IFERROR(IF(AND(H2556="W7",OR(F2556="causal",F2556="predictive")),IF(AND(OR(K2556=1,K2556="1"),OR(L2556=1,L2556="1"),OR(M2556=1,M2556="1")),"adequate","partial"),IF(AND(H2556="W4",F2556="predictive",OR(J2556="P2",J2556="P3",J2556="P4")),IF(OR(U2556=1,U2556="1"),"adequate","partial"),INDEX(Fit_Matrix!$B:$B,MATCH(P2556,Fit_Matrix!$A:$A,0)))),"CHECK KEY"))</f>
        <v/>
      </c>
      <c r="U2556" s="10"/>
      <c r="V2556" s="10"/>
      <c r="W2556" s="10"/>
      <c r="X2556" s="10"/>
      <c r="Y2556" s="10"/>
      <c r="Z2556" s="10"/>
      <c r="AA2556" s="11" t="str">
        <f t="shared" si="79"/>
        <v/>
      </c>
    </row>
    <row r="2557" spans="16:27" ht="15" customHeight="1">
      <c r="P2557" t="str">
        <f t="shared" si="78"/>
        <v/>
      </c>
      <c r="Q2557" t="str">
        <f>IF(P2557="","",IFERROR(IF(AND(H2557="W7",OR(F2557="causal",F2557="predictive")),IF(AND(OR(K2557=1,K2557="1"),OR(L2557=1,L2557="1"),OR(M2557=1,M2557="1")),"adequate","partial"),IF(AND(H2557="W4",F2557="predictive",OR(J2557="P2",J2557="P3",J2557="P4")),IF(OR(U2557=1,U2557="1"),"adequate","partial"),INDEX(Fit_Matrix!$B:$B,MATCH(P2557,Fit_Matrix!$A:$A,0)))),"CHECK KEY"))</f>
        <v/>
      </c>
      <c r="U2557" s="10"/>
      <c r="V2557" s="10"/>
      <c r="W2557" s="10"/>
      <c r="X2557" s="10"/>
      <c r="Y2557" s="10"/>
      <c r="Z2557" s="10"/>
      <c r="AA2557" s="11" t="str">
        <f t="shared" si="79"/>
        <v/>
      </c>
    </row>
    <row r="2558" spans="16:27" ht="15" customHeight="1">
      <c r="P2558" t="str">
        <f t="shared" si="78"/>
        <v/>
      </c>
      <c r="Q2558" t="str">
        <f>IF(P2558="","",IFERROR(IF(AND(H2558="W7",OR(F2558="causal",F2558="predictive")),IF(AND(OR(K2558=1,K2558="1"),OR(L2558=1,L2558="1"),OR(M2558=1,M2558="1")),"adequate","partial"),IF(AND(H2558="W4",F2558="predictive",OR(J2558="P2",J2558="P3",J2558="P4")),IF(OR(U2558=1,U2558="1"),"adequate","partial"),INDEX(Fit_Matrix!$B:$B,MATCH(P2558,Fit_Matrix!$A:$A,0)))),"CHECK KEY"))</f>
        <v/>
      </c>
      <c r="U2558" s="10"/>
      <c r="V2558" s="10"/>
      <c r="W2558" s="10"/>
      <c r="X2558" s="10"/>
      <c r="Y2558" s="10"/>
      <c r="Z2558" s="10"/>
      <c r="AA2558" s="11" t="str">
        <f t="shared" si="79"/>
        <v/>
      </c>
    </row>
    <row r="2559" spans="16:27" ht="15" customHeight="1">
      <c r="P2559" t="str">
        <f t="shared" si="78"/>
        <v/>
      </c>
      <c r="Q2559" t="str">
        <f>IF(P2559="","",IFERROR(IF(AND(H2559="W7",OR(F2559="causal",F2559="predictive")),IF(AND(OR(K2559=1,K2559="1"),OR(L2559=1,L2559="1"),OR(M2559=1,M2559="1")),"adequate","partial"),IF(AND(H2559="W4",F2559="predictive",OR(J2559="P2",J2559="P3",J2559="P4")),IF(OR(U2559=1,U2559="1"),"adequate","partial"),INDEX(Fit_Matrix!$B:$B,MATCH(P2559,Fit_Matrix!$A:$A,0)))),"CHECK KEY"))</f>
        <v/>
      </c>
      <c r="U2559" s="10"/>
      <c r="V2559" s="10"/>
      <c r="W2559" s="10"/>
      <c r="X2559" s="10"/>
      <c r="Y2559" s="10"/>
      <c r="Z2559" s="10"/>
      <c r="AA2559" s="11" t="str">
        <f t="shared" si="79"/>
        <v/>
      </c>
    </row>
    <row r="2560" spans="16:27" ht="15" customHeight="1">
      <c r="P2560" t="str">
        <f t="shared" si="78"/>
        <v/>
      </c>
      <c r="Q2560" t="str">
        <f>IF(P2560="","",IFERROR(IF(AND(H2560="W7",OR(F2560="causal",F2560="predictive")),IF(AND(OR(K2560=1,K2560="1"),OR(L2560=1,L2560="1"),OR(M2560=1,M2560="1")),"adequate","partial"),IF(AND(H2560="W4",F2560="predictive",OR(J2560="P2",J2560="P3",J2560="P4")),IF(OR(U2560=1,U2560="1"),"adequate","partial"),INDEX(Fit_Matrix!$B:$B,MATCH(P2560,Fit_Matrix!$A:$A,0)))),"CHECK KEY"))</f>
        <v/>
      </c>
      <c r="U2560" s="10"/>
      <c r="V2560" s="10"/>
      <c r="W2560" s="10"/>
      <c r="X2560" s="10"/>
      <c r="Y2560" s="10"/>
      <c r="Z2560" s="10"/>
      <c r="AA2560" s="11" t="str">
        <f t="shared" si="79"/>
        <v/>
      </c>
    </row>
    <row r="2561" spans="16:27" ht="15" customHeight="1">
      <c r="P2561" t="str">
        <f t="shared" si="78"/>
        <v/>
      </c>
      <c r="Q2561" t="str">
        <f>IF(P2561="","",IFERROR(IF(AND(H2561="W7",OR(F2561="causal",F2561="predictive")),IF(AND(OR(K2561=1,K2561="1"),OR(L2561=1,L2561="1"),OR(M2561=1,M2561="1")),"adequate","partial"),IF(AND(H2561="W4",F2561="predictive",OR(J2561="P2",J2561="P3",J2561="P4")),IF(OR(U2561=1,U2561="1"),"adequate","partial"),INDEX(Fit_Matrix!$B:$B,MATCH(P2561,Fit_Matrix!$A:$A,0)))),"CHECK KEY"))</f>
        <v/>
      </c>
      <c r="U2561" s="10"/>
      <c r="V2561" s="10"/>
      <c r="W2561" s="10"/>
      <c r="X2561" s="10"/>
      <c r="Y2561" s="10"/>
      <c r="Z2561" s="10"/>
      <c r="AA2561" s="11" t="str">
        <f t="shared" si="79"/>
        <v/>
      </c>
    </row>
    <row r="2562" spans="16:27" ht="15" customHeight="1">
      <c r="P2562" t="str">
        <f t="shared" ref="P2562:P2625" si="80">IF(OR(F2562="",H2562="",J2562=""),"",J2562&amp;"|"&amp;F2562&amp;"|"&amp;IF(H2562="W3","W3_"&amp;IF(I2562="","unknown",I2562),H2562))</f>
        <v/>
      </c>
      <c r="Q2562" t="str">
        <f>IF(P2562="","",IFERROR(IF(AND(H2562="W7",OR(F2562="causal",F2562="predictive")),IF(AND(OR(K2562=1,K2562="1"),OR(L2562=1,L2562="1"),OR(M2562=1,M2562="1")),"adequate","partial"),IF(AND(H2562="W4",F2562="predictive",OR(J2562="P2",J2562="P3",J2562="P4")),IF(OR(U2562=1,U2562="1"),"adequate","partial"),INDEX(Fit_Matrix!$B:$B,MATCH(P2562,Fit_Matrix!$A:$A,0)))),"CHECK KEY"))</f>
        <v/>
      </c>
      <c r="U2562" s="10"/>
      <c r="V2562" s="10"/>
      <c r="W2562" s="10"/>
      <c r="X2562" s="10"/>
      <c r="Y2562" s="10"/>
      <c r="Z2562" s="10"/>
      <c r="AA2562" s="11" t="str">
        <f t="shared" ref="AA2562:AA2625" si="81">IF(A2562="","",IF(AND(J2562="P4",F2562="causal"),"P4-CAUSAL",""))</f>
        <v/>
      </c>
    </row>
    <row r="2563" spans="16:27" ht="15" customHeight="1">
      <c r="P2563" t="str">
        <f t="shared" si="80"/>
        <v/>
      </c>
      <c r="Q2563" t="str">
        <f>IF(P2563="","",IFERROR(IF(AND(H2563="W7",OR(F2563="causal",F2563="predictive")),IF(AND(OR(K2563=1,K2563="1"),OR(L2563=1,L2563="1"),OR(M2563=1,M2563="1")),"adequate","partial"),IF(AND(H2563="W4",F2563="predictive",OR(J2563="P2",J2563="P3",J2563="P4")),IF(OR(U2563=1,U2563="1"),"adequate","partial"),INDEX(Fit_Matrix!$B:$B,MATCH(P2563,Fit_Matrix!$A:$A,0)))),"CHECK KEY"))</f>
        <v/>
      </c>
      <c r="U2563" s="10"/>
      <c r="V2563" s="10"/>
      <c r="W2563" s="10"/>
      <c r="X2563" s="10"/>
      <c r="Y2563" s="10"/>
      <c r="Z2563" s="10"/>
      <c r="AA2563" s="11" t="str">
        <f t="shared" si="81"/>
        <v/>
      </c>
    </row>
    <row r="2564" spans="16:27" ht="15" customHeight="1">
      <c r="P2564" t="str">
        <f t="shared" si="80"/>
        <v/>
      </c>
      <c r="Q2564" t="str">
        <f>IF(P2564="","",IFERROR(IF(AND(H2564="W7",OR(F2564="causal",F2564="predictive")),IF(AND(OR(K2564=1,K2564="1"),OR(L2564=1,L2564="1"),OR(M2564=1,M2564="1")),"adequate","partial"),IF(AND(H2564="W4",F2564="predictive",OR(J2564="P2",J2564="P3",J2564="P4")),IF(OR(U2564=1,U2564="1"),"adequate","partial"),INDEX(Fit_Matrix!$B:$B,MATCH(P2564,Fit_Matrix!$A:$A,0)))),"CHECK KEY"))</f>
        <v/>
      </c>
      <c r="U2564" s="10"/>
      <c r="V2564" s="10"/>
      <c r="W2564" s="10"/>
      <c r="X2564" s="10"/>
      <c r="Y2564" s="10"/>
      <c r="Z2564" s="10"/>
      <c r="AA2564" s="11" t="str">
        <f t="shared" si="81"/>
        <v/>
      </c>
    </row>
    <row r="2565" spans="16:27" ht="15" customHeight="1">
      <c r="P2565" t="str">
        <f t="shared" si="80"/>
        <v/>
      </c>
      <c r="Q2565" t="str">
        <f>IF(P2565="","",IFERROR(IF(AND(H2565="W7",OR(F2565="causal",F2565="predictive")),IF(AND(OR(K2565=1,K2565="1"),OR(L2565=1,L2565="1"),OR(M2565=1,M2565="1")),"adequate","partial"),IF(AND(H2565="W4",F2565="predictive",OR(J2565="P2",J2565="P3",J2565="P4")),IF(OR(U2565=1,U2565="1"),"adequate","partial"),INDEX(Fit_Matrix!$B:$B,MATCH(P2565,Fit_Matrix!$A:$A,0)))),"CHECK KEY"))</f>
        <v/>
      </c>
      <c r="U2565" s="10"/>
      <c r="V2565" s="10"/>
      <c r="W2565" s="10"/>
      <c r="X2565" s="10"/>
      <c r="Y2565" s="10"/>
      <c r="Z2565" s="10"/>
      <c r="AA2565" s="11" t="str">
        <f t="shared" si="81"/>
        <v/>
      </c>
    </row>
    <row r="2566" spans="16:27" ht="15" customHeight="1">
      <c r="P2566" t="str">
        <f t="shared" si="80"/>
        <v/>
      </c>
      <c r="Q2566" t="str">
        <f>IF(P2566="","",IFERROR(IF(AND(H2566="W7",OR(F2566="causal",F2566="predictive")),IF(AND(OR(K2566=1,K2566="1"),OR(L2566=1,L2566="1"),OR(M2566=1,M2566="1")),"adequate","partial"),IF(AND(H2566="W4",F2566="predictive",OR(J2566="P2",J2566="P3",J2566="P4")),IF(OR(U2566=1,U2566="1"),"adequate","partial"),INDEX(Fit_Matrix!$B:$B,MATCH(P2566,Fit_Matrix!$A:$A,0)))),"CHECK KEY"))</f>
        <v/>
      </c>
      <c r="U2566" s="10"/>
      <c r="V2566" s="10"/>
      <c r="W2566" s="10"/>
      <c r="X2566" s="10"/>
      <c r="Y2566" s="10"/>
      <c r="Z2566" s="10"/>
      <c r="AA2566" s="11" t="str">
        <f t="shared" si="81"/>
        <v/>
      </c>
    </row>
    <row r="2567" spans="16:27" ht="15" customHeight="1">
      <c r="P2567" t="str">
        <f t="shared" si="80"/>
        <v/>
      </c>
      <c r="Q2567" t="str">
        <f>IF(P2567="","",IFERROR(IF(AND(H2567="W7",OR(F2567="causal",F2567="predictive")),IF(AND(OR(K2567=1,K2567="1"),OR(L2567=1,L2567="1"),OR(M2567=1,M2567="1")),"adequate","partial"),IF(AND(H2567="W4",F2567="predictive",OR(J2567="P2",J2567="P3",J2567="P4")),IF(OR(U2567=1,U2567="1"),"adequate","partial"),INDEX(Fit_Matrix!$B:$B,MATCH(P2567,Fit_Matrix!$A:$A,0)))),"CHECK KEY"))</f>
        <v/>
      </c>
      <c r="U2567" s="10"/>
      <c r="V2567" s="10"/>
      <c r="W2567" s="10"/>
      <c r="X2567" s="10"/>
      <c r="Y2567" s="10"/>
      <c r="Z2567" s="10"/>
      <c r="AA2567" s="11" t="str">
        <f t="shared" si="81"/>
        <v/>
      </c>
    </row>
    <row r="2568" spans="16:27" ht="15" customHeight="1">
      <c r="P2568" t="str">
        <f t="shared" si="80"/>
        <v/>
      </c>
      <c r="Q2568" t="str">
        <f>IF(P2568="","",IFERROR(IF(AND(H2568="W7",OR(F2568="causal",F2568="predictive")),IF(AND(OR(K2568=1,K2568="1"),OR(L2568=1,L2568="1"),OR(M2568=1,M2568="1")),"adequate","partial"),IF(AND(H2568="W4",F2568="predictive",OR(J2568="P2",J2568="P3",J2568="P4")),IF(OR(U2568=1,U2568="1"),"adequate","partial"),INDEX(Fit_Matrix!$B:$B,MATCH(P2568,Fit_Matrix!$A:$A,0)))),"CHECK KEY"))</f>
        <v/>
      </c>
      <c r="U2568" s="10"/>
      <c r="V2568" s="10"/>
      <c r="W2568" s="10"/>
      <c r="X2568" s="10"/>
      <c r="Y2568" s="10"/>
      <c r="Z2568" s="10"/>
      <c r="AA2568" s="11" t="str">
        <f t="shared" si="81"/>
        <v/>
      </c>
    </row>
    <row r="2569" spans="16:27" ht="15" customHeight="1">
      <c r="P2569" t="str">
        <f t="shared" si="80"/>
        <v/>
      </c>
      <c r="Q2569" t="str">
        <f>IF(P2569="","",IFERROR(IF(AND(H2569="W7",OR(F2569="causal",F2569="predictive")),IF(AND(OR(K2569=1,K2569="1"),OR(L2569=1,L2569="1"),OR(M2569=1,M2569="1")),"adequate","partial"),IF(AND(H2569="W4",F2569="predictive",OR(J2569="P2",J2569="P3",J2569="P4")),IF(OR(U2569=1,U2569="1"),"adequate","partial"),INDEX(Fit_Matrix!$B:$B,MATCH(P2569,Fit_Matrix!$A:$A,0)))),"CHECK KEY"))</f>
        <v/>
      </c>
      <c r="U2569" s="10"/>
      <c r="V2569" s="10"/>
      <c r="W2569" s="10"/>
      <c r="X2569" s="10"/>
      <c r="Y2569" s="10"/>
      <c r="Z2569" s="10"/>
      <c r="AA2569" s="11" t="str">
        <f t="shared" si="81"/>
        <v/>
      </c>
    </row>
    <row r="2570" spans="16:27" ht="15" customHeight="1">
      <c r="P2570" t="str">
        <f t="shared" si="80"/>
        <v/>
      </c>
      <c r="Q2570" t="str">
        <f>IF(P2570="","",IFERROR(IF(AND(H2570="W7",OR(F2570="causal",F2570="predictive")),IF(AND(OR(K2570=1,K2570="1"),OR(L2570=1,L2570="1"),OR(M2570=1,M2570="1")),"adequate","partial"),IF(AND(H2570="W4",F2570="predictive",OR(J2570="P2",J2570="P3",J2570="P4")),IF(OR(U2570=1,U2570="1"),"adequate","partial"),INDEX(Fit_Matrix!$B:$B,MATCH(P2570,Fit_Matrix!$A:$A,0)))),"CHECK KEY"))</f>
        <v/>
      </c>
      <c r="U2570" s="10"/>
      <c r="V2570" s="10"/>
      <c r="W2570" s="10"/>
      <c r="X2570" s="10"/>
      <c r="Y2570" s="10"/>
      <c r="Z2570" s="10"/>
      <c r="AA2570" s="11" t="str">
        <f t="shared" si="81"/>
        <v/>
      </c>
    </row>
    <row r="2571" spans="16:27" ht="15" customHeight="1">
      <c r="P2571" t="str">
        <f t="shared" si="80"/>
        <v/>
      </c>
      <c r="Q2571" t="str">
        <f>IF(P2571="","",IFERROR(IF(AND(H2571="W7",OR(F2571="causal",F2571="predictive")),IF(AND(OR(K2571=1,K2571="1"),OR(L2571=1,L2571="1"),OR(M2571=1,M2571="1")),"adequate","partial"),IF(AND(H2571="W4",F2571="predictive",OR(J2571="P2",J2571="P3",J2571="P4")),IF(OR(U2571=1,U2571="1"),"adequate","partial"),INDEX(Fit_Matrix!$B:$B,MATCH(P2571,Fit_Matrix!$A:$A,0)))),"CHECK KEY"))</f>
        <v/>
      </c>
      <c r="U2571" s="10"/>
      <c r="V2571" s="10"/>
      <c r="W2571" s="10"/>
      <c r="X2571" s="10"/>
      <c r="Y2571" s="10"/>
      <c r="Z2571" s="10"/>
      <c r="AA2571" s="11" t="str">
        <f t="shared" si="81"/>
        <v/>
      </c>
    </row>
    <row r="2572" spans="16:27" ht="15" customHeight="1">
      <c r="P2572" t="str">
        <f t="shared" si="80"/>
        <v/>
      </c>
      <c r="Q2572" t="str">
        <f>IF(P2572="","",IFERROR(IF(AND(H2572="W7",OR(F2572="causal",F2572="predictive")),IF(AND(OR(K2572=1,K2572="1"),OR(L2572=1,L2572="1"),OR(M2572=1,M2572="1")),"adequate","partial"),IF(AND(H2572="W4",F2572="predictive",OR(J2572="P2",J2572="P3",J2572="P4")),IF(OR(U2572=1,U2572="1"),"adequate","partial"),INDEX(Fit_Matrix!$B:$B,MATCH(P2572,Fit_Matrix!$A:$A,0)))),"CHECK KEY"))</f>
        <v/>
      </c>
      <c r="U2572" s="10"/>
      <c r="V2572" s="10"/>
      <c r="W2572" s="10"/>
      <c r="X2572" s="10"/>
      <c r="Y2572" s="10"/>
      <c r="Z2572" s="10"/>
      <c r="AA2572" s="11" t="str">
        <f t="shared" si="81"/>
        <v/>
      </c>
    </row>
    <row r="2573" spans="16:27" ht="15" customHeight="1">
      <c r="P2573" t="str">
        <f t="shared" si="80"/>
        <v/>
      </c>
      <c r="Q2573" t="str">
        <f>IF(P2573="","",IFERROR(IF(AND(H2573="W7",OR(F2573="causal",F2573="predictive")),IF(AND(OR(K2573=1,K2573="1"),OR(L2573=1,L2573="1"),OR(M2573=1,M2573="1")),"adequate","partial"),IF(AND(H2573="W4",F2573="predictive",OR(J2573="P2",J2573="P3",J2573="P4")),IF(OR(U2573=1,U2573="1"),"adequate","partial"),INDEX(Fit_Matrix!$B:$B,MATCH(P2573,Fit_Matrix!$A:$A,0)))),"CHECK KEY"))</f>
        <v/>
      </c>
      <c r="U2573" s="10"/>
      <c r="V2573" s="10"/>
      <c r="W2573" s="10"/>
      <c r="X2573" s="10"/>
      <c r="Y2573" s="10"/>
      <c r="Z2573" s="10"/>
      <c r="AA2573" s="11" t="str">
        <f t="shared" si="81"/>
        <v/>
      </c>
    </row>
    <row r="2574" spans="16:27" ht="15" customHeight="1">
      <c r="P2574" t="str">
        <f t="shared" si="80"/>
        <v/>
      </c>
      <c r="Q2574" t="str">
        <f>IF(P2574="","",IFERROR(IF(AND(H2574="W7",OR(F2574="causal",F2574="predictive")),IF(AND(OR(K2574=1,K2574="1"),OR(L2574=1,L2574="1"),OR(M2574=1,M2574="1")),"adequate","partial"),IF(AND(H2574="W4",F2574="predictive",OR(J2574="P2",J2574="P3",J2574="P4")),IF(OR(U2574=1,U2574="1"),"adequate","partial"),INDEX(Fit_Matrix!$B:$B,MATCH(P2574,Fit_Matrix!$A:$A,0)))),"CHECK KEY"))</f>
        <v/>
      </c>
      <c r="U2574" s="10"/>
      <c r="V2574" s="10"/>
      <c r="W2574" s="10"/>
      <c r="X2574" s="10"/>
      <c r="Y2574" s="10"/>
      <c r="Z2574" s="10"/>
      <c r="AA2574" s="11" t="str">
        <f t="shared" si="81"/>
        <v/>
      </c>
    </row>
    <row r="2575" spans="16:27" ht="15" customHeight="1">
      <c r="P2575" t="str">
        <f t="shared" si="80"/>
        <v/>
      </c>
      <c r="Q2575" t="str">
        <f>IF(P2575="","",IFERROR(IF(AND(H2575="W7",OR(F2575="causal",F2575="predictive")),IF(AND(OR(K2575=1,K2575="1"),OR(L2575=1,L2575="1"),OR(M2575=1,M2575="1")),"adequate","partial"),IF(AND(H2575="W4",F2575="predictive",OR(J2575="P2",J2575="P3",J2575="P4")),IF(OR(U2575=1,U2575="1"),"adequate","partial"),INDEX(Fit_Matrix!$B:$B,MATCH(P2575,Fit_Matrix!$A:$A,0)))),"CHECK KEY"))</f>
        <v/>
      </c>
      <c r="U2575" s="10"/>
      <c r="V2575" s="10"/>
      <c r="W2575" s="10"/>
      <c r="X2575" s="10"/>
      <c r="Y2575" s="10"/>
      <c r="Z2575" s="10"/>
      <c r="AA2575" s="11" t="str">
        <f t="shared" si="81"/>
        <v/>
      </c>
    </row>
    <row r="2576" spans="16:27" ht="15" customHeight="1">
      <c r="P2576" t="str">
        <f t="shared" si="80"/>
        <v/>
      </c>
      <c r="Q2576" t="str">
        <f>IF(P2576="","",IFERROR(IF(AND(H2576="W7",OR(F2576="causal",F2576="predictive")),IF(AND(OR(K2576=1,K2576="1"),OR(L2576=1,L2576="1"),OR(M2576=1,M2576="1")),"adequate","partial"),IF(AND(H2576="W4",F2576="predictive",OR(J2576="P2",J2576="P3",J2576="P4")),IF(OR(U2576=1,U2576="1"),"adequate","partial"),INDEX(Fit_Matrix!$B:$B,MATCH(P2576,Fit_Matrix!$A:$A,0)))),"CHECK KEY"))</f>
        <v/>
      </c>
      <c r="U2576" s="10"/>
      <c r="V2576" s="10"/>
      <c r="W2576" s="10"/>
      <c r="X2576" s="10"/>
      <c r="Y2576" s="10"/>
      <c r="Z2576" s="10"/>
      <c r="AA2576" s="11" t="str">
        <f t="shared" si="81"/>
        <v/>
      </c>
    </row>
    <row r="2577" spans="16:27" ht="15" customHeight="1">
      <c r="P2577" t="str">
        <f t="shared" si="80"/>
        <v/>
      </c>
      <c r="Q2577" t="str">
        <f>IF(P2577="","",IFERROR(IF(AND(H2577="W7",OR(F2577="causal",F2577="predictive")),IF(AND(OR(K2577=1,K2577="1"),OR(L2577=1,L2577="1"),OR(M2577=1,M2577="1")),"adequate","partial"),IF(AND(H2577="W4",F2577="predictive",OR(J2577="P2",J2577="P3",J2577="P4")),IF(OR(U2577=1,U2577="1"),"adequate","partial"),INDEX(Fit_Matrix!$B:$B,MATCH(P2577,Fit_Matrix!$A:$A,0)))),"CHECK KEY"))</f>
        <v/>
      </c>
      <c r="U2577" s="10"/>
      <c r="V2577" s="10"/>
      <c r="W2577" s="10"/>
      <c r="X2577" s="10"/>
      <c r="Y2577" s="10"/>
      <c r="Z2577" s="10"/>
      <c r="AA2577" s="11" t="str">
        <f t="shared" si="81"/>
        <v/>
      </c>
    </row>
    <row r="2578" spans="16:27" ht="15" customHeight="1">
      <c r="P2578" t="str">
        <f t="shared" si="80"/>
        <v/>
      </c>
      <c r="Q2578" t="str">
        <f>IF(P2578="","",IFERROR(IF(AND(H2578="W7",OR(F2578="causal",F2578="predictive")),IF(AND(OR(K2578=1,K2578="1"),OR(L2578=1,L2578="1"),OR(M2578=1,M2578="1")),"adequate","partial"),IF(AND(H2578="W4",F2578="predictive",OR(J2578="P2",J2578="P3",J2578="P4")),IF(OR(U2578=1,U2578="1"),"adequate","partial"),INDEX(Fit_Matrix!$B:$B,MATCH(P2578,Fit_Matrix!$A:$A,0)))),"CHECK KEY"))</f>
        <v/>
      </c>
      <c r="U2578" s="10"/>
      <c r="V2578" s="10"/>
      <c r="W2578" s="10"/>
      <c r="X2578" s="10"/>
      <c r="Y2578" s="10"/>
      <c r="Z2578" s="10"/>
      <c r="AA2578" s="11" t="str">
        <f t="shared" si="81"/>
        <v/>
      </c>
    </row>
    <row r="2579" spans="16:27" ht="15" customHeight="1">
      <c r="P2579" t="str">
        <f t="shared" si="80"/>
        <v/>
      </c>
      <c r="Q2579" t="str">
        <f>IF(P2579="","",IFERROR(IF(AND(H2579="W7",OR(F2579="causal",F2579="predictive")),IF(AND(OR(K2579=1,K2579="1"),OR(L2579=1,L2579="1"),OR(M2579=1,M2579="1")),"adequate","partial"),IF(AND(H2579="W4",F2579="predictive",OR(J2579="P2",J2579="P3",J2579="P4")),IF(OR(U2579=1,U2579="1"),"adequate","partial"),INDEX(Fit_Matrix!$B:$B,MATCH(P2579,Fit_Matrix!$A:$A,0)))),"CHECK KEY"))</f>
        <v/>
      </c>
      <c r="U2579" s="10"/>
      <c r="V2579" s="10"/>
      <c r="W2579" s="10"/>
      <c r="X2579" s="10"/>
      <c r="Y2579" s="10"/>
      <c r="Z2579" s="10"/>
      <c r="AA2579" s="11" t="str">
        <f t="shared" si="81"/>
        <v/>
      </c>
    </row>
    <row r="2580" spans="16:27" ht="15" customHeight="1">
      <c r="P2580" t="str">
        <f t="shared" si="80"/>
        <v/>
      </c>
      <c r="Q2580" t="str">
        <f>IF(P2580="","",IFERROR(IF(AND(H2580="W7",OR(F2580="causal",F2580="predictive")),IF(AND(OR(K2580=1,K2580="1"),OR(L2580=1,L2580="1"),OR(M2580=1,M2580="1")),"adequate","partial"),IF(AND(H2580="W4",F2580="predictive",OR(J2580="P2",J2580="P3",J2580="P4")),IF(OR(U2580=1,U2580="1"),"adequate","partial"),INDEX(Fit_Matrix!$B:$B,MATCH(P2580,Fit_Matrix!$A:$A,0)))),"CHECK KEY"))</f>
        <v/>
      </c>
      <c r="U2580" s="10"/>
      <c r="V2580" s="10"/>
      <c r="W2580" s="10"/>
      <c r="X2580" s="10"/>
      <c r="Y2580" s="10"/>
      <c r="Z2580" s="10"/>
      <c r="AA2580" s="11" t="str">
        <f t="shared" si="81"/>
        <v/>
      </c>
    </row>
    <row r="2581" spans="16:27" ht="15" customHeight="1">
      <c r="P2581" t="str">
        <f t="shared" si="80"/>
        <v/>
      </c>
      <c r="Q2581" t="str">
        <f>IF(P2581="","",IFERROR(IF(AND(H2581="W7",OR(F2581="causal",F2581="predictive")),IF(AND(OR(K2581=1,K2581="1"),OR(L2581=1,L2581="1"),OR(M2581=1,M2581="1")),"adequate","partial"),IF(AND(H2581="W4",F2581="predictive",OR(J2581="P2",J2581="P3",J2581="P4")),IF(OR(U2581=1,U2581="1"),"adequate","partial"),INDEX(Fit_Matrix!$B:$B,MATCH(P2581,Fit_Matrix!$A:$A,0)))),"CHECK KEY"))</f>
        <v/>
      </c>
      <c r="U2581" s="10"/>
      <c r="V2581" s="10"/>
      <c r="W2581" s="10"/>
      <c r="X2581" s="10"/>
      <c r="Y2581" s="10"/>
      <c r="Z2581" s="10"/>
      <c r="AA2581" s="11" t="str">
        <f t="shared" si="81"/>
        <v/>
      </c>
    </row>
    <row r="2582" spans="16:27" ht="15" customHeight="1">
      <c r="P2582" t="str">
        <f t="shared" si="80"/>
        <v/>
      </c>
      <c r="Q2582" t="str">
        <f>IF(P2582="","",IFERROR(IF(AND(H2582="W7",OR(F2582="causal",F2582="predictive")),IF(AND(OR(K2582=1,K2582="1"),OR(L2582=1,L2582="1"),OR(M2582=1,M2582="1")),"adequate","partial"),IF(AND(H2582="W4",F2582="predictive",OR(J2582="P2",J2582="P3",J2582="P4")),IF(OR(U2582=1,U2582="1"),"adequate","partial"),INDEX(Fit_Matrix!$B:$B,MATCH(P2582,Fit_Matrix!$A:$A,0)))),"CHECK KEY"))</f>
        <v/>
      </c>
      <c r="U2582" s="10"/>
      <c r="V2582" s="10"/>
      <c r="W2582" s="10"/>
      <c r="X2582" s="10"/>
      <c r="Y2582" s="10"/>
      <c r="Z2582" s="10"/>
      <c r="AA2582" s="11" t="str">
        <f t="shared" si="81"/>
        <v/>
      </c>
    </row>
    <row r="2583" spans="16:27" ht="15" customHeight="1">
      <c r="P2583" t="str">
        <f t="shared" si="80"/>
        <v/>
      </c>
      <c r="Q2583" t="str">
        <f>IF(P2583="","",IFERROR(IF(AND(H2583="W7",OR(F2583="causal",F2583="predictive")),IF(AND(OR(K2583=1,K2583="1"),OR(L2583=1,L2583="1"),OR(M2583=1,M2583="1")),"adequate","partial"),IF(AND(H2583="W4",F2583="predictive",OR(J2583="P2",J2583="P3",J2583="P4")),IF(OR(U2583=1,U2583="1"),"adequate","partial"),INDEX(Fit_Matrix!$B:$B,MATCH(P2583,Fit_Matrix!$A:$A,0)))),"CHECK KEY"))</f>
        <v/>
      </c>
      <c r="U2583" s="10"/>
      <c r="V2583" s="10"/>
      <c r="W2583" s="10"/>
      <c r="X2583" s="10"/>
      <c r="Y2583" s="10"/>
      <c r="Z2583" s="10"/>
      <c r="AA2583" s="11" t="str">
        <f t="shared" si="81"/>
        <v/>
      </c>
    </row>
    <row r="2584" spans="16:27" ht="15" customHeight="1">
      <c r="P2584" t="str">
        <f t="shared" si="80"/>
        <v/>
      </c>
      <c r="Q2584" t="str">
        <f>IF(P2584="","",IFERROR(IF(AND(H2584="W7",OR(F2584="causal",F2584="predictive")),IF(AND(OR(K2584=1,K2584="1"),OR(L2584=1,L2584="1"),OR(M2584=1,M2584="1")),"adequate","partial"),IF(AND(H2584="W4",F2584="predictive",OR(J2584="P2",J2584="P3",J2584="P4")),IF(OR(U2584=1,U2584="1"),"adequate","partial"),INDEX(Fit_Matrix!$B:$B,MATCH(P2584,Fit_Matrix!$A:$A,0)))),"CHECK KEY"))</f>
        <v/>
      </c>
      <c r="U2584" s="10"/>
      <c r="V2584" s="10"/>
      <c r="W2584" s="10"/>
      <c r="X2584" s="10"/>
      <c r="Y2584" s="10"/>
      <c r="Z2584" s="10"/>
      <c r="AA2584" s="11" t="str">
        <f t="shared" si="81"/>
        <v/>
      </c>
    </row>
    <row r="2585" spans="16:27" ht="15" customHeight="1">
      <c r="P2585" t="str">
        <f t="shared" si="80"/>
        <v/>
      </c>
      <c r="Q2585" t="str">
        <f>IF(P2585="","",IFERROR(IF(AND(H2585="W7",OR(F2585="causal",F2585="predictive")),IF(AND(OR(K2585=1,K2585="1"),OR(L2585=1,L2585="1"),OR(M2585=1,M2585="1")),"adequate","partial"),IF(AND(H2585="W4",F2585="predictive",OR(J2585="P2",J2585="P3",J2585="P4")),IF(OR(U2585=1,U2585="1"),"adequate","partial"),INDEX(Fit_Matrix!$B:$B,MATCH(P2585,Fit_Matrix!$A:$A,0)))),"CHECK KEY"))</f>
        <v/>
      </c>
      <c r="U2585" s="10"/>
      <c r="V2585" s="10"/>
      <c r="W2585" s="10"/>
      <c r="X2585" s="10"/>
      <c r="Y2585" s="10"/>
      <c r="Z2585" s="10"/>
      <c r="AA2585" s="11" t="str">
        <f t="shared" si="81"/>
        <v/>
      </c>
    </row>
    <row r="2586" spans="16:27" ht="15" customHeight="1">
      <c r="P2586" t="str">
        <f t="shared" si="80"/>
        <v/>
      </c>
      <c r="Q2586" t="str">
        <f>IF(P2586="","",IFERROR(IF(AND(H2586="W7",OR(F2586="causal",F2586="predictive")),IF(AND(OR(K2586=1,K2586="1"),OR(L2586=1,L2586="1"),OR(M2586=1,M2586="1")),"adequate","partial"),IF(AND(H2586="W4",F2586="predictive",OR(J2586="P2",J2586="P3",J2586="P4")),IF(OR(U2586=1,U2586="1"),"adequate","partial"),INDEX(Fit_Matrix!$B:$B,MATCH(P2586,Fit_Matrix!$A:$A,0)))),"CHECK KEY"))</f>
        <v/>
      </c>
      <c r="U2586" s="10"/>
      <c r="V2586" s="10"/>
      <c r="W2586" s="10"/>
      <c r="X2586" s="10"/>
      <c r="Y2586" s="10"/>
      <c r="Z2586" s="10"/>
      <c r="AA2586" s="11" t="str">
        <f t="shared" si="81"/>
        <v/>
      </c>
    </row>
    <row r="2587" spans="16:27" ht="15" customHeight="1">
      <c r="P2587" t="str">
        <f t="shared" si="80"/>
        <v/>
      </c>
      <c r="Q2587" t="str">
        <f>IF(P2587="","",IFERROR(IF(AND(H2587="W7",OR(F2587="causal",F2587="predictive")),IF(AND(OR(K2587=1,K2587="1"),OR(L2587=1,L2587="1"),OR(M2587=1,M2587="1")),"adequate","partial"),IF(AND(H2587="W4",F2587="predictive",OR(J2587="P2",J2587="P3",J2587="P4")),IF(OR(U2587=1,U2587="1"),"adequate","partial"),INDEX(Fit_Matrix!$B:$B,MATCH(P2587,Fit_Matrix!$A:$A,0)))),"CHECK KEY"))</f>
        <v/>
      </c>
      <c r="U2587" s="10"/>
      <c r="V2587" s="10"/>
      <c r="W2587" s="10"/>
      <c r="X2587" s="10"/>
      <c r="Y2587" s="10"/>
      <c r="Z2587" s="10"/>
      <c r="AA2587" s="11" t="str">
        <f t="shared" si="81"/>
        <v/>
      </c>
    </row>
    <row r="2588" spans="16:27" ht="15" customHeight="1">
      <c r="P2588" t="str">
        <f t="shared" si="80"/>
        <v/>
      </c>
      <c r="Q2588" t="str">
        <f>IF(P2588="","",IFERROR(IF(AND(H2588="W7",OR(F2588="causal",F2588="predictive")),IF(AND(OR(K2588=1,K2588="1"),OR(L2588=1,L2588="1"),OR(M2588=1,M2588="1")),"adequate","partial"),IF(AND(H2588="W4",F2588="predictive",OR(J2588="P2",J2588="P3",J2588="P4")),IF(OR(U2588=1,U2588="1"),"adequate","partial"),INDEX(Fit_Matrix!$B:$B,MATCH(P2588,Fit_Matrix!$A:$A,0)))),"CHECK KEY"))</f>
        <v/>
      </c>
      <c r="U2588" s="10"/>
      <c r="V2588" s="10"/>
      <c r="W2588" s="10"/>
      <c r="X2588" s="10"/>
      <c r="Y2588" s="10"/>
      <c r="Z2588" s="10"/>
      <c r="AA2588" s="11" t="str">
        <f t="shared" si="81"/>
        <v/>
      </c>
    </row>
    <row r="2589" spans="16:27" ht="15" customHeight="1">
      <c r="P2589" t="str">
        <f t="shared" si="80"/>
        <v/>
      </c>
      <c r="Q2589" t="str">
        <f>IF(P2589="","",IFERROR(IF(AND(H2589="W7",OR(F2589="causal",F2589="predictive")),IF(AND(OR(K2589=1,K2589="1"),OR(L2589=1,L2589="1"),OR(M2589=1,M2589="1")),"adequate","partial"),IF(AND(H2589="W4",F2589="predictive",OR(J2589="P2",J2589="P3",J2589="P4")),IF(OR(U2589=1,U2589="1"),"adequate","partial"),INDEX(Fit_Matrix!$B:$B,MATCH(P2589,Fit_Matrix!$A:$A,0)))),"CHECK KEY"))</f>
        <v/>
      </c>
      <c r="U2589" s="10"/>
      <c r="V2589" s="10"/>
      <c r="W2589" s="10"/>
      <c r="X2589" s="10"/>
      <c r="Y2589" s="10"/>
      <c r="Z2589" s="10"/>
      <c r="AA2589" s="11" t="str">
        <f t="shared" si="81"/>
        <v/>
      </c>
    </row>
    <row r="2590" spans="16:27" ht="15" customHeight="1">
      <c r="P2590" t="str">
        <f t="shared" si="80"/>
        <v/>
      </c>
      <c r="Q2590" t="str">
        <f>IF(P2590="","",IFERROR(IF(AND(H2590="W7",OR(F2590="causal",F2590="predictive")),IF(AND(OR(K2590=1,K2590="1"),OR(L2590=1,L2590="1"),OR(M2590=1,M2590="1")),"adequate","partial"),IF(AND(H2590="W4",F2590="predictive",OR(J2590="P2",J2590="P3",J2590="P4")),IF(OR(U2590=1,U2590="1"),"adequate","partial"),INDEX(Fit_Matrix!$B:$B,MATCH(P2590,Fit_Matrix!$A:$A,0)))),"CHECK KEY"))</f>
        <v/>
      </c>
      <c r="U2590" s="10"/>
      <c r="V2590" s="10"/>
      <c r="W2590" s="10"/>
      <c r="X2590" s="10"/>
      <c r="Y2590" s="10"/>
      <c r="Z2590" s="10"/>
      <c r="AA2590" s="11" t="str">
        <f t="shared" si="81"/>
        <v/>
      </c>
    </row>
    <row r="2591" spans="16:27" ht="15" customHeight="1">
      <c r="P2591" t="str">
        <f t="shared" si="80"/>
        <v/>
      </c>
      <c r="Q2591" t="str">
        <f>IF(P2591="","",IFERROR(IF(AND(H2591="W7",OR(F2591="causal",F2591="predictive")),IF(AND(OR(K2591=1,K2591="1"),OR(L2591=1,L2591="1"),OR(M2591=1,M2591="1")),"adequate","partial"),IF(AND(H2591="W4",F2591="predictive",OR(J2591="P2",J2591="P3",J2591="P4")),IF(OR(U2591=1,U2591="1"),"adequate","partial"),INDEX(Fit_Matrix!$B:$B,MATCH(P2591,Fit_Matrix!$A:$A,0)))),"CHECK KEY"))</f>
        <v/>
      </c>
      <c r="U2591" s="10"/>
      <c r="V2591" s="10"/>
      <c r="W2591" s="10"/>
      <c r="X2591" s="10"/>
      <c r="Y2591" s="10"/>
      <c r="Z2591" s="10"/>
      <c r="AA2591" s="11" t="str">
        <f t="shared" si="81"/>
        <v/>
      </c>
    </row>
    <row r="2592" spans="16:27" ht="15" customHeight="1">
      <c r="P2592" t="str">
        <f t="shared" si="80"/>
        <v/>
      </c>
      <c r="Q2592" t="str">
        <f>IF(P2592="","",IFERROR(IF(AND(H2592="W7",OR(F2592="causal",F2592="predictive")),IF(AND(OR(K2592=1,K2592="1"),OR(L2592=1,L2592="1"),OR(M2592=1,M2592="1")),"adequate","partial"),IF(AND(H2592="W4",F2592="predictive",OR(J2592="P2",J2592="P3",J2592="P4")),IF(OR(U2592=1,U2592="1"),"adequate","partial"),INDEX(Fit_Matrix!$B:$B,MATCH(P2592,Fit_Matrix!$A:$A,0)))),"CHECK KEY"))</f>
        <v/>
      </c>
      <c r="U2592" s="10"/>
      <c r="V2592" s="10"/>
      <c r="W2592" s="10"/>
      <c r="X2592" s="10"/>
      <c r="Y2592" s="10"/>
      <c r="Z2592" s="10"/>
      <c r="AA2592" s="11" t="str">
        <f t="shared" si="81"/>
        <v/>
      </c>
    </row>
    <row r="2593" spans="16:27" ht="15" customHeight="1">
      <c r="P2593" t="str">
        <f t="shared" si="80"/>
        <v/>
      </c>
      <c r="Q2593" t="str">
        <f>IF(P2593="","",IFERROR(IF(AND(H2593="W7",OR(F2593="causal",F2593="predictive")),IF(AND(OR(K2593=1,K2593="1"),OR(L2593=1,L2593="1"),OR(M2593=1,M2593="1")),"adequate","partial"),IF(AND(H2593="W4",F2593="predictive",OR(J2593="P2",J2593="P3",J2593="P4")),IF(OR(U2593=1,U2593="1"),"adequate","partial"),INDEX(Fit_Matrix!$B:$B,MATCH(P2593,Fit_Matrix!$A:$A,0)))),"CHECK KEY"))</f>
        <v/>
      </c>
      <c r="U2593" s="10"/>
      <c r="V2593" s="10"/>
      <c r="W2593" s="10"/>
      <c r="X2593" s="10"/>
      <c r="Y2593" s="10"/>
      <c r="Z2593" s="10"/>
      <c r="AA2593" s="11" t="str">
        <f t="shared" si="81"/>
        <v/>
      </c>
    </row>
    <row r="2594" spans="16:27" ht="15" customHeight="1">
      <c r="P2594" t="str">
        <f t="shared" si="80"/>
        <v/>
      </c>
      <c r="Q2594" t="str">
        <f>IF(P2594="","",IFERROR(IF(AND(H2594="W7",OR(F2594="causal",F2594="predictive")),IF(AND(OR(K2594=1,K2594="1"),OR(L2594=1,L2594="1"),OR(M2594=1,M2594="1")),"adequate","partial"),IF(AND(H2594="W4",F2594="predictive",OR(J2594="P2",J2594="P3",J2594="P4")),IF(OR(U2594=1,U2594="1"),"adequate","partial"),INDEX(Fit_Matrix!$B:$B,MATCH(P2594,Fit_Matrix!$A:$A,0)))),"CHECK KEY"))</f>
        <v/>
      </c>
      <c r="U2594" s="10"/>
      <c r="V2594" s="10"/>
      <c r="W2594" s="10"/>
      <c r="X2594" s="10"/>
      <c r="Y2594" s="10"/>
      <c r="Z2594" s="10"/>
      <c r="AA2594" s="11" t="str">
        <f t="shared" si="81"/>
        <v/>
      </c>
    </row>
    <row r="2595" spans="16:27" ht="15" customHeight="1">
      <c r="P2595" t="str">
        <f t="shared" si="80"/>
        <v/>
      </c>
      <c r="Q2595" t="str">
        <f>IF(P2595="","",IFERROR(IF(AND(H2595="W7",OR(F2595="causal",F2595="predictive")),IF(AND(OR(K2595=1,K2595="1"),OR(L2595=1,L2595="1"),OR(M2595=1,M2595="1")),"adequate","partial"),IF(AND(H2595="W4",F2595="predictive",OR(J2595="P2",J2595="P3",J2595="P4")),IF(OR(U2595=1,U2595="1"),"adequate","partial"),INDEX(Fit_Matrix!$B:$B,MATCH(P2595,Fit_Matrix!$A:$A,0)))),"CHECK KEY"))</f>
        <v/>
      </c>
      <c r="U2595" s="10"/>
      <c r="V2595" s="10"/>
      <c r="W2595" s="10"/>
      <c r="X2595" s="10"/>
      <c r="Y2595" s="10"/>
      <c r="Z2595" s="10"/>
      <c r="AA2595" s="11" t="str">
        <f t="shared" si="81"/>
        <v/>
      </c>
    </row>
    <row r="2596" spans="16:27" ht="15" customHeight="1">
      <c r="P2596" t="str">
        <f t="shared" si="80"/>
        <v/>
      </c>
      <c r="Q2596" t="str">
        <f>IF(P2596="","",IFERROR(IF(AND(H2596="W7",OR(F2596="causal",F2596="predictive")),IF(AND(OR(K2596=1,K2596="1"),OR(L2596=1,L2596="1"),OR(M2596=1,M2596="1")),"adequate","partial"),IF(AND(H2596="W4",F2596="predictive",OR(J2596="P2",J2596="P3",J2596="P4")),IF(OR(U2596=1,U2596="1"),"adequate","partial"),INDEX(Fit_Matrix!$B:$B,MATCH(P2596,Fit_Matrix!$A:$A,0)))),"CHECK KEY"))</f>
        <v/>
      </c>
      <c r="U2596" s="10"/>
      <c r="V2596" s="10"/>
      <c r="W2596" s="10"/>
      <c r="X2596" s="10"/>
      <c r="Y2596" s="10"/>
      <c r="Z2596" s="10"/>
      <c r="AA2596" s="11" t="str">
        <f t="shared" si="81"/>
        <v/>
      </c>
    </row>
    <row r="2597" spans="16:27" ht="15" customHeight="1">
      <c r="P2597" t="str">
        <f t="shared" si="80"/>
        <v/>
      </c>
      <c r="Q2597" t="str">
        <f>IF(P2597="","",IFERROR(IF(AND(H2597="W7",OR(F2597="causal",F2597="predictive")),IF(AND(OR(K2597=1,K2597="1"),OR(L2597=1,L2597="1"),OR(M2597=1,M2597="1")),"adequate","partial"),IF(AND(H2597="W4",F2597="predictive",OR(J2597="P2",J2597="P3",J2597="P4")),IF(OR(U2597=1,U2597="1"),"adequate","partial"),INDEX(Fit_Matrix!$B:$B,MATCH(P2597,Fit_Matrix!$A:$A,0)))),"CHECK KEY"))</f>
        <v/>
      </c>
      <c r="U2597" s="10"/>
      <c r="V2597" s="10"/>
      <c r="W2597" s="10"/>
      <c r="X2597" s="10"/>
      <c r="Y2597" s="10"/>
      <c r="Z2597" s="10"/>
      <c r="AA2597" s="11" t="str">
        <f t="shared" si="81"/>
        <v/>
      </c>
    </row>
    <row r="2598" spans="16:27" ht="15" customHeight="1">
      <c r="P2598" t="str">
        <f t="shared" si="80"/>
        <v/>
      </c>
      <c r="Q2598" t="str">
        <f>IF(P2598="","",IFERROR(IF(AND(H2598="W7",OR(F2598="causal",F2598="predictive")),IF(AND(OR(K2598=1,K2598="1"),OR(L2598=1,L2598="1"),OR(M2598=1,M2598="1")),"adequate","partial"),IF(AND(H2598="W4",F2598="predictive",OR(J2598="P2",J2598="P3",J2598="P4")),IF(OR(U2598=1,U2598="1"),"adequate","partial"),INDEX(Fit_Matrix!$B:$B,MATCH(P2598,Fit_Matrix!$A:$A,0)))),"CHECK KEY"))</f>
        <v/>
      </c>
      <c r="U2598" s="10"/>
      <c r="V2598" s="10"/>
      <c r="W2598" s="10"/>
      <c r="X2598" s="10"/>
      <c r="Y2598" s="10"/>
      <c r="Z2598" s="10"/>
      <c r="AA2598" s="11" t="str">
        <f t="shared" si="81"/>
        <v/>
      </c>
    </row>
    <row r="2599" spans="16:27" ht="15" customHeight="1">
      <c r="P2599" t="str">
        <f t="shared" si="80"/>
        <v/>
      </c>
      <c r="Q2599" t="str">
        <f>IF(P2599="","",IFERROR(IF(AND(H2599="W7",OR(F2599="causal",F2599="predictive")),IF(AND(OR(K2599=1,K2599="1"),OR(L2599=1,L2599="1"),OR(M2599=1,M2599="1")),"adequate","partial"),IF(AND(H2599="W4",F2599="predictive",OR(J2599="P2",J2599="P3",J2599="P4")),IF(OR(U2599=1,U2599="1"),"adequate","partial"),INDEX(Fit_Matrix!$B:$B,MATCH(P2599,Fit_Matrix!$A:$A,0)))),"CHECK KEY"))</f>
        <v/>
      </c>
      <c r="U2599" s="10"/>
      <c r="V2599" s="10"/>
      <c r="W2599" s="10"/>
      <c r="X2599" s="10"/>
      <c r="Y2599" s="10"/>
      <c r="Z2599" s="10"/>
      <c r="AA2599" s="11" t="str">
        <f t="shared" si="81"/>
        <v/>
      </c>
    </row>
    <row r="2600" spans="16:27" ht="15" customHeight="1">
      <c r="P2600" t="str">
        <f t="shared" si="80"/>
        <v/>
      </c>
      <c r="Q2600" t="str">
        <f>IF(P2600="","",IFERROR(IF(AND(H2600="W7",OR(F2600="causal",F2600="predictive")),IF(AND(OR(K2600=1,K2600="1"),OR(L2600=1,L2600="1"),OR(M2600=1,M2600="1")),"adequate","partial"),IF(AND(H2600="W4",F2600="predictive",OR(J2600="P2",J2600="P3",J2600="P4")),IF(OR(U2600=1,U2600="1"),"adequate","partial"),INDEX(Fit_Matrix!$B:$B,MATCH(P2600,Fit_Matrix!$A:$A,0)))),"CHECK KEY"))</f>
        <v/>
      </c>
      <c r="U2600" s="10"/>
      <c r="V2600" s="10"/>
      <c r="W2600" s="10"/>
      <c r="X2600" s="10"/>
      <c r="Y2600" s="10"/>
      <c r="Z2600" s="10"/>
      <c r="AA2600" s="11" t="str">
        <f t="shared" si="81"/>
        <v/>
      </c>
    </row>
    <row r="2601" spans="16:27" ht="15" customHeight="1">
      <c r="P2601" t="str">
        <f t="shared" si="80"/>
        <v/>
      </c>
      <c r="Q2601" t="str">
        <f>IF(P2601="","",IFERROR(IF(AND(H2601="W7",OR(F2601="causal",F2601="predictive")),IF(AND(OR(K2601=1,K2601="1"),OR(L2601=1,L2601="1"),OR(M2601=1,M2601="1")),"adequate","partial"),IF(AND(H2601="W4",F2601="predictive",OR(J2601="P2",J2601="P3",J2601="P4")),IF(OR(U2601=1,U2601="1"),"adequate","partial"),INDEX(Fit_Matrix!$B:$B,MATCH(P2601,Fit_Matrix!$A:$A,0)))),"CHECK KEY"))</f>
        <v/>
      </c>
      <c r="U2601" s="10"/>
      <c r="V2601" s="10"/>
      <c r="W2601" s="10"/>
      <c r="X2601" s="10"/>
      <c r="Y2601" s="10"/>
      <c r="Z2601" s="10"/>
      <c r="AA2601" s="11" t="str">
        <f t="shared" si="81"/>
        <v/>
      </c>
    </row>
    <row r="2602" spans="16:27" ht="15" customHeight="1">
      <c r="P2602" t="str">
        <f t="shared" si="80"/>
        <v/>
      </c>
      <c r="Q2602" t="str">
        <f>IF(P2602="","",IFERROR(IF(AND(H2602="W7",OR(F2602="causal",F2602="predictive")),IF(AND(OR(K2602=1,K2602="1"),OR(L2602=1,L2602="1"),OR(M2602=1,M2602="1")),"adequate","partial"),IF(AND(H2602="W4",F2602="predictive",OR(J2602="P2",J2602="P3",J2602="P4")),IF(OR(U2602=1,U2602="1"),"adequate","partial"),INDEX(Fit_Matrix!$B:$B,MATCH(P2602,Fit_Matrix!$A:$A,0)))),"CHECK KEY"))</f>
        <v/>
      </c>
      <c r="U2602" s="10"/>
      <c r="V2602" s="10"/>
      <c r="W2602" s="10"/>
      <c r="X2602" s="10"/>
      <c r="Y2602" s="10"/>
      <c r="Z2602" s="10"/>
      <c r="AA2602" s="11" t="str">
        <f t="shared" si="81"/>
        <v/>
      </c>
    </row>
    <row r="2603" spans="16:27" ht="15" customHeight="1">
      <c r="P2603" t="str">
        <f t="shared" si="80"/>
        <v/>
      </c>
      <c r="Q2603" t="str">
        <f>IF(P2603="","",IFERROR(IF(AND(H2603="W7",OR(F2603="causal",F2603="predictive")),IF(AND(OR(K2603=1,K2603="1"),OR(L2603=1,L2603="1"),OR(M2603=1,M2603="1")),"adequate","partial"),IF(AND(H2603="W4",F2603="predictive",OR(J2603="P2",J2603="P3",J2603="P4")),IF(OR(U2603=1,U2603="1"),"adequate","partial"),INDEX(Fit_Matrix!$B:$B,MATCH(P2603,Fit_Matrix!$A:$A,0)))),"CHECK KEY"))</f>
        <v/>
      </c>
      <c r="U2603" s="10"/>
      <c r="V2603" s="10"/>
      <c r="W2603" s="10"/>
      <c r="X2603" s="10"/>
      <c r="Y2603" s="10"/>
      <c r="Z2603" s="10"/>
      <c r="AA2603" s="11" t="str">
        <f t="shared" si="81"/>
        <v/>
      </c>
    </row>
    <row r="2604" spans="16:27" ht="15" customHeight="1">
      <c r="P2604" t="str">
        <f t="shared" si="80"/>
        <v/>
      </c>
      <c r="Q2604" t="str">
        <f>IF(P2604="","",IFERROR(IF(AND(H2604="W7",OR(F2604="causal",F2604="predictive")),IF(AND(OR(K2604=1,K2604="1"),OR(L2604=1,L2604="1"),OR(M2604=1,M2604="1")),"adequate","partial"),IF(AND(H2604="W4",F2604="predictive",OR(J2604="P2",J2604="P3",J2604="P4")),IF(OR(U2604=1,U2604="1"),"adequate","partial"),INDEX(Fit_Matrix!$B:$B,MATCH(P2604,Fit_Matrix!$A:$A,0)))),"CHECK KEY"))</f>
        <v/>
      </c>
      <c r="U2604" s="10"/>
      <c r="V2604" s="10"/>
      <c r="W2604" s="10"/>
      <c r="X2604" s="10"/>
      <c r="Y2604" s="10"/>
      <c r="Z2604" s="10"/>
      <c r="AA2604" s="11" t="str">
        <f t="shared" si="81"/>
        <v/>
      </c>
    </row>
    <row r="2605" spans="16:27" ht="15" customHeight="1">
      <c r="P2605" t="str">
        <f t="shared" si="80"/>
        <v/>
      </c>
      <c r="Q2605" t="str">
        <f>IF(P2605="","",IFERROR(IF(AND(H2605="W7",OR(F2605="causal",F2605="predictive")),IF(AND(OR(K2605=1,K2605="1"),OR(L2605=1,L2605="1"),OR(M2605=1,M2605="1")),"adequate","partial"),IF(AND(H2605="W4",F2605="predictive",OR(J2605="P2",J2605="P3",J2605="P4")),IF(OR(U2605=1,U2605="1"),"adequate","partial"),INDEX(Fit_Matrix!$B:$B,MATCH(P2605,Fit_Matrix!$A:$A,0)))),"CHECK KEY"))</f>
        <v/>
      </c>
      <c r="U2605" s="10"/>
      <c r="V2605" s="10"/>
      <c r="W2605" s="10"/>
      <c r="X2605" s="10"/>
      <c r="Y2605" s="10"/>
      <c r="Z2605" s="10"/>
      <c r="AA2605" s="11" t="str">
        <f t="shared" si="81"/>
        <v/>
      </c>
    </row>
    <row r="2606" spans="16:27" ht="15" customHeight="1">
      <c r="P2606" t="str">
        <f t="shared" si="80"/>
        <v/>
      </c>
      <c r="Q2606" t="str">
        <f>IF(P2606="","",IFERROR(IF(AND(H2606="W7",OR(F2606="causal",F2606="predictive")),IF(AND(OR(K2606=1,K2606="1"),OR(L2606=1,L2606="1"),OR(M2606=1,M2606="1")),"adequate","partial"),IF(AND(H2606="W4",F2606="predictive",OR(J2606="P2",J2606="P3",J2606="P4")),IF(OR(U2606=1,U2606="1"),"adequate","partial"),INDEX(Fit_Matrix!$B:$B,MATCH(P2606,Fit_Matrix!$A:$A,0)))),"CHECK KEY"))</f>
        <v/>
      </c>
      <c r="U2606" s="10"/>
      <c r="V2606" s="10"/>
      <c r="W2606" s="10"/>
      <c r="X2606" s="10"/>
      <c r="Y2606" s="10"/>
      <c r="Z2606" s="10"/>
      <c r="AA2606" s="11" t="str">
        <f t="shared" si="81"/>
        <v/>
      </c>
    </row>
    <row r="2607" spans="16:27" ht="15" customHeight="1">
      <c r="P2607" t="str">
        <f t="shared" si="80"/>
        <v/>
      </c>
      <c r="Q2607" t="str">
        <f>IF(P2607="","",IFERROR(IF(AND(H2607="W7",OR(F2607="causal",F2607="predictive")),IF(AND(OR(K2607=1,K2607="1"),OR(L2607=1,L2607="1"),OR(M2607=1,M2607="1")),"adequate","partial"),IF(AND(H2607="W4",F2607="predictive",OR(J2607="P2",J2607="P3",J2607="P4")),IF(OR(U2607=1,U2607="1"),"adequate","partial"),INDEX(Fit_Matrix!$B:$B,MATCH(P2607,Fit_Matrix!$A:$A,0)))),"CHECK KEY"))</f>
        <v/>
      </c>
      <c r="U2607" s="10"/>
      <c r="V2607" s="10"/>
      <c r="W2607" s="10"/>
      <c r="X2607" s="10"/>
      <c r="Y2607" s="10"/>
      <c r="Z2607" s="10"/>
      <c r="AA2607" s="11" t="str">
        <f t="shared" si="81"/>
        <v/>
      </c>
    </row>
    <row r="2608" spans="16:27" ht="15" customHeight="1">
      <c r="P2608" t="str">
        <f t="shared" si="80"/>
        <v/>
      </c>
      <c r="Q2608" t="str">
        <f>IF(P2608="","",IFERROR(IF(AND(H2608="W7",OR(F2608="causal",F2608="predictive")),IF(AND(OR(K2608=1,K2608="1"),OR(L2608=1,L2608="1"),OR(M2608=1,M2608="1")),"adequate","partial"),IF(AND(H2608="W4",F2608="predictive",OR(J2608="P2",J2608="P3",J2608="P4")),IF(OR(U2608=1,U2608="1"),"adequate","partial"),INDEX(Fit_Matrix!$B:$B,MATCH(P2608,Fit_Matrix!$A:$A,0)))),"CHECK KEY"))</f>
        <v/>
      </c>
      <c r="U2608" s="10"/>
      <c r="V2608" s="10"/>
      <c r="W2608" s="10"/>
      <c r="X2608" s="10"/>
      <c r="Y2608" s="10"/>
      <c r="Z2608" s="10"/>
      <c r="AA2608" s="11" t="str">
        <f t="shared" si="81"/>
        <v/>
      </c>
    </row>
    <row r="2609" spans="16:27" ht="15" customHeight="1">
      <c r="P2609" t="str">
        <f t="shared" si="80"/>
        <v/>
      </c>
      <c r="Q2609" t="str">
        <f>IF(P2609="","",IFERROR(IF(AND(H2609="W7",OR(F2609="causal",F2609="predictive")),IF(AND(OR(K2609=1,K2609="1"),OR(L2609=1,L2609="1"),OR(M2609=1,M2609="1")),"adequate","partial"),IF(AND(H2609="W4",F2609="predictive",OR(J2609="P2",J2609="P3",J2609="P4")),IF(OR(U2609=1,U2609="1"),"adequate","partial"),INDEX(Fit_Matrix!$B:$B,MATCH(P2609,Fit_Matrix!$A:$A,0)))),"CHECK KEY"))</f>
        <v/>
      </c>
      <c r="U2609" s="10"/>
      <c r="V2609" s="10"/>
      <c r="W2609" s="10"/>
      <c r="X2609" s="10"/>
      <c r="Y2609" s="10"/>
      <c r="Z2609" s="10"/>
      <c r="AA2609" s="11" t="str">
        <f t="shared" si="81"/>
        <v/>
      </c>
    </row>
    <row r="2610" spans="16:27" ht="15" customHeight="1">
      <c r="P2610" t="str">
        <f t="shared" si="80"/>
        <v/>
      </c>
      <c r="Q2610" t="str">
        <f>IF(P2610="","",IFERROR(IF(AND(H2610="W7",OR(F2610="causal",F2610="predictive")),IF(AND(OR(K2610=1,K2610="1"),OR(L2610=1,L2610="1"),OR(M2610=1,M2610="1")),"adequate","partial"),IF(AND(H2610="W4",F2610="predictive",OR(J2610="P2",J2610="P3",J2610="P4")),IF(OR(U2610=1,U2610="1"),"adequate","partial"),INDEX(Fit_Matrix!$B:$B,MATCH(P2610,Fit_Matrix!$A:$A,0)))),"CHECK KEY"))</f>
        <v/>
      </c>
      <c r="U2610" s="10"/>
      <c r="V2610" s="10"/>
      <c r="W2610" s="10"/>
      <c r="X2610" s="10"/>
      <c r="Y2610" s="10"/>
      <c r="Z2610" s="10"/>
      <c r="AA2610" s="11" t="str">
        <f t="shared" si="81"/>
        <v/>
      </c>
    </row>
    <row r="2611" spans="16:27" ht="15" customHeight="1">
      <c r="P2611" t="str">
        <f t="shared" si="80"/>
        <v/>
      </c>
      <c r="Q2611" t="str">
        <f>IF(P2611="","",IFERROR(IF(AND(H2611="W7",OR(F2611="causal",F2611="predictive")),IF(AND(OR(K2611=1,K2611="1"),OR(L2611=1,L2611="1"),OR(M2611=1,M2611="1")),"adequate","partial"),IF(AND(H2611="W4",F2611="predictive",OR(J2611="P2",J2611="P3",J2611="P4")),IF(OR(U2611=1,U2611="1"),"adequate","partial"),INDEX(Fit_Matrix!$B:$B,MATCH(P2611,Fit_Matrix!$A:$A,0)))),"CHECK KEY"))</f>
        <v/>
      </c>
      <c r="U2611" s="10"/>
      <c r="V2611" s="10"/>
      <c r="W2611" s="10"/>
      <c r="X2611" s="10"/>
      <c r="Y2611" s="10"/>
      <c r="Z2611" s="10"/>
      <c r="AA2611" s="11" t="str">
        <f t="shared" si="81"/>
        <v/>
      </c>
    </row>
    <row r="2612" spans="16:27" ht="15" customHeight="1">
      <c r="P2612" t="str">
        <f t="shared" si="80"/>
        <v/>
      </c>
      <c r="Q2612" t="str">
        <f>IF(P2612="","",IFERROR(IF(AND(H2612="W7",OR(F2612="causal",F2612="predictive")),IF(AND(OR(K2612=1,K2612="1"),OR(L2612=1,L2612="1"),OR(M2612=1,M2612="1")),"adequate","partial"),IF(AND(H2612="W4",F2612="predictive",OR(J2612="P2",J2612="P3",J2612="P4")),IF(OR(U2612=1,U2612="1"),"adequate","partial"),INDEX(Fit_Matrix!$B:$B,MATCH(P2612,Fit_Matrix!$A:$A,0)))),"CHECK KEY"))</f>
        <v/>
      </c>
      <c r="U2612" s="10"/>
      <c r="V2612" s="10"/>
      <c r="W2612" s="10"/>
      <c r="X2612" s="10"/>
      <c r="Y2612" s="10"/>
      <c r="Z2612" s="10"/>
      <c r="AA2612" s="11" t="str">
        <f t="shared" si="81"/>
        <v/>
      </c>
    </row>
    <row r="2613" spans="16:27" ht="15" customHeight="1">
      <c r="P2613" t="str">
        <f t="shared" si="80"/>
        <v/>
      </c>
      <c r="Q2613" t="str">
        <f>IF(P2613="","",IFERROR(IF(AND(H2613="W7",OR(F2613="causal",F2613="predictive")),IF(AND(OR(K2613=1,K2613="1"),OR(L2613=1,L2613="1"),OR(M2613=1,M2613="1")),"adequate","partial"),IF(AND(H2613="W4",F2613="predictive",OR(J2613="P2",J2613="P3",J2613="P4")),IF(OR(U2613=1,U2613="1"),"adequate","partial"),INDEX(Fit_Matrix!$B:$B,MATCH(P2613,Fit_Matrix!$A:$A,0)))),"CHECK KEY"))</f>
        <v/>
      </c>
      <c r="U2613" s="10"/>
      <c r="V2613" s="10"/>
      <c r="W2613" s="10"/>
      <c r="X2613" s="10"/>
      <c r="Y2613" s="10"/>
      <c r="Z2613" s="10"/>
      <c r="AA2613" s="11" t="str">
        <f t="shared" si="81"/>
        <v/>
      </c>
    </row>
    <row r="2614" spans="16:27" ht="15" customHeight="1">
      <c r="P2614" t="str">
        <f t="shared" si="80"/>
        <v/>
      </c>
      <c r="Q2614" t="str">
        <f>IF(P2614="","",IFERROR(IF(AND(H2614="W7",OR(F2614="causal",F2614="predictive")),IF(AND(OR(K2614=1,K2614="1"),OR(L2614=1,L2614="1"),OR(M2614=1,M2614="1")),"adequate","partial"),IF(AND(H2614="W4",F2614="predictive",OR(J2614="P2",J2614="P3",J2614="P4")),IF(OR(U2614=1,U2614="1"),"adequate","partial"),INDEX(Fit_Matrix!$B:$B,MATCH(P2614,Fit_Matrix!$A:$A,0)))),"CHECK KEY"))</f>
        <v/>
      </c>
      <c r="U2614" s="10"/>
      <c r="V2614" s="10"/>
      <c r="W2614" s="10"/>
      <c r="X2614" s="10"/>
      <c r="Y2614" s="10"/>
      <c r="Z2614" s="10"/>
      <c r="AA2614" s="11" t="str">
        <f t="shared" si="81"/>
        <v/>
      </c>
    </row>
    <row r="2615" spans="16:27" ht="15" customHeight="1">
      <c r="P2615" t="str">
        <f t="shared" si="80"/>
        <v/>
      </c>
      <c r="Q2615" t="str">
        <f>IF(P2615="","",IFERROR(IF(AND(H2615="W7",OR(F2615="causal",F2615="predictive")),IF(AND(OR(K2615=1,K2615="1"),OR(L2615=1,L2615="1"),OR(M2615=1,M2615="1")),"adequate","partial"),IF(AND(H2615="W4",F2615="predictive",OR(J2615="P2",J2615="P3",J2615="P4")),IF(OR(U2615=1,U2615="1"),"adequate","partial"),INDEX(Fit_Matrix!$B:$B,MATCH(P2615,Fit_Matrix!$A:$A,0)))),"CHECK KEY"))</f>
        <v/>
      </c>
      <c r="U2615" s="10"/>
      <c r="V2615" s="10"/>
      <c r="W2615" s="10"/>
      <c r="X2615" s="10"/>
      <c r="Y2615" s="10"/>
      <c r="Z2615" s="10"/>
      <c r="AA2615" s="11" t="str">
        <f t="shared" si="81"/>
        <v/>
      </c>
    </row>
    <row r="2616" spans="16:27" ht="15" customHeight="1">
      <c r="P2616" t="str">
        <f t="shared" si="80"/>
        <v/>
      </c>
      <c r="Q2616" t="str">
        <f>IF(P2616="","",IFERROR(IF(AND(H2616="W7",OR(F2616="causal",F2616="predictive")),IF(AND(OR(K2616=1,K2616="1"),OR(L2616=1,L2616="1"),OR(M2616=1,M2616="1")),"adequate","partial"),IF(AND(H2616="W4",F2616="predictive",OR(J2616="P2",J2616="P3",J2616="P4")),IF(OR(U2616=1,U2616="1"),"adequate","partial"),INDEX(Fit_Matrix!$B:$B,MATCH(P2616,Fit_Matrix!$A:$A,0)))),"CHECK KEY"))</f>
        <v/>
      </c>
      <c r="U2616" s="10"/>
      <c r="V2616" s="10"/>
      <c r="W2616" s="10"/>
      <c r="X2616" s="10"/>
      <c r="Y2616" s="10"/>
      <c r="Z2616" s="10"/>
      <c r="AA2616" s="11" t="str">
        <f t="shared" si="81"/>
        <v/>
      </c>
    </row>
    <row r="2617" spans="16:27" ht="15" customHeight="1">
      <c r="P2617" t="str">
        <f t="shared" si="80"/>
        <v/>
      </c>
      <c r="Q2617" t="str">
        <f>IF(P2617="","",IFERROR(IF(AND(H2617="W7",OR(F2617="causal",F2617="predictive")),IF(AND(OR(K2617=1,K2617="1"),OR(L2617=1,L2617="1"),OR(M2617=1,M2617="1")),"adequate","partial"),IF(AND(H2617="W4",F2617="predictive",OR(J2617="P2",J2617="P3",J2617="P4")),IF(OR(U2617=1,U2617="1"),"adequate","partial"),INDEX(Fit_Matrix!$B:$B,MATCH(P2617,Fit_Matrix!$A:$A,0)))),"CHECK KEY"))</f>
        <v/>
      </c>
      <c r="U2617" s="10"/>
      <c r="V2617" s="10"/>
      <c r="W2617" s="10"/>
      <c r="X2617" s="10"/>
      <c r="Y2617" s="10"/>
      <c r="Z2617" s="10"/>
      <c r="AA2617" s="11" t="str">
        <f t="shared" si="81"/>
        <v/>
      </c>
    </row>
    <row r="2618" spans="16:27" ht="15" customHeight="1">
      <c r="P2618" t="str">
        <f t="shared" si="80"/>
        <v/>
      </c>
      <c r="Q2618" t="str">
        <f>IF(P2618="","",IFERROR(IF(AND(H2618="W7",OR(F2618="causal",F2618="predictive")),IF(AND(OR(K2618=1,K2618="1"),OR(L2618=1,L2618="1"),OR(M2618=1,M2618="1")),"adequate","partial"),IF(AND(H2618="W4",F2618="predictive",OR(J2618="P2",J2618="P3",J2618="P4")),IF(OR(U2618=1,U2618="1"),"adequate","partial"),INDEX(Fit_Matrix!$B:$B,MATCH(P2618,Fit_Matrix!$A:$A,0)))),"CHECK KEY"))</f>
        <v/>
      </c>
      <c r="U2618" s="10"/>
      <c r="V2618" s="10"/>
      <c r="W2618" s="10"/>
      <c r="X2618" s="10"/>
      <c r="Y2618" s="10"/>
      <c r="Z2618" s="10"/>
      <c r="AA2618" s="11" t="str">
        <f t="shared" si="81"/>
        <v/>
      </c>
    </row>
    <row r="2619" spans="16:27" ht="15" customHeight="1">
      <c r="P2619" t="str">
        <f t="shared" si="80"/>
        <v/>
      </c>
      <c r="Q2619" t="str">
        <f>IF(P2619="","",IFERROR(IF(AND(H2619="W7",OR(F2619="causal",F2619="predictive")),IF(AND(OR(K2619=1,K2619="1"),OR(L2619=1,L2619="1"),OR(M2619=1,M2619="1")),"adequate","partial"),IF(AND(H2619="W4",F2619="predictive",OR(J2619="P2",J2619="P3",J2619="P4")),IF(OR(U2619=1,U2619="1"),"adequate","partial"),INDEX(Fit_Matrix!$B:$B,MATCH(P2619,Fit_Matrix!$A:$A,0)))),"CHECK KEY"))</f>
        <v/>
      </c>
      <c r="U2619" s="10"/>
      <c r="V2619" s="10"/>
      <c r="W2619" s="10"/>
      <c r="X2619" s="10"/>
      <c r="Y2619" s="10"/>
      <c r="Z2619" s="10"/>
      <c r="AA2619" s="11" t="str">
        <f t="shared" si="81"/>
        <v/>
      </c>
    </row>
    <row r="2620" spans="16:27" ht="15" customHeight="1">
      <c r="P2620" t="str">
        <f t="shared" si="80"/>
        <v/>
      </c>
      <c r="Q2620" t="str">
        <f>IF(P2620="","",IFERROR(IF(AND(H2620="W7",OR(F2620="causal",F2620="predictive")),IF(AND(OR(K2620=1,K2620="1"),OR(L2620=1,L2620="1"),OR(M2620=1,M2620="1")),"adequate","partial"),IF(AND(H2620="W4",F2620="predictive",OR(J2620="P2",J2620="P3",J2620="P4")),IF(OR(U2620=1,U2620="1"),"adequate","partial"),INDEX(Fit_Matrix!$B:$B,MATCH(P2620,Fit_Matrix!$A:$A,0)))),"CHECK KEY"))</f>
        <v/>
      </c>
      <c r="U2620" s="10"/>
      <c r="V2620" s="10"/>
      <c r="W2620" s="10"/>
      <c r="X2620" s="10"/>
      <c r="Y2620" s="10"/>
      <c r="Z2620" s="10"/>
      <c r="AA2620" s="11" t="str">
        <f t="shared" si="81"/>
        <v/>
      </c>
    </row>
    <row r="2621" spans="16:27" ht="15" customHeight="1">
      <c r="P2621" t="str">
        <f t="shared" si="80"/>
        <v/>
      </c>
      <c r="Q2621" t="str">
        <f>IF(P2621="","",IFERROR(IF(AND(H2621="W7",OR(F2621="causal",F2621="predictive")),IF(AND(OR(K2621=1,K2621="1"),OR(L2621=1,L2621="1"),OR(M2621=1,M2621="1")),"adequate","partial"),IF(AND(H2621="W4",F2621="predictive",OR(J2621="P2",J2621="P3",J2621="P4")),IF(OR(U2621=1,U2621="1"),"adequate","partial"),INDEX(Fit_Matrix!$B:$B,MATCH(P2621,Fit_Matrix!$A:$A,0)))),"CHECK KEY"))</f>
        <v/>
      </c>
      <c r="U2621" s="10"/>
      <c r="V2621" s="10"/>
      <c r="W2621" s="10"/>
      <c r="X2621" s="10"/>
      <c r="Y2621" s="10"/>
      <c r="Z2621" s="10"/>
      <c r="AA2621" s="11" t="str">
        <f t="shared" si="81"/>
        <v/>
      </c>
    </row>
    <row r="2622" spans="16:27" ht="15" customHeight="1">
      <c r="P2622" t="str">
        <f t="shared" si="80"/>
        <v/>
      </c>
      <c r="Q2622" t="str">
        <f>IF(P2622="","",IFERROR(IF(AND(H2622="W7",OR(F2622="causal",F2622="predictive")),IF(AND(OR(K2622=1,K2622="1"),OR(L2622=1,L2622="1"),OR(M2622=1,M2622="1")),"adequate","partial"),IF(AND(H2622="W4",F2622="predictive",OR(J2622="P2",J2622="P3",J2622="P4")),IF(OR(U2622=1,U2622="1"),"adequate","partial"),INDEX(Fit_Matrix!$B:$B,MATCH(P2622,Fit_Matrix!$A:$A,0)))),"CHECK KEY"))</f>
        <v/>
      </c>
      <c r="U2622" s="10"/>
      <c r="V2622" s="10"/>
      <c r="W2622" s="10"/>
      <c r="X2622" s="10"/>
      <c r="Y2622" s="10"/>
      <c r="Z2622" s="10"/>
      <c r="AA2622" s="11" t="str">
        <f t="shared" si="81"/>
        <v/>
      </c>
    </row>
    <row r="2623" spans="16:27" ht="15" customHeight="1">
      <c r="P2623" t="str">
        <f t="shared" si="80"/>
        <v/>
      </c>
      <c r="Q2623" t="str">
        <f>IF(P2623="","",IFERROR(IF(AND(H2623="W7",OR(F2623="causal",F2623="predictive")),IF(AND(OR(K2623=1,K2623="1"),OR(L2623=1,L2623="1"),OR(M2623=1,M2623="1")),"adequate","partial"),IF(AND(H2623="W4",F2623="predictive",OR(J2623="P2",J2623="P3",J2623="P4")),IF(OR(U2623=1,U2623="1"),"adequate","partial"),INDEX(Fit_Matrix!$B:$B,MATCH(P2623,Fit_Matrix!$A:$A,0)))),"CHECK KEY"))</f>
        <v/>
      </c>
      <c r="U2623" s="10"/>
      <c r="V2623" s="10"/>
      <c r="W2623" s="10"/>
      <c r="X2623" s="10"/>
      <c r="Y2623" s="10"/>
      <c r="Z2623" s="10"/>
      <c r="AA2623" s="11" t="str">
        <f t="shared" si="81"/>
        <v/>
      </c>
    </row>
    <row r="2624" spans="16:27" ht="15" customHeight="1">
      <c r="P2624" t="str">
        <f t="shared" si="80"/>
        <v/>
      </c>
      <c r="Q2624" t="str">
        <f>IF(P2624="","",IFERROR(IF(AND(H2624="W7",OR(F2624="causal",F2624="predictive")),IF(AND(OR(K2624=1,K2624="1"),OR(L2624=1,L2624="1"),OR(M2624=1,M2624="1")),"adequate","partial"),IF(AND(H2624="W4",F2624="predictive",OR(J2624="P2",J2624="P3",J2624="P4")),IF(OR(U2624=1,U2624="1"),"adequate","partial"),INDEX(Fit_Matrix!$B:$B,MATCH(P2624,Fit_Matrix!$A:$A,0)))),"CHECK KEY"))</f>
        <v/>
      </c>
      <c r="U2624" s="10"/>
      <c r="V2624" s="10"/>
      <c r="W2624" s="10"/>
      <c r="X2624" s="10"/>
      <c r="Y2624" s="10"/>
      <c r="Z2624" s="10"/>
      <c r="AA2624" s="11" t="str">
        <f t="shared" si="81"/>
        <v/>
      </c>
    </row>
    <row r="2625" spans="16:27" ht="15" customHeight="1">
      <c r="P2625" t="str">
        <f t="shared" si="80"/>
        <v/>
      </c>
      <c r="Q2625" t="str">
        <f>IF(P2625="","",IFERROR(IF(AND(H2625="W7",OR(F2625="causal",F2625="predictive")),IF(AND(OR(K2625=1,K2625="1"),OR(L2625=1,L2625="1"),OR(M2625=1,M2625="1")),"adequate","partial"),IF(AND(H2625="W4",F2625="predictive",OR(J2625="P2",J2625="P3",J2625="P4")),IF(OR(U2625=1,U2625="1"),"adequate","partial"),INDEX(Fit_Matrix!$B:$B,MATCH(P2625,Fit_Matrix!$A:$A,0)))),"CHECK KEY"))</f>
        <v/>
      </c>
      <c r="U2625" s="10"/>
      <c r="V2625" s="10"/>
      <c r="W2625" s="10"/>
      <c r="X2625" s="10"/>
      <c r="Y2625" s="10"/>
      <c r="Z2625" s="10"/>
      <c r="AA2625" s="11" t="str">
        <f t="shared" si="81"/>
        <v/>
      </c>
    </row>
    <row r="2626" spans="16:27" ht="15" customHeight="1">
      <c r="P2626" t="str">
        <f t="shared" ref="P2626:P2689" si="82">IF(OR(F2626="",H2626="",J2626=""),"",J2626&amp;"|"&amp;F2626&amp;"|"&amp;IF(H2626="W3","W3_"&amp;IF(I2626="","unknown",I2626),H2626))</f>
        <v/>
      </c>
      <c r="Q2626" t="str">
        <f>IF(P2626="","",IFERROR(IF(AND(H2626="W7",OR(F2626="causal",F2626="predictive")),IF(AND(OR(K2626=1,K2626="1"),OR(L2626=1,L2626="1"),OR(M2626=1,M2626="1")),"adequate","partial"),IF(AND(H2626="W4",F2626="predictive",OR(J2626="P2",J2626="P3",J2626="P4")),IF(OR(U2626=1,U2626="1"),"adequate","partial"),INDEX(Fit_Matrix!$B:$B,MATCH(P2626,Fit_Matrix!$A:$A,0)))),"CHECK KEY"))</f>
        <v/>
      </c>
      <c r="U2626" s="10"/>
      <c r="V2626" s="10"/>
      <c r="W2626" s="10"/>
      <c r="X2626" s="10"/>
      <c r="Y2626" s="10"/>
      <c r="Z2626" s="10"/>
      <c r="AA2626" s="11" t="str">
        <f t="shared" ref="AA2626:AA2689" si="83">IF(A2626="","",IF(AND(J2626="P4",F2626="causal"),"P4-CAUSAL",""))</f>
        <v/>
      </c>
    </row>
    <row r="2627" spans="16:27" ht="15" customHeight="1">
      <c r="P2627" t="str">
        <f t="shared" si="82"/>
        <v/>
      </c>
      <c r="Q2627" t="str">
        <f>IF(P2627="","",IFERROR(IF(AND(H2627="W7",OR(F2627="causal",F2627="predictive")),IF(AND(OR(K2627=1,K2627="1"),OR(L2627=1,L2627="1"),OR(M2627=1,M2627="1")),"adequate","partial"),IF(AND(H2627="W4",F2627="predictive",OR(J2627="P2",J2627="P3",J2627="P4")),IF(OR(U2627=1,U2627="1"),"adequate","partial"),INDEX(Fit_Matrix!$B:$B,MATCH(P2627,Fit_Matrix!$A:$A,0)))),"CHECK KEY"))</f>
        <v/>
      </c>
      <c r="U2627" s="10"/>
      <c r="V2627" s="10"/>
      <c r="W2627" s="10"/>
      <c r="X2627" s="10"/>
      <c r="Y2627" s="10"/>
      <c r="Z2627" s="10"/>
      <c r="AA2627" s="11" t="str">
        <f t="shared" si="83"/>
        <v/>
      </c>
    </row>
    <row r="2628" spans="16:27" ht="15" customHeight="1">
      <c r="P2628" t="str">
        <f t="shared" si="82"/>
        <v/>
      </c>
      <c r="Q2628" t="str">
        <f>IF(P2628="","",IFERROR(IF(AND(H2628="W7",OR(F2628="causal",F2628="predictive")),IF(AND(OR(K2628=1,K2628="1"),OR(L2628=1,L2628="1"),OR(M2628=1,M2628="1")),"adequate","partial"),IF(AND(H2628="W4",F2628="predictive",OR(J2628="P2",J2628="P3",J2628="P4")),IF(OR(U2628=1,U2628="1"),"adequate","partial"),INDEX(Fit_Matrix!$B:$B,MATCH(P2628,Fit_Matrix!$A:$A,0)))),"CHECK KEY"))</f>
        <v/>
      </c>
      <c r="U2628" s="10"/>
      <c r="V2628" s="10"/>
      <c r="W2628" s="10"/>
      <c r="X2628" s="10"/>
      <c r="Y2628" s="10"/>
      <c r="Z2628" s="10"/>
      <c r="AA2628" s="11" t="str">
        <f t="shared" si="83"/>
        <v/>
      </c>
    </row>
    <row r="2629" spans="16:27" ht="15" customHeight="1">
      <c r="P2629" t="str">
        <f t="shared" si="82"/>
        <v/>
      </c>
      <c r="Q2629" t="str">
        <f>IF(P2629="","",IFERROR(IF(AND(H2629="W7",OR(F2629="causal",F2629="predictive")),IF(AND(OR(K2629=1,K2629="1"),OR(L2629=1,L2629="1"),OR(M2629=1,M2629="1")),"adequate","partial"),IF(AND(H2629="W4",F2629="predictive",OR(J2629="P2",J2629="P3",J2629="P4")),IF(OR(U2629=1,U2629="1"),"adequate","partial"),INDEX(Fit_Matrix!$B:$B,MATCH(P2629,Fit_Matrix!$A:$A,0)))),"CHECK KEY"))</f>
        <v/>
      </c>
      <c r="U2629" s="10"/>
      <c r="V2629" s="10"/>
      <c r="W2629" s="10"/>
      <c r="X2629" s="10"/>
      <c r="Y2629" s="10"/>
      <c r="Z2629" s="10"/>
      <c r="AA2629" s="11" t="str">
        <f t="shared" si="83"/>
        <v/>
      </c>
    </row>
    <row r="2630" spans="16:27" ht="15" customHeight="1">
      <c r="P2630" t="str">
        <f t="shared" si="82"/>
        <v/>
      </c>
      <c r="Q2630" t="str">
        <f>IF(P2630="","",IFERROR(IF(AND(H2630="W7",OR(F2630="causal",F2630="predictive")),IF(AND(OR(K2630=1,K2630="1"),OR(L2630=1,L2630="1"),OR(M2630=1,M2630="1")),"adequate","partial"),IF(AND(H2630="W4",F2630="predictive",OR(J2630="P2",J2630="P3",J2630="P4")),IF(OR(U2630=1,U2630="1"),"adequate","partial"),INDEX(Fit_Matrix!$B:$B,MATCH(P2630,Fit_Matrix!$A:$A,0)))),"CHECK KEY"))</f>
        <v/>
      </c>
      <c r="U2630" s="10"/>
      <c r="V2630" s="10"/>
      <c r="W2630" s="10"/>
      <c r="X2630" s="10"/>
      <c r="Y2630" s="10"/>
      <c r="Z2630" s="10"/>
      <c r="AA2630" s="11" t="str">
        <f t="shared" si="83"/>
        <v/>
      </c>
    </row>
    <row r="2631" spans="16:27" ht="15" customHeight="1">
      <c r="P2631" t="str">
        <f t="shared" si="82"/>
        <v/>
      </c>
      <c r="Q2631" t="str">
        <f>IF(P2631="","",IFERROR(IF(AND(H2631="W7",OR(F2631="causal",F2631="predictive")),IF(AND(OR(K2631=1,K2631="1"),OR(L2631=1,L2631="1"),OR(M2631=1,M2631="1")),"adequate","partial"),IF(AND(H2631="W4",F2631="predictive",OR(J2631="P2",J2631="P3",J2631="P4")),IF(OR(U2631=1,U2631="1"),"adequate","partial"),INDEX(Fit_Matrix!$B:$B,MATCH(P2631,Fit_Matrix!$A:$A,0)))),"CHECK KEY"))</f>
        <v/>
      </c>
      <c r="U2631" s="10"/>
      <c r="V2631" s="10"/>
      <c r="W2631" s="10"/>
      <c r="X2631" s="10"/>
      <c r="Y2631" s="10"/>
      <c r="Z2631" s="10"/>
      <c r="AA2631" s="11" t="str">
        <f t="shared" si="83"/>
        <v/>
      </c>
    </row>
    <row r="2632" spans="16:27" ht="15" customHeight="1">
      <c r="P2632" t="str">
        <f t="shared" si="82"/>
        <v/>
      </c>
      <c r="Q2632" t="str">
        <f>IF(P2632="","",IFERROR(IF(AND(H2632="W7",OR(F2632="causal",F2632="predictive")),IF(AND(OR(K2632=1,K2632="1"),OR(L2632=1,L2632="1"),OR(M2632=1,M2632="1")),"adequate","partial"),IF(AND(H2632="W4",F2632="predictive",OR(J2632="P2",J2632="P3",J2632="P4")),IF(OR(U2632=1,U2632="1"),"adequate","partial"),INDEX(Fit_Matrix!$B:$B,MATCH(P2632,Fit_Matrix!$A:$A,0)))),"CHECK KEY"))</f>
        <v/>
      </c>
      <c r="U2632" s="10"/>
      <c r="V2632" s="10"/>
      <c r="W2632" s="10"/>
      <c r="X2632" s="10"/>
      <c r="Y2632" s="10"/>
      <c r="Z2632" s="10"/>
      <c r="AA2632" s="11" t="str">
        <f t="shared" si="83"/>
        <v/>
      </c>
    </row>
    <row r="2633" spans="16:27" ht="15" customHeight="1">
      <c r="P2633" t="str">
        <f t="shared" si="82"/>
        <v/>
      </c>
      <c r="Q2633" t="str">
        <f>IF(P2633="","",IFERROR(IF(AND(H2633="W7",OR(F2633="causal",F2633="predictive")),IF(AND(OR(K2633=1,K2633="1"),OR(L2633=1,L2633="1"),OR(M2633=1,M2633="1")),"adequate","partial"),IF(AND(H2633="W4",F2633="predictive",OR(J2633="P2",J2633="P3",J2633="P4")),IF(OR(U2633=1,U2633="1"),"adequate","partial"),INDEX(Fit_Matrix!$B:$B,MATCH(P2633,Fit_Matrix!$A:$A,0)))),"CHECK KEY"))</f>
        <v/>
      </c>
      <c r="U2633" s="10"/>
      <c r="V2633" s="10"/>
      <c r="W2633" s="10"/>
      <c r="X2633" s="10"/>
      <c r="Y2633" s="10"/>
      <c r="Z2633" s="10"/>
      <c r="AA2633" s="11" t="str">
        <f t="shared" si="83"/>
        <v/>
      </c>
    </row>
    <row r="2634" spans="16:27" ht="15" customHeight="1">
      <c r="P2634" t="str">
        <f t="shared" si="82"/>
        <v/>
      </c>
      <c r="Q2634" t="str">
        <f>IF(P2634="","",IFERROR(IF(AND(H2634="W7",OR(F2634="causal",F2634="predictive")),IF(AND(OR(K2634=1,K2634="1"),OR(L2634=1,L2634="1"),OR(M2634=1,M2634="1")),"adequate","partial"),IF(AND(H2634="W4",F2634="predictive",OR(J2634="P2",J2634="P3",J2634="P4")),IF(OR(U2634=1,U2634="1"),"adequate","partial"),INDEX(Fit_Matrix!$B:$B,MATCH(P2634,Fit_Matrix!$A:$A,0)))),"CHECK KEY"))</f>
        <v/>
      </c>
      <c r="U2634" s="10"/>
      <c r="V2634" s="10"/>
      <c r="W2634" s="10"/>
      <c r="X2634" s="10"/>
      <c r="Y2634" s="10"/>
      <c r="Z2634" s="10"/>
      <c r="AA2634" s="11" t="str">
        <f t="shared" si="83"/>
        <v/>
      </c>
    </row>
    <row r="2635" spans="16:27" ht="15" customHeight="1">
      <c r="P2635" t="str">
        <f t="shared" si="82"/>
        <v/>
      </c>
      <c r="Q2635" t="str">
        <f>IF(P2635="","",IFERROR(IF(AND(H2635="W7",OR(F2635="causal",F2635="predictive")),IF(AND(OR(K2635=1,K2635="1"),OR(L2635=1,L2635="1"),OR(M2635=1,M2635="1")),"adequate","partial"),IF(AND(H2635="W4",F2635="predictive",OR(J2635="P2",J2635="P3",J2635="P4")),IF(OR(U2635=1,U2635="1"),"adequate","partial"),INDEX(Fit_Matrix!$B:$B,MATCH(P2635,Fit_Matrix!$A:$A,0)))),"CHECK KEY"))</f>
        <v/>
      </c>
      <c r="U2635" s="10"/>
      <c r="V2635" s="10"/>
      <c r="W2635" s="10"/>
      <c r="X2635" s="10"/>
      <c r="Y2635" s="10"/>
      <c r="Z2635" s="10"/>
      <c r="AA2635" s="11" t="str">
        <f t="shared" si="83"/>
        <v/>
      </c>
    </row>
    <row r="2636" spans="16:27" ht="15" customHeight="1">
      <c r="P2636" t="str">
        <f t="shared" si="82"/>
        <v/>
      </c>
      <c r="Q2636" t="str">
        <f>IF(P2636="","",IFERROR(IF(AND(H2636="W7",OR(F2636="causal",F2636="predictive")),IF(AND(OR(K2636=1,K2636="1"),OR(L2636=1,L2636="1"),OR(M2636=1,M2636="1")),"adequate","partial"),IF(AND(H2636="W4",F2636="predictive",OR(J2636="P2",J2636="P3",J2636="P4")),IF(OR(U2636=1,U2636="1"),"adequate","partial"),INDEX(Fit_Matrix!$B:$B,MATCH(P2636,Fit_Matrix!$A:$A,0)))),"CHECK KEY"))</f>
        <v/>
      </c>
      <c r="U2636" s="10"/>
      <c r="V2636" s="10"/>
      <c r="W2636" s="10"/>
      <c r="X2636" s="10"/>
      <c r="Y2636" s="10"/>
      <c r="Z2636" s="10"/>
      <c r="AA2636" s="11" t="str">
        <f t="shared" si="83"/>
        <v/>
      </c>
    </row>
    <row r="2637" spans="16:27" ht="15" customHeight="1">
      <c r="P2637" t="str">
        <f t="shared" si="82"/>
        <v/>
      </c>
      <c r="Q2637" t="str">
        <f>IF(P2637="","",IFERROR(IF(AND(H2637="W7",OR(F2637="causal",F2637="predictive")),IF(AND(OR(K2637=1,K2637="1"),OR(L2637=1,L2637="1"),OR(M2637=1,M2637="1")),"adequate","partial"),IF(AND(H2637="W4",F2637="predictive",OR(J2637="P2",J2637="P3",J2637="P4")),IF(OR(U2637=1,U2637="1"),"adequate","partial"),INDEX(Fit_Matrix!$B:$B,MATCH(P2637,Fit_Matrix!$A:$A,0)))),"CHECK KEY"))</f>
        <v/>
      </c>
      <c r="U2637" s="10"/>
      <c r="V2637" s="10"/>
      <c r="W2637" s="10"/>
      <c r="X2637" s="10"/>
      <c r="Y2637" s="10"/>
      <c r="Z2637" s="10"/>
      <c r="AA2637" s="11" t="str">
        <f t="shared" si="83"/>
        <v/>
      </c>
    </row>
    <row r="2638" spans="16:27" ht="15" customHeight="1">
      <c r="P2638" t="str">
        <f t="shared" si="82"/>
        <v/>
      </c>
      <c r="Q2638" t="str">
        <f>IF(P2638="","",IFERROR(IF(AND(H2638="W7",OR(F2638="causal",F2638="predictive")),IF(AND(OR(K2638=1,K2638="1"),OR(L2638=1,L2638="1"),OR(M2638=1,M2638="1")),"adequate","partial"),IF(AND(H2638="W4",F2638="predictive",OR(J2638="P2",J2638="P3",J2638="P4")),IF(OR(U2638=1,U2638="1"),"adequate","partial"),INDEX(Fit_Matrix!$B:$B,MATCH(P2638,Fit_Matrix!$A:$A,0)))),"CHECK KEY"))</f>
        <v/>
      </c>
      <c r="U2638" s="10"/>
      <c r="V2638" s="10"/>
      <c r="W2638" s="10"/>
      <c r="X2638" s="10"/>
      <c r="Y2638" s="10"/>
      <c r="Z2638" s="10"/>
      <c r="AA2638" s="11" t="str">
        <f t="shared" si="83"/>
        <v/>
      </c>
    </row>
    <row r="2639" spans="16:27" ht="15" customHeight="1">
      <c r="P2639" t="str">
        <f t="shared" si="82"/>
        <v/>
      </c>
      <c r="Q2639" t="str">
        <f>IF(P2639="","",IFERROR(IF(AND(H2639="W7",OR(F2639="causal",F2639="predictive")),IF(AND(OR(K2639=1,K2639="1"),OR(L2639=1,L2639="1"),OR(M2639=1,M2639="1")),"adequate","partial"),IF(AND(H2639="W4",F2639="predictive",OR(J2639="P2",J2639="P3",J2639="P4")),IF(OR(U2639=1,U2639="1"),"adequate","partial"),INDEX(Fit_Matrix!$B:$B,MATCH(P2639,Fit_Matrix!$A:$A,0)))),"CHECK KEY"))</f>
        <v/>
      </c>
      <c r="U2639" s="10"/>
      <c r="V2639" s="10"/>
      <c r="W2639" s="10"/>
      <c r="X2639" s="10"/>
      <c r="Y2639" s="10"/>
      <c r="Z2639" s="10"/>
      <c r="AA2639" s="11" t="str">
        <f t="shared" si="83"/>
        <v/>
      </c>
    </row>
    <row r="2640" spans="16:27" ht="15" customHeight="1">
      <c r="P2640" t="str">
        <f t="shared" si="82"/>
        <v/>
      </c>
      <c r="Q2640" t="str">
        <f>IF(P2640="","",IFERROR(IF(AND(H2640="W7",OR(F2640="causal",F2640="predictive")),IF(AND(OR(K2640=1,K2640="1"),OR(L2640=1,L2640="1"),OR(M2640=1,M2640="1")),"adequate","partial"),IF(AND(H2640="W4",F2640="predictive",OR(J2640="P2",J2640="P3",J2640="P4")),IF(OR(U2640=1,U2640="1"),"adequate","partial"),INDEX(Fit_Matrix!$B:$B,MATCH(P2640,Fit_Matrix!$A:$A,0)))),"CHECK KEY"))</f>
        <v/>
      </c>
      <c r="U2640" s="10"/>
      <c r="V2640" s="10"/>
      <c r="W2640" s="10"/>
      <c r="X2640" s="10"/>
      <c r="Y2640" s="10"/>
      <c r="Z2640" s="10"/>
      <c r="AA2640" s="11" t="str">
        <f t="shared" si="83"/>
        <v/>
      </c>
    </row>
    <row r="2641" spans="16:27" ht="15" customHeight="1">
      <c r="P2641" t="str">
        <f t="shared" si="82"/>
        <v/>
      </c>
      <c r="Q2641" t="str">
        <f>IF(P2641="","",IFERROR(IF(AND(H2641="W7",OR(F2641="causal",F2641="predictive")),IF(AND(OR(K2641=1,K2641="1"),OR(L2641=1,L2641="1"),OR(M2641=1,M2641="1")),"adequate","partial"),IF(AND(H2641="W4",F2641="predictive",OR(J2641="P2",J2641="P3",J2641="P4")),IF(OR(U2641=1,U2641="1"),"adequate","partial"),INDEX(Fit_Matrix!$B:$B,MATCH(P2641,Fit_Matrix!$A:$A,0)))),"CHECK KEY"))</f>
        <v/>
      </c>
      <c r="U2641" s="10"/>
      <c r="V2641" s="10"/>
      <c r="W2641" s="10"/>
      <c r="X2641" s="10"/>
      <c r="Y2641" s="10"/>
      <c r="Z2641" s="10"/>
      <c r="AA2641" s="11" t="str">
        <f t="shared" si="83"/>
        <v/>
      </c>
    </row>
    <row r="2642" spans="16:27" ht="15" customHeight="1">
      <c r="P2642" t="str">
        <f t="shared" si="82"/>
        <v/>
      </c>
      <c r="Q2642" t="str">
        <f>IF(P2642="","",IFERROR(IF(AND(H2642="W7",OR(F2642="causal",F2642="predictive")),IF(AND(OR(K2642=1,K2642="1"),OR(L2642=1,L2642="1"),OR(M2642=1,M2642="1")),"adequate","partial"),IF(AND(H2642="W4",F2642="predictive",OR(J2642="P2",J2642="P3",J2642="P4")),IF(OR(U2642=1,U2642="1"),"adequate","partial"),INDEX(Fit_Matrix!$B:$B,MATCH(P2642,Fit_Matrix!$A:$A,0)))),"CHECK KEY"))</f>
        <v/>
      </c>
      <c r="U2642" s="10"/>
      <c r="V2642" s="10"/>
      <c r="W2642" s="10"/>
      <c r="X2642" s="10"/>
      <c r="Y2642" s="10"/>
      <c r="Z2642" s="10"/>
      <c r="AA2642" s="11" t="str">
        <f t="shared" si="83"/>
        <v/>
      </c>
    </row>
    <row r="2643" spans="16:27" ht="15" customHeight="1">
      <c r="P2643" t="str">
        <f t="shared" si="82"/>
        <v/>
      </c>
      <c r="Q2643" t="str">
        <f>IF(P2643="","",IFERROR(IF(AND(H2643="W7",OR(F2643="causal",F2643="predictive")),IF(AND(OR(K2643=1,K2643="1"),OR(L2643=1,L2643="1"),OR(M2643=1,M2643="1")),"adequate","partial"),IF(AND(H2643="W4",F2643="predictive",OR(J2643="P2",J2643="P3",J2643="P4")),IF(OR(U2643=1,U2643="1"),"adequate","partial"),INDEX(Fit_Matrix!$B:$B,MATCH(P2643,Fit_Matrix!$A:$A,0)))),"CHECK KEY"))</f>
        <v/>
      </c>
      <c r="U2643" s="10"/>
      <c r="V2643" s="10"/>
      <c r="W2643" s="10"/>
      <c r="X2643" s="10"/>
      <c r="Y2643" s="10"/>
      <c r="Z2643" s="10"/>
      <c r="AA2643" s="11" t="str">
        <f t="shared" si="83"/>
        <v/>
      </c>
    </row>
    <row r="2644" spans="16:27" ht="15" customHeight="1">
      <c r="P2644" t="str">
        <f t="shared" si="82"/>
        <v/>
      </c>
      <c r="Q2644" t="str">
        <f>IF(P2644="","",IFERROR(IF(AND(H2644="W7",OR(F2644="causal",F2644="predictive")),IF(AND(OR(K2644=1,K2644="1"),OR(L2644=1,L2644="1"),OR(M2644=1,M2644="1")),"adequate","partial"),IF(AND(H2644="W4",F2644="predictive",OR(J2644="P2",J2644="P3",J2644="P4")),IF(OR(U2644=1,U2644="1"),"adequate","partial"),INDEX(Fit_Matrix!$B:$B,MATCH(P2644,Fit_Matrix!$A:$A,0)))),"CHECK KEY"))</f>
        <v/>
      </c>
      <c r="U2644" s="10"/>
      <c r="V2644" s="10"/>
      <c r="W2644" s="10"/>
      <c r="X2644" s="10"/>
      <c r="Y2644" s="10"/>
      <c r="Z2644" s="10"/>
      <c r="AA2644" s="11" t="str">
        <f t="shared" si="83"/>
        <v/>
      </c>
    </row>
    <row r="2645" spans="16:27" ht="15" customHeight="1">
      <c r="P2645" t="str">
        <f t="shared" si="82"/>
        <v/>
      </c>
      <c r="Q2645" t="str">
        <f>IF(P2645="","",IFERROR(IF(AND(H2645="W7",OR(F2645="causal",F2645="predictive")),IF(AND(OR(K2645=1,K2645="1"),OR(L2645=1,L2645="1"),OR(M2645=1,M2645="1")),"adequate","partial"),IF(AND(H2645="W4",F2645="predictive",OR(J2645="P2",J2645="P3",J2645="P4")),IF(OR(U2645=1,U2645="1"),"adequate","partial"),INDEX(Fit_Matrix!$B:$B,MATCH(P2645,Fit_Matrix!$A:$A,0)))),"CHECK KEY"))</f>
        <v/>
      </c>
      <c r="U2645" s="10"/>
      <c r="V2645" s="10"/>
      <c r="W2645" s="10"/>
      <c r="X2645" s="10"/>
      <c r="Y2645" s="10"/>
      <c r="Z2645" s="10"/>
      <c r="AA2645" s="11" t="str">
        <f t="shared" si="83"/>
        <v/>
      </c>
    </row>
    <row r="2646" spans="16:27" ht="15" customHeight="1">
      <c r="P2646" t="str">
        <f t="shared" si="82"/>
        <v/>
      </c>
      <c r="Q2646" t="str">
        <f>IF(P2646="","",IFERROR(IF(AND(H2646="W7",OR(F2646="causal",F2646="predictive")),IF(AND(OR(K2646=1,K2646="1"),OR(L2646=1,L2646="1"),OR(M2646=1,M2646="1")),"adequate","partial"),IF(AND(H2646="W4",F2646="predictive",OR(J2646="P2",J2646="P3",J2646="P4")),IF(OR(U2646=1,U2646="1"),"adequate","partial"),INDEX(Fit_Matrix!$B:$B,MATCH(P2646,Fit_Matrix!$A:$A,0)))),"CHECK KEY"))</f>
        <v/>
      </c>
      <c r="U2646" s="10"/>
      <c r="V2646" s="10"/>
      <c r="W2646" s="10"/>
      <c r="X2646" s="10"/>
      <c r="Y2646" s="10"/>
      <c r="Z2646" s="10"/>
      <c r="AA2646" s="11" t="str">
        <f t="shared" si="83"/>
        <v/>
      </c>
    </row>
    <row r="2647" spans="16:27" ht="15" customHeight="1">
      <c r="P2647" t="str">
        <f t="shared" si="82"/>
        <v/>
      </c>
      <c r="Q2647" t="str">
        <f>IF(P2647="","",IFERROR(IF(AND(H2647="W7",OR(F2647="causal",F2647="predictive")),IF(AND(OR(K2647=1,K2647="1"),OR(L2647=1,L2647="1"),OR(M2647=1,M2647="1")),"adequate","partial"),IF(AND(H2647="W4",F2647="predictive",OR(J2647="P2",J2647="P3",J2647="P4")),IF(OR(U2647=1,U2647="1"),"adequate","partial"),INDEX(Fit_Matrix!$B:$B,MATCH(P2647,Fit_Matrix!$A:$A,0)))),"CHECK KEY"))</f>
        <v/>
      </c>
      <c r="U2647" s="10"/>
      <c r="V2647" s="10"/>
      <c r="W2647" s="10"/>
      <c r="X2647" s="10"/>
      <c r="Y2647" s="10"/>
      <c r="Z2647" s="10"/>
      <c r="AA2647" s="11" t="str">
        <f t="shared" si="83"/>
        <v/>
      </c>
    </row>
    <row r="2648" spans="16:27" ht="15" customHeight="1">
      <c r="P2648" t="str">
        <f t="shared" si="82"/>
        <v/>
      </c>
      <c r="Q2648" t="str">
        <f>IF(P2648="","",IFERROR(IF(AND(H2648="W7",OR(F2648="causal",F2648="predictive")),IF(AND(OR(K2648=1,K2648="1"),OR(L2648=1,L2648="1"),OR(M2648=1,M2648="1")),"adequate","partial"),IF(AND(H2648="W4",F2648="predictive",OR(J2648="P2",J2648="P3",J2648="P4")),IF(OR(U2648=1,U2648="1"),"adequate","partial"),INDEX(Fit_Matrix!$B:$B,MATCH(P2648,Fit_Matrix!$A:$A,0)))),"CHECK KEY"))</f>
        <v/>
      </c>
      <c r="U2648" s="10"/>
      <c r="V2648" s="10"/>
      <c r="W2648" s="10"/>
      <c r="X2648" s="10"/>
      <c r="Y2648" s="10"/>
      <c r="Z2648" s="10"/>
      <c r="AA2648" s="11" t="str">
        <f t="shared" si="83"/>
        <v/>
      </c>
    </row>
    <row r="2649" spans="16:27" ht="15" customHeight="1">
      <c r="P2649" t="str">
        <f t="shared" si="82"/>
        <v/>
      </c>
      <c r="Q2649" t="str">
        <f>IF(P2649="","",IFERROR(IF(AND(H2649="W7",OR(F2649="causal",F2649="predictive")),IF(AND(OR(K2649=1,K2649="1"),OR(L2649=1,L2649="1"),OR(M2649=1,M2649="1")),"adequate","partial"),IF(AND(H2649="W4",F2649="predictive",OR(J2649="P2",J2649="P3",J2649="P4")),IF(OR(U2649=1,U2649="1"),"adequate","partial"),INDEX(Fit_Matrix!$B:$B,MATCH(P2649,Fit_Matrix!$A:$A,0)))),"CHECK KEY"))</f>
        <v/>
      </c>
      <c r="U2649" s="10"/>
      <c r="V2649" s="10"/>
      <c r="W2649" s="10"/>
      <c r="X2649" s="10"/>
      <c r="Y2649" s="10"/>
      <c r="Z2649" s="10"/>
      <c r="AA2649" s="11" t="str">
        <f t="shared" si="83"/>
        <v/>
      </c>
    </row>
    <row r="2650" spans="16:27" ht="15" customHeight="1">
      <c r="P2650" t="str">
        <f t="shared" si="82"/>
        <v/>
      </c>
      <c r="Q2650" t="str">
        <f>IF(P2650="","",IFERROR(IF(AND(H2650="W7",OR(F2650="causal",F2650="predictive")),IF(AND(OR(K2650=1,K2650="1"),OR(L2650=1,L2650="1"),OR(M2650=1,M2650="1")),"adequate","partial"),IF(AND(H2650="W4",F2650="predictive",OR(J2650="P2",J2650="P3",J2650="P4")),IF(OR(U2650=1,U2650="1"),"adequate","partial"),INDEX(Fit_Matrix!$B:$B,MATCH(P2650,Fit_Matrix!$A:$A,0)))),"CHECK KEY"))</f>
        <v/>
      </c>
      <c r="U2650" s="10"/>
      <c r="V2650" s="10"/>
      <c r="W2650" s="10"/>
      <c r="X2650" s="10"/>
      <c r="Y2650" s="10"/>
      <c r="Z2650" s="10"/>
      <c r="AA2650" s="11" t="str">
        <f t="shared" si="83"/>
        <v/>
      </c>
    </row>
    <row r="2651" spans="16:27" ht="15" customHeight="1">
      <c r="P2651" t="str">
        <f t="shared" si="82"/>
        <v/>
      </c>
      <c r="Q2651" t="str">
        <f>IF(P2651="","",IFERROR(IF(AND(H2651="W7",OR(F2651="causal",F2651="predictive")),IF(AND(OR(K2651=1,K2651="1"),OR(L2651=1,L2651="1"),OR(M2651=1,M2651="1")),"adequate","partial"),IF(AND(H2651="W4",F2651="predictive",OR(J2651="P2",J2651="P3",J2651="P4")),IF(OR(U2651=1,U2651="1"),"adequate","partial"),INDEX(Fit_Matrix!$B:$B,MATCH(P2651,Fit_Matrix!$A:$A,0)))),"CHECK KEY"))</f>
        <v/>
      </c>
      <c r="U2651" s="10"/>
      <c r="V2651" s="10"/>
      <c r="W2651" s="10"/>
      <c r="X2651" s="10"/>
      <c r="Y2651" s="10"/>
      <c r="Z2651" s="10"/>
      <c r="AA2651" s="11" t="str">
        <f t="shared" si="83"/>
        <v/>
      </c>
    </row>
    <row r="2652" spans="16:27" ht="15" customHeight="1">
      <c r="P2652" t="str">
        <f t="shared" si="82"/>
        <v/>
      </c>
      <c r="Q2652" t="str">
        <f>IF(P2652="","",IFERROR(IF(AND(H2652="W7",OR(F2652="causal",F2652="predictive")),IF(AND(OR(K2652=1,K2652="1"),OR(L2652=1,L2652="1"),OR(M2652=1,M2652="1")),"adequate","partial"),IF(AND(H2652="W4",F2652="predictive",OR(J2652="P2",J2652="P3",J2652="P4")),IF(OR(U2652=1,U2652="1"),"adequate","partial"),INDEX(Fit_Matrix!$B:$B,MATCH(P2652,Fit_Matrix!$A:$A,0)))),"CHECK KEY"))</f>
        <v/>
      </c>
      <c r="U2652" s="10"/>
      <c r="V2652" s="10"/>
      <c r="W2652" s="10"/>
      <c r="X2652" s="10"/>
      <c r="Y2652" s="10"/>
      <c r="Z2652" s="10"/>
      <c r="AA2652" s="11" t="str">
        <f t="shared" si="83"/>
        <v/>
      </c>
    </row>
    <row r="2653" spans="16:27" ht="15" customHeight="1">
      <c r="P2653" t="str">
        <f t="shared" si="82"/>
        <v/>
      </c>
      <c r="Q2653" t="str">
        <f>IF(P2653="","",IFERROR(IF(AND(H2653="W7",OR(F2653="causal",F2653="predictive")),IF(AND(OR(K2653=1,K2653="1"),OR(L2653=1,L2653="1"),OR(M2653=1,M2653="1")),"adequate","partial"),IF(AND(H2653="W4",F2653="predictive",OR(J2653="P2",J2653="P3",J2653="P4")),IF(OR(U2653=1,U2653="1"),"adequate","partial"),INDEX(Fit_Matrix!$B:$B,MATCH(P2653,Fit_Matrix!$A:$A,0)))),"CHECK KEY"))</f>
        <v/>
      </c>
      <c r="U2653" s="10"/>
      <c r="V2653" s="10"/>
      <c r="W2653" s="10"/>
      <c r="X2653" s="10"/>
      <c r="Y2653" s="10"/>
      <c r="Z2653" s="10"/>
      <c r="AA2653" s="11" t="str">
        <f t="shared" si="83"/>
        <v/>
      </c>
    </row>
    <row r="2654" spans="16:27" ht="15" customHeight="1">
      <c r="P2654" t="str">
        <f t="shared" si="82"/>
        <v/>
      </c>
      <c r="Q2654" t="str">
        <f>IF(P2654="","",IFERROR(IF(AND(H2654="W7",OR(F2654="causal",F2654="predictive")),IF(AND(OR(K2654=1,K2654="1"),OR(L2654=1,L2654="1"),OR(M2654=1,M2654="1")),"adequate","partial"),IF(AND(H2654="W4",F2654="predictive",OR(J2654="P2",J2654="P3",J2654="P4")),IF(OR(U2654=1,U2654="1"),"adequate","partial"),INDEX(Fit_Matrix!$B:$B,MATCH(P2654,Fit_Matrix!$A:$A,0)))),"CHECK KEY"))</f>
        <v/>
      </c>
      <c r="U2654" s="10"/>
      <c r="V2654" s="10"/>
      <c r="W2654" s="10"/>
      <c r="X2654" s="10"/>
      <c r="Y2654" s="10"/>
      <c r="Z2654" s="10"/>
      <c r="AA2654" s="11" t="str">
        <f t="shared" si="83"/>
        <v/>
      </c>
    </row>
    <row r="2655" spans="16:27" ht="15" customHeight="1">
      <c r="P2655" t="str">
        <f t="shared" si="82"/>
        <v/>
      </c>
      <c r="Q2655" t="str">
        <f>IF(P2655="","",IFERROR(IF(AND(H2655="W7",OR(F2655="causal",F2655="predictive")),IF(AND(OR(K2655=1,K2655="1"),OR(L2655=1,L2655="1"),OR(M2655=1,M2655="1")),"adequate","partial"),IF(AND(H2655="W4",F2655="predictive",OR(J2655="P2",J2655="P3",J2655="P4")),IF(OR(U2655=1,U2655="1"),"adequate","partial"),INDEX(Fit_Matrix!$B:$B,MATCH(P2655,Fit_Matrix!$A:$A,0)))),"CHECK KEY"))</f>
        <v/>
      </c>
      <c r="U2655" s="10"/>
      <c r="V2655" s="10"/>
      <c r="W2655" s="10"/>
      <c r="X2655" s="10"/>
      <c r="Y2655" s="10"/>
      <c r="Z2655" s="10"/>
      <c r="AA2655" s="11" t="str">
        <f t="shared" si="83"/>
        <v/>
      </c>
    </row>
    <row r="2656" spans="16:27" ht="15" customHeight="1">
      <c r="P2656" t="str">
        <f t="shared" si="82"/>
        <v/>
      </c>
      <c r="Q2656" t="str">
        <f>IF(P2656="","",IFERROR(IF(AND(H2656="W7",OR(F2656="causal",F2656="predictive")),IF(AND(OR(K2656=1,K2656="1"),OR(L2656=1,L2656="1"),OR(M2656=1,M2656="1")),"adequate","partial"),IF(AND(H2656="W4",F2656="predictive",OR(J2656="P2",J2656="P3",J2656="P4")),IF(OR(U2656=1,U2656="1"),"adequate","partial"),INDEX(Fit_Matrix!$B:$B,MATCH(P2656,Fit_Matrix!$A:$A,0)))),"CHECK KEY"))</f>
        <v/>
      </c>
      <c r="U2656" s="10"/>
      <c r="V2656" s="10"/>
      <c r="W2656" s="10"/>
      <c r="X2656" s="10"/>
      <c r="Y2656" s="10"/>
      <c r="Z2656" s="10"/>
      <c r="AA2656" s="11" t="str">
        <f t="shared" si="83"/>
        <v/>
      </c>
    </row>
    <row r="2657" spans="16:27" ht="15" customHeight="1">
      <c r="P2657" t="str">
        <f t="shared" si="82"/>
        <v/>
      </c>
      <c r="Q2657" t="str">
        <f>IF(P2657="","",IFERROR(IF(AND(H2657="W7",OR(F2657="causal",F2657="predictive")),IF(AND(OR(K2657=1,K2657="1"),OR(L2657=1,L2657="1"),OR(M2657=1,M2657="1")),"adequate","partial"),IF(AND(H2657="W4",F2657="predictive",OR(J2657="P2",J2657="P3",J2657="P4")),IF(OR(U2657=1,U2657="1"),"adequate","partial"),INDEX(Fit_Matrix!$B:$B,MATCH(P2657,Fit_Matrix!$A:$A,0)))),"CHECK KEY"))</f>
        <v/>
      </c>
      <c r="U2657" s="10"/>
      <c r="V2657" s="10"/>
      <c r="W2657" s="10"/>
      <c r="X2657" s="10"/>
      <c r="Y2657" s="10"/>
      <c r="Z2657" s="10"/>
      <c r="AA2657" s="11" t="str">
        <f t="shared" si="83"/>
        <v/>
      </c>
    </row>
    <row r="2658" spans="16:27" ht="15" customHeight="1">
      <c r="P2658" t="str">
        <f t="shared" si="82"/>
        <v/>
      </c>
      <c r="Q2658" t="str">
        <f>IF(P2658="","",IFERROR(IF(AND(H2658="W7",OR(F2658="causal",F2658="predictive")),IF(AND(OR(K2658=1,K2658="1"),OR(L2658=1,L2658="1"),OR(M2658=1,M2658="1")),"adequate","partial"),IF(AND(H2658="W4",F2658="predictive",OR(J2658="P2",J2658="P3",J2658="P4")),IF(OR(U2658=1,U2658="1"),"adequate","partial"),INDEX(Fit_Matrix!$B:$B,MATCH(P2658,Fit_Matrix!$A:$A,0)))),"CHECK KEY"))</f>
        <v/>
      </c>
      <c r="U2658" s="10"/>
      <c r="V2658" s="10"/>
      <c r="W2658" s="10"/>
      <c r="X2658" s="10"/>
      <c r="Y2658" s="10"/>
      <c r="Z2658" s="10"/>
      <c r="AA2658" s="11" t="str">
        <f t="shared" si="83"/>
        <v/>
      </c>
    </row>
    <row r="2659" spans="16:27" ht="15" customHeight="1">
      <c r="P2659" t="str">
        <f t="shared" si="82"/>
        <v/>
      </c>
      <c r="Q2659" t="str">
        <f>IF(P2659="","",IFERROR(IF(AND(H2659="W7",OR(F2659="causal",F2659="predictive")),IF(AND(OR(K2659=1,K2659="1"),OR(L2659=1,L2659="1"),OR(M2659=1,M2659="1")),"adequate","partial"),IF(AND(H2659="W4",F2659="predictive",OR(J2659="P2",J2659="P3",J2659="P4")),IF(OR(U2659=1,U2659="1"),"adequate","partial"),INDEX(Fit_Matrix!$B:$B,MATCH(P2659,Fit_Matrix!$A:$A,0)))),"CHECK KEY"))</f>
        <v/>
      </c>
      <c r="U2659" s="10"/>
      <c r="V2659" s="10"/>
      <c r="W2659" s="10"/>
      <c r="X2659" s="10"/>
      <c r="Y2659" s="10"/>
      <c r="Z2659" s="10"/>
      <c r="AA2659" s="11" t="str">
        <f t="shared" si="83"/>
        <v/>
      </c>
    </row>
    <row r="2660" spans="16:27" ht="15" customHeight="1">
      <c r="P2660" t="str">
        <f t="shared" si="82"/>
        <v/>
      </c>
      <c r="Q2660" t="str">
        <f>IF(P2660="","",IFERROR(IF(AND(H2660="W7",OR(F2660="causal",F2660="predictive")),IF(AND(OR(K2660=1,K2660="1"),OR(L2660=1,L2660="1"),OR(M2660=1,M2660="1")),"adequate","partial"),IF(AND(H2660="W4",F2660="predictive",OR(J2660="P2",J2660="P3",J2660="P4")),IF(OR(U2660=1,U2660="1"),"adequate","partial"),INDEX(Fit_Matrix!$B:$B,MATCH(P2660,Fit_Matrix!$A:$A,0)))),"CHECK KEY"))</f>
        <v/>
      </c>
      <c r="U2660" s="10"/>
      <c r="V2660" s="10"/>
      <c r="W2660" s="10"/>
      <c r="X2660" s="10"/>
      <c r="Y2660" s="10"/>
      <c r="Z2660" s="10"/>
      <c r="AA2660" s="11" t="str">
        <f t="shared" si="83"/>
        <v/>
      </c>
    </row>
    <row r="2661" spans="16:27" ht="15" customHeight="1">
      <c r="P2661" t="str">
        <f t="shared" si="82"/>
        <v/>
      </c>
      <c r="Q2661" t="str">
        <f>IF(P2661="","",IFERROR(IF(AND(H2661="W7",OR(F2661="causal",F2661="predictive")),IF(AND(OR(K2661=1,K2661="1"),OR(L2661=1,L2661="1"),OR(M2661=1,M2661="1")),"adequate","partial"),IF(AND(H2661="W4",F2661="predictive",OR(J2661="P2",J2661="P3",J2661="P4")),IF(OR(U2661=1,U2661="1"),"adequate","partial"),INDEX(Fit_Matrix!$B:$B,MATCH(P2661,Fit_Matrix!$A:$A,0)))),"CHECK KEY"))</f>
        <v/>
      </c>
      <c r="U2661" s="10"/>
      <c r="V2661" s="10"/>
      <c r="W2661" s="10"/>
      <c r="X2661" s="10"/>
      <c r="Y2661" s="10"/>
      <c r="Z2661" s="10"/>
      <c r="AA2661" s="11" t="str">
        <f t="shared" si="83"/>
        <v/>
      </c>
    </row>
    <row r="2662" spans="16:27" ht="15" customHeight="1">
      <c r="P2662" t="str">
        <f t="shared" si="82"/>
        <v/>
      </c>
      <c r="Q2662" t="str">
        <f>IF(P2662="","",IFERROR(IF(AND(H2662="W7",OR(F2662="causal",F2662="predictive")),IF(AND(OR(K2662=1,K2662="1"),OR(L2662=1,L2662="1"),OR(M2662=1,M2662="1")),"adequate","partial"),IF(AND(H2662="W4",F2662="predictive",OR(J2662="P2",J2662="P3",J2662="P4")),IF(OR(U2662=1,U2662="1"),"adequate","partial"),INDEX(Fit_Matrix!$B:$B,MATCH(P2662,Fit_Matrix!$A:$A,0)))),"CHECK KEY"))</f>
        <v/>
      </c>
      <c r="U2662" s="10"/>
      <c r="V2662" s="10"/>
      <c r="W2662" s="10"/>
      <c r="X2662" s="10"/>
      <c r="Y2662" s="10"/>
      <c r="Z2662" s="10"/>
      <c r="AA2662" s="11" t="str">
        <f t="shared" si="83"/>
        <v/>
      </c>
    </row>
    <row r="2663" spans="16:27" ht="15" customHeight="1">
      <c r="P2663" t="str">
        <f t="shared" si="82"/>
        <v/>
      </c>
      <c r="Q2663" t="str">
        <f>IF(P2663="","",IFERROR(IF(AND(H2663="W7",OR(F2663="causal",F2663="predictive")),IF(AND(OR(K2663=1,K2663="1"),OR(L2663=1,L2663="1"),OR(M2663=1,M2663="1")),"adequate","partial"),IF(AND(H2663="W4",F2663="predictive",OR(J2663="P2",J2663="P3",J2663="P4")),IF(OR(U2663=1,U2663="1"),"adequate","partial"),INDEX(Fit_Matrix!$B:$B,MATCH(P2663,Fit_Matrix!$A:$A,0)))),"CHECK KEY"))</f>
        <v/>
      </c>
      <c r="U2663" s="10"/>
      <c r="V2663" s="10"/>
      <c r="W2663" s="10"/>
      <c r="X2663" s="10"/>
      <c r="Y2663" s="10"/>
      <c r="Z2663" s="10"/>
      <c r="AA2663" s="11" t="str">
        <f t="shared" si="83"/>
        <v/>
      </c>
    </row>
    <row r="2664" spans="16:27" ht="15" customHeight="1">
      <c r="P2664" t="str">
        <f t="shared" si="82"/>
        <v/>
      </c>
      <c r="Q2664" t="str">
        <f>IF(P2664="","",IFERROR(IF(AND(H2664="W7",OR(F2664="causal",F2664="predictive")),IF(AND(OR(K2664=1,K2664="1"),OR(L2664=1,L2664="1"),OR(M2664=1,M2664="1")),"adequate","partial"),IF(AND(H2664="W4",F2664="predictive",OR(J2664="P2",J2664="P3",J2664="P4")),IF(OR(U2664=1,U2664="1"),"adequate","partial"),INDEX(Fit_Matrix!$B:$B,MATCH(P2664,Fit_Matrix!$A:$A,0)))),"CHECK KEY"))</f>
        <v/>
      </c>
      <c r="U2664" s="10"/>
      <c r="V2664" s="10"/>
      <c r="W2664" s="10"/>
      <c r="X2664" s="10"/>
      <c r="Y2664" s="10"/>
      <c r="Z2664" s="10"/>
      <c r="AA2664" s="11" t="str">
        <f t="shared" si="83"/>
        <v/>
      </c>
    </row>
    <row r="2665" spans="16:27" ht="15" customHeight="1">
      <c r="P2665" t="str">
        <f t="shared" si="82"/>
        <v/>
      </c>
      <c r="Q2665" t="str">
        <f>IF(P2665="","",IFERROR(IF(AND(H2665="W7",OR(F2665="causal",F2665="predictive")),IF(AND(OR(K2665=1,K2665="1"),OR(L2665=1,L2665="1"),OR(M2665=1,M2665="1")),"adequate","partial"),IF(AND(H2665="W4",F2665="predictive",OR(J2665="P2",J2665="P3",J2665="P4")),IF(OR(U2665=1,U2665="1"),"adequate","partial"),INDEX(Fit_Matrix!$B:$B,MATCH(P2665,Fit_Matrix!$A:$A,0)))),"CHECK KEY"))</f>
        <v/>
      </c>
      <c r="U2665" s="10"/>
      <c r="V2665" s="10"/>
      <c r="W2665" s="10"/>
      <c r="X2665" s="10"/>
      <c r="Y2665" s="10"/>
      <c r="Z2665" s="10"/>
      <c r="AA2665" s="11" t="str">
        <f t="shared" si="83"/>
        <v/>
      </c>
    </row>
    <row r="2666" spans="16:27" ht="15" customHeight="1">
      <c r="P2666" t="str">
        <f t="shared" si="82"/>
        <v/>
      </c>
      <c r="Q2666" t="str">
        <f>IF(P2666="","",IFERROR(IF(AND(H2666="W7",OR(F2666="causal",F2666="predictive")),IF(AND(OR(K2666=1,K2666="1"),OR(L2666=1,L2666="1"),OR(M2666=1,M2666="1")),"adequate","partial"),IF(AND(H2666="W4",F2666="predictive",OR(J2666="P2",J2666="P3",J2666="P4")),IF(OR(U2666=1,U2666="1"),"adequate","partial"),INDEX(Fit_Matrix!$B:$B,MATCH(P2666,Fit_Matrix!$A:$A,0)))),"CHECK KEY"))</f>
        <v/>
      </c>
      <c r="U2666" s="10"/>
      <c r="V2666" s="10"/>
      <c r="W2666" s="10"/>
      <c r="X2666" s="10"/>
      <c r="Y2666" s="10"/>
      <c r="Z2666" s="10"/>
      <c r="AA2666" s="11" t="str">
        <f t="shared" si="83"/>
        <v/>
      </c>
    </row>
    <row r="2667" spans="16:27" ht="15" customHeight="1">
      <c r="P2667" t="str">
        <f t="shared" si="82"/>
        <v/>
      </c>
      <c r="Q2667" t="str">
        <f>IF(P2667="","",IFERROR(IF(AND(H2667="W7",OR(F2667="causal",F2667="predictive")),IF(AND(OR(K2667=1,K2667="1"),OR(L2667=1,L2667="1"),OR(M2667=1,M2667="1")),"adequate","partial"),IF(AND(H2667="W4",F2667="predictive",OR(J2667="P2",J2667="P3",J2667="P4")),IF(OR(U2667=1,U2667="1"),"adequate","partial"),INDEX(Fit_Matrix!$B:$B,MATCH(P2667,Fit_Matrix!$A:$A,0)))),"CHECK KEY"))</f>
        <v/>
      </c>
      <c r="U2667" s="10"/>
      <c r="V2667" s="10"/>
      <c r="W2667" s="10"/>
      <c r="X2667" s="10"/>
      <c r="Y2667" s="10"/>
      <c r="Z2667" s="10"/>
      <c r="AA2667" s="11" t="str">
        <f t="shared" si="83"/>
        <v/>
      </c>
    </row>
    <row r="2668" spans="16:27" ht="15" customHeight="1">
      <c r="P2668" t="str">
        <f t="shared" si="82"/>
        <v/>
      </c>
      <c r="Q2668" t="str">
        <f>IF(P2668="","",IFERROR(IF(AND(H2668="W7",OR(F2668="causal",F2668="predictive")),IF(AND(OR(K2668=1,K2668="1"),OR(L2668=1,L2668="1"),OR(M2668=1,M2668="1")),"adequate","partial"),IF(AND(H2668="W4",F2668="predictive",OR(J2668="P2",J2668="P3",J2668="P4")),IF(OR(U2668=1,U2668="1"),"adequate","partial"),INDEX(Fit_Matrix!$B:$B,MATCH(P2668,Fit_Matrix!$A:$A,0)))),"CHECK KEY"))</f>
        <v/>
      </c>
      <c r="U2668" s="10"/>
      <c r="V2668" s="10"/>
      <c r="W2668" s="10"/>
      <c r="X2668" s="10"/>
      <c r="Y2668" s="10"/>
      <c r="Z2668" s="10"/>
      <c r="AA2668" s="11" t="str">
        <f t="shared" si="83"/>
        <v/>
      </c>
    </row>
    <row r="2669" spans="16:27" ht="15" customHeight="1">
      <c r="P2669" t="str">
        <f t="shared" si="82"/>
        <v/>
      </c>
      <c r="Q2669" t="str">
        <f>IF(P2669="","",IFERROR(IF(AND(H2669="W7",OR(F2669="causal",F2669="predictive")),IF(AND(OR(K2669=1,K2669="1"),OR(L2669=1,L2669="1"),OR(M2669=1,M2669="1")),"adequate","partial"),IF(AND(H2669="W4",F2669="predictive",OR(J2669="P2",J2669="P3",J2669="P4")),IF(OR(U2669=1,U2669="1"),"adequate","partial"),INDEX(Fit_Matrix!$B:$B,MATCH(P2669,Fit_Matrix!$A:$A,0)))),"CHECK KEY"))</f>
        <v/>
      </c>
      <c r="U2669" s="10"/>
      <c r="V2669" s="10"/>
      <c r="W2669" s="10"/>
      <c r="X2669" s="10"/>
      <c r="Y2669" s="10"/>
      <c r="Z2669" s="10"/>
      <c r="AA2669" s="11" t="str">
        <f t="shared" si="83"/>
        <v/>
      </c>
    </row>
    <row r="2670" spans="16:27" ht="15" customHeight="1">
      <c r="P2670" t="str">
        <f t="shared" si="82"/>
        <v/>
      </c>
      <c r="Q2670" t="str">
        <f>IF(P2670="","",IFERROR(IF(AND(H2670="W7",OR(F2670="causal",F2670="predictive")),IF(AND(OR(K2670=1,K2670="1"),OR(L2670=1,L2670="1"),OR(M2670=1,M2670="1")),"adequate","partial"),IF(AND(H2670="W4",F2670="predictive",OR(J2670="P2",J2670="P3",J2670="P4")),IF(OR(U2670=1,U2670="1"),"adequate","partial"),INDEX(Fit_Matrix!$B:$B,MATCH(P2670,Fit_Matrix!$A:$A,0)))),"CHECK KEY"))</f>
        <v/>
      </c>
      <c r="U2670" s="10"/>
      <c r="V2670" s="10"/>
      <c r="W2670" s="10"/>
      <c r="X2670" s="10"/>
      <c r="Y2670" s="10"/>
      <c r="Z2670" s="10"/>
      <c r="AA2670" s="11" t="str">
        <f t="shared" si="83"/>
        <v/>
      </c>
    </row>
    <row r="2671" spans="16:27" ht="15" customHeight="1">
      <c r="P2671" t="str">
        <f t="shared" si="82"/>
        <v/>
      </c>
      <c r="Q2671" t="str">
        <f>IF(P2671="","",IFERROR(IF(AND(H2671="W7",OR(F2671="causal",F2671="predictive")),IF(AND(OR(K2671=1,K2671="1"),OR(L2671=1,L2671="1"),OR(M2671=1,M2671="1")),"adequate","partial"),IF(AND(H2671="W4",F2671="predictive",OR(J2671="P2",J2671="P3",J2671="P4")),IF(OR(U2671=1,U2671="1"),"adequate","partial"),INDEX(Fit_Matrix!$B:$B,MATCH(P2671,Fit_Matrix!$A:$A,0)))),"CHECK KEY"))</f>
        <v/>
      </c>
      <c r="U2671" s="10"/>
      <c r="V2671" s="10"/>
      <c r="W2671" s="10"/>
      <c r="X2671" s="10"/>
      <c r="Y2671" s="10"/>
      <c r="Z2671" s="10"/>
      <c r="AA2671" s="11" t="str">
        <f t="shared" si="83"/>
        <v/>
      </c>
    </row>
    <row r="2672" spans="16:27" ht="15" customHeight="1">
      <c r="P2672" t="str">
        <f t="shared" si="82"/>
        <v/>
      </c>
      <c r="Q2672" t="str">
        <f>IF(P2672="","",IFERROR(IF(AND(H2672="W7",OR(F2672="causal",F2672="predictive")),IF(AND(OR(K2672=1,K2672="1"),OR(L2672=1,L2672="1"),OR(M2672=1,M2672="1")),"adequate","partial"),IF(AND(H2672="W4",F2672="predictive",OR(J2672="P2",J2672="P3",J2672="P4")),IF(OR(U2672=1,U2672="1"),"adequate","partial"),INDEX(Fit_Matrix!$B:$B,MATCH(P2672,Fit_Matrix!$A:$A,0)))),"CHECK KEY"))</f>
        <v/>
      </c>
      <c r="U2672" s="10"/>
      <c r="V2672" s="10"/>
      <c r="W2672" s="10"/>
      <c r="X2672" s="10"/>
      <c r="Y2672" s="10"/>
      <c r="Z2672" s="10"/>
      <c r="AA2672" s="11" t="str">
        <f t="shared" si="83"/>
        <v/>
      </c>
    </row>
    <row r="2673" spans="16:27" ht="15" customHeight="1">
      <c r="P2673" t="str">
        <f t="shared" si="82"/>
        <v/>
      </c>
      <c r="Q2673" t="str">
        <f>IF(P2673="","",IFERROR(IF(AND(H2673="W7",OR(F2673="causal",F2673="predictive")),IF(AND(OR(K2673=1,K2673="1"),OR(L2673=1,L2673="1"),OR(M2673=1,M2673="1")),"adequate","partial"),IF(AND(H2673="W4",F2673="predictive",OR(J2673="P2",J2673="P3",J2673="P4")),IF(OR(U2673=1,U2673="1"),"adequate","partial"),INDEX(Fit_Matrix!$B:$B,MATCH(P2673,Fit_Matrix!$A:$A,0)))),"CHECK KEY"))</f>
        <v/>
      </c>
      <c r="U2673" s="10"/>
      <c r="V2673" s="10"/>
      <c r="W2673" s="10"/>
      <c r="X2673" s="10"/>
      <c r="Y2673" s="10"/>
      <c r="Z2673" s="10"/>
      <c r="AA2673" s="11" t="str">
        <f t="shared" si="83"/>
        <v/>
      </c>
    </row>
    <row r="2674" spans="16:27" ht="15" customHeight="1">
      <c r="P2674" t="str">
        <f t="shared" si="82"/>
        <v/>
      </c>
      <c r="Q2674" t="str">
        <f>IF(P2674="","",IFERROR(IF(AND(H2674="W7",OR(F2674="causal",F2674="predictive")),IF(AND(OR(K2674=1,K2674="1"),OR(L2674=1,L2674="1"),OR(M2674=1,M2674="1")),"adequate","partial"),IF(AND(H2674="W4",F2674="predictive",OR(J2674="P2",J2674="P3",J2674="P4")),IF(OR(U2674=1,U2674="1"),"adequate","partial"),INDEX(Fit_Matrix!$B:$B,MATCH(P2674,Fit_Matrix!$A:$A,0)))),"CHECK KEY"))</f>
        <v/>
      </c>
      <c r="U2674" s="10"/>
      <c r="V2674" s="10"/>
      <c r="W2674" s="10"/>
      <c r="X2674" s="10"/>
      <c r="Y2674" s="10"/>
      <c r="Z2674" s="10"/>
      <c r="AA2674" s="11" t="str">
        <f t="shared" si="83"/>
        <v/>
      </c>
    </row>
    <row r="2675" spans="16:27" ht="15" customHeight="1">
      <c r="P2675" t="str">
        <f t="shared" si="82"/>
        <v/>
      </c>
      <c r="Q2675" t="str">
        <f>IF(P2675="","",IFERROR(IF(AND(H2675="W7",OR(F2675="causal",F2675="predictive")),IF(AND(OR(K2675=1,K2675="1"),OR(L2675=1,L2675="1"),OR(M2675=1,M2675="1")),"adequate","partial"),IF(AND(H2675="W4",F2675="predictive",OR(J2675="P2",J2675="P3",J2675="P4")),IF(OR(U2675=1,U2675="1"),"adequate","partial"),INDEX(Fit_Matrix!$B:$B,MATCH(P2675,Fit_Matrix!$A:$A,0)))),"CHECK KEY"))</f>
        <v/>
      </c>
      <c r="U2675" s="10"/>
      <c r="V2675" s="10"/>
      <c r="W2675" s="10"/>
      <c r="X2675" s="10"/>
      <c r="Y2675" s="10"/>
      <c r="Z2675" s="10"/>
      <c r="AA2675" s="11" t="str">
        <f t="shared" si="83"/>
        <v/>
      </c>
    </row>
    <row r="2676" spans="16:27" ht="15" customHeight="1">
      <c r="P2676" t="str">
        <f t="shared" si="82"/>
        <v/>
      </c>
      <c r="Q2676" t="str">
        <f>IF(P2676="","",IFERROR(IF(AND(H2676="W7",OR(F2676="causal",F2676="predictive")),IF(AND(OR(K2676=1,K2676="1"),OR(L2676=1,L2676="1"),OR(M2676=1,M2676="1")),"adequate","partial"),IF(AND(H2676="W4",F2676="predictive",OR(J2676="P2",J2676="P3",J2676="P4")),IF(OR(U2676=1,U2676="1"),"adequate","partial"),INDEX(Fit_Matrix!$B:$B,MATCH(P2676,Fit_Matrix!$A:$A,0)))),"CHECK KEY"))</f>
        <v/>
      </c>
      <c r="U2676" s="10"/>
      <c r="V2676" s="10"/>
      <c r="W2676" s="10"/>
      <c r="X2676" s="10"/>
      <c r="Y2676" s="10"/>
      <c r="Z2676" s="10"/>
      <c r="AA2676" s="11" t="str">
        <f t="shared" si="83"/>
        <v/>
      </c>
    </row>
    <row r="2677" spans="16:27" ht="15" customHeight="1">
      <c r="P2677" t="str">
        <f t="shared" si="82"/>
        <v/>
      </c>
      <c r="Q2677" t="str">
        <f>IF(P2677="","",IFERROR(IF(AND(H2677="W7",OR(F2677="causal",F2677="predictive")),IF(AND(OR(K2677=1,K2677="1"),OR(L2677=1,L2677="1"),OR(M2677=1,M2677="1")),"adequate","partial"),IF(AND(H2677="W4",F2677="predictive",OR(J2677="P2",J2677="P3",J2677="P4")),IF(OR(U2677=1,U2677="1"),"adequate","partial"),INDEX(Fit_Matrix!$B:$B,MATCH(P2677,Fit_Matrix!$A:$A,0)))),"CHECK KEY"))</f>
        <v/>
      </c>
      <c r="U2677" s="10"/>
      <c r="V2677" s="10"/>
      <c r="W2677" s="10"/>
      <c r="X2677" s="10"/>
      <c r="Y2677" s="10"/>
      <c r="Z2677" s="10"/>
      <c r="AA2677" s="11" t="str">
        <f t="shared" si="83"/>
        <v/>
      </c>
    </row>
    <row r="2678" spans="16:27" ht="15" customHeight="1">
      <c r="P2678" t="str">
        <f t="shared" si="82"/>
        <v/>
      </c>
      <c r="Q2678" t="str">
        <f>IF(P2678="","",IFERROR(IF(AND(H2678="W7",OR(F2678="causal",F2678="predictive")),IF(AND(OR(K2678=1,K2678="1"),OR(L2678=1,L2678="1"),OR(M2678=1,M2678="1")),"adequate","partial"),IF(AND(H2678="W4",F2678="predictive",OR(J2678="P2",J2678="P3",J2678="P4")),IF(OR(U2678=1,U2678="1"),"adequate","partial"),INDEX(Fit_Matrix!$B:$B,MATCH(P2678,Fit_Matrix!$A:$A,0)))),"CHECK KEY"))</f>
        <v/>
      </c>
      <c r="U2678" s="10"/>
      <c r="V2678" s="10"/>
      <c r="W2678" s="10"/>
      <c r="X2678" s="10"/>
      <c r="Y2678" s="10"/>
      <c r="Z2678" s="10"/>
      <c r="AA2678" s="11" t="str">
        <f t="shared" si="83"/>
        <v/>
      </c>
    </row>
    <row r="2679" spans="16:27" ht="15" customHeight="1">
      <c r="P2679" t="str">
        <f t="shared" si="82"/>
        <v/>
      </c>
      <c r="Q2679" t="str">
        <f>IF(P2679="","",IFERROR(IF(AND(H2679="W7",OR(F2679="causal",F2679="predictive")),IF(AND(OR(K2679=1,K2679="1"),OR(L2679=1,L2679="1"),OR(M2679=1,M2679="1")),"adequate","partial"),IF(AND(H2679="W4",F2679="predictive",OR(J2679="P2",J2679="P3",J2679="P4")),IF(OR(U2679=1,U2679="1"),"adequate","partial"),INDEX(Fit_Matrix!$B:$B,MATCH(P2679,Fit_Matrix!$A:$A,0)))),"CHECK KEY"))</f>
        <v/>
      </c>
      <c r="U2679" s="10"/>
      <c r="V2679" s="10"/>
      <c r="W2679" s="10"/>
      <c r="X2679" s="10"/>
      <c r="Y2679" s="10"/>
      <c r="Z2679" s="10"/>
      <c r="AA2679" s="11" t="str">
        <f t="shared" si="83"/>
        <v/>
      </c>
    </row>
    <row r="2680" spans="16:27" ht="15" customHeight="1">
      <c r="P2680" t="str">
        <f t="shared" si="82"/>
        <v/>
      </c>
      <c r="Q2680" t="str">
        <f>IF(P2680="","",IFERROR(IF(AND(H2680="W7",OR(F2680="causal",F2680="predictive")),IF(AND(OR(K2680=1,K2680="1"),OR(L2680=1,L2680="1"),OR(M2680=1,M2680="1")),"adequate","partial"),IF(AND(H2680="W4",F2680="predictive",OR(J2680="P2",J2680="P3",J2680="P4")),IF(OR(U2680=1,U2680="1"),"adequate","partial"),INDEX(Fit_Matrix!$B:$B,MATCH(P2680,Fit_Matrix!$A:$A,0)))),"CHECK KEY"))</f>
        <v/>
      </c>
      <c r="U2680" s="10"/>
      <c r="V2680" s="10"/>
      <c r="W2680" s="10"/>
      <c r="X2680" s="10"/>
      <c r="Y2680" s="10"/>
      <c r="Z2680" s="10"/>
      <c r="AA2680" s="11" t="str">
        <f t="shared" si="83"/>
        <v/>
      </c>
    </row>
    <row r="2681" spans="16:27" ht="15" customHeight="1">
      <c r="P2681" t="str">
        <f t="shared" si="82"/>
        <v/>
      </c>
      <c r="Q2681" t="str">
        <f>IF(P2681="","",IFERROR(IF(AND(H2681="W7",OR(F2681="causal",F2681="predictive")),IF(AND(OR(K2681=1,K2681="1"),OR(L2681=1,L2681="1"),OR(M2681=1,M2681="1")),"adequate","partial"),IF(AND(H2681="W4",F2681="predictive",OR(J2681="P2",J2681="P3",J2681="P4")),IF(OR(U2681=1,U2681="1"),"adequate","partial"),INDEX(Fit_Matrix!$B:$B,MATCH(P2681,Fit_Matrix!$A:$A,0)))),"CHECK KEY"))</f>
        <v/>
      </c>
      <c r="U2681" s="10"/>
      <c r="V2681" s="10"/>
      <c r="W2681" s="10"/>
      <c r="X2681" s="10"/>
      <c r="Y2681" s="10"/>
      <c r="Z2681" s="10"/>
      <c r="AA2681" s="11" t="str">
        <f t="shared" si="83"/>
        <v/>
      </c>
    </row>
    <row r="2682" spans="16:27" ht="15" customHeight="1">
      <c r="P2682" t="str">
        <f t="shared" si="82"/>
        <v/>
      </c>
      <c r="Q2682" t="str">
        <f>IF(P2682="","",IFERROR(IF(AND(H2682="W7",OR(F2682="causal",F2682="predictive")),IF(AND(OR(K2682=1,K2682="1"),OR(L2682=1,L2682="1"),OR(M2682=1,M2682="1")),"adequate","partial"),IF(AND(H2682="W4",F2682="predictive",OR(J2682="P2",J2682="P3",J2682="P4")),IF(OR(U2682=1,U2682="1"),"adequate","partial"),INDEX(Fit_Matrix!$B:$B,MATCH(P2682,Fit_Matrix!$A:$A,0)))),"CHECK KEY"))</f>
        <v/>
      </c>
      <c r="U2682" s="10"/>
      <c r="V2682" s="10"/>
      <c r="W2682" s="10"/>
      <c r="X2682" s="10"/>
      <c r="Y2682" s="10"/>
      <c r="Z2682" s="10"/>
      <c r="AA2682" s="11" t="str">
        <f t="shared" si="83"/>
        <v/>
      </c>
    </row>
    <row r="2683" spans="16:27" ht="15" customHeight="1">
      <c r="P2683" t="str">
        <f t="shared" si="82"/>
        <v/>
      </c>
      <c r="Q2683" t="str">
        <f>IF(P2683="","",IFERROR(IF(AND(H2683="W7",OR(F2683="causal",F2683="predictive")),IF(AND(OR(K2683=1,K2683="1"),OR(L2683=1,L2683="1"),OR(M2683=1,M2683="1")),"adequate","partial"),IF(AND(H2683="W4",F2683="predictive",OR(J2683="P2",J2683="P3",J2683="P4")),IF(OR(U2683=1,U2683="1"),"adequate","partial"),INDEX(Fit_Matrix!$B:$B,MATCH(P2683,Fit_Matrix!$A:$A,0)))),"CHECK KEY"))</f>
        <v/>
      </c>
      <c r="U2683" s="10"/>
      <c r="V2683" s="10"/>
      <c r="W2683" s="10"/>
      <c r="X2683" s="10"/>
      <c r="Y2683" s="10"/>
      <c r="Z2683" s="10"/>
      <c r="AA2683" s="11" t="str">
        <f t="shared" si="83"/>
        <v/>
      </c>
    </row>
    <row r="2684" spans="16:27" ht="15" customHeight="1">
      <c r="P2684" t="str">
        <f t="shared" si="82"/>
        <v/>
      </c>
      <c r="Q2684" t="str">
        <f>IF(P2684="","",IFERROR(IF(AND(H2684="W7",OR(F2684="causal",F2684="predictive")),IF(AND(OR(K2684=1,K2684="1"),OR(L2684=1,L2684="1"),OR(M2684=1,M2684="1")),"adequate","partial"),IF(AND(H2684="W4",F2684="predictive",OR(J2684="P2",J2684="P3",J2684="P4")),IF(OR(U2684=1,U2684="1"),"adequate","partial"),INDEX(Fit_Matrix!$B:$B,MATCH(P2684,Fit_Matrix!$A:$A,0)))),"CHECK KEY"))</f>
        <v/>
      </c>
      <c r="U2684" s="10"/>
      <c r="V2684" s="10"/>
      <c r="W2684" s="10"/>
      <c r="X2684" s="10"/>
      <c r="Y2684" s="10"/>
      <c r="Z2684" s="10"/>
      <c r="AA2684" s="11" t="str">
        <f t="shared" si="83"/>
        <v/>
      </c>
    </row>
    <row r="2685" spans="16:27" ht="15" customHeight="1">
      <c r="P2685" t="str">
        <f t="shared" si="82"/>
        <v/>
      </c>
      <c r="Q2685" t="str">
        <f>IF(P2685="","",IFERROR(IF(AND(H2685="W7",OR(F2685="causal",F2685="predictive")),IF(AND(OR(K2685=1,K2685="1"),OR(L2685=1,L2685="1"),OR(M2685=1,M2685="1")),"adequate","partial"),IF(AND(H2685="W4",F2685="predictive",OR(J2685="P2",J2685="P3",J2685="P4")),IF(OR(U2685=1,U2685="1"),"adequate","partial"),INDEX(Fit_Matrix!$B:$B,MATCH(P2685,Fit_Matrix!$A:$A,0)))),"CHECK KEY"))</f>
        <v/>
      </c>
      <c r="U2685" s="10"/>
      <c r="V2685" s="10"/>
      <c r="W2685" s="10"/>
      <c r="X2685" s="10"/>
      <c r="Y2685" s="10"/>
      <c r="Z2685" s="10"/>
      <c r="AA2685" s="11" t="str">
        <f t="shared" si="83"/>
        <v/>
      </c>
    </row>
    <row r="2686" spans="16:27" ht="15" customHeight="1">
      <c r="P2686" t="str">
        <f t="shared" si="82"/>
        <v/>
      </c>
      <c r="Q2686" t="str">
        <f>IF(P2686="","",IFERROR(IF(AND(H2686="W7",OR(F2686="causal",F2686="predictive")),IF(AND(OR(K2686=1,K2686="1"),OR(L2686=1,L2686="1"),OR(M2686=1,M2686="1")),"adequate","partial"),IF(AND(H2686="W4",F2686="predictive",OR(J2686="P2",J2686="P3",J2686="P4")),IF(OR(U2686=1,U2686="1"),"adequate","partial"),INDEX(Fit_Matrix!$B:$B,MATCH(P2686,Fit_Matrix!$A:$A,0)))),"CHECK KEY"))</f>
        <v/>
      </c>
      <c r="U2686" s="10"/>
      <c r="V2686" s="10"/>
      <c r="W2686" s="10"/>
      <c r="X2686" s="10"/>
      <c r="Y2686" s="10"/>
      <c r="Z2686" s="10"/>
      <c r="AA2686" s="11" t="str">
        <f t="shared" si="83"/>
        <v/>
      </c>
    </row>
    <row r="2687" spans="16:27" ht="15" customHeight="1">
      <c r="P2687" t="str">
        <f t="shared" si="82"/>
        <v/>
      </c>
      <c r="Q2687" t="str">
        <f>IF(P2687="","",IFERROR(IF(AND(H2687="W7",OR(F2687="causal",F2687="predictive")),IF(AND(OR(K2687=1,K2687="1"),OR(L2687=1,L2687="1"),OR(M2687=1,M2687="1")),"adequate","partial"),IF(AND(H2687="W4",F2687="predictive",OR(J2687="P2",J2687="P3",J2687="P4")),IF(OR(U2687=1,U2687="1"),"adequate","partial"),INDEX(Fit_Matrix!$B:$B,MATCH(P2687,Fit_Matrix!$A:$A,0)))),"CHECK KEY"))</f>
        <v/>
      </c>
      <c r="U2687" s="10"/>
      <c r="V2687" s="10"/>
      <c r="W2687" s="10"/>
      <c r="X2687" s="10"/>
      <c r="Y2687" s="10"/>
      <c r="Z2687" s="10"/>
      <c r="AA2687" s="11" t="str">
        <f t="shared" si="83"/>
        <v/>
      </c>
    </row>
    <row r="2688" spans="16:27" ht="15" customHeight="1">
      <c r="P2688" t="str">
        <f t="shared" si="82"/>
        <v/>
      </c>
      <c r="Q2688" t="str">
        <f>IF(P2688="","",IFERROR(IF(AND(H2688="W7",OR(F2688="causal",F2688="predictive")),IF(AND(OR(K2688=1,K2688="1"),OR(L2688=1,L2688="1"),OR(M2688=1,M2688="1")),"adequate","partial"),IF(AND(H2688="W4",F2688="predictive",OR(J2688="P2",J2688="P3",J2688="P4")),IF(OR(U2688=1,U2688="1"),"adequate","partial"),INDEX(Fit_Matrix!$B:$B,MATCH(P2688,Fit_Matrix!$A:$A,0)))),"CHECK KEY"))</f>
        <v/>
      </c>
      <c r="U2688" s="10"/>
      <c r="V2688" s="10"/>
      <c r="W2688" s="10"/>
      <c r="X2688" s="10"/>
      <c r="Y2688" s="10"/>
      <c r="Z2688" s="10"/>
      <c r="AA2688" s="11" t="str">
        <f t="shared" si="83"/>
        <v/>
      </c>
    </row>
    <row r="2689" spans="16:27" ht="15" customHeight="1">
      <c r="P2689" t="str">
        <f t="shared" si="82"/>
        <v/>
      </c>
      <c r="Q2689" t="str">
        <f>IF(P2689="","",IFERROR(IF(AND(H2689="W7",OR(F2689="causal",F2689="predictive")),IF(AND(OR(K2689=1,K2689="1"),OR(L2689=1,L2689="1"),OR(M2689=1,M2689="1")),"adequate","partial"),IF(AND(H2689="W4",F2689="predictive",OR(J2689="P2",J2689="P3",J2689="P4")),IF(OR(U2689=1,U2689="1"),"adequate","partial"),INDEX(Fit_Matrix!$B:$B,MATCH(P2689,Fit_Matrix!$A:$A,0)))),"CHECK KEY"))</f>
        <v/>
      </c>
      <c r="U2689" s="10"/>
      <c r="V2689" s="10"/>
      <c r="W2689" s="10"/>
      <c r="X2689" s="10"/>
      <c r="Y2689" s="10"/>
      <c r="Z2689" s="10"/>
      <c r="AA2689" s="11" t="str">
        <f t="shared" si="83"/>
        <v/>
      </c>
    </row>
    <row r="2690" spans="16:27" ht="15" customHeight="1">
      <c r="P2690" t="str">
        <f t="shared" ref="P2690:P2753" si="84">IF(OR(F2690="",H2690="",J2690=""),"",J2690&amp;"|"&amp;F2690&amp;"|"&amp;IF(H2690="W3","W3_"&amp;IF(I2690="","unknown",I2690),H2690))</f>
        <v/>
      </c>
      <c r="Q2690" t="str">
        <f>IF(P2690="","",IFERROR(IF(AND(H2690="W7",OR(F2690="causal",F2690="predictive")),IF(AND(OR(K2690=1,K2690="1"),OR(L2690=1,L2690="1"),OR(M2690=1,M2690="1")),"adequate","partial"),IF(AND(H2690="W4",F2690="predictive",OR(J2690="P2",J2690="P3",J2690="P4")),IF(OR(U2690=1,U2690="1"),"adequate","partial"),INDEX(Fit_Matrix!$B:$B,MATCH(P2690,Fit_Matrix!$A:$A,0)))),"CHECK KEY"))</f>
        <v/>
      </c>
      <c r="U2690" s="10"/>
      <c r="V2690" s="10"/>
      <c r="W2690" s="10"/>
      <c r="X2690" s="10"/>
      <c r="Y2690" s="10"/>
      <c r="Z2690" s="10"/>
      <c r="AA2690" s="11" t="str">
        <f t="shared" ref="AA2690:AA2753" si="85">IF(A2690="","",IF(AND(J2690="P4",F2690="causal"),"P4-CAUSAL",""))</f>
        <v/>
      </c>
    </row>
    <row r="2691" spans="16:27" ht="15" customHeight="1">
      <c r="P2691" t="str">
        <f t="shared" si="84"/>
        <v/>
      </c>
      <c r="Q2691" t="str">
        <f>IF(P2691="","",IFERROR(IF(AND(H2691="W7",OR(F2691="causal",F2691="predictive")),IF(AND(OR(K2691=1,K2691="1"),OR(L2691=1,L2691="1"),OR(M2691=1,M2691="1")),"adequate","partial"),IF(AND(H2691="W4",F2691="predictive",OR(J2691="P2",J2691="P3",J2691="P4")),IF(OR(U2691=1,U2691="1"),"adequate","partial"),INDEX(Fit_Matrix!$B:$B,MATCH(P2691,Fit_Matrix!$A:$A,0)))),"CHECK KEY"))</f>
        <v/>
      </c>
      <c r="U2691" s="10"/>
      <c r="V2691" s="10"/>
      <c r="W2691" s="10"/>
      <c r="X2691" s="10"/>
      <c r="Y2691" s="10"/>
      <c r="Z2691" s="10"/>
      <c r="AA2691" s="11" t="str">
        <f t="shared" si="85"/>
        <v/>
      </c>
    </row>
    <row r="2692" spans="16:27" ht="15" customHeight="1">
      <c r="P2692" t="str">
        <f t="shared" si="84"/>
        <v/>
      </c>
      <c r="Q2692" t="str">
        <f>IF(P2692="","",IFERROR(IF(AND(H2692="W7",OR(F2692="causal",F2692="predictive")),IF(AND(OR(K2692=1,K2692="1"),OR(L2692=1,L2692="1"),OR(M2692=1,M2692="1")),"adequate","partial"),IF(AND(H2692="W4",F2692="predictive",OR(J2692="P2",J2692="P3",J2692="P4")),IF(OR(U2692=1,U2692="1"),"adequate","partial"),INDEX(Fit_Matrix!$B:$B,MATCH(P2692,Fit_Matrix!$A:$A,0)))),"CHECK KEY"))</f>
        <v/>
      </c>
      <c r="U2692" s="10"/>
      <c r="V2692" s="10"/>
      <c r="W2692" s="10"/>
      <c r="X2692" s="10"/>
      <c r="Y2692" s="10"/>
      <c r="Z2692" s="10"/>
      <c r="AA2692" s="11" t="str">
        <f t="shared" si="85"/>
        <v/>
      </c>
    </row>
    <row r="2693" spans="16:27" ht="15" customHeight="1">
      <c r="P2693" t="str">
        <f t="shared" si="84"/>
        <v/>
      </c>
      <c r="Q2693" t="str">
        <f>IF(P2693="","",IFERROR(IF(AND(H2693="W7",OR(F2693="causal",F2693="predictive")),IF(AND(OR(K2693=1,K2693="1"),OR(L2693=1,L2693="1"),OR(M2693=1,M2693="1")),"adequate","partial"),IF(AND(H2693="W4",F2693="predictive",OR(J2693="P2",J2693="P3",J2693="P4")),IF(OR(U2693=1,U2693="1"),"adequate","partial"),INDEX(Fit_Matrix!$B:$B,MATCH(P2693,Fit_Matrix!$A:$A,0)))),"CHECK KEY"))</f>
        <v/>
      </c>
      <c r="U2693" s="10"/>
      <c r="V2693" s="10"/>
      <c r="W2693" s="10"/>
      <c r="X2693" s="10"/>
      <c r="Y2693" s="10"/>
      <c r="Z2693" s="10"/>
      <c r="AA2693" s="11" t="str">
        <f t="shared" si="85"/>
        <v/>
      </c>
    </row>
    <row r="2694" spans="16:27" ht="15" customHeight="1">
      <c r="P2694" t="str">
        <f t="shared" si="84"/>
        <v/>
      </c>
      <c r="Q2694" t="str">
        <f>IF(P2694="","",IFERROR(IF(AND(H2694="W7",OR(F2694="causal",F2694="predictive")),IF(AND(OR(K2694=1,K2694="1"),OR(L2694=1,L2694="1"),OR(M2694=1,M2694="1")),"adequate","partial"),IF(AND(H2694="W4",F2694="predictive",OR(J2694="P2",J2694="P3",J2694="P4")),IF(OR(U2694=1,U2694="1"),"adequate","partial"),INDEX(Fit_Matrix!$B:$B,MATCH(P2694,Fit_Matrix!$A:$A,0)))),"CHECK KEY"))</f>
        <v/>
      </c>
      <c r="U2694" s="10"/>
      <c r="V2694" s="10"/>
      <c r="W2694" s="10"/>
      <c r="X2694" s="10"/>
      <c r="Y2694" s="10"/>
      <c r="Z2694" s="10"/>
      <c r="AA2694" s="11" t="str">
        <f t="shared" si="85"/>
        <v/>
      </c>
    </row>
    <row r="2695" spans="16:27" ht="15" customHeight="1">
      <c r="P2695" t="str">
        <f t="shared" si="84"/>
        <v/>
      </c>
      <c r="Q2695" t="str">
        <f>IF(P2695="","",IFERROR(IF(AND(H2695="W7",OR(F2695="causal",F2695="predictive")),IF(AND(OR(K2695=1,K2695="1"),OR(L2695=1,L2695="1"),OR(M2695=1,M2695="1")),"adequate","partial"),IF(AND(H2695="W4",F2695="predictive",OR(J2695="P2",J2695="P3",J2695="P4")),IF(OR(U2695=1,U2695="1"),"adequate","partial"),INDEX(Fit_Matrix!$B:$B,MATCH(P2695,Fit_Matrix!$A:$A,0)))),"CHECK KEY"))</f>
        <v/>
      </c>
      <c r="U2695" s="10"/>
      <c r="V2695" s="10"/>
      <c r="W2695" s="10"/>
      <c r="X2695" s="10"/>
      <c r="Y2695" s="10"/>
      <c r="Z2695" s="10"/>
      <c r="AA2695" s="11" t="str">
        <f t="shared" si="85"/>
        <v/>
      </c>
    </row>
    <row r="2696" spans="16:27" ht="15" customHeight="1">
      <c r="P2696" t="str">
        <f t="shared" si="84"/>
        <v/>
      </c>
      <c r="Q2696" t="str">
        <f>IF(P2696="","",IFERROR(IF(AND(H2696="W7",OR(F2696="causal",F2696="predictive")),IF(AND(OR(K2696=1,K2696="1"),OR(L2696=1,L2696="1"),OR(M2696=1,M2696="1")),"adequate","partial"),IF(AND(H2696="W4",F2696="predictive",OR(J2696="P2",J2696="P3",J2696="P4")),IF(OR(U2696=1,U2696="1"),"adequate","partial"),INDEX(Fit_Matrix!$B:$B,MATCH(P2696,Fit_Matrix!$A:$A,0)))),"CHECK KEY"))</f>
        <v/>
      </c>
      <c r="U2696" s="10"/>
      <c r="V2696" s="10"/>
      <c r="W2696" s="10"/>
      <c r="X2696" s="10"/>
      <c r="Y2696" s="10"/>
      <c r="Z2696" s="10"/>
      <c r="AA2696" s="11" t="str">
        <f t="shared" si="85"/>
        <v/>
      </c>
    </row>
    <row r="2697" spans="16:27" ht="15" customHeight="1">
      <c r="P2697" t="str">
        <f t="shared" si="84"/>
        <v/>
      </c>
      <c r="Q2697" t="str">
        <f>IF(P2697="","",IFERROR(IF(AND(H2697="W7",OR(F2697="causal",F2697="predictive")),IF(AND(OR(K2697=1,K2697="1"),OR(L2697=1,L2697="1"),OR(M2697=1,M2697="1")),"adequate","partial"),IF(AND(H2697="W4",F2697="predictive",OR(J2697="P2",J2697="P3",J2697="P4")),IF(OR(U2697=1,U2697="1"),"adequate","partial"),INDEX(Fit_Matrix!$B:$B,MATCH(P2697,Fit_Matrix!$A:$A,0)))),"CHECK KEY"))</f>
        <v/>
      </c>
      <c r="U2697" s="10"/>
      <c r="V2697" s="10"/>
      <c r="W2697" s="10"/>
      <c r="X2697" s="10"/>
      <c r="Y2697" s="10"/>
      <c r="Z2697" s="10"/>
      <c r="AA2697" s="11" t="str">
        <f t="shared" si="85"/>
        <v/>
      </c>
    </row>
    <row r="2698" spans="16:27" ht="15" customHeight="1">
      <c r="P2698" t="str">
        <f t="shared" si="84"/>
        <v/>
      </c>
      <c r="Q2698" t="str">
        <f>IF(P2698="","",IFERROR(IF(AND(H2698="W7",OR(F2698="causal",F2698="predictive")),IF(AND(OR(K2698=1,K2698="1"),OR(L2698=1,L2698="1"),OR(M2698=1,M2698="1")),"adequate","partial"),IF(AND(H2698="W4",F2698="predictive",OR(J2698="P2",J2698="P3",J2698="P4")),IF(OR(U2698=1,U2698="1"),"adequate","partial"),INDEX(Fit_Matrix!$B:$B,MATCH(P2698,Fit_Matrix!$A:$A,0)))),"CHECK KEY"))</f>
        <v/>
      </c>
      <c r="U2698" s="10"/>
      <c r="V2698" s="10"/>
      <c r="W2698" s="10"/>
      <c r="X2698" s="10"/>
      <c r="Y2698" s="10"/>
      <c r="Z2698" s="10"/>
      <c r="AA2698" s="11" t="str">
        <f t="shared" si="85"/>
        <v/>
      </c>
    </row>
    <row r="2699" spans="16:27" ht="15" customHeight="1">
      <c r="P2699" t="str">
        <f t="shared" si="84"/>
        <v/>
      </c>
      <c r="Q2699" t="str">
        <f>IF(P2699="","",IFERROR(IF(AND(H2699="W7",OR(F2699="causal",F2699="predictive")),IF(AND(OR(K2699=1,K2699="1"),OR(L2699=1,L2699="1"),OR(M2699=1,M2699="1")),"adequate","partial"),IF(AND(H2699="W4",F2699="predictive",OR(J2699="P2",J2699="P3",J2699="P4")),IF(OR(U2699=1,U2699="1"),"adequate","partial"),INDEX(Fit_Matrix!$B:$B,MATCH(P2699,Fit_Matrix!$A:$A,0)))),"CHECK KEY"))</f>
        <v/>
      </c>
      <c r="U2699" s="10"/>
      <c r="V2699" s="10"/>
      <c r="W2699" s="10"/>
      <c r="X2699" s="10"/>
      <c r="Y2699" s="10"/>
      <c r="Z2699" s="10"/>
      <c r="AA2699" s="11" t="str">
        <f t="shared" si="85"/>
        <v/>
      </c>
    </row>
    <row r="2700" spans="16:27" ht="15" customHeight="1">
      <c r="P2700" t="str">
        <f t="shared" si="84"/>
        <v/>
      </c>
      <c r="Q2700" t="str">
        <f>IF(P2700="","",IFERROR(IF(AND(H2700="W7",OR(F2700="causal",F2700="predictive")),IF(AND(OR(K2700=1,K2700="1"),OR(L2700=1,L2700="1"),OR(M2700=1,M2700="1")),"adequate","partial"),IF(AND(H2700="W4",F2700="predictive",OR(J2700="P2",J2700="P3",J2700="P4")),IF(OR(U2700=1,U2700="1"),"adequate","partial"),INDEX(Fit_Matrix!$B:$B,MATCH(P2700,Fit_Matrix!$A:$A,0)))),"CHECK KEY"))</f>
        <v/>
      </c>
      <c r="U2700" s="10"/>
      <c r="V2700" s="10"/>
      <c r="W2700" s="10"/>
      <c r="X2700" s="10"/>
      <c r="Y2700" s="10"/>
      <c r="Z2700" s="10"/>
      <c r="AA2700" s="11" t="str">
        <f t="shared" si="85"/>
        <v/>
      </c>
    </row>
    <row r="2701" spans="16:27" ht="15" customHeight="1">
      <c r="P2701" t="str">
        <f t="shared" si="84"/>
        <v/>
      </c>
      <c r="Q2701" t="str">
        <f>IF(P2701="","",IFERROR(IF(AND(H2701="W7",OR(F2701="causal",F2701="predictive")),IF(AND(OR(K2701=1,K2701="1"),OR(L2701=1,L2701="1"),OR(M2701=1,M2701="1")),"adequate","partial"),IF(AND(H2701="W4",F2701="predictive",OR(J2701="P2",J2701="P3",J2701="P4")),IF(OR(U2701=1,U2701="1"),"adequate","partial"),INDEX(Fit_Matrix!$B:$B,MATCH(P2701,Fit_Matrix!$A:$A,0)))),"CHECK KEY"))</f>
        <v/>
      </c>
      <c r="U2701" s="10"/>
      <c r="V2701" s="10"/>
      <c r="W2701" s="10"/>
      <c r="X2701" s="10"/>
      <c r="Y2701" s="10"/>
      <c r="Z2701" s="10"/>
      <c r="AA2701" s="11" t="str">
        <f t="shared" si="85"/>
        <v/>
      </c>
    </row>
    <row r="2702" spans="16:27" ht="15" customHeight="1">
      <c r="P2702" t="str">
        <f t="shared" si="84"/>
        <v/>
      </c>
      <c r="Q2702" t="str">
        <f>IF(P2702="","",IFERROR(IF(AND(H2702="W7",OR(F2702="causal",F2702="predictive")),IF(AND(OR(K2702=1,K2702="1"),OR(L2702=1,L2702="1"),OR(M2702=1,M2702="1")),"adequate","partial"),IF(AND(H2702="W4",F2702="predictive",OR(J2702="P2",J2702="P3",J2702="P4")),IF(OR(U2702=1,U2702="1"),"adequate","partial"),INDEX(Fit_Matrix!$B:$B,MATCH(P2702,Fit_Matrix!$A:$A,0)))),"CHECK KEY"))</f>
        <v/>
      </c>
      <c r="U2702" s="10"/>
      <c r="V2702" s="10"/>
      <c r="W2702" s="10"/>
      <c r="X2702" s="10"/>
      <c r="Y2702" s="10"/>
      <c r="Z2702" s="10"/>
      <c r="AA2702" s="11" t="str">
        <f t="shared" si="85"/>
        <v/>
      </c>
    </row>
    <row r="2703" spans="16:27" ht="15" customHeight="1">
      <c r="P2703" t="str">
        <f t="shared" si="84"/>
        <v/>
      </c>
      <c r="Q2703" t="str">
        <f>IF(P2703="","",IFERROR(IF(AND(H2703="W7",OR(F2703="causal",F2703="predictive")),IF(AND(OR(K2703=1,K2703="1"),OR(L2703=1,L2703="1"),OR(M2703=1,M2703="1")),"adequate","partial"),IF(AND(H2703="W4",F2703="predictive",OR(J2703="P2",J2703="P3",J2703="P4")),IF(OR(U2703=1,U2703="1"),"adequate","partial"),INDEX(Fit_Matrix!$B:$B,MATCH(P2703,Fit_Matrix!$A:$A,0)))),"CHECK KEY"))</f>
        <v/>
      </c>
      <c r="U2703" s="10"/>
      <c r="V2703" s="10"/>
      <c r="W2703" s="10"/>
      <c r="X2703" s="10"/>
      <c r="Y2703" s="10"/>
      <c r="Z2703" s="10"/>
      <c r="AA2703" s="11" t="str">
        <f t="shared" si="85"/>
        <v/>
      </c>
    </row>
    <row r="2704" spans="16:27" ht="15" customHeight="1">
      <c r="P2704" t="str">
        <f t="shared" si="84"/>
        <v/>
      </c>
      <c r="Q2704" t="str">
        <f>IF(P2704="","",IFERROR(IF(AND(H2704="W7",OR(F2704="causal",F2704="predictive")),IF(AND(OR(K2704=1,K2704="1"),OR(L2704=1,L2704="1"),OR(M2704=1,M2704="1")),"adequate","partial"),IF(AND(H2704="W4",F2704="predictive",OR(J2704="P2",J2704="P3",J2704="P4")),IF(OR(U2704=1,U2704="1"),"adequate","partial"),INDEX(Fit_Matrix!$B:$B,MATCH(P2704,Fit_Matrix!$A:$A,0)))),"CHECK KEY"))</f>
        <v/>
      </c>
      <c r="U2704" s="10"/>
      <c r="V2704" s="10"/>
      <c r="W2704" s="10"/>
      <c r="X2704" s="10"/>
      <c r="Y2704" s="10"/>
      <c r="Z2704" s="10"/>
      <c r="AA2704" s="11" t="str">
        <f t="shared" si="85"/>
        <v/>
      </c>
    </row>
    <row r="2705" spans="16:27" ht="15" customHeight="1">
      <c r="P2705" t="str">
        <f t="shared" si="84"/>
        <v/>
      </c>
      <c r="Q2705" t="str">
        <f>IF(P2705="","",IFERROR(IF(AND(H2705="W7",OR(F2705="causal",F2705="predictive")),IF(AND(OR(K2705=1,K2705="1"),OR(L2705=1,L2705="1"),OR(M2705=1,M2705="1")),"adequate","partial"),IF(AND(H2705="W4",F2705="predictive",OR(J2705="P2",J2705="P3",J2705="P4")),IF(OR(U2705=1,U2705="1"),"adequate","partial"),INDEX(Fit_Matrix!$B:$B,MATCH(P2705,Fit_Matrix!$A:$A,0)))),"CHECK KEY"))</f>
        <v/>
      </c>
      <c r="U2705" s="10"/>
      <c r="V2705" s="10"/>
      <c r="W2705" s="10"/>
      <c r="X2705" s="10"/>
      <c r="Y2705" s="10"/>
      <c r="Z2705" s="10"/>
      <c r="AA2705" s="11" t="str">
        <f t="shared" si="85"/>
        <v/>
      </c>
    </row>
    <row r="2706" spans="16:27" ht="15" customHeight="1">
      <c r="P2706" t="str">
        <f t="shared" si="84"/>
        <v/>
      </c>
      <c r="Q2706" t="str">
        <f>IF(P2706="","",IFERROR(IF(AND(H2706="W7",OR(F2706="causal",F2706="predictive")),IF(AND(OR(K2706=1,K2706="1"),OR(L2706=1,L2706="1"),OR(M2706=1,M2706="1")),"adequate","partial"),IF(AND(H2706="W4",F2706="predictive",OR(J2706="P2",J2706="P3",J2706="P4")),IF(OR(U2706=1,U2706="1"),"adequate","partial"),INDEX(Fit_Matrix!$B:$B,MATCH(P2706,Fit_Matrix!$A:$A,0)))),"CHECK KEY"))</f>
        <v/>
      </c>
      <c r="U2706" s="10"/>
      <c r="V2706" s="10"/>
      <c r="W2706" s="10"/>
      <c r="X2706" s="10"/>
      <c r="Y2706" s="10"/>
      <c r="Z2706" s="10"/>
      <c r="AA2706" s="11" t="str">
        <f t="shared" si="85"/>
        <v/>
      </c>
    </row>
    <row r="2707" spans="16:27" ht="15" customHeight="1">
      <c r="P2707" t="str">
        <f t="shared" si="84"/>
        <v/>
      </c>
      <c r="Q2707" t="str">
        <f>IF(P2707="","",IFERROR(IF(AND(H2707="W7",OR(F2707="causal",F2707="predictive")),IF(AND(OR(K2707=1,K2707="1"),OR(L2707=1,L2707="1"),OR(M2707=1,M2707="1")),"adequate","partial"),IF(AND(H2707="W4",F2707="predictive",OR(J2707="P2",J2707="P3",J2707="P4")),IF(OR(U2707=1,U2707="1"),"adequate","partial"),INDEX(Fit_Matrix!$B:$B,MATCH(P2707,Fit_Matrix!$A:$A,0)))),"CHECK KEY"))</f>
        <v/>
      </c>
      <c r="U2707" s="10"/>
      <c r="V2707" s="10"/>
      <c r="W2707" s="10"/>
      <c r="X2707" s="10"/>
      <c r="Y2707" s="10"/>
      <c r="Z2707" s="10"/>
      <c r="AA2707" s="11" t="str">
        <f t="shared" si="85"/>
        <v/>
      </c>
    </row>
    <row r="2708" spans="16:27" ht="15" customHeight="1">
      <c r="P2708" t="str">
        <f t="shared" si="84"/>
        <v/>
      </c>
      <c r="Q2708" t="str">
        <f>IF(P2708="","",IFERROR(IF(AND(H2708="W7",OR(F2708="causal",F2708="predictive")),IF(AND(OR(K2708=1,K2708="1"),OR(L2708=1,L2708="1"),OR(M2708=1,M2708="1")),"adequate","partial"),IF(AND(H2708="W4",F2708="predictive",OR(J2708="P2",J2708="P3",J2708="P4")),IF(OR(U2708=1,U2708="1"),"adequate","partial"),INDEX(Fit_Matrix!$B:$B,MATCH(P2708,Fit_Matrix!$A:$A,0)))),"CHECK KEY"))</f>
        <v/>
      </c>
      <c r="U2708" s="10"/>
      <c r="V2708" s="10"/>
      <c r="W2708" s="10"/>
      <c r="X2708" s="10"/>
      <c r="Y2708" s="10"/>
      <c r="Z2708" s="10"/>
      <c r="AA2708" s="11" t="str">
        <f t="shared" si="85"/>
        <v/>
      </c>
    </row>
    <row r="2709" spans="16:27" ht="15" customHeight="1">
      <c r="P2709" t="str">
        <f t="shared" si="84"/>
        <v/>
      </c>
      <c r="Q2709" t="str">
        <f>IF(P2709="","",IFERROR(IF(AND(H2709="W7",OR(F2709="causal",F2709="predictive")),IF(AND(OR(K2709=1,K2709="1"),OR(L2709=1,L2709="1"),OR(M2709=1,M2709="1")),"adequate","partial"),IF(AND(H2709="W4",F2709="predictive",OR(J2709="P2",J2709="P3",J2709="P4")),IF(OR(U2709=1,U2709="1"),"adequate","partial"),INDEX(Fit_Matrix!$B:$B,MATCH(P2709,Fit_Matrix!$A:$A,0)))),"CHECK KEY"))</f>
        <v/>
      </c>
      <c r="U2709" s="10"/>
      <c r="V2709" s="10"/>
      <c r="W2709" s="10"/>
      <c r="X2709" s="10"/>
      <c r="Y2709" s="10"/>
      <c r="Z2709" s="10"/>
      <c r="AA2709" s="11" t="str">
        <f t="shared" si="85"/>
        <v/>
      </c>
    </row>
    <row r="2710" spans="16:27" ht="15" customHeight="1">
      <c r="P2710" t="str">
        <f t="shared" si="84"/>
        <v/>
      </c>
      <c r="Q2710" t="str">
        <f>IF(P2710="","",IFERROR(IF(AND(H2710="W7",OR(F2710="causal",F2710="predictive")),IF(AND(OR(K2710=1,K2710="1"),OR(L2710=1,L2710="1"),OR(M2710=1,M2710="1")),"adequate","partial"),IF(AND(H2710="W4",F2710="predictive",OR(J2710="P2",J2710="P3",J2710="P4")),IF(OR(U2710=1,U2710="1"),"adequate","partial"),INDEX(Fit_Matrix!$B:$B,MATCH(P2710,Fit_Matrix!$A:$A,0)))),"CHECK KEY"))</f>
        <v/>
      </c>
      <c r="U2710" s="10"/>
      <c r="V2710" s="10"/>
      <c r="W2710" s="10"/>
      <c r="X2710" s="10"/>
      <c r="Y2710" s="10"/>
      <c r="Z2710" s="10"/>
      <c r="AA2710" s="11" t="str">
        <f t="shared" si="85"/>
        <v/>
      </c>
    </row>
    <row r="2711" spans="16:27" ht="15" customHeight="1">
      <c r="P2711" t="str">
        <f t="shared" si="84"/>
        <v/>
      </c>
      <c r="Q2711" t="str">
        <f>IF(P2711="","",IFERROR(IF(AND(H2711="W7",OR(F2711="causal",F2711="predictive")),IF(AND(OR(K2711=1,K2711="1"),OR(L2711=1,L2711="1"),OR(M2711=1,M2711="1")),"adequate","partial"),IF(AND(H2711="W4",F2711="predictive",OR(J2711="P2",J2711="P3",J2711="P4")),IF(OR(U2711=1,U2711="1"),"adequate","partial"),INDEX(Fit_Matrix!$B:$B,MATCH(P2711,Fit_Matrix!$A:$A,0)))),"CHECK KEY"))</f>
        <v/>
      </c>
      <c r="U2711" s="10"/>
      <c r="V2711" s="10"/>
      <c r="W2711" s="10"/>
      <c r="X2711" s="10"/>
      <c r="Y2711" s="10"/>
      <c r="Z2711" s="10"/>
      <c r="AA2711" s="11" t="str">
        <f t="shared" si="85"/>
        <v/>
      </c>
    </row>
    <row r="2712" spans="16:27" ht="15" customHeight="1">
      <c r="P2712" t="str">
        <f t="shared" si="84"/>
        <v/>
      </c>
      <c r="Q2712" t="str">
        <f>IF(P2712="","",IFERROR(IF(AND(H2712="W7",OR(F2712="causal",F2712="predictive")),IF(AND(OR(K2712=1,K2712="1"),OR(L2712=1,L2712="1"),OR(M2712=1,M2712="1")),"adequate","partial"),IF(AND(H2712="W4",F2712="predictive",OR(J2712="P2",J2712="P3",J2712="P4")),IF(OR(U2712=1,U2712="1"),"adequate","partial"),INDEX(Fit_Matrix!$B:$B,MATCH(P2712,Fit_Matrix!$A:$A,0)))),"CHECK KEY"))</f>
        <v/>
      </c>
      <c r="U2712" s="10"/>
      <c r="V2712" s="10"/>
      <c r="W2712" s="10"/>
      <c r="X2712" s="10"/>
      <c r="Y2712" s="10"/>
      <c r="Z2712" s="10"/>
      <c r="AA2712" s="11" t="str">
        <f t="shared" si="85"/>
        <v/>
      </c>
    </row>
    <row r="2713" spans="16:27" ht="15" customHeight="1">
      <c r="P2713" t="str">
        <f t="shared" si="84"/>
        <v/>
      </c>
      <c r="Q2713" t="str">
        <f>IF(P2713="","",IFERROR(IF(AND(H2713="W7",OR(F2713="causal",F2713="predictive")),IF(AND(OR(K2713=1,K2713="1"),OR(L2713=1,L2713="1"),OR(M2713=1,M2713="1")),"adequate","partial"),IF(AND(H2713="W4",F2713="predictive",OR(J2713="P2",J2713="P3",J2713="P4")),IF(OR(U2713=1,U2713="1"),"adequate","partial"),INDEX(Fit_Matrix!$B:$B,MATCH(P2713,Fit_Matrix!$A:$A,0)))),"CHECK KEY"))</f>
        <v/>
      </c>
      <c r="U2713" s="10"/>
      <c r="V2713" s="10"/>
      <c r="W2713" s="10"/>
      <c r="X2713" s="10"/>
      <c r="Y2713" s="10"/>
      <c r="Z2713" s="10"/>
      <c r="AA2713" s="11" t="str">
        <f t="shared" si="85"/>
        <v/>
      </c>
    </row>
    <row r="2714" spans="16:27" ht="15" customHeight="1">
      <c r="P2714" t="str">
        <f t="shared" si="84"/>
        <v/>
      </c>
      <c r="Q2714" t="str">
        <f>IF(P2714="","",IFERROR(IF(AND(H2714="W7",OR(F2714="causal",F2714="predictive")),IF(AND(OR(K2714=1,K2714="1"),OR(L2714=1,L2714="1"),OR(M2714=1,M2714="1")),"adequate","partial"),IF(AND(H2714="W4",F2714="predictive",OR(J2714="P2",J2714="P3",J2714="P4")),IF(OR(U2714=1,U2714="1"),"adequate","partial"),INDEX(Fit_Matrix!$B:$B,MATCH(P2714,Fit_Matrix!$A:$A,0)))),"CHECK KEY"))</f>
        <v/>
      </c>
      <c r="U2714" s="10"/>
      <c r="V2714" s="10"/>
      <c r="W2714" s="10"/>
      <c r="X2714" s="10"/>
      <c r="Y2714" s="10"/>
      <c r="Z2714" s="10"/>
      <c r="AA2714" s="11" t="str">
        <f t="shared" si="85"/>
        <v/>
      </c>
    </row>
    <row r="2715" spans="16:27" ht="15" customHeight="1">
      <c r="P2715" t="str">
        <f t="shared" si="84"/>
        <v/>
      </c>
      <c r="Q2715" t="str">
        <f>IF(P2715="","",IFERROR(IF(AND(H2715="W7",OR(F2715="causal",F2715="predictive")),IF(AND(OR(K2715=1,K2715="1"),OR(L2715=1,L2715="1"),OR(M2715=1,M2715="1")),"adequate","partial"),IF(AND(H2715="W4",F2715="predictive",OR(J2715="P2",J2715="P3",J2715="P4")),IF(OR(U2715=1,U2715="1"),"adequate","partial"),INDEX(Fit_Matrix!$B:$B,MATCH(P2715,Fit_Matrix!$A:$A,0)))),"CHECK KEY"))</f>
        <v/>
      </c>
      <c r="U2715" s="10"/>
      <c r="V2715" s="10"/>
      <c r="W2715" s="10"/>
      <c r="X2715" s="10"/>
      <c r="Y2715" s="10"/>
      <c r="Z2715" s="10"/>
      <c r="AA2715" s="11" t="str">
        <f t="shared" si="85"/>
        <v/>
      </c>
    </row>
    <row r="2716" spans="16:27" ht="15" customHeight="1">
      <c r="P2716" t="str">
        <f t="shared" si="84"/>
        <v/>
      </c>
      <c r="Q2716" t="str">
        <f>IF(P2716="","",IFERROR(IF(AND(H2716="W7",OR(F2716="causal",F2716="predictive")),IF(AND(OR(K2716=1,K2716="1"),OR(L2716=1,L2716="1"),OR(M2716=1,M2716="1")),"adequate","partial"),IF(AND(H2716="W4",F2716="predictive",OR(J2716="P2",J2716="P3",J2716="P4")),IF(OR(U2716=1,U2716="1"),"adequate","partial"),INDEX(Fit_Matrix!$B:$B,MATCH(P2716,Fit_Matrix!$A:$A,0)))),"CHECK KEY"))</f>
        <v/>
      </c>
      <c r="U2716" s="10"/>
      <c r="V2716" s="10"/>
      <c r="W2716" s="10"/>
      <c r="X2716" s="10"/>
      <c r="Y2716" s="10"/>
      <c r="Z2716" s="10"/>
      <c r="AA2716" s="11" t="str">
        <f t="shared" si="85"/>
        <v/>
      </c>
    </row>
    <row r="2717" spans="16:27" ht="15" customHeight="1">
      <c r="P2717" t="str">
        <f t="shared" si="84"/>
        <v/>
      </c>
      <c r="Q2717" t="str">
        <f>IF(P2717="","",IFERROR(IF(AND(H2717="W7",OR(F2717="causal",F2717="predictive")),IF(AND(OR(K2717=1,K2717="1"),OR(L2717=1,L2717="1"),OR(M2717=1,M2717="1")),"adequate","partial"),IF(AND(H2717="W4",F2717="predictive",OR(J2717="P2",J2717="P3",J2717="P4")),IF(OR(U2717=1,U2717="1"),"adequate","partial"),INDEX(Fit_Matrix!$B:$B,MATCH(P2717,Fit_Matrix!$A:$A,0)))),"CHECK KEY"))</f>
        <v/>
      </c>
      <c r="U2717" s="10"/>
      <c r="V2717" s="10"/>
      <c r="W2717" s="10"/>
      <c r="X2717" s="10"/>
      <c r="Y2717" s="10"/>
      <c r="Z2717" s="10"/>
      <c r="AA2717" s="11" t="str">
        <f t="shared" si="85"/>
        <v/>
      </c>
    </row>
    <row r="2718" spans="16:27" ht="15" customHeight="1">
      <c r="P2718" t="str">
        <f t="shared" si="84"/>
        <v/>
      </c>
      <c r="Q2718" t="str">
        <f>IF(P2718="","",IFERROR(IF(AND(H2718="W7",OR(F2718="causal",F2718="predictive")),IF(AND(OR(K2718=1,K2718="1"),OR(L2718=1,L2718="1"),OR(M2718=1,M2718="1")),"adequate","partial"),IF(AND(H2718="W4",F2718="predictive",OR(J2718="P2",J2718="P3",J2718="P4")),IF(OR(U2718=1,U2718="1"),"adequate","partial"),INDEX(Fit_Matrix!$B:$B,MATCH(P2718,Fit_Matrix!$A:$A,0)))),"CHECK KEY"))</f>
        <v/>
      </c>
      <c r="U2718" s="10"/>
      <c r="V2718" s="10"/>
      <c r="W2718" s="10"/>
      <c r="X2718" s="10"/>
      <c r="Y2718" s="10"/>
      <c r="Z2718" s="10"/>
      <c r="AA2718" s="11" t="str">
        <f t="shared" si="85"/>
        <v/>
      </c>
    </row>
    <row r="2719" spans="16:27" ht="15" customHeight="1">
      <c r="P2719" t="str">
        <f t="shared" si="84"/>
        <v/>
      </c>
      <c r="Q2719" t="str">
        <f>IF(P2719="","",IFERROR(IF(AND(H2719="W7",OR(F2719="causal",F2719="predictive")),IF(AND(OR(K2719=1,K2719="1"),OR(L2719=1,L2719="1"),OR(M2719=1,M2719="1")),"adequate","partial"),IF(AND(H2719="W4",F2719="predictive",OR(J2719="P2",J2719="P3",J2719="P4")),IF(OR(U2719=1,U2719="1"),"adequate","partial"),INDEX(Fit_Matrix!$B:$B,MATCH(P2719,Fit_Matrix!$A:$A,0)))),"CHECK KEY"))</f>
        <v/>
      </c>
      <c r="U2719" s="10"/>
      <c r="V2719" s="10"/>
      <c r="W2719" s="10"/>
      <c r="X2719" s="10"/>
      <c r="Y2719" s="10"/>
      <c r="Z2719" s="10"/>
      <c r="AA2719" s="11" t="str">
        <f t="shared" si="85"/>
        <v/>
      </c>
    </row>
    <row r="2720" spans="16:27" ht="15" customHeight="1">
      <c r="P2720" t="str">
        <f t="shared" si="84"/>
        <v/>
      </c>
      <c r="Q2720" t="str">
        <f>IF(P2720="","",IFERROR(IF(AND(H2720="W7",OR(F2720="causal",F2720="predictive")),IF(AND(OR(K2720=1,K2720="1"),OR(L2720=1,L2720="1"),OR(M2720=1,M2720="1")),"adequate","partial"),IF(AND(H2720="W4",F2720="predictive",OR(J2720="P2",J2720="P3",J2720="P4")),IF(OR(U2720=1,U2720="1"),"adequate","partial"),INDEX(Fit_Matrix!$B:$B,MATCH(P2720,Fit_Matrix!$A:$A,0)))),"CHECK KEY"))</f>
        <v/>
      </c>
      <c r="U2720" s="10"/>
      <c r="V2720" s="10"/>
      <c r="W2720" s="10"/>
      <c r="X2720" s="10"/>
      <c r="Y2720" s="10"/>
      <c r="Z2720" s="10"/>
      <c r="AA2720" s="11" t="str">
        <f t="shared" si="85"/>
        <v/>
      </c>
    </row>
    <row r="2721" spans="16:27" ht="15" customHeight="1">
      <c r="P2721" t="str">
        <f t="shared" si="84"/>
        <v/>
      </c>
      <c r="Q2721" t="str">
        <f>IF(P2721="","",IFERROR(IF(AND(H2721="W7",OR(F2721="causal",F2721="predictive")),IF(AND(OR(K2721=1,K2721="1"),OR(L2721=1,L2721="1"),OR(M2721=1,M2721="1")),"adequate","partial"),IF(AND(H2721="W4",F2721="predictive",OR(J2721="P2",J2721="P3",J2721="P4")),IF(OR(U2721=1,U2721="1"),"adequate","partial"),INDEX(Fit_Matrix!$B:$B,MATCH(P2721,Fit_Matrix!$A:$A,0)))),"CHECK KEY"))</f>
        <v/>
      </c>
      <c r="U2721" s="10"/>
      <c r="V2721" s="10"/>
      <c r="W2721" s="10"/>
      <c r="X2721" s="10"/>
      <c r="Y2721" s="10"/>
      <c r="Z2721" s="10"/>
      <c r="AA2721" s="11" t="str">
        <f t="shared" si="85"/>
        <v/>
      </c>
    </row>
    <row r="2722" spans="16:27" ht="15" customHeight="1">
      <c r="P2722" t="str">
        <f t="shared" si="84"/>
        <v/>
      </c>
      <c r="Q2722" t="str">
        <f>IF(P2722="","",IFERROR(IF(AND(H2722="W7",OR(F2722="causal",F2722="predictive")),IF(AND(OR(K2722=1,K2722="1"),OR(L2722=1,L2722="1"),OR(M2722=1,M2722="1")),"adequate","partial"),IF(AND(H2722="W4",F2722="predictive",OR(J2722="P2",J2722="P3",J2722="P4")),IF(OR(U2722=1,U2722="1"),"adequate","partial"),INDEX(Fit_Matrix!$B:$B,MATCH(P2722,Fit_Matrix!$A:$A,0)))),"CHECK KEY"))</f>
        <v/>
      </c>
      <c r="U2722" s="10"/>
      <c r="V2722" s="10"/>
      <c r="W2722" s="10"/>
      <c r="X2722" s="10"/>
      <c r="Y2722" s="10"/>
      <c r="Z2722" s="10"/>
      <c r="AA2722" s="11" t="str">
        <f t="shared" si="85"/>
        <v/>
      </c>
    </row>
    <row r="2723" spans="16:27" ht="15" customHeight="1">
      <c r="P2723" t="str">
        <f t="shared" si="84"/>
        <v/>
      </c>
      <c r="Q2723" t="str">
        <f>IF(P2723="","",IFERROR(IF(AND(H2723="W7",OR(F2723="causal",F2723="predictive")),IF(AND(OR(K2723=1,K2723="1"),OR(L2723=1,L2723="1"),OR(M2723=1,M2723="1")),"adequate","partial"),IF(AND(H2723="W4",F2723="predictive",OR(J2723="P2",J2723="P3",J2723="P4")),IF(OR(U2723=1,U2723="1"),"adequate","partial"),INDEX(Fit_Matrix!$B:$B,MATCH(P2723,Fit_Matrix!$A:$A,0)))),"CHECK KEY"))</f>
        <v/>
      </c>
      <c r="U2723" s="10"/>
      <c r="V2723" s="10"/>
      <c r="W2723" s="10"/>
      <c r="X2723" s="10"/>
      <c r="Y2723" s="10"/>
      <c r="Z2723" s="10"/>
      <c r="AA2723" s="11" t="str">
        <f t="shared" si="85"/>
        <v/>
      </c>
    </row>
    <row r="2724" spans="16:27" ht="15" customHeight="1">
      <c r="P2724" t="str">
        <f t="shared" si="84"/>
        <v/>
      </c>
      <c r="Q2724" t="str">
        <f>IF(P2724="","",IFERROR(IF(AND(H2724="W7",OR(F2724="causal",F2724="predictive")),IF(AND(OR(K2724=1,K2724="1"),OR(L2724=1,L2724="1"),OR(M2724=1,M2724="1")),"adequate","partial"),IF(AND(H2724="W4",F2724="predictive",OR(J2724="P2",J2724="P3",J2724="P4")),IF(OR(U2724=1,U2724="1"),"adequate","partial"),INDEX(Fit_Matrix!$B:$B,MATCH(P2724,Fit_Matrix!$A:$A,0)))),"CHECK KEY"))</f>
        <v/>
      </c>
      <c r="U2724" s="10"/>
      <c r="V2724" s="10"/>
      <c r="W2724" s="10"/>
      <c r="X2724" s="10"/>
      <c r="Y2724" s="10"/>
      <c r="Z2724" s="10"/>
      <c r="AA2724" s="11" t="str">
        <f t="shared" si="85"/>
        <v/>
      </c>
    </row>
    <row r="2725" spans="16:27" ht="15" customHeight="1">
      <c r="P2725" t="str">
        <f t="shared" si="84"/>
        <v/>
      </c>
      <c r="Q2725" t="str">
        <f>IF(P2725="","",IFERROR(IF(AND(H2725="W7",OR(F2725="causal",F2725="predictive")),IF(AND(OR(K2725=1,K2725="1"),OR(L2725=1,L2725="1"),OR(M2725=1,M2725="1")),"adequate","partial"),IF(AND(H2725="W4",F2725="predictive",OR(J2725="P2",J2725="P3",J2725="P4")),IF(OR(U2725=1,U2725="1"),"adequate","partial"),INDEX(Fit_Matrix!$B:$B,MATCH(P2725,Fit_Matrix!$A:$A,0)))),"CHECK KEY"))</f>
        <v/>
      </c>
      <c r="U2725" s="10"/>
      <c r="V2725" s="10"/>
      <c r="W2725" s="10"/>
      <c r="X2725" s="10"/>
      <c r="Y2725" s="10"/>
      <c r="Z2725" s="10"/>
      <c r="AA2725" s="11" t="str">
        <f t="shared" si="85"/>
        <v/>
      </c>
    </row>
    <row r="2726" spans="16:27" ht="15" customHeight="1">
      <c r="P2726" t="str">
        <f t="shared" si="84"/>
        <v/>
      </c>
      <c r="Q2726" t="str">
        <f>IF(P2726="","",IFERROR(IF(AND(H2726="W7",OR(F2726="causal",F2726="predictive")),IF(AND(OR(K2726=1,K2726="1"),OR(L2726=1,L2726="1"),OR(M2726=1,M2726="1")),"adequate","partial"),IF(AND(H2726="W4",F2726="predictive",OR(J2726="P2",J2726="P3",J2726="P4")),IF(OR(U2726=1,U2726="1"),"adequate","partial"),INDEX(Fit_Matrix!$B:$B,MATCH(P2726,Fit_Matrix!$A:$A,0)))),"CHECK KEY"))</f>
        <v/>
      </c>
      <c r="U2726" s="10"/>
      <c r="V2726" s="10"/>
      <c r="W2726" s="10"/>
      <c r="X2726" s="10"/>
      <c r="Y2726" s="10"/>
      <c r="Z2726" s="10"/>
      <c r="AA2726" s="11" t="str">
        <f t="shared" si="85"/>
        <v/>
      </c>
    </row>
    <row r="2727" spans="16:27" ht="15" customHeight="1">
      <c r="P2727" t="str">
        <f t="shared" si="84"/>
        <v/>
      </c>
      <c r="Q2727" t="str">
        <f>IF(P2727="","",IFERROR(IF(AND(H2727="W7",OR(F2727="causal",F2727="predictive")),IF(AND(OR(K2727=1,K2727="1"),OR(L2727=1,L2727="1"),OR(M2727=1,M2727="1")),"adequate","partial"),IF(AND(H2727="W4",F2727="predictive",OR(J2727="P2",J2727="P3",J2727="P4")),IF(OR(U2727=1,U2727="1"),"adequate","partial"),INDEX(Fit_Matrix!$B:$B,MATCH(P2727,Fit_Matrix!$A:$A,0)))),"CHECK KEY"))</f>
        <v/>
      </c>
      <c r="U2727" s="10"/>
      <c r="V2727" s="10"/>
      <c r="W2727" s="10"/>
      <c r="X2727" s="10"/>
      <c r="Y2727" s="10"/>
      <c r="Z2727" s="10"/>
      <c r="AA2727" s="11" t="str">
        <f t="shared" si="85"/>
        <v/>
      </c>
    </row>
    <row r="2728" spans="16:27" ht="15" customHeight="1">
      <c r="P2728" t="str">
        <f t="shared" si="84"/>
        <v/>
      </c>
      <c r="Q2728" t="str">
        <f>IF(P2728="","",IFERROR(IF(AND(H2728="W7",OR(F2728="causal",F2728="predictive")),IF(AND(OR(K2728=1,K2728="1"),OR(L2728=1,L2728="1"),OR(M2728=1,M2728="1")),"adequate","partial"),IF(AND(H2728="W4",F2728="predictive",OR(J2728="P2",J2728="P3",J2728="P4")),IF(OR(U2728=1,U2728="1"),"adequate","partial"),INDEX(Fit_Matrix!$B:$B,MATCH(P2728,Fit_Matrix!$A:$A,0)))),"CHECK KEY"))</f>
        <v/>
      </c>
      <c r="U2728" s="10"/>
      <c r="V2728" s="10"/>
      <c r="W2728" s="10"/>
      <c r="X2728" s="10"/>
      <c r="Y2728" s="10"/>
      <c r="Z2728" s="10"/>
      <c r="AA2728" s="11" t="str">
        <f t="shared" si="85"/>
        <v/>
      </c>
    </row>
    <row r="2729" spans="16:27" ht="15" customHeight="1">
      <c r="P2729" t="str">
        <f t="shared" si="84"/>
        <v/>
      </c>
      <c r="Q2729" t="str">
        <f>IF(P2729="","",IFERROR(IF(AND(H2729="W7",OR(F2729="causal",F2729="predictive")),IF(AND(OR(K2729=1,K2729="1"),OR(L2729=1,L2729="1"),OR(M2729=1,M2729="1")),"adequate","partial"),IF(AND(H2729="W4",F2729="predictive",OR(J2729="P2",J2729="P3",J2729="P4")),IF(OR(U2729=1,U2729="1"),"adequate","partial"),INDEX(Fit_Matrix!$B:$B,MATCH(P2729,Fit_Matrix!$A:$A,0)))),"CHECK KEY"))</f>
        <v/>
      </c>
      <c r="U2729" s="10"/>
      <c r="V2729" s="10"/>
      <c r="W2729" s="10"/>
      <c r="X2729" s="10"/>
      <c r="Y2729" s="10"/>
      <c r="Z2729" s="10"/>
      <c r="AA2729" s="11" t="str">
        <f t="shared" si="85"/>
        <v/>
      </c>
    </row>
    <row r="2730" spans="16:27" ht="15" customHeight="1">
      <c r="P2730" t="str">
        <f t="shared" si="84"/>
        <v/>
      </c>
      <c r="Q2730" t="str">
        <f>IF(P2730="","",IFERROR(IF(AND(H2730="W7",OR(F2730="causal",F2730="predictive")),IF(AND(OR(K2730=1,K2730="1"),OR(L2730=1,L2730="1"),OR(M2730=1,M2730="1")),"adequate","partial"),IF(AND(H2730="W4",F2730="predictive",OR(J2730="P2",J2730="P3",J2730="P4")),IF(OR(U2730=1,U2730="1"),"adequate","partial"),INDEX(Fit_Matrix!$B:$B,MATCH(P2730,Fit_Matrix!$A:$A,0)))),"CHECK KEY"))</f>
        <v/>
      </c>
      <c r="U2730" s="10"/>
      <c r="V2730" s="10"/>
      <c r="W2730" s="10"/>
      <c r="X2730" s="10"/>
      <c r="Y2730" s="10"/>
      <c r="Z2730" s="10"/>
      <c r="AA2730" s="11" t="str">
        <f t="shared" si="85"/>
        <v/>
      </c>
    </row>
    <row r="2731" spans="16:27" ht="15" customHeight="1">
      <c r="P2731" t="str">
        <f t="shared" si="84"/>
        <v/>
      </c>
      <c r="Q2731" t="str">
        <f>IF(P2731="","",IFERROR(IF(AND(H2731="W7",OR(F2731="causal",F2731="predictive")),IF(AND(OR(K2731=1,K2731="1"),OR(L2731=1,L2731="1"),OR(M2731=1,M2731="1")),"adequate","partial"),IF(AND(H2731="W4",F2731="predictive",OR(J2731="P2",J2731="P3",J2731="P4")),IF(OR(U2731=1,U2731="1"),"adequate","partial"),INDEX(Fit_Matrix!$B:$B,MATCH(P2731,Fit_Matrix!$A:$A,0)))),"CHECK KEY"))</f>
        <v/>
      </c>
      <c r="U2731" s="10"/>
      <c r="V2731" s="10"/>
      <c r="W2731" s="10"/>
      <c r="X2731" s="10"/>
      <c r="Y2731" s="10"/>
      <c r="Z2731" s="10"/>
      <c r="AA2731" s="11" t="str">
        <f t="shared" si="85"/>
        <v/>
      </c>
    </row>
    <row r="2732" spans="16:27" ht="15" customHeight="1">
      <c r="P2732" t="str">
        <f t="shared" si="84"/>
        <v/>
      </c>
      <c r="Q2732" t="str">
        <f>IF(P2732="","",IFERROR(IF(AND(H2732="W7",OR(F2732="causal",F2732="predictive")),IF(AND(OR(K2732=1,K2732="1"),OR(L2732=1,L2732="1"),OR(M2732=1,M2732="1")),"adequate","partial"),IF(AND(H2732="W4",F2732="predictive",OR(J2732="P2",J2732="P3",J2732="P4")),IF(OR(U2732=1,U2732="1"),"adequate","partial"),INDEX(Fit_Matrix!$B:$B,MATCH(P2732,Fit_Matrix!$A:$A,0)))),"CHECK KEY"))</f>
        <v/>
      </c>
      <c r="U2732" s="10"/>
      <c r="V2732" s="10"/>
      <c r="W2732" s="10"/>
      <c r="X2732" s="10"/>
      <c r="Y2732" s="10"/>
      <c r="Z2732" s="10"/>
      <c r="AA2732" s="11" t="str">
        <f t="shared" si="85"/>
        <v/>
      </c>
    </row>
    <row r="2733" spans="16:27" ht="15" customHeight="1">
      <c r="P2733" t="str">
        <f t="shared" si="84"/>
        <v/>
      </c>
      <c r="Q2733" t="str">
        <f>IF(P2733="","",IFERROR(IF(AND(H2733="W7",OR(F2733="causal",F2733="predictive")),IF(AND(OR(K2733=1,K2733="1"),OR(L2733=1,L2733="1"),OR(M2733=1,M2733="1")),"adequate","partial"),IF(AND(H2733="W4",F2733="predictive",OR(J2733="P2",J2733="P3",J2733="P4")),IF(OR(U2733=1,U2733="1"),"adequate","partial"),INDEX(Fit_Matrix!$B:$B,MATCH(P2733,Fit_Matrix!$A:$A,0)))),"CHECK KEY"))</f>
        <v/>
      </c>
      <c r="U2733" s="10"/>
      <c r="V2733" s="10"/>
      <c r="W2733" s="10"/>
      <c r="X2733" s="10"/>
      <c r="Y2733" s="10"/>
      <c r="Z2733" s="10"/>
      <c r="AA2733" s="11" t="str">
        <f t="shared" si="85"/>
        <v/>
      </c>
    </row>
    <row r="2734" spans="16:27" ht="15" customHeight="1">
      <c r="P2734" t="str">
        <f t="shared" si="84"/>
        <v/>
      </c>
      <c r="Q2734" t="str">
        <f>IF(P2734="","",IFERROR(IF(AND(H2734="W7",OR(F2734="causal",F2734="predictive")),IF(AND(OR(K2734=1,K2734="1"),OR(L2734=1,L2734="1"),OR(M2734=1,M2734="1")),"adequate","partial"),IF(AND(H2734="W4",F2734="predictive",OR(J2734="P2",J2734="P3",J2734="P4")),IF(OR(U2734=1,U2734="1"),"adequate","partial"),INDEX(Fit_Matrix!$B:$B,MATCH(P2734,Fit_Matrix!$A:$A,0)))),"CHECK KEY"))</f>
        <v/>
      </c>
      <c r="U2734" s="10"/>
      <c r="V2734" s="10"/>
      <c r="W2734" s="10"/>
      <c r="X2734" s="10"/>
      <c r="Y2734" s="10"/>
      <c r="Z2734" s="10"/>
      <c r="AA2734" s="11" t="str">
        <f t="shared" si="85"/>
        <v/>
      </c>
    </row>
    <row r="2735" spans="16:27" ht="15" customHeight="1">
      <c r="P2735" t="str">
        <f t="shared" si="84"/>
        <v/>
      </c>
      <c r="Q2735" t="str">
        <f>IF(P2735="","",IFERROR(IF(AND(H2735="W7",OR(F2735="causal",F2735="predictive")),IF(AND(OR(K2735=1,K2735="1"),OR(L2735=1,L2735="1"),OR(M2735=1,M2735="1")),"adequate","partial"),IF(AND(H2735="W4",F2735="predictive",OR(J2735="P2",J2735="P3",J2735="P4")),IF(OR(U2735=1,U2735="1"),"adequate","partial"),INDEX(Fit_Matrix!$B:$B,MATCH(P2735,Fit_Matrix!$A:$A,0)))),"CHECK KEY"))</f>
        <v/>
      </c>
      <c r="U2735" s="10"/>
      <c r="V2735" s="10"/>
      <c r="W2735" s="10"/>
      <c r="X2735" s="10"/>
      <c r="Y2735" s="10"/>
      <c r="Z2735" s="10"/>
      <c r="AA2735" s="11" t="str">
        <f t="shared" si="85"/>
        <v/>
      </c>
    </row>
    <row r="2736" spans="16:27" ht="15" customHeight="1">
      <c r="P2736" t="str">
        <f t="shared" si="84"/>
        <v/>
      </c>
      <c r="Q2736" t="str">
        <f>IF(P2736="","",IFERROR(IF(AND(H2736="W7",OR(F2736="causal",F2736="predictive")),IF(AND(OR(K2736=1,K2736="1"),OR(L2736=1,L2736="1"),OR(M2736=1,M2736="1")),"adequate","partial"),IF(AND(H2736="W4",F2736="predictive",OR(J2736="P2",J2736="P3",J2736="P4")),IF(OR(U2736=1,U2736="1"),"adequate","partial"),INDEX(Fit_Matrix!$B:$B,MATCH(P2736,Fit_Matrix!$A:$A,0)))),"CHECK KEY"))</f>
        <v/>
      </c>
      <c r="U2736" s="10"/>
      <c r="V2736" s="10"/>
      <c r="W2736" s="10"/>
      <c r="X2736" s="10"/>
      <c r="Y2736" s="10"/>
      <c r="Z2736" s="10"/>
      <c r="AA2736" s="11" t="str">
        <f t="shared" si="85"/>
        <v/>
      </c>
    </row>
    <row r="2737" spans="16:27" ht="15" customHeight="1">
      <c r="P2737" t="str">
        <f t="shared" si="84"/>
        <v/>
      </c>
      <c r="Q2737" t="str">
        <f>IF(P2737="","",IFERROR(IF(AND(H2737="W7",OR(F2737="causal",F2737="predictive")),IF(AND(OR(K2737=1,K2737="1"),OR(L2737=1,L2737="1"),OR(M2737=1,M2737="1")),"adequate","partial"),IF(AND(H2737="W4",F2737="predictive",OR(J2737="P2",J2737="P3",J2737="P4")),IF(OR(U2737=1,U2737="1"),"adequate","partial"),INDEX(Fit_Matrix!$B:$B,MATCH(P2737,Fit_Matrix!$A:$A,0)))),"CHECK KEY"))</f>
        <v/>
      </c>
      <c r="U2737" s="10"/>
      <c r="V2737" s="10"/>
      <c r="W2737" s="10"/>
      <c r="X2737" s="10"/>
      <c r="Y2737" s="10"/>
      <c r="Z2737" s="10"/>
      <c r="AA2737" s="11" t="str">
        <f t="shared" si="85"/>
        <v/>
      </c>
    </row>
    <row r="2738" spans="16:27" ht="15" customHeight="1">
      <c r="P2738" t="str">
        <f t="shared" si="84"/>
        <v/>
      </c>
      <c r="Q2738" t="str">
        <f>IF(P2738="","",IFERROR(IF(AND(H2738="W7",OR(F2738="causal",F2738="predictive")),IF(AND(OR(K2738=1,K2738="1"),OR(L2738=1,L2738="1"),OR(M2738=1,M2738="1")),"adequate","partial"),IF(AND(H2738="W4",F2738="predictive",OR(J2738="P2",J2738="P3",J2738="P4")),IF(OR(U2738=1,U2738="1"),"adequate","partial"),INDEX(Fit_Matrix!$B:$B,MATCH(P2738,Fit_Matrix!$A:$A,0)))),"CHECK KEY"))</f>
        <v/>
      </c>
      <c r="U2738" s="10"/>
      <c r="V2738" s="10"/>
      <c r="W2738" s="10"/>
      <c r="X2738" s="10"/>
      <c r="Y2738" s="10"/>
      <c r="Z2738" s="10"/>
      <c r="AA2738" s="11" t="str">
        <f t="shared" si="85"/>
        <v/>
      </c>
    </row>
    <row r="2739" spans="16:27" ht="15" customHeight="1">
      <c r="P2739" t="str">
        <f t="shared" si="84"/>
        <v/>
      </c>
      <c r="Q2739" t="str">
        <f>IF(P2739="","",IFERROR(IF(AND(H2739="W7",OR(F2739="causal",F2739="predictive")),IF(AND(OR(K2739=1,K2739="1"),OR(L2739=1,L2739="1"),OR(M2739=1,M2739="1")),"adequate","partial"),IF(AND(H2739="W4",F2739="predictive",OR(J2739="P2",J2739="P3",J2739="P4")),IF(OR(U2739=1,U2739="1"),"adequate","partial"),INDEX(Fit_Matrix!$B:$B,MATCH(P2739,Fit_Matrix!$A:$A,0)))),"CHECK KEY"))</f>
        <v/>
      </c>
      <c r="U2739" s="10"/>
      <c r="V2739" s="10"/>
      <c r="W2739" s="10"/>
      <c r="X2739" s="10"/>
      <c r="Y2739" s="10"/>
      <c r="Z2739" s="10"/>
      <c r="AA2739" s="11" t="str">
        <f t="shared" si="85"/>
        <v/>
      </c>
    </row>
    <row r="2740" spans="16:27" ht="15" customHeight="1">
      <c r="P2740" t="str">
        <f t="shared" si="84"/>
        <v/>
      </c>
      <c r="Q2740" t="str">
        <f>IF(P2740="","",IFERROR(IF(AND(H2740="W7",OR(F2740="causal",F2740="predictive")),IF(AND(OR(K2740=1,K2740="1"),OR(L2740=1,L2740="1"),OR(M2740=1,M2740="1")),"adequate","partial"),IF(AND(H2740="W4",F2740="predictive",OR(J2740="P2",J2740="P3",J2740="P4")),IF(OR(U2740=1,U2740="1"),"adequate","partial"),INDEX(Fit_Matrix!$B:$B,MATCH(P2740,Fit_Matrix!$A:$A,0)))),"CHECK KEY"))</f>
        <v/>
      </c>
      <c r="U2740" s="10"/>
      <c r="V2740" s="10"/>
      <c r="W2740" s="10"/>
      <c r="X2740" s="10"/>
      <c r="Y2740" s="10"/>
      <c r="Z2740" s="10"/>
      <c r="AA2740" s="11" t="str">
        <f t="shared" si="85"/>
        <v/>
      </c>
    </row>
    <row r="2741" spans="16:27" ht="15" customHeight="1">
      <c r="P2741" t="str">
        <f t="shared" si="84"/>
        <v/>
      </c>
      <c r="Q2741" t="str">
        <f>IF(P2741="","",IFERROR(IF(AND(H2741="W7",OR(F2741="causal",F2741="predictive")),IF(AND(OR(K2741=1,K2741="1"),OR(L2741=1,L2741="1"),OR(M2741=1,M2741="1")),"adequate","partial"),IF(AND(H2741="W4",F2741="predictive",OR(J2741="P2",J2741="P3",J2741="P4")),IF(OR(U2741=1,U2741="1"),"adequate","partial"),INDEX(Fit_Matrix!$B:$B,MATCH(P2741,Fit_Matrix!$A:$A,0)))),"CHECK KEY"))</f>
        <v/>
      </c>
      <c r="U2741" s="10"/>
      <c r="V2741" s="10"/>
      <c r="W2741" s="10"/>
      <c r="X2741" s="10"/>
      <c r="Y2741" s="10"/>
      <c r="Z2741" s="10"/>
      <c r="AA2741" s="11" t="str">
        <f t="shared" si="85"/>
        <v/>
      </c>
    </row>
    <row r="2742" spans="16:27" ht="15" customHeight="1">
      <c r="P2742" t="str">
        <f t="shared" si="84"/>
        <v/>
      </c>
      <c r="Q2742" t="str">
        <f>IF(P2742="","",IFERROR(IF(AND(H2742="W7",OR(F2742="causal",F2742="predictive")),IF(AND(OR(K2742=1,K2742="1"),OR(L2742=1,L2742="1"),OR(M2742=1,M2742="1")),"adequate","partial"),IF(AND(H2742="W4",F2742="predictive",OR(J2742="P2",J2742="P3",J2742="P4")),IF(OR(U2742=1,U2742="1"),"adequate","partial"),INDEX(Fit_Matrix!$B:$B,MATCH(P2742,Fit_Matrix!$A:$A,0)))),"CHECK KEY"))</f>
        <v/>
      </c>
      <c r="U2742" s="10"/>
      <c r="V2742" s="10"/>
      <c r="W2742" s="10"/>
      <c r="X2742" s="10"/>
      <c r="Y2742" s="10"/>
      <c r="Z2742" s="10"/>
      <c r="AA2742" s="11" t="str">
        <f t="shared" si="85"/>
        <v/>
      </c>
    </row>
    <row r="2743" spans="16:27" ht="15" customHeight="1">
      <c r="P2743" t="str">
        <f t="shared" si="84"/>
        <v/>
      </c>
      <c r="Q2743" t="str">
        <f>IF(P2743="","",IFERROR(IF(AND(H2743="W7",OR(F2743="causal",F2743="predictive")),IF(AND(OR(K2743=1,K2743="1"),OR(L2743=1,L2743="1"),OR(M2743=1,M2743="1")),"adequate","partial"),IF(AND(H2743="W4",F2743="predictive",OR(J2743="P2",J2743="P3",J2743="P4")),IF(OR(U2743=1,U2743="1"),"adequate","partial"),INDEX(Fit_Matrix!$B:$B,MATCH(P2743,Fit_Matrix!$A:$A,0)))),"CHECK KEY"))</f>
        <v/>
      </c>
      <c r="U2743" s="10"/>
      <c r="V2743" s="10"/>
      <c r="W2743" s="10"/>
      <c r="X2743" s="10"/>
      <c r="Y2743" s="10"/>
      <c r="Z2743" s="10"/>
      <c r="AA2743" s="11" t="str">
        <f t="shared" si="85"/>
        <v/>
      </c>
    </row>
    <row r="2744" spans="16:27" ht="15" customHeight="1">
      <c r="P2744" t="str">
        <f t="shared" si="84"/>
        <v/>
      </c>
      <c r="Q2744" t="str">
        <f>IF(P2744="","",IFERROR(IF(AND(H2744="W7",OR(F2744="causal",F2744="predictive")),IF(AND(OR(K2744=1,K2744="1"),OR(L2744=1,L2744="1"),OR(M2744=1,M2744="1")),"adequate","partial"),IF(AND(H2744="W4",F2744="predictive",OR(J2744="P2",J2744="P3",J2744="P4")),IF(OR(U2744=1,U2744="1"),"adequate","partial"),INDEX(Fit_Matrix!$B:$B,MATCH(P2744,Fit_Matrix!$A:$A,0)))),"CHECK KEY"))</f>
        <v/>
      </c>
      <c r="U2744" s="10"/>
      <c r="V2744" s="10"/>
      <c r="W2744" s="10"/>
      <c r="X2744" s="10"/>
      <c r="Y2744" s="10"/>
      <c r="Z2744" s="10"/>
      <c r="AA2744" s="11" t="str">
        <f t="shared" si="85"/>
        <v/>
      </c>
    </row>
    <row r="2745" spans="16:27" ht="15" customHeight="1">
      <c r="P2745" t="str">
        <f t="shared" si="84"/>
        <v/>
      </c>
      <c r="Q2745" t="str">
        <f>IF(P2745="","",IFERROR(IF(AND(H2745="W7",OR(F2745="causal",F2745="predictive")),IF(AND(OR(K2745=1,K2745="1"),OR(L2745=1,L2745="1"),OR(M2745=1,M2745="1")),"adequate","partial"),IF(AND(H2745="W4",F2745="predictive",OR(J2745="P2",J2745="P3",J2745="P4")),IF(OR(U2745=1,U2745="1"),"adequate","partial"),INDEX(Fit_Matrix!$B:$B,MATCH(P2745,Fit_Matrix!$A:$A,0)))),"CHECK KEY"))</f>
        <v/>
      </c>
      <c r="U2745" s="10"/>
      <c r="V2745" s="10"/>
      <c r="W2745" s="10"/>
      <c r="X2745" s="10"/>
      <c r="Y2745" s="10"/>
      <c r="Z2745" s="10"/>
      <c r="AA2745" s="11" t="str">
        <f t="shared" si="85"/>
        <v/>
      </c>
    </row>
    <row r="2746" spans="16:27" ht="15" customHeight="1">
      <c r="P2746" t="str">
        <f t="shared" si="84"/>
        <v/>
      </c>
      <c r="Q2746" t="str">
        <f>IF(P2746="","",IFERROR(IF(AND(H2746="W7",OR(F2746="causal",F2746="predictive")),IF(AND(OR(K2746=1,K2746="1"),OR(L2746=1,L2746="1"),OR(M2746=1,M2746="1")),"adequate","partial"),IF(AND(H2746="W4",F2746="predictive",OR(J2746="P2",J2746="P3",J2746="P4")),IF(OR(U2746=1,U2746="1"),"adequate","partial"),INDEX(Fit_Matrix!$B:$B,MATCH(P2746,Fit_Matrix!$A:$A,0)))),"CHECK KEY"))</f>
        <v/>
      </c>
      <c r="U2746" s="10"/>
      <c r="V2746" s="10"/>
      <c r="W2746" s="10"/>
      <c r="X2746" s="10"/>
      <c r="Y2746" s="10"/>
      <c r="Z2746" s="10"/>
      <c r="AA2746" s="11" t="str">
        <f t="shared" si="85"/>
        <v/>
      </c>
    </row>
    <row r="2747" spans="16:27" ht="15" customHeight="1">
      <c r="P2747" t="str">
        <f t="shared" si="84"/>
        <v/>
      </c>
      <c r="Q2747" t="str">
        <f>IF(P2747="","",IFERROR(IF(AND(H2747="W7",OR(F2747="causal",F2747="predictive")),IF(AND(OR(K2747=1,K2747="1"),OR(L2747=1,L2747="1"),OR(M2747=1,M2747="1")),"adequate","partial"),IF(AND(H2747="W4",F2747="predictive",OR(J2747="P2",J2747="P3",J2747="P4")),IF(OR(U2747=1,U2747="1"),"adequate","partial"),INDEX(Fit_Matrix!$B:$B,MATCH(P2747,Fit_Matrix!$A:$A,0)))),"CHECK KEY"))</f>
        <v/>
      </c>
      <c r="U2747" s="10"/>
      <c r="V2747" s="10"/>
      <c r="W2747" s="10"/>
      <c r="X2747" s="10"/>
      <c r="Y2747" s="10"/>
      <c r="Z2747" s="10"/>
      <c r="AA2747" s="11" t="str">
        <f t="shared" si="85"/>
        <v/>
      </c>
    </row>
    <row r="2748" spans="16:27" ht="15" customHeight="1">
      <c r="P2748" t="str">
        <f t="shared" si="84"/>
        <v/>
      </c>
      <c r="Q2748" t="str">
        <f>IF(P2748="","",IFERROR(IF(AND(H2748="W7",OR(F2748="causal",F2748="predictive")),IF(AND(OR(K2748=1,K2748="1"),OR(L2748=1,L2748="1"),OR(M2748=1,M2748="1")),"adequate","partial"),IF(AND(H2748="W4",F2748="predictive",OR(J2748="P2",J2748="P3",J2748="P4")),IF(OR(U2748=1,U2748="1"),"adequate","partial"),INDEX(Fit_Matrix!$B:$B,MATCH(P2748,Fit_Matrix!$A:$A,0)))),"CHECK KEY"))</f>
        <v/>
      </c>
      <c r="U2748" s="10"/>
      <c r="V2748" s="10"/>
      <c r="W2748" s="10"/>
      <c r="X2748" s="10"/>
      <c r="Y2748" s="10"/>
      <c r="Z2748" s="10"/>
      <c r="AA2748" s="11" t="str">
        <f t="shared" si="85"/>
        <v/>
      </c>
    </row>
    <row r="2749" spans="16:27" ht="15" customHeight="1">
      <c r="P2749" t="str">
        <f t="shared" si="84"/>
        <v/>
      </c>
      <c r="Q2749" t="str">
        <f>IF(P2749="","",IFERROR(IF(AND(H2749="W7",OR(F2749="causal",F2749="predictive")),IF(AND(OR(K2749=1,K2749="1"),OR(L2749=1,L2749="1"),OR(M2749=1,M2749="1")),"adequate","partial"),IF(AND(H2749="W4",F2749="predictive",OR(J2749="P2",J2749="P3",J2749="P4")),IF(OR(U2749=1,U2749="1"),"adequate","partial"),INDEX(Fit_Matrix!$B:$B,MATCH(P2749,Fit_Matrix!$A:$A,0)))),"CHECK KEY"))</f>
        <v/>
      </c>
      <c r="U2749" s="10"/>
      <c r="V2749" s="10"/>
      <c r="W2749" s="10"/>
      <c r="X2749" s="10"/>
      <c r="Y2749" s="10"/>
      <c r="Z2749" s="10"/>
      <c r="AA2749" s="11" t="str">
        <f t="shared" si="85"/>
        <v/>
      </c>
    </row>
    <row r="2750" spans="16:27" ht="15" customHeight="1">
      <c r="P2750" t="str">
        <f t="shared" si="84"/>
        <v/>
      </c>
      <c r="Q2750" t="str">
        <f>IF(P2750="","",IFERROR(IF(AND(H2750="W7",OR(F2750="causal",F2750="predictive")),IF(AND(OR(K2750=1,K2750="1"),OR(L2750=1,L2750="1"),OR(M2750=1,M2750="1")),"adequate","partial"),IF(AND(H2750="W4",F2750="predictive",OR(J2750="P2",J2750="P3",J2750="P4")),IF(OR(U2750=1,U2750="1"),"adequate","partial"),INDEX(Fit_Matrix!$B:$B,MATCH(P2750,Fit_Matrix!$A:$A,0)))),"CHECK KEY"))</f>
        <v/>
      </c>
      <c r="U2750" s="10"/>
      <c r="V2750" s="10"/>
      <c r="W2750" s="10"/>
      <c r="X2750" s="10"/>
      <c r="Y2750" s="10"/>
      <c r="Z2750" s="10"/>
      <c r="AA2750" s="11" t="str">
        <f t="shared" si="85"/>
        <v/>
      </c>
    </row>
    <row r="2751" spans="16:27" ht="15" customHeight="1">
      <c r="P2751" t="str">
        <f t="shared" si="84"/>
        <v/>
      </c>
      <c r="Q2751" t="str">
        <f>IF(P2751="","",IFERROR(IF(AND(H2751="W7",OR(F2751="causal",F2751="predictive")),IF(AND(OR(K2751=1,K2751="1"),OR(L2751=1,L2751="1"),OR(M2751=1,M2751="1")),"adequate","partial"),IF(AND(H2751="W4",F2751="predictive",OR(J2751="P2",J2751="P3",J2751="P4")),IF(OR(U2751=1,U2751="1"),"adequate","partial"),INDEX(Fit_Matrix!$B:$B,MATCH(P2751,Fit_Matrix!$A:$A,0)))),"CHECK KEY"))</f>
        <v/>
      </c>
      <c r="U2751" s="10"/>
      <c r="V2751" s="10"/>
      <c r="W2751" s="10"/>
      <c r="X2751" s="10"/>
      <c r="Y2751" s="10"/>
      <c r="Z2751" s="10"/>
      <c r="AA2751" s="11" t="str">
        <f t="shared" si="85"/>
        <v/>
      </c>
    </row>
    <row r="2752" spans="16:27" ht="15" customHeight="1">
      <c r="P2752" t="str">
        <f t="shared" si="84"/>
        <v/>
      </c>
      <c r="Q2752" t="str">
        <f>IF(P2752="","",IFERROR(IF(AND(H2752="W7",OR(F2752="causal",F2752="predictive")),IF(AND(OR(K2752=1,K2752="1"),OR(L2752=1,L2752="1"),OR(M2752=1,M2752="1")),"adequate","partial"),IF(AND(H2752="W4",F2752="predictive",OR(J2752="P2",J2752="P3",J2752="P4")),IF(OR(U2752=1,U2752="1"),"adequate","partial"),INDEX(Fit_Matrix!$B:$B,MATCH(P2752,Fit_Matrix!$A:$A,0)))),"CHECK KEY"))</f>
        <v/>
      </c>
      <c r="U2752" s="10"/>
      <c r="V2752" s="10"/>
      <c r="W2752" s="10"/>
      <c r="X2752" s="10"/>
      <c r="Y2752" s="10"/>
      <c r="Z2752" s="10"/>
      <c r="AA2752" s="11" t="str">
        <f t="shared" si="85"/>
        <v/>
      </c>
    </row>
    <row r="2753" spans="16:27" ht="15" customHeight="1">
      <c r="P2753" t="str">
        <f t="shared" si="84"/>
        <v/>
      </c>
      <c r="Q2753" t="str">
        <f>IF(P2753="","",IFERROR(IF(AND(H2753="W7",OR(F2753="causal",F2753="predictive")),IF(AND(OR(K2753=1,K2753="1"),OR(L2753=1,L2753="1"),OR(M2753=1,M2753="1")),"adequate","partial"),IF(AND(H2753="W4",F2753="predictive",OR(J2753="P2",J2753="P3",J2753="P4")),IF(OR(U2753=1,U2753="1"),"adequate","partial"),INDEX(Fit_Matrix!$B:$B,MATCH(P2753,Fit_Matrix!$A:$A,0)))),"CHECK KEY"))</f>
        <v/>
      </c>
      <c r="U2753" s="10"/>
      <c r="V2753" s="10"/>
      <c r="W2753" s="10"/>
      <c r="X2753" s="10"/>
      <c r="Y2753" s="10"/>
      <c r="Z2753" s="10"/>
      <c r="AA2753" s="11" t="str">
        <f t="shared" si="85"/>
        <v/>
      </c>
    </row>
    <row r="2754" spans="16:27" ht="15" customHeight="1">
      <c r="P2754" t="str">
        <f t="shared" ref="P2754:P2817" si="86">IF(OR(F2754="",H2754="",J2754=""),"",J2754&amp;"|"&amp;F2754&amp;"|"&amp;IF(H2754="W3","W3_"&amp;IF(I2754="","unknown",I2754),H2754))</f>
        <v/>
      </c>
      <c r="Q2754" t="str">
        <f>IF(P2754="","",IFERROR(IF(AND(H2754="W7",OR(F2754="causal",F2754="predictive")),IF(AND(OR(K2754=1,K2754="1"),OR(L2754=1,L2754="1"),OR(M2754=1,M2754="1")),"adequate","partial"),IF(AND(H2754="W4",F2754="predictive",OR(J2754="P2",J2754="P3",J2754="P4")),IF(OR(U2754=1,U2754="1"),"adequate","partial"),INDEX(Fit_Matrix!$B:$B,MATCH(P2754,Fit_Matrix!$A:$A,0)))),"CHECK KEY"))</f>
        <v/>
      </c>
      <c r="U2754" s="10"/>
      <c r="V2754" s="10"/>
      <c r="W2754" s="10"/>
      <c r="X2754" s="10"/>
      <c r="Y2754" s="10"/>
      <c r="Z2754" s="10"/>
      <c r="AA2754" s="11" t="str">
        <f t="shared" ref="AA2754:AA2817" si="87">IF(A2754="","",IF(AND(J2754="P4",F2754="causal"),"P4-CAUSAL",""))</f>
        <v/>
      </c>
    </row>
    <row r="2755" spans="16:27" ht="15" customHeight="1">
      <c r="P2755" t="str">
        <f t="shared" si="86"/>
        <v/>
      </c>
      <c r="Q2755" t="str">
        <f>IF(P2755="","",IFERROR(IF(AND(H2755="W7",OR(F2755="causal",F2755="predictive")),IF(AND(OR(K2755=1,K2755="1"),OR(L2755=1,L2755="1"),OR(M2755=1,M2755="1")),"adequate","partial"),IF(AND(H2755="W4",F2755="predictive",OR(J2755="P2",J2755="P3",J2755="P4")),IF(OR(U2755=1,U2755="1"),"adequate","partial"),INDEX(Fit_Matrix!$B:$B,MATCH(P2755,Fit_Matrix!$A:$A,0)))),"CHECK KEY"))</f>
        <v/>
      </c>
      <c r="U2755" s="10"/>
      <c r="V2755" s="10"/>
      <c r="W2755" s="10"/>
      <c r="X2755" s="10"/>
      <c r="Y2755" s="10"/>
      <c r="Z2755" s="10"/>
      <c r="AA2755" s="11" t="str">
        <f t="shared" si="87"/>
        <v/>
      </c>
    </row>
    <row r="2756" spans="16:27" ht="15" customHeight="1">
      <c r="P2756" t="str">
        <f t="shared" si="86"/>
        <v/>
      </c>
      <c r="Q2756" t="str">
        <f>IF(P2756="","",IFERROR(IF(AND(H2756="W7",OR(F2756="causal",F2756="predictive")),IF(AND(OR(K2756=1,K2756="1"),OR(L2756=1,L2756="1"),OR(M2756=1,M2756="1")),"adequate","partial"),IF(AND(H2756="W4",F2756="predictive",OR(J2756="P2",J2756="P3",J2756="P4")),IF(OR(U2756=1,U2756="1"),"adequate","partial"),INDEX(Fit_Matrix!$B:$B,MATCH(P2756,Fit_Matrix!$A:$A,0)))),"CHECK KEY"))</f>
        <v/>
      </c>
      <c r="U2756" s="10"/>
      <c r="V2756" s="10"/>
      <c r="W2756" s="10"/>
      <c r="X2756" s="10"/>
      <c r="Y2756" s="10"/>
      <c r="Z2756" s="10"/>
      <c r="AA2756" s="11" t="str">
        <f t="shared" si="87"/>
        <v/>
      </c>
    </row>
    <row r="2757" spans="16:27" ht="15" customHeight="1">
      <c r="P2757" t="str">
        <f t="shared" si="86"/>
        <v/>
      </c>
      <c r="Q2757" t="str">
        <f>IF(P2757="","",IFERROR(IF(AND(H2757="W7",OR(F2757="causal",F2757="predictive")),IF(AND(OR(K2757=1,K2757="1"),OR(L2757=1,L2757="1"),OR(M2757=1,M2757="1")),"adequate","partial"),IF(AND(H2757="W4",F2757="predictive",OR(J2757="P2",J2757="P3",J2757="P4")),IF(OR(U2757=1,U2757="1"),"adequate","partial"),INDEX(Fit_Matrix!$B:$B,MATCH(P2757,Fit_Matrix!$A:$A,0)))),"CHECK KEY"))</f>
        <v/>
      </c>
      <c r="U2757" s="10"/>
      <c r="V2757" s="10"/>
      <c r="W2757" s="10"/>
      <c r="X2757" s="10"/>
      <c r="Y2757" s="10"/>
      <c r="Z2757" s="10"/>
      <c r="AA2757" s="11" t="str">
        <f t="shared" si="87"/>
        <v/>
      </c>
    </row>
    <row r="2758" spans="16:27" ht="15" customHeight="1">
      <c r="P2758" t="str">
        <f t="shared" si="86"/>
        <v/>
      </c>
      <c r="Q2758" t="str">
        <f>IF(P2758="","",IFERROR(IF(AND(H2758="W7",OR(F2758="causal",F2758="predictive")),IF(AND(OR(K2758=1,K2758="1"),OR(L2758=1,L2758="1"),OR(M2758=1,M2758="1")),"adequate","partial"),IF(AND(H2758="W4",F2758="predictive",OR(J2758="P2",J2758="P3",J2758="P4")),IF(OR(U2758=1,U2758="1"),"adequate","partial"),INDEX(Fit_Matrix!$B:$B,MATCH(P2758,Fit_Matrix!$A:$A,0)))),"CHECK KEY"))</f>
        <v/>
      </c>
      <c r="U2758" s="10"/>
      <c r="V2758" s="10"/>
      <c r="W2758" s="10"/>
      <c r="X2758" s="10"/>
      <c r="Y2758" s="10"/>
      <c r="Z2758" s="10"/>
      <c r="AA2758" s="11" t="str">
        <f t="shared" si="87"/>
        <v/>
      </c>
    </row>
    <row r="2759" spans="16:27" ht="15" customHeight="1">
      <c r="P2759" t="str">
        <f t="shared" si="86"/>
        <v/>
      </c>
      <c r="Q2759" t="str">
        <f>IF(P2759="","",IFERROR(IF(AND(H2759="W7",OR(F2759="causal",F2759="predictive")),IF(AND(OR(K2759=1,K2759="1"),OR(L2759=1,L2759="1"),OR(M2759=1,M2759="1")),"adequate","partial"),IF(AND(H2759="W4",F2759="predictive",OR(J2759="P2",J2759="P3",J2759="P4")),IF(OR(U2759=1,U2759="1"),"adequate","partial"),INDEX(Fit_Matrix!$B:$B,MATCH(P2759,Fit_Matrix!$A:$A,0)))),"CHECK KEY"))</f>
        <v/>
      </c>
      <c r="U2759" s="10"/>
      <c r="V2759" s="10"/>
      <c r="W2759" s="10"/>
      <c r="X2759" s="10"/>
      <c r="Y2759" s="10"/>
      <c r="Z2759" s="10"/>
      <c r="AA2759" s="11" t="str">
        <f t="shared" si="87"/>
        <v/>
      </c>
    </row>
    <row r="2760" spans="16:27" ht="15" customHeight="1">
      <c r="P2760" t="str">
        <f t="shared" si="86"/>
        <v/>
      </c>
      <c r="Q2760" t="str">
        <f>IF(P2760="","",IFERROR(IF(AND(H2760="W7",OR(F2760="causal",F2760="predictive")),IF(AND(OR(K2760=1,K2760="1"),OR(L2760=1,L2760="1"),OR(M2760=1,M2760="1")),"adequate","partial"),IF(AND(H2760="W4",F2760="predictive",OR(J2760="P2",J2760="P3",J2760="P4")),IF(OR(U2760=1,U2760="1"),"adequate","partial"),INDEX(Fit_Matrix!$B:$B,MATCH(P2760,Fit_Matrix!$A:$A,0)))),"CHECK KEY"))</f>
        <v/>
      </c>
      <c r="U2760" s="10"/>
      <c r="V2760" s="10"/>
      <c r="W2760" s="10"/>
      <c r="X2760" s="10"/>
      <c r="Y2760" s="10"/>
      <c r="Z2760" s="10"/>
      <c r="AA2760" s="11" t="str">
        <f t="shared" si="87"/>
        <v/>
      </c>
    </row>
    <row r="2761" spans="16:27" ht="15" customHeight="1">
      <c r="P2761" t="str">
        <f t="shared" si="86"/>
        <v/>
      </c>
      <c r="Q2761" t="str">
        <f>IF(P2761="","",IFERROR(IF(AND(H2761="W7",OR(F2761="causal",F2761="predictive")),IF(AND(OR(K2761=1,K2761="1"),OR(L2761=1,L2761="1"),OR(M2761=1,M2761="1")),"adequate","partial"),IF(AND(H2761="W4",F2761="predictive",OR(J2761="P2",J2761="P3",J2761="P4")),IF(OR(U2761=1,U2761="1"),"adequate","partial"),INDEX(Fit_Matrix!$B:$B,MATCH(P2761,Fit_Matrix!$A:$A,0)))),"CHECK KEY"))</f>
        <v/>
      </c>
      <c r="U2761" s="10"/>
      <c r="V2761" s="10"/>
      <c r="W2761" s="10"/>
      <c r="X2761" s="10"/>
      <c r="Y2761" s="10"/>
      <c r="Z2761" s="10"/>
      <c r="AA2761" s="11" t="str">
        <f t="shared" si="87"/>
        <v/>
      </c>
    </row>
    <row r="2762" spans="16:27" ht="15" customHeight="1">
      <c r="P2762" t="str">
        <f t="shared" si="86"/>
        <v/>
      </c>
      <c r="Q2762" t="str">
        <f>IF(P2762="","",IFERROR(IF(AND(H2762="W7",OR(F2762="causal",F2762="predictive")),IF(AND(OR(K2762=1,K2762="1"),OR(L2762=1,L2762="1"),OR(M2762=1,M2762="1")),"adequate","partial"),IF(AND(H2762="W4",F2762="predictive",OR(J2762="P2",J2762="P3",J2762="P4")),IF(OR(U2762=1,U2762="1"),"adequate","partial"),INDEX(Fit_Matrix!$B:$B,MATCH(P2762,Fit_Matrix!$A:$A,0)))),"CHECK KEY"))</f>
        <v/>
      </c>
      <c r="U2762" s="10"/>
      <c r="V2762" s="10"/>
      <c r="W2762" s="10"/>
      <c r="X2762" s="10"/>
      <c r="Y2762" s="10"/>
      <c r="Z2762" s="10"/>
      <c r="AA2762" s="11" t="str">
        <f t="shared" si="87"/>
        <v/>
      </c>
    </row>
    <row r="2763" spans="16:27" ht="15" customHeight="1">
      <c r="P2763" t="str">
        <f t="shared" si="86"/>
        <v/>
      </c>
      <c r="Q2763" t="str">
        <f>IF(P2763="","",IFERROR(IF(AND(H2763="W7",OR(F2763="causal",F2763="predictive")),IF(AND(OR(K2763=1,K2763="1"),OR(L2763=1,L2763="1"),OR(M2763=1,M2763="1")),"adequate","partial"),IF(AND(H2763="W4",F2763="predictive",OR(J2763="P2",J2763="P3",J2763="P4")),IF(OR(U2763=1,U2763="1"),"adequate","partial"),INDEX(Fit_Matrix!$B:$B,MATCH(P2763,Fit_Matrix!$A:$A,0)))),"CHECK KEY"))</f>
        <v/>
      </c>
      <c r="U2763" s="10"/>
      <c r="V2763" s="10"/>
      <c r="W2763" s="10"/>
      <c r="X2763" s="10"/>
      <c r="Y2763" s="10"/>
      <c r="Z2763" s="10"/>
      <c r="AA2763" s="11" t="str">
        <f t="shared" si="87"/>
        <v/>
      </c>
    </row>
    <row r="2764" spans="16:27" ht="15" customHeight="1">
      <c r="P2764" t="str">
        <f t="shared" si="86"/>
        <v/>
      </c>
      <c r="Q2764" t="str">
        <f>IF(P2764="","",IFERROR(IF(AND(H2764="W7",OR(F2764="causal",F2764="predictive")),IF(AND(OR(K2764=1,K2764="1"),OR(L2764=1,L2764="1"),OR(M2764=1,M2764="1")),"adequate","partial"),IF(AND(H2764="W4",F2764="predictive",OR(J2764="P2",J2764="P3",J2764="P4")),IF(OR(U2764=1,U2764="1"),"adequate","partial"),INDEX(Fit_Matrix!$B:$B,MATCH(P2764,Fit_Matrix!$A:$A,0)))),"CHECK KEY"))</f>
        <v/>
      </c>
      <c r="U2764" s="10"/>
      <c r="V2764" s="10"/>
      <c r="W2764" s="10"/>
      <c r="X2764" s="10"/>
      <c r="Y2764" s="10"/>
      <c r="Z2764" s="10"/>
      <c r="AA2764" s="11" t="str">
        <f t="shared" si="87"/>
        <v/>
      </c>
    </row>
    <row r="2765" spans="16:27" ht="15" customHeight="1">
      <c r="P2765" t="str">
        <f t="shared" si="86"/>
        <v/>
      </c>
      <c r="Q2765" t="str">
        <f>IF(P2765="","",IFERROR(IF(AND(H2765="W7",OR(F2765="causal",F2765="predictive")),IF(AND(OR(K2765=1,K2765="1"),OR(L2765=1,L2765="1"),OR(M2765=1,M2765="1")),"adequate","partial"),IF(AND(H2765="W4",F2765="predictive",OR(J2765="P2",J2765="P3",J2765="P4")),IF(OR(U2765=1,U2765="1"),"adequate","partial"),INDEX(Fit_Matrix!$B:$B,MATCH(P2765,Fit_Matrix!$A:$A,0)))),"CHECK KEY"))</f>
        <v/>
      </c>
      <c r="U2765" s="10"/>
      <c r="V2765" s="10"/>
      <c r="W2765" s="10"/>
      <c r="X2765" s="10"/>
      <c r="Y2765" s="10"/>
      <c r="Z2765" s="10"/>
      <c r="AA2765" s="11" t="str">
        <f t="shared" si="87"/>
        <v/>
      </c>
    </row>
    <row r="2766" spans="16:27" ht="15" customHeight="1">
      <c r="P2766" t="str">
        <f t="shared" si="86"/>
        <v/>
      </c>
      <c r="Q2766" t="str">
        <f>IF(P2766="","",IFERROR(IF(AND(H2766="W7",OR(F2766="causal",F2766="predictive")),IF(AND(OR(K2766=1,K2766="1"),OR(L2766=1,L2766="1"),OR(M2766=1,M2766="1")),"adequate","partial"),IF(AND(H2766="W4",F2766="predictive",OR(J2766="P2",J2766="P3",J2766="P4")),IF(OR(U2766=1,U2766="1"),"adequate","partial"),INDEX(Fit_Matrix!$B:$B,MATCH(P2766,Fit_Matrix!$A:$A,0)))),"CHECK KEY"))</f>
        <v/>
      </c>
      <c r="U2766" s="10"/>
      <c r="V2766" s="10"/>
      <c r="W2766" s="10"/>
      <c r="X2766" s="10"/>
      <c r="Y2766" s="10"/>
      <c r="Z2766" s="10"/>
      <c r="AA2766" s="11" t="str">
        <f t="shared" si="87"/>
        <v/>
      </c>
    </row>
    <row r="2767" spans="16:27" ht="15" customHeight="1">
      <c r="P2767" t="str">
        <f t="shared" si="86"/>
        <v/>
      </c>
      <c r="Q2767" t="str">
        <f>IF(P2767="","",IFERROR(IF(AND(H2767="W7",OR(F2767="causal",F2767="predictive")),IF(AND(OR(K2767=1,K2767="1"),OR(L2767=1,L2767="1"),OR(M2767=1,M2767="1")),"adequate","partial"),IF(AND(H2767="W4",F2767="predictive",OR(J2767="P2",J2767="P3",J2767="P4")),IF(OR(U2767=1,U2767="1"),"adequate","partial"),INDEX(Fit_Matrix!$B:$B,MATCH(P2767,Fit_Matrix!$A:$A,0)))),"CHECK KEY"))</f>
        <v/>
      </c>
      <c r="U2767" s="10"/>
      <c r="V2767" s="10"/>
      <c r="W2767" s="10"/>
      <c r="X2767" s="10"/>
      <c r="Y2767" s="10"/>
      <c r="Z2767" s="10"/>
      <c r="AA2767" s="11" t="str">
        <f t="shared" si="87"/>
        <v/>
      </c>
    </row>
    <row r="2768" spans="16:27" ht="15" customHeight="1">
      <c r="P2768" t="str">
        <f t="shared" si="86"/>
        <v/>
      </c>
      <c r="Q2768" t="str">
        <f>IF(P2768="","",IFERROR(IF(AND(H2768="W7",OR(F2768="causal",F2768="predictive")),IF(AND(OR(K2768=1,K2768="1"),OR(L2768=1,L2768="1"),OR(M2768=1,M2768="1")),"adequate","partial"),IF(AND(H2768="W4",F2768="predictive",OR(J2768="P2",J2768="P3",J2768="P4")),IF(OR(U2768=1,U2768="1"),"adequate","partial"),INDEX(Fit_Matrix!$B:$B,MATCH(P2768,Fit_Matrix!$A:$A,0)))),"CHECK KEY"))</f>
        <v/>
      </c>
      <c r="U2768" s="10"/>
      <c r="V2768" s="10"/>
      <c r="W2768" s="10"/>
      <c r="X2768" s="10"/>
      <c r="Y2768" s="10"/>
      <c r="Z2768" s="10"/>
      <c r="AA2768" s="11" t="str">
        <f t="shared" si="87"/>
        <v/>
      </c>
    </row>
    <row r="2769" spans="16:27" ht="15" customHeight="1">
      <c r="P2769" t="str">
        <f t="shared" si="86"/>
        <v/>
      </c>
      <c r="Q2769" t="str">
        <f>IF(P2769="","",IFERROR(IF(AND(H2769="W7",OR(F2769="causal",F2769="predictive")),IF(AND(OR(K2769=1,K2769="1"),OR(L2769=1,L2769="1"),OR(M2769=1,M2769="1")),"adequate","partial"),IF(AND(H2769="W4",F2769="predictive",OR(J2769="P2",J2769="P3",J2769="P4")),IF(OR(U2769=1,U2769="1"),"adequate","partial"),INDEX(Fit_Matrix!$B:$B,MATCH(P2769,Fit_Matrix!$A:$A,0)))),"CHECK KEY"))</f>
        <v/>
      </c>
      <c r="U2769" s="10"/>
      <c r="V2769" s="10"/>
      <c r="W2769" s="10"/>
      <c r="X2769" s="10"/>
      <c r="Y2769" s="10"/>
      <c r="Z2769" s="10"/>
      <c r="AA2769" s="11" t="str">
        <f t="shared" si="87"/>
        <v/>
      </c>
    </row>
    <row r="2770" spans="16:27" ht="15" customHeight="1">
      <c r="P2770" t="str">
        <f t="shared" si="86"/>
        <v/>
      </c>
      <c r="Q2770" t="str">
        <f>IF(P2770="","",IFERROR(IF(AND(H2770="W7",OR(F2770="causal",F2770="predictive")),IF(AND(OR(K2770=1,K2770="1"),OR(L2770=1,L2770="1"),OR(M2770=1,M2770="1")),"adequate","partial"),IF(AND(H2770="W4",F2770="predictive",OR(J2770="P2",J2770="P3",J2770="P4")),IF(OR(U2770=1,U2770="1"),"adequate","partial"),INDEX(Fit_Matrix!$B:$B,MATCH(P2770,Fit_Matrix!$A:$A,0)))),"CHECK KEY"))</f>
        <v/>
      </c>
      <c r="U2770" s="10"/>
      <c r="V2770" s="10"/>
      <c r="W2770" s="10"/>
      <c r="X2770" s="10"/>
      <c r="Y2770" s="10"/>
      <c r="Z2770" s="10"/>
      <c r="AA2770" s="11" t="str">
        <f t="shared" si="87"/>
        <v/>
      </c>
    </row>
    <row r="2771" spans="16:27" ht="15" customHeight="1">
      <c r="P2771" t="str">
        <f t="shared" si="86"/>
        <v/>
      </c>
      <c r="Q2771" t="str">
        <f>IF(P2771="","",IFERROR(IF(AND(H2771="W7",OR(F2771="causal",F2771="predictive")),IF(AND(OR(K2771=1,K2771="1"),OR(L2771=1,L2771="1"),OR(M2771=1,M2771="1")),"adequate","partial"),IF(AND(H2771="W4",F2771="predictive",OR(J2771="P2",J2771="P3",J2771="P4")),IF(OR(U2771=1,U2771="1"),"adequate","partial"),INDEX(Fit_Matrix!$B:$B,MATCH(P2771,Fit_Matrix!$A:$A,0)))),"CHECK KEY"))</f>
        <v/>
      </c>
      <c r="U2771" s="10"/>
      <c r="V2771" s="10"/>
      <c r="W2771" s="10"/>
      <c r="X2771" s="10"/>
      <c r="Y2771" s="10"/>
      <c r="Z2771" s="10"/>
      <c r="AA2771" s="11" t="str">
        <f t="shared" si="87"/>
        <v/>
      </c>
    </row>
    <row r="2772" spans="16:27" ht="15" customHeight="1">
      <c r="P2772" t="str">
        <f t="shared" si="86"/>
        <v/>
      </c>
      <c r="Q2772" t="str">
        <f>IF(P2772="","",IFERROR(IF(AND(H2772="W7",OR(F2772="causal",F2772="predictive")),IF(AND(OR(K2772=1,K2772="1"),OR(L2772=1,L2772="1"),OR(M2772=1,M2772="1")),"adequate","partial"),IF(AND(H2772="W4",F2772="predictive",OR(J2772="P2",J2772="P3",J2772="P4")),IF(OR(U2772=1,U2772="1"),"adequate","partial"),INDEX(Fit_Matrix!$B:$B,MATCH(P2772,Fit_Matrix!$A:$A,0)))),"CHECK KEY"))</f>
        <v/>
      </c>
      <c r="U2772" s="10"/>
      <c r="V2772" s="10"/>
      <c r="W2772" s="10"/>
      <c r="X2772" s="10"/>
      <c r="Y2772" s="10"/>
      <c r="Z2772" s="10"/>
      <c r="AA2772" s="11" t="str">
        <f t="shared" si="87"/>
        <v/>
      </c>
    </row>
    <row r="2773" spans="16:27" ht="15" customHeight="1">
      <c r="P2773" t="str">
        <f t="shared" si="86"/>
        <v/>
      </c>
      <c r="Q2773" t="str">
        <f>IF(P2773="","",IFERROR(IF(AND(H2773="W7",OR(F2773="causal",F2773="predictive")),IF(AND(OR(K2773=1,K2773="1"),OR(L2773=1,L2773="1"),OR(M2773=1,M2773="1")),"adequate","partial"),IF(AND(H2773="W4",F2773="predictive",OR(J2773="P2",J2773="P3",J2773="P4")),IF(OR(U2773=1,U2773="1"),"adequate","partial"),INDEX(Fit_Matrix!$B:$B,MATCH(P2773,Fit_Matrix!$A:$A,0)))),"CHECK KEY"))</f>
        <v/>
      </c>
      <c r="U2773" s="10"/>
      <c r="V2773" s="10"/>
      <c r="W2773" s="10"/>
      <c r="X2773" s="10"/>
      <c r="Y2773" s="10"/>
      <c r="Z2773" s="10"/>
      <c r="AA2773" s="11" t="str">
        <f t="shared" si="87"/>
        <v/>
      </c>
    </row>
    <row r="2774" spans="16:27" ht="15" customHeight="1">
      <c r="P2774" t="str">
        <f t="shared" si="86"/>
        <v/>
      </c>
      <c r="Q2774" t="str">
        <f>IF(P2774="","",IFERROR(IF(AND(H2774="W7",OR(F2774="causal",F2774="predictive")),IF(AND(OR(K2774=1,K2774="1"),OR(L2774=1,L2774="1"),OR(M2774=1,M2774="1")),"adequate","partial"),IF(AND(H2774="W4",F2774="predictive",OR(J2774="P2",J2774="P3",J2774="P4")),IF(OR(U2774=1,U2774="1"),"adequate","partial"),INDEX(Fit_Matrix!$B:$B,MATCH(P2774,Fit_Matrix!$A:$A,0)))),"CHECK KEY"))</f>
        <v/>
      </c>
      <c r="U2774" s="10"/>
      <c r="V2774" s="10"/>
      <c r="W2774" s="10"/>
      <c r="X2774" s="10"/>
      <c r="Y2774" s="10"/>
      <c r="Z2774" s="10"/>
      <c r="AA2774" s="11" t="str">
        <f t="shared" si="87"/>
        <v/>
      </c>
    </row>
    <row r="2775" spans="16:27" ht="15" customHeight="1">
      <c r="P2775" t="str">
        <f t="shared" si="86"/>
        <v/>
      </c>
      <c r="Q2775" t="str">
        <f>IF(P2775="","",IFERROR(IF(AND(H2775="W7",OR(F2775="causal",F2775="predictive")),IF(AND(OR(K2775=1,K2775="1"),OR(L2775=1,L2775="1"),OR(M2775=1,M2775="1")),"adequate","partial"),IF(AND(H2775="W4",F2775="predictive",OR(J2775="P2",J2775="P3",J2775="P4")),IF(OR(U2775=1,U2775="1"),"adequate","partial"),INDEX(Fit_Matrix!$B:$B,MATCH(P2775,Fit_Matrix!$A:$A,0)))),"CHECK KEY"))</f>
        <v/>
      </c>
      <c r="U2775" s="10"/>
      <c r="V2775" s="10"/>
      <c r="W2775" s="10"/>
      <c r="X2775" s="10"/>
      <c r="Y2775" s="10"/>
      <c r="Z2775" s="10"/>
      <c r="AA2775" s="11" t="str">
        <f t="shared" si="87"/>
        <v/>
      </c>
    </row>
    <row r="2776" spans="16:27" ht="15" customHeight="1">
      <c r="P2776" t="str">
        <f t="shared" si="86"/>
        <v/>
      </c>
      <c r="Q2776" t="str">
        <f>IF(P2776="","",IFERROR(IF(AND(H2776="W7",OR(F2776="causal",F2776="predictive")),IF(AND(OR(K2776=1,K2776="1"),OR(L2776=1,L2776="1"),OR(M2776=1,M2776="1")),"adequate","partial"),IF(AND(H2776="W4",F2776="predictive",OR(J2776="P2",J2776="P3",J2776="P4")),IF(OR(U2776=1,U2776="1"),"adequate","partial"),INDEX(Fit_Matrix!$B:$B,MATCH(P2776,Fit_Matrix!$A:$A,0)))),"CHECK KEY"))</f>
        <v/>
      </c>
      <c r="U2776" s="10"/>
      <c r="V2776" s="10"/>
      <c r="W2776" s="10"/>
      <c r="X2776" s="10"/>
      <c r="Y2776" s="10"/>
      <c r="Z2776" s="10"/>
      <c r="AA2776" s="11" t="str">
        <f t="shared" si="87"/>
        <v/>
      </c>
    </row>
    <row r="2777" spans="16:27" ht="15" customHeight="1">
      <c r="P2777" t="str">
        <f t="shared" si="86"/>
        <v/>
      </c>
      <c r="Q2777" t="str">
        <f>IF(P2777="","",IFERROR(IF(AND(H2777="W7",OR(F2777="causal",F2777="predictive")),IF(AND(OR(K2777=1,K2777="1"),OR(L2777=1,L2777="1"),OR(M2777=1,M2777="1")),"adequate","partial"),IF(AND(H2777="W4",F2777="predictive",OR(J2777="P2",J2777="P3",J2777="P4")),IF(OR(U2777=1,U2777="1"),"adequate","partial"),INDEX(Fit_Matrix!$B:$B,MATCH(P2777,Fit_Matrix!$A:$A,0)))),"CHECK KEY"))</f>
        <v/>
      </c>
      <c r="U2777" s="10"/>
      <c r="V2777" s="10"/>
      <c r="W2777" s="10"/>
      <c r="X2777" s="10"/>
      <c r="Y2777" s="10"/>
      <c r="Z2777" s="10"/>
      <c r="AA2777" s="11" t="str">
        <f t="shared" si="87"/>
        <v/>
      </c>
    </row>
    <row r="2778" spans="16:27" ht="15" customHeight="1">
      <c r="P2778" t="str">
        <f t="shared" si="86"/>
        <v/>
      </c>
      <c r="Q2778" t="str">
        <f>IF(P2778="","",IFERROR(IF(AND(H2778="W7",OR(F2778="causal",F2778="predictive")),IF(AND(OR(K2778=1,K2778="1"),OR(L2778=1,L2778="1"),OR(M2778=1,M2778="1")),"adequate","partial"),IF(AND(H2778="W4",F2778="predictive",OR(J2778="P2",J2778="P3",J2778="P4")),IF(OR(U2778=1,U2778="1"),"adequate","partial"),INDEX(Fit_Matrix!$B:$B,MATCH(P2778,Fit_Matrix!$A:$A,0)))),"CHECK KEY"))</f>
        <v/>
      </c>
      <c r="U2778" s="10"/>
      <c r="V2778" s="10"/>
      <c r="W2778" s="10"/>
      <c r="X2778" s="10"/>
      <c r="Y2778" s="10"/>
      <c r="Z2778" s="10"/>
      <c r="AA2778" s="11" t="str">
        <f t="shared" si="87"/>
        <v/>
      </c>
    </row>
    <row r="2779" spans="16:27" ht="15" customHeight="1">
      <c r="P2779" t="str">
        <f t="shared" si="86"/>
        <v/>
      </c>
      <c r="Q2779" t="str">
        <f>IF(P2779="","",IFERROR(IF(AND(H2779="W7",OR(F2779="causal",F2779="predictive")),IF(AND(OR(K2779=1,K2779="1"),OR(L2779=1,L2779="1"),OR(M2779=1,M2779="1")),"adequate","partial"),IF(AND(H2779="W4",F2779="predictive",OR(J2779="P2",J2779="P3",J2779="P4")),IF(OR(U2779=1,U2779="1"),"adequate","partial"),INDEX(Fit_Matrix!$B:$B,MATCH(P2779,Fit_Matrix!$A:$A,0)))),"CHECK KEY"))</f>
        <v/>
      </c>
      <c r="U2779" s="10"/>
      <c r="V2779" s="10"/>
      <c r="W2779" s="10"/>
      <c r="X2779" s="10"/>
      <c r="Y2779" s="10"/>
      <c r="Z2779" s="10"/>
      <c r="AA2779" s="11" t="str">
        <f t="shared" si="87"/>
        <v/>
      </c>
    </row>
    <row r="2780" spans="16:27" ht="15" customHeight="1">
      <c r="P2780" t="str">
        <f t="shared" si="86"/>
        <v/>
      </c>
      <c r="Q2780" t="str">
        <f>IF(P2780="","",IFERROR(IF(AND(H2780="W7",OR(F2780="causal",F2780="predictive")),IF(AND(OR(K2780=1,K2780="1"),OR(L2780=1,L2780="1"),OR(M2780=1,M2780="1")),"adequate","partial"),IF(AND(H2780="W4",F2780="predictive",OR(J2780="P2",J2780="P3",J2780="P4")),IF(OR(U2780=1,U2780="1"),"adequate","partial"),INDEX(Fit_Matrix!$B:$B,MATCH(P2780,Fit_Matrix!$A:$A,0)))),"CHECK KEY"))</f>
        <v/>
      </c>
      <c r="U2780" s="10"/>
      <c r="V2780" s="10"/>
      <c r="W2780" s="10"/>
      <c r="X2780" s="10"/>
      <c r="Y2780" s="10"/>
      <c r="Z2780" s="10"/>
      <c r="AA2780" s="11" t="str">
        <f t="shared" si="87"/>
        <v/>
      </c>
    </row>
    <row r="2781" spans="16:27" ht="15" customHeight="1">
      <c r="P2781" t="str">
        <f t="shared" si="86"/>
        <v/>
      </c>
      <c r="Q2781" t="str">
        <f>IF(P2781="","",IFERROR(IF(AND(H2781="W7",OR(F2781="causal",F2781="predictive")),IF(AND(OR(K2781=1,K2781="1"),OR(L2781=1,L2781="1"),OR(M2781=1,M2781="1")),"adequate","partial"),IF(AND(H2781="W4",F2781="predictive",OR(J2781="P2",J2781="P3",J2781="P4")),IF(OR(U2781=1,U2781="1"),"adequate","partial"),INDEX(Fit_Matrix!$B:$B,MATCH(P2781,Fit_Matrix!$A:$A,0)))),"CHECK KEY"))</f>
        <v/>
      </c>
      <c r="U2781" s="10"/>
      <c r="V2781" s="10"/>
      <c r="W2781" s="10"/>
      <c r="X2781" s="10"/>
      <c r="Y2781" s="10"/>
      <c r="Z2781" s="10"/>
      <c r="AA2781" s="11" t="str">
        <f t="shared" si="87"/>
        <v/>
      </c>
    </row>
    <row r="2782" spans="16:27" ht="15" customHeight="1">
      <c r="P2782" t="str">
        <f t="shared" si="86"/>
        <v/>
      </c>
      <c r="Q2782" t="str">
        <f>IF(P2782="","",IFERROR(IF(AND(H2782="W7",OR(F2782="causal",F2782="predictive")),IF(AND(OR(K2782=1,K2782="1"),OR(L2782=1,L2782="1"),OR(M2782=1,M2782="1")),"adequate","partial"),IF(AND(H2782="W4",F2782="predictive",OR(J2782="P2",J2782="P3",J2782="P4")),IF(OR(U2782=1,U2782="1"),"adequate","partial"),INDEX(Fit_Matrix!$B:$B,MATCH(P2782,Fit_Matrix!$A:$A,0)))),"CHECK KEY"))</f>
        <v/>
      </c>
      <c r="U2782" s="10"/>
      <c r="V2782" s="10"/>
      <c r="W2782" s="10"/>
      <c r="X2782" s="10"/>
      <c r="Y2782" s="10"/>
      <c r="Z2782" s="10"/>
      <c r="AA2782" s="11" t="str">
        <f t="shared" si="87"/>
        <v/>
      </c>
    </row>
    <row r="2783" spans="16:27" ht="15" customHeight="1">
      <c r="P2783" t="str">
        <f t="shared" si="86"/>
        <v/>
      </c>
      <c r="Q2783" t="str">
        <f>IF(P2783="","",IFERROR(IF(AND(H2783="W7",OR(F2783="causal",F2783="predictive")),IF(AND(OR(K2783=1,K2783="1"),OR(L2783=1,L2783="1"),OR(M2783=1,M2783="1")),"adequate","partial"),IF(AND(H2783="W4",F2783="predictive",OR(J2783="P2",J2783="P3",J2783="P4")),IF(OR(U2783=1,U2783="1"),"adequate","partial"),INDEX(Fit_Matrix!$B:$B,MATCH(P2783,Fit_Matrix!$A:$A,0)))),"CHECK KEY"))</f>
        <v/>
      </c>
      <c r="U2783" s="10"/>
      <c r="V2783" s="10"/>
      <c r="W2783" s="10"/>
      <c r="X2783" s="10"/>
      <c r="Y2783" s="10"/>
      <c r="Z2783" s="10"/>
      <c r="AA2783" s="11" t="str">
        <f t="shared" si="87"/>
        <v/>
      </c>
    </row>
    <row r="2784" spans="16:27" ht="15" customHeight="1">
      <c r="P2784" t="str">
        <f t="shared" si="86"/>
        <v/>
      </c>
      <c r="Q2784" t="str">
        <f>IF(P2784="","",IFERROR(IF(AND(H2784="W7",OR(F2784="causal",F2784="predictive")),IF(AND(OR(K2784=1,K2784="1"),OR(L2784=1,L2784="1"),OR(M2784=1,M2784="1")),"adequate","partial"),IF(AND(H2784="W4",F2784="predictive",OR(J2784="P2",J2784="P3",J2784="P4")),IF(OR(U2784=1,U2784="1"),"adequate","partial"),INDEX(Fit_Matrix!$B:$B,MATCH(P2784,Fit_Matrix!$A:$A,0)))),"CHECK KEY"))</f>
        <v/>
      </c>
      <c r="U2784" s="10"/>
      <c r="V2784" s="10"/>
      <c r="W2784" s="10"/>
      <c r="X2784" s="10"/>
      <c r="Y2784" s="10"/>
      <c r="Z2784" s="10"/>
      <c r="AA2784" s="11" t="str">
        <f t="shared" si="87"/>
        <v/>
      </c>
    </row>
    <row r="2785" spans="16:27" ht="15" customHeight="1">
      <c r="P2785" t="str">
        <f t="shared" si="86"/>
        <v/>
      </c>
      <c r="Q2785" t="str">
        <f>IF(P2785="","",IFERROR(IF(AND(H2785="W7",OR(F2785="causal",F2785="predictive")),IF(AND(OR(K2785=1,K2785="1"),OR(L2785=1,L2785="1"),OR(M2785=1,M2785="1")),"adequate","partial"),IF(AND(H2785="W4",F2785="predictive",OR(J2785="P2",J2785="P3",J2785="P4")),IF(OR(U2785=1,U2785="1"),"adequate","partial"),INDEX(Fit_Matrix!$B:$B,MATCH(P2785,Fit_Matrix!$A:$A,0)))),"CHECK KEY"))</f>
        <v/>
      </c>
      <c r="U2785" s="10"/>
      <c r="V2785" s="10"/>
      <c r="W2785" s="10"/>
      <c r="X2785" s="10"/>
      <c r="Y2785" s="10"/>
      <c r="Z2785" s="10"/>
      <c r="AA2785" s="11" t="str">
        <f t="shared" si="87"/>
        <v/>
      </c>
    </row>
    <row r="2786" spans="16:27" ht="15" customHeight="1">
      <c r="P2786" t="str">
        <f t="shared" si="86"/>
        <v/>
      </c>
      <c r="Q2786" t="str">
        <f>IF(P2786="","",IFERROR(IF(AND(H2786="W7",OR(F2786="causal",F2786="predictive")),IF(AND(OR(K2786=1,K2786="1"),OR(L2786=1,L2786="1"),OR(M2786=1,M2786="1")),"adequate","partial"),IF(AND(H2786="W4",F2786="predictive",OR(J2786="P2",J2786="P3",J2786="P4")),IF(OR(U2786=1,U2786="1"),"adequate","partial"),INDEX(Fit_Matrix!$B:$B,MATCH(P2786,Fit_Matrix!$A:$A,0)))),"CHECK KEY"))</f>
        <v/>
      </c>
      <c r="U2786" s="10"/>
      <c r="V2786" s="10"/>
      <c r="W2786" s="10"/>
      <c r="X2786" s="10"/>
      <c r="Y2786" s="10"/>
      <c r="Z2786" s="10"/>
      <c r="AA2786" s="11" t="str">
        <f t="shared" si="87"/>
        <v/>
      </c>
    </row>
    <row r="2787" spans="16:27" ht="15" customHeight="1">
      <c r="P2787" t="str">
        <f t="shared" si="86"/>
        <v/>
      </c>
      <c r="Q2787" t="str">
        <f>IF(P2787="","",IFERROR(IF(AND(H2787="W7",OR(F2787="causal",F2787="predictive")),IF(AND(OR(K2787=1,K2787="1"),OR(L2787=1,L2787="1"),OR(M2787=1,M2787="1")),"adequate","partial"),IF(AND(H2787="W4",F2787="predictive",OR(J2787="P2",J2787="P3",J2787="P4")),IF(OR(U2787=1,U2787="1"),"adequate","partial"),INDEX(Fit_Matrix!$B:$B,MATCH(P2787,Fit_Matrix!$A:$A,0)))),"CHECK KEY"))</f>
        <v/>
      </c>
      <c r="U2787" s="10"/>
      <c r="V2787" s="10"/>
      <c r="W2787" s="10"/>
      <c r="X2787" s="10"/>
      <c r="Y2787" s="10"/>
      <c r="Z2787" s="10"/>
      <c r="AA2787" s="11" t="str">
        <f t="shared" si="87"/>
        <v/>
      </c>
    </row>
    <row r="2788" spans="16:27" ht="15" customHeight="1">
      <c r="P2788" t="str">
        <f t="shared" si="86"/>
        <v/>
      </c>
      <c r="Q2788" t="str">
        <f>IF(P2788="","",IFERROR(IF(AND(H2788="W7",OR(F2788="causal",F2788="predictive")),IF(AND(OR(K2788=1,K2788="1"),OR(L2788=1,L2788="1"),OR(M2788=1,M2788="1")),"adequate","partial"),IF(AND(H2788="W4",F2788="predictive",OR(J2788="P2",J2788="P3",J2788="P4")),IF(OR(U2788=1,U2788="1"),"adequate","partial"),INDEX(Fit_Matrix!$B:$B,MATCH(P2788,Fit_Matrix!$A:$A,0)))),"CHECK KEY"))</f>
        <v/>
      </c>
      <c r="U2788" s="10"/>
      <c r="V2788" s="10"/>
      <c r="W2788" s="10"/>
      <c r="X2788" s="10"/>
      <c r="Y2788" s="10"/>
      <c r="Z2788" s="10"/>
      <c r="AA2788" s="11" t="str">
        <f t="shared" si="87"/>
        <v/>
      </c>
    </row>
    <row r="2789" spans="16:27" ht="15" customHeight="1">
      <c r="P2789" t="str">
        <f t="shared" si="86"/>
        <v/>
      </c>
      <c r="Q2789" t="str">
        <f>IF(P2789="","",IFERROR(IF(AND(H2789="W7",OR(F2789="causal",F2789="predictive")),IF(AND(OR(K2789=1,K2789="1"),OR(L2789=1,L2789="1"),OR(M2789=1,M2789="1")),"adequate","partial"),IF(AND(H2789="W4",F2789="predictive",OR(J2789="P2",J2789="P3",J2789="P4")),IF(OR(U2789=1,U2789="1"),"adequate","partial"),INDEX(Fit_Matrix!$B:$B,MATCH(P2789,Fit_Matrix!$A:$A,0)))),"CHECK KEY"))</f>
        <v/>
      </c>
      <c r="U2789" s="10"/>
      <c r="V2789" s="10"/>
      <c r="W2789" s="10"/>
      <c r="X2789" s="10"/>
      <c r="Y2789" s="10"/>
      <c r="Z2789" s="10"/>
      <c r="AA2789" s="11" t="str">
        <f t="shared" si="87"/>
        <v/>
      </c>
    </row>
    <row r="2790" spans="16:27" ht="15" customHeight="1">
      <c r="P2790" t="str">
        <f t="shared" si="86"/>
        <v/>
      </c>
      <c r="Q2790" t="str">
        <f>IF(P2790="","",IFERROR(IF(AND(H2790="W7",OR(F2790="causal",F2790="predictive")),IF(AND(OR(K2790=1,K2790="1"),OR(L2790=1,L2790="1"),OR(M2790=1,M2790="1")),"adequate","partial"),IF(AND(H2790="W4",F2790="predictive",OR(J2790="P2",J2790="P3",J2790="P4")),IF(OR(U2790=1,U2790="1"),"adequate","partial"),INDEX(Fit_Matrix!$B:$B,MATCH(P2790,Fit_Matrix!$A:$A,0)))),"CHECK KEY"))</f>
        <v/>
      </c>
      <c r="U2790" s="10"/>
      <c r="V2790" s="10"/>
      <c r="W2790" s="10"/>
      <c r="X2790" s="10"/>
      <c r="Y2790" s="10"/>
      <c r="Z2790" s="10"/>
      <c r="AA2790" s="11" t="str">
        <f t="shared" si="87"/>
        <v/>
      </c>
    </row>
    <row r="2791" spans="16:27" ht="15" customHeight="1">
      <c r="P2791" t="str">
        <f t="shared" si="86"/>
        <v/>
      </c>
      <c r="Q2791" t="str">
        <f>IF(P2791="","",IFERROR(IF(AND(H2791="W7",OR(F2791="causal",F2791="predictive")),IF(AND(OR(K2791=1,K2791="1"),OR(L2791=1,L2791="1"),OR(M2791=1,M2791="1")),"adequate","partial"),IF(AND(H2791="W4",F2791="predictive",OR(J2791="P2",J2791="P3",J2791="P4")),IF(OR(U2791=1,U2791="1"),"adequate","partial"),INDEX(Fit_Matrix!$B:$B,MATCH(P2791,Fit_Matrix!$A:$A,0)))),"CHECK KEY"))</f>
        <v/>
      </c>
      <c r="U2791" s="10"/>
      <c r="V2791" s="10"/>
      <c r="W2791" s="10"/>
      <c r="X2791" s="10"/>
      <c r="Y2791" s="10"/>
      <c r="Z2791" s="10"/>
      <c r="AA2791" s="11" t="str">
        <f t="shared" si="87"/>
        <v/>
      </c>
    </row>
    <row r="2792" spans="16:27" ht="15" customHeight="1">
      <c r="P2792" t="str">
        <f t="shared" si="86"/>
        <v/>
      </c>
      <c r="Q2792" t="str">
        <f>IF(P2792="","",IFERROR(IF(AND(H2792="W7",OR(F2792="causal",F2792="predictive")),IF(AND(OR(K2792=1,K2792="1"),OR(L2792=1,L2792="1"),OR(M2792=1,M2792="1")),"adequate","partial"),IF(AND(H2792="W4",F2792="predictive",OR(J2792="P2",J2792="P3",J2792="P4")),IF(OR(U2792=1,U2792="1"),"adequate","partial"),INDEX(Fit_Matrix!$B:$B,MATCH(P2792,Fit_Matrix!$A:$A,0)))),"CHECK KEY"))</f>
        <v/>
      </c>
      <c r="U2792" s="10"/>
      <c r="V2792" s="10"/>
      <c r="W2792" s="10"/>
      <c r="X2792" s="10"/>
      <c r="Y2792" s="10"/>
      <c r="Z2792" s="10"/>
      <c r="AA2792" s="11" t="str">
        <f t="shared" si="87"/>
        <v/>
      </c>
    </row>
    <row r="2793" spans="16:27" ht="15" customHeight="1">
      <c r="P2793" t="str">
        <f t="shared" si="86"/>
        <v/>
      </c>
      <c r="Q2793" t="str">
        <f>IF(P2793="","",IFERROR(IF(AND(H2793="W7",OR(F2793="causal",F2793="predictive")),IF(AND(OR(K2793=1,K2793="1"),OR(L2793=1,L2793="1"),OR(M2793=1,M2793="1")),"adequate","partial"),IF(AND(H2793="W4",F2793="predictive",OR(J2793="P2",J2793="P3",J2793="P4")),IF(OR(U2793=1,U2793="1"),"adequate","partial"),INDEX(Fit_Matrix!$B:$B,MATCH(P2793,Fit_Matrix!$A:$A,0)))),"CHECK KEY"))</f>
        <v/>
      </c>
      <c r="U2793" s="10"/>
      <c r="V2793" s="10"/>
      <c r="W2793" s="10"/>
      <c r="X2793" s="10"/>
      <c r="Y2793" s="10"/>
      <c r="Z2793" s="10"/>
      <c r="AA2793" s="11" t="str">
        <f t="shared" si="87"/>
        <v/>
      </c>
    </row>
    <row r="2794" spans="16:27" ht="15" customHeight="1">
      <c r="P2794" t="str">
        <f t="shared" si="86"/>
        <v/>
      </c>
      <c r="Q2794" t="str">
        <f>IF(P2794="","",IFERROR(IF(AND(H2794="W7",OR(F2794="causal",F2794="predictive")),IF(AND(OR(K2794=1,K2794="1"),OR(L2794=1,L2794="1"),OR(M2794=1,M2794="1")),"adequate","partial"),IF(AND(H2794="W4",F2794="predictive",OR(J2794="P2",J2794="P3",J2794="P4")),IF(OR(U2794=1,U2794="1"),"adequate","partial"),INDEX(Fit_Matrix!$B:$B,MATCH(P2794,Fit_Matrix!$A:$A,0)))),"CHECK KEY"))</f>
        <v/>
      </c>
      <c r="U2794" s="10"/>
      <c r="V2794" s="10"/>
      <c r="W2794" s="10"/>
      <c r="X2794" s="10"/>
      <c r="Y2794" s="10"/>
      <c r="Z2794" s="10"/>
      <c r="AA2794" s="11" t="str">
        <f t="shared" si="87"/>
        <v/>
      </c>
    </row>
    <row r="2795" spans="16:27" ht="15" customHeight="1">
      <c r="P2795" t="str">
        <f t="shared" si="86"/>
        <v/>
      </c>
      <c r="Q2795" t="str">
        <f>IF(P2795="","",IFERROR(IF(AND(H2795="W7",OR(F2795="causal",F2795="predictive")),IF(AND(OR(K2795=1,K2795="1"),OR(L2795=1,L2795="1"),OR(M2795=1,M2795="1")),"adequate","partial"),IF(AND(H2795="W4",F2795="predictive",OR(J2795="P2",J2795="P3",J2795="P4")),IF(OR(U2795=1,U2795="1"),"adequate","partial"),INDEX(Fit_Matrix!$B:$B,MATCH(P2795,Fit_Matrix!$A:$A,0)))),"CHECK KEY"))</f>
        <v/>
      </c>
      <c r="U2795" s="10"/>
      <c r="V2795" s="10"/>
      <c r="W2795" s="10"/>
      <c r="X2795" s="10"/>
      <c r="Y2795" s="10"/>
      <c r="Z2795" s="10"/>
      <c r="AA2795" s="11" t="str">
        <f t="shared" si="87"/>
        <v/>
      </c>
    </row>
    <row r="2796" spans="16:27" ht="15" customHeight="1">
      <c r="P2796" t="str">
        <f t="shared" si="86"/>
        <v/>
      </c>
      <c r="Q2796" t="str">
        <f>IF(P2796="","",IFERROR(IF(AND(H2796="W7",OR(F2796="causal",F2796="predictive")),IF(AND(OR(K2796=1,K2796="1"),OR(L2796=1,L2796="1"),OR(M2796=1,M2796="1")),"adequate","partial"),IF(AND(H2796="W4",F2796="predictive",OR(J2796="P2",J2796="P3",J2796="P4")),IF(OR(U2796=1,U2796="1"),"adequate","partial"),INDEX(Fit_Matrix!$B:$B,MATCH(P2796,Fit_Matrix!$A:$A,0)))),"CHECK KEY"))</f>
        <v/>
      </c>
      <c r="U2796" s="10"/>
      <c r="V2796" s="10"/>
      <c r="W2796" s="10"/>
      <c r="X2796" s="10"/>
      <c r="Y2796" s="10"/>
      <c r="Z2796" s="10"/>
      <c r="AA2796" s="11" t="str">
        <f t="shared" si="87"/>
        <v/>
      </c>
    </row>
    <row r="2797" spans="16:27" ht="15" customHeight="1">
      <c r="P2797" t="str">
        <f t="shared" si="86"/>
        <v/>
      </c>
      <c r="Q2797" t="str">
        <f>IF(P2797="","",IFERROR(IF(AND(H2797="W7",OR(F2797="causal",F2797="predictive")),IF(AND(OR(K2797=1,K2797="1"),OR(L2797=1,L2797="1"),OR(M2797=1,M2797="1")),"adequate","partial"),IF(AND(H2797="W4",F2797="predictive",OR(J2797="P2",J2797="P3",J2797="P4")),IF(OR(U2797=1,U2797="1"),"adequate","partial"),INDEX(Fit_Matrix!$B:$B,MATCH(P2797,Fit_Matrix!$A:$A,0)))),"CHECK KEY"))</f>
        <v/>
      </c>
      <c r="U2797" s="10"/>
      <c r="V2797" s="10"/>
      <c r="W2797" s="10"/>
      <c r="X2797" s="10"/>
      <c r="Y2797" s="10"/>
      <c r="Z2797" s="10"/>
      <c r="AA2797" s="11" t="str">
        <f t="shared" si="87"/>
        <v/>
      </c>
    </row>
    <row r="2798" spans="16:27" ht="15" customHeight="1">
      <c r="P2798" t="str">
        <f t="shared" si="86"/>
        <v/>
      </c>
      <c r="Q2798" t="str">
        <f>IF(P2798="","",IFERROR(IF(AND(H2798="W7",OR(F2798="causal",F2798="predictive")),IF(AND(OR(K2798=1,K2798="1"),OR(L2798=1,L2798="1"),OR(M2798=1,M2798="1")),"adequate","partial"),IF(AND(H2798="W4",F2798="predictive",OR(J2798="P2",J2798="P3",J2798="P4")),IF(OR(U2798=1,U2798="1"),"adequate","partial"),INDEX(Fit_Matrix!$B:$B,MATCH(P2798,Fit_Matrix!$A:$A,0)))),"CHECK KEY"))</f>
        <v/>
      </c>
      <c r="U2798" s="10"/>
      <c r="V2798" s="10"/>
      <c r="W2798" s="10"/>
      <c r="X2798" s="10"/>
      <c r="Y2798" s="10"/>
      <c r="Z2798" s="10"/>
      <c r="AA2798" s="11" t="str">
        <f t="shared" si="87"/>
        <v/>
      </c>
    </row>
    <row r="2799" spans="16:27" ht="15" customHeight="1">
      <c r="P2799" t="str">
        <f t="shared" si="86"/>
        <v/>
      </c>
      <c r="Q2799" t="str">
        <f>IF(P2799="","",IFERROR(IF(AND(H2799="W7",OR(F2799="causal",F2799="predictive")),IF(AND(OR(K2799=1,K2799="1"),OR(L2799=1,L2799="1"),OR(M2799=1,M2799="1")),"adequate","partial"),IF(AND(H2799="W4",F2799="predictive",OR(J2799="P2",J2799="P3",J2799="P4")),IF(OR(U2799=1,U2799="1"),"adequate","partial"),INDEX(Fit_Matrix!$B:$B,MATCH(P2799,Fit_Matrix!$A:$A,0)))),"CHECK KEY"))</f>
        <v/>
      </c>
      <c r="U2799" s="10"/>
      <c r="V2799" s="10"/>
      <c r="W2799" s="10"/>
      <c r="X2799" s="10"/>
      <c r="Y2799" s="10"/>
      <c r="Z2799" s="10"/>
      <c r="AA2799" s="11" t="str">
        <f t="shared" si="87"/>
        <v/>
      </c>
    </row>
    <row r="2800" spans="16:27" ht="15" customHeight="1">
      <c r="P2800" t="str">
        <f t="shared" si="86"/>
        <v/>
      </c>
      <c r="Q2800" t="str">
        <f>IF(P2800="","",IFERROR(IF(AND(H2800="W7",OR(F2800="causal",F2800="predictive")),IF(AND(OR(K2800=1,K2800="1"),OR(L2800=1,L2800="1"),OR(M2800=1,M2800="1")),"adequate","partial"),IF(AND(H2800="W4",F2800="predictive",OR(J2800="P2",J2800="P3",J2800="P4")),IF(OR(U2800=1,U2800="1"),"adequate","partial"),INDEX(Fit_Matrix!$B:$B,MATCH(P2800,Fit_Matrix!$A:$A,0)))),"CHECK KEY"))</f>
        <v/>
      </c>
      <c r="U2800" s="10"/>
      <c r="V2800" s="10"/>
      <c r="W2800" s="10"/>
      <c r="X2800" s="10"/>
      <c r="Y2800" s="10"/>
      <c r="Z2800" s="10"/>
      <c r="AA2800" s="11" t="str">
        <f t="shared" si="87"/>
        <v/>
      </c>
    </row>
    <row r="2801" spans="16:27" ht="15" customHeight="1">
      <c r="P2801" t="str">
        <f t="shared" si="86"/>
        <v/>
      </c>
      <c r="Q2801" t="str">
        <f>IF(P2801="","",IFERROR(IF(AND(H2801="W7",OR(F2801="causal",F2801="predictive")),IF(AND(OR(K2801=1,K2801="1"),OR(L2801=1,L2801="1"),OR(M2801=1,M2801="1")),"adequate","partial"),IF(AND(H2801="W4",F2801="predictive",OR(J2801="P2",J2801="P3",J2801="P4")),IF(OR(U2801=1,U2801="1"),"adequate","partial"),INDEX(Fit_Matrix!$B:$B,MATCH(P2801,Fit_Matrix!$A:$A,0)))),"CHECK KEY"))</f>
        <v/>
      </c>
      <c r="U2801" s="10"/>
      <c r="V2801" s="10"/>
      <c r="W2801" s="10"/>
      <c r="X2801" s="10"/>
      <c r="Y2801" s="10"/>
      <c r="Z2801" s="10"/>
      <c r="AA2801" s="11" t="str">
        <f t="shared" si="87"/>
        <v/>
      </c>
    </row>
    <row r="2802" spans="16:27" ht="15" customHeight="1">
      <c r="P2802" t="str">
        <f t="shared" si="86"/>
        <v/>
      </c>
      <c r="Q2802" t="str">
        <f>IF(P2802="","",IFERROR(IF(AND(H2802="W7",OR(F2802="causal",F2802="predictive")),IF(AND(OR(K2802=1,K2802="1"),OR(L2802=1,L2802="1"),OR(M2802=1,M2802="1")),"adequate","partial"),IF(AND(H2802="W4",F2802="predictive",OR(J2802="P2",J2802="P3",J2802="P4")),IF(OR(U2802=1,U2802="1"),"adequate","partial"),INDEX(Fit_Matrix!$B:$B,MATCH(P2802,Fit_Matrix!$A:$A,0)))),"CHECK KEY"))</f>
        <v/>
      </c>
      <c r="U2802" s="10"/>
      <c r="V2802" s="10"/>
      <c r="W2802" s="10"/>
      <c r="X2802" s="10"/>
      <c r="Y2802" s="10"/>
      <c r="Z2802" s="10"/>
      <c r="AA2802" s="11" t="str">
        <f t="shared" si="87"/>
        <v/>
      </c>
    </row>
    <row r="2803" spans="16:27" ht="15" customHeight="1">
      <c r="P2803" t="str">
        <f t="shared" si="86"/>
        <v/>
      </c>
      <c r="Q2803" t="str">
        <f>IF(P2803="","",IFERROR(IF(AND(H2803="W7",OR(F2803="causal",F2803="predictive")),IF(AND(OR(K2803=1,K2803="1"),OR(L2803=1,L2803="1"),OR(M2803=1,M2803="1")),"adequate","partial"),IF(AND(H2803="W4",F2803="predictive",OR(J2803="P2",J2803="P3",J2803="P4")),IF(OR(U2803=1,U2803="1"),"adequate","partial"),INDEX(Fit_Matrix!$B:$B,MATCH(P2803,Fit_Matrix!$A:$A,0)))),"CHECK KEY"))</f>
        <v/>
      </c>
      <c r="U2803" s="10"/>
      <c r="V2803" s="10"/>
      <c r="W2803" s="10"/>
      <c r="X2803" s="10"/>
      <c r="Y2803" s="10"/>
      <c r="Z2803" s="10"/>
      <c r="AA2803" s="11" t="str">
        <f t="shared" si="87"/>
        <v/>
      </c>
    </row>
    <row r="2804" spans="16:27" ht="15" customHeight="1">
      <c r="P2804" t="str">
        <f t="shared" si="86"/>
        <v/>
      </c>
      <c r="Q2804" t="str">
        <f>IF(P2804="","",IFERROR(IF(AND(H2804="W7",OR(F2804="causal",F2804="predictive")),IF(AND(OR(K2804=1,K2804="1"),OR(L2804=1,L2804="1"),OR(M2804=1,M2804="1")),"adequate","partial"),IF(AND(H2804="W4",F2804="predictive",OR(J2804="P2",J2804="P3",J2804="P4")),IF(OR(U2804=1,U2804="1"),"adequate","partial"),INDEX(Fit_Matrix!$B:$B,MATCH(P2804,Fit_Matrix!$A:$A,0)))),"CHECK KEY"))</f>
        <v/>
      </c>
      <c r="U2804" s="10"/>
      <c r="V2804" s="10"/>
      <c r="W2804" s="10"/>
      <c r="X2804" s="10"/>
      <c r="Y2804" s="10"/>
      <c r="Z2804" s="10"/>
      <c r="AA2804" s="11" t="str">
        <f t="shared" si="87"/>
        <v/>
      </c>
    </row>
    <row r="2805" spans="16:27" ht="15" customHeight="1">
      <c r="P2805" t="str">
        <f t="shared" si="86"/>
        <v/>
      </c>
      <c r="Q2805" t="str">
        <f>IF(P2805="","",IFERROR(IF(AND(H2805="W7",OR(F2805="causal",F2805="predictive")),IF(AND(OR(K2805=1,K2805="1"),OR(L2805=1,L2805="1"),OR(M2805=1,M2805="1")),"adequate","partial"),IF(AND(H2805="W4",F2805="predictive",OR(J2805="P2",J2805="P3",J2805="P4")),IF(OR(U2805=1,U2805="1"),"adequate","partial"),INDEX(Fit_Matrix!$B:$B,MATCH(P2805,Fit_Matrix!$A:$A,0)))),"CHECK KEY"))</f>
        <v/>
      </c>
      <c r="U2805" s="10"/>
      <c r="V2805" s="10"/>
      <c r="W2805" s="10"/>
      <c r="X2805" s="10"/>
      <c r="Y2805" s="10"/>
      <c r="Z2805" s="10"/>
      <c r="AA2805" s="11" t="str">
        <f t="shared" si="87"/>
        <v/>
      </c>
    </row>
    <row r="2806" spans="16:27" ht="15" customHeight="1">
      <c r="P2806" t="str">
        <f t="shared" si="86"/>
        <v/>
      </c>
      <c r="Q2806" t="str">
        <f>IF(P2806="","",IFERROR(IF(AND(H2806="W7",OR(F2806="causal",F2806="predictive")),IF(AND(OR(K2806=1,K2806="1"),OR(L2806=1,L2806="1"),OR(M2806=1,M2806="1")),"adequate","partial"),IF(AND(H2806="W4",F2806="predictive",OR(J2806="P2",J2806="P3",J2806="P4")),IF(OR(U2806=1,U2806="1"),"adequate","partial"),INDEX(Fit_Matrix!$B:$B,MATCH(P2806,Fit_Matrix!$A:$A,0)))),"CHECK KEY"))</f>
        <v/>
      </c>
      <c r="U2806" s="10"/>
      <c r="V2806" s="10"/>
      <c r="W2806" s="10"/>
      <c r="X2806" s="10"/>
      <c r="Y2806" s="10"/>
      <c r="Z2806" s="10"/>
      <c r="AA2806" s="11" t="str">
        <f t="shared" si="87"/>
        <v/>
      </c>
    </row>
    <row r="2807" spans="16:27" ht="15" customHeight="1">
      <c r="P2807" t="str">
        <f t="shared" si="86"/>
        <v/>
      </c>
      <c r="Q2807" t="str">
        <f>IF(P2807="","",IFERROR(IF(AND(H2807="W7",OR(F2807="causal",F2807="predictive")),IF(AND(OR(K2807=1,K2807="1"),OR(L2807=1,L2807="1"),OR(M2807=1,M2807="1")),"adequate","partial"),IF(AND(H2807="W4",F2807="predictive",OR(J2807="P2",J2807="P3",J2807="P4")),IF(OR(U2807=1,U2807="1"),"adequate","partial"),INDEX(Fit_Matrix!$B:$B,MATCH(P2807,Fit_Matrix!$A:$A,0)))),"CHECK KEY"))</f>
        <v/>
      </c>
      <c r="U2807" s="10"/>
      <c r="V2807" s="10"/>
      <c r="W2807" s="10"/>
      <c r="X2807" s="10"/>
      <c r="Y2807" s="10"/>
      <c r="Z2807" s="10"/>
      <c r="AA2807" s="11" t="str">
        <f t="shared" si="87"/>
        <v/>
      </c>
    </row>
    <row r="2808" spans="16:27" ht="15" customHeight="1">
      <c r="P2808" t="str">
        <f t="shared" si="86"/>
        <v/>
      </c>
      <c r="Q2808" t="str">
        <f>IF(P2808="","",IFERROR(IF(AND(H2808="W7",OR(F2808="causal",F2808="predictive")),IF(AND(OR(K2808=1,K2808="1"),OR(L2808=1,L2808="1"),OR(M2808=1,M2808="1")),"adequate","partial"),IF(AND(H2808="W4",F2808="predictive",OR(J2808="P2",J2808="P3",J2808="P4")),IF(OR(U2808=1,U2808="1"),"adequate","partial"),INDEX(Fit_Matrix!$B:$B,MATCH(P2808,Fit_Matrix!$A:$A,0)))),"CHECK KEY"))</f>
        <v/>
      </c>
      <c r="U2808" s="10"/>
      <c r="V2808" s="10"/>
      <c r="W2808" s="10"/>
      <c r="X2808" s="10"/>
      <c r="Y2808" s="10"/>
      <c r="Z2808" s="10"/>
      <c r="AA2808" s="11" t="str">
        <f t="shared" si="87"/>
        <v/>
      </c>
    </row>
    <row r="2809" spans="16:27" ht="15" customHeight="1">
      <c r="P2809" t="str">
        <f t="shared" si="86"/>
        <v/>
      </c>
      <c r="Q2809" t="str">
        <f>IF(P2809="","",IFERROR(IF(AND(H2809="W7",OR(F2809="causal",F2809="predictive")),IF(AND(OR(K2809=1,K2809="1"),OR(L2809=1,L2809="1"),OR(M2809=1,M2809="1")),"adequate","partial"),IF(AND(H2809="W4",F2809="predictive",OR(J2809="P2",J2809="P3",J2809="P4")),IF(OR(U2809=1,U2809="1"),"adequate","partial"),INDEX(Fit_Matrix!$B:$B,MATCH(P2809,Fit_Matrix!$A:$A,0)))),"CHECK KEY"))</f>
        <v/>
      </c>
      <c r="U2809" s="10"/>
      <c r="V2809" s="10"/>
      <c r="W2809" s="10"/>
      <c r="X2809" s="10"/>
      <c r="Y2809" s="10"/>
      <c r="Z2809" s="10"/>
      <c r="AA2809" s="11" t="str">
        <f t="shared" si="87"/>
        <v/>
      </c>
    </row>
    <row r="2810" spans="16:27" ht="15" customHeight="1">
      <c r="P2810" t="str">
        <f t="shared" si="86"/>
        <v/>
      </c>
      <c r="Q2810" t="str">
        <f>IF(P2810="","",IFERROR(IF(AND(H2810="W7",OR(F2810="causal",F2810="predictive")),IF(AND(OR(K2810=1,K2810="1"),OR(L2810=1,L2810="1"),OR(M2810=1,M2810="1")),"adequate","partial"),IF(AND(H2810="W4",F2810="predictive",OR(J2810="P2",J2810="P3",J2810="P4")),IF(OR(U2810=1,U2810="1"),"adequate","partial"),INDEX(Fit_Matrix!$B:$B,MATCH(P2810,Fit_Matrix!$A:$A,0)))),"CHECK KEY"))</f>
        <v/>
      </c>
      <c r="U2810" s="10"/>
      <c r="V2810" s="10"/>
      <c r="W2810" s="10"/>
      <c r="X2810" s="10"/>
      <c r="Y2810" s="10"/>
      <c r="Z2810" s="10"/>
      <c r="AA2810" s="11" t="str">
        <f t="shared" si="87"/>
        <v/>
      </c>
    </row>
    <row r="2811" spans="16:27" ht="15" customHeight="1">
      <c r="P2811" t="str">
        <f t="shared" si="86"/>
        <v/>
      </c>
      <c r="Q2811" t="str">
        <f>IF(P2811="","",IFERROR(IF(AND(H2811="W7",OR(F2811="causal",F2811="predictive")),IF(AND(OR(K2811=1,K2811="1"),OR(L2811=1,L2811="1"),OR(M2811=1,M2811="1")),"adequate","partial"),IF(AND(H2811="W4",F2811="predictive",OR(J2811="P2",J2811="P3",J2811="P4")),IF(OR(U2811=1,U2811="1"),"adequate","partial"),INDEX(Fit_Matrix!$B:$B,MATCH(P2811,Fit_Matrix!$A:$A,0)))),"CHECK KEY"))</f>
        <v/>
      </c>
      <c r="U2811" s="10"/>
      <c r="V2811" s="10"/>
      <c r="W2811" s="10"/>
      <c r="X2811" s="10"/>
      <c r="Y2811" s="10"/>
      <c r="Z2811" s="10"/>
      <c r="AA2811" s="11" t="str">
        <f t="shared" si="87"/>
        <v/>
      </c>
    </row>
    <row r="2812" spans="16:27" ht="15" customHeight="1">
      <c r="P2812" t="str">
        <f t="shared" si="86"/>
        <v/>
      </c>
      <c r="Q2812" t="str">
        <f>IF(P2812="","",IFERROR(IF(AND(H2812="W7",OR(F2812="causal",F2812="predictive")),IF(AND(OR(K2812=1,K2812="1"),OR(L2812=1,L2812="1"),OR(M2812=1,M2812="1")),"adequate","partial"),IF(AND(H2812="W4",F2812="predictive",OR(J2812="P2",J2812="P3",J2812="P4")),IF(OR(U2812=1,U2812="1"),"adequate","partial"),INDEX(Fit_Matrix!$B:$B,MATCH(P2812,Fit_Matrix!$A:$A,0)))),"CHECK KEY"))</f>
        <v/>
      </c>
      <c r="U2812" s="10"/>
      <c r="V2812" s="10"/>
      <c r="W2812" s="10"/>
      <c r="X2812" s="10"/>
      <c r="Y2812" s="10"/>
      <c r="Z2812" s="10"/>
      <c r="AA2812" s="11" t="str">
        <f t="shared" si="87"/>
        <v/>
      </c>
    </row>
    <row r="2813" spans="16:27" ht="15" customHeight="1">
      <c r="P2813" t="str">
        <f t="shared" si="86"/>
        <v/>
      </c>
      <c r="Q2813" t="str">
        <f>IF(P2813="","",IFERROR(IF(AND(H2813="W7",OR(F2813="causal",F2813="predictive")),IF(AND(OR(K2813=1,K2813="1"),OR(L2813=1,L2813="1"),OR(M2813=1,M2813="1")),"adequate","partial"),IF(AND(H2813="W4",F2813="predictive",OR(J2813="P2",J2813="P3",J2813="P4")),IF(OR(U2813=1,U2813="1"),"adequate","partial"),INDEX(Fit_Matrix!$B:$B,MATCH(P2813,Fit_Matrix!$A:$A,0)))),"CHECK KEY"))</f>
        <v/>
      </c>
      <c r="U2813" s="10"/>
      <c r="V2813" s="10"/>
      <c r="W2813" s="10"/>
      <c r="X2813" s="10"/>
      <c r="Y2813" s="10"/>
      <c r="Z2813" s="10"/>
      <c r="AA2813" s="11" t="str">
        <f t="shared" si="87"/>
        <v/>
      </c>
    </row>
    <row r="2814" spans="16:27" ht="15" customHeight="1">
      <c r="P2814" t="str">
        <f t="shared" si="86"/>
        <v/>
      </c>
      <c r="Q2814" t="str">
        <f>IF(P2814="","",IFERROR(IF(AND(H2814="W7",OR(F2814="causal",F2814="predictive")),IF(AND(OR(K2814=1,K2814="1"),OR(L2814=1,L2814="1"),OR(M2814=1,M2814="1")),"adequate","partial"),IF(AND(H2814="W4",F2814="predictive",OR(J2814="P2",J2814="P3",J2814="P4")),IF(OR(U2814=1,U2814="1"),"adequate","partial"),INDEX(Fit_Matrix!$B:$B,MATCH(P2814,Fit_Matrix!$A:$A,0)))),"CHECK KEY"))</f>
        <v/>
      </c>
      <c r="U2814" s="10"/>
      <c r="V2814" s="10"/>
      <c r="W2814" s="10"/>
      <c r="X2814" s="10"/>
      <c r="Y2814" s="10"/>
      <c r="Z2814" s="10"/>
      <c r="AA2814" s="11" t="str">
        <f t="shared" si="87"/>
        <v/>
      </c>
    </row>
    <row r="2815" spans="16:27" ht="15" customHeight="1">
      <c r="P2815" t="str">
        <f t="shared" si="86"/>
        <v/>
      </c>
      <c r="Q2815" t="str">
        <f>IF(P2815="","",IFERROR(IF(AND(H2815="W7",OR(F2815="causal",F2815="predictive")),IF(AND(OR(K2815=1,K2815="1"),OR(L2815=1,L2815="1"),OR(M2815=1,M2815="1")),"adequate","partial"),IF(AND(H2815="W4",F2815="predictive",OR(J2815="P2",J2815="P3",J2815="P4")),IF(OR(U2815=1,U2815="1"),"adequate","partial"),INDEX(Fit_Matrix!$B:$B,MATCH(P2815,Fit_Matrix!$A:$A,0)))),"CHECK KEY"))</f>
        <v/>
      </c>
      <c r="U2815" s="10"/>
      <c r="V2815" s="10"/>
      <c r="W2815" s="10"/>
      <c r="X2815" s="10"/>
      <c r="Y2815" s="10"/>
      <c r="Z2815" s="10"/>
      <c r="AA2815" s="11" t="str">
        <f t="shared" si="87"/>
        <v/>
      </c>
    </row>
    <row r="2816" spans="16:27" ht="15" customHeight="1">
      <c r="P2816" t="str">
        <f t="shared" si="86"/>
        <v/>
      </c>
      <c r="Q2816" t="str">
        <f>IF(P2816="","",IFERROR(IF(AND(H2816="W7",OR(F2816="causal",F2816="predictive")),IF(AND(OR(K2816=1,K2816="1"),OR(L2816=1,L2816="1"),OR(M2816=1,M2816="1")),"adequate","partial"),IF(AND(H2816="W4",F2816="predictive",OR(J2816="P2",J2816="P3",J2816="P4")),IF(OR(U2816=1,U2816="1"),"adequate","partial"),INDEX(Fit_Matrix!$B:$B,MATCH(P2816,Fit_Matrix!$A:$A,0)))),"CHECK KEY"))</f>
        <v/>
      </c>
      <c r="U2816" s="10"/>
      <c r="V2816" s="10"/>
      <c r="W2816" s="10"/>
      <c r="X2816" s="10"/>
      <c r="Y2816" s="10"/>
      <c r="Z2816" s="10"/>
      <c r="AA2816" s="11" t="str">
        <f t="shared" si="87"/>
        <v/>
      </c>
    </row>
    <row r="2817" spans="16:27" ht="15" customHeight="1">
      <c r="P2817" t="str">
        <f t="shared" si="86"/>
        <v/>
      </c>
      <c r="Q2817" t="str">
        <f>IF(P2817="","",IFERROR(IF(AND(H2817="W7",OR(F2817="causal",F2817="predictive")),IF(AND(OR(K2817=1,K2817="1"),OR(L2817=1,L2817="1"),OR(M2817=1,M2817="1")),"adequate","partial"),IF(AND(H2817="W4",F2817="predictive",OR(J2817="P2",J2817="P3",J2817="P4")),IF(OR(U2817=1,U2817="1"),"adequate","partial"),INDEX(Fit_Matrix!$B:$B,MATCH(P2817,Fit_Matrix!$A:$A,0)))),"CHECK KEY"))</f>
        <v/>
      </c>
      <c r="U2817" s="10"/>
      <c r="V2817" s="10"/>
      <c r="W2817" s="10"/>
      <c r="X2817" s="10"/>
      <c r="Y2817" s="10"/>
      <c r="Z2817" s="10"/>
      <c r="AA2817" s="11" t="str">
        <f t="shared" si="87"/>
        <v/>
      </c>
    </row>
    <row r="2818" spans="16:27" ht="15" customHeight="1">
      <c r="P2818" t="str">
        <f t="shared" ref="P2818:P2881" si="88">IF(OR(F2818="",H2818="",J2818=""),"",J2818&amp;"|"&amp;F2818&amp;"|"&amp;IF(H2818="W3","W3_"&amp;IF(I2818="","unknown",I2818),H2818))</f>
        <v/>
      </c>
      <c r="Q2818" t="str">
        <f>IF(P2818="","",IFERROR(IF(AND(H2818="W7",OR(F2818="causal",F2818="predictive")),IF(AND(OR(K2818=1,K2818="1"),OR(L2818=1,L2818="1"),OR(M2818=1,M2818="1")),"adequate","partial"),IF(AND(H2818="W4",F2818="predictive",OR(J2818="P2",J2818="P3",J2818="P4")),IF(OR(U2818=1,U2818="1"),"adequate","partial"),INDEX(Fit_Matrix!$B:$B,MATCH(P2818,Fit_Matrix!$A:$A,0)))),"CHECK KEY"))</f>
        <v/>
      </c>
      <c r="U2818" s="10"/>
      <c r="V2818" s="10"/>
      <c r="W2818" s="10"/>
      <c r="X2818" s="10"/>
      <c r="Y2818" s="10"/>
      <c r="Z2818" s="10"/>
      <c r="AA2818" s="11" t="str">
        <f t="shared" ref="AA2818:AA2881" si="89">IF(A2818="","",IF(AND(J2818="P4",F2818="causal"),"P4-CAUSAL",""))</f>
        <v/>
      </c>
    </row>
    <row r="2819" spans="16:27" ht="15" customHeight="1">
      <c r="P2819" t="str">
        <f t="shared" si="88"/>
        <v/>
      </c>
      <c r="Q2819" t="str">
        <f>IF(P2819="","",IFERROR(IF(AND(H2819="W7",OR(F2819="causal",F2819="predictive")),IF(AND(OR(K2819=1,K2819="1"),OR(L2819=1,L2819="1"),OR(M2819=1,M2819="1")),"adequate","partial"),IF(AND(H2819="W4",F2819="predictive",OR(J2819="P2",J2819="P3",J2819="P4")),IF(OR(U2819=1,U2819="1"),"adequate","partial"),INDEX(Fit_Matrix!$B:$B,MATCH(P2819,Fit_Matrix!$A:$A,0)))),"CHECK KEY"))</f>
        <v/>
      </c>
      <c r="U2819" s="10"/>
      <c r="V2819" s="10"/>
      <c r="W2819" s="10"/>
      <c r="X2819" s="10"/>
      <c r="Y2819" s="10"/>
      <c r="Z2819" s="10"/>
      <c r="AA2819" s="11" t="str">
        <f t="shared" si="89"/>
        <v/>
      </c>
    </row>
    <row r="2820" spans="16:27" ht="15" customHeight="1">
      <c r="P2820" t="str">
        <f t="shared" si="88"/>
        <v/>
      </c>
      <c r="Q2820" t="str">
        <f>IF(P2820="","",IFERROR(IF(AND(H2820="W7",OR(F2820="causal",F2820="predictive")),IF(AND(OR(K2820=1,K2820="1"),OR(L2820=1,L2820="1"),OR(M2820=1,M2820="1")),"adequate","partial"),IF(AND(H2820="W4",F2820="predictive",OR(J2820="P2",J2820="P3",J2820="P4")),IF(OR(U2820=1,U2820="1"),"adequate","partial"),INDEX(Fit_Matrix!$B:$B,MATCH(P2820,Fit_Matrix!$A:$A,0)))),"CHECK KEY"))</f>
        <v/>
      </c>
      <c r="U2820" s="10"/>
      <c r="V2820" s="10"/>
      <c r="W2820" s="10"/>
      <c r="X2820" s="10"/>
      <c r="Y2820" s="10"/>
      <c r="Z2820" s="10"/>
      <c r="AA2820" s="11" t="str">
        <f t="shared" si="89"/>
        <v/>
      </c>
    </row>
    <row r="2821" spans="16:27" ht="15" customHeight="1">
      <c r="P2821" t="str">
        <f t="shared" si="88"/>
        <v/>
      </c>
      <c r="Q2821" t="str">
        <f>IF(P2821="","",IFERROR(IF(AND(H2821="W7",OR(F2821="causal",F2821="predictive")),IF(AND(OR(K2821=1,K2821="1"),OR(L2821=1,L2821="1"),OR(M2821=1,M2821="1")),"adequate","partial"),IF(AND(H2821="W4",F2821="predictive",OR(J2821="P2",J2821="P3",J2821="P4")),IF(OR(U2821=1,U2821="1"),"adequate","partial"),INDEX(Fit_Matrix!$B:$B,MATCH(P2821,Fit_Matrix!$A:$A,0)))),"CHECK KEY"))</f>
        <v/>
      </c>
      <c r="U2821" s="10"/>
      <c r="V2821" s="10"/>
      <c r="W2821" s="10"/>
      <c r="X2821" s="10"/>
      <c r="Y2821" s="10"/>
      <c r="Z2821" s="10"/>
      <c r="AA2821" s="11" t="str">
        <f t="shared" si="89"/>
        <v/>
      </c>
    </row>
    <row r="2822" spans="16:27" ht="15" customHeight="1">
      <c r="P2822" t="str">
        <f t="shared" si="88"/>
        <v/>
      </c>
      <c r="Q2822" t="str">
        <f>IF(P2822="","",IFERROR(IF(AND(H2822="W7",OR(F2822="causal",F2822="predictive")),IF(AND(OR(K2822=1,K2822="1"),OR(L2822=1,L2822="1"),OR(M2822=1,M2822="1")),"adequate","partial"),IF(AND(H2822="W4",F2822="predictive",OR(J2822="P2",J2822="P3",J2822="P4")),IF(OR(U2822=1,U2822="1"),"adequate","partial"),INDEX(Fit_Matrix!$B:$B,MATCH(P2822,Fit_Matrix!$A:$A,0)))),"CHECK KEY"))</f>
        <v/>
      </c>
      <c r="U2822" s="10"/>
      <c r="V2822" s="10"/>
      <c r="W2822" s="10"/>
      <c r="X2822" s="10"/>
      <c r="Y2822" s="10"/>
      <c r="Z2822" s="10"/>
      <c r="AA2822" s="11" t="str">
        <f t="shared" si="89"/>
        <v/>
      </c>
    </row>
    <row r="2823" spans="16:27" ht="15" customHeight="1">
      <c r="P2823" t="str">
        <f t="shared" si="88"/>
        <v/>
      </c>
      <c r="Q2823" t="str">
        <f>IF(P2823="","",IFERROR(IF(AND(H2823="W7",OR(F2823="causal",F2823="predictive")),IF(AND(OR(K2823=1,K2823="1"),OR(L2823=1,L2823="1"),OR(M2823=1,M2823="1")),"adequate","partial"),IF(AND(H2823="W4",F2823="predictive",OR(J2823="P2",J2823="P3",J2823="P4")),IF(OR(U2823=1,U2823="1"),"adequate","partial"),INDEX(Fit_Matrix!$B:$B,MATCH(P2823,Fit_Matrix!$A:$A,0)))),"CHECK KEY"))</f>
        <v/>
      </c>
      <c r="U2823" s="10"/>
      <c r="V2823" s="10"/>
      <c r="W2823" s="10"/>
      <c r="X2823" s="10"/>
      <c r="Y2823" s="10"/>
      <c r="Z2823" s="10"/>
      <c r="AA2823" s="11" t="str">
        <f t="shared" si="89"/>
        <v/>
      </c>
    </row>
    <row r="2824" spans="16:27" ht="15" customHeight="1">
      <c r="P2824" t="str">
        <f t="shared" si="88"/>
        <v/>
      </c>
      <c r="Q2824" t="str">
        <f>IF(P2824="","",IFERROR(IF(AND(H2824="W7",OR(F2824="causal",F2824="predictive")),IF(AND(OR(K2824=1,K2824="1"),OR(L2824=1,L2824="1"),OR(M2824=1,M2824="1")),"adequate","partial"),IF(AND(H2824="W4",F2824="predictive",OR(J2824="P2",J2824="P3",J2824="P4")),IF(OR(U2824=1,U2824="1"),"adequate","partial"),INDEX(Fit_Matrix!$B:$B,MATCH(P2824,Fit_Matrix!$A:$A,0)))),"CHECK KEY"))</f>
        <v/>
      </c>
      <c r="U2824" s="10"/>
      <c r="V2824" s="10"/>
      <c r="W2824" s="10"/>
      <c r="X2824" s="10"/>
      <c r="Y2824" s="10"/>
      <c r="Z2824" s="10"/>
      <c r="AA2824" s="11" t="str">
        <f t="shared" si="89"/>
        <v/>
      </c>
    </row>
    <row r="2825" spans="16:27" ht="15" customHeight="1">
      <c r="P2825" t="str">
        <f t="shared" si="88"/>
        <v/>
      </c>
      <c r="Q2825" t="str">
        <f>IF(P2825="","",IFERROR(IF(AND(H2825="W7",OR(F2825="causal",F2825="predictive")),IF(AND(OR(K2825=1,K2825="1"),OR(L2825=1,L2825="1"),OR(M2825=1,M2825="1")),"adequate","partial"),IF(AND(H2825="W4",F2825="predictive",OR(J2825="P2",J2825="P3",J2825="P4")),IF(OR(U2825=1,U2825="1"),"adequate","partial"),INDEX(Fit_Matrix!$B:$B,MATCH(P2825,Fit_Matrix!$A:$A,0)))),"CHECK KEY"))</f>
        <v/>
      </c>
      <c r="U2825" s="10"/>
      <c r="V2825" s="10"/>
      <c r="W2825" s="10"/>
      <c r="X2825" s="10"/>
      <c r="Y2825" s="10"/>
      <c r="Z2825" s="10"/>
      <c r="AA2825" s="11" t="str">
        <f t="shared" si="89"/>
        <v/>
      </c>
    </row>
    <row r="2826" spans="16:27" ht="15" customHeight="1">
      <c r="P2826" t="str">
        <f t="shared" si="88"/>
        <v/>
      </c>
      <c r="Q2826" t="str">
        <f>IF(P2826="","",IFERROR(IF(AND(H2826="W7",OR(F2826="causal",F2826="predictive")),IF(AND(OR(K2826=1,K2826="1"),OR(L2826=1,L2826="1"),OR(M2826=1,M2826="1")),"adequate","partial"),IF(AND(H2826="W4",F2826="predictive",OR(J2826="P2",J2826="P3",J2826="P4")),IF(OR(U2826=1,U2826="1"),"adequate","partial"),INDEX(Fit_Matrix!$B:$B,MATCH(P2826,Fit_Matrix!$A:$A,0)))),"CHECK KEY"))</f>
        <v/>
      </c>
      <c r="U2826" s="10"/>
      <c r="V2826" s="10"/>
      <c r="W2826" s="10"/>
      <c r="X2826" s="10"/>
      <c r="Y2826" s="10"/>
      <c r="Z2826" s="10"/>
      <c r="AA2826" s="11" t="str">
        <f t="shared" si="89"/>
        <v/>
      </c>
    </row>
    <row r="2827" spans="16:27" ht="15" customHeight="1">
      <c r="P2827" t="str">
        <f t="shared" si="88"/>
        <v/>
      </c>
      <c r="Q2827" t="str">
        <f>IF(P2827="","",IFERROR(IF(AND(H2827="W7",OR(F2827="causal",F2827="predictive")),IF(AND(OR(K2827=1,K2827="1"),OR(L2827=1,L2827="1"),OR(M2827=1,M2827="1")),"adequate","partial"),IF(AND(H2827="W4",F2827="predictive",OR(J2827="P2",J2827="P3",J2827="P4")),IF(OR(U2827=1,U2827="1"),"adequate","partial"),INDEX(Fit_Matrix!$B:$B,MATCH(P2827,Fit_Matrix!$A:$A,0)))),"CHECK KEY"))</f>
        <v/>
      </c>
      <c r="U2827" s="10"/>
      <c r="V2827" s="10"/>
      <c r="W2827" s="10"/>
      <c r="X2827" s="10"/>
      <c r="Y2827" s="10"/>
      <c r="Z2827" s="10"/>
      <c r="AA2827" s="11" t="str">
        <f t="shared" si="89"/>
        <v/>
      </c>
    </row>
    <row r="2828" spans="16:27" ht="15" customHeight="1">
      <c r="P2828" t="str">
        <f t="shared" si="88"/>
        <v/>
      </c>
      <c r="Q2828" t="str">
        <f>IF(P2828="","",IFERROR(IF(AND(H2828="W7",OR(F2828="causal",F2828="predictive")),IF(AND(OR(K2828=1,K2828="1"),OR(L2828=1,L2828="1"),OR(M2828=1,M2828="1")),"adequate","partial"),IF(AND(H2828="W4",F2828="predictive",OR(J2828="P2",J2828="P3",J2828="P4")),IF(OR(U2828=1,U2828="1"),"adequate","partial"),INDEX(Fit_Matrix!$B:$B,MATCH(P2828,Fit_Matrix!$A:$A,0)))),"CHECK KEY"))</f>
        <v/>
      </c>
      <c r="U2828" s="10"/>
      <c r="V2828" s="10"/>
      <c r="W2828" s="10"/>
      <c r="X2828" s="10"/>
      <c r="Y2828" s="10"/>
      <c r="Z2828" s="10"/>
      <c r="AA2828" s="11" t="str">
        <f t="shared" si="89"/>
        <v/>
      </c>
    </row>
    <row r="2829" spans="16:27" ht="15" customHeight="1">
      <c r="P2829" t="str">
        <f t="shared" si="88"/>
        <v/>
      </c>
      <c r="Q2829" t="str">
        <f>IF(P2829="","",IFERROR(IF(AND(H2829="W7",OR(F2829="causal",F2829="predictive")),IF(AND(OR(K2829=1,K2829="1"),OR(L2829=1,L2829="1"),OR(M2829=1,M2829="1")),"adequate","partial"),IF(AND(H2829="W4",F2829="predictive",OR(J2829="P2",J2829="P3",J2829="P4")),IF(OR(U2829=1,U2829="1"),"adequate","partial"),INDEX(Fit_Matrix!$B:$B,MATCH(P2829,Fit_Matrix!$A:$A,0)))),"CHECK KEY"))</f>
        <v/>
      </c>
      <c r="U2829" s="10"/>
      <c r="V2829" s="10"/>
      <c r="W2829" s="10"/>
      <c r="X2829" s="10"/>
      <c r="Y2829" s="10"/>
      <c r="Z2829" s="10"/>
      <c r="AA2829" s="11" t="str">
        <f t="shared" si="89"/>
        <v/>
      </c>
    </row>
    <row r="2830" spans="16:27" ht="15" customHeight="1">
      <c r="P2830" t="str">
        <f t="shared" si="88"/>
        <v/>
      </c>
      <c r="Q2830" t="str">
        <f>IF(P2830="","",IFERROR(IF(AND(H2830="W7",OR(F2830="causal",F2830="predictive")),IF(AND(OR(K2830=1,K2830="1"),OR(L2830=1,L2830="1"),OR(M2830=1,M2830="1")),"adequate","partial"),IF(AND(H2830="W4",F2830="predictive",OR(J2830="P2",J2830="P3",J2830="P4")),IF(OR(U2830=1,U2830="1"),"adequate","partial"),INDEX(Fit_Matrix!$B:$B,MATCH(P2830,Fit_Matrix!$A:$A,0)))),"CHECK KEY"))</f>
        <v/>
      </c>
      <c r="U2830" s="10"/>
      <c r="V2830" s="10"/>
      <c r="W2830" s="10"/>
      <c r="X2830" s="10"/>
      <c r="Y2830" s="10"/>
      <c r="Z2830" s="10"/>
      <c r="AA2830" s="11" t="str">
        <f t="shared" si="89"/>
        <v/>
      </c>
    </row>
    <row r="2831" spans="16:27" ht="15" customHeight="1">
      <c r="P2831" t="str">
        <f t="shared" si="88"/>
        <v/>
      </c>
      <c r="Q2831" t="str">
        <f>IF(P2831="","",IFERROR(IF(AND(H2831="W7",OR(F2831="causal",F2831="predictive")),IF(AND(OR(K2831=1,K2831="1"),OR(L2831=1,L2831="1"),OR(M2831=1,M2831="1")),"adequate","partial"),IF(AND(H2831="W4",F2831="predictive",OR(J2831="P2",J2831="P3",J2831="P4")),IF(OR(U2831=1,U2831="1"),"adequate","partial"),INDEX(Fit_Matrix!$B:$B,MATCH(P2831,Fit_Matrix!$A:$A,0)))),"CHECK KEY"))</f>
        <v/>
      </c>
      <c r="U2831" s="10"/>
      <c r="V2831" s="10"/>
      <c r="W2831" s="10"/>
      <c r="X2831" s="10"/>
      <c r="Y2831" s="10"/>
      <c r="Z2831" s="10"/>
      <c r="AA2831" s="11" t="str">
        <f t="shared" si="89"/>
        <v/>
      </c>
    </row>
    <row r="2832" spans="16:27" ht="15" customHeight="1">
      <c r="P2832" t="str">
        <f t="shared" si="88"/>
        <v/>
      </c>
      <c r="Q2832" t="str">
        <f>IF(P2832="","",IFERROR(IF(AND(H2832="W7",OR(F2832="causal",F2832="predictive")),IF(AND(OR(K2832=1,K2832="1"),OR(L2832=1,L2832="1"),OR(M2832=1,M2832="1")),"adequate","partial"),IF(AND(H2832="W4",F2832="predictive",OR(J2832="P2",J2832="P3",J2832="P4")),IF(OR(U2832=1,U2832="1"),"adequate","partial"),INDEX(Fit_Matrix!$B:$B,MATCH(P2832,Fit_Matrix!$A:$A,0)))),"CHECK KEY"))</f>
        <v/>
      </c>
      <c r="U2832" s="10"/>
      <c r="V2832" s="10"/>
      <c r="W2832" s="10"/>
      <c r="X2832" s="10"/>
      <c r="Y2832" s="10"/>
      <c r="Z2832" s="10"/>
      <c r="AA2832" s="11" t="str">
        <f t="shared" si="89"/>
        <v/>
      </c>
    </row>
    <row r="2833" spans="16:27" ht="15" customHeight="1">
      <c r="P2833" t="str">
        <f t="shared" si="88"/>
        <v/>
      </c>
      <c r="Q2833" t="str">
        <f>IF(P2833="","",IFERROR(IF(AND(H2833="W7",OR(F2833="causal",F2833="predictive")),IF(AND(OR(K2833=1,K2833="1"),OR(L2833=1,L2833="1"),OR(M2833=1,M2833="1")),"adequate","partial"),IF(AND(H2833="W4",F2833="predictive",OR(J2833="P2",J2833="P3",J2833="P4")),IF(OR(U2833=1,U2833="1"),"adequate","partial"),INDEX(Fit_Matrix!$B:$B,MATCH(P2833,Fit_Matrix!$A:$A,0)))),"CHECK KEY"))</f>
        <v/>
      </c>
      <c r="U2833" s="10"/>
      <c r="V2833" s="10"/>
      <c r="W2833" s="10"/>
      <c r="X2833" s="10"/>
      <c r="Y2833" s="10"/>
      <c r="Z2833" s="10"/>
      <c r="AA2833" s="11" t="str">
        <f t="shared" si="89"/>
        <v/>
      </c>
    </row>
    <row r="2834" spans="16:27" ht="15" customHeight="1">
      <c r="P2834" t="str">
        <f t="shared" si="88"/>
        <v/>
      </c>
      <c r="Q2834" t="str">
        <f>IF(P2834="","",IFERROR(IF(AND(H2834="W7",OR(F2834="causal",F2834="predictive")),IF(AND(OR(K2834=1,K2834="1"),OR(L2834=1,L2834="1"),OR(M2834=1,M2834="1")),"adequate","partial"),IF(AND(H2834="W4",F2834="predictive",OR(J2834="P2",J2834="P3",J2834="P4")),IF(OR(U2834=1,U2834="1"),"adequate","partial"),INDEX(Fit_Matrix!$B:$B,MATCH(P2834,Fit_Matrix!$A:$A,0)))),"CHECK KEY"))</f>
        <v/>
      </c>
      <c r="U2834" s="10"/>
      <c r="V2834" s="10"/>
      <c r="W2834" s="10"/>
      <c r="X2834" s="10"/>
      <c r="Y2834" s="10"/>
      <c r="Z2834" s="10"/>
      <c r="AA2834" s="11" t="str">
        <f t="shared" si="89"/>
        <v/>
      </c>
    </row>
    <row r="2835" spans="16:27" ht="15" customHeight="1">
      <c r="P2835" t="str">
        <f t="shared" si="88"/>
        <v/>
      </c>
      <c r="Q2835" t="str">
        <f>IF(P2835="","",IFERROR(IF(AND(H2835="W7",OR(F2835="causal",F2835="predictive")),IF(AND(OR(K2835=1,K2835="1"),OR(L2835=1,L2835="1"),OR(M2835=1,M2835="1")),"adequate","partial"),IF(AND(H2835="W4",F2835="predictive",OR(J2835="P2",J2835="P3",J2835="P4")),IF(OR(U2835=1,U2835="1"),"adequate","partial"),INDEX(Fit_Matrix!$B:$B,MATCH(P2835,Fit_Matrix!$A:$A,0)))),"CHECK KEY"))</f>
        <v/>
      </c>
      <c r="U2835" s="10"/>
      <c r="V2835" s="10"/>
      <c r="W2835" s="10"/>
      <c r="X2835" s="10"/>
      <c r="Y2835" s="10"/>
      <c r="Z2835" s="10"/>
      <c r="AA2835" s="11" t="str">
        <f t="shared" si="89"/>
        <v/>
      </c>
    </row>
    <row r="2836" spans="16:27" ht="15" customHeight="1">
      <c r="P2836" t="str">
        <f t="shared" si="88"/>
        <v/>
      </c>
      <c r="Q2836" t="str">
        <f>IF(P2836="","",IFERROR(IF(AND(H2836="W7",OR(F2836="causal",F2836="predictive")),IF(AND(OR(K2836=1,K2836="1"),OR(L2836=1,L2836="1"),OR(M2836=1,M2836="1")),"adequate","partial"),IF(AND(H2836="W4",F2836="predictive",OR(J2836="P2",J2836="P3",J2836="P4")),IF(OR(U2836=1,U2836="1"),"adequate","partial"),INDEX(Fit_Matrix!$B:$B,MATCH(P2836,Fit_Matrix!$A:$A,0)))),"CHECK KEY"))</f>
        <v/>
      </c>
      <c r="U2836" s="10"/>
      <c r="V2836" s="10"/>
      <c r="W2836" s="10"/>
      <c r="X2836" s="10"/>
      <c r="Y2836" s="10"/>
      <c r="Z2836" s="10"/>
      <c r="AA2836" s="11" t="str">
        <f t="shared" si="89"/>
        <v/>
      </c>
    </row>
    <row r="2837" spans="16:27" ht="15" customHeight="1">
      <c r="P2837" t="str">
        <f t="shared" si="88"/>
        <v/>
      </c>
      <c r="Q2837" t="str">
        <f>IF(P2837="","",IFERROR(IF(AND(H2837="W7",OR(F2837="causal",F2837="predictive")),IF(AND(OR(K2837=1,K2837="1"),OR(L2837=1,L2837="1"),OR(M2837=1,M2837="1")),"adequate","partial"),IF(AND(H2837="W4",F2837="predictive",OR(J2837="P2",J2837="P3",J2837="P4")),IF(OR(U2837=1,U2837="1"),"adequate","partial"),INDEX(Fit_Matrix!$B:$B,MATCH(P2837,Fit_Matrix!$A:$A,0)))),"CHECK KEY"))</f>
        <v/>
      </c>
      <c r="U2837" s="10"/>
      <c r="V2837" s="10"/>
      <c r="W2837" s="10"/>
      <c r="X2837" s="10"/>
      <c r="Y2837" s="10"/>
      <c r="Z2837" s="10"/>
      <c r="AA2837" s="11" t="str">
        <f t="shared" si="89"/>
        <v/>
      </c>
    </row>
    <row r="2838" spans="16:27" ht="15" customHeight="1">
      <c r="P2838" t="str">
        <f t="shared" si="88"/>
        <v/>
      </c>
      <c r="Q2838" t="str">
        <f>IF(P2838="","",IFERROR(IF(AND(H2838="W7",OR(F2838="causal",F2838="predictive")),IF(AND(OR(K2838=1,K2838="1"),OR(L2838=1,L2838="1"),OR(M2838=1,M2838="1")),"adequate","partial"),IF(AND(H2838="W4",F2838="predictive",OR(J2838="P2",J2838="P3",J2838="P4")),IF(OR(U2838=1,U2838="1"),"adequate","partial"),INDEX(Fit_Matrix!$B:$B,MATCH(P2838,Fit_Matrix!$A:$A,0)))),"CHECK KEY"))</f>
        <v/>
      </c>
      <c r="U2838" s="10"/>
      <c r="V2838" s="10"/>
      <c r="W2838" s="10"/>
      <c r="X2838" s="10"/>
      <c r="Y2838" s="10"/>
      <c r="Z2838" s="10"/>
      <c r="AA2838" s="11" t="str">
        <f t="shared" si="89"/>
        <v/>
      </c>
    </row>
    <row r="2839" spans="16:27" ht="15" customHeight="1">
      <c r="P2839" t="str">
        <f t="shared" si="88"/>
        <v/>
      </c>
      <c r="Q2839" t="str">
        <f>IF(P2839="","",IFERROR(IF(AND(H2839="W7",OR(F2839="causal",F2839="predictive")),IF(AND(OR(K2839=1,K2839="1"),OR(L2839=1,L2839="1"),OR(M2839=1,M2839="1")),"adequate","partial"),IF(AND(H2839="W4",F2839="predictive",OR(J2839="P2",J2839="P3",J2839="P4")),IF(OR(U2839=1,U2839="1"),"adequate","partial"),INDEX(Fit_Matrix!$B:$B,MATCH(P2839,Fit_Matrix!$A:$A,0)))),"CHECK KEY"))</f>
        <v/>
      </c>
      <c r="U2839" s="10"/>
      <c r="V2839" s="10"/>
      <c r="W2839" s="10"/>
      <c r="X2839" s="10"/>
      <c r="Y2839" s="10"/>
      <c r="Z2839" s="10"/>
      <c r="AA2839" s="11" t="str">
        <f t="shared" si="89"/>
        <v/>
      </c>
    </row>
    <row r="2840" spans="16:27" ht="15" customHeight="1">
      <c r="P2840" t="str">
        <f t="shared" si="88"/>
        <v/>
      </c>
      <c r="Q2840" t="str">
        <f>IF(P2840="","",IFERROR(IF(AND(H2840="W7",OR(F2840="causal",F2840="predictive")),IF(AND(OR(K2840=1,K2840="1"),OR(L2840=1,L2840="1"),OR(M2840=1,M2840="1")),"adequate","partial"),IF(AND(H2840="W4",F2840="predictive",OR(J2840="P2",J2840="P3",J2840="P4")),IF(OR(U2840=1,U2840="1"),"adequate","partial"),INDEX(Fit_Matrix!$B:$B,MATCH(P2840,Fit_Matrix!$A:$A,0)))),"CHECK KEY"))</f>
        <v/>
      </c>
      <c r="U2840" s="10"/>
      <c r="V2840" s="10"/>
      <c r="W2840" s="10"/>
      <c r="X2840" s="10"/>
      <c r="Y2840" s="10"/>
      <c r="Z2840" s="10"/>
      <c r="AA2840" s="11" t="str">
        <f t="shared" si="89"/>
        <v/>
      </c>
    </row>
    <row r="2841" spans="16:27" ht="15" customHeight="1">
      <c r="P2841" t="str">
        <f t="shared" si="88"/>
        <v/>
      </c>
      <c r="Q2841" t="str">
        <f>IF(P2841="","",IFERROR(IF(AND(H2841="W7",OR(F2841="causal",F2841="predictive")),IF(AND(OR(K2841=1,K2841="1"),OR(L2841=1,L2841="1"),OR(M2841=1,M2841="1")),"adequate","partial"),IF(AND(H2841="W4",F2841="predictive",OR(J2841="P2",J2841="P3",J2841="P4")),IF(OR(U2841=1,U2841="1"),"adequate","partial"),INDEX(Fit_Matrix!$B:$B,MATCH(P2841,Fit_Matrix!$A:$A,0)))),"CHECK KEY"))</f>
        <v/>
      </c>
      <c r="U2841" s="10"/>
      <c r="V2841" s="10"/>
      <c r="W2841" s="10"/>
      <c r="X2841" s="10"/>
      <c r="Y2841" s="10"/>
      <c r="Z2841" s="10"/>
      <c r="AA2841" s="11" t="str">
        <f t="shared" si="89"/>
        <v/>
      </c>
    </row>
    <row r="2842" spans="16:27" ht="15" customHeight="1">
      <c r="P2842" t="str">
        <f t="shared" si="88"/>
        <v/>
      </c>
      <c r="Q2842" t="str">
        <f>IF(P2842="","",IFERROR(IF(AND(H2842="W7",OR(F2842="causal",F2842="predictive")),IF(AND(OR(K2842=1,K2842="1"),OR(L2842=1,L2842="1"),OR(M2842=1,M2842="1")),"adequate","partial"),IF(AND(H2842="W4",F2842="predictive",OR(J2842="P2",J2842="P3",J2842="P4")),IF(OR(U2842=1,U2842="1"),"adequate","partial"),INDEX(Fit_Matrix!$B:$B,MATCH(P2842,Fit_Matrix!$A:$A,0)))),"CHECK KEY"))</f>
        <v/>
      </c>
      <c r="U2842" s="10"/>
      <c r="V2842" s="10"/>
      <c r="W2842" s="10"/>
      <c r="X2842" s="10"/>
      <c r="Y2842" s="10"/>
      <c r="Z2842" s="10"/>
      <c r="AA2842" s="11" t="str">
        <f t="shared" si="89"/>
        <v/>
      </c>
    </row>
    <row r="2843" spans="16:27" ht="15" customHeight="1">
      <c r="P2843" t="str">
        <f t="shared" si="88"/>
        <v/>
      </c>
      <c r="Q2843" t="str">
        <f>IF(P2843="","",IFERROR(IF(AND(H2843="W7",OR(F2843="causal",F2843="predictive")),IF(AND(OR(K2843=1,K2843="1"),OR(L2843=1,L2843="1"),OR(M2843=1,M2843="1")),"adequate","partial"),IF(AND(H2843="W4",F2843="predictive",OR(J2843="P2",J2843="P3",J2843="P4")),IF(OR(U2843=1,U2843="1"),"adequate","partial"),INDEX(Fit_Matrix!$B:$B,MATCH(P2843,Fit_Matrix!$A:$A,0)))),"CHECK KEY"))</f>
        <v/>
      </c>
      <c r="U2843" s="10"/>
      <c r="V2843" s="10"/>
      <c r="W2843" s="10"/>
      <c r="X2843" s="10"/>
      <c r="Y2843" s="10"/>
      <c r="Z2843" s="10"/>
      <c r="AA2843" s="11" t="str">
        <f t="shared" si="89"/>
        <v/>
      </c>
    </row>
    <row r="2844" spans="16:27" ht="15" customHeight="1">
      <c r="P2844" t="str">
        <f t="shared" si="88"/>
        <v/>
      </c>
      <c r="Q2844" t="str">
        <f>IF(P2844="","",IFERROR(IF(AND(H2844="W7",OR(F2844="causal",F2844="predictive")),IF(AND(OR(K2844=1,K2844="1"),OR(L2844=1,L2844="1"),OR(M2844=1,M2844="1")),"adequate","partial"),IF(AND(H2844="W4",F2844="predictive",OR(J2844="P2",J2844="P3",J2844="P4")),IF(OR(U2844=1,U2844="1"),"adequate","partial"),INDEX(Fit_Matrix!$B:$B,MATCH(P2844,Fit_Matrix!$A:$A,0)))),"CHECK KEY"))</f>
        <v/>
      </c>
      <c r="U2844" s="10"/>
      <c r="V2844" s="10"/>
      <c r="W2844" s="10"/>
      <c r="X2844" s="10"/>
      <c r="Y2844" s="10"/>
      <c r="Z2844" s="10"/>
      <c r="AA2844" s="11" t="str">
        <f t="shared" si="89"/>
        <v/>
      </c>
    </row>
    <row r="2845" spans="16:27" ht="15" customHeight="1">
      <c r="P2845" t="str">
        <f t="shared" si="88"/>
        <v/>
      </c>
      <c r="Q2845" t="str">
        <f>IF(P2845="","",IFERROR(IF(AND(H2845="W7",OR(F2845="causal",F2845="predictive")),IF(AND(OR(K2845=1,K2845="1"),OR(L2845=1,L2845="1"),OR(M2845=1,M2845="1")),"adequate","partial"),IF(AND(H2845="W4",F2845="predictive",OR(J2845="P2",J2845="P3",J2845="P4")),IF(OR(U2845=1,U2845="1"),"adequate","partial"),INDEX(Fit_Matrix!$B:$B,MATCH(P2845,Fit_Matrix!$A:$A,0)))),"CHECK KEY"))</f>
        <v/>
      </c>
      <c r="U2845" s="10"/>
      <c r="V2845" s="10"/>
      <c r="W2845" s="10"/>
      <c r="X2845" s="10"/>
      <c r="Y2845" s="10"/>
      <c r="Z2845" s="10"/>
      <c r="AA2845" s="11" t="str">
        <f t="shared" si="89"/>
        <v/>
      </c>
    </row>
    <row r="2846" spans="16:27" ht="15" customHeight="1">
      <c r="P2846" t="str">
        <f t="shared" si="88"/>
        <v/>
      </c>
      <c r="Q2846" t="str">
        <f>IF(P2846="","",IFERROR(IF(AND(H2846="W7",OR(F2846="causal",F2846="predictive")),IF(AND(OR(K2846=1,K2846="1"),OR(L2846=1,L2846="1"),OR(M2846=1,M2846="1")),"adequate","partial"),IF(AND(H2846="W4",F2846="predictive",OR(J2846="P2",J2846="P3",J2846="P4")),IF(OR(U2846=1,U2846="1"),"adequate","partial"),INDEX(Fit_Matrix!$B:$B,MATCH(P2846,Fit_Matrix!$A:$A,0)))),"CHECK KEY"))</f>
        <v/>
      </c>
      <c r="U2846" s="10"/>
      <c r="V2846" s="10"/>
      <c r="W2846" s="10"/>
      <c r="X2846" s="10"/>
      <c r="Y2846" s="10"/>
      <c r="Z2846" s="10"/>
      <c r="AA2846" s="11" t="str">
        <f t="shared" si="89"/>
        <v/>
      </c>
    </row>
    <row r="2847" spans="16:27" ht="15" customHeight="1">
      <c r="P2847" t="str">
        <f t="shared" si="88"/>
        <v/>
      </c>
      <c r="Q2847" t="str">
        <f>IF(P2847="","",IFERROR(IF(AND(H2847="W7",OR(F2847="causal",F2847="predictive")),IF(AND(OR(K2847=1,K2847="1"),OR(L2847=1,L2847="1"),OR(M2847=1,M2847="1")),"adequate","partial"),IF(AND(H2847="W4",F2847="predictive",OR(J2847="P2",J2847="P3",J2847="P4")),IF(OR(U2847=1,U2847="1"),"adequate","partial"),INDEX(Fit_Matrix!$B:$B,MATCH(P2847,Fit_Matrix!$A:$A,0)))),"CHECK KEY"))</f>
        <v/>
      </c>
      <c r="U2847" s="10"/>
      <c r="V2847" s="10"/>
      <c r="W2847" s="10"/>
      <c r="X2847" s="10"/>
      <c r="Y2847" s="10"/>
      <c r="Z2847" s="10"/>
      <c r="AA2847" s="11" t="str">
        <f t="shared" si="89"/>
        <v/>
      </c>
    </row>
    <row r="2848" spans="16:27" ht="15" customHeight="1">
      <c r="P2848" t="str">
        <f t="shared" si="88"/>
        <v/>
      </c>
      <c r="Q2848" t="str">
        <f>IF(P2848="","",IFERROR(IF(AND(H2848="W7",OR(F2848="causal",F2848="predictive")),IF(AND(OR(K2848=1,K2848="1"),OR(L2848=1,L2848="1"),OR(M2848=1,M2848="1")),"adequate","partial"),IF(AND(H2848="W4",F2848="predictive",OR(J2848="P2",J2848="P3",J2848="P4")),IF(OR(U2848=1,U2848="1"),"adequate","partial"),INDEX(Fit_Matrix!$B:$B,MATCH(P2848,Fit_Matrix!$A:$A,0)))),"CHECK KEY"))</f>
        <v/>
      </c>
      <c r="U2848" s="10"/>
      <c r="V2848" s="10"/>
      <c r="W2848" s="10"/>
      <c r="X2848" s="10"/>
      <c r="Y2848" s="10"/>
      <c r="Z2848" s="10"/>
      <c r="AA2848" s="11" t="str">
        <f t="shared" si="89"/>
        <v/>
      </c>
    </row>
    <row r="2849" spans="16:27" ht="15" customHeight="1">
      <c r="P2849" t="str">
        <f t="shared" si="88"/>
        <v/>
      </c>
      <c r="Q2849" t="str">
        <f>IF(P2849="","",IFERROR(IF(AND(H2849="W7",OR(F2849="causal",F2849="predictive")),IF(AND(OR(K2849=1,K2849="1"),OR(L2849=1,L2849="1"),OR(M2849=1,M2849="1")),"adequate","partial"),IF(AND(H2849="W4",F2849="predictive",OR(J2849="P2",J2849="P3",J2849="P4")),IF(OR(U2849=1,U2849="1"),"adequate","partial"),INDEX(Fit_Matrix!$B:$B,MATCH(P2849,Fit_Matrix!$A:$A,0)))),"CHECK KEY"))</f>
        <v/>
      </c>
      <c r="U2849" s="10"/>
      <c r="V2849" s="10"/>
      <c r="W2849" s="10"/>
      <c r="X2849" s="10"/>
      <c r="Y2849" s="10"/>
      <c r="Z2849" s="10"/>
      <c r="AA2849" s="11" t="str">
        <f t="shared" si="89"/>
        <v/>
      </c>
    </row>
    <row r="2850" spans="16:27" ht="15" customHeight="1">
      <c r="P2850" t="str">
        <f t="shared" si="88"/>
        <v/>
      </c>
      <c r="Q2850" t="str">
        <f>IF(P2850="","",IFERROR(IF(AND(H2850="W7",OR(F2850="causal",F2850="predictive")),IF(AND(OR(K2850=1,K2850="1"),OR(L2850=1,L2850="1"),OR(M2850=1,M2850="1")),"adequate","partial"),IF(AND(H2850="W4",F2850="predictive",OR(J2850="P2",J2850="P3",J2850="P4")),IF(OR(U2850=1,U2850="1"),"adequate","partial"),INDEX(Fit_Matrix!$B:$B,MATCH(P2850,Fit_Matrix!$A:$A,0)))),"CHECK KEY"))</f>
        <v/>
      </c>
      <c r="U2850" s="10"/>
      <c r="V2850" s="10"/>
      <c r="W2850" s="10"/>
      <c r="X2850" s="10"/>
      <c r="Y2850" s="10"/>
      <c r="Z2850" s="10"/>
      <c r="AA2850" s="11" t="str">
        <f t="shared" si="89"/>
        <v/>
      </c>
    </row>
    <row r="2851" spans="16:27" ht="15" customHeight="1">
      <c r="P2851" t="str">
        <f t="shared" si="88"/>
        <v/>
      </c>
      <c r="Q2851" t="str">
        <f>IF(P2851="","",IFERROR(IF(AND(H2851="W7",OR(F2851="causal",F2851="predictive")),IF(AND(OR(K2851=1,K2851="1"),OR(L2851=1,L2851="1"),OR(M2851=1,M2851="1")),"adequate","partial"),IF(AND(H2851="W4",F2851="predictive",OR(J2851="P2",J2851="P3",J2851="P4")),IF(OR(U2851=1,U2851="1"),"adequate","partial"),INDEX(Fit_Matrix!$B:$B,MATCH(P2851,Fit_Matrix!$A:$A,0)))),"CHECK KEY"))</f>
        <v/>
      </c>
      <c r="U2851" s="10"/>
      <c r="V2851" s="10"/>
      <c r="W2851" s="10"/>
      <c r="X2851" s="10"/>
      <c r="Y2851" s="10"/>
      <c r="Z2851" s="10"/>
      <c r="AA2851" s="11" t="str">
        <f t="shared" si="89"/>
        <v/>
      </c>
    </row>
    <row r="2852" spans="16:27" ht="15" customHeight="1">
      <c r="P2852" t="str">
        <f t="shared" si="88"/>
        <v/>
      </c>
      <c r="Q2852" t="str">
        <f>IF(P2852="","",IFERROR(IF(AND(H2852="W7",OR(F2852="causal",F2852="predictive")),IF(AND(OR(K2852=1,K2852="1"),OR(L2852=1,L2852="1"),OR(M2852=1,M2852="1")),"adequate","partial"),IF(AND(H2852="W4",F2852="predictive",OR(J2852="P2",J2852="P3",J2852="P4")),IF(OR(U2852=1,U2852="1"),"adequate","partial"),INDEX(Fit_Matrix!$B:$B,MATCH(P2852,Fit_Matrix!$A:$A,0)))),"CHECK KEY"))</f>
        <v/>
      </c>
      <c r="U2852" s="10"/>
      <c r="V2852" s="10"/>
      <c r="W2852" s="10"/>
      <c r="X2852" s="10"/>
      <c r="Y2852" s="10"/>
      <c r="Z2852" s="10"/>
      <c r="AA2852" s="11" t="str">
        <f t="shared" si="89"/>
        <v/>
      </c>
    </row>
    <row r="2853" spans="16:27" ht="15" customHeight="1">
      <c r="P2853" t="str">
        <f t="shared" si="88"/>
        <v/>
      </c>
      <c r="Q2853" t="str">
        <f>IF(P2853="","",IFERROR(IF(AND(H2853="W7",OR(F2853="causal",F2853="predictive")),IF(AND(OR(K2853=1,K2853="1"),OR(L2853=1,L2853="1"),OR(M2853=1,M2853="1")),"adequate","partial"),IF(AND(H2853="W4",F2853="predictive",OR(J2853="P2",J2853="P3",J2853="P4")),IF(OR(U2853=1,U2853="1"),"adequate","partial"),INDEX(Fit_Matrix!$B:$B,MATCH(P2853,Fit_Matrix!$A:$A,0)))),"CHECK KEY"))</f>
        <v/>
      </c>
      <c r="U2853" s="10"/>
      <c r="V2853" s="10"/>
      <c r="W2853" s="10"/>
      <c r="X2853" s="10"/>
      <c r="Y2853" s="10"/>
      <c r="Z2853" s="10"/>
      <c r="AA2853" s="11" t="str">
        <f t="shared" si="89"/>
        <v/>
      </c>
    </row>
    <row r="2854" spans="16:27" ht="15" customHeight="1">
      <c r="P2854" t="str">
        <f t="shared" si="88"/>
        <v/>
      </c>
      <c r="Q2854" t="str">
        <f>IF(P2854="","",IFERROR(IF(AND(H2854="W7",OR(F2854="causal",F2854="predictive")),IF(AND(OR(K2854=1,K2854="1"),OR(L2854=1,L2854="1"),OR(M2854=1,M2854="1")),"adequate","partial"),IF(AND(H2854="W4",F2854="predictive",OR(J2854="P2",J2854="P3",J2854="P4")),IF(OR(U2854=1,U2854="1"),"adequate","partial"),INDEX(Fit_Matrix!$B:$B,MATCH(P2854,Fit_Matrix!$A:$A,0)))),"CHECK KEY"))</f>
        <v/>
      </c>
      <c r="U2854" s="10"/>
      <c r="V2854" s="10"/>
      <c r="W2854" s="10"/>
      <c r="X2854" s="10"/>
      <c r="Y2854" s="10"/>
      <c r="Z2854" s="10"/>
      <c r="AA2854" s="11" t="str">
        <f t="shared" si="89"/>
        <v/>
      </c>
    </row>
    <row r="2855" spans="16:27" ht="15" customHeight="1">
      <c r="P2855" t="str">
        <f t="shared" si="88"/>
        <v/>
      </c>
      <c r="Q2855" t="str">
        <f>IF(P2855="","",IFERROR(IF(AND(H2855="W7",OR(F2855="causal",F2855="predictive")),IF(AND(OR(K2855=1,K2855="1"),OR(L2855=1,L2855="1"),OR(M2855=1,M2855="1")),"adequate","partial"),IF(AND(H2855="W4",F2855="predictive",OR(J2855="P2",J2855="P3",J2855="P4")),IF(OR(U2855=1,U2855="1"),"adequate","partial"),INDEX(Fit_Matrix!$B:$B,MATCH(P2855,Fit_Matrix!$A:$A,0)))),"CHECK KEY"))</f>
        <v/>
      </c>
      <c r="U2855" s="10"/>
      <c r="V2855" s="10"/>
      <c r="W2855" s="10"/>
      <c r="X2855" s="10"/>
      <c r="Y2855" s="10"/>
      <c r="Z2855" s="10"/>
      <c r="AA2855" s="11" t="str">
        <f t="shared" si="89"/>
        <v/>
      </c>
    </row>
    <row r="2856" spans="16:27" ht="15" customHeight="1">
      <c r="P2856" t="str">
        <f t="shared" si="88"/>
        <v/>
      </c>
      <c r="Q2856" t="str">
        <f>IF(P2856="","",IFERROR(IF(AND(H2856="W7",OR(F2856="causal",F2856="predictive")),IF(AND(OR(K2856=1,K2856="1"),OR(L2856=1,L2856="1"),OR(M2856=1,M2856="1")),"adequate","partial"),IF(AND(H2856="W4",F2856="predictive",OR(J2856="P2",J2856="P3",J2856="P4")),IF(OR(U2856=1,U2856="1"),"adequate","partial"),INDEX(Fit_Matrix!$B:$B,MATCH(P2856,Fit_Matrix!$A:$A,0)))),"CHECK KEY"))</f>
        <v/>
      </c>
      <c r="U2856" s="10"/>
      <c r="V2856" s="10"/>
      <c r="W2856" s="10"/>
      <c r="X2856" s="10"/>
      <c r="Y2856" s="10"/>
      <c r="Z2856" s="10"/>
      <c r="AA2856" s="11" t="str">
        <f t="shared" si="89"/>
        <v/>
      </c>
    </row>
    <row r="2857" spans="16:27" ht="15" customHeight="1">
      <c r="P2857" t="str">
        <f t="shared" si="88"/>
        <v/>
      </c>
      <c r="Q2857" t="str">
        <f>IF(P2857="","",IFERROR(IF(AND(H2857="W7",OR(F2857="causal",F2857="predictive")),IF(AND(OR(K2857=1,K2857="1"),OR(L2857=1,L2857="1"),OR(M2857=1,M2857="1")),"adequate","partial"),IF(AND(H2857="W4",F2857="predictive",OR(J2857="P2",J2857="P3",J2857="P4")),IF(OR(U2857=1,U2857="1"),"adequate","partial"),INDEX(Fit_Matrix!$B:$B,MATCH(P2857,Fit_Matrix!$A:$A,0)))),"CHECK KEY"))</f>
        <v/>
      </c>
      <c r="U2857" s="10"/>
      <c r="V2857" s="10"/>
      <c r="W2857" s="10"/>
      <c r="X2857" s="10"/>
      <c r="Y2857" s="10"/>
      <c r="Z2857" s="10"/>
      <c r="AA2857" s="11" t="str">
        <f t="shared" si="89"/>
        <v/>
      </c>
    </row>
    <row r="2858" spans="16:27" ht="15" customHeight="1">
      <c r="P2858" t="str">
        <f t="shared" si="88"/>
        <v/>
      </c>
      <c r="Q2858" t="str">
        <f>IF(P2858="","",IFERROR(IF(AND(H2858="W7",OR(F2858="causal",F2858="predictive")),IF(AND(OR(K2858=1,K2858="1"),OR(L2858=1,L2858="1"),OR(M2858=1,M2858="1")),"adequate","partial"),IF(AND(H2858="W4",F2858="predictive",OR(J2858="P2",J2858="P3",J2858="P4")),IF(OR(U2858=1,U2858="1"),"adequate","partial"),INDEX(Fit_Matrix!$B:$B,MATCH(P2858,Fit_Matrix!$A:$A,0)))),"CHECK KEY"))</f>
        <v/>
      </c>
      <c r="U2858" s="10"/>
      <c r="V2858" s="10"/>
      <c r="W2858" s="10"/>
      <c r="X2858" s="10"/>
      <c r="Y2858" s="10"/>
      <c r="Z2858" s="10"/>
      <c r="AA2858" s="11" t="str">
        <f t="shared" si="89"/>
        <v/>
      </c>
    </row>
    <row r="2859" spans="16:27" ht="15" customHeight="1">
      <c r="P2859" t="str">
        <f t="shared" si="88"/>
        <v/>
      </c>
      <c r="Q2859" t="str">
        <f>IF(P2859="","",IFERROR(IF(AND(H2859="W7",OR(F2859="causal",F2859="predictive")),IF(AND(OR(K2859=1,K2859="1"),OR(L2859=1,L2859="1"),OR(M2859=1,M2859="1")),"adequate","partial"),IF(AND(H2859="W4",F2859="predictive",OR(J2859="P2",J2859="P3",J2859="P4")),IF(OR(U2859=1,U2859="1"),"adequate","partial"),INDEX(Fit_Matrix!$B:$B,MATCH(P2859,Fit_Matrix!$A:$A,0)))),"CHECK KEY"))</f>
        <v/>
      </c>
      <c r="U2859" s="10"/>
      <c r="V2859" s="10"/>
      <c r="W2859" s="10"/>
      <c r="X2859" s="10"/>
      <c r="Y2859" s="10"/>
      <c r="Z2859" s="10"/>
      <c r="AA2859" s="11" t="str">
        <f t="shared" si="89"/>
        <v/>
      </c>
    </row>
    <row r="2860" spans="16:27" ht="15" customHeight="1">
      <c r="P2860" t="str">
        <f t="shared" si="88"/>
        <v/>
      </c>
      <c r="Q2860" t="str">
        <f>IF(P2860="","",IFERROR(IF(AND(H2860="W7",OR(F2860="causal",F2860="predictive")),IF(AND(OR(K2860=1,K2860="1"),OR(L2860=1,L2860="1"),OR(M2860=1,M2860="1")),"adequate","partial"),IF(AND(H2860="W4",F2860="predictive",OR(J2860="P2",J2860="P3",J2860="P4")),IF(OR(U2860=1,U2860="1"),"adequate","partial"),INDEX(Fit_Matrix!$B:$B,MATCH(P2860,Fit_Matrix!$A:$A,0)))),"CHECK KEY"))</f>
        <v/>
      </c>
      <c r="U2860" s="10"/>
      <c r="V2860" s="10"/>
      <c r="W2860" s="10"/>
      <c r="X2860" s="10"/>
      <c r="Y2860" s="10"/>
      <c r="Z2860" s="10"/>
      <c r="AA2860" s="11" t="str">
        <f t="shared" si="89"/>
        <v/>
      </c>
    </row>
    <row r="2861" spans="16:27" ht="15" customHeight="1">
      <c r="P2861" t="str">
        <f t="shared" si="88"/>
        <v/>
      </c>
      <c r="Q2861" t="str">
        <f>IF(P2861="","",IFERROR(IF(AND(H2861="W7",OR(F2861="causal",F2861="predictive")),IF(AND(OR(K2861=1,K2861="1"),OR(L2861=1,L2861="1"),OR(M2861=1,M2861="1")),"adequate","partial"),IF(AND(H2861="W4",F2861="predictive",OR(J2861="P2",J2861="P3",J2861="P4")),IF(OR(U2861=1,U2861="1"),"adequate","partial"),INDEX(Fit_Matrix!$B:$B,MATCH(P2861,Fit_Matrix!$A:$A,0)))),"CHECK KEY"))</f>
        <v/>
      </c>
      <c r="U2861" s="10"/>
      <c r="V2861" s="10"/>
      <c r="W2861" s="10"/>
      <c r="X2861" s="10"/>
      <c r="Y2861" s="10"/>
      <c r="Z2861" s="10"/>
      <c r="AA2861" s="11" t="str">
        <f t="shared" si="89"/>
        <v/>
      </c>
    </row>
    <row r="2862" spans="16:27" ht="15" customHeight="1">
      <c r="P2862" t="str">
        <f t="shared" si="88"/>
        <v/>
      </c>
      <c r="Q2862" t="str">
        <f>IF(P2862="","",IFERROR(IF(AND(H2862="W7",OR(F2862="causal",F2862="predictive")),IF(AND(OR(K2862=1,K2862="1"),OR(L2862=1,L2862="1"),OR(M2862=1,M2862="1")),"adequate","partial"),IF(AND(H2862="W4",F2862="predictive",OR(J2862="P2",J2862="P3",J2862="P4")),IF(OR(U2862=1,U2862="1"),"adequate","partial"),INDEX(Fit_Matrix!$B:$B,MATCH(P2862,Fit_Matrix!$A:$A,0)))),"CHECK KEY"))</f>
        <v/>
      </c>
      <c r="U2862" s="10"/>
      <c r="V2862" s="10"/>
      <c r="W2862" s="10"/>
      <c r="X2862" s="10"/>
      <c r="Y2862" s="10"/>
      <c r="Z2862" s="10"/>
      <c r="AA2862" s="11" t="str">
        <f t="shared" si="89"/>
        <v/>
      </c>
    </row>
    <row r="2863" spans="16:27" ht="15" customHeight="1">
      <c r="P2863" t="str">
        <f t="shared" si="88"/>
        <v/>
      </c>
      <c r="Q2863" t="str">
        <f>IF(P2863="","",IFERROR(IF(AND(H2863="W7",OR(F2863="causal",F2863="predictive")),IF(AND(OR(K2863=1,K2863="1"),OR(L2863=1,L2863="1"),OR(M2863=1,M2863="1")),"adequate","partial"),IF(AND(H2863="W4",F2863="predictive",OR(J2863="P2",J2863="P3",J2863="P4")),IF(OR(U2863=1,U2863="1"),"adequate","partial"),INDEX(Fit_Matrix!$B:$B,MATCH(P2863,Fit_Matrix!$A:$A,0)))),"CHECK KEY"))</f>
        <v/>
      </c>
      <c r="U2863" s="10"/>
      <c r="V2863" s="10"/>
      <c r="W2863" s="10"/>
      <c r="X2863" s="10"/>
      <c r="Y2863" s="10"/>
      <c r="Z2863" s="10"/>
      <c r="AA2863" s="11" t="str">
        <f t="shared" si="89"/>
        <v/>
      </c>
    </row>
    <row r="2864" spans="16:27" ht="15" customHeight="1">
      <c r="P2864" t="str">
        <f t="shared" si="88"/>
        <v/>
      </c>
      <c r="Q2864" t="str">
        <f>IF(P2864="","",IFERROR(IF(AND(H2864="W7",OR(F2864="causal",F2864="predictive")),IF(AND(OR(K2864=1,K2864="1"),OR(L2864=1,L2864="1"),OR(M2864=1,M2864="1")),"adequate","partial"),IF(AND(H2864="W4",F2864="predictive",OR(J2864="P2",J2864="P3",J2864="P4")),IF(OR(U2864=1,U2864="1"),"adequate","partial"),INDEX(Fit_Matrix!$B:$B,MATCH(P2864,Fit_Matrix!$A:$A,0)))),"CHECK KEY"))</f>
        <v/>
      </c>
      <c r="U2864" s="10"/>
      <c r="V2864" s="10"/>
      <c r="W2864" s="10"/>
      <c r="X2864" s="10"/>
      <c r="Y2864" s="10"/>
      <c r="Z2864" s="10"/>
      <c r="AA2864" s="11" t="str">
        <f t="shared" si="89"/>
        <v/>
      </c>
    </row>
    <row r="2865" spans="16:27" ht="15" customHeight="1">
      <c r="P2865" t="str">
        <f t="shared" si="88"/>
        <v/>
      </c>
      <c r="Q2865" t="str">
        <f>IF(P2865="","",IFERROR(IF(AND(H2865="W7",OR(F2865="causal",F2865="predictive")),IF(AND(OR(K2865=1,K2865="1"),OR(L2865=1,L2865="1"),OR(M2865=1,M2865="1")),"adequate","partial"),IF(AND(H2865="W4",F2865="predictive",OR(J2865="P2",J2865="P3",J2865="P4")),IF(OR(U2865=1,U2865="1"),"adequate","partial"),INDEX(Fit_Matrix!$B:$B,MATCH(P2865,Fit_Matrix!$A:$A,0)))),"CHECK KEY"))</f>
        <v/>
      </c>
      <c r="U2865" s="10"/>
      <c r="V2865" s="10"/>
      <c r="W2865" s="10"/>
      <c r="X2865" s="10"/>
      <c r="Y2865" s="10"/>
      <c r="Z2865" s="10"/>
      <c r="AA2865" s="11" t="str">
        <f t="shared" si="89"/>
        <v/>
      </c>
    </row>
    <row r="2866" spans="16:27" ht="15" customHeight="1">
      <c r="P2866" t="str">
        <f t="shared" si="88"/>
        <v/>
      </c>
      <c r="Q2866" t="str">
        <f>IF(P2866="","",IFERROR(IF(AND(H2866="W7",OR(F2866="causal",F2866="predictive")),IF(AND(OR(K2866=1,K2866="1"),OR(L2866=1,L2866="1"),OR(M2866=1,M2866="1")),"adequate","partial"),IF(AND(H2866="W4",F2866="predictive",OR(J2866="P2",J2866="P3",J2866="P4")),IF(OR(U2866=1,U2866="1"),"adequate","partial"),INDEX(Fit_Matrix!$B:$B,MATCH(P2866,Fit_Matrix!$A:$A,0)))),"CHECK KEY"))</f>
        <v/>
      </c>
      <c r="U2866" s="10"/>
      <c r="V2866" s="10"/>
      <c r="W2866" s="10"/>
      <c r="X2866" s="10"/>
      <c r="Y2866" s="10"/>
      <c r="Z2866" s="10"/>
      <c r="AA2866" s="11" t="str">
        <f t="shared" si="89"/>
        <v/>
      </c>
    </row>
    <row r="2867" spans="16:27" ht="15" customHeight="1">
      <c r="P2867" t="str">
        <f t="shared" si="88"/>
        <v/>
      </c>
      <c r="Q2867" t="str">
        <f>IF(P2867="","",IFERROR(IF(AND(H2867="W7",OR(F2867="causal",F2867="predictive")),IF(AND(OR(K2867=1,K2867="1"),OR(L2867=1,L2867="1"),OR(M2867=1,M2867="1")),"adequate","partial"),IF(AND(H2867="W4",F2867="predictive",OR(J2867="P2",J2867="P3",J2867="P4")),IF(OR(U2867=1,U2867="1"),"adequate","partial"),INDEX(Fit_Matrix!$B:$B,MATCH(P2867,Fit_Matrix!$A:$A,0)))),"CHECK KEY"))</f>
        <v/>
      </c>
      <c r="U2867" s="10"/>
      <c r="V2867" s="10"/>
      <c r="W2867" s="10"/>
      <c r="X2867" s="10"/>
      <c r="Y2867" s="10"/>
      <c r="Z2867" s="10"/>
      <c r="AA2867" s="11" t="str">
        <f t="shared" si="89"/>
        <v/>
      </c>
    </row>
    <row r="2868" spans="16:27" ht="15" customHeight="1">
      <c r="P2868" t="str">
        <f t="shared" si="88"/>
        <v/>
      </c>
      <c r="Q2868" t="str">
        <f>IF(P2868="","",IFERROR(IF(AND(H2868="W7",OR(F2868="causal",F2868="predictive")),IF(AND(OR(K2868=1,K2868="1"),OR(L2868=1,L2868="1"),OR(M2868=1,M2868="1")),"adequate","partial"),IF(AND(H2868="W4",F2868="predictive",OR(J2868="P2",J2868="P3",J2868="P4")),IF(OR(U2868=1,U2868="1"),"adequate","partial"),INDEX(Fit_Matrix!$B:$B,MATCH(P2868,Fit_Matrix!$A:$A,0)))),"CHECK KEY"))</f>
        <v/>
      </c>
      <c r="U2868" s="10"/>
      <c r="V2868" s="10"/>
      <c r="W2868" s="10"/>
      <c r="X2868" s="10"/>
      <c r="Y2868" s="10"/>
      <c r="Z2868" s="10"/>
      <c r="AA2868" s="11" t="str">
        <f t="shared" si="89"/>
        <v/>
      </c>
    </row>
    <row r="2869" spans="16:27" ht="15" customHeight="1">
      <c r="P2869" t="str">
        <f t="shared" si="88"/>
        <v/>
      </c>
      <c r="Q2869" t="str">
        <f>IF(P2869="","",IFERROR(IF(AND(H2869="W7",OR(F2869="causal",F2869="predictive")),IF(AND(OR(K2869=1,K2869="1"),OR(L2869=1,L2869="1"),OR(M2869=1,M2869="1")),"adequate","partial"),IF(AND(H2869="W4",F2869="predictive",OR(J2869="P2",J2869="P3",J2869="P4")),IF(OR(U2869=1,U2869="1"),"adequate","partial"),INDEX(Fit_Matrix!$B:$B,MATCH(P2869,Fit_Matrix!$A:$A,0)))),"CHECK KEY"))</f>
        <v/>
      </c>
      <c r="U2869" s="10"/>
      <c r="V2869" s="10"/>
      <c r="W2869" s="10"/>
      <c r="X2869" s="10"/>
      <c r="Y2869" s="10"/>
      <c r="Z2869" s="10"/>
      <c r="AA2869" s="11" t="str">
        <f t="shared" si="89"/>
        <v/>
      </c>
    </row>
    <row r="2870" spans="16:27" ht="15" customHeight="1">
      <c r="P2870" t="str">
        <f t="shared" si="88"/>
        <v/>
      </c>
      <c r="Q2870" t="str">
        <f>IF(P2870="","",IFERROR(IF(AND(H2870="W7",OR(F2870="causal",F2870="predictive")),IF(AND(OR(K2870=1,K2870="1"),OR(L2870=1,L2870="1"),OR(M2870=1,M2870="1")),"adequate","partial"),IF(AND(H2870="W4",F2870="predictive",OR(J2870="P2",J2870="P3",J2870="P4")),IF(OR(U2870=1,U2870="1"),"adequate","partial"),INDEX(Fit_Matrix!$B:$B,MATCH(P2870,Fit_Matrix!$A:$A,0)))),"CHECK KEY"))</f>
        <v/>
      </c>
      <c r="U2870" s="10"/>
      <c r="V2870" s="10"/>
      <c r="W2870" s="10"/>
      <c r="X2870" s="10"/>
      <c r="Y2870" s="10"/>
      <c r="Z2870" s="10"/>
      <c r="AA2870" s="11" t="str">
        <f t="shared" si="89"/>
        <v/>
      </c>
    </row>
    <row r="2871" spans="16:27" ht="15" customHeight="1">
      <c r="P2871" t="str">
        <f t="shared" si="88"/>
        <v/>
      </c>
      <c r="Q2871" t="str">
        <f>IF(P2871="","",IFERROR(IF(AND(H2871="W7",OR(F2871="causal",F2871="predictive")),IF(AND(OR(K2871=1,K2871="1"),OR(L2871=1,L2871="1"),OR(M2871=1,M2871="1")),"adequate","partial"),IF(AND(H2871="W4",F2871="predictive",OR(J2871="P2",J2871="P3",J2871="P4")),IF(OR(U2871=1,U2871="1"),"adequate","partial"),INDEX(Fit_Matrix!$B:$B,MATCH(P2871,Fit_Matrix!$A:$A,0)))),"CHECK KEY"))</f>
        <v/>
      </c>
      <c r="U2871" s="10"/>
      <c r="V2871" s="10"/>
      <c r="W2871" s="10"/>
      <c r="X2871" s="10"/>
      <c r="Y2871" s="10"/>
      <c r="Z2871" s="10"/>
      <c r="AA2871" s="11" t="str">
        <f t="shared" si="89"/>
        <v/>
      </c>
    </row>
    <row r="2872" spans="16:27" ht="15" customHeight="1">
      <c r="P2872" t="str">
        <f t="shared" si="88"/>
        <v/>
      </c>
      <c r="Q2872" t="str">
        <f>IF(P2872="","",IFERROR(IF(AND(H2872="W7",OR(F2872="causal",F2872="predictive")),IF(AND(OR(K2872=1,K2872="1"),OR(L2872=1,L2872="1"),OR(M2872=1,M2872="1")),"adequate","partial"),IF(AND(H2872="W4",F2872="predictive",OR(J2872="P2",J2872="P3",J2872="P4")),IF(OR(U2872=1,U2872="1"),"adequate","partial"),INDEX(Fit_Matrix!$B:$B,MATCH(P2872,Fit_Matrix!$A:$A,0)))),"CHECK KEY"))</f>
        <v/>
      </c>
      <c r="U2872" s="10"/>
      <c r="V2872" s="10"/>
      <c r="W2872" s="10"/>
      <c r="X2872" s="10"/>
      <c r="Y2872" s="10"/>
      <c r="Z2872" s="10"/>
      <c r="AA2872" s="11" t="str">
        <f t="shared" si="89"/>
        <v/>
      </c>
    </row>
    <row r="2873" spans="16:27" ht="15" customHeight="1">
      <c r="P2873" t="str">
        <f t="shared" si="88"/>
        <v/>
      </c>
      <c r="Q2873" t="str">
        <f>IF(P2873="","",IFERROR(IF(AND(H2873="W7",OR(F2873="causal",F2873="predictive")),IF(AND(OR(K2873=1,K2873="1"),OR(L2873=1,L2873="1"),OR(M2873=1,M2873="1")),"adequate","partial"),IF(AND(H2873="W4",F2873="predictive",OR(J2873="P2",J2873="P3",J2873="P4")),IF(OR(U2873=1,U2873="1"),"adequate","partial"),INDEX(Fit_Matrix!$B:$B,MATCH(P2873,Fit_Matrix!$A:$A,0)))),"CHECK KEY"))</f>
        <v/>
      </c>
      <c r="U2873" s="10"/>
      <c r="V2873" s="10"/>
      <c r="W2873" s="10"/>
      <c r="X2873" s="10"/>
      <c r="Y2873" s="10"/>
      <c r="Z2873" s="10"/>
      <c r="AA2873" s="11" t="str">
        <f t="shared" si="89"/>
        <v/>
      </c>
    </row>
    <row r="2874" spans="16:27" ht="15" customHeight="1">
      <c r="P2874" t="str">
        <f t="shared" si="88"/>
        <v/>
      </c>
      <c r="Q2874" t="str">
        <f>IF(P2874="","",IFERROR(IF(AND(H2874="W7",OR(F2874="causal",F2874="predictive")),IF(AND(OR(K2874=1,K2874="1"),OR(L2874=1,L2874="1"),OR(M2874=1,M2874="1")),"adequate","partial"),IF(AND(H2874="W4",F2874="predictive",OR(J2874="P2",J2874="P3",J2874="P4")),IF(OR(U2874=1,U2874="1"),"adequate","partial"),INDEX(Fit_Matrix!$B:$B,MATCH(P2874,Fit_Matrix!$A:$A,0)))),"CHECK KEY"))</f>
        <v/>
      </c>
      <c r="U2874" s="10"/>
      <c r="V2874" s="10"/>
      <c r="W2874" s="10"/>
      <c r="X2874" s="10"/>
      <c r="Y2874" s="10"/>
      <c r="Z2874" s="10"/>
      <c r="AA2874" s="11" t="str">
        <f t="shared" si="89"/>
        <v/>
      </c>
    </row>
    <row r="2875" spans="16:27" ht="15" customHeight="1">
      <c r="P2875" t="str">
        <f t="shared" si="88"/>
        <v/>
      </c>
      <c r="Q2875" t="str">
        <f>IF(P2875="","",IFERROR(IF(AND(H2875="W7",OR(F2875="causal",F2875="predictive")),IF(AND(OR(K2875=1,K2875="1"),OR(L2875=1,L2875="1"),OR(M2875=1,M2875="1")),"adequate","partial"),IF(AND(H2875="W4",F2875="predictive",OR(J2875="P2",J2875="P3",J2875="P4")),IF(OR(U2875=1,U2875="1"),"adequate","partial"),INDEX(Fit_Matrix!$B:$B,MATCH(P2875,Fit_Matrix!$A:$A,0)))),"CHECK KEY"))</f>
        <v/>
      </c>
      <c r="U2875" s="10"/>
      <c r="V2875" s="10"/>
      <c r="W2875" s="10"/>
      <c r="X2875" s="10"/>
      <c r="Y2875" s="10"/>
      <c r="Z2875" s="10"/>
      <c r="AA2875" s="11" t="str">
        <f t="shared" si="89"/>
        <v/>
      </c>
    </row>
    <row r="2876" spans="16:27" ht="15" customHeight="1">
      <c r="P2876" t="str">
        <f t="shared" si="88"/>
        <v/>
      </c>
      <c r="Q2876" t="str">
        <f>IF(P2876="","",IFERROR(IF(AND(H2876="W7",OR(F2876="causal",F2876="predictive")),IF(AND(OR(K2876=1,K2876="1"),OR(L2876=1,L2876="1"),OR(M2876=1,M2876="1")),"adequate","partial"),IF(AND(H2876="W4",F2876="predictive",OR(J2876="P2",J2876="P3",J2876="P4")),IF(OR(U2876=1,U2876="1"),"adequate","partial"),INDEX(Fit_Matrix!$B:$B,MATCH(P2876,Fit_Matrix!$A:$A,0)))),"CHECK KEY"))</f>
        <v/>
      </c>
      <c r="U2876" s="10"/>
      <c r="V2876" s="10"/>
      <c r="W2876" s="10"/>
      <c r="X2876" s="10"/>
      <c r="Y2876" s="10"/>
      <c r="Z2876" s="10"/>
      <c r="AA2876" s="11" t="str">
        <f t="shared" si="89"/>
        <v/>
      </c>
    </row>
    <row r="2877" spans="16:27" ht="15" customHeight="1">
      <c r="P2877" t="str">
        <f t="shared" si="88"/>
        <v/>
      </c>
      <c r="Q2877" t="str">
        <f>IF(P2877="","",IFERROR(IF(AND(H2877="W7",OR(F2877="causal",F2877="predictive")),IF(AND(OR(K2877=1,K2877="1"),OR(L2877=1,L2877="1"),OR(M2877=1,M2877="1")),"adequate","partial"),IF(AND(H2877="W4",F2877="predictive",OR(J2877="P2",J2877="P3",J2877="P4")),IF(OR(U2877=1,U2877="1"),"adequate","partial"),INDEX(Fit_Matrix!$B:$B,MATCH(P2877,Fit_Matrix!$A:$A,0)))),"CHECK KEY"))</f>
        <v/>
      </c>
      <c r="U2877" s="10"/>
      <c r="V2877" s="10"/>
      <c r="W2877" s="10"/>
      <c r="X2877" s="10"/>
      <c r="Y2877" s="10"/>
      <c r="Z2877" s="10"/>
      <c r="AA2877" s="11" t="str">
        <f t="shared" si="89"/>
        <v/>
      </c>
    </row>
    <row r="2878" spans="16:27" ht="15" customHeight="1">
      <c r="P2878" t="str">
        <f t="shared" si="88"/>
        <v/>
      </c>
      <c r="Q2878" t="str">
        <f>IF(P2878="","",IFERROR(IF(AND(H2878="W7",OR(F2878="causal",F2878="predictive")),IF(AND(OR(K2878=1,K2878="1"),OR(L2878=1,L2878="1"),OR(M2878=1,M2878="1")),"adequate","partial"),IF(AND(H2878="W4",F2878="predictive",OR(J2878="P2",J2878="P3",J2878="P4")),IF(OR(U2878=1,U2878="1"),"adequate","partial"),INDEX(Fit_Matrix!$B:$B,MATCH(P2878,Fit_Matrix!$A:$A,0)))),"CHECK KEY"))</f>
        <v/>
      </c>
      <c r="U2878" s="10"/>
      <c r="V2878" s="10"/>
      <c r="W2878" s="10"/>
      <c r="X2878" s="10"/>
      <c r="Y2878" s="10"/>
      <c r="Z2878" s="10"/>
      <c r="AA2878" s="11" t="str">
        <f t="shared" si="89"/>
        <v/>
      </c>
    </row>
    <row r="2879" spans="16:27" ht="15" customHeight="1">
      <c r="P2879" t="str">
        <f t="shared" si="88"/>
        <v/>
      </c>
      <c r="Q2879" t="str">
        <f>IF(P2879="","",IFERROR(IF(AND(H2879="W7",OR(F2879="causal",F2879="predictive")),IF(AND(OR(K2879=1,K2879="1"),OR(L2879=1,L2879="1"),OR(M2879=1,M2879="1")),"adequate","partial"),IF(AND(H2879="W4",F2879="predictive",OR(J2879="P2",J2879="P3",J2879="P4")),IF(OR(U2879=1,U2879="1"),"adequate","partial"),INDEX(Fit_Matrix!$B:$B,MATCH(P2879,Fit_Matrix!$A:$A,0)))),"CHECK KEY"))</f>
        <v/>
      </c>
      <c r="U2879" s="10"/>
      <c r="V2879" s="10"/>
      <c r="W2879" s="10"/>
      <c r="X2879" s="10"/>
      <c r="Y2879" s="10"/>
      <c r="Z2879" s="10"/>
      <c r="AA2879" s="11" t="str">
        <f t="shared" si="89"/>
        <v/>
      </c>
    </row>
    <row r="2880" spans="16:27" ht="15" customHeight="1">
      <c r="P2880" t="str">
        <f t="shared" si="88"/>
        <v/>
      </c>
      <c r="Q2880" t="str">
        <f>IF(P2880="","",IFERROR(IF(AND(H2880="W7",OR(F2880="causal",F2880="predictive")),IF(AND(OR(K2880=1,K2880="1"),OR(L2880=1,L2880="1"),OR(M2880=1,M2880="1")),"adequate","partial"),IF(AND(H2880="W4",F2880="predictive",OR(J2880="P2",J2880="P3",J2880="P4")),IF(OR(U2880=1,U2880="1"),"adequate","partial"),INDEX(Fit_Matrix!$B:$B,MATCH(P2880,Fit_Matrix!$A:$A,0)))),"CHECK KEY"))</f>
        <v/>
      </c>
      <c r="U2880" s="10"/>
      <c r="V2880" s="10"/>
      <c r="W2880" s="10"/>
      <c r="X2880" s="10"/>
      <c r="Y2880" s="10"/>
      <c r="Z2880" s="10"/>
      <c r="AA2880" s="11" t="str">
        <f t="shared" si="89"/>
        <v/>
      </c>
    </row>
    <row r="2881" spans="16:27" ht="15" customHeight="1">
      <c r="P2881" t="str">
        <f t="shared" si="88"/>
        <v/>
      </c>
      <c r="Q2881" t="str">
        <f>IF(P2881="","",IFERROR(IF(AND(H2881="W7",OR(F2881="causal",F2881="predictive")),IF(AND(OR(K2881=1,K2881="1"),OR(L2881=1,L2881="1"),OR(M2881=1,M2881="1")),"adequate","partial"),IF(AND(H2881="W4",F2881="predictive",OR(J2881="P2",J2881="P3",J2881="P4")),IF(OR(U2881=1,U2881="1"),"adequate","partial"),INDEX(Fit_Matrix!$B:$B,MATCH(P2881,Fit_Matrix!$A:$A,0)))),"CHECK KEY"))</f>
        <v/>
      </c>
      <c r="U2881" s="10"/>
      <c r="V2881" s="10"/>
      <c r="W2881" s="10"/>
      <c r="X2881" s="10"/>
      <c r="Y2881" s="10"/>
      <c r="Z2881" s="10"/>
      <c r="AA2881" s="11" t="str">
        <f t="shared" si="89"/>
        <v/>
      </c>
    </row>
    <row r="2882" spans="16:27" ht="15" customHeight="1">
      <c r="P2882" t="str">
        <f t="shared" ref="P2882:P2945" si="90">IF(OR(F2882="",H2882="",J2882=""),"",J2882&amp;"|"&amp;F2882&amp;"|"&amp;IF(H2882="W3","W3_"&amp;IF(I2882="","unknown",I2882),H2882))</f>
        <v/>
      </c>
      <c r="Q2882" t="str">
        <f>IF(P2882="","",IFERROR(IF(AND(H2882="W7",OR(F2882="causal",F2882="predictive")),IF(AND(OR(K2882=1,K2882="1"),OR(L2882=1,L2882="1"),OR(M2882=1,M2882="1")),"adequate","partial"),IF(AND(H2882="W4",F2882="predictive",OR(J2882="P2",J2882="P3",J2882="P4")),IF(OR(U2882=1,U2882="1"),"adequate","partial"),INDEX(Fit_Matrix!$B:$B,MATCH(P2882,Fit_Matrix!$A:$A,0)))),"CHECK KEY"))</f>
        <v/>
      </c>
      <c r="U2882" s="10"/>
      <c r="V2882" s="10"/>
      <c r="W2882" s="10"/>
      <c r="X2882" s="10"/>
      <c r="Y2882" s="10"/>
      <c r="Z2882" s="10"/>
      <c r="AA2882" s="11" t="str">
        <f t="shared" ref="AA2882:AA2945" si="91">IF(A2882="","",IF(AND(J2882="P4",F2882="causal"),"P4-CAUSAL",""))</f>
        <v/>
      </c>
    </row>
    <row r="2883" spans="16:27" ht="15" customHeight="1">
      <c r="P2883" t="str">
        <f t="shared" si="90"/>
        <v/>
      </c>
      <c r="Q2883" t="str">
        <f>IF(P2883="","",IFERROR(IF(AND(H2883="W7",OR(F2883="causal",F2883="predictive")),IF(AND(OR(K2883=1,K2883="1"),OR(L2883=1,L2883="1"),OR(M2883=1,M2883="1")),"adequate","partial"),IF(AND(H2883="W4",F2883="predictive",OR(J2883="P2",J2883="P3",J2883="P4")),IF(OR(U2883=1,U2883="1"),"adequate","partial"),INDEX(Fit_Matrix!$B:$B,MATCH(P2883,Fit_Matrix!$A:$A,0)))),"CHECK KEY"))</f>
        <v/>
      </c>
      <c r="U2883" s="10"/>
      <c r="V2883" s="10"/>
      <c r="W2883" s="10"/>
      <c r="X2883" s="10"/>
      <c r="Y2883" s="10"/>
      <c r="Z2883" s="10"/>
      <c r="AA2883" s="11" t="str">
        <f t="shared" si="91"/>
        <v/>
      </c>
    </row>
    <row r="2884" spans="16:27" ht="15" customHeight="1">
      <c r="P2884" t="str">
        <f t="shared" si="90"/>
        <v/>
      </c>
      <c r="Q2884" t="str">
        <f>IF(P2884="","",IFERROR(IF(AND(H2884="W7",OR(F2884="causal",F2884="predictive")),IF(AND(OR(K2884=1,K2884="1"),OR(L2884=1,L2884="1"),OR(M2884=1,M2884="1")),"adequate","partial"),IF(AND(H2884="W4",F2884="predictive",OR(J2884="P2",J2884="P3",J2884="P4")),IF(OR(U2884=1,U2884="1"),"adequate","partial"),INDEX(Fit_Matrix!$B:$B,MATCH(P2884,Fit_Matrix!$A:$A,0)))),"CHECK KEY"))</f>
        <v/>
      </c>
      <c r="U2884" s="10"/>
      <c r="V2884" s="10"/>
      <c r="W2884" s="10"/>
      <c r="X2884" s="10"/>
      <c r="Y2884" s="10"/>
      <c r="Z2884" s="10"/>
      <c r="AA2884" s="11" t="str">
        <f t="shared" si="91"/>
        <v/>
      </c>
    </row>
    <row r="2885" spans="16:27" ht="15" customHeight="1">
      <c r="P2885" t="str">
        <f t="shared" si="90"/>
        <v/>
      </c>
      <c r="Q2885" t="str">
        <f>IF(P2885="","",IFERROR(IF(AND(H2885="W7",OR(F2885="causal",F2885="predictive")),IF(AND(OR(K2885=1,K2885="1"),OR(L2885=1,L2885="1"),OR(M2885=1,M2885="1")),"adequate","partial"),IF(AND(H2885="W4",F2885="predictive",OR(J2885="P2",J2885="P3",J2885="P4")),IF(OR(U2885=1,U2885="1"),"adequate","partial"),INDEX(Fit_Matrix!$B:$B,MATCH(P2885,Fit_Matrix!$A:$A,0)))),"CHECK KEY"))</f>
        <v/>
      </c>
      <c r="U2885" s="10"/>
      <c r="V2885" s="10"/>
      <c r="W2885" s="10"/>
      <c r="X2885" s="10"/>
      <c r="Y2885" s="10"/>
      <c r="Z2885" s="10"/>
      <c r="AA2885" s="11" t="str">
        <f t="shared" si="91"/>
        <v/>
      </c>
    </row>
    <row r="2886" spans="16:27" ht="15" customHeight="1">
      <c r="P2886" t="str">
        <f t="shared" si="90"/>
        <v/>
      </c>
      <c r="Q2886" t="str">
        <f>IF(P2886="","",IFERROR(IF(AND(H2886="W7",OR(F2886="causal",F2886="predictive")),IF(AND(OR(K2886=1,K2886="1"),OR(L2886=1,L2886="1"),OR(M2886=1,M2886="1")),"adequate","partial"),IF(AND(H2886="W4",F2886="predictive",OR(J2886="P2",J2886="P3",J2886="P4")),IF(OR(U2886=1,U2886="1"),"adequate","partial"),INDEX(Fit_Matrix!$B:$B,MATCH(P2886,Fit_Matrix!$A:$A,0)))),"CHECK KEY"))</f>
        <v/>
      </c>
      <c r="U2886" s="10"/>
      <c r="V2886" s="10"/>
      <c r="W2886" s="10"/>
      <c r="X2886" s="10"/>
      <c r="Y2886" s="10"/>
      <c r="Z2886" s="10"/>
      <c r="AA2886" s="11" t="str">
        <f t="shared" si="91"/>
        <v/>
      </c>
    </row>
    <row r="2887" spans="16:27" ht="15" customHeight="1">
      <c r="P2887" t="str">
        <f t="shared" si="90"/>
        <v/>
      </c>
      <c r="Q2887" t="str">
        <f>IF(P2887="","",IFERROR(IF(AND(H2887="W7",OR(F2887="causal",F2887="predictive")),IF(AND(OR(K2887=1,K2887="1"),OR(L2887=1,L2887="1"),OR(M2887=1,M2887="1")),"adequate","partial"),IF(AND(H2887="W4",F2887="predictive",OR(J2887="P2",J2887="P3",J2887="P4")),IF(OR(U2887=1,U2887="1"),"adequate","partial"),INDEX(Fit_Matrix!$B:$B,MATCH(P2887,Fit_Matrix!$A:$A,0)))),"CHECK KEY"))</f>
        <v/>
      </c>
      <c r="U2887" s="10"/>
      <c r="V2887" s="10"/>
      <c r="W2887" s="10"/>
      <c r="X2887" s="10"/>
      <c r="Y2887" s="10"/>
      <c r="Z2887" s="10"/>
      <c r="AA2887" s="11" t="str">
        <f t="shared" si="91"/>
        <v/>
      </c>
    </row>
    <row r="2888" spans="16:27" ht="15" customHeight="1">
      <c r="P2888" t="str">
        <f t="shared" si="90"/>
        <v/>
      </c>
      <c r="Q2888" t="str">
        <f>IF(P2888="","",IFERROR(IF(AND(H2888="W7",OR(F2888="causal",F2888="predictive")),IF(AND(OR(K2888=1,K2888="1"),OR(L2888=1,L2888="1"),OR(M2888=1,M2888="1")),"adequate","partial"),IF(AND(H2888="W4",F2888="predictive",OR(J2888="P2",J2888="P3",J2888="P4")),IF(OR(U2888=1,U2888="1"),"adequate","partial"),INDEX(Fit_Matrix!$B:$B,MATCH(P2888,Fit_Matrix!$A:$A,0)))),"CHECK KEY"))</f>
        <v/>
      </c>
      <c r="U2888" s="10"/>
      <c r="V2888" s="10"/>
      <c r="W2888" s="10"/>
      <c r="X2888" s="10"/>
      <c r="Y2888" s="10"/>
      <c r="Z2888" s="10"/>
      <c r="AA2888" s="11" t="str">
        <f t="shared" si="91"/>
        <v/>
      </c>
    </row>
    <row r="2889" spans="16:27" ht="15" customHeight="1">
      <c r="P2889" t="str">
        <f t="shared" si="90"/>
        <v/>
      </c>
      <c r="Q2889" t="str">
        <f>IF(P2889="","",IFERROR(IF(AND(H2889="W7",OR(F2889="causal",F2889="predictive")),IF(AND(OR(K2889=1,K2889="1"),OR(L2889=1,L2889="1"),OR(M2889=1,M2889="1")),"adequate","partial"),IF(AND(H2889="W4",F2889="predictive",OR(J2889="P2",J2889="P3",J2889="P4")),IF(OR(U2889=1,U2889="1"),"adequate","partial"),INDEX(Fit_Matrix!$B:$B,MATCH(P2889,Fit_Matrix!$A:$A,0)))),"CHECK KEY"))</f>
        <v/>
      </c>
      <c r="U2889" s="10"/>
      <c r="V2889" s="10"/>
      <c r="W2889" s="10"/>
      <c r="X2889" s="10"/>
      <c r="Y2889" s="10"/>
      <c r="Z2889" s="10"/>
      <c r="AA2889" s="11" t="str">
        <f t="shared" si="91"/>
        <v/>
      </c>
    </row>
    <row r="2890" spans="16:27" ht="15" customHeight="1">
      <c r="P2890" t="str">
        <f t="shared" si="90"/>
        <v/>
      </c>
      <c r="Q2890" t="str">
        <f>IF(P2890="","",IFERROR(IF(AND(H2890="W7",OR(F2890="causal",F2890="predictive")),IF(AND(OR(K2890=1,K2890="1"),OR(L2890=1,L2890="1"),OR(M2890=1,M2890="1")),"adequate","partial"),IF(AND(H2890="W4",F2890="predictive",OR(J2890="P2",J2890="P3",J2890="P4")),IF(OR(U2890=1,U2890="1"),"adequate","partial"),INDEX(Fit_Matrix!$B:$B,MATCH(P2890,Fit_Matrix!$A:$A,0)))),"CHECK KEY"))</f>
        <v/>
      </c>
      <c r="U2890" s="10"/>
      <c r="V2890" s="10"/>
      <c r="W2890" s="10"/>
      <c r="X2890" s="10"/>
      <c r="Y2890" s="10"/>
      <c r="Z2890" s="10"/>
      <c r="AA2890" s="11" t="str">
        <f t="shared" si="91"/>
        <v/>
      </c>
    </row>
    <row r="2891" spans="16:27" ht="15" customHeight="1">
      <c r="P2891" t="str">
        <f t="shared" si="90"/>
        <v/>
      </c>
      <c r="Q2891" t="str">
        <f>IF(P2891="","",IFERROR(IF(AND(H2891="W7",OR(F2891="causal",F2891="predictive")),IF(AND(OR(K2891=1,K2891="1"),OR(L2891=1,L2891="1"),OR(M2891=1,M2891="1")),"adequate","partial"),IF(AND(H2891="W4",F2891="predictive",OR(J2891="P2",J2891="P3",J2891="P4")),IF(OR(U2891=1,U2891="1"),"adequate","partial"),INDEX(Fit_Matrix!$B:$B,MATCH(P2891,Fit_Matrix!$A:$A,0)))),"CHECK KEY"))</f>
        <v/>
      </c>
      <c r="U2891" s="10"/>
      <c r="V2891" s="10"/>
      <c r="W2891" s="10"/>
      <c r="X2891" s="10"/>
      <c r="Y2891" s="10"/>
      <c r="Z2891" s="10"/>
      <c r="AA2891" s="11" t="str">
        <f t="shared" si="91"/>
        <v/>
      </c>
    </row>
    <row r="2892" spans="16:27" ht="15" customHeight="1">
      <c r="P2892" t="str">
        <f t="shared" si="90"/>
        <v/>
      </c>
      <c r="Q2892" t="str">
        <f>IF(P2892="","",IFERROR(IF(AND(H2892="W7",OR(F2892="causal",F2892="predictive")),IF(AND(OR(K2892=1,K2892="1"),OR(L2892=1,L2892="1"),OR(M2892=1,M2892="1")),"adequate","partial"),IF(AND(H2892="W4",F2892="predictive",OR(J2892="P2",J2892="P3",J2892="P4")),IF(OR(U2892=1,U2892="1"),"adequate","partial"),INDEX(Fit_Matrix!$B:$B,MATCH(P2892,Fit_Matrix!$A:$A,0)))),"CHECK KEY"))</f>
        <v/>
      </c>
      <c r="U2892" s="10"/>
      <c r="V2892" s="10"/>
      <c r="W2892" s="10"/>
      <c r="X2892" s="10"/>
      <c r="Y2892" s="10"/>
      <c r="Z2892" s="10"/>
      <c r="AA2892" s="11" t="str">
        <f t="shared" si="91"/>
        <v/>
      </c>
    </row>
    <row r="2893" spans="16:27" ht="15" customHeight="1">
      <c r="P2893" t="str">
        <f t="shared" si="90"/>
        <v/>
      </c>
      <c r="Q2893" t="str">
        <f>IF(P2893="","",IFERROR(IF(AND(H2893="W7",OR(F2893="causal",F2893="predictive")),IF(AND(OR(K2893=1,K2893="1"),OR(L2893=1,L2893="1"),OR(M2893=1,M2893="1")),"adequate","partial"),IF(AND(H2893="W4",F2893="predictive",OR(J2893="P2",J2893="P3",J2893="P4")),IF(OR(U2893=1,U2893="1"),"adequate","partial"),INDEX(Fit_Matrix!$B:$B,MATCH(P2893,Fit_Matrix!$A:$A,0)))),"CHECK KEY"))</f>
        <v/>
      </c>
      <c r="U2893" s="10"/>
      <c r="V2893" s="10"/>
      <c r="W2893" s="10"/>
      <c r="X2893" s="10"/>
      <c r="Y2893" s="10"/>
      <c r="Z2893" s="10"/>
      <c r="AA2893" s="11" t="str">
        <f t="shared" si="91"/>
        <v/>
      </c>
    </row>
    <row r="2894" spans="16:27" ht="15" customHeight="1">
      <c r="P2894" t="str">
        <f t="shared" si="90"/>
        <v/>
      </c>
      <c r="Q2894" t="str">
        <f>IF(P2894="","",IFERROR(IF(AND(H2894="W7",OR(F2894="causal",F2894="predictive")),IF(AND(OR(K2894=1,K2894="1"),OR(L2894=1,L2894="1"),OR(M2894=1,M2894="1")),"adequate","partial"),IF(AND(H2894="W4",F2894="predictive",OR(J2894="P2",J2894="P3",J2894="P4")),IF(OR(U2894=1,U2894="1"),"adequate","partial"),INDEX(Fit_Matrix!$B:$B,MATCH(P2894,Fit_Matrix!$A:$A,0)))),"CHECK KEY"))</f>
        <v/>
      </c>
      <c r="U2894" s="10"/>
      <c r="V2894" s="10"/>
      <c r="W2894" s="10"/>
      <c r="X2894" s="10"/>
      <c r="Y2894" s="10"/>
      <c r="Z2894" s="10"/>
      <c r="AA2894" s="11" t="str">
        <f t="shared" si="91"/>
        <v/>
      </c>
    </row>
    <row r="2895" spans="16:27" ht="15" customHeight="1">
      <c r="P2895" t="str">
        <f t="shared" si="90"/>
        <v/>
      </c>
      <c r="Q2895" t="str">
        <f>IF(P2895="","",IFERROR(IF(AND(H2895="W7",OR(F2895="causal",F2895="predictive")),IF(AND(OR(K2895=1,K2895="1"),OR(L2895=1,L2895="1"),OR(M2895=1,M2895="1")),"adequate","partial"),IF(AND(H2895="W4",F2895="predictive",OR(J2895="P2",J2895="P3",J2895="P4")),IF(OR(U2895=1,U2895="1"),"adequate","partial"),INDEX(Fit_Matrix!$B:$B,MATCH(P2895,Fit_Matrix!$A:$A,0)))),"CHECK KEY"))</f>
        <v/>
      </c>
      <c r="U2895" s="10"/>
      <c r="V2895" s="10"/>
      <c r="W2895" s="10"/>
      <c r="X2895" s="10"/>
      <c r="Y2895" s="10"/>
      <c r="Z2895" s="10"/>
      <c r="AA2895" s="11" t="str">
        <f t="shared" si="91"/>
        <v/>
      </c>
    </row>
    <row r="2896" spans="16:27" ht="15" customHeight="1">
      <c r="P2896" t="str">
        <f t="shared" si="90"/>
        <v/>
      </c>
      <c r="Q2896" t="str">
        <f>IF(P2896="","",IFERROR(IF(AND(H2896="W7",OR(F2896="causal",F2896="predictive")),IF(AND(OR(K2896=1,K2896="1"),OR(L2896=1,L2896="1"),OR(M2896=1,M2896="1")),"adequate","partial"),IF(AND(H2896="W4",F2896="predictive",OR(J2896="P2",J2896="P3",J2896="P4")),IF(OR(U2896=1,U2896="1"),"adequate","partial"),INDEX(Fit_Matrix!$B:$B,MATCH(P2896,Fit_Matrix!$A:$A,0)))),"CHECK KEY"))</f>
        <v/>
      </c>
      <c r="U2896" s="10"/>
      <c r="V2896" s="10"/>
      <c r="W2896" s="10"/>
      <c r="X2896" s="10"/>
      <c r="Y2896" s="10"/>
      <c r="Z2896" s="10"/>
      <c r="AA2896" s="11" t="str">
        <f t="shared" si="91"/>
        <v/>
      </c>
    </row>
    <row r="2897" spans="16:27" ht="15" customHeight="1">
      <c r="P2897" t="str">
        <f t="shared" si="90"/>
        <v/>
      </c>
      <c r="Q2897" t="str">
        <f>IF(P2897="","",IFERROR(IF(AND(H2897="W7",OR(F2897="causal",F2897="predictive")),IF(AND(OR(K2897=1,K2897="1"),OR(L2897=1,L2897="1"),OR(M2897=1,M2897="1")),"adequate","partial"),IF(AND(H2897="W4",F2897="predictive",OR(J2897="P2",J2897="P3",J2897="P4")),IF(OR(U2897=1,U2897="1"),"adequate","partial"),INDEX(Fit_Matrix!$B:$B,MATCH(P2897,Fit_Matrix!$A:$A,0)))),"CHECK KEY"))</f>
        <v/>
      </c>
      <c r="U2897" s="10"/>
      <c r="V2897" s="10"/>
      <c r="W2897" s="10"/>
      <c r="X2897" s="10"/>
      <c r="Y2897" s="10"/>
      <c r="Z2897" s="10"/>
      <c r="AA2897" s="11" t="str">
        <f t="shared" si="91"/>
        <v/>
      </c>
    </row>
    <row r="2898" spans="16:27" ht="15" customHeight="1">
      <c r="P2898" t="str">
        <f t="shared" si="90"/>
        <v/>
      </c>
      <c r="Q2898" t="str">
        <f>IF(P2898="","",IFERROR(IF(AND(H2898="W7",OR(F2898="causal",F2898="predictive")),IF(AND(OR(K2898=1,K2898="1"),OR(L2898=1,L2898="1"),OR(M2898=1,M2898="1")),"adequate","partial"),IF(AND(H2898="W4",F2898="predictive",OR(J2898="P2",J2898="P3",J2898="P4")),IF(OR(U2898=1,U2898="1"),"adequate","partial"),INDEX(Fit_Matrix!$B:$B,MATCH(P2898,Fit_Matrix!$A:$A,0)))),"CHECK KEY"))</f>
        <v/>
      </c>
      <c r="U2898" s="10"/>
      <c r="V2898" s="10"/>
      <c r="W2898" s="10"/>
      <c r="X2898" s="10"/>
      <c r="Y2898" s="10"/>
      <c r="Z2898" s="10"/>
      <c r="AA2898" s="11" t="str">
        <f t="shared" si="91"/>
        <v/>
      </c>
    </row>
    <row r="2899" spans="16:27" ht="15" customHeight="1">
      <c r="P2899" t="str">
        <f t="shared" si="90"/>
        <v/>
      </c>
      <c r="Q2899" t="str">
        <f>IF(P2899="","",IFERROR(IF(AND(H2899="W7",OR(F2899="causal",F2899="predictive")),IF(AND(OR(K2899=1,K2899="1"),OR(L2899=1,L2899="1"),OR(M2899=1,M2899="1")),"adequate","partial"),IF(AND(H2899="W4",F2899="predictive",OR(J2899="P2",J2899="P3",J2899="P4")),IF(OR(U2899=1,U2899="1"),"adequate","partial"),INDEX(Fit_Matrix!$B:$B,MATCH(P2899,Fit_Matrix!$A:$A,0)))),"CHECK KEY"))</f>
        <v/>
      </c>
      <c r="U2899" s="10"/>
      <c r="V2899" s="10"/>
      <c r="W2899" s="10"/>
      <c r="X2899" s="10"/>
      <c r="Y2899" s="10"/>
      <c r="Z2899" s="10"/>
      <c r="AA2899" s="11" t="str">
        <f t="shared" si="91"/>
        <v/>
      </c>
    </row>
    <row r="2900" spans="16:27" ht="15" customHeight="1">
      <c r="P2900" t="str">
        <f t="shared" si="90"/>
        <v/>
      </c>
      <c r="Q2900" t="str">
        <f>IF(P2900="","",IFERROR(IF(AND(H2900="W7",OR(F2900="causal",F2900="predictive")),IF(AND(OR(K2900=1,K2900="1"),OR(L2900=1,L2900="1"),OR(M2900=1,M2900="1")),"adequate","partial"),IF(AND(H2900="W4",F2900="predictive",OR(J2900="P2",J2900="P3",J2900="P4")),IF(OR(U2900=1,U2900="1"),"adequate","partial"),INDEX(Fit_Matrix!$B:$B,MATCH(P2900,Fit_Matrix!$A:$A,0)))),"CHECK KEY"))</f>
        <v/>
      </c>
      <c r="U2900" s="10"/>
      <c r="V2900" s="10"/>
      <c r="W2900" s="10"/>
      <c r="X2900" s="10"/>
      <c r="Y2900" s="10"/>
      <c r="Z2900" s="10"/>
      <c r="AA2900" s="11" t="str">
        <f t="shared" si="91"/>
        <v/>
      </c>
    </row>
    <row r="2901" spans="16:27" ht="15" customHeight="1">
      <c r="P2901" t="str">
        <f t="shared" si="90"/>
        <v/>
      </c>
      <c r="Q2901" t="str">
        <f>IF(P2901="","",IFERROR(IF(AND(H2901="W7",OR(F2901="causal",F2901="predictive")),IF(AND(OR(K2901=1,K2901="1"),OR(L2901=1,L2901="1"),OR(M2901=1,M2901="1")),"adequate","partial"),IF(AND(H2901="W4",F2901="predictive",OR(J2901="P2",J2901="P3",J2901="P4")),IF(OR(U2901=1,U2901="1"),"adequate","partial"),INDEX(Fit_Matrix!$B:$B,MATCH(P2901,Fit_Matrix!$A:$A,0)))),"CHECK KEY"))</f>
        <v/>
      </c>
      <c r="U2901" s="10"/>
      <c r="V2901" s="10"/>
      <c r="W2901" s="10"/>
      <c r="X2901" s="10"/>
      <c r="Y2901" s="10"/>
      <c r="Z2901" s="10"/>
      <c r="AA2901" s="11" t="str">
        <f t="shared" si="91"/>
        <v/>
      </c>
    </row>
    <row r="2902" spans="16:27" ht="15" customHeight="1">
      <c r="P2902" t="str">
        <f t="shared" si="90"/>
        <v/>
      </c>
      <c r="Q2902" t="str">
        <f>IF(P2902="","",IFERROR(IF(AND(H2902="W7",OR(F2902="causal",F2902="predictive")),IF(AND(OR(K2902=1,K2902="1"),OR(L2902=1,L2902="1"),OR(M2902=1,M2902="1")),"adequate","partial"),IF(AND(H2902="W4",F2902="predictive",OR(J2902="P2",J2902="P3",J2902="P4")),IF(OR(U2902=1,U2902="1"),"adequate","partial"),INDEX(Fit_Matrix!$B:$B,MATCH(P2902,Fit_Matrix!$A:$A,0)))),"CHECK KEY"))</f>
        <v/>
      </c>
      <c r="U2902" s="10"/>
      <c r="V2902" s="10"/>
      <c r="W2902" s="10"/>
      <c r="X2902" s="10"/>
      <c r="Y2902" s="10"/>
      <c r="Z2902" s="10"/>
      <c r="AA2902" s="11" t="str">
        <f t="shared" si="91"/>
        <v/>
      </c>
    </row>
    <row r="2903" spans="16:27" ht="15" customHeight="1">
      <c r="P2903" t="str">
        <f t="shared" si="90"/>
        <v/>
      </c>
      <c r="Q2903" t="str">
        <f>IF(P2903="","",IFERROR(IF(AND(H2903="W7",OR(F2903="causal",F2903="predictive")),IF(AND(OR(K2903=1,K2903="1"),OR(L2903=1,L2903="1"),OR(M2903=1,M2903="1")),"adequate","partial"),IF(AND(H2903="W4",F2903="predictive",OR(J2903="P2",J2903="P3",J2903="P4")),IF(OR(U2903=1,U2903="1"),"adequate","partial"),INDEX(Fit_Matrix!$B:$B,MATCH(P2903,Fit_Matrix!$A:$A,0)))),"CHECK KEY"))</f>
        <v/>
      </c>
      <c r="U2903" s="10"/>
      <c r="V2903" s="10"/>
      <c r="W2903" s="10"/>
      <c r="X2903" s="10"/>
      <c r="Y2903" s="10"/>
      <c r="Z2903" s="10"/>
      <c r="AA2903" s="11" t="str">
        <f t="shared" si="91"/>
        <v/>
      </c>
    </row>
    <row r="2904" spans="16:27" ht="15" customHeight="1">
      <c r="P2904" t="str">
        <f t="shared" si="90"/>
        <v/>
      </c>
      <c r="Q2904" t="str">
        <f>IF(P2904="","",IFERROR(IF(AND(H2904="W7",OR(F2904="causal",F2904="predictive")),IF(AND(OR(K2904=1,K2904="1"),OR(L2904=1,L2904="1"),OR(M2904=1,M2904="1")),"adequate","partial"),IF(AND(H2904="W4",F2904="predictive",OR(J2904="P2",J2904="P3",J2904="P4")),IF(OR(U2904=1,U2904="1"),"adequate","partial"),INDEX(Fit_Matrix!$B:$B,MATCH(P2904,Fit_Matrix!$A:$A,0)))),"CHECK KEY"))</f>
        <v/>
      </c>
      <c r="U2904" s="10"/>
      <c r="V2904" s="10"/>
      <c r="W2904" s="10"/>
      <c r="X2904" s="10"/>
      <c r="Y2904" s="10"/>
      <c r="Z2904" s="10"/>
      <c r="AA2904" s="11" t="str">
        <f t="shared" si="91"/>
        <v/>
      </c>
    </row>
    <row r="2905" spans="16:27" ht="15" customHeight="1">
      <c r="P2905" t="str">
        <f t="shared" si="90"/>
        <v/>
      </c>
      <c r="Q2905" t="str">
        <f>IF(P2905="","",IFERROR(IF(AND(H2905="W7",OR(F2905="causal",F2905="predictive")),IF(AND(OR(K2905=1,K2905="1"),OR(L2905=1,L2905="1"),OR(M2905=1,M2905="1")),"adequate","partial"),IF(AND(H2905="W4",F2905="predictive",OR(J2905="P2",J2905="P3",J2905="P4")),IF(OR(U2905=1,U2905="1"),"adequate","partial"),INDEX(Fit_Matrix!$B:$B,MATCH(P2905,Fit_Matrix!$A:$A,0)))),"CHECK KEY"))</f>
        <v/>
      </c>
      <c r="U2905" s="10"/>
      <c r="V2905" s="10"/>
      <c r="W2905" s="10"/>
      <c r="X2905" s="10"/>
      <c r="Y2905" s="10"/>
      <c r="Z2905" s="10"/>
      <c r="AA2905" s="11" t="str">
        <f t="shared" si="91"/>
        <v/>
      </c>
    </row>
    <row r="2906" spans="16:27" ht="15" customHeight="1">
      <c r="P2906" t="str">
        <f t="shared" si="90"/>
        <v/>
      </c>
      <c r="Q2906" t="str">
        <f>IF(P2906="","",IFERROR(IF(AND(H2906="W7",OR(F2906="causal",F2906="predictive")),IF(AND(OR(K2906=1,K2906="1"),OR(L2906=1,L2906="1"),OR(M2906=1,M2906="1")),"adequate","partial"),IF(AND(H2906="W4",F2906="predictive",OR(J2906="P2",J2906="P3",J2906="P4")),IF(OR(U2906=1,U2906="1"),"adequate","partial"),INDEX(Fit_Matrix!$B:$B,MATCH(P2906,Fit_Matrix!$A:$A,0)))),"CHECK KEY"))</f>
        <v/>
      </c>
      <c r="U2906" s="10"/>
      <c r="V2906" s="10"/>
      <c r="W2906" s="10"/>
      <c r="X2906" s="10"/>
      <c r="Y2906" s="10"/>
      <c r="Z2906" s="10"/>
      <c r="AA2906" s="11" t="str">
        <f t="shared" si="91"/>
        <v/>
      </c>
    </row>
    <row r="2907" spans="16:27" ht="15" customHeight="1">
      <c r="P2907" t="str">
        <f t="shared" si="90"/>
        <v/>
      </c>
      <c r="Q2907" t="str">
        <f>IF(P2907="","",IFERROR(IF(AND(H2907="W7",OR(F2907="causal",F2907="predictive")),IF(AND(OR(K2907=1,K2907="1"),OR(L2907=1,L2907="1"),OR(M2907=1,M2907="1")),"adequate","partial"),IF(AND(H2907="W4",F2907="predictive",OR(J2907="P2",J2907="P3",J2907="P4")),IF(OR(U2907=1,U2907="1"),"adequate","partial"),INDEX(Fit_Matrix!$B:$B,MATCH(P2907,Fit_Matrix!$A:$A,0)))),"CHECK KEY"))</f>
        <v/>
      </c>
      <c r="U2907" s="10"/>
      <c r="V2907" s="10"/>
      <c r="W2907" s="10"/>
      <c r="X2907" s="10"/>
      <c r="Y2907" s="10"/>
      <c r="Z2907" s="10"/>
      <c r="AA2907" s="11" t="str">
        <f t="shared" si="91"/>
        <v/>
      </c>
    </row>
    <row r="2908" spans="16:27" ht="15" customHeight="1">
      <c r="P2908" t="str">
        <f t="shared" si="90"/>
        <v/>
      </c>
      <c r="Q2908" t="str">
        <f>IF(P2908="","",IFERROR(IF(AND(H2908="W7",OR(F2908="causal",F2908="predictive")),IF(AND(OR(K2908=1,K2908="1"),OR(L2908=1,L2908="1"),OR(M2908=1,M2908="1")),"adequate","partial"),IF(AND(H2908="W4",F2908="predictive",OR(J2908="P2",J2908="P3",J2908="P4")),IF(OR(U2908=1,U2908="1"),"adequate","partial"),INDEX(Fit_Matrix!$B:$B,MATCH(P2908,Fit_Matrix!$A:$A,0)))),"CHECK KEY"))</f>
        <v/>
      </c>
      <c r="U2908" s="10"/>
      <c r="V2908" s="10"/>
      <c r="W2908" s="10"/>
      <c r="X2908" s="10"/>
      <c r="Y2908" s="10"/>
      <c r="Z2908" s="10"/>
      <c r="AA2908" s="11" t="str">
        <f t="shared" si="91"/>
        <v/>
      </c>
    </row>
    <row r="2909" spans="16:27" ht="15" customHeight="1">
      <c r="P2909" t="str">
        <f t="shared" si="90"/>
        <v/>
      </c>
      <c r="Q2909" t="str">
        <f>IF(P2909="","",IFERROR(IF(AND(H2909="W7",OR(F2909="causal",F2909="predictive")),IF(AND(OR(K2909=1,K2909="1"),OR(L2909=1,L2909="1"),OR(M2909=1,M2909="1")),"adequate","partial"),IF(AND(H2909="W4",F2909="predictive",OR(J2909="P2",J2909="P3",J2909="P4")),IF(OR(U2909=1,U2909="1"),"adequate","partial"),INDEX(Fit_Matrix!$B:$B,MATCH(P2909,Fit_Matrix!$A:$A,0)))),"CHECK KEY"))</f>
        <v/>
      </c>
      <c r="U2909" s="10"/>
      <c r="V2909" s="10"/>
      <c r="W2909" s="10"/>
      <c r="X2909" s="10"/>
      <c r="Y2909" s="10"/>
      <c r="Z2909" s="10"/>
      <c r="AA2909" s="11" t="str">
        <f t="shared" si="91"/>
        <v/>
      </c>
    </row>
    <row r="2910" spans="16:27" ht="15" customHeight="1">
      <c r="P2910" t="str">
        <f t="shared" si="90"/>
        <v/>
      </c>
      <c r="Q2910" t="str">
        <f>IF(P2910="","",IFERROR(IF(AND(H2910="W7",OR(F2910="causal",F2910="predictive")),IF(AND(OR(K2910=1,K2910="1"),OR(L2910=1,L2910="1"),OR(M2910=1,M2910="1")),"adequate","partial"),IF(AND(H2910="W4",F2910="predictive",OR(J2910="P2",J2910="P3",J2910="P4")),IF(OR(U2910=1,U2910="1"),"adequate","partial"),INDEX(Fit_Matrix!$B:$B,MATCH(P2910,Fit_Matrix!$A:$A,0)))),"CHECK KEY"))</f>
        <v/>
      </c>
      <c r="U2910" s="10"/>
      <c r="V2910" s="10"/>
      <c r="W2910" s="10"/>
      <c r="X2910" s="10"/>
      <c r="Y2910" s="10"/>
      <c r="Z2910" s="10"/>
      <c r="AA2910" s="11" t="str">
        <f t="shared" si="91"/>
        <v/>
      </c>
    </row>
    <row r="2911" spans="16:27" ht="15" customHeight="1">
      <c r="P2911" t="str">
        <f t="shared" si="90"/>
        <v/>
      </c>
      <c r="Q2911" t="str">
        <f>IF(P2911="","",IFERROR(IF(AND(H2911="W7",OR(F2911="causal",F2911="predictive")),IF(AND(OR(K2911=1,K2911="1"),OR(L2911=1,L2911="1"),OR(M2911=1,M2911="1")),"adequate","partial"),IF(AND(H2911="W4",F2911="predictive",OR(J2911="P2",J2911="P3",J2911="P4")),IF(OR(U2911=1,U2911="1"),"adequate","partial"),INDEX(Fit_Matrix!$B:$B,MATCH(P2911,Fit_Matrix!$A:$A,0)))),"CHECK KEY"))</f>
        <v/>
      </c>
      <c r="U2911" s="10"/>
      <c r="V2911" s="10"/>
      <c r="W2911" s="10"/>
      <c r="X2911" s="10"/>
      <c r="Y2911" s="10"/>
      <c r="Z2911" s="10"/>
      <c r="AA2911" s="11" t="str">
        <f t="shared" si="91"/>
        <v/>
      </c>
    </row>
    <row r="2912" spans="16:27" ht="15" customHeight="1">
      <c r="P2912" t="str">
        <f t="shared" si="90"/>
        <v/>
      </c>
      <c r="Q2912" t="str">
        <f>IF(P2912="","",IFERROR(IF(AND(H2912="W7",OR(F2912="causal",F2912="predictive")),IF(AND(OR(K2912=1,K2912="1"),OR(L2912=1,L2912="1"),OR(M2912=1,M2912="1")),"adequate","partial"),IF(AND(H2912="W4",F2912="predictive",OR(J2912="P2",J2912="P3",J2912="P4")),IF(OR(U2912=1,U2912="1"),"adequate","partial"),INDEX(Fit_Matrix!$B:$B,MATCH(P2912,Fit_Matrix!$A:$A,0)))),"CHECK KEY"))</f>
        <v/>
      </c>
      <c r="U2912" s="10"/>
      <c r="V2912" s="10"/>
      <c r="W2912" s="10"/>
      <c r="X2912" s="10"/>
      <c r="Y2912" s="10"/>
      <c r="Z2912" s="10"/>
      <c r="AA2912" s="11" t="str">
        <f t="shared" si="91"/>
        <v/>
      </c>
    </row>
    <row r="2913" spans="16:27" ht="15" customHeight="1">
      <c r="P2913" t="str">
        <f t="shared" si="90"/>
        <v/>
      </c>
      <c r="Q2913" t="str">
        <f>IF(P2913="","",IFERROR(IF(AND(H2913="W7",OR(F2913="causal",F2913="predictive")),IF(AND(OR(K2913=1,K2913="1"),OR(L2913=1,L2913="1"),OR(M2913=1,M2913="1")),"adequate","partial"),IF(AND(H2913="W4",F2913="predictive",OR(J2913="P2",J2913="P3",J2913="P4")),IF(OR(U2913=1,U2913="1"),"adequate","partial"),INDEX(Fit_Matrix!$B:$B,MATCH(P2913,Fit_Matrix!$A:$A,0)))),"CHECK KEY"))</f>
        <v/>
      </c>
      <c r="U2913" s="10"/>
      <c r="V2913" s="10"/>
      <c r="W2913" s="10"/>
      <c r="X2913" s="10"/>
      <c r="Y2913" s="10"/>
      <c r="Z2913" s="10"/>
      <c r="AA2913" s="11" t="str">
        <f t="shared" si="91"/>
        <v/>
      </c>
    </row>
    <row r="2914" spans="16:27" ht="15" customHeight="1">
      <c r="P2914" t="str">
        <f t="shared" si="90"/>
        <v/>
      </c>
      <c r="Q2914" t="str">
        <f>IF(P2914="","",IFERROR(IF(AND(H2914="W7",OR(F2914="causal",F2914="predictive")),IF(AND(OR(K2914=1,K2914="1"),OR(L2914=1,L2914="1"),OR(M2914=1,M2914="1")),"adequate","partial"),IF(AND(H2914="W4",F2914="predictive",OR(J2914="P2",J2914="P3",J2914="P4")),IF(OR(U2914=1,U2914="1"),"adequate","partial"),INDEX(Fit_Matrix!$B:$B,MATCH(P2914,Fit_Matrix!$A:$A,0)))),"CHECK KEY"))</f>
        <v/>
      </c>
      <c r="U2914" s="10"/>
      <c r="V2914" s="10"/>
      <c r="W2914" s="10"/>
      <c r="X2914" s="10"/>
      <c r="Y2914" s="10"/>
      <c r="Z2914" s="10"/>
      <c r="AA2914" s="11" t="str">
        <f t="shared" si="91"/>
        <v/>
      </c>
    </row>
    <row r="2915" spans="16:27" ht="15" customHeight="1">
      <c r="P2915" t="str">
        <f t="shared" si="90"/>
        <v/>
      </c>
      <c r="Q2915" t="str">
        <f>IF(P2915="","",IFERROR(IF(AND(H2915="W7",OR(F2915="causal",F2915="predictive")),IF(AND(OR(K2915=1,K2915="1"),OR(L2915=1,L2915="1"),OR(M2915=1,M2915="1")),"adequate","partial"),IF(AND(H2915="W4",F2915="predictive",OR(J2915="P2",J2915="P3",J2915="P4")),IF(OR(U2915=1,U2915="1"),"adequate","partial"),INDEX(Fit_Matrix!$B:$B,MATCH(P2915,Fit_Matrix!$A:$A,0)))),"CHECK KEY"))</f>
        <v/>
      </c>
      <c r="U2915" s="10"/>
      <c r="V2915" s="10"/>
      <c r="W2915" s="10"/>
      <c r="X2915" s="10"/>
      <c r="Y2915" s="10"/>
      <c r="Z2915" s="10"/>
      <c r="AA2915" s="11" t="str">
        <f t="shared" si="91"/>
        <v/>
      </c>
    </row>
    <row r="2916" spans="16:27" ht="15" customHeight="1">
      <c r="P2916" t="str">
        <f t="shared" si="90"/>
        <v/>
      </c>
      <c r="Q2916" t="str">
        <f>IF(P2916="","",IFERROR(IF(AND(H2916="W7",OR(F2916="causal",F2916="predictive")),IF(AND(OR(K2916=1,K2916="1"),OR(L2916=1,L2916="1"),OR(M2916=1,M2916="1")),"adequate","partial"),IF(AND(H2916="W4",F2916="predictive",OR(J2916="P2",J2916="P3",J2916="P4")),IF(OR(U2916=1,U2916="1"),"adequate","partial"),INDEX(Fit_Matrix!$B:$B,MATCH(P2916,Fit_Matrix!$A:$A,0)))),"CHECK KEY"))</f>
        <v/>
      </c>
      <c r="U2916" s="10"/>
      <c r="V2916" s="10"/>
      <c r="W2916" s="10"/>
      <c r="X2916" s="10"/>
      <c r="Y2916" s="10"/>
      <c r="Z2916" s="10"/>
      <c r="AA2916" s="11" t="str">
        <f t="shared" si="91"/>
        <v/>
      </c>
    </row>
    <row r="2917" spans="16:27" ht="15" customHeight="1">
      <c r="P2917" t="str">
        <f t="shared" si="90"/>
        <v/>
      </c>
      <c r="Q2917" t="str">
        <f>IF(P2917="","",IFERROR(IF(AND(H2917="W7",OR(F2917="causal",F2917="predictive")),IF(AND(OR(K2917=1,K2917="1"),OR(L2917=1,L2917="1"),OR(M2917=1,M2917="1")),"adequate","partial"),IF(AND(H2917="W4",F2917="predictive",OR(J2917="P2",J2917="P3",J2917="P4")),IF(OR(U2917=1,U2917="1"),"adequate","partial"),INDEX(Fit_Matrix!$B:$B,MATCH(P2917,Fit_Matrix!$A:$A,0)))),"CHECK KEY"))</f>
        <v/>
      </c>
      <c r="U2917" s="10"/>
      <c r="V2917" s="10"/>
      <c r="W2917" s="10"/>
      <c r="X2917" s="10"/>
      <c r="Y2917" s="10"/>
      <c r="Z2917" s="10"/>
      <c r="AA2917" s="11" t="str">
        <f t="shared" si="91"/>
        <v/>
      </c>
    </row>
    <row r="2918" spans="16:27" ht="15" customHeight="1">
      <c r="P2918" t="str">
        <f t="shared" si="90"/>
        <v/>
      </c>
      <c r="Q2918" t="str">
        <f>IF(P2918="","",IFERROR(IF(AND(H2918="W7",OR(F2918="causal",F2918="predictive")),IF(AND(OR(K2918=1,K2918="1"),OR(L2918=1,L2918="1"),OR(M2918=1,M2918="1")),"adequate","partial"),IF(AND(H2918="W4",F2918="predictive",OR(J2918="P2",J2918="P3",J2918="P4")),IF(OR(U2918=1,U2918="1"),"adequate","partial"),INDEX(Fit_Matrix!$B:$B,MATCH(P2918,Fit_Matrix!$A:$A,0)))),"CHECK KEY"))</f>
        <v/>
      </c>
      <c r="U2918" s="10"/>
      <c r="V2918" s="10"/>
      <c r="W2918" s="10"/>
      <c r="X2918" s="10"/>
      <c r="Y2918" s="10"/>
      <c r="Z2918" s="10"/>
      <c r="AA2918" s="11" t="str">
        <f t="shared" si="91"/>
        <v/>
      </c>
    </row>
    <row r="2919" spans="16:27" ht="15" customHeight="1">
      <c r="P2919" t="str">
        <f t="shared" si="90"/>
        <v/>
      </c>
      <c r="Q2919" t="str">
        <f>IF(P2919="","",IFERROR(IF(AND(H2919="W7",OR(F2919="causal",F2919="predictive")),IF(AND(OR(K2919=1,K2919="1"),OR(L2919=1,L2919="1"),OR(M2919=1,M2919="1")),"adequate","partial"),IF(AND(H2919="W4",F2919="predictive",OR(J2919="P2",J2919="P3",J2919="P4")),IF(OR(U2919=1,U2919="1"),"adequate","partial"),INDEX(Fit_Matrix!$B:$B,MATCH(P2919,Fit_Matrix!$A:$A,0)))),"CHECK KEY"))</f>
        <v/>
      </c>
      <c r="U2919" s="10"/>
      <c r="V2919" s="10"/>
      <c r="W2919" s="10"/>
      <c r="X2919" s="10"/>
      <c r="Y2919" s="10"/>
      <c r="Z2919" s="10"/>
      <c r="AA2919" s="11" t="str">
        <f t="shared" si="91"/>
        <v/>
      </c>
    </row>
    <row r="2920" spans="16:27" ht="15" customHeight="1">
      <c r="P2920" t="str">
        <f t="shared" si="90"/>
        <v/>
      </c>
      <c r="Q2920" t="str">
        <f>IF(P2920="","",IFERROR(IF(AND(H2920="W7",OR(F2920="causal",F2920="predictive")),IF(AND(OR(K2920=1,K2920="1"),OR(L2920=1,L2920="1"),OR(M2920=1,M2920="1")),"adequate","partial"),IF(AND(H2920="W4",F2920="predictive",OR(J2920="P2",J2920="P3",J2920="P4")),IF(OR(U2920=1,U2920="1"),"adequate","partial"),INDEX(Fit_Matrix!$B:$B,MATCH(P2920,Fit_Matrix!$A:$A,0)))),"CHECK KEY"))</f>
        <v/>
      </c>
      <c r="U2920" s="10"/>
      <c r="V2920" s="10"/>
      <c r="W2920" s="10"/>
      <c r="X2920" s="10"/>
      <c r="Y2920" s="10"/>
      <c r="Z2920" s="10"/>
      <c r="AA2920" s="11" t="str">
        <f t="shared" si="91"/>
        <v/>
      </c>
    </row>
    <row r="2921" spans="16:27" ht="15" customHeight="1">
      <c r="P2921" t="str">
        <f t="shared" si="90"/>
        <v/>
      </c>
      <c r="Q2921" t="str">
        <f>IF(P2921="","",IFERROR(IF(AND(H2921="W7",OR(F2921="causal",F2921="predictive")),IF(AND(OR(K2921=1,K2921="1"),OR(L2921=1,L2921="1"),OR(M2921=1,M2921="1")),"adequate","partial"),IF(AND(H2921="W4",F2921="predictive",OR(J2921="P2",J2921="P3",J2921="P4")),IF(OR(U2921=1,U2921="1"),"adequate","partial"),INDEX(Fit_Matrix!$B:$B,MATCH(P2921,Fit_Matrix!$A:$A,0)))),"CHECK KEY"))</f>
        <v/>
      </c>
      <c r="U2921" s="10"/>
      <c r="V2921" s="10"/>
      <c r="W2921" s="10"/>
      <c r="X2921" s="10"/>
      <c r="Y2921" s="10"/>
      <c r="Z2921" s="10"/>
      <c r="AA2921" s="11" t="str">
        <f t="shared" si="91"/>
        <v/>
      </c>
    </row>
    <row r="2922" spans="16:27" ht="15" customHeight="1">
      <c r="P2922" t="str">
        <f t="shared" si="90"/>
        <v/>
      </c>
      <c r="Q2922" t="str">
        <f>IF(P2922="","",IFERROR(IF(AND(H2922="W7",OR(F2922="causal",F2922="predictive")),IF(AND(OR(K2922=1,K2922="1"),OR(L2922=1,L2922="1"),OR(M2922=1,M2922="1")),"adequate","partial"),IF(AND(H2922="W4",F2922="predictive",OR(J2922="P2",J2922="P3",J2922="P4")),IF(OR(U2922=1,U2922="1"),"adequate","partial"),INDEX(Fit_Matrix!$B:$B,MATCH(P2922,Fit_Matrix!$A:$A,0)))),"CHECK KEY"))</f>
        <v/>
      </c>
      <c r="U2922" s="10"/>
      <c r="V2922" s="10"/>
      <c r="W2922" s="10"/>
      <c r="X2922" s="10"/>
      <c r="Y2922" s="10"/>
      <c r="Z2922" s="10"/>
      <c r="AA2922" s="11" t="str">
        <f t="shared" si="91"/>
        <v/>
      </c>
    </row>
    <row r="2923" spans="16:27" ht="15" customHeight="1">
      <c r="P2923" t="str">
        <f t="shared" si="90"/>
        <v/>
      </c>
      <c r="Q2923" t="str">
        <f>IF(P2923="","",IFERROR(IF(AND(H2923="W7",OR(F2923="causal",F2923="predictive")),IF(AND(OR(K2923=1,K2923="1"),OR(L2923=1,L2923="1"),OR(M2923=1,M2923="1")),"adequate","partial"),IF(AND(H2923="W4",F2923="predictive",OR(J2923="P2",J2923="P3",J2923="P4")),IF(OR(U2923=1,U2923="1"),"adequate","partial"),INDEX(Fit_Matrix!$B:$B,MATCH(P2923,Fit_Matrix!$A:$A,0)))),"CHECK KEY"))</f>
        <v/>
      </c>
      <c r="U2923" s="10"/>
      <c r="V2923" s="10"/>
      <c r="W2923" s="10"/>
      <c r="X2923" s="10"/>
      <c r="Y2923" s="10"/>
      <c r="Z2923" s="10"/>
      <c r="AA2923" s="11" t="str">
        <f t="shared" si="91"/>
        <v/>
      </c>
    </row>
    <row r="2924" spans="16:27" ht="15" customHeight="1">
      <c r="P2924" t="str">
        <f t="shared" si="90"/>
        <v/>
      </c>
      <c r="Q2924" t="str">
        <f>IF(P2924="","",IFERROR(IF(AND(H2924="W7",OR(F2924="causal",F2924="predictive")),IF(AND(OR(K2924=1,K2924="1"),OR(L2924=1,L2924="1"),OR(M2924=1,M2924="1")),"adequate","partial"),IF(AND(H2924="W4",F2924="predictive",OR(J2924="P2",J2924="P3",J2924="P4")),IF(OR(U2924=1,U2924="1"),"adequate","partial"),INDEX(Fit_Matrix!$B:$B,MATCH(P2924,Fit_Matrix!$A:$A,0)))),"CHECK KEY"))</f>
        <v/>
      </c>
      <c r="U2924" s="10"/>
      <c r="V2924" s="10"/>
      <c r="W2924" s="10"/>
      <c r="X2924" s="10"/>
      <c r="Y2924" s="10"/>
      <c r="Z2924" s="10"/>
      <c r="AA2924" s="11" t="str">
        <f t="shared" si="91"/>
        <v/>
      </c>
    </row>
    <row r="2925" spans="16:27" ht="15" customHeight="1">
      <c r="P2925" t="str">
        <f t="shared" si="90"/>
        <v/>
      </c>
      <c r="Q2925" t="str">
        <f>IF(P2925="","",IFERROR(IF(AND(H2925="W7",OR(F2925="causal",F2925="predictive")),IF(AND(OR(K2925=1,K2925="1"),OR(L2925=1,L2925="1"),OR(M2925=1,M2925="1")),"adequate","partial"),IF(AND(H2925="W4",F2925="predictive",OR(J2925="P2",J2925="P3",J2925="P4")),IF(OR(U2925=1,U2925="1"),"adequate","partial"),INDEX(Fit_Matrix!$B:$B,MATCH(P2925,Fit_Matrix!$A:$A,0)))),"CHECK KEY"))</f>
        <v/>
      </c>
      <c r="U2925" s="10"/>
      <c r="V2925" s="10"/>
      <c r="W2925" s="10"/>
      <c r="X2925" s="10"/>
      <c r="Y2925" s="10"/>
      <c r="Z2925" s="10"/>
      <c r="AA2925" s="11" t="str">
        <f t="shared" si="91"/>
        <v/>
      </c>
    </row>
    <row r="2926" spans="16:27" ht="15" customHeight="1">
      <c r="P2926" t="str">
        <f t="shared" si="90"/>
        <v/>
      </c>
      <c r="Q2926" t="str">
        <f>IF(P2926="","",IFERROR(IF(AND(H2926="W7",OR(F2926="causal",F2926="predictive")),IF(AND(OR(K2926=1,K2926="1"),OR(L2926=1,L2926="1"),OR(M2926=1,M2926="1")),"adequate","partial"),IF(AND(H2926="W4",F2926="predictive",OR(J2926="P2",J2926="P3",J2926="P4")),IF(OR(U2926=1,U2926="1"),"adequate","partial"),INDEX(Fit_Matrix!$B:$B,MATCH(P2926,Fit_Matrix!$A:$A,0)))),"CHECK KEY"))</f>
        <v/>
      </c>
      <c r="U2926" s="10"/>
      <c r="V2926" s="10"/>
      <c r="W2926" s="10"/>
      <c r="X2926" s="10"/>
      <c r="Y2926" s="10"/>
      <c r="Z2926" s="10"/>
      <c r="AA2926" s="11" t="str">
        <f t="shared" si="91"/>
        <v/>
      </c>
    </row>
    <row r="2927" spans="16:27" ht="15" customHeight="1">
      <c r="P2927" t="str">
        <f t="shared" si="90"/>
        <v/>
      </c>
      <c r="Q2927" t="str">
        <f>IF(P2927="","",IFERROR(IF(AND(H2927="W7",OR(F2927="causal",F2927="predictive")),IF(AND(OR(K2927=1,K2927="1"),OR(L2927=1,L2927="1"),OR(M2927=1,M2927="1")),"adequate","partial"),IF(AND(H2927="W4",F2927="predictive",OR(J2927="P2",J2927="P3",J2927="P4")),IF(OR(U2927=1,U2927="1"),"adequate","partial"),INDEX(Fit_Matrix!$B:$B,MATCH(P2927,Fit_Matrix!$A:$A,0)))),"CHECK KEY"))</f>
        <v/>
      </c>
      <c r="U2927" s="10"/>
      <c r="V2927" s="10"/>
      <c r="W2927" s="10"/>
      <c r="X2927" s="10"/>
      <c r="Y2927" s="10"/>
      <c r="Z2927" s="10"/>
      <c r="AA2927" s="11" t="str">
        <f t="shared" si="91"/>
        <v/>
      </c>
    </row>
    <row r="2928" spans="16:27" ht="15" customHeight="1">
      <c r="P2928" t="str">
        <f t="shared" si="90"/>
        <v/>
      </c>
      <c r="Q2928" t="str">
        <f>IF(P2928="","",IFERROR(IF(AND(H2928="W7",OR(F2928="causal",F2928="predictive")),IF(AND(OR(K2928=1,K2928="1"),OR(L2928=1,L2928="1"),OR(M2928=1,M2928="1")),"adequate","partial"),IF(AND(H2928="W4",F2928="predictive",OR(J2928="P2",J2928="P3",J2928="P4")),IF(OR(U2928=1,U2928="1"),"adequate","partial"),INDEX(Fit_Matrix!$B:$B,MATCH(P2928,Fit_Matrix!$A:$A,0)))),"CHECK KEY"))</f>
        <v/>
      </c>
      <c r="U2928" s="10"/>
      <c r="V2928" s="10"/>
      <c r="W2928" s="10"/>
      <c r="X2928" s="10"/>
      <c r="Y2928" s="10"/>
      <c r="Z2928" s="10"/>
      <c r="AA2928" s="11" t="str">
        <f t="shared" si="91"/>
        <v/>
      </c>
    </row>
    <row r="2929" spans="16:27" ht="15" customHeight="1">
      <c r="P2929" t="str">
        <f t="shared" si="90"/>
        <v/>
      </c>
      <c r="Q2929" t="str">
        <f>IF(P2929="","",IFERROR(IF(AND(H2929="W7",OR(F2929="causal",F2929="predictive")),IF(AND(OR(K2929=1,K2929="1"),OR(L2929=1,L2929="1"),OR(M2929=1,M2929="1")),"adequate","partial"),IF(AND(H2929="W4",F2929="predictive",OR(J2929="P2",J2929="P3",J2929="P4")),IF(OR(U2929=1,U2929="1"),"adequate","partial"),INDEX(Fit_Matrix!$B:$B,MATCH(P2929,Fit_Matrix!$A:$A,0)))),"CHECK KEY"))</f>
        <v/>
      </c>
      <c r="U2929" s="10"/>
      <c r="V2929" s="10"/>
      <c r="W2929" s="10"/>
      <c r="X2929" s="10"/>
      <c r="Y2929" s="10"/>
      <c r="Z2929" s="10"/>
      <c r="AA2929" s="11" t="str">
        <f t="shared" si="91"/>
        <v/>
      </c>
    </row>
    <row r="2930" spans="16:27" ht="15" customHeight="1">
      <c r="P2930" t="str">
        <f t="shared" si="90"/>
        <v/>
      </c>
      <c r="Q2930" t="str">
        <f>IF(P2930="","",IFERROR(IF(AND(H2930="W7",OR(F2930="causal",F2930="predictive")),IF(AND(OR(K2930=1,K2930="1"),OR(L2930=1,L2930="1"),OR(M2930=1,M2930="1")),"adequate","partial"),IF(AND(H2930="W4",F2930="predictive",OR(J2930="P2",J2930="P3",J2930="P4")),IF(OR(U2930=1,U2930="1"),"adequate","partial"),INDEX(Fit_Matrix!$B:$B,MATCH(P2930,Fit_Matrix!$A:$A,0)))),"CHECK KEY"))</f>
        <v/>
      </c>
      <c r="U2930" s="10"/>
      <c r="V2930" s="10"/>
      <c r="W2930" s="10"/>
      <c r="X2930" s="10"/>
      <c r="Y2930" s="10"/>
      <c r="Z2930" s="10"/>
      <c r="AA2930" s="11" t="str">
        <f t="shared" si="91"/>
        <v/>
      </c>
    </row>
    <row r="2931" spans="16:27" ht="15" customHeight="1">
      <c r="P2931" t="str">
        <f t="shared" si="90"/>
        <v/>
      </c>
      <c r="Q2931" t="str">
        <f>IF(P2931="","",IFERROR(IF(AND(H2931="W7",OR(F2931="causal",F2931="predictive")),IF(AND(OR(K2931=1,K2931="1"),OR(L2931=1,L2931="1"),OR(M2931=1,M2931="1")),"adequate","partial"),IF(AND(H2931="W4",F2931="predictive",OR(J2931="P2",J2931="P3",J2931="P4")),IF(OR(U2931=1,U2931="1"),"adequate","partial"),INDEX(Fit_Matrix!$B:$B,MATCH(P2931,Fit_Matrix!$A:$A,0)))),"CHECK KEY"))</f>
        <v/>
      </c>
      <c r="U2931" s="10"/>
      <c r="V2931" s="10"/>
      <c r="W2931" s="10"/>
      <c r="X2931" s="10"/>
      <c r="Y2931" s="10"/>
      <c r="Z2931" s="10"/>
      <c r="AA2931" s="11" t="str">
        <f t="shared" si="91"/>
        <v/>
      </c>
    </row>
    <row r="2932" spans="16:27" ht="15" customHeight="1">
      <c r="P2932" t="str">
        <f t="shared" si="90"/>
        <v/>
      </c>
      <c r="Q2932" t="str">
        <f>IF(P2932="","",IFERROR(IF(AND(H2932="W7",OR(F2932="causal",F2932="predictive")),IF(AND(OR(K2932=1,K2932="1"),OR(L2932=1,L2932="1"),OR(M2932=1,M2932="1")),"adequate","partial"),IF(AND(H2932="W4",F2932="predictive",OR(J2932="P2",J2932="P3",J2932="P4")),IF(OR(U2932=1,U2932="1"),"adequate","partial"),INDEX(Fit_Matrix!$B:$B,MATCH(P2932,Fit_Matrix!$A:$A,0)))),"CHECK KEY"))</f>
        <v/>
      </c>
      <c r="U2932" s="10"/>
      <c r="V2932" s="10"/>
      <c r="W2932" s="10"/>
      <c r="X2932" s="10"/>
      <c r="Y2932" s="10"/>
      <c r="Z2932" s="10"/>
      <c r="AA2932" s="11" t="str">
        <f t="shared" si="91"/>
        <v/>
      </c>
    </row>
    <row r="2933" spans="16:27" ht="15" customHeight="1">
      <c r="P2933" t="str">
        <f t="shared" si="90"/>
        <v/>
      </c>
      <c r="Q2933" t="str">
        <f>IF(P2933="","",IFERROR(IF(AND(H2933="W7",OR(F2933="causal",F2933="predictive")),IF(AND(OR(K2933=1,K2933="1"),OR(L2933=1,L2933="1"),OR(M2933=1,M2933="1")),"adequate","partial"),IF(AND(H2933="W4",F2933="predictive",OR(J2933="P2",J2933="P3",J2933="P4")),IF(OR(U2933=1,U2933="1"),"adequate","partial"),INDEX(Fit_Matrix!$B:$B,MATCH(P2933,Fit_Matrix!$A:$A,0)))),"CHECK KEY"))</f>
        <v/>
      </c>
      <c r="U2933" s="10"/>
      <c r="V2933" s="10"/>
      <c r="W2933" s="10"/>
      <c r="X2933" s="10"/>
      <c r="Y2933" s="10"/>
      <c r="Z2933" s="10"/>
      <c r="AA2933" s="11" t="str">
        <f t="shared" si="91"/>
        <v/>
      </c>
    </row>
    <row r="2934" spans="16:27" ht="15" customHeight="1">
      <c r="P2934" t="str">
        <f t="shared" si="90"/>
        <v/>
      </c>
      <c r="Q2934" t="str">
        <f>IF(P2934="","",IFERROR(IF(AND(H2934="W7",OR(F2934="causal",F2934="predictive")),IF(AND(OR(K2934=1,K2934="1"),OR(L2934=1,L2934="1"),OR(M2934=1,M2934="1")),"adequate","partial"),IF(AND(H2934="W4",F2934="predictive",OR(J2934="P2",J2934="P3",J2934="P4")),IF(OR(U2934=1,U2934="1"),"adequate","partial"),INDEX(Fit_Matrix!$B:$B,MATCH(P2934,Fit_Matrix!$A:$A,0)))),"CHECK KEY"))</f>
        <v/>
      </c>
      <c r="U2934" s="10"/>
      <c r="V2934" s="10"/>
      <c r="W2934" s="10"/>
      <c r="X2934" s="10"/>
      <c r="Y2934" s="10"/>
      <c r="Z2934" s="10"/>
      <c r="AA2934" s="11" t="str">
        <f t="shared" si="91"/>
        <v/>
      </c>
    </row>
    <row r="2935" spans="16:27" ht="15" customHeight="1">
      <c r="P2935" t="str">
        <f t="shared" si="90"/>
        <v/>
      </c>
      <c r="Q2935" t="str">
        <f>IF(P2935="","",IFERROR(IF(AND(H2935="W7",OR(F2935="causal",F2935="predictive")),IF(AND(OR(K2935=1,K2935="1"),OR(L2935=1,L2935="1"),OR(M2935=1,M2935="1")),"adequate","partial"),IF(AND(H2935="W4",F2935="predictive",OR(J2935="P2",J2935="P3",J2935="P4")),IF(OR(U2935=1,U2935="1"),"adequate","partial"),INDEX(Fit_Matrix!$B:$B,MATCH(P2935,Fit_Matrix!$A:$A,0)))),"CHECK KEY"))</f>
        <v/>
      </c>
      <c r="U2935" s="10"/>
      <c r="V2935" s="10"/>
      <c r="W2935" s="10"/>
      <c r="X2935" s="10"/>
      <c r="Y2935" s="10"/>
      <c r="Z2935" s="10"/>
      <c r="AA2935" s="11" t="str">
        <f t="shared" si="91"/>
        <v/>
      </c>
    </row>
    <row r="2936" spans="16:27" ht="15" customHeight="1">
      <c r="P2936" t="str">
        <f t="shared" si="90"/>
        <v/>
      </c>
      <c r="Q2936" t="str">
        <f>IF(P2936="","",IFERROR(IF(AND(H2936="W7",OR(F2936="causal",F2936="predictive")),IF(AND(OR(K2936=1,K2936="1"),OR(L2936=1,L2936="1"),OR(M2936=1,M2936="1")),"adequate","partial"),IF(AND(H2936="W4",F2936="predictive",OR(J2936="P2",J2936="P3",J2936="P4")),IF(OR(U2936=1,U2936="1"),"adequate","partial"),INDEX(Fit_Matrix!$B:$B,MATCH(P2936,Fit_Matrix!$A:$A,0)))),"CHECK KEY"))</f>
        <v/>
      </c>
      <c r="U2936" s="10"/>
      <c r="V2936" s="10"/>
      <c r="W2936" s="10"/>
      <c r="X2936" s="10"/>
      <c r="Y2936" s="10"/>
      <c r="Z2936" s="10"/>
      <c r="AA2936" s="11" t="str">
        <f t="shared" si="91"/>
        <v/>
      </c>
    </row>
    <row r="2937" spans="16:27" ht="15" customHeight="1">
      <c r="P2937" t="str">
        <f t="shared" si="90"/>
        <v/>
      </c>
      <c r="Q2937" t="str">
        <f>IF(P2937="","",IFERROR(IF(AND(H2937="W7",OR(F2937="causal",F2937="predictive")),IF(AND(OR(K2937=1,K2937="1"),OR(L2937=1,L2937="1"),OR(M2937=1,M2937="1")),"adequate","partial"),IF(AND(H2937="W4",F2937="predictive",OR(J2937="P2",J2937="P3",J2937="P4")),IF(OR(U2937=1,U2937="1"),"adequate","partial"),INDEX(Fit_Matrix!$B:$B,MATCH(P2937,Fit_Matrix!$A:$A,0)))),"CHECK KEY"))</f>
        <v/>
      </c>
      <c r="U2937" s="10"/>
      <c r="V2937" s="10"/>
      <c r="W2937" s="10"/>
      <c r="X2937" s="10"/>
      <c r="Y2937" s="10"/>
      <c r="Z2937" s="10"/>
      <c r="AA2937" s="11" t="str">
        <f t="shared" si="91"/>
        <v/>
      </c>
    </row>
    <row r="2938" spans="16:27" ht="15" customHeight="1">
      <c r="P2938" t="str">
        <f t="shared" si="90"/>
        <v/>
      </c>
      <c r="Q2938" t="str">
        <f>IF(P2938="","",IFERROR(IF(AND(H2938="W7",OR(F2938="causal",F2938="predictive")),IF(AND(OR(K2938=1,K2938="1"),OR(L2938=1,L2938="1"),OR(M2938=1,M2938="1")),"adequate","partial"),IF(AND(H2938="W4",F2938="predictive",OR(J2938="P2",J2938="P3",J2938="P4")),IF(OR(U2938=1,U2938="1"),"adequate","partial"),INDEX(Fit_Matrix!$B:$B,MATCH(P2938,Fit_Matrix!$A:$A,0)))),"CHECK KEY"))</f>
        <v/>
      </c>
      <c r="U2938" s="10"/>
      <c r="V2938" s="10"/>
      <c r="W2938" s="10"/>
      <c r="X2938" s="10"/>
      <c r="Y2938" s="10"/>
      <c r="Z2938" s="10"/>
      <c r="AA2938" s="11" t="str">
        <f t="shared" si="91"/>
        <v/>
      </c>
    </row>
    <row r="2939" spans="16:27" ht="15" customHeight="1">
      <c r="P2939" t="str">
        <f t="shared" si="90"/>
        <v/>
      </c>
      <c r="Q2939" t="str">
        <f>IF(P2939="","",IFERROR(IF(AND(H2939="W7",OR(F2939="causal",F2939="predictive")),IF(AND(OR(K2939=1,K2939="1"),OR(L2939=1,L2939="1"),OR(M2939=1,M2939="1")),"adequate","partial"),IF(AND(H2939="W4",F2939="predictive",OR(J2939="P2",J2939="P3",J2939="P4")),IF(OR(U2939=1,U2939="1"),"adequate","partial"),INDEX(Fit_Matrix!$B:$B,MATCH(P2939,Fit_Matrix!$A:$A,0)))),"CHECK KEY"))</f>
        <v/>
      </c>
      <c r="U2939" s="10"/>
      <c r="V2939" s="10"/>
      <c r="W2939" s="10"/>
      <c r="X2939" s="10"/>
      <c r="Y2939" s="10"/>
      <c r="Z2939" s="10"/>
      <c r="AA2939" s="11" t="str">
        <f t="shared" si="91"/>
        <v/>
      </c>
    </row>
    <row r="2940" spans="16:27" ht="15" customHeight="1">
      <c r="P2940" t="str">
        <f t="shared" si="90"/>
        <v/>
      </c>
      <c r="Q2940" t="str">
        <f>IF(P2940="","",IFERROR(IF(AND(H2940="W7",OR(F2940="causal",F2940="predictive")),IF(AND(OR(K2940=1,K2940="1"),OR(L2940=1,L2940="1"),OR(M2940=1,M2940="1")),"adequate","partial"),IF(AND(H2940="W4",F2940="predictive",OR(J2940="P2",J2940="P3",J2940="P4")),IF(OR(U2940=1,U2940="1"),"adequate","partial"),INDEX(Fit_Matrix!$B:$B,MATCH(P2940,Fit_Matrix!$A:$A,0)))),"CHECK KEY"))</f>
        <v/>
      </c>
      <c r="U2940" s="10"/>
      <c r="V2940" s="10"/>
      <c r="W2940" s="10"/>
      <c r="X2940" s="10"/>
      <c r="Y2940" s="10"/>
      <c r="Z2940" s="10"/>
      <c r="AA2940" s="11" t="str">
        <f t="shared" si="91"/>
        <v/>
      </c>
    </row>
    <row r="2941" spans="16:27" ht="15" customHeight="1">
      <c r="P2941" t="str">
        <f t="shared" si="90"/>
        <v/>
      </c>
      <c r="Q2941" t="str">
        <f>IF(P2941="","",IFERROR(IF(AND(H2941="W7",OR(F2941="causal",F2941="predictive")),IF(AND(OR(K2941=1,K2941="1"),OR(L2941=1,L2941="1"),OR(M2941=1,M2941="1")),"adequate","partial"),IF(AND(H2941="W4",F2941="predictive",OR(J2941="P2",J2941="P3",J2941="P4")),IF(OR(U2941=1,U2941="1"),"adequate","partial"),INDEX(Fit_Matrix!$B:$B,MATCH(P2941,Fit_Matrix!$A:$A,0)))),"CHECK KEY"))</f>
        <v/>
      </c>
      <c r="U2941" s="10"/>
      <c r="V2941" s="10"/>
      <c r="W2941" s="10"/>
      <c r="X2941" s="10"/>
      <c r="Y2941" s="10"/>
      <c r="Z2941" s="10"/>
      <c r="AA2941" s="11" t="str">
        <f t="shared" si="91"/>
        <v/>
      </c>
    </row>
    <row r="2942" spans="16:27" ht="15" customHeight="1">
      <c r="P2942" t="str">
        <f t="shared" si="90"/>
        <v/>
      </c>
      <c r="Q2942" t="str">
        <f>IF(P2942="","",IFERROR(IF(AND(H2942="W7",OR(F2942="causal",F2942="predictive")),IF(AND(OR(K2942=1,K2942="1"),OR(L2942=1,L2942="1"),OR(M2942=1,M2942="1")),"adequate","partial"),IF(AND(H2942="W4",F2942="predictive",OR(J2942="P2",J2942="P3",J2942="P4")),IF(OR(U2942=1,U2942="1"),"adequate","partial"),INDEX(Fit_Matrix!$B:$B,MATCH(P2942,Fit_Matrix!$A:$A,0)))),"CHECK KEY"))</f>
        <v/>
      </c>
      <c r="U2942" s="10"/>
      <c r="V2942" s="10"/>
      <c r="W2942" s="10"/>
      <c r="X2942" s="10"/>
      <c r="Y2942" s="10"/>
      <c r="Z2942" s="10"/>
      <c r="AA2942" s="11" t="str">
        <f t="shared" si="91"/>
        <v/>
      </c>
    </row>
    <row r="2943" spans="16:27" ht="15" customHeight="1">
      <c r="P2943" t="str">
        <f t="shared" si="90"/>
        <v/>
      </c>
      <c r="Q2943" t="str">
        <f>IF(P2943="","",IFERROR(IF(AND(H2943="W7",OR(F2943="causal",F2943="predictive")),IF(AND(OR(K2943=1,K2943="1"),OR(L2943=1,L2943="1"),OR(M2943=1,M2943="1")),"adequate","partial"),IF(AND(H2943="W4",F2943="predictive",OR(J2943="P2",J2943="P3",J2943="P4")),IF(OR(U2943=1,U2943="1"),"adequate","partial"),INDEX(Fit_Matrix!$B:$B,MATCH(P2943,Fit_Matrix!$A:$A,0)))),"CHECK KEY"))</f>
        <v/>
      </c>
      <c r="U2943" s="10"/>
      <c r="V2943" s="10"/>
      <c r="W2943" s="10"/>
      <c r="X2943" s="10"/>
      <c r="Y2943" s="10"/>
      <c r="Z2943" s="10"/>
      <c r="AA2943" s="11" t="str">
        <f t="shared" si="91"/>
        <v/>
      </c>
    </row>
    <row r="2944" spans="16:27" ht="15" customHeight="1">
      <c r="P2944" t="str">
        <f t="shared" si="90"/>
        <v/>
      </c>
      <c r="Q2944" t="str">
        <f>IF(P2944="","",IFERROR(IF(AND(H2944="W7",OR(F2944="causal",F2944="predictive")),IF(AND(OR(K2944=1,K2944="1"),OR(L2944=1,L2944="1"),OR(M2944=1,M2944="1")),"adequate","partial"),IF(AND(H2944="W4",F2944="predictive",OR(J2944="P2",J2944="P3",J2944="P4")),IF(OR(U2944=1,U2944="1"),"adequate","partial"),INDEX(Fit_Matrix!$B:$B,MATCH(P2944,Fit_Matrix!$A:$A,0)))),"CHECK KEY"))</f>
        <v/>
      </c>
      <c r="U2944" s="10"/>
      <c r="V2944" s="10"/>
      <c r="W2944" s="10"/>
      <c r="X2944" s="10"/>
      <c r="Y2944" s="10"/>
      <c r="Z2944" s="10"/>
      <c r="AA2944" s="11" t="str">
        <f t="shared" si="91"/>
        <v/>
      </c>
    </row>
    <row r="2945" spans="16:27" ht="15" customHeight="1">
      <c r="P2945" t="str">
        <f t="shared" si="90"/>
        <v/>
      </c>
      <c r="Q2945" t="str">
        <f>IF(P2945="","",IFERROR(IF(AND(H2945="W7",OR(F2945="causal",F2945="predictive")),IF(AND(OR(K2945=1,K2945="1"),OR(L2945=1,L2945="1"),OR(M2945=1,M2945="1")),"adequate","partial"),IF(AND(H2945="W4",F2945="predictive",OR(J2945="P2",J2945="P3",J2945="P4")),IF(OR(U2945=1,U2945="1"),"adequate","partial"),INDEX(Fit_Matrix!$B:$B,MATCH(P2945,Fit_Matrix!$A:$A,0)))),"CHECK KEY"))</f>
        <v/>
      </c>
      <c r="U2945" s="10"/>
      <c r="V2945" s="10"/>
      <c r="W2945" s="10"/>
      <c r="X2945" s="10"/>
      <c r="Y2945" s="10"/>
      <c r="Z2945" s="10"/>
      <c r="AA2945" s="11" t="str">
        <f t="shared" si="91"/>
        <v/>
      </c>
    </row>
    <row r="2946" spans="16:27" ht="15" customHeight="1">
      <c r="P2946" t="str">
        <f t="shared" ref="P2946:P3009" si="92">IF(OR(F2946="",H2946="",J2946=""),"",J2946&amp;"|"&amp;F2946&amp;"|"&amp;IF(H2946="W3","W3_"&amp;IF(I2946="","unknown",I2946),H2946))</f>
        <v/>
      </c>
      <c r="Q2946" t="str">
        <f>IF(P2946="","",IFERROR(IF(AND(H2946="W7",OR(F2946="causal",F2946="predictive")),IF(AND(OR(K2946=1,K2946="1"),OR(L2946=1,L2946="1"),OR(M2946=1,M2946="1")),"adequate","partial"),IF(AND(H2946="W4",F2946="predictive",OR(J2946="P2",J2946="P3",J2946="P4")),IF(OR(U2946=1,U2946="1"),"adequate","partial"),INDEX(Fit_Matrix!$B:$B,MATCH(P2946,Fit_Matrix!$A:$A,0)))),"CHECK KEY"))</f>
        <v/>
      </c>
      <c r="U2946" s="10"/>
      <c r="V2946" s="10"/>
      <c r="W2946" s="10"/>
      <c r="X2946" s="10"/>
      <c r="Y2946" s="10"/>
      <c r="Z2946" s="10"/>
      <c r="AA2946" s="11" t="str">
        <f t="shared" ref="AA2946:AA3009" si="93">IF(A2946="","",IF(AND(J2946="P4",F2946="causal"),"P4-CAUSAL",""))</f>
        <v/>
      </c>
    </row>
    <row r="2947" spans="16:27" ht="15" customHeight="1">
      <c r="P2947" t="str">
        <f t="shared" si="92"/>
        <v/>
      </c>
      <c r="Q2947" t="str">
        <f>IF(P2947="","",IFERROR(IF(AND(H2947="W7",OR(F2947="causal",F2947="predictive")),IF(AND(OR(K2947=1,K2947="1"),OR(L2947=1,L2947="1"),OR(M2947=1,M2947="1")),"adequate","partial"),IF(AND(H2947="W4",F2947="predictive",OR(J2947="P2",J2947="P3",J2947="P4")),IF(OR(U2947=1,U2947="1"),"adequate","partial"),INDEX(Fit_Matrix!$B:$B,MATCH(P2947,Fit_Matrix!$A:$A,0)))),"CHECK KEY"))</f>
        <v/>
      </c>
      <c r="U2947" s="10"/>
      <c r="V2947" s="10"/>
      <c r="W2947" s="10"/>
      <c r="X2947" s="10"/>
      <c r="Y2947" s="10"/>
      <c r="Z2947" s="10"/>
      <c r="AA2947" s="11" t="str">
        <f t="shared" si="93"/>
        <v/>
      </c>
    </row>
    <row r="2948" spans="16:27" ht="15" customHeight="1">
      <c r="P2948" t="str">
        <f t="shared" si="92"/>
        <v/>
      </c>
      <c r="Q2948" t="str">
        <f>IF(P2948="","",IFERROR(IF(AND(H2948="W7",OR(F2948="causal",F2948="predictive")),IF(AND(OR(K2948=1,K2948="1"),OR(L2948=1,L2948="1"),OR(M2948=1,M2948="1")),"adequate","partial"),IF(AND(H2948="W4",F2948="predictive",OR(J2948="P2",J2948="P3",J2948="P4")),IF(OR(U2948=1,U2948="1"),"adequate","partial"),INDEX(Fit_Matrix!$B:$B,MATCH(P2948,Fit_Matrix!$A:$A,0)))),"CHECK KEY"))</f>
        <v/>
      </c>
      <c r="U2948" s="10"/>
      <c r="V2948" s="10"/>
      <c r="W2948" s="10"/>
      <c r="X2948" s="10"/>
      <c r="Y2948" s="10"/>
      <c r="Z2948" s="10"/>
      <c r="AA2948" s="11" t="str">
        <f t="shared" si="93"/>
        <v/>
      </c>
    </row>
    <row r="2949" spans="16:27" ht="15" customHeight="1">
      <c r="P2949" t="str">
        <f t="shared" si="92"/>
        <v/>
      </c>
      <c r="Q2949" t="str">
        <f>IF(P2949="","",IFERROR(IF(AND(H2949="W7",OR(F2949="causal",F2949="predictive")),IF(AND(OR(K2949=1,K2949="1"),OR(L2949=1,L2949="1"),OR(M2949=1,M2949="1")),"adequate","partial"),IF(AND(H2949="W4",F2949="predictive",OR(J2949="P2",J2949="P3",J2949="P4")),IF(OR(U2949=1,U2949="1"),"adequate","partial"),INDEX(Fit_Matrix!$B:$B,MATCH(P2949,Fit_Matrix!$A:$A,0)))),"CHECK KEY"))</f>
        <v/>
      </c>
      <c r="U2949" s="10"/>
      <c r="V2949" s="10"/>
      <c r="W2949" s="10"/>
      <c r="X2949" s="10"/>
      <c r="Y2949" s="10"/>
      <c r="Z2949" s="10"/>
      <c r="AA2949" s="11" t="str">
        <f t="shared" si="93"/>
        <v/>
      </c>
    </row>
    <row r="2950" spans="16:27" ht="15" customHeight="1">
      <c r="P2950" t="str">
        <f t="shared" si="92"/>
        <v/>
      </c>
      <c r="Q2950" t="str">
        <f>IF(P2950="","",IFERROR(IF(AND(H2950="W7",OR(F2950="causal",F2950="predictive")),IF(AND(OR(K2950=1,K2950="1"),OR(L2950=1,L2950="1"),OR(M2950=1,M2950="1")),"adequate","partial"),IF(AND(H2950="W4",F2950="predictive",OR(J2950="P2",J2950="P3",J2950="P4")),IF(OR(U2950=1,U2950="1"),"adequate","partial"),INDEX(Fit_Matrix!$B:$B,MATCH(P2950,Fit_Matrix!$A:$A,0)))),"CHECK KEY"))</f>
        <v/>
      </c>
      <c r="U2950" s="10"/>
      <c r="V2950" s="10"/>
      <c r="W2950" s="10"/>
      <c r="X2950" s="10"/>
      <c r="Y2950" s="10"/>
      <c r="Z2950" s="10"/>
      <c r="AA2950" s="11" t="str">
        <f t="shared" si="93"/>
        <v/>
      </c>
    </row>
    <row r="2951" spans="16:27" ht="15" customHeight="1">
      <c r="P2951" t="str">
        <f t="shared" si="92"/>
        <v/>
      </c>
      <c r="Q2951" t="str">
        <f>IF(P2951="","",IFERROR(IF(AND(H2951="W7",OR(F2951="causal",F2951="predictive")),IF(AND(OR(K2951=1,K2951="1"),OR(L2951=1,L2951="1"),OR(M2951=1,M2951="1")),"adequate","partial"),IF(AND(H2951="W4",F2951="predictive",OR(J2951="P2",J2951="P3",J2951="P4")),IF(OR(U2951=1,U2951="1"),"adequate","partial"),INDEX(Fit_Matrix!$B:$B,MATCH(P2951,Fit_Matrix!$A:$A,0)))),"CHECK KEY"))</f>
        <v/>
      </c>
      <c r="U2951" s="10"/>
      <c r="V2951" s="10"/>
      <c r="W2951" s="10"/>
      <c r="X2951" s="10"/>
      <c r="Y2951" s="10"/>
      <c r="Z2951" s="10"/>
      <c r="AA2951" s="11" t="str">
        <f t="shared" si="93"/>
        <v/>
      </c>
    </row>
    <row r="2952" spans="16:27" ht="15" customHeight="1">
      <c r="P2952" t="str">
        <f t="shared" si="92"/>
        <v/>
      </c>
      <c r="Q2952" t="str">
        <f>IF(P2952="","",IFERROR(IF(AND(H2952="W7",OR(F2952="causal",F2952="predictive")),IF(AND(OR(K2952=1,K2952="1"),OR(L2952=1,L2952="1"),OR(M2952=1,M2952="1")),"adequate","partial"),IF(AND(H2952="W4",F2952="predictive",OR(J2952="P2",J2952="P3",J2952="P4")),IF(OR(U2952=1,U2952="1"),"adequate","partial"),INDEX(Fit_Matrix!$B:$B,MATCH(P2952,Fit_Matrix!$A:$A,0)))),"CHECK KEY"))</f>
        <v/>
      </c>
      <c r="U2952" s="10"/>
      <c r="V2952" s="10"/>
      <c r="W2952" s="10"/>
      <c r="X2952" s="10"/>
      <c r="Y2952" s="10"/>
      <c r="Z2952" s="10"/>
      <c r="AA2952" s="11" t="str">
        <f t="shared" si="93"/>
        <v/>
      </c>
    </row>
    <row r="2953" spans="16:27" ht="15" customHeight="1">
      <c r="P2953" t="str">
        <f t="shared" si="92"/>
        <v/>
      </c>
      <c r="Q2953" t="str">
        <f>IF(P2953="","",IFERROR(IF(AND(H2953="W7",OR(F2953="causal",F2953="predictive")),IF(AND(OR(K2953=1,K2953="1"),OR(L2953=1,L2953="1"),OR(M2953=1,M2953="1")),"adequate","partial"),IF(AND(H2953="W4",F2953="predictive",OR(J2953="P2",J2953="P3",J2953="P4")),IF(OR(U2953=1,U2953="1"),"adequate","partial"),INDEX(Fit_Matrix!$B:$B,MATCH(P2953,Fit_Matrix!$A:$A,0)))),"CHECK KEY"))</f>
        <v/>
      </c>
      <c r="U2953" s="10"/>
      <c r="V2953" s="10"/>
      <c r="W2953" s="10"/>
      <c r="X2953" s="10"/>
      <c r="Y2953" s="10"/>
      <c r="Z2953" s="10"/>
      <c r="AA2953" s="11" t="str">
        <f t="shared" si="93"/>
        <v/>
      </c>
    </row>
    <row r="2954" spans="16:27" ht="15" customHeight="1">
      <c r="P2954" t="str">
        <f t="shared" si="92"/>
        <v/>
      </c>
      <c r="Q2954" t="str">
        <f>IF(P2954="","",IFERROR(IF(AND(H2954="W7",OR(F2954="causal",F2954="predictive")),IF(AND(OR(K2954=1,K2954="1"),OR(L2954=1,L2954="1"),OR(M2954=1,M2954="1")),"adequate","partial"),IF(AND(H2954="W4",F2954="predictive",OR(J2954="P2",J2954="P3",J2954="P4")),IF(OR(U2954=1,U2954="1"),"adequate","partial"),INDEX(Fit_Matrix!$B:$B,MATCH(P2954,Fit_Matrix!$A:$A,0)))),"CHECK KEY"))</f>
        <v/>
      </c>
      <c r="U2954" s="10"/>
      <c r="V2954" s="10"/>
      <c r="W2954" s="10"/>
      <c r="X2954" s="10"/>
      <c r="Y2954" s="10"/>
      <c r="Z2954" s="10"/>
      <c r="AA2954" s="11" t="str">
        <f t="shared" si="93"/>
        <v/>
      </c>
    </row>
    <row r="2955" spans="16:27" ht="15" customHeight="1">
      <c r="P2955" t="str">
        <f t="shared" si="92"/>
        <v/>
      </c>
      <c r="Q2955" t="str">
        <f>IF(P2955="","",IFERROR(IF(AND(H2955="W7",OR(F2955="causal",F2955="predictive")),IF(AND(OR(K2955=1,K2955="1"),OR(L2955=1,L2955="1"),OR(M2955=1,M2955="1")),"adequate","partial"),IF(AND(H2955="W4",F2955="predictive",OR(J2955="P2",J2955="P3",J2955="P4")),IF(OR(U2955=1,U2955="1"),"adequate","partial"),INDEX(Fit_Matrix!$B:$B,MATCH(P2955,Fit_Matrix!$A:$A,0)))),"CHECK KEY"))</f>
        <v/>
      </c>
      <c r="U2955" s="10"/>
      <c r="V2955" s="10"/>
      <c r="W2955" s="10"/>
      <c r="X2955" s="10"/>
      <c r="Y2955" s="10"/>
      <c r="Z2955" s="10"/>
      <c r="AA2955" s="11" t="str">
        <f t="shared" si="93"/>
        <v/>
      </c>
    </row>
    <row r="2956" spans="16:27" ht="15" customHeight="1">
      <c r="P2956" t="str">
        <f t="shared" si="92"/>
        <v/>
      </c>
      <c r="Q2956" t="str">
        <f>IF(P2956="","",IFERROR(IF(AND(H2956="W7",OR(F2956="causal",F2956="predictive")),IF(AND(OR(K2956=1,K2956="1"),OR(L2956=1,L2956="1"),OR(M2956=1,M2956="1")),"adequate","partial"),IF(AND(H2956="W4",F2956="predictive",OR(J2956="P2",J2956="P3",J2956="P4")),IF(OR(U2956=1,U2956="1"),"adequate","partial"),INDEX(Fit_Matrix!$B:$B,MATCH(P2956,Fit_Matrix!$A:$A,0)))),"CHECK KEY"))</f>
        <v/>
      </c>
      <c r="U2956" s="10"/>
      <c r="V2956" s="10"/>
      <c r="W2956" s="10"/>
      <c r="X2956" s="10"/>
      <c r="Y2956" s="10"/>
      <c r="Z2956" s="10"/>
      <c r="AA2956" s="11" t="str">
        <f t="shared" si="93"/>
        <v/>
      </c>
    </row>
    <row r="2957" spans="16:27" ht="15" customHeight="1">
      <c r="P2957" t="str">
        <f t="shared" si="92"/>
        <v/>
      </c>
      <c r="Q2957" t="str">
        <f>IF(P2957="","",IFERROR(IF(AND(H2957="W7",OR(F2957="causal",F2957="predictive")),IF(AND(OR(K2957=1,K2957="1"),OR(L2957=1,L2957="1"),OR(M2957=1,M2957="1")),"adequate","partial"),IF(AND(H2957="W4",F2957="predictive",OR(J2957="P2",J2957="P3",J2957="P4")),IF(OR(U2957=1,U2957="1"),"adequate","partial"),INDEX(Fit_Matrix!$B:$B,MATCH(P2957,Fit_Matrix!$A:$A,0)))),"CHECK KEY"))</f>
        <v/>
      </c>
      <c r="U2957" s="10"/>
      <c r="V2957" s="10"/>
      <c r="W2957" s="10"/>
      <c r="X2957" s="10"/>
      <c r="Y2957" s="10"/>
      <c r="Z2957" s="10"/>
      <c r="AA2957" s="11" t="str">
        <f t="shared" si="93"/>
        <v/>
      </c>
    </row>
    <row r="2958" spans="16:27" ht="15" customHeight="1">
      <c r="P2958" t="str">
        <f t="shared" si="92"/>
        <v/>
      </c>
      <c r="Q2958" t="str">
        <f>IF(P2958="","",IFERROR(IF(AND(H2958="W7",OR(F2958="causal",F2958="predictive")),IF(AND(OR(K2958=1,K2958="1"),OR(L2958=1,L2958="1"),OR(M2958=1,M2958="1")),"adequate","partial"),IF(AND(H2958="W4",F2958="predictive",OR(J2958="P2",J2958="P3",J2958="P4")),IF(OR(U2958=1,U2958="1"),"adequate","partial"),INDEX(Fit_Matrix!$B:$B,MATCH(P2958,Fit_Matrix!$A:$A,0)))),"CHECK KEY"))</f>
        <v/>
      </c>
      <c r="U2958" s="10"/>
      <c r="V2958" s="10"/>
      <c r="W2958" s="10"/>
      <c r="X2958" s="10"/>
      <c r="Y2958" s="10"/>
      <c r="Z2958" s="10"/>
      <c r="AA2958" s="11" t="str">
        <f t="shared" si="93"/>
        <v/>
      </c>
    </row>
    <row r="2959" spans="16:27" ht="15" customHeight="1">
      <c r="P2959" t="str">
        <f t="shared" si="92"/>
        <v/>
      </c>
      <c r="Q2959" t="str">
        <f>IF(P2959="","",IFERROR(IF(AND(H2959="W7",OR(F2959="causal",F2959="predictive")),IF(AND(OR(K2959=1,K2959="1"),OR(L2959=1,L2959="1"),OR(M2959=1,M2959="1")),"adequate","partial"),IF(AND(H2959="W4",F2959="predictive",OR(J2959="P2",J2959="P3",J2959="P4")),IF(OR(U2959=1,U2959="1"),"adequate","partial"),INDEX(Fit_Matrix!$B:$B,MATCH(P2959,Fit_Matrix!$A:$A,0)))),"CHECK KEY"))</f>
        <v/>
      </c>
      <c r="U2959" s="10"/>
      <c r="V2959" s="10"/>
      <c r="W2959" s="10"/>
      <c r="X2959" s="10"/>
      <c r="Y2959" s="10"/>
      <c r="Z2959" s="10"/>
      <c r="AA2959" s="11" t="str">
        <f t="shared" si="93"/>
        <v/>
      </c>
    </row>
    <row r="2960" spans="16:27" ht="15" customHeight="1">
      <c r="P2960" t="str">
        <f t="shared" si="92"/>
        <v/>
      </c>
      <c r="Q2960" t="str">
        <f>IF(P2960="","",IFERROR(IF(AND(H2960="W7",OR(F2960="causal",F2960="predictive")),IF(AND(OR(K2960=1,K2960="1"),OR(L2960=1,L2960="1"),OR(M2960=1,M2960="1")),"adequate","partial"),IF(AND(H2960="W4",F2960="predictive",OR(J2960="P2",J2960="P3",J2960="P4")),IF(OR(U2960=1,U2960="1"),"adequate","partial"),INDEX(Fit_Matrix!$B:$B,MATCH(P2960,Fit_Matrix!$A:$A,0)))),"CHECK KEY"))</f>
        <v/>
      </c>
      <c r="U2960" s="10"/>
      <c r="V2960" s="10"/>
      <c r="W2960" s="10"/>
      <c r="X2960" s="10"/>
      <c r="Y2960" s="10"/>
      <c r="Z2960" s="10"/>
      <c r="AA2960" s="11" t="str">
        <f t="shared" si="93"/>
        <v/>
      </c>
    </row>
    <row r="2961" spans="16:27" ht="15" customHeight="1">
      <c r="P2961" t="str">
        <f t="shared" si="92"/>
        <v/>
      </c>
      <c r="Q2961" t="str">
        <f>IF(P2961="","",IFERROR(IF(AND(H2961="W7",OR(F2961="causal",F2961="predictive")),IF(AND(OR(K2961=1,K2961="1"),OR(L2961=1,L2961="1"),OR(M2961=1,M2961="1")),"adequate","partial"),IF(AND(H2961="W4",F2961="predictive",OR(J2961="P2",J2961="P3",J2961="P4")),IF(OR(U2961=1,U2961="1"),"adequate","partial"),INDEX(Fit_Matrix!$B:$B,MATCH(P2961,Fit_Matrix!$A:$A,0)))),"CHECK KEY"))</f>
        <v/>
      </c>
      <c r="U2961" s="10"/>
      <c r="V2961" s="10"/>
      <c r="W2961" s="10"/>
      <c r="X2961" s="10"/>
      <c r="Y2961" s="10"/>
      <c r="Z2961" s="10"/>
      <c r="AA2961" s="11" t="str">
        <f t="shared" si="93"/>
        <v/>
      </c>
    </row>
    <row r="2962" spans="16:27" ht="15" customHeight="1">
      <c r="P2962" t="str">
        <f t="shared" si="92"/>
        <v/>
      </c>
      <c r="Q2962" t="str">
        <f>IF(P2962="","",IFERROR(IF(AND(H2962="W7",OR(F2962="causal",F2962="predictive")),IF(AND(OR(K2962=1,K2962="1"),OR(L2962=1,L2962="1"),OR(M2962=1,M2962="1")),"adequate","partial"),IF(AND(H2962="W4",F2962="predictive",OR(J2962="P2",J2962="P3",J2962="P4")),IF(OR(U2962=1,U2962="1"),"adequate","partial"),INDEX(Fit_Matrix!$B:$B,MATCH(P2962,Fit_Matrix!$A:$A,0)))),"CHECK KEY"))</f>
        <v/>
      </c>
      <c r="U2962" s="10"/>
      <c r="V2962" s="10"/>
      <c r="W2962" s="10"/>
      <c r="X2962" s="10"/>
      <c r="Y2962" s="10"/>
      <c r="Z2962" s="10"/>
      <c r="AA2962" s="11" t="str">
        <f t="shared" si="93"/>
        <v/>
      </c>
    </row>
    <row r="2963" spans="16:27" ht="15" customHeight="1">
      <c r="P2963" t="str">
        <f t="shared" si="92"/>
        <v/>
      </c>
      <c r="Q2963" t="str">
        <f>IF(P2963="","",IFERROR(IF(AND(H2963="W7",OR(F2963="causal",F2963="predictive")),IF(AND(OR(K2963=1,K2963="1"),OR(L2963=1,L2963="1"),OR(M2963=1,M2963="1")),"adequate","partial"),IF(AND(H2963="W4",F2963="predictive",OR(J2963="P2",J2963="P3",J2963="P4")),IF(OR(U2963=1,U2963="1"),"adequate","partial"),INDEX(Fit_Matrix!$B:$B,MATCH(P2963,Fit_Matrix!$A:$A,0)))),"CHECK KEY"))</f>
        <v/>
      </c>
      <c r="U2963" s="10"/>
      <c r="V2963" s="10"/>
      <c r="W2963" s="10"/>
      <c r="X2963" s="10"/>
      <c r="Y2963" s="10"/>
      <c r="Z2963" s="10"/>
      <c r="AA2963" s="11" t="str">
        <f t="shared" si="93"/>
        <v/>
      </c>
    </row>
    <row r="2964" spans="16:27" ht="15" customHeight="1">
      <c r="P2964" t="str">
        <f t="shared" si="92"/>
        <v/>
      </c>
      <c r="Q2964" t="str">
        <f>IF(P2964="","",IFERROR(IF(AND(H2964="W7",OR(F2964="causal",F2964="predictive")),IF(AND(OR(K2964=1,K2964="1"),OR(L2964=1,L2964="1"),OR(M2964=1,M2964="1")),"adequate","partial"),IF(AND(H2964="W4",F2964="predictive",OR(J2964="P2",J2964="P3",J2964="P4")),IF(OR(U2964=1,U2964="1"),"adequate","partial"),INDEX(Fit_Matrix!$B:$B,MATCH(P2964,Fit_Matrix!$A:$A,0)))),"CHECK KEY"))</f>
        <v/>
      </c>
      <c r="U2964" s="10"/>
      <c r="V2964" s="10"/>
      <c r="W2964" s="10"/>
      <c r="X2964" s="10"/>
      <c r="Y2964" s="10"/>
      <c r="Z2964" s="10"/>
      <c r="AA2964" s="11" t="str">
        <f t="shared" si="93"/>
        <v/>
      </c>
    </row>
    <row r="2965" spans="16:27" ht="15" customHeight="1">
      <c r="P2965" t="str">
        <f t="shared" si="92"/>
        <v/>
      </c>
      <c r="Q2965" t="str">
        <f>IF(P2965="","",IFERROR(IF(AND(H2965="W7",OR(F2965="causal",F2965="predictive")),IF(AND(OR(K2965=1,K2965="1"),OR(L2965=1,L2965="1"),OR(M2965=1,M2965="1")),"adequate","partial"),IF(AND(H2965="W4",F2965="predictive",OR(J2965="P2",J2965="P3",J2965="P4")),IF(OR(U2965=1,U2965="1"),"adequate","partial"),INDEX(Fit_Matrix!$B:$B,MATCH(P2965,Fit_Matrix!$A:$A,0)))),"CHECK KEY"))</f>
        <v/>
      </c>
      <c r="U2965" s="10"/>
      <c r="V2965" s="10"/>
      <c r="W2965" s="10"/>
      <c r="X2965" s="10"/>
      <c r="Y2965" s="10"/>
      <c r="Z2965" s="10"/>
      <c r="AA2965" s="11" t="str">
        <f t="shared" si="93"/>
        <v/>
      </c>
    </row>
    <row r="2966" spans="16:27" ht="15" customHeight="1">
      <c r="P2966" t="str">
        <f t="shared" si="92"/>
        <v/>
      </c>
      <c r="Q2966" t="str">
        <f>IF(P2966="","",IFERROR(IF(AND(H2966="W7",OR(F2966="causal",F2966="predictive")),IF(AND(OR(K2966=1,K2966="1"),OR(L2966=1,L2966="1"),OR(M2966=1,M2966="1")),"adequate","partial"),IF(AND(H2966="W4",F2966="predictive",OR(J2966="P2",J2966="P3",J2966="P4")),IF(OR(U2966=1,U2966="1"),"adequate","partial"),INDEX(Fit_Matrix!$B:$B,MATCH(P2966,Fit_Matrix!$A:$A,0)))),"CHECK KEY"))</f>
        <v/>
      </c>
      <c r="U2966" s="10"/>
      <c r="V2966" s="10"/>
      <c r="W2966" s="10"/>
      <c r="X2966" s="10"/>
      <c r="Y2966" s="10"/>
      <c r="Z2966" s="10"/>
      <c r="AA2966" s="11" t="str">
        <f t="shared" si="93"/>
        <v/>
      </c>
    </row>
    <row r="2967" spans="16:27" ht="15" customHeight="1">
      <c r="P2967" t="str">
        <f t="shared" si="92"/>
        <v/>
      </c>
      <c r="Q2967" t="str">
        <f>IF(P2967="","",IFERROR(IF(AND(H2967="W7",OR(F2967="causal",F2967="predictive")),IF(AND(OR(K2967=1,K2967="1"),OR(L2967=1,L2967="1"),OR(M2967=1,M2967="1")),"adequate","partial"),IF(AND(H2967="W4",F2967="predictive",OR(J2967="P2",J2967="P3",J2967="P4")),IF(OR(U2967=1,U2967="1"),"adequate","partial"),INDEX(Fit_Matrix!$B:$B,MATCH(P2967,Fit_Matrix!$A:$A,0)))),"CHECK KEY"))</f>
        <v/>
      </c>
      <c r="U2967" s="10"/>
      <c r="V2967" s="10"/>
      <c r="W2967" s="10"/>
      <c r="X2967" s="10"/>
      <c r="Y2967" s="10"/>
      <c r="Z2967" s="10"/>
      <c r="AA2967" s="11" t="str">
        <f t="shared" si="93"/>
        <v/>
      </c>
    </row>
    <row r="2968" spans="16:27" ht="15" customHeight="1">
      <c r="P2968" t="str">
        <f t="shared" si="92"/>
        <v/>
      </c>
      <c r="Q2968" t="str">
        <f>IF(P2968="","",IFERROR(IF(AND(H2968="W7",OR(F2968="causal",F2968="predictive")),IF(AND(OR(K2968=1,K2968="1"),OR(L2968=1,L2968="1"),OR(M2968=1,M2968="1")),"adequate","partial"),IF(AND(H2968="W4",F2968="predictive",OR(J2968="P2",J2968="P3",J2968="P4")),IF(OR(U2968=1,U2968="1"),"adequate","partial"),INDEX(Fit_Matrix!$B:$B,MATCH(P2968,Fit_Matrix!$A:$A,0)))),"CHECK KEY"))</f>
        <v/>
      </c>
      <c r="U2968" s="10"/>
      <c r="V2968" s="10"/>
      <c r="W2968" s="10"/>
      <c r="X2968" s="10"/>
      <c r="Y2968" s="10"/>
      <c r="Z2968" s="10"/>
      <c r="AA2968" s="11" t="str">
        <f t="shared" si="93"/>
        <v/>
      </c>
    </row>
    <row r="2969" spans="16:27" ht="15" customHeight="1">
      <c r="P2969" t="str">
        <f t="shared" si="92"/>
        <v/>
      </c>
      <c r="Q2969" t="str">
        <f>IF(P2969="","",IFERROR(IF(AND(H2969="W7",OR(F2969="causal",F2969="predictive")),IF(AND(OR(K2969=1,K2969="1"),OR(L2969=1,L2969="1"),OR(M2969=1,M2969="1")),"adequate","partial"),IF(AND(H2969="W4",F2969="predictive",OR(J2969="P2",J2969="P3",J2969="P4")),IF(OR(U2969=1,U2969="1"),"adequate","partial"),INDEX(Fit_Matrix!$B:$B,MATCH(P2969,Fit_Matrix!$A:$A,0)))),"CHECK KEY"))</f>
        <v/>
      </c>
      <c r="U2969" s="10"/>
      <c r="V2969" s="10"/>
      <c r="W2969" s="10"/>
      <c r="X2969" s="10"/>
      <c r="Y2969" s="10"/>
      <c r="Z2969" s="10"/>
      <c r="AA2969" s="11" t="str">
        <f t="shared" si="93"/>
        <v/>
      </c>
    </row>
    <row r="2970" spans="16:27" ht="15" customHeight="1">
      <c r="P2970" t="str">
        <f t="shared" si="92"/>
        <v/>
      </c>
      <c r="Q2970" t="str">
        <f>IF(P2970="","",IFERROR(IF(AND(H2970="W7",OR(F2970="causal",F2970="predictive")),IF(AND(OR(K2970=1,K2970="1"),OR(L2970=1,L2970="1"),OR(M2970=1,M2970="1")),"adequate","partial"),IF(AND(H2970="W4",F2970="predictive",OR(J2970="P2",J2970="P3",J2970="P4")),IF(OR(U2970=1,U2970="1"),"adequate","partial"),INDEX(Fit_Matrix!$B:$B,MATCH(P2970,Fit_Matrix!$A:$A,0)))),"CHECK KEY"))</f>
        <v/>
      </c>
      <c r="U2970" s="10"/>
      <c r="V2970" s="10"/>
      <c r="W2970" s="10"/>
      <c r="X2970" s="10"/>
      <c r="Y2970" s="10"/>
      <c r="Z2970" s="10"/>
      <c r="AA2970" s="11" t="str">
        <f t="shared" si="93"/>
        <v/>
      </c>
    </row>
    <row r="2971" spans="16:27" ht="15" customHeight="1">
      <c r="P2971" t="str">
        <f t="shared" si="92"/>
        <v/>
      </c>
      <c r="Q2971" t="str">
        <f>IF(P2971="","",IFERROR(IF(AND(H2971="W7",OR(F2971="causal",F2971="predictive")),IF(AND(OR(K2971=1,K2971="1"),OR(L2971=1,L2971="1"),OR(M2971=1,M2971="1")),"adequate","partial"),IF(AND(H2971="W4",F2971="predictive",OR(J2971="P2",J2971="P3",J2971="P4")),IF(OR(U2971=1,U2971="1"),"adequate","partial"),INDEX(Fit_Matrix!$B:$B,MATCH(P2971,Fit_Matrix!$A:$A,0)))),"CHECK KEY"))</f>
        <v/>
      </c>
      <c r="U2971" s="10"/>
      <c r="V2971" s="10"/>
      <c r="W2971" s="10"/>
      <c r="X2971" s="10"/>
      <c r="Y2971" s="10"/>
      <c r="Z2971" s="10"/>
      <c r="AA2971" s="11" t="str">
        <f t="shared" si="93"/>
        <v/>
      </c>
    </row>
    <row r="2972" spans="16:27" ht="15" customHeight="1">
      <c r="P2972" t="str">
        <f t="shared" si="92"/>
        <v/>
      </c>
      <c r="Q2972" t="str">
        <f>IF(P2972="","",IFERROR(IF(AND(H2972="W7",OR(F2972="causal",F2972="predictive")),IF(AND(OR(K2972=1,K2972="1"),OR(L2972=1,L2972="1"),OR(M2972=1,M2972="1")),"adequate","partial"),IF(AND(H2972="W4",F2972="predictive",OR(J2972="P2",J2972="P3",J2972="P4")),IF(OR(U2972=1,U2972="1"),"adequate","partial"),INDEX(Fit_Matrix!$B:$B,MATCH(P2972,Fit_Matrix!$A:$A,0)))),"CHECK KEY"))</f>
        <v/>
      </c>
      <c r="U2972" s="10"/>
      <c r="V2972" s="10"/>
      <c r="W2972" s="10"/>
      <c r="X2972" s="10"/>
      <c r="Y2972" s="10"/>
      <c r="Z2972" s="10"/>
      <c r="AA2972" s="11" t="str">
        <f t="shared" si="93"/>
        <v/>
      </c>
    </row>
    <row r="2973" spans="16:27" ht="15" customHeight="1">
      <c r="P2973" t="str">
        <f t="shared" si="92"/>
        <v/>
      </c>
      <c r="Q2973" t="str">
        <f>IF(P2973="","",IFERROR(IF(AND(H2973="W7",OR(F2973="causal",F2973="predictive")),IF(AND(OR(K2973=1,K2973="1"),OR(L2973=1,L2973="1"),OR(M2973=1,M2973="1")),"adequate","partial"),IF(AND(H2973="W4",F2973="predictive",OR(J2973="P2",J2973="P3",J2973="P4")),IF(OR(U2973=1,U2973="1"),"adequate","partial"),INDEX(Fit_Matrix!$B:$B,MATCH(P2973,Fit_Matrix!$A:$A,0)))),"CHECK KEY"))</f>
        <v/>
      </c>
      <c r="U2973" s="10"/>
      <c r="V2973" s="10"/>
      <c r="W2973" s="10"/>
      <c r="X2973" s="10"/>
      <c r="Y2973" s="10"/>
      <c r="Z2973" s="10"/>
      <c r="AA2973" s="11" t="str">
        <f t="shared" si="93"/>
        <v/>
      </c>
    </row>
    <row r="2974" spans="16:27" ht="15" customHeight="1">
      <c r="P2974" t="str">
        <f t="shared" si="92"/>
        <v/>
      </c>
      <c r="Q2974" t="str">
        <f>IF(P2974="","",IFERROR(IF(AND(H2974="W7",OR(F2974="causal",F2974="predictive")),IF(AND(OR(K2974=1,K2974="1"),OR(L2974=1,L2974="1"),OR(M2974=1,M2974="1")),"adequate","partial"),IF(AND(H2974="W4",F2974="predictive",OR(J2974="P2",J2974="P3",J2974="P4")),IF(OR(U2974=1,U2974="1"),"adequate","partial"),INDEX(Fit_Matrix!$B:$B,MATCH(P2974,Fit_Matrix!$A:$A,0)))),"CHECK KEY"))</f>
        <v/>
      </c>
      <c r="U2974" s="10"/>
      <c r="V2974" s="10"/>
      <c r="W2974" s="10"/>
      <c r="X2974" s="10"/>
      <c r="Y2974" s="10"/>
      <c r="Z2974" s="10"/>
      <c r="AA2974" s="11" t="str">
        <f t="shared" si="93"/>
        <v/>
      </c>
    </row>
    <row r="2975" spans="16:27" ht="15" customHeight="1">
      <c r="P2975" t="str">
        <f t="shared" si="92"/>
        <v/>
      </c>
      <c r="Q2975" t="str">
        <f>IF(P2975="","",IFERROR(IF(AND(H2975="W7",OR(F2975="causal",F2975="predictive")),IF(AND(OR(K2975=1,K2975="1"),OR(L2975=1,L2975="1"),OR(M2975=1,M2975="1")),"adequate","partial"),IF(AND(H2975="W4",F2975="predictive",OR(J2975="P2",J2975="P3",J2975="P4")),IF(OR(U2975=1,U2975="1"),"adequate","partial"),INDEX(Fit_Matrix!$B:$B,MATCH(P2975,Fit_Matrix!$A:$A,0)))),"CHECK KEY"))</f>
        <v/>
      </c>
      <c r="U2975" s="10"/>
      <c r="V2975" s="10"/>
      <c r="W2975" s="10"/>
      <c r="X2975" s="10"/>
      <c r="Y2975" s="10"/>
      <c r="Z2975" s="10"/>
      <c r="AA2975" s="11" t="str">
        <f t="shared" si="93"/>
        <v/>
      </c>
    </row>
    <row r="2976" spans="16:27" ht="15" customHeight="1">
      <c r="P2976" t="str">
        <f t="shared" si="92"/>
        <v/>
      </c>
      <c r="Q2976" t="str">
        <f>IF(P2976="","",IFERROR(IF(AND(H2976="W7",OR(F2976="causal",F2976="predictive")),IF(AND(OR(K2976=1,K2976="1"),OR(L2976=1,L2976="1"),OR(M2976=1,M2976="1")),"adequate","partial"),IF(AND(H2976="W4",F2976="predictive",OR(J2976="P2",J2976="P3",J2976="P4")),IF(OR(U2976=1,U2976="1"),"adequate","partial"),INDEX(Fit_Matrix!$B:$B,MATCH(P2976,Fit_Matrix!$A:$A,0)))),"CHECK KEY"))</f>
        <v/>
      </c>
      <c r="U2976" s="10"/>
      <c r="V2976" s="10"/>
      <c r="W2976" s="10"/>
      <c r="X2976" s="10"/>
      <c r="Y2976" s="10"/>
      <c r="Z2976" s="10"/>
      <c r="AA2976" s="11" t="str">
        <f t="shared" si="93"/>
        <v/>
      </c>
    </row>
    <row r="2977" spans="16:27" ht="15" customHeight="1">
      <c r="P2977" t="str">
        <f t="shared" si="92"/>
        <v/>
      </c>
      <c r="Q2977" t="str">
        <f>IF(P2977="","",IFERROR(IF(AND(H2977="W7",OR(F2977="causal",F2977="predictive")),IF(AND(OR(K2977=1,K2977="1"),OR(L2977=1,L2977="1"),OR(M2977=1,M2977="1")),"adequate","partial"),IF(AND(H2977="W4",F2977="predictive",OR(J2977="P2",J2977="P3",J2977="P4")),IF(OR(U2977=1,U2977="1"),"adequate","partial"),INDEX(Fit_Matrix!$B:$B,MATCH(P2977,Fit_Matrix!$A:$A,0)))),"CHECK KEY"))</f>
        <v/>
      </c>
      <c r="U2977" s="10"/>
      <c r="V2977" s="10"/>
      <c r="W2977" s="10"/>
      <c r="X2977" s="10"/>
      <c r="Y2977" s="10"/>
      <c r="Z2977" s="10"/>
      <c r="AA2977" s="11" t="str">
        <f t="shared" si="93"/>
        <v/>
      </c>
    </row>
    <row r="2978" spans="16:27" ht="15" customHeight="1">
      <c r="P2978" t="str">
        <f t="shared" si="92"/>
        <v/>
      </c>
      <c r="Q2978" t="str">
        <f>IF(P2978="","",IFERROR(IF(AND(H2978="W7",OR(F2978="causal",F2978="predictive")),IF(AND(OR(K2978=1,K2978="1"),OR(L2978=1,L2978="1"),OR(M2978=1,M2978="1")),"adequate","partial"),IF(AND(H2978="W4",F2978="predictive",OR(J2978="P2",J2978="P3",J2978="P4")),IF(OR(U2978=1,U2978="1"),"adequate","partial"),INDEX(Fit_Matrix!$B:$B,MATCH(P2978,Fit_Matrix!$A:$A,0)))),"CHECK KEY"))</f>
        <v/>
      </c>
      <c r="U2978" s="10"/>
      <c r="V2978" s="10"/>
      <c r="W2978" s="10"/>
      <c r="X2978" s="10"/>
      <c r="Y2978" s="10"/>
      <c r="Z2978" s="10"/>
      <c r="AA2978" s="11" t="str">
        <f t="shared" si="93"/>
        <v/>
      </c>
    </row>
    <row r="2979" spans="16:27" ht="15" customHeight="1">
      <c r="P2979" t="str">
        <f t="shared" si="92"/>
        <v/>
      </c>
      <c r="Q2979" t="str">
        <f>IF(P2979="","",IFERROR(IF(AND(H2979="W7",OR(F2979="causal",F2979="predictive")),IF(AND(OR(K2979=1,K2979="1"),OR(L2979=1,L2979="1"),OR(M2979=1,M2979="1")),"adequate","partial"),IF(AND(H2979="W4",F2979="predictive",OR(J2979="P2",J2979="P3",J2979="P4")),IF(OR(U2979=1,U2979="1"),"adequate","partial"),INDEX(Fit_Matrix!$B:$B,MATCH(P2979,Fit_Matrix!$A:$A,0)))),"CHECK KEY"))</f>
        <v/>
      </c>
      <c r="U2979" s="10"/>
      <c r="V2979" s="10"/>
      <c r="W2979" s="10"/>
      <c r="X2979" s="10"/>
      <c r="Y2979" s="10"/>
      <c r="Z2979" s="10"/>
      <c r="AA2979" s="11" t="str">
        <f t="shared" si="93"/>
        <v/>
      </c>
    </row>
    <row r="2980" spans="16:27" ht="15" customHeight="1">
      <c r="P2980" t="str">
        <f t="shared" si="92"/>
        <v/>
      </c>
      <c r="Q2980" t="str">
        <f>IF(P2980="","",IFERROR(IF(AND(H2980="W7",OR(F2980="causal",F2980="predictive")),IF(AND(OR(K2980=1,K2980="1"),OR(L2980=1,L2980="1"),OR(M2980=1,M2980="1")),"adequate","partial"),IF(AND(H2980="W4",F2980="predictive",OR(J2980="P2",J2980="P3",J2980="P4")),IF(OR(U2980=1,U2980="1"),"adequate","partial"),INDEX(Fit_Matrix!$B:$B,MATCH(P2980,Fit_Matrix!$A:$A,0)))),"CHECK KEY"))</f>
        <v/>
      </c>
      <c r="U2980" s="10"/>
      <c r="V2980" s="10"/>
      <c r="W2980" s="10"/>
      <c r="X2980" s="10"/>
      <c r="Y2980" s="10"/>
      <c r="Z2980" s="10"/>
      <c r="AA2980" s="11" t="str">
        <f t="shared" si="93"/>
        <v/>
      </c>
    </row>
    <row r="2981" spans="16:27" ht="15" customHeight="1">
      <c r="P2981" t="str">
        <f t="shared" si="92"/>
        <v/>
      </c>
      <c r="Q2981" t="str">
        <f>IF(P2981="","",IFERROR(IF(AND(H2981="W7",OR(F2981="causal",F2981="predictive")),IF(AND(OR(K2981=1,K2981="1"),OR(L2981=1,L2981="1"),OR(M2981=1,M2981="1")),"adequate","partial"),IF(AND(H2981="W4",F2981="predictive",OR(J2981="P2",J2981="P3",J2981="P4")),IF(OR(U2981=1,U2981="1"),"adequate","partial"),INDEX(Fit_Matrix!$B:$B,MATCH(P2981,Fit_Matrix!$A:$A,0)))),"CHECK KEY"))</f>
        <v/>
      </c>
      <c r="U2981" s="10"/>
      <c r="V2981" s="10"/>
      <c r="W2981" s="10"/>
      <c r="X2981" s="10"/>
      <c r="Y2981" s="10"/>
      <c r="Z2981" s="10"/>
      <c r="AA2981" s="11" t="str">
        <f t="shared" si="93"/>
        <v/>
      </c>
    </row>
    <row r="2982" spans="16:27" ht="15" customHeight="1">
      <c r="P2982" t="str">
        <f t="shared" si="92"/>
        <v/>
      </c>
      <c r="Q2982" t="str">
        <f>IF(P2982="","",IFERROR(IF(AND(H2982="W7",OR(F2982="causal",F2982="predictive")),IF(AND(OR(K2982=1,K2982="1"),OR(L2982=1,L2982="1"),OR(M2982=1,M2982="1")),"adequate","partial"),IF(AND(H2982="W4",F2982="predictive",OR(J2982="P2",J2982="P3",J2982="P4")),IF(OR(U2982=1,U2982="1"),"adequate","partial"),INDEX(Fit_Matrix!$B:$B,MATCH(P2982,Fit_Matrix!$A:$A,0)))),"CHECK KEY"))</f>
        <v/>
      </c>
      <c r="U2982" s="10"/>
      <c r="V2982" s="10"/>
      <c r="W2982" s="10"/>
      <c r="X2982" s="10"/>
      <c r="Y2982" s="10"/>
      <c r="Z2982" s="10"/>
      <c r="AA2982" s="11" t="str">
        <f t="shared" si="93"/>
        <v/>
      </c>
    </row>
    <row r="2983" spans="16:27" ht="15" customHeight="1">
      <c r="P2983" t="str">
        <f t="shared" si="92"/>
        <v/>
      </c>
      <c r="Q2983" t="str">
        <f>IF(P2983="","",IFERROR(IF(AND(H2983="W7",OR(F2983="causal",F2983="predictive")),IF(AND(OR(K2983=1,K2983="1"),OR(L2983=1,L2983="1"),OR(M2983=1,M2983="1")),"adequate","partial"),IF(AND(H2983="W4",F2983="predictive",OR(J2983="P2",J2983="P3",J2983="P4")),IF(OR(U2983=1,U2983="1"),"adequate","partial"),INDEX(Fit_Matrix!$B:$B,MATCH(P2983,Fit_Matrix!$A:$A,0)))),"CHECK KEY"))</f>
        <v/>
      </c>
      <c r="U2983" s="10"/>
      <c r="V2983" s="10"/>
      <c r="W2983" s="10"/>
      <c r="X2983" s="10"/>
      <c r="Y2983" s="10"/>
      <c r="Z2983" s="10"/>
      <c r="AA2983" s="11" t="str">
        <f t="shared" si="93"/>
        <v/>
      </c>
    </row>
    <row r="2984" spans="16:27" ht="15" customHeight="1">
      <c r="P2984" t="str">
        <f t="shared" si="92"/>
        <v/>
      </c>
      <c r="Q2984" t="str">
        <f>IF(P2984="","",IFERROR(IF(AND(H2984="W7",OR(F2984="causal",F2984="predictive")),IF(AND(OR(K2984=1,K2984="1"),OR(L2984=1,L2984="1"),OR(M2984=1,M2984="1")),"adequate","partial"),IF(AND(H2984="W4",F2984="predictive",OR(J2984="P2",J2984="P3",J2984="P4")),IF(OR(U2984=1,U2984="1"),"adequate","partial"),INDEX(Fit_Matrix!$B:$B,MATCH(P2984,Fit_Matrix!$A:$A,0)))),"CHECK KEY"))</f>
        <v/>
      </c>
      <c r="U2984" s="10"/>
      <c r="V2984" s="10"/>
      <c r="W2984" s="10"/>
      <c r="X2984" s="10"/>
      <c r="Y2984" s="10"/>
      <c r="Z2984" s="10"/>
      <c r="AA2984" s="11" t="str">
        <f t="shared" si="93"/>
        <v/>
      </c>
    </row>
    <row r="2985" spans="16:27" ht="15" customHeight="1">
      <c r="P2985" t="str">
        <f t="shared" si="92"/>
        <v/>
      </c>
      <c r="Q2985" t="str">
        <f>IF(P2985="","",IFERROR(IF(AND(H2985="W7",OR(F2985="causal",F2985="predictive")),IF(AND(OR(K2985=1,K2985="1"),OR(L2985=1,L2985="1"),OR(M2985=1,M2985="1")),"adequate","partial"),IF(AND(H2985="W4",F2985="predictive",OR(J2985="P2",J2985="P3",J2985="P4")),IF(OR(U2985=1,U2985="1"),"adequate","partial"),INDEX(Fit_Matrix!$B:$B,MATCH(P2985,Fit_Matrix!$A:$A,0)))),"CHECK KEY"))</f>
        <v/>
      </c>
      <c r="U2985" s="10"/>
      <c r="V2985" s="10"/>
      <c r="W2985" s="10"/>
      <c r="X2985" s="10"/>
      <c r="Y2985" s="10"/>
      <c r="Z2985" s="10"/>
      <c r="AA2985" s="11" t="str">
        <f t="shared" si="93"/>
        <v/>
      </c>
    </row>
    <row r="2986" spans="16:27" ht="15" customHeight="1">
      <c r="P2986" t="str">
        <f t="shared" si="92"/>
        <v/>
      </c>
      <c r="Q2986" t="str">
        <f>IF(P2986="","",IFERROR(IF(AND(H2986="W7",OR(F2986="causal",F2986="predictive")),IF(AND(OR(K2986=1,K2986="1"),OR(L2986=1,L2986="1"),OR(M2986=1,M2986="1")),"adequate","partial"),IF(AND(H2986="W4",F2986="predictive",OR(J2986="P2",J2986="P3",J2986="P4")),IF(OR(U2986=1,U2986="1"),"adequate","partial"),INDEX(Fit_Matrix!$B:$B,MATCH(P2986,Fit_Matrix!$A:$A,0)))),"CHECK KEY"))</f>
        <v/>
      </c>
      <c r="U2986" s="10"/>
      <c r="V2986" s="10"/>
      <c r="W2986" s="10"/>
      <c r="X2986" s="10"/>
      <c r="Y2986" s="10"/>
      <c r="Z2986" s="10"/>
      <c r="AA2986" s="11" t="str">
        <f t="shared" si="93"/>
        <v/>
      </c>
    </row>
    <row r="2987" spans="16:27" ht="15" customHeight="1">
      <c r="P2987" t="str">
        <f t="shared" si="92"/>
        <v/>
      </c>
      <c r="Q2987" t="str">
        <f>IF(P2987="","",IFERROR(IF(AND(H2987="W7",OR(F2987="causal",F2987="predictive")),IF(AND(OR(K2987=1,K2987="1"),OR(L2987=1,L2987="1"),OR(M2987=1,M2987="1")),"adequate","partial"),IF(AND(H2987="W4",F2987="predictive",OR(J2987="P2",J2987="P3",J2987="P4")),IF(OR(U2987=1,U2987="1"),"adequate","partial"),INDEX(Fit_Matrix!$B:$B,MATCH(P2987,Fit_Matrix!$A:$A,0)))),"CHECK KEY"))</f>
        <v/>
      </c>
      <c r="U2987" s="10"/>
      <c r="V2987" s="10"/>
      <c r="W2987" s="10"/>
      <c r="X2987" s="10"/>
      <c r="Y2987" s="10"/>
      <c r="Z2987" s="10"/>
      <c r="AA2987" s="11" t="str">
        <f t="shared" si="93"/>
        <v/>
      </c>
    </row>
    <row r="2988" spans="16:27" ht="15" customHeight="1">
      <c r="P2988" t="str">
        <f t="shared" si="92"/>
        <v/>
      </c>
      <c r="Q2988" t="str">
        <f>IF(P2988="","",IFERROR(IF(AND(H2988="W7",OR(F2988="causal",F2988="predictive")),IF(AND(OR(K2988=1,K2988="1"),OR(L2988=1,L2988="1"),OR(M2988=1,M2988="1")),"adequate","partial"),IF(AND(H2988="W4",F2988="predictive",OR(J2988="P2",J2988="P3",J2988="P4")),IF(OR(U2988=1,U2988="1"),"adequate","partial"),INDEX(Fit_Matrix!$B:$B,MATCH(P2988,Fit_Matrix!$A:$A,0)))),"CHECK KEY"))</f>
        <v/>
      </c>
      <c r="U2988" s="10"/>
      <c r="V2988" s="10"/>
      <c r="W2988" s="10"/>
      <c r="X2988" s="10"/>
      <c r="Y2988" s="10"/>
      <c r="Z2988" s="10"/>
      <c r="AA2988" s="11" t="str">
        <f t="shared" si="93"/>
        <v/>
      </c>
    </row>
    <row r="2989" spans="16:27" ht="15" customHeight="1">
      <c r="P2989" t="str">
        <f t="shared" si="92"/>
        <v/>
      </c>
      <c r="Q2989" t="str">
        <f>IF(P2989="","",IFERROR(IF(AND(H2989="W7",OR(F2989="causal",F2989="predictive")),IF(AND(OR(K2989=1,K2989="1"),OR(L2989=1,L2989="1"),OR(M2989=1,M2989="1")),"adequate","partial"),IF(AND(H2989="W4",F2989="predictive",OR(J2989="P2",J2989="P3",J2989="P4")),IF(OR(U2989=1,U2989="1"),"adequate","partial"),INDEX(Fit_Matrix!$B:$B,MATCH(P2989,Fit_Matrix!$A:$A,0)))),"CHECK KEY"))</f>
        <v/>
      </c>
      <c r="U2989" s="10"/>
      <c r="V2989" s="10"/>
      <c r="W2989" s="10"/>
      <c r="X2989" s="10"/>
      <c r="Y2989" s="10"/>
      <c r="Z2989" s="10"/>
      <c r="AA2989" s="11" t="str">
        <f t="shared" si="93"/>
        <v/>
      </c>
    </row>
    <row r="2990" spans="16:27" ht="15" customHeight="1">
      <c r="P2990" t="str">
        <f t="shared" si="92"/>
        <v/>
      </c>
      <c r="Q2990" t="str">
        <f>IF(P2990="","",IFERROR(IF(AND(H2990="W7",OR(F2990="causal",F2990="predictive")),IF(AND(OR(K2990=1,K2990="1"),OR(L2990=1,L2990="1"),OR(M2990=1,M2990="1")),"adequate","partial"),IF(AND(H2990="W4",F2990="predictive",OR(J2990="P2",J2990="P3",J2990="P4")),IF(OR(U2990=1,U2990="1"),"adequate","partial"),INDEX(Fit_Matrix!$B:$B,MATCH(P2990,Fit_Matrix!$A:$A,0)))),"CHECK KEY"))</f>
        <v/>
      </c>
      <c r="U2990" s="10"/>
      <c r="V2990" s="10"/>
      <c r="W2990" s="10"/>
      <c r="X2990" s="10"/>
      <c r="Y2990" s="10"/>
      <c r="Z2990" s="10"/>
      <c r="AA2990" s="11" t="str">
        <f t="shared" si="93"/>
        <v/>
      </c>
    </row>
    <row r="2991" spans="16:27" ht="15" customHeight="1">
      <c r="P2991" t="str">
        <f t="shared" si="92"/>
        <v/>
      </c>
      <c r="Q2991" t="str">
        <f>IF(P2991="","",IFERROR(IF(AND(H2991="W7",OR(F2991="causal",F2991="predictive")),IF(AND(OR(K2991=1,K2991="1"),OR(L2991=1,L2991="1"),OR(M2991=1,M2991="1")),"adequate","partial"),IF(AND(H2991="W4",F2991="predictive",OR(J2991="P2",J2991="P3",J2991="P4")),IF(OR(U2991=1,U2991="1"),"adequate","partial"),INDEX(Fit_Matrix!$B:$B,MATCH(P2991,Fit_Matrix!$A:$A,0)))),"CHECK KEY"))</f>
        <v/>
      </c>
      <c r="U2991" s="10"/>
      <c r="V2991" s="10"/>
      <c r="W2991" s="10"/>
      <c r="X2991" s="10"/>
      <c r="Y2991" s="10"/>
      <c r="Z2991" s="10"/>
      <c r="AA2991" s="11" t="str">
        <f t="shared" si="93"/>
        <v/>
      </c>
    </row>
    <row r="2992" spans="16:27" ht="15" customHeight="1">
      <c r="P2992" t="str">
        <f t="shared" si="92"/>
        <v/>
      </c>
      <c r="Q2992" t="str">
        <f>IF(P2992="","",IFERROR(IF(AND(H2992="W7",OR(F2992="causal",F2992="predictive")),IF(AND(OR(K2992=1,K2992="1"),OR(L2992=1,L2992="1"),OR(M2992=1,M2992="1")),"adequate","partial"),IF(AND(H2992="W4",F2992="predictive",OR(J2992="P2",J2992="P3",J2992="P4")),IF(OR(U2992=1,U2992="1"),"adequate","partial"),INDEX(Fit_Matrix!$B:$B,MATCH(P2992,Fit_Matrix!$A:$A,0)))),"CHECK KEY"))</f>
        <v/>
      </c>
      <c r="U2992" s="10"/>
      <c r="V2992" s="10"/>
      <c r="W2992" s="10"/>
      <c r="X2992" s="10"/>
      <c r="Y2992" s="10"/>
      <c r="Z2992" s="10"/>
      <c r="AA2992" s="11" t="str">
        <f t="shared" si="93"/>
        <v/>
      </c>
    </row>
    <row r="2993" spans="16:27" ht="15" customHeight="1">
      <c r="P2993" t="str">
        <f t="shared" si="92"/>
        <v/>
      </c>
      <c r="Q2993" t="str">
        <f>IF(P2993="","",IFERROR(IF(AND(H2993="W7",OR(F2993="causal",F2993="predictive")),IF(AND(OR(K2993=1,K2993="1"),OR(L2993=1,L2993="1"),OR(M2993=1,M2993="1")),"adequate","partial"),IF(AND(H2993="W4",F2993="predictive",OR(J2993="P2",J2993="P3",J2993="P4")),IF(OR(U2993=1,U2993="1"),"adequate","partial"),INDEX(Fit_Matrix!$B:$B,MATCH(P2993,Fit_Matrix!$A:$A,0)))),"CHECK KEY"))</f>
        <v/>
      </c>
      <c r="U2993" s="10"/>
      <c r="V2993" s="10"/>
      <c r="W2993" s="10"/>
      <c r="X2993" s="10"/>
      <c r="Y2993" s="10"/>
      <c r="Z2993" s="10"/>
      <c r="AA2993" s="11" t="str">
        <f t="shared" si="93"/>
        <v/>
      </c>
    </row>
    <row r="2994" spans="16:27" ht="15" customHeight="1">
      <c r="P2994" t="str">
        <f t="shared" si="92"/>
        <v/>
      </c>
      <c r="Q2994" t="str">
        <f>IF(P2994="","",IFERROR(IF(AND(H2994="W7",OR(F2994="causal",F2994="predictive")),IF(AND(OR(K2994=1,K2994="1"),OR(L2994=1,L2994="1"),OR(M2994=1,M2994="1")),"adequate","partial"),IF(AND(H2994="W4",F2994="predictive",OR(J2994="P2",J2994="P3",J2994="P4")),IF(OR(U2994=1,U2994="1"),"adequate","partial"),INDEX(Fit_Matrix!$B:$B,MATCH(P2994,Fit_Matrix!$A:$A,0)))),"CHECK KEY"))</f>
        <v/>
      </c>
      <c r="U2994" s="10"/>
      <c r="V2994" s="10"/>
      <c r="W2994" s="10"/>
      <c r="X2994" s="10"/>
      <c r="Y2994" s="10"/>
      <c r="Z2994" s="10"/>
      <c r="AA2994" s="11" t="str">
        <f t="shared" si="93"/>
        <v/>
      </c>
    </row>
    <row r="2995" spans="16:27" ht="15" customHeight="1">
      <c r="P2995" t="str">
        <f t="shared" si="92"/>
        <v/>
      </c>
      <c r="Q2995" t="str">
        <f>IF(P2995="","",IFERROR(IF(AND(H2995="W7",OR(F2995="causal",F2995="predictive")),IF(AND(OR(K2995=1,K2995="1"),OR(L2995=1,L2995="1"),OR(M2995=1,M2995="1")),"adequate","partial"),IF(AND(H2995="W4",F2995="predictive",OR(J2995="P2",J2995="P3",J2995="P4")),IF(OR(U2995=1,U2995="1"),"adequate","partial"),INDEX(Fit_Matrix!$B:$B,MATCH(P2995,Fit_Matrix!$A:$A,0)))),"CHECK KEY"))</f>
        <v/>
      </c>
      <c r="U2995" s="10"/>
      <c r="V2995" s="10"/>
      <c r="W2995" s="10"/>
      <c r="X2995" s="10"/>
      <c r="Y2995" s="10"/>
      <c r="Z2995" s="10"/>
      <c r="AA2995" s="11" t="str">
        <f t="shared" si="93"/>
        <v/>
      </c>
    </row>
    <row r="2996" spans="16:27" ht="15" customHeight="1">
      <c r="P2996" t="str">
        <f t="shared" si="92"/>
        <v/>
      </c>
      <c r="Q2996" t="str">
        <f>IF(P2996="","",IFERROR(IF(AND(H2996="W7",OR(F2996="causal",F2996="predictive")),IF(AND(OR(K2996=1,K2996="1"),OR(L2996=1,L2996="1"),OR(M2996=1,M2996="1")),"adequate","partial"),IF(AND(H2996="W4",F2996="predictive",OR(J2996="P2",J2996="P3",J2996="P4")),IF(OR(U2996=1,U2996="1"),"adequate","partial"),INDEX(Fit_Matrix!$B:$B,MATCH(P2996,Fit_Matrix!$A:$A,0)))),"CHECK KEY"))</f>
        <v/>
      </c>
      <c r="U2996" s="10"/>
      <c r="V2996" s="10"/>
      <c r="W2996" s="10"/>
      <c r="X2996" s="10"/>
      <c r="Y2996" s="10"/>
      <c r="Z2996" s="10"/>
      <c r="AA2996" s="11" t="str">
        <f t="shared" si="93"/>
        <v/>
      </c>
    </row>
    <row r="2997" spans="16:27" ht="15" customHeight="1">
      <c r="P2997" t="str">
        <f t="shared" si="92"/>
        <v/>
      </c>
      <c r="Q2997" t="str">
        <f>IF(P2997="","",IFERROR(IF(AND(H2997="W7",OR(F2997="causal",F2997="predictive")),IF(AND(OR(K2997=1,K2997="1"),OR(L2997=1,L2997="1"),OR(M2997=1,M2997="1")),"adequate","partial"),IF(AND(H2997="W4",F2997="predictive",OR(J2997="P2",J2997="P3",J2997="P4")),IF(OR(U2997=1,U2997="1"),"adequate","partial"),INDEX(Fit_Matrix!$B:$B,MATCH(P2997,Fit_Matrix!$A:$A,0)))),"CHECK KEY"))</f>
        <v/>
      </c>
      <c r="U2997" s="10"/>
      <c r="V2997" s="10"/>
      <c r="W2997" s="10"/>
      <c r="X2997" s="10"/>
      <c r="Y2997" s="10"/>
      <c r="Z2997" s="10"/>
      <c r="AA2997" s="11" t="str">
        <f t="shared" si="93"/>
        <v/>
      </c>
    </row>
    <row r="2998" spans="16:27" ht="15" customHeight="1">
      <c r="P2998" t="str">
        <f t="shared" si="92"/>
        <v/>
      </c>
      <c r="Q2998" t="str">
        <f>IF(P2998="","",IFERROR(IF(AND(H2998="W7",OR(F2998="causal",F2998="predictive")),IF(AND(OR(K2998=1,K2998="1"),OR(L2998=1,L2998="1"),OR(M2998=1,M2998="1")),"adequate","partial"),IF(AND(H2998="W4",F2998="predictive",OR(J2998="P2",J2998="P3",J2998="P4")),IF(OR(U2998=1,U2998="1"),"adequate","partial"),INDEX(Fit_Matrix!$B:$B,MATCH(P2998,Fit_Matrix!$A:$A,0)))),"CHECK KEY"))</f>
        <v/>
      </c>
      <c r="U2998" s="10"/>
      <c r="V2998" s="10"/>
      <c r="W2998" s="10"/>
      <c r="X2998" s="10"/>
      <c r="Y2998" s="10"/>
      <c r="Z2998" s="10"/>
      <c r="AA2998" s="11" t="str">
        <f t="shared" si="93"/>
        <v/>
      </c>
    </row>
    <row r="2999" spans="16:27" ht="15" customHeight="1">
      <c r="P2999" t="str">
        <f t="shared" si="92"/>
        <v/>
      </c>
      <c r="Q2999" t="str">
        <f>IF(P2999="","",IFERROR(IF(AND(H2999="W7",OR(F2999="causal",F2999="predictive")),IF(AND(OR(K2999=1,K2999="1"),OR(L2999=1,L2999="1"),OR(M2999=1,M2999="1")),"adequate","partial"),IF(AND(H2999="W4",F2999="predictive",OR(J2999="P2",J2999="P3",J2999="P4")),IF(OR(U2999=1,U2999="1"),"adequate","partial"),INDEX(Fit_Matrix!$B:$B,MATCH(P2999,Fit_Matrix!$A:$A,0)))),"CHECK KEY"))</f>
        <v/>
      </c>
      <c r="U2999" s="10"/>
      <c r="V2999" s="10"/>
      <c r="W2999" s="10"/>
      <c r="X2999" s="10"/>
      <c r="Y2999" s="10"/>
      <c r="Z2999" s="10"/>
      <c r="AA2999" s="11" t="str">
        <f t="shared" si="93"/>
        <v/>
      </c>
    </row>
    <row r="3000" spans="16:27" ht="15" customHeight="1">
      <c r="P3000" t="str">
        <f t="shared" si="92"/>
        <v/>
      </c>
      <c r="Q3000" t="str">
        <f>IF(P3000="","",IFERROR(IF(AND(H3000="W7",OR(F3000="causal",F3000="predictive")),IF(AND(OR(K3000=1,K3000="1"),OR(L3000=1,L3000="1"),OR(M3000=1,M3000="1")),"adequate","partial"),IF(AND(H3000="W4",F3000="predictive",OR(J3000="P2",J3000="P3",J3000="P4")),IF(OR(U3000=1,U3000="1"),"adequate","partial"),INDEX(Fit_Matrix!$B:$B,MATCH(P3000,Fit_Matrix!$A:$A,0)))),"CHECK KEY"))</f>
        <v/>
      </c>
      <c r="U3000" s="10"/>
      <c r="V3000" s="10"/>
      <c r="W3000" s="10"/>
      <c r="X3000" s="10"/>
      <c r="Y3000" s="10"/>
      <c r="Z3000" s="10"/>
      <c r="AA3000" s="11" t="str">
        <f t="shared" si="93"/>
        <v/>
      </c>
    </row>
    <row r="3001" spans="16:27" ht="15" customHeight="1">
      <c r="P3001" t="str">
        <f t="shared" si="92"/>
        <v/>
      </c>
      <c r="Q3001" t="str">
        <f>IF(P3001="","",IFERROR(IF(AND(H3001="W7",OR(F3001="causal",F3001="predictive")),IF(AND(OR(K3001=1,K3001="1"),OR(L3001=1,L3001="1"),OR(M3001=1,M3001="1")),"adequate","partial"),IF(AND(H3001="W4",F3001="predictive",OR(J3001="P2",J3001="P3",J3001="P4")),IF(OR(U3001=1,U3001="1"),"adequate","partial"),INDEX(Fit_Matrix!$B:$B,MATCH(P3001,Fit_Matrix!$A:$A,0)))),"CHECK KEY"))</f>
        <v/>
      </c>
      <c r="U3001" s="10"/>
      <c r="V3001" s="10"/>
      <c r="W3001" s="10"/>
      <c r="X3001" s="10"/>
      <c r="Y3001" s="10"/>
      <c r="Z3001" s="10"/>
      <c r="AA3001" s="11" t="str">
        <f t="shared" si="93"/>
        <v/>
      </c>
    </row>
    <row r="3002" spans="16:27" ht="15" customHeight="1">
      <c r="P3002" t="str">
        <f t="shared" si="92"/>
        <v/>
      </c>
      <c r="Q3002" t="str">
        <f>IF(P3002="","",IFERROR(IF(AND(H3002="W7",OR(F3002="causal",F3002="predictive")),IF(AND(OR(K3002=1,K3002="1"),OR(L3002=1,L3002="1"),OR(M3002=1,M3002="1")),"adequate","partial"),IF(AND(H3002="W4",F3002="predictive",OR(J3002="P2",J3002="P3",J3002="P4")),IF(OR(U3002=1,U3002="1"),"adequate","partial"),INDEX(Fit_Matrix!$B:$B,MATCH(P3002,Fit_Matrix!$A:$A,0)))),"CHECK KEY"))</f>
        <v/>
      </c>
      <c r="U3002" s="10"/>
      <c r="V3002" s="10"/>
      <c r="W3002" s="10"/>
      <c r="X3002" s="10"/>
      <c r="Y3002" s="10"/>
      <c r="Z3002" s="10"/>
      <c r="AA3002" s="11" t="str">
        <f t="shared" si="93"/>
        <v/>
      </c>
    </row>
    <row r="3003" spans="16:27" ht="15" customHeight="1">
      <c r="P3003" t="str">
        <f t="shared" si="92"/>
        <v/>
      </c>
      <c r="Q3003" t="str">
        <f>IF(P3003="","",IFERROR(IF(AND(H3003="W7",OR(F3003="causal",F3003="predictive")),IF(AND(OR(K3003=1,K3003="1"),OR(L3003=1,L3003="1"),OR(M3003=1,M3003="1")),"adequate","partial"),IF(AND(H3003="W4",F3003="predictive",OR(J3003="P2",J3003="P3",J3003="P4")),IF(OR(U3003=1,U3003="1"),"adequate","partial"),INDEX(Fit_Matrix!$B:$B,MATCH(P3003,Fit_Matrix!$A:$A,0)))),"CHECK KEY"))</f>
        <v/>
      </c>
      <c r="U3003" s="10"/>
      <c r="V3003" s="10"/>
      <c r="W3003" s="10"/>
      <c r="X3003" s="10"/>
      <c r="Y3003" s="10"/>
      <c r="Z3003" s="10"/>
      <c r="AA3003" s="11" t="str">
        <f t="shared" si="93"/>
        <v/>
      </c>
    </row>
    <row r="3004" spans="16:27" ht="15" customHeight="1">
      <c r="P3004" t="str">
        <f t="shared" si="92"/>
        <v/>
      </c>
      <c r="Q3004" t="str">
        <f>IF(P3004="","",IFERROR(IF(AND(H3004="W7",OR(F3004="causal",F3004="predictive")),IF(AND(OR(K3004=1,K3004="1"),OR(L3004=1,L3004="1"),OR(M3004=1,M3004="1")),"adequate","partial"),IF(AND(H3004="W4",F3004="predictive",OR(J3004="P2",J3004="P3",J3004="P4")),IF(OR(U3004=1,U3004="1"),"adequate","partial"),INDEX(Fit_Matrix!$B:$B,MATCH(P3004,Fit_Matrix!$A:$A,0)))),"CHECK KEY"))</f>
        <v/>
      </c>
      <c r="U3004" s="10"/>
      <c r="V3004" s="10"/>
      <c r="W3004" s="10"/>
      <c r="X3004" s="10"/>
      <c r="Y3004" s="10"/>
      <c r="Z3004" s="10"/>
      <c r="AA3004" s="11" t="str">
        <f t="shared" si="93"/>
        <v/>
      </c>
    </row>
    <row r="3005" spans="16:27" ht="15" customHeight="1">
      <c r="P3005" t="str">
        <f t="shared" si="92"/>
        <v/>
      </c>
      <c r="Q3005" t="str">
        <f>IF(P3005="","",IFERROR(IF(AND(H3005="W7",OR(F3005="causal",F3005="predictive")),IF(AND(OR(K3005=1,K3005="1"),OR(L3005=1,L3005="1"),OR(M3005=1,M3005="1")),"adequate","partial"),IF(AND(H3005="W4",F3005="predictive",OR(J3005="P2",J3005="P3",J3005="P4")),IF(OR(U3005=1,U3005="1"),"adequate","partial"),INDEX(Fit_Matrix!$B:$B,MATCH(P3005,Fit_Matrix!$A:$A,0)))),"CHECK KEY"))</f>
        <v/>
      </c>
      <c r="U3005" s="10"/>
      <c r="V3005" s="10"/>
      <c r="W3005" s="10"/>
      <c r="X3005" s="10"/>
      <c r="Y3005" s="10"/>
      <c r="Z3005" s="10"/>
      <c r="AA3005" s="11" t="str">
        <f t="shared" si="93"/>
        <v/>
      </c>
    </row>
    <row r="3006" spans="16:27" ht="15" customHeight="1">
      <c r="P3006" t="str">
        <f t="shared" si="92"/>
        <v/>
      </c>
      <c r="Q3006" t="str">
        <f>IF(P3006="","",IFERROR(IF(AND(H3006="W7",OR(F3006="causal",F3006="predictive")),IF(AND(OR(K3006=1,K3006="1"),OR(L3006=1,L3006="1"),OR(M3006=1,M3006="1")),"adequate","partial"),IF(AND(H3006="W4",F3006="predictive",OR(J3006="P2",J3006="P3",J3006="P4")),IF(OR(U3006=1,U3006="1"),"adequate","partial"),INDEX(Fit_Matrix!$B:$B,MATCH(P3006,Fit_Matrix!$A:$A,0)))),"CHECK KEY"))</f>
        <v/>
      </c>
      <c r="U3006" s="10"/>
      <c r="V3006" s="10"/>
      <c r="W3006" s="10"/>
      <c r="X3006" s="10"/>
      <c r="Y3006" s="10"/>
      <c r="Z3006" s="10"/>
      <c r="AA3006" s="11" t="str">
        <f t="shared" si="93"/>
        <v/>
      </c>
    </row>
    <row r="3007" spans="16:27" ht="15" customHeight="1">
      <c r="P3007" t="str">
        <f t="shared" si="92"/>
        <v/>
      </c>
      <c r="Q3007" t="str">
        <f>IF(P3007="","",IFERROR(IF(AND(H3007="W7",OR(F3007="causal",F3007="predictive")),IF(AND(OR(K3007=1,K3007="1"),OR(L3007=1,L3007="1"),OR(M3007=1,M3007="1")),"adequate","partial"),IF(AND(H3007="W4",F3007="predictive",OR(J3007="P2",J3007="P3",J3007="P4")),IF(OR(U3007=1,U3007="1"),"adequate","partial"),INDEX(Fit_Matrix!$B:$B,MATCH(P3007,Fit_Matrix!$A:$A,0)))),"CHECK KEY"))</f>
        <v/>
      </c>
      <c r="U3007" s="10"/>
      <c r="V3007" s="10"/>
      <c r="W3007" s="10"/>
      <c r="X3007" s="10"/>
      <c r="Y3007" s="10"/>
      <c r="Z3007" s="10"/>
      <c r="AA3007" s="11" t="str">
        <f t="shared" si="93"/>
        <v/>
      </c>
    </row>
    <row r="3008" spans="16:27" ht="15" customHeight="1">
      <c r="P3008" t="str">
        <f t="shared" si="92"/>
        <v/>
      </c>
      <c r="Q3008" t="str">
        <f>IF(P3008="","",IFERROR(IF(AND(H3008="W7",OR(F3008="causal",F3008="predictive")),IF(AND(OR(K3008=1,K3008="1"),OR(L3008=1,L3008="1"),OR(M3008=1,M3008="1")),"adequate","partial"),IF(AND(H3008="W4",F3008="predictive",OR(J3008="P2",J3008="P3",J3008="P4")),IF(OR(U3008=1,U3008="1"),"adequate","partial"),INDEX(Fit_Matrix!$B:$B,MATCH(P3008,Fit_Matrix!$A:$A,0)))),"CHECK KEY"))</f>
        <v/>
      </c>
      <c r="U3008" s="10"/>
      <c r="V3008" s="10"/>
      <c r="W3008" s="10"/>
      <c r="X3008" s="10"/>
      <c r="Y3008" s="10"/>
      <c r="Z3008" s="10"/>
      <c r="AA3008" s="11" t="str">
        <f t="shared" si="93"/>
        <v/>
      </c>
    </row>
    <row r="3009" spans="16:27" ht="15" customHeight="1">
      <c r="P3009" t="str">
        <f t="shared" si="92"/>
        <v/>
      </c>
      <c r="Q3009" t="str">
        <f>IF(P3009="","",IFERROR(IF(AND(H3009="W7",OR(F3009="causal",F3009="predictive")),IF(AND(OR(K3009=1,K3009="1"),OR(L3009=1,L3009="1"),OR(M3009=1,M3009="1")),"adequate","partial"),IF(AND(H3009="W4",F3009="predictive",OR(J3009="P2",J3009="P3",J3009="P4")),IF(OR(U3009=1,U3009="1"),"adequate","partial"),INDEX(Fit_Matrix!$B:$B,MATCH(P3009,Fit_Matrix!$A:$A,0)))),"CHECK KEY"))</f>
        <v/>
      </c>
      <c r="U3009" s="10"/>
      <c r="V3009" s="10"/>
      <c r="W3009" s="10"/>
      <c r="X3009" s="10"/>
      <c r="Y3009" s="10"/>
      <c r="Z3009" s="10"/>
      <c r="AA3009" s="11" t="str">
        <f t="shared" si="93"/>
        <v/>
      </c>
    </row>
    <row r="3010" spans="16:27" ht="15" customHeight="1">
      <c r="P3010" t="str">
        <f t="shared" ref="P3010:P3073" si="94">IF(OR(F3010="",H3010="",J3010=""),"",J3010&amp;"|"&amp;F3010&amp;"|"&amp;IF(H3010="W3","W3_"&amp;IF(I3010="","unknown",I3010),H3010))</f>
        <v/>
      </c>
      <c r="Q3010" t="str">
        <f>IF(P3010="","",IFERROR(IF(AND(H3010="W7",OR(F3010="causal",F3010="predictive")),IF(AND(OR(K3010=1,K3010="1"),OR(L3010=1,L3010="1"),OR(M3010=1,M3010="1")),"adequate","partial"),IF(AND(H3010="W4",F3010="predictive",OR(J3010="P2",J3010="P3",J3010="P4")),IF(OR(U3010=1,U3010="1"),"adequate","partial"),INDEX(Fit_Matrix!$B:$B,MATCH(P3010,Fit_Matrix!$A:$A,0)))),"CHECK KEY"))</f>
        <v/>
      </c>
      <c r="U3010" s="10"/>
      <c r="V3010" s="10"/>
      <c r="W3010" s="10"/>
      <c r="X3010" s="10"/>
      <c r="Y3010" s="10"/>
      <c r="Z3010" s="10"/>
      <c r="AA3010" s="11" t="str">
        <f t="shared" ref="AA3010:AA3073" si="95">IF(A3010="","",IF(AND(J3010="P4",F3010="causal"),"P4-CAUSAL",""))</f>
        <v/>
      </c>
    </row>
    <row r="3011" spans="16:27" ht="15" customHeight="1">
      <c r="P3011" t="str">
        <f t="shared" si="94"/>
        <v/>
      </c>
      <c r="Q3011" t="str">
        <f>IF(P3011="","",IFERROR(IF(AND(H3011="W7",OR(F3011="causal",F3011="predictive")),IF(AND(OR(K3011=1,K3011="1"),OR(L3011=1,L3011="1"),OR(M3011=1,M3011="1")),"adequate","partial"),IF(AND(H3011="W4",F3011="predictive",OR(J3011="P2",J3011="P3",J3011="P4")),IF(OR(U3011=1,U3011="1"),"adequate","partial"),INDEX(Fit_Matrix!$B:$B,MATCH(P3011,Fit_Matrix!$A:$A,0)))),"CHECK KEY"))</f>
        <v/>
      </c>
      <c r="U3011" s="10"/>
      <c r="V3011" s="10"/>
      <c r="W3011" s="10"/>
      <c r="X3011" s="10"/>
      <c r="Y3011" s="10"/>
      <c r="Z3011" s="10"/>
      <c r="AA3011" s="11" t="str">
        <f t="shared" si="95"/>
        <v/>
      </c>
    </row>
    <row r="3012" spans="16:27" ht="15" customHeight="1">
      <c r="P3012" t="str">
        <f t="shared" si="94"/>
        <v/>
      </c>
      <c r="Q3012" t="str">
        <f>IF(P3012="","",IFERROR(IF(AND(H3012="W7",OR(F3012="causal",F3012="predictive")),IF(AND(OR(K3012=1,K3012="1"),OR(L3012=1,L3012="1"),OR(M3012=1,M3012="1")),"adequate","partial"),IF(AND(H3012="W4",F3012="predictive",OR(J3012="P2",J3012="P3",J3012="P4")),IF(OR(U3012=1,U3012="1"),"adequate","partial"),INDEX(Fit_Matrix!$B:$B,MATCH(P3012,Fit_Matrix!$A:$A,0)))),"CHECK KEY"))</f>
        <v/>
      </c>
      <c r="U3012" s="10"/>
      <c r="V3012" s="10"/>
      <c r="W3012" s="10"/>
      <c r="X3012" s="10"/>
      <c r="Y3012" s="10"/>
      <c r="Z3012" s="10"/>
      <c r="AA3012" s="11" t="str">
        <f t="shared" si="95"/>
        <v/>
      </c>
    </row>
    <row r="3013" spans="16:27" ht="15" customHeight="1">
      <c r="P3013" t="str">
        <f t="shared" si="94"/>
        <v/>
      </c>
      <c r="Q3013" t="str">
        <f>IF(P3013="","",IFERROR(IF(AND(H3013="W7",OR(F3013="causal",F3013="predictive")),IF(AND(OR(K3013=1,K3013="1"),OR(L3013=1,L3013="1"),OR(M3013=1,M3013="1")),"adequate","partial"),IF(AND(H3013="W4",F3013="predictive",OR(J3013="P2",J3013="P3",J3013="P4")),IF(OR(U3013=1,U3013="1"),"adequate","partial"),INDEX(Fit_Matrix!$B:$B,MATCH(P3013,Fit_Matrix!$A:$A,0)))),"CHECK KEY"))</f>
        <v/>
      </c>
      <c r="U3013" s="10"/>
      <c r="V3013" s="10"/>
      <c r="W3013" s="10"/>
      <c r="X3013" s="10"/>
      <c r="Y3013" s="10"/>
      <c r="Z3013" s="10"/>
      <c r="AA3013" s="11" t="str">
        <f t="shared" si="95"/>
        <v/>
      </c>
    </row>
    <row r="3014" spans="16:27" ht="15" customHeight="1">
      <c r="P3014" t="str">
        <f t="shared" si="94"/>
        <v/>
      </c>
      <c r="Q3014" t="str">
        <f>IF(P3014="","",IFERROR(IF(AND(H3014="W7",OR(F3014="causal",F3014="predictive")),IF(AND(OR(K3014=1,K3014="1"),OR(L3014=1,L3014="1"),OR(M3014=1,M3014="1")),"adequate","partial"),IF(AND(H3014="W4",F3014="predictive",OR(J3014="P2",J3014="P3",J3014="P4")),IF(OR(U3014=1,U3014="1"),"adequate","partial"),INDEX(Fit_Matrix!$B:$B,MATCH(P3014,Fit_Matrix!$A:$A,0)))),"CHECK KEY"))</f>
        <v/>
      </c>
      <c r="U3014" s="10"/>
      <c r="V3014" s="10"/>
      <c r="W3014" s="10"/>
      <c r="X3014" s="10"/>
      <c r="Y3014" s="10"/>
      <c r="Z3014" s="10"/>
      <c r="AA3014" s="11" t="str">
        <f t="shared" si="95"/>
        <v/>
      </c>
    </row>
    <row r="3015" spans="16:27" ht="15" customHeight="1">
      <c r="P3015" t="str">
        <f t="shared" si="94"/>
        <v/>
      </c>
      <c r="Q3015" t="str">
        <f>IF(P3015="","",IFERROR(IF(AND(H3015="W7",OR(F3015="causal",F3015="predictive")),IF(AND(OR(K3015=1,K3015="1"),OR(L3015=1,L3015="1"),OR(M3015=1,M3015="1")),"adequate","partial"),IF(AND(H3015="W4",F3015="predictive",OR(J3015="P2",J3015="P3",J3015="P4")),IF(OR(U3015=1,U3015="1"),"adequate","partial"),INDEX(Fit_Matrix!$B:$B,MATCH(P3015,Fit_Matrix!$A:$A,0)))),"CHECK KEY"))</f>
        <v/>
      </c>
      <c r="U3015" s="10"/>
      <c r="V3015" s="10"/>
      <c r="W3015" s="10"/>
      <c r="X3015" s="10"/>
      <c r="Y3015" s="10"/>
      <c r="Z3015" s="10"/>
      <c r="AA3015" s="11" t="str">
        <f t="shared" si="95"/>
        <v/>
      </c>
    </row>
    <row r="3016" spans="16:27" ht="15" customHeight="1">
      <c r="P3016" t="str">
        <f t="shared" si="94"/>
        <v/>
      </c>
      <c r="Q3016" t="str">
        <f>IF(P3016="","",IFERROR(IF(AND(H3016="W7",OR(F3016="causal",F3016="predictive")),IF(AND(OR(K3016=1,K3016="1"),OR(L3016=1,L3016="1"),OR(M3016=1,M3016="1")),"adequate","partial"),IF(AND(H3016="W4",F3016="predictive",OR(J3016="P2",J3016="P3",J3016="P4")),IF(OR(U3016=1,U3016="1"),"adequate","partial"),INDEX(Fit_Matrix!$B:$B,MATCH(P3016,Fit_Matrix!$A:$A,0)))),"CHECK KEY"))</f>
        <v/>
      </c>
      <c r="U3016" s="10"/>
      <c r="V3016" s="10"/>
      <c r="W3016" s="10"/>
      <c r="X3016" s="10"/>
      <c r="Y3016" s="10"/>
      <c r="Z3016" s="10"/>
      <c r="AA3016" s="11" t="str">
        <f t="shared" si="95"/>
        <v/>
      </c>
    </row>
    <row r="3017" spans="16:27" ht="15" customHeight="1">
      <c r="P3017" t="str">
        <f t="shared" si="94"/>
        <v/>
      </c>
      <c r="Q3017" t="str">
        <f>IF(P3017="","",IFERROR(IF(AND(H3017="W7",OR(F3017="causal",F3017="predictive")),IF(AND(OR(K3017=1,K3017="1"),OR(L3017=1,L3017="1"),OR(M3017=1,M3017="1")),"adequate","partial"),IF(AND(H3017="W4",F3017="predictive",OR(J3017="P2",J3017="P3",J3017="P4")),IF(OR(U3017=1,U3017="1"),"adequate","partial"),INDEX(Fit_Matrix!$B:$B,MATCH(P3017,Fit_Matrix!$A:$A,0)))),"CHECK KEY"))</f>
        <v/>
      </c>
      <c r="U3017" s="10"/>
      <c r="V3017" s="10"/>
      <c r="W3017" s="10"/>
      <c r="X3017" s="10"/>
      <c r="Y3017" s="10"/>
      <c r="Z3017" s="10"/>
      <c r="AA3017" s="11" t="str">
        <f t="shared" si="95"/>
        <v/>
      </c>
    </row>
    <row r="3018" spans="16:27" ht="15" customHeight="1">
      <c r="P3018" t="str">
        <f t="shared" si="94"/>
        <v/>
      </c>
      <c r="Q3018" t="str">
        <f>IF(P3018="","",IFERROR(IF(AND(H3018="W7",OR(F3018="causal",F3018="predictive")),IF(AND(OR(K3018=1,K3018="1"),OR(L3018=1,L3018="1"),OR(M3018=1,M3018="1")),"adequate","partial"),IF(AND(H3018="W4",F3018="predictive",OR(J3018="P2",J3018="P3",J3018="P4")),IF(OR(U3018=1,U3018="1"),"adequate","partial"),INDEX(Fit_Matrix!$B:$B,MATCH(P3018,Fit_Matrix!$A:$A,0)))),"CHECK KEY"))</f>
        <v/>
      </c>
      <c r="U3018" s="10"/>
      <c r="V3018" s="10"/>
      <c r="W3018" s="10"/>
      <c r="X3018" s="10"/>
      <c r="Y3018" s="10"/>
      <c r="Z3018" s="10"/>
      <c r="AA3018" s="11" t="str">
        <f t="shared" si="95"/>
        <v/>
      </c>
    </row>
    <row r="3019" spans="16:27" ht="15" customHeight="1">
      <c r="P3019" t="str">
        <f t="shared" si="94"/>
        <v/>
      </c>
      <c r="Q3019" t="str">
        <f>IF(P3019="","",IFERROR(IF(AND(H3019="W7",OR(F3019="causal",F3019="predictive")),IF(AND(OR(K3019=1,K3019="1"),OR(L3019=1,L3019="1"),OR(M3019=1,M3019="1")),"adequate","partial"),IF(AND(H3019="W4",F3019="predictive",OR(J3019="P2",J3019="P3",J3019="P4")),IF(OR(U3019=1,U3019="1"),"adequate","partial"),INDEX(Fit_Matrix!$B:$B,MATCH(P3019,Fit_Matrix!$A:$A,0)))),"CHECK KEY"))</f>
        <v/>
      </c>
      <c r="U3019" s="10"/>
      <c r="V3019" s="10"/>
      <c r="W3019" s="10"/>
      <c r="X3019" s="10"/>
      <c r="Y3019" s="10"/>
      <c r="Z3019" s="10"/>
      <c r="AA3019" s="11" t="str">
        <f t="shared" si="95"/>
        <v/>
      </c>
    </row>
    <row r="3020" spans="16:27" ht="15" customHeight="1">
      <c r="P3020" t="str">
        <f t="shared" si="94"/>
        <v/>
      </c>
      <c r="Q3020" t="str">
        <f>IF(P3020="","",IFERROR(IF(AND(H3020="W7",OR(F3020="causal",F3020="predictive")),IF(AND(OR(K3020=1,K3020="1"),OR(L3020=1,L3020="1"),OR(M3020=1,M3020="1")),"adequate","partial"),IF(AND(H3020="W4",F3020="predictive",OR(J3020="P2",J3020="P3",J3020="P4")),IF(OR(U3020=1,U3020="1"),"adequate","partial"),INDEX(Fit_Matrix!$B:$B,MATCH(P3020,Fit_Matrix!$A:$A,0)))),"CHECK KEY"))</f>
        <v/>
      </c>
      <c r="U3020" s="10"/>
      <c r="V3020" s="10"/>
      <c r="W3020" s="10"/>
      <c r="X3020" s="10"/>
      <c r="Y3020" s="10"/>
      <c r="Z3020" s="10"/>
      <c r="AA3020" s="11" t="str">
        <f t="shared" si="95"/>
        <v/>
      </c>
    </row>
    <row r="3021" spans="16:27" ht="15" customHeight="1">
      <c r="P3021" t="str">
        <f t="shared" si="94"/>
        <v/>
      </c>
      <c r="Q3021" t="str">
        <f>IF(P3021="","",IFERROR(IF(AND(H3021="W7",OR(F3021="causal",F3021="predictive")),IF(AND(OR(K3021=1,K3021="1"),OR(L3021=1,L3021="1"),OR(M3021=1,M3021="1")),"adequate","partial"),IF(AND(H3021="W4",F3021="predictive",OR(J3021="P2",J3021="P3",J3021="P4")),IF(OR(U3021=1,U3021="1"),"adequate","partial"),INDEX(Fit_Matrix!$B:$B,MATCH(P3021,Fit_Matrix!$A:$A,0)))),"CHECK KEY"))</f>
        <v/>
      </c>
      <c r="U3021" s="10"/>
      <c r="V3021" s="10"/>
      <c r="W3021" s="10"/>
      <c r="X3021" s="10"/>
      <c r="Y3021" s="10"/>
      <c r="Z3021" s="10"/>
      <c r="AA3021" s="11" t="str">
        <f t="shared" si="95"/>
        <v/>
      </c>
    </row>
    <row r="3022" spans="16:27" ht="15" customHeight="1">
      <c r="P3022" t="str">
        <f t="shared" si="94"/>
        <v/>
      </c>
      <c r="Q3022" t="str">
        <f>IF(P3022="","",IFERROR(IF(AND(H3022="W7",OR(F3022="causal",F3022="predictive")),IF(AND(OR(K3022=1,K3022="1"),OR(L3022=1,L3022="1"),OR(M3022=1,M3022="1")),"adequate","partial"),IF(AND(H3022="W4",F3022="predictive",OR(J3022="P2",J3022="P3",J3022="P4")),IF(OR(U3022=1,U3022="1"),"adequate","partial"),INDEX(Fit_Matrix!$B:$B,MATCH(P3022,Fit_Matrix!$A:$A,0)))),"CHECK KEY"))</f>
        <v/>
      </c>
      <c r="U3022" s="10"/>
      <c r="V3022" s="10"/>
      <c r="W3022" s="10"/>
      <c r="X3022" s="10"/>
      <c r="Y3022" s="10"/>
      <c r="Z3022" s="10"/>
      <c r="AA3022" s="11" t="str">
        <f t="shared" si="95"/>
        <v/>
      </c>
    </row>
    <row r="3023" spans="16:27" ht="15" customHeight="1">
      <c r="P3023" t="str">
        <f t="shared" si="94"/>
        <v/>
      </c>
      <c r="Q3023" t="str">
        <f>IF(P3023="","",IFERROR(IF(AND(H3023="W7",OR(F3023="causal",F3023="predictive")),IF(AND(OR(K3023=1,K3023="1"),OR(L3023=1,L3023="1"),OR(M3023=1,M3023="1")),"adequate","partial"),IF(AND(H3023="W4",F3023="predictive",OR(J3023="P2",J3023="P3",J3023="P4")),IF(OR(U3023=1,U3023="1"),"adequate","partial"),INDEX(Fit_Matrix!$B:$B,MATCH(P3023,Fit_Matrix!$A:$A,0)))),"CHECK KEY"))</f>
        <v/>
      </c>
      <c r="U3023" s="10"/>
      <c r="V3023" s="10"/>
      <c r="W3023" s="10"/>
      <c r="X3023" s="10"/>
      <c r="Y3023" s="10"/>
      <c r="Z3023" s="10"/>
      <c r="AA3023" s="11" t="str">
        <f t="shared" si="95"/>
        <v/>
      </c>
    </row>
    <row r="3024" spans="16:27" ht="15" customHeight="1">
      <c r="P3024" t="str">
        <f t="shared" si="94"/>
        <v/>
      </c>
      <c r="Q3024" t="str">
        <f>IF(P3024="","",IFERROR(IF(AND(H3024="W7",OR(F3024="causal",F3024="predictive")),IF(AND(OR(K3024=1,K3024="1"),OR(L3024=1,L3024="1"),OR(M3024=1,M3024="1")),"adequate","partial"),IF(AND(H3024="W4",F3024="predictive",OR(J3024="P2",J3024="P3",J3024="P4")),IF(OR(U3024=1,U3024="1"),"adequate","partial"),INDEX(Fit_Matrix!$B:$B,MATCH(P3024,Fit_Matrix!$A:$A,0)))),"CHECK KEY"))</f>
        <v/>
      </c>
      <c r="U3024" s="10"/>
      <c r="V3024" s="10"/>
      <c r="W3024" s="10"/>
      <c r="X3024" s="10"/>
      <c r="Y3024" s="10"/>
      <c r="Z3024" s="10"/>
      <c r="AA3024" s="11" t="str">
        <f t="shared" si="95"/>
        <v/>
      </c>
    </row>
    <row r="3025" spans="16:27" ht="15" customHeight="1">
      <c r="P3025" t="str">
        <f t="shared" si="94"/>
        <v/>
      </c>
      <c r="Q3025" t="str">
        <f>IF(P3025="","",IFERROR(IF(AND(H3025="W7",OR(F3025="causal",F3025="predictive")),IF(AND(OR(K3025=1,K3025="1"),OR(L3025=1,L3025="1"),OR(M3025=1,M3025="1")),"adequate","partial"),IF(AND(H3025="W4",F3025="predictive",OR(J3025="P2",J3025="P3",J3025="P4")),IF(OR(U3025=1,U3025="1"),"adequate","partial"),INDEX(Fit_Matrix!$B:$B,MATCH(P3025,Fit_Matrix!$A:$A,0)))),"CHECK KEY"))</f>
        <v/>
      </c>
      <c r="U3025" s="10"/>
      <c r="V3025" s="10"/>
      <c r="W3025" s="10"/>
      <c r="X3025" s="10"/>
      <c r="Y3025" s="10"/>
      <c r="Z3025" s="10"/>
      <c r="AA3025" s="11" t="str">
        <f t="shared" si="95"/>
        <v/>
      </c>
    </row>
    <row r="3026" spans="16:27" ht="15" customHeight="1">
      <c r="P3026" t="str">
        <f t="shared" si="94"/>
        <v/>
      </c>
      <c r="Q3026" t="str">
        <f>IF(P3026="","",IFERROR(IF(AND(H3026="W7",OR(F3026="causal",F3026="predictive")),IF(AND(OR(K3026=1,K3026="1"),OR(L3026=1,L3026="1"),OR(M3026=1,M3026="1")),"adequate","partial"),IF(AND(H3026="W4",F3026="predictive",OR(J3026="P2",J3026="P3",J3026="P4")),IF(OR(U3026=1,U3026="1"),"adequate","partial"),INDEX(Fit_Matrix!$B:$B,MATCH(P3026,Fit_Matrix!$A:$A,0)))),"CHECK KEY"))</f>
        <v/>
      </c>
      <c r="U3026" s="10"/>
      <c r="V3026" s="10"/>
      <c r="W3026" s="10"/>
      <c r="X3026" s="10"/>
      <c r="Y3026" s="10"/>
      <c r="Z3026" s="10"/>
      <c r="AA3026" s="11" t="str">
        <f t="shared" si="95"/>
        <v/>
      </c>
    </row>
    <row r="3027" spans="16:27" ht="15" customHeight="1">
      <c r="P3027" t="str">
        <f t="shared" si="94"/>
        <v/>
      </c>
      <c r="Q3027" t="str">
        <f>IF(P3027="","",IFERROR(IF(AND(H3027="W7",OR(F3027="causal",F3027="predictive")),IF(AND(OR(K3027=1,K3027="1"),OR(L3027=1,L3027="1"),OR(M3027=1,M3027="1")),"adequate","partial"),IF(AND(H3027="W4",F3027="predictive",OR(J3027="P2",J3027="P3",J3027="P4")),IF(OR(U3027=1,U3027="1"),"adequate","partial"),INDEX(Fit_Matrix!$B:$B,MATCH(P3027,Fit_Matrix!$A:$A,0)))),"CHECK KEY"))</f>
        <v/>
      </c>
      <c r="U3027" s="10"/>
      <c r="V3027" s="10"/>
      <c r="W3027" s="10"/>
      <c r="X3027" s="10"/>
      <c r="Y3027" s="10"/>
      <c r="Z3027" s="10"/>
      <c r="AA3027" s="11" t="str">
        <f t="shared" si="95"/>
        <v/>
      </c>
    </row>
    <row r="3028" spans="16:27" ht="15" customHeight="1">
      <c r="P3028" t="str">
        <f t="shared" si="94"/>
        <v/>
      </c>
      <c r="Q3028" t="str">
        <f>IF(P3028="","",IFERROR(IF(AND(H3028="W7",OR(F3028="causal",F3028="predictive")),IF(AND(OR(K3028=1,K3028="1"),OR(L3028=1,L3028="1"),OR(M3028=1,M3028="1")),"adequate","partial"),IF(AND(H3028="W4",F3028="predictive",OR(J3028="P2",J3028="P3",J3028="P4")),IF(OR(U3028=1,U3028="1"),"adequate","partial"),INDEX(Fit_Matrix!$B:$B,MATCH(P3028,Fit_Matrix!$A:$A,0)))),"CHECK KEY"))</f>
        <v/>
      </c>
      <c r="U3028" s="10"/>
      <c r="V3028" s="10"/>
      <c r="W3028" s="10"/>
      <c r="X3028" s="10"/>
      <c r="Y3028" s="10"/>
      <c r="Z3028" s="10"/>
      <c r="AA3028" s="11" t="str">
        <f t="shared" si="95"/>
        <v/>
      </c>
    </row>
    <row r="3029" spans="16:27" ht="15" customHeight="1">
      <c r="P3029" t="str">
        <f t="shared" si="94"/>
        <v/>
      </c>
      <c r="Q3029" t="str">
        <f>IF(P3029="","",IFERROR(IF(AND(H3029="W7",OR(F3029="causal",F3029="predictive")),IF(AND(OR(K3029=1,K3029="1"),OR(L3029=1,L3029="1"),OR(M3029=1,M3029="1")),"adequate","partial"),IF(AND(H3029="W4",F3029="predictive",OR(J3029="P2",J3029="P3",J3029="P4")),IF(OR(U3029=1,U3029="1"),"adequate","partial"),INDEX(Fit_Matrix!$B:$B,MATCH(P3029,Fit_Matrix!$A:$A,0)))),"CHECK KEY"))</f>
        <v/>
      </c>
      <c r="U3029" s="10"/>
      <c r="V3029" s="10"/>
      <c r="W3029" s="10"/>
      <c r="X3029" s="10"/>
      <c r="Y3029" s="10"/>
      <c r="Z3029" s="10"/>
      <c r="AA3029" s="11" t="str">
        <f t="shared" si="95"/>
        <v/>
      </c>
    </row>
    <row r="3030" spans="16:27" ht="15" customHeight="1">
      <c r="P3030" t="str">
        <f t="shared" si="94"/>
        <v/>
      </c>
      <c r="Q3030" t="str">
        <f>IF(P3030="","",IFERROR(IF(AND(H3030="W7",OR(F3030="causal",F3030="predictive")),IF(AND(OR(K3030=1,K3030="1"),OR(L3030=1,L3030="1"),OR(M3030=1,M3030="1")),"adequate","partial"),IF(AND(H3030="W4",F3030="predictive",OR(J3030="P2",J3030="P3",J3030="P4")),IF(OR(U3030=1,U3030="1"),"adequate","partial"),INDEX(Fit_Matrix!$B:$B,MATCH(P3030,Fit_Matrix!$A:$A,0)))),"CHECK KEY"))</f>
        <v/>
      </c>
      <c r="U3030" s="10"/>
      <c r="V3030" s="10"/>
      <c r="W3030" s="10"/>
      <c r="X3030" s="10"/>
      <c r="Y3030" s="10"/>
      <c r="Z3030" s="10"/>
      <c r="AA3030" s="11" t="str">
        <f t="shared" si="95"/>
        <v/>
      </c>
    </row>
    <row r="3031" spans="16:27" ht="15" customHeight="1">
      <c r="P3031" t="str">
        <f t="shared" si="94"/>
        <v/>
      </c>
      <c r="Q3031" t="str">
        <f>IF(P3031="","",IFERROR(IF(AND(H3031="W7",OR(F3031="causal",F3031="predictive")),IF(AND(OR(K3031=1,K3031="1"),OR(L3031=1,L3031="1"),OR(M3031=1,M3031="1")),"adequate","partial"),IF(AND(H3031="W4",F3031="predictive",OR(J3031="P2",J3031="P3",J3031="P4")),IF(OR(U3031=1,U3031="1"),"adequate","partial"),INDEX(Fit_Matrix!$B:$B,MATCH(P3031,Fit_Matrix!$A:$A,0)))),"CHECK KEY"))</f>
        <v/>
      </c>
      <c r="U3031" s="10"/>
      <c r="V3031" s="10"/>
      <c r="W3031" s="10"/>
      <c r="X3031" s="10"/>
      <c r="Y3031" s="10"/>
      <c r="Z3031" s="10"/>
      <c r="AA3031" s="11" t="str">
        <f t="shared" si="95"/>
        <v/>
      </c>
    </row>
    <row r="3032" spans="16:27" ht="15" customHeight="1">
      <c r="P3032" t="str">
        <f t="shared" si="94"/>
        <v/>
      </c>
      <c r="Q3032" t="str">
        <f>IF(P3032="","",IFERROR(IF(AND(H3032="W7",OR(F3032="causal",F3032="predictive")),IF(AND(OR(K3032=1,K3032="1"),OR(L3032=1,L3032="1"),OR(M3032=1,M3032="1")),"adequate","partial"),IF(AND(H3032="W4",F3032="predictive",OR(J3032="P2",J3032="P3",J3032="P4")),IF(OR(U3032=1,U3032="1"),"adequate","partial"),INDEX(Fit_Matrix!$B:$B,MATCH(P3032,Fit_Matrix!$A:$A,0)))),"CHECK KEY"))</f>
        <v/>
      </c>
      <c r="U3032" s="10"/>
      <c r="V3032" s="10"/>
      <c r="W3032" s="10"/>
      <c r="X3032" s="10"/>
      <c r="Y3032" s="10"/>
      <c r="Z3032" s="10"/>
      <c r="AA3032" s="11" t="str">
        <f t="shared" si="95"/>
        <v/>
      </c>
    </row>
    <row r="3033" spans="16:27" ht="15" customHeight="1">
      <c r="P3033" t="str">
        <f t="shared" si="94"/>
        <v/>
      </c>
      <c r="Q3033" t="str">
        <f>IF(P3033="","",IFERROR(IF(AND(H3033="W7",OR(F3033="causal",F3033="predictive")),IF(AND(OR(K3033=1,K3033="1"),OR(L3033=1,L3033="1"),OR(M3033=1,M3033="1")),"adequate","partial"),IF(AND(H3033="W4",F3033="predictive",OR(J3033="P2",J3033="P3",J3033="P4")),IF(OR(U3033=1,U3033="1"),"adequate","partial"),INDEX(Fit_Matrix!$B:$B,MATCH(P3033,Fit_Matrix!$A:$A,0)))),"CHECK KEY"))</f>
        <v/>
      </c>
      <c r="U3033" s="10"/>
      <c r="V3033" s="10"/>
      <c r="W3033" s="10"/>
      <c r="X3033" s="10"/>
      <c r="Y3033" s="10"/>
      <c r="Z3033" s="10"/>
      <c r="AA3033" s="11" t="str">
        <f t="shared" si="95"/>
        <v/>
      </c>
    </row>
    <row r="3034" spans="16:27" ht="15" customHeight="1">
      <c r="P3034" t="str">
        <f t="shared" si="94"/>
        <v/>
      </c>
      <c r="Q3034" t="str">
        <f>IF(P3034="","",IFERROR(IF(AND(H3034="W7",OR(F3034="causal",F3034="predictive")),IF(AND(OR(K3034=1,K3034="1"),OR(L3034=1,L3034="1"),OR(M3034=1,M3034="1")),"adequate","partial"),IF(AND(H3034="W4",F3034="predictive",OR(J3034="P2",J3034="P3",J3034="P4")),IF(OR(U3034=1,U3034="1"),"adequate","partial"),INDEX(Fit_Matrix!$B:$B,MATCH(P3034,Fit_Matrix!$A:$A,0)))),"CHECK KEY"))</f>
        <v/>
      </c>
      <c r="U3034" s="10"/>
      <c r="V3034" s="10"/>
      <c r="W3034" s="10"/>
      <c r="X3034" s="10"/>
      <c r="Y3034" s="10"/>
      <c r="Z3034" s="10"/>
      <c r="AA3034" s="11" t="str">
        <f t="shared" si="95"/>
        <v/>
      </c>
    </row>
    <row r="3035" spans="16:27" ht="15" customHeight="1">
      <c r="P3035" t="str">
        <f t="shared" si="94"/>
        <v/>
      </c>
      <c r="Q3035" t="str">
        <f>IF(P3035="","",IFERROR(IF(AND(H3035="W7",OR(F3035="causal",F3035="predictive")),IF(AND(OR(K3035=1,K3035="1"),OR(L3035=1,L3035="1"),OR(M3035=1,M3035="1")),"adequate","partial"),IF(AND(H3035="W4",F3035="predictive",OR(J3035="P2",J3035="P3",J3035="P4")),IF(OR(U3035=1,U3035="1"),"adequate","partial"),INDEX(Fit_Matrix!$B:$B,MATCH(P3035,Fit_Matrix!$A:$A,0)))),"CHECK KEY"))</f>
        <v/>
      </c>
      <c r="U3035" s="10"/>
      <c r="V3035" s="10"/>
      <c r="W3035" s="10"/>
      <c r="X3035" s="10"/>
      <c r="Y3035" s="10"/>
      <c r="Z3035" s="10"/>
      <c r="AA3035" s="11" t="str">
        <f t="shared" si="95"/>
        <v/>
      </c>
    </row>
    <row r="3036" spans="16:27" ht="15" customHeight="1">
      <c r="P3036" t="str">
        <f t="shared" si="94"/>
        <v/>
      </c>
      <c r="Q3036" t="str">
        <f>IF(P3036="","",IFERROR(IF(AND(H3036="W7",OR(F3036="causal",F3036="predictive")),IF(AND(OR(K3036=1,K3036="1"),OR(L3036=1,L3036="1"),OR(M3036=1,M3036="1")),"adequate","partial"),IF(AND(H3036="W4",F3036="predictive",OR(J3036="P2",J3036="P3",J3036="P4")),IF(OR(U3036=1,U3036="1"),"adequate","partial"),INDEX(Fit_Matrix!$B:$B,MATCH(P3036,Fit_Matrix!$A:$A,0)))),"CHECK KEY"))</f>
        <v/>
      </c>
      <c r="U3036" s="10"/>
      <c r="V3036" s="10"/>
      <c r="W3036" s="10"/>
      <c r="X3036" s="10"/>
      <c r="Y3036" s="10"/>
      <c r="Z3036" s="10"/>
      <c r="AA3036" s="11" t="str">
        <f t="shared" si="95"/>
        <v/>
      </c>
    </row>
    <row r="3037" spans="16:27" ht="15" customHeight="1">
      <c r="P3037" t="str">
        <f t="shared" si="94"/>
        <v/>
      </c>
      <c r="Q3037" t="str">
        <f>IF(P3037="","",IFERROR(IF(AND(H3037="W7",OR(F3037="causal",F3037="predictive")),IF(AND(OR(K3037=1,K3037="1"),OR(L3037=1,L3037="1"),OR(M3037=1,M3037="1")),"adequate","partial"),IF(AND(H3037="W4",F3037="predictive",OR(J3037="P2",J3037="P3",J3037="P4")),IF(OR(U3037=1,U3037="1"),"adequate","partial"),INDEX(Fit_Matrix!$B:$B,MATCH(P3037,Fit_Matrix!$A:$A,0)))),"CHECK KEY"))</f>
        <v/>
      </c>
      <c r="U3037" s="10"/>
      <c r="V3037" s="10"/>
      <c r="W3037" s="10"/>
      <c r="X3037" s="10"/>
      <c r="Y3037" s="10"/>
      <c r="Z3037" s="10"/>
      <c r="AA3037" s="11" t="str">
        <f t="shared" si="95"/>
        <v/>
      </c>
    </row>
    <row r="3038" spans="16:27" ht="15" customHeight="1">
      <c r="P3038" t="str">
        <f t="shared" si="94"/>
        <v/>
      </c>
      <c r="Q3038" t="str">
        <f>IF(P3038="","",IFERROR(IF(AND(H3038="W7",OR(F3038="causal",F3038="predictive")),IF(AND(OR(K3038=1,K3038="1"),OR(L3038=1,L3038="1"),OR(M3038=1,M3038="1")),"adequate","partial"),IF(AND(H3038="W4",F3038="predictive",OR(J3038="P2",J3038="P3",J3038="P4")),IF(OR(U3038=1,U3038="1"),"adequate","partial"),INDEX(Fit_Matrix!$B:$B,MATCH(P3038,Fit_Matrix!$A:$A,0)))),"CHECK KEY"))</f>
        <v/>
      </c>
      <c r="U3038" s="10"/>
      <c r="V3038" s="10"/>
      <c r="W3038" s="10"/>
      <c r="X3038" s="10"/>
      <c r="Y3038" s="10"/>
      <c r="Z3038" s="10"/>
      <c r="AA3038" s="11" t="str">
        <f t="shared" si="95"/>
        <v/>
      </c>
    </row>
    <row r="3039" spans="16:27" ht="15" customHeight="1">
      <c r="P3039" t="str">
        <f t="shared" si="94"/>
        <v/>
      </c>
      <c r="Q3039" t="str">
        <f>IF(P3039="","",IFERROR(IF(AND(H3039="W7",OR(F3039="causal",F3039="predictive")),IF(AND(OR(K3039=1,K3039="1"),OR(L3039=1,L3039="1"),OR(M3039=1,M3039="1")),"adequate","partial"),IF(AND(H3039="W4",F3039="predictive",OR(J3039="P2",J3039="P3",J3039="P4")),IF(OR(U3039=1,U3039="1"),"adequate","partial"),INDEX(Fit_Matrix!$B:$B,MATCH(P3039,Fit_Matrix!$A:$A,0)))),"CHECK KEY"))</f>
        <v/>
      </c>
      <c r="U3039" s="10"/>
      <c r="V3039" s="10"/>
      <c r="W3039" s="10"/>
      <c r="X3039" s="10"/>
      <c r="Y3039" s="10"/>
      <c r="Z3039" s="10"/>
      <c r="AA3039" s="11" t="str">
        <f t="shared" si="95"/>
        <v/>
      </c>
    </row>
    <row r="3040" spans="16:27" ht="15" customHeight="1">
      <c r="P3040" t="str">
        <f t="shared" si="94"/>
        <v/>
      </c>
      <c r="Q3040" t="str">
        <f>IF(P3040="","",IFERROR(IF(AND(H3040="W7",OR(F3040="causal",F3040="predictive")),IF(AND(OR(K3040=1,K3040="1"),OR(L3040=1,L3040="1"),OR(M3040=1,M3040="1")),"adequate","partial"),IF(AND(H3040="W4",F3040="predictive",OR(J3040="P2",J3040="P3",J3040="P4")),IF(OR(U3040=1,U3040="1"),"adequate","partial"),INDEX(Fit_Matrix!$B:$B,MATCH(P3040,Fit_Matrix!$A:$A,0)))),"CHECK KEY"))</f>
        <v/>
      </c>
      <c r="U3040" s="10"/>
      <c r="V3040" s="10"/>
      <c r="W3040" s="10"/>
      <c r="X3040" s="10"/>
      <c r="Y3040" s="10"/>
      <c r="Z3040" s="10"/>
      <c r="AA3040" s="11" t="str">
        <f t="shared" si="95"/>
        <v/>
      </c>
    </row>
    <row r="3041" spans="16:27" ht="15" customHeight="1">
      <c r="P3041" t="str">
        <f t="shared" si="94"/>
        <v/>
      </c>
      <c r="Q3041" t="str">
        <f>IF(P3041="","",IFERROR(IF(AND(H3041="W7",OR(F3041="causal",F3041="predictive")),IF(AND(OR(K3041=1,K3041="1"),OR(L3041=1,L3041="1"),OR(M3041=1,M3041="1")),"adequate","partial"),IF(AND(H3041="W4",F3041="predictive",OR(J3041="P2",J3041="P3",J3041="P4")),IF(OR(U3041=1,U3041="1"),"adequate","partial"),INDEX(Fit_Matrix!$B:$B,MATCH(P3041,Fit_Matrix!$A:$A,0)))),"CHECK KEY"))</f>
        <v/>
      </c>
      <c r="U3041" s="10"/>
      <c r="V3041" s="10"/>
      <c r="W3041" s="10"/>
      <c r="X3041" s="10"/>
      <c r="Y3041" s="10"/>
      <c r="Z3041" s="10"/>
      <c r="AA3041" s="11" t="str">
        <f t="shared" si="95"/>
        <v/>
      </c>
    </row>
    <row r="3042" spans="16:27" ht="15" customHeight="1">
      <c r="P3042" t="str">
        <f t="shared" si="94"/>
        <v/>
      </c>
      <c r="Q3042" t="str">
        <f>IF(P3042="","",IFERROR(IF(AND(H3042="W7",OR(F3042="causal",F3042="predictive")),IF(AND(OR(K3042=1,K3042="1"),OR(L3042=1,L3042="1"),OR(M3042=1,M3042="1")),"adequate","partial"),IF(AND(H3042="W4",F3042="predictive",OR(J3042="P2",J3042="P3",J3042="P4")),IF(OR(U3042=1,U3042="1"),"adequate","partial"),INDEX(Fit_Matrix!$B:$B,MATCH(P3042,Fit_Matrix!$A:$A,0)))),"CHECK KEY"))</f>
        <v/>
      </c>
      <c r="U3042" s="10"/>
      <c r="V3042" s="10"/>
      <c r="W3042" s="10"/>
      <c r="X3042" s="10"/>
      <c r="Y3042" s="10"/>
      <c r="Z3042" s="10"/>
      <c r="AA3042" s="11" t="str">
        <f t="shared" si="95"/>
        <v/>
      </c>
    </row>
    <row r="3043" spans="16:27" ht="15" customHeight="1">
      <c r="P3043" t="str">
        <f t="shared" si="94"/>
        <v/>
      </c>
      <c r="Q3043" t="str">
        <f>IF(P3043="","",IFERROR(IF(AND(H3043="W7",OR(F3043="causal",F3043="predictive")),IF(AND(OR(K3043=1,K3043="1"),OR(L3043=1,L3043="1"),OR(M3043=1,M3043="1")),"adequate","partial"),IF(AND(H3043="W4",F3043="predictive",OR(J3043="P2",J3043="P3",J3043="P4")),IF(OR(U3043=1,U3043="1"),"adequate","partial"),INDEX(Fit_Matrix!$B:$B,MATCH(P3043,Fit_Matrix!$A:$A,0)))),"CHECK KEY"))</f>
        <v/>
      </c>
      <c r="U3043" s="10"/>
      <c r="V3043" s="10"/>
      <c r="W3043" s="10"/>
      <c r="X3043" s="10"/>
      <c r="Y3043" s="10"/>
      <c r="Z3043" s="10"/>
      <c r="AA3043" s="11" t="str">
        <f t="shared" si="95"/>
        <v/>
      </c>
    </row>
    <row r="3044" spans="16:27" ht="15" customHeight="1">
      <c r="P3044" t="str">
        <f t="shared" si="94"/>
        <v/>
      </c>
      <c r="Q3044" t="str">
        <f>IF(P3044="","",IFERROR(IF(AND(H3044="W7",OR(F3044="causal",F3044="predictive")),IF(AND(OR(K3044=1,K3044="1"),OR(L3044=1,L3044="1"),OR(M3044=1,M3044="1")),"adequate","partial"),IF(AND(H3044="W4",F3044="predictive",OR(J3044="P2",J3044="P3",J3044="P4")),IF(OR(U3044=1,U3044="1"),"adequate","partial"),INDEX(Fit_Matrix!$B:$B,MATCH(P3044,Fit_Matrix!$A:$A,0)))),"CHECK KEY"))</f>
        <v/>
      </c>
      <c r="U3044" s="10"/>
      <c r="V3044" s="10"/>
      <c r="W3044" s="10"/>
      <c r="X3044" s="10"/>
      <c r="Y3044" s="10"/>
      <c r="Z3044" s="10"/>
      <c r="AA3044" s="11" t="str">
        <f t="shared" si="95"/>
        <v/>
      </c>
    </row>
    <row r="3045" spans="16:27" ht="15" customHeight="1">
      <c r="P3045" t="str">
        <f t="shared" si="94"/>
        <v/>
      </c>
      <c r="Q3045" t="str">
        <f>IF(P3045="","",IFERROR(IF(AND(H3045="W7",OR(F3045="causal",F3045="predictive")),IF(AND(OR(K3045=1,K3045="1"),OR(L3045=1,L3045="1"),OR(M3045=1,M3045="1")),"adequate","partial"),IF(AND(H3045="W4",F3045="predictive",OR(J3045="P2",J3045="P3",J3045="P4")),IF(OR(U3045=1,U3045="1"),"adequate","partial"),INDEX(Fit_Matrix!$B:$B,MATCH(P3045,Fit_Matrix!$A:$A,0)))),"CHECK KEY"))</f>
        <v/>
      </c>
      <c r="U3045" s="10"/>
      <c r="V3045" s="10"/>
      <c r="W3045" s="10"/>
      <c r="X3045" s="10"/>
      <c r="Y3045" s="10"/>
      <c r="Z3045" s="10"/>
      <c r="AA3045" s="11" t="str">
        <f t="shared" si="95"/>
        <v/>
      </c>
    </row>
    <row r="3046" spans="16:27" ht="15" customHeight="1">
      <c r="P3046" t="str">
        <f t="shared" si="94"/>
        <v/>
      </c>
      <c r="Q3046" t="str">
        <f>IF(P3046="","",IFERROR(IF(AND(H3046="W7",OR(F3046="causal",F3046="predictive")),IF(AND(OR(K3046=1,K3046="1"),OR(L3046=1,L3046="1"),OR(M3046=1,M3046="1")),"adequate","partial"),IF(AND(H3046="W4",F3046="predictive",OR(J3046="P2",J3046="P3",J3046="P4")),IF(OR(U3046=1,U3046="1"),"adequate","partial"),INDEX(Fit_Matrix!$B:$B,MATCH(P3046,Fit_Matrix!$A:$A,0)))),"CHECK KEY"))</f>
        <v/>
      </c>
      <c r="U3046" s="10"/>
      <c r="V3046" s="10"/>
      <c r="W3046" s="10"/>
      <c r="X3046" s="10"/>
      <c r="Y3046" s="10"/>
      <c r="Z3046" s="10"/>
      <c r="AA3046" s="11" t="str">
        <f t="shared" si="95"/>
        <v/>
      </c>
    </row>
    <row r="3047" spans="16:27" ht="15" customHeight="1">
      <c r="P3047" t="str">
        <f t="shared" si="94"/>
        <v/>
      </c>
      <c r="Q3047" t="str">
        <f>IF(P3047="","",IFERROR(IF(AND(H3047="W7",OR(F3047="causal",F3047="predictive")),IF(AND(OR(K3047=1,K3047="1"),OR(L3047=1,L3047="1"),OR(M3047=1,M3047="1")),"adequate","partial"),IF(AND(H3047="W4",F3047="predictive",OR(J3047="P2",J3047="P3",J3047="P4")),IF(OR(U3047=1,U3047="1"),"adequate","partial"),INDEX(Fit_Matrix!$B:$B,MATCH(P3047,Fit_Matrix!$A:$A,0)))),"CHECK KEY"))</f>
        <v/>
      </c>
      <c r="U3047" s="10"/>
      <c r="V3047" s="10"/>
      <c r="W3047" s="10"/>
      <c r="X3047" s="10"/>
      <c r="Y3047" s="10"/>
      <c r="Z3047" s="10"/>
      <c r="AA3047" s="11" t="str">
        <f t="shared" si="95"/>
        <v/>
      </c>
    </row>
    <row r="3048" spans="16:27" ht="15" customHeight="1">
      <c r="P3048" t="str">
        <f t="shared" si="94"/>
        <v/>
      </c>
      <c r="Q3048" t="str">
        <f>IF(P3048="","",IFERROR(IF(AND(H3048="W7",OR(F3048="causal",F3048="predictive")),IF(AND(OR(K3048=1,K3048="1"),OR(L3048=1,L3048="1"),OR(M3048=1,M3048="1")),"adequate","partial"),IF(AND(H3048="W4",F3048="predictive",OR(J3048="P2",J3048="P3",J3048="P4")),IF(OR(U3048=1,U3048="1"),"adequate","partial"),INDEX(Fit_Matrix!$B:$B,MATCH(P3048,Fit_Matrix!$A:$A,0)))),"CHECK KEY"))</f>
        <v/>
      </c>
      <c r="U3048" s="10"/>
      <c r="V3048" s="10"/>
      <c r="W3048" s="10"/>
      <c r="X3048" s="10"/>
      <c r="Y3048" s="10"/>
      <c r="Z3048" s="10"/>
      <c r="AA3048" s="11" t="str">
        <f t="shared" si="95"/>
        <v/>
      </c>
    </row>
    <row r="3049" spans="16:27" ht="15" customHeight="1">
      <c r="P3049" t="str">
        <f t="shared" si="94"/>
        <v/>
      </c>
      <c r="Q3049" t="str">
        <f>IF(P3049="","",IFERROR(IF(AND(H3049="W7",OR(F3049="causal",F3049="predictive")),IF(AND(OR(K3049=1,K3049="1"),OR(L3049=1,L3049="1"),OR(M3049=1,M3049="1")),"adequate","partial"),IF(AND(H3049="W4",F3049="predictive",OR(J3049="P2",J3049="P3",J3049="P4")),IF(OR(U3049=1,U3049="1"),"adequate","partial"),INDEX(Fit_Matrix!$B:$B,MATCH(P3049,Fit_Matrix!$A:$A,0)))),"CHECK KEY"))</f>
        <v/>
      </c>
      <c r="U3049" s="10"/>
      <c r="V3049" s="10"/>
      <c r="W3049" s="10"/>
      <c r="X3049" s="10"/>
      <c r="Y3049" s="10"/>
      <c r="Z3049" s="10"/>
      <c r="AA3049" s="11" t="str">
        <f t="shared" si="95"/>
        <v/>
      </c>
    </row>
    <row r="3050" spans="16:27" ht="15" customHeight="1">
      <c r="P3050" t="str">
        <f t="shared" si="94"/>
        <v/>
      </c>
      <c r="Q3050" t="str">
        <f>IF(P3050="","",IFERROR(IF(AND(H3050="W7",OR(F3050="causal",F3050="predictive")),IF(AND(OR(K3050=1,K3050="1"),OR(L3050=1,L3050="1"),OR(M3050=1,M3050="1")),"adequate","partial"),IF(AND(H3050="W4",F3050="predictive",OR(J3050="P2",J3050="P3",J3050="P4")),IF(OR(U3050=1,U3050="1"),"adequate","partial"),INDEX(Fit_Matrix!$B:$B,MATCH(P3050,Fit_Matrix!$A:$A,0)))),"CHECK KEY"))</f>
        <v/>
      </c>
      <c r="U3050" s="10"/>
      <c r="V3050" s="10"/>
      <c r="W3050" s="10"/>
      <c r="X3050" s="10"/>
      <c r="Y3050" s="10"/>
      <c r="Z3050" s="10"/>
      <c r="AA3050" s="11" t="str">
        <f t="shared" si="95"/>
        <v/>
      </c>
    </row>
    <row r="3051" spans="16:27" ht="15" customHeight="1">
      <c r="P3051" t="str">
        <f t="shared" si="94"/>
        <v/>
      </c>
      <c r="Q3051" t="str">
        <f>IF(P3051="","",IFERROR(IF(AND(H3051="W7",OR(F3051="causal",F3051="predictive")),IF(AND(OR(K3051=1,K3051="1"),OR(L3051=1,L3051="1"),OR(M3051=1,M3051="1")),"adequate","partial"),IF(AND(H3051="W4",F3051="predictive",OR(J3051="P2",J3051="P3",J3051="P4")),IF(OR(U3051=1,U3051="1"),"adequate","partial"),INDEX(Fit_Matrix!$B:$B,MATCH(P3051,Fit_Matrix!$A:$A,0)))),"CHECK KEY"))</f>
        <v/>
      </c>
      <c r="U3051" s="10"/>
      <c r="V3051" s="10"/>
      <c r="W3051" s="10"/>
      <c r="X3051" s="10"/>
      <c r="Y3051" s="10"/>
      <c r="Z3051" s="10"/>
      <c r="AA3051" s="11" t="str">
        <f t="shared" si="95"/>
        <v/>
      </c>
    </row>
    <row r="3052" spans="16:27" ht="15" customHeight="1">
      <c r="P3052" t="str">
        <f t="shared" si="94"/>
        <v/>
      </c>
      <c r="Q3052" t="str">
        <f>IF(P3052="","",IFERROR(IF(AND(H3052="W7",OR(F3052="causal",F3052="predictive")),IF(AND(OR(K3052=1,K3052="1"),OR(L3052=1,L3052="1"),OR(M3052=1,M3052="1")),"adequate","partial"),IF(AND(H3052="W4",F3052="predictive",OR(J3052="P2",J3052="P3",J3052="P4")),IF(OR(U3052=1,U3052="1"),"adequate","partial"),INDEX(Fit_Matrix!$B:$B,MATCH(P3052,Fit_Matrix!$A:$A,0)))),"CHECK KEY"))</f>
        <v/>
      </c>
      <c r="U3052" s="10"/>
      <c r="V3052" s="10"/>
      <c r="W3052" s="10"/>
      <c r="X3052" s="10"/>
      <c r="Y3052" s="10"/>
      <c r="Z3052" s="10"/>
      <c r="AA3052" s="11" t="str">
        <f t="shared" si="95"/>
        <v/>
      </c>
    </row>
    <row r="3053" spans="16:27" ht="15" customHeight="1">
      <c r="P3053" t="str">
        <f t="shared" si="94"/>
        <v/>
      </c>
      <c r="Q3053" t="str">
        <f>IF(P3053="","",IFERROR(IF(AND(H3053="W7",OR(F3053="causal",F3053="predictive")),IF(AND(OR(K3053=1,K3053="1"),OR(L3053=1,L3053="1"),OR(M3053=1,M3053="1")),"adequate","partial"),IF(AND(H3053="W4",F3053="predictive",OR(J3053="P2",J3053="P3",J3053="P4")),IF(OR(U3053=1,U3053="1"),"adequate","partial"),INDEX(Fit_Matrix!$B:$B,MATCH(P3053,Fit_Matrix!$A:$A,0)))),"CHECK KEY"))</f>
        <v/>
      </c>
      <c r="U3053" s="10"/>
      <c r="V3053" s="10"/>
      <c r="W3053" s="10"/>
      <c r="X3053" s="10"/>
      <c r="Y3053" s="10"/>
      <c r="Z3053" s="10"/>
      <c r="AA3053" s="11" t="str">
        <f t="shared" si="95"/>
        <v/>
      </c>
    </row>
    <row r="3054" spans="16:27" ht="15" customHeight="1">
      <c r="P3054" t="str">
        <f t="shared" si="94"/>
        <v/>
      </c>
      <c r="Q3054" t="str">
        <f>IF(P3054="","",IFERROR(IF(AND(H3054="W7",OR(F3054="causal",F3054="predictive")),IF(AND(OR(K3054=1,K3054="1"),OR(L3054=1,L3054="1"),OR(M3054=1,M3054="1")),"adequate","partial"),IF(AND(H3054="W4",F3054="predictive",OR(J3054="P2",J3054="P3",J3054="P4")),IF(OR(U3054=1,U3054="1"),"adequate","partial"),INDEX(Fit_Matrix!$B:$B,MATCH(P3054,Fit_Matrix!$A:$A,0)))),"CHECK KEY"))</f>
        <v/>
      </c>
      <c r="U3054" s="10"/>
      <c r="V3054" s="10"/>
      <c r="W3054" s="10"/>
      <c r="X3054" s="10"/>
      <c r="Y3054" s="10"/>
      <c r="Z3054" s="10"/>
      <c r="AA3054" s="11" t="str">
        <f t="shared" si="95"/>
        <v/>
      </c>
    </row>
    <row r="3055" spans="16:27" ht="15" customHeight="1">
      <c r="P3055" t="str">
        <f t="shared" si="94"/>
        <v/>
      </c>
      <c r="Q3055" t="str">
        <f>IF(P3055="","",IFERROR(IF(AND(H3055="W7",OR(F3055="causal",F3055="predictive")),IF(AND(OR(K3055=1,K3055="1"),OR(L3055=1,L3055="1"),OR(M3055=1,M3055="1")),"adequate","partial"),IF(AND(H3055="W4",F3055="predictive",OR(J3055="P2",J3055="P3",J3055="P4")),IF(OR(U3055=1,U3055="1"),"adequate","partial"),INDEX(Fit_Matrix!$B:$B,MATCH(P3055,Fit_Matrix!$A:$A,0)))),"CHECK KEY"))</f>
        <v/>
      </c>
      <c r="U3055" s="10"/>
      <c r="V3055" s="10"/>
      <c r="W3055" s="10"/>
      <c r="X3055" s="10"/>
      <c r="Y3055" s="10"/>
      <c r="Z3055" s="10"/>
      <c r="AA3055" s="11" t="str">
        <f t="shared" si="95"/>
        <v/>
      </c>
    </row>
    <row r="3056" spans="16:27" ht="15" customHeight="1">
      <c r="P3056" t="str">
        <f t="shared" si="94"/>
        <v/>
      </c>
      <c r="Q3056" t="str">
        <f>IF(P3056="","",IFERROR(IF(AND(H3056="W7",OR(F3056="causal",F3056="predictive")),IF(AND(OR(K3056=1,K3056="1"),OR(L3056=1,L3056="1"),OR(M3056=1,M3056="1")),"adequate","partial"),IF(AND(H3056="W4",F3056="predictive",OR(J3056="P2",J3056="P3",J3056="P4")),IF(OR(U3056=1,U3056="1"),"adequate","partial"),INDEX(Fit_Matrix!$B:$B,MATCH(P3056,Fit_Matrix!$A:$A,0)))),"CHECK KEY"))</f>
        <v/>
      </c>
      <c r="U3056" s="10"/>
      <c r="V3056" s="10"/>
      <c r="W3056" s="10"/>
      <c r="X3056" s="10"/>
      <c r="Y3056" s="10"/>
      <c r="Z3056" s="10"/>
      <c r="AA3056" s="11" t="str">
        <f t="shared" si="95"/>
        <v/>
      </c>
    </row>
    <row r="3057" spans="16:27" ht="15" customHeight="1">
      <c r="P3057" t="str">
        <f t="shared" si="94"/>
        <v/>
      </c>
      <c r="Q3057" t="str">
        <f>IF(P3057="","",IFERROR(IF(AND(H3057="W7",OR(F3057="causal",F3057="predictive")),IF(AND(OR(K3057=1,K3057="1"),OR(L3057=1,L3057="1"),OR(M3057=1,M3057="1")),"adequate","partial"),IF(AND(H3057="W4",F3057="predictive",OR(J3057="P2",J3057="P3",J3057="P4")),IF(OR(U3057=1,U3057="1"),"adequate","partial"),INDEX(Fit_Matrix!$B:$B,MATCH(P3057,Fit_Matrix!$A:$A,0)))),"CHECK KEY"))</f>
        <v/>
      </c>
      <c r="U3057" s="10"/>
      <c r="V3057" s="10"/>
      <c r="W3057" s="10"/>
      <c r="X3057" s="10"/>
      <c r="Y3057" s="10"/>
      <c r="Z3057" s="10"/>
      <c r="AA3057" s="11" t="str">
        <f t="shared" si="95"/>
        <v/>
      </c>
    </row>
    <row r="3058" spans="16:27" ht="15" customHeight="1">
      <c r="P3058" t="str">
        <f t="shared" si="94"/>
        <v/>
      </c>
      <c r="Q3058" t="str">
        <f>IF(P3058="","",IFERROR(IF(AND(H3058="W7",OR(F3058="causal",F3058="predictive")),IF(AND(OR(K3058=1,K3058="1"),OR(L3058=1,L3058="1"),OR(M3058=1,M3058="1")),"adequate","partial"),IF(AND(H3058="W4",F3058="predictive",OR(J3058="P2",J3058="P3",J3058="P4")),IF(OR(U3058=1,U3058="1"),"adequate","partial"),INDEX(Fit_Matrix!$B:$B,MATCH(P3058,Fit_Matrix!$A:$A,0)))),"CHECK KEY"))</f>
        <v/>
      </c>
      <c r="U3058" s="10"/>
      <c r="V3058" s="10"/>
      <c r="W3058" s="10"/>
      <c r="X3058" s="10"/>
      <c r="Y3058" s="10"/>
      <c r="Z3058" s="10"/>
      <c r="AA3058" s="11" t="str">
        <f t="shared" si="95"/>
        <v/>
      </c>
    </row>
    <row r="3059" spans="16:27" ht="15" customHeight="1">
      <c r="P3059" t="str">
        <f t="shared" si="94"/>
        <v/>
      </c>
      <c r="Q3059" t="str">
        <f>IF(P3059="","",IFERROR(IF(AND(H3059="W7",OR(F3059="causal",F3059="predictive")),IF(AND(OR(K3059=1,K3059="1"),OR(L3059=1,L3059="1"),OR(M3059=1,M3059="1")),"adequate","partial"),IF(AND(H3059="W4",F3059="predictive",OR(J3059="P2",J3059="P3",J3059="P4")),IF(OR(U3059=1,U3059="1"),"adequate","partial"),INDEX(Fit_Matrix!$B:$B,MATCH(P3059,Fit_Matrix!$A:$A,0)))),"CHECK KEY"))</f>
        <v/>
      </c>
      <c r="U3059" s="10"/>
      <c r="V3059" s="10"/>
      <c r="W3059" s="10"/>
      <c r="X3059" s="10"/>
      <c r="Y3059" s="10"/>
      <c r="Z3059" s="10"/>
      <c r="AA3059" s="11" t="str">
        <f t="shared" si="95"/>
        <v/>
      </c>
    </row>
    <row r="3060" spans="16:27" ht="15" customHeight="1">
      <c r="P3060" t="str">
        <f t="shared" si="94"/>
        <v/>
      </c>
      <c r="Q3060" t="str">
        <f>IF(P3060="","",IFERROR(IF(AND(H3060="W7",OR(F3060="causal",F3060="predictive")),IF(AND(OR(K3060=1,K3060="1"),OR(L3060=1,L3060="1"),OR(M3060=1,M3060="1")),"adequate","partial"),IF(AND(H3060="W4",F3060="predictive",OR(J3060="P2",J3060="P3",J3060="P4")),IF(OR(U3060=1,U3060="1"),"adequate","partial"),INDEX(Fit_Matrix!$B:$B,MATCH(P3060,Fit_Matrix!$A:$A,0)))),"CHECK KEY"))</f>
        <v/>
      </c>
      <c r="U3060" s="10"/>
      <c r="V3060" s="10"/>
      <c r="W3060" s="10"/>
      <c r="X3060" s="10"/>
      <c r="Y3060" s="10"/>
      <c r="Z3060" s="10"/>
      <c r="AA3060" s="11" t="str">
        <f t="shared" si="95"/>
        <v/>
      </c>
    </row>
    <row r="3061" spans="16:27" ht="15" customHeight="1">
      <c r="P3061" t="str">
        <f t="shared" si="94"/>
        <v/>
      </c>
      <c r="Q3061" t="str">
        <f>IF(P3061="","",IFERROR(IF(AND(H3061="W7",OR(F3061="causal",F3061="predictive")),IF(AND(OR(K3061=1,K3061="1"),OR(L3061=1,L3061="1"),OR(M3061=1,M3061="1")),"adequate","partial"),IF(AND(H3061="W4",F3061="predictive",OR(J3061="P2",J3061="P3",J3061="P4")),IF(OR(U3061=1,U3061="1"),"adequate","partial"),INDEX(Fit_Matrix!$B:$B,MATCH(P3061,Fit_Matrix!$A:$A,0)))),"CHECK KEY"))</f>
        <v/>
      </c>
      <c r="U3061" s="10"/>
      <c r="V3061" s="10"/>
      <c r="W3061" s="10"/>
      <c r="X3061" s="10"/>
      <c r="Y3061" s="10"/>
      <c r="Z3061" s="10"/>
      <c r="AA3061" s="11" t="str">
        <f t="shared" si="95"/>
        <v/>
      </c>
    </row>
    <row r="3062" spans="16:27" ht="15" customHeight="1">
      <c r="P3062" t="str">
        <f t="shared" si="94"/>
        <v/>
      </c>
      <c r="Q3062" t="str">
        <f>IF(P3062="","",IFERROR(IF(AND(H3062="W7",OR(F3062="causal",F3062="predictive")),IF(AND(OR(K3062=1,K3062="1"),OR(L3062=1,L3062="1"),OR(M3062=1,M3062="1")),"adequate","partial"),IF(AND(H3062="W4",F3062="predictive",OR(J3062="P2",J3062="P3",J3062="P4")),IF(OR(U3062=1,U3062="1"),"adequate","partial"),INDEX(Fit_Matrix!$B:$B,MATCH(P3062,Fit_Matrix!$A:$A,0)))),"CHECK KEY"))</f>
        <v/>
      </c>
      <c r="U3062" s="10"/>
      <c r="V3062" s="10"/>
      <c r="W3062" s="10"/>
      <c r="X3062" s="10"/>
      <c r="Y3062" s="10"/>
      <c r="Z3062" s="10"/>
      <c r="AA3062" s="11" t="str">
        <f t="shared" si="95"/>
        <v/>
      </c>
    </row>
    <row r="3063" spans="16:27" ht="15" customHeight="1">
      <c r="P3063" t="str">
        <f t="shared" si="94"/>
        <v/>
      </c>
      <c r="Q3063" t="str">
        <f>IF(P3063="","",IFERROR(IF(AND(H3063="W7",OR(F3063="causal",F3063="predictive")),IF(AND(OR(K3063=1,K3063="1"),OR(L3063=1,L3063="1"),OR(M3063=1,M3063="1")),"adequate","partial"),IF(AND(H3063="W4",F3063="predictive",OR(J3063="P2",J3063="P3",J3063="P4")),IF(OR(U3063=1,U3063="1"),"adequate","partial"),INDEX(Fit_Matrix!$B:$B,MATCH(P3063,Fit_Matrix!$A:$A,0)))),"CHECK KEY"))</f>
        <v/>
      </c>
      <c r="U3063" s="10"/>
      <c r="V3063" s="10"/>
      <c r="W3063" s="10"/>
      <c r="X3063" s="10"/>
      <c r="Y3063" s="10"/>
      <c r="Z3063" s="10"/>
      <c r="AA3063" s="11" t="str">
        <f t="shared" si="95"/>
        <v/>
      </c>
    </row>
    <row r="3064" spans="16:27" ht="15" customHeight="1">
      <c r="P3064" t="str">
        <f t="shared" si="94"/>
        <v/>
      </c>
      <c r="Q3064" t="str">
        <f>IF(P3064="","",IFERROR(IF(AND(H3064="W7",OR(F3064="causal",F3064="predictive")),IF(AND(OR(K3064=1,K3064="1"),OR(L3064=1,L3064="1"),OR(M3064=1,M3064="1")),"adequate","partial"),IF(AND(H3064="W4",F3064="predictive",OR(J3064="P2",J3064="P3",J3064="P4")),IF(OR(U3064=1,U3064="1"),"adequate","partial"),INDEX(Fit_Matrix!$B:$B,MATCH(P3064,Fit_Matrix!$A:$A,0)))),"CHECK KEY"))</f>
        <v/>
      </c>
      <c r="U3064" s="10"/>
      <c r="V3064" s="10"/>
      <c r="W3064" s="10"/>
      <c r="X3064" s="10"/>
      <c r="Y3064" s="10"/>
      <c r="Z3064" s="10"/>
      <c r="AA3064" s="11" t="str">
        <f t="shared" si="95"/>
        <v/>
      </c>
    </row>
    <row r="3065" spans="16:27" ht="15" customHeight="1">
      <c r="P3065" t="str">
        <f t="shared" si="94"/>
        <v/>
      </c>
      <c r="Q3065" t="str">
        <f>IF(P3065="","",IFERROR(IF(AND(H3065="W7",OR(F3065="causal",F3065="predictive")),IF(AND(OR(K3065=1,K3065="1"),OR(L3065=1,L3065="1"),OR(M3065=1,M3065="1")),"adequate","partial"),IF(AND(H3065="W4",F3065="predictive",OR(J3065="P2",J3065="P3",J3065="P4")),IF(OR(U3065=1,U3065="1"),"adequate","partial"),INDEX(Fit_Matrix!$B:$B,MATCH(P3065,Fit_Matrix!$A:$A,0)))),"CHECK KEY"))</f>
        <v/>
      </c>
      <c r="U3065" s="10"/>
      <c r="V3065" s="10"/>
      <c r="W3065" s="10"/>
      <c r="X3065" s="10"/>
      <c r="Y3065" s="10"/>
      <c r="Z3065" s="10"/>
      <c r="AA3065" s="11" t="str">
        <f t="shared" si="95"/>
        <v/>
      </c>
    </row>
    <row r="3066" spans="16:27" ht="15" customHeight="1">
      <c r="P3066" t="str">
        <f t="shared" si="94"/>
        <v/>
      </c>
      <c r="Q3066" t="str">
        <f>IF(P3066="","",IFERROR(IF(AND(H3066="W7",OR(F3066="causal",F3066="predictive")),IF(AND(OR(K3066=1,K3066="1"),OR(L3066=1,L3066="1"),OR(M3066=1,M3066="1")),"adequate","partial"),IF(AND(H3066="W4",F3066="predictive",OR(J3066="P2",J3066="P3",J3066="P4")),IF(OR(U3066=1,U3066="1"),"adequate","partial"),INDEX(Fit_Matrix!$B:$B,MATCH(P3066,Fit_Matrix!$A:$A,0)))),"CHECK KEY"))</f>
        <v/>
      </c>
      <c r="U3066" s="10"/>
      <c r="V3066" s="10"/>
      <c r="W3066" s="10"/>
      <c r="X3066" s="10"/>
      <c r="Y3066" s="10"/>
      <c r="Z3066" s="10"/>
      <c r="AA3066" s="11" t="str">
        <f t="shared" si="95"/>
        <v/>
      </c>
    </row>
    <row r="3067" spans="16:27" ht="15" customHeight="1">
      <c r="P3067" t="str">
        <f t="shared" si="94"/>
        <v/>
      </c>
      <c r="Q3067" t="str">
        <f>IF(P3067="","",IFERROR(IF(AND(H3067="W7",OR(F3067="causal",F3067="predictive")),IF(AND(OR(K3067=1,K3067="1"),OR(L3067=1,L3067="1"),OR(M3067=1,M3067="1")),"adequate","partial"),IF(AND(H3067="W4",F3067="predictive",OR(J3067="P2",J3067="P3",J3067="P4")),IF(OR(U3067=1,U3067="1"),"adequate","partial"),INDEX(Fit_Matrix!$B:$B,MATCH(P3067,Fit_Matrix!$A:$A,0)))),"CHECK KEY"))</f>
        <v/>
      </c>
      <c r="U3067" s="10"/>
      <c r="V3067" s="10"/>
      <c r="W3067" s="10"/>
      <c r="X3067" s="10"/>
      <c r="Y3067" s="10"/>
      <c r="Z3067" s="10"/>
      <c r="AA3067" s="11" t="str">
        <f t="shared" si="95"/>
        <v/>
      </c>
    </row>
    <row r="3068" spans="16:27" ht="15" customHeight="1">
      <c r="P3068" t="str">
        <f t="shared" si="94"/>
        <v/>
      </c>
      <c r="Q3068" t="str">
        <f>IF(P3068="","",IFERROR(IF(AND(H3068="W7",OR(F3068="causal",F3068="predictive")),IF(AND(OR(K3068=1,K3068="1"),OR(L3068=1,L3068="1"),OR(M3068=1,M3068="1")),"adequate","partial"),IF(AND(H3068="W4",F3068="predictive",OR(J3068="P2",J3068="P3",J3068="P4")),IF(OR(U3068=1,U3068="1"),"adequate","partial"),INDEX(Fit_Matrix!$B:$B,MATCH(P3068,Fit_Matrix!$A:$A,0)))),"CHECK KEY"))</f>
        <v/>
      </c>
      <c r="U3068" s="10"/>
      <c r="V3068" s="10"/>
      <c r="W3068" s="10"/>
      <c r="X3068" s="10"/>
      <c r="Y3068" s="10"/>
      <c r="Z3068" s="10"/>
      <c r="AA3068" s="11" t="str">
        <f t="shared" si="95"/>
        <v/>
      </c>
    </row>
    <row r="3069" spans="16:27" ht="15" customHeight="1">
      <c r="P3069" t="str">
        <f t="shared" si="94"/>
        <v/>
      </c>
      <c r="Q3069" t="str">
        <f>IF(P3069="","",IFERROR(IF(AND(H3069="W7",OR(F3069="causal",F3069="predictive")),IF(AND(OR(K3069=1,K3069="1"),OR(L3069=1,L3069="1"),OR(M3069=1,M3069="1")),"adequate","partial"),IF(AND(H3069="W4",F3069="predictive",OR(J3069="P2",J3069="P3",J3069="P4")),IF(OR(U3069=1,U3069="1"),"adequate","partial"),INDEX(Fit_Matrix!$B:$B,MATCH(P3069,Fit_Matrix!$A:$A,0)))),"CHECK KEY"))</f>
        <v/>
      </c>
      <c r="U3069" s="10"/>
      <c r="V3069" s="10"/>
      <c r="W3069" s="10"/>
      <c r="X3069" s="10"/>
      <c r="Y3069" s="10"/>
      <c r="Z3069" s="10"/>
      <c r="AA3069" s="11" t="str">
        <f t="shared" si="95"/>
        <v/>
      </c>
    </row>
    <row r="3070" spans="16:27" ht="15" customHeight="1">
      <c r="P3070" t="str">
        <f t="shared" si="94"/>
        <v/>
      </c>
      <c r="Q3070" t="str">
        <f>IF(P3070="","",IFERROR(IF(AND(H3070="W7",OR(F3070="causal",F3070="predictive")),IF(AND(OR(K3070=1,K3070="1"),OR(L3070=1,L3070="1"),OR(M3070=1,M3070="1")),"adequate","partial"),IF(AND(H3070="W4",F3070="predictive",OR(J3070="P2",J3070="P3",J3070="P4")),IF(OR(U3070=1,U3070="1"),"adequate","partial"),INDEX(Fit_Matrix!$B:$B,MATCH(P3070,Fit_Matrix!$A:$A,0)))),"CHECK KEY"))</f>
        <v/>
      </c>
      <c r="U3070" s="10"/>
      <c r="V3070" s="10"/>
      <c r="W3070" s="10"/>
      <c r="X3070" s="10"/>
      <c r="Y3070" s="10"/>
      <c r="Z3070" s="10"/>
      <c r="AA3070" s="11" t="str">
        <f t="shared" si="95"/>
        <v/>
      </c>
    </row>
    <row r="3071" spans="16:27" ht="15" customHeight="1">
      <c r="P3071" t="str">
        <f t="shared" si="94"/>
        <v/>
      </c>
      <c r="Q3071" t="str">
        <f>IF(P3071="","",IFERROR(IF(AND(H3071="W7",OR(F3071="causal",F3071="predictive")),IF(AND(OR(K3071=1,K3071="1"),OR(L3071=1,L3071="1"),OR(M3071=1,M3071="1")),"adequate","partial"),IF(AND(H3071="W4",F3071="predictive",OR(J3071="P2",J3071="P3",J3071="P4")),IF(OR(U3071=1,U3071="1"),"adequate","partial"),INDEX(Fit_Matrix!$B:$B,MATCH(P3071,Fit_Matrix!$A:$A,0)))),"CHECK KEY"))</f>
        <v/>
      </c>
      <c r="U3071" s="10"/>
      <c r="V3071" s="10"/>
      <c r="W3071" s="10"/>
      <c r="X3071" s="10"/>
      <c r="Y3071" s="10"/>
      <c r="Z3071" s="10"/>
      <c r="AA3071" s="11" t="str">
        <f t="shared" si="95"/>
        <v/>
      </c>
    </row>
    <row r="3072" spans="16:27" ht="15" customHeight="1">
      <c r="P3072" t="str">
        <f t="shared" si="94"/>
        <v/>
      </c>
      <c r="Q3072" t="str">
        <f>IF(P3072="","",IFERROR(IF(AND(H3072="W7",OR(F3072="causal",F3072="predictive")),IF(AND(OR(K3072=1,K3072="1"),OR(L3072=1,L3072="1"),OR(M3072=1,M3072="1")),"adequate","partial"),IF(AND(H3072="W4",F3072="predictive",OR(J3072="P2",J3072="P3",J3072="P4")),IF(OR(U3072=1,U3072="1"),"adequate","partial"),INDEX(Fit_Matrix!$B:$B,MATCH(P3072,Fit_Matrix!$A:$A,0)))),"CHECK KEY"))</f>
        <v/>
      </c>
      <c r="U3072" s="10"/>
      <c r="V3072" s="10"/>
      <c r="W3072" s="10"/>
      <c r="X3072" s="10"/>
      <c r="Y3072" s="10"/>
      <c r="Z3072" s="10"/>
      <c r="AA3072" s="11" t="str">
        <f t="shared" si="95"/>
        <v/>
      </c>
    </row>
    <row r="3073" spans="16:27" ht="15" customHeight="1">
      <c r="P3073" t="str">
        <f t="shared" si="94"/>
        <v/>
      </c>
      <c r="Q3073" t="str">
        <f>IF(P3073="","",IFERROR(IF(AND(H3073="W7",OR(F3073="causal",F3073="predictive")),IF(AND(OR(K3073=1,K3073="1"),OR(L3073=1,L3073="1"),OR(M3073=1,M3073="1")),"adequate","partial"),IF(AND(H3073="W4",F3073="predictive",OR(J3073="P2",J3073="P3",J3073="P4")),IF(OR(U3073=1,U3073="1"),"adequate","partial"),INDEX(Fit_Matrix!$B:$B,MATCH(P3073,Fit_Matrix!$A:$A,0)))),"CHECK KEY"))</f>
        <v/>
      </c>
      <c r="U3073" s="10"/>
      <c r="V3073" s="10"/>
      <c r="W3073" s="10"/>
      <c r="X3073" s="10"/>
      <c r="Y3073" s="10"/>
      <c r="Z3073" s="10"/>
      <c r="AA3073" s="11" t="str">
        <f t="shared" si="95"/>
        <v/>
      </c>
    </row>
    <row r="3074" spans="16:27" ht="15" customHeight="1">
      <c r="P3074" t="str">
        <f t="shared" ref="P3074:P3137" si="96">IF(OR(F3074="",H3074="",J3074=""),"",J3074&amp;"|"&amp;F3074&amp;"|"&amp;IF(H3074="W3","W3_"&amp;IF(I3074="","unknown",I3074),H3074))</f>
        <v/>
      </c>
      <c r="Q3074" t="str">
        <f>IF(P3074="","",IFERROR(IF(AND(H3074="W7",OR(F3074="causal",F3074="predictive")),IF(AND(OR(K3074=1,K3074="1"),OR(L3074=1,L3074="1"),OR(M3074=1,M3074="1")),"adequate","partial"),IF(AND(H3074="W4",F3074="predictive",OR(J3074="P2",J3074="P3",J3074="P4")),IF(OR(U3074=1,U3074="1"),"adequate","partial"),INDEX(Fit_Matrix!$B:$B,MATCH(P3074,Fit_Matrix!$A:$A,0)))),"CHECK KEY"))</f>
        <v/>
      </c>
      <c r="U3074" s="10"/>
      <c r="V3074" s="10"/>
      <c r="W3074" s="10"/>
      <c r="X3074" s="10"/>
      <c r="Y3074" s="10"/>
      <c r="Z3074" s="10"/>
      <c r="AA3074" s="11" t="str">
        <f t="shared" ref="AA3074:AA3137" si="97">IF(A3074="","",IF(AND(J3074="P4",F3074="causal"),"P4-CAUSAL",""))</f>
        <v/>
      </c>
    </row>
    <row r="3075" spans="16:27" ht="15" customHeight="1">
      <c r="P3075" t="str">
        <f t="shared" si="96"/>
        <v/>
      </c>
      <c r="Q3075" t="str">
        <f>IF(P3075="","",IFERROR(IF(AND(H3075="W7",OR(F3075="causal",F3075="predictive")),IF(AND(OR(K3075=1,K3075="1"),OR(L3075=1,L3075="1"),OR(M3075=1,M3075="1")),"adequate","partial"),IF(AND(H3075="W4",F3075="predictive",OR(J3075="P2",J3075="P3",J3075="P4")),IF(OR(U3075=1,U3075="1"),"adequate","partial"),INDEX(Fit_Matrix!$B:$B,MATCH(P3075,Fit_Matrix!$A:$A,0)))),"CHECK KEY"))</f>
        <v/>
      </c>
      <c r="U3075" s="10"/>
      <c r="V3075" s="10"/>
      <c r="W3075" s="10"/>
      <c r="X3075" s="10"/>
      <c r="Y3075" s="10"/>
      <c r="Z3075" s="10"/>
      <c r="AA3075" s="11" t="str">
        <f t="shared" si="97"/>
        <v/>
      </c>
    </row>
    <row r="3076" spans="16:27" ht="15" customHeight="1">
      <c r="P3076" t="str">
        <f t="shared" si="96"/>
        <v/>
      </c>
      <c r="Q3076" t="str">
        <f>IF(P3076="","",IFERROR(IF(AND(H3076="W7",OR(F3076="causal",F3076="predictive")),IF(AND(OR(K3076=1,K3076="1"),OR(L3076=1,L3076="1"),OR(M3076=1,M3076="1")),"adequate","partial"),IF(AND(H3076="W4",F3076="predictive",OR(J3076="P2",J3076="P3",J3076="P4")),IF(OR(U3076=1,U3076="1"),"adequate","partial"),INDEX(Fit_Matrix!$B:$B,MATCH(P3076,Fit_Matrix!$A:$A,0)))),"CHECK KEY"))</f>
        <v/>
      </c>
      <c r="U3076" s="10"/>
      <c r="V3076" s="10"/>
      <c r="W3076" s="10"/>
      <c r="X3076" s="10"/>
      <c r="Y3076" s="10"/>
      <c r="Z3076" s="10"/>
      <c r="AA3076" s="11" t="str">
        <f t="shared" si="97"/>
        <v/>
      </c>
    </row>
    <row r="3077" spans="16:27" ht="15" customHeight="1">
      <c r="P3077" t="str">
        <f t="shared" si="96"/>
        <v/>
      </c>
      <c r="Q3077" t="str">
        <f>IF(P3077="","",IFERROR(IF(AND(H3077="W7",OR(F3077="causal",F3077="predictive")),IF(AND(OR(K3077=1,K3077="1"),OR(L3077=1,L3077="1"),OR(M3077=1,M3077="1")),"adequate","partial"),IF(AND(H3077="W4",F3077="predictive",OR(J3077="P2",J3077="P3",J3077="P4")),IF(OR(U3077=1,U3077="1"),"adequate","partial"),INDEX(Fit_Matrix!$B:$B,MATCH(P3077,Fit_Matrix!$A:$A,0)))),"CHECK KEY"))</f>
        <v/>
      </c>
      <c r="U3077" s="10"/>
      <c r="V3077" s="10"/>
      <c r="W3077" s="10"/>
      <c r="X3077" s="10"/>
      <c r="Y3077" s="10"/>
      <c r="Z3077" s="10"/>
      <c r="AA3077" s="11" t="str">
        <f t="shared" si="97"/>
        <v/>
      </c>
    </row>
    <row r="3078" spans="16:27" ht="15" customHeight="1">
      <c r="P3078" t="str">
        <f t="shared" si="96"/>
        <v/>
      </c>
      <c r="Q3078" t="str">
        <f>IF(P3078="","",IFERROR(IF(AND(H3078="W7",OR(F3078="causal",F3078="predictive")),IF(AND(OR(K3078=1,K3078="1"),OR(L3078=1,L3078="1"),OR(M3078=1,M3078="1")),"adequate","partial"),IF(AND(H3078="W4",F3078="predictive",OR(J3078="P2",J3078="P3",J3078="P4")),IF(OR(U3078=1,U3078="1"),"adequate","partial"),INDEX(Fit_Matrix!$B:$B,MATCH(P3078,Fit_Matrix!$A:$A,0)))),"CHECK KEY"))</f>
        <v/>
      </c>
      <c r="U3078" s="10"/>
      <c r="V3078" s="10"/>
      <c r="W3078" s="10"/>
      <c r="X3078" s="10"/>
      <c r="Y3078" s="10"/>
      <c r="Z3078" s="10"/>
      <c r="AA3078" s="11" t="str">
        <f t="shared" si="97"/>
        <v/>
      </c>
    </row>
    <row r="3079" spans="16:27" ht="15" customHeight="1">
      <c r="P3079" t="str">
        <f t="shared" si="96"/>
        <v/>
      </c>
      <c r="Q3079" t="str">
        <f>IF(P3079="","",IFERROR(IF(AND(H3079="W7",OR(F3079="causal",F3079="predictive")),IF(AND(OR(K3079=1,K3079="1"),OR(L3079=1,L3079="1"),OR(M3079=1,M3079="1")),"adequate","partial"),IF(AND(H3079="W4",F3079="predictive",OR(J3079="P2",J3079="P3",J3079="P4")),IF(OR(U3079=1,U3079="1"),"adequate","partial"),INDEX(Fit_Matrix!$B:$B,MATCH(P3079,Fit_Matrix!$A:$A,0)))),"CHECK KEY"))</f>
        <v/>
      </c>
      <c r="U3079" s="10"/>
      <c r="V3079" s="10"/>
      <c r="W3079" s="10"/>
      <c r="X3079" s="10"/>
      <c r="Y3079" s="10"/>
      <c r="Z3079" s="10"/>
      <c r="AA3079" s="11" t="str">
        <f t="shared" si="97"/>
        <v/>
      </c>
    </row>
    <row r="3080" spans="16:27" ht="15" customHeight="1">
      <c r="P3080" t="str">
        <f t="shared" si="96"/>
        <v/>
      </c>
      <c r="Q3080" t="str">
        <f>IF(P3080="","",IFERROR(IF(AND(H3080="W7",OR(F3080="causal",F3080="predictive")),IF(AND(OR(K3080=1,K3080="1"),OR(L3080=1,L3080="1"),OR(M3080=1,M3080="1")),"adequate","partial"),IF(AND(H3080="W4",F3080="predictive",OR(J3080="P2",J3080="P3",J3080="P4")),IF(OR(U3080=1,U3080="1"),"adequate","partial"),INDEX(Fit_Matrix!$B:$B,MATCH(P3080,Fit_Matrix!$A:$A,0)))),"CHECK KEY"))</f>
        <v/>
      </c>
      <c r="U3080" s="10"/>
      <c r="V3080" s="10"/>
      <c r="W3080" s="10"/>
      <c r="X3080" s="10"/>
      <c r="Y3080" s="10"/>
      <c r="Z3080" s="10"/>
      <c r="AA3080" s="11" t="str">
        <f t="shared" si="97"/>
        <v/>
      </c>
    </row>
    <row r="3081" spans="16:27" ht="15" customHeight="1">
      <c r="P3081" t="str">
        <f t="shared" si="96"/>
        <v/>
      </c>
      <c r="Q3081" t="str">
        <f>IF(P3081="","",IFERROR(IF(AND(H3081="W7",OR(F3081="causal",F3081="predictive")),IF(AND(OR(K3081=1,K3081="1"),OR(L3081=1,L3081="1"),OR(M3081=1,M3081="1")),"adequate","partial"),IF(AND(H3081="W4",F3081="predictive",OR(J3081="P2",J3081="P3",J3081="P4")),IF(OR(U3081=1,U3081="1"),"adequate","partial"),INDEX(Fit_Matrix!$B:$B,MATCH(P3081,Fit_Matrix!$A:$A,0)))),"CHECK KEY"))</f>
        <v/>
      </c>
      <c r="U3081" s="10"/>
      <c r="V3081" s="10"/>
      <c r="W3081" s="10"/>
      <c r="X3081" s="10"/>
      <c r="Y3081" s="10"/>
      <c r="Z3081" s="10"/>
      <c r="AA3081" s="11" t="str">
        <f t="shared" si="97"/>
        <v/>
      </c>
    </row>
    <row r="3082" spans="16:27" ht="15" customHeight="1">
      <c r="P3082" t="str">
        <f t="shared" si="96"/>
        <v/>
      </c>
      <c r="Q3082" t="str">
        <f>IF(P3082="","",IFERROR(IF(AND(H3082="W7",OR(F3082="causal",F3082="predictive")),IF(AND(OR(K3082=1,K3082="1"),OR(L3082=1,L3082="1"),OR(M3082=1,M3082="1")),"adequate","partial"),IF(AND(H3082="W4",F3082="predictive",OR(J3082="P2",J3082="P3",J3082="P4")),IF(OR(U3082=1,U3082="1"),"adequate","partial"),INDEX(Fit_Matrix!$B:$B,MATCH(P3082,Fit_Matrix!$A:$A,0)))),"CHECK KEY"))</f>
        <v/>
      </c>
      <c r="U3082" s="10"/>
      <c r="V3082" s="10"/>
      <c r="W3082" s="10"/>
      <c r="X3082" s="10"/>
      <c r="Y3082" s="10"/>
      <c r="Z3082" s="10"/>
      <c r="AA3082" s="11" t="str">
        <f t="shared" si="97"/>
        <v/>
      </c>
    </row>
    <row r="3083" spans="16:27" ht="15" customHeight="1">
      <c r="P3083" t="str">
        <f t="shared" si="96"/>
        <v/>
      </c>
      <c r="Q3083" t="str">
        <f>IF(P3083="","",IFERROR(IF(AND(H3083="W7",OR(F3083="causal",F3083="predictive")),IF(AND(OR(K3083=1,K3083="1"),OR(L3083=1,L3083="1"),OR(M3083=1,M3083="1")),"adequate","partial"),IF(AND(H3083="W4",F3083="predictive",OR(J3083="P2",J3083="P3",J3083="P4")),IF(OR(U3083=1,U3083="1"),"adequate","partial"),INDEX(Fit_Matrix!$B:$B,MATCH(P3083,Fit_Matrix!$A:$A,0)))),"CHECK KEY"))</f>
        <v/>
      </c>
      <c r="U3083" s="10"/>
      <c r="V3083" s="10"/>
      <c r="W3083" s="10"/>
      <c r="X3083" s="10"/>
      <c r="Y3083" s="10"/>
      <c r="Z3083" s="10"/>
      <c r="AA3083" s="11" t="str">
        <f t="shared" si="97"/>
        <v/>
      </c>
    </row>
    <row r="3084" spans="16:27" ht="15" customHeight="1">
      <c r="P3084" t="str">
        <f t="shared" si="96"/>
        <v/>
      </c>
      <c r="Q3084" t="str">
        <f>IF(P3084="","",IFERROR(IF(AND(H3084="W7",OR(F3084="causal",F3084="predictive")),IF(AND(OR(K3084=1,K3084="1"),OR(L3084=1,L3084="1"),OR(M3084=1,M3084="1")),"adequate","partial"),IF(AND(H3084="W4",F3084="predictive",OR(J3084="P2",J3084="P3",J3084="P4")),IF(OR(U3084=1,U3084="1"),"adequate","partial"),INDEX(Fit_Matrix!$B:$B,MATCH(P3084,Fit_Matrix!$A:$A,0)))),"CHECK KEY"))</f>
        <v/>
      </c>
      <c r="U3084" s="10"/>
      <c r="V3084" s="10"/>
      <c r="W3084" s="10"/>
      <c r="X3084" s="10"/>
      <c r="Y3084" s="10"/>
      <c r="Z3084" s="10"/>
      <c r="AA3084" s="11" t="str">
        <f t="shared" si="97"/>
        <v/>
      </c>
    </row>
    <row r="3085" spans="16:27" ht="15" customHeight="1">
      <c r="P3085" t="str">
        <f t="shared" si="96"/>
        <v/>
      </c>
      <c r="Q3085" t="str">
        <f>IF(P3085="","",IFERROR(IF(AND(H3085="W7",OR(F3085="causal",F3085="predictive")),IF(AND(OR(K3085=1,K3085="1"),OR(L3085=1,L3085="1"),OR(M3085=1,M3085="1")),"adequate","partial"),IF(AND(H3085="W4",F3085="predictive",OR(J3085="P2",J3085="P3",J3085="P4")),IF(OR(U3085=1,U3085="1"),"adequate","partial"),INDEX(Fit_Matrix!$B:$B,MATCH(P3085,Fit_Matrix!$A:$A,0)))),"CHECK KEY"))</f>
        <v/>
      </c>
      <c r="U3085" s="10"/>
      <c r="V3085" s="10"/>
      <c r="W3085" s="10"/>
      <c r="X3085" s="10"/>
      <c r="Y3085" s="10"/>
      <c r="Z3085" s="10"/>
      <c r="AA3085" s="11" t="str">
        <f t="shared" si="97"/>
        <v/>
      </c>
    </row>
    <row r="3086" spans="16:27" ht="15" customHeight="1">
      <c r="P3086" t="str">
        <f t="shared" si="96"/>
        <v/>
      </c>
      <c r="Q3086" t="str">
        <f>IF(P3086="","",IFERROR(IF(AND(H3086="W7",OR(F3086="causal",F3086="predictive")),IF(AND(OR(K3086=1,K3086="1"),OR(L3086=1,L3086="1"),OR(M3086=1,M3086="1")),"adequate","partial"),IF(AND(H3086="W4",F3086="predictive",OR(J3086="P2",J3086="P3",J3086="P4")),IF(OR(U3086=1,U3086="1"),"adequate","partial"),INDEX(Fit_Matrix!$B:$B,MATCH(P3086,Fit_Matrix!$A:$A,0)))),"CHECK KEY"))</f>
        <v/>
      </c>
      <c r="U3086" s="10"/>
      <c r="V3086" s="10"/>
      <c r="W3086" s="10"/>
      <c r="X3086" s="10"/>
      <c r="Y3086" s="10"/>
      <c r="Z3086" s="10"/>
      <c r="AA3086" s="11" t="str">
        <f t="shared" si="97"/>
        <v/>
      </c>
    </row>
    <row r="3087" spans="16:27" ht="15" customHeight="1">
      <c r="P3087" t="str">
        <f t="shared" si="96"/>
        <v/>
      </c>
      <c r="Q3087" t="str">
        <f>IF(P3087="","",IFERROR(IF(AND(H3087="W7",OR(F3087="causal",F3087="predictive")),IF(AND(OR(K3087=1,K3087="1"),OR(L3087=1,L3087="1"),OR(M3087=1,M3087="1")),"adequate","partial"),IF(AND(H3087="W4",F3087="predictive",OR(J3087="P2",J3087="P3",J3087="P4")),IF(OR(U3087=1,U3087="1"),"adequate","partial"),INDEX(Fit_Matrix!$B:$B,MATCH(P3087,Fit_Matrix!$A:$A,0)))),"CHECK KEY"))</f>
        <v/>
      </c>
      <c r="U3087" s="10"/>
      <c r="V3087" s="10"/>
      <c r="W3087" s="10"/>
      <c r="X3087" s="10"/>
      <c r="Y3087" s="10"/>
      <c r="Z3087" s="10"/>
      <c r="AA3087" s="11" t="str">
        <f t="shared" si="97"/>
        <v/>
      </c>
    </row>
    <row r="3088" spans="16:27" ht="15" customHeight="1">
      <c r="P3088" t="str">
        <f t="shared" si="96"/>
        <v/>
      </c>
      <c r="Q3088" t="str">
        <f>IF(P3088="","",IFERROR(IF(AND(H3088="W7",OR(F3088="causal",F3088="predictive")),IF(AND(OR(K3088=1,K3088="1"),OR(L3088=1,L3088="1"),OR(M3088=1,M3088="1")),"adequate","partial"),IF(AND(H3088="W4",F3088="predictive",OR(J3088="P2",J3088="P3",J3088="P4")),IF(OR(U3088=1,U3088="1"),"adequate","partial"),INDEX(Fit_Matrix!$B:$B,MATCH(P3088,Fit_Matrix!$A:$A,0)))),"CHECK KEY"))</f>
        <v/>
      </c>
      <c r="U3088" s="10"/>
      <c r="V3088" s="10"/>
      <c r="W3088" s="10"/>
      <c r="X3088" s="10"/>
      <c r="Y3088" s="10"/>
      <c r="Z3088" s="10"/>
      <c r="AA3088" s="11" t="str">
        <f t="shared" si="97"/>
        <v/>
      </c>
    </row>
    <row r="3089" spans="16:27" ht="15" customHeight="1">
      <c r="P3089" t="str">
        <f t="shared" si="96"/>
        <v/>
      </c>
      <c r="Q3089" t="str">
        <f>IF(P3089="","",IFERROR(IF(AND(H3089="W7",OR(F3089="causal",F3089="predictive")),IF(AND(OR(K3089=1,K3089="1"),OR(L3089=1,L3089="1"),OR(M3089=1,M3089="1")),"adequate","partial"),IF(AND(H3089="W4",F3089="predictive",OR(J3089="P2",J3089="P3",J3089="P4")),IF(OR(U3089=1,U3089="1"),"adequate","partial"),INDEX(Fit_Matrix!$B:$B,MATCH(P3089,Fit_Matrix!$A:$A,0)))),"CHECK KEY"))</f>
        <v/>
      </c>
      <c r="U3089" s="10"/>
      <c r="V3089" s="10"/>
      <c r="W3089" s="10"/>
      <c r="X3089" s="10"/>
      <c r="Y3089" s="10"/>
      <c r="Z3089" s="10"/>
      <c r="AA3089" s="11" t="str">
        <f t="shared" si="97"/>
        <v/>
      </c>
    </row>
    <row r="3090" spans="16:27" ht="15" customHeight="1">
      <c r="P3090" t="str">
        <f t="shared" si="96"/>
        <v/>
      </c>
      <c r="Q3090" t="str">
        <f>IF(P3090="","",IFERROR(IF(AND(H3090="W7",OR(F3090="causal",F3090="predictive")),IF(AND(OR(K3090=1,K3090="1"),OR(L3090=1,L3090="1"),OR(M3090=1,M3090="1")),"adequate","partial"),IF(AND(H3090="W4",F3090="predictive",OR(J3090="P2",J3090="P3",J3090="P4")),IF(OR(U3090=1,U3090="1"),"adequate","partial"),INDEX(Fit_Matrix!$B:$B,MATCH(P3090,Fit_Matrix!$A:$A,0)))),"CHECK KEY"))</f>
        <v/>
      </c>
      <c r="U3090" s="10"/>
      <c r="V3090" s="10"/>
      <c r="W3090" s="10"/>
      <c r="X3090" s="10"/>
      <c r="Y3090" s="10"/>
      <c r="Z3090" s="10"/>
      <c r="AA3090" s="11" t="str">
        <f t="shared" si="97"/>
        <v/>
      </c>
    </row>
    <row r="3091" spans="16:27" ht="15" customHeight="1">
      <c r="P3091" t="str">
        <f t="shared" si="96"/>
        <v/>
      </c>
      <c r="Q3091" t="str">
        <f>IF(P3091="","",IFERROR(IF(AND(H3091="W7",OR(F3091="causal",F3091="predictive")),IF(AND(OR(K3091=1,K3091="1"),OR(L3091=1,L3091="1"),OR(M3091=1,M3091="1")),"adequate","partial"),IF(AND(H3091="W4",F3091="predictive",OR(J3091="P2",J3091="P3",J3091="P4")),IF(OR(U3091=1,U3091="1"),"adequate","partial"),INDEX(Fit_Matrix!$B:$B,MATCH(P3091,Fit_Matrix!$A:$A,0)))),"CHECK KEY"))</f>
        <v/>
      </c>
      <c r="U3091" s="10"/>
      <c r="V3091" s="10"/>
      <c r="W3091" s="10"/>
      <c r="X3091" s="10"/>
      <c r="Y3091" s="10"/>
      <c r="Z3091" s="10"/>
      <c r="AA3091" s="11" t="str">
        <f t="shared" si="97"/>
        <v/>
      </c>
    </row>
    <row r="3092" spans="16:27" ht="15" customHeight="1">
      <c r="P3092" t="str">
        <f t="shared" si="96"/>
        <v/>
      </c>
      <c r="Q3092" t="str">
        <f>IF(P3092="","",IFERROR(IF(AND(H3092="W7",OR(F3092="causal",F3092="predictive")),IF(AND(OR(K3092=1,K3092="1"),OR(L3092=1,L3092="1"),OR(M3092=1,M3092="1")),"adequate","partial"),IF(AND(H3092="W4",F3092="predictive",OR(J3092="P2",J3092="P3",J3092="P4")),IF(OR(U3092=1,U3092="1"),"adequate","partial"),INDEX(Fit_Matrix!$B:$B,MATCH(P3092,Fit_Matrix!$A:$A,0)))),"CHECK KEY"))</f>
        <v/>
      </c>
      <c r="U3092" s="10"/>
      <c r="V3092" s="10"/>
      <c r="W3092" s="10"/>
      <c r="X3092" s="10"/>
      <c r="Y3092" s="10"/>
      <c r="Z3092" s="10"/>
      <c r="AA3092" s="11" t="str">
        <f t="shared" si="97"/>
        <v/>
      </c>
    </row>
    <row r="3093" spans="16:27" ht="15" customHeight="1">
      <c r="P3093" t="str">
        <f t="shared" si="96"/>
        <v/>
      </c>
      <c r="Q3093" t="str">
        <f>IF(P3093="","",IFERROR(IF(AND(H3093="W7",OR(F3093="causal",F3093="predictive")),IF(AND(OR(K3093=1,K3093="1"),OR(L3093=1,L3093="1"),OR(M3093=1,M3093="1")),"adequate","partial"),IF(AND(H3093="W4",F3093="predictive",OR(J3093="P2",J3093="P3",J3093="P4")),IF(OR(U3093=1,U3093="1"),"adequate","partial"),INDEX(Fit_Matrix!$B:$B,MATCH(P3093,Fit_Matrix!$A:$A,0)))),"CHECK KEY"))</f>
        <v/>
      </c>
      <c r="U3093" s="10"/>
      <c r="V3093" s="10"/>
      <c r="W3093" s="10"/>
      <c r="X3093" s="10"/>
      <c r="Y3093" s="10"/>
      <c r="Z3093" s="10"/>
      <c r="AA3093" s="11" t="str">
        <f t="shared" si="97"/>
        <v/>
      </c>
    </row>
    <row r="3094" spans="16:27" ht="15" customHeight="1">
      <c r="P3094" t="str">
        <f t="shared" si="96"/>
        <v/>
      </c>
      <c r="Q3094" t="str">
        <f>IF(P3094="","",IFERROR(IF(AND(H3094="W7",OR(F3094="causal",F3094="predictive")),IF(AND(OR(K3094=1,K3094="1"),OR(L3094=1,L3094="1"),OR(M3094=1,M3094="1")),"adequate","partial"),IF(AND(H3094="W4",F3094="predictive",OR(J3094="P2",J3094="P3",J3094="P4")),IF(OR(U3094=1,U3094="1"),"adequate","partial"),INDEX(Fit_Matrix!$B:$B,MATCH(P3094,Fit_Matrix!$A:$A,0)))),"CHECK KEY"))</f>
        <v/>
      </c>
      <c r="U3094" s="10"/>
      <c r="V3094" s="10"/>
      <c r="W3094" s="10"/>
      <c r="X3094" s="10"/>
      <c r="Y3094" s="10"/>
      <c r="Z3094" s="10"/>
      <c r="AA3094" s="11" t="str">
        <f t="shared" si="97"/>
        <v/>
      </c>
    </row>
    <row r="3095" spans="16:27" ht="15" customHeight="1">
      <c r="P3095" t="str">
        <f t="shared" si="96"/>
        <v/>
      </c>
      <c r="Q3095" t="str">
        <f>IF(P3095="","",IFERROR(IF(AND(H3095="W7",OR(F3095="causal",F3095="predictive")),IF(AND(OR(K3095=1,K3095="1"),OR(L3095=1,L3095="1"),OR(M3095=1,M3095="1")),"adequate","partial"),IF(AND(H3095="W4",F3095="predictive",OR(J3095="P2",J3095="P3",J3095="P4")),IF(OR(U3095=1,U3095="1"),"adequate","partial"),INDEX(Fit_Matrix!$B:$B,MATCH(P3095,Fit_Matrix!$A:$A,0)))),"CHECK KEY"))</f>
        <v/>
      </c>
      <c r="U3095" s="10"/>
      <c r="V3095" s="10"/>
      <c r="W3095" s="10"/>
      <c r="X3095" s="10"/>
      <c r="Y3095" s="10"/>
      <c r="Z3095" s="10"/>
      <c r="AA3095" s="11" t="str">
        <f t="shared" si="97"/>
        <v/>
      </c>
    </row>
    <row r="3096" spans="16:27" ht="15" customHeight="1">
      <c r="P3096" t="str">
        <f t="shared" si="96"/>
        <v/>
      </c>
      <c r="Q3096" t="str">
        <f>IF(P3096="","",IFERROR(IF(AND(H3096="W7",OR(F3096="causal",F3096="predictive")),IF(AND(OR(K3096=1,K3096="1"),OR(L3096=1,L3096="1"),OR(M3096=1,M3096="1")),"adequate","partial"),IF(AND(H3096="W4",F3096="predictive",OR(J3096="P2",J3096="P3",J3096="P4")),IF(OR(U3096=1,U3096="1"),"adequate","partial"),INDEX(Fit_Matrix!$B:$B,MATCH(P3096,Fit_Matrix!$A:$A,0)))),"CHECK KEY"))</f>
        <v/>
      </c>
      <c r="U3096" s="10"/>
      <c r="V3096" s="10"/>
      <c r="W3096" s="10"/>
      <c r="X3096" s="10"/>
      <c r="Y3096" s="10"/>
      <c r="Z3096" s="10"/>
      <c r="AA3096" s="11" t="str">
        <f t="shared" si="97"/>
        <v/>
      </c>
    </row>
    <row r="3097" spans="16:27" ht="15" customHeight="1">
      <c r="P3097" t="str">
        <f t="shared" si="96"/>
        <v/>
      </c>
      <c r="Q3097" t="str">
        <f>IF(P3097="","",IFERROR(IF(AND(H3097="W7",OR(F3097="causal",F3097="predictive")),IF(AND(OR(K3097=1,K3097="1"),OR(L3097=1,L3097="1"),OR(M3097=1,M3097="1")),"adequate","partial"),IF(AND(H3097="W4",F3097="predictive",OR(J3097="P2",J3097="P3",J3097="P4")),IF(OR(U3097=1,U3097="1"),"adequate","partial"),INDEX(Fit_Matrix!$B:$B,MATCH(P3097,Fit_Matrix!$A:$A,0)))),"CHECK KEY"))</f>
        <v/>
      </c>
      <c r="U3097" s="10"/>
      <c r="V3097" s="10"/>
      <c r="W3097" s="10"/>
      <c r="X3097" s="10"/>
      <c r="Y3097" s="10"/>
      <c r="Z3097" s="10"/>
      <c r="AA3097" s="11" t="str">
        <f t="shared" si="97"/>
        <v/>
      </c>
    </row>
    <row r="3098" spans="16:27" ht="15" customHeight="1">
      <c r="P3098" t="str">
        <f t="shared" si="96"/>
        <v/>
      </c>
      <c r="Q3098" t="str">
        <f>IF(P3098="","",IFERROR(IF(AND(H3098="W7",OR(F3098="causal",F3098="predictive")),IF(AND(OR(K3098=1,K3098="1"),OR(L3098=1,L3098="1"),OR(M3098=1,M3098="1")),"adequate","partial"),IF(AND(H3098="W4",F3098="predictive",OR(J3098="P2",J3098="P3",J3098="P4")),IF(OR(U3098=1,U3098="1"),"adequate","partial"),INDEX(Fit_Matrix!$B:$B,MATCH(P3098,Fit_Matrix!$A:$A,0)))),"CHECK KEY"))</f>
        <v/>
      </c>
      <c r="U3098" s="10"/>
      <c r="V3098" s="10"/>
      <c r="W3098" s="10"/>
      <c r="X3098" s="10"/>
      <c r="Y3098" s="10"/>
      <c r="Z3098" s="10"/>
      <c r="AA3098" s="11" t="str">
        <f t="shared" si="97"/>
        <v/>
      </c>
    </row>
    <row r="3099" spans="16:27" ht="15" customHeight="1">
      <c r="P3099" t="str">
        <f t="shared" si="96"/>
        <v/>
      </c>
      <c r="Q3099" t="str">
        <f>IF(P3099="","",IFERROR(IF(AND(H3099="W7",OR(F3099="causal",F3099="predictive")),IF(AND(OR(K3099=1,K3099="1"),OR(L3099=1,L3099="1"),OR(M3099=1,M3099="1")),"adequate","partial"),IF(AND(H3099="W4",F3099="predictive",OR(J3099="P2",J3099="P3",J3099="P4")),IF(OR(U3099=1,U3099="1"),"adequate","partial"),INDEX(Fit_Matrix!$B:$B,MATCH(P3099,Fit_Matrix!$A:$A,0)))),"CHECK KEY"))</f>
        <v/>
      </c>
      <c r="U3099" s="10"/>
      <c r="V3099" s="10"/>
      <c r="W3099" s="10"/>
      <c r="X3099" s="10"/>
      <c r="Y3099" s="10"/>
      <c r="Z3099" s="10"/>
      <c r="AA3099" s="11" t="str">
        <f t="shared" si="97"/>
        <v/>
      </c>
    </row>
    <row r="3100" spans="16:27" ht="15" customHeight="1">
      <c r="P3100" t="str">
        <f t="shared" si="96"/>
        <v/>
      </c>
      <c r="Q3100" t="str">
        <f>IF(P3100="","",IFERROR(IF(AND(H3100="W7",OR(F3100="causal",F3100="predictive")),IF(AND(OR(K3100=1,K3100="1"),OR(L3100=1,L3100="1"),OR(M3100=1,M3100="1")),"adequate","partial"),IF(AND(H3100="W4",F3100="predictive",OR(J3100="P2",J3100="P3",J3100="P4")),IF(OR(U3100=1,U3100="1"),"adequate","partial"),INDEX(Fit_Matrix!$B:$B,MATCH(P3100,Fit_Matrix!$A:$A,0)))),"CHECK KEY"))</f>
        <v/>
      </c>
      <c r="U3100" s="10"/>
      <c r="V3100" s="10"/>
      <c r="W3100" s="10"/>
      <c r="X3100" s="10"/>
      <c r="Y3100" s="10"/>
      <c r="Z3100" s="10"/>
      <c r="AA3100" s="11" t="str">
        <f t="shared" si="97"/>
        <v/>
      </c>
    </row>
    <row r="3101" spans="16:27" ht="15" customHeight="1">
      <c r="P3101" t="str">
        <f t="shared" si="96"/>
        <v/>
      </c>
      <c r="Q3101" t="str">
        <f>IF(P3101="","",IFERROR(IF(AND(H3101="W7",OR(F3101="causal",F3101="predictive")),IF(AND(OR(K3101=1,K3101="1"),OR(L3101=1,L3101="1"),OR(M3101=1,M3101="1")),"adequate","partial"),IF(AND(H3101="W4",F3101="predictive",OR(J3101="P2",J3101="P3",J3101="P4")),IF(OR(U3101=1,U3101="1"),"adequate","partial"),INDEX(Fit_Matrix!$B:$B,MATCH(P3101,Fit_Matrix!$A:$A,0)))),"CHECK KEY"))</f>
        <v/>
      </c>
      <c r="U3101" s="10"/>
      <c r="V3101" s="10"/>
      <c r="W3101" s="10"/>
      <c r="X3101" s="10"/>
      <c r="Y3101" s="10"/>
      <c r="Z3101" s="10"/>
      <c r="AA3101" s="11" t="str">
        <f t="shared" si="97"/>
        <v/>
      </c>
    </row>
    <row r="3102" spans="16:27" ht="15" customHeight="1">
      <c r="P3102" t="str">
        <f t="shared" si="96"/>
        <v/>
      </c>
      <c r="Q3102" t="str">
        <f>IF(P3102="","",IFERROR(IF(AND(H3102="W7",OR(F3102="causal",F3102="predictive")),IF(AND(OR(K3102=1,K3102="1"),OR(L3102=1,L3102="1"),OR(M3102=1,M3102="1")),"adequate","partial"),IF(AND(H3102="W4",F3102="predictive",OR(J3102="P2",J3102="P3",J3102="P4")),IF(OR(U3102=1,U3102="1"),"adequate","partial"),INDEX(Fit_Matrix!$B:$B,MATCH(P3102,Fit_Matrix!$A:$A,0)))),"CHECK KEY"))</f>
        <v/>
      </c>
      <c r="U3102" s="10"/>
      <c r="V3102" s="10"/>
      <c r="W3102" s="10"/>
      <c r="X3102" s="10"/>
      <c r="Y3102" s="10"/>
      <c r="Z3102" s="10"/>
      <c r="AA3102" s="11" t="str">
        <f t="shared" si="97"/>
        <v/>
      </c>
    </row>
    <row r="3103" spans="16:27" ht="15" customHeight="1">
      <c r="P3103" t="str">
        <f t="shared" si="96"/>
        <v/>
      </c>
      <c r="Q3103" t="str">
        <f>IF(P3103="","",IFERROR(IF(AND(H3103="W7",OR(F3103="causal",F3103="predictive")),IF(AND(OR(K3103=1,K3103="1"),OR(L3103=1,L3103="1"),OR(M3103=1,M3103="1")),"adequate","partial"),IF(AND(H3103="W4",F3103="predictive",OR(J3103="P2",J3103="P3",J3103="P4")),IF(OR(U3103=1,U3103="1"),"adequate","partial"),INDEX(Fit_Matrix!$B:$B,MATCH(P3103,Fit_Matrix!$A:$A,0)))),"CHECK KEY"))</f>
        <v/>
      </c>
      <c r="U3103" s="10"/>
      <c r="V3103" s="10"/>
      <c r="W3103" s="10"/>
      <c r="X3103" s="10"/>
      <c r="Y3103" s="10"/>
      <c r="Z3103" s="10"/>
      <c r="AA3103" s="11" t="str">
        <f t="shared" si="97"/>
        <v/>
      </c>
    </row>
    <row r="3104" spans="16:27" ht="15" customHeight="1">
      <c r="P3104" t="str">
        <f t="shared" si="96"/>
        <v/>
      </c>
      <c r="Q3104" t="str">
        <f>IF(P3104="","",IFERROR(IF(AND(H3104="W7",OR(F3104="causal",F3104="predictive")),IF(AND(OR(K3104=1,K3104="1"),OR(L3104=1,L3104="1"),OR(M3104=1,M3104="1")),"adequate","partial"),IF(AND(H3104="W4",F3104="predictive",OR(J3104="P2",J3104="P3",J3104="P4")),IF(OR(U3104=1,U3104="1"),"adequate","partial"),INDEX(Fit_Matrix!$B:$B,MATCH(P3104,Fit_Matrix!$A:$A,0)))),"CHECK KEY"))</f>
        <v/>
      </c>
      <c r="U3104" s="10"/>
      <c r="V3104" s="10"/>
      <c r="W3104" s="10"/>
      <c r="X3104" s="10"/>
      <c r="Y3104" s="10"/>
      <c r="Z3104" s="10"/>
      <c r="AA3104" s="11" t="str">
        <f t="shared" si="97"/>
        <v/>
      </c>
    </row>
    <row r="3105" spans="16:27" ht="15" customHeight="1">
      <c r="P3105" t="str">
        <f t="shared" si="96"/>
        <v/>
      </c>
      <c r="Q3105" t="str">
        <f>IF(P3105="","",IFERROR(IF(AND(H3105="W7",OR(F3105="causal",F3105="predictive")),IF(AND(OR(K3105=1,K3105="1"),OR(L3105=1,L3105="1"),OR(M3105=1,M3105="1")),"adequate","partial"),IF(AND(H3105="W4",F3105="predictive",OR(J3105="P2",J3105="P3",J3105="P4")),IF(OR(U3105=1,U3105="1"),"adequate","partial"),INDEX(Fit_Matrix!$B:$B,MATCH(P3105,Fit_Matrix!$A:$A,0)))),"CHECK KEY"))</f>
        <v/>
      </c>
      <c r="U3105" s="10"/>
      <c r="V3105" s="10"/>
      <c r="W3105" s="10"/>
      <c r="X3105" s="10"/>
      <c r="Y3105" s="10"/>
      <c r="Z3105" s="10"/>
      <c r="AA3105" s="11" t="str">
        <f t="shared" si="97"/>
        <v/>
      </c>
    </row>
    <row r="3106" spans="16:27" ht="15" customHeight="1">
      <c r="P3106" t="str">
        <f t="shared" si="96"/>
        <v/>
      </c>
      <c r="Q3106" t="str">
        <f>IF(P3106="","",IFERROR(IF(AND(H3106="W7",OR(F3106="causal",F3106="predictive")),IF(AND(OR(K3106=1,K3106="1"),OR(L3106=1,L3106="1"),OR(M3106=1,M3106="1")),"adequate","partial"),IF(AND(H3106="W4",F3106="predictive",OR(J3106="P2",J3106="P3",J3106="P4")),IF(OR(U3106=1,U3106="1"),"adequate","partial"),INDEX(Fit_Matrix!$B:$B,MATCH(P3106,Fit_Matrix!$A:$A,0)))),"CHECK KEY"))</f>
        <v/>
      </c>
      <c r="U3106" s="10"/>
      <c r="V3106" s="10"/>
      <c r="W3106" s="10"/>
      <c r="X3106" s="10"/>
      <c r="Y3106" s="10"/>
      <c r="Z3106" s="10"/>
      <c r="AA3106" s="11" t="str">
        <f t="shared" si="97"/>
        <v/>
      </c>
    </row>
    <row r="3107" spans="16:27" ht="15" customHeight="1">
      <c r="P3107" t="str">
        <f t="shared" si="96"/>
        <v/>
      </c>
      <c r="Q3107" t="str">
        <f>IF(P3107="","",IFERROR(IF(AND(H3107="W7",OR(F3107="causal",F3107="predictive")),IF(AND(OR(K3107=1,K3107="1"),OR(L3107=1,L3107="1"),OR(M3107=1,M3107="1")),"adequate","partial"),IF(AND(H3107="W4",F3107="predictive",OR(J3107="P2",J3107="P3",J3107="P4")),IF(OR(U3107=1,U3107="1"),"adequate","partial"),INDEX(Fit_Matrix!$B:$B,MATCH(P3107,Fit_Matrix!$A:$A,0)))),"CHECK KEY"))</f>
        <v/>
      </c>
      <c r="U3107" s="10"/>
      <c r="V3107" s="10"/>
      <c r="W3107" s="10"/>
      <c r="X3107" s="10"/>
      <c r="Y3107" s="10"/>
      <c r="Z3107" s="10"/>
      <c r="AA3107" s="11" t="str">
        <f t="shared" si="97"/>
        <v/>
      </c>
    </row>
    <row r="3108" spans="16:27" ht="15" customHeight="1">
      <c r="P3108" t="str">
        <f t="shared" si="96"/>
        <v/>
      </c>
      <c r="Q3108" t="str">
        <f>IF(P3108="","",IFERROR(IF(AND(H3108="W7",OR(F3108="causal",F3108="predictive")),IF(AND(OR(K3108=1,K3108="1"),OR(L3108=1,L3108="1"),OR(M3108=1,M3108="1")),"adequate","partial"),IF(AND(H3108="W4",F3108="predictive",OR(J3108="P2",J3108="P3",J3108="P4")),IF(OR(U3108=1,U3108="1"),"adequate","partial"),INDEX(Fit_Matrix!$B:$B,MATCH(P3108,Fit_Matrix!$A:$A,0)))),"CHECK KEY"))</f>
        <v/>
      </c>
      <c r="U3108" s="10"/>
      <c r="V3108" s="10"/>
      <c r="W3108" s="10"/>
      <c r="X3108" s="10"/>
      <c r="Y3108" s="10"/>
      <c r="Z3108" s="10"/>
      <c r="AA3108" s="11" t="str">
        <f t="shared" si="97"/>
        <v/>
      </c>
    </row>
    <row r="3109" spans="16:27" ht="15" customHeight="1">
      <c r="P3109" t="str">
        <f t="shared" si="96"/>
        <v/>
      </c>
      <c r="Q3109" t="str">
        <f>IF(P3109="","",IFERROR(IF(AND(H3109="W7",OR(F3109="causal",F3109="predictive")),IF(AND(OR(K3109=1,K3109="1"),OR(L3109=1,L3109="1"),OR(M3109=1,M3109="1")),"adequate","partial"),IF(AND(H3109="W4",F3109="predictive",OR(J3109="P2",J3109="P3",J3109="P4")),IF(OR(U3109=1,U3109="1"),"adequate","partial"),INDEX(Fit_Matrix!$B:$B,MATCH(P3109,Fit_Matrix!$A:$A,0)))),"CHECK KEY"))</f>
        <v/>
      </c>
      <c r="U3109" s="10"/>
      <c r="V3109" s="10"/>
      <c r="W3109" s="10"/>
      <c r="X3109" s="10"/>
      <c r="Y3109" s="10"/>
      <c r="Z3109" s="10"/>
      <c r="AA3109" s="11" t="str">
        <f t="shared" si="97"/>
        <v/>
      </c>
    </row>
    <row r="3110" spans="16:27" ht="15" customHeight="1">
      <c r="P3110" t="str">
        <f t="shared" si="96"/>
        <v/>
      </c>
      <c r="Q3110" t="str">
        <f>IF(P3110="","",IFERROR(IF(AND(H3110="W7",OR(F3110="causal",F3110="predictive")),IF(AND(OR(K3110=1,K3110="1"),OR(L3110=1,L3110="1"),OR(M3110=1,M3110="1")),"adequate","partial"),IF(AND(H3110="W4",F3110="predictive",OR(J3110="P2",J3110="P3",J3110="P4")),IF(OR(U3110=1,U3110="1"),"adequate","partial"),INDEX(Fit_Matrix!$B:$B,MATCH(P3110,Fit_Matrix!$A:$A,0)))),"CHECK KEY"))</f>
        <v/>
      </c>
      <c r="U3110" s="10"/>
      <c r="V3110" s="10"/>
      <c r="W3110" s="10"/>
      <c r="X3110" s="10"/>
      <c r="Y3110" s="10"/>
      <c r="Z3110" s="10"/>
      <c r="AA3110" s="11" t="str">
        <f t="shared" si="97"/>
        <v/>
      </c>
    </row>
    <row r="3111" spans="16:27" ht="15" customHeight="1">
      <c r="P3111" t="str">
        <f t="shared" si="96"/>
        <v/>
      </c>
      <c r="Q3111" t="str">
        <f>IF(P3111="","",IFERROR(IF(AND(H3111="W7",OR(F3111="causal",F3111="predictive")),IF(AND(OR(K3111=1,K3111="1"),OR(L3111=1,L3111="1"),OR(M3111=1,M3111="1")),"adequate","partial"),IF(AND(H3111="W4",F3111="predictive",OR(J3111="P2",J3111="P3",J3111="P4")),IF(OR(U3111=1,U3111="1"),"adequate","partial"),INDEX(Fit_Matrix!$B:$B,MATCH(P3111,Fit_Matrix!$A:$A,0)))),"CHECK KEY"))</f>
        <v/>
      </c>
      <c r="U3111" s="10"/>
      <c r="V3111" s="10"/>
      <c r="W3111" s="10"/>
      <c r="X3111" s="10"/>
      <c r="Y3111" s="10"/>
      <c r="Z3111" s="10"/>
      <c r="AA3111" s="11" t="str">
        <f t="shared" si="97"/>
        <v/>
      </c>
    </row>
    <row r="3112" spans="16:27" ht="15" customHeight="1">
      <c r="P3112" t="str">
        <f t="shared" si="96"/>
        <v/>
      </c>
      <c r="Q3112" t="str">
        <f>IF(P3112="","",IFERROR(IF(AND(H3112="W7",OR(F3112="causal",F3112="predictive")),IF(AND(OR(K3112=1,K3112="1"),OR(L3112=1,L3112="1"),OR(M3112=1,M3112="1")),"adequate","partial"),IF(AND(H3112="W4",F3112="predictive",OR(J3112="P2",J3112="P3",J3112="P4")),IF(OR(U3112=1,U3112="1"),"adequate","partial"),INDEX(Fit_Matrix!$B:$B,MATCH(P3112,Fit_Matrix!$A:$A,0)))),"CHECK KEY"))</f>
        <v/>
      </c>
      <c r="U3112" s="10"/>
      <c r="V3112" s="10"/>
      <c r="W3112" s="10"/>
      <c r="X3112" s="10"/>
      <c r="Y3112" s="10"/>
      <c r="Z3112" s="10"/>
      <c r="AA3112" s="11" t="str">
        <f t="shared" si="97"/>
        <v/>
      </c>
    </row>
    <row r="3113" spans="16:27" ht="15" customHeight="1">
      <c r="P3113" t="str">
        <f t="shared" si="96"/>
        <v/>
      </c>
      <c r="Q3113" t="str">
        <f>IF(P3113="","",IFERROR(IF(AND(H3113="W7",OR(F3113="causal",F3113="predictive")),IF(AND(OR(K3113=1,K3113="1"),OR(L3113=1,L3113="1"),OR(M3113=1,M3113="1")),"adequate","partial"),IF(AND(H3113="W4",F3113="predictive",OR(J3113="P2",J3113="P3",J3113="P4")),IF(OR(U3113=1,U3113="1"),"adequate","partial"),INDEX(Fit_Matrix!$B:$B,MATCH(P3113,Fit_Matrix!$A:$A,0)))),"CHECK KEY"))</f>
        <v/>
      </c>
      <c r="U3113" s="10"/>
      <c r="V3113" s="10"/>
      <c r="W3113" s="10"/>
      <c r="X3113" s="10"/>
      <c r="Y3113" s="10"/>
      <c r="Z3113" s="10"/>
      <c r="AA3113" s="11" t="str">
        <f t="shared" si="97"/>
        <v/>
      </c>
    </row>
    <row r="3114" spans="16:27" ht="15" customHeight="1">
      <c r="P3114" t="str">
        <f t="shared" si="96"/>
        <v/>
      </c>
      <c r="Q3114" t="str">
        <f>IF(P3114="","",IFERROR(IF(AND(H3114="W7",OR(F3114="causal",F3114="predictive")),IF(AND(OR(K3114=1,K3114="1"),OR(L3114=1,L3114="1"),OR(M3114=1,M3114="1")),"adequate","partial"),IF(AND(H3114="W4",F3114="predictive",OR(J3114="P2",J3114="P3",J3114="P4")),IF(OR(U3114=1,U3114="1"),"adequate","partial"),INDEX(Fit_Matrix!$B:$B,MATCH(P3114,Fit_Matrix!$A:$A,0)))),"CHECK KEY"))</f>
        <v/>
      </c>
      <c r="U3114" s="10"/>
      <c r="V3114" s="10"/>
      <c r="W3114" s="10"/>
      <c r="X3114" s="10"/>
      <c r="Y3114" s="10"/>
      <c r="Z3114" s="10"/>
      <c r="AA3114" s="11" t="str">
        <f t="shared" si="97"/>
        <v/>
      </c>
    </row>
    <row r="3115" spans="16:27" ht="15" customHeight="1">
      <c r="P3115" t="str">
        <f t="shared" si="96"/>
        <v/>
      </c>
      <c r="Q3115" t="str">
        <f>IF(P3115="","",IFERROR(IF(AND(H3115="W7",OR(F3115="causal",F3115="predictive")),IF(AND(OR(K3115=1,K3115="1"),OR(L3115=1,L3115="1"),OR(M3115=1,M3115="1")),"adequate","partial"),IF(AND(H3115="W4",F3115="predictive",OR(J3115="P2",J3115="P3",J3115="P4")),IF(OR(U3115=1,U3115="1"),"adequate","partial"),INDEX(Fit_Matrix!$B:$B,MATCH(P3115,Fit_Matrix!$A:$A,0)))),"CHECK KEY"))</f>
        <v/>
      </c>
      <c r="U3115" s="10"/>
      <c r="V3115" s="10"/>
      <c r="W3115" s="10"/>
      <c r="X3115" s="10"/>
      <c r="Y3115" s="10"/>
      <c r="Z3115" s="10"/>
      <c r="AA3115" s="11" t="str">
        <f t="shared" si="97"/>
        <v/>
      </c>
    </row>
    <row r="3116" spans="16:27" ht="15" customHeight="1">
      <c r="P3116" t="str">
        <f t="shared" si="96"/>
        <v/>
      </c>
      <c r="Q3116" t="str">
        <f>IF(P3116="","",IFERROR(IF(AND(H3116="W7",OR(F3116="causal",F3116="predictive")),IF(AND(OR(K3116=1,K3116="1"),OR(L3116=1,L3116="1"),OR(M3116=1,M3116="1")),"adequate","partial"),IF(AND(H3116="W4",F3116="predictive",OR(J3116="P2",J3116="P3",J3116="P4")),IF(OR(U3116=1,U3116="1"),"adequate","partial"),INDEX(Fit_Matrix!$B:$B,MATCH(P3116,Fit_Matrix!$A:$A,0)))),"CHECK KEY"))</f>
        <v/>
      </c>
      <c r="U3116" s="10"/>
      <c r="V3116" s="10"/>
      <c r="W3116" s="10"/>
      <c r="X3116" s="10"/>
      <c r="Y3116" s="10"/>
      <c r="Z3116" s="10"/>
      <c r="AA3116" s="11" t="str">
        <f t="shared" si="97"/>
        <v/>
      </c>
    </row>
    <row r="3117" spans="16:27" ht="15" customHeight="1">
      <c r="P3117" t="str">
        <f t="shared" si="96"/>
        <v/>
      </c>
      <c r="Q3117" t="str">
        <f>IF(P3117="","",IFERROR(IF(AND(H3117="W7",OR(F3117="causal",F3117="predictive")),IF(AND(OR(K3117=1,K3117="1"),OR(L3117=1,L3117="1"),OR(M3117=1,M3117="1")),"adequate","partial"),IF(AND(H3117="W4",F3117="predictive",OR(J3117="P2",J3117="P3",J3117="P4")),IF(OR(U3117=1,U3117="1"),"adequate","partial"),INDEX(Fit_Matrix!$B:$B,MATCH(P3117,Fit_Matrix!$A:$A,0)))),"CHECK KEY"))</f>
        <v/>
      </c>
      <c r="U3117" s="10"/>
      <c r="V3117" s="10"/>
      <c r="W3117" s="10"/>
      <c r="X3117" s="10"/>
      <c r="Y3117" s="10"/>
      <c r="Z3117" s="10"/>
      <c r="AA3117" s="11" t="str">
        <f t="shared" si="97"/>
        <v/>
      </c>
    </row>
    <row r="3118" spans="16:27" ht="15" customHeight="1">
      <c r="P3118" t="str">
        <f t="shared" si="96"/>
        <v/>
      </c>
      <c r="Q3118" t="str">
        <f>IF(P3118="","",IFERROR(IF(AND(H3118="W7",OR(F3118="causal",F3118="predictive")),IF(AND(OR(K3118=1,K3118="1"),OR(L3118=1,L3118="1"),OR(M3118=1,M3118="1")),"adequate","partial"),IF(AND(H3118="W4",F3118="predictive",OR(J3118="P2",J3118="P3",J3118="P4")),IF(OR(U3118=1,U3118="1"),"adequate","partial"),INDEX(Fit_Matrix!$B:$B,MATCH(P3118,Fit_Matrix!$A:$A,0)))),"CHECK KEY"))</f>
        <v/>
      </c>
      <c r="U3118" s="10"/>
      <c r="V3118" s="10"/>
      <c r="W3118" s="10"/>
      <c r="X3118" s="10"/>
      <c r="Y3118" s="10"/>
      <c r="Z3118" s="10"/>
      <c r="AA3118" s="11" t="str">
        <f t="shared" si="97"/>
        <v/>
      </c>
    </row>
    <row r="3119" spans="16:27" ht="15" customHeight="1">
      <c r="P3119" t="str">
        <f t="shared" si="96"/>
        <v/>
      </c>
      <c r="Q3119" t="str">
        <f>IF(P3119="","",IFERROR(IF(AND(H3119="W7",OR(F3119="causal",F3119="predictive")),IF(AND(OR(K3119=1,K3119="1"),OR(L3119=1,L3119="1"),OR(M3119=1,M3119="1")),"adequate","partial"),IF(AND(H3119="W4",F3119="predictive",OR(J3119="P2",J3119="P3",J3119="P4")),IF(OR(U3119=1,U3119="1"),"adequate","partial"),INDEX(Fit_Matrix!$B:$B,MATCH(P3119,Fit_Matrix!$A:$A,0)))),"CHECK KEY"))</f>
        <v/>
      </c>
      <c r="U3119" s="10"/>
      <c r="V3119" s="10"/>
      <c r="W3119" s="10"/>
      <c r="X3119" s="10"/>
      <c r="Y3119" s="10"/>
      <c r="Z3119" s="10"/>
      <c r="AA3119" s="11" t="str">
        <f t="shared" si="97"/>
        <v/>
      </c>
    </row>
    <row r="3120" spans="16:27" ht="15" customHeight="1">
      <c r="P3120" t="str">
        <f t="shared" si="96"/>
        <v/>
      </c>
      <c r="Q3120" t="str">
        <f>IF(P3120="","",IFERROR(IF(AND(H3120="W7",OR(F3120="causal",F3120="predictive")),IF(AND(OR(K3120=1,K3120="1"),OR(L3120=1,L3120="1"),OR(M3120=1,M3120="1")),"adequate","partial"),IF(AND(H3120="W4",F3120="predictive",OR(J3120="P2",J3120="P3",J3120="P4")),IF(OR(U3120=1,U3120="1"),"adequate","partial"),INDEX(Fit_Matrix!$B:$B,MATCH(P3120,Fit_Matrix!$A:$A,0)))),"CHECK KEY"))</f>
        <v/>
      </c>
      <c r="U3120" s="10"/>
      <c r="V3120" s="10"/>
      <c r="W3120" s="10"/>
      <c r="X3120" s="10"/>
      <c r="Y3120" s="10"/>
      <c r="Z3120" s="10"/>
      <c r="AA3120" s="11" t="str">
        <f t="shared" si="97"/>
        <v/>
      </c>
    </row>
    <row r="3121" spans="16:27" ht="15" customHeight="1">
      <c r="P3121" t="str">
        <f t="shared" si="96"/>
        <v/>
      </c>
      <c r="Q3121" t="str">
        <f>IF(P3121="","",IFERROR(IF(AND(H3121="W7",OR(F3121="causal",F3121="predictive")),IF(AND(OR(K3121=1,K3121="1"),OR(L3121=1,L3121="1"),OR(M3121=1,M3121="1")),"adequate","partial"),IF(AND(H3121="W4",F3121="predictive",OR(J3121="P2",J3121="P3",J3121="P4")),IF(OR(U3121=1,U3121="1"),"adequate","partial"),INDEX(Fit_Matrix!$B:$B,MATCH(P3121,Fit_Matrix!$A:$A,0)))),"CHECK KEY"))</f>
        <v/>
      </c>
      <c r="U3121" s="10"/>
      <c r="V3121" s="10"/>
      <c r="W3121" s="10"/>
      <c r="X3121" s="10"/>
      <c r="Y3121" s="10"/>
      <c r="Z3121" s="10"/>
      <c r="AA3121" s="11" t="str">
        <f t="shared" si="97"/>
        <v/>
      </c>
    </row>
    <row r="3122" spans="16:27" ht="15" customHeight="1">
      <c r="P3122" t="str">
        <f t="shared" si="96"/>
        <v/>
      </c>
      <c r="Q3122" t="str">
        <f>IF(P3122="","",IFERROR(IF(AND(H3122="W7",OR(F3122="causal",F3122="predictive")),IF(AND(OR(K3122=1,K3122="1"),OR(L3122=1,L3122="1"),OR(M3122=1,M3122="1")),"adequate","partial"),IF(AND(H3122="W4",F3122="predictive",OR(J3122="P2",J3122="P3",J3122="P4")),IF(OR(U3122=1,U3122="1"),"adequate","partial"),INDEX(Fit_Matrix!$B:$B,MATCH(P3122,Fit_Matrix!$A:$A,0)))),"CHECK KEY"))</f>
        <v/>
      </c>
      <c r="U3122" s="10"/>
      <c r="V3122" s="10"/>
      <c r="W3122" s="10"/>
      <c r="X3122" s="10"/>
      <c r="Y3122" s="10"/>
      <c r="Z3122" s="10"/>
      <c r="AA3122" s="11" t="str">
        <f t="shared" si="97"/>
        <v/>
      </c>
    </row>
    <row r="3123" spans="16:27" ht="15" customHeight="1">
      <c r="P3123" t="str">
        <f t="shared" si="96"/>
        <v/>
      </c>
      <c r="Q3123" t="str">
        <f>IF(P3123="","",IFERROR(IF(AND(H3123="W7",OR(F3123="causal",F3123="predictive")),IF(AND(OR(K3123=1,K3123="1"),OR(L3123=1,L3123="1"),OR(M3123=1,M3123="1")),"adequate","partial"),IF(AND(H3123="W4",F3123="predictive",OR(J3123="P2",J3123="P3",J3123="P4")),IF(OR(U3123=1,U3123="1"),"adequate","partial"),INDEX(Fit_Matrix!$B:$B,MATCH(P3123,Fit_Matrix!$A:$A,0)))),"CHECK KEY"))</f>
        <v/>
      </c>
      <c r="U3123" s="10"/>
      <c r="V3123" s="10"/>
      <c r="W3123" s="10"/>
      <c r="X3123" s="10"/>
      <c r="Y3123" s="10"/>
      <c r="Z3123" s="10"/>
      <c r="AA3123" s="11" t="str">
        <f t="shared" si="97"/>
        <v/>
      </c>
    </row>
    <row r="3124" spans="16:27" ht="15" customHeight="1">
      <c r="P3124" t="str">
        <f t="shared" si="96"/>
        <v/>
      </c>
      <c r="Q3124" t="str">
        <f>IF(P3124="","",IFERROR(IF(AND(H3124="W7",OR(F3124="causal",F3124="predictive")),IF(AND(OR(K3124=1,K3124="1"),OR(L3124=1,L3124="1"),OR(M3124=1,M3124="1")),"adequate","partial"),IF(AND(H3124="W4",F3124="predictive",OR(J3124="P2",J3124="P3",J3124="P4")),IF(OR(U3124=1,U3124="1"),"adequate","partial"),INDEX(Fit_Matrix!$B:$B,MATCH(P3124,Fit_Matrix!$A:$A,0)))),"CHECK KEY"))</f>
        <v/>
      </c>
      <c r="U3124" s="10"/>
      <c r="V3124" s="10"/>
      <c r="W3124" s="10"/>
      <c r="X3124" s="10"/>
      <c r="Y3124" s="10"/>
      <c r="Z3124" s="10"/>
      <c r="AA3124" s="11" t="str">
        <f t="shared" si="97"/>
        <v/>
      </c>
    </row>
    <row r="3125" spans="16:27" ht="15" customHeight="1">
      <c r="P3125" t="str">
        <f t="shared" si="96"/>
        <v/>
      </c>
      <c r="Q3125" t="str">
        <f>IF(P3125="","",IFERROR(IF(AND(H3125="W7",OR(F3125="causal",F3125="predictive")),IF(AND(OR(K3125=1,K3125="1"),OR(L3125=1,L3125="1"),OR(M3125=1,M3125="1")),"adequate","partial"),IF(AND(H3125="W4",F3125="predictive",OR(J3125="P2",J3125="P3",J3125="P4")),IF(OR(U3125=1,U3125="1"),"adequate","partial"),INDEX(Fit_Matrix!$B:$B,MATCH(P3125,Fit_Matrix!$A:$A,0)))),"CHECK KEY"))</f>
        <v/>
      </c>
      <c r="U3125" s="10"/>
      <c r="V3125" s="10"/>
      <c r="W3125" s="10"/>
      <c r="X3125" s="10"/>
      <c r="Y3125" s="10"/>
      <c r="Z3125" s="10"/>
      <c r="AA3125" s="11" t="str">
        <f t="shared" si="97"/>
        <v/>
      </c>
    </row>
    <row r="3126" spans="16:27" ht="15" customHeight="1">
      <c r="P3126" t="str">
        <f t="shared" si="96"/>
        <v/>
      </c>
      <c r="Q3126" t="str">
        <f>IF(P3126="","",IFERROR(IF(AND(H3126="W7",OR(F3126="causal",F3126="predictive")),IF(AND(OR(K3126=1,K3126="1"),OR(L3126=1,L3126="1"),OR(M3126=1,M3126="1")),"adequate","partial"),IF(AND(H3126="W4",F3126="predictive",OR(J3126="P2",J3126="P3",J3126="P4")),IF(OR(U3126=1,U3126="1"),"adequate","partial"),INDEX(Fit_Matrix!$B:$B,MATCH(P3126,Fit_Matrix!$A:$A,0)))),"CHECK KEY"))</f>
        <v/>
      </c>
      <c r="U3126" s="10"/>
      <c r="V3126" s="10"/>
      <c r="W3126" s="10"/>
      <c r="X3126" s="10"/>
      <c r="Y3126" s="10"/>
      <c r="Z3126" s="10"/>
      <c r="AA3126" s="11" t="str">
        <f t="shared" si="97"/>
        <v/>
      </c>
    </row>
    <row r="3127" spans="16:27" ht="15" customHeight="1">
      <c r="P3127" t="str">
        <f t="shared" si="96"/>
        <v/>
      </c>
      <c r="Q3127" t="str">
        <f>IF(P3127="","",IFERROR(IF(AND(H3127="W7",OR(F3127="causal",F3127="predictive")),IF(AND(OR(K3127=1,K3127="1"),OR(L3127=1,L3127="1"),OR(M3127=1,M3127="1")),"adequate","partial"),IF(AND(H3127="W4",F3127="predictive",OR(J3127="P2",J3127="P3",J3127="P4")),IF(OR(U3127=1,U3127="1"),"adequate","partial"),INDEX(Fit_Matrix!$B:$B,MATCH(P3127,Fit_Matrix!$A:$A,0)))),"CHECK KEY"))</f>
        <v/>
      </c>
      <c r="U3127" s="10"/>
      <c r="V3127" s="10"/>
      <c r="W3127" s="10"/>
      <c r="X3127" s="10"/>
      <c r="Y3127" s="10"/>
      <c r="Z3127" s="10"/>
      <c r="AA3127" s="11" t="str">
        <f t="shared" si="97"/>
        <v/>
      </c>
    </row>
    <row r="3128" spans="16:27" ht="15" customHeight="1">
      <c r="P3128" t="str">
        <f t="shared" si="96"/>
        <v/>
      </c>
      <c r="Q3128" t="str">
        <f>IF(P3128="","",IFERROR(IF(AND(H3128="W7",OR(F3128="causal",F3128="predictive")),IF(AND(OR(K3128=1,K3128="1"),OR(L3128=1,L3128="1"),OR(M3128=1,M3128="1")),"adequate","partial"),IF(AND(H3128="W4",F3128="predictive",OR(J3128="P2",J3128="P3",J3128="P4")),IF(OR(U3128=1,U3128="1"),"adequate","partial"),INDEX(Fit_Matrix!$B:$B,MATCH(P3128,Fit_Matrix!$A:$A,0)))),"CHECK KEY"))</f>
        <v/>
      </c>
      <c r="U3128" s="10"/>
      <c r="V3128" s="10"/>
      <c r="W3128" s="10"/>
      <c r="X3128" s="10"/>
      <c r="Y3128" s="10"/>
      <c r="Z3128" s="10"/>
      <c r="AA3128" s="11" t="str">
        <f t="shared" si="97"/>
        <v/>
      </c>
    </row>
    <row r="3129" spans="16:27" ht="15" customHeight="1">
      <c r="P3129" t="str">
        <f t="shared" si="96"/>
        <v/>
      </c>
      <c r="Q3129" t="str">
        <f>IF(P3129="","",IFERROR(IF(AND(H3129="W7",OR(F3129="causal",F3129="predictive")),IF(AND(OR(K3129=1,K3129="1"),OR(L3129=1,L3129="1"),OR(M3129=1,M3129="1")),"adequate","partial"),IF(AND(H3129="W4",F3129="predictive",OR(J3129="P2",J3129="P3",J3129="P4")),IF(OR(U3129=1,U3129="1"),"adequate","partial"),INDEX(Fit_Matrix!$B:$B,MATCH(P3129,Fit_Matrix!$A:$A,0)))),"CHECK KEY"))</f>
        <v/>
      </c>
      <c r="U3129" s="10"/>
      <c r="V3129" s="10"/>
      <c r="W3129" s="10"/>
      <c r="X3129" s="10"/>
      <c r="Y3129" s="10"/>
      <c r="Z3129" s="10"/>
      <c r="AA3129" s="11" t="str">
        <f t="shared" si="97"/>
        <v/>
      </c>
    </row>
    <row r="3130" spans="16:27" ht="15" customHeight="1">
      <c r="P3130" t="str">
        <f t="shared" si="96"/>
        <v/>
      </c>
      <c r="Q3130" t="str">
        <f>IF(P3130="","",IFERROR(IF(AND(H3130="W7",OR(F3130="causal",F3130="predictive")),IF(AND(OR(K3130=1,K3130="1"),OR(L3130=1,L3130="1"),OR(M3130=1,M3130="1")),"adequate","partial"),IF(AND(H3130="W4",F3130="predictive",OR(J3130="P2",J3130="P3",J3130="P4")),IF(OR(U3130=1,U3130="1"),"adequate","partial"),INDEX(Fit_Matrix!$B:$B,MATCH(P3130,Fit_Matrix!$A:$A,0)))),"CHECK KEY"))</f>
        <v/>
      </c>
      <c r="U3130" s="10"/>
      <c r="V3130" s="10"/>
      <c r="W3130" s="10"/>
      <c r="X3130" s="10"/>
      <c r="Y3130" s="10"/>
      <c r="Z3130" s="10"/>
      <c r="AA3130" s="11" t="str">
        <f t="shared" si="97"/>
        <v/>
      </c>
    </row>
    <row r="3131" spans="16:27" ht="15" customHeight="1">
      <c r="P3131" t="str">
        <f t="shared" si="96"/>
        <v/>
      </c>
      <c r="Q3131" t="str">
        <f>IF(P3131="","",IFERROR(IF(AND(H3131="W7",OR(F3131="causal",F3131="predictive")),IF(AND(OR(K3131=1,K3131="1"),OR(L3131=1,L3131="1"),OR(M3131=1,M3131="1")),"adequate","partial"),IF(AND(H3131="W4",F3131="predictive",OR(J3131="P2",J3131="P3",J3131="P4")),IF(OR(U3131=1,U3131="1"),"adequate","partial"),INDEX(Fit_Matrix!$B:$B,MATCH(P3131,Fit_Matrix!$A:$A,0)))),"CHECK KEY"))</f>
        <v/>
      </c>
      <c r="U3131" s="10"/>
      <c r="V3131" s="10"/>
      <c r="W3131" s="10"/>
      <c r="X3131" s="10"/>
      <c r="Y3131" s="10"/>
      <c r="Z3131" s="10"/>
      <c r="AA3131" s="11" t="str">
        <f t="shared" si="97"/>
        <v/>
      </c>
    </row>
    <row r="3132" spans="16:27" ht="15" customHeight="1">
      <c r="P3132" t="str">
        <f t="shared" si="96"/>
        <v/>
      </c>
      <c r="Q3132" t="str">
        <f>IF(P3132="","",IFERROR(IF(AND(H3132="W7",OR(F3132="causal",F3132="predictive")),IF(AND(OR(K3132=1,K3132="1"),OR(L3132=1,L3132="1"),OR(M3132=1,M3132="1")),"adequate","partial"),IF(AND(H3132="W4",F3132="predictive",OR(J3132="P2",J3132="P3",J3132="P4")),IF(OR(U3132=1,U3132="1"),"adequate","partial"),INDEX(Fit_Matrix!$B:$B,MATCH(P3132,Fit_Matrix!$A:$A,0)))),"CHECK KEY"))</f>
        <v/>
      </c>
      <c r="U3132" s="10"/>
      <c r="V3132" s="10"/>
      <c r="W3132" s="10"/>
      <c r="X3132" s="10"/>
      <c r="Y3132" s="10"/>
      <c r="Z3132" s="10"/>
      <c r="AA3132" s="11" t="str">
        <f t="shared" si="97"/>
        <v/>
      </c>
    </row>
    <row r="3133" spans="16:27" ht="15" customHeight="1">
      <c r="P3133" t="str">
        <f t="shared" si="96"/>
        <v/>
      </c>
      <c r="Q3133" t="str">
        <f>IF(P3133="","",IFERROR(IF(AND(H3133="W7",OR(F3133="causal",F3133="predictive")),IF(AND(OR(K3133=1,K3133="1"),OR(L3133=1,L3133="1"),OR(M3133=1,M3133="1")),"adequate","partial"),IF(AND(H3133="W4",F3133="predictive",OR(J3133="P2",J3133="P3",J3133="P4")),IF(OR(U3133=1,U3133="1"),"adequate","partial"),INDEX(Fit_Matrix!$B:$B,MATCH(P3133,Fit_Matrix!$A:$A,0)))),"CHECK KEY"))</f>
        <v/>
      </c>
      <c r="U3133" s="10"/>
      <c r="V3133" s="10"/>
      <c r="W3133" s="10"/>
      <c r="X3133" s="10"/>
      <c r="Y3133" s="10"/>
      <c r="Z3133" s="10"/>
      <c r="AA3133" s="11" t="str">
        <f t="shared" si="97"/>
        <v/>
      </c>
    </row>
    <row r="3134" spans="16:27" ht="15" customHeight="1">
      <c r="P3134" t="str">
        <f t="shared" si="96"/>
        <v/>
      </c>
      <c r="Q3134" t="str">
        <f>IF(P3134="","",IFERROR(IF(AND(H3134="W7",OR(F3134="causal",F3134="predictive")),IF(AND(OR(K3134=1,K3134="1"),OR(L3134=1,L3134="1"),OR(M3134=1,M3134="1")),"adequate","partial"),IF(AND(H3134="W4",F3134="predictive",OR(J3134="P2",J3134="P3",J3134="P4")),IF(OR(U3134=1,U3134="1"),"adequate","partial"),INDEX(Fit_Matrix!$B:$B,MATCH(P3134,Fit_Matrix!$A:$A,0)))),"CHECK KEY"))</f>
        <v/>
      </c>
      <c r="U3134" s="10"/>
      <c r="V3134" s="10"/>
      <c r="W3134" s="10"/>
      <c r="X3134" s="10"/>
      <c r="Y3134" s="10"/>
      <c r="Z3134" s="10"/>
      <c r="AA3134" s="11" t="str">
        <f t="shared" si="97"/>
        <v/>
      </c>
    </row>
    <row r="3135" spans="16:27" ht="15" customHeight="1">
      <c r="P3135" t="str">
        <f t="shared" si="96"/>
        <v/>
      </c>
      <c r="Q3135" t="str">
        <f>IF(P3135="","",IFERROR(IF(AND(H3135="W7",OR(F3135="causal",F3135="predictive")),IF(AND(OR(K3135=1,K3135="1"),OR(L3135=1,L3135="1"),OR(M3135=1,M3135="1")),"adequate","partial"),IF(AND(H3135="W4",F3135="predictive",OR(J3135="P2",J3135="P3",J3135="P4")),IF(OR(U3135=1,U3135="1"),"adequate","partial"),INDEX(Fit_Matrix!$B:$B,MATCH(P3135,Fit_Matrix!$A:$A,0)))),"CHECK KEY"))</f>
        <v/>
      </c>
      <c r="U3135" s="10"/>
      <c r="V3135" s="10"/>
      <c r="W3135" s="10"/>
      <c r="X3135" s="10"/>
      <c r="Y3135" s="10"/>
      <c r="Z3135" s="10"/>
      <c r="AA3135" s="11" t="str">
        <f t="shared" si="97"/>
        <v/>
      </c>
    </row>
    <row r="3136" spans="16:27" ht="15" customHeight="1">
      <c r="P3136" t="str">
        <f t="shared" si="96"/>
        <v/>
      </c>
      <c r="Q3136" t="str">
        <f>IF(P3136="","",IFERROR(IF(AND(H3136="W7",OR(F3136="causal",F3136="predictive")),IF(AND(OR(K3136=1,K3136="1"),OR(L3136=1,L3136="1"),OR(M3136=1,M3136="1")),"adequate","partial"),IF(AND(H3136="W4",F3136="predictive",OR(J3136="P2",J3136="P3",J3136="P4")),IF(OR(U3136=1,U3136="1"),"adequate","partial"),INDEX(Fit_Matrix!$B:$B,MATCH(P3136,Fit_Matrix!$A:$A,0)))),"CHECK KEY"))</f>
        <v/>
      </c>
      <c r="U3136" s="10"/>
      <c r="V3136" s="10"/>
      <c r="W3136" s="10"/>
      <c r="X3136" s="10"/>
      <c r="Y3136" s="10"/>
      <c r="Z3136" s="10"/>
      <c r="AA3136" s="11" t="str">
        <f t="shared" si="97"/>
        <v/>
      </c>
    </row>
    <row r="3137" spans="16:27" ht="15" customHeight="1">
      <c r="P3137" t="str">
        <f t="shared" si="96"/>
        <v/>
      </c>
      <c r="Q3137" t="str">
        <f>IF(P3137="","",IFERROR(IF(AND(H3137="W7",OR(F3137="causal",F3137="predictive")),IF(AND(OR(K3137=1,K3137="1"),OR(L3137=1,L3137="1"),OR(M3137=1,M3137="1")),"adequate","partial"),IF(AND(H3137="W4",F3137="predictive",OR(J3137="P2",J3137="P3",J3137="P4")),IF(OR(U3137=1,U3137="1"),"adequate","partial"),INDEX(Fit_Matrix!$B:$B,MATCH(P3137,Fit_Matrix!$A:$A,0)))),"CHECK KEY"))</f>
        <v/>
      </c>
      <c r="U3137" s="10"/>
      <c r="V3137" s="10"/>
      <c r="W3137" s="10"/>
      <c r="X3137" s="10"/>
      <c r="Y3137" s="10"/>
      <c r="Z3137" s="10"/>
      <c r="AA3137" s="11" t="str">
        <f t="shared" si="97"/>
        <v/>
      </c>
    </row>
    <row r="3138" spans="16:27" ht="15" customHeight="1">
      <c r="P3138" t="str">
        <f t="shared" ref="P3138:P3201" si="98">IF(OR(F3138="",H3138="",J3138=""),"",J3138&amp;"|"&amp;F3138&amp;"|"&amp;IF(H3138="W3","W3_"&amp;IF(I3138="","unknown",I3138),H3138))</f>
        <v/>
      </c>
      <c r="Q3138" t="str">
        <f>IF(P3138="","",IFERROR(IF(AND(H3138="W7",OR(F3138="causal",F3138="predictive")),IF(AND(OR(K3138=1,K3138="1"),OR(L3138=1,L3138="1"),OR(M3138=1,M3138="1")),"adequate","partial"),IF(AND(H3138="W4",F3138="predictive",OR(J3138="P2",J3138="P3",J3138="P4")),IF(OR(U3138=1,U3138="1"),"adequate","partial"),INDEX(Fit_Matrix!$B:$B,MATCH(P3138,Fit_Matrix!$A:$A,0)))),"CHECK KEY"))</f>
        <v/>
      </c>
      <c r="U3138" s="10"/>
      <c r="V3138" s="10"/>
      <c r="W3138" s="10"/>
      <c r="X3138" s="10"/>
      <c r="Y3138" s="10"/>
      <c r="Z3138" s="10"/>
      <c r="AA3138" s="11" t="str">
        <f t="shared" ref="AA3138:AA3201" si="99">IF(A3138="","",IF(AND(J3138="P4",F3138="causal"),"P4-CAUSAL",""))</f>
        <v/>
      </c>
    </row>
    <row r="3139" spans="16:27" ht="15" customHeight="1">
      <c r="P3139" t="str">
        <f t="shared" si="98"/>
        <v/>
      </c>
      <c r="Q3139" t="str">
        <f>IF(P3139="","",IFERROR(IF(AND(H3139="W7",OR(F3139="causal",F3139="predictive")),IF(AND(OR(K3139=1,K3139="1"),OR(L3139=1,L3139="1"),OR(M3139=1,M3139="1")),"adequate","partial"),IF(AND(H3139="W4",F3139="predictive",OR(J3139="P2",J3139="P3",J3139="P4")),IF(OR(U3139=1,U3139="1"),"adequate","partial"),INDEX(Fit_Matrix!$B:$B,MATCH(P3139,Fit_Matrix!$A:$A,0)))),"CHECK KEY"))</f>
        <v/>
      </c>
      <c r="U3139" s="10"/>
      <c r="V3139" s="10"/>
      <c r="W3139" s="10"/>
      <c r="X3139" s="10"/>
      <c r="Y3139" s="10"/>
      <c r="Z3139" s="10"/>
      <c r="AA3139" s="11" t="str">
        <f t="shared" si="99"/>
        <v/>
      </c>
    </row>
    <row r="3140" spans="16:27" ht="15" customHeight="1">
      <c r="P3140" t="str">
        <f t="shared" si="98"/>
        <v/>
      </c>
      <c r="Q3140" t="str">
        <f>IF(P3140="","",IFERROR(IF(AND(H3140="W7",OR(F3140="causal",F3140="predictive")),IF(AND(OR(K3140=1,K3140="1"),OR(L3140=1,L3140="1"),OR(M3140=1,M3140="1")),"adequate","partial"),IF(AND(H3140="W4",F3140="predictive",OR(J3140="P2",J3140="P3",J3140="P4")),IF(OR(U3140=1,U3140="1"),"adequate","partial"),INDEX(Fit_Matrix!$B:$B,MATCH(P3140,Fit_Matrix!$A:$A,0)))),"CHECK KEY"))</f>
        <v/>
      </c>
      <c r="U3140" s="10"/>
      <c r="V3140" s="10"/>
      <c r="W3140" s="10"/>
      <c r="X3140" s="10"/>
      <c r="Y3140" s="10"/>
      <c r="Z3140" s="10"/>
      <c r="AA3140" s="11" t="str">
        <f t="shared" si="99"/>
        <v/>
      </c>
    </row>
    <row r="3141" spans="16:27" ht="15" customHeight="1">
      <c r="P3141" t="str">
        <f t="shared" si="98"/>
        <v/>
      </c>
      <c r="Q3141" t="str">
        <f>IF(P3141="","",IFERROR(IF(AND(H3141="W7",OR(F3141="causal",F3141="predictive")),IF(AND(OR(K3141=1,K3141="1"),OR(L3141=1,L3141="1"),OR(M3141=1,M3141="1")),"adequate","partial"),IF(AND(H3141="W4",F3141="predictive",OR(J3141="P2",J3141="P3",J3141="P4")),IF(OR(U3141=1,U3141="1"),"adequate","partial"),INDEX(Fit_Matrix!$B:$B,MATCH(P3141,Fit_Matrix!$A:$A,0)))),"CHECK KEY"))</f>
        <v/>
      </c>
      <c r="U3141" s="10"/>
      <c r="V3141" s="10"/>
      <c r="W3141" s="10"/>
      <c r="X3141" s="10"/>
      <c r="Y3141" s="10"/>
      <c r="Z3141" s="10"/>
      <c r="AA3141" s="11" t="str">
        <f t="shared" si="99"/>
        <v/>
      </c>
    </row>
    <row r="3142" spans="16:27" ht="15" customHeight="1">
      <c r="P3142" t="str">
        <f t="shared" si="98"/>
        <v/>
      </c>
      <c r="Q3142" t="str">
        <f>IF(P3142="","",IFERROR(IF(AND(H3142="W7",OR(F3142="causal",F3142="predictive")),IF(AND(OR(K3142=1,K3142="1"),OR(L3142=1,L3142="1"),OR(M3142=1,M3142="1")),"adequate","partial"),IF(AND(H3142="W4",F3142="predictive",OR(J3142="P2",J3142="P3",J3142="P4")),IF(OR(U3142=1,U3142="1"),"adequate","partial"),INDEX(Fit_Matrix!$B:$B,MATCH(P3142,Fit_Matrix!$A:$A,0)))),"CHECK KEY"))</f>
        <v/>
      </c>
      <c r="U3142" s="10"/>
      <c r="V3142" s="10"/>
      <c r="W3142" s="10"/>
      <c r="X3142" s="10"/>
      <c r="Y3142" s="10"/>
      <c r="Z3142" s="10"/>
      <c r="AA3142" s="11" t="str">
        <f t="shared" si="99"/>
        <v/>
      </c>
    </row>
    <row r="3143" spans="16:27" ht="15" customHeight="1">
      <c r="P3143" t="str">
        <f t="shared" si="98"/>
        <v/>
      </c>
      <c r="Q3143" t="str">
        <f>IF(P3143="","",IFERROR(IF(AND(H3143="W7",OR(F3143="causal",F3143="predictive")),IF(AND(OR(K3143=1,K3143="1"),OR(L3143=1,L3143="1"),OR(M3143=1,M3143="1")),"adequate","partial"),IF(AND(H3143="W4",F3143="predictive",OR(J3143="P2",J3143="P3",J3143="P4")),IF(OR(U3143=1,U3143="1"),"adequate","partial"),INDEX(Fit_Matrix!$B:$B,MATCH(P3143,Fit_Matrix!$A:$A,0)))),"CHECK KEY"))</f>
        <v/>
      </c>
      <c r="U3143" s="10"/>
      <c r="V3143" s="10"/>
      <c r="W3143" s="10"/>
      <c r="X3143" s="10"/>
      <c r="Y3143" s="10"/>
      <c r="Z3143" s="10"/>
      <c r="AA3143" s="11" t="str">
        <f t="shared" si="99"/>
        <v/>
      </c>
    </row>
    <row r="3144" spans="16:27" ht="15" customHeight="1">
      <c r="P3144" t="str">
        <f t="shared" si="98"/>
        <v/>
      </c>
      <c r="Q3144" t="str">
        <f>IF(P3144="","",IFERROR(IF(AND(H3144="W7",OR(F3144="causal",F3144="predictive")),IF(AND(OR(K3144=1,K3144="1"),OR(L3144=1,L3144="1"),OR(M3144=1,M3144="1")),"adequate","partial"),IF(AND(H3144="W4",F3144="predictive",OR(J3144="P2",J3144="P3",J3144="P4")),IF(OR(U3144=1,U3144="1"),"adequate","partial"),INDEX(Fit_Matrix!$B:$B,MATCH(P3144,Fit_Matrix!$A:$A,0)))),"CHECK KEY"))</f>
        <v/>
      </c>
      <c r="U3144" s="10"/>
      <c r="V3144" s="10"/>
      <c r="W3144" s="10"/>
      <c r="X3144" s="10"/>
      <c r="Y3144" s="10"/>
      <c r="Z3144" s="10"/>
      <c r="AA3144" s="11" t="str">
        <f t="shared" si="99"/>
        <v/>
      </c>
    </row>
    <row r="3145" spans="16:27" ht="15" customHeight="1">
      <c r="P3145" t="str">
        <f t="shared" si="98"/>
        <v/>
      </c>
      <c r="Q3145" t="str">
        <f>IF(P3145="","",IFERROR(IF(AND(H3145="W7",OR(F3145="causal",F3145="predictive")),IF(AND(OR(K3145=1,K3145="1"),OR(L3145=1,L3145="1"),OR(M3145=1,M3145="1")),"adequate","partial"),IF(AND(H3145="W4",F3145="predictive",OR(J3145="P2",J3145="P3",J3145="P4")),IF(OR(U3145=1,U3145="1"),"adequate","partial"),INDEX(Fit_Matrix!$B:$B,MATCH(P3145,Fit_Matrix!$A:$A,0)))),"CHECK KEY"))</f>
        <v/>
      </c>
      <c r="U3145" s="10"/>
      <c r="V3145" s="10"/>
      <c r="W3145" s="10"/>
      <c r="X3145" s="10"/>
      <c r="Y3145" s="10"/>
      <c r="Z3145" s="10"/>
      <c r="AA3145" s="11" t="str">
        <f t="shared" si="99"/>
        <v/>
      </c>
    </row>
    <row r="3146" spans="16:27" ht="15" customHeight="1">
      <c r="P3146" t="str">
        <f t="shared" si="98"/>
        <v/>
      </c>
      <c r="Q3146" t="str">
        <f>IF(P3146="","",IFERROR(IF(AND(H3146="W7",OR(F3146="causal",F3146="predictive")),IF(AND(OR(K3146=1,K3146="1"),OR(L3146=1,L3146="1"),OR(M3146=1,M3146="1")),"adequate","partial"),IF(AND(H3146="W4",F3146="predictive",OR(J3146="P2",J3146="P3",J3146="P4")),IF(OR(U3146=1,U3146="1"),"adequate","partial"),INDEX(Fit_Matrix!$B:$B,MATCH(P3146,Fit_Matrix!$A:$A,0)))),"CHECK KEY"))</f>
        <v/>
      </c>
      <c r="U3146" s="10"/>
      <c r="V3146" s="10"/>
      <c r="W3146" s="10"/>
      <c r="X3146" s="10"/>
      <c r="Y3146" s="10"/>
      <c r="Z3146" s="10"/>
      <c r="AA3146" s="11" t="str">
        <f t="shared" si="99"/>
        <v/>
      </c>
    </row>
    <row r="3147" spans="16:27" ht="15" customHeight="1">
      <c r="P3147" t="str">
        <f t="shared" si="98"/>
        <v/>
      </c>
      <c r="Q3147" t="str">
        <f>IF(P3147="","",IFERROR(IF(AND(H3147="W7",OR(F3147="causal",F3147="predictive")),IF(AND(OR(K3147=1,K3147="1"),OR(L3147=1,L3147="1"),OR(M3147=1,M3147="1")),"adequate","partial"),IF(AND(H3147="W4",F3147="predictive",OR(J3147="P2",J3147="P3",J3147="P4")),IF(OR(U3147=1,U3147="1"),"adequate","partial"),INDEX(Fit_Matrix!$B:$B,MATCH(P3147,Fit_Matrix!$A:$A,0)))),"CHECK KEY"))</f>
        <v/>
      </c>
      <c r="U3147" s="10"/>
      <c r="V3147" s="10"/>
      <c r="W3147" s="10"/>
      <c r="X3147" s="10"/>
      <c r="Y3147" s="10"/>
      <c r="Z3147" s="10"/>
      <c r="AA3147" s="11" t="str">
        <f t="shared" si="99"/>
        <v/>
      </c>
    </row>
    <row r="3148" spans="16:27" ht="15" customHeight="1">
      <c r="P3148" t="str">
        <f t="shared" si="98"/>
        <v/>
      </c>
      <c r="Q3148" t="str">
        <f>IF(P3148="","",IFERROR(IF(AND(H3148="W7",OR(F3148="causal",F3148="predictive")),IF(AND(OR(K3148=1,K3148="1"),OR(L3148=1,L3148="1"),OR(M3148=1,M3148="1")),"adequate","partial"),IF(AND(H3148="W4",F3148="predictive",OR(J3148="P2",J3148="P3",J3148="P4")),IF(OR(U3148=1,U3148="1"),"adequate","partial"),INDEX(Fit_Matrix!$B:$B,MATCH(P3148,Fit_Matrix!$A:$A,0)))),"CHECK KEY"))</f>
        <v/>
      </c>
      <c r="U3148" s="10"/>
      <c r="V3148" s="10"/>
      <c r="W3148" s="10"/>
      <c r="X3148" s="10"/>
      <c r="Y3148" s="10"/>
      <c r="Z3148" s="10"/>
      <c r="AA3148" s="11" t="str">
        <f t="shared" si="99"/>
        <v/>
      </c>
    </row>
    <row r="3149" spans="16:27" ht="15" customHeight="1">
      <c r="P3149" t="str">
        <f t="shared" si="98"/>
        <v/>
      </c>
      <c r="Q3149" t="str">
        <f>IF(P3149="","",IFERROR(IF(AND(H3149="W7",OR(F3149="causal",F3149="predictive")),IF(AND(OR(K3149=1,K3149="1"),OR(L3149=1,L3149="1"),OR(M3149=1,M3149="1")),"adequate","partial"),IF(AND(H3149="W4",F3149="predictive",OR(J3149="P2",J3149="P3",J3149="P4")),IF(OR(U3149=1,U3149="1"),"adequate","partial"),INDEX(Fit_Matrix!$B:$B,MATCH(P3149,Fit_Matrix!$A:$A,0)))),"CHECK KEY"))</f>
        <v/>
      </c>
      <c r="U3149" s="10"/>
      <c r="V3149" s="10"/>
      <c r="W3149" s="10"/>
      <c r="X3149" s="10"/>
      <c r="Y3149" s="10"/>
      <c r="Z3149" s="10"/>
      <c r="AA3149" s="11" t="str">
        <f t="shared" si="99"/>
        <v/>
      </c>
    </row>
    <row r="3150" spans="16:27" ht="15" customHeight="1">
      <c r="P3150" t="str">
        <f t="shared" si="98"/>
        <v/>
      </c>
      <c r="Q3150" t="str">
        <f>IF(P3150="","",IFERROR(IF(AND(H3150="W7",OR(F3150="causal",F3150="predictive")),IF(AND(OR(K3150=1,K3150="1"),OR(L3150=1,L3150="1"),OR(M3150=1,M3150="1")),"adequate","partial"),IF(AND(H3150="W4",F3150="predictive",OR(J3150="P2",J3150="P3",J3150="P4")),IF(OR(U3150=1,U3150="1"),"adequate","partial"),INDEX(Fit_Matrix!$B:$B,MATCH(P3150,Fit_Matrix!$A:$A,0)))),"CHECK KEY"))</f>
        <v/>
      </c>
      <c r="U3150" s="10"/>
      <c r="V3150" s="10"/>
      <c r="W3150" s="10"/>
      <c r="X3150" s="10"/>
      <c r="Y3150" s="10"/>
      <c r="Z3150" s="10"/>
      <c r="AA3150" s="11" t="str">
        <f t="shared" si="99"/>
        <v/>
      </c>
    </row>
    <row r="3151" spans="16:27" ht="15" customHeight="1">
      <c r="P3151" t="str">
        <f t="shared" si="98"/>
        <v/>
      </c>
      <c r="Q3151" t="str">
        <f>IF(P3151="","",IFERROR(IF(AND(H3151="W7",OR(F3151="causal",F3151="predictive")),IF(AND(OR(K3151=1,K3151="1"),OR(L3151=1,L3151="1"),OR(M3151=1,M3151="1")),"adequate","partial"),IF(AND(H3151="W4",F3151="predictive",OR(J3151="P2",J3151="P3",J3151="P4")),IF(OR(U3151=1,U3151="1"),"adequate","partial"),INDEX(Fit_Matrix!$B:$B,MATCH(P3151,Fit_Matrix!$A:$A,0)))),"CHECK KEY"))</f>
        <v/>
      </c>
      <c r="U3151" s="10"/>
      <c r="V3151" s="10"/>
      <c r="W3151" s="10"/>
      <c r="X3151" s="10"/>
      <c r="Y3151" s="10"/>
      <c r="Z3151" s="10"/>
      <c r="AA3151" s="11" t="str">
        <f t="shared" si="99"/>
        <v/>
      </c>
    </row>
    <row r="3152" spans="16:27" ht="15" customHeight="1">
      <c r="P3152" t="str">
        <f t="shared" si="98"/>
        <v/>
      </c>
      <c r="Q3152" t="str">
        <f>IF(P3152="","",IFERROR(IF(AND(H3152="W7",OR(F3152="causal",F3152="predictive")),IF(AND(OR(K3152=1,K3152="1"),OR(L3152=1,L3152="1"),OR(M3152=1,M3152="1")),"adequate","partial"),IF(AND(H3152="W4",F3152="predictive",OR(J3152="P2",J3152="P3",J3152="P4")),IF(OR(U3152=1,U3152="1"),"adequate","partial"),INDEX(Fit_Matrix!$B:$B,MATCH(P3152,Fit_Matrix!$A:$A,0)))),"CHECK KEY"))</f>
        <v/>
      </c>
      <c r="U3152" s="10"/>
      <c r="V3152" s="10"/>
      <c r="W3152" s="10"/>
      <c r="X3152" s="10"/>
      <c r="Y3152" s="10"/>
      <c r="Z3152" s="10"/>
      <c r="AA3152" s="11" t="str">
        <f t="shared" si="99"/>
        <v/>
      </c>
    </row>
    <row r="3153" spans="16:27" ht="15" customHeight="1">
      <c r="P3153" t="str">
        <f t="shared" si="98"/>
        <v/>
      </c>
      <c r="Q3153" t="str">
        <f>IF(P3153="","",IFERROR(IF(AND(H3153="W7",OR(F3153="causal",F3153="predictive")),IF(AND(OR(K3153=1,K3153="1"),OR(L3153=1,L3153="1"),OR(M3153=1,M3153="1")),"adequate","partial"),IF(AND(H3153="W4",F3153="predictive",OR(J3153="P2",J3153="P3",J3153="P4")),IF(OR(U3153=1,U3153="1"),"adequate","partial"),INDEX(Fit_Matrix!$B:$B,MATCH(P3153,Fit_Matrix!$A:$A,0)))),"CHECK KEY"))</f>
        <v/>
      </c>
      <c r="U3153" s="10"/>
      <c r="V3153" s="10"/>
      <c r="W3153" s="10"/>
      <c r="X3153" s="10"/>
      <c r="Y3153" s="10"/>
      <c r="Z3153" s="10"/>
      <c r="AA3153" s="11" t="str">
        <f t="shared" si="99"/>
        <v/>
      </c>
    </row>
    <row r="3154" spans="16:27" ht="15" customHeight="1">
      <c r="P3154" t="str">
        <f t="shared" si="98"/>
        <v/>
      </c>
      <c r="Q3154" t="str">
        <f>IF(P3154="","",IFERROR(IF(AND(H3154="W7",OR(F3154="causal",F3154="predictive")),IF(AND(OR(K3154=1,K3154="1"),OR(L3154=1,L3154="1"),OR(M3154=1,M3154="1")),"adequate","partial"),IF(AND(H3154="W4",F3154="predictive",OR(J3154="P2",J3154="P3",J3154="P4")),IF(OR(U3154=1,U3154="1"),"adequate","partial"),INDEX(Fit_Matrix!$B:$B,MATCH(P3154,Fit_Matrix!$A:$A,0)))),"CHECK KEY"))</f>
        <v/>
      </c>
      <c r="U3154" s="10"/>
      <c r="V3154" s="10"/>
      <c r="W3154" s="10"/>
      <c r="X3154" s="10"/>
      <c r="Y3154" s="10"/>
      <c r="Z3154" s="10"/>
      <c r="AA3154" s="11" t="str">
        <f t="shared" si="99"/>
        <v/>
      </c>
    </row>
    <row r="3155" spans="16:27" ht="15" customHeight="1">
      <c r="P3155" t="str">
        <f t="shared" si="98"/>
        <v/>
      </c>
      <c r="Q3155" t="str">
        <f>IF(P3155="","",IFERROR(IF(AND(H3155="W7",OR(F3155="causal",F3155="predictive")),IF(AND(OR(K3155=1,K3155="1"),OR(L3155=1,L3155="1"),OR(M3155=1,M3155="1")),"adequate","partial"),IF(AND(H3155="W4",F3155="predictive",OR(J3155="P2",J3155="P3",J3155="P4")),IF(OR(U3155=1,U3155="1"),"adequate","partial"),INDEX(Fit_Matrix!$B:$B,MATCH(P3155,Fit_Matrix!$A:$A,0)))),"CHECK KEY"))</f>
        <v/>
      </c>
      <c r="U3155" s="10"/>
      <c r="V3155" s="10"/>
      <c r="W3155" s="10"/>
      <c r="X3155" s="10"/>
      <c r="Y3155" s="10"/>
      <c r="Z3155" s="10"/>
      <c r="AA3155" s="11" t="str">
        <f t="shared" si="99"/>
        <v/>
      </c>
    </row>
    <row r="3156" spans="16:27" ht="15" customHeight="1">
      <c r="P3156" t="str">
        <f t="shared" si="98"/>
        <v/>
      </c>
      <c r="Q3156" t="str">
        <f>IF(P3156="","",IFERROR(IF(AND(H3156="W7",OR(F3156="causal",F3156="predictive")),IF(AND(OR(K3156=1,K3156="1"),OR(L3156=1,L3156="1"),OR(M3156=1,M3156="1")),"adequate","partial"),IF(AND(H3156="W4",F3156="predictive",OR(J3156="P2",J3156="P3",J3156="P4")),IF(OR(U3156=1,U3156="1"),"adequate","partial"),INDEX(Fit_Matrix!$B:$B,MATCH(P3156,Fit_Matrix!$A:$A,0)))),"CHECK KEY"))</f>
        <v/>
      </c>
      <c r="U3156" s="10"/>
      <c r="V3156" s="10"/>
      <c r="W3156" s="10"/>
      <c r="X3156" s="10"/>
      <c r="Y3156" s="10"/>
      <c r="Z3156" s="10"/>
      <c r="AA3156" s="11" t="str">
        <f t="shared" si="99"/>
        <v/>
      </c>
    </row>
    <row r="3157" spans="16:27" ht="15" customHeight="1">
      <c r="P3157" t="str">
        <f t="shared" si="98"/>
        <v/>
      </c>
      <c r="Q3157" t="str">
        <f>IF(P3157="","",IFERROR(IF(AND(H3157="W7",OR(F3157="causal",F3157="predictive")),IF(AND(OR(K3157=1,K3157="1"),OR(L3157=1,L3157="1"),OR(M3157=1,M3157="1")),"adequate","partial"),IF(AND(H3157="W4",F3157="predictive",OR(J3157="P2",J3157="P3",J3157="P4")),IF(OR(U3157=1,U3157="1"),"adequate","partial"),INDEX(Fit_Matrix!$B:$B,MATCH(P3157,Fit_Matrix!$A:$A,0)))),"CHECK KEY"))</f>
        <v/>
      </c>
      <c r="U3157" s="10"/>
      <c r="V3157" s="10"/>
      <c r="W3157" s="10"/>
      <c r="X3157" s="10"/>
      <c r="Y3157" s="10"/>
      <c r="Z3157" s="10"/>
      <c r="AA3157" s="11" t="str">
        <f t="shared" si="99"/>
        <v/>
      </c>
    </row>
    <row r="3158" spans="16:27" ht="15" customHeight="1">
      <c r="P3158" t="str">
        <f t="shared" si="98"/>
        <v/>
      </c>
      <c r="Q3158" t="str">
        <f>IF(P3158="","",IFERROR(IF(AND(H3158="W7",OR(F3158="causal",F3158="predictive")),IF(AND(OR(K3158=1,K3158="1"),OR(L3158=1,L3158="1"),OR(M3158=1,M3158="1")),"adequate","partial"),IF(AND(H3158="W4",F3158="predictive",OR(J3158="P2",J3158="P3",J3158="P4")),IF(OR(U3158=1,U3158="1"),"adequate","partial"),INDEX(Fit_Matrix!$B:$B,MATCH(P3158,Fit_Matrix!$A:$A,0)))),"CHECK KEY"))</f>
        <v/>
      </c>
      <c r="U3158" s="10"/>
      <c r="V3158" s="10"/>
      <c r="W3158" s="10"/>
      <c r="X3158" s="10"/>
      <c r="Y3158" s="10"/>
      <c r="Z3158" s="10"/>
      <c r="AA3158" s="11" t="str">
        <f t="shared" si="99"/>
        <v/>
      </c>
    </row>
    <row r="3159" spans="16:27" ht="15" customHeight="1">
      <c r="P3159" t="str">
        <f t="shared" si="98"/>
        <v/>
      </c>
      <c r="Q3159" t="str">
        <f>IF(P3159="","",IFERROR(IF(AND(H3159="W7",OR(F3159="causal",F3159="predictive")),IF(AND(OR(K3159=1,K3159="1"),OR(L3159=1,L3159="1"),OR(M3159=1,M3159="1")),"adequate","partial"),IF(AND(H3159="W4",F3159="predictive",OR(J3159="P2",J3159="P3",J3159="P4")),IF(OR(U3159=1,U3159="1"),"adequate","partial"),INDEX(Fit_Matrix!$B:$B,MATCH(P3159,Fit_Matrix!$A:$A,0)))),"CHECK KEY"))</f>
        <v/>
      </c>
      <c r="U3159" s="10"/>
      <c r="V3159" s="10"/>
      <c r="W3159" s="10"/>
      <c r="X3159" s="10"/>
      <c r="Y3159" s="10"/>
      <c r="Z3159" s="10"/>
      <c r="AA3159" s="11" t="str">
        <f t="shared" si="99"/>
        <v/>
      </c>
    </row>
    <row r="3160" spans="16:27" ht="15" customHeight="1">
      <c r="P3160" t="str">
        <f t="shared" si="98"/>
        <v/>
      </c>
      <c r="Q3160" t="str">
        <f>IF(P3160="","",IFERROR(IF(AND(H3160="W7",OR(F3160="causal",F3160="predictive")),IF(AND(OR(K3160=1,K3160="1"),OR(L3160=1,L3160="1"),OR(M3160=1,M3160="1")),"adequate","partial"),IF(AND(H3160="W4",F3160="predictive",OR(J3160="P2",J3160="P3",J3160="P4")),IF(OR(U3160=1,U3160="1"),"adequate","partial"),INDEX(Fit_Matrix!$B:$B,MATCH(P3160,Fit_Matrix!$A:$A,0)))),"CHECK KEY"))</f>
        <v/>
      </c>
      <c r="U3160" s="10"/>
      <c r="V3160" s="10"/>
      <c r="W3160" s="10"/>
      <c r="X3160" s="10"/>
      <c r="Y3160" s="10"/>
      <c r="Z3160" s="10"/>
      <c r="AA3160" s="11" t="str">
        <f t="shared" si="99"/>
        <v/>
      </c>
    </row>
    <row r="3161" spans="16:27" ht="15" customHeight="1">
      <c r="P3161" t="str">
        <f t="shared" si="98"/>
        <v/>
      </c>
      <c r="Q3161" t="str">
        <f>IF(P3161="","",IFERROR(IF(AND(H3161="W7",OR(F3161="causal",F3161="predictive")),IF(AND(OR(K3161=1,K3161="1"),OR(L3161=1,L3161="1"),OR(M3161=1,M3161="1")),"adequate","partial"),IF(AND(H3161="W4",F3161="predictive",OR(J3161="P2",J3161="P3",J3161="P4")),IF(OR(U3161=1,U3161="1"),"adequate","partial"),INDEX(Fit_Matrix!$B:$B,MATCH(P3161,Fit_Matrix!$A:$A,0)))),"CHECK KEY"))</f>
        <v/>
      </c>
      <c r="U3161" s="10"/>
      <c r="V3161" s="10"/>
      <c r="W3161" s="10"/>
      <c r="X3161" s="10"/>
      <c r="Y3161" s="10"/>
      <c r="Z3161" s="10"/>
      <c r="AA3161" s="11" t="str">
        <f t="shared" si="99"/>
        <v/>
      </c>
    </row>
    <row r="3162" spans="16:27" ht="15" customHeight="1">
      <c r="P3162" t="str">
        <f t="shared" si="98"/>
        <v/>
      </c>
      <c r="Q3162" t="str">
        <f>IF(P3162="","",IFERROR(IF(AND(H3162="W7",OR(F3162="causal",F3162="predictive")),IF(AND(OR(K3162=1,K3162="1"),OR(L3162=1,L3162="1"),OR(M3162=1,M3162="1")),"adequate","partial"),IF(AND(H3162="W4",F3162="predictive",OR(J3162="P2",J3162="P3",J3162="P4")),IF(OR(U3162=1,U3162="1"),"adequate","partial"),INDEX(Fit_Matrix!$B:$B,MATCH(P3162,Fit_Matrix!$A:$A,0)))),"CHECK KEY"))</f>
        <v/>
      </c>
      <c r="U3162" s="10"/>
      <c r="V3162" s="10"/>
      <c r="W3162" s="10"/>
      <c r="X3162" s="10"/>
      <c r="Y3162" s="10"/>
      <c r="Z3162" s="10"/>
      <c r="AA3162" s="11" t="str">
        <f t="shared" si="99"/>
        <v/>
      </c>
    </row>
    <row r="3163" spans="16:27" ht="15" customHeight="1">
      <c r="P3163" t="str">
        <f t="shared" si="98"/>
        <v/>
      </c>
      <c r="Q3163" t="str">
        <f>IF(P3163="","",IFERROR(IF(AND(H3163="W7",OR(F3163="causal",F3163="predictive")),IF(AND(OR(K3163=1,K3163="1"),OR(L3163=1,L3163="1"),OR(M3163=1,M3163="1")),"adequate","partial"),IF(AND(H3163="W4",F3163="predictive",OR(J3163="P2",J3163="P3",J3163="P4")),IF(OR(U3163=1,U3163="1"),"adequate","partial"),INDEX(Fit_Matrix!$B:$B,MATCH(P3163,Fit_Matrix!$A:$A,0)))),"CHECK KEY"))</f>
        <v/>
      </c>
      <c r="U3163" s="10"/>
      <c r="V3163" s="10"/>
      <c r="W3163" s="10"/>
      <c r="X3163" s="10"/>
      <c r="Y3163" s="10"/>
      <c r="Z3163" s="10"/>
      <c r="AA3163" s="11" t="str">
        <f t="shared" si="99"/>
        <v/>
      </c>
    </row>
    <row r="3164" spans="16:27" ht="15" customHeight="1">
      <c r="P3164" t="str">
        <f t="shared" si="98"/>
        <v/>
      </c>
      <c r="Q3164" t="str">
        <f>IF(P3164="","",IFERROR(IF(AND(H3164="W7",OR(F3164="causal",F3164="predictive")),IF(AND(OR(K3164=1,K3164="1"),OR(L3164=1,L3164="1"),OR(M3164=1,M3164="1")),"adequate","partial"),IF(AND(H3164="W4",F3164="predictive",OR(J3164="P2",J3164="P3",J3164="P4")),IF(OR(U3164=1,U3164="1"),"adequate","partial"),INDEX(Fit_Matrix!$B:$B,MATCH(P3164,Fit_Matrix!$A:$A,0)))),"CHECK KEY"))</f>
        <v/>
      </c>
      <c r="U3164" s="10"/>
      <c r="V3164" s="10"/>
      <c r="W3164" s="10"/>
      <c r="X3164" s="10"/>
      <c r="Y3164" s="10"/>
      <c r="Z3164" s="10"/>
      <c r="AA3164" s="11" t="str">
        <f t="shared" si="99"/>
        <v/>
      </c>
    </row>
    <row r="3165" spans="16:27" ht="15" customHeight="1">
      <c r="P3165" t="str">
        <f t="shared" si="98"/>
        <v/>
      </c>
      <c r="Q3165" t="str">
        <f>IF(P3165="","",IFERROR(IF(AND(H3165="W7",OR(F3165="causal",F3165="predictive")),IF(AND(OR(K3165=1,K3165="1"),OR(L3165=1,L3165="1"),OR(M3165=1,M3165="1")),"adequate","partial"),IF(AND(H3165="W4",F3165="predictive",OR(J3165="P2",J3165="P3",J3165="P4")),IF(OR(U3165=1,U3165="1"),"adequate","partial"),INDEX(Fit_Matrix!$B:$B,MATCH(P3165,Fit_Matrix!$A:$A,0)))),"CHECK KEY"))</f>
        <v/>
      </c>
      <c r="U3165" s="10"/>
      <c r="V3165" s="10"/>
      <c r="W3165" s="10"/>
      <c r="X3165" s="10"/>
      <c r="Y3165" s="10"/>
      <c r="Z3165" s="10"/>
      <c r="AA3165" s="11" t="str">
        <f t="shared" si="99"/>
        <v/>
      </c>
    </row>
    <row r="3166" spans="16:27" ht="15" customHeight="1">
      <c r="P3166" t="str">
        <f t="shared" si="98"/>
        <v/>
      </c>
      <c r="Q3166" t="str">
        <f>IF(P3166="","",IFERROR(IF(AND(H3166="W7",OR(F3166="causal",F3166="predictive")),IF(AND(OR(K3166=1,K3166="1"),OR(L3166=1,L3166="1"),OR(M3166=1,M3166="1")),"adequate","partial"),IF(AND(H3166="W4",F3166="predictive",OR(J3166="P2",J3166="P3",J3166="P4")),IF(OR(U3166=1,U3166="1"),"adequate","partial"),INDEX(Fit_Matrix!$B:$B,MATCH(P3166,Fit_Matrix!$A:$A,0)))),"CHECK KEY"))</f>
        <v/>
      </c>
      <c r="U3166" s="10"/>
      <c r="V3166" s="10"/>
      <c r="W3166" s="10"/>
      <c r="X3166" s="10"/>
      <c r="Y3166" s="10"/>
      <c r="Z3166" s="10"/>
      <c r="AA3166" s="11" t="str">
        <f t="shared" si="99"/>
        <v/>
      </c>
    </row>
    <row r="3167" spans="16:27" ht="15" customHeight="1">
      <c r="P3167" t="str">
        <f t="shared" si="98"/>
        <v/>
      </c>
      <c r="Q3167" t="str">
        <f>IF(P3167="","",IFERROR(IF(AND(H3167="W7",OR(F3167="causal",F3167="predictive")),IF(AND(OR(K3167=1,K3167="1"),OR(L3167=1,L3167="1"),OR(M3167=1,M3167="1")),"adequate","partial"),IF(AND(H3167="W4",F3167="predictive",OR(J3167="P2",J3167="P3",J3167="P4")),IF(OR(U3167=1,U3167="1"),"adequate","partial"),INDEX(Fit_Matrix!$B:$B,MATCH(P3167,Fit_Matrix!$A:$A,0)))),"CHECK KEY"))</f>
        <v/>
      </c>
      <c r="U3167" s="10"/>
      <c r="V3167" s="10"/>
      <c r="W3167" s="10"/>
      <c r="X3167" s="10"/>
      <c r="Y3167" s="10"/>
      <c r="Z3167" s="10"/>
      <c r="AA3167" s="11" t="str">
        <f t="shared" si="99"/>
        <v/>
      </c>
    </row>
    <row r="3168" spans="16:27" ht="15" customHeight="1">
      <c r="P3168" t="str">
        <f t="shared" si="98"/>
        <v/>
      </c>
      <c r="Q3168" t="str">
        <f>IF(P3168="","",IFERROR(IF(AND(H3168="W7",OR(F3168="causal",F3168="predictive")),IF(AND(OR(K3168=1,K3168="1"),OR(L3168=1,L3168="1"),OR(M3168=1,M3168="1")),"adequate","partial"),IF(AND(H3168="W4",F3168="predictive",OR(J3168="P2",J3168="P3",J3168="P4")),IF(OR(U3168=1,U3168="1"),"adequate","partial"),INDEX(Fit_Matrix!$B:$B,MATCH(P3168,Fit_Matrix!$A:$A,0)))),"CHECK KEY"))</f>
        <v/>
      </c>
      <c r="U3168" s="10"/>
      <c r="V3168" s="10"/>
      <c r="W3168" s="10"/>
      <c r="X3168" s="10"/>
      <c r="Y3168" s="10"/>
      <c r="Z3168" s="10"/>
      <c r="AA3168" s="11" t="str">
        <f t="shared" si="99"/>
        <v/>
      </c>
    </row>
    <row r="3169" spans="16:27" ht="15" customHeight="1">
      <c r="P3169" t="str">
        <f t="shared" si="98"/>
        <v/>
      </c>
      <c r="Q3169" t="str">
        <f>IF(P3169="","",IFERROR(IF(AND(H3169="W7",OR(F3169="causal",F3169="predictive")),IF(AND(OR(K3169=1,K3169="1"),OR(L3169=1,L3169="1"),OR(M3169=1,M3169="1")),"adequate","partial"),IF(AND(H3169="W4",F3169="predictive",OR(J3169="P2",J3169="P3",J3169="P4")),IF(OR(U3169=1,U3169="1"),"adequate","partial"),INDEX(Fit_Matrix!$B:$B,MATCH(P3169,Fit_Matrix!$A:$A,0)))),"CHECK KEY"))</f>
        <v/>
      </c>
      <c r="U3169" s="10"/>
      <c r="V3169" s="10"/>
      <c r="W3169" s="10"/>
      <c r="X3169" s="10"/>
      <c r="Y3169" s="10"/>
      <c r="Z3169" s="10"/>
      <c r="AA3169" s="11" t="str">
        <f t="shared" si="99"/>
        <v/>
      </c>
    </row>
    <row r="3170" spans="16:27" ht="15" customHeight="1">
      <c r="P3170" t="str">
        <f t="shared" si="98"/>
        <v/>
      </c>
      <c r="Q3170" t="str">
        <f>IF(P3170="","",IFERROR(IF(AND(H3170="W7",OR(F3170="causal",F3170="predictive")),IF(AND(OR(K3170=1,K3170="1"),OR(L3170=1,L3170="1"),OR(M3170=1,M3170="1")),"adequate","partial"),IF(AND(H3170="W4",F3170="predictive",OR(J3170="P2",J3170="P3",J3170="P4")),IF(OR(U3170=1,U3170="1"),"adequate","partial"),INDEX(Fit_Matrix!$B:$B,MATCH(P3170,Fit_Matrix!$A:$A,0)))),"CHECK KEY"))</f>
        <v/>
      </c>
      <c r="U3170" s="10"/>
      <c r="V3170" s="10"/>
      <c r="W3170" s="10"/>
      <c r="X3170" s="10"/>
      <c r="Y3170" s="10"/>
      <c r="Z3170" s="10"/>
      <c r="AA3170" s="11" t="str">
        <f t="shared" si="99"/>
        <v/>
      </c>
    </row>
    <row r="3171" spans="16:27" ht="15" customHeight="1">
      <c r="P3171" t="str">
        <f t="shared" si="98"/>
        <v/>
      </c>
      <c r="Q3171" t="str">
        <f>IF(P3171="","",IFERROR(IF(AND(H3171="W7",OR(F3171="causal",F3171="predictive")),IF(AND(OR(K3171=1,K3171="1"),OR(L3171=1,L3171="1"),OR(M3171=1,M3171="1")),"adequate","partial"),IF(AND(H3171="W4",F3171="predictive",OR(J3171="P2",J3171="P3",J3171="P4")),IF(OR(U3171=1,U3171="1"),"adequate","partial"),INDEX(Fit_Matrix!$B:$B,MATCH(P3171,Fit_Matrix!$A:$A,0)))),"CHECK KEY"))</f>
        <v/>
      </c>
      <c r="U3171" s="10"/>
      <c r="V3171" s="10"/>
      <c r="W3171" s="10"/>
      <c r="X3171" s="10"/>
      <c r="Y3171" s="10"/>
      <c r="Z3171" s="10"/>
      <c r="AA3171" s="11" t="str">
        <f t="shared" si="99"/>
        <v/>
      </c>
    </row>
    <row r="3172" spans="16:27" ht="15" customHeight="1">
      <c r="P3172" t="str">
        <f t="shared" si="98"/>
        <v/>
      </c>
      <c r="Q3172" t="str">
        <f>IF(P3172="","",IFERROR(IF(AND(H3172="W7",OR(F3172="causal",F3172="predictive")),IF(AND(OR(K3172=1,K3172="1"),OR(L3172=1,L3172="1"),OR(M3172=1,M3172="1")),"adequate","partial"),IF(AND(H3172="W4",F3172="predictive",OR(J3172="P2",J3172="P3",J3172="P4")),IF(OR(U3172=1,U3172="1"),"adequate","partial"),INDEX(Fit_Matrix!$B:$B,MATCH(P3172,Fit_Matrix!$A:$A,0)))),"CHECK KEY"))</f>
        <v/>
      </c>
      <c r="U3172" s="10"/>
      <c r="V3172" s="10"/>
      <c r="W3172" s="10"/>
      <c r="X3172" s="10"/>
      <c r="Y3172" s="10"/>
      <c r="Z3172" s="10"/>
      <c r="AA3172" s="11" t="str">
        <f t="shared" si="99"/>
        <v/>
      </c>
    </row>
    <row r="3173" spans="16:27" ht="15" customHeight="1">
      <c r="P3173" t="str">
        <f t="shared" si="98"/>
        <v/>
      </c>
      <c r="Q3173" t="str">
        <f>IF(P3173="","",IFERROR(IF(AND(H3173="W7",OR(F3173="causal",F3173="predictive")),IF(AND(OR(K3173=1,K3173="1"),OR(L3173=1,L3173="1"),OR(M3173=1,M3173="1")),"adequate","partial"),IF(AND(H3173="W4",F3173="predictive",OR(J3173="P2",J3173="P3",J3173="P4")),IF(OR(U3173=1,U3173="1"),"adequate","partial"),INDEX(Fit_Matrix!$B:$B,MATCH(P3173,Fit_Matrix!$A:$A,0)))),"CHECK KEY"))</f>
        <v/>
      </c>
      <c r="U3173" s="10"/>
      <c r="V3173" s="10"/>
      <c r="W3173" s="10"/>
      <c r="X3173" s="10"/>
      <c r="Y3173" s="10"/>
      <c r="Z3173" s="10"/>
      <c r="AA3173" s="11" t="str">
        <f t="shared" si="99"/>
        <v/>
      </c>
    </row>
    <row r="3174" spans="16:27" ht="15" customHeight="1">
      <c r="P3174" t="str">
        <f t="shared" si="98"/>
        <v/>
      </c>
      <c r="Q3174" t="str">
        <f>IF(P3174="","",IFERROR(IF(AND(H3174="W7",OR(F3174="causal",F3174="predictive")),IF(AND(OR(K3174=1,K3174="1"),OR(L3174=1,L3174="1"),OR(M3174=1,M3174="1")),"adequate","partial"),IF(AND(H3174="W4",F3174="predictive",OR(J3174="P2",J3174="P3",J3174="P4")),IF(OR(U3174=1,U3174="1"),"adequate","partial"),INDEX(Fit_Matrix!$B:$B,MATCH(P3174,Fit_Matrix!$A:$A,0)))),"CHECK KEY"))</f>
        <v/>
      </c>
      <c r="U3174" s="10"/>
      <c r="V3174" s="10"/>
      <c r="W3174" s="10"/>
      <c r="X3174" s="10"/>
      <c r="Y3174" s="10"/>
      <c r="Z3174" s="10"/>
      <c r="AA3174" s="11" t="str">
        <f t="shared" si="99"/>
        <v/>
      </c>
    </row>
    <row r="3175" spans="16:27" ht="15" customHeight="1">
      <c r="P3175" t="str">
        <f t="shared" si="98"/>
        <v/>
      </c>
      <c r="Q3175" t="str">
        <f>IF(P3175="","",IFERROR(IF(AND(H3175="W7",OR(F3175="causal",F3175="predictive")),IF(AND(OR(K3175=1,K3175="1"),OR(L3175=1,L3175="1"),OR(M3175=1,M3175="1")),"adequate","partial"),IF(AND(H3175="W4",F3175="predictive",OR(J3175="P2",J3175="P3",J3175="P4")),IF(OR(U3175=1,U3175="1"),"adequate","partial"),INDEX(Fit_Matrix!$B:$B,MATCH(P3175,Fit_Matrix!$A:$A,0)))),"CHECK KEY"))</f>
        <v/>
      </c>
      <c r="U3175" s="10"/>
      <c r="V3175" s="10"/>
      <c r="W3175" s="10"/>
      <c r="X3175" s="10"/>
      <c r="Y3175" s="10"/>
      <c r="Z3175" s="10"/>
      <c r="AA3175" s="11" t="str">
        <f t="shared" si="99"/>
        <v/>
      </c>
    </row>
    <row r="3176" spans="16:27" ht="15" customHeight="1">
      <c r="P3176" t="str">
        <f t="shared" si="98"/>
        <v/>
      </c>
      <c r="Q3176" t="str">
        <f>IF(P3176="","",IFERROR(IF(AND(H3176="W7",OR(F3176="causal",F3176="predictive")),IF(AND(OR(K3176=1,K3176="1"),OR(L3176=1,L3176="1"),OR(M3176=1,M3176="1")),"adequate","partial"),IF(AND(H3176="W4",F3176="predictive",OR(J3176="P2",J3176="P3",J3176="P4")),IF(OR(U3176=1,U3176="1"),"adequate","partial"),INDEX(Fit_Matrix!$B:$B,MATCH(P3176,Fit_Matrix!$A:$A,0)))),"CHECK KEY"))</f>
        <v/>
      </c>
      <c r="U3176" s="10"/>
      <c r="V3176" s="10"/>
      <c r="W3176" s="10"/>
      <c r="X3176" s="10"/>
      <c r="Y3176" s="10"/>
      <c r="Z3176" s="10"/>
      <c r="AA3176" s="11" t="str">
        <f t="shared" si="99"/>
        <v/>
      </c>
    </row>
    <row r="3177" spans="16:27" ht="15" customHeight="1">
      <c r="P3177" t="str">
        <f t="shared" si="98"/>
        <v/>
      </c>
      <c r="Q3177" t="str">
        <f>IF(P3177="","",IFERROR(IF(AND(H3177="W7",OR(F3177="causal",F3177="predictive")),IF(AND(OR(K3177=1,K3177="1"),OR(L3177=1,L3177="1"),OR(M3177=1,M3177="1")),"adequate","partial"),IF(AND(H3177="W4",F3177="predictive",OR(J3177="P2",J3177="P3",J3177="P4")),IF(OR(U3177=1,U3177="1"),"adequate","partial"),INDEX(Fit_Matrix!$B:$B,MATCH(P3177,Fit_Matrix!$A:$A,0)))),"CHECK KEY"))</f>
        <v/>
      </c>
      <c r="U3177" s="10"/>
      <c r="V3177" s="10"/>
      <c r="W3177" s="10"/>
      <c r="X3177" s="10"/>
      <c r="Y3177" s="10"/>
      <c r="Z3177" s="10"/>
      <c r="AA3177" s="11" t="str">
        <f t="shared" si="99"/>
        <v/>
      </c>
    </row>
    <row r="3178" spans="16:27" ht="15" customHeight="1">
      <c r="P3178" t="str">
        <f t="shared" si="98"/>
        <v/>
      </c>
      <c r="Q3178" t="str">
        <f>IF(P3178="","",IFERROR(IF(AND(H3178="W7",OR(F3178="causal",F3178="predictive")),IF(AND(OR(K3178=1,K3178="1"),OR(L3178=1,L3178="1"),OR(M3178=1,M3178="1")),"adequate","partial"),IF(AND(H3178="W4",F3178="predictive",OR(J3178="P2",J3178="P3",J3178="P4")),IF(OR(U3178=1,U3178="1"),"adequate","partial"),INDEX(Fit_Matrix!$B:$B,MATCH(P3178,Fit_Matrix!$A:$A,0)))),"CHECK KEY"))</f>
        <v/>
      </c>
      <c r="U3178" s="10"/>
      <c r="V3178" s="10"/>
      <c r="W3178" s="10"/>
      <c r="X3178" s="10"/>
      <c r="Y3178" s="10"/>
      <c r="Z3178" s="10"/>
      <c r="AA3178" s="11" t="str">
        <f t="shared" si="99"/>
        <v/>
      </c>
    </row>
    <row r="3179" spans="16:27" ht="15" customHeight="1">
      <c r="P3179" t="str">
        <f t="shared" si="98"/>
        <v/>
      </c>
      <c r="Q3179" t="str">
        <f>IF(P3179="","",IFERROR(IF(AND(H3179="W7",OR(F3179="causal",F3179="predictive")),IF(AND(OR(K3179=1,K3179="1"),OR(L3179=1,L3179="1"),OR(M3179=1,M3179="1")),"adequate","partial"),IF(AND(H3179="W4",F3179="predictive",OR(J3179="P2",J3179="P3",J3179="P4")),IF(OR(U3179=1,U3179="1"),"adequate","partial"),INDEX(Fit_Matrix!$B:$B,MATCH(P3179,Fit_Matrix!$A:$A,0)))),"CHECK KEY"))</f>
        <v/>
      </c>
      <c r="U3179" s="10"/>
      <c r="V3179" s="10"/>
      <c r="W3179" s="10"/>
      <c r="X3179" s="10"/>
      <c r="Y3179" s="10"/>
      <c r="Z3179" s="10"/>
      <c r="AA3179" s="11" t="str">
        <f t="shared" si="99"/>
        <v/>
      </c>
    </row>
    <row r="3180" spans="16:27" ht="15" customHeight="1">
      <c r="P3180" t="str">
        <f t="shared" si="98"/>
        <v/>
      </c>
      <c r="Q3180" t="str">
        <f>IF(P3180="","",IFERROR(IF(AND(H3180="W7",OR(F3180="causal",F3180="predictive")),IF(AND(OR(K3180=1,K3180="1"),OR(L3180=1,L3180="1"),OR(M3180=1,M3180="1")),"adequate","partial"),IF(AND(H3180="W4",F3180="predictive",OR(J3180="P2",J3180="P3",J3180="P4")),IF(OR(U3180=1,U3180="1"),"adequate","partial"),INDEX(Fit_Matrix!$B:$B,MATCH(P3180,Fit_Matrix!$A:$A,0)))),"CHECK KEY"))</f>
        <v/>
      </c>
      <c r="U3180" s="10"/>
      <c r="V3180" s="10"/>
      <c r="W3180" s="10"/>
      <c r="X3180" s="10"/>
      <c r="Y3180" s="10"/>
      <c r="Z3180" s="10"/>
      <c r="AA3180" s="11" t="str">
        <f t="shared" si="99"/>
        <v/>
      </c>
    </row>
    <row r="3181" spans="16:27" ht="15" customHeight="1">
      <c r="P3181" t="str">
        <f t="shared" si="98"/>
        <v/>
      </c>
      <c r="Q3181" t="str">
        <f>IF(P3181="","",IFERROR(IF(AND(H3181="W7",OR(F3181="causal",F3181="predictive")),IF(AND(OR(K3181=1,K3181="1"),OR(L3181=1,L3181="1"),OR(M3181=1,M3181="1")),"adequate","partial"),IF(AND(H3181="W4",F3181="predictive",OR(J3181="P2",J3181="P3",J3181="P4")),IF(OR(U3181=1,U3181="1"),"adequate","partial"),INDEX(Fit_Matrix!$B:$B,MATCH(P3181,Fit_Matrix!$A:$A,0)))),"CHECK KEY"))</f>
        <v/>
      </c>
      <c r="U3181" s="10"/>
      <c r="V3181" s="10"/>
      <c r="W3181" s="10"/>
      <c r="X3181" s="10"/>
      <c r="Y3181" s="10"/>
      <c r="Z3181" s="10"/>
      <c r="AA3181" s="11" t="str">
        <f t="shared" si="99"/>
        <v/>
      </c>
    </row>
    <row r="3182" spans="16:27" ht="15" customHeight="1">
      <c r="P3182" t="str">
        <f t="shared" si="98"/>
        <v/>
      </c>
      <c r="Q3182" t="str">
        <f>IF(P3182="","",IFERROR(IF(AND(H3182="W7",OR(F3182="causal",F3182="predictive")),IF(AND(OR(K3182=1,K3182="1"),OR(L3182=1,L3182="1"),OR(M3182=1,M3182="1")),"adequate","partial"),IF(AND(H3182="W4",F3182="predictive",OR(J3182="P2",J3182="P3",J3182="P4")),IF(OR(U3182=1,U3182="1"),"adequate","partial"),INDEX(Fit_Matrix!$B:$B,MATCH(P3182,Fit_Matrix!$A:$A,0)))),"CHECK KEY"))</f>
        <v/>
      </c>
      <c r="U3182" s="10"/>
      <c r="V3182" s="10"/>
      <c r="W3182" s="10"/>
      <c r="X3182" s="10"/>
      <c r="Y3182" s="10"/>
      <c r="Z3182" s="10"/>
      <c r="AA3182" s="11" t="str">
        <f t="shared" si="99"/>
        <v/>
      </c>
    </row>
    <row r="3183" spans="16:27" ht="15" customHeight="1">
      <c r="P3183" t="str">
        <f t="shared" si="98"/>
        <v/>
      </c>
      <c r="Q3183" t="str">
        <f>IF(P3183="","",IFERROR(IF(AND(H3183="W7",OR(F3183="causal",F3183="predictive")),IF(AND(OR(K3183=1,K3183="1"),OR(L3183=1,L3183="1"),OR(M3183=1,M3183="1")),"adequate","partial"),IF(AND(H3183="W4",F3183="predictive",OR(J3183="P2",J3183="P3",J3183="P4")),IF(OR(U3183=1,U3183="1"),"adequate","partial"),INDEX(Fit_Matrix!$B:$B,MATCH(P3183,Fit_Matrix!$A:$A,0)))),"CHECK KEY"))</f>
        <v/>
      </c>
      <c r="U3183" s="10"/>
      <c r="V3183" s="10"/>
      <c r="W3183" s="10"/>
      <c r="X3183" s="10"/>
      <c r="Y3183" s="10"/>
      <c r="Z3183" s="10"/>
      <c r="AA3183" s="11" t="str">
        <f t="shared" si="99"/>
        <v/>
      </c>
    </row>
    <row r="3184" spans="16:27" ht="15" customHeight="1">
      <c r="P3184" t="str">
        <f t="shared" si="98"/>
        <v/>
      </c>
      <c r="Q3184" t="str">
        <f>IF(P3184="","",IFERROR(IF(AND(H3184="W7",OR(F3184="causal",F3184="predictive")),IF(AND(OR(K3184=1,K3184="1"),OR(L3184=1,L3184="1"),OR(M3184=1,M3184="1")),"adequate","partial"),IF(AND(H3184="W4",F3184="predictive",OR(J3184="P2",J3184="P3",J3184="P4")),IF(OR(U3184=1,U3184="1"),"adequate","partial"),INDEX(Fit_Matrix!$B:$B,MATCH(P3184,Fit_Matrix!$A:$A,0)))),"CHECK KEY"))</f>
        <v/>
      </c>
      <c r="U3184" s="10"/>
      <c r="V3184" s="10"/>
      <c r="W3184" s="10"/>
      <c r="X3184" s="10"/>
      <c r="Y3184" s="10"/>
      <c r="Z3184" s="10"/>
      <c r="AA3184" s="11" t="str">
        <f t="shared" si="99"/>
        <v/>
      </c>
    </row>
    <row r="3185" spans="16:27" ht="15" customHeight="1">
      <c r="P3185" t="str">
        <f t="shared" si="98"/>
        <v/>
      </c>
      <c r="Q3185" t="str">
        <f>IF(P3185="","",IFERROR(IF(AND(H3185="W7",OR(F3185="causal",F3185="predictive")),IF(AND(OR(K3185=1,K3185="1"),OR(L3185=1,L3185="1"),OR(M3185=1,M3185="1")),"adequate","partial"),IF(AND(H3185="W4",F3185="predictive",OR(J3185="P2",J3185="P3",J3185="P4")),IF(OR(U3185=1,U3185="1"),"adequate","partial"),INDEX(Fit_Matrix!$B:$B,MATCH(P3185,Fit_Matrix!$A:$A,0)))),"CHECK KEY"))</f>
        <v/>
      </c>
      <c r="U3185" s="10"/>
      <c r="V3185" s="10"/>
      <c r="W3185" s="10"/>
      <c r="X3185" s="10"/>
      <c r="Y3185" s="10"/>
      <c r="Z3185" s="10"/>
      <c r="AA3185" s="11" t="str">
        <f t="shared" si="99"/>
        <v/>
      </c>
    </row>
    <row r="3186" spans="16:27" ht="15" customHeight="1">
      <c r="P3186" t="str">
        <f t="shared" si="98"/>
        <v/>
      </c>
      <c r="Q3186" t="str">
        <f>IF(P3186="","",IFERROR(IF(AND(H3186="W7",OR(F3186="causal",F3186="predictive")),IF(AND(OR(K3186=1,K3186="1"),OR(L3186=1,L3186="1"),OR(M3186=1,M3186="1")),"adequate","partial"),IF(AND(H3186="W4",F3186="predictive",OR(J3186="P2",J3186="P3",J3186="P4")),IF(OR(U3186=1,U3186="1"),"adequate","partial"),INDEX(Fit_Matrix!$B:$B,MATCH(P3186,Fit_Matrix!$A:$A,0)))),"CHECK KEY"))</f>
        <v/>
      </c>
      <c r="U3186" s="10"/>
      <c r="V3186" s="10"/>
      <c r="W3186" s="10"/>
      <c r="X3186" s="10"/>
      <c r="Y3186" s="10"/>
      <c r="Z3186" s="10"/>
      <c r="AA3186" s="11" t="str">
        <f t="shared" si="99"/>
        <v/>
      </c>
    </row>
    <row r="3187" spans="16:27" ht="15" customHeight="1">
      <c r="P3187" t="str">
        <f t="shared" si="98"/>
        <v/>
      </c>
      <c r="Q3187" t="str">
        <f>IF(P3187="","",IFERROR(IF(AND(H3187="W7",OR(F3187="causal",F3187="predictive")),IF(AND(OR(K3187=1,K3187="1"),OR(L3187=1,L3187="1"),OR(M3187=1,M3187="1")),"adequate","partial"),IF(AND(H3187="W4",F3187="predictive",OR(J3187="P2",J3187="P3",J3187="P4")),IF(OR(U3187=1,U3187="1"),"adequate","partial"),INDEX(Fit_Matrix!$B:$B,MATCH(P3187,Fit_Matrix!$A:$A,0)))),"CHECK KEY"))</f>
        <v/>
      </c>
      <c r="U3187" s="10"/>
      <c r="V3187" s="10"/>
      <c r="W3187" s="10"/>
      <c r="X3187" s="10"/>
      <c r="Y3187" s="10"/>
      <c r="Z3187" s="10"/>
      <c r="AA3187" s="11" t="str">
        <f t="shared" si="99"/>
        <v/>
      </c>
    </row>
    <row r="3188" spans="16:27" ht="15" customHeight="1">
      <c r="P3188" t="str">
        <f t="shared" si="98"/>
        <v/>
      </c>
      <c r="Q3188" t="str">
        <f>IF(P3188="","",IFERROR(IF(AND(H3188="W7",OR(F3188="causal",F3188="predictive")),IF(AND(OR(K3188=1,K3188="1"),OR(L3188=1,L3188="1"),OR(M3188=1,M3188="1")),"adequate","partial"),IF(AND(H3188="W4",F3188="predictive",OR(J3188="P2",J3188="P3",J3188="P4")),IF(OR(U3188=1,U3188="1"),"adequate","partial"),INDEX(Fit_Matrix!$B:$B,MATCH(P3188,Fit_Matrix!$A:$A,0)))),"CHECK KEY"))</f>
        <v/>
      </c>
      <c r="U3188" s="10"/>
      <c r="V3188" s="10"/>
      <c r="W3188" s="10"/>
      <c r="X3188" s="10"/>
      <c r="Y3188" s="10"/>
      <c r="Z3188" s="10"/>
      <c r="AA3188" s="11" t="str">
        <f t="shared" si="99"/>
        <v/>
      </c>
    </row>
    <row r="3189" spans="16:27" ht="15" customHeight="1">
      <c r="P3189" t="str">
        <f t="shared" si="98"/>
        <v/>
      </c>
      <c r="Q3189" t="str">
        <f>IF(P3189="","",IFERROR(IF(AND(H3189="W7",OR(F3189="causal",F3189="predictive")),IF(AND(OR(K3189=1,K3189="1"),OR(L3189=1,L3189="1"),OR(M3189=1,M3189="1")),"adequate","partial"),IF(AND(H3189="W4",F3189="predictive",OR(J3189="P2",J3189="P3",J3189="P4")),IF(OR(U3189=1,U3189="1"),"adequate","partial"),INDEX(Fit_Matrix!$B:$B,MATCH(P3189,Fit_Matrix!$A:$A,0)))),"CHECK KEY"))</f>
        <v/>
      </c>
      <c r="U3189" s="10"/>
      <c r="V3189" s="10"/>
      <c r="W3189" s="10"/>
      <c r="X3189" s="10"/>
      <c r="Y3189" s="10"/>
      <c r="Z3189" s="10"/>
      <c r="AA3189" s="11" t="str">
        <f t="shared" si="99"/>
        <v/>
      </c>
    </row>
    <row r="3190" spans="16:27" ht="15" customHeight="1">
      <c r="P3190" t="str">
        <f t="shared" si="98"/>
        <v/>
      </c>
      <c r="Q3190" t="str">
        <f>IF(P3190="","",IFERROR(IF(AND(H3190="W7",OR(F3190="causal",F3190="predictive")),IF(AND(OR(K3190=1,K3190="1"),OR(L3190=1,L3190="1"),OR(M3190=1,M3190="1")),"adequate","partial"),IF(AND(H3190="W4",F3190="predictive",OR(J3190="P2",J3190="P3",J3190="P4")),IF(OR(U3190=1,U3190="1"),"adequate","partial"),INDEX(Fit_Matrix!$B:$B,MATCH(P3190,Fit_Matrix!$A:$A,0)))),"CHECK KEY"))</f>
        <v/>
      </c>
      <c r="U3190" s="10"/>
      <c r="V3190" s="10"/>
      <c r="W3190" s="10"/>
      <c r="X3190" s="10"/>
      <c r="Y3190" s="10"/>
      <c r="Z3190" s="10"/>
      <c r="AA3190" s="11" t="str">
        <f t="shared" si="99"/>
        <v/>
      </c>
    </row>
    <row r="3191" spans="16:27" ht="15" customHeight="1">
      <c r="P3191" t="str">
        <f t="shared" si="98"/>
        <v/>
      </c>
      <c r="Q3191" t="str">
        <f>IF(P3191="","",IFERROR(IF(AND(H3191="W7",OR(F3191="causal",F3191="predictive")),IF(AND(OR(K3191=1,K3191="1"),OR(L3191=1,L3191="1"),OR(M3191=1,M3191="1")),"adequate","partial"),IF(AND(H3191="W4",F3191="predictive",OR(J3191="P2",J3191="P3",J3191="P4")),IF(OR(U3191=1,U3191="1"),"adequate","partial"),INDEX(Fit_Matrix!$B:$B,MATCH(P3191,Fit_Matrix!$A:$A,0)))),"CHECK KEY"))</f>
        <v/>
      </c>
      <c r="U3191" s="10"/>
      <c r="V3191" s="10"/>
      <c r="W3191" s="10"/>
      <c r="X3191" s="10"/>
      <c r="Y3191" s="10"/>
      <c r="Z3191" s="10"/>
      <c r="AA3191" s="11" t="str">
        <f t="shared" si="99"/>
        <v/>
      </c>
    </row>
    <row r="3192" spans="16:27" ht="15" customHeight="1">
      <c r="P3192" t="str">
        <f t="shared" si="98"/>
        <v/>
      </c>
      <c r="Q3192" t="str">
        <f>IF(P3192="","",IFERROR(IF(AND(H3192="W7",OR(F3192="causal",F3192="predictive")),IF(AND(OR(K3192=1,K3192="1"),OR(L3192=1,L3192="1"),OR(M3192=1,M3192="1")),"adequate","partial"),IF(AND(H3192="W4",F3192="predictive",OR(J3192="P2",J3192="P3",J3192="P4")),IF(OR(U3192=1,U3192="1"),"adequate","partial"),INDEX(Fit_Matrix!$B:$B,MATCH(P3192,Fit_Matrix!$A:$A,0)))),"CHECK KEY"))</f>
        <v/>
      </c>
      <c r="U3192" s="10"/>
      <c r="V3192" s="10"/>
      <c r="W3192" s="10"/>
      <c r="X3192" s="10"/>
      <c r="Y3192" s="10"/>
      <c r="Z3192" s="10"/>
      <c r="AA3192" s="11" t="str">
        <f t="shared" si="99"/>
        <v/>
      </c>
    </row>
    <row r="3193" spans="16:27" ht="15" customHeight="1">
      <c r="P3193" t="str">
        <f t="shared" si="98"/>
        <v/>
      </c>
      <c r="Q3193" t="str">
        <f>IF(P3193="","",IFERROR(IF(AND(H3193="W7",OR(F3193="causal",F3193="predictive")),IF(AND(OR(K3193=1,K3193="1"),OR(L3193=1,L3193="1"),OR(M3193=1,M3193="1")),"adequate","partial"),IF(AND(H3193="W4",F3193="predictive",OR(J3193="P2",J3193="P3",J3193="P4")),IF(OR(U3193=1,U3193="1"),"adequate","partial"),INDEX(Fit_Matrix!$B:$B,MATCH(P3193,Fit_Matrix!$A:$A,0)))),"CHECK KEY"))</f>
        <v/>
      </c>
      <c r="U3193" s="10"/>
      <c r="V3193" s="10"/>
      <c r="W3193" s="10"/>
      <c r="X3193" s="10"/>
      <c r="Y3193" s="10"/>
      <c r="Z3193" s="10"/>
      <c r="AA3193" s="11" t="str">
        <f t="shared" si="99"/>
        <v/>
      </c>
    </row>
    <row r="3194" spans="16:27" ht="15" customHeight="1">
      <c r="P3194" t="str">
        <f t="shared" si="98"/>
        <v/>
      </c>
      <c r="Q3194" t="str">
        <f>IF(P3194="","",IFERROR(IF(AND(H3194="W7",OR(F3194="causal",F3194="predictive")),IF(AND(OR(K3194=1,K3194="1"),OR(L3194=1,L3194="1"),OR(M3194=1,M3194="1")),"adequate","partial"),IF(AND(H3194="W4",F3194="predictive",OR(J3194="P2",J3194="P3",J3194="P4")),IF(OR(U3194=1,U3194="1"),"adequate","partial"),INDEX(Fit_Matrix!$B:$B,MATCH(P3194,Fit_Matrix!$A:$A,0)))),"CHECK KEY"))</f>
        <v/>
      </c>
      <c r="U3194" s="10"/>
      <c r="V3194" s="10"/>
      <c r="W3194" s="10"/>
      <c r="X3194" s="10"/>
      <c r="Y3194" s="10"/>
      <c r="Z3194" s="10"/>
      <c r="AA3194" s="11" t="str">
        <f t="shared" si="99"/>
        <v/>
      </c>
    </row>
    <row r="3195" spans="16:27" ht="15" customHeight="1">
      <c r="P3195" t="str">
        <f t="shared" si="98"/>
        <v/>
      </c>
      <c r="Q3195" t="str">
        <f>IF(P3195="","",IFERROR(IF(AND(H3195="W7",OR(F3195="causal",F3195="predictive")),IF(AND(OR(K3195=1,K3195="1"),OR(L3195=1,L3195="1"),OR(M3195=1,M3195="1")),"adequate","partial"),IF(AND(H3195="W4",F3195="predictive",OR(J3195="P2",J3195="P3",J3195="P4")),IF(OR(U3195=1,U3195="1"),"adequate","partial"),INDEX(Fit_Matrix!$B:$B,MATCH(P3195,Fit_Matrix!$A:$A,0)))),"CHECK KEY"))</f>
        <v/>
      </c>
      <c r="U3195" s="10"/>
      <c r="V3195" s="10"/>
      <c r="W3195" s="10"/>
      <c r="X3195" s="10"/>
      <c r="Y3195" s="10"/>
      <c r="Z3195" s="10"/>
      <c r="AA3195" s="11" t="str">
        <f t="shared" si="99"/>
        <v/>
      </c>
    </row>
    <row r="3196" spans="16:27" ht="15" customHeight="1">
      <c r="P3196" t="str">
        <f t="shared" si="98"/>
        <v/>
      </c>
      <c r="Q3196" t="str">
        <f>IF(P3196="","",IFERROR(IF(AND(H3196="W7",OR(F3196="causal",F3196="predictive")),IF(AND(OR(K3196=1,K3196="1"),OR(L3196=1,L3196="1"),OR(M3196=1,M3196="1")),"adequate","partial"),IF(AND(H3196="W4",F3196="predictive",OR(J3196="P2",J3196="P3",J3196="P4")),IF(OR(U3196=1,U3196="1"),"adequate","partial"),INDEX(Fit_Matrix!$B:$B,MATCH(P3196,Fit_Matrix!$A:$A,0)))),"CHECK KEY"))</f>
        <v/>
      </c>
      <c r="U3196" s="10"/>
      <c r="V3196" s="10"/>
      <c r="W3196" s="10"/>
      <c r="X3196" s="10"/>
      <c r="Y3196" s="10"/>
      <c r="Z3196" s="10"/>
      <c r="AA3196" s="11" t="str">
        <f t="shared" si="99"/>
        <v/>
      </c>
    </row>
    <row r="3197" spans="16:27" ht="15" customHeight="1">
      <c r="P3197" t="str">
        <f t="shared" si="98"/>
        <v/>
      </c>
      <c r="Q3197" t="str">
        <f>IF(P3197="","",IFERROR(IF(AND(H3197="W7",OR(F3197="causal",F3197="predictive")),IF(AND(OR(K3197=1,K3197="1"),OR(L3197=1,L3197="1"),OR(M3197=1,M3197="1")),"adequate","partial"),IF(AND(H3197="W4",F3197="predictive",OR(J3197="P2",J3197="P3",J3197="P4")),IF(OR(U3197=1,U3197="1"),"adequate","partial"),INDEX(Fit_Matrix!$B:$B,MATCH(P3197,Fit_Matrix!$A:$A,0)))),"CHECK KEY"))</f>
        <v/>
      </c>
      <c r="U3197" s="10"/>
      <c r="V3197" s="10"/>
      <c r="W3197" s="10"/>
      <c r="X3197" s="10"/>
      <c r="Y3197" s="10"/>
      <c r="Z3197" s="10"/>
      <c r="AA3197" s="11" t="str">
        <f t="shared" si="99"/>
        <v/>
      </c>
    </row>
    <row r="3198" spans="16:27" ht="15" customHeight="1">
      <c r="P3198" t="str">
        <f t="shared" si="98"/>
        <v/>
      </c>
      <c r="Q3198" t="str">
        <f>IF(P3198="","",IFERROR(IF(AND(H3198="W7",OR(F3198="causal",F3198="predictive")),IF(AND(OR(K3198=1,K3198="1"),OR(L3198=1,L3198="1"),OR(M3198=1,M3198="1")),"adequate","partial"),IF(AND(H3198="W4",F3198="predictive",OR(J3198="P2",J3198="P3",J3198="P4")),IF(OR(U3198=1,U3198="1"),"adequate","partial"),INDEX(Fit_Matrix!$B:$B,MATCH(P3198,Fit_Matrix!$A:$A,0)))),"CHECK KEY"))</f>
        <v/>
      </c>
      <c r="U3198" s="10"/>
      <c r="V3198" s="10"/>
      <c r="W3198" s="10"/>
      <c r="X3198" s="10"/>
      <c r="Y3198" s="10"/>
      <c r="Z3198" s="10"/>
      <c r="AA3198" s="11" t="str">
        <f t="shared" si="99"/>
        <v/>
      </c>
    </row>
    <row r="3199" spans="16:27" ht="15" customHeight="1">
      <c r="P3199" t="str">
        <f t="shared" si="98"/>
        <v/>
      </c>
      <c r="Q3199" t="str">
        <f>IF(P3199="","",IFERROR(IF(AND(H3199="W7",OR(F3199="causal",F3199="predictive")),IF(AND(OR(K3199=1,K3199="1"),OR(L3199=1,L3199="1"),OR(M3199=1,M3199="1")),"adequate","partial"),IF(AND(H3199="W4",F3199="predictive",OR(J3199="P2",J3199="P3",J3199="P4")),IF(OR(U3199=1,U3199="1"),"adequate","partial"),INDEX(Fit_Matrix!$B:$B,MATCH(P3199,Fit_Matrix!$A:$A,0)))),"CHECK KEY"))</f>
        <v/>
      </c>
      <c r="U3199" s="10"/>
      <c r="V3199" s="10"/>
      <c r="W3199" s="10"/>
      <c r="X3199" s="10"/>
      <c r="Y3199" s="10"/>
      <c r="Z3199" s="10"/>
      <c r="AA3199" s="11" t="str">
        <f t="shared" si="99"/>
        <v/>
      </c>
    </row>
    <row r="3200" spans="16:27" ht="15" customHeight="1">
      <c r="P3200" t="str">
        <f t="shared" si="98"/>
        <v/>
      </c>
      <c r="Q3200" t="str">
        <f>IF(P3200="","",IFERROR(IF(AND(H3200="W7",OR(F3200="causal",F3200="predictive")),IF(AND(OR(K3200=1,K3200="1"),OR(L3200=1,L3200="1"),OR(M3200=1,M3200="1")),"adequate","partial"),IF(AND(H3200="W4",F3200="predictive",OR(J3200="P2",J3200="P3",J3200="P4")),IF(OR(U3200=1,U3200="1"),"adequate","partial"),INDEX(Fit_Matrix!$B:$B,MATCH(P3200,Fit_Matrix!$A:$A,0)))),"CHECK KEY"))</f>
        <v/>
      </c>
      <c r="U3200" s="10"/>
      <c r="V3200" s="10"/>
      <c r="W3200" s="10"/>
      <c r="X3200" s="10"/>
      <c r="Y3200" s="10"/>
      <c r="Z3200" s="10"/>
      <c r="AA3200" s="11" t="str">
        <f t="shared" si="99"/>
        <v/>
      </c>
    </row>
    <row r="3201" spans="16:27" ht="15" customHeight="1">
      <c r="P3201" t="str">
        <f t="shared" si="98"/>
        <v/>
      </c>
      <c r="Q3201" t="str">
        <f>IF(P3201="","",IFERROR(IF(AND(H3201="W7",OR(F3201="causal",F3201="predictive")),IF(AND(OR(K3201=1,K3201="1"),OR(L3201=1,L3201="1"),OR(M3201=1,M3201="1")),"adequate","partial"),IF(AND(H3201="W4",F3201="predictive",OR(J3201="P2",J3201="P3",J3201="P4")),IF(OR(U3201=1,U3201="1"),"adequate","partial"),INDEX(Fit_Matrix!$B:$B,MATCH(P3201,Fit_Matrix!$A:$A,0)))),"CHECK KEY"))</f>
        <v/>
      </c>
      <c r="U3201" s="10"/>
      <c r="V3201" s="10"/>
      <c r="W3201" s="10"/>
      <c r="X3201" s="10"/>
      <c r="Y3201" s="10"/>
      <c r="Z3201" s="10"/>
      <c r="AA3201" s="11" t="str">
        <f t="shared" si="99"/>
        <v/>
      </c>
    </row>
    <row r="3202" spans="16:27" ht="15" customHeight="1">
      <c r="P3202" t="str">
        <f t="shared" ref="P3202:P3265" si="100">IF(OR(F3202="",H3202="",J3202=""),"",J3202&amp;"|"&amp;F3202&amp;"|"&amp;IF(H3202="W3","W3_"&amp;IF(I3202="","unknown",I3202),H3202))</f>
        <v/>
      </c>
      <c r="Q3202" t="str">
        <f>IF(P3202="","",IFERROR(IF(AND(H3202="W7",OR(F3202="causal",F3202="predictive")),IF(AND(OR(K3202=1,K3202="1"),OR(L3202=1,L3202="1"),OR(M3202=1,M3202="1")),"adequate","partial"),IF(AND(H3202="W4",F3202="predictive",OR(J3202="P2",J3202="P3",J3202="P4")),IF(OR(U3202=1,U3202="1"),"adequate","partial"),INDEX(Fit_Matrix!$B:$B,MATCH(P3202,Fit_Matrix!$A:$A,0)))),"CHECK KEY"))</f>
        <v/>
      </c>
      <c r="U3202" s="10"/>
      <c r="V3202" s="10"/>
      <c r="W3202" s="10"/>
      <c r="X3202" s="10"/>
      <c r="Y3202" s="10"/>
      <c r="Z3202" s="10"/>
      <c r="AA3202" s="11" t="str">
        <f t="shared" ref="AA3202:AA3265" si="101">IF(A3202="","",IF(AND(J3202="P4",F3202="causal"),"P4-CAUSAL",""))</f>
        <v/>
      </c>
    </row>
    <row r="3203" spans="16:27" ht="15" customHeight="1">
      <c r="P3203" t="str">
        <f t="shared" si="100"/>
        <v/>
      </c>
      <c r="Q3203" t="str">
        <f>IF(P3203="","",IFERROR(IF(AND(H3203="W7",OR(F3203="causal",F3203="predictive")),IF(AND(OR(K3203=1,K3203="1"),OR(L3203=1,L3203="1"),OR(M3203=1,M3203="1")),"adequate","partial"),IF(AND(H3203="W4",F3203="predictive",OR(J3203="P2",J3203="P3",J3203="P4")),IF(OR(U3203=1,U3203="1"),"adequate","partial"),INDEX(Fit_Matrix!$B:$B,MATCH(P3203,Fit_Matrix!$A:$A,0)))),"CHECK KEY"))</f>
        <v/>
      </c>
      <c r="U3203" s="10"/>
      <c r="V3203" s="10"/>
      <c r="W3203" s="10"/>
      <c r="X3203" s="10"/>
      <c r="Y3203" s="10"/>
      <c r="Z3203" s="10"/>
      <c r="AA3203" s="11" t="str">
        <f t="shared" si="101"/>
        <v/>
      </c>
    </row>
    <row r="3204" spans="16:27" ht="15" customHeight="1">
      <c r="P3204" t="str">
        <f t="shared" si="100"/>
        <v/>
      </c>
      <c r="Q3204" t="str">
        <f>IF(P3204="","",IFERROR(IF(AND(H3204="W7",OR(F3204="causal",F3204="predictive")),IF(AND(OR(K3204=1,K3204="1"),OR(L3204=1,L3204="1"),OR(M3204=1,M3204="1")),"adequate","partial"),IF(AND(H3204="W4",F3204="predictive",OR(J3204="P2",J3204="P3",J3204="P4")),IF(OR(U3204=1,U3204="1"),"adequate","partial"),INDEX(Fit_Matrix!$B:$B,MATCH(P3204,Fit_Matrix!$A:$A,0)))),"CHECK KEY"))</f>
        <v/>
      </c>
      <c r="U3204" s="10"/>
      <c r="V3204" s="10"/>
      <c r="W3204" s="10"/>
      <c r="X3204" s="10"/>
      <c r="Y3204" s="10"/>
      <c r="Z3204" s="10"/>
      <c r="AA3204" s="11" t="str">
        <f t="shared" si="101"/>
        <v/>
      </c>
    </row>
    <row r="3205" spans="16:27" ht="15" customHeight="1">
      <c r="P3205" t="str">
        <f t="shared" si="100"/>
        <v/>
      </c>
      <c r="Q3205" t="str">
        <f>IF(P3205="","",IFERROR(IF(AND(H3205="W7",OR(F3205="causal",F3205="predictive")),IF(AND(OR(K3205=1,K3205="1"),OR(L3205=1,L3205="1"),OR(M3205=1,M3205="1")),"adequate","partial"),IF(AND(H3205="W4",F3205="predictive",OR(J3205="P2",J3205="P3",J3205="P4")),IF(OR(U3205=1,U3205="1"),"adequate","partial"),INDEX(Fit_Matrix!$B:$B,MATCH(P3205,Fit_Matrix!$A:$A,0)))),"CHECK KEY"))</f>
        <v/>
      </c>
      <c r="U3205" s="10"/>
      <c r="V3205" s="10"/>
      <c r="W3205" s="10"/>
      <c r="X3205" s="10"/>
      <c r="Y3205" s="10"/>
      <c r="Z3205" s="10"/>
      <c r="AA3205" s="11" t="str">
        <f t="shared" si="101"/>
        <v/>
      </c>
    </row>
    <row r="3206" spans="16:27" ht="15" customHeight="1">
      <c r="P3206" t="str">
        <f t="shared" si="100"/>
        <v/>
      </c>
      <c r="Q3206" t="str">
        <f>IF(P3206="","",IFERROR(IF(AND(H3206="W7",OR(F3206="causal",F3206="predictive")),IF(AND(OR(K3206=1,K3206="1"),OR(L3206=1,L3206="1"),OR(M3206=1,M3206="1")),"adequate","partial"),IF(AND(H3206="W4",F3206="predictive",OR(J3206="P2",J3206="P3",J3206="P4")),IF(OR(U3206=1,U3206="1"),"adequate","partial"),INDEX(Fit_Matrix!$B:$B,MATCH(P3206,Fit_Matrix!$A:$A,0)))),"CHECK KEY"))</f>
        <v/>
      </c>
      <c r="U3206" s="10"/>
      <c r="V3206" s="10"/>
      <c r="W3206" s="10"/>
      <c r="X3206" s="10"/>
      <c r="Y3206" s="10"/>
      <c r="Z3206" s="10"/>
      <c r="AA3206" s="11" t="str">
        <f t="shared" si="101"/>
        <v/>
      </c>
    </row>
    <row r="3207" spans="16:27" ht="15" customHeight="1">
      <c r="P3207" t="str">
        <f t="shared" si="100"/>
        <v/>
      </c>
      <c r="Q3207" t="str">
        <f>IF(P3207="","",IFERROR(IF(AND(H3207="W7",OR(F3207="causal",F3207="predictive")),IF(AND(OR(K3207=1,K3207="1"),OR(L3207=1,L3207="1"),OR(M3207=1,M3207="1")),"adequate","partial"),IF(AND(H3207="W4",F3207="predictive",OR(J3207="P2",J3207="P3",J3207="P4")),IF(OR(U3207=1,U3207="1"),"adequate","partial"),INDEX(Fit_Matrix!$B:$B,MATCH(P3207,Fit_Matrix!$A:$A,0)))),"CHECK KEY"))</f>
        <v/>
      </c>
      <c r="U3207" s="10"/>
      <c r="V3207" s="10"/>
      <c r="W3207" s="10"/>
      <c r="X3207" s="10"/>
      <c r="Y3207" s="10"/>
      <c r="Z3207" s="10"/>
      <c r="AA3207" s="11" t="str">
        <f t="shared" si="101"/>
        <v/>
      </c>
    </row>
    <row r="3208" spans="16:27" ht="15" customHeight="1">
      <c r="P3208" t="str">
        <f t="shared" si="100"/>
        <v/>
      </c>
      <c r="Q3208" t="str">
        <f>IF(P3208="","",IFERROR(IF(AND(H3208="W7",OR(F3208="causal",F3208="predictive")),IF(AND(OR(K3208=1,K3208="1"),OR(L3208=1,L3208="1"),OR(M3208=1,M3208="1")),"adequate","partial"),IF(AND(H3208="W4",F3208="predictive",OR(J3208="P2",J3208="P3",J3208="P4")),IF(OR(U3208=1,U3208="1"),"adequate","partial"),INDEX(Fit_Matrix!$B:$B,MATCH(P3208,Fit_Matrix!$A:$A,0)))),"CHECK KEY"))</f>
        <v/>
      </c>
      <c r="U3208" s="10"/>
      <c r="V3208" s="10"/>
      <c r="W3208" s="10"/>
      <c r="X3208" s="10"/>
      <c r="Y3208" s="10"/>
      <c r="Z3208" s="10"/>
      <c r="AA3208" s="11" t="str">
        <f t="shared" si="101"/>
        <v/>
      </c>
    </row>
    <row r="3209" spans="16:27" ht="15" customHeight="1">
      <c r="P3209" t="str">
        <f t="shared" si="100"/>
        <v/>
      </c>
      <c r="Q3209" t="str">
        <f>IF(P3209="","",IFERROR(IF(AND(H3209="W7",OR(F3209="causal",F3209="predictive")),IF(AND(OR(K3209=1,K3209="1"),OR(L3209=1,L3209="1"),OR(M3209=1,M3209="1")),"adequate","partial"),IF(AND(H3209="W4",F3209="predictive",OR(J3209="P2",J3209="P3",J3209="P4")),IF(OR(U3209=1,U3209="1"),"adequate","partial"),INDEX(Fit_Matrix!$B:$B,MATCH(P3209,Fit_Matrix!$A:$A,0)))),"CHECK KEY"))</f>
        <v/>
      </c>
      <c r="U3209" s="10"/>
      <c r="V3209" s="10"/>
      <c r="W3209" s="10"/>
      <c r="X3209" s="10"/>
      <c r="Y3209" s="10"/>
      <c r="Z3209" s="10"/>
      <c r="AA3209" s="11" t="str">
        <f t="shared" si="101"/>
        <v/>
      </c>
    </row>
    <row r="3210" spans="16:27" ht="15" customHeight="1">
      <c r="P3210" t="str">
        <f t="shared" si="100"/>
        <v/>
      </c>
      <c r="Q3210" t="str">
        <f>IF(P3210="","",IFERROR(IF(AND(H3210="W7",OR(F3210="causal",F3210="predictive")),IF(AND(OR(K3210=1,K3210="1"),OR(L3210=1,L3210="1"),OR(M3210=1,M3210="1")),"adequate","partial"),IF(AND(H3210="W4",F3210="predictive",OR(J3210="P2",J3210="P3",J3210="P4")),IF(OR(U3210=1,U3210="1"),"adequate","partial"),INDEX(Fit_Matrix!$B:$B,MATCH(P3210,Fit_Matrix!$A:$A,0)))),"CHECK KEY"))</f>
        <v/>
      </c>
      <c r="U3210" s="10"/>
      <c r="V3210" s="10"/>
      <c r="W3210" s="10"/>
      <c r="X3210" s="10"/>
      <c r="Y3210" s="10"/>
      <c r="Z3210" s="10"/>
      <c r="AA3210" s="11" t="str">
        <f t="shared" si="101"/>
        <v/>
      </c>
    </row>
    <row r="3211" spans="16:27" ht="15" customHeight="1">
      <c r="P3211" t="str">
        <f t="shared" si="100"/>
        <v/>
      </c>
      <c r="Q3211" t="str">
        <f>IF(P3211="","",IFERROR(IF(AND(H3211="W7",OR(F3211="causal",F3211="predictive")),IF(AND(OR(K3211=1,K3211="1"),OR(L3211=1,L3211="1"),OR(M3211=1,M3211="1")),"adequate","partial"),IF(AND(H3211="W4",F3211="predictive",OR(J3211="P2",J3211="P3",J3211="P4")),IF(OR(U3211=1,U3211="1"),"adequate","partial"),INDEX(Fit_Matrix!$B:$B,MATCH(P3211,Fit_Matrix!$A:$A,0)))),"CHECK KEY"))</f>
        <v/>
      </c>
      <c r="U3211" s="10"/>
      <c r="V3211" s="10"/>
      <c r="W3211" s="10"/>
      <c r="X3211" s="10"/>
      <c r="Y3211" s="10"/>
      <c r="Z3211" s="10"/>
      <c r="AA3211" s="11" t="str">
        <f t="shared" si="101"/>
        <v/>
      </c>
    </row>
    <row r="3212" spans="16:27" ht="15" customHeight="1">
      <c r="P3212" t="str">
        <f t="shared" si="100"/>
        <v/>
      </c>
      <c r="Q3212" t="str">
        <f>IF(P3212="","",IFERROR(IF(AND(H3212="W7",OR(F3212="causal",F3212="predictive")),IF(AND(OR(K3212=1,K3212="1"),OR(L3212=1,L3212="1"),OR(M3212=1,M3212="1")),"adequate","partial"),IF(AND(H3212="W4",F3212="predictive",OR(J3212="P2",J3212="P3",J3212="P4")),IF(OR(U3212=1,U3212="1"),"adequate","partial"),INDEX(Fit_Matrix!$B:$B,MATCH(P3212,Fit_Matrix!$A:$A,0)))),"CHECK KEY"))</f>
        <v/>
      </c>
      <c r="U3212" s="10"/>
      <c r="V3212" s="10"/>
      <c r="W3212" s="10"/>
      <c r="X3212" s="10"/>
      <c r="Y3212" s="10"/>
      <c r="Z3212" s="10"/>
      <c r="AA3212" s="11" t="str">
        <f t="shared" si="101"/>
        <v/>
      </c>
    </row>
    <row r="3213" spans="16:27" ht="15" customHeight="1">
      <c r="P3213" t="str">
        <f t="shared" si="100"/>
        <v/>
      </c>
      <c r="Q3213" t="str">
        <f>IF(P3213="","",IFERROR(IF(AND(H3213="W7",OR(F3213="causal",F3213="predictive")),IF(AND(OR(K3213=1,K3213="1"),OR(L3213=1,L3213="1"),OR(M3213=1,M3213="1")),"adequate","partial"),IF(AND(H3213="W4",F3213="predictive",OR(J3213="P2",J3213="P3",J3213="P4")),IF(OR(U3213=1,U3213="1"),"adequate","partial"),INDEX(Fit_Matrix!$B:$B,MATCH(P3213,Fit_Matrix!$A:$A,0)))),"CHECK KEY"))</f>
        <v/>
      </c>
      <c r="U3213" s="10"/>
      <c r="V3213" s="10"/>
      <c r="W3213" s="10"/>
      <c r="X3213" s="10"/>
      <c r="Y3213" s="10"/>
      <c r="Z3213" s="10"/>
      <c r="AA3213" s="11" t="str">
        <f t="shared" si="101"/>
        <v/>
      </c>
    </row>
    <row r="3214" spans="16:27" ht="15" customHeight="1">
      <c r="P3214" t="str">
        <f t="shared" si="100"/>
        <v/>
      </c>
      <c r="Q3214" t="str">
        <f>IF(P3214="","",IFERROR(IF(AND(H3214="W7",OR(F3214="causal",F3214="predictive")),IF(AND(OR(K3214=1,K3214="1"),OR(L3214=1,L3214="1"),OR(M3214=1,M3214="1")),"adequate","partial"),IF(AND(H3214="W4",F3214="predictive",OR(J3214="P2",J3214="P3",J3214="P4")),IF(OR(U3214=1,U3214="1"),"adequate","partial"),INDEX(Fit_Matrix!$B:$B,MATCH(P3214,Fit_Matrix!$A:$A,0)))),"CHECK KEY"))</f>
        <v/>
      </c>
      <c r="U3214" s="10"/>
      <c r="V3214" s="10"/>
      <c r="W3214" s="10"/>
      <c r="X3214" s="10"/>
      <c r="Y3214" s="10"/>
      <c r="Z3214" s="10"/>
      <c r="AA3214" s="11" t="str">
        <f t="shared" si="101"/>
        <v/>
      </c>
    </row>
    <row r="3215" spans="16:27" ht="15" customHeight="1">
      <c r="P3215" t="str">
        <f t="shared" si="100"/>
        <v/>
      </c>
      <c r="Q3215" t="str">
        <f>IF(P3215="","",IFERROR(IF(AND(H3215="W7",OR(F3215="causal",F3215="predictive")),IF(AND(OR(K3215=1,K3215="1"),OR(L3215=1,L3215="1"),OR(M3215=1,M3215="1")),"adequate","partial"),IF(AND(H3215="W4",F3215="predictive",OR(J3215="P2",J3215="P3",J3215="P4")),IF(OR(U3215=1,U3215="1"),"adequate","partial"),INDEX(Fit_Matrix!$B:$B,MATCH(P3215,Fit_Matrix!$A:$A,0)))),"CHECK KEY"))</f>
        <v/>
      </c>
      <c r="U3215" s="10"/>
      <c r="V3215" s="10"/>
      <c r="W3215" s="10"/>
      <c r="X3215" s="10"/>
      <c r="Y3215" s="10"/>
      <c r="Z3215" s="10"/>
      <c r="AA3215" s="11" t="str">
        <f t="shared" si="101"/>
        <v/>
      </c>
    </row>
    <row r="3216" spans="16:27" ht="15" customHeight="1">
      <c r="P3216" t="str">
        <f t="shared" si="100"/>
        <v/>
      </c>
      <c r="Q3216" t="str">
        <f>IF(P3216="","",IFERROR(IF(AND(H3216="W7",OR(F3216="causal",F3216="predictive")),IF(AND(OR(K3216=1,K3216="1"),OR(L3216=1,L3216="1"),OR(M3216=1,M3216="1")),"adequate","partial"),IF(AND(H3216="W4",F3216="predictive",OR(J3216="P2",J3216="P3",J3216="P4")),IF(OR(U3216=1,U3216="1"),"adequate","partial"),INDEX(Fit_Matrix!$B:$B,MATCH(P3216,Fit_Matrix!$A:$A,0)))),"CHECK KEY"))</f>
        <v/>
      </c>
      <c r="U3216" s="10"/>
      <c r="V3216" s="10"/>
      <c r="W3216" s="10"/>
      <c r="X3216" s="10"/>
      <c r="Y3216" s="10"/>
      <c r="Z3216" s="10"/>
      <c r="AA3216" s="11" t="str">
        <f t="shared" si="101"/>
        <v/>
      </c>
    </row>
    <row r="3217" spans="16:27" ht="15" customHeight="1">
      <c r="P3217" t="str">
        <f t="shared" si="100"/>
        <v/>
      </c>
      <c r="Q3217" t="str">
        <f>IF(P3217="","",IFERROR(IF(AND(H3217="W7",OR(F3217="causal",F3217="predictive")),IF(AND(OR(K3217=1,K3217="1"),OR(L3217=1,L3217="1"),OR(M3217=1,M3217="1")),"adequate","partial"),IF(AND(H3217="W4",F3217="predictive",OR(J3217="P2",J3217="P3",J3217="P4")),IF(OR(U3217=1,U3217="1"),"adequate","partial"),INDEX(Fit_Matrix!$B:$B,MATCH(P3217,Fit_Matrix!$A:$A,0)))),"CHECK KEY"))</f>
        <v/>
      </c>
      <c r="U3217" s="10"/>
      <c r="V3217" s="10"/>
      <c r="W3217" s="10"/>
      <c r="X3217" s="10"/>
      <c r="Y3217" s="10"/>
      <c r="Z3217" s="10"/>
      <c r="AA3217" s="11" t="str">
        <f t="shared" si="101"/>
        <v/>
      </c>
    </row>
    <row r="3218" spans="16:27" ht="15" customHeight="1">
      <c r="P3218" t="str">
        <f t="shared" si="100"/>
        <v/>
      </c>
      <c r="Q3218" t="str">
        <f>IF(P3218="","",IFERROR(IF(AND(H3218="W7",OR(F3218="causal",F3218="predictive")),IF(AND(OR(K3218=1,K3218="1"),OR(L3218=1,L3218="1"),OR(M3218=1,M3218="1")),"adequate","partial"),IF(AND(H3218="W4",F3218="predictive",OR(J3218="P2",J3218="P3",J3218="P4")),IF(OR(U3218=1,U3218="1"),"adequate","partial"),INDEX(Fit_Matrix!$B:$B,MATCH(P3218,Fit_Matrix!$A:$A,0)))),"CHECK KEY"))</f>
        <v/>
      </c>
      <c r="U3218" s="10"/>
      <c r="V3218" s="10"/>
      <c r="W3218" s="10"/>
      <c r="X3218" s="10"/>
      <c r="Y3218" s="10"/>
      <c r="Z3218" s="10"/>
      <c r="AA3218" s="11" t="str">
        <f t="shared" si="101"/>
        <v/>
      </c>
    </row>
    <row r="3219" spans="16:27" ht="15" customHeight="1">
      <c r="P3219" t="str">
        <f t="shared" si="100"/>
        <v/>
      </c>
      <c r="Q3219" t="str">
        <f>IF(P3219="","",IFERROR(IF(AND(H3219="W7",OR(F3219="causal",F3219="predictive")),IF(AND(OR(K3219=1,K3219="1"),OR(L3219=1,L3219="1"),OR(M3219=1,M3219="1")),"adequate","partial"),IF(AND(H3219="W4",F3219="predictive",OR(J3219="P2",J3219="P3",J3219="P4")),IF(OR(U3219=1,U3219="1"),"adequate","partial"),INDEX(Fit_Matrix!$B:$B,MATCH(P3219,Fit_Matrix!$A:$A,0)))),"CHECK KEY"))</f>
        <v/>
      </c>
      <c r="U3219" s="10"/>
      <c r="V3219" s="10"/>
      <c r="W3219" s="10"/>
      <c r="X3219" s="10"/>
      <c r="Y3219" s="10"/>
      <c r="Z3219" s="10"/>
      <c r="AA3219" s="11" t="str">
        <f t="shared" si="101"/>
        <v/>
      </c>
    </row>
    <row r="3220" spans="16:27" ht="15" customHeight="1">
      <c r="P3220" t="str">
        <f t="shared" si="100"/>
        <v/>
      </c>
      <c r="Q3220" t="str">
        <f>IF(P3220="","",IFERROR(IF(AND(H3220="W7",OR(F3220="causal",F3220="predictive")),IF(AND(OR(K3220=1,K3220="1"),OR(L3220=1,L3220="1"),OR(M3220=1,M3220="1")),"adequate","partial"),IF(AND(H3220="W4",F3220="predictive",OR(J3220="P2",J3220="P3",J3220="P4")),IF(OR(U3220=1,U3220="1"),"adequate","partial"),INDEX(Fit_Matrix!$B:$B,MATCH(P3220,Fit_Matrix!$A:$A,0)))),"CHECK KEY"))</f>
        <v/>
      </c>
      <c r="U3220" s="10"/>
      <c r="V3220" s="10"/>
      <c r="W3220" s="10"/>
      <c r="X3220" s="10"/>
      <c r="Y3220" s="10"/>
      <c r="Z3220" s="10"/>
      <c r="AA3220" s="11" t="str">
        <f t="shared" si="101"/>
        <v/>
      </c>
    </row>
    <row r="3221" spans="16:27" ht="15" customHeight="1">
      <c r="P3221" t="str">
        <f t="shared" si="100"/>
        <v/>
      </c>
      <c r="Q3221" t="str">
        <f>IF(P3221="","",IFERROR(IF(AND(H3221="W7",OR(F3221="causal",F3221="predictive")),IF(AND(OR(K3221=1,K3221="1"),OR(L3221=1,L3221="1"),OR(M3221=1,M3221="1")),"adequate","partial"),IF(AND(H3221="W4",F3221="predictive",OR(J3221="P2",J3221="P3",J3221="P4")),IF(OR(U3221=1,U3221="1"),"adequate","partial"),INDEX(Fit_Matrix!$B:$B,MATCH(P3221,Fit_Matrix!$A:$A,0)))),"CHECK KEY"))</f>
        <v/>
      </c>
      <c r="U3221" s="10"/>
      <c r="V3221" s="10"/>
      <c r="W3221" s="10"/>
      <c r="X3221" s="10"/>
      <c r="Y3221" s="10"/>
      <c r="Z3221" s="10"/>
      <c r="AA3221" s="11" t="str">
        <f t="shared" si="101"/>
        <v/>
      </c>
    </row>
    <row r="3222" spans="16:27" ht="15" customHeight="1">
      <c r="P3222" t="str">
        <f t="shared" si="100"/>
        <v/>
      </c>
      <c r="Q3222" t="str">
        <f>IF(P3222="","",IFERROR(IF(AND(H3222="W7",OR(F3222="causal",F3222="predictive")),IF(AND(OR(K3222=1,K3222="1"),OR(L3222=1,L3222="1"),OR(M3222=1,M3222="1")),"adequate","partial"),IF(AND(H3222="W4",F3222="predictive",OR(J3222="P2",J3222="P3",J3222="P4")),IF(OR(U3222=1,U3222="1"),"adequate","partial"),INDEX(Fit_Matrix!$B:$B,MATCH(P3222,Fit_Matrix!$A:$A,0)))),"CHECK KEY"))</f>
        <v/>
      </c>
      <c r="U3222" s="10"/>
      <c r="V3222" s="10"/>
      <c r="W3222" s="10"/>
      <c r="X3222" s="10"/>
      <c r="Y3222" s="10"/>
      <c r="Z3222" s="10"/>
      <c r="AA3222" s="11" t="str">
        <f t="shared" si="101"/>
        <v/>
      </c>
    </row>
    <row r="3223" spans="16:27" ht="15" customHeight="1">
      <c r="P3223" t="str">
        <f t="shared" si="100"/>
        <v/>
      </c>
      <c r="Q3223" t="str">
        <f>IF(P3223="","",IFERROR(IF(AND(H3223="W7",OR(F3223="causal",F3223="predictive")),IF(AND(OR(K3223=1,K3223="1"),OR(L3223=1,L3223="1"),OR(M3223=1,M3223="1")),"adequate","partial"),IF(AND(H3223="W4",F3223="predictive",OR(J3223="P2",J3223="P3",J3223="P4")),IF(OR(U3223=1,U3223="1"),"adequate","partial"),INDEX(Fit_Matrix!$B:$B,MATCH(P3223,Fit_Matrix!$A:$A,0)))),"CHECK KEY"))</f>
        <v/>
      </c>
      <c r="U3223" s="10"/>
      <c r="V3223" s="10"/>
      <c r="W3223" s="10"/>
      <c r="X3223" s="10"/>
      <c r="Y3223" s="10"/>
      <c r="Z3223" s="10"/>
      <c r="AA3223" s="11" t="str">
        <f t="shared" si="101"/>
        <v/>
      </c>
    </row>
    <row r="3224" spans="16:27" ht="15" customHeight="1">
      <c r="P3224" t="str">
        <f t="shared" si="100"/>
        <v/>
      </c>
      <c r="Q3224" t="str">
        <f>IF(P3224="","",IFERROR(IF(AND(H3224="W7",OR(F3224="causal",F3224="predictive")),IF(AND(OR(K3224=1,K3224="1"),OR(L3224=1,L3224="1"),OR(M3224=1,M3224="1")),"adequate","partial"),IF(AND(H3224="W4",F3224="predictive",OR(J3224="P2",J3224="P3",J3224="P4")),IF(OR(U3224=1,U3224="1"),"adequate","partial"),INDEX(Fit_Matrix!$B:$B,MATCH(P3224,Fit_Matrix!$A:$A,0)))),"CHECK KEY"))</f>
        <v/>
      </c>
      <c r="U3224" s="10"/>
      <c r="V3224" s="10"/>
      <c r="W3224" s="10"/>
      <c r="X3224" s="10"/>
      <c r="Y3224" s="10"/>
      <c r="Z3224" s="10"/>
      <c r="AA3224" s="11" t="str">
        <f t="shared" si="101"/>
        <v/>
      </c>
    </row>
    <row r="3225" spans="16:27" ht="15" customHeight="1">
      <c r="P3225" t="str">
        <f t="shared" si="100"/>
        <v/>
      </c>
      <c r="Q3225" t="str">
        <f>IF(P3225="","",IFERROR(IF(AND(H3225="W7",OR(F3225="causal",F3225="predictive")),IF(AND(OR(K3225=1,K3225="1"),OR(L3225=1,L3225="1"),OR(M3225=1,M3225="1")),"adequate","partial"),IF(AND(H3225="W4",F3225="predictive",OR(J3225="P2",J3225="P3",J3225="P4")),IF(OR(U3225=1,U3225="1"),"adequate","partial"),INDEX(Fit_Matrix!$B:$B,MATCH(P3225,Fit_Matrix!$A:$A,0)))),"CHECK KEY"))</f>
        <v/>
      </c>
      <c r="U3225" s="10"/>
      <c r="V3225" s="10"/>
      <c r="W3225" s="10"/>
      <c r="X3225" s="10"/>
      <c r="Y3225" s="10"/>
      <c r="Z3225" s="10"/>
      <c r="AA3225" s="11" t="str">
        <f t="shared" si="101"/>
        <v/>
      </c>
    </row>
    <row r="3226" spans="16:27" ht="15" customHeight="1">
      <c r="P3226" t="str">
        <f t="shared" si="100"/>
        <v/>
      </c>
      <c r="Q3226" t="str">
        <f>IF(P3226="","",IFERROR(IF(AND(H3226="W7",OR(F3226="causal",F3226="predictive")),IF(AND(OR(K3226=1,K3226="1"),OR(L3226=1,L3226="1"),OR(M3226=1,M3226="1")),"adequate","partial"),IF(AND(H3226="W4",F3226="predictive",OR(J3226="P2",J3226="P3",J3226="P4")),IF(OR(U3226=1,U3226="1"),"adequate","partial"),INDEX(Fit_Matrix!$B:$B,MATCH(P3226,Fit_Matrix!$A:$A,0)))),"CHECK KEY"))</f>
        <v/>
      </c>
      <c r="U3226" s="10"/>
      <c r="V3226" s="10"/>
      <c r="W3226" s="10"/>
      <c r="X3226" s="10"/>
      <c r="Y3226" s="10"/>
      <c r="Z3226" s="10"/>
      <c r="AA3226" s="11" t="str">
        <f t="shared" si="101"/>
        <v/>
      </c>
    </row>
    <row r="3227" spans="16:27" ht="15" customHeight="1">
      <c r="P3227" t="str">
        <f t="shared" si="100"/>
        <v/>
      </c>
      <c r="Q3227" t="str">
        <f>IF(P3227="","",IFERROR(IF(AND(H3227="W7",OR(F3227="causal",F3227="predictive")),IF(AND(OR(K3227=1,K3227="1"),OR(L3227=1,L3227="1"),OR(M3227=1,M3227="1")),"adequate","partial"),IF(AND(H3227="W4",F3227="predictive",OR(J3227="P2",J3227="P3",J3227="P4")),IF(OR(U3227=1,U3227="1"),"adequate","partial"),INDEX(Fit_Matrix!$B:$B,MATCH(P3227,Fit_Matrix!$A:$A,0)))),"CHECK KEY"))</f>
        <v/>
      </c>
      <c r="U3227" s="10"/>
      <c r="V3227" s="10"/>
      <c r="W3227" s="10"/>
      <c r="X3227" s="10"/>
      <c r="Y3227" s="10"/>
      <c r="Z3227" s="10"/>
      <c r="AA3227" s="11" t="str">
        <f t="shared" si="101"/>
        <v/>
      </c>
    </row>
    <row r="3228" spans="16:27" ht="15" customHeight="1">
      <c r="P3228" t="str">
        <f t="shared" si="100"/>
        <v/>
      </c>
      <c r="Q3228" t="str">
        <f>IF(P3228="","",IFERROR(IF(AND(H3228="W7",OR(F3228="causal",F3228="predictive")),IF(AND(OR(K3228=1,K3228="1"),OR(L3228=1,L3228="1"),OR(M3228=1,M3228="1")),"adequate","partial"),IF(AND(H3228="W4",F3228="predictive",OR(J3228="P2",J3228="P3",J3228="P4")),IF(OR(U3228=1,U3228="1"),"adequate","partial"),INDEX(Fit_Matrix!$B:$B,MATCH(P3228,Fit_Matrix!$A:$A,0)))),"CHECK KEY"))</f>
        <v/>
      </c>
      <c r="U3228" s="10"/>
      <c r="V3228" s="10"/>
      <c r="W3228" s="10"/>
      <c r="X3228" s="10"/>
      <c r="Y3228" s="10"/>
      <c r="Z3228" s="10"/>
      <c r="AA3228" s="11" t="str">
        <f t="shared" si="101"/>
        <v/>
      </c>
    </row>
    <row r="3229" spans="16:27" ht="15" customHeight="1">
      <c r="P3229" t="str">
        <f t="shared" si="100"/>
        <v/>
      </c>
      <c r="Q3229" t="str">
        <f>IF(P3229="","",IFERROR(IF(AND(H3229="W7",OR(F3229="causal",F3229="predictive")),IF(AND(OR(K3229=1,K3229="1"),OR(L3229=1,L3229="1"),OR(M3229=1,M3229="1")),"adequate","partial"),IF(AND(H3229="W4",F3229="predictive",OR(J3229="P2",J3229="P3",J3229="P4")),IF(OR(U3229=1,U3229="1"),"adequate","partial"),INDEX(Fit_Matrix!$B:$B,MATCH(P3229,Fit_Matrix!$A:$A,0)))),"CHECK KEY"))</f>
        <v/>
      </c>
      <c r="U3229" s="10"/>
      <c r="V3229" s="10"/>
      <c r="W3229" s="10"/>
      <c r="X3229" s="10"/>
      <c r="Y3229" s="10"/>
      <c r="Z3229" s="10"/>
      <c r="AA3229" s="11" t="str">
        <f t="shared" si="101"/>
        <v/>
      </c>
    </row>
    <row r="3230" spans="16:27" ht="15" customHeight="1">
      <c r="P3230" t="str">
        <f t="shared" si="100"/>
        <v/>
      </c>
      <c r="Q3230" t="str">
        <f>IF(P3230="","",IFERROR(IF(AND(H3230="W7",OR(F3230="causal",F3230="predictive")),IF(AND(OR(K3230=1,K3230="1"),OR(L3230=1,L3230="1"),OR(M3230=1,M3230="1")),"adequate","partial"),IF(AND(H3230="W4",F3230="predictive",OR(J3230="P2",J3230="P3",J3230="P4")),IF(OR(U3230=1,U3230="1"),"adequate","partial"),INDEX(Fit_Matrix!$B:$B,MATCH(P3230,Fit_Matrix!$A:$A,0)))),"CHECK KEY"))</f>
        <v/>
      </c>
      <c r="U3230" s="10"/>
      <c r="V3230" s="10"/>
      <c r="W3230" s="10"/>
      <c r="X3230" s="10"/>
      <c r="Y3230" s="10"/>
      <c r="Z3230" s="10"/>
      <c r="AA3230" s="11" t="str">
        <f t="shared" si="101"/>
        <v/>
      </c>
    </row>
    <row r="3231" spans="16:27" ht="15" customHeight="1">
      <c r="P3231" t="str">
        <f t="shared" si="100"/>
        <v/>
      </c>
      <c r="Q3231" t="str">
        <f>IF(P3231="","",IFERROR(IF(AND(H3231="W7",OR(F3231="causal",F3231="predictive")),IF(AND(OR(K3231=1,K3231="1"),OR(L3231=1,L3231="1"),OR(M3231=1,M3231="1")),"adequate","partial"),IF(AND(H3231="W4",F3231="predictive",OR(J3231="P2",J3231="P3",J3231="P4")),IF(OR(U3231=1,U3231="1"),"adequate","partial"),INDEX(Fit_Matrix!$B:$B,MATCH(P3231,Fit_Matrix!$A:$A,0)))),"CHECK KEY"))</f>
        <v/>
      </c>
      <c r="U3231" s="10"/>
      <c r="V3231" s="10"/>
      <c r="W3231" s="10"/>
      <c r="X3231" s="10"/>
      <c r="Y3231" s="10"/>
      <c r="Z3231" s="10"/>
      <c r="AA3231" s="11" t="str">
        <f t="shared" si="101"/>
        <v/>
      </c>
    </row>
    <row r="3232" spans="16:27" ht="15" customHeight="1">
      <c r="P3232" t="str">
        <f t="shared" si="100"/>
        <v/>
      </c>
      <c r="Q3232" t="str">
        <f>IF(P3232="","",IFERROR(IF(AND(H3232="W7",OR(F3232="causal",F3232="predictive")),IF(AND(OR(K3232=1,K3232="1"),OR(L3232=1,L3232="1"),OR(M3232=1,M3232="1")),"adequate","partial"),IF(AND(H3232="W4",F3232="predictive",OR(J3232="P2",J3232="P3",J3232="P4")),IF(OR(U3232=1,U3232="1"),"adequate","partial"),INDEX(Fit_Matrix!$B:$B,MATCH(P3232,Fit_Matrix!$A:$A,0)))),"CHECK KEY"))</f>
        <v/>
      </c>
      <c r="U3232" s="10"/>
      <c r="V3232" s="10"/>
      <c r="W3232" s="10"/>
      <c r="X3232" s="10"/>
      <c r="Y3232" s="10"/>
      <c r="Z3232" s="10"/>
      <c r="AA3232" s="11" t="str">
        <f t="shared" si="101"/>
        <v/>
      </c>
    </row>
    <row r="3233" spans="16:27" ht="15" customHeight="1">
      <c r="P3233" t="str">
        <f t="shared" si="100"/>
        <v/>
      </c>
      <c r="Q3233" t="str">
        <f>IF(P3233="","",IFERROR(IF(AND(H3233="W7",OR(F3233="causal",F3233="predictive")),IF(AND(OR(K3233=1,K3233="1"),OR(L3233=1,L3233="1"),OR(M3233=1,M3233="1")),"adequate","partial"),IF(AND(H3233="W4",F3233="predictive",OR(J3233="P2",J3233="P3",J3233="P4")),IF(OR(U3233=1,U3233="1"),"adequate","partial"),INDEX(Fit_Matrix!$B:$B,MATCH(P3233,Fit_Matrix!$A:$A,0)))),"CHECK KEY"))</f>
        <v/>
      </c>
      <c r="U3233" s="10"/>
      <c r="V3233" s="10"/>
      <c r="W3233" s="10"/>
      <c r="X3233" s="10"/>
      <c r="Y3233" s="10"/>
      <c r="Z3233" s="10"/>
      <c r="AA3233" s="11" t="str">
        <f t="shared" si="101"/>
        <v/>
      </c>
    </row>
    <row r="3234" spans="16:27" ht="15" customHeight="1">
      <c r="P3234" t="str">
        <f t="shared" si="100"/>
        <v/>
      </c>
      <c r="Q3234" t="str">
        <f>IF(P3234="","",IFERROR(IF(AND(H3234="W7",OR(F3234="causal",F3234="predictive")),IF(AND(OR(K3234=1,K3234="1"),OR(L3234=1,L3234="1"),OR(M3234=1,M3234="1")),"adequate","partial"),IF(AND(H3234="W4",F3234="predictive",OR(J3234="P2",J3234="P3",J3234="P4")),IF(OR(U3234=1,U3234="1"),"adequate","partial"),INDEX(Fit_Matrix!$B:$B,MATCH(P3234,Fit_Matrix!$A:$A,0)))),"CHECK KEY"))</f>
        <v/>
      </c>
      <c r="U3234" s="10"/>
      <c r="V3234" s="10"/>
      <c r="W3234" s="10"/>
      <c r="X3234" s="10"/>
      <c r="Y3234" s="10"/>
      <c r="Z3234" s="10"/>
      <c r="AA3234" s="11" t="str">
        <f t="shared" si="101"/>
        <v/>
      </c>
    </row>
    <row r="3235" spans="16:27" ht="15" customHeight="1">
      <c r="P3235" t="str">
        <f t="shared" si="100"/>
        <v/>
      </c>
      <c r="Q3235" t="str">
        <f>IF(P3235="","",IFERROR(IF(AND(H3235="W7",OR(F3235="causal",F3235="predictive")),IF(AND(OR(K3235=1,K3235="1"),OR(L3235=1,L3235="1"),OR(M3235=1,M3235="1")),"adequate","partial"),IF(AND(H3235="W4",F3235="predictive",OR(J3235="P2",J3235="P3",J3235="P4")),IF(OR(U3235=1,U3235="1"),"adequate","partial"),INDEX(Fit_Matrix!$B:$B,MATCH(P3235,Fit_Matrix!$A:$A,0)))),"CHECK KEY"))</f>
        <v/>
      </c>
      <c r="U3235" s="10"/>
      <c r="V3235" s="10"/>
      <c r="W3235" s="10"/>
      <c r="X3235" s="10"/>
      <c r="Y3235" s="10"/>
      <c r="Z3235" s="10"/>
      <c r="AA3235" s="11" t="str">
        <f t="shared" si="101"/>
        <v/>
      </c>
    </row>
    <row r="3236" spans="16:27" ht="15" customHeight="1">
      <c r="P3236" t="str">
        <f t="shared" si="100"/>
        <v/>
      </c>
      <c r="Q3236" t="str">
        <f>IF(P3236="","",IFERROR(IF(AND(H3236="W7",OR(F3236="causal",F3236="predictive")),IF(AND(OR(K3236=1,K3236="1"),OR(L3236=1,L3236="1"),OR(M3236=1,M3236="1")),"adequate","partial"),IF(AND(H3236="W4",F3236="predictive",OR(J3236="P2",J3236="P3",J3236="P4")),IF(OR(U3236=1,U3236="1"),"adequate","partial"),INDEX(Fit_Matrix!$B:$B,MATCH(P3236,Fit_Matrix!$A:$A,0)))),"CHECK KEY"))</f>
        <v/>
      </c>
      <c r="U3236" s="10"/>
      <c r="V3236" s="10"/>
      <c r="W3236" s="10"/>
      <c r="X3236" s="10"/>
      <c r="Y3236" s="10"/>
      <c r="Z3236" s="10"/>
      <c r="AA3236" s="11" t="str">
        <f t="shared" si="101"/>
        <v/>
      </c>
    </row>
    <row r="3237" spans="16:27" ht="15" customHeight="1">
      <c r="P3237" t="str">
        <f t="shared" si="100"/>
        <v/>
      </c>
      <c r="Q3237" t="str">
        <f>IF(P3237="","",IFERROR(IF(AND(H3237="W7",OR(F3237="causal",F3237="predictive")),IF(AND(OR(K3237=1,K3237="1"),OR(L3237=1,L3237="1"),OR(M3237=1,M3237="1")),"adequate","partial"),IF(AND(H3237="W4",F3237="predictive",OR(J3237="P2",J3237="P3",J3237="P4")),IF(OR(U3237=1,U3237="1"),"adequate","partial"),INDEX(Fit_Matrix!$B:$B,MATCH(P3237,Fit_Matrix!$A:$A,0)))),"CHECK KEY"))</f>
        <v/>
      </c>
      <c r="U3237" s="10"/>
      <c r="V3237" s="10"/>
      <c r="W3237" s="10"/>
      <c r="X3237" s="10"/>
      <c r="Y3237" s="10"/>
      <c r="Z3237" s="10"/>
      <c r="AA3237" s="11" t="str">
        <f t="shared" si="101"/>
        <v/>
      </c>
    </row>
    <row r="3238" spans="16:27" ht="15" customHeight="1">
      <c r="P3238" t="str">
        <f t="shared" si="100"/>
        <v/>
      </c>
      <c r="Q3238" t="str">
        <f>IF(P3238="","",IFERROR(IF(AND(H3238="W7",OR(F3238="causal",F3238="predictive")),IF(AND(OR(K3238=1,K3238="1"),OR(L3238=1,L3238="1"),OR(M3238=1,M3238="1")),"adequate","partial"),IF(AND(H3238="W4",F3238="predictive",OR(J3238="P2",J3238="P3",J3238="P4")),IF(OR(U3238=1,U3238="1"),"adequate","partial"),INDEX(Fit_Matrix!$B:$B,MATCH(P3238,Fit_Matrix!$A:$A,0)))),"CHECK KEY"))</f>
        <v/>
      </c>
      <c r="U3238" s="10"/>
      <c r="V3238" s="10"/>
      <c r="W3238" s="10"/>
      <c r="X3238" s="10"/>
      <c r="Y3238" s="10"/>
      <c r="Z3238" s="10"/>
      <c r="AA3238" s="11" t="str">
        <f t="shared" si="101"/>
        <v/>
      </c>
    </row>
    <row r="3239" spans="16:27" ht="15" customHeight="1">
      <c r="P3239" t="str">
        <f t="shared" si="100"/>
        <v/>
      </c>
      <c r="Q3239" t="str">
        <f>IF(P3239="","",IFERROR(IF(AND(H3239="W7",OR(F3239="causal",F3239="predictive")),IF(AND(OR(K3239=1,K3239="1"),OR(L3239=1,L3239="1"),OR(M3239=1,M3239="1")),"adequate","partial"),IF(AND(H3239="W4",F3239="predictive",OR(J3239="P2",J3239="P3",J3239="P4")),IF(OR(U3239=1,U3239="1"),"adequate","partial"),INDEX(Fit_Matrix!$B:$B,MATCH(P3239,Fit_Matrix!$A:$A,0)))),"CHECK KEY"))</f>
        <v/>
      </c>
      <c r="U3239" s="10"/>
      <c r="V3239" s="10"/>
      <c r="W3239" s="10"/>
      <c r="X3239" s="10"/>
      <c r="Y3239" s="10"/>
      <c r="Z3239" s="10"/>
      <c r="AA3239" s="11" t="str">
        <f t="shared" si="101"/>
        <v/>
      </c>
    </row>
    <row r="3240" spans="16:27" ht="15" customHeight="1">
      <c r="P3240" t="str">
        <f t="shared" si="100"/>
        <v/>
      </c>
      <c r="Q3240" t="str">
        <f>IF(P3240="","",IFERROR(IF(AND(H3240="W7",OR(F3240="causal",F3240="predictive")),IF(AND(OR(K3240=1,K3240="1"),OR(L3240=1,L3240="1"),OR(M3240=1,M3240="1")),"adequate","partial"),IF(AND(H3240="W4",F3240="predictive",OR(J3240="P2",J3240="P3",J3240="P4")),IF(OR(U3240=1,U3240="1"),"adequate","partial"),INDEX(Fit_Matrix!$B:$B,MATCH(P3240,Fit_Matrix!$A:$A,0)))),"CHECK KEY"))</f>
        <v/>
      </c>
      <c r="U3240" s="10"/>
      <c r="V3240" s="10"/>
      <c r="W3240" s="10"/>
      <c r="X3240" s="10"/>
      <c r="Y3240" s="10"/>
      <c r="Z3240" s="10"/>
      <c r="AA3240" s="11" t="str">
        <f t="shared" si="101"/>
        <v/>
      </c>
    </row>
    <row r="3241" spans="16:27" ht="15" customHeight="1">
      <c r="P3241" t="str">
        <f t="shared" si="100"/>
        <v/>
      </c>
      <c r="Q3241" t="str">
        <f>IF(P3241="","",IFERROR(IF(AND(H3241="W7",OR(F3241="causal",F3241="predictive")),IF(AND(OR(K3241=1,K3241="1"),OR(L3241=1,L3241="1"),OR(M3241=1,M3241="1")),"adequate","partial"),IF(AND(H3241="W4",F3241="predictive",OR(J3241="P2",J3241="P3",J3241="P4")),IF(OR(U3241=1,U3241="1"),"adequate","partial"),INDEX(Fit_Matrix!$B:$B,MATCH(P3241,Fit_Matrix!$A:$A,0)))),"CHECK KEY"))</f>
        <v/>
      </c>
      <c r="U3241" s="10"/>
      <c r="V3241" s="10"/>
      <c r="W3241" s="10"/>
      <c r="X3241" s="10"/>
      <c r="Y3241" s="10"/>
      <c r="Z3241" s="10"/>
      <c r="AA3241" s="11" t="str">
        <f t="shared" si="101"/>
        <v/>
      </c>
    </row>
    <row r="3242" spans="16:27" ht="15" customHeight="1">
      <c r="P3242" t="str">
        <f t="shared" si="100"/>
        <v/>
      </c>
      <c r="Q3242" t="str">
        <f>IF(P3242="","",IFERROR(IF(AND(H3242="W7",OR(F3242="causal",F3242="predictive")),IF(AND(OR(K3242=1,K3242="1"),OR(L3242=1,L3242="1"),OR(M3242=1,M3242="1")),"adequate","partial"),IF(AND(H3242="W4",F3242="predictive",OR(J3242="P2",J3242="P3",J3242="P4")),IF(OR(U3242=1,U3242="1"),"adequate","partial"),INDEX(Fit_Matrix!$B:$B,MATCH(P3242,Fit_Matrix!$A:$A,0)))),"CHECK KEY"))</f>
        <v/>
      </c>
      <c r="U3242" s="10"/>
      <c r="V3242" s="10"/>
      <c r="W3242" s="10"/>
      <c r="X3242" s="10"/>
      <c r="Y3242" s="10"/>
      <c r="Z3242" s="10"/>
      <c r="AA3242" s="11" t="str">
        <f t="shared" si="101"/>
        <v/>
      </c>
    </row>
    <row r="3243" spans="16:27" ht="15" customHeight="1">
      <c r="P3243" t="str">
        <f t="shared" si="100"/>
        <v/>
      </c>
      <c r="Q3243" t="str">
        <f>IF(P3243="","",IFERROR(IF(AND(H3243="W7",OR(F3243="causal",F3243="predictive")),IF(AND(OR(K3243=1,K3243="1"),OR(L3243=1,L3243="1"),OR(M3243=1,M3243="1")),"adequate","partial"),IF(AND(H3243="W4",F3243="predictive",OR(J3243="P2",J3243="P3",J3243="P4")),IF(OR(U3243=1,U3243="1"),"adequate","partial"),INDEX(Fit_Matrix!$B:$B,MATCH(P3243,Fit_Matrix!$A:$A,0)))),"CHECK KEY"))</f>
        <v/>
      </c>
      <c r="U3243" s="10"/>
      <c r="V3243" s="10"/>
      <c r="W3243" s="10"/>
      <c r="X3243" s="10"/>
      <c r="Y3243" s="10"/>
      <c r="Z3243" s="10"/>
      <c r="AA3243" s="11" t="str">
        <f t="shared" si="101"/>
        <v/>
      </c>
    </row>
    <row r="3244" spans="16:27" ht="15" customHeight="1">
      <c r="P3244" t="str">
        <f t="shared" si="100"/>
        <v/>
      </c>
      <c r="Q3244" t="str">
        <f>IF(P3244="","",IFERROR(IF(AND(H3244="W7",OR(F3244="causal",F3244="predictive")),IF(AND(OR(K3244=1,K3244="1"),OR(L3244=1,L3244="1"),OR(M3244=1,M3244="1")),"adequate","partial"),IF(AND(H3244="W4",F3244="predictive",OR(J3244="P2",J3244="P3",J3244="P4")),IF(OR(U3244=1,U3244="1"),"adequate","partial"),INDEX(Fit_Matrix!$B:$B,MATCH(P3244,Fit_Matrix!$A:$A,0)))),"CHECK KEY"))</f>
        <v/>
      </c>
      <c r="U3244" s="10"/>
      <c r="V3244" s="10"/>
      <c r="W3244" s="10"/>
      <c r="X3244" s="10"/>
      <c r="Y3244" s="10"/>
      <c r="Z3244" s="10"/>
      <c r="AA3244" s="11" t="str">
        <f t="shared" si="101"/>
        <v/>
      </c>
    </row>
    <row r="3245" spans="16:27" ht="15" customHeight="1">
      <c r="P3245" t="str">
        <f t="shared" si="100"/>
        <v/>
      </c>
      <c r="Q3245" t="str">
        <f>IF(P3245="","",IFERROR(IF(AND(H3245="W7",OR(F3245="causal",F3245="predictive")),IF(AND(OR(K3245=1,K3245="1"),OR(L3245=1,L3245="1"),OR(M3245=1,M3245="1")),"adequate","partial"),IF(AND(H3245="W4",F3245="predictive",OR(J3245="P2",J3245="P3",J3245="P4")),IF(OR(U3245=1,U3245="1"),"adequate","partial"),INDEX(Fit_Matrix!$B:$B,MATCH(P3245,Fit_Matrix!$A:$A,0)))),"CHECK KEY"))</f>
        <v/>
      </c>
      <c r="U3245" s="10"/>
      <c r="V3245" s="10"/>
      <c r="W3245" s="10"/>
      <c r="X3245" s="10"/>
      <c r="Y3245" s="10"/>
      <c r="Z3245" s="10"/>
      <c r="AA3245" s="11" t="str">
        <f t="shared" si="101"/>
        <v/>
      </c>
    </row>
    <row r="3246" spans="16:27" ht="15" customHeight="1">
      <c r="P3246" t="str">
        <f t="shared" si="100"/>
        <v/>
      </c>
      <c r="Q3246" t="str">
        <f>IF(P3246="","",IFERROR(IF(AND(H3246="W7",OR(F3246="causal",F3246="predictive")),IF(AND(OR(K3246=1,K3246="1"),OR(L3246=1,L3246="1"),OR(M3246=1,M3246="1")),"adequate","partial"),IF(AND(H3246="W4",F3246="predictive",OR(J3246="P2",J3246="P3",J3246="P4")),IF(OR(U3246=1,U3246="1"),"adequate","partial"),INDEX(Fit_Matrix!$B:$B,MATCH(P3246,Fit_Matrix!$A:$A,0)))),"CHECK KEY"))</f>
        <v/>
      </c>
      <c r="U3246" s="10"/>
      <c r="V3246" s="10"/>
      <c r="W3246" s="10"/>
      <c r="X3246" s="10"/>
      <c r="Y3246" s="10"/>
      <c r="Z3246" s="10"/>
      <c r="AA3246" s="11" t="str">
        <f t="shared" si="101"/>
        <v/>
      </c>
    </row>
    <row r="3247" spans="16:27" ht="15" customHeight="1">
      <c r="P3247" t="str">
        <f t="shared" si="100"/>
        <v/>
      </c>
      <c r="Q3247" t="str">
        <f>IF(P3247="","",IFERROR(IF(AND(H3247="W7",OR(F3247="causal",F3247="predictive")),IF(AND(OR(K3247=1,K3247="1"),OR(L3247=1,L3247="1"),OR(M3247=1,M3247="1")),"adequate","partial"),IF(AND(H3247="W4",F3247="predictive",OR(J3247="P2",J3247="P3",J3247="P4")),IF(OR(U3247=1,U3247="1"),"adequate","partial"),INDEX(Fit_Matrix!$B:$B,MATCH(P3247,Fit_Matrix!$A:$A,0)))),"CHECK KEY"))</f>
        <v/>
      </c>
      <c r="U3247" s="10"/>
      <c r="V3247" s="10"/>
      <c r="W3247" s="10"/>
      <c r="X3247" s="10"/>
      <c r="Y3247" s="10"/>
      <c r="Z3247" s="10"/>
      <c r="AA3247" s="11" t="str">
        <f t="shared" si="101"/>
        <v/>
      </c>
    </row>
    <row r="3248" spans="16:27" ht="15" customHeight="1">
      <c r="P3248" t="str">
        <f t="shared" si="100"/>
        <v/>
      </c>
      <c r="Q3248" t="str">
        <f>IF(P3248="","",IFERROR(IF(AND(H3248="W7",OR(F3248="causal",F3248="predictive")),IF(AND(OR(K3248=1,K3248="1"),OR(L3248=1,L3248="1"),OR(M3248=1,M3248="1")),"adequate","partial"),IF(AND(H3248="W4",F3248="predictive",OR(J3248="P2",J3248="P3",J3248="P4")),IF(OR(U3248=1,U3248="1"),"adequate","partial"),INDEX(Fit_Matrix!$B:$B,MATCH(P3248,Fit_Matrix!$A:$A,0)))),"CHECK KEY"))</f>
        <v/>
      </c>
      <c r="U3248" s="10"/>
      <c r="V3248" s="10"/>
      <c r="W3248" s="10"/>
      <c r="X3248" s="10"/>
      <c r="Y3248" s="10"/>
      <c r="Z3248" s="10"/>
      <c r="AA3248" s="11" t="str">
        <f t="shared" si="101"/>
        <v/>
      </c>
    </row>
    <row r="3249" spans="16:27" ht="15" customHeight="1">
      <c r="P3249" t="str">
        <f t="shared" si="100"/>
        <v/>
      </c>
      <c r="Q3249" t="str">
        <f>IF(P3249="","",IFERROR(IF(AND(H3249="W7",OR(F3249="causal",F3249="predictive")),IF(AND(OR(K3249=1,K3249="1"),OR(L3249=1,L3249="1"),OR(M3249=1,M3249="1")),"adequate","partial"),IF(AND(H3249="W4",F3249="predictive",OR(J3249="P2",J3249="P3",J3249="P4")),IF(OR(U3249=1,U3249="1"),"adequate","partial"),INDEX(Fit_Matrix!$B:$B,MATCH(P3249,Fit_Matrix!$A:$A,0)))),"CHECK KEY"))</f>
        <v/>
      </c>
      <c r="U3249" s="10"/>
      <c r="V3249" s="10"/>
      <c r="W3249" s="10"/>
      <c r="X3249" s="10"/>
      <c r="Y3249" s="10"/>
      <c r="Z3249" s="10"/>
      <c r="AA3249" s="11" t="str">
        <f t="shared" si="101"/>
        <v/>
      </c>
    </row>
    <row r="3250" spans="16:27" ht="15" customHeight="1">
      <c r="P3250" t="str">
        <f t="shared" si="100"/>
        <v/>
      </c>
      <c r="Q3250" t="str">
        <f>IF(P3250="","",IFERROR(IF(AND(H3250="W7",OR(F3250="causal",F3250="predictive")),IF(AND(OR(K3250=1,K3250="1"),OR(L3250=1,L3250="1"),OR(M3250=1,M3250="1")),"adequate","partial"),IF(AND(H3250="W4",F3250="predictive",OR(J3250="P2",J3250="P3",J3250="P4")),IF(OR(U3250=1,U3250="1"),"adequate","partial"),INDEX(Fit_Matrix!$B:$B,MATCH(P3250,Fit_Matrix!$A:$A,0)))),"CHECK KEY"))</f>
        <v/>
      </c>
      <c r="U3250" s="10"/>
      <c r="V3250" s="10"/>
      <c r="W3250" s="10"/>
      <c r="X3250" s="10"/>
      <c r="Y3250" s="10"/>
      <c r="Z3250" s="10"/>
      <c r="AA3250" s="11" t="str">
        <f t="shared" si="101"/>
        <v/>
      </c>
    </row>
    <row r="3251" spans="16:27" ht="15" customHeight="1">
      <c r="P3251" t="str">
        <f t="shared" si="100"/>
        <v/>
      </c>
      <c r="Q3251" t="str">
        <f>IF(P3251="","",IFERROR(IF(AND(H3251="W7",OR(F3251="causal",F3251="predictive")),IF(AND(OR(K3251=1,K3251="1"),OR(L3251=1,L3251="1"),OR(M3251=1,M3251="1")),"adequate","partial"),IF(AND(H3251="W4",F3251="predictive",OR(J3251="P2",J3251="P3",J3251="P4")),IF(OR(U3251=1,U3251="1"),"adequate","partial"),INDEX(Fit_Matrix!$B:$B,MATCH(P3251,Fit_Matrix!$A:$A,0)))),"CHECK KEY"))</f>
        <v/>
      </c>
      <c r="U3251" s="10"/>
      <c r="V3251" s="10"/>
      <c r="W3251" s="10"/>
      <c r="X3251" s="10"/>
      <c r="Y3251" s="10"/>
      <c r="Z3251" s="10"/>
      <c r="AA3251" s="11" t="str">
        <f t="shared" si="101"/>
        <v/>
      </c>
    </row>
    <row r="3252" spans="16:27" ht="15" customHeight="1">
      <c r="P3252" t="str">
        <f t="shared" si="100"/>
        <v/>
      </c>
      <c r="Q3252" t="str">
        <f>IF(P3252="","",IFERROR(IF(AND(H3252="W7",OR(F3252="causal",F3252="predictive")),IF(AND(OR(K3252=1,K3252="1"),OR(L3252=1,L3252="1"),OR(M3252=1,M3252="1")),"adequate","partial"),IF(AND(H3252="W4",F3252="predictive",OR(J3252="P2",J3252="P3",J3252="P4")),IF(OR(U3252=1,U3252="1"),"adequate","partial"),INDEX(Fit_Matrix!$B:$B,MATCH(P3252,Fit_Matrix!$A:$A,0)))),"CHECK KEY"))</f>
        <v/>
      </c>
      <c r="U3252" s="10"/>
      <c r="V3252" s="10"/>
      <c r="W3252" s="10"/>
      <c r="X3252" s="10"/>
      <c r="Y3252" s="10"/>
      <c r="Z3252" s="10"/>
      <c r="AA3252" s="11" t="str">
        <f t="shared" si="101"/>
        <v/>
      </c>
    </row>
    <row r="3253" spans="16:27" ht="15" customHeight="1">
      <c r="P3253" t="str">
        <f t="shared" si="100"/>
        <v/>
      </c>
      <c r="Q3253" t="str">
        <f>IF(P3253="","",IFERROR(IF(AND(H3253="W7",OR(F3253="causal",F3253="predictive")),IF(AND(OR(K3253=1,K3253="1"),OR(L3253=1,L3253="1"),OR(M3253=1,M3253="1")),"adequate","partial"),IF(AND(H3253="W4",F3253="predictive",OR(J3253="P2",J3253="P3",J3253="P4")),IF(OR(U3253=1,U3253="1"),"adequate","partial"),INDEX(Fit_Matrix!$B:$B,MATCH(P3253,Fit_Matrix!$A:$A,0)))),"CHECK KEY"))</f>
        <v/>
      </c>
      <c r="U3253" s="10"/>
      <c r="V3253" s="10"/>
      <c r="W3253" s="10"/>
      <c r="X3253" s="10"/>
      <c r="Y3253" s="10"/>
      <c r="Z3253" s="10"/>
      <c r="AA3253" s="11" t="str">
        <f t="shared" si="101"/>
        <v/>
      </c>
    </row>
    <row r="3254" spans="16:27" ht="15" customHeight="1">
      <c r="P3254" t="str">
        <f t="shared" si="100"/>
        <v/>
      </c>
      <c r="Q3254" t="str">
        <f>IF(P3254="","",IFERROR(IF(AND(H3254="W7",OR(F3254="causal",F3254="predictive")),IF(AND(OR(K3254=1,K3254="1"),OR(L3254=1,L3254="1"),OR(M3254=1,M3254="1")),"adequate","partial"),IF(AND(H3254="W4",F3254="predictive",OR(J3254="P2",J3254="P3",J3254="P4")),IF(OR(U3254=1,U3254="1"),"adequate","partial"),INDEX(Fit_Matrix!$B:$B,MATCH(P3254,Fit_Matrix!$A:$A,0)))),"CHECK KEY"))</f>
        <v/>
      </c>
      <c r="U3254" s="10"/>
      <c r="V3254" s="10"/>
      <c r="W3254" s="10"/>
      <c r="X3254" s="10"/>
      <c r="Y3254" s="10"/>
      <c r="Z3254" s="10"/>
      <c r="AA3254" s="11" t="str">
        <f t="shared" si="101"/>
        <v/>
      </c>
    </row>
    <row r="3255" spans="16:27" ht="15" customHeight="1">
      <c r="P3255" t="str">
        <f t="shared" si="100"/>
        <v/>
      </c>
      <c r="Q3255" t="str">
        <f>IF(P3255="","",IFERROR(IF(AND(H3255="W7",OR(F3255="causal",F3255="predictive")),IF(AND(OR(K3255=1,K3255="1"),OR(L3255=1,L3255="1"),OR(M3255=1,M3255="1")),"adequate","partial"),IF(AND(H3255="W4",F3255="predictive",OR(J3255="P2",J3255="P3",J3255="P4")),IF(OR(U3255=1,U3255="1"),"adequate","partial"),INDEX(Fit_Matrix!$B:$B,MATCH(P3255,Fit_Matrix!$A:$A,0)))),"CHECK KEY"))</f>
        <v/>
      </c>
      <c r="U3255" s="10"/>
      <c r="V3255" s="10"/>
      <c r="W3255" s="10"/>
      <c r="X3255" s="10"/>
      <c r="Y3255" s="10"/>
      <c r="Z3255" s="10"/>
      <c r="AA3255" s="11" t="str">
        <f t="shared" si="101"/>
        <v/>
      </c>
    </row>
    <row r="3256" spans="16:27" ht="15" customHeight="1">
      <c r="P3256" t="str">
        <f t="shared" si="100"/>
        <v/>
      </c>
      <c r="Q3256" t="str">
        <f>IF(P3256="","",IFERROR(IF(AND(H3256="W7",OR(F3256="causal",F3256="predictive")),IF(AND(OR(K3256=1,K3256="1"),OR(L3256=1,L3256="1"),OR(M3256=1,M3256="1")),"adequate","partial"),IF(AND(H3256="W4",F3256="predictive",OR(J3256="P2",J3256="P3",J3256="P4")),IF(OR(U3256=1,U3256="1"),"adequate","partial"),INDEX(Fit_Matrix!$B:$B,MATCH(P3256,Fit_Matrix!$A:$A,0)))),"CHECK KEY"))</f>
        <v/>
      </c>
      <c r="U3256" s="10"/>
      <c r="V3256" s="10"/>
      <c r="W3256" s="10"/>
      <c r="X3256" s="10"/>
      <c r="Y3256" s="10"/>
      <c r="Z3256" s="10"/>
      <c r="AA3256" s="11" t="str">
        <f t="shared" si="101"/>
        <v/>
      </c>
    </row>
    <row r="3257" spans="16:27" ht="15" customHeight="1">
      <c r="P3257" t="str">
        <f t="shared" si="100"/>
        <v/>
      </c>
      <c r="Q3257" t="str">
        <f>IF(P3257="","",IFERROR(IF(AND(H3257="W7",OR(F3257="causal",F3257="predictive")),IF(AND(OR(K3257=1,K3257="1"),OR(L3257=1,L3257="1"),OR(M3257=1,M3257="1")),"adequate","partial"),IF(AND(H3257="W4",F3257="predictive",OR(J3257="P2",J3257="P3",J3257="P4")),IF(OR(U3257=1,U3257="1"),"adequate","partial"),INDEX(Fit_Matrix!$B:$B,MATCH(P3257,Fit_Matrix!$A:$A,0)))),"CHECK KEY"))</f>
        <v/>
      </c>
      <c r="U3257" s="10"/>
      <c r="V3257" s="10"/>
      <c r="W3257" s="10"/>
      <c r="X3257" s="10"/>
      <c r="Y3257" s="10"/>
      <c r="Z3257" s="10"/>
      <c r="AA3257" s="11" t="str">
        <f t="shared" si="101"/>
        <v/>
      </c>
    </row>
    <row r="3258" spans="16:27" ht="15" customHeight="1">
      <c r="P3258" t="str">
        <f t="shared" si="100"/>
        <v/>
      </c>
      <c r="Q3258" t="str">
        <f>IF(P3258="","",IFERROR(IF(AND(H3258="W7",OR(F3258="causal",F3258="predictive")),IF(AND(OR(K3258=1,K3258="1"),OR(L3258=1,L3258="1"),OR(M3258=1,M3258="1")),"adequate","partial"),IF(AND(H3258="W4",F3258="predictive",OR(J3258="P2",J3258="P3",J3258="P4")),IF(OR(U3258=1,U3258="1"),"adequate","partial"),INDEX(Fit_Matrix!$B:$B,MATCH(P3258,Fit_Matrix!$A:$A,0)))),"CHECK KEY"))</f>
        <v/>
      </c>
      <c r="U3258" s="10"/>
      <c r="V3258" s="10"/>
      <c r="W3258" s="10"/>
      <c r="X3258" s="10"/>
      <c r="Y3258" s="10"/>
      <c r="Z3258" s="10"/>
      <c r="AA3258" s="11" t="str">
        <f t="shared" si="101"/>
        <v/>
      </c>
    </row>
    <row r="3259" spans="16:27" ht="15" customHeight="1">
      <c r="P3259" t="str">
        <f t="shared" si="100"/>
        <v/>
      </c>
      <c r="Q3259" t="str">
        <f>IF(P3259="","",IFERROR(IF(AND(H3259="W7",OR(F3259="causal",F3259="predictive")),IF(AND(OR(K3259=1,K3259="1"),OR(L3259=1,L3259="1"),OR(M3259=1,M3259="1")),"adequate","partial"),IF(AND(H3259="W4",F3259="predictive",OR(J3259="P2",J3259="P3",J3259="P4")),IF(OR(U3259=1,U3259="1"),"adequate","partial"),INDEX(Fit_Matrix!$B:$B,MATCH(P3259,Fit_Matrix!$A:$A,0)))),"CHECK KEY"))</f>
        <v/>
      </c>
      <c r="U3259" s="10"/>
      <c r="V3259" s="10"/>
      <c r="W3259" s="10"/>
      <c r="X3259" s="10"/>
      <c r="Y3259" s="10"/>
      <c r="Z3259" s="10"/>
      <c r="AA3259" s="11" t="str">
        <f t="shared" si="101"/>
        <v/>
      </c>
    </row>
    <row r="3260" spans="16:27" ht="15" customHeight="1">
      <c r="P3260" t="str">
        <f t="shared" si="100"/>
        <v/>
      </c>
      <c r="Q3260" t="str">
        <f>IF(P3260="","",IFERROR(IF(AND(H3260="W7",OR(F3260="causal",F3260="predictive")),IF(AND(OR(K3260=1,K3260="1"),OR(L3260=1,L3260="1"),OR(M3260=1,M3260="1")),"adequate","partial"),IF(AND(H3260="W4",F3260="predictive",OR(J3260="P2",J3260="P3",J3260="P4")),IF(OR(U3260=1,U3260="1"),"adequate","partial"),INDEX(Fit_Matrix!$B:$B,MATCH(P3260,Fit_Matrix!$A:$A,0)))),"CHECK KEY"))</f>
        <v/>
      </c>
      <c r="U3260" s="10"/>
      <c r="V3260" s="10"/>
      <c r="W3260" s="10"/>
      <c r="X3260" s="10"/>
      <c r="Y3260" s="10"/>
      <c r="Z3260" s="10"/>
      <c r="AA3260" s="11" t="str">
        <f t="shared" si="101"/>
        <v/>
      </c>
    </row>
    <row r="3261" spans="16:27" ht="15" customHeight="1">
      <c r="P3261" t="str">
        <f t="shared" si="100"/>
        <v/>
      </c>
      <c r="Q3261" t="str">
        <f>IF(P3261="","",IFERROR(IF(AND(H3261="W7",OR(F3261="causal",F3261="predictive")),IF(AND(OR(K3261=1,K3261="1"),OR(L3261=1,L3261="1"),OR(M3261=1,M3261="1")),"adequate","partial"),IF(AND(H3261="W4",F3261="predictive",OR(J3261="P2",J3261="P3",J3261="P4")),IF(OR(U3261=1,U3261="1"),"adequate","partial"),INDEX(Fit_Matrix!$B:$B,MATCH(P3261,Fit_Matrix!$A:$A,0)))),"CHECK KEY"))</f>
        <v/>
      </c>
      <c r="U3261" s="10"/>
      <c r="V3261" s="10"/>
      <c r="W3261" s="10"/>
      <c r="X3261" s="10"/>
      <c r="Y3261" s="10"/>
      <c r="Z3261" s="10"/>
      <c r="AA3261" s="11" t="str">
        <f t="shared" si="101"/>
        <v/>
      </c>
    </row>
    <row r="3262" spans="16:27" ht="15" customHeight="1">
      <c r="P3262" t="str">
        <f t="shared" si="100"/>
        <v/>
      </c>
      <c r="Q3262" t="str">
        <f>IF(P3262="","",IFERROR(IF(AND(H3262="W7",OR(F3262="causal",F3262="predictive")),IF(AND(OR(K3262=1,K3262="1"),OR(L3262=1,L3262="1"),OR(M3262=1,M3262="1")),"adequate","partial"),IF(AND(H3262="W4",F3262="predictive",OR(J3262="P2",J3262="P3",J3262="P4")),IF(OR(U3262=1,U3262="1"),"adequate","partial"),INDEX(Fit_Matrix!$B:$B,MATCH(P3262,Fit_Matrix!$A:$A,0)))),"CHECK KEY"))</f>
        <v/>
      </c>
      <c r="U3262" s="10"/>
      <c r="V3262" s="10"/>
      <c r="W3262" s="10"/>
      <c r="X3262" s="10"/>
      <c r="Y3262" s="10"/>
      <c r="Z3262" s="10"/>
      <c r="AA3262" s="11" t="str">
        <f t="shared" si="101"/>
        <v/>
      </c>
    </row>
    <row r="3263" spans="16:27" ht="15" customHeight="1">
      <c r="P3263" t="str">
        <f t="shared" si="100"/>
        <v/>
      </c>
      <c r="Q3263" t="str">
        <f>IF(P3263="","",IFERROR(IF(AND(H3263="W7",OR(F3263="causal",F3263="predictive")),IF(AND(OR(K3263=1,K3263="1"),OR(L3263=1,L3263="1"),OR(M3263=1,M3263="1")),"adequate","partial"),IF(AND(H3263="W4",F3263="predictive",OR(J3263="P2",J3263="P3",J3263="P4")),IF(OR(U3263=1,U3263="1"),"adequate","partial"),INDEX(Fit_Matrix!$B:$B,MATCH(P3263,Fit_Matrix!$A:$A,0)))),"CHECK KEY"))</f>
        <v/>
      </c>
      <c r="U3263" s="10"/>
      <c r="V3263" s="10"/>
      <c r="W3263" s="10"/>
      <c r="X3263" s="10"/>
      <c r="Y3263" s="10"/>
      <c r="Z3263" s="10"/>
      <c r="AA3263" s="11" t="str">
        <f t="shared" si="101"/>
        <v/>
      </c>
    </row>
    <row r="3264" spans="16:27" ht="15" customHeight="1">
      <c r="P3264" t="str">
        <f t="shared" si="100"/>
        <v/>
      </c>
      <c r="Q3264" t="str">
        <f>IF(P3264="","",IFERROR(IF(AND(H3264="W7",OR(F3264="causal",F3264="predictive")),IF(AND(OR(K3264=1,K3264="1"),OR(L3264=1,L3264="1"),OR(M3264=1,M3264="1")),"adequate","partial"),IF(AND(H3264="W4",F3264="predictive",OR(J3264="P2",J3264="P3",J3264="P4")),IF(OR(U3264=1,U3264="1"),"adequate","partial"),INDEX(Fit_Matrix!$B:$B,MATCH(P3264,Fit_Matrix!$A:$A,0)))),"CHECK KEY"))</f>
        <v/>
      </c>
      <c r="U3264" s="10"/>
      <c r="V3264" s="10"/>
      <c r="W3264" s="10"/>
      <c r="X3264" s="10"/>
      <c r="Y3264" s="10"/>
      <c r="Z3264" s="10"/>
      <c r="AA3264" s="11" t="str">
        <f t="shared" si="101"/>
        <v/>
      </c>
    </row>
    <row r="3265" spans="16:27" ht="15" customHeight="1">
      <c r="P3265" t="str">
        <f t="shared" si="100"/>
        <v/>
      </c>
      <c r="Q3265" t="str">
        <f>IF(P3265="","",IFERROR(IF(AND(H3265="W7",OR(F3265="causal",F3265="predictive")),IF(AND(OR(K3265=1,K3265="1"),OR(L3265=1,L3265="1"),OR(M3265=1,M3265="1")),"adequate","partial"),IF(AND(H3265="W4",F3265="predictive",OR(J3265="P2",J3265="P3",J3265="P4")),IF(OR(U3265=1,U3265="1"),"adequate","partial"),INDEX(Fit_Matrix!$B:$B,MATCH(P3265,Fit_Matrix!$A:$A,0)))),"CHECK KEY"))</f>
        <v/>
      </c>
      <c r="U3265" s="10"/>
      <c r="V3265" s="10"/>
      <c r="W3265" s="10"/>
      <c r="X3265" s="10"/>
      <c r="Y3265" s="10"/>
      <c r="Z3265" s="10"/>
      <c r="AA3265" s="11" t="str">
        <f t="shared" si="101"/>
        <v/>
      </c>
    </row>
    <row r="3266" spans="16:27" ht="15" customHeight="1">
      <c r="P3266" t="str">
        <f t="shared" ref="P3266:P3329" si="102">IF(OR(F3266="",H3266="",J3266=""),"",J3266&amp;"|"&amp;F3266&amp;"|"&amp;IF(H3266="W3","W3_"&amp;IF(I3266="","unknown",I3266),H3266))</f>
        <v/>
      </c>
      <c r="Q3266" t="str">
        <f>IF(P3266="","",IFERROR(IF(AND(H3266="W7",OR(F3266="causal",F3266="predictive")),IF(AND(OR(K3266=1,K3266="1"),OR(L3266=1,L3266="1"),OR(M3266=1,M3266="1")),"adequate","partial"),IF(AND(H3266="W4",F3266="predictive",OR(J3266="P2",J3266="P3",J3266="P4")),IF(OR(U3266=1,U3266="1"),"adequate","partial"),INDEX(Fit_Matrix!$B:$B,MATCH(P3266,Fit_Matrix!$A:$A,0)))),"CHECK KEY"))</f>
        <v/>
      </c>
      <c r="U3266" s="10"/>
      <c r="V3266" s="10"/>
      <c r="W3266" s="10"/>
      <c r="X3266" s="10"/>
      <c r="Y3266" s="10"/>
      <c r="Z3266" s="10"/>
      <c r="AA3266" s="11" t="str">
        <f t="shared" ref="AA3266:AA3329" si="103">IF(A3266="","",IF(AND(J3266="P4",F3266="causal"),"P4-CAUSAL",""))</f>
        <v/>
      </c>
    </row>
    <row r="3267" spans="16:27" ht="15" customHeight="1">
      <c r="P3267" t="str">
        <f t="shared" si="102"/>
        <v/>
      </c>
      <c r="Q3267" t="str">
        <f>IF(P3267="","",IFERROR(IF(AND(H3267="W7",OR(F3267="causal",F3267="predictive")),IF(AND(OR(K3267=1,K3267="1"),OR(L3267=1,L3267="1"),OR(M3267=1,M3267="1")),"adequate","partial"),IF(AND(H3267="W4",F3267="predictive",OR(J3267="P2",J3267="P3",J3267="P4")),IF(OR(U3267=1,U3267="1"),"adequate","partial"),INDEX(Fit_Matrix!$B:$B,MATCH(P3267,Fit_Matrix!$A:$A,0)))),"CHECK KEY"))</f>
        <v/>
      </c>
      <c r="U3267" s="10"/>
      <c r="V3267" s="10"/>
      <c r="W3267" s="10"/>
      <c r="X3267" s="10"/>
      <c r="Y3267" s="10"/>
      <c r="Z3267" s="10"/>
      <c r="AA3267" s="11" t="str">
        <f t="shared" si="103"/>
        <v/>
      </c>
    </row>
    <row r="3268" spans="16:27" ht="15" customHeight="1">
      <c r="P3268" t="str">
        <f t="shared" si="102"/>
        <v/>
      </c>
      <c r="Q3268" t="str">
        <f>IF(P3268="","",IFERROR(IF(AND(H3268="W7",OR(F3268="causal",F3268="predictive")),IF(AND(OR(K3268=1,K3268="1"),OR(L3268=1,L3268="1"),OR(M3268=1,M3268="1")),"adequate","partial"),IF(AND(H3268="W4",F3268="predictive",OR(J3268="P2",J3268="P3",J3268="P4")),IF(OR(U3268=1,U3268="1"),"adequate","partial"),INDEX(Fit_Matrix!$B:$B,MATCH(P3268,Fit_Matrix!$A:$A,0)))),"CHECK KEY"))</f>
        <v/>
      </c>
      <c r="U3268" s="10"/>
      <c r="V3268" s="10"/>
      <c r="W3268" s="10"/>
      <c r="X3268" s="10"/>
      <c r="Y3268" s="10"/>
      <c r="Z3268" s="10"/>
      <c r="AA3268" s="11" t="str">
        <f t="shared" si="103"/>
        <v/>
      </c>
    </row>
    <row r="3269" spans="16:27" ht="15" customHeight="1">
      <c r="P3269" t="str">
        <f t="shared" si="102"/>
        <v/>
      </c>
      <c r="Q3269" t="str">
        <f>IF(P3269="","",IFERROR(IF(AND(H3269="W7",OR(F3269="causal",F3269="predictive")),IF(AND(OR(K3269=1,K3269="1"),OR(L3269=1,L3269="1"),OR(M3269=1,M3269="1")),"adequate","partial"),IF(AND(H3269="W4",F3269="predictive",OR(J3269="P2",J3269="P3",J3269="P4")),IF(OR(U3269=1,U3269="1"),"adequate","partial"),INDEX(Fit_Matrix!$B:$B,MATCH(P3269,Fit_Matrix!$A:$A,0)))),"CHECK KEY"))</f>
        <v/>
      </c>
      <c r="U3269" s="10"/>
      <c r="V3269" s="10"/>
      <c r="W3269" s="10"/>
      <c r="X3269" s="10"/>
      <c r="Y3269" s="10"/>
      <c r="Z3269" s="10"/>
      <c r="AA3269" s="11" t="str">
        <f t="shared" si="103"/>
        <v/>
      </c>
    </row>
    <row r="3270" spans="16:27" ht="15" customHeight="1">
      <c r="P3270" t="str">
        <f t="shared" si="102"/>
        <v/>
      </c>
      <c r="Q3270" t="str">
        <f>IF(P3270="","",IFERROR(IF(AND(H3270="W7",OR(F3270="causal",F3270="predictive")),IF(AND(OR(K3270=1,K3270="1"),OR(L3270=1,L3270="1"),OR(M3270=1,M3270="1")),"adequate","partial"),IF(AND(H3270="W4",F3270="predictive",OR(J3270="P2",J3270="P3",J3270="P4")),IF(OR(U3270=1,U3270="1"),"adequate","partial"),INDEX(Fit_Matrix!$B:$B,MATCH(P3270,Fit_Matrix!$A:$A,0)))),"CHECK KEY"))</f>
        <v/>
      </c>
      <c r="U3270" s="10"/>
      <c r="V3270" s="10"/>
      <c r="W3270" s="10"/>
      <c r="X3270" s="10"/>
      <c r="Y3270" s="10"/>
      <c r="Z3270" s="10"/>
      <c r="AA3270" s="11" t="str">
        <f t="shared" si="103"/>
        <v/>
      </c>
    </row>
    <row r="3271" spans="16:27" ht="15" customHeight="1">
      <c r="P3271" t="str">
        <f t="shared" si="102"/>
        <v/>
      </c>
      <c r="Q3271" t="str">
        <f>IF(P3271="","",IFERROR(IF(AND(H3271="W7",OR(F3271="causal",F3271="predictive")),IF(AND(OR(K3271=1,K3271="1"),OR(L3271=1,L3271="1"),OR(M3271=1,M3271="1")),"adequate","partial"),IF(AND(H3271="W4",F3271="predictive",OR(J3271="P2",J3271="P3",J3271="P4")),IF(OR(U3271=1,U3271="1"),"adequate","partial"),INDEX(Fit_Matrix!$B:$B,MATCH(P3271,Fit_Matrix!$A:$A,0)))),"CHECK KEY"))</f>
        <v/>
      </c>
      <c r="U3271" s="10"/>
      <c r="V3271" s="10"/>
      <c r="W3271" s="10"/>
      <c r="X3271" s="10"/>
      <c r="Y3271" s="10"/>
      <c r="Z3271" s="10"/>
      <c r="AA3271" s="11" t="str">
        <f t="shared" si="103"/>
        <v/>
      </c>
    </row>
    <row r="3272" spans="16:27" ht="15" customHeight="1">
      <c r="P3272" t="str">
        <f t="shared" si="102"/>
        <v/>
      </c>
      <c r="Q3272" t="str">
        <f>IF(P3272="","",IFERROR(IF(AND(H3272="W7",OR(F3272="causal",F3272="predictive")),IF(AND(OR(K3272=1,K3272="1"),OR(L3272=1,L3272="1"),OR(M3272=1,M3272="1")),"adequate","partial"),IF(AND(H3272="W4",F3272="predictive",OR(J3272="P2",J3272="P3",J3272="P4")),IF(OR(U3272=1,U3272="1"),"adequate","partial"),INDEX(Fit_Matrix!$B:$B,MATCH(P3272,Fit_Matrix!$A:$A,0)))),"CHECK KEY"))</f>
        <v/>
      </c>
      <c r="U3272" s="10"/>
      <c r="V3272" s="10"/>
      <c r="W3272" s="10"/>
      <c r="X3272" s="10"/>
      <c r="Y3272" s="10"/>
      <c r="Z3272" s="10"/>
      <c r="AA3272" s="11" t="str">
        <f t="shared" si="103"/>
        <v/>
      </c>
    </row>
    <row r="3273" spans="16:27" ht="15" customHeight="1">
      <c r="P3273" t="str">
        <f t="shared" si="102"/>
        <v/>
      </c>
      <c r="Q3273" t="str">
        <f>IF(P3273="","",IFERROR(IF(AND(H3273="W7",OR(F3273="causal",F3273="predictive")),IF(AND(OR(K3273=1,K3273="1"),OR(L3273=1,L3273="1"),OR(M3273=1,M3273="1")),"adequate","partial"),IF(AND(H3273="W4",F3273="predictive",OR(J3273="P2",J3273="P3",J3273="P4")),IF(OR(U3273=1,U3273="1"),"adequate","partial"),INDEX(Fit_Matrix!$B:$B,MATCH(P3273,Fit_Matrix!$A:$A,0)))),"CHECK KEY"))</f>
        <v/>
      </c>
      <c r="U3273" s="10"/>
      <c r="V3273" s="10"/>
      <c r="W3273" s="10"/>
      <c r="X3273" s="10"/>
      <c r="Y3273" s="10"/>
      <c r="Z3273" s="10"/>
      <c r="AA3273" s="11" t="str">
        <f t="shared" si="103"/>
        <v/>
      </c>
    </row>
    <row r="3274" spans="16:27" ht="15" customHeight="1">
      <c r="P3274" t="str">
        <f t="shared" si="102"/>
        <v/>
      </c>
      <c r="Q3274" t="str">
        <f>IF(P3274="","",IFERROR(IF(AND(H3274="W7",OR(F3274="causal",F3274="predictive")),IF(AND(OR(K3274=1,K3274="1"),OR(L3274=1,L3274="1"),OR(M3274=1,M3274="1")),"adequate","partial"),IF(AND(H3274="W4",F3274="predictive",OR(J3274="P2",J3274="P3",J3274="P4")),IF(OR(U3274=1,U3274="1"),"adequate","partial"),INDEX(Fit_Matrix!$B:$B,MATCH(P3274,Fit_Matrix!$A:$A,0)))),"CHECK KEY"))</f>
        <v/>
      </c>
      <c r="U3274" s="10"/>
      <c r="V3274" s="10"/>
      <c r="W3274" s="10"/>
      <c r="X3274" s="10"/>
      <c r="Y3274" s="10"/>
      <c r="Z3274" s="10"/>
      <c r="AA3274" s="11" t="str">
        <f t="shared" si="103"/>
        <v/>
      </c>
    </row>
    <row r="3275" spans="16:27" ht="15" customHeight="1">
      <c r="P3275" t="str">
        <f t="shared" si="102"/>
        <v/>
      </c>
      <c r="Q3275" t="str">
        <f>IF(P3275="","",IFERROR(IF(AND(H3275="W7",OR(F3275="causal",F3275="predictive")),IF(AND(OR(K3275=1,K3275="1"),OR(L3275=1,L3275="1"),OR(M3275=1,M3275="1")),"adequate","partial"),IF(AND(H3275="W4",F3275="predictive",OR(J3275="P2",J3275="P3",J3275="P4")),IF(OR(U3275=1,U3275="1"),"adequate","partial"),INDEX(Fit_Matrix!$B:$B,MATCH(P3275,Fit_Matrix!$A:$A,0)))),"CHECK KEY"))</f>
        <v/>
      </c>
      <c r="U3275" s="10"/>
      <c r="V3275" s="10"/>
      <c r="W3275" s="10"/>
      <c r="X3275" s="10"/>
      <c r="Y3275" s="10"/>
      <c r="Z3275" s="10"/>
      <c r="AA3275" s="11" t="str">
        <f t="shared" si="103"/>
        <v/>
      </c>
    </row>
    <row r="3276" spans="16:27" ht="15" customHeight="1">
      <c r="P3276" t="str">
        <f t="shared" si="102"/>
        <v/>
      </c>
      <c r="Q3276" t="str">
        <f>IF(P3276="","",IFERROR(IF(AND(H3276="W7",OR(F3276="causal",F3276="predictive")),IF(AND(OR(K3276=1,K3276="1"),OR(L3276=1,L3276="1"),OR(M3276=1,M3276="1")),"adequate","partial"),IF(AND(H3276="W4",F3276="predictive",OR(J3276="P2",J3276="P3",J3276="P4")),IF(OR(U3276=1,U3276="1"),"adequate","partial"),INDEX(Fit_Matrix!$B:$B,MATCH(P3276,Fit_Matrix!$A:$A,0)))),"CHECK KEY"))</f>
        <v/>
      </c>
      <c r="U3276" s="10"/>
      <c r="V3276" s="10"/>
      <c r="W3276" s="10"/>
      <c r="X3276" s="10"/>
      <c r="Y3276" s="10"/>
      <c r="Z3276" s="10"/>
      <c r="AA3276" s="11" t="str">
        <f t="shared" si="103"/>
        <v/>
      </c>
    </row>
    <row r="3277" spans="16:27" ht="15" customHeight="1">
      <c r="P3277" t="str">
        <f t="shared" si="102"/>
        <v/>
      </c>
      <c r="Q3277" t="str">
        <f>IF(P3277="","",IFERROR(IF(AND(H3277="W7",OR(F3277="causal",F3277="predictive")),IF(AND(OR(K3277=1,K3277="1"),OR(L3277=1,L3277="1"),OR(M3277=1,M3277="1")),"adequate","partial"),IF(AND(H3277="W4",F3277="predictive",OR(J3277="P2",J3277="P3",J3277="P4")),IF(OR(U3277=1,U3277="1"),"adequate","partial"),INDEX(Fit_Matrix!$B:$B,MATCH(P3277,Fit_Matrix!$A:$A,0)))),"CHECK KEY"))</f>
        <v/>
      </c>
      <c r="U3277" s="10"/>
      <c r="V3277" s="10"/>
      <c r="W3277" s="10"/>
      <c r="X3277" s="10"/>
      <c r="Y3277" s="10"/>
      <c r="Z3277" s="10"/>
      <c r="AA3277" s="11" t="str">
        <f t="shared" si="103"/>
        <v/>
      </c>
    </row>
    <row r="3278" spans="16:27" ht="15" customHeight="1">
      <c r="P3278" t="str">
        <f t="shared" si="102"/>
        <v/>
      </c>
      <c r="Q3278" t="str">
        <f>IF(P3278="","",IFERROR(IF(AND(H3278="W7",OR(F3278="causal",F3278="predictive")),IF(AND(OR(K3278=1,K3278="1"),OR(L3278=1,L3278="1"),OR(M3278=1,M3278="1")),"adequate","partial"),IF(AND(H3278="W4",F3278="predictive",OR(J3278="P2",J3278="P3",J3278="P4")),IF(OR(U3278=1,U3278="1"),"adequate","partial"),INDEX(Fit_Matrix!$B:$B,MATCH(P3278,Fit_Matrix!$A:$A,0)))),"CHECK KEY"))</f>
        <v/>
      </c>
      <c r="U3278" s="10"/>
      <c r="V3278" s="10"/>
      <c r="W3278" s="10"/>
      <c r="X3278" s="10"/>
      <c r="Y3278" s="10"/>
      <c r="Z3278" s="10"/>
      <c r="AA3278" s="11" t="str">
        <f t="shared" si="103"/>
        <v/>
      </c>
    </row>
    <row r="3279" spans="16:27" ht="15" customHeight="1">
      <c r="P3279" t="str">
        <f t="shared" si="102"/>
        <v/>
      </c>
      <c r="Q3279" t="str">
        <f>IF(P3279="","",IFERROR(IF(AND(H3279="W7",OR(F3279="causal",F3279="predictive")),IF(AND(OR(K3279=1,K3279="1"),OR(L3279=1,L3279="1"),OR(M3279=1,M3279="1")),"adequate","partial"),IF(AND(H3279="W4",F3279="predictive",OR(J3279="P2",J3279="P3",J3279="P4")),IF(OR(U3279=1,U3279="1"),"adequate","partial"),INDEX(Fit_Matrix!$B:$B,MATCH(P3279,Fit_Matrix!$A:$A,0)))),"CHECK KEY"))</f>
        <v/>
      </c>
      <c r="U3279" s="10"/>
      <c r="V3279" s="10"/>
      <c r="W3279" s="10"/>
      <c r="X3279" s="10"/>
      <c r="Y3279" s="10"/>
      <c r="Z3279" s="10"/>
      <c r="AA3279" s="11" t="str">
        <f t="shared" si="103"/>
        <v/>
      </c>
    </row>
    <row r="3280" spans="16:27" ht="15" customHeight="1">
      <c r="P3280" t="str">
        <f t="shared" si="102"/>
        <v/>
      </c>
      <c r="Q3280" t="str">
        <f>IF(P3280="","",IFERROR(IF(AND(H3280="W7",OR(F3280="causal",F3280="predictive")),IF(AND(OR(K3280=1,K3280="1"),OR(L3280=1,L3280="1"),OR(M3280=1,M3280="1")),"adequate","partial"),IF(AND(H3280="W4",F3280="predictive",OR(J3280="P2",J3280="P3",J3280="P4")),IF(OR(U3280=1,U3280="1"),"adequate","partial"),INDEX(Fit_Matrix!$B:$B,MATCH(P3280,Fit_Matrix!$A:$A,0)))),"CHECK KEY"))</f>
        <v/>
      </c>
      <c r="U3280" s="10"/>
      <c r="V3280" s="10"/>
      <c r="W3280" s="10"/>
      <c r="X3280" s="10"/>
      <c r="Y3280" s="10"/>
      <c r="Z3280" s="10"/>
      <c r="AA3280" s="11" t="str">
        <f t="shared" si="103"/>
        <v/>
      </c>
    </row>
    <row r="3281" spans="16:27" ht="15" customHeight="1">
      <c r="P3281" t="str">
        <f t="shared" si="102"/>
        <v/>
      </c>
      <c r="Q3281" t="str">
        <f>IF(P3281="","",IFERROR(IF(AND(H3281="W7",OR(F3281="causal",F3281="predictive")),IF(AND(OR(K3281=1,K3281="1"),OR(L3281=1,L3281="1"),OR(M3281=1,M3281="1")),"adequate","partial"),IF(AND(H3281="W4",F3281="predictive",OR(J3281="P2",J3281="P3",J3281="P4")),IF(OR(U3281=1,U3281="1"),"adequate","partial"),INDEX(Fit_Matrix!$B:$B,MATCH(P3281,Fit_Matrix!$A:$A,0)))),"CHECK KEY"))</f>
        <v/>
      </c>
      <c r="U3281" s="10"/>
      <c r="V3281" s="10"/>
      <c r="W3281" s="10"/>
      <c r="X3281" s="10"/>
      <c r="Y3281" s="10"/>
      <c r="Z3281" s="10"/>
      <c r="AA3281" s="11" t="str">
        <f t="shared" si="103"/>
        <v/>
      </c>
    </row>
    <row r="3282" spans="16:27" ht="15" customHeight="1">
      <c r="P3282" t="str">
        <f t="shared" si="102"/>
        <v/>
      </c>
      <c r="Q3282" t="str">
        <f>IF(P3282="","",IFERROR(IF(AND(H3282="W7",OR(F3282="causal",F3282="predictive")),IF(AND(OR(K3282=1,K3282="1"),OR(L3282=1,L3282="1"),OR(M3282=1,M3282="1")),"adequate","partial"),IF(AND(H3282="W4",F3282="predictive",OR(J3282="P2",J3282="P3",J3282="P4")),IF(OR(U3282=1,U3282="1"),"adequate","partial"),INDEX(Fit_Matrix!$B:$B,MATCH(P3282,Fit_Matrix!$A:$A,0)))),"CHECK KEY"))</f>
        <v/>
      </c>
      <c r="U3282" s="10"/>
      <c r="V3282" s="10"/>
      <c r="W3282" s="10"/>
      <c r="X3282" s="10"/>
      <c r="Y3282" s="10"/>
      <c r="Z3282" s="10"/>
      <c r="AA3282" s="11" t="str">
        <f t="shared" si="103"/>
        <v/>
      </c>
    </row>
    <row r="3283" spans="16:27" ht="15" customHeight="1">
      <c r="P3283" t="str">
        <f t="shared" si="102"/>
        <v/>
      </c>
      <c r="Q3283" t="str">
        <f>IF(P3283="","",IFERROR(IF(AND(H3283="W7",OR(F3283="causal",F3283="predictive")),IF(AND(OR(K3283=1,K3283="1"),OR(L3283=1,L3283="1"),OR(M3283=1,M3283="1")),"adequate","partial"),IF(AND(H3283="W4",F3283="predictive",OR(J3283="P2",J3283="P3",J3283="P4")),IF(OR(U3283=1,U3283="1"),"adequate","partial"),INDEX(Fit_Matrix!$B:$B,MATCH(P3283,Fit_Matrix!$A:$A,0)))),"CHECK KEY"))</f>
        <v/>
      </c>
      <c r="U3283" s="10"/>
      <c r="V3283" s="10"/>
      <c r="W3283" s="10"/>
      <c r="X3283" s="10"/>
      <c r="Y3283" s="10"/>
      <c r="Z3283" s="10"/>
      <c r="AA3283" s="11" t="str">
        <f t="shared" si="103"/>
        <v/>
      </c>
    </row>
    <row r="3284" spans="16:27" ht="15" customHeight="1">
      <c r="P3284" t="str">
        <f t="shared" si="102"/>
        <v/>
      </c>
      <c r="Q3284" t="str">
        <f>IF(P3284="","",IFERROR(IF(AND(H3284="W7",OR(F3284="causal",F3284="predictive")),IF(AND(OR(K3284=1,K3284="1"),OR(L3284=1,L3284="1"),OR(M3284=1,M3284="1")),"adequate","partial"),IF(AND(H3284="W4",F3284="predictive",OR(J3284="P2",J3284="P3",J3284="P4")),IF(OR(U3284=1,U3284="1"),"adequate","partial"),INDEX(Fit_Matrix!$B:$B,MATCH(P3284,Fit_Matrix!$A:$A,0)))),"CHECK KEY"))</f>
        <v/>
      </c>
      <c r="U3284" s="10"/>
      <c r="V3284" s="10"/>
      <c r="W3284" s="10"/>
      <c r="X3284" s="10"/>
      <c r="Y3284" s="10"/>
      <c r="Z3284" s="10"/>
      <c r="AA3284" s="11" t="str">
        <f t="shared" si="103"/>
        <v/>
      </c>
    </row>
    <row r="3285" spans="16:27" ht="15" customHeight="1">
      <c r="P3285" t="str">
        <f t="shared" si="102"/>
        <v/>
      </c>
      <c r="Q3285" t="str">
        <f>IF(P3285="","",IFERROR(IF(AND(H3285="W7",OR(F3285="causal",F3285="predictive")),IF(AND(OR(K3285=1,K3285="1"),OR(L3285=1,L3285="1"),OR(M3285=1,M3285="1")),"adequate","partial"),IF(AND(H3285="W4",F3285="predictive",OR(J3285="P2",J3285="P3",J3285="P4")),IF(OR(U3285=1,U3285="1"),"adequate","partial"),INDEX(Fit_Matrix!$B:$B,MATCH(P3285,Fit_Matrix!$A:$A,0)))),"CHECK KEY"))</f>
        <v/>
      </c>
      <c r="U3285" s="10"/>
      <c r="V3285" s="10"/>
      <c r="W3285" s="10"/>
      <c r="X3285" s="10"/>
      <c r="Y3285" s="10"/>
      <c r="Z3285" s="10"/>
      <c r="AA3285" s="11" t="str">
        <f t="shared" si="103"/>
        <v/>
      </c>
    </row>
    <row r="3286" spans="16:27" ht="15" customHeight="1">
      <c r="P3286" t="str">
        <f t="shared" si="102"/>
        <v/>
      </c>
      <c r="Q3286" t="str">
        <f>IF(P3286="","",IFERROR(IF(AND(H3286="W7",OR(F3286="causal",F3286="predictive")),IF(AND(OR(K3286=1,K3286="1"),OR(L3286=1,L3286="1"),OR(M3286=1,M3286="1")),"adequate","partial"),IF(AND(H3286="W4",F3286="predictive",OR(J3286="P2",J3286="P3",J3286="P4")),IF(OR(U3286=1,U3286="1"),"adequate","partial"),INDEX(Fit_Matrix!$B:$B,MATCH(P3286,Fit_Matrix!$A:$A,0)))),"CHECK KEY"))</f>
        <v/>
      </c>
      <c r="U3286" s="10"/>
      <c r="V3286" s="10"/>
      <c r="W3286" s="10"/>
      <c r="X3286" s="10"/>
      <c r="Y3286" s="10"/>
      <c r="Z3286" s="10"/>
      <c r="AA3286" s="11" t="str">
        <f t="shared" si="103"/>
        <v/>
      </c>
    </row>
    <row r="3287" spans="16:27" ht="15" customHeight="1">
      <c r="P3287" t="str">
        <f t="shared" si="102"/>
        <v/>
      </c>
      <c r="Q3287" t="str">
        <f>IF(P3287="","",IFERROR(IF(AND(H3287="W7",OR(F3287="causal",F3287="predictive")),IF(AND(OR(K3287=1,K3287="1"),OR(L3287=1,L3287="1"),OR(M3287=1,M3287="1")),"adequate","partial"),IF(AND(H3287="W4",F3287="predictive",OR(J3287="P2",J3287="P3",J3287="P4")),IF(OR(U3287=1,U3287="1"),"adequate","partial"),INDEX(Fit_Matrix!$B:$B,MATCH(P3287,Fit_Matrix!$A:$A,0)))),"CHECK KEY"))</f>
        <v/>
      </c>
      <c r="U3287" s="10"/>
      <c r="V3287" s="10"/>
      <c r="W3287" s="10"/>
      <c r="X3287" s="10"/>
      <c r="Y3287" s="10"/>
      <c r="Z3287" s="10"/>
      <c r="AA3287" s="11" t="str">
        <f t="shared" si="103"/>
        <v/>
      </c>
    </row>
    <row r="3288" spans="16:27" ht="15" customHeight="1">
      <c r="P3288" t="str">
        <f t="shared" si="102"/>
        <v/>
      </c>
      <c r="Q3288" t="str">
        <f>IF(P3288="","",IFERROR(IF(AND(H3288="W7",OR(F3288="causal",F3288="predictive")),IF(AND(OR(K3288=1,K3288="1"),OR(L3288=1,L3288="1"),OR(M3288=1,M3288="1")),"adequate","partial"),IF(AND(H3288="W4",F3288="predictive",OR(J3288="P2",J3288="P3",J3288="P4")),IF(OR(U3288=1,U3288="1"),"adequate","partial"),INDEX(Fit_Matrix!$B:$B,MATCH(P3288,Fit_Matrix!$A:$A,0)))),"CHECK KEY"))</f>
        <v/>
      </c>
      <c r="U3288" s="10"/>
      <c r="V3288" s="10"/>
      <c r="W3288" s="10"/>
      <c r="X3288" s="10"/>
      <c r="Y3288" s="10"/>
      <c r="Z3288" s="10"/>
      <c r="AA3288" s="11" t="str">
        <f t="shared" si="103"/>
        <v/>
      </c>
    </row>
    <row r="3289" spans="16:27" ht="15" customHeight="1">
      <c r="P3289" t="str">
        <f t="shared" si="102"/>
        <v/>
      </c>
      <c r="Q3289" t="str">
        <f>IF(P3289="","",IFERROR(IF(AND(H3289="W7",OR(F3289="causal",F3289="predictive")),IF(AND(OR(K3289=1,K3289="1"),OR(L3289=1,L3289="1"),OR(M3289=1,M3289="1")),"adequate","partial"),IF(AND(H3289="W4",F3289="predictive",OR(J3289="P2",J3289="P3",J3289="P4")),IF(OR(U3289=1,U3289="1"),"adequate","partial"),INDEX(Fit_Matrix!$B:$B,MATCH(P3289,Fit_Matrix!$A:$A,0)))),"CHECK KEY"))</f>
        <v/>
      </c>
      <c r="U3289" s="10"/>
      <c r="V3289" s="10"/>
      <c r="W3289" s="10"/>
      <c r="X3289" s="10"/>
      <c r="Y3289" s="10"/>
      <c r="Z3289" s="10"/>
      <c r="AA3289" s="11" t="str">
        <f t="shared" si="103"/>
        <v/>
      </c>
    </row>
    <row r="3290" spans="16:27" ht="15" customHeight="1">
      <c r="P3290" t="str">
        <f t="shared" si="102"/>
        <v/>
      </c>
      <c r="Q3290" t="str">
        <f>IF(P3290="","",IFERROR(IF(AND(H3290="W7",OR(F3290="causal",F3290="predictive")),IF(AND(OR(K3290=1,K3290="1"),OR(L3290=1,L3290="1"),OR(M3290=1,M3290="1")),"adequate","partial"),IF(AND(H3290="W4",F3290="predictive",OR(J3290="P2",J3290="P3",J3290="P4")),IF(OR(U3290=1,U3290="1"),"adequate","partial"),INDEX(Fit_Matrix!$B:$B,MATCH(P3290,Fit_Matrix!$A:$A,0)))),"CHECK KEY"))</f>
        <v/>
      </c>
      <c r="U3290" s="10"/>
      <c r="V3290" s="10"/>
      <c r="W3290" s="10"/>
      <c r="X3290" s="10"/>
      <c r="Y3290" s="10"/>
      <c r="Z3290" s="10"/>
      <c r="AA3290" s="11" t="str">
        <f t="shared" si="103"/>
        <v/>
      </c>
    </row>
    <row r="3291" spans="16:27" ht="15" customHeight="1">
      <c r="P3291" t="str">
        <f t="shared" si="102"/>
        <v/>
      </c>
      <c r="Q3291" t="str">
        <f>IF(P3291="","",IFERROR(IF(AND(H3291="W7",OR(F3291="causal",F3291="predictive")),IF(AND(OR(K3291=1,K3291="1"),OR(L3291=1,L3291="1"),OR(M3291=1,M3291="1")),"adequate","partial"),IF(AND(H3291="W4",F3291="predictive",OR(J3291="P2",J3291="P3",J3291="P4")),IF(OR(U3291=1,U3291="1"),"adequate","partial"),INDEX(Fit_Matrix!$B:$B,MATCH(P3291,Fit_Matrix!$A:$A,0)))),"CHECK KEY"))</f>
        <v/>
      </c>
      <c r="U3291" s="10"/>
      <c r="V3291" s="10"/>
      <c r="W3291" s="10"/>
      <c r="X3291" s="10"/>
      <c r="Y3291" s="10"/>
      <c r="Z3291" s="10"/>
      <c r="AA3291" s="11" t="str">
        <f t="shared" si="103"/>
        <v/>
      </c>
    </row>
    <row r="3292" spans="16:27" ht="15" customHeight="1">
      <c r="P3292" t="str">
        <f t="shared" si="102"/>
        <v/>
      </c>
      <c r="Q3292" t="str">
        <f>IF(P3292="","",IFERROR(IF(AND(H3292="W7",OR(F3292="causal",F3292="predictive")),IF(AND(OR(K3292=1,K3292="1"),OR(L3292=1,L3292="1"),OR(M3292=1,M3292="1")),"adequate","partial"),IF(AND(H3292="W4",F3292="predictive",OR(J3292="P2",J3292="P3",J3292="P4")),IF(OR(U3292=1,U3292="1"),"adequate","partial"),INDEX(Fit_Matrix!$B:$B,MATCH(P3292,Fit_Matrix!$A:$A,0)))),"CHECK KEY"))</f>
        <v/>
      </c>
      <c r="U3292" s="10"/>
      <c r="V3292" s="10"/>
      <c r="W3292" s="10"/>
      <c r="X3292" s="10"/>
      <c r="Y3292" s="10"/>
      <c r="Z3292" s="10"/>
      <c r="AA3292" s="11" t="str">
        <f t="shared" si="103"/>
        <v/>
      </c>
    </row>
    <row r="3293" spans="16:27" ht="15" customHeight="1">
      <c r="P3293" t="str">
        <f t="shared" si="102"/>
        <v/>
      </c>
      <c r="Q3293" t="str">
        <f>IF(P3293="","",IFERROR(IF(AND(H3293="W7",OR(F3293="causal",F3293="predictive")),IF(AND(OR(K3293=1,K3293="1"),OR(L3293=1,L3293="1"),OR(M3293=1,M3293="1")),"adequate","partial"),IF(AND(H3293="W4",F3293="predictive",OR(J3293="P2",J3293="P3",J3293="P4")),IF(OR(U3293=1,U3293="1"),"adequate","partial"),INDEX(Fit_Matrix!$B:$B,MATCH(P3293,Fit_Matrix!$A:$A,0)))),"CHECK KEY"))</f>
        <v/>
      </c>
      <c r="U3293" s="10"/>
      <c r="V3293" s="10"/>
      <c r="W3293" s="10"/>
      <c r="X3293" s="10"/>
      <c r="Y3293" s="10"/>
      <c r="Z3293" s="10"/>
      <c r="AA3293" s="11" t="str">
        <f t="shared" si="103"/>
        <v/>
      </c>
    </row>
    <row r="3294" spans="16:27" ht="15" customHeight="1">
      <c r="P3294" t="str">
        <f t="shared" si="102"/>
        <v/>
      </c>
      <c r="Q3294" t="str">
        <f>IF(P3294="","",IFERROR(IF(AND(H3294="W7",OR(F3294="causal",F3294="predictive")),IF(AND(OR(K3294=1,K3294="1"),OR(L3294=1,L3294="1"),OR(M3294=1,M3294="1")),"adequate","partial"),IF(AND(H3294="W4",F3294="predictive",OR(J3294="P2",J3294="P3",J3294="P4")),IF(OR(U3294=1,U3294="1"),"adequate","partial"),INDEX(Fit_Matrix!$B:$B,MATCH(P3294,Fit_Matrix!$A:$A,0)))),"CHECK KEY"))</f>
        <v/>
      </c>
      <c r="U3294" s="10"/>
      <c r="V3294" s="10"/>
      <c r="W3294" s="10"/>
      <c r="X3294" s="10"/>
      <c r="Y3294" s="10"/>
      <c r="Z3294" s="10"/>
      <c r="AA3294" s="11" t="str">
        <f t="shared" si="103"/>
        <v/>
      </c>
    </row>
    <row r="3295" spans="16:27" ht="15" customHeight="1">
      <c r="P3295" t="str">
        <f t="shared" si="102"/>
        <v/>
      </c>
      <c r="Q3295" t="str">
        <f>IF(P3295="","",IFERROR(IF(AND(H3295="W7",OR(F3295="causal",F3295="predictive")),IF(AND(OR(K3295=1,K3295="1"),OR(L3295=1,L3295="1"),OR(M3295=1,M3295="1")),"adequate","partial"),IF(AND(H3295="W4",F3295="predictive",OR(J3295="P2",J3295="P3",J3295="P4")),IF(OR(U3295=1,U3295="1"),"adequate","partial"),INDEX(Fit_Matrix!$B:$B,MATCH(P3295,Fit_Matrix!$A:$A,0)))),"CHECK KEY"))</f>
        <v/>
      </c>
      <c r="U3295" s="10"/>
      <c r="V3295" s="10"/>
      <c r="W3295" s="10"/>
      <c r="X3295" s="10"/>
      <c r="Y3295" s="10"/>
      <c r="Z3295" s="10"/>
      <c r="AA3295" s="11" t="str">
        <f t="shared" si="103"/>
        <v/>
      </c>
    </row>
    <row r="3296" spans="16:27" ht="15" customHeight="1">
      <c r="P3296" t="str">
        <f t="shared" si="102"/>
        <v/>
      </c>
      <c r="Q3296" t="str">
        <f>IF(P3296="","",IFERROR(IF(AND(H3296="W7",OR(F3296="causal",F3296="predictive")),IF(AND(OR(K3296=1,K3296="1"),OR(L3296=1,L3296="1"),OR(M3296=1,M3296="1")),"adequate","partial"),IF(AND(H3296="W4",F3296="predictive",OR(J3296="P2",J3296="P3",J3296="P4")),IF(OR(U3296=1,U3296="1"),"adequate","partial"),INDEX(Fit_Matrix!$B:$B,MATCH(P3296,Fit_Matrix!$A:$A,0)))),"CHECK KEY"))</f>
        <v/>
      </c>
      <c r="U3296" s="10"/>
      <c r="V3296" s="10"/>
      <c r="W3296" s="10"/>
      <c r="X3296" s="10"/>
      <c r="Y3296" s="10"/>
      <c r="Z3296" s="10"/>
      <c r="AA3296" s="11" t="str">
        <f t="shared" si="103"/>
        <v/>
      </c>
    </row>
    <row r="3297" spans="16:27" ht="15" customHeight="1">
      <c r="P3297" t="str">
        <f t="shared" si="102"/>
        <v/>
      </c>
      <c r="Q3297" t="str">
        <f>IF(P3297="","",IFERROR(IF(AND(H3297="W7",OR(F3297="causal",F3297="predictive")),IF(AND(OR(K3297=1,K3297="1"),OR(L3297=1,L3297="1"),OR(M3297=1,M3297="1")),"adequate","partial"),IF(AND(H3297="W4",F3297="predictive",OR(J3297="P2",J3297="P3",J3297="P4")),IF(OR(U3297=1,U3297="1"),"adequate","partial"),INDEX(Fit_Matrix!$B:$B,MATCH(P3297,Fit_Matrix!$A:$A,0)))),"CHECK KEY"))</f>
        <v/>
      </c>
      <c r="U3297" s="10"/>
      <c r="V3297" s="10"/>
      <c r="W3297" s="10"/>
      <c r="X3297" s="10"/>
      <c r="Y3297" s="10"/>
      <c r="Z3297" s="10"/>
      <c r="AA3297" s="11" t="str">
        <f t="shared" si="103"/>
        <v/>
      </c>
    </row>
    <row r="3298" spans="16:27" ht="15" customHeight="1">
      <c r="P3298" t="str">
        <f t="shared" si="102"/>
        <v/>
      </c>
      <c r="Q3298" t="str">
        <f>IF(P3298="","",IFERROR(IF(AND(H3298="W7",OR(F3298="causal",F3298="predictive")),IF(AND(OR(K3298=1,K3298="1"),OR(L3298=1,L3298="1"),OR(M3298=1,M3298="1")),"adequate","partial"),IF(AND(H3298="W4",F3298="predictive",OR(J3298="P2",J3298="P3",J3298="P4")),IF(OR(U3298=1,U3298="1"),"adequate","partial"),INDEX(Fit_Matrix!$B:$B,MATCH(P3298,Fit_Matrix!$A:$A,0)))),"CHECK KEY"))</f>
        <v/>
      </c>
      <c r="U3298" s="10"/>
      <c r="V3298" s="10"/>
      <c r="W3298" s="10"/>
      <c r="X3298" s="10"/>
      <c r="Y3298" s="10"/>
      <c r="Z3298" s="10"/>
      <c r="AA3298" s="11" t="str">
        <f t="shared" si="103"/>
        <v/>
      </c>
    </row>
    <row r="3299" spans="16:27" ht="15" customHeight="1">
      <c r="P3299" t="str">
        <f t="shared" si="102"/>
        <v/>
      </c>
      <c r="Q3299" t="str">
        <f>IF(P3299="","",IFERROR(IF(AND(H3299="W7",OR(F3299="causal",F3299="predictive")),IF(AND(OR(K3299=1,K3299="1"),OR(L3299=1,L3299="1"),OR(M3299=1,M3299="1")),"adequate","partial"),IF(AND(H3299="W4",F3299="predictive",OR(J3299="P2",J3299="P3",J3299="P4")),IF(OR(U3299=1,U3299="1"),"adequate","partial"),INDEX(Fit_Matrix!$B:$B,MATCH(P3299,Fit_Matrix!$A:$A,0)))),"CHECK KEY"))</f>
        <v/>
      </c>
      <c r="U3299" s="10"/>
      <c r="V3299" s="10"/>
      <c r="W3299" s="10"/>
      <c r="X3299" s="10"/>
      <c r="Y3299" s="10"/>
      <c r="Z3299" s="10"/>
      <c r="AA3299" s="11" t="str">
        <f t="shared" si="103"/>
        <v/>
      </c>
    </row>
    <row r="3300" spans="16:27" ht="15" customHeight="1">
      <c r="P3300" t="str">
        <f t="shared" si="102"/>
        <v/>
      </c>
      <c r="Q3300" t="str">
        <f>IF(P3300="","",IFERROR(IF(AND(H3300="W7",OR(F3300="causal",F3300="predictive")),IF(AND(OR(K3300=1,K3300="1"),OR(L3300=1,L3300="1"),OR(M3300=1,M3300="1")),"adequate","partial"),IF(AND(H3300="W4",F3300="predictive",OR(J3300="P2",J3300="P3",J3300="P4")),IF(OR(U3300=1,U3300="1"),"adequate","partial"),INDEX(Fit_Matrix!$B:$B,MATCH(P3300,Fit_Matrix!$A:$A,0)))),"CHECK KEY"))</f>
        <v/>
      </c>
      <c r="U3300" s="10"/>
      <c r="V3300" s="10"/>
      <c r="W3300" s="10"/>
      <c r="X3300" s="10"/>
      <c r="Y3300" s="10"/>
      <c r="Z3300" s="10"/>
      <c r="AA3300" s="11" t="str">
        <f t="shared" si="103"/>
        <v/>
      </c>
    </row>
    <row r="3301" spans="16:27" ht="15" customHeight="1">
      <c r="P3301" t="str">
        <f t="shared" si="102"/>
        <v/>
      </c>
      <c r="Q3301" t="str">
        <f>IF(P3301="","",IFERROR(IF(AND(H3301="W7",OR(F3301="causal",F3301="predictive")),IF(AND(OR(K3301=1,K3301="1"),OR(L3301=1,L3301="1"),OR(M3301=1,M3301="1")),"adequate","partial"),IF(AND(H3301="W4",F3301="predictive",OR(J3301="P2",J3301="P3",J3301="P4")),IF(OR(U3301=1,U3301="1"),"adequate","partial"),INDEX(Fit_Matrix!$B:$B,MATCH(P3301,Fit_Matrix!$A:$A,0)))),"CHECK KEY"))</f>
        <v/>
      </c>
      <c r="U3301" s="10"/>
      <c r="V3301" s="10"/>
      <c r="W3301" s="10"/>
      <c r="X3301" s="10"/>
      <c r="Y3301" s="10"/>
      <c r="Z3301" s="10"/>
      <c r="AA3301" s="11" t="str">
        <f t="shared" si="103"/>
        <v/>
      </c>
    </row>
    <row r="3302" spans="16:27" ht="15" customHeight="1">
      <c r="P3302" t="str">
        <f t="shared" si="102"/>
        <v/>
      </c>
      <c r="Q3302" t="str">
        <f>IF(P3302="","",IFERROR(IF(AND(H3302="W7",OR(F3302="causal",F3302="predictive")),IF(AND(OR(K3302=1,K3302="1"),OR(L3302=1,L3302="1"),OR(M3302=1,M3302="1")),"adequate","partial"),IF(AND(H3302="W4",F3302="predictive",OR(J3302="P2",J3302="P3",J3302="P4")),IF(OR(U3302=1,U3302="1"),"adequate","partial"),INDEX(Fit_Matrix!$B:$B,MATCH(P3302,Fit_Matrix!$A:$A,0)))),"CHECK KEY"))</f>
        <v/>
      </c>
      <c r="U3302" s="10"/>
      <c r="V3302" s="10"/>
      <c r="W3302" s="10"/>
      <c r="X3302" s="10"/>
      <c r="Y3302" s="10"/>
      <c r="Z3302" s="10"/>
      <c r="AA3302" s="11" t="str">
        <f t="shared" si="103"/>
        <v/>
      </c>
    </row>
    <row r="3303" spans="16:27" ht="15" customHeight="1">
      <c r="P3303" t="str">
        <f t="shared" si="102"/>
        <v/>
      </c>
      <c r="Q3303" t="str">
        <f>IF(P3303="","",IFERROR(IF(AND(H3303="W7",OR(F3303="causal",F3303="predictive")),IF(AND(OR(K3303=1,K3303="1"),OR(L3303=1,L3303="1"),OR(M3303=1,M3303="1")),"adequate","partial"),IF(AND(H3303="W4",F3303="predictive",OR(J3303="P2",J3303="P3",J3303="P4")),IF(OR(U3303=1,U3303="1"),"adequate","partial"),INDEX(Fit_Matrix!$B:$B,MATCH(P3303,Fit_Matrix!$A:$A,0)))),"CHECK KEY"))</f>
        <v/>
      </c>
      <c r="U3303" s="10"/>
      <c r="V3303" s="10"/>
      <c r="W3303" s="10"/>
      <c r="X3303" s="10"/>
      <c r="Y3303" s="10"/>
      <c r="Z3303" s="10"/>
      <c r="AA3303" s="11" t="str">
        <f t="shared" si="103"/>
        <v/>
      </c>
    </row>
    <row r="3304" spans="16:27" ht="15" customHeight="1">
      <c r="P3304" t="str">
        <f t="shared" si="102"/>
        <v/>
      </c>
      <c r="Q3304" t="str">
        <f>IF(P3304="","",IFERROR(IF(AND(H3304="W7",OR(F3304="causal",F3304="predictive")),IF(AND(OR(K3304=1,K3304="1"),OR(L3304=1,L3304="1"),OR(M3304=1,M3304="1")),"adequate","partial"),IF(AND(H3304="W4",F3304="predictive",OR(J3304="P2",J3304="P3",J3304="P4")),IF(OR(U3304=1,U3304="1"),"adequate","partial"),INDEX(Fit_Matrix!$B:$B,MATCH(P3304,Fit_Matrix!$A:$A,0)))),"CHECK KEY"))</f>
        <v/>
      </c>
      <c r="U3304" s="10"/>
      <c r="V3304" s="10"/>
      <c r="W3304" s="10"/>
      <c r="X3304" s="10"/>
      <c r="Y3304" s="10"/>
      <c r="Z3304" s="10"/>
      <c r="AA3304" s="11" t="str">
        <f t="shared" si="103"/>
        <v/>
      </c>
    </row>
    <row r="3305" spans="16:27" ht="15" customHeight="1">
      <c r="P3305" t="str">
        <f t="shared" si="102"/>
        <v/>
      </c>
      <c r="Q3305" t="str">
        <f>IF(P3305="","",IFERROR(IF(AND(H3305="W7",OR(F3305="causal",F3305="predictive")),IF(AND(OR(K3305=1,K3305="1"),OR(L3305=1,L3305="1"),OR(M3305=1,M3305="1")),"adequate","partial"),IF(AND(H3305="W4",F3305="predictive",OR(J3305="P2",J3305="P3",J3305="P4")),IF(OR(U3305=1,U3305="1"),"adequate","partial"),INDEX(Fit_Matrix!$B:$B,MATCH(P3305,Fit_Matrix!$A:$A,0)))),"CHECK KEY"))</f>
        <v/>
      </c>
      <c r="U3305" s="10"/>
      <c r="V3305" s="10"/>
      <c r="W3305" s="10"/>
      <c r="X3305" s="10"/>
      <c r="Y3305" s="10"/>
      <c r="Z3305" s="10"/>
      <c r="AA3305" s="11" t="str">
        <f t="shared" si="103"/>
        <v/>
      </c>
    </row>
    <row r="3306" spans="16:27" ht="15" customHeight="1">
      <c r="P3306" t="str">
        <f t="shared" si="102"/>
        <v/>
      </c>
      <c r="Q3306" t="str">
        <f>IF(P3306="","",IFERROR(IF(AND(H3306="W7",OR(F3306="causal",F3306="predictive")),IF(AND(OR(K3306=1,K3306="1"),OR(L3306=1,L3306="1"),OR(M3306=1,M3306="1")),"adequate","partial"),IF(AND(H3306="W4",F3306="predictive",OR(J3306="P2",J3306="P3",J3306="P4")),IF(OR(U3306=1,U3306="1"),"adequate","partial"),INDEX(Fit_Matrix!$B:$B,MATCH(P3306,Fit_Matrix!$A:$A,0)))),"CHECK KEY"))</f>
        <v/>
      </c>
      <c r="U3306" s="10"/>
      <c r="V3306" s="10"/>
      <c r="W3306" s="10"/>
      <c r="X3306" s="10"/>
      <c r="Y3306" s="10"/>
      <c r="Z3306" s="10"/>
      <c r="AA3306" s="11" t="str">
        <f t="shared" si="103"/>
        <v/>
      </c>
    </row>
    <row r="3307" spans="16:27" ht="15" customHeight="1">
      <c r="P3307" t="str">
        <f t="shared" si="102"/>
        <v/>
      </c>
      <c r="Q3307" t="str">
        <f>IF(P3307="","",IFERROR(IF(AND(H3307="W7",OR(F3307="causal",F3307="predictive")),IF(AND(OR(K3307=1,K3307="1"),OR(L3307=1,L3307="1"),OR(M3307=1,M3307="1")),"adequate","partial"),IF(AND(H3307="W4",F3307="predictive",OR(J3307="P2",J3307="P3",J3307="P4")),IF(OR(U3307=1,U3307="1"),"adequate","partial"),INDEX(Fit_Matrix!$B:$B,MATCH(P3307,Fit_Matrix!$A:$A,0)))),"CHECK KEY"))</f>
        <v/>
      </c>
      <c r="U3307" s="10"/>
      <c r="V3307" s="10"/>
      <c r="W3307" s="10"/>
      <c r="X3307" s="10"/>
      <c r="Y3307" s="10"/>
      <c r="Z3307" s="10"/>
      <c r="AA3307" s="11" t="str">
        <f t="shared" si="103"/>
        <v/>
      </c>
    </row>
    <row r="3308" spans="16:27" ht="15" customHeight="1">
      <c r="P3308" t="str">
        <f t="shared" si="102"/>
        <v/>
      </c>
      <c r="Q3308" t="str">
        <f>IF(P3308="","",IFERROR(IF(AND(H3308="W7",OR(F3308="causal",F3308="predictive")),IF(AND(OR(K3308=1,K3308="1"),OR(L3308=1,L3308="1"),OR(M3308=1,M3308="1")),"adequate","partial"),IF(AND(H3308="W4",F3308="predictive",OR(J3308="P2",J3308="P3",J3308="P4")),IF(OR(U3308=1,U3308="1"),"adequate","partial"),INDEX(Fit_Matrix!$B:$B,MATCH(P3308,Fit_Matrix!$A:$A,0)))),"CHECK KEY"))</f>
        <v/>
      </c>
      <c r="U3308" s="10"/>
      <c r="V3308" s="10"/>
      <c r="W3308" s="10"/>
      <c r="X3308" s="10"/>
      <c r="Y3308" s="10"/>
      <c r="Z3308" s="10"/>
      <c r="AA3308" s="11" t="str">
        <f t="shared" si="103"/>
        <v/>
      </c>
    </row>
    <row r="3309" spans="16:27" ht="15" customHeight="1">
      <c r="P3309" t="str">
        <f t="shared" si="102"/>
        <v/>
      </c>
      <c r="Q3309" t="str">
        <f>IF(P3309="","",IFERROR(IF(AND(H3309="W7",OR(F3309="causal",F3309="predictive")),IF(AND(OR(K3309=1,K3309="1"),OR(L3309=1,L3309="1"),OR(M3309=1,M3309="1")),"adequate","partial"),IF(AND(H3309="W4",F3309="predictive",OR(J3309="P2",J3309="P3",J3309="P4")),IF(OR(U3309=1,U3309="1"),"adequate","partial"),INDEX(Fit_Matrix!$B:$B,MATCH(P3309,Fit_Matrix!$A:$A,0)))),"CHECK KEY"))</f>
        <v/>
      </c>
      <c r="U3309" s="10"/>
      <c r="V3309" s="10"/>
      <c r="W3309" s="10"/>
      <c r="X3309" s="10"/>
      <c r="Y3309" s="10"/>
      <c r="Z3309" s="10"/>
      <c r="AA3309" s="11" t="str">
        <f t="shared" si="103"/>
        <v/>
      </c>
    </row>
    <row r="3310" spans="16:27" ht="15" customHeight="1">
      <c r="P3310" t="str">
        <f t="shared" si="102"/>
        <v/>
      </c>
      <c r="Q3310" t="str">
        <f>IF(P3310="","",IFERROR(IF(AND(H3310="W7",OR(F3310="causal",F3310="predictive")),IF(AND(OR(K3310=1,K3310="1"),OR(L3310=1,L3310="1"),OR(M3310=1,M3310="1")),"adequate","partial"),IF(AND(H3310="W4",F3310="predictive",OR(J3310="P2",J3310="P3",J3310="P4")),IF(OR(U3310=1,U3310="1"),"adequate","partial"),INDEX(Fit_Matrix!$B:$B,MATCH(P3310,Fit_Matrix!$A:$A,0)))),"CHECK KEY"))</f>
        <v/>
      </c>
      <c r="U3310" s="10"/>
      <c r="V3310" s="10"/>
      <c r="W3310" s="10"/>
      <c r="X3310" s="10"/>
      <c r="Y3310" s="10"/>
      <c r="Z3310" s="10"/>
      <c r="AA3310" s="11" t="str">
        <f t="shared" si="103"/>
        <v/>
      </c>
    </row>
    <row r="3311" spans="16:27" ht="15" customHeight="1">
      <c r="P3311" t="str">
        <f t="shared" si="102"/>
        <v/>
      </c>
      <c r="Q3311" t="str">
        <f>IF(P3311="","",IFERROR(IF(AND(H3311="W7",OR(F3311="causal",F3311="predictive")),IF(AND(OR(K3311=1,K3311="1"),OR(L3311=1,L3311="1"),OR(M3311=1,M3311="1")),"adequate","partial"),IF(AND(H3311="W4",F3311="predictive",OR(J3311="P2",J3311="P3",J3311="P4")),IF(OR(U3311=1,U3311="1"),"adequate","partial"),INDEX(Fit_Matrix!$B:$B,MATCH(P3311,Fit_Matrix!$A:$A,0)))),"CHECK KEY"))</f>
        <v/>
      </c>
      <c r="U3311" s="10"/>
      <c r="V3311" s="10"/>
      <c r="W3311" s="10"/>
      <c r="X3311" s="10"/>
      <c r="Y3311" s="10"/>
      <c r="Z3311" s="10"/>
      <c r="AA3311" s="11" t="str">
        <f t="shared" si="103"/>
        <v/>
      </c>
    </row>
    <row r="3312" spans="16:27" ht="15" customHeight="1">
      <c r="P3312" t="str">
        <f t="shared" si="102"/>
        <v/>
      </c>
      <c r="Q3312" t="str">
        <f>IF(P3312="","",IFERROR(IF(AND(H3312="W7",OR(F3312="causal",F3312="predictive")),IF(AND(OR(K3312=1,K3312="1"),OR(L3312=1,L3312="1"),OR(M3312=1,M3312="1")),"adequate","partial"),IF(AND(H3312="W4",F3312="predictive",OR(J3312="P2",J3312="P3",J3312="P4")),IF(OR(U3312=1,U3312="1"),"adequate","partial"),INDEX(Fit_Matrix!$B:$B,MATCH(P3312,Fit_Matrix!$A:$A,0)))),"CHECK KEY"))</f>
        <v/>
      </c>
      <c r="U3312" s="10"/>
      <c r="V3312" s="10"/>
      <c r="W3312" s="10"/>
      <c r="X3312" s="10"/>
      <c r="Y3312" s="10"/>
      <c r="Z3312" s="10"/>
      <c r="AA3312" s="11" t="str">
        <f t="shared" si="103"/>
        <v/>
      </c>
    </row>
    <row r="3313" spans="16:27" ht="15" customHeight="1">
      <c r="P3313" t="str">
        <f t="shared" si="102"/>
        <v/>
      </c>
      <c r="Q3313" t="str">
        <f>IF(P3313="","",IFERROR(IF(AND(H3313="W7",OR(F3313="causal",F3313="predictive")),IF(AND(OR(K3313=1,K3313="1"),OR(L3313=1,L3313="1"),OR(M3313=1,M3313="1")),"adequate","partial"),IF(AND(H3313="W4",F3313="predictive",OR(J3313="P2",J3313="P3",J3313="P4")),IF(OR(U3313=1,U3313="1"),"adequate","partial"),INDEX(Fit_Matrix!$B:$B,MATCH(P3313,Fit_Matrix!$A:$A,0)))),"CHECK KEY"))</f>
        <v/>
      </c>
      <c r="U3313" s="10"/>
      <c r="V3313" s="10"/>
      <c r="W3313" s="10"/>
      <c r="X3313" s="10"/>
      <c r="Y3313" s="10"/>
      <c r="Z3313" s="10"/>
      <c r="AA3313" s="11" t="str">
        <f t="shared" si="103"/>
        <v/>
      </c>
    </row>
    <row r="3314" spans="16:27" ht="15" customHeight="1">
      <c r="P3314" t="str">
        <f t="shared" si="102"/>
        <v/>
      </c>
      <c r="Q3314" t="str">
        <f>IF(P3314="","",IFERROR(IF(AND(H3314="W7",OR(F3314="causal",F3314="predictive")),IF(AND(OR(K3314=1,K3314="1"),OR(L3314=1,L3314="1"),OR(M3314=1,M3314="1")),"adequate","partial"),IF(AND(H3314="W4",F3314="predictive",OR(J3314="P2",J3314="P3",J3314="P4")),IF(OR(U3314=1,U3314="1"),"adequate","partial"),INDEX(Fit_Matrix!$B:$B,MATCH(P3314,Fit_Matrix!$A:$A,0)))),"CHECK KEY"))</f>
        <v/>
      </c>
      <c r="U3314" s="10"/>
      <c r="V3314" s="10"/>
      <c r="W3314" s="10"/>
      <c r="X3314" s="10"/>
      <c r="Y3314" s="10"/>
      <c r="Z3314" s="10"/>
      <c r="AA3314" s="11" t="str">
        <f t="shared" si="103"/>
        <v/>
      </c>
    </row>
    <row r="3315" spans="16:27" ht="15" customHeight="1">
      <c r="P3315" t="str">
        <f t="shared" si="102"/>
        <v/>
      </c>
      <c r="Q3315" t="str">
        <f>IF(P3315="","",IFERROR(IF(AND(H3315="W7",OR(F3315="causal",F3315="predictive")),IF(AND(OR(K3315=1,K3315="1"),OR(L3315=1,L3315="1"),OR(M3315=1,M3315="1")),"adequate","partial"),IF(AND(H3315="W4",F3315="predictive",OR(J3315="P2",J3315="P3",J3315="P4")),IF(OR(U3315=1,U3315="1"),"adequate","partial"),INDEX(Fit_Matrix!$B:$B,MATCH(P3315,Fit_Matrix!$A:$A,0)))),"CHECK KEY"))</f>
        <v/>
      </c>
      <c r="U3315" s="10"/>
      <c r="V3315" s="10"/>
      <c r="W3315" s="10"/>
      <c r="X3315" s="10"/>
      <c r="Y3315" s="10"/>
      <c r="Z3315" s="10"/>
      <c r="AA3315" s="11" t="str">
        <f t="shared" si="103"/>
        <v/>
      </c>
    </row>
    <row r="3316" spans="16:27" ht="15" customHeight="1">
      <c r="P3316" t="str">
        <f t="shared" si="102"/>
        <v/>
      </c>
      <c r="Q3316" t="str">
        <f>IF(P3316="","",IFERROR(IF(AND(H3316="W7",OR(F3316="causal",F3316="predictive")),IF(AND(OR(K3316=1,K3316="1"),OR(L3316=1,L3316="1"),OR(M3316=1,M3316="1")),"adequate","partial"),IF(AND(H3316="W4",F3316="predictive",OR(J3316="P2",J3316="P3",J3316="P4")),IF(OR(U3316=1,U3316="1"),"adequate","partial"),INDEX(Fit_Matrix!$B:$B,MATCH(P3316,Fit_Matrix!$A:$A,0)))),"CHECK KEY"))</f>
        <v/>
      </c>
      <c r="U3316" s="10"/>
      <c r="V3316" s="10"/>
      <c r="W3316" s="10"/>
      <c r="X3316" s="10"/>
      <c r="Y3316" s="10"/>
      <c r="Z3316" s="10"/>
      <c r="AA3316" s="11" t="str">
        <f t="shared" si="103"/>
        <v/>
      </c>
    </row>
    <row r="3317" spans="16:27" ht="15" customHeight="1">
      <c r="P3317" t="str">
        <f t="shared" si="102"/>
        <v/>
      </c>
      <c r="Q3317" t="str">
        <f>IF(P3317="","",IFERROR(IF(AND(H3317="W7",OR(F3317="causal",F3317="predictive")),IF(AND(OR(K3317=1,K3317="1"),OR(L3317=1,L3317="1"),OR(M3317=1,M3317="1")),"adequate","partial"),IF(AND(H3317="W4",F3317="predictive",OR(J3317="P2",J3317="P3",J3317="P4")),IF(OR(U3317=1,U3317="1"),"adequate","partial"),INDEX(Fit_Matrix!$B:$B,MATCH(P3317,Fit_Matrix!$A:$A,0)))),"CHECK KEY"))</f>
        <v/>
      </c>
      <c r="U3317" s="10"/>
      <c r="V3317" s="10"/>
      <c r="W3317" s="10"/>
      <c r="X3317" s="10"/>
      <c r="Y3317" s="10"/>
      <c r="Z3317" s="10"/>
      <c r="AA3317" s="11" t="str">
        <f t="shared" si="103"/>
        <v/>
      </c>
    </row>
    <row r="3318" spans="16:27" ht="15" customHeight="1">
      <c r="P3318" t="str">
        <f t="shared" si="102"/>
        <v/>
      </c>
      <c r="Q3318" t="str">
        <f>IF(P3318="","",IFERROR(IF(AND(H3318="W7",OR(F3318="causal",F3318="predictive")),IF(AND(OR(K3318=1,K3318="1"),OR(L3318=1,L3318="1"),OR(M3318=1,M3318="1")),"adequate","partial"),IF(AND(H3318="W4",F3318="predictive",OR(J3318="P2",J3318="P3",J3318="P4")),IF(OR(U3318=1,U3318="1"),"adequate","partial"),INDEX(Fit_Matrix!$B:$B,MATCH(P3318,Fit_Matrix!$A:$A,0)))),"CHECK KEY"))</f>
        <v/>
      </c>
      <c r="U3318" s="10"/>
      <c r="V3318" s="10"/>
      <c r="W3318" s="10"/>
      <c r="X3318" s="10"/>
      <c r="Y3318" s="10"/>
      <c r="Z3318" s="10"/>
      <c r="AA3318" s="11" t="str">
        <f t="shared" si="103"/>
        <v/>
      </c>
    </row>
    <row r="3319" spans="16:27" ht="15" customHeight="1">
      <c r="P3319" t="str">
        <f t="shared" si="102"/>
        <v/>
      </c>
      <c r="Q3319" t="str">
        <f>IF(P3319="","",IFERROR(IF(AND(H3319="W7",OR(F3319="causal",F3319="predictive")),IF(AND(OR(K3319=1,K3319="1"),OR(L3319=1,L3319="1"),OR(M3319=1,M3319="1")),"adequate","partial"),IF(AND(H3319="W4",F3319="predictive",OR(J3319="P2",J3319="P3",J3319="P4")),IF(OR(U3319=1,U3319="1"),"adequate","partial"),INDEX(Fit_Matrix!$B:$B,MATCH(P3319,Fit_Matrix!$A:$A,0)))),"CHECK KEY"))</f>
        <v/>
      </c>
      <c r="U3319" s="10"/>
      <c r="V3319" s="10"/>
      <c r="W3319" s="10"/>
      <c r="X3319" s="10"/>
      <c r="Y3319" s="10"/>
      <c r="Z3319" s="10"/>
      <c r="AA3319" s="11" t="str">
        <f t="shared" si="103"/>
        <v/>
      </c>
    </row>
    <row r="3320" spans="16:27" ht="15" customHeight="1">
      <c r="P3320" t="str">
        <f t="shared" si="102"/>
        <v/>
      </c>
      <c r="Q3320" t="str">
        <f>IF(P3320="","",IFERROR(IF(AND(H3320="W7",OR(F3320="causal",F3320="predictive")),IF(AND(OR(K3320=1,K3320="1"),OR(L3320=1,L3320="1"),OR(M3320=1,M3320="1")),"adequate","partial"),IF(AND(H3320="W4",F3320="predictive",OR(J3320="P2",J3320="P3",J3320="P4")),IF(OR(U3320=1,U3320="1"),"adequate","partial"),INDEX(Fit_Matrix!$B:$B,MATCH(P3320,Fit_Matrix!$A:$A,0)))),"CHECK KEY"))</f>
        <v/>
      </c>
      <c r="U3320" s="10"/>
      <c r="V3320" s="10"/>
      <c r="W3320" s="10"/>
      <c r="X3320" s="10"/>
      <c r="Y3320" s="10"/>
      <c r="Z3320" s="10"/>
      <c r="AA3320" s="11" t="str">
        <f t="shared" si="103"/>
        <v/>
      </c>
    </row>
    <row r="3321" spans="16:27" ht="15" customHeight="1">
      <c r="P3321" t="str">
        <f t="shared" si="102"/>
        <v/>
      </c>
      <c r="Q3321" t="str">
        <f>IF(P3321="","",IFERROR(IF(AND(H3321="W7",OR(F3321="causal",F3321="predictive")),IF(AND(OR(K3321=1,K3321="1"),OR(L3321=1,L3321="1"),OR(M3321=1,M3321="1")),"adequate","partial"),IF(AND(H3321="W4",F3321="predictive",OR(J3321="P2",J3321="P3",J3321="P4")),IF(OR(U3321=1,U3321="1"),"adequate","partial"),INDEX(Fit_Matrix!$B:$B,MATCH(P3321,Fit_Matrix!$A:$A,0)))),"CHECK KEY"))</f>
        <v/>
      </c>
      <c r="U3321" s="10"/>
      <c r="V3321" s="10"/>
      <c r="W3321" s="10"/>
      <c r="X3321" s="10"/>
      <c r="Y3321" s="10"/>
      <c r="Z3321" s="10"/>
      <c r="AA3321" s="11" t="str">
        <f t="shared" si="103"/>
        <v/>
      </c>
    </row>
    <row r="3322" spans="16:27" ht="15" customHeight="1">
      <c r="P3322" t="str">
        <f t="shared" si="102"/>
        <v/>
      </c>
      <c r="Q3322" t="str">
        <f>IF(P3322="","",IFERROR(IF(AND(H3322="W7",OR(F3322="causal",F3322="predictive")),IF(AND(OR(K3322=1,K3322="1"),OR(L3322=1,L3322="1"),OR(M3322=1,M3322="1")),"adequate","partial"),IF(AND(H3322="W4",F3322="predictive",OR(J3322="P2",J3322="P3",J3322="P4")),IF(OR(U3322=1,U3322="1"),"adequate","partial"),INDEX(Fit_Matrix!$B:$B,MATCH(P3322,Fit_Matrix!$A:$A,0)))),"CHECK KEY"))</f>
        <v/>
      </c>
      <c r="U3322" s="10"/>
      <c r="V3322" s="10"/>
      <c r="W3322" s="10"/>
      <c r="X3322" s="10"/>
      <c r="Y3322" s="10"/>
      <c r="Z3322" s="10"/>
      <c r="AA3322" s="11" t="str">
        <f t="shared" si="103"/>
        <v/>
      </c>
    </row>
    <row r="3323" spans="16:27" ht="15" customHeight="1">
      <c r="P3323" t="str">
        <f t="shared" si="102"/>
        <v/>
      </c>
      <c r="Q3323" t="str">
        <f>IF(P3323="","",IFERROR(IF(AND(H3323="W7",OR(F3323="causal",F3323="predictive")),IF(AND(OR(K3323=1,K3323="1"),OR(L3323=1,L3323="1"),OR(M3323=1,M3323="1")),"adequate","partial"),IF(AND(H3323="W4",F3323="predictive",OR(J3323="P2",J3323="P3",J3323="P4")),IF(OR(U3323=1,U3323="1"),"adequate","partial"),INDEX(Fit_Matrix!$B:$B,MATCH(P3323,Fit_Matrix!$A:$A,0)))),"CHECK KEY"))</f>
        <v/>
      </c>
      <c r="U3323" s="10"/>
      <c r="V3323" s="10"/>
      <c r="W3323" s="10"/>
      <c r="X3323" s="10"/>
      <c r="Y3323" s="10"/>
      <c r="Z3323" s="10"/>
      <c r="AA3323" s="11" t="str">
        <f t="shared" si="103"/>
        <v/>
      </c>
    </row>
    <row r="3324" spans="16:27" ht="15" customHeight="1">
      <c r="P3324" t="str">
        <f t="shared" si="102"/>
        <v/>
      </c>
      <c r="Q3324" t="str">
        <f>IF(P3324="","",IFERROR(IF(AND(H3324="W7",OR(F3324="causal",F3324="predictive")),IF(AND(OR(K3324=1,K3324="1"),OR(L3324=1,L3324="1"),OR(M3324=1,M3324="1")),"adequate","partial"),IF(AND(H3324="W4",F3324="predictive",OR(J3324="P2",J3324="P3",J3324="P4")),IF(OR(U3324=1,U3324="1"),"adequate","partial"),INDEX(Fit_Matrix!$B:$B,MATCH(P3324,Fit_Matrix!$A:$A,0)))),"CHECK KEY"))</f>
        <v/>
      </c>
      <c r="U3324" s="10"/>
      <c r="V3324" s="10"/>
      <c r="W3324" s="10"/>
      <c r="X3324" s="10"/>
      <c r="Y3324" s="10"/>
      <c r="Z3324" s="10"/>
      <c r="AA3324" s="11" t="str">
        <f t="shared" si="103"/>
        <v/>
      </c>
    </row>
    <row r="3325" spans="16:27" ht="15" customHeight="1">
      <c r="P3325" t="str">
        <f t="shared" si="102"/>
        <v/>
      </c>
      <c r="Q3325" t="str">
        <f>IF(P3325="","",IFERROR(IF(AND(H3325="W7",OR(F3325="causal",F3325="predictive")),IF(AND(OR(K3325=1,K3325="1"),OR(L3325=1,L3325="1"),OR(M3325=1,M3325="1")),"adequate","partial"),IF(AND(H3325="W4",F3325="predictive",OR(J3325="P2",J3325="P3",J3325="P4")),IF(OR(U3325=1,U3325="1"),"adequate","partial"),INDEX(Fit_Matrix!$B:$B,MATCH(P3325,Fit_Matrix!$A:$A,0)))),"CHECK KEY"))</f>
        <v/>
      </c>
      <c r="U3325" s="10"/>
      <c r="V3325" s="10"/>
      <c r="W3325" s="10"/>
      <c r="X3325" s="10"/>
      <c r="Y3325" s="10"/>
      <c r="Z3325" s="10"/>
      <c r="AA3325" s="11" t="str">
        <f t="shared" si="103"/>
        <v/>
      </c>
    </row>
    <row r="3326" spans="16:27" ht="15" customHeight="1">
      <c r="P3326" t="str">
        <f t="shared" si="102"/>
        <v/>
      </c>
      <c r="Q3326" t="str">
        <f>IF(P3326="","",IFERROR(IF(AND(H3326="W7",OR(F3326="causal",F3326="predictive")),IF(AND(OR(K3326=1,K3326="1"),OR(L3326=1,L3326="1"),OR(M3326=1,M3326="1")),"adequate","partial"),IF(AND(H3326="W4",F3326="predictive",OR(J3326="P2",J3326="P3",J3326="P4")),IF(OR(U3326=1,U3326="1"),"adequate","partial"),INDEX(Fit_Matrix!$B:$B,MATCH(P3326,Fit_Matrix!$A:$A,0)))),"CHECK KEY"))</f>
        <v/>
      </c>
      <c r="U3326" s="10"/>
      <c r="V3326" s="10"/>
      <c r="W3326" s="10"/>
      <c r="X3326" s="10"/>
      <c r="Y3326" s="10"/>
      <c r="Z3326" s="10"/>
      <c r="AA3326" s="11" t="str">
        <f t="shared" si="103"/>
        <v/>
      </c>
    </row>
    <row r="3327" spans="16:27" ht="15" customHeight="1">
      <c r="P3327" t="str">
        <f t="shared" si="102"/>
        <v/>
      </c>
      <c r="Q3327" t="str">
        <f>IF(P3327="","",IFERROR(IF(AND(H3327="W7",OR(F3327="causal",F3327="predictive")),IF(AND(OR(K3327=1,K3327="1"),OR(L3327=1,L3327="1"),OR(M3327=1,M3327="1")),"adequate","partial"),IF(AND(H3327="W4",F3327="predictive",OR(J3327="P2",J3327="P3",J3327="P4")),IF(OR(U3327=1,U3327="1"),"adequate","partial"),INDEX(Fit_Matrix!$B:$B,MATCH(P3327,Fit_Matrix!$A:$A,0)))),"CHECK KEY"))</f>
        <v/>
      </c>
      <c r="U3327" s="10"/>
      <c r="V3327" s="10"/>
      <c r="W3327" s="10"/>
      <c r="X3327" s="10"/>
      <c r="Y3327" s="10"/>
      <c r="Z3327" s="10"/>
      <c r="AA3327" s="11" t="str">
        <f t="shared" si="103"/>
        <v/>
      </c>
    </row>
    <row r="3328" spans="16:27" ht="15" customHeight="1">
      <c r="P3328" t="str">
        <f t="shared" si="102"/>
        <v/>
      </c>
      <c r="Q3328" t="str">
        <f>IF(P3328="","",IFERROR(IF(AND(H3328="W7",OR(F3328="causal",F3328="predictive")),IF(AND(OR(K3328=1,K3328="1"),OR(L3328=1,L3328="1"),OR(M3328=1,M3328="1")),"adequate","partial"),IF(AND(H3328="W4",F3328="predictive",OR(J3328="P2",J3328="P3",J3328="P4")),IF(OR(U3328=1,U3328="1"),"adequate","partial"),INDEX(Fit_Matrix!$B:$B,MATCH(P3328,Fit_Matrix!$A:$A,0)))),"CHECK KEY"))</f>
        <v/>
      </c>
      <c r="U3328" s="10"/>
      <c r="V3328" s="10"/>
      <c r="W3328" s="10"/>
      <c r="X3328" s="10"/>
      <c r="Y3328" s="10"/>
      <c r="Z3328" s="10"/>
      <c r="AA3328" s="11" t="str">
        <f t="shared" si="103"/>
        <v/>
      </c>
    </row>
    <row r="3329" spans="16:27" ht="15" customHeight="1">
      <c r="P3329" t="str">
        <f t="shared" si="102"/>
        <v/>
      </c>
      <c r="Q3329" t="str">
        <f>IF(P3329="","",IFERROR(IF(AND(H3329="W7",OR(F3329="causal",F3329="predictive")),IF(AND(OR(K3329=1,K3329="1"),OR(L3329=1,L3329="1"),OR(M3329=1,M3329="1")),"adequate","partial"),IF(AND(H3329="W4",F3329="predictive",OR(J3329="P2",J3329="P3",J3329="P4")),IF(OR(U3329=1,U3329="1"),"adequate","partial"),INDEX(Fit_Matrix!$B:$B,MATCH(P3329,Fit_Matrix!$A:$A,0)))),"CHECK KEY"))</f>
        <v/>
      </c>
      <c r="U3329" s="10"/>
      <c r="V3329" s="10"/>
      <c r="W3329" s="10"/>
      <c r="X3329" s="10"/>
      <c r="Y3329" s="10"/>
      <c r="Z3329" s="10"/>
      <c r="AA3329" s="11" t="str">
        <f t="shared" si="103"/>
        <v/>
      </c>
    </row>
    <row r="3330" spans="16:27" ht="15" customHeight="1">
      <c r="P3330" t="str">
        <f t="shared" ref="P3330:P3393" si="104">IF(OR(F3330="",H3330="",J3330=""),"",J3330&amp;"|"&amp;F3330&amp;"|"&amp;IF(H3330="W3","W3_"&amp;IF(I3330="","unknown",I3330),H3330))</f>
        <v/>
      </c>
      <c r="Q3330" t="str">
        <f>IF(P3330="","",IFERROR(IF(AND(H3330="W7",OR(F3330="causal",F3330="predictive")),IF(AND(OR(K3330=1,K3330="1"),OR(L3330=1,L3330="1"),OR(M3330=1,M3330="1")),"adequate","partial"),IF(AND(H3330="W4",F3330="predictive",OR(J3330="P2",J3330="P3",J3330="P4")),IF(OR(U3330=1,U3330="1"),"adequate","partial"),INDEX(Fit_Matrix!$B:$B,MATCH(P3330,Fit_Matrix!$A:$A,0)))),"CHECK KEY"))</f>
        <v/>
      </c>
      <c r="U3330" s="10"/>
      <c r="V3330" s="10"/>
      <c r="W3330" s="10"/>
      <c r="X3330" s="10"/>
      <c r="Y3330" s="10"/>
      <c r="Z3330" s="10"/>
      <c r="AA3330" s="11" t="str">
        <f t="shared" ref="AA3330:AA3393" si="105">IF(A3330="","",IF(AND(J3330="P4",F3330="causal"),"P4-CAUSAL",""))</f>
        <v/>
      </c>
    </row>
    <row r="3331" spans="16:27" ht="15" customHeight="1">
      <c r="P3331" t="str">
        <f t="shared" si="104"/>
        <v/>
      </c>
      <c r="Q3331" t="str">
        <f>IF(P3331="","",IFERROR(IF(AND(H3331="W7",OR(F3331="causal",F3331="predictive")),IF(AND(OR(K3331=1,K3331="1"),OR(L3331=1,L3331="1"),OR(M3331=1,M3331="1")),"adequate","partial"),IF(AND(H3331="W4",F3331="predictive",OR(J3331="P2",J3331="P3",J3331="P4")),IF(OR(U3331=1,U3331="1"),"adequate","partial"),INDEX(Fit_Matrix!$B:$B,MATCH(P3331,Fit_Matrix!$A:$A,0)))),"CHECK KEY"))</f>
        <v/>
      </c>
      <c r="U3331" s="10"/>
      <c r="V3331" s="10"/>
      <c r="W3331" s="10"/>
      <c r="X3331" s="10"/>
      <c r="Y3331" s="10"/>
      <c r="Z3331" s="10"/>
      <c r="AA3331" s="11" t="str">
        <f t="shared" si="105"/>
        <v/>
      </c>
    </row>
    <row r="3332" spans="16:27" ht="15" customHeight="1">
      <c r="P3332" t="str">
        <f t="shared" si="104"/>
        <v/>
      </c>
      <c r="Q3332" t="str">
        <f>IF(P3332="","",IFERROR(IF(AND(H3332="W7",OR(F3332="causal",F3332="predictive")),IF(AND(OR(K3332=1,K3332="1"),OR(L3332=1,L3332="1"),OR(M3332=1,M3332="1")),"adequate","partial"),IF(AND(H3332="W4",F3332="predictive",OR(J3332="P2",J3332="P3",J3332="P4")),IF(OR(U3332=1,U3332="1"),"adequate","partial"),INDEX(Fit_Matrix!$B:$B,MATCH(P3332,Fit_Matrix!$A:$A,0)))),"CHECK KEY"))</f>
        <v/>
      </c>
      <c r="U3332" s="10"/>
      <c r="V3332" s="10"/>
      <c r="W3332" s="10"/>
      <c r="X3332" s="10"/>
      <c r="Y3332" s="10"/>
      <c r="Z3332" s="10"/>
      <c r="AA3332" s="11" t="str">
        <f t="shared" si="105"/>
        <v/>
      </c>
    </row>
    <row r="3333" spans="16:27" ht="15" customHeight="1">
      <c r="P3333" t="str">
        <f t="shared" si="104"/>
        <v/>
      </c>
      <c r="Q3333" t="str">
        <f>IF(P3333="","",IFERROR(IF(AND(H3333="W7",OR(F3333="causal",F3333="predictive")),IF(AND(OR(K3333=1,K3333="1"),OR(L3333=1,L3333="1"),OR(M3333=1,M3333="1")),"adequate","partial"),IF(AND(H3333="W4",F3333="predictive",OR(J3333="P2",J3333="P3",J3333="P4")),IF(OR(U3333=1,U3333="1"),"adequate","partial"),INDEX(Fit_Matrix!$B:$B,MATCH(P3333,Fit_Matrix!$A:$A,0)))),"CHECK KEY"))</f>
        <v/>
      </c>
      <c r="U3333" s="10"/>
      <c r="V3333" s="10"/>
      <c r="W3333" s="10"/>
      <c r="X3333" s="10"/>
      <c r="Y3333" s="10"/>
      <c r="Z3333" s="10"/>
      <c r="AA3333" s="11" t="str">
        <f t="shared" si="105"/>
        <v/>
      </c>
    </row>
    <row r="3334" spans="16:27" ht="15" customHeight="1">
      <c r="P3334" t="str">
        <f t="shared" si="104"/>
        <v/>
      </c>
      <c r="Q3334" t="str">
        <f>IF(P3334="","",IFERROR(IF(AND(H3334="W7",OR(F3334="causal",F3334="predictive")),IF(AND(OR(K3334=1,K3334="1"),OR(L3334=1,L3334="1"),OR(M3334=1,M3334="1")),"adequate","partial"),IF(AND(H3334="W4",F3334="predictive",OR(J3334="P2",J3334="P3",J3334="P4")),IF(OR(U3334=1,U3334="1"),"adequate","partial"),INDEX(Fit_Matrix!$B:$B,MATCH(P3334,Fit_Matrix!$A:$A,0)))),"CHECK KEY"))</f>
        <v/>
      </c>
      <c r="U3334" s="10"/>
      <c r="V3334" s="10"/>
      <c r="W3334" s="10"/>
      <c r="X3334" s="10"/>
      <c r="Y3334" s="10"/>
      <c r="Z3334" s="10"/>
      <c r="AA3334" s="11" t="str">
        <f t="shared" si="105"/>
        <v/>
      </c>
    </row>
    <row r="3335" spans="16:27" ht="15" customHeight="1">
      <c r="P3335" t="str">
        <f t="shared" si="104"/>
        <v/>
      </c>
      <c r="Q3335" t="str">
        <f>IF(P3335="","",IFERROR(IF(AND(H3335="W7",OR(F3335="causal",F3335="predictive")),IF(AND(OR(K3335=1,K3335="1"),OR(L3335=1,L3335="1"),OR(M3335=1,M3335="1")),"adequate","partial"),IF(AND(H3335="W4",F3335="predictive",OR(J3335="P2",J3335="P3",J3335="P4")),IF(OR(U3335=1,U3335="1"),"adequate","partial"),INDEX(Fit_Matrix!$B:$B,MATCH(P3335,Fit_Matrix!$A:$A,0)))),"CHECK KEY"))</f>
        <v/>
      </c>
      <c r="U3335" s="10"/>
      <c r="V3335" s="10"/>
      <c r="W3335" s="10"/>
      <c r="X3335" s="10"/>
      <c r="Y3335" s="10"/>
      <c r="Z3335" s="10"/>
      <c r="AA3335" s="11" t="str">
        <f t="shared" si="105"/>
        <v/>
      </c>
    </row>
    <row r="3336" spans="16:27" ht="15" customHeight="1">
      <c r="P3336" t="str">
        <f t="shared" si="104"/>
        <v/>
      </c>
      <c r="Q3336" t="str">
        <f>IF(P3336="","",IFERROR(IF(AND(H3336="W7",OR(F3336="causal",F3336="predictive")),IF(AND(OR(K3336=1,K3336="1"),OR(L3336=1,L3336="1"),OR(M3336=1,M3336="1")),"adequate","partial"),IF(AND(H3336="W4",F3336="predictive",OR(J3336="P2",J3336="P3",J3336="P4")),IF(OR(U3336=1,U3336="1"),"adequate","partial"),INDEX(Fit_Matrix!$B:$B,MATCH(P3336,Fit_Matrix!$A:$A,0)))),"CHECK KEY"))</f>
        <v/>
      </c>
      <c r="U3336" s="10"/>
      <c r="V3336" s="10"/>
      <c r="W3336" s="10"/>
      <c r="X3336" s="10"/>
      <c r="Y3336" s="10"/>
      <c r="Z3336" s="10"/>
      <c r="AA3336" s="11" t="str">
        <f t="shared" si="105"/>
        <v/>
      </c>
    </row>
    <row r="3337" spans="16:27" ht="15" customHeight="1">
      <c r="P3337" t="str">
        <f t="shared" si="104"/>
        <v/>
      </c>
      <c r="Q3337" t="str">
        <f>IF(P3337="","",IFERROR(IF(AND(H3337="W7",OR(F3337="causal",F3337="predictive")),IF(AND(OR(K3337=1,K3337="1"),OR(L3337=1,L3337="1"),OR(M3337=1,M3337="1")),"adequate","partial"),IF(AND(H3337="W4",F3337="predictive",OR(J3337="P2",J3337="P3",J3337="P4")),IF(OR(U3337=1,U3337="1"),"adequate","partial"),INDEX(Fit_Matrix!$B:$B,MATCH(P3337,Fit_Matrix!$A:$A,0)))),"CHECK KEY"))</f>
        <v/>
      </c>
      <c r="U3337" s="10"/>
      <c r="V3337" s="10"/>
      <c r="W3337" s="10"/>
      <c r="X3337" s="10"/>
      <c r="Y3337" s="10"/>
      <c r="Z3337" s="10"/>
      <c r="AA3337" s="11" t="str">
        <f t="shared" si="105"/>
        <v/>
      </c>
    </row>
    <row r="3338" spans="16:27" ht="15" customHeight="1">
      <c r="P3338" t="str">
        <f t="shared" si="104"/>
        <v/>
      </c>
      <c r="Q3338" t="str">
        <f>IF(P3338="","",IFERROR(IF(AND(H3338="W7",OR(F3338="causal",F3338="predictive")),IF(AND(OR(K3338=1,K3338="1"),OR(L3338=1,L3338="1"),OR(M3338=1,M3338="1")),"adequate","partial"),IF(AND(H3338="W4",F3338="predictive",OR(J3338="P2",J3338="P3",J3338="P4")),IF(OR(U3338=1,U3338="1"),"adequate","partial"),INDEX(Fit_Matrix!$B:$B,MATCH(P3338,Fit_Matrix!$A:$A,0)))),"CHECK KEY"))</f>
        <v/>
      </c>
      <c r="U3338" s="10"/>
      <c r="V3338" s="10"/>
      <c r="W3338" s="10"/>
      <c r="X3338" s="10"/>
      <c r="Y3338" s="10"/>
      <c r="Z3338" s="10"/>
      <c r="AA3338" s="11" t="str">
        <f t="shared" si="105"/>
        <v/>
      </c>
    </row>
    <row r="3339" spans="16:27" ht="15" customHeight="1">
      <c r="P3339" t="str">
        <f t="shared" si="104"/>
        <v/>
      </c>
      <c r="Q3339" t="str">
        <f>IF(P3339="","",IFERROR(IF(AND(H3339="W7",OR(F3339="causal",F3339="predictive")),IF(AND(OR(K3339=1,K3339="1"),OR(L3339=1,L3339="1"),OR(M3339=1,M3339="1")),"adequate","partial"),IF(AND(H3339="W4",F3339="predictive",OR(J3339="P2",J3339="P3",J3339="P4")),IF(OR(U3339=1,U3339="1"),"adequate","partial"),INDEX(Fit_Matrix!$B:$B,MATCH(P3339,Fit_Matrix!$A:$A,0)))),"CHECK KEY"))</f>
        <v/>
      </c>
      <c r="U3339" s="10"/>
      <c r="V3339" s="10"/>
      <c r="W3339" s="10"/>
      <c r="X3339" s="10"/>
      <c r="Y3339" s="10"/>
      <c r="Z3339" s="10"/>
      <c r="AA3339" s="11" t="str">
        <f t="shared" si="105"/>
        <v/>
      </c>
    </row>
    <row r="3340" spans="16:27" ht="15" customHeight="1">
      <c r="P3340" t="str">
        <f t="shared" si="104"/>
        <v/>
      </c>
      <c r="Q3340" t="str">
        <f>IF(P3340="","",IFERROR(IF(AND(H3340="W7",OR(F3340="causal",F3340="predictive")),IF(AND(OR(K3340=1,K3340="1"),OR(L3340=1,L3340="1"),OR(M3340=1,M3340="1")),"adequate","partial"),IF(AND(H3340="W4",F3340="predictive",OR(J3340="P2",J3340="P3",J3340="P4")),IF(OR(U3340=1,U3340="1"),"adequate","partial"),INDEX(Fit_Matrix!$B:$B,MATCH(P3340,Fit_Matrix!$A:$A,0)))),"CHECK KEY"))</f>
        <v/>
      </c>
      <c r="U3340" s="10"/>
      <c r="V3340" s="10"/>
      <c r="W3340" s="10"/>
      <c r="X3340" s="10"/>
      <c r="Y3340" s="10"/>
      <c r="Z3340" s="10"/>
      <c r="AA3340" s="11" t="str">
        <f t="shared" si="105"/>
        <v/>
      </c>
    </row>
    <row r="3341" spans="16:27" ht="15" customHeight="1">
      <c r="P3341" t="str">
        <f t="shared" si="104"/>
        <v/>
      </c>
      <c r="Q3341" t="str">
        <f>IF(P3341="","",IFERROR(IF(AND(H3341="W7",OR(F3341="causal",F3341="predictive")),IF(AND(OR(K3341=1,K3341="1"),OR(L3341=1,L3341="1"),OR(M3341=1,M3341="1")),"adequate","partial"),IF(AND(H3341="W4",F3341="predictive",OR(J3341="P2",J3341="P3",J3341="P4")),IF(OR(U3341=1,U3341="1"),"adequate","partial"),INDEX(Fit_Matrix!$B:$B,MATCH(P3341,Fit_Matrix!$A:$A,0)))),"CHECK KEY"))</f>
        <v/>
      </c>
      <c r="U3341" s="10"/>
      <c r="V3341" s="10"/>
      <c r="W3341" s="10"/>
      <c r="X3341" s="10"/>
      <c r="Y3341" s="10"/>
      <c r="Z3341" s="10"/>
      <c r="AA3341" s="11" t="str">
        <f t="shared" si="105"/>
        <v/>
      </c>
    </row>
    <row r="3342" spans="16:27" ht="15" customHeight="1">
      <c r="P3342" t="str">
        <f t="shared" si="104"/>
        <v/>
      </c>
      <c r="Q3342" t="str">
        <f>IF(P3342="","",IFERROR(IF(AND(H3342="W7",OR(F3342="causal",F3342="predictive")),IF(AND(OR(K3342=1,K3342="1"),OR(L3342=1,L3342="1"),OR(M3342=1,M3342="1")),"adequate","partial"),IF(AND(H3342="W4",F3342="predictive",OR(J3342="P2",J3342="P3",J3342="P4")),IF(OR(U3342=1,U3342="1"),"adequate","partial"),INDEX(Fit_Matrix!$B:$B,MATCH(P3342,Fit_Matrix!$A:$A,0)))),"CHECK KEY"))</f>
        <v/>
      </c>
      <c r="U3342" s="10"/>
      <c r="V3342" s="10"/>
      <c r="W3342" s="10"/>
      <c r="X3342" s="10"/>
      <c r="Y3342" s="10"/>
      <c r="Z3342" s="10"/>
      <c r="AA3342" s="11" t="str">
        <f t="shared" si="105"/>
        <v/>
      </c>
    </row>
    <row r="3343" spans="16:27" ht="15" customHeight="1">
      <c r="P3343" t="str">
        <f t="shared" si="104"/>
        <v/>
      </c>
      <c r="Q3343" t="str">
        <f>IF(P3343="","",IFERROR(IF(AND(H3343="W7",OR(F3343="causal",F3343="predictive")),IF(AND(OR(K3343=1,K3343="1"),OR(L3343=1,L3343="1"),OR(M3343=1,M3343="1")),"adequate","partial"),IF(AND(H3343="W4",F3343="predictive",OR(J3343="P2",J3343="P3",J3343="P4")),IF(OR(U3343=1,U3343="1"),"adequate","partial"),INDEX(Fit_Matrix!$B:$B,MATCH(P3343,Fit_Matrix!$A:$A,0)))),"CHECK KEY"))</f>
        <v/>
      </c>
      <c r="U3343" s="10"/>
      <c r="V3343" s="10"/>
      <c r="W3343" s="10"/>
      <c r="X3343" s="10"/>
      <c r="Y3343" s="10"/>
      <c r="Z3343" s="10"/>
      <c r="AA3343" s="11" t="str">
        <f t="shared" si="105"/>
        <v/>
      </c>
    </row>
    <row r="3344" spans="16:27" ht="15" customHeight="1">
      <c r="P3344" t="str">
        <f t="shared" si="104"/>
        <v/>
      </c>
      <c r="Q3344" t="str">
        <f>IF(P3344="","",IFERROR(IF(AND(H3344="W7",OR(F3344="causal",F3344="predictive")),IF(AND(OR(K3344=1,K3344="1"),OR(L3344=1,L3344="1"),OR(M3344=1,M3344="1")),"adequate","partial"),IF(AND(H3344="W4",F3344="predictive",OR(J3344="P2",J3344="P3",J3344="P4")),IF(OR(U3344=1,U3344="1"),"adequate","partial"),INDEX(Fit_Matrix!$B:$B,MATCH(P3344,Fit_Matrix!$A:$A,0)))),"CHECK KEY"))</f>
        <v/>
      </c>
      <c r="U3344" s="10"/>
      <c r="V3344" s="10"/>
      <c r="W3344" s="10"/>
      <c r="X3344" s="10"/>
      <c r="Y3344" s="10"/>
      <c r="Z3344" s="10"/>
      <c r="AA3344" s="11" t="str">
        <f t="shared" si="105"/>
        <v/>
      </c>
    </row>
    <row r="3345" spans="16:27" ht="15" customHeight="1">
      <c r="P3345" t="str">
        <f t="shared" si="104"/>
        <v/>
      </c>
      <c r="Q3345" t="str">
        <f>IF(P3345="","",IFERROR(IF(AND(H3345="W7",OR(F3345="causal",F3345="predictive")),IF(AND(OR(K3345=1,K3345="1"),OR(L3345=1,L3345="1"),OR(M3345=1,M3345="1")),"adequate","partial"),IF(AND(H3345="W4",F3345="predictive",OR(J3345="P2",J3345="P3",J3345="P4")),IF(OR(U3345=1,U3345="1"),"adequate","partial"),INDEX(Fit_Matrix!$B:$B,MATCH(P3345,Fit_Matrix!$A:$A,0)))),"CHECK KEY"))</f>
        <v/>
      </c>
      <c r="U3345" s="10"/>
      <c r="V3345" s="10"/>
      <c r="W3345" s="10"/>
      <c r="X3345" s="10"/>
      <c r="Y3345" s="10"/>
      <c r="Z3345" s="10"/>
      <c r="AA3345" s="11" t="str">
        <f t="shared" si="105"/>
        <v/>
      </c>
    </row>
    <row r="3346" spans="16:27" ht="15" customHeight="1">
      <c r="P3346" t="str">
        <f t="shared" si="104"/>
        <v/>
      </c>
      <c r="Q3346" t="str">
        <f>IF(P3346="","",IFERROR(IF(AND(H3346="W7",OR(F3346="causal",F3346="predictive")),IF(AND(OR(K3346=1,K3346="1"),OR(L3346=1,L3346="1"),OR(M3346=1,M3346="1")),"adequate","partial"),IF(AND(H3346="W4",F3346="predictive",OR(J3346="P2",J3346="P3",J3346="P4")),IF(OR(U3346=1,U3346="1"),"adequate","partial"),INDEX(Fit_Matrix!$B:$B,MATCH(P3346,Fit_Matrix!$A:$A,0)))),"CHECK KEY"))</f>
        <v/>
      </c>
      <c r="U3346" s="10"/>
      <c r="V3346" s="10"/>
      <c r="W3346" s="10"/>
      <c r="X3346" s="10"/>
      <c r="Y3346" s="10"/>
      <c r="Z3346" s="10"/>
      <c r="AA3346" s="11" t="str">
        <f t="shared" si="105"/>
        <v/>
      </c>
    </row>
    <row r="3347" spans="16:27" ht="15" customHeight="1">
      <c r="P3347" t="str">
        <f t="shared" si="104"/>
        <v/>
      </c>
      <c r="Q3347" t="str">
        <f>IF(P3347="","",IFERROR(IF(AND(H3347="W7",OR(F3347="causal",F3347="predictive")),IF(AND(OR(K3347=1,K3347="1"),OR(L3347=1,L3347="1"),OR(M3347=1,M3347="1")),"adequate","partial"),IF(AND(H3347="W4",F3347="predictive",OR(J3347="P2",J3347="P3",J3347="P4")),IF(OR(U3347=1,U3347="1"),"adequate","partial"),INDEX(Fit_Matrix!$B:$B,MATCH(P3347,Fit_Matrix!$A:$A,0)))),"CHECK KEY"))</f>
        <v/>
      </c>
      <c r="U3347" s="10"/>
      <c r="V3347" s="10"/>
      <c r="W3347" s="10"/>
      <c r="X3347" s="10"/>
      <c r="Y3347" s="10"/>
      <c r="Z3347" s="10"/>
      <c r="AA3347" s="11" t="str">
        <f t="shared" si="105"/>
        <v/>
      </c>
    </row>
    <row r="3348" spans="16:27" ht="15" customHeight="1">
      <c r="P3348" t="str">
        <f t="shared" si="104"/>
        <v/>
      </c>
      <c r="Q3348" t="str">
        <f>IF(P3348="","",IFERROR(IF(AND(H3348="W7",OR(F3348="causal",F3348="predictive")),IF(AND(OR(K3348=1,K3348="1"),OR(L3348=1,L3348="1"),OR(M3348=1,M3348="1")),"adequate","partial"),IF(AND(H3348="W4",F3348="predictive",OR(J3348="P2",J3348="P3",J3348="P4")),IF(OR(U3348=1,U3348="1"),"adequate","partial"),INDEX(Fit_Matrix!$B:$B,MATCH(P3348,Fit_Matrix!$A:$A,0)))),"CHECK KEY"))</f>
        <v/>
      </c>
      <c r="U3348" s="10"/>
      <c r="V3348" s="10"/>
      <c r="W3348" s="10"/>
      <c r="X3348" s="10"/>
      <c r="Y3348" s="10"/>
      <c r="Z3348" s="10"/>
      <c r="AA3348" s="11" t="str">
        <f t="shared" si="105"/>
        <v/>
      </c>
    </row>
    <row r="3349" spans="16:27" ht="15" customHeight="1">
      <c r="P3349" t="str">
        <f t="shared" si="104"/>
        <v/>
      </c>
      <c r="Q3349" t="str">
        <f>IF(P3349="","",IFERROR(IF(AND(H3349="W7",OR(F3349="causal",F3349="predictive")),IF(AND(OR(K3349=1,K3349="1"),OR(L3349=1,L3349="1"),OR(M3349=1,M3349="1")),"adequate","partial"),IF(AND(H3349="W4",F3349="predictive",OR(J3349="P2",J3349="P3",J3349="P4")),IF(OR(U3349=1,U3349="1"),"adequate","partial"),INDEX(Fit_Matrix!$B:$B,MATCH(P3349,Fit_Matrix!$A:$A,0)))),"CHECK KEY"))</f>
        <v/>
      </c>
      <c r="U3349" s="10"/>
      <c r="V3349" s="10"/>
      <c r="W3349" s="10"/>
      <c r="X3349" s="10"/>
      <c r="Y3349" s="10"/>
      <c r="Z3349" s="10"/>
      <c r="AA3349" s="11" t="str">
        <f t="shared" si="105"/>
        <v/>
      </c>
    </row>
    <row r="3350" spans="16:27" ht="15" customHeight="1">
      <c r="P3350" t="str">
        <f t="shared" si="104"/>
        <v/>
      </c>
      <c r="Q3350" t="str">
        <f>IF(P3350="","",IFERROR(IF(AND(H3350="W7",OR(F3350="causal",F3350="predictive")),IF(AND(OR(K3350=1,K3350="1"),OR(L3350=1,L3350="1"),OR(M3350=1,M3350="1")),"adequate","partial"),IF(AND(H3350="W4",F3350="predictive",OR(J3350="P2",J3350="P3",J3350="P4")),IF(OR(U3350=1,U3350="1"),"adequate","partial"),INDEX(Fit_Matrix!$B:$B,MATCH(P3350,Fit_Matrix!$A:$A,0)))),"CHECK KEY"))</f>
        <v/>
      </c>
      <c r="U3350" s="10"/>
      <c r="V3350" s="10"/>
      <c r="W3350" s="10"/>
      <c r="X3350" s="10"/>
      <c r="Y3350" s="10"/>
      <c r="Z3350" s="10"/>
      <c r="AA3350" s="11" t="str">
        <f t="shared" si="105"/>
        <v/>
      </c>
    </row>
    <row r="3351" spans="16:27" ht="15" customHeight="1">
      <c r="P3351" t="str">
        <f t="shared" si="104"/>
        <v/>
      </c>
      <c r="Q3351" t="str">
        <f>IF(P3351="","",IFERROR(IF(AND(H3351="W7",OR(F3351="causal",F3351="predictive")),IF(AND(OR(K3351=1,K3351="1"),OR(L3351=1,L3351="1"),OR(M3351=1,M3351="1")),"adequate","partial"),IF(AND(H3351="W4",F3351="predictive",OR(J3351="P2",J3351="P3",J3351="P4")),IF(OR(U3351=1,U3351="1"),"adequate","partial"),INDEX(Fit_Matrix!$B:$B,MATCH(P3351,Fit_Matrix!$A:$A,0)))),"CHECK KEY"))</f>
        <v/>
      </c>
      <c r="U3351" s="10"/>
      <c r="V3351" s="10"/>
      <c r="W3351" s="10"/>
      <c r="X3351" s="10"/>
      <c r="Y3351" s="10"/>
      <c r="Z3351" s="10"/>
      <c r="AA3351" s="11" t="str">
        <f t="shared" si="105"/>
        <v/>
      </c>
    </row>
    <row r="3352" spans="16:27" ht="15" customHeight="1">
      <c r="P3352" t="str">
        <f t="shared" si="104"/>
        <v/>
      </c>
      <c r="Q3352" t="str">
        <f>IF(P3352="","",IFERROR(IF(AND(H3352="W7",OR(F3352="causal",F3352="predictive")),IF(AND(OR(K3352=1,K3352="1"),OR(L3352=1,L3352="1"),OR(M3352=1,M3352="1")),"adequate","partial"),IF(AND(H3352="W4",F3352="predictive",OR(J3352="P2",J3352="P3",J3352="P4")),IF(OR(U3352=1,U3352="1"),"adequate","partial"),INDEX(Fit_Matrix!$B:$B,MATCH(P3352,Fit_Matrix!$A:$A,0)))),"CHECK KEY"))</f>
        <v/>
      </c>
      <c r="U3352" s="10"/>
      <c r="V3352" s="10"/>
      <c r="W3352" s="10"/>
      <c r="X3352" s="10"/>
      <c r="Y3352" s="10"/>
      <c r="Z3352" s="10"/>
      <c r="AA3352" s="11" t="str">
        <f t="shared" si="105"/>
        <v/>
      </c>
    </row>
    <row r="3353" spans="16:27" ht="15" customHeight="1">
      <c r="P3353" t="str">
        <f t="shared" si="104"/>
        <v/>
      </c>
      <c r="Q3353" t="str">
        <f>IF(P3353="","",IFERROR(IF(AND(H3353="W7",OR(F3353="causal",F3353="predictive")),IF(AND(OR(K3353=1,K3353="1"),OR(L3353=1,L3353="1"),OR(M3353=1,M3353="1")),"adequate","partial"),IF(AND(H3353="W4",F3353="predictive",OR(J3353="P2",J3353="P3",J3353="P4")),IF(OR(U3353=1,U3353="1"),"adequate","partial"),INDEX(Fit_Matrix!$B:$B,MATCH(P3353,Fit_Matrix!$A:$A,0)))),"CHECK KEY"))</f>
        <v/>
      </c>
      <c r="U3353" s="10"/>
      <c r="V3353" s="10"/>
      <c r="W3353" s="10"/>
      <c r="X3353" s="10"/>
      <c r="Y3353" s="10"/>
      <c r="Z3353" s="10"/>
      <c r="AA3353" s="11" t="str">
        <f t="shared" si="105"/>
        <v/>
      </c>
    </row>
    <row r="3354" spans="16:27" ht="15" customHeight="1">
      <c r="P3354" t="str">
        <f t="shared" si="104"/>
        <v/>
      </c>
      <c r="Q3354" t="str">
        <f>IF(P3354="","",IFERROR(IF(AND(H3354="W7",OR(F3354="causal",F3354="predictive")),IF(AND(OR(K3354=1,K3354="1"),OR(L3354=1,L3354="1"),OR(M3354=1,M3354="1")),"adequate","partial"),IF(AND(H3354="W4",F3354="predictive",OR(J3354="P2",J3354="P3",J3354="P4")),IF(OR(U3354=1,U3354="1"),"adequate","partial"),INDEX(Fit_Matrix!$B:$B,MATCH(P3354,Fit_Matrix!$A:$A,0)))),"CHECK KEY"))</f>
        <v/>
      </c>
      <c r="U3354" s="10"/>
      <c r="V3354" s="10"/>
      <c r="W3354" s="10"/>
      <c r="X3354" s="10"/>
      <c r="Y3354" s="10"/>
      <c r="Z3354" s="10"/>
      <c r="AA3354" s="11" t="str">
        <f t="shared" si="105"/>
        <v/>
      </c>
    </row>
    <row r="3355" spans="16:27" ht="15" customHeight="1">
      <c r="P3355" t="str">
        <f t="shared" si="104"/>
        <v/>
      </c>
      <c r="Q3355" t="str">
        <f>IF(P3355="","",IFERROR(IF(AND(H3355="W7",OR(F3355="causal",F3355="predictive")),IF(AND(OR(K3355=1,K3355="1"),OR(L3355=1,L3355="1"),OR(M3355=1,M3355="1")),"adequate","partial"),IF(AND(H3355="W4",F3355="predictive",OR(J3355="P2",J3355="P3",J3355="P4")),IF(OR(U3355=1,U3355="1"),"adequate","partial"),INDEX(Fit_Matrix!$B:$B,MATCH(P3355,Fit_Matrix!$A:$A,0)))),"CHECK KEY"))</f>
        <v/>
      </c>
      <c r="U3355" s="10"/>
      <c r="V3355" s="10"/>
      <c r="W3355" s="10"/>
      <c r="X3355" s="10"/>
      <c r="Y3355" s="10"/>
      <c r="Z3355" s="10"/>
      <c r="AA3355" s="11" t="str">
        <f t="shared" si="105"/>
        <v/>
      </c>
    </row>
    <row r="3356" spans="16:27" ht="15" customHeight="1">
      <c r="P3356" t="str">
        <f t="shared" si="104"/>
        <v/>
      </c>
      <c r="Q3356" t="str">
        <f>IF(P3356="","",IFERROR(IF(AND(H3356="W7",OR(F3356="causal",F3356="predictive")),IF(AND(OR(K3356=1,K3356="1"),OR(L3356=1,L3356="1"),OR(M3356=1,M3356="1")),"adequate","partial"),IF(AND(H3356="W4",F3356="predictive",OR(J3356="P2",J3356="P3",J3356="P4")),IF(OR(U3356=1,U3356="1"),"adequate","partial"),INDEX(Fit_Matrix!$B:$B,MATCH(P3356,Fit_Matrix!$A:$A,0)))),"CHECK KEY"))</f>
        <v/>
      </c>
      <c r="U3356" s="10"/>
      <c r="V3356" s="10"/>
      <c r="W3356" s="10"/>
      <c r="X3356" s="10"/>
      <c r="Y3356" s="10"/>
      <c r="Z3356" s="10"/>
      <c r="AA3356" s="11" t="str">
        <f t="shared" si="105"/>
        <v/>
      </c>
    </row>
    <row r="3357" spans="16:27" ht="15" customHeight="1">
      <c r="P3357" t="str">
        <f t="shared" si="104"/>
        <v/>
      </c>
      <c r="Q3357" t="str">
        <f>IF(P3357="","",IFERROR(IF(AND(H3357="W7",OR(F3357="causal",F3357="predictive")),IF(AND(OR(K3357=1,K3357="1"),OR(L3357=1,L3357="1"),OR(M3357=1,M3357="1")),"adequate","partial"),IF(AND(H3357="W4",F3357="predictive",OR(J3357="P2",J3357="P3",J3357="P4")),IF(OR(U3357=1,U3357="1"),"adequate","partial"),INDEX(Fit_Matrix!$B:$B,MATCH(P3357,Fit_Matrix!$A:$A,0)))),"CHECK KEY"))</f>
        <v/>
      </c>
      <c r="U3357" s="10"/>
      <c r="V3357" s="10"/>
      <c r="W3357" s="10"/>
      <c r="X3357" s="10"/>
      <c r="Y3357" s="10"/>
      <c r="Z3357" s="10"/>
      <c r="AA3357" s="11" t="str">
        <f t="shared" si="105"/>
        <v/>
      </c>
    </row>
    <row r="3358" spans="16:27" ht="15" customHeight="1">
      <c r="P3358" t="str">
        <f t="shared" si="104"/>
        <v/>
      </c>
      <c r="Q3358" t="str">
        <f>IF(P3358="","",IFERROR(IF(AND(H3358="W7",OR(F3358="causal",F3358="predictive")),IF(AND(OR(K3358=1,K3358="1"),OR(L3358=1,L3358="1"),OR(M3358=1,M3358="1")),"adequate","partial"),IF(AND(H3358="W4",F3358="predictive",OR(J3358="P2",J3358="P3",J3358="P4")),IF(OR(U3358=1,U3358="1"),"adequate","partial"),INDEX(Fit_Matrix!$B:$B,MATCH(P3358,Fit_Matrix!$A:$A,0)))),"CHECK KEY"))</f>
        <v/>
      </c>
      <c r="U3358" s="10"/>
      <c r="V3358" s="10"/>
      <c r="W3358" s="10"/>
      <c r="X3358" s="10"/>
      <c r="Y3358" s="10"/>
      <c r="Z3358" s="10"/>
      <c r="AA3358" s="11" t="str">
        <f t="shared" si="105"/>
        <v/>
      </c>
    </row>
    <row r="3359" spans="16:27" ht="15" customHeight="1">
      <c r="P3359" t="str">
        <f t="shared" si="104"/>
        <v/>
      </c>
      <c r="Q3359" t="str">
        <f>IF(P3359="","",IFERROR(IF(AND(H3359="W7",OR(F3359="causal",F3359="predictive")),IF(AND(OR(K3359=1,K3359="1"),OR(L3359=1,L3359="1"),OR(M3359=1,M3359="1")),"adequate","partial"),IF(AND(H3359="W4",F3359="predictive",OR(J3359="P2",J3359="P3",J3359="P4")),IF(OR(U3359=1,U3359="1"),"adequate","partial"),INDEX(Fit_Matrix!$B:$B,MATCH(P3359,Fit_Matrix!$A:$A,0)))),"CHECK KEY"))</f>
        <v/>
      </c>
      <c r="U3359" s="10"/>
      <c r="V3359" s="10"/>
      <c r="W3359" s="10"/>
      <c r="X3359" s="10"/>
      <c r="Y3359" s="10"/>
      <c r="Z3359" s="10"/>
      <c r="AA3359" s="11" t="str">
        <f t="shared" si="105"/>
        <v/>
      </c>
    </row>
    <row r="3360" spans="16:27" ht="15" customHeight="1">
      <c r="P3360" t="str">
        <f t="shared" si="104"/>
        <v/>
      </c>
      <c r="Q3360" t="str">
        <f>IF(P3360="","",IFERROR(IF(AND(H3360="W7",OR(F3360="causal",F3360="predictive")),IF(AND(OR(K3360=1,K3360="1"),OR(L3360=1,L3360="1"),OR(M3360=1,M3360="1")),"adequate","partial"),IF(AND(H3360="W4",F3360="predictive",OR(J3360="P2",J3360="P3",J3360="P4")),IF(OR(U3360=1,U3360="1"),"adequate","partial"),INDEX(Fit_Matrix!$B:$B,MATCH(P3360,Fit_Matrix!$A:$A,0)))),"CHECK KEY"))</f>
        <v/>
      </c>
      <c r="U3360" s="10"/>
      <c r="V3360" s="10"/>
      <c r="W3360" s="10"/>
      <c r="X3360" s="10"/>
      <c r="Y3360" s="10"/>
      <c r="Z3360" s="10"/>
      <c r="AA3360" s="11" t="str">
        <f t="shared" si="105"/>
        <v/>
      </c>
    </row>
    <row r="3361" spans="16:27" ht="15" customHeight="1">
      <c r="P3361" t="str">
        <f t="shared" si="104"/>
        <v/>
      </c>
      <c r="Q3361" t="str">
        <f>IF(P3361="","",IFERROR(IF(AND(H3361="W7",OR(F3361="causal",F3361="predictive")),IF(AND(OR(K3361=1,K3361="1"),OR(L3361=1,L3361="1"),OR(M3361=1,M3361="1")),"adequate","partial"),IF(AND(H3361="W4",F3361="predictive",OR(J3361="P2",J3361="P3",J3361="P4")),IF(OR(U3361=1,U3361="1"),"adequate","partial"),INDEX(Fit_Matrix!$B:$B,MATCH(P3361,Fit_Matrix!$A:$A,0)))),"CHECK KEY"))</f>
        <v/>
      </c>
      <c r="U3361" s="10"/>
      <c r="V3361" s="10"/>
      <c r="W3361" s="10"/>
      <c r="X3361" s="10"/>
      <c r="Y3361" s="10"/>
      <c r="Z3361" s="10"/>
      <c r="AA3361" s="11" t="str">
        <f t="shared" si="105"/>
        <v/>
      </c>
    </row>
    <row r="3362" spans="16:27" ht="15" customHeight="1">
      <c r="P3362" t="str">
        <f t="shared" si="104"/>
        <v/>
      </c>
      <c r="Q3362" t="str">
        <f>IF(P3362="","",IFERROR(IF(AND(H3362="W7",OR(F3362="causal",F3362="predictive")),IF(AND(OR(K3362=1,K3362="1"),OR(L3362=1,L3362="1"),OR(M3362=1,M3362="1")),"adequate","partial"),IF(AND(H3362="W4",F3362="predictive",OR(J3362="P2",J3362="P3",J3362="P4")),IF(OR(U3362=1,U3362="1"),"adequate","partial"),INDEX(Fit_Matrix!$B:$B,MATCH(P3362,Fit_Matrix!$A:$A,0)))),"CHECK KEY"))</f>
        <v/>
      </c>
      <c r="U3362" s="10"/>
      <c r="V3362" s="10"/>
      <c r="W3362" s="10"/>
      <c r="X3362" s="10"/>
      <c r="Y3362" s="10"/>
      <c r="Z3362" s="10"/>
      <c r="AA3362" s="11" t="str">
        <f t="shared" si="105"/>
        <v/>
      </c>
    </row>
    <row r="3363" spans="16:27" ht="15" customHeight="1">
      <c r="P3363" t="str">
        <f t="shared" si="104"/>
        <v/>
      </c>
      <c r="Q3363" t="str">
        <f>IF(P3363="","",IFERROR(IF(AND(H3363="W7",OR(F3363="causal",F3363="predictive")),IF(AND(OR(K3363=1,K3363="1"),OR(L3363=1,L3363="1"),OR(M3363=1,M3363="1")),"adequate","partial"),IF(AND(H3363="W4",F3363="predictive",OR(J3363="P2",J3363="P3",J3363="P4")),IF(OR(U3363=1,U3363="1"),"adequate","partial"),INDEX(Fit_Matrix!$B:$B,MATCH(P3363,Fit_Matrix!$A:$A,0)))),"CHECK KEY"))</f>
        <v/>
      </c>
      <c r="U3363" s="10"/>
      <c r="V3363" s="10"/>
      <c r="W3363" s="10"/>
      <c r="X3363" s="10"/>
      <c r="Y3363" s="10"/>
      <c r="Z3363" s="10"/>
      <c r="AA3363" s="11" t="str">
        <f t="shared" si="105"/>
        <v/>
      </c>
    </row>
    <row r="3364" spans="16:27" ht="15" customHeight="1">
      <c r="P3364" t="str">
        <f t="shared" si="104"/>
        <v/>
      </c>
      <c r="Q3364" t="str">
        <f>IF(P3364="","",IFERROR(IF(AND(H3364="W7",OR(F3364="causal",F3364="predictive")),IF(AND(OR(K3364=1,K3364="1"),OR(L3364=1,L3364="1"),OR(M3364=1,M3364="1")),"adequate","partial"),IF(AND(H3364="W4",F3364="predictive",OR(J3364="P2",J3364="P3",J3364="P4")),IF(OR(U3364=1,U3364="1"),"adequate","partial"),INDEX(Fit_Matrix!$B:$B,MATCH(P3364,Fit_Matrix!$A:$A,0)))),"CHECK KEY"))</f>
        <v/>
      </c>
      <c r="U3364" s="10"/>
      <c r="V3364" s="10"/>
      <c r="W3364" s="10"/>
      <c r="X3364" s="10"/>
      <c r="Y3364" s="10"/>
      <c r="Z3364" s="10"/>
      <c r="AA3364" s="11" t="str">
        <f t="shared" si="105"/>
        <v/>
      </c>
    </row>
    <row r="3365" spans="16:27" ht="15" customHeight="1">
      <c r="P3365" t="str">
        <f t="shared" si="104"/>
        <v/>
      </c>
      <c r="Q3365" t="str">
        <f>IF(P3365="","",IFERROR(IF(AND(H3365="W7",OR(F3365="causal",F3365="predictive")),IF(AND(OR(K3365=1,K3365="1"),OR(L3365=1,L3365="1"),OR(M3365=1,M3365="1")),"adequate","partial"),IF(AND(H3365="W4",F3365="predictive",OR(J3365="P2",J3365="P3",J3365="P4")),IF(OR(U3365=1,U3365="1"),"adequate","partial"),INDEX(Fit_Matrix!$B:$B,MATCH(P3365,Fit_Matrix!$A:$A,0)))),"CHECK KEY"))</f>
        <v/>
      </c>
      <c r="U3365" s="10"/>
      <c r="V3365" s="10"/>
      <c r="W3365" s="10"/>
      <c r="X3365" s="10"/>
      <c r="Y3365" s="10"/>
      <c r="Z3365" s="10"/>
      <c r="AA3365" s="11" t="str">
        <f t="shared" si="105"/>
        <v/>
      </c>
    </row>
    <row r="3366" spans="16:27" ht="15" customHeight="1">
      <c r="P3366" t="str">
        <f t="shared" si="104"/>
        <v/>
      </c>
      <c r="Q3366" t="str">
        <f>IF(P3366="","",IFERROR(IF(AND(H3366="W7",OR(F3366="causal",F3366="predictive")),IF(AND(OR(K3366=1,K3366="1"),OR(L3366=1,L3366="1"),OR(M3366=1,M3366="1")),"adequate","partial"),IF(AND(H3366="W4",F3366="predictive",OR(J3366="P2",J3366="P3",J3366="P4")),IF(OR(U3366=1,U3366="1"),"adequate","partial"),INDEX(Fit_Matrix!$B:$B,MATCH(P3366,Fit_Matrix!$A:$A,0)))),"CHECK KEY"))</f>
        <v/>
      </c>
      <c r="U3366" s="10"/>
      <c r="V3366" s="10"/>
      <c r="W3366" s="10"/>
      <c r="X3366" s="10"/>
      <c r="Y3366" s="10"/>
      <c r="Z3366" s="10"/>
      <c r="AA3366" s="11" t="str">
        <f t="shared" si="105"/>
        <v/>
      </c>
    </row>
    <row r="3367" spans="16:27" ht="15" customHeight="1">
      <c r="P3367" t="str">
        <f t="shared" si="104"/>
        <v/>
      </c>
      <c r="Q3367" t="str">
        <f>IF(P3367="","",IFERROR(IF(AND(H3367="W7",OR(F3367="causal",F3367="predictive")),IF(AND(OR(K3367=1,K3367="1"),OR(L3367=1,L3367="1"),OR(M3367=1,M3367="1")),"adequate","partial"),IF(AND(H3367="W4",F3367="predictive",OR(J3367="P2",J3367="P3",J3367="P4")),IF(OR(U3367=1,U3367="1"),"adequate","partial"),INDEX(Fit_Matrix!$B:$B,MATCH(P3367,Fit_Matrix!$A:$A,0)))),"CHECK KEY"))</f>
        <v/>
      </c>
      <c r="U3367" s="10"/>
      <c r="V3367" s="10"/>
      <c r="W3367" s="10"/>
      <c r="X3367" s="10"/>
      <c r="Y3367" s="10"/>
      <c r="Z3367" s="10"/>
      <c r="AA3367" s="11" t="str">
        <f t="shared" si="105"/>
        <v/>
      </c>
    </row>
    <row r="3368" spans="16:27" ht="15" customHeight="1">
      <c r="P3368" t="str">
        <f t="shared" si="104"/>
        <v/>
      </c>
      <c r="Q3368" t="str">
        <f>IF(P3368="","",IFERROR(IF(AND(H3368="W7",OR(F3368="causal",F3368="predictive")),IF(AND(OR(K3368=1,K3368="1"),OR(L3368=1,L3368="1"),OR(M3368=1,M3368="1")),"adequate","partial"),IF(AND(H3368="W4",F3368="predictive",OR(J3368="P2",J3368="P3",J3368="P4")),IF(OR(U3368=1,U3368="1"),"adequate","partial"),INDEX(Fit_Matrix!$B:$B,MATCH(P3368,Fit_Matrix!$A:$A,0)))),"CHECK KEY"))</f>
        <v/>
      </c>
      <c r="U3368" s="10"/>
      <c r="V3368" s="10"/>
      <c r="W3368" s="10"/>
      <c r="X3368" s="10"/>
      <c r="Y3368" s="10"/>
      <c r="Z3368" s="10"/>
      <c r="AA3368" s="11" t="str">
        <f t="shared" si="105"/>
        <v/>
      </c>
    </row>
    <row r="3369" spans="16:27" ht="15" customHeight="1">
      <c r="P3369" t="str">
        <f t="shared" si="104"/>
        <v/>
      </c>
      <c r="Q3369" t="str">
        <f>IF(P3369="","",IFERROR(IF(AND(H3369="W7",OR(F3369="causal",F3369="predictive")),IF(AND(OR(K3369=1,K3369="1"),OR(L3369=1,L3369="1"),OR(M3369=1,M3369="1")),"adequate","partial"),IF(AND(H3369="W4",F3369="predictive",OR(J3369="P2",J3369="P3",J3369="P4")),IF(OR(U3369=1,U3369="1"),"adequate","partial"),INDEX(Fit_Matrix!$B:$B,MATCH(P3369,Fit_Matrix!$A:$A,0)))),"CHECK KEY"))</f>
        <v/>
      </c>
      <c r="U3369" s="10"/>
      <c r="V3369" s="10"/>
      <c r="W3369" s="10"/>
      <c r="X3369" s="10"/>
      <c r="Y3369" s="10"/>
      <c r="Z3369" s="10"/>
      <c r="AA3369" s="11" t="str">
        <f t="shared" si="105"/>
        <v/>
      </c>
    </row>
    <row r="3370" spans="16:27" ht="15" customHeight="1">
      <c r="P3370" t="str">
        <f t="shared" si="104"/>
        <v/>
      </c>
      <c r="Q3370" t="str">
        <f>IF(P3370="","",IFERROR(IF(AND(H3370="W7",OR(F3370="causal",F3370="predictive")),IF(AND(OR(K3370=1,K3370="1"),OR(L3370=1,L3370="1"),OR(M3370=1,M3370="1")),"adequate","partial"),IF(AND(H3370="W4",F3370="predictive",OR(J3370="P2",J3370="P3",J3370="P4")),IF(OR(U3370=1,U3370="1"),"adequate","partial"),INDEX(Fit_Matrix!$B:$B,MATCH(P3370,Fit_Matrix!$A:$A,0)))),"CHECK KEY"))</f>
        <v/>
      </c>
      <c r="U3370" s="10"/>
      <c r="V3370" s="10"/>
      <c r="W3370" s="10"/>
      <c r="X3370" s="10"/>
      <c r="Y3370" s="10"/>
      <c r="Z3370" s="10"/>
      <c r="AA3370" s="11" t="str">
        <f t="shared" si="105"/>
        <v/>
      </c>
    </row>
    <row r="3371" spans="16:27" ht="15" customHeight="1">
      <c r="P3371" t="str">
        <f t="shared" si="104"/>
        <v/>
      </c>
      <c r="Q3371" t="str">
        <f>IF(P3371="","",IFERROR(IF(AND(H3371="W7",OR(F3371="causal",F3371="predictive")),IF(AND(OR(K3371=1,K3371="1"),OR(L3371=1,L3371="1"),OR(M3371=1,M3371="1")),"adequate","partial"),IF(AND(H3371="W4",F3371="predictive",OR(J3371="P2",J3371="P3",J3371="P4")),IF(OR(U3371=1,U3371="1"),"adequate","partial"),INDEX(Fit_Matrix!$B:$B,MATCH(P3371,Fit_Matrix!$A:$A,0)))),"CHECK KEY"))</f>
        <v/>
      </c>
      <c r="U3371" s="10"/>
      <c r="V3371" s="10"/>
      <c r="W3371" s="10"/>
      <c r="X3371" s="10"/>
      <c r="Y3371" s="10"/>
      <c r="Z3371" s="10"/>
      <c r="AA3371" s="11" t="str">
        <f t="shared" si="105"/>
        <v/>
      </c>
    </row>
    <row r="3372" spans="16:27" ht="15" customHeight="1">
      <c r="P3372" t="str">
        <f t="shared" si="104"/>
        <v/>
      </c>
      <c r="Q3372" t="str">
        <f>IF(P3372="","",IFERROR(IF(AND(H3372="W7",OR(F3372="causal",F3372="predictive")),IF(AND(OR(K3372=1,K3372="1"),OR(L3372=1,L3372="1"),OR(M3372=1,M3372="1")),"adequate","partial"),IF(AND(H3372="W4",F3372="predictive",OR(J3372="P2",J3372="P3",J3372="P4")),IF(OR(U3372=1,U3372="1"),"adequate","partial"),INDEX(Fit_Matrix!$B:$B,MATCH(P3372,Fit_Matrix!$A:$A,0)))),"CHECK KEY"))</f>
        <v/>
      </c>
      <c r="U3372" s="10"/>
      <c r="V3372" s="10"/>
      <c r="W3372" s="10"/>
      <c r="X3372" s="10"/>
      <c r="Y3372" s="10"/>
      <c r="Z3372" s="10"/>
      <c r="AA3372" s="11" t="str">
        <f t="shared" si="105"/>
        <v/>
      </c>
    </row>
    <row r="3373" spans="16:27" ht="15" customHeight="1">
      <c r="P3373" t="str">
        <f t="shared" si="104"/>
        <v/>
      </c>
      <c r="Q3373" t="str">
        <f>IF(P3373="","",IFERROR(IF(AND(H3373="W7",OR(F3373="causal",F3373="predictive")),IF(AND(OR(K3373=1,K3373="1"),OR(L3373=1,L3373="1"),OR(M3373=1,M3373="1")),"adequate","partial"),IF(AND(H3373="W4",F3373="predictive",OR(J3373="P2",J3373="P3",J3373="P4")),IF(OR(U3373=1,U3373="1"),"adequate","partial"),INDEX(Fit_Matrix!$B:$B,MATCH(P3373,Fit_Matrix!$A:$A,0)))),"CHECK KEY"))</f>
        <v/>
      </c>
      <c r="U3373" s="10"/>
      <c r="V3373" s="10"/>
      <c r="W3373" s="10"/>
      <c r="X3373" s="10"/>
      <c r="Y3373" s="10"/>
      <c r="Z3373" s="10"/>
      <c r="AA3373" s="11" t="str">
        <f t="shared" si="105"/>
        <v/>
      </c>
    </row>
    <row r="3374" spans="16:27" ht="15" customHeight="1">
      <c r="P3374" t="str">
        <f t="shared" si="104"/>
        <v/>
      </c>
      <c r="Q3374" t="str">
        <f>IF(P3374="","",IFERROR(IF(AND(H3374="W7",OR(F3374="causal",F3374="predictive")),IF(AND(OR(K3374=1,K3374="1"),OR(L3374=1,L3374="1"),OR(M3374=1,M3374="1")),"adequate","partial"),IF(AND(H3374="W4",F3374="predictive",OR(J3374="P2",J3374="P3",J3374="P4")),IF(OR(U3374=1,U3374="1"),"adequate","partial"),INDEX(Fit_Matrix!$B:$B,MATCH(P3374,Fit_Matrix!$A:$A,0)))),"CHECK KEY"))</f>
        <v/>
      </c>
      <c r="U3374" s="10"/>
      <c r="V3374" s="10"/>
      <c r="W3374" s="10"/>
      <c r="X3374" s="10"/>
      <c r="Y3374" s="10"/>
      <c r="Z3374" s="10"/>
      <c r="AA3374" s="11" t="str">
        <f t="shared" si="105"/>
        <v/>
      </c>
    </row>
    <row r="3375" spans="16:27" ht="15" customHeight="1">
      <c r="P3375" t="str">
        <f t="shared" si="104"/>
        <v/>
      </c>
      <c r="Q3375" t="str">
        <f>IF(P3375="","",IFERROR(IF(AND(H3375="W7",OR(F3375="causal",F3375="predictive")),IF(AND(OR(K3375=1,K3375="1"),OR(L3375=1,L3375="1"),OR(M3375=1,M3375="1")),"adequate","partial"),IF(AND(H3375="W4",F3375="predictive",OR(J3375="P2",J3375="P3",J3375="P4")),IF(OR(U3375=1,U3375="1"),"adequate","partial"),INDEX(Fit_Matrix!$B:$B,MATCH(P3375,Fit_Matrix!$A:$A,0)))),"CHECK KEY"))</f>
        <v/>
      </c>
      <c r="U3375" s="10"/>
      <c r="V3375" s="10"/>
      <c r="W3375" s="10"/>
      <c r="X3375" s="10"/>
      <c r="Y3375" s="10"/>
      <c r="Z3375" s="10"/>
      <c r="AA3375" s="11" t="str">
        <f t="shared" si="105"/>
        <v/>
      </c>
    </row>
    <row r="3376" spans="16:27" ht="15" customHeight="1">
      <c r="P3376" t="str">
        <f t="shared" si="104"/>
        <v/>
      </c>
      <c r="Q3376" t="str">
        <f>IF(P3376="","",IFERROR(IF(AND(H3376="W7",OR(F3376="causal",F3376="predictive")),IF(AND(OR(K3376=1,K3376="1"),OR(L3376=1,L3376="1"),OR(M3376=1,M3376="1")),"adequate","partial"),IF(AND(H3376="W4",F3376="predictive",OR(J3376="P2",J3376="P3",J3376="P4")),IF(OR(U3376=1,U3376="1"),"adequate","partial"),INDEX(Fit_Matrix!$B:$B,MATCH(P3376,Fit_Matrix!$A:$A,0)))),"CHECK KEY"))</f>
        <v/>
      </c>
      <c r="U3376" s="10"/>
      <c r="V3376" s="10"/>
      <c r="W3376" s="10"/>
      <c r="X3376" s="10"/>
      <c r="Y3376" s="10"/>
      <c r="Z3376" s="10"/>
      <c r="AA3376" s="11" t="str">
        <f t="shared" si="105"/>
        <v/>
      </c>
    </row>
    <row r="3377" spans="16:27" ht="15" customHeight="1">
      <c r="P3377" t="str">
        <f t="shared" si="104"/>
        <v/>
      </c>
      <c r="Q3377" t="str">
        <f>IF(P3377="","",IFERROR(IF(AND(H3377="W7",OR(F3377="causal",F3377="predictive")),IF(AND(OR(K3377=1,K3377="1"),OR(L3377=1,L3377="1"),OR(M3377=1,M3377="1")),"adequate","partial"),IF(AND(H3377="W4",F3377="predictive",OR(J3377="P2",J3377="P3",J3377="P4")),IF(OR(U3377=1,U3377="1"),"adequate","partial"),INDEX(Fit_Matrix!$B:$B,MATCH(P3377,Fit_Matrix!$A:$A,0)))),"CHECK KEY"))</f>
        <v/>
      </c>
      <c r="U3377" s="10"/>
      <c r="V3377" s="10"/>
      <c r="W3377" s="10"/>
      <c r="X3377" s="10"/>
      <c r="Y3377" s="10"/>
      <c r="Z3377" s="10"/>
      <c r="AA3377" s="11" t="str">
        <f t="shared" si="105"/>
        <v/>
      </c>
    </row>
    <row r="3378" spans="16:27" ht="15" customHeight="1">
      <c r="P3378" t="str">
        <f t="shared" si="104"/>
        <v/>
      </c>
      <c r="Q3378" t="str">
        <f>IF(P3378="","",IFERROR(IF(AND(H3378="W7",OR(F3378="causal",F3378="predictive")),IF(AND(OR(K3378=1,K3378="1"),OR(L3378=1,L3378="1"),OR(M3378=1,M3378="1")),"adequate","partial"),IF(AND(H3378="W4",F3378="predictive",OR(J3378="P2",J3378="P3",J3378="P4")),IF(OR(U3378=1,U3378="1"),"adequate","partial"),INDEX(Fit_Matrix!$B:$B,MATCH(P3378,Fit_Matrix!$A:$A,0)))),"CHECK KEY"))</f>
        <v/>
      </c>
      <c r="U3378" s="10"/>
      <c r="V3378" s="10"/>
      <c r="W3378" s="10"/>
      <c r="X3378" s="10"/>
      <c r="Y3378" s="10"/>
      <c r="Z3378" s="10"/>
      <c r="AA3378" s="11" t="str">
        <f t="shared" si="105"/>
        <v/>
      </c>
    </row>
    <row r="3379" spans="16:27" ht="15" customHeight="1">
      <c r="P3379" t="str">
        <f t="shared" si="104"/>
        <v/>
      </c>
      <c r="Q3379" t="str">
        <f>IF(P3379="","",IFERROR(IF(AND(H3379="W7",OR(F3379="causal",F3379="predictive")),IF(AND(OR(K3379=1,K3379="1"),OR(L3379=1,L3379="1"),OR(M3379=1,M3379="1")),"adequate","partial"),IF(AND(H3379="W4",F3379="predictive",OR(J3379="P2",J3379="P3",J3379="P4")),IF(OR(U3379=1,U3379="1"),"adequate","partial"),INDEX(Fit_Matrix!$B:$B,MATCH(P3379,Fit_Matrix!$A:$A,0)))),"CHECK KEY"))</f>
        <v/>
      </c>
      <c r="U3379" s="10"/>
      <c r="V3379" s="10"/>
      <c r="W3379" s="10"/>
      <c r="X3379" s="10"/>
      <c r="Y3379" s="10"/>
      <c r="Z3379" s="10"/>
      <c r="AA3379" s="11" t="str">
        <f t="shared" si="105"/>
        <v/>
      </c>
    </row>
    <row r="3380" spans="16:27" ht="15" customHeight="1">
      <c r="P3380" t="str">
        <f t="shared" si="104"/>
        <v/>
      </c>
      <c r="Q3380" t="str">
        <f>IF(P3380="","",IFERROR(IF(AND(H3380="W7",OR(F3380="causal",F3380="predictive")),IF(AND(OR(K3380=1,K3380="1"),OR(L3380=1,L3380="1"),OR(M3380=1,M3380="1")),"adequate","partial"),IF(AND(H3380="W4",F3380="predictive",OR(J3380="P2",J3380="P3",J3380="P4")),IF(OR(U3380=1,U3380="1"),"adequate","partial"),INDEX(Fit_Matrix!$B:$B,MATCH(P3380,Fit_Matrix!$A:$A,0)))),"CHECK KEY"))</f>
        <v/>
      </c>
      <c r="U3380" s="10"/>
      <c r="V3380" s="10"/>
      <c r="W3380" s="10"/>
      <c r="X3380" s="10"/>
      <c r="Y3380" s="10"/>
      <c r="Z3380" s="10"/>
      <c r="AA3380" s="11" t="str">
        <f t="shared" si="105"/>
        <v/>
      </c>
    </row>
    <row r="3381" spans="16:27" ht="15" customHeight="1">
      <c r="P3381" t="str">
        <f t="shared" si="104"/>
        <v/>
      </c>
      <c r="Q3381" t="str">
        <f>IF(P3381="","",IFERROR(IF(AND(H3381="W7",OR(F3381="causal",F3381="predictive")),IF(AND(OR(K3381=1,K3381="1"),OR(L3381=1,L3381="1"),OR(M3381=1,M3381="1")),"adequate","partial"),IF(AND(H3381="W4",F3381="predictive",OR(J3381="P2",J3381="P3",J3381="P4")),IF(OR(U3381=1,U3381="1"),"adequate","partial"),INDEX(Fit_Matrix!$B:$B,MATCH(P3381,Fit_Matrix!$A:$A,0)))),"CHECK KEY"))</f>
        <v/>
      </c>
      <c r="U3381" s="10"/>
      <c r="V3381" s="10"/>
      <c r="W3381" s="10"/>
      <c r="X3381" s="10"/>
      <c r="Y3381" s="10"/>
      <c r="Z3381" s="10"/>
      <c r="AA3381" s="11" t="str">
        <f t="shared" si="105"/>
        <v/>
      </c>
    </row>
    <row r="3382" spans="16:27" ht="15" customHeight="1">
      <c r="P3382" t="str">
        <f t="shared" si="104"/>
        <v/>
      </c>
      <c r="Q3382" t="str">
        <f>IF(P3382="","",IFERROR(IF(AND(H3382="W7",OR(F3382="causal",F3382="predictive")),IF(AND(OR(K3382=1,K3382="1"),OR(L3382=1,L3382="1"),OR(M3382=1,M3382="1")),"adequate","partial"),IF(AND(H3382="W4",F3382="predictive",OR(J3382="P2",J3382="P3",J3382="P4")),IF(OR(U3382=1,U3382="1"),"adequate","partial"),INDEX(Fit_Matrix!$B:$B,MATCH(P3382,Fit_Matrix!$A:$A,0)))),"CHECK KEY"))</f>
        <v/>
      </c>
      <c r="U3382" s="10"/>
      <c r="V3382" s="10"/>
      <c r="W3382" s="10"/>
      <c r="X3382" s="10"/>
      <c r="Y3382" s="10"/>
      <c r="Z3382" s="10"/>
      <c r="AA3382" s="11" t="str">
        <f t="shared" si="105"/>
        <v/>
      </c>
    </row>
    <row r="3383" spans="16:27" ht="15" customHeight="1">
      <c r="P3383" t="str">
        <f t="shared" si="104"/>
        <v/>
      </c>
      <c r="Q3383" t="str">
        <f>IF(P3383="","",IFERROR(IF(AND(H3383="W7",OR(F3383="causal",F3383="predictive")),IF(AND(OR(K3383=1,K3383="1"),OR(L3383=1,L3383="1"),OR(M3383=1,M3383="1")),"adequate","partial"),IF(AND(H3383="W4",F3383="predictive",OR(J3383="P2",J3383="P3",J3383="P4")),IF(OR(U3383=1,U3383="1"),"adequate","partial"),INDEX(Fit_Matrix!$B:$B,MATCH(P3383,Fit_Matrix!$A:$A,0)))),"CHECK KEY"))</f>
        <v/>
      </c>
      <c r="U3383" s="10"/>
      <c r="V3383" s="10"/>
      <c r="W3383" s="10"/>
      <c r="X3383" s="10"/>
      <c r="Y3383" s="10"/>
      <c r="Z3383" s="10"/>
      <c r="AA3383" s="11" t="str">
        <f t="shared" si="105"/>
        <v/>
      </c>
    </row>
    <row r="3384" spans="16:27" ht="15" customHeight="1">
      <c r="P3384" t="str">
        <f t="shared" si="104"/>
        <v/>
      </c>
      <c r="Q3384" t="str">
        <f>IF(P3384="","",IFERROR(IF(AND(H3384="W7",OR(F3384="causal",F3384="predictive")),IF(AND(OR(K3384=1,K3384="1"),OR(L3384=1,L3384="1"),OR(M3384=1,M3384="1")),"adequate","partial"),IF(AND(H3384="W4",F3384="predictive",OR(J3384="P2",J3384="P3",J3384="P4")),IF(OR(U3384=1,U3384="1"),"adequate","partial"),INDEX(Fit_Matrix!$B:$B,MATCH(P3384,Fit_Matrix!$A:$A,0)))),"CHECK KEY"))</f>
        <v/>
      </c>
      <c r="U3384" s="10"/>
      <c r="V3384" s="10"/>
      <c r="W3384" s="10"/>
      <c r="X3384" s="10"/>
      <c r="Y3384" s="10"/>
      <c r="Z3384" s="10"/>
      <c r="AA3384" s="11" t="str">
        <f t="shared" si="105"/>
        <v/>
      </c>
    </row>
    <row r="3385" spans="16:27" ht="15" customHeight="1">
      <c r="P3385" t="str">
        <f t="shared" si="104"/>
        <v/>
      </c>
      <c r="Q3385" t="str">
        <f>IF(P3385="","",IFERROR(IF(AND(H3385="W7",OR(F3385="causal",F3385="predictive")),IF(AND(OR(K3385=1,K3385="1"),OR(L3385=1,L3385="1"),OR(M3385=1,M3385="1")),"adequate","partial"),IF(AND(H3385="W4",F3385="predictive",OR(J3385="P2",J3385="P3",J3385="P4")),IF(OR(U3385=1,U3385="1"),"adequate","partial"),INDEX(Fit_Matrix!$B:$B,MATCH(P3385,Fit_Matrix!$A:$A,0)))),"CHECK KEY"))</f>
        <v/>
      </c>
      <c r="U3385" s="10"/>
      <c r="V3385" s="10"/>
      <c r="W3385" s="10"/>
      <c r="X3385" s="10"/>
      <c r="Y3385" s="10"/>
      <c r="Z3385" s="10"/>
      <c r="AA3385" s="11" t="str">
        <f t="shared" si="105"/>
        <v/>
      </c>
    </row>
    <row r="3386" spans="16:27" ht="15" customHeight="1">
      <c r="P3386" t="str">
        <f t="shared" si="104"/>
        <v/>
      </c>
      <c r="Q3386" t="str">
        <f>IF(P3386="","",IFERROR(IF(AND(H3386="W7",OR(F3386="causal",F3386="predictive")),IF(AND(OR(K3386=1,K3386="1"),OR(L3386=1,L3386="1"),OR(M3386=1,M3386="1")),"adequate","partial"),IF(AND(H3386="W4",F3386="predictive",OR(J3386="P2",J3386="P3",J3386="P4")),IF(OR(U3386=1,U3386="1"),"adequate","partial"),INDEX(Fit_Matrix!$B:$B,MATCH(P3386,Fit_Matrix!$A:$A,0)))),"CHECK KEY"))</f>
        <v/>
      </c>
      <c r="U3386" s="10"/>
      <c r="V3386" s="10"/>
      <c r="W3386" s="10"/>
      <c r="X3386" s="10"/>
      <c r="Y3386" s="10"/>
      <c r="Z3386" s="10"/>
      <c r="AA3386" s="11" t="str">
        <f t="shared" si="105"/>
        <v/>
      </c>
    </row>
    <row r="3387" spans="16:27" ht="15" customHeight="1">
      <c r="P3387" t="str">
        <f t="shared" si="104"/>
        <v/>
      </c>
      <c r="Q3387" t="str">
        <f>IF(P3387="","",IFERROR(IF(AND(H3387="W7",OR(F3387="causal",F3387="predictive")),IF(AND(OR(K3387=1,K3387="1"),OR(L3387=1,L3387="1"),OR(M3387=1,M3387="1")),"adequate","partial"),IF(AND(H3387="W4",F3387="predictive",OR(J3387="P2",J3387="P3",J3387="P4")),IF(OR(U3387=1,U3387="1"),"adequate","partial"),INDEX(Fit_Matrix!$B:$B,MATCH(P3387,Fit_Matrix!$A:$A,0)))),"CHECK KEY"))</f>
        <v/>
      </c>
      <c r="U3387" s="10"/>
      <c r="V3387" s="10"/>
      <c r="W3387" s="10"/>
      <c r="X3387" s="10"/>
      <c r="Y3387" s="10"/>
      <c r="Z3387" s="10"/>
      <c r="AA3387" s="11" t="str">
        <f t="shared" si="105"/>
        <v/>
      </c>
    </row>
    <row r="3388" spans="16:27" ht="15" customHeight="1">
      <c r="P3388" t="str">
        <f t="shared" si="104"/>
        <v/>
      </c>
      <c r="Q3388" t="str">
        <f>IF(P3388="","",IFERROR(IF(AND(H3388="W7",OR(F3388="causal",F3388="predictive")),IF(AND(OR(K3388=1,K3388="1"),OR(L3388=1,L3388="1"),OR(M3388=1,M3388="1")),"adequate","partial"),IF(AND(H3388="W4",F3388="predictive",OR(J3388="P2",J3388="P3",J3388="P4")),IF(OR(U3388=1,U3388="1"),"adequate","partial"),INDEX(Fit_Matrix!$B:$B,MATCH(P3388,Fit_Matrix!$A:$A,0)))),"CHECK KEY"))</f>
        <v/>
      </c>
      <c r="U3388" s="10"/>
      <c r="V3388" s="10"/>
      <c r="W3388" s="10"/>
      <c r="X3388" s="10"/>
      <c r="Y3388" s="10"/>
      <c r="Z3388" s="10"/>
      <c r="AA3388" s="11" t="str">
        <f t="shared" si="105"/>
        <v/>
      </c>
    </row>
    <row r="3389" spans="16:27" ht="15" customHeight="1">
      <c r="P3389" t="str">
        <f t="shared" si="104"/>
        <v/>
      </c>
      <c r="Q3389" t="str">
        <f>IF(P3389="","",IFERROR(IF(AND(H3389="W7",OR(F3389="causal",F3389="predictive")),IF(AND(OR(K3389=1,K3389="1"),OR(L3389=1,L3389="1"),OR(M3389=1,M3389="1")),"adequate","partial"),IF(AND(H3389="W4",F3389="predictive",OR(J3389="P2",J3389="P3",J3389="P4")),IF(OR(U3389=1,U3389="1"),"adequate","partial"),INDEX(Fit_Matrix!$B:$B,MATCH(P3389,Fit_Matrix!$A:$A,0)))),"CHECK KEY"))</f>
        <v/>
      </c>
      <c r="U3389" s="10"/>
      <c r="V3389" s="10"/>
      <c r="W3389" s="10"/>
      <c r="X3389" s="10"/>
      <c r="Y3389" s="10"/>
      <c r="Z3389" s="10"/>
      <c r="AA3389" s="11" t="str">
        <f t="shared" si="105"/>
        <v/>
      </c>
    </row>
    <row r="3390" spans="16:27" ht="15" customHeight="1">
      <c r="P3390" t="str">
        <f t="shared" si="104"/>
        <v/>
      </c>
      <c r="Q3390" t="str">
        <f>IF(P3390="","",IFERROR(IF(AND(H3390="W7",OR(F3390="causal",F3390="predictive")),IF(AND(OR(K3390=1,K3390="1"),OR(L3390=1,L3390="1"),OR(M3390=1,M3390="1")),"adequate","partial"),IF(AND(H3390="W4",F3390="predictive",OR(J3390="P2",J3390="P3",J3390="P4")),IF(OR(U3390=1,U3390="1"),"adequate","partial"),INDEX(Fit_Matrix!$B:$B,MATCH(P3390,Fit_Matrix!$A:$A,0)))),"CHECK KEY"))</f>
        <v/>
      </c>
      <c r="U3390" s="10"/>
      <c r="V3390" s="10"/>
      <c r="W3390" s="10"/>
      <c r="X3390" s="10"/>
      <c r="Y3390" s="10"/>
      <c r="Z3390" s="10"/>
      <c r="AA3390" s="11" t="str">
        <f t="shared" si="105"/>
        <v/>
      </c>
    </row>
    <row r="3391" spans="16:27" ht="15" customHeight="1">
      <c r="P3391" t="str">
        <f t="shared" si="104"/>
        <v/>
      </c>
      <c r="Q3391" t="str">
        <f>IF(P3391="","",IFERROR(IF(AND(H3391="W7",OR(F3391="causal",F3391="predictive")),IF(AND(OR(K3391=1,K3391="1"),OR(L3391=1,L3391="1"),OR(M3391=1,M3391="1")),"adequate","partial"),IF(AND(H3391="W4",F3391="predictive",OR(J3391="P2",J3391="P3",J3391="P4")),IF(OR(U3391=1,U3391="1"),"adequate","partial"),INDEX(Fit_Matrix!$B:$B,MATCH(P3391,Fit_Matrix!$A:$A,0)))),"CHECK KEY"))</f>
        <v/>
      </c>
      <c r="U3391" s="10"/>
      <c r="V3391" s="10"/>
      <c r="W3391" s="10"/>
      <c r="X3391" s="10"/>
      <c r="Y3391" s="10"/>
      <c r="Z3391" s="10"/>
      <c r="AA3391" s="11" t="str">
        <f t="shared" si="105"/>
        <v/>
      </c>
    </row>
    <row r="3392" spans="16:27" ht="15" customHeight="1">
      <c r="P3392" t="str">
        <f t="shared" si="104"/>
        <v/>
      </c>
      <c r="Q3392" t="str">
        <f>IF(P3392="","",IFERROR(IF(AND(H3392="W7",OR(F3392="causal",F3392="predictive")),IF(AND(OR(K3392=1,K3392="1"),OR(L3392=1,L3392="1"),OR(M3392=1,M3392="1")),"adequate","partial"),IF(AND(H3392="W4",F3392="predictive",OR(J3392="P2",J3392="P3",J3392="P4")),IF(OR(U3392=1,U3392="1"),"adequate","partial"),INDEX(Fit_Matrix!$B:$B,MATCH(P3392,Fit_Matrix!$A:$A,0)))),"CHECK KEY"))</f>
        <v/>
      </c>
      <c r="U3392" s="10"/>
      <c r="V3392" s="10"/>
      <c r="W3392" s="10"/>
      <c r="X3392" s="10"/>
      <c r="Y3392" s="10"/>
      <c r="Z3392" s="10"/>
      <c r="AA3392" s="11" t="str">
        <f t="shared" si="105"/>
        <v/>
      </c>
    </row>
    <row r="3393" spans="16:27" ht="15" customHeight="1">
      <c r="P3393" t="str">
        <f t="shared" si="104"/>
        <v/>
      </c>
      <c r="Q3393" t="str">
        <f>IF(P3393="","",IFERROR(IF(AND(H3393="W7",OR(F3393="causal",F3393="predictive")),IF(AND(OR(K3393=1,K3393="1"),OR(L3393=1,L3393="1"),OR(M3393=1,M3393="1")),"adequate","partial"),IF(AND(H3393="W4",F3393="predictive",OR(J3393="P2",J3393="P3",J3393="P4")),IF(OR(U3393=1,U3393="1"),"adequate","partial"),INDEX(Fit_Matrix!$B:$B,MATCH(P3393,Fit_Matrix!$A:$A,0)))),"CHECK KEY"))</f>
        <v/>
      </c>
      <c r="U3393" s="10"/>
      <c r="V3393" s="10"/>
      <c r="W3393" s="10"/>
      <c r="X3393" s="10"/>
      <c r="Y3393" s="10"/>
      <c r="Z3393" s="10"/>
      <c r="AA3393" s="11" t="str">
        <f t="shared" si="105"/>
        <v/>
      </c>
    </row>
    <row r="3394" spans="16:27" ht="15" customHeight="1">
      <c r="P3394" t="str">
        <f t="shared" ref="P3394:P3457" si="106">IF(OR(F3394="",H3394="",J3394=""),"",J3394&amp;"|"&amp;F3394&amp;"|"&amp;IF(H3394="W3","W3_"&amp;IF(I3394="","unknown",I3394),H3394))</f>
        <v/>
      </c>
      <c r="Q3394" t="str">
        <f>IF(P3394="","",IFERROR(IF(AND(H3394="W7",OR(F3394="causal",F3394="predictive")),IF(AND(OR(K3394=1,K3394="1"),OR(L3394=1,L3394="1"),OR(M3394=1,M3394="1")),"adequate","partial"),IF(AND(H3394="W4",F3394="predictive",OR(J3394="P2",J3394="P3",J3394="P4")),IF(OR(U3394=1,U3394="1"),"adequate","partial"),INDEX(Fit_Matrix!$B:$B,MATCH(P3394,Fit_Matrix!$A:$A,0)))),"CHECK KEY"))</f>
        <v/>
      </c>
      <c r="U3394" s="10"/>
      <c r="V3394" s="10"/>
      <c r="W3394" s="10"/>
      <c r="X3394" s="10"/>
      <c r="Y3394" s="10"/>
      <c r="Z3394" s="10"/>
      <c r="AA3394" s="11" t="str">
        <f t="shared" ref="AA3394:AA3457" si="107">IF(A3394="","",IF(AND(J3394="P4",F3394="causal"),"P4-CAUSAL",""))</f>
        <v/>
      </c>
    </row>
    <row r="3395" spans="16:27" ht="15" customHeight="1">
      <c r="P3395" t="str">
        <f t="shared" si="106"/>
        <v/>
      </c>
      <c r="Q3395" t="str">
        <f>IF(P3395="","",IFERROR(IF(AND(H3395="W7",OR(F3395="causal",F3395="predictive")),IF(AND(OR(K3395=1,K3395="1"),OR(L3395=1,L3395="1"),OR(M3395=1,M3395="1")),"adequate","partial"),IF(AND(H3395="W4",F3395="predictive",OR(J3395="P2",J3395="P3",J3395="P4")),IF(OR(U3395=1,U3395="1"),"adequate","partial"),INDEX(Fit_Matrix!$B:$B,MATCH(P3395,Fit_Matrix!$A:$A,0)))),"CHECK KEY"))</f>
        <v/>
      </c>
      <c r="U3395" s="10"/>
      <c r="V3395" s="10"/>
      <c r="W3395" s="10"/>
      <c r="X3395" s="10"/>
      <c r="Y3395" s="10"/>
      <c r="Z3395" s="10"/>
      <c r="AA3395" s="11" t="str">
        <f t="shared" si="107"/>
        <v/>
      </c>
    </row>
    <row r="3396" spans="16:27" ht="15" customHeight="1">
      <c r="P3396" t="str">
        <f t="shared" si="106"/>
        <v/>
      </c>
      <c r="Q3396" t="str">
        <f>IF(P3396="","",IFERROR(IF(AND(H3396="W7",OR(F3396="causal",F3396="predictive")),IF(AND(OR(K3396=1,K3396="1"),OR(L3396=1,L3396="1"),OR(M3396=1,M3396="1")),"adequate","partial"),IF(AND(H3396="W4",F3396="predictive",OR(J3396="P2",J3396="P3",J3396="P4")),IF(OR(U3396=1,U3396="1"),"adequate","partial"),INDEX(Fit_Matrix!$B:$B,MATCH(P3396,Fit_Matrix!$A:$A,0)))),"CHECK KEY"))</f>
        <v/>
      </c>
      <c r="U3396" s="10"/>
      <c r="V3396" s="10"/>
      <c r="W3396" s="10"/>
      <c r="X3396" s="10"/>
      <c r="Y3396" s="10"/>
      <c r="Z3396" s="10"/>
      <c r="AA3396" s="11" t="str">
        <f t="shared" si="107"/>
        <v/>
      </c>
    </row>
    <row r="3397" spans="16:27" ht="15" customHeight="1">
      <c r="P3397" t="str">
        <f t="shared" si="106"/>
        <v/>
      </c>
      <c r="Q3397" t="str">
        <f>IF(P3397="","",IFERROR(IF(AND(H3397="W7",OR(F3397="causal",F3397="predictive")),IF(AND(OR(K3397=1,K3397="1"),OR(L3397=1,L3397="1"),OR(M3397=1,M3397="1")),"adequate","partial"),IF(AND(H3397="W4",F3397="predictive",OR(J3397="P2",J3397="P3",J3397="P4")),IF(OR(U3397=1,U3397="1"),"adequate","partial"),INDEX(Fit_Matrix!$B:$B,MATCH(P3397,Fit_Matrix!$A:$A,0)))),"CHECK KEY"))</f>
        <v/>
      </c>
      <c r="U3397" s="10"/>
      <c r="V3397" s="10"/>
      <c r="W3397" s="10"/>
      <c r="X3397" s="10"/>
      <c r="Y3397" s="10"/>
      <c r="Z3397" s="10"/>
      <c r="AA3397" s="11" t="str">
        <f t="shared" si="107"/>
        <v/>
      </c>
    </row>
    <row r="3398" spans="16:27" ht="15" customHeight="1">
      <c r="P3398" t="str">
        <f t="shared" si="106"/>
        <v/>
      </c>
      <c r="Q3398" t="str">
        <f>IF(P3398="","",IFERROR(IF(AND(H3398="W7",OR(F3398="causal",F3398="predictive")),IF(AND(OR(K3398=1,K3398="1"),OR(L3398=1,L3398="1"),OR(M3398=1,M3398="1")),"adequate","partial"),IF(AND(H3398="W4",F3398="predictive",OR(J3398="P2",J3398="P3",J3398="P4")),IF(OR(U3398=1,U3398="1"),"adequate","partial"),INDEX(Fit_Matrix!$B:$B,MATCH(P3398,Fit_Matrix!$A:$A,0)))),"CHECK KEY"))</f>
        <v/>
      </c>
      <c r="U3398" s="10"/>
      <c r="V3398" s="10"/>
      <c r="W3398" s="10"/>
      <c r="X3398" s="10"/>
      <c r="Y3398" s="10"/>
      <c r="Z3398" s="10"/>
      <c r="AA3398" s="11" t="str">
        <f t="shared" si="107"/>
        <v/>
      </c>
    </row>
    <row r="3399" spans="16:27" ht="15" customHeight="1">
      <c r="P3399" t="str">
        <f t="shared" si="106"/>
        <v/>
      </c>
      <c r="Q3399" t="str">
        <f>IF(P3399="","",IFERROR(IF(AND(H3399="W7",OR(F3399="causal",F3399="predictive")),IF(AND(OR(K3399=1,K3399="1"),OR(L3399=1,L3399="1"),OR(M3399=1,M3399="1")),"adequate","partial"),IF(AND(H3399="W4",F3399="predictive",OR(J3399="P2",J3399="P3",J3399="P4")),IF(OR(U3399=1,U3399="1"),"adequate","partial"),INDEX(Fit_Matrix!$B:$B,MATCH(P3399,Fit_Matrix!$A:$A,0)))),"CHECK KEY"))</f>
        <v/>
      </c>
      <c r="U3399" s="10"/>
      <c r="V3399" s="10"/>
      <c r="W3399" s="10"/>
      <c r="X3399" s="10"/>
      <c r="Y3399" s="10"/>
      <c r="Z3399" s="10"/>
      <c r="AA3399" s="11" t="str">
        <f t="shared" si="107"/>
        <v/>
      </c>
    </row>
    <row r="3400" spans="16:27" ht="15" customHeight="1">
      <c r="P3400" t="str">
        <f t="shared" si="106"/>
        <v/>
      </c>
      <c r="Q3400" t="str">
        <f>IF(P3400="","",IFERROR(IF(AND(H3400="W7",OR(F3400="causal",F3400="predictive")),IF(AND(OR(K3400=1,K3400="1"),OR(L3400=1,L3400="1"),OR(M3400=1,M3400="1")),"adequate","partial"),IF(AND(H3400="W4",F3400="predictive",OR(J3400="P2",J3400="P3",J3400="P4")),IF(OR(U3400=1,U3400="1"),"adequate","partial"),INDEX(Fit_Matrix!$B:$B,MATCH(P3400,Fit_Matrix!$A:$A,0)))),"CHECK KEY"))</f>
        <v/>
      </c>
      <c r="U3400" s="10"/>
      <c r="V3400" s="10"/>
      <c r="W3400" s="10"/>
      <c r="X3400" s="10"/>
      <c r="Y3400" s="10"/>
      <c r="Z3400" s="10"/>
      <c r="AA3400" s="11" t="str">
        <f t="shared" si="107"/>
        <v/>
      </c>
    </row>
    <row r="3401" spans="16:27" ht="15" customHeight="1">
      <c r="P3401" t="str">
        <f t="shared" si="106"/>
        <v/>
      </c>
      <c r="Q3401" t="str">
        <f>IF(P3401="","",IFERROR(IF(AND(H3401="W7",OR(F3401="causal",F3401="predictive")),IF(AND(OR(K3401=1,K3401="1"),OR(L3401=1,L3401="1"),OR(M3401=1,M3401="1")),"adequate","partial"),IF(AND(H3401="W4",F3401="predictive",OR(J3401="P2",J3401="P3",J3401="P4")),IF(OR(U3401=1,U3401="1"),"adequate","partial"),INDEX(Fit_Matrix!$B:$B,MATCH(P3401,Fit_Matrix!$A:$A,0)))),"CHECK KEY"))</f>
        <v/>
      </c>
      <c r="U3401" s="10"/>
      <c r="V3401" s="10"/>
      <c r="W3401" s="10"/>
      <c r="X3401" s="10"/>
      <c r="Y3401" s="10"/>
      <c r="Z3401" s="10"/>
      <c r="AA3401" s="11" t="str">
        <f t="shared" si="107"/>
        <v/>
      </c>
    </row>
    <row r="3402" spans="16:27" ht="15" customHeight="1">
      <c r="P3402" t="str">
        <f t="shared" si="106"/>
        <v/>
      </c>
      <c r="Q3402" t="str">
        <f>IF(P3402="","",IFERROR(IF(AND(H3402="W7",OR(F3402="causal",F3402="predictive")),IF(AND(OR(K3402=1,K3402="1"),OR(L3402=1,L3402="1"),OR(M3402=1,M3402="1")),"adequate","partial"),IF(AND(H3402="W4",F3402="predictive",OR(J3402="P2",J3402="P3",J3402="P4")),IF(OR(U3402=1,U3402="1"),"adequate","partial"),INDEX(Fit_Matrix!$B:$B,MATCH(P3402,Fit_Matrix!$A:$A,0)))),"CHECK KEY"))</f>
        <v/>
      </c>
      <c r="U3402" s="10"/>
      <c r="V3402" s="10"/>
      <c r="W3402" s="10"/>
      <c r="X3402" s="10"/>
      <c r="Y3402" s="10"/>
      <c r="Z3402" s="10"/>
      <c r="AA3402" s="11" t="str">
        <f t="shared" si="107"/>
        <v/>
      </c>
    </row>
    <row r="3403" spans="16:27" ht="15" customHeight="1">
      <c r="P3403" t="str">
        <f t="shared" si="106"/>
        <v/>
      </c>
      <c r="Q3403" t="str">
        <f>IF(P3403="","",IFERROR(IF(AND(H3403="W7",OR(F3403="causal",F3403="predictive")),IF(AND(OR(K3403=1,K3403="1"),OR(L3403=1,L3403="1"),OR(M3403=1,M3403="1")),"adequate","partial"),IF(AND(H3403="W4",F3403="predictive",OR(J3403="P2",J3403="P3",J3403="P4")),IF(OR(U3403=1,U3403="1"),"adequate","partial"),INDEX(Fit_Matrix!$B:$B,MATCH(P3403,Fit_Matrix!$A:$A,0)))),"CHECK KEY"))</f>
        <v/>
      </c>
      <c r="U3403" s="10"/>
      <c r="V3403" s="10"/>
      <c r="W3403" s="10"/>
      <c r="X3403" s="10"/>
      <c r="Y3403" s="10"/>
      <c r="Z3403" s="10"/>
      <c r="AA3403" s="11" t="str">
        <f t="shared" si="107"/>
        <v/>
      </c>
    </row>
    <row r="3404" spans="16:27" ht="15" customHeight="1">
      <c r="P3404" t="str">
        <f t="shared" si="106"/>
        <v/>
      </c>
      <c r="Q3404" t="str">
        <f>IF(P3404="","",IFERROR(IF(AND(H3404="W7",OR(F3404="causal",F3404="predictive")),IF(AND(OR(K3404=1,K3404="1"),OR(L3404=1,L3404="1"),OR(M3404=1,M3404="1")),"adequate","partial"),IF(AND(H3404="W4",F3404="predictive",OR(J3404="P2",J3404="P3",J3404="P4")),IF(OR(U3404=1,U3404="1"),"adequate","partial"),INDEX(Fit_Matrix!$B:$B,MATCH(P3404,Fit_Matrix!$A:$A,0)))),"CHECK KEY"))</f>
        <v/>
      </c>
      <c r="U3404" s="10"/>
      <c r="V3404" s="10"/>
      <c r="W3404" s="10"/>
      <c r="X3404" s="10"/>
      <c r="Y3404" s="10"/>
      <c r="Z3404" s="10"/>
      <c r="AA3404" s="11" t="str">
        <f t="shared" si="107"/>
        <v/>
      </c>
    </row>
    <row r="3405" spans="16:27" ht="15" customHeight="1">
      <c r="P3405" t="str">
        <f t="shared" si="106"/>
        <v/>
      </c>
      <c r="Q3405" t="str">
        <f>IF(P3405="","",IFERROR(IF(AND(H3405="W7",OR(F3405="causal",F3405="predictive")),IF(AND(OR(K3405=1,K3405="1"),OR(L3405=1,L3405="1"),OR(M3405=1,M3405="1")),"adequate","partial"),IF(AND(H3405="W4",F3405="predictive",OR(J3405="P2",J3405="P3",J3405="P4")),IF(OR(U3405=1,U3405="1"),"adequate","partial"),INDEX(Fit_Matrix!$B:$B,MATCH(P3405,Fit_Matrix!$A:$A,0)))),"CHECK KEY"))</f>
        <v/>
      </c>
      <c r="U3405" s="10"/>
      <c r="V3405" s="10"/>
      <c r="W3405" s="10"/>
      <c r="X3405" s="10"/>
      <c r="Y3405" s="10"/>
      <c r="Z3405" s="10"/>
      <c r="AA3405" s="11" t="str">
        <f t="shared" si="107"/>
        <v/>
      </c>
    </row>
    <row r="3406" spans="16:27" ht="15" customHeight="1">
      <c r="P3406" t="str">
        <f t="shared" si="106"/>
        <v/>
      </c>
      <c r="Q3406" t="str">
        <f>IF(P3406="","",IFERROR(IF(AND(H3406="W7",OR(F3406="causal",F3406="predictive")),IF(AND(OR(K3406=1,K3406="1"),OR(L3406=1,L3406="1"),OR(M3406=1,M3406="1")),"adequate","partial"),IF(AND(H3406="W4",F3406="predictive",OR(J3406="P2",J3406="P3",J3406="P4")),IF(OR(U3406=1,U3406="1"),"adequate","partial"),INDEX(Fit_Matrix!$B:$B,MATCH(P3406,Fit_Matrix!$A:$A,0)))),"CHECK KEY"))</f>
        <v/>
      </c>
      <c r="U3406" s="10"/>
      <c r="V3406" s="10"/>
      <c r="W3406" s="10"/>
      <c r="X3406" s="10"/>
      <c r="Y3406" s="10"/>
      <c r="Z3406" s="10"/>
      <c r="AA3406" s="11" t="str">
        <f t="shared" si="107"/>
        <v/>
      </c>
    </row>
    <row r="3407" spans="16:27" ht="15" customHeight="1">
      <c r="P3407" t="str">
        <f t="shared" si="106"/>
        <v/>
      </c>
      <c r="Q3407" t="str">
        <f>IF(P3407="","",IFERROR(IF(AND(H3407="W7",OR(F3407="causal",F3407="predictive")),IF(AND(OR(K3407=1,K3407="1"),OR(L3407=1,L3407="1"),OR(M3407=1,M3407="1")),"adequate","partial"),IF(AND(H3407="W4",F3407="predictive",OR(J3407="P2",J3407="P3",J3407="P4")),IF(OR(U3407=1,U3407="1"),"adequate","partial"),INDEX(Fit_Matrix!$B:$B,MATCH(P3407,Fit_Matrix!$A:$A,0)))),"CHECK KEY"))</f>
        <v/>
      </c>
      <c r="U3407" s="10"/>
      <c r="V3407" s="10"/>
      <c r="W3407" s="10"/>
      <c r="X3407" s="10"/>
      <c r="Y3407" s="10"/>
      <c r="Z3407" s="10"/>
      <c r="AA3407" s="11" t="str">
        <f t="shared" si="107"/>
        <v/>
      </c>
    </row>
    <row r="3408" spans="16:27" ht="15" customHeight="1">
      <c r="P3408" t="str">
        <f t="shared" si="106"/>
        <v/>
      </c>
      <c r="Q3408" t="str">
        <f>IF(P3408="","",IFERROR(IF(AND(H3408="W7",OR(F3408="causal",F3408="predictive")),IF(AND(OR(K3408=1,K3408="1"),OR(L3408=1,L3408="1"),OR(M3408=1,M3408="1")),"adequate","partial"),IF(AND(H3408="W4",F3408="predictive",OR(J3408="P2",J3408="P3",J3408="P4")),IF(OR(U3408=1,U3408="1"),"adequate","partial"),INDEX(Fit_Matrix!$B:$B,MATCH(P3408,Fit_Matrix!$A:$A,0)))),"CHECK KEY"))</f>
        <v/>
      </c>
      <c r="U3408" s="10"/>
      <c r="V3408" s="10"/>
      <c r="W3408" s="10"/>
      <c r="X3408" s="10"/>
      <c r="Y3408" s="10"/>
      <c r="Z3408" s="10"/>
      <c r="AA3408" s="11" t="str">
        <f t="shared" si="107"/>
        <v/>
      </c>
    </row>
    <row r="3409" spans="16:27" ht="15" customHeight="1">
      <c r="P3409" t="str">
        <f t="shared" si="106"/>
        <v/>
      </c>
      <c r="Q3409" t="str">
        <f>IF(P3409="","",IFERROR(IF(AND(H3409="W7",OR(F3409="causal",F3409="predictive")),IF(AND(OR(K3409=1,K3409="1"),OR(L3409=1,L3409="1"),OR(M3409=1,M3409="1")),"adequate","partial"),IF(AND(H3409="W4",F3409="predictive",OR(J3409="P2",J3409="P3",J3409="P4")),IF(OR(U3409=1,U3409="1"),"adequate","partial"),INDEX(Fit_Matrix!$B:$B,MATCH(P3409,Fit_Matrix!$A:$A,0)))),"CHECK KEY"))</f>
        <v/>
      </c>
      <c r="U3409" s="10"/>
      <c r="V3409" s="10"/>
      <c r="W3409" s="10"/>
      <c r="X3409" s="10"/>
      <c r="Y3409" s="10"/>
      <c r="Z3409" s="10"/>
      <c r="AA3409" s="11" t="str">
        <f t="shared" si="107"/>
        <v/>
      </c>
    </row>
    <row r="3410" spans="16:27" ht="15" customHeight="1">
      <c r="P3410" t="str">
        <f t="shared" si="106"/>
        <v/>
      </c>
      <c r="Q3410" t="str">
        <f>IF(P3410="","",IFERROR(IF(AND(H3410="W7",OR(F3410="causal",F3410="predictive")),IF(AND(OR(K3410=1,K3410="1"),OR(L3410=1,L3410="1"),OR(M3410=1,M3410="1")),"adequate","partial"),IF(AND(H3410="W4",F3410="predictive",OR(J3410="P2",J3410="P3",J3410="P4")),IF(OR(U3410=1,U3410="1"),"adequate","partial"),INDEX(Fit_Matrix!$B:$B,MATCH(P3410,Fit_Matrix!$A:$A,0)))),"CHECK KEY"))</f>
        <v/>
      </c>
      <c r="U3410" s="10"/>
      <c r="V3410" s="10"/>
      <c r="W3410" s="10"/>
      <c r="X3410" s="10"/>
      <c r="Y3410" s="10"/>
      <c r="Z3410" s="10"/>
      <c r="AA3410" s="11" t="str">
        <f t="shared" si="107"/>
        <v/>
      </c>
    </row>
    <row r="3411" spans="16:27" ht="15" customHeight="1">
      <c r="P3411" t="str">
        <f t="shared" si="106"/>
        <v/>
      </c>
      <c r="Q3411" t="str">
        <f>IF(P3411="","",IFERROR(IF(AND(H3411="W7",OR(F3411="causal",F3411="predictive")),IF(AND(OR(K3411=1,K3411="1"),OR(L3411=1,L3411="1"),OR(M3411=1,M3411="1")),"adequate","partial"),IF(AND(H3411="W4",F3411="predictive",OR(J3411="P2",J3411="P3",J3411="P4")),IF(OR(U3411=1,U3411="1"),"adequate","partial"),INDEX(Fit_Matrix!$B:$B,MATCH(P3411,Fit_Matrix!$A:$A,0)))),"CHECK KEY"))</f>
        <v/>
      </c>
      <c r="U3411" s="10"/>
      <c r="V3411" s="10"/>
      <c r="W3411" s="10"/>
      <c r="X3411" s="10"/>
      <c r="Y3411" s="10"/>
      <c r="Z3411" s="10"/>
      <c r="AA3411" s="11" t="str">
        <f t="shared" si="107"/>
        <v/>
      </c>
    </row>
    <row r="3412" spans="16:27" ht="15" customHeight="1">
      <c r="P3412" t="str">
        <f t="shared" si="106"/>
        <v/>
      </c>
      <c r="Q3412" t="str">
        <f>IF(P3412="","",IFERROR(IF(AND(H3412="W7",OR(F3412="causal",F3412="predictive")),IF(AND(OR(K3412=1,K3412="1"),OR(L3412=1,L3412="1"),OR(M3412=1,M3412="1")),"adequate","partial"),IF(AND(H3412="W4",F3412="predictive",OR(J3412="P2",J3412="P3",J3412="P4")),IF(OR(U3412=1,U3412="1"),"adequate","partial"),INDEX(Fit_Matrix!$B:$B,MATCH(P3412,Fit_Matrix!$A:$A,0)))),"CHECK KEY"))</f>
        <v/>
      </c>
      <c r="U3412" s="10"/>
      <c r="V3412" s="10"/>
      <c r="W3412" s="10"/>
      <c r="X3412" s="10"/>
      <c r="Y3412" s="10"/>
      <c r="Z3412" s="10"/>
      <c r="AA3412" s="11" t="str">
        <f t="shared" si="107"/>
        <v/>
      </c>
    </row>
    <row r="3413" spans="16:27" ht="15" customHeight="1">
      <c r="P3413" t="str">
        <f t="shared" si="106"/>
        <v/>
      </c>
      <c r="Q3413" t="str">
        <f>IF(P3413="","",IFERROR(IF(AND(H3413="W7",OR(F3413="causal",F3413="predictive")),IF(AND(OR(K3413=1,K3413="1"),OR(L3413=1,L3413="1"),OR(M3413=1,M3413="1")),"adequate","partial"),IF(AND(H3413="W4",F3413="predictive",OR(J3413="P2",J3413="P3",J3413="P4")),IF(OR(U3413=1,U3413="1"),"adequate","partial"),INDEX(Fit_Matrix!$B:$B,MATCH(P3413,Fit_Matrix!$A:$A,0)))),"CHECK KEY"))</f>
        <v/>
      </c>
      <c r="U3413" s="10"/>
      <c r="V3413" s="10"/>
      <c r="W3413" s="10"/>
      <c r="X3413" s="10"/>
      <c r="Y3413" s="10"/>
      <c r="Z3413" s="10"/>
      <c r="AA3413" s="11" t="str">
        <f t="shared" si="107"/>
        <v/>
      </c>
    </row>
    <row r="3414" spans="16:27" ht="15" customHeight="1">
      <c r="P3414" t="str">
        <f t="shared" si="106"/>
        <v/>
      </c>
      <c r="Q3414" t="str">
        <f>IF(P3414="","",IFERROR(IF(AND(H3414="W7",OR(F3414="causal",F3414="predictive")),IF(AND(OR(K3414=1,K3414="1"),OR(L3414=1,L3414="1"),OR(M3414=1,M3414="1")),"adequate","partial"),IF(AND(H3414="W4",F3414="predictive",OR(J3414="P2",J3414="P3",J3414="P4")),IF(OR(U3414=1,U3414="1"),"adequate","partial"),INDEX(Fit_Matrix!$B:$B,MATCH(P3414,Fit_Matrix!$A:$A,0)))),"CHECK KEY"))</f>
        <v/>
      </c>
      <c r="U3414" s="10"/>
      <c r="V3414" s="10"/>
      <c r="W3414" s="10"/>
      <c r="X3414" s="10"/>
      <c r="Y3414" s="10"/>
      <c r="Z3414" s="10"/>
      <c r="AA3414" s="11" t="str">
        <f t="shared" si="107"/>
        <v/>
      </c>
    </row>
    <row r="3415" spans="16:27" ht="15" customHeight="1">
      <c r="P3415" t="str">
        <f t="shared" si="106"/>
        <v/>
      </c>
      <c r="Q3415" t="str">
        <f>IF(P3415="","",IFERROR(IF(AND(H3415="W7",OR(F3415="causal",F3415="predictive")),IF(AND(OR(K3415=1,K3415="1"),OR(L3415=1,L3415="1"),OR(M3415=1,M3415="1")),"adequate","partial"),IF(AND(H3415="W4",F3415="predictive",OR(J3415="P2",J3415="P3",J3415="P4")),IF(OR(U3415=1,U3415="1"),"adequate","partial"),INDEX(Fit_Matrix!$B:$B,MATCH(P3415,Fit_Matrix!$A:$A,0)))),"CHECK KEY"))</f>
        <v/>
      </c>
      <c r="U3415" s="10"/>
      <c r="V3415" s="10"/>
      <c r="W3415" s="10"/>
      <c r="X3415" s="10"/>
      <c r="Y3415" s="10"/>
      <c r="Z3415" s="10"/>
      <c r="AA3415" s="11" t="str">
        <f t="shared" si="107"/>
        <v/>
      </c>
    </row>
    <row r="3416" spans="16:27" ht="15" customHeight="1">
      <c r="P3416" t="str">
        <f t="shared" si="106"/>
        <v/>
      </c>
      <c r="Q3416" t="str">
        <f>IF(P3416="","",IFERROR(IF(AND(H3416="W7",OR(F3416="causal",F3416="predictive")),IF(AND(OR(K3416=1,K3416="1"),OR(L3416=1,L3416="1"),OR(M3416=1,M3416="1")),"adequate","partial"),IF(AND(H3416="W4",F3416="predictive",OR(J3416="P2",J3416="P3",J3416="P4")),IF(OR(U3416=1,U3416="1"),"adequate","partial"),INDEX(Fit_Matrix!$B:$B,MATCH(P3416,Fit_Matrix!$A:$A,0)))),"CHECK KEY"))</f>
        <v/>
      </c>
      <c r="U3416" s="10"/>
      <c r="V3416" s="10"/>
      <c r="W3416" s="10"/>
      <c r="X3416" s="10"/>
      <c r="Y3416" s="10"/>
      <c r="Z3416" s="10"/>
      <c r="AA3416" s="11" t="str">
        <f t="shared" si="107"/>
        <v/>
      </c>
    </row>
    <row r="3417" spans="16:27" ht="15" customHeight="1">
      <c r="P3417" t="str">
        <f t="shared" si="106"/>
        <v/>
      </c>
      <c r="Q3417" t="str">
        <f>IF(P3417="","",IFERROR(IF(AND(H3417="W7",OR(F3417="causal",F3417="predictive")),IF(AND(OR(K3417=1,K3417="1"),OR(L3417=1,L3417="1"),OR(M3417=1,M3417="1")),"adequate","partial"),IF(AND(H3417="W4",F3417="predictive",OR(J3417="P2",J3417="P3",J3417="P4")),IF(OR(U3417=1,U3417="1"),"adequate","partial"),INDEX(Fit_Matrix!$B:$B,MATCH(P3417,Fit_Matrix!$A:$A,0)))),"CHECK KEY"))</f>
        <v/>
      </c>
      <c r="U3417" s="10"/>
      <c r="V3417" s="10"/>
      <c r="W3417" s="10"/>
      <c r="X3417" s="10"/>
      <c r="Y3417" s="10"/>
      <c r="Z3417" s="10"/>
      <c r="AA3417" s="11" t="str">
        <f t="shared" si="107"/>
        <v/>
      </c>
    </row>
    <row r="3418" spans="16:27" ht="15" customHeight="1">
      <c r="P3418" t="str">
        <f t="shared" si="106"/>
        <v/>
      </c>
      <c r="Q3418" t="str">
        <f>IF(P3418="","",IFERROR(IF(AND(H3418="W7",OR(F3418="causal",F3418="predictive")),IF(AND(OR(K3418=1,K3418="1"),OR(L3418=1,L3418="1"),OR(M3418=1,M3418="1")),"adequate","partial"),IF(AND(H3418="W4",F3418="predictive",OR(J3418="P2",J3418="P3",J3418="P4")),IF(OR(U3418=1,U3418="1"),"adequate","partial"),INDEX(Fit_Matrix!$B:$B,MATCH(P3418,Fit_Matrix!$A:$A,0)))),"CHECK KEY"))</f>
        <v/>
      </c>
      <c r="U3418" s="10"/>
      <c r="V3418" s="10"/>
      <c r="W3418" s="10"/>
      <c r="X3418" s="10"/>
      <c r="Y3418" s="10"/>
      <c r="Z3418" s="10"/>
      <c r="AA3418" s="11" t="str">
        <f t="shared" si="107"/>
        <v/>
      </c>
    </row>
    <row r="3419" spans="16:27" ht="15" customHeight="1">
      <c r="P3419" t="str">
        <f t="shared" si="106"/>
        <v/>
      </c>
      <c r="Q3419" t="str">
        <f>IF(P3419="","",IFERROR(IF(AND(H3419="W7",OR(F3419="causal",F3419="predictive")),IF(AND(OR(K3419=1,K3419="1"),OR(L3419=1,L3419="1"),OR(M3419=1,M3419="1")),"adequate","partial"),IF(AND(H3419="W4",F3419="predictive",OR(J3419="P2",J3419="P3",J3419="P4")),IF(OR(U3419=1,U3419="1"),"adequate","partial"),INDEX(Fit_Matrix!$B:$B,MATCH(P3419,Fit_Matrix!$A:$A,0)))),"CHECK KEY"))</f>
        <v/>
      </c>
      <c r="U3419" s="10"/>
      <c r="V3419" s="10"/>
      <c r="W3419" s="10"/>
      <c r="X3419" s="10"/>
      <c r="Y3419" s="10"/>
      <c r="Z3419" s="10"/>
      <c r="AA3419" s="11" t="str">
        <f t="shared" si="107"/>
        <v/>
      </c>
    </row>
    <row r="3420" spans="16:27" ht="15" customHeight="1">
      <c r="P3420" t="str">
        <f t="shared" si="106"/>
        <v/>
      </c>
      <c r="Q3420" t="str">
        <f>IF(P3420="","",IFERROR(IF(AND(H3420="W7",OR(F3420="causal",F3420="predictive")),IF(AND(OR(K3420=1,K3420="1"),OR(L3420=1,L3420="1"),OR(M3420=1,M3420="1")),"adequate","partial"),IF(AND(H3420="W4",F3420="predictive",OR(J3420="P2",J3420="P3",J3420="P4")),IF(OR(U3420=1,U3420="1"),"adequate","partial"),INDEX(Fit_Matrix!$B:$B,MATCH(P3420,Fit_Matrix!$A:$A,0)))),"CHECK KEY"))</f>
        <v/>
      </c>
      <c r="U3420" s="10"/>
      <c r="V3420" s="10"/>
      <c r="W3420" s="10"/>
      <c r="X3420" s="10"/>
      <c r="Y3420" s="10"/>
      <c r="Z3420" s="10"/>
      <c r="AA3420" s="11" t="str">
        <f t="shared" si="107"/>
        <v/>
      </c>
    </row>
    <row r="3421" spans="16:27" ht="15" customHeight="1">
      <c r="P3421" t="str">
        <f t="shared" si="106"/>
        <v/>
      </c>
      <c r="Q3421" t="str">
        <f>IF(P3421="","",IFERROR(IF(AND(H3421="W7",OR(F3421="causal",F3421="predictive")),IF(AND(OR(K3421=1,K3421="1"),OR(L3421=1,L3421="1"),OR(M3421=1,M3421="1")),"adequate","partial"),IF(AND(H3421="W4",F3421="predictive",OR(J3421="P2",J3421="P3",J3421="P4")),IF(OR(U3421=1,U3421="1"),"adequate","partial"),INDEX(Fit_Matrix!$B:$B,MATCH(P3421,Fit_Matrix!$A:$A,0)))),"CHECK KEY"))</f>
        <v/>
      </c>
      <c r="U3421" s="10"/>
      <c r="V3421" s="10"/>
      <c r="W3421" s="10"/>
      <c r="X3421" s="10"/>
      <c r="Y3421" s="10"/>
      <c r="Z3421" s="10"/>
      <c r="AA3421" s="11" t="str">
        <f t="shared" si="107"/>
        <v/>
      </c>
    </row>
    <row r="3422" spans="16:27" ht="15" customHeight="1">
      <c r="P3422" t="str">
        <f t="shared" si="106"/>
        <v/>
      </c>
      <c r="Q3422" t="str">
        <f>IF(P3422="","",IFERROR(IF(AND(H3422="W7",OR(F3422="causal",F3422="predictive")),IF(AND(OR(K3422=1,K3422="1"),OR(L3422=1,L3422="1"),OR(M3422=1,M3422="1")),"adequate","partial"),IF(AND(H3422="W4",F3422="predictive",OR(J3422="P2",J3422="P3",J3422="P4")),IF(OR(U3422=1,U3422="1"),"adequate","partial"),INDEX(Fit_Matrix!$B:$B,MATCH(P3422,Fit_Matrix!$A:$A,0)))),"CHECK KEY"))</f>
        <v/>
      </c>
      <c r="U3422" s="10"/>
      <c r="V3422" s="10"/>
      <c r="W3422" s="10"/>
      <c r="X3422" s="10"/>
      <c r="Y3422" s="10"/>
      <c r="Z3422" s="10"/>
      <c r="AA3422" s="11" t="str">
        <f t="shared" si="107"/>
        <v/>
      </c>
    </row>
    <row r="3423" spans="16:27" ht="15" customHeight="1">
      <c r="P3423" t="str">
        <f t="shared" si="106"/>
        <v/>
      </c>
      <c r="Q3423" t="str">
        <f>IF(P3423="","",IFERROR(IF(AND(H3423="W7",OR(F3423="causal",F3423="predictive")),IF(AND(OR(K3423=1,K3423="1"),OR(L3423=1,L3423="1"),OR(M3423=1,M3423="1")),"adequate","partial"),IF(AND(H3423="W4",F3423="predictive",OR(J3423="P2",J3423="P3",J3423="P4")),IF(OR(U3423=1,U3423="1"),"adequate","partial"),INDEX(Fit_Matrix!$B:$B,MATCH(P3423,Fit_Matrix!$A:$A,0)))),"CHECK KEY"))</f>
        <v/>
      </c>
      <c r="U3423" s="10"/>
      <c r="V3423" s="10"/>
      <c r="W3423" s="10"/>
      <c r="X3423" s="10"/>
      <c r="Y3423" s="10"/>
      <c r="Z3423" s="10"/>
      <c r="AA3423" s="11" t="str">
        <f t="shared" si="107"/>
        <v/>
      </c>
    </row>
    <row r="3424" spans="16:27" ht="15" customHeight="1">
      <c r="P3424" t="str">
        <f t="shared" si="106"/>
        <v/>
      </c>
      <c r="Q3424" t="str">
        <f>IF(P3424="","",IFERROR(IF(AND(H3424="W7",OR(F3424="causal",F3424="predictive")),IF(AND(OR(K3424=1,K3424="1"),OR(L3424=1,L3424="1"),OR(M3424=1,M3424="1")),"adequate","partial"),IF(AND(H3424="W4",F3424="predictive",OR(J3424="P2",J3424="P3",J3424="P4")),IF(OR(U3424=1,U3424="1"),"adequate","partial"),INDEX(Fit_Matrix!$B:$B,MATCH(P3424,Fit_Matrix!$A:$A,0)))),"CHECK KEY"))</f>
        <v/>
      </c>
      <c r="U3424" s="10"/>
      <c r="V3424" s="10"/>
      <c r="W3424" s="10"/>
      <c r="X3424" s="10"/>
      <c r="Y3424" s="10"/>
      <c r="Z3424" s="10"/>
      <c r="AA3424" s="11" t="str">
        <f t="shared" si="107"/>
        <v/>
      </c>
    </row>
    <row r="3425" spans="16:27" ht="15" customHeight="1">
      <c r="P3425" t="str">
        <f t="shared" si="106"/>
        <v/>
      </c>
      <c r="Q3425" t="str">
        <f>IF(P3425="","",IFERROR(IF(AND(H3425="W7",OR(F3425="causal",F3425="predictive")),IF(AND(OR(K3425=1,K3425="1"),OR(L3425=1,L3425="1"),OR(M3425=1,M3425="1")),"adequate","partial"),IF(AND(H3425="W4",F3425="predictive",OR(J3425="P2",J3425="P3",J3425="P4")),IF(OR(U3425=1,U3425="1"),"adequate","partial"),INDEX(Fit_Matrix!$B:$B,MATCH(P3425,Fit_Matrix!$A:$A,0)))),"CHECK KEY"))</f>
        <v/>
      </c>
      <c r="U3425" s="10"/>
      <c r="V3425" s="10"/>
      <c r="W3425" s="10"/>
      <c r="X3425" s="10"/>
      <c r="Y3425" s="10"/>
      <c r="Z3425" s="10"/>
      <c r="AA3425" s="11" t="str">
        <f t="shared" si="107"/>
        <v/>
      </c>
    </row>
    <row r="3426" spans="16:27" ht="15" customHeight="1">
      <c r="P3426" t="str">
        <f t="shared" si="106"/>
        <v/>
      </c>
      <c r="Q3426" t="str">
        <f>IF(P3426="","",IFERROR(IF(AND(H3426="W7",OR(F3426="causal",F3426="predictive")),IF(AND(OR(K3426=1,K3426="1"),OR(L3426=1,L3426="1"),OR(M3426=1,M3426="1")),"adequate","partial"),IF(AND(H3426="W4",F3426="predictive",OR(J3426="P2",J3426="P3",J3426="P4")),IF(OR(U3426=1,U3426="1"),"adequate","partial"),INDEX(Fit_Matrix!$B:$B,MATCH(P3426,Fit_Matrix!$A:$A,0)))),"CHECK KEY"))</f>
        <v/>
      </c>
      <c r="U3426" s="10"/>
      <c r="V3426" s="10"/>
      <c r="W3426" s="10"/>
      <c r="X3426" s="10"/>
      <c r="Y3426" s="10"/>
      <c r="Z3426" s="10"/>
      <c r="AA3426" s="11" t="str">
        <f t="shared" si="107"/>
        <v/>
      </c>
    </row>
    <row r="3427" spans="16:27" ht="15" customHeight="1">
      <c r="P3427" t="str">
        <f t="shared" si="106"/>
        <v/>
      </c>
      <c r="Q3427" t="str">
        <f>IF(P3427="","",IFERROR(IF(AND(H3427="W7",OR(F3427="causal",F3427="predictive")),IF(AND(OR(K3427=1,K3427="1"),OR(L3427=1,L3427="1"),OR(M3427=1,M3427="1")),"adequate","partial"),IF(AND(H3427="W4",F3427="predictive",OR(J3427="P2",J3427="P3",J3427="P4")),IF(OR(U3427=1,U3427="1"),"adequate","partial"),INDEX(Fit_Matrix!$B:$B,MATCH(P3427,Fit_Matrix!$A:$A,0)))),"CHECK KEY"))</f>
        <v/>
      </c>
      <c r="U3427" s="10"/>
      <c r="V3427" s="10"/>
      <c r="W3427" s="10"/>
      <c r="X3427" s="10"/>
      <c r="Y3427" s="10"/>
      <c r="Z3427" s="10"/>
      <c r="AA3427" s="11" t="str">
        <f t="shared" si="107"/>
        <v/>
      </c>
    </row>
    <row r="3428" spans="16:27" ht="15" customHeight="1">
      <c r="P3428" t="str">
        <f t="shared" si="106"/>
        <v/>
      </c>
      <c r="Q3428" t="str">
        <f>IF(P3428="","",IFERROR(IF(AND(H3428="W7",OR(F3428="causal",F3428="predictive")),IF(AND(OR(K3428=1,K3428="1"),OR(L3428=1,L3428="1"),OR(M3428=1,M3428="1")),"adequate","partial"),IF(AND(H3428="W4",F3428="predictive",OR(J3428="P2",J3428="P3",J3428="P4")),IF(OR(U3428=1,U3428="1"),"adequate","partial"),INDEX(Fit_Matrix!$B:$B,MATCH(P3428,Fit_Matrix!$A:$A,0)))),"CHECK KEY"))</f>
        <v/>
      </c>
      <c r="U3428" s="10"/>
      <c r="V3428" s="10"/>
      <c r="W3428" s="10"/>
      <c r="X3428" s="10"/>
      <c r="Y3428" s="10"/>
      <c r="Z3428" s="10"/>
      <c r="AA3428" s="11" t="str">
        <f t="shared" si="107"/>
        <v/>
      </c>
    </row>
    <row r="3429" spans="16:27" ht="15" customHeight="1">
      <c r="P3429" t="str">
        <f t="shared" si="106"/>
        <v/>
      </c>
      <c r="Q3429" t="str">
        <f>IF(P3429="","",IFERROR(IF(AND(H3429="W7",OR(F3429="causal",F3429="predictive")),IF(AND(OR(K3429=1,K3429="1"),OR(L3429=1,L3429="1"),OR(M3429=1,M3429="1")),"adequate","partial"),IF(AND(H3429="W4",F3429="predictive",OR(J3429="P2",J3429="P3",J3429="P4")),IF(OR(U3429=1,U3429="1"),"adequate","partial"),INDEX(Fit_Matrix!$B:$B,MATCH(P3429,Fit_Matrix!$A:$A,0)))),"CHECK KEY"))</f>
        <v/>
      </c>
      <c r="U3429" s="10"/>
      <c r="V3429" s="10"/>
      <c r="W3429" s="10"/>
      <c r="X3429" s="10"/>
      <c r="Y3429" s="10"/>
      <c r="Z3429" s="10"/>
      <c r="AA3429" s="11" t="str">
        <f t="shared" si="107"/>
        <v/>
      </c>
    </row>
    <row r="3430" spans="16:27" ht="15" customHeight="1">
      <c r="P3430" t="str">
        <f t="shared" si="106"/>
        <v/>
      </c>
      <c r="Q3430" t="str">
        <f>IF(P3430="","",IFERROR(IF(AND(H3430="W7",OR(F3430="causal",F3430="predictive")),IF(AND(OR(K3430=1,K3430="1"),OR(L3430=1,L3430="1"),OR(M3430=1,M3430="1")),"adequate","partial"),IF(AND(H3430="W4",F3430="predictive",OR(J3430="P2",J3430="P3",J3430="P4")),IF(OR(U3430=1,U3430="1"),"adequate","partial"),INDEX(Fit_Matrix!$B:$B,MATCH(P3430,Fit_Matrix!$A:$A,0)))),"CHECK KEY"))</f>
        <v/>
      </c>
      <c r="U3430" s="10"/>
      <c r="V3430" s="10"/>
      <c r="W3430" s="10"/>
      <c r="X3430" s="10"/>
      <c r="Y3430" s="10"/>
      <c r="Z3430" s="10"/>
      <c r="AA3430" s="11" t="str">
        <f t="shared" si="107"/>
        <v/>
      </c>
    </row>
    <row r="3431" spans="16:27" ht="15" customHeight="1">
      <c r="P3431" t="str">
        <f t="shared" si="106"/>
        <v/>
      </c>
      <c r="Q3431" t="str">
        <f>IF(P3431="","",IFERROR(IF(AND(H3431="W7",OR(F3431="causal",F3431="predictive")),IF(AND(OR(K3431=1,K3431="1"),OR(L3431=1,L3431="1"),OR(M3431=1,M3431="1")),"adequate","partial"),IF(AND(H3431="W4",F3431="predictive",OR(J3431="P2",J3431="P3",J3431="P4")),IF(OR(U3431=1,U3431="1"),"adequate","partial"),INDEX(Fit_Matrix!$B:$B,MATCH(P3431,Fit_Matrix!$A:$A,0)))),"CHECK KEY"))</f>
        <v/>
      </c>
      <c r="U3431" s="10"/>
      <c r="V3431" s="10"/>
      <c r="W3431" s="10"/>
      <c r="X3431" s="10"/>
      <c r="Y3431" s="10"/>
      <c r="Z3431" s="10"/>
      <c r="AA3431" s="11" t="str">
        <f t="shared" si="107"/>
        <v/>
      </c>
    </row>
    <row r="3432" spans="16:27" ht="15" customHeight="1">
      <c r="P3432" t="str">
        <f t="shared" si="106"/>
        <v/>
      </c>
      <c r="Q3432" t="str">
        <f>IF(P3432="","",IFERROR(IF(AND(H3432="W7",OR(F3432="causal",F3432="predictive")),IF(AND(OR(K3432=1,K3432="1"),OR(L3432=1,L3432="1"),OR(M3432=1,M3432="1")),"adequate","partial"),IF(AND(H3432="W4",F3432="predictive",OR(J3432="P2",J3432="P3",J3432="P4")),IF(OR(U3432=1,U3432="1"),"adequate","partial"),INDEX(Fit_Matrix!$B:$B,MATCH(P3432,Fit_Matrix!$A:$A,0)))),"CHECK KEY"))</f>
        <v/>
      </c>
      <c r="U3432" s="10"/>
      <c r="V3432" s="10"/>
      <c r="W3432" s="10"/>
      <c r="X3432" s="10"/>
      <c r="Y3432" s="10"/>
      <c r="Z3432" s="10"/>
      <c r="AA3432" s="11" t="str">
        <f t="shared" si="107"/>
        <v/>
      </c>
    </row>
    <row r="3433" spans="16:27" ht="15" customHeight="1">
      <c r="P3433" t="str">
        <f t="shared" si="106"/>
        <v/>
      </c>
      <c r="Q3433" t="str">
        <f>IF(P3433="","",IFERROR(IF(AND(H3433="W7",OR(F3433="causal",F3433="predictive")),IF(AND(OR(K3433=1,K3433="1"),OR(L3433=1,L3433="1"),OR(M3433=1,M3433="1")),"adequate","partial"),IF(AND(H3433="W4",F3433="predictive",OR(J3433="P2",J3433="P3",J3433="P4")),IF(OR(U3433=1,U3433="1"),"adequate","partial"),INDEX(Fit_Matrix!$B:$B,MATCH(P3433,Fit_Matrix!$A:$A,0)))),"CHECK KEY"))</f>
        <v/>
      </c>
      <c r="U3433" s="10"/>
      <c r="V3433" s="10"/>
      <c r="W3433" s="10"/>
      <c r="X3433" s="10"/>
      <c r="Y3433" s="10"/>
      <c r="Z3433" s="10"/>
      <c r="AA3433" s="11" t="str">
        <f t="shared" si="107"/>
        <v/>
      </c>
    </row>
    <row r="3434" spans="16:27" ht="15" customHeight="1">
      <c r="P3434" t="str">
        <f t="shared" si="106"/>
        <v/>
      </c>
      <c r="Q3434" t="str">
        <f>IF(P3434="","",IFERROR(IF(AND(H3434="W7",OR(F3434="causal",F3434="predictive")),IF(AND(OR(K3434=1,K3434="1"),OR(L3434=1,L3434="1"),OR(M3434=1,M3434="1")),"adequate","partial"),IF(AND(H3434="W4",F3434="predictive",OR(J3434="P2",J3434="P3",J3434="P4")),IF(OR(U3434=1,U3434="1"),"adequate","partial"),INDEX(Fit_Matrix!$B:$B,MATCH(P3434,Fit_Matrix!$A:$A,0)))),"CHECK KEY"))</f>
        <v/>
      </c>
      <c r="U3434" s="10"/>
      <c r="V3434" s="10"/>
      <c r="W3434" s="10"/>
      <c r="X3434" s="10"/>
      <c r="Y3434" s="10"/>
      <c r="Z3434" s="10"/>
      <c r="AA3434" s="11" t="str">
        <f t="shared" si="107"/>
        <v/>
      </c>
    </row>
    <row r="3435" spans="16:27" ht="15" customHeight="1">
      <c r="P3435" t="str">
        <f t="shared" si="106"/>
        <v/>
      </c>
      <c r="Q3435" t="str">
        <f>IF(P3435="","",IFERROR(IF(AND(H3435="W7",OR(F3435="causal",F3435="predictive")),IF(AND(OR(K3435=1,K3435="1"),OR(L3435=1,L3435="1"),OR(M3435=1,M3435="1")),"adequate","partial"),IF(AND(H3435="W4",F3435="predictive",OR(J3435="P2",J3435="P3",J3435="P4")),IF(OR(U3435=1,U3435="1"),"adequate","partial"),INDEX(Fit_Matrix!$B:$B,MATCH(P3435,Fit_Matrix!$A:$A,0)))),"CHECK KEY"))</f>
        <v/>
      </c>
      <c r="U3435" s="10"/>
      <c r="V3435" s="10"/>
      <c r="W3435" s="10"/>
      <c r="X3435" s="10"/>
      <c r="Y3435" s="10"/>
      <c r="Z3435" s="10"/>
      <c r="AA3435" s="11" t="str">
        <f t="shared" si="107"/>
        <v/>
      </c>
    </row>
    <row r="3436" spans="16:27" ht="15" customHeight="1">
      <c r="P3436" t="str">
        <f t="shared" si="106"/>
        <v/>
      </c>
      <c r="Q3436" t="str">
        <f>IF(P3436="","",IFERROR(IF(AND(H3436="W7",OR(F3436="causal",F3436="predictive")),IF(AND(OR(K3436=1,K3436="1"),OR(L3436=1,L3436="1"),OR(M3436=1,M3436="1")),"adequate","partial"),IF(AND(H3436="W4",F3436="predictive",OR(J3436="P2",J3436="P3",J3436="P4")),IF(OR(U3436=1,U3436="1"),"adequate","partial"),INDEX(Fit_Matrix!$B:$B,MATCH(P3436,Fit_Matrix!$A:$A,0)))),"CHECK KEY"))</f>
        <v/>
      </c>
      <c r="U3436" s="10"/>
      <c r="V3436" s="10"/>
      <c r="W3436" s="10"/>
      <c r="X3436" s="10"/>
      <c r="Y3436" s="10"/>
      <c r="Z3436" s="10"/>
      <c r="AA3436" s="11" t="str">
        <f t="shared" si="107"/>
        <v/>
      </c>
    </row>
    <row r="3437" spans="16:27" ht="15" customHeight="1">
      <c r="P3437" t="str">
        <f t="shared" si="106"/>
        <v/>
      </c>
      <c r="Q3437" t="str">
        <f>IF(P3437="","",IFERROR(IF(AND(H3437="W7",OR(F3437="causal",F3437="predictive")),IF(AND(OR(K3437=1,K3437="1"),OR(L3437=1,L3437="1"),OR(M3437=1,M3437="1")),"adequate","partial"),IF(AND(H3437="W4",F3437="predictive",OR(J3437="P2",J3437="P3",J3437="P4")),IF(OR(U3437=1,U3437="1"),"adequate","partial"),INDEX(Fit_Matrix!$B:$B,MATCH(P3437,Fit_Matrix!$A:$A,0)))),"CHECK KEY"))</f>
        <v/>
      </c>
      <c r="U3437" s="10"/>
      <c r="V3437" s="10"/>
      <c r="W3437" s="10"/>
      <c r="X3437" s="10"/>
      <c r="Y3437" s="10"/>
      <c r="Z3437" s="10"/>
      <c r="AA3437" s="11" t="str">
        <f t="shared" si="107"/>
        <v/>
      </c>
    </row>
    <row r="3438" spans="16:27" ht="15" customHeight="1">
      <c r="P3438" t="str">
        <f t="shared" si="106"/>
        <v/>
      </c>
      <c r="Q3438" t="str">
        <f>IF(P3438="","",IFERROR(IF(AND(H3438="W7",OR(F3438="causal",F3438="predictive")),IF(AND(OR(K3438=1,K3438="1"),OR(L3438=1,L3438="1"),OR(M3438=1,M3438="1")),"adequate","partial"),IF(AND(H3438="W4",F3438="predictive",OR(J3438="P2",J3438="P3",J3438="P4")),IF(OR(U3438=1,U3438="1"),"adequate","partial"),INDEX(Fit_Matrix!$B:$B,MATCH(P3438,Fit_Matrix!$A:$A,0)))),"CHECK KEY"))</f>
        <v/>
      </c>
      <c r="U3438" s="10"/>
      <c r="V3438" s="10"/>
      <c r="W3438" s="10"/>
      <c r="X3438" s="10"/>
      <c r="Y3438" s="10"/>
      <c r="Z3438" s="10"/>
      <c r="AA3438" s="11" t="str">
        <f t="shared" si="107"/>
        <v/>
      </c>
    </row>
    <row r="3439" spans="16:27" ht="15" customHeight="1">
      <c r="P3439" t="str">
        <f t="shared" si="106"/>
        <v/>
      </c>
      <c r="Q3439" t="str">
        <f>IF(P3439="","",IFERROR(IF(AND(H3439="W7",OR(F3439="causal",F3439="predictive")),IF(AND(OR(K3439=1,K3439="1"),OR(L3439=1,L3439="1"),OR(M3439=1,M3439="1")),"adequate","partial"),IF(AND(H3439="W4",F3439="predictive",OR(J3439="P2",J3439="P3",J3439="P4")),IF(OR(U3439=1,U3439="1"),"adequate","partial"),INDEX(Fit_Matrix!$B:$B,MATCH(P3439,Fit_Matrix!$A:$A,0)))),"CHECK KEY"))</f>
        <v/>
      </c>
      <c r="U3439" s="10"/>
      <c r="V3439" s="10"/>
      <c r="W3439" s="10"/>
      <c r="X3439" s="10"/>
      <c r="Y3439" s="10"/>
      <c r="Z3439" s="10"/>
      <c r="AA3439" s="11" t="str">
        <f t="shared" si="107"/>
        <v/>
      </c>
    </row>
    <row r="3440" spans="16:27" ht="15" customHeight="1">
      <c r="P3440" t="str">
        <f t="shared" si="106"/>
        <v/>
      </c>
      <c r="Q3440" t="str">
        <f>IF(P3440="","",IFERROR(IF(AND(H3440="W7",OR(F3440="causal",F3440="predictive")),IF(AND(OR(K3440=1,K3440="1"),OR(L3440=1,L3440="1"),OR(M3440=1,M3440="1")),"adequate","partial"),IF(AND(H3440="W4",F3440="predictive",OR(J3440="P2",J3440="P3",J3440="P4")),IF(OR(U3440=1,U3440="1"),"adequate","partial"),INDEX(Fit_Matrix!$B:$B,MATCH(P3440,Fit_Matrix!$A:$A,0)))),"CHECK KEY"))</f>
        <v/>
      </c>
      <c r="U3440" s="10"/>
      <c r="V3440" s="10"/>
      <c r="W3440" s="10"/>
      <c r="X3440" s="10"/>
      <c r="Y3440" s="10"/>
      <c r="Z3440" s="10"/>
      <c r="AA3440" s="11" t="str">
        <f t="shared" si="107"/>
        <v/>
      </c>
    </row>
    <row r="3441" spans="16:27" ht="15" customHeight="1">
      <c r="P3441" t="str">
        <f t="shared" si="106"/>
        <v/>
      </c>
      <c r="Q3441" t="str">
        <f>IF(P3441="","",IFERROR(IF(AND(H3441="W7",OR(F3441="causal",F3441="predictive")),IF(AND(OR(K3441=1,K3441="1"),OR(L3441=1,L3441="1"),OR(M3441=1,M3441="1")),"adequate","partial"),IF(AND(H3441="W4",F3441="predictive",OR(J3441="P2",J3441="P3",J3441="P4")),IF(OR(U3441=1,U3441="1"),"adequate","partial"),INDEX(Fit_Matrix!$B:$B,MATCH(P3441,Fit_Matrix!$A:$A,0)))),"CHECK KEY"))</f>
        <v/>
      </c>
      <c r="U3441" s="10"/>
      <c r="V3441" s="10"/>
      <c r="W3441" s="10"/>
      <c r="X3441" s="10"/>
      <c r="Y3441" s="10"/>
      <c r="Z3441" s="10"/>
      <c r="AA3441" s="11" t="str">
        <f t="shared" si="107"/>
        <v/>
      </c>
    </row>
    <row r="3442" spans="16:27" ht="15" customHeight="1">
      <c r="P3442" t="str">
        <f t="shared" si="106"/>
        <v/>
      </c>
      <c r="Q3442" t="str">
        <f>IF(P3442="","",IFERROR(IF(AND(H3442="W7",OR(F3442="causal",F3442="predictive")),IF(AND(OR(K3442=1,K3442="1"),OR(L3442=1,L3442="1"),OR(M3442=1,M3442="1")),"adequate","partial"),IF(AND(H3442="W4",F3442="predictive",OR(J3442="P2",J3442="P3",J3442="P4")),IF(OR(U3442=1,U3442="1"),"adequate","partial"),INDEX(Fit_Matrix!$B:$B,MATCH(P3442,Fit_Matrix!$A:$A,0)))),"CHECK KEY"))</f>
        <v/>
      </c>
      <c r="U3442" s="10"/>
      <c r="V3442" s="10"/>
      <c r="W3442" s="10"/>
      <c r="X3442" s="10"/>
      <c r="Y3442" s="10"/>
      <c r="Z3442" s="10"/>
      <c r="AA3442" s="11" t="str">
        <f t="shared" si="107"/>
        <v/>
      </c>
    </row>
    <row r="3443" spans="16:27" ht="15" customHeight="1">
      <c r="P3443" t="str">
        <f t="shared" si="106"/>
        <v/>
      </c>
      <c r="Q3443" t="str">
        <f>IF(P3443="","",IFERROR(IF(AND(H3443="W7",OR(F3443="causal",F3443="predictive")),IF(AND(OR(K3443=1,K3443="1"),OR(L3443=1,L3443="1"),OR(M3443=1,M3443="1")),"adequate","partial"),IF(AND(H3443="W4",F3443="predictive",OR(J3443="P2",J3443="P3",J3443="P4")),IF(OR(U3443=1,U3443="1"),"adequate","partial"),INDEX(Fit_Matrix!$B:$B,MATCH(P3443,Fit_Matrix!$A:$A,0)))),"CHECK KEY"))</f>
        <v/>
      </c>
      <c r="U3443" s="10"/>
      <c r="V3443" s="10"/>
      <c r="W3443" s="10"/>
      <c r="X3443" s="10"/>
      <c r="Y3443" s="10"/>
      <c r="Z3443" s="10"/>
      <c r="AA3443" s="11" t="str">
        <f t="shared" si="107"/>
        <v/>
      </c>
    </row>
    <row r="3444" spans="16:27" ht="15" customHeight="1">
      <c r="P3444" t="str">
        <f t="shared" si="106"/>
        <v/>
      </c>
      <c r="Q3444" t="str">
        <f>IF(P3444="","",IFERROR(IF(AND(H3444="W7",OR(F3444="causal",F3444="predictive")),IF(AND(OR(K3444=1,K3444="1"),OR(L3444=1,L3444="1"),OR(M3444=1,M3444="1")),"adequate","partial"),IF(AND(H3444="W4",F3444="predictive",OR(J3444="P2",J3444="P3",J3444="P4")),IF(OR(U3444=1,U3444="1"),"adequate","partial"),INDEX(Fit_Matrix!$B:$B,MATCH(P3444,Fit_Matrix!$A:$A,0)))),"CHECK KEY"))</f>
        <v/>
      </c>
      <c r="U3444" s="10"/>
      <c r="V3444" s="10"/>
      <c r="W3444" s="10"/>
      <c r="X3444" s="10"/>
      <c r="Y3444" s="10"/>
      <c r="Z3444" s="10"/>
      <c r="AA3444" s="11" t="str">
        <f t="shared" si="107"/>
        <v/>
      </c>
    </row>
    <row r="3445" spans="16:27" ht="15" customHeight="1">
      <c r="P3445" t="str">
        <f t="shared" si="106"/>
        <v/>
      </c>
      <c r="Q3445" t="str">
        <f>IF(P3445="","",IFERROR(IF(AND(H3445="W7",OR(F3445="causal",F3445="predictive")),IF(AND(OR(K3445=1,K3445="1"),OR(L3445=1,L3445="1"),OR(M3445=1,M3445="1")),"adequate","partial"),IF(AND(H3445="W4",F3445="predictive",OR(J3445="P2",J3445="P3",J3445="P4")),IF(OR(U3445=1,U3445="1"),"adequate","partial"),INDEX(Fit_Matrix!$B:$B,MATCH(P3445,Fit_Matrix!$A:$A,0)))),"CHECK KEY"))</f>
        <v/>
      </c>
      <c r="U3445" s="10"/>
      <c r="V3445" s="10"/>
      <c r="W3445" s="10"/>
      <c r="X3445" s="10"/>
      <c r="Y3445" s="10"/>
      <c r="Z3445" s="10"/>
      <c r="AA3445" s="11" t="str">
        <f t="shared" si="107"/>
        <v/>
      </c>
    </row>
    <row r="3446" spans="16:27" ht="15" customHeight="1">
      <c r="P3446" t="str">
        <f t="shared" si="106"/>
        <v/>
      </c>
      <c r="Q3446" t="str">
        <f>IF(P3446="","",IFERROR(IF(AND(H3446="W7",OR(F3446="causal",F3446="predictive")),IF(AND(OR(K3446=1,K3446="1"),OR(L3446=1,L3446="1"),OR(M3446=1,M3446="1")),"adequate","partial"),IF(AND(H3446="W4",F3446="predictive",OR(J3446="P2",J3446="P3",J3446="P4")),IF(OR(U3446=1,U3446="1"),"adequate","partial"),INDEX(Fit_Matrix!$B:$B,MATCH(P3446,Fit_Matrix!$A:$A,0)))),"CHECK KEY"))</f>
        <v/>
      </c>
      <c r="U3446" s="10"/>
      <c r="V3446" s="10"/>
      <c r="W3446" s="10"/>
      <c r="X3446" s="10"/>
      <c r="Y3446" s="10"/>
      <c r="Z3446" s="10"/>
      <c r="AA3446" s="11" t="str">
        <f t="shared" si="107"/>
        <v/>
      </c>
    </row>
    <row r="3447" spans="16:27" ht="15" customHeight="1">
      <c r="P3447" t="str">
        <f t="shared" si="106"/>
        <v/>
      </c>
      <c r="Q3447" t="str">
        <f>IF(P3447="","",IFERROR(IF(AND(H3447="W7",OR(F3447="causal",F3447="predictive")),IF(AND(OR(K3447=1,K3447="1"),OR(L3447=1,L3447="1"),OR(M3447=1,M3447="1")),"adequate","partial"),IF(AND(H3447="W4",F3447="predictive",OR(J3447="P2",J3447="P3",J3447="P4")),IF(OR(U3447=1,U3447="1"),"adequate","partial"),INDEX(Fit_Matrix!$B:$B,MATCH(P3447,Fit_Matrix!$A:$A,0)))),"CHECK KEY"))</f>
        <v/>
      </c>
      <c r="U3447" s="10"/>
      <c r="V3447" s="10"/>
      <c r="W3447" s="10"/>
      <c r="X3447" s="10"/>
      <c r="Y3447" s="10"/>
      <c r="Z3447" s="10"/>
      <c r="AA3447" s="11" t="str">
        <f t="shared" si="107"/>
        <v/>
      </c>
    </row>
    <row r="3448" spans="16:27" ht="15" customHeight="1">
      <c r="P3448" t="str">
        <f t="shared" si="106"/>
        <v/>
      </c>
      <c r="Q3448" t="str">
        <f>IF(P3448="","",IFERROR(IF(AND(H3448="W7",OR(F3448="causal",F3448="predictive")),IF(AND(OR(K3448=1,K3448="1"),OR(L3448=1,L3448="1"),OR(M3448=1,M3448="1")),"adequate","partial"),IF(AND(H3448="W4",F3448="predictive",OR(J3448="P2",J3448="P3",J3448="P4")),IF(OR(U3448=1,U3448="1"),"adequate","partial"),INDEX(Fit_Matrix!$B:$B,MATCH(P3448,Fit_Matrix!$A:$A,0)))),"CHECK KEY"))</f>
        <v/>
      </c>
      <c r="U3448" s="10"/>
      <c r="V3448" s="10"/>
      <c r="W3448" s="10"/>
      <c r="X3448" s="10"/>
      <c r="Y3448" s="10"/>
      <c r="Z3448" s="10"/>
      <c r="AA3448" s="11" t="str">
        <f t="shared" si="107"/>
        <v/>
      </c>
    </row>
    <row r="3449" spans="16:27" ht="15" customHeight="1">
      <c r="P3449" t="str">
        <f t="shared" si="106"/>
        <v/>
      </c>
      <c r="Q3449" t="str">
        <f>IF(P3449="","",IFERROR(IF(AND(H3449="W7",OR(F3449="causal",F3449="predictive")),IF(AND(OR(K3449=1,K3449="1"),OR(L3449=1,L3449="1"),OR(M3449=1,M3449="1")),"adequate","partial"),IF(AND(H3449="W4",F3449="predictive",OR(J3449="P2",J3449="P3",J3449="P4")),IF(OR(U3449=1,U3449="1"),"adequate","partial"),INDEX(Fit_Matrix!$B:$B,MATCH(P3449,Fit_Matrix!$A:$A,0)))),"CHECK KEY"))</f>
        <v/>
      </c>
      <c r="U3449" s="10"/>
      <c r="V3449" s="10"/>
      <c r="W3449" s="10"/>
      <c r="X3449" s="10"/>
      <c r="Y3449" s="10"/>
      <c r="Z3449" s="10"/>
      <c r="AA3449" s="11" t="str">
        <f t="shared" si="107"/>
        <v/>
      </c>
    </row>
    <row r="3450" spans="16:27" ht="15" customHeight="1">
      <c r="P3450" t="str">
        <f t="shared" si="106"/>
        <v/>
      </c>
      <c r="Q3450" t="str">
        <f>IF(P3450="","",IFERROR(IF(AND(H3450="W7",OR(F3450="causal",F3450="predictive")),IF(AND(OR(K3450=1,K3450="1"),OR(L3450=1,L3450="1"),OR(M3450=1,M3450="1")),"adequate","partial"),IF(AND(H3450="W4",F3450="predictive",OR(J3450="P2",J3450="P3",J3450="P4")),IF(OR(U3450=1,U3450="1"),"adequate","partial"),INDEX(Fit_Matrix!$B:$B,MATCH(P3450,Fit_Matrix!$A:$A,0)))),"CHECK KEY"))</f>
        <v/>
      </c>
      <c r="U3450" s="10"/>
      <c r="V3450" s="10"/>
      <c r="W3450" s="10"/>
      <c r="X3450" s="10"/>
      <c r="Y3450" s="10"/>
      <c r="Z3450" s="10"/>
      <c r="AA3450" s="11" t="str">
        <f t="shared" si="107"/>
        <v/>
      </c>
    </row>
    <row r="3451" spans="16:27" ht="15" customHeight="1">
      <c r="P3451" t="str">
        <f t="shared" si="106"/>
        <v/>
      </c>
      <c r="Q3451" t="str">
        <f>IF(P3451="","",IFERROR(IF(AND(H3451="W7",OR(F3451="causal",F3451="predictive")),IF(AND(OR(K3451=1,K3451="1"),OR(L3451=1,L3451="1"),OR(M3451=1,M3451="1")),"adequate","partial"),IF(AND(H3451="W4",F3451="predictive",OR(J3451="P2",J3451="P3",J3451="P4")),IF(OR(U3451=1,U3451="1"),"adequate","partial"),INDEX(Fit_Matrix!$B:$B,MATCH(P3451,Fit_Matrix!$A:$A,0)))),"CHECK KEY"))</f>
        <v/>
      </c>
      <c r="U3451" s="10"/>
      <c r="V3451" s="10"/>
      <c r="W3451" s="10"/>
      <c r="X3451" s="10"/>
      <c r="Y3451" s="10"/>
      <c r="Z3451" s="10"/>
      <c r="AA3451" s="11" t="str">
        <f t="shared" si="107"/>
        <v/>
      </c>
    </row>
    <row r="3452" spans="16:27" ht="15" customHeight="1">
      <c r="P3452" t="str">
        <f t="shared" si="106"/>
        <v/>
      </c>
      <c r="Q3452" t="str">
        <f>IF(P3452="","",IFERROR(IF(AND(H3452="W7",OR(F3452="causal",F3452="predictive")),IF(AND(OR(K3452=1,K3452="1"),OR(L3452=1,L3452="1"),OR(M3452=1,M3452="1")),"adequate","partial"),IF(AND(H3452="W4",F3452="predictive",OR(J3452="P2",J3452="P3",J3452="P4")),IF(OR(U3452=1,U3452="1"),"adequate","partial"),INDEX(Fit_Matrix!$B:$B,MATCH(P3452,Fit_Matrix!$A:$A,0)))),"CHECK KEY"))</f>
        <v/>
      </c>
      <c r="U3452" s="10"/>
      <c r="V3452" s="10"/>
      <c r="W3452" s="10"/>
      <c r="X3452" s="10"/>
      <c r="Y3452" s="10"/>
      <c r="Z3452" s="10"/>
      <c r="AA3452" s="11" t="str">
        <f t="shared" si="107"/>
        <v/>
      </c>
    </row>
    <row r="3453" spans="16:27" ht="15" customHeight="1">
      <c r="P3453" t="str">
        <f t="shared" si="106"/>
        <v/>
      </c>
      <c r="Q3453" t="str">
        <f>IF(P3453="","",IFERROR(IF(AND(H3453="W7",OR(F3453="causal",F3453="predictive")),IF(AND(OR(K3453=1,K3453="1"),OR(L3453=1,L3453="1"),OR(M3453=1,M3453="1")),"adequate","partial"),IF(AND(H3453="W4",F3453="predictive",OR(J3453="P2",J3453="P3",J3453="P4")),IF(OR(U3453=1,U3453="1"),"adequate","partial"),INDEX(Fit_Matrix!$B:$B,MATCH(P3453,Fit_Matrix!$A:$A,0)))),"CHECK KEY"))</f>
        <v/>
      </c>
      <c r="U3453" s="10"/>
      <c r="V3453" s="10"/>
      <c r="W3453" s="10"/>
      <c r="X3453" s="10"/>
      <c r="Y3453" s="10"/>
      <c r="Z3453" s="10"/>
      <c r="AA3453" s="11" t="str">
        <f t="shared" si="107"/>
        <v/>
      </c>
    </row>
    <row r="3454" spans="16:27" ht="15" customHeight="1">
      <c r="P3454" t="str">
        <f t="shared" si="106"/>
        <v/>
      </c>
      <c r="Q3454" t="str">
        <f>IF(P3454="","",IFERROR(IF(AND(H3454="W7",OR(F3454="causal",F3454="predictive")),IF(AND(OR(K3454=1,K3454="1"),OR(L3454=1,L3454="1"),OR(M3454=1,M3454="1")),"adequate","partial"),IF(AND(H3454="W4",F3454="predictive",OR(J3454="P2",J3454="P3",J3454="P4")),IF(OR(U3454=1,U3454="1"),"adequate","partial"),INDEX(Fit_Matrix!$B:$B,MATCH(P3454,Fit_Matrix!$A:$A,0)))),"CHECK KEY"))</f>
        <v/>
      </c>
      <c r="U3454" s="10"/>
      <c r="V3454" s="10"/>
      <c r="W3454" s="10"/>
      <c r="X3454" s="10"/>
      <c r="Y3454" s="10"/>
      <c r="Z3454" s="10"/>
      <c r="AA3454" s="11" t="str">
        <f t="shared" si="107"/>
        <v/>
      </c>
    </row>
    <row r="3455" spans="16:27" ht="15" customHeight="1">
      <c r="P3455" t="str">
        <f t="shared" si="106"/>
        <v/>
      </c>
      <c r="Q3455" t="str">
        <f>IF(P3455="","",IFERROR(IF(AND(H3455="W7",OR(F3455="causal",F3455="predictive")),IF(AND(OR(K3455=1,K3455="1"),OR(L3455=1,L3455="1"),OR(M3455=1,M3455="1")),"adequate","partial"),IF(AND(H3455="W4",F3455="predictive",OR(J3455="P2",J3455="P3",J3455="P4")),IF(OR(U3455=1,U3455="1"),"adequate","partial"),INDEX(Fit_Matrix!$B:$B,MATCH(P3455,Fit_Matrix!$A:$A,0)))),"CHECK KEY"))</f>
        <v/>
      </c>
      <c r="U3455" s="10"/>
      <c r="V3455" s="10"/>
      <c r="W3455" s="10"/>
      <c r="X3455" s="10"/>
      <c r="Y3455" s="10"/>
      <c r="Z3455" s="10"/>
      <c r="AA3455" s="11" t="str">
        <f t="shared" si="107"/>
        <v/>
      </c>
    </row>
    <row r="3456" spans="16:27" ht="15" customHeight="1">
      <c r="P3456" t="str">
        <f t="shared" si="106"/>
        <v/>
      </c>
      <c r="Q3456" t="str">
        <f>IF(P3456="","",IFERROR(IF(AND(H3456="W7",OR(F3456="causal",F3456="predictive")),IF(AND(OR(K3456=1,K3456="1"),OR(L3456=1,L3456="1"),OR(M3456=1,M3456="1")),"adequate","partial"),IF(AND(H3456="W4",F3456="predictive",OR(J3456="P2",J3456="P3",J3456="P4")),IF(OR(U3456=1,U3456="1"),"adequate","partial"),INDEX(Fit_Matrix!$B:$B,MATCH(P3456,Fit_Matrix!$A:$A,0)))),"CHECK KEY"))</f>
        <v/>
      </c>
      <c r="U3456" s="10"/>
      <c r="V3456" s="10"/>
      <c r="W3456" s="10"/>
      <c r="X3456" s="10"/>
      <c r="Y3456" s="10"/>
      <c r="Z3456" s="10"/>
      <c r="AA3456" s="11" t="str">
        <f t="shared" si="107"/>
        <v/>
      </c>
    </row>
    <row r="3457" spans="16:27" ht="15" customHeight="1">
      <c r="P3457" t="str">
        <f t="shared" si="106"/>
        <v/>
      </c>
      <c r="Q3457" t="str">
        <f>IF(P3457="","",IFERROR(IF(AND(H3457="W7",OR(F3457="causal",F3457="predictive")),IF(AND(OR(K3457=1,K3457="1"),OR(L3457=1,L3457="1"),OR(M3457=1,M3457="1")),"adequate","partial"),IF(AND(H3457="W4",F3457="predictive",OR(J3457="P2",J3457="P3",J3457="P4")),IF(OR(U3457=1,U3457="1"),"adequate","partial"),INDEX(Fit_Matrix!$B:$B,MATCH(P3457,Fit_Matrix!$A:$A,0)))),"CHECK KEY"))</f>
        <v/>
      </c>
      <c r="U3457" s="10"/>
      <c r="V3457" s="10"/>
      <c r="W3457" s="10"/>
      <c r="X3457" s="10"/>
      <c r="Y3457" s="10"/>
      <c r="Z3457" s="10"/>
      <c r="AA3457" s="11" t="str">
        <f t="shared" si="107"/>
        <v/>
      </c>
    </row>
    <row r="3458" spans="16:27" ht="15" customHeight="1">
      <c r="P3458" t="str">
        <f t="shared" ref="P3458:P3521" si="108">IF(OR(F3458="",H3458="",J3458=""),"",J3458&amp;"|"&amp;F3458&amp;"|"&amp;IF(H3458="W3","W3_"&amp;IF(I3458="","unknown",I3458),H3458))</f>
        <v/>
      </c>
      <c r="Q3458" t="str">
        <f>IF(P3458="","",IFERROR(IF(AND(H3458="W7",OR(F3458="causal",F3458="predictive")),IF(AND(OR(K3458=1,K3458="1"),OR(L3458=1,L3458="1"),OR(M3458=1,M3458="1")),"adequate","partial"),IF(AND(H3458="W4",F3458="predictive",OR(J3458="P2",J3458="P3",J3458="P4")),IF(OR(U3458=1,U3458="1"),"adequate","partial"),INDEX(Fit_Matrix!$B:$B,MATCH(P3458,Fit_Matrix!$A:$A,0)))),"CHECK KEY"))</f>
        <v/>
      </c>
      <c r="U3458" s="10"/>
      <c r="V3458" s="10"/>
      <c r="W3458" s="10"/>
      <c r="X3458" s="10"/>
      <c r="Y3458" s="10"/>
      <c r="Z3458" s="10"/>
      <c r="AA3458" s="11" t="str">
        <f t="shared" ref="AA3458:AA3521" si="109">IF(A3458="","",IF(AND(J3458="P4",F3458="causal"),"P4-CAUSAL",""))</f>
        <v/>
      </c>
    </row>
    <row r="3459" spans="16:27" ht="15" customHeight="1">
      <c r="P3459" t="str">
        <f t="shared" si="108"/>
        <v/>
      </c>
      <c r="Q3459" t="str">
        <f>IF(P3459="","",IFERROR(IF(AND(H3459="W7",OR(F3459="causal",F3459="predictive")),IF(AND(OR(K3459=1,K3459="1"),OR(L3459=1,L3459="1"),OR(M3459=1,M3459="1")),"adequate","partial"),IF(AND(H3459="W4",F3459="predictive",OR(J3459="P2",J3459="P3",J3459="P4")),IF(OR(U3459=1,U3459="1"),"adequate","partial"),INDEX(Fit_Matrix!$B:$B,MATCH(P3459,Fit_Matrix!$A:$A,0)))),"CHECK KEY"))</f>
        <v/>
      </c>
      <c r="U3459" s="10"/>
      <c r="V3459" s="10"/>
      <c r="W3459" s="10"/>
      <c r="X3459" s="10"/>
      <c r="Y3459" s="10"/>
      <c r="Z3459" s="10"/>
      <c r="AA3459" s="11" t="str">
        <f t="shared" si="109"/>
        <v/>
      </c>
    </row>
    <row r="3460" spans="16:27" ht="15" customHeight="1">
      <c r="P3460" t="str">
        <f t="shared" si="108"/>
        <v/>
      </c>
      <c r="Q3460" t="str">
        <f>IF(P3460="","",IFERROR(IF(AND(H3460="W7",OR(F3460="causal",F3460="predictive")),IF(AND(OR(K3460=1,K3460="1"),OR(L3460=1,L3460="1"),OR(M3460=1,M3460="1")),"adequate","partial"),IF(AND(H3460="W4",F3460="predictive",OR(J3460="P2",J3460="P3",J3460="P4")),IF(OR(U3460=1,U3460="1"),"adequate","partial"),INDEX(Fit_Matrix!$B:$B,MATCH(P3460,Fit_Matrix!$A:$A,0)))),"CHECK KEY"))</f>
        <v/>
      </c>
      <c r="U3460" s="10"/>
      <c r="V3460" s="10"/>
      <c r="W3460" s="10"/>
      <c r="X3460" s="10"/>
      <c r="Y3460" s="10"/>
      <c r="Z3460" s="10"/>
      <c r="AA3460" s="11" t="str">
        <f t="shared" si="109"/>
        <v/>
      </c>
    </row>
    <row r="3461" spans="16:27" ht="15" customHeight="1">
      <c r="P3461" t="str">
        <f t="shared" si="108"/>
        <v/>
      </c>
      <c r="Q3461" t="str">
        <f>IF(P3461="","",IFERROR(IF(AND(H3461="W7",OR(F3461="causal",F3461="predictive")),IF(AND(OR(K3461=1,K3461="1"),OR(L3461=1,L3461="1"),OR(M3461=1,M3461="1")),"adequate","partial"),IF(AND(H3461="W4",F3461="predictive",OR(J3461="P2",J3461="P3",J3461="P4")),IF(OR(U3461=1,U3461="1"),"adequate","partial"),INDEX(Fit_Matrix!$B:$B,MATCH(P3461,Fit_Matrix!$A:$A,0)))),"CHECK KEY"))</f>
        <v/>
      </c>
      <c r="U3461" s="10"/>
      <c r="V3461" s="10"/>
      <c r="W3461" s="10"/>
      <c r="X3461" s="10"/>
      <c r="Y3461" s="10"/>
      <c r="Z3461" s="10"/>
      <c r="AA3461" s="11" t="str">
        <f t="shared" si="109"/>
        <v/>
      </c>
    </row>
    <row r="3462" spans="16:27" ht="15" customHeight="1">
      <c r="P3462" t="str">
        <f t="shared" si="108"/>
        <v/>
      </c>
      <c r="Q3462" t="str">
        <f>IF(P3462="","",IFERROR(IF(AND(H3462="W7",OR(F3462="causal",F3462="predictive")),IF(AND(OR(K3462=1,K3462="1"),OR(L3462=1,L3462="1"),OR(M3462=1,M3462="1")),"adequate","partial"),IF(AND(H3462="W4",F3462="predictive",OR(J3462="P2",J3462="P3",J3462="P4")),IF(OR(U3462=1,U3462="1"),"adequate","partial"),INDEX(Fit_Matrix!$B:$B,MATCH(P3462,Fit_Matrix!$A:$A,0)))),"CHECK KEY"))</f>
        <v/>
      </c>
      <c r="U3462" s="10"/>
      <c r="V3462" s="10"/>
      <c r="W3462" s="10"/>
      <c r="X3462" s="10"/>
      <c r="Y3462" s="10"/>
      <c r="Z3462" s="10"/>
      <c r="AA3462" s="11" t="str">
        <f t="shared" si="109"/>
        <v/>
      </c>
    </row>
    <row r="3463" spans="16:27" ht="15" customHeight="1">
      <c r="P3463" t="str">
        <f t="shared" si="108"/>
        <v/>
      </c>
      <c r="Q3463" t="str">
        <f>IF(P3463="","",IFERROR(IF(AND(H3463="W7",OR(F3463="causal",F3463="predictive")),IF(AND(OR(K3463=1,K3463="1"),OR(L3463=1,L3463="1"),OR(M3463=1,M3463="1")),"adequate","partial"),IF(AND(H3463="W4",F3463="predictive",OR(J3463="P2",J3463="P3",J3463="P4")),IF(OR(U3463=1,U3463="1"),"adequate","partial"),INDEX(Fit_Matrix!$B:$B,MATCH(P3463,Fit_Matrix!$A:$A,0)))),"CHECK KEY"))</f>
        <v/>
      </c>
      <c r="U3463" s="10"/>
      <c r="V3463" s="10"/>
      <c r="W3463" s="10"/>
      <c r="X3463" s="10"/>
      <c r="Y3463" s="10"/>
      <c r="Z3463" s="10"/>
      <c r="AA3463" s="11" t="str">
        <f t="shared" si="109"/>
        <v/>
      </c>
    </row>
    <row r="3464" spans="16:27" ht="15" customHeight="1">
      <c r="P3464" t="str">
        <f t="shared" si="108"/>
        <v/>
      </c>
      <c r="Q3464" t="str">
        <f>IF(P3464="","",IFERROR(IF(AND(H3464="W7",OR(F3464="causal",F3464="predictive")),IF(AND(OR(K3464=1,K3464="1"),OR(L3464=1,L3464="1"),OR(M3464=1,M3464="1")),"adequate","partial"),IF(AND(H3464="W4",F3464="predictive",OR(J3464="P2",J3464="P3",J3464="P4")),IF(OR(U3464=1,U3464="1"),"adequate","partial"),INDEX(Fit_Matrix!$B:$B,MATCH(P3464,Fit_Matrix!$A:$A,0)))),"CHECK KEY"))</f>
        <v/>
      </c>
      <c r="U3464" s="10"/>
      <c r="V3464" s="10"/>
      <c r="W3464" s="10"/>
      <c r="X3464" s="10"/>
      <c r="Y3464" s="10"/>
      <c r="Z3464" s="10"/>
      <c r="AA3464" s="11" t="str">
        <f t="shared" si="109"/>
        <v/>
      </c>
    </row>
    <row r="3465" spans="16:27" ht="15" customHeight="1">
      <c r="P3465" t="str">
        <f t="shared" si="108"/>
        <v/>
      </c>
      <c r="Q3465" t="str">
        <f>IF(P3465="","",IFERROR(IF(AND(H3465="W7",OR(F3465="causal",F3465="predictive")),IF(AND(OR(K3465=1,K3465="1"),OR(L3465=1,L3465="1"),OR(M3465=1,M3465="1")),"adequate","partial"),IF(AND(H3465="W4",F3465="predictive",OR(J3465="P2",J3465="P3",J3465="P4")),IF(OR(U3465=1,U3465="1"),"adequate","partial"),INDEX(Fit_Matrix!$B:$B,MATCH(P3465,Fit_Matrix!$A:$A,0)))),"CHECK KEY"))</f>
        <v/>
      </c>
      <c r="U3465" s="10"/>
      <c r="V3465" s="10"/>
      <c r="W3465" s="10"/>
      <c r="X3465" s="10"/>
      <c r="Y3465" s="10"/>
      <c r="Z3465" s="10"/>
      <c r="AA3465" s="11" t="str">
        <f t="shared" si="109"/>
        <v/>
      </c>
    </row>
    <row r="3466" spans="16:27" ht="15" customHeight="1">
      <c r="P3466" t="str">
        <f t="shared" si="108"/>
        <v/>
      </c>
      <c r="Q3466" t="str">
        <f>IF(P3466="","",IFERROR(IF(AND(H3466="W7",OR(F3466="causal",F3466="predictive")),IF(AND(OR(K3466=1,K3466="1"),OR(L3466=1,L3466="1"),OR(M3466=1,M3466="1")),"adequate","partial"),IF(AND(H3466="W4",F3466="predictive",OR(J3466="P2",J3466="P3",J3466="P4")),IF(OR(U3466=1,U3466="1"),"adequate","partial"),INDEX(Fit_Matrix!$B:$B,MATCH(P3466,Fit_Matrix!$A:$A,0)))),"CHECK KEY"))</f>
        <v/>
      </c>
      <c r="U3466" s="10"/>
      <c r="V3466" s="10"/>
      <c r="W3466" s="10"/>
      <c r="X3466" s="10"/>
      <c r="Y3466" s="10"/>
      <c r="Z3466" s="10"/>
      <c r="AA3466" s="11" t="str">
        <f t="shared" si="109"/>
        <v/>
      </c>
    </row>
    <row r="3467" spans="16:27" ht="15" customHeight="1">
      <c r="P3467" t="str">
        <f t="shared" si="108"/>
        <v/>
      </c>
      <c r="Q3467" t="str">
        <f>IF(P3467="","",IFERROR(IF(AND(H3467="W7",OR(F3467="causal",F3467="predictive")),IF(AND(OR(K3467=1,K3467="1"),OR(L3467=1,L3467="1"),OR(M3467=1,M3467="1")),"adequate","partial"),IF(AND(H3467="W4",F3467="predictive",OR(J3467="P2",J3467="P3",J3467="P4")),IF(OR(U3467=1,U3467="1"),"adequate","partial"),INDEX(Fit_Matrix!$B:$B,MATCH(P3467,Fit_Matrix!$A:$A,0)))),"CHECK KEY"))</f>
        <v/>
      </c>
      <c r="U3467" s="10"/>
      <c r="V3467" s="10"/>
      <c r="W3467" s="10"/>
      <c r="X3467" s="10"/>
      <c r="Y3467" s="10"/>
      <c r="Z3467" s="10"/>
      <c r="AA3467" s="11" t="str">
        <f t="shared" si="109"/>
        <v/>
      </c>
    </row>
    <row r="3468" spans="16:27" ht="15" customHeight="1">
      <c r="P3468" t="str">
        <f t="shared" si="108"/>
        <v/>
      </c>
      <c r="Q3468" t="str">
        <f>IF(P3468="","",IFERROR(IF(AND(H3468="W7",OR(F3468="causal",F3468="predictive")),IF(AND(OR(K3468=1,K3468="1"),OR(L3468=1,L3468="1"),OR(M3468=1,M3468="1")),"adequate","partial"),IF(AND(H3468="W4",F3468="predictive",OR(J3468="P2",J3468="P3",J3468="P4")),IF(OR(U3468=1,U3468="1"),"adequate","partial"),INDEX(Fit_Matrix!$B:$B,MATCH(P3468,Fit_Matrix!$A:$A,0)))),"CHECK KEY"))</f>
        <v/>
      </c>
      <c r="U3468" s="10"/>
      <c r="V3468" s="10"/>
      <c r="W3468" s="10"/>
      <c r="X3468" s="10"/>
      <c r="Y3468" s="10"/>
      <c r="Z3468" s="10"/>
      <c r="AA3468" s="11" t="str">
        <f t="shared" si="109"/>
        <v/>
      </c>
    </row>
    <row r="3469" spans="16:27" ht="15" customHeight="1">
      <c r="P3469" t="str">
        <f t="shared" si="108"/>
        <v/>
      </c>
      <c r="Q3469" t="str">
        <f>IF(P3469="","",IFERROR(IF(AND(H3469="W7",OR(F3469="causal",F3469="predictive")),IF(AND(OR(K3469=1,K3469="1"),OR(L3469=1,L3469="1"),OR(M3469=1,M3469="1")),"adequate","partial"),IF(AND(H3469="W4",F3469="predictive",OR(J3469="P2",J3469="P3",J3469="P4")),IF(OR(U3469=1,U3469="1"),"adequate","partial"),INDEX(Fit_Matrix!$B:$B,MATCH(P3469,Fit_Matrix!$A:$A,0)))),"CHECK KEY"))</f>
        <v/>
      </c>
      <c r="U3469" s="10"/>
      <c r="V3469" s="10"/>
      <c r="W3469" s="10"/>
      <c r="X3469" s="10"/>
      <c r="Y3469" s="10"/>
      <c r="Z3469" s="10"/>
      <c r="AA3469" s="11" t="str">
        <f t="shared" si="109"/>
        <v/>
      </c>
    </row>
    <row r="3470" spans="16:27" ht="15" customHeight="1">
      <c r="P3470" t="str">
        <f t="shared" si="108"/>
        <v/>
      </c>
      <c r="Q3470" t="str">
        <f>IF(P3470="","",IFERROR(IF(AND(H3470="W7",OR(F3470="causal",F3470="predictive")),IF(AND(OR(K3470=1,K3470="1"),OR(L3470=1,L3470="1"),OR(M3470=1,M3470="1")),"adequate","partial"),IF(AND(H3470="W4",F3470="predictive",OR(J3470="P2",J3470="P3",J3470="P4")),IF(OR(U3470=1,U3470="1"),"adequate","partial"),INDEX(Fit_Matrix!$B:$B,MATCH(P3470,Fit_Matrix!$A:$A,0)))),"CHECK KEY"))</f>
        <v/>
      </c>
      <c r="U3470" s="10"/>
      <c r="V3470" s="10"/>
      <c r="W3470" s="10"/>
      <c r="X3470" s="10"/>
      <c r="Y3470" s="10"/>
      <c r="Z3470" s="10"/>
      <c r="AA3470" s="11" t="str">
        <f t="shared" si="109"/>
        <v/>
      </c>
    </row>
    <row r="3471" spans="16:27" ht="15" customHeight="1">
      <c r="P3471" t="str">
        <f t="shared" si="108"/>
        <v/>
      </c>
      <c r="Q3471" t="str">
        <f>IF(P3471="","",IFERROR(IF(AND(H3471="W7",OR(F3471="causal",F3471="predictive")),IF(AND(OR(K3471=1,K3471="1"),OR(L3471=1,L3471="1"),OR(M3471=1,M3471="1")),"adequate","partial"),IF(AND(H3471="W4",F3471="predictive",OR(J3471="P2",J3471="P3",J3471="P4")),IF(OR(U3471=1,U3471="1"),"adequate","partial"),INDEX(Fit_Matrix!$B:$B,MATCH(P3471,Fit_Matrix!$A:$A,0)))),"CHECK KEY"))</f>
        <v/>
      </c>
      <c r="U3471" s="10"/>
      <c r="V3471" s="10"/>
      <c r="W3471" s="10"/>
      <c r="X3471" s="10"/>
      <c r="Y3471" s="10"/>
      <c r="Z3471" s="10"/>
      <c r="AA3471" s="11" t="str">
        <f t="shared" si="109"/>
        <v/>
      </c>
    </row>
    <row r="3472" spans="16:27" ht="15" customHeight="1">
      <c r="P3472" t="str">
        <f t="shared" si="108"/>
        <v/>
      </c>
      <c r="Q3472" t="str">
        <f>IF(P3472="","",IFERROR(IF(AND(H3472="W7",OR(F3472="causal",F3472="predictive")),IF(AND(OR(K3472=1,K3472="1"),OR(L3472=1,L3472="1"),OR(M3472=1,M3472="1")),"adequate","partial"),IF(AND(H3472="W4",F3472="predictive",OR(J3472="P2",J3472="P3",J3472="P4")),IF(OR(U3472=1,U3472="1"),"adequate","partial"),INDEX(Fit_Matrix!$B:$B,MATCH(P3472,Fit_Matrix!$A:$A,0)))),"CHECK KEY"))</f>
        <v/>
      </c>
      <c r="U3472" s="10"/>
      <c r="V3472" s="10"/>
      <c r="W3472" s="10"/>
      <c r="X3472" s="10"/>
      <c r="Y3472" s="10"/>
      <c r="Z3472" s="10"/>
      <c r="AA3472" s="11" t="str">
        <f t="shared" si="109"/>
        <v/>
      </c>
    </row>
    <row r="3473" spans="16:27" ht="15" customHeight="1">
      <c r="P3473" t="str">
        <f t="shared" si="108"/>
        <v/>
      </c>
      <c r="Q3473" t="str">
        <f>IF(P3473="","",IFERROR(IF(AND(H3473="W7",OR(F3473="causal",F3473="predictive")),IF(AND(OR(K3473=1,K3473="1"),OR(L3473=1,L3473="1"),OR(M3473=1,M3473="1")),"adequate","partial"),IF(AND(H3473="W4",F3473="predictive",OR(J3473="P2",J3473="P3",J3473="P4")),IF(OR(U3473=1,U3473="1"),"adequate","partial"),INDEX(Fit_Matrix!$B:$B,MATCH(P3473,Fit_Matrix!$A:$A,0)))),"CHECK KEY"))</f>
        <v/>
      </c>
      <c r="U3473" s="10"/>
      <c r="V3473" s="10"/>
      <c r="W3473" s="10"/>
      <c r="X3473" s="10"/>
      <c r="Y3473" s="10"/>
      <c r="Z3473" s="10"/>
      <c r="AA3473" s="11" t="str">
        <f t="shared" si="109"/>
        <v/>
      </c>
    </row>
    <row r="3474" spans="16:27" ht="15" customHeight="1">
      <c r="P3474" t="str">
        <f t="shared" si="108"/>
        <v/>
      </c>
      <c r="Q3474" t="str">
        <f>IF(P3474="","",IFERROR(IF(AND(H3474="W7",OR(F3474="causal",F3474="predictive")),IF(AND(OR(K3474=1,K3474="1"),OR(L3474=1,L3474="1"),OR(M3474=1,M3474="1")),"adequate","partial"),IF(AND(H3474="W4",F3474="predictive",OR(J3474="P2",J3474="P3",J3474="P4")),IF(OR(U3474=1,U3474="1"),"adequate","partial"),INDEX(Fit_Matrix!$B:$B,MATCH(P3474,Fit_Matrix!$A:$A,0)))),"CHECK KEY"))</f>
        <v/>
      </c>
      <c r="U3474" s="10"/>
      <c r="V3474" s="10"/>
      <c r="W3474" s="10"/>
      <c r="X3474" s="10"/>
      <c r="Y3474" s="10"/>
      <c r="Z3474" s="10"/>
      <c r="AA3474" s="11" t="str">
        <f t="shared" si="109"/>
        <v/>
      </c>
    </row>
    <row r="3475" spans="16:27" ht="15" customHeight="1">
      <c r="P3475" t="str">
        <f t="shared" si="108"/>
        <v/>
      </c>
      <c r="Q3475" t="str">
        <f>IF(P3475="","",IFERROR(IF(AND(H3475="W7",OR(F3475="causal",F3475="predictive")),IF(AND(OR(K3475=1,K3475="1"),OR(L3475=1,L3475="1"),OR(M3475=1,M3475="1")),"adequate","partial"),IF(AND(H3475="W4",F3475="predictive",OR(J3475="P2",J3475="P3",J3475="P4")),IF(OR(U3475=1,U3475="1"),"adequate","partial"),INDEX(Fit_Matrix!$B:$B,MATCH(P3475,Fit_Matrix!$A:$A,0)))),"CHECK KEY"))</f>
        <v/>
      </c>
      <c r="U3475" s="10"/>
      <c r="V3475" s="10"/>
      <c r="W3475" s="10"/>
      <c r="X3475" s="10"/>
      <c r="Y3475" s="10"/>
      <c r="Z3475" s="10"/>
      <c r="AA3475" s="11" t="str">
        <f t="shared" si="109"/>
        <v/>
      </c>
    </row>
    <row r="3476" spans="16:27" ht="15" customHeight="1">
      <c r="P3476" t="str">
        <f t="shared" si="108"/>
        <v/>
      </c>
      <c r="Q3476" t="str">
        <f>IF(P3476="","",IFERROR(IF(AND(H3476="W7",OR(F3476="causal",F3476="predictive")),IF(AND(OR(K3476=1,K3476="1"),OR(L3476=1,L3476="1"),OR(M3476=1,M3476="1")),"adequate","partial"),IF(AND(H3476="W4",F3476="predictive",OR(J3476="P2",J3476="P3",J3476="P4")),IF(OR(U3476=1,U3476="1"),"adequate","partial"),INDEX(Fit_Matrix!$B:$B,MATCH(P3476,Fit_Matrix!$A:$A,0)))),"CHECK KEY"))</f>
        <v/>
      </c>
      <c r="U3476" s="10"/>
      <c r="V3476" s="10"/>
      <c r="W3476" s="10"/>
      <c r="X3476" s="10"/>
      <c r="Y3476" s="10"/>
      <c r="Z3476" s="10"/>
      <c r="AA3476" s="11" t="str">
        <f t="shared" si="109"/>
        <v/>
      </c>
    </row>
    <row r="3477" spans="16:27" ht="15" customHeight="1">
      <c r="P3477" t="str">
        <f t="shared" si="108"/>
        <v/>
      </c>
      <c r="Q3477" t="str">
        <f>IF(P3477="","",IFERROR(IF(AND(H3477="W7",OR(F3477="causal",F3477="predictive")),IF(AND(OR(K3477=1,K3477="1"),OR(L3477=1,L3477="1"),OR(M3477=1,M3477="1")),"adequate","partial"),IF(AND(H3477="W4",F3477="predictive",OR(J3477="P2",J3477="P3",J3477="P4")),IF(OR(U3477=1,U3477="1"),"adequate","partial"),INDEX(Fit_Matrix!$B:$B,MATCH(P3477,Fit_Matrix!$A:$A,0)))),"CHECK KEY"))</f>
        <v/>
      </c>
      <c r="U3477" s="10"/>
      <c r="V3477" s="10"/>
      <c r="W3477" s="10"/>
      <c r="X3477" s="10"/>
      <c r="Y3477" s="10"/>
      <c r="Z3477" s="10"/>
      <c r="AA3477" s="11" t="str">
        <f t="shared" si="109"/>
        <v/>
      </c>
    </row>
    <row r="3478" spans="16:27" ht="15" customHeight="1">
      <c r="P3478" t="str">
        <f t="shared" si="108"/>
        <v/>
      </c>
      <c r="Q3478" t="str">
        <f>IF(P3478="","",IFERROR(IF(AND(H3478="W7",OR(F3478="causal",F3478="predictive")),IF(AND(OR(K3478=1,K3478="1"),OR(L3478=1,L3478="1"),OR(M3478=1,M3478="1")),"adequate","partial"),IF(AND(H3478="W4",F3478="predictive",OR(J3478="P2",J3478="P3",J3478="P4")),IF(OR(U3478=1,U3478="1"),"adequate","partial"),INDEX(Fit_Matrix!$B:$B,MATCH(P3478,Fit_Matrix!$A:$A,0)))),"CHECK KEY"))</f>
        <v/>
      </c>
      <c r="U3478" s="10"/>
      <c r="V3478" s="10"/>
      <c r="W3478" s="10"/>
      <c r="X3478" s="10"/>
      <c r="Y3478" s="10"/>
      <c r="Z3478" s="10"/>
      <c r="AA3478" s="11" t="str">
        <f t="shared" si="109"/>
        <v/>
      </c>
    </row>
    <row r="3479" spans="16:27" ht="15" customHeight="1">
      <c r="P3479" t="str">
        <f t="shared" si="108"/>
        <v/>
      </c>
      <c r="Q3479" t="str">
        <f>IF(P3479="","",IFERROR(IF(AND(H3479="W7",OR(F3479="causal",F3479="predictive")),IF(AND(OR(K3479=1,K3479="1"),OR(L3479=1,L3479="1"),OR(M3479=1,M3479="1")),"adequate","partial"),IF(AND(H3479="W4",F3479="predictive",OR(J3479="P2",J3479="P3",J3479="P4")),IF(OR(U3479=1,U3479="1"),"adequate","partial"),INDEX(Fit_Matrix!$B:$B,MATCH(P3479,Fit_Matrix!$A:$A,0)))),"CHECK KEY"))</f>
        <v/>
      </c>
      <c r="U3479" s="10"/>
      <c r="V3479" s="10"/>
      <c r="W3479" s="10"/>
      <c r="X3479" s="10"/>
      <c r="Y3479" s="10"/>
      <c r="Z3479" s="10"/>
      <c r="AA3479" s="11" t="str">
        <f t="shared" si="109"/>
        <v/>
      </c>
    </row>
    <row r="3480" spans="16:27" ht="15" customHeight="1">
      <c r="P3480" t="str">
        <f t="shared" si="108"/>
        <v/>
      </c>
      <c r="Q3480" t="str">
        <f>IF(P3480="","",IFERROR(IF(AND(H3480="W7",OR(F3480="causal",F3480="predictive")),IF(AND(OR(K3480=1,K3480="1"),OR(L3480=1,L3480="1"),OR(M3480=1,M3480="1")),"adequate","partial"),IF(AND(H3480="W4",F3480="predictive",OR(J3480="P2",J3480="P3",J3480="P4")),IF(OR(U3480=1,U3480="1"),"adequate","partial"),INDEX(Fit_Matrix!$B:$B,MATCH(P3480,Fit_Matrix!$A:$A,0)))),"CHECK KEY"))</f>
        <v/>
      </c>
      <c r="U3480" s="10"/>
      <c r="V3480" s="10"/>
      <c r="W3480" s="10"/>
      <c r="X3480" s="10"/>
      <c r="Y3480" s="10"/>
      <c r="Z3480" s="10"/>
      <c r="AA3480" s="11" t="str">
        <f t="shared" si="109"/>
        <v/>
      </c>
    </row>
    <row r="3481" spans="16:27" ht="15" customHeight="1">
      <c r="P3481" t="str">
        <f t="shared" si="108"/>
        <v/>
      </c>
      <c r="Q3481" t="str">
        <f>IF(P3481="","",IFERROR(IF(AND(H3481="W7",OR(F3481="causal",F3481="predictive")),IF(AND(OR(K3481=1,K3481="1"),OR(L3481=1,L3481="1"),OR(M3481=1,M3481="1")),"adequate","partial"),IF(AND(H3481="W4",F3481="predictive",OR(J3481="P2",J3481="P3",J3481="P4")),IF(OR(U3481=1,U3481="1"),"adequate","partial"),INDEX(Fit_Matrix!$B:$B,MATCH(P3481,Fit_Matrix!$A:$A,0)))),"CHECK KEY"))</f>
        <v/>
      </c>
      <c r="U3481" s="10"/>
      <c r="V3481" s="10"/>
      <c r="W3481" s="10"/>
      <c r="X3481" s="10"/>
      <c r="Y3481" s="10"/>
      <c r="Z3481" s="10"/>
      <c r="AA3481" s="11" t="str">
        <f t="shared" si="109"/>
        <v/>
      </c>
    </row>
    <row r="3482" spans="16:27" ht="15" customHeight="1">
      <c r="P3482" t="str">
        <f t="shared" si="108"/>
        <v/>
      </c>
      <c r="Q3482" t="str">
        <f>IF(P3482="","",IFERROR(IF(AND(H3482="W7",OR(F3482="causal",F3482="predictive")),IF(AND(OR(K3482=1,K3482="1"),OR(L3482=1,L3482="1"),OR(M3482=1,M3482="1")),"adequate","partial"),IF(AND(H3482="W4",F3482="predictive",OR(J3482="P2",J3482="P3",J3482="P4")),IF(OR(U3482=1,U3482="1"),"adequate","partial"),INDEX(Fit_Matrix!$B:$B,MATCH(P3482,Fit_Matrix!$A:$A,0)))),"CHECK KEY"))</f>
        <v/>
      </c>
      <c r="U3482" s="10"/>
      <c r="V3482" s="10"/>
      <c r="W3482" s="10"/>
      <c r="X3482" s="10"/>
      <c r="Y3482" s="10"/>
      <c r="Z3482" s="10"/>
      <c r="AA3482" s="11" t="str">
        <f t="shared" si="109"/>
        <v/>
      </c>
    </row>
    <row r="3483" spans="16:27" ht="15" customHeight="1">
      <c r="P3483" t="str">
        <f t="shared" si="108"/>
        <v/>
      </c>
      <c r="Q3483" t="str">
        <f>IF(P3483="","",IFERROR(IF(AND(H3483="W7",OR(F3483="causal",F3483="predictive")),IF(AND(OR(K3483=1,K3483="1"),OR(L3483=1,L3483="1"),OR(M3483=1,M3483="1")),"adequate","partial"),IF(AND(H3483="W4",F3483="predictive",OR(J3483="P2",J3483="P3",J3483="P4")),IF(OR(U3483=1,U3483="1"),"adequate","partial"),INDEX(Fit_Matrix!$B:$B,MATCH(P3483,Fit_Matrix!$A:$A,0)))),"CHECK KEY"))</f>
        <v/>
      </c>
      <c r="U3483" s="10"/>
      <c r="V3483" s="10"/>
      <c r="W3483" s="10"/>
      <c r="X3483" s="10"/>
      <c r="Y3483" s="10"/>
      <c r="Z3483" s="10"/>
      <c r="AA3483" s="11" t="str">
        <f t="shared" si="109"/>
        <v/>
      </c>
    </row>
    <row r="3484" spans="16:27" ht="15" customHeight="1">
      <c r="P3484" t="str">
        <f t="shared" si="108"/>
        <v/>
      </c>
      <c r="Q3484" t="str">
        <f>IF(P3484="","",IFERROR(IF(AND(H3484="W7",OR(F3484="causal",F3484="predictive")),IF(AND(OR(K3484=1,K3484="1"),OR(L3484=1,L3484="1"),OR(M3484=1,M3484="1")),"adequate","partial"),IF(AND(H3484="W4",F3484="predictive",OR(J3484="P2",J3484="P3",J3484="P4")),IF(OR(U3484=1,U3484="1"),"adequate","partial"),INDEX(Fit_Matrix!$B:$B,MATCH(P3484,Fit_Matrix!$A:$A,0)))),"CHECK KEY"))</f>
        <v/>
      </c>
      <c r="U3484" s="10"/>
      <c r="V3484" s="10"/>
      <c r="W3484" s="10"/>
      <c r="X3484" s="10"/>
      <c r="Y3484" s="10"/>
      <c r="Z3484" s="10"/>
      <c r="AA3484" s="11" t="str">
        <f t="shared" si="109"/>
        <v/>
      </c>
    </row>
    <row r="3485" spans="16:27" ht="15" customHeight="1">
      <c r="P3485" t="str">
        <f t="shared" si="108"/>
        <v/>
      </c>
      <c r="Q3485" t="str">
        <f>IF(P3485="","",IFERROR(IF(AND(H3485="W7",OR(F3485="causal",F3485="predictive")),IF(AND(OR(K3485=1,K3485="1"),OR(L3485=1,L3485="1"),OR(M3485=1,M3485="1")),"adequate","partial"),IF(AND(H3485="W4",F3485="predictive",OR(J3485="P2",J3485="P3",J3485="P4")),IF(OR(U3485=1,U3485="1"),"adequate","partial"),INDEX(Fit_Matrix!$B:$B,MATCH(P3485,Fit_Matrix!$A:$A,0)))),"CHECK KEY"))</f>
        <v/>
      </c>
      <c r="U3485" s="10"/>
      <c r="V3485" s="10"/>
      <c r="W3485" s="10"/>
      <c r="X3485" s="10"/>
      <c r="Y3485" s="10"/>
      <c r="Z3485" s="10"/>
      <c r="AA3485" s="11" t="str">
        <f t="shared" si="109"/>
        <v/>
      </c>
    </row>
    <row r="3486" spans="16:27" ht="15" customHeight="1">
      <c r="P3486" t="str">
        <f t="shared" si="108"/>
        <v/>
      </c>
      <c r="Q3486" t="str">
        <f>IF(P3486="","",IFERROR(IF(AND(H3486="W7",OR(F3486="causal",F3486="predictive")),IF(AND(OR(K3486=1,K3486="1"),OR(L3486=1,L3486="1"),OR(M3486=1,M3486="1")),"adequate","partial"),IF(AND(H3486="W4",F3486="predictive",OR(J3486="P2",J3486="P3",J3486="P4")),IF(OR(U3486=1,U3486="1"),"adequate","partial"),INDEX(Fit_Matrix!$B:$B,MATCH(P3486,Fit_Matrix!$A:$A,0)))),"CHECK KEY"))</f>
        <v/>
      </c>
      <c r="U3486" s="10"/>
      <c r="V3486" s="10"/>
      <c r="W3486" s="10"/>
      <c r="X3486" s="10"/>
      <c r="Y3486" s="10"/>
      <c r="Z3486" s="10"/>
      <c r="AA3486" s="11" t="str">
        <f t="shared" si="109"/>
        <v/>
      </c>
    </row>
    <row r="3487" spans="16:27" ht="15" customHeight="1">
      <c r="P3487" t="str">
        <f t="shared" si="108"/>
        <v/>
      </c>
      <c r="Q3487" t="str">
        <f>IF(P3487="","",IFERROR(IF(AND(H3487="W7",OR(F3487="causal",F3487="predictive")),IF(AND(OR(K3487=1,K3487="1"),OR(L3487=1,L3487="1"),OR(M3487=1,M3487="1")),"adequate","partial"),IF(AND(H3487="W4",F3487="predictive",OR(J3487="P2",J3487="P3",J3487="P4")),IF(OR(U3487=1,U3487="1"),"adequate","partial"),INDEX(Fit_Matrix!$B:$B,MATCH(P3487,Fit_Matrix!$A:$A,0)))),"CHECK KEY"))</f>
        <v/>
      </c>
      <c r="U3487" s="10"/>
      <c r="V3487" s="10"/>
      <c r="W3487" s="10"/>
      <c r="X3487" s="10"/>
      <c r="Y3487" s="10"/>
      <c r="Z3487" s="10"/>
      <c r="AA3487" s="11" t="str">
        <f t="shared" si="109"/>
        <v/>
      </c>
    </row>
    <row r="3488" spans="16:27" ht="15" customHeight="1">
      <c r="P3488" t="str">
        <f t="shared" si="108"/>
        <v/>
      </c>
      <c r="Q3488" t="str">
        <f>IF(P3488="","",IFERROR(IF(AND(H3488="W7",OR(F3488="causal",F3488="predictive")),IF(AND(OR(K3488=1,K3488="1"),OR(L3488=1,L3488="1"),OR(M3488=1,M3488="1")),"adequate","partial"),IF(AND(H3488="W4",F3488="predictive",OR(J3488="P2",J3488="P3",J3488="P4")),IF(OR(U3488=1,U3488="1"),"adequate","partial"),INDEX(Fit_Matrix!$B:$B,MATCH(P3488,Fit_Matrix!$A:$A,0)))),"CHECK KEY"))</f>
        <v/>
      </c>
      <c r="U3488" s="10"/>
      <c r="V3488" s="10"/>
      <c r="W3488" s="10"/>
      <c r="X3488" s="10"/>
      <c r="Y3488" s="10"/>
      <c r="Z3488" s="10"/>
      <c r="AA3488" s="11" t="str">
        <f t="shared" si="109"/>
        <v/>
      </c>
    </row>
    <row r="3489" spans="16:27" ht="15" customHeight="1">
      <c r="P3489" t="str">
        <f t="shared" si="108"/>
        <v/>
      </c>
      <c r="Q3489" t="str">
        <f>IF(P3489="","",IFERROR(IF(AND(H3489="W7",OR(F3489="causal",F3489="predictive")),IF(AND(OR(K3489=1,K3489="1"),OR(L3489=1,L3489="1"),OR(M3489=1,M3489="1")),"adequate","partial"),IF(AND(H3489="W4",F3489="predictive",OR(J3489="P2",J3489="P3",J3489="P4")),IF(OR(U3489=1,U3489="1"),"adequate","partial"),INDEX(Fit_Matrix!$B:$B,MATCH(P3489,Fit_Matrix!$A:$A,0)))),"CHECK KEY"))</f>
        <v/>
      </c>
      <c r="U3489" s="10"/>
      <c r="V3489" s="10"/>
      <c r="W3489" s="10"/>
      <c r="X3489" s="10"/>
      <c r="Y3489" s="10"/>
      <c r="Z3489" s="10"/>
      <c r="AA3489" s="11" t="str">
        <f t="shared" si="109"/>
        <v/>
      </c>
    </row>
    <row r="3490" spans="16:27" ht="15" customHeight="1">
      <c r="P3490" t="str">
        <f t="shared" si="108"/>
        <v/>
      </c>
      <c r="Q3490" t="str">
        <f>IF(P3490="","",IFERROR(IF(AND(H3490="W7",OR(F3490="causal",F3490="predictive")),IF(AND(OR(K3490=1,K3490="1"),OR(L3490=1,L3490="1"),OR(M3490=1,M3490="1")),"adequate","partial"),IF(AND(H3490="W4",F3490="predictive",OR(J3490="P2",J3490="P3",J3490="P4")),IF(OR(U3490=1,U3490="1"),"adequate","partial"),INDEX(Fit_Matrix!$B:$B,MATCH(P3490,Fit_Matrix!$A:$A,0)))),"CHECK KEY"))</f>
        <v/>
      </c>
      <c r="U3490" s="10"/>
      <c r="V3490" s="10"/>
      <c r="W3490" s="10"/>
      <c r="X3490" s="10"/>
      <c r="Y3490" s="10"/>
      <c r="Z3490" s="10"/>
      <c r="AA3490" s="11" t="str">
        <f t="shared" si="109"/>
        <v/>
      </c>
    </row>
    <row r="3491" spans="16:27" ht="15" customHeight="1">
      <c r="P3491" t="str">
        <f t="shared" si="108"/>
        <v/>
      </c>
      <c r="Q3491" t="str">
        <f>IF(P3491="","",IFERROR(IF(AND(H3491="W7",OR(F3491="causal",F3491="predictive")),IF(AND(OR(K3491=1,K3491="1"),OR(L3491=1,L3491="1"),OR(M3491=1,M3491="1")),"adequate","partial"),IF(AND(H3491="W4",F3491="predictive",OR(J3491="P2",J3491="P3",J3491="P4")),IF(OR(U3491=1,U3491="1"),"adequate","partial"),INDEX(Fit_Matrix!$B:$B,MATCH(P3491,Fit_Matrix!$A:$A,0)))),"CHECK KEY"))</f>
        <v/>
      </c>
      <c r="U3491" s="10"/>
      <c r="V3491" s="10"/>
      <c r="W3491" s="10"/>
      <c r="X3491" s="10"/>
      <c r="Y3491" s="10"/>
      <c r="Z3491" s="10"/>
      <c r="AA3491" s="11" t="str">
        <f t="shared" si="109"/>
        <v/>
      </c>
    </row>
    <row r="3492" spans="16:27" ht="15" customHeight="1">
      <c r="P3492" t="str">
        <f t="shared" si="108"/>
        <v/>
      </c>
      <c r="Q3492" t="str">
        <f>IF(P3492="","",IFERROR(IF(AND(H3492="W7",OR(F3492="causal",F3492="predictive")),IF(AND(OR(K3492=1,K3492="1"),OR(L3492=1,L3492="1"),OR(M3492=1,M3492="1")),"adequate","partial"),IF(AND(H3492="W4",F3492="predictive",OR(J3492="P2",J3492="P3",J3492="P4")),IF(OR(U3492=1,U3492="1"),"adequate","partial"),INDEX(Fit_Matrix!$B:$B,MATCH(P3492,Fit_Matrix!$A:$A,0)))),"CHECK KEY"))</f>
        <v/>
      </c>
      <c r="U3492" s="10"/>
      <c r="V3492" s="10"/>
      <c r="W3492" s="10"/>
      <c r="X3492" s="10"/>
      <c r="Y3492" s="10"/>
      <c r="Z3492" s="10"/>
      <c r="AA3492" s="11" t="str">
        <f t="shared" si="109"/>
        <v/>
      </c>
    </row>
    <row r="3493" spans="16:27" ht="15" customHeight="1">
      <c r="P3493" t="str">
        <f t="shared" si="108"/>
        <v/>
      </c>
      <c r="Q3493" t="str">
        <f>IF(P3493="","",IFERROR(IF(AND(H3493="W7",OR(F3493="causal",F3493="predictive")),IF(AND(OR(K3493=1,K3493="1"),OR(L3493=1,L3493="1"),OR(M3493=1,M3493="1")),"adequate","partial"),IF(AND(H3493="W4",F3493="predictive",OR(J3493="P2",J3493="P3",J3493="P4")),IF(OR(U3493=1,U3493="1"),"adequate","partial"),INDEX(Fit_Matrix!$B:$B,MATCH(P3493,Fit_Matrix!$A:$A,0)))),"CHECK KEY"))</f>
        <v/>
      </c>
      <c r="U3493" s="10"/>
      <c r="V3493" s="10"/>
      <c r="W3493" s="10"/>
      <c r="X3493" s="10"/>
      <c r="Y3493" s="10"/>
      <c r="Z3493" s="10"/>
      <c r="AA3493" s="11" t="str">
        <f t="shared" si="109"/>
        <v/>
      </c>
    </row>
    <row r="3494" spans="16:27" ht="15" customHeight="1">
      <c r="P3494" t="str">
        <f t="shared" si="108"/>
        <v/>
      </c>
      <c r="Q3494" t="str">
        <f>IF(P3494="","",IFERROR(IF(AND(H3494="W7",OR(F3494="causal",F3494="predictive")),IF(AND(OR(K3494=1,K3494="1"),OR(L3494=1,L3494="1"),OR(M3494=1,M3494="1")),"adequate","partial"),IF(AND(H3494="W4",F3494="predictive",OR(J3494="P2",J3494="P3",J3494="P4")),IF(OR(U3494=1,U3494="1"),"adequate","partial"),INDEX(Fit_Matrix!$B:$B,MATCH(P3494,Fit_Matrix!$A:$A,0)))),"CHECK KEY"))</f>
        <v/>
      </c>
      <c r="U3494" s="10"/>
      <c r="V3494" s="10"/>
      <c r="W3494" s="10"/>
      <c r="X3494" s="10"/>
      <c r="Y3494" s="10"/>
      <c r="Z3494" s="10"/>
      <c r="AA3494" s="11" t="str">
        <f t="shared" si="109"/>
        <v/>
      </c>
    </row>
    <row r="3495" spans="16:27" ht="15" customHeight="1">
      <c r="P3495" t="str">
        <f t="shared" si="108"/>
        <v/>
      </c>
      <c r="Q3495" t="str">
        <f>IF(P3495="","",IFERROR(IF(AND(H3495="W7",OR(F3495="causal",F3495="predictive")),IF(AND(OR(K3495=1,K3495="1"),OR(L3495=1,L3495="1"),OR(M3495=1,M3495="1")),"adequate","partial"),IF(AND(H3495="W4",F3495="predictive",OR(J3495="P2",J3495="P3",J3495="P4")),IF(OR(U3495=1,U3495="1"),"adequate","partial"),INDEX(Fit_Matrix!$B:$B,MATCH(P3495,Fit_Matrix!$A:$A,0)))),"CHECK KEY"))</f>
        <v/>
      </c>
      <c r="U3495" s="10"/>
      <c r="V3495" s="10"/>
      <c r="W3495" s="10"/>
      <c r="X3495" s="10"/>
      <c r="Y3495" s="10"/>
      <c r="Z3495" s="10"/>
      <c r="AA3495" s="11" t="str">
        <f t="shared" si="109"/>
        <v/>
      </c>
    </row>
    <row r="3496" spans="16:27" ht="15" customHeight="1">
      <c r="P3496" t="str">
        <f t="shared" si="108"/>
        <v/>
      </c>
      <c r="Q3496" t="str">
        <f>IF(P3496="","",IFERROR(IF(AND(H3496="W7",OR(F3496="causal",F3496="predictive")),IF(AND(OR(K3496=1,K3496="1"),OR(L3496=1,L3496="1"),OR(M3496=1,M3496="1")),"adequate","partial"),IF(AND(H3496="W4",F3496="predictive",OR(J3496="P2",J3496="P3",J3496="P4")),IF(OR(U3496=1,U3496="1"),"adequate","partial"),INDEX(Fit_Matrix!$B:$B,MATCH(P3496,Fit_Matrix!$A:$A,0)))),"CHECK KEY"))</f>
        <v/>
      </c>
      <c r="U3496" s="10"/>
      <c r="V3496" s="10"/>
      <c r="W3496" s="10"/>
      <c r="X3496" s="10"/>
      <c r="Y3496" s="10"/>
      <c r="Z3496" s="10"/>
      <c r="AA3496" s="11" t="str">
        <f t="shared" si="109"/>
        <v/>
      </c>
    </row>
    <row r="3497" spans="16:27" ht="15" customHeight="1">
      <c r="P3497" t="str">
        <f t="shared" si="108"/>
        <v/>
      </c>
      <c r="Q3497" t="str">
        <f>IF(P3497="","",IFERROR(IF(AND(H3497="W7",OR(F3497="causal",F3497="predictive")),IF(AND(OR(K3497=1,K3497="1"),OR(L3497=1,L3497="1"),OR(M3497=1,M3497="1")),"adequate","partial"),IF(AND(H3497="W4",F3497="predictive",OR(J3497="P2",J3497="P3",J3497="P4")),IF(OR(U3497=1,U3497="1"),"adequate","partial"),INDEX(Fit_Matrix!$B:$B,MATCH(P3497,Fit_Matrix!$A:$A,0)))),"CHECK KEY"))</f>
        <v/>
      </c>
      <c r="U3497" s="10"/>
      <c r="V3497" s="10"/>
      <c r="W3497" s="10"/>
      <c r="X3497" s="10"/>
      <c r="Y3497" s="10"/>
      <c r="Z3497" s="10"/>
      <c r="AA3497" s="11" t="str">
        <f t="shared" si="109"/>
        <v/>
      </c>
    </row>
    <row r="3498" spans="16:27" ht="15" customHeight="1">
      <c r="P3498" t="str">
        <f t="shared" si="108"/>
        <v/>
      </c>
      <c r="Q3498" t="str">
        <f>IF(P3498="","",IFERROR(IF(AND(H3498="W7",OR(F3498="causal",F3498="predictive")),IF(AND(OR(K3498=1,K3498="1"),OR(L3498=1,L3498="1"),OR(M3498=1,M3498="1")),"adequate","partial"),IF(AND(H3498="W4",F3498="predictive",OR(J3498="P2",J3498="P3",J3498="P4")),IF(OR(U3498=1,U3498="1"),"adequate","partial"),INDEX(Fit_Matrix!$B:$B,MATCH(P3498,Fit_Matrix!$A:$A,0)))),"CHECK KEY"))</f>
        <v/>
      </c>
      <c r="U3498" s="10"/>
      <c r="V3498" s="10"/>
      <c r="W3498" s="10"/>
      <c r="X3498" s="10"/>
      <c r="Y3498" s="10"/>
      <c r="Z3498" s="10"/>
      <c r="AA3498" s="11" t="str">
        <f t="shared" si="109"/>
        <v/>
      </c>
    </row>
    <row r="3499" spans="16:27" ht="15" customHeight="1">
      <c r="P3499" t="str">
        <f t="shared" si="108"/>
        <v/>
      </c>
      <c r="Q3499" t="str">
        <f>IF(P3499="","",IFERROR(IF(AND(H3499="W7",OR(F3499="causal",F3499="predictive")),IF(AND(OR(K3499=1,K3499="1"),OR(L3499=1,L3499="1"),OR(M3499=1,M3499="1")),"adequate","partial"),IF(AND(H3499="W4",F3499="predictive",OR(J3499="P2",J3499="P3",J3499="P4")),IF(OR(U3499=1,U3499="1"),"adequate","partial"),INDEX(Fit_Matrix!$B:$B,MATCH(P3499,Fit_Matrix!$A:$A,0)))),"CHECK KEY"))</f>
        <v/>
      </c>
      <c r="U3499" s="10"/>
      <c r="V3499" s="10"/>
      <c r="W3499" s="10"/>
      <c r="X3499" s="10"/>
      <c r="Y3499" s="10"/>
      <c r="Z3499" s="10"/>
      <c r="AA3499" s="11" t="str">
        <f t="shared" si="109"/>
        <v/>
      </c>
    </row>
    <row r="3500" spans="16:27" ht="15" customHeight="1">
      <c r="P3500" t="str">
        <f t="shared" si="108"/>
        <v/>
      </c>
      <c r="Q3500" t="str">
        <f>IF(P3500="","",IFERROR(IF(AND(H3500="W7",OR(F3500="causal",F3500="predictive")),IF(AND(OR(K3500=1,K3500="1"),OR(L3500=1,L3500="1"),OR(M3500=1,M3500="1")),"adequate","partial"),IF(AND(H3500="W4",F3500="predictive",OR(J3500="P2",J3500="P3",J3500="P4")),IF(OR(U3500=1,U3500="1"),"adequate","partial"),INDEX(Fit_Matrix!$B:$B,MATCH(P3500,Fit_Matrix!$A:$A,0)))),"CHECK KEY"))</f>
        <v/>
      </c>
      <c r="U3500" s="10"/>
      <c r="V3500" s="10"/>
      <c r="W3500" s="10"/>
      <c r="X3500" s="10"/>
      <c r="Y3500" s="10"/>
      <c r="Z3500" s="10"/>
      <c r="AA3500" s="11" t="str">
        <f t="shared" si="109"/>
        <v/>
      </c>
    </row>
    <row r="3501" spans="16:27" ht="15" customHeight="1">
      <c r="P3501" t="str">
        <f t="shared" si="108"/>
        <v/>
      </c>
      <c r="Q3501" t="str">
        <f>IF(P3501="","",IFERROR(IF(AND(H3501="W7",OR(F3501="causal",F3501="predictive")),IF(AND(OR(K3501=1,K3501="1"),OR(L3501=1,L3501="1"),OR(M3501=1,M3501="1")),"adequate","partial"),IF(AND(H3501="W4",F3501="predictive",OR(J3501="P2",J3501="P3",J3501="P4")),IF(OR(U3501=1,U3501="1"),"adequate","partial"),INDEX(Fit_Matrix!$B:$B,MATCH(P3501,Fit_Matrix!$A:$A,0)))),"CHECK KEY"))</f>
        <v/>
      </c>
      <c r="U3501" s="10"/>
      <c r="V3501" s="10"/>
      <c r="W3501" s="10"/>
      <c r="X3501" s="10"/>
      <c r="Y3501" s="10"/>
      <c r="Z3501" s="10"/>
      <c r="AA3501" s="11" t="str">
        <f t="shared" si="109"/>
        <v/>
      </c>
    </row>
    <row r="3502" spans="16:27" ht="15" customHeight="1">
      <c r="P3502" t="str">
        <f t="shared" si="108"/>
        <v/>
      </c>
      <c r="Q3502" t="str">
        <f>IF(P3502="","",IFERROR(IF(AND(H3502="W7",OR(F3502="causal",F3502="predictive")),IF(AND(OR(K3502=1,K3502="1"),OR(L3502=1,L3502="1"),OR(M3502=1,M3502="1")),"adequate","partial"),IF(AND(H3502="W4",F3502="predictive",OR(J3502="P2",J3502="P3",J3502="P4")),IF(OR(U3502=1,U3502="1"),"adequate","partial"),INDEX(Fit_Matrix!$B:$B,MATCH(P3502,Fit_Matrix!$A:$A,0)))),"CHECK KEY"))</f>
        <v/>
      </c>
      <c r="U3502" s="10"/>
      <c r="V3502" s="10"/>
      <c r="W3502" s="10"/>
      <c r="X3502" s="10"/>
      <c r="Y3502" s="10"/>
      <c r="Z3502" s="10"/>
      <c r="AA3502" s="11" t="str">
        <f t="shared" si="109"/>
        <v/>
      </c>
    </row>
    <row r="3503" spans="16:27" ht="15" customHeight="1">
      <c r="P3503" t="str">
        <f t="shared" si="108"/>
        <v/>
      </c>
      <c r="Q3503" t="str">
        <f>IF(P3503="","",IFERROR(IF(AND(H3503="W7",OR(F3503="causal",F3503="predictive")),IF(AND(OR(K3503=1,K3503="1"),OR(L3503=1,L3503="1"),OR(M3503=1,M3503="1")),"adequate","partial"),IF(AND(H3503="W4",F3503="predictive",OR(J3503="P2",J3503="P3",J3503="P4")),IF(OR(U3503=1,U3503="1"),"adequate","partial"),INDEX(Fit_Matrix!$B:$B,MATCH(P3503,Fit_Matrix!$A:$A,0)))),"CHECK KEY"))</f>
        <v/>
      </c>
      <c r="U3503" s="10"/>
      <c r="V3503" s="10"/>
      <c r="W3503" s="10"/>
      <c r="X3503" s="10"/>
      <c r="Y3503" s="10"/>
      <c r="Z3503" s="10"/>
      <c r="AA3503" s="11" t="str">
        <f t="shared" si="109"/>
        <v/>
      </c>
    </row>
    <row r="3504" spans="16:27" ht="15" customHeight="1">
      <c r="P3504" t="str">
        <f t="shared" si="108"/>
        <v/>
      </c>
      <c r="Q3504" t="str">
        <f>IF(P3504="","",IFERROR(IF(AND(H3504="W7",OR(F3504="causal",F3504="predictive")),IF(AND(OR(K3504=1,K3504="1"),OR(L3504=1,L3504="1"),OR(M3504=1,M3504="1")),"adequate","partial"),IF(AND(H3504="W4",F3504="predictive",OR(J3504="P2",J3504="P3",J3504="P4")),IF(OR(U3504=1,U3504="1"),"adequate","partial"),INDEX(Fit_Matrix!$B:$B,MATCH(P3504,Fit_Matrix!$A:$A,0)))),"CHECK KEY"))</f>
        <v/>
      </c>
      <c r="U3504" s="10"/>
      <c r="V3504" s="10"/>
      <c r="W3504" s="10"/>
      <c r="X3504" s="10"/>
      <c r="Y3504" s="10"/>
      <c r="Z3504" s="10"/>
      <c r="AA3504" s="11" t="str">
        <f t="shared" si="109"/>
        <v/>
      </c>
    </row>
    <row r="3505" spans="16:27" ht="15" customHeight="1">
      <c r="P3505" t="str">
        <f t="shared" si="108"/>
        <v/>
      </c>
      <c r="Q3505" t="str">
        <f>IF(P3505="","",IFERROR(IF(AND(H3505="W7",OR(F3505="causal",F3505="predictive")),IF(AND(OR(K3505=1,K3505="1"),OR(L3505=1,L3505="1"),OR(M3505=1,M3505="1")),"adequate","partial"),IF(AND(H3505="W4",F3505="predictive",OR(J3505="P2",J3505="P3",J3505="P4")),IF(OR(U3505=1,U3505="1"),"adequate","partial"),INDEX(Fit_Matrix!$B:$B,MATCH(P3505,Fit_Matrix!$A:$A,0)))),"CHECK KEY"))</f>
        <v/>
      </c>
      <c r="U3505" s="10"/>
      <c r="V3505" s="10"/>
      <c r="W3505" s="10"/>
      <c r="X3505" s="10"/>
      <c r="Y3505" s="10"/>
      <c r="Z3505" s="10"/>
      <c r="AA3505" s="11" t="str">
        <f t="shared" si="109"/>
        <v/>
      </c>
    </row>
    <row r="3506" spans="16:27" ht="15" customHeight="1">
      <c r="P3506" t="str">
        <f t="shared" si="108"/>
        <v/>
      </c>
      <c r="Q3506" t="str">
        <f>IF(P3506="","",IFERROR(IF(AND(H3506="W7",OR(F3506="causal",F3506="predictive")),IF(AND(OR(K3506=1,K3506="1"),OR(L3506=1,L3506="1"),OR(M3506=1,M3506="1")),"adequate","partial"),IF(AND(H3506="W4",F3506="predictive",OR(J3506="P2",J3506="P3",J3506="P4")),IF(OR(U3506=1,U3506="1"),"adequate","partial"),INDEX(Fit_Matrix!$B:$B,MATCH(P3506,Fit_Matrix!$A:$A,0)))),"CHECK KEY"))</f>
        <v/>
      </c>
      <c r="U3506" s="10"/>
      <c r="V3506" s="10"/>
      <c r="W3506" s="10"/>
      <c r="X3506" s="10"/>
      <c r="Y3506" s="10"/>
      <c r="Z3506" s="10"/>
      <c r="AA3506" s="11" t="str">
        <f t="shared" si="109"/>
        <v/>
      </c>
    </row>
    <row r="3507" spans="16:27" ht="15" customHeight="1">
      <c r="P3507" t="str">
        <f t="shared" si="108"/>
        <v/>
      </c>
      <c r="Q3507" t="str">
        <f>IF(P3507="","",IFERROR(IF(AND(H3507="W7",OR(F3507="causal",F3507="predictive")),IF(AND(OR(K3507=1,K3507="1"),OR(L3507=1,L3507="1"),OR(M3507=1,M3507="1")),"adequate","partial"),IF(AND(H3507="W4",F3507="predictive",OR(J3507="P2",J3507="P3",J3507="P4")),IF(OR(U3507=1,U3507="1"),"adequate","partial"),INDEX(Fit_Matrix!$B:$B,MATCH(P3507,Fit_Matrix!$A:$A,0)))),"CHECK KEY"))</f>
        <v/>
      </c>
      <c r="U3507" s="10"/>
      <c r="V3507" s="10"/>
      <c r="W3507" s="10"/>
      <c r="X3507" s="10"/>
      <c r="Y3507" s="10"/>
      <c r="Z3507" s="10"/>
      <c r="AA3507" s="11" t="str">
        <f t="shared" si="109"/>
        <v/>
      </c>
    </row>
    <row r="3508" spans="16:27" ht="15" customHeight="1">
      <c r="P3508" t="str">
        <f t="shared" si="108"/>
        <v/>
      </c>
      <c r="Q3508" t="str">
        <f>IF(P3508="","",IFERROR(IF(AND(H3508="W7",OR(F3508="causal",F3508="predictive")),IF(AND(OR(K3508=1,K3508="1"),OR(L3508=1,L3508="1"),OR(M3508=1,M3508="1")),"adequate","partial"),IF(AND(H3508="W4",F3508="predictive",OR(J3508="P2",J3508="P3",J3508="P4")),IF(OR(U3508=1,U3508="1"),"adequate","partial"),INDEX(Fit_Matrix!$B:$B,MATCH(P3508,Fit_Matrix!$A:$A,0)))),"CHECK KEY"))</f>
        <v/>
      </c>
      <c r="U3508" s="10"/>
      <c r="V3508" s="10"/>
      <c r="W3508" s="10"/>
      <c r="X3508" s="10"/>
      <c r="Y3508" s="10"/>
      <c r="Z3508" s="10"/>
      <c r="AA3508" s="11" t="str">
        <f t="shared" si="109"/>
        <v/>
      </c>
    </row>
    <row r="3509" spans="16:27" ht="15" customHeight="1">
      <c r="P3509" t="str">
        <f t="shared" si="108"/>
        <v/>
      </c>
      <c r="Q3509" t="str">
        <f>IF(P3509="","",IFERROR(IF(AND(H3509="W7",OR(F3509="causal",F3509="predictive")),IF(AND(OR(K3509=1,K3509="1"),OR(L3509=1,L3509="1"),OR(M3509=1,M3509="1")),"adequate","partial"),IF(AND(H3509="W4",F3509="predictive",OR(J3509="P2",J3509="P3",J3509="P4")),IF(OR(U3509=1,U3509="1"),"adequate","partial"),INDEX(Fit_Matrix!$B:$B,MATCH(P3509,Fit_Matrix!$A:$A,0)))),"CHECK KEY"))</f>
        <v/>
      </c>
      <c r="U3509" s="10"/>
      <c r="V3509" s="10"/>
      <c r="W3509" s="10"/>
      <c r="X3509" s="10"/>
      <c r="Y3509" s="10"/>
      <c r="Z3509" s="10"/>
      <c r="AA3509" s="11" t="str">
        <f t="shared" si="109"/>
        <v/>
      </c>
    </row>
    <row r="3510" spans="16:27" ht="15" customHeight="1">
      <c r="P3510" t="str">
        <f t="shared" si="108"/>
        <v/>
      </c>
      <c r="Q3510" t="str">
        <f>IF(P3510="","",IFERROR(IF(AND(H3510="W7",OR(F3510="causal",F3510="predictive")),IF(AND(OR(K3510=1,K3510="1"),OR(L3510=1,L3510="1"),OR(M3510=1,M3510="1")),"adequate","partial"),IF(AND(H3510="W4",F3510="predictive",OR(J3510="P2",J3510="P3",J3510="P4")),IF(OR(U3510=1,U3510="1"),"adequate","partial"),INDEX(Fit_Matrix!$B:$B,MATCH(P3510,Fit_Matrix!$A:$A,0)))),"CHECK KEY"))</f>
        <v/>
      </c>
      <c r="U3510" s="10"/>
      <c r="V3510" s="10"/>
      <c r="W3510" s="10"/>
      <c r="X3510" s="10"/>
      <c r="Y3510" s="10"/>
      <c r="Z3510" s="10"/>
      <c r="AA3510" s="11" t="str">
        <f t="shared" si="109"/>
        <v/>
      </c>
    </row>
    <row r="3511" spans="16:27" ht="15" customHeight="1">
      <c r="P3511" t="str">
        <f t="shared" si="108"/>
        <v/>
      </c>
      <c r="Q3511" t="str">
        <f>IF(P3511="","",IFERROR(IF(AND(H3511="W7",OR(F3511="causal",F3511="predictive")),IF(AND(OR(K3511=1,K3511="1"),OR(L3511=1,L3511="1"),OR(M3511=1,M3511="1")),"adequate","partial"),IF(AND(H3511="W4",F3511="predictive",OR(J3511="P2",J3511="P3",J3511="P4")),IF(OR(U3511=1,U3511="1"),"adequate","partial"),INDEX(Fit_Matrix!$B:$B,MATCH(P3511,Fit_Matrix!$A:$A,0)))),"CHECK KEY"))</f>
        <v/>
      </c>
      <c r="U3511" s="10"/>
      <c r="V3511" s="10"/>
      <c r="W3511" s="10"/>
      <c r="X3511" s="10"/>
      <c r="Y3511" s="10"/>
      <c r="Z3511" s="10"/>
      <c r="AA3511" s="11" t="str">
        <f t="shared" si="109"/>
        <v/>
      </c>
    </row>
    <row r="3512" spans="16:27" ht="15" customHeight="1">
      <c r="P3512" t="str">
        <f t="shared" si="108"/>
        <v/>
      </c>
      <c r="Q3512" t="str">
        <f>IF(P3512="","",IFERROR(IF(AND(H3512="W7",OR(F3512="causal",F3512="predictive")),IF(AND(OR(K3512=1,K3512="1"),OR(L3512=1,L3512="1"),OR(M3512=1,M3512="1")),"adequate","partial"),IF(AND(H3512="W4",F3512="predictive",OR(J3512="P2",J3512="P3",J3512="P4")),IF(OR(U3512=1,U3512="1"),"adequate","partial"),INDEX(Fit_Matrix!$B:$B,MATCH(P3512,Fit_Matrix!$A:$A,0)))),"CHECK KEY"))</f>
        <v/>
      </c>
      <c r="U3512" s="10"/>
      <c r="V3512" s="10"/>
      <c r="W3512" s="10"/>
      <c r="X3512" s="10"/>
      <c r="Y3512" s="10"/>
      <c r="Z3512" s="10"/>
      <c r="AA3512" s="11" t="str">
        <f t="shared" si="109"/>
        <v/>
      </c>
    </row>
    <row r="3513" spans="16:27" ht="15" customHeight="1">
      <c r="P3513" t="str">
        <f t="shared" si="108"/>
        <v/>
      </c>
      <c r="Q3513" t="str">
        <f>IF(P3513="","",IFERROR(IF(AND(H3513="W7",OR(F3513="causal",F3513="predictive")),IF(AND(OR(K3513=1,K3513="1"),OR(L3513=1,L3513="1"),OR(M3513=1,M3513="1")),"adequate","partial"),IF(AND(H3513="W4",F3513="predictive",OR(J3513="P2",J3513="P3",J3513="P4")),IF(OR(U3513=1,U3513="1"),"adequate","partial"),INDEX(Fit_Matrix!$B:$B,MATCH(P3513,Fit_Matrix!$A:$A,0)))),"CHECK KEY"))</f>
        <v/>
      </c>
      <c r="U3513" s="10"/>
      <c r="V3513" s="10"/>
      <c r="W3513" s="10"/>
      <c r="X3513" s="10"/>
      <c r="Y3513" s="10"/>
      <c r="Z3513" s="10"/>
      <c r="AA3513" s="11" t="str">
        <f t="shared" si="109"/>
        <v/>
      </c>
    </row>
    <row r="3514" spans="16:27" ht="15" customHeight="1">
      <c r="P3514" t="str">
        <f t="shared" si="108"/>
        <v/>
      </c>
      <c r="Q3514" t="str">
        <f>IF(P3514="","",IFERROR(IF(AND(H3514="W7",OR(F3514="causal",F3514="predictive")),IF(AND(OR(K3514=1,K3514="1"),OR(L3514=1,L3514="1"),OR(M3514=1,M3514="1")),"adequate","partial"),IF(AND(H3514="W4",F3514="predictive",OR(J3514="P2",J3514="P3",J3514="P4")),IF(OR(U3514=1,U3514="1"),"adequate","partial"),INDEX(Fit_Matrix!$B:$B,MATCH(P3514,Fit_Matrix!$A:$A,0)))),"CHECK KEY"))</f>
        <v/>
      </c>
      <c r="U3514" s="10"/>
      <c r="V3514" s="10"/>
      <c r="W3514" s="10"/>
      <c r="X3514" s="10"/>
      <c r="Y3514" s="10"/>
      <c r="Z3514" s="10"/>
      <c r="AA3514" s="11" t="str">
        <f t="shared" si="109"/>
        <v/>
      </c>
    </row>
    <row r="3515" spans="16:27" ht="15" customHeight="1">
      <c r="P3515" t="str">
        <f t="shared" si="108"/>
        <v/>
      </c>
      <c r="Q3515" t="str">
        <f>IF(P3515="","",IFERROR(IF(AND(H3515="W7",OR(F3515="causal",F3515="predictive")),IF(AND(OR(K3515=1,K3515="1"),OR(L3515=1,L3515="1"),OR(M3515=1,M3515="1")),"adequate","partial"),IF(AND(H3515="W4",F3515="predictive",OR(J3515="P2",J3515="P3",J3515="P4")),IF(OR(U3515=1,U3515="1"),"adequate","partial"),INDEX(Fit_Matrix!$B:$B,MATCH(P3515,Fit_Matrix!$A:$A,0)))),"CHECK KEY"))</f>
        <v/>
      </c>
      <c r="U3515" s="10"/>
      <c r="V3515" s="10"/>
      <c r="W3515" s="10"/>
      <c r="X3515" s="10"/>
      <c r="Y3515" s="10"/>
      <c r="Z3515" s="10"/>
      <c r="AA3515" s="11" t="str">
        <f t="shared" si="109"/>
        <v/>
      </c>
    </row>
    <row r="3516" spans="16:27" ht="15" customHeight="1">
      <c r="P3516" t="str">
        <f t="shared" si="108"/>
        <v/>
      </c>
      <c r="Q3516" t="str">
        <f>IF(P3516="","",IFERROR(IF(AND(H3516="W7",OR(F3516="causal",F3516="predictive")),IF(AND(OR(K3516=1,K3516="1"),OR(L3516=1,L3516="1"),OR(M3516=1,M3516="1")),"adequate","partial"),IF(AND(H3516="W4",F3516="predictive",OR(J3516="P2",J3516="P3",J3516="P4")),IF(OR(U3516=1,U3516="1"),"adequate","partial"),INDEX(Fit_Matrix!$B:$B,MATCH(P3516,Fit_Matrix!$A:$A,0)))),"CHECK KEY"))</f>
        <v/>
      </c>
      <c r="U3516" s="10"/>
      <c r="V3516" s="10"/>
      <c r="W3516" s="10"/>
      <c r="X3516" s="10"/>
      <c r="Y3516" s="10"/>
      <c r="Z3516" s="10"/>
      <c r="AA3516" s="11" t="str">
        <f t="shared" si="109"/>
        <v/>
      </c>
    </row>
    <row r="3517" spans="16:27" ht="15" customHeight="1">
      <c r="P3517" t="str">
        <f t="shared" si="108"/>
        <v/>
      </c>
      <c r="Q3517" t="str">
        <f>IF(P3517="","",IFERROR(IF(AND(H3517="W7",OR(F3517="causal",F3517="predictive")),IF(AND(OR(K3517=1,K3517="1"),OR(L3517=1,L3517="1"),OR(M3517=1,M3517="1")),"adequate","partial"),IF(AND(H3517="W4",F3517="predictive",OR(J3517="P2",J3517="P3",J3517="P4")),IF(OR(U3517=1,U3517="1"),"adequate","partial"),INDEX(Fit_Matrix!$B:$B,MATCH(P3517,Fit_Matrix!$A:$A,0)))),"CHECK KEY"))</f>
        <v/>
      </c>
      <c r="U3517" s="10"/>
      <c r="V3517" s="10"/>
      <c r="W3517" s="10"/>
      <c r="X3517" s="10"/>
      <c r="Y3517" s="10"/>
      <c r="Z3517" s="10"/>
      <c r="AA3517" s="11" t="str">
        <f t="shared" si="109"/>
        <v/>
      </c>
    </row>
    <row r="3518" spans="16:27" ht="15" customHeight="1">
      <c r="P3518" t="str">
        <f t="shared" si="108"/>
        <v/>
      </c>
      <c r="Q3518" t="str">
        <f>IF(P3518="","",IFERROR(IF(AND(H3518="W7",OR(F3518="causal",F3518="predictive")),IF(AND(OR(K3518=1,K3518="1"),OR(L3518=1,L3518="1"),OR(M3518=1,M3518="1")),"adequate","partial"),IF(AND(H3518="W4",F3518="predictive",OR(J3518="P2",J3518="P3",J3518="P4")),IF(OR(U3518=1,U3518="1"),"adequate","partial"),INDEX(Fit_Matrix!$B:$B,MATCH(P3518,Fit_Matrix!$A:$A,0)))),"CHECK KEY"))</f>
        <v/>
      </c>
      <c r="U3518" s="10"/>
      <c r="V3518" s="10"/>
      <c r="W3518" s="10"/>
      <c r="X3518" s="10"/>
      <c r="Y3518" s="10"/>
      <c r="Z3518" s="10"/>
      <c r="AA3518" s="11" t="str">
        <f t="shared" si="109"/>
        <v/>
      </c>
    </row>
    <row r="3519" spans="16:27" ht="15" customHeight="1">
      <c r="P3519" t="str">
        <f t="shared" si="108"/>
        <v/>
      </c>
      <c r="Q3519" t="str">
        <f>IF(P3519="","",IFERROR(IF(AND(H3519="W7",OR(F3519="causal",F3519="predictive")),IF(AND(OR(K3519=1,K3519="1"),OR(L3519=1,L3519="1"),OR(M3519=1,M3519="1")),"adequate","partial"),IF(AND(H3519="W4",F3519="predictive",OR(J3519="P2",J3519="P3",J3519="P4")),IF(OR(U3519=1,U3519="1"),"adequate","partial"),INDEX(Fit_Matrix!$B:$B,MATCH(P3519,Fit_Matrix!$A:$A,0)))),"CHECK KEY"))</f>
        <v/>
      </c>
      <c r="U3519" s="10"/>
      <c r="V3519" s="10"/>
      <c r="W3519" s="10"/>
      <c r="X3519" s="10"/>
      <c r="Y3519" s="10"/>
      <c r="Z3519" s="10"/>
      <c r="AA3519" s="11" t="str">
        <f t="shared" si="109"/>
        <v/>
      </c>
    </row>
    <row r="3520" spans="16:27" ht="15" customHeight="1">
      <c r="P3520" t="str">
        <f t="shared" si="108"/>
        <v/>
      </c>
      <c r="Q3520" t="str">
        <f>IF(P3520="","",IFERROR(IF(AND(H3520="W7",OR(F3520="causal",F3520="predictive")),IF(AND(OR(K3520=1,K3520="1"),OR(L3520=1,L3520="1"),OR(M3520=1,M3520="1")),"adequate","partial"),IF(AND(H3520="W4",F3520="predictive",OR(J3520="P2",J3520="P3",J3520="P4")),IF(OR(U3520=1,U3520="1"),"adequate","partial"),INDEX(Fit_Matrix!$B:$B,MATCH(P3520,Fit_Matrix!$A:$A,0)))),"CHECK KEY"))</f>
        <v/>
      </c>
      <c r="U3520" s="10"/>
      <c r="V3520" s="10"/>
      <c r="W3520" s="10"/>
      <c r="X3520" s="10"/>
      <c r="Y3520" s="10"/>
      <c r="Z3520" s="10"/>
      <c r="AA3520" s="11" t="str">
        <f t="shared" si="109"/>
        <v/>
      </c>
    </row>
    <row r="3521" spans="16:27" ht="15" customHeight="1">
      <c r="P3521" t="str">
        <f t="shared" si="108"/>
        <v/>
      </c>
      <c r="Q3521" t="str">
        <f>IF(P3521="","",IFERROR(IF(AND(H3521="W7",OR(F3521="causal",F3521="predictive")),IF(AND(OR(K3521=1,K3521="1"),OR(L3521=1,L3521="1"),OR(M3521=1,M3521="1")),"adequate","partial"),IF(AND(H3521="W4",F3521="predictive",OR(J3521="P2",J3521="P3",J3521="P4")),IF(OR(U3521=1,U3521="1"),"adequate","partial"),INDEX(Fit_Matrix!$B:$B,MATCH(P3521,Fit_Matrix!$A:$A,0)))),"CHECK KEY"))</f>
        <v/>
      </c>
      <c r="U3521" s="10"/>
      <c r="V3521" s="10"/>
      <c r="W3521" s="10"/>
      <c r="X3521" s="10"/>
      <c r="Y3521" s="10"/>
      <c r="Z3521" s="10"/>
      <c r="AA3521" s="11" t="str">
        <f t="shared" si="109"/>
        <v/>
      </c>
    </row>
    <row r="3522" spans="16:27" ht="15" customHeight="1">
      <c r="P3522" t="str">
        <f t="shared" ref="P3522:P3585" si="110">IF(OR(F3522="",H3522="",J3522=""),"",J3522&amp;"|"&amp;F3522&amp;"|"&amp;IF(H3522="W3","W3_"&amp;IF(I3522="","unknown",I3522),H3522))</f>
        <v/>
      </c>
      <c r="Q3522" t="str">
        <f>IF(P3522="","",IFERROR(IF(AND(H3522="W7",OR(F3522="causal",F3522="predictive")),IF(AND(OR(K3522=1,K3522="1"),OR(L3522=1,L3522="1"),OR(M3522=1,M3522="1")),"adequate","partial"),IF(AND(H3522="W4",F3522="predictive",OR(J3522="P2",J3522="P3",J3522="P4")),IF(OR(U3522=1,U3522="1"),"adequate","partial"),INDEX(Fit_Matrix!$B:$B,MATCH(P3522,Fit_Matrix!$A:$A,0)))),"CHECK KEY"))</f>
        <v/>
      </c>
      <c r="U3522" s="10"/>
      <c r="V3522" s="10"/>
      <c r="W3522" s="10"/>
      <c r="X3522" s="10"/>
      <c r="Y3522" s="10"/>
      <c r="Z3522" s="10"/>
      <c r="AA3522" s="11" t="str">
        <f t="shared" ref="AA3522:AA3585" si="111">IF(A3522="","",IF(AND(J3522="P4",F3522="causal"),"P4-CAUSAL",""))</f>
        <v/>
      </c>
    </row>
    <row r="3523" spans="16:27" ht="15" customHeight="1">
      <c r="P3523" t="str">
        <f t="shared" si="110"/>
        <v/>
      </c>
      <c r="Q3523" t="str">
        <f>IF(P3523="","",IFERROR(IF(AND(H3523="W7",OR(F3523="causal",F3523="predictive")),IF(AND(OR(K3523=1,K3523="1"),OR(L3523=1,L3523="1"),OR(M3523=1,M3523="1")),"adequate","partial"),IF(AND(H3523="W4",F3523="predictive",OR(J3523="P2",J3523="P3",J3523="P4")),IF(OR(U3523=1,U3523="1"),"adequate","partial"),INDEX(Fit_Matrix!$B:$B,MATCH(P3523,Fit_Matrix!$A:$A,0)))),"CHECK KEY"))</f>
        <v/>
      </c>
      <c r="U3523" s="10"/>
      <c r="V3523" s="10"/>
      <c r="W3523" s="10"/>
      <c r="X3523" s="10"/>
      <c r="Y3523" s="10"/>
      <c r="Z3523" s="10"/>
      <c r="AA3523" s="11" t="str">
        <f t="shared" si="111"/>
        <v/>
      </c>
    </row>
    <row r="3524" spans="16:27" ht="15" customHeight="1">
      <c r="P3524" t="str">
        <f t="shared" si="110"/>
        <v/>
      </c>
      <c r="Q3524" t="str">
        <f>IF(P3524="","",IFERROR(IF(AND(H3524="W7",OR(F3524="causal",F3524="predictive")),IF(AND(OR(K3524=1,K3524="1"),OR(L3524=1,L3524="1"),OR(M3524=1,M3524="1")),"adequate","partial"),IF(AND(H3524="W4",F3524="predictive",OR(J3524="P2",J3524="P3",J3524="P4")),IF(OR(U3524=1,U3524="1"),"adequate","partial"),INDEX(Fit_Matrix!$B:$B,MATCH(P3524,Fit_Matrix!$A:$A,0)))),"CHECK KEY"))</f>
        <v/>
      </c>
      <c r="U3524" s="10"/>
      <c r="V3524" s="10"/>
      <c r="W3524" s="10"/>
      <c r="X3524" s="10"/>
      <c r="Y3524" s="10"/>
      <c r="Z3524" s="10"/>
      <c r="AA3524" s="11" t="str">
        <f t="shared" si="111"/>
        <v/>
      </c>
    </row>
    <row r="3525" spans="16:27" ht="15" customHeight="1">
      <c r="P3525" t="str">
        <f t="shared" si="110"/>
        <v/>
      </c>
      <c r="Q3525" t="str">
        <f>IF(P3525="","",IFERROR(IF(AND(H3525="W7",OR(F3525="causal",F3525="predictive")),IF(AND(OR(K3525=1,K3525="1"),OR(L3525=1,L3525="1"),OR(M3525=1,M3525="1")),"adequate","partial"),IF(AND(H3525="W4",F3525="predictive",OR(J3525="P2",J3525="P3",J3525="P4")),IF(OR(U3525=1,U3525="1"),"adequate","partial"),INDEX(Fit_Matrix!$B:$B,MATCH(P3525,Fit_Matrix!$A:$A,0)))),"CHECK KEY"))</f>
        <v/>
      </c>
      <c r="U3525" s="10"/>
      <c r="V3525" s="10"/>
      <c r="W3525" s="10"/>
      <c r="X3525" s="10"/>
      <c r="Y3525" s="10"/>
      <c r="Z3525" s="10"/>
      <c r="AA3525" s="11" t="str">
        <f t="shared" si="111"/>
        <v/>
      </c>
    </row>
    <row r="3526" spans="16:27" ht="15" customHeight="1">
      <c r="P3526" t="str">
        <f t="shared" si="110"/>
        <v/>
      </c>
      <c r="Q3526" t="str">
        <f>IF(P3526="","",IFERROR(IF(AND(H3526="W7",OR(F3526="causal",F3526="predictive")),IF(AND(OR(K3526=1,K3526="1"),OR(L3526=1,L3526="1"),OR(M3526=1,M3526="1")),"adequate","partial"),IF(AND(H3526="W4",F3526="predictive",OR(J3526="P2",J3526="P3",J3526="P4")),IF(OR(U3526=1,U3526="1"),"adequate","partial"),INDEX(Fit_Matrix!$B:$B,MATCH(P3526,Fit_Matrix!$A:$A,0)))),"CHECK KEY"))</f>
        <v/>
      </c>
      <c r="U3526" s="10"/>
      <c r="V3526" s="10"/>
      <c r="W3526" s="10"/>
      <c r="X3526" s="10"/>
      <c r="Y3526" s="10"/>
      <c r="Z3526" s="10"/>
      <c r="AA3526" s="11" t="str">
        <f t="shared" si="111"/>
        <v/>
      </c>
    </row>
    <row r="3527" spans="16:27" ht="15" customHeight="1">
      <c r="P3527" t="str">
        <f t="shared" si="110"/>
        <v/>
      </c>
      <c r="Q3527" t="str">
        <f>IF(P3527="","",IFERROR(IF(AND(H3527="W7",OR(F3527="causal",F3527="predictive")),IF(AND(OR(K3527=1,K3527="1"),OR(L3527=1,L3527="1"),OR(M3527=1,M3527="1")),"adequate","partial"),IF(AND(H3527="W4",F3527="predictive",OR(J3527="P2",J3527="P3",J3527="P4")),IF(OR(U3527=1,U3527="1"),"adequate","partial"),INDEX(Fit_Matrix!$B:$B,MATCH(P3527,Fit_Matrix!$A:$A,0)))),"CHECK KEY"))</f>
        <v/>
      </c>
      <c r="U3527" s="10"/>
      <c r="V3527" s="10"/>
      <c r="W3527" s="10"/>
      <c r="X3527" s="10"/>
      <c r="Y3527" s="10"/>
      <c r="Z3527" s="10"/>
      <c r="AA3527" s="11" t="str">
        <f t="shared" si="111"/>
        <v/>
      </c>
    </row>
    <row r="3528" spans="16:27" ht="15" customHeight="1">
      <c r="P3528" t="str">
        <f t="shared" si="110"/>
        <v/>
      </c>
      <c r="Q3528" t="str">
        <f>IF(P3528="","",IFERROR(IF(AND(H3528="W7",OR(F3528="causal",F3528="predictive")),IF(AND(OR(K3528=1,K3528="1"),OR(L3528=1,L3528="1"),OR(M3528=1,M3528="1")),"adequate","partial"),IF(AND(H3528="W4",F3528="predictive",OR(J3528="P2",J3528="P3",J3528="P4")),IF(OR(U3528=1,U3528="1"),"adequate","partial"),INDEX(Fit_Matrix!$B:$B,MATCH(P3528,Fit_Matrix!$A:$A,0)))),"CHECK KEY"))</f>
        <v/>
      </c>
      <c r="U3528" s="10"/>
      <c r="V3528" s="10"/>
      <c r="W3528" s="10"/>
      <c r="X3528" s="10"/>
      <c r="Y3528" s="10"/>
      <c r="Z3528" s="10"/>
      <c r="AA3528" s="11" t="str">
        <f t="shared" si="111"/>
        <v/>
      </c>
    </row>
    <row r="3529" spans="16:27" ht="15" customHeight="1">
      <c r="P3529" t="str">
        <f t="shared" si="110"/>
        <v/>
      </c>
      <c r="Q3529" t="str">
        <f>IF(P3529="","",IFERROR(IF(AND(H3529="W7",OR(F3529="causal",F3529="predictive")),IF(AND(OR(K3529=1,K3529="1"),OR(L3529=1,L3529="1"),OR(M3529=1,M3529="1")),"adequate","partial"),IF(AND(H3529="W4",F3529="predictive",OR(J3529="P2",J3529="P3",J3529="P4")),IF(OR(U3529=1,U3529="1"),"adequate","partial"),INDEX(Fit_Matrix!$B:$B,MATCH(P3529,Fit_Matrix!$A:$A,0)))),"CHECK KEY"))</f>
        <v/>
      </c>
      <c r="U3529" s="10"/>
      <c r="V3529" s="10"/>
      <c r="W3529" s="10"/>
      <c r="X3529" s="10"/>
      <c r="Y3529" s="10"/>
      <c r="Z3529" s="10"/>
      <c r="AA3529" s="11" t="str">
        <f t="shared" si="111"/>
        <v/>
      </c>
    </row>
    <row r="3530" spans="16:27" ht="15" customHeight="1">
      <c r="P3530" t="str">
        <f t="shared" si="110"/>
        <v/>
      </c>
      <c r="Q3530" t="str">
        <f>IF(P3530="","",IFERROR(IF(AND(H3530="W7",OR(F3530="causal",F3530="predictive")),IF(AND(OR(K3530=1,K3530="1"),OR(L3530=1,L3530="1"),OR(M3530=1,M3530="1")),"adequate","partial"),IF(AND(H3530="W4",F3530="predictive",OR(J3530="P2",J3530="P3",J3530="P4")),IF(OR(U3530=1,U3530="1"),"adequate","partial"),INDEX(Fit_Matrix!$B:$B,MATCH(P3530,Fit_Matrix!$A:$A,0)))),"CHECK KEY"))</f>
        <v/>
      </c>
      <c r="U3530" s="10"/>
      <c r="V3530" s="10"/>
      <c r="W3530" s="10"/>
      <c r="X3530" s="10"/>
      <c r="Y3530" s="10"/>
      <c r="Z3530" s="10"/>
      <c r="AA3530" s="11" t="str">
        <f t="shared" si="111"/>
        <v/>
      </c>
    </row>
    <row r="3531" spans="16:27" ht="15" customHeight="1">
      <c r="P3531" t="str">
        <f t="shared" si="110"/>
        <v/>
      </c>
      <c r="Q3531" t="str">
        <f>IF(P3531="","",IFERROR(IF(AND(H3531="W7",OR(F3531="causal",F3531="predictive")),IF(AND(OR(K3531=1,K3531="1"),OR(L3531=1,L3531="1"),OR(M3531=1,M3531="1")),"adequate","partial"),IF(AND(H3531="W4",F3531="predictive",OR(J3531="P2",J3531="P3",J3531="P4")),IF(OR(U3531=1,U3531="1"),"adequate","partial"),INDEX(Fit_Matrix!$B:$B,MATCH(P3531,Fit_Matrix!$A:$A,0)))),"CHECK KEY"))</f>
        <v/>
      </c>
      <c r="U3531" s="10"/>
      <c r="V3531" s="10"/>
      <c r="W3531" s="10"/>
      <c r="X3531" s="10"/>
      <c r="Y3531" s="10"/>
      <c r="Z3531" s="10"/>
      <c r="AA3531" s="11" t="str">
        <f t="shared" si="111"/>
        <v/>
      </c>
    </row>
    <row r="3532" spans="16:27" ht="15" customHeight="1">
      <c r="P3532" t="str">
        <f t="shared" si="110"/>
        <v/>
      </c>
      <c r="Q3532" t="str">
        <f>IF(P3532="","",IFERROR(IF(AND(H3532="W7",OR(F3532="causal",F3532="predictive")),IF(AND(OR(K3532=1,K3532="1"),OR(L3532=1,L3532="1"),OR(M3532=1,M3532="1")),"adequate","partial"),IF(AND(H3532="W4",F3532="predictive",OR(J3532="P2",J3532="P3",J3532="P4")),IF(OR(U3532=1,U3532="1"),"adequate","partial"),INDEX(Fit_Matrix!$B:$B,MATCH(P3532,Fit_Matrix!$A:$A,0)))),"CHECK KEY"))</f>
        <v/>
      </c>
      <c r="U3532" s="10"/>
      <c r="V3532" s="10"/>
      <c r="W3532" s="10"/>
      <c r="X3532" s="10"/>
      <c r="Y3532" s="10"/>
      <c r="Z3532" s="10"/>
      <c r="AA3532" s="11" t="str">
        <f t="shared" si="111"/>
        <v/>
      </c>
    </row>
    <row r="3533" spans="16:27" ht="15" customHeight="1">
      <c r="P3533" t="str">
        <f t="shared" si="110"/>
        <v/>
      </c>
      <c r="Q3533" t="str">
        <f>IF(P3533="","",IFERROR(IF(AND(H3533="W7",OR(F3533="causal",F3533="predictive")),IF(AND(OR(K3533=1,K3533="1"),OR(L3533=1,L3533="1"),OR(M3533=1,M3533="1")),"adequate","partial"),IF(AND(H3533="W4",F3533="predictive",OR(J3533="P2",J3533="P3",J3533="P4")),IF(OR(U3533=1,U3533="1"),"adequate","partial"),INDEX(Fit_Matrix!$B:$B,MATCH(P3533,Fit_Matrix!$A:$A,0)))),"CHECK KEY"))</f>
        <v/>
      </c>
      <c r="U3533" s="10"/>
      <c r="V3533" s="10"/>
      <c r="W3533" s="10"/>
      <c r="X3533" s="10"/>
      <c r="Y3533" s="10"/>
      <c r="Z3533" s="10"/>
      <c r="AA3533" s="11" t="str">
        <f t="shared" si="111"/>
        <v/>
      </c>
    </row>
    <row r="3534" spans="16:27" ht="15" customHeight="1">
      <c r="P3534" t="str">
        <f t="shared" si="110"/>
        <v/>
      </c>
      <c r="Q3534" t="str">
        <f>IF(P3534="","",IFERROR(IF(AND(H3534="W7",OR(F3534="causal",F3534="predictive")),IF(AND(OR(K3534=1,K3534="1"),OR(L3534=1,L3534="1"),OR(M3534=1,M3534="1")),"adequate","partial"),IF(AND(H3534="W4",F3534="predictive",OR(J3534="P2",J3534="P3",J3534="P4")),IF(OR(U3534=1,U3534="1"),"adequate","partial"),INDEX(Fit_Matrix!$B:$B,MATCH(P3534,Fit_Matrix!$A:$A,0)))),"CHECK KEY"))</f>
        <v/>
      </c>
      <c r="U3534" s="10"/>
      <c r="V3534" s="10"/>
      <c r="W3534" s="10"/>
      <c r="X3534" s="10"/>
      <c r="Y3534" s="10"/>
      <c r="Z3534" s="10"/>
      <c r="AA3534" s="11" t="str">
        <f t="shared" si="111"/>
        <v/>
      </c>
    </row>
    <row r="3535" spans="16:27" ht="15" customHeight="1">
      <c r="P3535" t="str">
        <f t="shared" si="110"/>
        <v/>
      </c>
      <c r="Q3535" t="str">
        <f>IF(P3535="","",IFERROR(IF(AND(H3535="W7",OR(F3535="causal",F3535="predictive")),IF(AND(OR(K3535=1,K3535="1"),OR(L3535=1,L3535="1"),OR(M3535=1,M3535="1")),"adequate","partial"),IF(AND(H3535="W4",F3535="predictive",OR(J3535="P2",J3535="P3",J3535="P4")),IF(OR(U3535=1,U3535="1"),"adequate","partial"),INDEX(Fit_Matrix!$B:$B,MATCH(P3535,Fit_Matrix!$A:$A,0)))),"CHECK KEY"))</f>
        <v/>
      </c>
      <c r="U3535" s="10"/>
      <c r="V3535" s="10"/>
      <c r="W3535" s="10"/>
      <c r="X3535" s="10"/>
      <c r="Y3535" s="10"/>
      <c r="Z3535" s="10"/>
      <c r="AA3535" s="11" t="str">
        <f t="shared" si="111"/>
        <v/>
      </c>
    </row>
    <row r="3536" spans="16:27" ht="15" customHeight="1">
      <c r="P3536" t="str">
        <f t="shared" si="110"/>
        <v/>
      </c>
      <c r="Q3536" t="str">
        <f>IF(P3536="","",IFERROR(IF(AND(H3536="W7",OR(F3536="causal",F3536="predictive")),IF(AND(OR(K3536=1,K3536="1"),OR(L3536=1,L3536="1"),OR(M3536=1,M3536="1")),"adequate","partial"),IF(AND(H3536="W4",F3536="predictive",OR(J3536="P2",J3536="P3",J3536="P4")),IF(OR(U3536=1,U3536="1"),"adequate","partial"),INDEX(Fit_Matrix!$B:$B,MATCH(P3536,Fit_Matrix!$A:$A,0)))),"CHECK KEY"))</f>
        <v/>
      </c>
      <c r="U3536" s="10"/>
      <c r="V3536" s="10"/>
      <c r="W3536" s="10"/>
      <c r="X3536" s="10"/>
      <c r="Y3536" s="10"/>
      <c r="Z3536" s="10"/>
      <c r="AA3536" s="11" t="str">
        <f t="shared" si="111"/>
        <v/>
      </c>
    </row>
    <row r="3537" spans="16:27" ht="15" customHeight="1">
      <c r="P3537" t="str">
        <f t="shared" si="110"/>
        <v/>
      </c>
      <c r="Q3537" t="str">
        <f>IF(P3537="","",IFERROR(IF(AND(H3537="W7",OR(F3537="causal",F3537="predictive")),IF(AND(OR(K3537=1,K3537="1"),OR(L3537=1,L3537="1"),OR(M3537=1,M3537="1")),"adequate","partial"),IF(AND(H3537="W4",F3537="predictive",OR(J3537="P2",J3537="P3",J3537="P4")),IF(OR(U3537=1,U3537="1"),"adequate","partial"),INDEX(Fit_Matrix!$B:$B,MATCH(P3537,Fit_Matrix!$A:$A,0)))),"CHECK KEY"))</f>
        <v/>
      </c>
      <c r="U3537" s="10"/>
      <c r="V3537" s="10"/>
      <c r="W3537" s="10"/>
      <c r="X3537" s="10"/>
      <c r="Y3537" s="10"/>
      <c r="Z3537" s="10"/>
      <c r="AA3537" s="11" t="str">
        <f t="shared" si="111"/>
        <v/>
      </c>
    </row>
    <row r="3538" spans="16:27" ht="15" customHeight="1">
      <c r="P3538" t="str">
        <f t="shared" si="110"/>
        <v/>
      </c>
      <c r="Q3538" t="str">
        <f>IF(P3538="","",IFERROR(IF(AND(H3538="W7",OR(F3538="causal",F3538="predictive")),IF(AND(OR(K3538=1,K3538="1"),OR(L3538=1,L3538="1"),OR(M3538=1,M3538="1")),"adequate","partial"),IF(AND(H3538="W4",F3538="predictive",OR(J3538="P2",J3538="P3",J3538="P4")),IF(OR(U3538=1,U3538="1"),"adequate","partial"),INDEX(Fit_Matrix!$B:$B,MATCH(P3538,Fit_Matrix!$A:$A,0)))),"CHECK KEY"))</f>
        <v/>
      </c>
      <c r="U3538" s="10"/>
      <c r="V3538" s="10"/>
      <c r="W3538" s="10"/>
      <c r="X3538" s="10"/>
      <c r="Y3538" s="10"/>
      <c r="Z3538" s="10"/>
      <c r="AA3538" s="11" t="str">
        <f t="shared" si="111"/>
        <v/>
      </c>
    </row>
    <row r="3539" spans="16:27" ht="15" customHeight="1">
      <c r="P3539" t="str">
        <f t="shared" si="110"/>
        <v/>
      </c>
      <c r="Q3539" t="str">
        <f>IF(P3539="","",IFERROR(IF(AND(H3539="W7",OR(F3539="causal",F3539="predictive")),IF(AND(OR(K3539=1,K3539="1"),OR(L3539=1,L3539="1"),OR(M3539=1,M3539="1")),"adequate","partial"),IF(AND(H3539="W4",F3539="predictive",OR(J3539="P2",J3539="P3",J3539="P4")),IF(OR(U3539=1,U3539="1"),"adequate","partial"),INDEX(Fit_Matrix!$B:$B,MATCH(P3539,Fit_Matrix!$A:$A,0)))),"CHECK KEY"))</f>
        <v/>
      </c>
      <c r="U3539" s="10"/>
      <c r="V3539" s="10"/>
      <c r="W3539" s="10"/>
      <c r="X3539" s="10"/>
      <c r="Y3539" s="10"/>
      <c r="Z3539" s="10"/>
      <c r="AA3539" s="11" t="str">
        <f t="shared" si="111"/>
        <v/>
      </c>
    </row>
    <row r="3540" spans="16:27" ht="15" customHeight="1">
      <c r="P3540" t="str">
        <f t="shared" si="110"/>
        <v/>
      </c>
      <c r="Q3540" t="str">
        <f>IF(P3540="","",IFERROR(IF(AND(H3540="W7",OR(F3540="causal",F3540="predictive")),IF(AND(OR(K3540=1,K3540="1"),OR(L3540=1,L3540="1"),OR(M3540=1,M3540="1")),"adequate","partial"),IF(AND(H3540="W4",F3540="predictive",OR(J3540="P2",J3540="P3",J3540="P4")),IF(OR(U3540=1,U3540="1"),"adequate","partial"),INDEX(Fit_Matrix!$B:$B,MATCH(P3540,Fit_Matrix!$A:$A,0)))),"CHECK KEY"))</f>
        <v/>
      </c>
      <c r="U3540" s="10"/>
      <c r="V3540" s="10"/>
      <c r="W3540" s="10"/>
      <c r="X3540" s="10"/>
      <c r="Y3540" s="10"/>
      <c r="Z3540" s="10"/>
      <c r="AA3540" s="11" t="str">
        <f t="shared" si="111"/>
        <v/>
      </c>
    </row>
    <row r="3541" spans="16:27" ht="15" customHeight="1">
      <c r="P3541" t="str">
        <f t="shared" si="110"/>
        <v/>
      </c>
      <c r="Q3541" t="str">
        <f>IF(P3541="","",IFERROR(IF(AND(H3541="W7",OR(F3541="causal",F3541="predictive")),IF(AND(OR(K3541=1,K3541="1"),OR(L3541=1,L3541="1"),OR(M3541=1,M3541="1")),"adequate","partial"),IF(AND(H3541="W4",F3541="predictive",OR(J3541="P2",J3541="P3",J3541="P4")),IF(OR(U3541=1,U3541="1"),"adequate","partial"),INDEX(Fit_Matrix!$B:$B,MATCH(P3541,Fit_Matrix!$A:$A,0)))),"CHECK KEY"))</f>
        <v/>
      </c>
      <c r="U3541" s="10"/>
      <c r="V3541" s="10"/>
      <c r="W3541" s="10"/>
      <c r="X3541" s="10"/>
      <c r="Y3541" s="10"/>
      <c r="Z3541" s="10"/>
      <c r="AA3541" s="11" t="str">
        <f t="shared" si="111"/>
        <v/>
      </c>
    </row>
    <row r="3542" spans="16:27" ht="15" customHeight="1">
      <c r="P3542" t="str">
        <f t="shared" si="110"/>
        <v/>
      </c>
      <c r="Q3542" t="str">
        <f>IF(P3542="","",IFERROR(IF(AND(H3542="W7",OR(F3542="causal",F3542="predictive")),IF(AND(OR(K3542=1,K3542="1"),OR(L3542=1,L3542="1"),OR(M3542=1,M3542="1")),"adequate","partial"),IF(AND(H3542="W4",F3542="predictive",OR(J3542="P2",J3542="P3",J3542="P4")),IF(OR(U3542=1,U3542="1"),"adequate","partial"),INDEX(Fit_Matrix!$B:$B,MATCH(P3542,Fit_Matrix!$A:$A,0)))),"CHECK KEY"))</f>
        <v/>
      </c>
      <c r="U3542" s="10"/>
      <c r="V3542" s="10"/>
      <c r="W3542" s="10"/>
      <c r="X3542" s="10"/>
      <c r="Y3542" s="10"/>
      <c r="Z3542" s="10"/>
      <c r="AA3542" s="11" t="str">
        <f t="shared" si="111"/>
        <v/>
      </c>
    </row>
    <row r="3543" spans="16:27" ht="15" customHeight="1">
      <c r="P3543" t="str">
        <f t="shared" si="110"/>
        <v/>
      </c>
      <c r="Q3543" t="str">
        <f>IF(P3543="","",IFERROR(IF(AND(H3543="W7",OR(F3543="causal",F3543="predictive")),IF(AND(OR(K3543=1,K3543="1"),OR(L3543=1,L3543="1"),OR(M3543=1,M3543="1")),"adequate","partial"),IF(AND(H3543="W4",F3543="predictive",OR(J3543="P2",J3543="P3",J3543="P4")),IF(OR(U3543=1,U3543="1"),"adequate","partial"),INDEX(Fit_Matrix!$B:$B,MATCH(P3543,Fit_Matrix!$A:$A,0)))),"CHECK KEY"))</f>
        <v/>
      </c>
      <c r="U3543" s="10"/>
      <c r="V3543" s="10"/>
      <c r="W3543" s="10"/>
      <c r="X3543" s="10"/>
      <c r="Y3543" s="10"/>
      <c r="Z3543" s="10"/>
      <c r="AA3543" s="11" t="str">
        <f t="shared" si="111"/>
        <v/>
      </c>
    </row>
    <row r="3544" spans="16:27" ht="15" customHeight="1">
      <c r="P3544" t="str">
        <f t="shared" si="110"/>
        <v/>
      </c>
      <c r="Q3544" t="str">
        <f>IF(P3544="","",IFERROR(IF(AND(H3544="W7",OR(F3544="causal",F3544="predictive")),IF(AND(OR(K3544=1,K3544="1"),OR(L3544=1,L3544="1"),OR(M3544=1,M3544="1")),"adequate","partial"),IF(AND(H3544="W4",F3544="predictive",OR(J3544="P2",J3544="P3",J3544="P4")),IF(OR(U3544=1,U3544="1"),"adequate","partial"),INDEX(Fit_Matrix!$B:$B,MATCH(P3544,Fit_Matrix!$A:$A,0)))),"CHECK KEY"))</f>
        <v/>
      </c>
      <c r="U3544" s="10"/>
      <c r="V3544" s="10"/>
      <c r="W3544" s="10"/>
      <c r="X3544" s="10"/>
      <c r="Y3544" s="10"/>
      <c r="Z3544" s="10"/>
      <c r="AA3544" s="11" t="str">
        <f t="shared" si="111"/>
        <v/>
      </c>
    </row>
    <row r="3545" spans="16:27" ht="15" customHeight="1">
      <c r="P3545" t="str">
        <f t="shared" si="110"/>
        <v/>
      </c>
      <c r="Q3545" t="str">
        <f>IF(P3545="","",IFERROR(IF(AND(H3545="W7",OR(F3545="causal",F3545="predictive")),IF(AND(OR(K3545=1,K3545="1"),OR(L3545=1,L3545="1"),OR(M3545=1,M3545="1")),"adequate","partial"),IF(AND(H3545="W4",F3545="predictive",OR(J3545="P2",J3545="P3",J3545="P4")),IF(OR(U3545=1,U3545="1"),"adequate","partial"),INDEX(Fit_Matrix!$B:$B,MATCH(P3545,Fit_Matrix!$A:$A,0)))),"CHECK KEY"))</f>
        <v/>
      </c>
      <c r="U3545" s="10"/>
      <c r="V3545" s="10"/>
      <c r="W3545" s="10"/>
      <c r="X3545" s="10"/>
      <c r="Y3545" s="10"/>
      <c r="Z3545" s="10"/>
      <c r="AA3545" s="11" t="str">
        <f t="shared" si="111"/>
        <v/>
      </c>
    </row>
    <row r="3546" spans="16:27" ht="15" customHeight="1">
      <c r="P3546" t="str">
        <f t="shared" si="110"/>
        <v/>
      </c>
      <c r="Q3546" t="str">
        <f>IF(P3546="","",IFERROR(IF(AND(H3546="W7",OR(F3546="causal",F3546="predictive")),IF(AND(OR(K3546=1,K3546="1"),OR(L3546=1,L3546="1"),OR(M3546=1,M3546="1")),"adequate","partial"),IF(AND(H3546="W4",F3546="predictive",OR(J3546="P2",J3546="P3",J3546="P4")),IF(OR(U3546=1,U3546="1"),"adequate","partial"),INDEX(Fit_Matrix!$B:$B,MATCH(P3546,Fit_Matrix!$A:$A,0)))),"CHECK KEY"))</f>
        <v/>
      </c>
      <c r="U3546" s="10"/>
      <c r="V3546" s="10"/>
      <c r="W3546" s="10"/>
      <c r="X3546" s="10"/>
      <c r="Y3546" s="10"/>
      <c r="Z3546" s="10"/>
      <c r="AA3546" s="11" t="str">
        <f t="shared" si="111"/>
        <v/>
      </c>
    </row>
    <row r="3547" spans="16:27" ht="15" customHeight="1">
      <c r="P3547" t="str">
        <f t="shared" si="110"/>
        <v/>
      </c>
      <c r="Q3547" t="str">
        <f>IF(P3547="","",IFERROR(IF(AND(H3547="W7",OR(F3547="causal",F3547="predictive")),IF(AND(OR(K3547=1,K3547="1"),OR(L3547=1,L3547="1"),OR(M3547=1,M3547="1")),"adequate","partial"),IF(AND(H3547="W4",F3547="predictive",OR(J3547="P2",J3547="P3",J3547="P4")),IF(OR(U3547=1,U3547="1"),"adequate","partial"),INDEX(Fit_Matrix!$B:$B,MATCH(P3547,Fit_Matrix!$A:$A,0)))),"CHECK KEY"))</f>
        <v/>
      </c>
      <c r="U3547" s="10"/>
      <c r="V3547" s="10"/>
      <c r="W3547" s="10"/>
      <c r="X3547" s="10"/>
      <c r="Y3547" s="10"/>
      <c r="Z3547" s="10"/>
      <c r="AA3547" s="11" t="str">
        <f t="shared" si="111"/>
        <v/>
      </c>
    </row>
    <row r="3548" spans="16:27" ht="15" customHeight="1">
      <c r="P3548" t="str">
        <f t="shared" si="110"/>
        <v/>
      </c>
      <c r="Q3548" t="str">
        <f>IF(P3548="","",IFERROR(IF(AND(H3548="W7",OR(F3548="causal",F3548="predictive")),IF(AND(OR(K3548=1,K3548="1"),OR(L3548=1,L3548="1"),OR(M3548=1,M3548="1")),"adequate","partial"),IF(AND(H3548="W4",F3548="predictive",OR(J3548="P2",J3548="P3",J3548="P4")),IF(OR(U3548=1,U3548="1"),"adequate","partial"),INDEX(Fit_Matrix!$B:$B,MATCH(P3548,Fit_Matrix!$A:$A,0)))),"CHECK KEY"))</f>
        <v/>
      </c>
      <c r="U3548" s="10"/>
      <c r="V3548" s="10"/>
      <c r="W3548" s="10"/>
      <c r="X3548" s="10"/>
      <c r="Y3548" s="10"/>
      <c r="Z3548" s="10"/>
      <c r="AA3548" s="11" t="str">
        <f t="shared" si="111"/>
        <v/>
      </c>
    </row>
    <row r="3549" spans="16:27" ht="15" customHeight="1">
      <c r="P3549" t="str">
        <f t="shared" si="110"/>
        <v/>
      </c>
      <c r="Q3549" t="str">
        <f>IF(P3549="","",IFERROR(IF(AND(H3549="W7",OR(F3549="causal",F3549="predictive")),IF(AND(OR(K3549=1,K3549="1"),OR(L3549=1,L3549="1"),OR(M3549=1,M3549="1")),"adequate","partial"),IF(AND(H3549="W4",F3549="predictive",OR(J3549="P2",J3549="P3",J3549="P4")),IF(OR(U3549=1,U3549="1"),"adequate","partial"),INDEX(Fit_Matrix!$B:$B,MATCH(P3549,Fit_Matrix!$A:$A,0)))),"CHECK KEY"))</f>
        <v/>
      </c>
      <c r="U3549" s="10"/>
      <c r="V3549" s="10"/>
      <c r="W3549" s="10"/>
      <c r="X3549" s="10"/>
      <c r="Y3549" s="10"/>
      <c r="Z3549" s="10"/>
      <c r="AA3549" s="11" t="str">
        <f t="shared" si="111"/>
        <v/>
      </c>
    </row>
    <row r="3550" spans="16:27" ht="15" customHeight="1">
      <c r="P3550" t="str">
        <f t="shared" si="110"/>
        <v/>
      </c>
      <c r="Q3550" t="str">
        <f>IF(P3550="","",IFERROR(IF(AND(H3550="W7",OR(F3550="causal",F3550="predictive")),IF(AND(OR(K3550=1,K3550="1"),OR(L3550=1,L3550="1"),OR(M3550=1,M3550="1")),"adequate","partial"),IF(AND(H3550="W4",F3550="predictive",OR(J3550="P2",J3550="P3",J3550="P4")),IF(OR(U3550=1,U3550="1"),"adequate","partial"),INDEX(Fit_Matrix!$B:$B,MATCH(P3550,Fit_Matrix!$A:$A,0)))),"CHECK KEY"))</f>
        <v/>
      </c>
      <c r="U3550" s="10"/>
      <c r="V3550" s="10"/>
      <c r="W3550" s="10"/>
      <c r="X3550" s="10"/>
      <c r="Y3550" s="10"/>
      <c r="Z3550" s="10"/>
      <c r="AA3550" s="11" t="str">
        <f t="shared" si="111"/>
        <v/>
      </c>
    </row>
    <row r="3551" spans="16:27" ht="15" customHeight="1">
      <c r="P3551" t="str">
        <f t="shared" si="110"/>
        <v/>
      </c>
      <c r="Q3551" t="str">
        <f>IF(P3551="","",IFERROR(IF(AND(H3551="W7",OR(F3551="causal",F3551="predictive")),IF(AND(OR(K3551=1,K3551="1"),OR(L3551=1,L3551="1"),OR(M3551=1,M3551="1")),"adequate","partial"),IF(AND(H3551="W4",F3551="predictive",OR(J3551="P2",J3551="P3",J3551="P4")),IF(OR(U3551=1,U3551="1"),"adequate","partial"),INDEX(Fit_Matrix!$B:$B,MATCH(P3551,Fit_Matrix!$A:$A,0)))),"CHECK KEY"))</f>
        <v/>
      </c>
      <c r="U3551" s="10"/>
      <c r="V3551" s="10"/>
      <c r="W3551" s="10"/>
      <c r="X3551" s="10"/>
      <c r="Y3551" s="10"/>
      <c r="Z3551" s="10"/>
      <c r="AA3551" s="11" t="str">
        <f t="shared" si="111"/>
        <v/>
      </c>
    </row>
    <row r="3552" spans="16:27" ht="15" customHeight="1">
      <c r="P3552" t="str">
        <f t="shared" si="110"/>
        <v/>
      </c>
      <c r="Q3552" t="str">
        <f>IF(P3552="","",IFERROR(IF(AND(H3552="W7",OR(F3552="causal",F3552="predictive")),IF(AND(OR(K3552=1,K3552="1"),OR(L3552=1,L3552="1"),OR(M3552=1,M3552="1")),"adequate","partial"),IF(AND(H3552="W4",F3552="predictive",OR(J3552="P2",J3552="P3",J3552="P4")),IF(OR(U3552=1,U3552="1"),"adequate","partial"),INDEX(Fit_Matrix!$B:$B,MATCH(P3552,Fit_Matrix!$A:$A,0)))),"CHECK KEY"))</f>
        <v/>
      </c>
      <c r="U3552" s="10"/>
      <c r="V3552" s="10"/>
      <c r="W3552" s="10"/>
      <c r="X3552" s="10"/>
      <c r="Y3552" s="10"/>
      <c r="Z3552" s="10"/>
      <c r="AA3552" s="11" t="str">
        <f t="shared" si="111"/>
        <v/>
      </c>
    </row>
    <row r="3553" spans="16:27" ht="15" customHeight="1">
      <c r="P3553" t="str">
        <f t="shared" si="110"/>
        <v/>
      </c>
      <c r="Q3553" t="str">
        <f>IF(P3553="","",IFERROR(IF(AND(H3553="W7",OR(F3553="causal",F3553="predictive")),IF(AND(OR(K3553=1,K3553="1"),OR(L3553=1,L3553="1"),OR(M3553=1,M3553="1")),"adequate","partial"),IF(AND(H3553="W4",F3553="predictive",OR(J3553="P2",J3553="P3",J3553="P4")),IF(OR(U3553=1,U3553="1"),"adequate","partial"),INDEX(Fit_Matrix!$B:$B,MATCH(P3553,Fit_Matrix!$A:$A,0)))),"CHECK KEY"))</f>
        <v/>
      </c>
      <c r="U3553" s="10"/>
      <c r="V3553" s="10"/>
      <c r="W3553" s="10"/>
      <c r="X3553" s="10"/>
      <c r="Y3553" s="10"/>
      <c r="Z3553" s="10"/>
      <c r="AA3553" s="11" t="str">
        <f t="shared" si="111"/>
        <v/>
      </c>
    </row>
    <row r="3554" spans="16:27" ht="15" customHeight="1">
      <c r="P3554" t="str">
        <f t="shared" si="110"/>
        <v/>
      </c>
      <c r="Q3554" t="str">
        <f>IF(P3554="","",IFERROR(IF(AND(H3554="W7",OR(F3554="causal",F3554="predictive")),IF(AND(OR(K3554=1,K3554="1"),OR(L3554=1,L3554="1"),OR(M3554=1,M3554="1")),"adequate","partial"),IF(AND(H3554="W4",F3554="predictive",OR(J3554="P2",J3554="P3",J3554="P4")),IF(OR(U3554=1,U3554="1"),"adequate","partial"),INDEX(Fit_Matrix!$B:$B,MATCH(P3554,Fit_Matrix!$A:$A,0)))),"CHECK KEY"))</f>
        <v/>
      </c>
      <c r="U3554" s="10"/>
      <c r="V3554" s="10"/>
      <c r="W3554" s="10"/>
      <c r="X3554" s="10"/>
      <c r="Y3554" s="10"/>
      <c r="Z3554" s="10"/>
      <c r="AA3554" s="11" t="str">
        <f t="shared" si="111"/>
        <v/>
      </c>
    </row>
    <row r="3555" spans="16:27" ht="15" customHeight="1">
      <c r="P3555" t="str">
        <f t="shared" si="110"/>
        <v/>
      </c>
      <c r="Q3555" t="str">
        <f>IF(P3555="","",IFERROR(IF(AND(H3555="W7",OR(F3555="causal",F3555="predictive")),IF(AND(OR(K3555=1,K3555="1"),OR(L3555=1,L3555="1"),OR(M3555=1,M3555="1")),"adequate","partial"),IF(AND(H3555="W4",F3555="predictive",OR(J3555="P2",J3555="P3",J3555="P4")),IF(OR(U3555=1,U3555="1"),"adequate","partial"),INDEX(Fit_Matrix!$B:$B,MATCH(P3555,Fit_Matrix!$A:$A,0)))),"CHECK KEY"))</f>
        <v/>
      </c>
      <c r="U3555" s="10"/>
      <c r="V3555" s="10"/>
      <c r="W3555" s="10"/>
      <c r="X3555" s="10"/>
      <c r="Y3555" s="10"/>
      <c r="Z3555" s="10"/>
      <c r="AA3555" s="11" t="str">
        <f t="shared" si="111"/>
        <v/>
      </c>
    </row>
    <row r="3556" spans="16:27" ht="15" customHeight="1">
      <c r="P3556" t="str">
        <f t="shared" si="110"/>
        <v/>
      </c>
      <c r="Q3556" t="str">
        <f>IF(P3556="","",IFERROR(IF(AND(H3556="W7",OR(F3556="causal",F3556="predictive")),IF(AND(OR(K3556=1,K3556="1"),OR(L3556=1,L3556="1"),OR(M3556=1,M3556="1")),"adequate","partial"),IF(AND(H3556="W4",F3556="predictive",OR(J3556="P2",J3556="P3",J3556="P4")),IF(OR(U3556=1,U3556="1"),"adequate","partial"),INDEX(Fit_Matrix!$B:$B,MATCH(P3556,Fit_Matrix!$A:$A,0)))),"CHECK KEY"))</f>
        <v/>
      </c>
      <c r="U3556" s="10"/>
      <c r="V3556" s="10"/>
      <c r="W3556" s="10"/>
      <c r="X3556" s="10"/>
      <c r="Y3556" s="10"/>
      <c r="Z3556" s="10"/>
      <c r="AA3556" s="11" t="str">
        <f t="shared" si="111"/>
        <v/>
      </c>
    </row>
    <row r="3557" spans="16:27" ht="15" customHeight="1">
      <c r="P3557" t="str">
        <f t="shared" si="110"/>
        <v/>
      </c>
      <c r="Q3557" t="str">
        <f>IF(P3557="","",IFERROR(IF(AND(H3557="W7",OR(F3557="causal",F3557="predictive")),IF(AND(OR(K3557=1,K3557="1"),OR(L3557=1,L3557="1"),OR(M3557=1,M3557="1")),"adequate","partial"),IF(AND(H3557="W4",F3557="predictive",OR(J3557="P2",J3557="P3",J3557="P4")),IF(OR(U3557=1,U3557="1"),"adequate","partial"),INDEX(Fit_Matrix!$B:$B,MATCH(P3557,Fit_Matrix!$A:$A,0)))),"CHECK KEY"))</f>
        <v/>
      </c>
      <c r="U3557" s="10"/>
      <c r="V3557" s="10"/>
      <c r="W3557" s="10"/>
      <c r="X3557" s="10"/>
      <c r="Y3557" s="10"/>
      <c r="Z3557" s="10"/>
      <c r="AA3557" s="11" t="str">
        <f t="shared" si="111"/>
        <v/>
      </c>
    </row>
    <row r="3558" spans="16:27" ht="15" customHeight="1">
      <c r="P3558" t="str">
        <f t="shared" si="110"/>
        <v/>
      </c>
      <c r="Q3558" t="str">
        <f>IF(P3558="","",IFERROR(IF(AND(H3558="W7",OR(F3558="causal",F3558="predictive")),IF(AND(OR(K3558=1,K3558="1"),OR(L3558=1,L3558="1"),OR(M3558=1,M3558="1")),"adequate","partial"),IF(AND(H3558="W4",F3558="predictive",OR(J3558="P2",J3558="P3",J3558="P4")),IF(OR(U3558=1,U3558="1"),"adequate","partial"),INDEX(Fit_Matrix!$B:$B,MATCH(P3558,Fit_Matrix!$A:$A,0)))),"CHECK KEY"))</f>
        <v/>
      </c>
      <c r="U3558" s="10"/>
      <c r="V3558" s="10"/>
      <c r="W3558" s="10"/>
      <c r="X3558" s="10"/>
      <c r="Y3558" s="10"/>
      <c r="Z3558" s="10"/>
      <c r="AA3558" s="11" t="str">
        <f t="shared" si="111"/>
        <v/>
      </c>
    </row>
    <row r="3559" spans="16:27" ht="15" customHeight="1">
      <c r="P3559" t="str">
        <f t="shared" si="110"/>
        <v/>
      </c>
      <c r="Q3559" t="str">
        <f>IF(P3559="","",IFERROR(IF(AND(H3559="W7",OR(F3559="causal",F3559="predictive")),IF(AND(OR(K3559=1,K3559="1"),OR(L3559=1,L3559="1"),OR(M3559=1,M3559="1")),"adequate","partial"),IF(AND(H3559="W4",F3559="predictive",OR(J3559="P2",J3559="P3",J3559="P4")),IF(OR(U3559=1,U3559="1"),"adequate","partial"),INDEX(Fit_Matrix!$B:$B,MATCH(P3559,Fit_Matrix!$A:$A,0)))),"CHECK KEY"))</f>
        <v/>
      </c>
      <c r="U3559" s="10"/>
      <c r="V3559" s="10"/>
      <c r="W3559" s="10"/>
      <c r="X3559" s="10"/>
      <c r="Y3559" s="10"/>
      <c r="Z3559" s="10"/>
      <c r="AA3559" s="11" t="str">
        <f t="shared" si="111"/>
        <v/>
      </c>
    </row>
    <row r="3560" spans="16:27" ht="15" customHeight="1">
      <c r="P3560" t="str">
        <f t="shared" si="110"/>
        <v/>
      </c>
      <c r="Q3560" t="str">
        <f>IF(P3560="","",IFERROR(IF(AND(H3560="W7",OR(F3560="causal",F3560="predictive")),IF(AND(OR(K3560=1,K3560="1"),OR(L3560=1,L3560="1"),OR(M3560=1,M3560="1")),"adequate","partial"),IF(AND(H3560="W4",F3560="predictive",OR(J3560="P2",J3560="P3",J3560="P4")),IF(OR(U3560=1,U3560="1"),"adequate","partial"),INDEX(Fit_Matrix!$B:$B,MATCH(P3560,Fit_Matrix!$A:$A,0)))),"CHECK KEY"))</f>
        <v/>
      </c>
      <c r="U3560" s="10"/>
      <c r="V3560" s="10"/>
      <c r="W3560" s="10"/>
      <c r="X3560" s="10"/>
      <c r="Y3560" s="10"/>
      <c r="Z3560" s="10"/>
      <c r="AA3560" s="11" t="str">
        <f t="shared" si="111"/>
        <v/>
      </c>
    </row>
    <row r="3561" spans="16:27" ht="15" customHeight="1">
      <c r="P3561" t="str">
        <f t="shared" si="110"/>
        <v/>
      </c>
      <c r="Q3561" t="str">
        <f>IF(P3561="","",IFERROR(IF(AND(H3561="W7",OR(F3561="causal",F3561="predictive")),IF(AND(OR(K3561=1,K3561="1"),OR(L3561=1,L3561="1"),OR(M3561=1,M3561="1")),"adequate","partial"),IF(AND(H3561="W4",F3561="predictive",OR(J3561="P2",J3561="P3",J3561="P4")),IF(OR(U3561=1,U3561="1"),"adequate","partial"),INDEX(Fit_Matrix!$B:$B,MATCH(P3561,Fit_Matrix!$A:$A,0)))),"CHECK KEY"))</f>
        <v/>
      </c>
      <c r="U3561" s="10"/>
      <c r="V3561" s="10"/>
      <c r="W3561" s="10"/>
      <c r="X3561" s="10"/>
      <c r="Y3561" s="10"/>
      <c r="Z3561" s="10"/>
      <c r="AA3561" s="11" t="str">
        <f t="shared" si="111"/>
        <v/>
      </c>
    </row>
    <row r="3562" spans="16:27" ht="15" customHeight="1">
      <c r="P3562" t="str">
        <f t="shared" si="110"/>
        <v/>
      </c>
      <c r="Q3562" t="str">
        <f>IF(P3562="","",IFERROR(IF(AND(H3562="W7",OR(F3562="causal",F3562="predictive")),IF(AND(OR(K3562=1,K3562="1"),OR(L3562=1,L3562="1"),OR(M3562=1,M3562="1")),"adequate","partial"),IF(AND(H3562="W4",F3562="predictive",OR(J3562="P2",J3562="P3",J3562="P4")),IF(OR(U3562=1,U3562="1"),"adequate","partial"),INDEX(Fit_Matrix!$B:$B,MATCH(P3562,Fit_Matrix!$A:$A,0)))),"CHECK KEY"))</f>
        <v/>
      </c>
      <c r="U3562" s="10"/>
      <c r="V3562" s="10"/>
      <c r="W3562" s="10"/>
      <c r="X3562" s="10"/>
      <c r="Y3562" s="10"/>
      <c r="Z3562" s="10"/>
      <c r="AA3562" s="11" t="str">
        <f t="shared" si="111"/>
        <v/>
      </c>
    </row>
    <row r="3563" spans="16:27" ht="15" customHeight="1">
      <c r="P3563" t="str">
        <f t="shared" si="110"/>
        <v/>
      </c>
      <c r="Q3563" t="str">
        <f>IF(P3563="","",IFERROR(IF(AND(H3563="W7",OR(F3563="causal",F3563="predictive")),IF(AND(OR(K3563=1,K3563="1"),OR(L3563=1,L3563="1"),OR(M3563=1,M3563="1")),"adequate","partial"),IF(AND(H3563="W4",F3563="predictive",OR(J3563="P2",J3563="P3",J3563="P4")),IF(OR(U3563=1,U3563="1"),"adequate","partial"),INDEX(Fit_Matrix!$B:$B,MATCH(P3563,Fit_Matrix!$A:$A,0)))),"CHECK KEY"))</f>
        <v/>
      </c>
      <c r="U3563" s="10"/>
      <c r="V3563" s="10"/>
      <c r="W3563" s="10"/>
      <c r="X3563" s="10"/>
      <c r="Y3563" s="10"/>
      <c r="Z3563" s="10"/>
      <c r="AA3563" s="11" t="str">
        <f t="shared" si="111"/>
        <v/>
      </c>
    </row>
    <row r="3564" spans="16:27" ht="15" customHeight="1">
      <c r="P3564" t="str">
        <f t="shared" si="110"/>
        <v/>
      </c>
      <c r="Q3564" t="str">
        <f>IF(P3564="","",IFERROR(IF(AND(H3564="W7",OR(F3564="causal",F3564="predictive")),IF(AND(OR(K3564=1,K3564="1"),OR(L3564=1,L3564="1"),OR(M3564=1,M3564="1")),"adequate","partial"),IF(AND(H3564="W4",F3564="predictive",OR(J3564="P2",J3564="P3",J3564="P4")),IF(OR(U3564=1,U3564="1"),"adequate","partial"),INDEX(Fit_Matrix!$B:$B,MATCH(P3564,Fit_Matrix!$A:$A,0)))),"CHECK KEY"))</f>
        <v/>
      </c>
      <c r="U3564" s="10"/>
      <c r="V3564" s="10"/>
      <c r="W3564" s="10"/>
      <c r="X3564" s="10"/>
      <c r="Y3564" s="10"/>
      <c r="Z3564" s="10"/>
      <c r="AA3564" s="11" t="str">
        <f t="shared" si="111"/>
        <v/>
      </c>
    </row>
    <row r="3565" spans="16:27" ht="15" customHeight="1">
      <c r="P3565" t="str">
        <f t="shared" si="110"/>
        <v/>
      </c>
      <c r="Q3565" t="str">
        <f>IF(P3565="","",IFERROR(IF(AND(H3565="W7",OR(F3565="causal",F3565="predictive")),IF(AND(OR(K3565=1,K3565="1"),OR(L3565=1,L3565="1"),OR(M3565=1,M3565="1")),"adequate","partial"),IF(AND(H3565="W4",F3565="predictive",OR(J3565="P2",J3565="P3",J3565="P4")),IF(OR(U3565=1,U3565="1"),"adequate","partial"),INDEX(Fit_Matrix!$B:$B,MATCH(P3565,Fit_Matrix!$A:$A,0)))),"CHECK KEY"))</f>
        <v/>
      </c>
      <c r="U3565" s="10"/>
      <c r="V3565" s="10"/>
      <c r="W3565" s="10"/>
      <c r="X3565" s="10"/>
      <c r="Y3565" s="10"/>
      <c r="Z3565" s="10"/>
      <c r="AA3565" s="11" t="str">
        <f t="shared" si="111"/>
        <v/>
      </c>
    </row>
    <row r="3566" spans="16:27" ht="15" customHeight="1">
      <c r="P3566" t="str">
        <f t="shared" si="110"/>
        <v/>
      </c>
      <c r="Q3566" t="str">
        <f>IF(P3566="","",IFERROR(IF(AND(H3566="W7",OR(F3566="causal",F3566="predictive")),IF(AND(OR(K3566=1,K3566="1"),OR(L3566=1,L3566="1"),OR(M3566=1,M3566="1")),"adequate","partial"),IF(AND(H3566="W4",F3566="predictive",OR(J3566="P2",J3566="P3",J3566="P4")),IF(OR(U3566=1,U3566="1"),"adequate","partial"),INDEX(Fit_Matrix!$B:$B,MATCH(P3566,Fit_Matrix!$A:$A,0)))),"CHECK KEY"))</f>
        <v/>
      </c>
      <c r="U3566" s="10"/>
      <c r="V3566" s="10"/>
      <c r="W3566" s="10"/>
      <c r="X3566" s="10"/>
      <c r="Y3566" s="10"/>
      <c r="Z3566" s="10"/>
      <c r="AA3566" s="11" t="str">
        <f t="shared" si="111"/>
        <v/>
      </c>
    </row>
    <row r="3567" spans="16:27" ht="15" customHeight="1">
      <c r="P3567" t="str">
        <f t="shared" si="110"/>
        <v/>
      </c>
      <c r="Q3567" t="str">
        <f>IF(P3567="","",IFERROR(IF(AND(H3567="W7",OR(F3567="causal",F3567="predictive")),IF(AND(OR(K3567=1,K3567="1"),OR(L3567=1,L3567="1"),OR(M3567=1,M3567="1")),"adequate","partial"),IF(AND(H3567="W4",F3567="predictive",OR(J3567="P2",J3567="P3",J3567="P4")),IF(OR(U3567=1,U3567="1"),"adequate","partial"),INDEX(Fit_Matrix!$B:$B,MATCH(P3567,Fit_Matrix!$A:$A,0)))),"CHECK KEY"))</f>
        <v/>
      </c>
      <c r="U3567" s="10"/>
      <c r="V3567" s="10"/>
      <c r="W3567" s="10"/>
      <c r="X3567" s="10"/>
      <c r="Y3567" s="10"/>
      <c r="Z3567" s="10"/>
      <c r="AA3567" s="11" t="str">
        <f t="shared" si="111"/>
        <v/>
      </c>
    </row>
    <row r="3568" spans="16:27" ht="15" customHeight="1">
      <c r="P3568" t="str">
        <f t="shared" si="110"/>
        <v/>
      </c>
      <c r="Q3568" t="str">
        <f>IF(P3568="","",IFERROR(IF(AND(H3568="W7",OR(F3568="causal",F3568="predictive")),IF(AND(OR(K3568=1,K3568="1"),OR(L3568=1,L3568="1"),OR(M3568=1,M3568="1")),"adequate","partial"),IF(AND(H3568="W4",F3568="predictive",OR(J3568="P2",J3568="P3",J3568="P4")),IF(OR(U3568=1,U3568="1"),"adequate","partial"),INDEX(Fit_Matrix!$B:$B,MATCH(P3568,Fit_Matrix!$A:$A,0)))),"CHECK KEY"))</f>
        <v/>
      </c>
      <c r="U3568" s="10"/>
      <c r="V3568" s="10"/>
      <c r="W3568" s="10"/>
      <c r="X3568" s="10"/>
      <c r="Y3568" s="10"/>
      <c r="Z3568" s="10"/>
      <c r="AA3568" s="11" t="str">
        <f t="shared" si="111"/>
        <v/>
      </c>
    </row>
    <row r="3569" spans="16:27" ht="15" customHeight="1">
      <c r="P3569" t="str">
        <f t="shared" si="110"/>
        <v/>
      </c>
      <c r="Q3569" t="str">
        <f>IF(P3569="","",IFERROR(IF(AND(H3569="W7",OR(F3569="causal",F3569="predictive")),IF(AND(OR(K3569=1,K3569="1"),OR(L3569=1,L3569="1"),OR(M3569=1,M3569="1")),"adequate","partial"),IF(AND(H3569="W4",F3569="predictive",OR(J3569="P2",J3569="P3",J3569="P4")),IF(OR(U3569=1,U3569="1"),"adequate","partial"),INDEX(Fit_Matrix!$B:$B,MATCH(P3569,Fit_Matrix!$A:$A,0)))),"CHECK KEY"))</f>
        <v/>
      </c>
      <c r="U3569" s="10"/>
      <c r="V3569" s="10"/>
      <c r="W3569" s="10"/>
      <c r="X3569" s="10"/>
      <c r="Y3569" s="10"/>
      <c r="Z3569" s="10"/>
      <c r="AA3569" s="11" t="str">
        <f t="shared" si="111"/>
        <v/>
      </c>
    </row>
    <row r="3570" spans="16:27" ht="15" customHeight="1">
      <c r="P3570" t="str">
        <f t="shared" si="110"/>
        <v/>
      </c>
      <c r="Q3570" t="str">
        <f>IF(P3570="","",IFERROR(IF(AND(H3570="W7",OR(F3570="causal",F3570="predictive")),IF(AND(OR(K3570=1,K3570="1"),OR(L3570=1,L3570="1"),OR(M3570=1,M3570="1")),"adequate","partial"),IF(AND(H3570="W4",F3570="predictive",OR(J3570="P2",J3570="P3",J3570="P4")),IF(OR(U3570=1,U3570="1"),"adequate","partial"),INDEX(Fit_Matrix!$B:$B,MATCH(P3570,Fit_Matrix!$A:$A,0)))),"CHECK KEY"))</f>
        <v/>
      </c>
      <c r="U3570" s="10"/>
      <c r="V3570" s="10"/>
      <c r="W3570" s="10"/>
      <c r="X3570" s="10"/>
      <c r="Y3570" s="10"/>
      <c r="Z3570" s="10"/>
      <c r="AA3570" s="11" t="str">
        <f t="shared" si="111"/>
        <v/>
      </c>
    </row>
    <row r="3571" spans="16:27" ht="15" customHeight="1">
      <c r="P3571" t="str">
        <f t="shared" si="110"/>
        <v/>
      </c>
      <c r="Q3571" t="str">
        <f>IF(P3571="","",IFERROR(IF(AND(H3571="W7",OR(F3571="causal",F3571="predictive")),IF(AND(OR(K3571=1,K3571="1"),OR(L3571=1,L3571="1"),OR(M3571=1,M3571="1")),"adequate","partial"),IF(AND(H3571="W4",F3571="predictive",OR(J3571="P2",J3571="P3",J3571="P4")),IF(OR(U3571=1,U3571="1"),"adequate","partial"),INDEX(Fit_Matrix!$B:$B,MATCH(P3571,Fit_Matrix!$A:$A,0)))),"CHECK KEY"))</f>
        <v/>
      </c>
      <c r="U3571" s="10"/>
      <c r="V3571" s="10"/>
      <c r="W3571" s="10"/>
      <c r="X3571" s="10"/>
      <c r="Y3571" s="10"/>
      <c r="Z3571" s="10"/>
      <c r="AA3571" s="11" t="str">
        <f t="shared" si="111"/>
        <v/>
      </c>
    </row>
    <row r="3572" spans="16:27" ht="15" customHeight="1">
      <c r="P3572" t="str">
        <f t="shared" si="110"/>
        <v/>
      </c>
      <c r="Q3572" t="str">
        <f>IF(P3572="","",IFERROR(IF(AND(H3572="W7",OR(F3572="causal",F3572="predictive")),IF(AND(OR(K3572=1,K3572="1"),OR(L3572=1,L3572="1"),OR(M3572=1,M3572="1")),"adequate","partial"),IF(AND(H3572="W4",F3572="predictive",OR(J3572="P2",J3572="P3",J3572="P4")),IF(OR(U3572=1,U3572="1"),"adequate","partial"),INDEX(Fit_Matrix!$B:$B,MATCH(P3572,Fit_Matrix!$A:$A,0)))),"CHECK KEY"))</f>
        <v/>
      </c>
      <c r="U3572" s="10"/>
      <c r="V3572" s="10"/>
      <c r="W3572" s="10"/>
      <c r="X3572" s="10"/>
      <c r="Y3572" s="10"/>
      <c r="Z3572" s="10"/>
      <c r="AA3572" s="11" t="str">
        <f t="shared" si="111"/>
        <v/>
      </c>
    </row>
    <row r="3573" spans="16:27" ht="15" customHeight="1">
      <c r="P3573" t="str">
        <f t="shared" si="110"/>
        <v/>
      </c>
      <c r="Q3573" t="str">
        <f>IF(P3573="","",IFERROR(IF(AND(H3573="W7",OR(F3573="causal",F3573="predictive")),IF(AND(OR(K3573=1,K3573="1"),OR(L3573=1,L3573="1"),OR(M3573=1,M3573="1")),"adequate","partial"),IF(AND(H3573="W4",F3573="predictive",OR(J3573="P2",J3573="P3",J3573="P4")),IF(OR(U3573=1,U3573="1"),"adequate","partial"),INDEX(Fit_Matrix!$B:$B,MATCH(P3573,Fit_Matrix!$A:$A,0)))),"CHECK KEY"))</f>
        <v/>
      </c>
      <c r="U3573" s="10"/>
      <c r="V3573" s="10"/>
      <c r="W3573" s="10"/>
      <c r="X3573" s="10"/>
      <c r="Y3573" s="10"/>
      <c r="Z3573" s="10"/>
      <c r="AA3573" s="11" t="str">
        <f t="shared" si="111"/>
        <v/>
      </c>
    </row>
    <row r="3574" spans="16:27" ht="15" customHeight="1">
      <c r="P3574" t="str">
        <f t="shared" si="110"/>
        <v/>
      </c>
      <c r="Q3574" t="str">
        <f>IF(P3574="","",IFERROR(IF(AND(H3574="W7",OR(F3574="causal",F3574="predictive")),IF(AND(OR(K3574=1,K3574="1"),OR(L3574=1,L3574="1"),OR(M3574=1,M3574="1")),"adequate","partial"),IF(AND(H3574="W4",F3574="predictive",OR(J3574="P2",J3574="P3",J3574="P4")),IF(OR(U3574=1,U3574="1"),"adequate","partial"),INDEX(Fit_Matrix!$B:$B,MATCH(P3574,Fit_Matrix!$A:$A,0)))),"CHECK KEY"))</f>
        <v/>
      </c>
      <c r="U3574" s="10"/>
      <c r="V3574" s="10"/>
      <c r="W3574" s="10"/>
      <c r="X3574" s="10"/>
      <c r="Y3574" s="10"/>
      <c r="Z3574" s="10"/>
      <c r="AA3574" s="11" t="str">
        <f t="shared" si="111"/>
        <v/>
      </c>
    </row>
    <row r="3575" spans="16:27" ht="15" customHeight="1">
      <c r="P3575" t="str">
        <f t="shared" si="110"/>
        <v/>
      </c>
      <c r="Q3575" t="str">
        <f>IF(P3575="","",IFERROR(IF(AND(H3575="W7",OR(F3575="causal",F3575="predictive")),IF(AND(OR(K3575=1,K3575="1"),OR(L3575=1,L3575="1"),OR(M3575=1,M3575="1")),"adequate","partial"),IF(AND(H3575="W4",F3575="predictive",OR(J3575="P2",J3575="P3",J3575="P4")),IF(OR(U3575=1,U3575="1"),"adequate","partial"),INDEX(Fit_Matrix!$B:$B,MATCH(P3575,Fit_Matrix!$A:$A,0)))),"CHECK KEY"))</f>
        <v/>
      </c>
      <c r="U3575" s="10"/>
      <c r="V3575" s="10"/>
      <c r="W3575" s="10"/>
      <c r="X3575" s="10"/>
      <c r="Y3575" s="10"/>
      <c r="Z3575" s="10"/>
      <c r="AA3575" s="11" t="str">
        <f t="shared" si="111"/>
        <v/>
      </c>
    </row>
    <row r="3576" spans="16:27" ht="15" customHeight="1">
      <c r="P3576" t="str">
        <f t="shared" si="110"/>
        <v/>
      </c>
      <c r="Q3576" t="str">
        <f>IF(P3576="","",IFERROR(IF(AND(H3576="W7",OR(F3576="causal",F3576="predictive")),IF(AND(OR(K3576=1,K3576="1"),OR(L3576=1,L3576="1"),OR(M3576=1,M3576="1")),"adequate","partial"),IF(AND(H3576="W4",F3576="predictive",OR(J3576="P2",J3576="P3",J3576="P4")),IF(OR(U3576=1,U3576="1"),"adequate","partial"),INDEX(Fit_Matrix!$B:$B,MATCH(P3576,Fit_Matrix!$A:$A,0)))),"CHECK KEY"))</f>
        <v/>
      </c>
      <c r="U3576" s="10"/>
      <c r="V3576" s="10"/>
      <c r="W3576" s="10"/>
      <c r="X3576" s="10"/>
      <c r="Y3576" s="10"/>
      <c r="Z3576" s="10"/>
      <c r="AA3576" s="11" t="str">
        <f t="shared" si="111"/>
        <v/>
      </c>
    </row>
    <row r="3577" spans="16:27" ht="15" customHeight="1">
      <c r="P3577" t="str">
        <f t="shared" si="110"/>
        <v/>
      </c>
      <c r="Q3577" t="str">
        <f>IF(P3577="","",IFERROR(IF(AND(H3577="W7",OR(F3577="causal",F3577="predictive")),IF(AND(OR(K3577=1,K3577="1"),OR(L3577=1,L3577="1"),OR(M3577=1,M3577="1")),"adequate","partial"),IF(AND(H3577="W4",F3577="predictive",OR(J3577="P2",J3577="P3",J3577="P4")),IF(OR(U3577=1,U3577="1"),"adequate","partial"),INDEX(Fit_Matrix!$B:$B,MATCH(P3577,Fit_Matrix!$A:$A,0)))),"CHECK KEY"))</f>
        <v/>
      </c>
      <c r="U3577" s="10"/>
      <c r="V3577" s="10"/>
      <c r="W3577" s="10"/>
      <c r="X3577" s="10"/>
      <c r="Y3577" s="10"/>
      <c r="Z3577" s="10"/>
      <c r="AA3577" s="11" t="str">
        <f t="shared" si="111"/>
        <v/>
      </c>
    </row>
    <row r="3578" spans="16:27" ht="15" customHeight="1">
      <c r="P3578" t="str">
        <f t="shared" si="110"/>
        <v/>
      </c>
      <c r="Q3578" t="str">
        <f>IF(P3578="","",IFERROR(IF(AND(H3578="W7",OR(F3578="causal",F3578="predictive")),IF(AND(OR(K3578=1,K3578="1"),OR(L3578=1,L3578="1"),OR(M3578=1,M3578="1")),"adequate","partial"),IF(AND(H3578="W4",F3578="predictive",OR(J3578="P2",J3578="P3",J3578="P4")),IF(OR(U3578=1,U3578="1"),"adequate","partial"),INDEX(Fit_Matrix!$B:$B,MATCH(P3578,Fit_Matrix!$A:$A,0)))),"CHECK KEY"))</f>
        <v/>
      </c>
      <c r="U3578" s="10"/>
      <c r="V3578" s="10"/>
      <c r="W3578" s="10"/>
      <c r="X3578" s="10"/>
      <c r="Y3578" s="10"/>
      <c r="Z3578" s="10"/>
      <c r="AA3578" s="11" t="str">
        <f t="shared" si="111"/>
        <v/>
      </c>
    </row>
    <row r="3579" spans="16:27" ht="15" customHeight="1">
      <c r="P3579" t="str">
        <f t="shared" si="110"/>
        <v/>
      </c>
      <c r="Q3579" t="str">
        <f>IF(P3579="","",IFERROR(IF(AND(H3579="W7",OR(F3579="causal",F3579="predictive")),IF(AND(OR(K3579=1,K3579="1"),OR(L3579=1,L3579="1"),OR(M3579=1,M3579="1")),"adequate","partial"),IF(AND(H3579="W4",F3579="predictive",OR(J3579="P2",J3579="P3",J3579="P4")),IF(OR(U3579=1,U3579="1"),"adequate","partial"),INDEX(Fit_Matrix!$B:$B,MATCH(P3579,Fit_Matrix!$A:$A,0)))),"CHECK KEY"))</f>
        <v/>
      </c>
      <c r="U3579" s="10"/>
      <c r="V3579" s="10"/>
      <c r="W3579" s="10"/>
      <c r="X3579" s="10"/>
      <c r="Y3579" s="10"/>
      <c r="Z3579" s="10"/>
      <c r="AA3579" s="11" t="str">
        <f t="shared" si="111"/>
        <v/>
      </c>
    </row>
    <row r="3580" spans="16:27" ht="15" customHeight="1">
      <c r="P3580" t="str">
        <f t="shared" si="110"/>
        <v/>
      </c>
      <c r="Q3580" t="str">
        <f>IF(P3580="","",IFERROR(IF(AND(H3580="W7",OR(F3580="causal",F3580="predictive")),IF(AND(OR(K3580=1,K3580="1"),OR(L3580=1,L3580="1"),OR(M3580=1,M3580="1")),"adequate","partial"),IF(AND(H3580="W4",F3580="predictive",OR(J3580="P2",J3580="P3",J3580="P4")),IF(OR(U3580=1,U3580="1"),"adequate","partial"),INDEX(Fit_Matrix!$B:$B,MATCH(P3580,Fit_Matrix!$A:$A,0)))),"CHECK KEY"))</f>
        <v/>
      </c>
      <c r="U3580" s="10"/>
      <c r="V3580" s="10"/>
      <c r="W3580" s="10"/>
      <c r="X3580" s="10"/>
      <c r="Y3580" s="10"/>
      <c r="Z3580" s="10"/>
      <c r="AA3580" s="11" t="str">
        <f t="shared" si="111"/>
        <v/>
      </c>
    </row>
    <row r="3581" spans="16:27" ht="15" customHeight="1">
      <c r="P3581" t="str">
        <f t="shared" si="110"/>
        <v/>
      </c>
      <c r="Q3581" t="str">
        <f>IF(P3581="","",IFERROR(IF(AND(H3581="W7",OR(F3581="causal",F3581="predictive")),IF(AND(OR(K3581=1,K3581="1"),OR(L3581=1,L3581="1"),OR(M3581=1,M3581="1")),"adequate","partial"),IF(AND(H3581="W4",F3581="predictive",OR(J3581="P2",J3581="P3",J3581="P4")),IF(OR(U3581=1,U3581="1"),"adequate","partial"),INDEX(Fit_Matrix!$B:$B,MATCH(P3581,Fit_Matrix!$A:$A,0)))),"CHECK KEY"))</f>
        <v/>
      </c>
      <c r="U3581" s="10"/>
      <c r="V3581" s="10"/>
      <c r="W3581" s="10"/>
      <c r="X3581" s="10"/>
      <c r="Y3581" s="10"/>
      <c r="Z3581" s="10"/>
      <c r="AA3581" s="11" t="str">
        <f t="shared" si="111"/>
        <v/>
      </c>
    </row>
    <row r="3582" spans="16:27" ht="15" customHeight="1">
      <c r="P3582" t="str">
        <f t="shared" si="110"/>
        <v/>
      </c>
      <c r="Q3582" t="str">
        <f>IF(P3582="","",IFERROR(IF(AND(H3582="W7",OR(F3582="causal",F3582="predictive")),IF(AND(OR(K3582=1,K3582="1"),OR(L3582=1,L3582="1"),OR(M3582=1,M3582="1")),"adequate","partial"),IF(AND(H3582="W4",F3582="predictive",OR(J3582="P2",J3582="P3",J3582="P4")),IF(OR(U3582=1,U3582="1"),"adequate","partial"),INDEX(Fit_Matrix!$B:$B,MATCH(P3582,Fit_Matrix!$A:$A,0)))),"CHECK KEY"))</f>
        <v/>
      </c>
      <c r="U3582" s="10"/>
      <c r="V3582" s="10"/>
      <c r="W3582" s="10"/>
      <c r="X3582" s="10"/>
      <c r="Y3582" s="10"/>
      <c r="Z3582" s="10"/>
      <c r="AA3582" s="11" t="str">
        <f t="shared" si="111"/>
        <v/>
      </c>
    </row>
    <row r="3583" spans="16:27" ht="15" customHeight="1">
      <c r="P3583" t="str">
        <f t="shared" si="110"/>
        <v/>
      </c>
      <c r="Q3583" t="str">
        <f>IF(P3583="","",IFERROR(IF(AND(H3583="W7",OR(F3583="causal",F3583="predictive")),IF(AND(OR(K3583=1,K3583="1"),OR(L3583=1,L3583="1"),OR(M3583=1,M3583="1")),"adequate","partial"),IF(AND(H3583="W4",F3583="predictive",OR(J3583="P2",J3583="P3",J3583="P4")),IF(OR(U3583=1,U3583="1"),"adequate","partial"),INDEX(Fit_Matrix!$B:$B,MATCH(P3583,Fit_Matrix!$A:$A,0)))),"CHECK KEY"))</f>
        <v/>
      </c>
      <c r="U3583" s="10"/>
      <c r="V3583" s="10"/>
      <c r="W3583" s="10"/>
      <c r="X3583" s="10"/>
      <c r="Y3583" s="10"/>
      <c r="Z3583" s="10"/>
      <c r="AA3583" s="11" t="str">
        <f t="shared" si="111"/>
        <v/>
      </c>
    </row>
    <row r="3584" spans="16:27" ht="15" customHeight="1">
      <c r="P3584" t="str">
        <f t="shared" si="110"/>
        <v/>
      </c>
      <c r="Q3584" t="str">
        <f>IF(P3584="","",IFERROR(IF(AND(H3584="W7",OR(F3584="causal",F3584="predictive")),IF(AND(OR(K3584=1,K3584="1"),OR(L3584=1,L3584="1"),OR(M3584=1,M3584="1")),"adequate","partial"),IF(AND(H3584="W4",F3584="predictive",OR(J3584="P2",J3584="P3",J3584="P4")),IF(OR(U3584=1,U3584="1"),"adequate","partial"),INDEX(Fit_Matrix!$B:$B,MATCH(P3584,Fit_Matrix!$A:$A,0)))),"CHECK KEY"))</f>
        <v/>
      </c>
      <c r="U3584" s="10"/>
      <c r="V3584" s="10"/>
      <c r="W3584" s="10"/>
      <c r="X3584" s="10"/>
      <c r="Y3584" s="10"/>
      <c r="Z3584" s="10"/>
      <c r="AA3584" s="11" t="str">
        <f t="shared" si="111"/>
        <v/>
      </c>
    </row>
    <row r="3585" spans="16:27" ht="15" customHeight="1">
      <c r="P3585" t="str">
        <f t="shared" si="110"/>
        <v/>
      </c>
      <c r="Q3585" t="str">
        <f>IF(P3585="","",IFERROR(IF(AND(H3585="W7",OR(F3585="causal",F3585="predictive")),IF(AND(OR(K3585=1,K3585="1"),OR(L3585=1,L3585="1"),OR(M3585=1,M3585="1")),"adequate","partial"),IF(AND(H3585="W4",F3585="predictive",OR(J3585="P2",J3585="P3",J3585="P4")),IF(OR(U3585=1,U3585="1"),"adequate","partial"),INDEX(Fit_Matrix!$B:$B,MATCH(P3585,Fit_Matrix!$A:$A,0)))),"CHECK KEY"))</f>
        <v/>
      </c>
      <c r="U3585" s="10"/>
      <c r="V3585" s="10"/>
      <c r="W3585" s="10"/>
      <c r="X3585" s="10"/>
      <c r="Y3585" s="10"/>
      <c r="Z3585" s="10"/>
      <c r="AA3585" s="11" t="str">
        <f t="shared" si="111"/>
        <v/>
      </c>
    </row>
    <row r="3586" spans="16:27" ht="15" customHeight="1">
      <c r="P3586" t="str">
        <f t="shared" ref="P3586:P3649" si="112">IF(OR(F3586="",H3586="",J3586=""),"",J3586&amp;"|"&amp;F3586&amp;"|"&amp;IF(H3586="W3","W3_"&amp;IF(I3586="","unknown",I3586),H3586))</f>
        <v/>
      </c>
      <c r="Q3586" t="str">
        <f>IF(P3586="","",IFERROR(IF(AND(H3586="W7",OR(F3586="causal",F3586="predictive")),IF(AND(OR(K3586=1,K3586="1"),OR(L3586=1,L3586="1"),OR(M3586=1,M3586="1")),"adequate","partial"),IF(AND(H3586="W4",F3586="predictive",OR(J3586="P2",J3586="P3",J3586="P4")),IF(OR(U3586=1,U3586="1"),"adequate","partial"),INDEX(Fit_Matrix!$B:$B,MATCH(P3586,Fit_Matrix!$A:$A,0)))),"CHECK KEY"))</f>
        <v/>
      </c>
      <c r="U3586" s="10"/>
      <c r="V3586" s="10"/>
      <c r="W3586" s="10"/>
      <c r="X3586" s="10"/>
      <c r="Y3586" s="10"/>
      <c r="Z3586" s="10"/>
      <c r="AA3586" s="11" t="str">
        <f t="shared" ref="AA3586:AA3649" si="113">IF(A3586="","",IF(AND(J3586="P4",F3586="causal"),"P4-CAUSAL",""))</f>
        <v/>
      </c>
    </row>
    <row r="3587" spans="16:27" ht="15" customHeight="1">
      <c r="P3587" t="str">
        <f t="shared" si="112"/>
        <v/>
      </c>
      <c r="Q3587" t="str">
        <f>IF(P3587="","",IFERROR(IF(AND(H3587="W7",OR(F3587="causal",F3587="predictive")),IF(AND(OR(K3587=1,K3587="1"),OR(L3587=1,L3587="1"),OR(M3587=1,M3587="1")),"adequate","partial"),IF(AND(H3587="W4",F3587="predictive",OR(J3587="P2",J3587="P3",J3587="P4")),IF(OR(U3587=1,U3587="1"),"adequate","partial"),INDEX(Fit_Matrix!$B:$B,MATCH(P3587,Fit_Matrix!$A:$A,0)))),"CHECK KEY"))</f>
        <v/>
      </c>
      <c r="U3587" s="10"/>
      <c r="V3587" s="10"/>
      <c r="W3587" s="10"/>
      <c r="X3587" s="10"/>
      <c r="Y3587" s="10"/>
      <c r="Z3587" s="10"/>
      <c r="AA3587" s="11" t="str">
        <f t="shared" si="113"/>
        <v/>
      </c>
    </row>
    <row r="3588" spans="16:27" ht="15" customHeight="1">
      <c r="P3588" t="str">
        <f t="shared" si="112"/>
        <v/>
      </c>
      <c r="Q3588" t="str">
        <f>IF(P3588="","",IFERROR(IF(AND(H3588="W7",OR(F3588="causal",F3588="predictive")),IF(AND(OR(K3588=1,K3588="1"),OR(L3588=1,L3588="1"),OR(M3588=1,M3588="1")),"adequate","partial"),IF(AND(H3588="W4",F3588="predictive",OR(J3588="P2",J3588="P3",J3588="P4")),IF(OR(U3588=1,U3588="1"),"adequate","partial"),INDEX(Fit_Matrix!$B:$B,MATCH(P3588,Fit_Matrix!$A:$A,0)))),"CHECK KEY"))</f>
        <v/>
      </c>
      <c r="U3588" s="10"/>
      <c r="V3588" s="10"/>
      <c r="W3588" s="10"/>
      <c r="X3588" s="10"/>
      <c r="Y3588" s="10"/>
      <c r="Z3588" s="10"/>
      <c r="AA3588" s="11" t="str">
        <f t="shared" si="113"/>
        <v/>
      </c>
    </row>
    <row r="3589" spans="16:27" ht="15" customHeight="1">
      <c r="P3589" t="str">
        <f t="shared" si="112"/>
        <v/>
      </c>
      <c r="Q3589" t="str">
        <f>IF(P3589="","",IFERROR(IF(AND(H3589="W7",OR(F3589="causal",F3589="predictive")),IF(AND(OR(K3589=1,K3589="1"),OR(L3589=1,L3589="1"),OR(M3589=1,M3589="1")),"adequate","partial"),IF(AND(H3589="W4",F3589="predictive",OR(J3589="P2",J3589="P3",J3589="P4")),IF(OR(U3589=1,U3589="1"),"adequate","partial"),INDEX(Fit_Matrix!$B:$B,MATCH(P3589,Fit_Matrix!$A:$A,0)))),"CHECK KEY"))</f>
        <v/>
      </c>
      <c r="U3589" s="10"/>
      <c r="V3589" s="10"/>
      <c r="W3589" s="10"/>
      <c r="X3589" s="10"/>
      <c r="Y3589" s="10"/>
      <c r="Z3589" s="10"/>
      <c r="AA3589" s="11" t="str">
        <f t="shared" si="113"/>
        <v/>
      </c>
    </row>
    <row r="3590" spans="16:27" ht="15" customHeight="1">
      <c r="P3590" t="str">
        <f t="shared" si="112"/>
        <v/>
      </c>
      <c r="Q3590" t="str">
        <f>IF(P3590="","",IFERROR(IF(AND(H3590="W7",OR(F3590="causal",F3590="predictive")),IF(AND(OR(K3590=1,K3590="1"),OR(L3590=1,L3590="1"),OR(M3590=1,M3590="1")),"adequate","partial"),IF(AND(H3590="W4",F3590="predictive",OR(J3590="P2",J3590="P3",J3590="P4")),IF(OR(U3590=1,U3590="1"),"adequate","partial"),INDEX(Fit_Matrix!$B:$B,MATCH(P3590,Fit_Matrix!$A:$A,0)))),"CHECK KEY"))</f>
        <v/>
      </c>
      <c r="U3590" s="10"/>
      <c r="V3590" s="10"/>
      <c r="W3590" s="10"/>
      <c r="X3590" s="10"/>
      <c r="Y3590" s="10"/>
      <c r="Z3590" s="10"/>
      <c r="AA3590" s="11" t="str">
        <f t="shared" si="113"/>
        <v/>
      </c>
    </row>
    <row r="3591" spans="16:27" ht="15" customHeight="1">
      <c r="P3591" t="str">
        <f t="shared" si="112"/>
        <v/>
      </c>
      <c r="Q3591" t="str">
        <f>IF(P3591="","",IFERROR(IF(AND(H3591="W7",OR(F3591="causal",F3591="predictive")),IF(AND(OR(K3591=1,K3591="1"),OR(L3591=1,L3591="1"),OR(M3591=1,M3591="1")),"adequate","partial"),IF(AND(H3591="W4",F3591="predictive",OR(J3591="P2",J3591="P3",J3591="P4")),IF(OR(U3591=1,U3591="1"),"adequate","partial"),INDEX(Fit_Matrix!$B:$B,MATCH(P3591,Fit_Matrix!$A:$A,0)))),"CHECK KEY"))</f>
        <v/>
      </c>
      <c r="U3591" s="10"/>
      <c r="V3591" s="10"/>
      <c r="W3591" s="10"/>
      <c r="X3591" s="10"/>
      <c r="Y3591" s="10"/>
      <c r="Z3591" s="10"/>
      <c r="AA3591" s="11" t="str">
        <f t="shared" si="113"/>
        <v/>
      </c>
    </row>
    <row r="3592" spans="16:27" ht="15" customHeight="1">
      <c r="P3592" t="str">
        <f t="shared" si="112"/>
        <v/>
      </c>
      <c r="Q3592" t="str">
        <f>IF(P3592="","",IFERROR(IF(AND(H3592="W7",OR(F3592="causal",F3592="predictive")),IF(AND(OR(K3592=1,K3592="1"),OR(L3592=1,L3592="1"),OR(M3592=1,M3592="1")),"adequate","partial"),IF(AND(H3592="W4",F3592="predictive",OR(J3592="P2",J3592="P3",J3592="P4")),IF(OR(U3592=1,U3592="1"),"adequate","partial"),INDEX(Fit_Matrix!$B:$B,MATCH(P3592,Fit_Matrix!$A:$A,0)))),"CHECK KEY"))</f>
        <v/>
      </c>
      <c r="U3592" s="10"/>
      <c r="V3592" s="10"/>
      <c r="W3592" s="10"/>
      <c r="X3592" s="10"/>
      <c r="Y3592" s="10"/>
      <c r="Z3592" s="10"/>
      <c r="AA3592" s="11" t="str">
        <f t="shared" si="113"/>
        <v/>
      </c>
    </row>
    <row r="3593" spans="16:27" ht="15" customHeight="1">
      <c r="P3593" t="str">
        <f t="shared" si="112"/>
        <v/>
      </c>
      <c r="Q3593" t="str">
        <f>IF(P3593="","",IFERROR(IF(AND(H3593="W7",OR(F3593="causal",F3593="predictive")),IF(AND(OR(K3593=1,K3593="1"),OR(L3593=1,L3593="1"),OR(M3593=1,M3593="1")),"adequate","partial"),IF(AND(H3593="W4",F3593="predictive",OR(J3593="P2",J3593="P3",J3593="P4")),IF(OR(U3593=1,U3593="1"),"adequate","partial"),INDEX(Fit_Matrix!$B:$B,MATCH(P3593,Fit_Matrix!$A:$A,0)))),"CHECK KEY"))</f>
        <v/>
      </c>
      <c r="U3593" s="10"/>
      <c r="V3593" s="10"/>
      <c r="W3593" s="10"/>
      <c r="X3593" s="10"/>
      <c r="Y3593" s="10"/>
      <c r="Z3593" s="10"/>
      <c r="AA3593" s="11" t="str">
        <f t="shared" si="113"/>
        <v/>
      </c>
    </row>
    <row r="3594" spans="16:27" ht="15" customHeight="1">
      <c r="P3594" t="str">
        <f t="shared" si="112"/>
        <v/>
      </c>
      <c r="Q3594" t="str">
        <f>IF(P3594="","",IFERROR(IF(AND(H3594="W7",OR(F3594="causal",F3594="predictive")),IF(AND(OR(K3594=1,K3594="1"),OR(L3594=1,L3594="1"),OR(M3594=1,M3594="1")),"adequate","partial"),IF(AND(H3594="W4",F3594="predictive",OR(J3594="P2",J3594="P3",J3594="P4")),IF(OR(U3594=1,U3594="1"),"adequate","partial"),INDEX(Fit_Matrix!$B:$B,MATCH(P3594,Fit_Matrix!$A:$A,0)))),"CHECK KEY"))</f>
        <v/>
      </c>
      <c r="U3594" s="10"/>
      <c r="V3594" s="10"/>
      <c r="W3594" s="10"/>
      <c r="X3594" s="10"/>
      <c r="Y3594" s="10"/>
      <c r="Z3594" s="10"/>
      <c r="AA3594" s="11" t="str">
        <f t="shared" si="113"/>
        <v/>
      </c>
    </row>
    <row r="3595" spans="16:27" ht="15" customHeight="1">
      <c r="P3595" t="str">
        <f t="shared" si="112"/>
        <v/>
      </c>
      <c r="Q3595" t="str">
        <f>IF(P3595="","",IFERROR(IF(AND(H3595="W7",OR(F3595="causal",F3595="predictive")),IF(AND(OR(K3595=1,K3595="1"),OR(L3595=1,L3595="1"),OR(M3595=1,M3595="1")),"adequate","partial"),IF(AND(H3595="W4",F3595="predictive",OR(J3595="P2",J3595="P3",J3595="P4")),IF(OR(U3595=1,U3595="1"),"adequate","partial"),INDEX(Fit_Matrix!$B:$B,MATCH(P3595,Fit_Matrix!$A:$A,0)))),"CHECK KEY"))</f>
        <v/>
      </c>
      <c r="U3595" s="10"/>
      <c r="V3595" s="10"/>
      <c r="W3595" s="10"/>
      <c r="X3595" s="10"/>
      <c r="Y3595" s="10"/>
      <c r="Z3595" s="10"/>
      <c r="AA3595" s="11" t="str">
        <f t="shared" si="113"/>
        <v/>
      </c>
    </row>
    <row r="3596" spans="16:27" ht="15" customHeight="1">
      <c r="P3596" t="str">
        <f t="shared" si="112"/>
        <v/>
      </c>
      <c r="Q3596" t="str">
        <f>IF(P3596="","",IFERROR(IF(AND(H3596="W7",OR(F3596="causal",F3596="predictive")),IF(AND(OR(K3596=1,K3596="1"),OR(L3596=1,L3596="1"),OR(M3596=1,M3596="1")),"adequate","partial"),IF(AND(H3596="W4",F3596="predictive",OR(J3596="P2",J3596="P3",J3596="P4")),IF(OR(U3596=1,U3596="1"),"adequate","partial"),INDEX(Fit_Matrix!$B:$B,MATCH(P3596,Fit_Matrix!$A:$A,0)))),"CHECK KEY"))</f>
        <v/>
      </c>
      <c r="U3596" s="10"/>
      <c r="V3596" s="10"/>
      <c r="W3596" s="10"/>
      <c r="X3596" s="10"/>
      <c r="Y3596" s="10"/>
      <c r="Z3596" s="10"/>
      <c r="AA3596" s="11" t="str">
        <f t="shared" si="113"/>
        <v/>
      </c>
    </row>
    <row r="3597" spans="16:27" ht="15" customHeight="1">
      <c r="P3597" t="str">
        <f t="shared" si="112"/>
        <v/>
      </c>
      <c r="Q3597" t="str">
        <f>IF(P3597="","",IFERROR(IF(AND(H3597="W7",OR(F3597="causal",F3597="predictive")),IF(AND(OR(K3597=1,K3597="1"),OR(L3597=1,L3597="1"),OR(M3597=1,M3597="1")),"adequate","partial"),IF(AND(H3597="W4",F3597="predictive",OR(J3597="P2",J3597="P3",J3597="P4")),IF(OR(U3597=1,U3597="1"),"adequate","partial"),INDEX(Fit_Matrix!$B:$B,MATCH(P3597,Fit_Matrix!$A:$A,0)))),"CHECK KEY"))</f>
        <v/>
      </c>
      <c r="U3597" s="10"/>
      <c r="V3597" s="10"/>
      <c r="W3597" s="10"/>
      <c r="X3597" s="10"/>
      <c r="Y3597" s="10"/>
      <c r="Z3597" s="10"/>
      <c r="AA3597" s="11" t="str">
        <f t="shared" si="113"/>
        <v/>
      </c>
    </row>
    <row r="3598" spans="16:27" ht="15" customHeight="1">
      <c r="P3598" t="str">
        <f t="shared" si="112"/>
        <v/>
      </c>
      <c r="Q3598" t="str">
        <f>IF(P3598="","",IFERROR(IF(AND(H3598="W7",OR(F3598="causal",F3598="predictive")),IF(AND(OR(K3598=1,K3598="1"),OR(L3598=1,L3598="1"),OR(M3598=1,M3598="1")),"adequate","partial"),IF(AND(H3598="W4",F3598="predictive",OR(J3598="P2",J3598="P3",J3598="P4")),IF(OR(U3598=1,U3598="1"),"adequate","partial"),INDEX(Fit_Matrix!$B:$B,MATCH(P3598,Fit_Matrix!$A:$A,0)))),"CHECK KEY"))</f>
        <v/>
      </c>
      <c r="U3598" s="10"/>
      <c r="V3598" s="10"/>
      <c r="W3598" s="10"/>
      <c r="X3598" s="10"/>
      <c r="Y3598" s="10"/>
      <c r="Z3598" s="10"/>
      <c r="AA3598" s="11" t="str">
        <f t="shared" si="113"/>
        <v/>
      </c>
    </row>
    <row r="3599" spans="16:27" ht="15" customHeight="1">
      <c r="P3599" t="str">
        <f t="shared" si="112"/>
        <v/>
      </c>
      <c r="Q3599" t="str">
        <f>IF(P3599="","",IFERROR(IF(AND(H3599="W7",OR(F3599="causal",F3599="predictive")),IF(AND(OR(K3599=1,K3599="1"),OR(L3599=1,L3599="1"),OR(M3599=1,M3599="1")),"adequate","partial"),IF(AND(H3599="W4",F3599="predictive",OR(J3599="P2",J3599="P3",J3599="P4")),IF(OR(U3599=1,U3599="1"),"adequate","partial"),INDEX(Fit_Matrix!$B:$B,MATCH(P3599,Fit_Matrix!$A:$A,0)))),"CHECK KEY"))</f>
        <v/>
      </c>
      <c r="U3599" s="10"/>
      <c r="V3599" s="10"/>
      <c r="W3599" s="10"/>
      <c r="X3599" s="10"/>
      <c r="Y3599" s="10"/>
      <c r="Z3599" s="10"/>
      <c r="AA3599" s="11" t="str">
        <f t="shared" si="113"/>
        <v/>
      </c>
    </row>
    <row r="3600" spans="16:27" ht="15" customHeight="1">
      <c r="P3600" t="str">
        <f t="shared" si="112"/>
        <v/>
      </c>
      <c r="Q3600" t="str">
        <f>IF(P3600="","",IFERROR(IF(AND(H3600="W7",OR(F3600="causal",F3600="predictive")),IF(AND(OR(K3600=1,K3600="1"),OR(L3600=1,L3600="1"),OR(M3600=1,M3600="1")),"adequate","partial"),IF(AND(H3600="W4",F3600="predictive",OR(J3600="P2",J3600="P3",J3600="P4")),IF(OR(U3600=1,U3600="1"),"adequate","partial"),INDEX(Fit_Matrix!$B:$B,MATCH(P3600,Fit_Matrix!$A:$A,0)))),"CHECK KEY"))</f>
        <v/>
      </c>
      <c r="U3600" s="10"/>
      <c r="V3600" s="10"/>
      <c r="W3600" s="10"/>
      <c r="X3600" s="10"/>
      <c r="Y3600" s="10"/>
      <c r="Z3600" s="10"/>
      <c r="AA3600" s="11" t="str">
        <f t="shared" si="113"/>
        <v/>
      </c>
    </row>
    <row r="3601" spans="16:27" ht="15" customHeight="1">
      <c r="P3601" t="str">
        <f t="shared" si="112"/>
        <v/>
      </c>
      <c r="Q3601" t="str">
        <f>IF(P3601="","",IFERROR(IF(AND(H3601="W7",OR(F3601="causal",F3601="predictive")),IF(AND(OR(K3601=1,K3601="1"),OR(L3601=1,L3601="1"),OR(M3601=1,M3601="1")),"adequate","partial"),IF(AND(H3601="W4",F3601="predictive",OR(J3601="P2",J3601="P3",J3601="P4")),IF(OR(U3601=1,U3601="1"),"adequate","partial"),INDEX(Fit_Matrix!$B:$B,MATCH(P3601,Fit_Matrix!$A:$A,0)))),"CHECK KEY"))</f>
        <v/>
      </c>
      <c r="U3601" s="10"/>
      <c r="V3601" s="10"/>
      <c r="W3601" s="10"/>
      <c r="X3601" s="10"/>
      <c r="Y3601" s="10"/>
      <c r="Z3601" s="10"/>
      <c r="AA3601" s="11" t="str">
        <f t="shared" si="113"/>
        <v/>
      </c>
    </row>
    <row r="3602" spans="16:27" ht="15" customHeight="1">
      <c r="P3602" t="str">
        <f t="shared" si="112"/>
        <v/>
      </c>
      <c r="Q3602" t="str">
        <f>IF(P3602="","",IFERROR(IF(AND(H3602="W7",OR(F3602="causal",F3602="predictive")),IF(AND(OR(K3602=1,K3602="1"),OR(L3602=1,L3602="1"),OR(M3602=1,M3602="1")),"adequate","partial"),IF(AND(H3602="W4",F3602="predictive",OR(J3602="P2",J3602="P3",J3602="P4")),IF(OR(U3602=1,U3602="1"),"adequate","partial"),INDEX(Fit_Matrix!$B:$B,MATCH(P3602,Fit_Matrix!$A:$A,0)))),"CHECK KEY"))</f>
        <v/>
      </c>
      <c r="U3602" s="10"/>
      <c r="V3602" s="10"/>
      <c r="W3602" s="10"/>
      <c r="X3602" s="10"/>
      <c r="Y3602" s="10"/>
      <c r="Z3602" s="10"/>
      <c r="AA3602" s="11" t="str">
        <f t="shared" si="113"/>
        <v/>
      </c>
    </row>
    <row r="3603" spans="16:27" ht="15" customHeight="1">
      <c r="P3603" t="str">
        <f t="shared" si="112"/>
        <v/>
      </c>
      <c r="Q3603" t="str">
        <f>IF(P3603="","",IFERROR(IF(AND(H3603="W7",OR(F3603="causal",F3603="predictive")),IF(AND(OR(K3603=1,K3603="1"),OR(L3603=1,L3603="1"),OR(M3603=1,M3603="1")),"adequate","partial"),IF(AND(H3603="W4",F3603="predictive",OR(J3603="P2",J3603="P3",J3603="P4")),IF(OR(U3603=1,U3603="1"),"adequate","partial"),INDEX(Fit_Matrix!$B:$B,MATCH(P3603,Fit_Matrix!$A:$A,0)))),"CHECK KEY"))</f>
        <v/>
      </c>
      <c r="U3603" s="10"/>
      <c r="V3603" s="10"/>
      <c r="W3603" s="10"/>
      <c r="X3603" s="10"/>
      <c r="Y3603" s="10"/>
      <c r="Z3603" s="10"/>
      <c r="AA3603" s="11" t="str">
        <f t="shared" si="113"/>
        <v/>
      </c>
    </row>
    <row r="3604" spans="16:27" ht="15" customHeight="1">
      <c r="P3604" t="str">
        <f t="shared" si="112"/>
        <v/>
      </c>
      <c r="Q3604" t="str">
        <f>IF(P3604="","",IFERROR(IF(AND(H3604="W7",OR(F3604="causal",F3604="predictive")),IF(AND(OR(K3604=1,K3604="1"),OR(L3604=1,L3604="1"),OR(M3604=1,M3604="1")),"adequate","partial"),IF(AND(H3604="W4",F3604="predictive",OR(J3604="P2",J3604="P3",J3604="P4")),IF(OR(U3604=1,U3604="1"),"adequate","partial"),INDEX(Fit_Matrix!$B:$B,MATCH(P3604,Fit_Matrix!$A:$A,0)))),"CHECK KEY"))</f>
        <v/>
      </c>
      <c r="U3604" s="10"/>
      <c r="V3604" s="10"/>
      <c r="W3604" s="10"/>
      <c r="X3604" s="10"/>
      <c r="Y3604" s="10"/>
      <c r="Z3604" s="10"/>
      <c r="AA3604" s="11" t="str">
        <f t="shared" si="113"/>
        <v/>
      </c>
    </row>
    <row r="3605" spans="16:27" ht="15" customHeight="1">
      <c r="P3605" t="str">
        <f t="shared" si="112"/>
        <v/>
      </c>
      <c r="Q3605" t="str">
        <f>IF(P3605="","",IFERROR(IF(AND(H3605="W7",OR(F3605="causal",F3605="predictive")),IF(AND(OR(K3605=1,K3605="1"),OR(L3605=1,L3605="1"),OR(M3605=1,M3605="1")),"adequate","partial"),IF(AND(H3605="W4",F3605="predictive",OR(J3605="P2",J3605="P3",J3605="P4")),IF(OR(U3605=1,U3605="1"),"adequate","partial"),INDEX(Fit_Matrix!$B:$B,MATCH(P3605,Fit_Matrix!$A:$A,0)))),"CHECK KEY"))</f>
        <v/>
      </c>
      <c r="U3605" s="10"/>
      <c r="V3605" s="10"/>
      <c r="W3605" s="10"/>
      <c r="X3605" s="10"/>
      <c r="Y3605" s="10"/>
      <c r="Z3605" s="10"/>
      <c r="AA3605" s="11" t="str">
        <f t="shared" si="113"/>
        <v/>
      </c>
    </row>
    <row r="3606" spans="16:27" ht="15" customHeight="1">
      <c r="P3606" t="str">
        <f t="shared" si="112"/>
        <v/>
      </c>
      <c r="Q3606" t="str">
        <f>IF(P3606="","",IFERROR(IF(AND(H3606="W7",OR(F3606="causal",F3606="predictive")),IF(AND(OR(K3606=1,K3606="1"),OR(L3606=1,L3606="1"),OR(M3606=1,M3606="1")),"adequate","partial"),IF(AND(H3606="W4",F3606="predictive",OR(J3606="P2",J3606="P3",J3606="P4")),IF(OR(U3606=1,U3606="1"),"adequate","partial"),INDEX(Fit_Matrix!$B:$B,MATCH(P3606,Fit_Matrix!$A:$A,0)))),"CHECK KEY"))</f>
        <v/>
      </c>
      <c r="U3606" s="10"/>
      <c r="V3606" s="10"/>
      <c r="W3606" s="10"/>
      <c r="X3606" s="10"/>
      <c r="Y3606" s="10"/>
      <c r="Z3606" s="10"/>
      <c r="AA3606" s="11" t="str">
        <f t="shared" si="113"/>
        <v/>
      </c>
    </row>
    <row r="3607" spans="16:27" ht="15" customHeight="1">
      <c r="P3607" t="str">
        <f t="shared" si="112"/>
        <v/>
      </c>
      <c r="Q3607" t="str">
        <f>IF(P3607="","",IFERROR(IF(AND(H3607="W7",OR(F3607="causal",F3607="predictive")),IF(AND(OR(K3607=1,K3607="1"),OR(L3607=1,L3607="1"),OR(M3607=1,M3607="1")),"adequate","partial"),IF(AND(H3607="W4",F3607="predictive",OR(J3607="P2",J3607="P3",J3607="P4")),IF(OR(U3607=1,U3607="1"),"adequate","partial"),INDEX(Fit_Matrix!$B:$B,MATCH(P3607,Fit_Matrix!$A:$A,0)))),"CHECK KEY"))</f>
        <v/>
      </c>
      <c r="U3607" s="10"/>
      <c r="V3607" s="10"/>
      <c r="W3607" s="10"/>
      <c r="X3607" s="10"/>
      <c r="Y3607" s="10"/>
      <c r="Z3607" s="10"/>
      <c r="AA3607" s="11" t="str">
        <f t="shared" si="113"/>
        <v/>
      </c>
    </row>
    <row r="3608" spans="16:27" ht="15" customHeight="1">
      <c r="P3608" t="str">
        <f t="shared" si="112"/>
        <v/>
      </c>
      <c r="Q3608" t="str">
        <f>IF(P3608="","",IFERROR(IF(AND(H3608="W7",OR(F3608="causal",F3608="predictive")),IF(AND(OR(K3608=1,K3608="1"),OR(L3608=1,L3608="1"),OR(M3608=1,M3608="1")),"adequate","partial"),IF(AND(H3608="W4",F3608="predictive",OR(J3608="P2",J3608="P3",J3608="P4")),IF(OR(U3608=1,U3608="1"),"adequate","partial"),INDEX(Fit_Matrix!$B:$B,MATCH(P3608,Fit_Matrix!$A:$A,0)))),"CHECK KEY"))</f>
        <v/>
      </c>
      <c r="U3608" s="10"/>
      <c r="V3608" s="10"/>
      <c r="W3608" s="10"/>
      <c r="X3608" s="10"/>
      <c r="Y3608" s="10"/>
      <c r="Z3608" s="10"/>
      <c r="AA3608" s="11" t="str">
        <f t="shared" si="113"/>
        <v/>
      </c>
    </row>
    <row r="3609" spans="16:27" ht="15" customHeight="1">
      <c r="P3609" t="str">
        <f t="shared" si="112"/>
        <v/>
      </c>
      <c r="Q3609" t="str">
        <f>IF(P3609="","",IFERROR(IF(AND(H3609="W7",OR(F3609="causal",F3609="predictive")),IF(AND(OR(K3609=1,K3609="1"),OR(L3609=1,L3609="1"),OR(M3609=1,M3609="1")),"adequate","partial"),IF(AND(H3609="W4",F3609="predictive",OR(J3609="P2",J3609="P3",J3609="P4")),IF(OR(U3609=1,U3609="1"),"adequate","partial"),INDEX(Fit_Matrix!$B:$B,MATCH(P3609,Fit_Matrix!$A:$A,0)))),"CHECK KEY"))</f>
        <v/>
      </c>
      <c r="U3609" s="10"/>
      <c r="V3609" s="10"/>
      <c r="W3609" s="10"/>
      <c r="X3609" s="10"/>
      <c r="Y3609" s="10"/>
      <c r="Z3609" s="10"/>
      <c r="AA3609" s="11" t="str">
        <f t="shared" si="113"/>
        <v/>
      </c>
    </row>
    <row r="3610" spans="16:27" ht="15" customHeight="1">
      <c r="P3610" t="str">
        <f t="shared" si="112"/>
        <v/>
      </c>
      <c r="Q3610" t="str">
        <f>IF(P3610="","",IFERROR(IF(AND(H3610="W7",OR(F3610="causal",F3610="predictive")),IF(AND(OR(K3610=1,K3610="1"),OR(L3610=1,L3610="1"),OR(M3610=1,M3610="1")),"adequate","partial"),IF(AND(H3610="W4",F3610="predictive",OR(J3610="P2",J3610="P3",J3610="P4")),IF(OR(U3610=1,U3610="1"),"adequate","partial"),INDEX(Fit_Matrix!$B:$B,MATCH(P3610,Fit_Matrix!$A:$A,0)))),"CHECK KEY"))</f>
        <v/>
      </c>
      <c r="U3610" s="10"/>
      <c r="V3610" s="10"/>
      <c r="W3610" s="10"/>
      <c r="X3610" s="10"/>
      <c r="Y3610" s="10"/>
      <c r="Z3610" s="10"/>
      <c r="AA3610" s="11" t="str">
        <f t="shared" si="113"/>
        <v/>
      </c>
    </row>
    <row r="3611" spans="16:27" ht="15" customHeight="1">
      <c r="P3611" t="str">
        <f t="shared" si="112"/>
        <v/>
      </c>
      <c r="Q3611" t="str">
        <f>IF(P3611="","",IFERROR(IF(AND(H3611="W7",OR(F3611="causal",F3611="predictive")),IF(AND(OR(K3611=1,K3611="1"),OR(L3611=1,L3611="1"),OR(M3611=1,M3611="1")),"adequate","partial"),IF(AND(H3611="W4",F3611="predictive",OR(J3611="P2",J3611="P3",J3611="P4")),IF(OR(U3611=1,U3611="1"),"adequate","partial"),INDEX(Fit_Matrix!$B:$B,MATCH(P3611,Fit_Matrix!$A:$A,0)))),"CHECK KEY"))</f>
        <v/>
      </c>
      <c r="U3611" s="10"/>
      <c r="V3611" s="10"/>
      <c r="W3611" s="10"/>
      <c r="X3611" s="10"/>
      <c r="Y3611" s="10"/>
      <c r="Z3611" s="10"/>
      <c r="AA3611" s="11" t="str">
        <f t="shared" si="113"/>
        <v/>
      </c>
    </row>
    <row r="3612" spans="16:27" ht="15" customHeight="1">
      <c r="P3612" t="str">
        <f t="shared" si="112"/>
        <v/>
      </c>
      <c r="Q3612" t="str">
        <f>IF(P3612="","",IFERROR(IF(AND(H3612="W7",OR(F3612="causal",F3612="predictive")),IF(AND(OR(K3612=1,K3612="1"),OR(L3612=1,L3612="1"),OR(M3612=1,M3612="1")),"adequate","partial"),IF(AND(H3612="W4",F3612="predictive",OR(J3612="P2",J3612="P3",J3612="P4")),IF(OR(U3612=1,U3612="1"),"adequate","partial"),INDEX(Fit_Matrix!$B:$B,MATCH(P3612,Fit_Matrix!$A:$A,0)))),"CHECK KEY"))</f>
        <v/>
      </c>
      <c r="U3612" s="10"/>
      <c r="V3612" s="10"/>
      <c r="W3612" s="10"/>
      <c r="X3612" s="10"/>
      <c r="Y3612" s="10"/>
      <c r="Z3612" s="10"/>
      <c r="AA3612" s="11" t="str">
        <f t="shared" si="113"/>
        <v/>
      </c>
    </row>
    <row r="3613" spans="16:27" ht="15" customHeight="1">
      <c r="P3613" t="str">
        <f t="shared" si="112"/>
        <v/>
      </c>
      <c r="Q3613" t="str">
        <f>IF(P3613="","",IFERROR(IF(AND(H3613="W7",OR(F3613="causal",F3613="predictive")),IF(AND(OR(K3613=1,K3613="1"),OR(L3613=1,L3613="1"),OR(M3613=1,M3613="1")),"adequate","partial"),IF(AND(H3613="W4",F3613="predictive",OR(J3613="P2",J3613="P3",J3613="P4")),IF(OR(U3613=1,U3613="1"),"adequate","partial"),INDEX(Fit_Matrix!$B:$B,MATCH(P3613,Fit_Matrix!$A:$A,0)))),"CHECK KEY"))</f>
        <v/>
      </c>
      <c r="U3613" s="10"/>
      <c r="V3613" s="10"/>
      <c r="W3613" s="10"/>
      <c r="X3613" s="10"/>
      <c r="Y3613" s="10"/>
      <c r="Z3613" s="10"/>
      <c r="AA3613" s="11" t="str">
        <f t="shared" si="113"/>
        <v/>
      </c>
    </row>
    <row r="3614" spans="16:27" ht="15" customHeight="1">
      <c r="P3614" t="str">
        <f t="shared" si="112"/>
        <v/>
      </c>
      <c r="Q3614" t="str">
        <f>IF(P3614="","",IFERROR(IF(AND(H3614="W7",OR(F3614="causal",F3614="predictive")),IF(AND(OR(K3614=1,K3614="1"),OR(L3614=1,L3614="1"),OR(M3614=1,M3614="1")),"adequate","partial"),IF(AND(H3614="W4",F3614="predictive",OR(J3614="P2",J3614="P3",J3614="P4")),IF(OR(U3614=1,U3614="1"),"adequate","partial"),INDEX(Fit_Matrix!$B:$B,MATCH(P3614,Fit_Matrix!$A:$A,0)))),"CHECK KEY"))</f>
        <v/>
      </c>
      <c r="U3614" s="10"/>
      <c r="V3614" s="10"/>
      <c r="W3614" s="10"/>
      <c r="X3614" s="10"/>
      <c r="Y3614" s="10"/>
      <c r="Z3614" s="10"/>
      <c r="AA3614" s="11" t="str">
        <f t="shared" si="113"/>
        <v/>
      </c>
    </row>
    <row r="3615" spans="16:27" ht="15" customHeight="1">
      <c r="P3615" t="str">
        <f t="shared" si="112"/>
        <v/>
      </c>
      <c r="Q3615" t="str">
        <f>IF(P3615="","",IFERROR(IF(AND(H3615="W7",OR(F3615="causal",F3615="predictive")),IF(AND(OR(K3615=1,K3615="1"),OR(L3615=1,L3615="1"),OR(M3615=1,M3615="1")),"adequate","partial"),IF(AND(H3615="W4",F3615="predictive",OR(J3615="P2",J3615="P3",J3615="P4")),IF(OR(U3615=1,U3615="1"),"adequate","partial"),INDEX(Fit_Matrix!$B:$B,MATCH(P3615,Fit_Matrix!$A:$A,0)))),"CHECK KEY"))</f>
        <v/>
      </c>
      <c r="U3615" s="10"/>
      <c r="V3615" s="10"/>
      <c r="W3615" s="10"/>
      <c r="X3615" s="10"/>
      <c r="Y3615" s="10"/>
      <c r="Z3615" s="10"/>
      <c r="AA3615" s="11" t="str">
        <f t="shared" si="113"/>
        <v/>
      </c>
    </row>
    <row r="3616" spans="16:27" ht="15" customHeight="1">
      <c r="P3616" t="str">
        <f t="shared" si="112"/>
        <v/>
      </c>
      <c r="Q3616" t="str">
        <f>IF(P3616="","",IFERROR(IF(AND(H3616="W7",OR(F3616="causal",F3616="predictive")),IF(AND(OR(K3616=1,K3616="1"),OR(L3616=1,L3616="1"),OR(M3616=1,M3616="1")),"adequate","partial"),IF(AND(H3616="W4",F3616="predictive",OR(J3616="P2",J3616="P3",J3616="P4")),IF(OR(U3616=1,U3616="1"),"adequate","partial"),INDEX(Fit_Matrix!$B:$B,MATCH(P3616,Fit_Matrix!$A:$A,0)))),"CHECK KEY"))</f>
        <v/>
      </c>
      <c r="U3616" s="10"/>
      <c r="V3616" s="10"/>
      <c r="W3616" s="10"/>
      <c r="X3616" s="10"/>
      <c r="Y3616" s="10"/>
      <c r="Z3616" s="10"/>
      <c r="AA3616" s="11" t="str">
        <f t="shared" si="113"/>
        <v/>
      </c>
    </row>
    <row r="3617" spans="16:27" ht="15" customHeight="1">
      <c r="P3617" t="str">
        <f t="shared" si="112"/>
        <v/>
      </c>
      <c r="Q3617" t="str">
        <f>IF(P3617="","",IFERROR(IF(AND(H3617="W7",OR(F3617="causal",F3617="predictive")),IF(AND(OR(K3617=1,K3617="1"),OR(L3617=1,L3617="1"),OR(M3617=1,M3617="1")),"adequate","partial"),IF(AND(H3617="W4",F3617="predictive",OR(J3617="P2",J3617="P3",J3617="P4")),IF(OR(U3617=1,U3617="1"),"adequate","partial"),INDEX(Fit_Matrix!$B:$B,MATCH(P3617,Fit_Matrix!$A:$A,0)))),"CHECK KEY"))</f>
        <v/>
      </c>
      <c r="U3617" s="10"/>
      <c r="V3617" s="10"/>
      <c r="W3617" s="10"/>
      <c r="X3617" s="10"/>
      <c r="Y3617" s="10"/>
      <c r="Z3617" s="10"/>
      <c r="AA3617" s="11" t="str">
        <f t="shared" si="113"/>
        <v/>
      </c>
    </row>
    <row r="3618" spans="16:27" ht="15" customHeight="1">
      <c r="P3618" t="str">
        <f t="shared" si="112"/>
        <v/>
      </c>
      <c r="Q3618" t="str">
        <f>IF(P3618="","",IFERROR(IF(AND(H3618="W7",OR(F3618="causal",F3618="predictive")),IF(AND(OR(K3618=1,K3618="1"),OR(L3618=1,L3618="1"),OR(M3618=1,M3618="1")),"adequate","partial"),IF(AND(H3618="W4",F3618="predictive",OR(J3618="P2",J3618="P3",J3618="P4")),IF(OR(U3618=1,U3618="1"),"adequate","partial"),INDEX(Fit_Matrix!$B:$B,MATCH(P3618,Fit_Matrix!$A:$A,0)))),"CHECK KEY"))</f>
        <v/>
      </c>
      <c r="U3618" s="10"/>
      <c r="V3618" s="10"/>
      <c r="W3618" s="10"/>
      <c r="X3618" s="10"/>
      <c r="Y3618" s="10"/>
      <c r="Z3618" s="10"/>
      <c r="AA3618" s="11" t="str">
        <f t="shared" si="113"/>
        <v/>
      </c>
    </row>
    <row r="3619" spans="16:27" ht="15" customHeight="1">
      <c r="P3619" t="str">
        <f t="shared" si="112"/>
        <v/>
      </c>
      <c r="Q3619" t="str">
        <f>IF(P3619="","",IFERROR(IF(AND(H3619="W7",OR(F3619="causal",F3619="predictive")),IF(AND(OR(K3619=1,K3619="1"),OR(L3619=1,L3619="1"),OR(M3619=1,M3619="1")),"adequate","partial"),IF(AND(H3619="W4",F3619="predictive",OR(J3619="P2",J3619="P3",J3619="P4")),IF(OR(U3619=1,U3619="1"),"adequate","partial"),INDEX(Fit_Matrix!$B:$B,MATCH(P3619,Fit_Matrix!$A:$A,0)))),"CHECK KEY"))</f>
        <v/>
      </c>
      <c r="U3619" s="10"/>
      <c r="V3619" s="10"/>
      <c r="W3619" s="10"/>
      <c r="X3619" s="10"/>
      <c r="Y3619" s="10"/>
      <c r="Z3619" s="10"/>
      <c r="AA3619" s="11" t="str">
        <f t="shared" si="113"/>
        <v/>
      </c>
    </row>
    <row r="3620" spans="16:27" ht="15" customHeight="1">
      <c r="P3620" t="str">
        <f t="shared" si="112"/>
        <v/>
      </c>
      <c r="Q3620" t="str">
        <f>IF(P3620="","",IFERROR(IF(AND(H3620="W7",OR(F3620="causal",F3620="predictive")),IF(AND(OR(K3620=1,K3620="1"),OR(L3620=1,L3620="1"),OR(M3620=1,M3620="1")),"adequate","partial"),IF(AND(H3620="W4",F3620="predictive",OR(J3620="P2",J3620="P3",J3620="P4")),IF(OR(U3620=1,U3620="1"),"adequate","partial"),INDEX(Fit_Matrix!$B:$B,MATCH(P3620,Fit_Matrix!$A:$A,0)))),"CHECK KEY"))</f>
        <v/>
      </c>
      <c r="U3620" s="10"/>
      <c r="V3620" s="10"/>
      <c r="W3620" s="10"/>
      <c r="X3620" s="10"/>
      <c r="Y3620" s="10"/>
      <c r="Z3620" s="10"/>
      <c r="AA3620" s="11" t="str">
        <f t="shared" si="113"/>
        <v/>
      </c>
    </row>
    <row r="3621" spans="16:27" ht="15" customHeight="1">
      <c r="P3621" t="str">
        <f t="shared" si="112"/>
        <v/>
      </c>
      <c r="Q3621" t="str">
        <f>IF(P3621="","",IFERROR(IF(AND(H3621="W7",OR(F3621="causal",F3621="predictive")),IF(AND(OR(K3621=1,K3621="1"),OR(L3621=1,L3621="1"),OR(M3621=1,M3621="1")),"adequate","partial"),IF(AND(H3621="W4",F3621="predictive",OR(J3621="P2",J3621="P3",J3621="P4")),IF(OR(U3621=1,U3621="1"),"adequate","partial"),INDEX(Fit_Matrix!$B:$B,MATCH(P3621,Fit_Matrix!$A:$A,0)))),"CHECK KEY"))</f>
        <v/>
      </c>
      <c r="U3621" s="10"/>
      <c r="V3621" s="10"/>
      <c r="W3621" s="10"/>
      <c r="X3621" s="10"/>
      <c r="Y3621" s="10"/>
      <c r="Z3621" s="10"/>
      <c r="AA3621" s="11" t="str">
        <f t="shared" si="113"/>
        <v/>
      </c>
    </row>
    <row r="3622" spans="16:27" ht="15" customHeight="1">
      <c r="P3622" t="str">
        <f t="shared" si="112"/>
        <v/>
      </c>
      <c r="Q3622" t="str">
        <f>IF(P3622="","",IFERROR(IF(AND(H3622="W7",OR(F3622="causal",F3622="predictive")),IF(AND(OR(K3622=1,K3622="1"),OR(L3622=1,L3622="1"),OR(M3622=1,M3622="1")),"adequate","partial"),IF(AND(H3622="W4",F3622="predictive",OR(J3622="P2",J3622="P3",J3622="P4")),IF(OR(U3622=1,U3622="1"),"adequate","partial"),INDEX(Fit_Matrix!$B:$B,MATCH(P3622,Fit_Matrix!$A:$A,0)))),"CHECK KEY"))</f>
        <v/>
      </c>
      <c r="U3622" s="10"/>
      <c r="V3622" s="10"/>
      <c r="W3622" s="10"/>
      <c r="X3622" s="10"/>
      <c r="Y3622" s="10"/>
      <c r="Z3622" s="10"/>
      <c r="AA3622" s="11" t="str">
        <f t="shared" si="113"/>
        <v/>
      </c>
    </row>
    <row r="3623" spans="16:27" ht="15" customHeight="1">
      <c r="P3623" t="str">
        <f t="shared" si="112"/>
        <v/>
      </c>
      <c r="Q3623" t="str">
        <f>IF(P3623="","",IFERROR(IF(AND(H3623="W7",OR(F3623="causal",F3623="predictive")),IF(AND(OR(K3623=1,K3623="1"),OR(L3623=1,L3623="1"),OR(M3623=1,M3623="1")),"adequate","partial"),IF(AND(H3623="W4",F3623="predictive",OR(J3623="P2",J3623="P3",J3623="P4")),IF(OR(U3623=1,U3623="1"),"adequate","partial"),INDEX(Fit_Matrix!$B:$B,MATCH(P3623,Fit_Matrix!$A:$A,0)))),"CHECK KEY"))</f>
        <v/>
      </c>
      <c r="U3623" s="10"/>
      <c r="V3623" s="10"/>
      <c r="W3623" s="10"/>
      <c r="X3623" s="10"/>
      <c r="Y3623" s="10"/>
      <c r="Z3623" s="10"/>
      <c r="AA3623" s="11" t="str">
        <f t="shared" si="113"/>
        <v/>
      </c>
    </row>
    <row r="3624" spans="16:27" ht="15" customHeight="1">
      <c r="P3624" t="str">
        <f t="shared" si="112"/>
        <v/>
      </c>
      <c r="Q3624" t="str">
        <f>IF(P3624="","",IFERROR(IF(AND(H3624="W7",OR(F3624="causal",F3624="predictive")),IF(AND(OR(K3624=1,K3624="1"),OR(L3624=1,L3624="1"),OR(M3624=1,M3624="1")),"adequate","partial"),IF(AND(H3624="W4",F3624="predictive",OR(J3624="P2",J3624="P3",J3624="P4")),IF(OR(U3624=1,U3624="1"),"adequate","partial"),INDEX(Fit_Matrix!$B:$B,MATCH(P3624,Fit_Matrix!$A:$A,0)))),"CHECK KEY"))</f>
        <v/>
      </c>
      <c r="U3624" s="10"/>
      <c r="V3624" s="10"/>
      <c r="W3624" s="10"/>
      <c r="X3624" s="10"/>
      <c r="Y3624" s="10"/>
      <c r="Z3624" s="10"/>
      <c r="AA3624" s="11" t="str">
        <f t="shared" si="113"/>
        <v/>
      </c>
    </row>
    <row r="3625" spans="16:27" ht="15" customHeight="1">
      <c r="P3625" t="str">
        <f t="shared" si="112"/>
        <v/>
      </c>
      <c r="Q3625" t="str">
        <f>IF(P3625="","",IFERROR(IF(AND(H3625="W7",OR(F3625="causal",F3625="predictive")),IF(AND(OR(K3625=1,K3625="1"),OR(L3625=1,L3625="1"),OR(M3625=1,M3625="1")),"adequate","partial"),IF(AND(H3625="W4",F3625="predictive",OR(J3625="P2",J3625="P3",J3625="P4")),IF(OR(U3625=1,U3625="1"),"adequate","partial"),INDEX(Fit_Matrix!$B:$B,MATCH(P3625,Fit_Matrix!$A:$A,0)))),"CHECK KEY"))</f>
        <v/>
      </c>
      <c r="U3625" s="10"/>
      <c r="V3625" s="10"/>
      <c r="W3625" s="10"/>
      <c r="X3625" s="10"/>
      <c r="Y3625" s="10"/>
      <c r="Z3625" s="10"/>
      <c r="AA3625" s="11" t="str">
        <f t="shared" si="113"/>
        <v/>
      </c>
    </row>
    <row r="3626" spans="16:27" ht="15" customHeight="1">
      <c r="P3626" t="str">
        <f t="shared" si="112"/>
        <v/>
      </c>
      <c r="Q3626" t="str">
        <f>IF(P3626="","",IFERROR(IF(AND(H3626="W7",OR(F3626="causal",F3626="predictive")),IF(AND(OR(K3626=1,K3626="1"),OR(L3626=1,L3626="1"),OR(M3626=1,M3626="1")),"adequate","partial"),IF(AND(H3626="W4",F3626="predictive",OR(J3626="P2",J3626="P3",J3626="P4")),IF(OR(U3626=1,U3626="1"),"adequate","partial"),INDEX(Fit_Matrix!$B:$B,MATCH(P3626,Fit_Matrix!$A:$A,0)))),"CHECK KEY"))</f>
        <v/>
      </c>
      <c r="U3626" s="10"/>
      <c r="V3626" s="10"/>
      <c r="W3626" s="10"/>
      <c r="X3626" s="10"/>
      <c r="Y3626" s="10"/>
      <c r="Z3626" s="10"/>
      <c r="AA3626" s="11" t="str">
        <f t="shared" si="113"/>
        <v/>
      </c>
    </row>
    <row r="3627" spans="16:27" ht="15" customHeight="1">
      <c r="P3627" t="str">
        <f t="shared" si="112"/>
        <v/>
      </c>
      <c r="Q3627" t="str">
        <f>IF(P3627="","",IFERROR(IF(AND(H3627="W7",OR(F3627="causal",F3627="predictive")),IF(AND(OR(K3627=1,K3627="1"),OR(L3627=1,L3627="1"),OR(M3627=1,M3627="1")),"adequate","partial"),IF(AND(H3627="W4",F3627="predictive",OR(J3627="P2",J3627="P3",J3627="P4")),IF(OR(U3627=1,U3627="1"),"adequate","partial"),INDEX(Fit_Matrix!$B:$B,MATCH(P3627,Fit_Matrix!$A:$A,0)))),"CHECK KEY"))</f>
        <v/>
      </c>
      <c r="U3627" s="10"/>
      <c r="V3627" s="10"/>
      <c r="W3627" s="10"/>
      <c r="X3627" s="10"/>
      <c r="Y3627" s="10"/>
      <c r="Z3627" s="10"/>
      <c r="AA3627" s="11" t="str">
        <f t="shared" si="113"/>
        <v/>
      </c>
    </row>
    <row r="3628" spans="16:27" ht="15" customHeight="1">
      <c r="P3628" t="str">
        <f t="shared" si="112"/>
        <v/>
      </c>
      <c r="Q3628" t="str">
        <f>IF(P3628="","",IFERROR(IF(AND(H3628="W7",OR(F3628="causal",F3628="predictive")),IF(AND(OR(K3628=1,K3628="1"),OR(L3628=1,L3628="1"),OR(M3628=1,M3628="1")),"adequate","partial"),IF(AND(H3628="W4",F3628="predictive",OR(J3628="P2",J3628="P3",J3628="P4")),IF(OR(U3628=1,U3628="1"),"adequate","partial"),INDEX(Fit_Matrix!$B:$B,MATCH(P3628,Fit_Matrix!$A:$A,0)))),"CHECK KEY"))</f>
        <v/>
      </c>
      <c r="U3628" s="10"/>
      <c r="V3628" s="10"/>
      <c r="W3628" s="10"/>
      <c r="X3628" s="10"/>
      <c r="Y3628" s="10"/>
      <c r="Z3628" s="10"/>
      <c r="AA3628" s="11" t="str">
        <f t="shared" si="113"/>
        <v/>
      </c>
    </row>
    <row r="3629" spans="16:27" ht="15" customHeight="1">
      <c r="P3629" t="str">
        <f t="shared" si="112"/>
        <v/>
      </c>
      <c r="Q3629" t="str">
        <f>IF(P3629="","",IFERROR(IF(AND(H3629="W7",OR(F3629="causal",F3629="predictive")),IF(AND(OR(K3629=1,K3629="1"),OR(L3629=1,L3629="1"),OR(M3629=1,M3629="1")),"adequate","partial"),IF(AND(H3629="W4",F3629="predictive",OR(J3629="P2",J3629="P3",J3629="P4")),IF(OR(U3629=1,U3629="1"),"adequate","partial"),INDEX(Fit_Matrix!$B:$B,MATCH(P3629,Fit_Matrix!$A:$A,0)))),"CHECK KEY"))</f>
        <v/>
      </c>
      <c r="U3629" s="10"/>
      <c r="V3629" s="10"/>
      <c r="W3629" s="10"/>
      <c r="X3629" s="10"/>
      <c r="Y3629" s="10"/>
      <c r="Z3629" s="10"/>
      <c r="AA3629" s="11" t="str">
        <f t="shared" si="113"/>
        <v/>
      </c>
    </row>
    <row r="3630" spans="16:27" ht="15" customHeight="1">
      <c r="P3630" t="str">
        <f t="shared" si="112"/>
        <v/>
      </c>
      <c r="Q3630" t="str">
        <f>IF(P3630="","",IFERROR(IF(AND(H3630="W7",OR(F3630="causal",F3630="predictive")),IF(AND(OR(K3630=1,K3630="1"),OR(L3630=1,L3630="1"),OR(M3630=1,M3630="1")),"adequate","partial"),IF(AND(H3630="W4",F3630="predictive",OR(J3630="P2",J3630="P3",J3630="P4")),IF(OR(U3630=1,U3630="1"),"adequate","partial"),INDEX(Fit_Matrix!$B:$B,MATCH(P3630,Fit_Matrix!$A:$A,0)))),"CHECK KEY"))</f>
        <v/>
      </c>
      <c r="U3630" s="10"/>
      <c r="V3630" s="10"/>
      <c r="W3630" s="10"/>
      <c r="X3630" s="10"/>
      <c r="Y3630" s="10"/>
      <c r="Z3630" s="10"/>
      <c r="AA3630" s="11" t="str">
        <f t="shared" si="113"/>
        <v/>
      </c>
    </row>
    <row r="3631" spans="16:27" ht="15" customHeight="1">
      <c r="P3631" t="str">
        <f t="shared" si="112"/>
        <v/>
      </c>
      <c r="Q3631" t="str">
        <f>IF(P3631="","",IFERROR(IF(AND(H3631="W7",OR(F3631="causal",F3631="predictive")),IF(AND(OR(K3631=1,K3631="1"),OR(L3631=1,L3631="1"),OR(M3631=1,M3631="1")),"adequate","partial"),IF(AND(H3631="W4",F3631="predictive",OR(J3631="P2",J3631="P3",J3631="P4")),IF(OR(U3631=1,U3631="1"),"adequate","partial"),INDEX(Fit_Matrix!$B:$B,MATCH(P3631,Fit_Matrix!$A:$A,0)))),"CHECK KEY"))</f>
        <v/>
      </c>
      <c r="U3631" s="10"/>
      <c r="V3631" s="10"/>
      <c r="W3631" s="10"/>
      <c r="X3631" s="10"/>
      <c r="Y3631" s="10"/>
      <c r="Z3631" s="10"/>
      <c r="AA3631" s="11" t="str">
        <f t="shared" si="113"/>
        <v/>
      </c>
    </row>
    <row r="3632" spans="16:27" ht="15" customHeight="1">
      <c r="P3632" t="str">
        <f t="shared" si="112"/>
        <v/>
      </c>
      <c r="Q3632" t="str">
        <f>IF(P3632="","",IFERROR(IF(AND(H3632="W7",OR(F3632="causal",F3632="predictive")),IF(AND(OR(K3632=1,K3632="1"),OR(L3632=1,L3632="1"),OR(M3632=1,M3632="1")),"adequate","partial"),IF(AND(H3632="W4",F3632="predictive",OR(J3632="P2",J3632="P3",J3632="P4")),IF(OR(U3632=1,U3632="1"),"adequate","partial"),INDEX(Fit_Matrix!$B:$B,MATCH(P3632,Fit_Matrix!$A:$A,0)))),"CHECK KEY"))</f>
        <v/>
      </c>
      <c r="U3632" s="10"/>
      <c r="V3632" s="10"/>
      <c r="W3632" s="10"/>
      <c r="X3632" s="10"/>
      <c r="Y3632" s="10"/>
      <c r="Z3632" s="10"/>
      <c r="AA3632" s="11" t="str">
        <f t="shared" si="113"/>
        <v/>
      </c>
    </row>
    <row r="3633" spans="16:27" ht="15" customHeight="1">
      <c r="P3633" t="str">
        <f t="shared" si="112"/>
        <v/>
      </c>
      <c r="Q3633" t="str">
        <f>IF(P3633="","",IFERROR(IF(AND(H3633="W7",OR(F3633="causal",F3633="predictive")),IF(AND(OR(K3633=1,K3633="1"),OR(L3633=1,L3633="1"),OR(M3633=1,M3633="1")),"adequate","partial"),IF(AND(H3633="W4",F3633="predictive",OR(J3633="P2",J3633="P3",J3633="P4")),IF(OR(U3633=1,U3633="1"),"adequate","partial"),INDEX(Fit_Matrix!$B:$B,MATCH(P3633,Fit_Matrix!$A:$A,0)))),"CHECK KEY"))</f>
        <v/>
      </c>
      <c r="U3633" s="10"/>
      <c r="V3633" s="10"/>
      <c r="W3633" s="10"/>
      <c r="X3633" s="10"/>
      <c r="Y3633" s="10"/>
      <c r="Z3633" s="10"/>
      <c r="AA3633" s="11" t="str">
        <f t="shared" si="113"/>
        <v/>
      </c>
    </row>
    <row r="3634" spans="16:27" ht="15" customHeight="1">
      <c r="P3634" t="str">
        <f t="shared" si="112"/>
        <v/>
      </c>
      <c r="Q3634" t="str">
        <f>IF(P3634="","",IFERROR(IF(AND(H3634="W7",OR(F3634="causal",F3634="predictive")),IF(AND(OR(K3634=1,K3634="1"),OR(L3634=1,L3634="1"),OR(M3634=1,M3634="1")),"adequate","partial"),IF(AND(H3634="W4",F3634="predictive",OR(J3634="P2",J3634="P3",J3634="P4")),IF(OR(U3634=1,U3634="1"),"adequate","partial"),INDEX(Fit_Matrix!$B:$B,MATCH(P3634,Fit_Matrix!$A:$A,0)))),"CHECK KEY"))</f>
        <v/>
      </c>
      <c r="U3634" s="10"/>
      <c r="V3634" s="10"/>
      <c r="W3634" s="10"/>
      <c r="X3634" s="10"/>
      <c r="Y3634" s="10"/>
      <c r="Z3634" s="10"/>
      <c r="AA3634" s="11" t="str">
        <f t="shared" si="113"/>
        <v/>
      </c>
    </row>
    <row r="3635" spans="16:27" ht="15" customHeight="1">
      <c r="P3635" t="str">
        <f t="shared" si="112"/>
        <v/>
      </c>
      <c r="Q3635" t="str">
        <f>IF(P3635="","",IFERROR(IF(AND(H3635="W7",OR(F3635="causal",F3635="predictive")),IF(AND(OR(K3635=1,K3635="1"),OR(L3635=1,L3635="1"),OR(M3635=1,M3635="1")),"adequate","partial"),IF(AND(H3635="W4",F3635="predictive",OR(J3635="P2",J3635="P3",J3635="P4")),IF(OR(U3635=1,U3635="1"),"adequate","partial"),INDEX(Fit_Matrix!$B:$B,MATCH(P3635,Fit_Matrix!$A:$A,0)))),"CHECK KEY"))</f>
        <v/>
      </c>
      <c r="U3635" s="10"/>
      <c r="V3635" s="10"/>
      <c r="W3635" s="10"/>
      <c r="X3635" s="10"/>
      <c r="Y3635" s="10"/>
      <c r="Z3635" s="10"/>
      <c r="AA3635" s="11" t="str">
        <f t="shared" si="113"/>
        <v/>
      </c>
    </row>
    <row r="3636" spans="16:27" ht="15" customHeight="1">
      <c r="P3636" t="str">
        <f t="shared" si="112"/>
        <v/>
      </c>
      <c r="Q3636" t="str">
        <f>IF(P3636="","",IFERROR(IF(AND(H3636="W7",OR(F3636="causal",F3636="predictive")),IF(AND(OR(K3636=1,K3636="1"),OR(L3636=1,L3636="1"),OR(M3636=1,M3636="1")),"adequate","partial"),IF(AND(H3636="W4",F3636="predictive",OR(J3636="P2",J3636="P3",J3636="P4")),IF(OR(U3636=1,U3636="1"),"adequate","partial"),INDEX(Fit_Matrix!$B:$B,MATCH(P3636,Fit_Matrix!$A:$A,0)))),"CHECK KEY"))</f>
        <v/>
      </c>
      <c r="U3636" s="10"/>
      <c r="V3636" s="10"/>
      <c r="W3636" s="10"/>
      <c r="X3636" s="10"/>
      <c r="Y3636" s="10"/>
      <c r="Z3636" s="10"/>
      <c r="AA3636" s="11" t="str">
        <f t="shared" si="113"/>
        <v/>
      </c>
    </row>
    <row r="3637" spans="16:27" ht="15" customHeight="1">
      <c r="P3637" t="str">
        <f t="shared" si="112"/>
        <v/>
      </c>
      <c r="Q3637" t="str">
        <f>IF(P3637="","",IFERROR(IF(AND(H3637="W7",OR(F3637="causal",F3637="predictive")),IF(AND(OR(K3637=1,K3637="1"),OR(L3637=1,L3637="1"),OR(M3637=1,M3637="1")),"adequate","partial"),IF(AND(H3637="W4",F3637="predictive",OR(J3637="P2",J3637="P3",J3637="P4")),IF(OR(U3637=1,U3637="1"),"adequate","partial"),INDEX(Fit_Matrix!$B:$B,MATCH(P3637,Fit_Matrix!$A:$A,0)))),"CHECK KEY"))</f>
        <v/>
      </c>
      <c r="U3637" s="10"/>
      <c r="V3637" s="10"/>
      <c r="W3637" s="10"/>
      <c r="X3637" s="10"/>
      <c r="Y3637" s="10"/>
      <c r="Z3637" s="10"/>
      <c r="AA3637" s="11" t="str">
        <f t="shared" si="113"/>
        <v/>
      </c>
    </row>
    <row r="3638" spans="16:27" ht="15" customHeight="1">
      <c r="P3638" t="str">
        <f t="shared" si="112"/>
        <v/>
      </c>
      <c r="Q3638" t="str">
        <f>IF(P3638="","",IFERROR(IF(AND(H3638="W7",OR(F3638="causal",F3638="predictive")),IF(AND(OR(K3638=1,K3638="1"),OR(L3638=1,L3638="1"),OR(M3638=1,M3638="1")),"adequate","partial"),IF(AND(H3638="W4",F3638="predictive",OR(J3638="P2",J3638="P3",J3638="P4")),IF(OR(U3638=1,U3638="1"),"adequate","partial"),INDEX(Fit_Matrix!$B:$B,MATCH(P3638,Fit_Matrix!$A:$A,0)))),"CHECK KEY"))</f>
        <v/>
      </c>
      <c r="U3638" s="10"/>
      <c r="V3638" s="10"/>
      <c r="W3638" s="10"/>
      <c r="X3638" s="10"/>
      <c r="Y3638" s="10"/>
      <c r="Z3638" s="10"/>
      <c r="AA3638" s="11" t="str">
        <f t="shared" si="113"/>
        <v/>
      </c>
    </row>
    <row r="3639" spans="16:27" ht="15" customHeight="1">
      <c r="P3639" t="str">
        <f t="shared" si="112"/>
        <v/>
      </c>
      <c r="Q3639" t="str">
        <f>IF(P3639="","",IFERROR(IF(AND(H3639="W7",OR(F3639="causal",F3639="predictive")),IF(AND(OR(K3639=1,K3639="1"),OR(L3639=1,L3639="1"),OR(M3639=1,M3639="1")),"adequate","partial"),IF(AND(H3639="W4",F3639="predictive",OR(J3639="P2",J3639="P3",J3639="P4")),IF(OR(U3639=1,U3639="1"),"adequate","partial"),INDEX(Fit_Matrix!$B:$B,MATCH(P3639,Fit_Matrix!$A:$A,0)))),"CHECK KEY"))</f>
        <v/>
      </c>
      <c r="U3639" s="10"/>
      <c r="V3639" s="10"/>
      <c r="W3639" s="10"/>
      <c r="X3639" s="10"/>
      <c r="Y3639" s="10"/>
      <c r="Z3639" s="10"/>
      <c r="AA3639" s="11" t="str">
        <f t="shared" si="113"/>
        <v/>
      </c>
    </row>
    <row r="3640" spans="16:27" ht="15" customHeight="1">
      <c r="P3640" t="str">
        <f t="shared" si="112"/>
        <v/>
      </c>
      <c r="Q3640" t="str">
        <f>IF(P3640="","",IFERROR(IF(AND(H3640="W7",OR(F3640="causal",F3640="predictive")),IF(AND(OR(K3640=1,K3640="1"),OR(L3640=1,L3640="1"),OR(M3640=1,M3640="1")),"adequate","partial"),IF(AND(H3640="W4",F3640="predictive",OR(J3640="P2",J3640="P3",J3640="P4")),IF(OR(U3640=1,U3640="1"),"adequate","partial"),INDEX(Fit_Matrix!$B:$B,MATCH(P3640,Fit_Matrix!$A:$A,0)))),"CHECK KEY"))</f>
        <v/>
      </c>
      <c r="U3640" s="10"/>
      <c r="V3640" s="10"/>
      <c r="W3640" s="10"/>
      <c r="X3640" s="10"/>
      <c r="Y3640" s="10"/>
      <c r="Z3640" s="10"/>
      <c r="AA3640" s="11" t="str">
        <f t="shared" si="113"/>
        <v/>
      </c>
    </row>
    <row r="3641" spans="16:27" ht="15" customHeight="1">
      <c r="P3641" t="str">
        <f t="shared" si="112"/>
        <v/>
      </c>
      <c r="Q3641" t="str">
        <f>IF(P3641="","",IFERROR(IF(AND(H3641="W7",OR(F3641="causal",F3641="predictive")),IF(AND(OR(K3641=1,K3641="1"),OR(L3641=1,L3641="1"),OR(M3641=1,M3641="1")),"adequate","partial"),IF(AND(H3641="W4",F3641="predictive",OR(J3641="P2",J3641="P3",J3641="P4")),IF(OR(U3641=1,U3641="1"),"adequate","partial"),INDEX(Fit_Matrix!$B:$B,MATCH(P3641,Fit_Matrix!$A:$A,0)))),"CHECK KEY"))</f>
        <v/>
      </c>
      <c r="U3641" s="10"/>
      <c r="V3641" s="10"/>
      <c r="W3641" s="10"/>
      <c r="X3641" s="10"/>
      <c r="Y3641" s="10"/>
      <c r="Z3641" s="10"/>
      <c r="AA3641" s="11" t="str">
        <f t="shared" si="113"/>
        <v/>
      </c>
    </row>
    <row r="3642" spans="16:27" ht="15" customHeight="1">
      <c r="P3642" t="str">
        <f t="shared" si="112"/>
        <v/>
      </c>
      <c r="Q3642" t="str">
        <f>IF(P3642="","",IFERROR(IF(AND(H3642="W7",OR(F3642="causal",F3642="predictive")),IF(AND(OR(K3642=1,K3642="1"),OR(L3642=1,L3642="1"),OR(M3642=1,M3642="1")),"adequate","partial"),IF(AND(H3642="W4",F3642="predictive",OR(J3642="P2",J3642="P3",J3642="P4")),IF(OR(U3642=1,U3642="1"),"adequate","partial"),INDEX(Fit_Matrix!$B:$B,MATCH(P3642,Fit_Matrix!$A:$A,0)))),"CHECK KEY"))</f>
        <v/>
      </c>
      <c r="U3642" s="10"/>
      <c r="V3642" s="10"/>
      <c r="W3642" s="10"/>
      <c r="X3642" s="10"/>
      <c r="Y3642" s="10"/>
      <c r="Z3642" s="10"/>
      <c r="AA3642" s="11" t="str">
        <f t="shared" si="113"/>
        <v/>
      </c>
    </row>
    <row r="3643" spans="16:27" ht="15" customHeight="1">
      <c r="P3643" t="str">
        <f t="shared" si="112"/>
        <v/>
      </c>
      <c r="Q3643" t="str">
        <f>IF(P3643="","",IFERROR(IF(AND(H3643="W7",OR(F3643="causal",F3643="predictive")),IF(AND(OR(K3643=1,K3643="1"),OR(L3643=1,L3643="1"),OR(M3643=1,M3643="1")),"adequate","partial"),IF(AND(H3643="W4",F3643="predictive",OR(J3643="P2",J3643="P3",J3643="P4")),IF(OR(U3643=1,U3643="1"),"adequate","partial"),INDEX(Fit_Matrix!$B:$B,MATCH(P3643,Fit_Matrix!$A:$A,0)))),"CHECK KEY"))</f>
        <v/>
      </c>
      <c r="U3643" s="10"/>
      <c r="V3643" s="10"/>
      <c r="W3643" s="10"/>
      <c r="X3643" s="10"/>
      <c r="Y3643" s="10"/>
      <c r="Z3643" s="10"/>
      <c r="AA3643" s="11" t="str">
        <f t="shared" si="113"/>
        <v/>
      </c>
    </row>
    <row r="3644" spans="16:27" ht="15" customHeight="1">
      <c r="P3644" t="str">
        <f t="shared" si="112"/>
        <v/>
      </c>
      <c r="Q3644" t="str">
        <f>IF(P3644="","",IFERROR(IF(AND(H3644="W7",OR(F3644="causal",F3644="predictive")),IF(AND(OR(K3644=1,K3644="1"),OR(L3644=1,L3644="1"),OR(M3644=1,M3644="1")),"adequate","partial"),IF(AND(H3644="W4",F3644="predictive",OR(J3644="P2",J3644="P3",J3644="P4")),IF(OR(U3644=1,U3644="1"),"adequate","partial"),INDEX(Fit_Matrix!$B:$B,MATCH(P3644,Fit_Matrix!$A:$A,0)))),"CHECK KEY"))</f>
        <v/>
      </c>
      <c r="U3644" s="10"/>
      <c r="V3644" s="10"/>
      <c r="W3644" s="10"/>
      <c r="X3644" s="10"/>
      <c r="Y3644" s="10"/>
      <c r="Z3644" s="10"/>
      <c r="AA3644" s="11" t="str">
        <f t="shared" si="113"/>
        <v/>
      </c>
    </row>
    <row r="3645" spans="16:27" ht="15" customHeight="1">
      <c r="P3645" t="str">
        <f t="shared" si="112"/>
        <v/>
      </c>
      <c r="Q3645" t="str">
        <f>IF(P3645="","",IFERROR(IF(AND(H3645="W7",OR(F3645="causal",F3645="predictive")),IF(AND(OR(K3645=1,K3645="1"),OR(L3645=1,L3645="1"),OR(M3645=1,M3645="1")),"adequate","partial"),IF(AND(H3645="W4",F3645="predictive",OR(J3645="P2",J3645="P3",J3645="P4")),IF(OR(U3645=1,U3645="1"),"adequate","partial"),INDEX(Fit_Matrix!$B:$B,MATCH(P3645,Fit_Matrix!$A:$A,0)))),"CHECK KEY"))</f>
        <v/>
      </c>
      <c r="U3645" s="10"/>
      <c r="V3645" s="10"/>
      <c r="W3645" s="10"/>
      <c r="X3645" s="10"/>
      <c r="Y3645" s="10"/>
      <c r="Z3645" s="10"/>
      <c r="AA3645" s="11" t="str">
        <f t="shared" si="113"/>
        <v/>
      </c>
    </row>
    <row r="3646" spans="16:27" ht="15" customHeight="1">
      <c r="P3646" t="str">
        <f t="shared" si="112"/>
        <v/>
      </c>
      <c r="Q3646" t="str">
        <f>IF(P3646="","",IFERROR(IF(AND(H3646="W7",OR(F3646="causal",F3646="predictive")),IF(AND(OR(K3646=1,K3646="1"),OR(L3646=1,L3646="1"),OR(M3646=1,M3646="1")),"adequate","partial"),IF(AND(H3646="W4",F3646="predictive",OR(J3646="P2",J3646="P3",J3646="P4")),IF(OR(U3646=1,U3646="1"),"adequate","partial"),INDEX(Fit_Matrix!$B:$B,MATCH(P3646,Fit_Matrix!$A:$A,0)))),"CHECK KEY"))</f>
        <v/>
      </c>
      <c r="U3646" s="10"/>
      <c r="V3646" s="10"/>
      <c r="W3646" s="10"/>
      <c r="X3646" s="10"/>
      <c r="Y3646" s="10"/>
      <c r="Z3646" s="10"/>
      <c r="AA3646" s="11" t="str">
        <f t="shared" si="113"/>
        <v/>
      </c>
    </row>
    <row r="3647" spans="16:27" ht="15" customHeight="1">
      <c r="P3647" t="str">
        <f t="shared" si="112"/>
        <v/>
      </c>
      <c r="Q3647" t="str">
        <f>IF(P3647="","",IFERROR(IF(AND(H3647="W7",OR(F3647="causal",F3647="predictive")),IF(AND(OR(K3647=1,K3647="1"),OR(L3647=1,L3647="1"),OR(M3647=1,M3647="1")),"adequate","partial"),IF(AND(H3647="W4",F3647="predictive",OR(J3647="P2",J3647="P3",J3647="P4")),IF(OR(U3647=1,U3647="1"),"adequate","partial"),INDEX(Fit_Matrix!$B:$B,MATCH(P3647,Fit_Matrix!$A:$A,0)))),"CHECK KEY"))</f>
        <v/>
      </c>
      <c r="U3647" s="10"/>
      <c r="V3647" s="10"/>
      <c r="W3647" s="10"/>
      <c r="X3647" s="10"/>
      <c r="Y3647" s="10"/>
      <c r="Z3647" s="10"/>
      <c r="AA3647" s="11" t="str">
        <f t="shared" si="113"/>
        <v/>
      </c>
    </row>
    <row r="3648" spans="16:27" ht="15" customHeight="1">
      <c r="P3648" t="str">
        <f t="shared" si="112"/>
        <v/>
      </c>
      <c r="Q3648" t="str">
        <f>IF(P3648="","",IFERROR(IF(AND(H3648="W7",OR(F3648="causal",F3648="predictive")),IF(AND(OR(K3648=1,K3648="1"),OR(L3648=1,L3648="1"),OR(M3648=1,M3648="1")),"adequate","partial"),IF(AND(H3648="W4",F3648="predictive",OR(J3648="P2",J3648="P3",J3648="P4")),IF(OR(U3648=1,U3648="1"),"adequate","partial"),INDEX(Fit_Matrix!$B:$B,MATCH(P3648,Fit_Matrix!$A:$A,0)))),"CHECK KEY"))</f>
        <v/>
      </c>
      <c r="U3648" s="10"/>
      <c r="V3648" s="10"/>
      <c r="W3648" s="10"/>
      <c r="X3648" s="10"/>
      <c r="Y3648" s="10"/>
      <c r="Z3648" s="10"/>
      <c r="AA3648" s="11" t="str">
        <f t="shared" si="113"/>
        <v/>
      </c>
    </row>
    <row r="3649" spans="16:27" ht="15" customHeight="1">
      <c r="P3649" t="str">
        <f t="shared" si="112"/>
        <v/>
      </c>
      <c r="Q3649" t="str">
        <f>IF(P3649="","",IFERROR(IF(AND(H3649="W7",OR(F3649="causal",F3649="predictive")),IF(AND(OR(K3649=1,K3649="1"),OR(L3649=1,L3649="1"),OR(M3649=1,M3649="1")),"adequate","partial"),IF(AND(H3649="W4",F3649="predictive",OR(J3649="P2",J3649="P3",J3649="P4")),IF(OR(U3649=1,U3649="1"),"adequate","partial"),INDEX(Fit_Matrix!$B:$B,MATCH(P3649,Fit_Matrix!$A:$A,0)))),"CHECK KEY"))</f>
        <v/>
      </c>
      <c r="U3649" s="10"/>
      <c r="V3649" s="10"/>
      <c r="W3649" s="10"/>
      <c r="X3649" s="10"/>
      <c r="Y3649" s="10"/>
      <c r="Z3649" s="10"/>
      <c r="AA3649" s="11" t="str">
        <f t="shared" si="113"/>
        <v/>
      </c>
    </row>
    <row r="3650" spans="16:27" ht="15" customHeight="1">
      <c r="P3650" t="str">
        <f t="shared" ref="P3650:P3713" si="114">IF(OR(F3650="",H3650="",J3650=""),"",J3650&amp;"|"&amp;F3650&amp;"|"&amp;IF(H3650="W3","W3_"&amp;IF(I3650="","unknown",I3650),H3650))</f>
        <v/>
      </c>
      <c r="Q3650" t="str">
        <f>IF(P3650="","",IFERROR(IF(AND(H3650="W7",OR(F3650="causal",F3650="predictive")),IF(AND(OR(K3650=1,K3650="1"),OR(L3650=1,L3650="1"),OR(M3650=1,M3650="1")),"adequate","partial"),IF(AND(H3650="W4",F3650="predictive",OR(J3650="P2",J3650="P3",J3650="P4")),IF(OR(U3650=1,U3650="1"),"adequate","partial"),INDEX(Fit_Matrix!$B:$B,MATCH(P3650,Fit_Matrix!$A:$A,0)))),"CHECK KEY"))</f>
        <v/>
      </c>
      <c r="U3650" s="10"/>
      <c r="V3650" s="10"/>
      <c r="W3650" s="10"/>
      <c r="X3650" s="10"/>
      <c r="Y3650" s="10"/>
      <c r="Z3650" s="10"/>
      <c r="AA3650" s="11" t="str">
        <f t="shared" ref="AA3650:AA3713" si="115">IF(A3650="","",IF(AND(J3650="P4",F3650="causal"),"P4-CAUSAL",""))</f>
        <v/>
      </c>
    </row>
    <row r="3651" spans="16:27" ht="15" customHeight="1">
      <c r="P3651" t="str">
        <f t="shared" si="114"/>
        <v/>
      </c>
      <c r="Q3651" t="str">
        <f>IF(P3651="","",IFERROR(IF(AND(H3651="W7",OR(F3651="causal",F3651="predictive")),IF(AND(OR(K3651=1,K3651="1"),OR(L3651=1,L3651="1"),OR(M3651=1,M3651="1")),"adequate","partial"),IF(AND(H3651="W4",F3651="predictive",OR(J3651="P2",J3651="P3",J3651="P4")),IF(OR(U3651=1,U3651="1"),"adequate","partial"),INDEX(Fit_Matrix!$B:$B,MATCH(P3651,Fit_Matrix!$A:$A,0)))),"CHECK KEY"))</f>
        <v/>
      </c>
      <c r="U3651" s="10"/>
      <c r="V3651" s="10"/>
      <c r="W3651" s="10"/>
      <c r="X3651" s="10"/>
      <c r="Y3651" s="10"/>
      <c r="Z3651" s="10"/>
      <c r="AA3651" s="11" t="str">
        <f t="shared" si="115"/>
        <v/>
      </c>
    </row>
    <row r="3652" spans="16:27" ht="15" customHeight="1">
      <c r="P3652" t="str">
        <f t="shared" si="114"/>
        <v/>
      </c>
      <c r="Q3652" t="str">
        <f>IF(P3652="","",IFERROR(IF(AND(H3652="W7",OR(F3652="causal",F3652="predictive")),IF(AND(OR(K3652=1,K3652="1"),OR(L3652=1,L3652="1"),OR(M3652=1,M3652="1")),"adequate","partial"),IF(AND(H3652="W4",F3652="predictive",OR(J3652="P2",J3652="P3",J3652="P4")),IF(OR(U3652=1,U3652="1"),"adequate","partial"),INDEX(Fit_Matrix!$B:$B,MATCH(P3652,Fit_Matrix!$A:$A,0)))),"CHECK KEY"))</f>
        <v/>
      </c>
      <c r="U3652" s="10"/>
      <c r="V3652" s="10"/>
      <c r="W3652" s="10"/>
      <c r="X3652" s="10"/>
      <c r="Y3652" s="10"/>
      <c r="Z3652" s="10"/>
      <c r="AA3652" s="11" t="str">
        <f t="shared" si="115"/>
        <v/>
      </c>
    </row>
    <row r="3653" spans="16:27" ht="15" customHeight="1">
      <c r="P3653" t="str">
        <f t="shared" si="114"/>
        <v/>
      </c>
      <c r="Q3653" t="str">
        <f>IF(P3653="","",IFERROR(IF(AND(H3653="W7",OR(F3653="causal",F3653="predictive")),IF(AND(OR(K3653=1,K3653="1"),OR(L3653=1,L3653="1"),OR(M3653=1,M3653="1")),"adequate","partial"),IF(AND(H3653="W4",F3653="predictive",OR(J3653="P2",J3653="P3",J3653="P4")),IF(OR(U3653=1,U3653="1"),"adequate","partial"),INDEX(Fit_Matrix!$B:$B,MATCH(P3653,Fit_Matrix!$A:$A,0)))),"CHECK KEY"))</f>
        <v/>
      </c>
      <c r="U3653" s="10"/>
      <c r="V3653" s="10"/>
      <c r="W3653" s="10"/>
      <c r="X3653" s="10"/>
      <c r="Y3653" s="10"/>
      <c r="Z3653" s="10"/>
      <c r="AA3653" s="11" t="str">
        <f t="shared" si="115"/>
        <v/>
      </c>
    </row>
    <row r="3654" spans="16:27" ht="15" customHeight="1">
      <c r="P3654" t="str">
        <f t="shared" si="114"/>
        <v/>
      </c>
      <c r="Q3654" t="str">
        <f>IF(P3654="","",IFERROR(IF(AND(H3654="W7",OR(F3654="causal",F3654="predictive")),IF(AND(OR(K3654=1,K3654="1"),OR(L3654=1,L3654="1"),OR(M3654=1,M3654="1")),"adequate","partial"),IF(AND(H3654="W4",F3654="predictive",OR(J3654="P2",J3654="P3",J3654="P4")),IF(OR(U3654=1,U3654="1"),"adequate","partial"),INDEX(Fit_Matrix!$B:$B,MATCH(P3654,Fit_Matrix!$A:$A,0)))),"CHECK KEY"))</f>
        <v/>
      </c>
      <c r="U3654" s="10"/>
      <c r="V3654" s="10"/>
      <c r="W3654" s="10"/>
      <c r="X3654" s="10"/>
      <c r="Y3654" s="10"/>
      <c r="Z3654" s="10"/>
      <c r="AA3654" s="11" t="str">
        <f t="shared" si="115"/>
        <v/>
      </c>
    </row>
    <row r="3655" spans="16:27" ht="15" customHeight="1">
      <c r="P3655" t="str">
        <f t="shared" si="114"/>
        <v/>
      </c>
      <c r="Q3655" t="str">
        <f>IF(P3655="","",IFERROR(IF(AND(H3655="W7",OR(F3655="causal",F3655="predictive")),IF(AND(OR(K3655=1,K3655="1"),OR(L3655=1,L3655="1"),OR(M3655=1,M3655="1")),"adequate","partial"),IF(AND(H3655="W4",F3655="predictive",OR(J3655="P2",J3655="P3",J3655="P4")),IF(OR(U3655=1,U3655="1"),"adequate","partial"),INDEX(Fit_Matrix!$B:$B,MATCH(P3655,Fit_Matrix!$A:$A,0)))),"CHECK KEY"))</f>
        <v/>
      </c>
      <c r="U3655" s="10"/>
      <c r="V3655" s="10"/>
      <c r="W3655" s="10"/>
      <c r="X3655" s="10"/>
      <c r="Y3655" s="10"/>
      <c r="Z3655" s="10"/>
      <c r="AA3655" s="11" t="str">
        <f t="shared" si="115"/>
        <v/>
      </c>
    </row>
    <row r="3656" spans="16:27" ht="15" customHeight="1">
      <c r="P3656" t="str">
        <f t="shared" si="114"/>
        <v/>
      </c>
      <c r="Q3656" t="str">
        <f>IF(P3656="","",IFERROR(IF(AND(H3656="W7",OR(F3656="causal",F3656="predictive")),IF(AND(OR(K3656=1,K3656="1"),OR(L3656=1,L3656="1"),OR(M3656=1,M3656="1")),"adequate","partial"),IF(AND(H3656="W4",F3656="predictive",OR(J3656="P2",J3656="P3",J3656="P4")),IF(OR(U3656=1,U3656="1"),"adequate","partial"),INDEX(Fit_Matrix!$B:$B,MATCH(P3656,Fit_Matrix!$A:$A,0)))),"CHECK KEY"))</f>
        <v/>
      </c>
      <c r="U3656" s="10"/>
      <c r="V3656" s="10"/>
      <c r="W3656" s="10"/>
      <c r="X3656" s="10"/>
      <c r="Y3656" s="10"/>
      <c r="Z3656" s="10"/>
      <c r="AA3656" s="11" t="str">
        <f t="shared" si="115"/>
        <v/>
      </c>
    </row>
    <row r="3657" spans="16:27" ht="15" customHeight="1">
      <c r="P3657" t="str">
        <f t="shared" si="114"/>
        <v/>
      </c>
      <c r="Q3657" t="str">
        <f>IF(P3657="","",IFERROR(IF(AND(H3657="W7",OR(F3657="causal",F3657="predictive")),IF(AND(OR(K3657=1,K3657="1"),OR(L3657=1,L3657="1"),OR(M3657=1,M3657="1")),"adequate","partial"),IF(AND(H3657="W4",F3657="predictive",OR(J3657="P2",J3657="P3",J3657="P4")),IF(OR(U3657=1,U3657="1"),"adequate","partial"),INDEX(Fit_Matrix!$B:$B,MATCH(P3657,Fit_Matrix!$A:$A,0)))),"CHECK KEY"))</f>
        <v/>
      </c>
      <c r="U3657" s="10"/>
      <c r="V3657" s="10"/>
      <c r="W3657" s="10"/>
      <c r="X3657" s="10"/>
      <c r="Y3657" s="10"/>
      <c r="Z3657" s="10"/>
      <c r="AA3657" s="11" t="str">
        <f t="shared" si="115"/>
        <v/>
      </c>
    </row>
    <row r="3658" spans="16:27" ht="15" customHeight="1">
      <c r="P3658" t="str">
        <f t="shared" si="114"/>
        <v/>
      </c>
      <c r="Q3658" t="str">
        <f>IF(P3658="","",IFERROR(IF(AND(H3658="W7",OR(F3658="causal",F3658="predictive")),IF(AND(OR(K3658=1,K3658="1"),OR(L3658=1,L3658="1"),OR(M3658=1,M3658="1")),"adequate","partial"),IF(AND(H3658="W4",F3658="predictive",OR(J3658="P2",J3658="P3",J3658="P4")),IF(OR(U3658=1,U3658="1"),"adequate","partial"),INDEX(Fit_Matrix!$B:$B,MATCH(P3658,Fit_Matrix!$A:$A,0)))),"CHECK KEY"))</f>
        <v/>
      </c>
      <c r="U3658" s="10"/>
      <c r="V3658" s="10"/>
      <c r="W3658" s="10"/>
      <c r="X3658" s="10"/>
      <c r="Y3658" s="10"/>
      <c r="Z3658" s="10"/>
      <c r="AA3658" s="11" t="str">
        <f t="shared" si="115"/>
        <v/>
      </c>
    </row>
    <row r="3659" spans="16:27" ht="15" customHeight="1">
      <c r="P3659" t="str">
        <f t="shared" si="114"/>
        <v/>
      </c>
      <c r="Q3659" t="str">
        <f>IF(P3659="","",IFERROR(IF(AND(H3659="W7",OR(F3659="causal",F3659="predictive")),IF(AND(OR(K3659=1,K3659="1"),OR(L3659=1,L3659="1"),OR(M3659=1,M3659="1")),"adequate","partial"),IF(AND(H3659="W4",F3659="predictive",OR(J3659="P2",J3659="P3",J3659="P4")),IF(OR(U3659=1,U3659="1"),"adequate","partial"),INDEX(Fit_Matrix!$B:$B,MATCH(P3659,Fit_Matrix!$A:$A,0)))),"CHECK KEY"))</f>
        <v/>
      </c>
      <c r="U3659" s="10"/>
      <c r="V3659" s="10"/>
      <c r="W3659" s="10"/>
      <c r="X3659" s="10"/>
      <c r="Y3659" s="10"/>
      <c r="Z3659" s="10"/>
      <c r="AA3659" s="11" t="str">
        <f t="shared" si="115"/>
        <v/>
      </c>
    </row>
    <row r="3660" spans="16:27" ht="15" customHeight="1">
      <c r="P3660" t="str">
        <f t="shared" si="114"/>
        <v/>
      </c>
      <c r="Q3660" t="str">
        <f>IF(P3660="","",IFERROR(IF(AND(H3660="W7",OR(F3660="causal",F3660="predictive")),IF(AND(OR(K3660=1,K3660="1"),OR(L3660=1,L3660="1"),OR(M3660=1,M3660="1")),"adequate","partial"),IF(AND(H3660="W4",F3660="predictive",OR(J3660="P2",J3660="P3",J3660="P4")),IF(OR(U3660=1,U3660="1"),"adequate","partial"),INDEX(Fit_Matrix!$B:$B,MATCH(P3660,Fit_Matrix!$A:$A,0)))),"CHECK KEY"))</f>
        <v/>
      </c>
      <c r="U3660" s="10"/>
      <c r="V3660" s="10"/>
      <c r="W3660" s="10"/>
      <c r="X3660" s="10"/>
      <c r="Y3660" s="10"/>
      <c r="Z3660" s="10"/>
      <c r="AA3660" s="11" t="str">
        <f t="shared" si="115"/>
        <v/>
      </c>
    </row>
    <row r="3661" spans="16:27" ht="15" customHeight="1">
      <c r="P3661" t="str">
        <f t="shared" si="114"/>
        <v/>
      </c>
      <c r="Q3661" t="str">
        <f>IF(P3661="","",IFERROR(IF(AND(H3661="W7",OR(F3661="causal",F3661="predictive")),IF(AND(OR(K3661=1,K3661="1"),OR(L3661=1,L3661="1"),OR(M3661=1,M3661="1")),"adequate","partial"),IF(AND(H3661="W4",F3661="predictive",OR(J3661="P2",J3661="P3",J3661="P4")),IF(OR(U3661=1,U3661="1"),"adequate","partial"),INDEX(Fit_Matrix!$B:$B,MATCH(P3661,Fit_Matrix!$A:$A,0)))),"CHECK KEY"))</f>
        <v/>
      </c>
      <c r="U3661" s="10"/>
      <c r="V3661" s="10"/>
      <c r="W3661" s="10"/>
      <c r="X3661" s="10"/>
      <c r="Y3661" s="10"/>
      <c r="Z3661" s="10"/>
      <c r="AA3661" s="11" t="str">
        <f t="shared" si="115"/>
        <v/>
      </c>
    </row>
    <row r="3662" spans="16:27" ht="15" customHeight="1">
      <c r="P3662" t="str">
        <f t="shared" si="114"/>
        <v/>
      </c>
      <c r="Q3662" t="str">
        <f>IF(P3662="","",IFERROR(IF(AND(H3662="W7",OR(F3662="causal",F3662="predictive")),IF(AND(OR(K3662=1,K3662="1"),OR(L3662=1,L3662="1"),OR(M3662=1,M3662="1")),"adequate","partial"),IF(AND(H3662="W4",F3662="predictive",OR(J3662="P2",J3662="P3",J3662="P4")),IF(OR(U3662=1,U3662="1"),"adequate","partial"),INDEX(Fit_Matrix!$B:$B,MATCH(P3662,Fit_Matrix!$A:$A,0)))),"CHECK KEY"))</f>
        <v/>
      </c>
      <c r="U3662" s="10"/>
      <c r="V3662" s="10"/>
      <c r="W3662" s="10"/>
      <c r="X3662" s="10"/>
      <c r="Y3662" s="10"/>
      <c r="Z3662" s="10"/>
      <c r="AA3662" s="11" t="str">
        <f t="shared" si="115"/>
        <v/>
      </c>
    </row>
    <row r="3663" spans="16:27" ht="15" customHeight="1">
      <c r="P3663" t="str">
        <f t="shared" si="114"/>
        <v/>
      </c>
      <c r="Q3663" t="str">
        <f>IF(P3663="","",IFERROR(IF(AND(H3663="W7",OR(F3663="causal",F3663="predictive")),IF(AND(OR(K3663=1,K3663="1"),OR(L3663=1,L3663="1"),OR(M3663=1,M3663="1")),"adequate","partial"),IF(AND(H3663="W4",F3663="predictive",OR(J3663="P2",J3663="P3",J3663="P4")),IF(OR(U3663=1,U3663="1"),"adequate","partial"),INDEX(Fit_Matrix!$B:$B,MATCH(P3663,Fit_Matrix!$A:$A,0)))),"CHECK KEY"))</f>
        <v/>
      </c>
      <c r="U3663" s="10"/>
      <c r="V3663" s="10"/>
      <c r="W3663" s="10"/>
      <c r="X3663" s="10"/>
      <c r="Y3663" s="10"/>
      <c r="Z3663" s="10"/>
      <c r="AA3663" s="11" t="str">
        <f t="shared" si="115"/>
        <v/>
      </c>
    </row>
    <row r="3664" spans="16:27" ht="15" customHeight="1">
      <c r="P3664" t="str">
        <f t="shared" si="114"/>
        <v/>
      </c>
      <c r="Q3664" t="str">
        <f>IF(P3664="","",IFERROR(IF(AND(H3664="W7",OR(F3664="causal",F3664="predictive")),IF(AND(OR(K3664=1,K3664="1"),OR(L3664=1,L3664="1"),OR(M3664=1,M3664="1")),"adequate","partial"),IF(AND(H3664="W4",F3664="predictive",OR(J3664="P2",J3664="P3",J3664="P4")),IF(OR(U3664=1,U3664="1"),"adequate","partial"),INDEX(Fit_Matrix!$B:$B,MATCH(P3664,Fit_Matrix!$A:$A,0)))),"CHECK KEY"))</f>
        <v/>
      </c>
      <c r="U3664" s="10"/>
      <c r="V3664" s="10"/>
      <c r="W3664" s="10"/>
      <c r="X3664" s="10"/>
      <c r="Y3664" s="10"/>
      <c r="Z3664" s="10"/>
      <c r="AA3664" s="11" t="str">
        <f t="shared" si="115"/>
        <v/>
      </c>
    </row>
    <row r="3665" spans="16:27" ht="15" customHeight="1">
      <c r="P3665" t="str">
        <f t="shared" si="114"/>
        <v/>
      </c>
      <c r="Q3665" t="str">
        <f>IF(P3665="","",IFERROR(IF(AND(H3665="W7",OR(F3665="causal",F3665="predictive")),IF(AND(OR(K3665=1,K3665="1"),OR(L3665=1,L3665="1"),OR(M3665=1,M3665="1")),"adequate","partial"),IF(AND(H3665="W4",F3665="predictive",OR(J3665="P2",J3665="P3",J3665="P4")),IF(OR(U3665=1,U3665="1"),"adequate","partial"),INDEX(Fit_Matrix!$B:$B,MATCH(P3665,Fit_Matrix!$A:$A,0)))),"CHECK KEY"))</f>
        <v/>
      </c>
      <c r="U3665" s="10"/>
      <c r="V3665" s="10"/>
      <c r="W3665" s="10"/>
      <c r="X3665" s="10"/>
      <c r="Y3665" s="10"/>
      <c r="Z3665" s="10"/>
      <c r="AA3665" s="11" t="str">
        <f t="shared" si="115"/>
        <v/>
      </c>
    </row>
    <row r="3666" spans="16:27" ht="15" customHeight="1">
      <c r="P3666" t="str">
        <f t="shared" si="114"/>
        <v/>
      </c>
      <c r="Q3666" t="str">
        <f>IF(P3666="","",IFERROR(IF(AND(H3666="W7",OR(F3666="causal",F3666="predictive")),IF(AND(OR(K3666=1,K3666="1"),OR(L3666=1,L3666="1"),OR(M3666=1,M3666="1")),"adequate","partial"),IF(AND(H3666="W4",F3666="predictive",OR(J3666="P2",J3666="P3",J3666="P4")),IF(OR(U3666=1,U3666="1"),"adequate","partial"),INDEX(Fit_Matrix!$B:$B,MATCH(P3666,Fit_Matrix!$A:$A,0)))),"CHECK KEY"))</f>
        <v/>
      </c>
      <c r="U3666" s="10"/>
      <c r="V3666" s="10"/>
      <c r="W3666" s="10"/>
      <c r="X3666" s="10"/>
      <c r="Y3666" s="10"/>
      <c r="Z3666" s="10"/>
      <c r="AA3666" s="11" t="str">
        <f t="shared" si="115"/>
        <v/>
      </c>
    </row>
    <row r="3667" spans="16:27" ht="15" customHeight="1">
      <c r="P3667" t="str">
        <f t="shared" si="114"/>
        <v/>
      </c>
      <c r="Q3667" t="str">
        <f>IF(P3667="","",IFERROR(IF(AND(H3667="W7",OR(F3667="causal",F3667="predictive")),IF(AND(OR(K3667=1,K3667="1"),OR(L3667=1,L3667="1"),OR(M3667=1,M3667="1")),"adequate","partial"),IF(AND(H3667="W4",F3667="predictive",OR(J3667="P2",J3667="P3",J3667="P4")),IF(OR(U3667=1,U3667="1"),"adequate","partial"),INDEX(Fit_Matrix!$B:$B,MATCH(P3667,Fit_Matrix!$A:$A,0)))),"CHECK KEY"))</f>
        <v/>
      </c>
      <c r="U3667" s="10"/>
      <c r="V3667" s="10"/>
      <c r="W3667" s="10"/>
      <c r="X3667" s="10"/>
      <c r="Y3667" s="10"/>
      <c r="Z3667" s="10"/>
      <c r="AA3667" s="11" t="str">
        <f t="shared" si="115"/>
        <v/>
      </c>
    </row>
    <row r="3668" spans="16:27" ht="15" customHeight="1">
      <c r="P3668" t="str">
        <f t="shared" si="114"/>
        <v/>
      </c>
      <c r="Q3668" t="str">
        <f>IF(P3668="","",IFERROR(IF(AND(H3668="W7",OR(F3668="causal",F3668="predictive")),IF(AND(OR(K3668=1,K3668="1"),OR(L3668=1,L3668="1"),OR(M3668=1,M3668="1")),"adequate","partial"),IF(AND(H3668="W4",F3668="predictive",OR(J3668="P2",J3668="P3",J3668="P4")),IF(OR(U3668=1,U3668="1"),"adequate","partial"),INDEX(Fit_Matrix!$B:$B,MATCH(P3668,Fit_Matrix!$A:$A,0)))),"CHECK KEY"))</f>
        <v/>
      </c>
      <c r="U3668" s="10"/>
      <c r="V3668" s="10"/>
      <c r="W3668" s="10"/>
      <c r="X3668" s="10"/>
      <c r="Y3668" s="10"/>
      <c r="Z3668" s="10"/>
      <c r="AA3668" s="11" t="str">
        <f t="shared" si="115"/>
        <v/>
      </c>
    </row>
    <row r="3669" spans="16:27" ht="15" customHeight="1">
      <c r="P3669" t="str">
        <f t="shared" si="114"/>
        <v/>
      </c>
      <c r="Q3669" t="str">
        <f>IF(P3669="","",IFERROR(IF(AND(H3669="W7",OR(F3669="causal",F3669="predictive")),IF(AND(OR(K3669=1,K3669="1"),OR(L3669=1,L3669="1"),OR(M3669=1,M3669="1")),"adequate","partial"),IF(AND(H3669="W4",F3669="predictive",OR(J3669="P2",J3669="P3",J3669="P4")),IF(OR(U3669=1,U3669="1"),"adequate","partial"),INDEX(Fit_Matrix!$B:$B,MATCH(P3669,Fit_Matrix!$A:$A,0)))),"CHECK KEY"))</f>
        <v/>
      </c>
      <c r="U3669" s="10"/>
      <c r="V3669" s="10"/>
      <c r="W3669" s="10"/>
      <c r="X3669" s="10"/>
      <c r="Y3669" s="10"/>
      <c r="Z3669" s="10"/>
      <c r="AA3669" s="11" t="str">
        <f t="shared" si="115"/>
        <v/>
      </c>
    </row>
    <row r="3670" spans="16:27" ht="15" customHeight="1">
      <c r="P3670" t="str">
        <f t="shared" si="114"/>
        <v/>
      </c>
      <c r="Q3670" t="str">
        <f>IF(P3670="","",IFERROR(IF(AND(H3670="W7",OR(F3670="causal",F3670="predictive")),IF(AND(OR(K3670=1,K3670="1"),OR(L3670=1,L3670="1"),OR(M3670=1,M3670="1")),"adequate","partial"),IF(AND(H3670="W4",F3670="predictive",OR(J3670="P2",J3670="P3",J3670="P4")),IF(OR(U3670=1,U3670="1"),"adequate","partial"),INDEX(Fit_Matrix!$B:$B,MATCH(P3670,Fit_Matrix!$A:$A,0)))),"CHECK KEY"))</f>
        <v/>
      </c>
      <c r="U3670" s="10"/>
      <c r="V3670" s="10"/>
      <c r="W3670" s="10"/>
      <c r="X3670" s="10"/>
      <c r="Y3670" s="10"/>
      <c r="Z3670" s="10"/>
      <c r="AA3670" s="11" t="str">
        <f t="shared" si="115"/>
        <v/>
      </c>
    </row>
    <row r="3671" spans="16:27" ht="15" customHeight="1">
      <c r="P3671" t="str">
        <f t="shared" si="114"/>
        <v/>
      </c>
      <c r="Q3671" t="str">
        <f>IF(P3671="","",IFERROR(IF(AND(H3671="W7",OR(F3671="causal",F3671="predictive")),IF(AND(OR(K3671=1,K3671="1"),OR(L3671=1,L3671="1"),OR(M3671=1,M3671="1")),"adequate","partial"),IF(AND(H3671="W4",F3671="predictive",OR(J3671="P2",J3671="P3",J3671="P4")),IF(OR(U3671=1,U3671="1"),"adequate","partial"),INDEX(Fit_Matrix!$B:$B,MATCH(P3671,Fit_Matrix!$A:$A,0)))),"CHECK KEY"))</f>
        <v/>
      </c>
      <c r="U3671" s="10"/>
      <c r="V3671" s="10"/>
      <c r="W3671" s="10"/>
      <c r="X3671" s="10"/>
      <c r="Y3671" s="10"/>
      <c r="Z3671" s="10"/>
      <c r="AA3671" s="11" t="str">
        <f t="shared" si="115"/>
        <v/>
      </c>
    </row>
    <row r="3672" spans="16:27" ht="15" customHeight="1">
      <c r="P3672" t="str">
        <f t="shared" si="114"/>
        <v/>
      </c>
      <c r="Q3672" t="str">
        <f>IF(P3672="","",IFERROR(IF(AND(H3672="W7",OR(F3672="causal",F3672="predictive")),IF(AND(OR(K3672=1,K3672="1"),OR(L3672=1,L3672="1"),OR(M3672=1,M3672="1")),"adequate","partial"),IF(AND(H3672="W4",F3672="predictive",OR(J3672="P2",J3672="P3",J3672="P4")),IF(OR(U3672=1,U3672="1"),"adequate","partial"),INDEX(Fit_Matrix!$B:$B,MATCH(P3672,Fit_Matrix!$A:$A,0)))),"CHECK KEY"))</f>
        <v/>
      </c>
      <c r="U3672" s="10"/>
      <c r="V3672" s="10"/>
      <c r="W3672" s="10"/>
      <c r="X3672" s="10"/>
      <c r="Y3672" s="10"/>
      <c r="Z3672" s="10"/>
      <c r="AA3672" s="11" t="str">
        <f t="shared" si="115"/>
        <v/>
      </c>
    </row>
    <row r="3673" spans="16:27" ht="15" customHeight="1">
      <c r="P3673" t="str">
        <f t="shared" si="114"/>
        <v/>
      </c>
      <c r="Q3673" t="str">
        <f>IF(P3673="","",IFERROR(IF(AND(H3673="W7",OR(F3673="causal",F3673="predictive")),IF(AND(OR(K3673=1,K3673="1"),OR(L3673=1,L3673="1"),OR(M3673=1,M3673="1")),"adequate","partial"),IF(AND(H3673="W4",F3673="predictive",OR(J3673="P2",J3673="P3",J3673="P4")),IF(OR(U3673=1,U3673="1"),"adequate","partial"),INDEX(Fit_Matrix!$B:$B,MATCH(P3673,Fit_Matrix!$A:$A,0)))),"CHECK KEY"))</f>
        <v/>
      </c>
      <c r="U3673" s="10"/>
      <c r="V3673" s="10"/>
      <c r="W3673" s="10"/>
      <c r="X3673" s="10"/>
      <c r="Y3673" s="10"/>
      <c r="Z3673" s="10"/>
      <c r="AA3673" s="11" t="str">
        <f t="shared" si="115"/>
        <v/>
      </c>
    </row>
    <row r="3674" spans="16:27" ht="15" customHeight="1">
      <c r="P3674" t="str">
        <f t="shared" si="114"/>
        <v/>
      </c>
      <c r="Q3674" t="str">
        <f>IF(P3674="","",IFERROR(IF(AND(H3674="W7",OR(F3674="causal",F3674="predictive")),IF(AND(OR(K3674=1,K3674="1"),OR(L3674=1,L3674="1"),OR(M3674=1,M3674="1")),"adequate","partial"),IF(AND(H3674="W4",F3674="predictive",OR(J3674="P2",J3674="P3",J3674="P4")),IF(OR(U3674=1,U3674="1"),"adequate","partial"),INDEX(Fit_Matrix!$B:$B,MATCH(P3674,Fit_Matrix!$A:$A,0)))),"CHECK KEY"))</f>
        <v/>
      </c>
      <c r="U3674" s="10"/>
      <c r="V3674" s="10"/>
      <c r="W3674" s="10"/>
      <c r="X3674" s="10"/>
      <c r="Y3674" s="10"/>
      <c r="Z3674" s="10"/>
      <c r="AA3674" s="11" t="str">
        <f t="shared" si="115"/>
        <v/>
      </c>
    </row>
    <row r="3675" spans="16:27" ht="15" customHeight="1">
      <c r="P3675" t="str">
        <f t="shared" si="114"/>
        <v/>
      </c>
      <c r="Q3675" t="str">
        <f>IF(P3675="","",IFERROR(IF(AND(H3675="W7",OR(F3675="causal",F3675="predictive")),IF(AND(OR(K3675=1,K3675="1"),OR(L3675=1,L3675="1"),OR(M3675=1,M3675="1")),"adequate","partial"),IF(AND(H3675="W4",F3675="predictive",OR(J3675="P2",J3675="P3",J3675="P4")),IF(OR(U3675=1,U3675="1"),"adequate","partial"),INDEX(Fit_Matrix!$B:$B,MATCH(P3675,Fit_Matrix!$A:$A,0)))),"CHECK KEY"))</f>
        <v/>
      </c>
      <c r="U3675" s="10"/>
      <c r="V3675" s="10"/>
      <c r="W3675" s="10"/>
      <c r="X3675" s="10"/>
      <c r="Y3675" s="10"/>
      <c r="Z3675" s="10"/>
      <c r="AA3675" s="11" t="str">
        <f t="shared" si="115"/>
        <v/>
      </c>
    </row>
    <row r="3676" spans="16:27" ht="15" customHeight="1">
      <c r="P3676" t="str">
        <f t="shared" si="114"/>
        <v/>
      </c>
      <c r="Q3676" t="str">
        <f>IF(P3676="","",IFERROR(IF(AND(H3676="W7",OR(F3676="causal",F3676="predictive")),IF(AND(OR(K3676=1,K3676="1"),OR(L3676=1,L3676="1"),OR(M3676=1,M3676="1")),"adequate","partial"),IF(AND(H3676="W4",F3676="predictive",OR(J3676="P2",J3676="P3",J3676="P4")),IF(OR(U3676=1,U3676="1"),"adequate","partial"),INDEX(Fit_Matrix!$B:$B,MATCH(P3676,Fit_Matrix!$A:$A,0)))),"CHECK KEY"))</f>
        <v/>
      </c>
      <c r="U3676" s="10"/>
      <c r="V3676" s="10"/>
      <c r="W3676" s="10"/>
      <c r="X3676" s="10"/>
      <c r="Y3676" s="10"/>
      <c r="Z3676" s="10"/>
      <c r="AA3676" s="11" t="str">
        <f t="shared" si="115"/>
        <v/>
      </c>
    </row>
    <row r="3677" spans="16:27" ht="15" customHeight="1">
      <c r="P3677" t="str">
        <f t="shared" si="114"/>
        <v/>
      </c>
      <c r="Q3677" t="str">
        <f>IF(P3677="","",IFERROR(IF(AND(H3677="W7",OR(F3677="causal",F3677="predictive")),IF(AND(OR(K3677=1,K3677="1"),OR(L3677=1,L3677="1"),OR(M3677=1,M3677="1")),"adequate","partial"),IF(AND(H3677="W4",F3677="predictive",OR(J3677="P2",J3677="P3",J3677="P4")),IF(OR(U3677=1,U3677="1"),"adequate","partial"),INDEX(Fit_Matrix!$B:$B,MATCH(P3677,Fit_Matrix!$A:$A,0)))),"CHECK KEY"))</f>
        <v/>
      </c>
      <c r="U3677" s="10"/>
      <c r="V3677" s="10"/>
      <c r="W3677" s="10"/>
      <c r="X3677" s="10"/>
      <c r="Y3677" s="10"/>
      <c r="Z3677" s="10"/>
      <c r="AA3677" s="11" t="str">
        <f t="shared" si="115"/>
        <v/>
      </c>
    </row>
    <row r="3678" spans="16:27" ht="15" customHeight="1">
      <c r="P3678" t="str">
        <f t="shared" si="114"/>
        <v/>
      </c>
      <c r="Q3678" t="str">
        <f>IF(P3678="","",IFERROR(IF(AND(H3678="W7",OR(F3678="causal",F3678="predictive")),IF(AND(OR(K3678=1,K3678="1"),OR(L3678=1,L3678="1"),OR(M3678=1,M3678="1")),"adequate","partial"),IF(AND(H3678="W4",F3678="predictive",OR(J3678="P2",J3678="P3",J3678="P4")),IF(OR(U3678=1,U3678="1"),"adequate","partial"),INDEX(Fit_Matrix!$B:$B,MATCH(P3678,Fit_Matrix!$A:$A,0)))),"CHECK KEY"))</f>
        <v/>
      </c>
      <c r="U3678" s="10"/>
      <c r="V3678" s="10"/>
      <c r="W3678" s="10"/>
      <c r="X3678" s="10"/>
      <c r="Y3678" s="10"/>
      <c r="Z3678" s="10"/>
      <c r="AA3678" s="11" t="str">
        <f t="shared" si="115"/>
        <v/>
      </c>
    </row>
    <row r="3679" spans="16:27" ht="15" customHeight="1">
      <c r="P3679" t="str">
        <f t="shared" si="114"/>
        <v/>
      </c>
      <c r="Q3679" t="str">
        <f>IF(P3679="","",IFERROR(IF(AND(H3679="W7",OR(F3679="causal",F3679="predictive")),IF(AND(OR(K3679=1,K3679="1"),OR(L3679=1,L3679="1"),OR(M3679=1,M3679="1")),"adequate","partial"),IF(AND(H3679="W4",F3679="predictive",OR(J3679="P2",J3679="P3",J3679="P4")),IF(OR(U3679=1,U3679="1"),"adequate","partial"),INDEX(Fit_Matrix!$B:$B,MATCH(P3679,Fit_Matrix!$A:$A,0)))),"CHECK KEY"))</f>
        <v/>
      </c>
      <c r="U3679" s="10"/>
      <c r="V3679" s="10"/>
      <c r="W3679" s="10"/>
      <c r="X3679" s="10"/>
      <c r="Y3679" s="10"/>
      <c r="Z3679" s="10"/>
      <c r="AA3679" s="11" t="str">
        <f t="shared" si="115"/>
        <v/>
      </c>
    </row>
    <row r="3680" spans="16:27" ht="15" customHeight="1">
      <c r="P3680" t="str">
        <f t="shared" si="114"/>
        <v/>
      </c>
      <c r="Q3680" t="str">
        <f>IF(P3680="","",IFERROR(IF(AND(H3680="W7",OR(F3680="causal",F3680="predictive")),IF(AND(OR(K3680=1,K3680="1"),OR(L3680=1,L3680="1"),OR(M3680=1,M3680="1")),"adequate","partial"),IF(AND(H3680="W4",F3680="predictive",OR(J3680="P2",J3680="P3",J3680="P4")),IF(OR(U3680=1,U3680="1"),"adequate","partial"),INDEX(Fit_Matrix!$B:$B,MATCH(P3680,Fit_Matrix!$A:$A,0)))),"CHECK KEY"))</f>
        <v/>
      </c>
      <c r="U3680" s="10"/>
      <c r="V3680" s="10"/>
      <c r="W3680" s="10"/>
      <c r="X3680" s="10"/>
      <c r="Y3680" s="10"/>
      <c r="Z3680" s="10"/>
      <c r="AA3680" s="11" t="str">
        <f t="shared" si="115"/>
        <v/>
      </c>
    </row>
    <row r="3681" spans="16:27" ht="15" customHeight="1">
      <c r="P3681" t="str">
        <f t="shared" si="114"/>
        <v/>
      </c>
      <c r="Q3681" t="str">
        <f>IF(P3681="","",IFERROR(IF(AND(H3681="W7",OR(F3681="causal",F3681="predictive")),IF(AND(OR(K3681=1,K3681="1"),OR(L3681=1,L3681="1"),OR(M3681=1,M3681="1")),"adequate","partial"),IF(AND(H3681="W4",F3681="predictive",OR(J3681="P2",J3681="P3",J3681="P4")),IF(OR(U3681=1,U3681="1"),"adequate","partial"),INDEX(Fit_Matrix!$B:$B,MATCH(P3681,Fit_Matrix!$A:$A,0)))),"CHECK KEY"))</f>
        <v/>
      </c>
      <c r="U3681" s="10"/>
      <c r="V3681" s="10"/>
      <c r="W3681" s="10"/>
      <c r="X3681" s="10"/>
      <c r="Y3681" s="10"/>
      <c r="Z3681" s="10"/>
      <c r="AA3681" s="11" t="str">
        <f t="shared" si="115"/>
        <v/>
      </c>
    </row>
    <row r="3682" spans="16:27" ht="15" customHeight="1">
      <c r="P3682" t="str">
        <f t="shared" si="114"/>
        <v/>
      </c>
      <c r="Q3682" t="str">
        <f>IF(P3682="","",IFERROR(IF(AND(H3682="W7",OR(F3682="causal",F3682="predictive")),IF(AND(OR(K3682=1,K3682="1"),OR(L3682=1,L3682="1"),OR(M3682=1,M3682="1")),"adequate","partial"),IF(AND(H3682="W4",F3682="predictive",OR(J3682="P2",J3682="P3",J3682="P4")),IF(OR(U3682=1,U3682="1"),"adequate","partial"),INDEX(Fit_Matrix!$B:$B,MATCH(P3682,Fit_Matrix!$A:$A,0)))),"CHECK KEY"))</f>
        <v/>
      </c>
      <c r="U3682" s="10"/>
      <c r="V3682" s="10"/>
      <c r="W3682" s="10"/>
      <c r="X3682" s="10"/>
      <c r="Y3682" s="10"/>
      <c r="Z3682" s="10"/>
      <c r="AA3682" s="11" t="str">
        <f t="shared" si="115"/>
        <v/>
      </c>
    </row>
    <row r="3683" spans="16:27" ht="15" customHeight="1">
      <c r="P3683" t="str">
        <f t="shared" si="114"/>
        <v/>
      </c>
      <c r="Q3683" t="str">
        <f>IF(P3683="","",IFERROR(IF(AND(H3683="W7",OR(F3683="causal",F3683="predictive")),IF(AND(OR(K3683=1,K3683="1"),OR(L3683=1,L3683="1"),OR(M3683=1,M3683="1")),"adequate","partial"),IF(AND(H3683="W4",F3683="predictive",OR(J3683="P2",J3683="P3",J3683="P4")),IF(OR(U3683=1,U3683="1"),"adequate","partial"),INDEX(Fit_Matrix!$B:$B,MATCH(P3683,Fit_Matrix!$A:$A,0)))),"CHECK KEY"))</f>
        <v/>
      </c>
      <c r="U3683" s="10"/>
      <c r="V3683" s="10"/>
      <c r="W3683" s="10"/>
      <c r="X3683" s="10"/>
      <c r="Y3683" s="10"/>
      <c r="Z3683" s="10"/>
      <c r="AA3683" s="11" t="str">
        <f t="shared" si="115"/>
        <v/>
      </c>
    </row>
    <row r="3684" spans="16:27" ht="15" customHeight="1">
      <c r="P3684" t="str">
        <f t="shared" si="114"/>
        <v/>
      </c>
      <c r="Q3684" t="str">
        <f>IF(P3684="","",IFERROR(IF(AND(H3684="W7",OR(F3684="causal",F3684="predictive")),IF(AND(OR(K3684=1,K3684="1"),OR(L3684=1,L3684="1"),OR(M3684=1,M3684="1")),"adequate","partial"),IF(AND(H3684="W4",F3684="predictive",OR(J3684="P2",J3684="P3",J3684="P4")),IF(OR(U3684=1,U3684="1"),"adequate","partial"),INDEX(Fit_Matrix!$B:$B,MATCH(P3684,Fit_Matrix!$A:$A,0)))),"CHECK KEY"))</f>
        <v/>
      </c>
      <c r="U3684" s="10"/>
      <c r="V3684" s="10"/>
      <c r="W3684" s="10"/>
      <c r="X3684" s="10"/>
      <c r="Y3684" s="10"/>
      <c r="Z3684" s="10"/>
      <c r="AA3684" s="11" t="str">
        <f t="shared" si="115"/>
        <v/>
      </c>
    </row>
    <row r="3685" spans="16:27" ht="15" customHeight="1">
      <c r="P3685" t="str">
        <f t="shared" si="114"/>
        <v/>
      </c>
      <c r="Q3685" t="str">
        <f>IF(P3685="","",IFERROR(IF(AND(H3685="W7",OR(F3685="causal",F3685="predictive")),IF(AND(OR(K3685=1,K3685="1"),OR(L3685=1,L3685="1"),OR(M3685=1,M3685="1")),"adequate","partial"),IF(AND(H3685="W4",F3685="predictive",OR(J3685="P2",J3685="P3",J3685="P4")),IF(OR(U3685=1,U3685="1"),"adequate","partial"),INDEX(Fit_Matrix!$B:$B,MATCH(P3685,Fit_Matrix!$A:$A,0)))),"CHECK KEY"))</f>
        <v/>
      </c>
      <c r="U3685" s="10"/>
      <c r="V3685" s="10"/>
      <c r="W3685" s="10"/>
      <c r="X3685" s="10"/>
      <c r="Y3685" s="10"/>
      <c r="Z3685" s="10"/>
      <c r="AA3685" s="11" t="str">
        <f t="shared" si="115"/>
        <v/>
      </c>
    </row>
    <row r="3686" spans="16:27" ht="15" customHeight="1">
      <c r="P3686" t="str">
        <f t="shared" si="114"/>
        <v/>
      </c>
      <c r="Q3686" t="str">
        <f>IF(P3686="","",IFERROR(IF(AND(H3686="W7",OR(F3686="causal",F3686="predictive")),IF(AND(OR(K3686=1,K3686="1"),OR(L3686=1,L3686="1"),OR(M3686=1,M3686="1")),"adequate","partial"),IF(AND(H3686="W4",F3686="predictive",OR(J3686="P2",J3686="P3",J3686="P4")),IF(OR(U3686=1,U3686="1"),"adequate","partial"),INDEX(Fit_Matrix!$B:$B,MATCH(P3686,Fit_Matrix!$A:$A,0)))),"CHECK KEY"))</f>
        <v/>
      </c>
      <c r="U3686" s="10"/>
      <c r="V3686" s="10"/>
      <c r="W3686" s="10"/>
      <c r="X3686" s="10"/>
      <c r="Y3686" s="10"/>
      <c r="Z3686" s="10"/>
      <c r="AA3686" s="11" t="str">
        <f t="shared" si="115"/>
        <v/>
      </c>
    </row>
    <row r="3687" spans="16:27" ht="15" customHeight="1">
      <c r="P3687" t="str">
        <f t="shared" si="114"/>
        <v/>
      </c>
      <c r="Q3687" t="str">
        <f>IF(P3687="","",IFERROR(IF(AND(H3687="W7",OR(F3687="causal",F3687="predictive")),IF(AND(OR(K3687=1,K3687="1"),OR(L3687=1,L3687="1"),OR(M3687=1,M3687="1")),"adequate","partial"),IF(AND(H3687="W4",F3687="predictive",OR(J3687="P2",J3687="P3",J3687="P4")),IF(OR(U3687=1,U3687="1"),"adequate","partial"),INDEX(Fit_Matrix!$B:$B,MATCH(P3687,Fit_Matrix!$A:$A,0)))),"CHECK KEY"))</f>
        <v/>
      </c>
      <c r="U3687" s="10"/>
      <c r="V3687" s="10"/>
      <c r="W3687" s="10"/>
      <c r="X3687" s="10"/>
      <c r="Y3687" s="10"/>
      <c r="Z3687" s="10"/>
      <c r="AA3687" s="11" t="str">
        <f t="shared" si="115"/>
        <v/>
      </c>
    </row>
    <row r="3688" spans="16:27" ht="15" customHeight="1">
      <c r="P3688" t="str">
        <f t="shared" si="114"/>
        <v/>
      </c>
      <c r="Q3688" t="str">
        <f>IF(P3688="","",IFERROR(IF(AND(H3688="W7",OR(F3688="causal",F3688="predictive")),IF(AND(OR(K3688=1,K3688="1"),OR(L3688=1,L3688="1"),OR(M3688=1,M3688="1")),"adequate","partial"),IF(AND(H3688="W4",F3688="predictive",OR(J3688="P2",J3688="P3",J3688="P4")),IF(OR(U3688=1,U3688="1"),"adequate","partial"),INDEX(Fit_Matrix!$B:$B,MATCH(P3688,Fit_Matrix!$A:$A,0)))),"CHECK KEY"))</f>
        <v/>
      </c>
      <c r="U3688" s="10"/>
      <c r="V3688" s="10"/>
      <c r="W3688" s="10"/>
      <c r="X3688" s="10"/>
      <c r="Y3688" s="10"/>
      <c r="Z3688" s="10"/>
      <c r="AA3688" s="11" t="str">
        <f t="shared" si="115"/>
        <v/>
      </c>
    </row>
    <row r="3689" spans="16:27" ht="15" customHeight="1">
      <c r="P3689" t="str">
        <f t="shared" si="114"/>
        <v/>
      </c>
      <c r="Q3689" t="str">
        <f>IF(P3689="","",IFERROR(IF(AND(H3689="W7",OR(F3689="causal",F3689="predictive")),IF(AND(OR(K3689=1,K3689="1"),OR(L3689=1,L3689="1"),OR(M3689=1,M3689="1")),"adequate","partial"),IF(AND(H3689="W4",F3689="predictive",OR(J3689="P2",J3689="P3",J3689="P4")),IF(OR(U3689=1,U3689="1"),"adequate","partial"),INDEX(Fit_Matrix!$B:$B,MATCH(P3689,Fit_Matrix!$A:$A,0)))),"CHECK KEY"))</f>
        <v/>
      </c>
      <c r="U3689" s="10"/>
      <c r="V3689" s="10"/>
      <c r="W3689" s="10"/>
      <c r="X3689" s="10"/>
      <c r="Y3689" s="10"/>
      <c r="Z3689" s="10"/>
      <c r="AA3689" s="11" t="str">
        <f t="shared" si="115"/>
        <v/>
      </c>
    </row>
    <row r="3690" spans="16:27" ht="15" customHeight="1">
      <c r="P3690" t="str">
        <f t="shared" si="114"/>
        <v/>
      </c>
      <c r="Q3690" t="str">
        <f>IF(P3690="","",IFERROR(IF(AND(H3690="W7",OR(F3690="causal",F3690="predictive")),IF(AND(OR(K3690=1,K3690="1"),OR(L3690=1,L3690="1"),OR(M3690=1,M3690="1")),"adequate","partial"),IF(AND(H3690="W4",F3690="predictive",OR(J3690="P2",J3690="P3",J3690="P4")),IF(OR(U3690=1,U3690="1"),"adequate","partial"),INDEX(Fit_Matrix!$B:$B,MATCH(P3690,Fit_Matrix!$A:$A,0)))),"CHECK KEY"))</f>
        <v/>
      </c>
      <c r="U3690" s="10"/>
      <c r="V3690" s="10"/>
      <c r="W3690" s="10"/>
      <c r="X3690" s="10"/>
      <c r="Y3690" s="10"/>
      <c r="Z3690" s="10"/>
      <c r="AA3690" s="11" t="str">
        <f t="shared" si="115"/>
        <v/>
      </c>
    </row>
    <row r="3691" spans="16:27" ht="15" customHeight="1">
      <c r="P3691" t="str">
        <f t="shared" si="114"/>
        <v/>
      </c>
      <c r="Q3691" t="str">
        <f>IF(P3691="","",IFERROR(IF(AND(H3691="W7",OR(F3691="causal",F3691="predictive")),IF(AND(OR(K3691=1,K3691="1"),OR(L3691=1,L3691="1"),OR(M3691=1,M3691="1")),"adequate","partial"),IF(AND(H3691="W4",F3691="predictive",OR(J3691="P2",J3691="P3",J3691="P4")),IF(OR(U3691=1,U3691="1"),"adequate","partial"),INDEX(Fit_Matrix!$B:$B,MATCH(P3691,Fit_Matrix!$A:$A,0)))),"CHECK KEY"))</f>
        <v/>
      </c>
      <c r="U3691" s="10"/>
      <c r="V3691" s="10"/>
      <c r="W3691" s="10"/>
      <c r="X3691" s="10"/>
      <c r="Y3691" s="10"/>
      <c r="Z3691" s="10"/>
      <c r="AA3691" s="11" t="str">
        <f t="shared" si="115"/>
        <v/>
      </c>
    </row>
    <row r="3692" spans="16:27" ht="15" customHeight="1">
      <c r="P3692" t="str">
        <f t="shared" si="114"/>
        <v/>
      </c>
      <c r="Q3692" t="str">
        <f>IF(P3692="","",IFERROR(IF(AND(H3692="W7",OR(F3692="causal",F3692="predictive")),IF(AND(OR(K3692=1,K3692="1"),OR(L3692=1,L3692="1"),OR(M3692=1,M3692="1")),"adequate","partial"),IF(AND(H3692="W4",F3692="predictive",OR(J3692="P2",J3692="P3",J3692="P4")),IF(OR(U3692=1,U3692="1"),"adequate","partial"),INDEX(Fit_Matrix!$B:$B,MATCH(P3692,Fit_Matrix!$A:$A,0)))),"CHECK KEY"))</f>
        <v/>
      </c>
      <c r="U3692" s="10"/>
      <c r="V3692" s="10"/>
      <c r="W3692" s="10"/>
      <c r="X3692" s="10"/>
      <c r="Y3692" s="10"/>
      <c r="Z3692" s="10"/>
      <c r="AA3692" s="11" t="str">
        <f t="shared" si="115"/>
        <v/>
      </c>
    </row>
    <row r="3693" spans="16:27" ht="15" customHeight="1">
      <c r="P3693" t="str">
        <f t="shared" si="114"/>
        <v/>
      </c>
      <c r="Q3693" t="str">
        <f>IF(P3693="","",IFERROR(IF(AND(H3693="W7",OR(F3693="causal",F3693="predictive")),IF(AND(OR(K3693=1,K3693="1"),OR(L3693=1,L3693="1"),OR(M3693=1,M3693="1")),"adequate","partial"),IF(AND(H3693="W4",F3693="predictive",OR(J3693="P2",J3693="P3",J3693="P4")),IF(OR(U3693=1,U3693="1"),"adequate","partial"),INDEX(Fit_Matrix!$B:$B,MATCH(P3693,Fit_Matrix!$A:$A,0)))),"CHECK KEY"))</f>
        <v/>
      </c>
      <c r="U3693" s="10"/>
      <c r="V3693" s="10"/>
      <c r="W3693" s="10"/>
      <c r="X3693" s="10"/>
      <c r="Y3693" s="10"/>
      <c r="Z3693" s="10"/>
      <c r="AA3693" s="11" t="str">
        <f t="shared" si="115"/>
        <v/>
      </c>
    </row>
    <row r="3694" spans="16:27" ht="15" customHeight="1">
      <c r="P3694" t="str">
        <f t="shared" si="114"/>
        <v/>
      </c>
      <c r="Q3694" t="str">
        <f>IF(P3694="","",IFERROR(IF(AND(H3694="W7",OR(F3694="causal",F3694="predictive")),IF(AND(OR(K3694=1,K3694="1"),OR(L3694=1,L3694="1"),OR(M3694=1,M3694="1")),"adequate","partial"),IF(AND(H3694="W4",F3694="predictive",OR(J3694="P2",J3694="P3",J3694="P4")),IF(OR(U3694=1,U3694="1"),"adequate","partial"),INDEX(Fit_Matrix!$B:$B,MATCH(P3694,Fit_Matrix!$A:$A,0)))),"CHECK KEY"))</f>
        <v/>
      </c>
      <c r="U3694" s="10"/>
      <c r="V3694" s="10"/>
      <c r="W3694" s="10"/>
      <c r="X3694" s="10"/>
      <c r="Y3694" s="10"/>
      <c r="Z3694" s="10"/>
      <c r="AA3694" s="11" t="str">
        <f t="shared" si="115"/>
        <v/>
      </c>
    </row>
    <row r="3695" spans="16:27" ht="15" customHeight="1">
      <c r="P3695" t="str">
        <f t="shared" si="114"/>
        <v/>
      </c>
      <c r="Q3695" t="str">
        <f>IF(P3695="","",IFERROR(IF(AND(H3695="W7",OR(F3695="causal",F3695="predictive")),IF(AND(OR(K3695=1,K3695="1"),OR(L3695=1,L3695="1"),OR(M3695=1,M3695="1")),"adequate","partial"),IF(AND(H3695="W4",F3695="predictive",OR(J3695="P2",J3695="P3",J3695="P4")),IF(OR(U3695=1,U3695="1"),"adequate","partial"),INDEX(Fit_Matrix!$B:$B,MATCH(P3695,Fit_Matrix!$A:$A,0)))),"CHECK KEY"))</f>
        <v/>
      </c>
      <c r="U3695" s="10"/>
      <c r="V3695" s="10"/>
      <c r="W3695" s="10"/>
      <c r="X3695" s="10"/>
      <c r="Y3695" s="10"/>
      <c r="Z3695" s="10"/>
      <c r="AA3695" s="11" t="str">
        <f t="shared" si="115"/>
        <v/>
      </c>
    </row>
    <row r="3696" spans="16:27" ht="15" customHeight="1">
      <c r="P3696" t="str">
        <f t="shared" si="114"/>
        <v/>
      </c>
      <c r="Q3696" t="str">
        <f>IF(P3696="","",IFERROR(IF(AND(H3696="W7",OR(F3696="causal",F3696="predictive")),IF(AND(OR(K3696=1,K3696="1"),OR(L3696=1,L3696="1"),OR(M3696=1,M3696="1")),"adequate","partial"),IF(AND(H3696="W4",F3696="predictive",OR(J3696="P2",J3696="P3",J3696="P4")),IF(OR(U3696=1,U3696="1"),"adequate","partial"),INDEX(Fit_Matrix!$B:$B,MATCH(P3696,Fit_Matrix!$A:$A,0)))),"CHECK KEY"))</f>
        <v/>
      </c>
      <c r="U3696" s="10"/>
      <c r="V3696" s="10"/>
      <c r="W3696" s="10"/>
      <c r="X3696" s="10"/>
      <c r="Y3696" s="10"/>
      <c r="Z3696" s="10"/>
      <c r="AA3696" s="11" t="str">
        <f t="shared" si="115"/>
        <v/>
      </c>
    </row>
    <row r="3697" spans="16:27" ht="15" customHeight="1">
      <c r="P3697" t="str">
        <f t="shared" si="114"/>
        <v/>
      </c>
      <c r="Q3697" t="str">
        <f>IF(P3697="","",IFERROR(IF(AND(H3697="W7",OR(F3697="causal",F3697="predictive")),IF(AND(OR(K3697=1,K3697="1"),OR(L3697=1,L3697="1"),OR(M3697=1,M3697="1")),"adequate","partial"),IF(AND(H3697="W4",F3697="predictive",OR(J3697="P2",J3697="P3",J3697="P4")),IF(OR(U3697=1,U3697="1"),"adequate","partial"),INDEX(Fit_Matrix!$B:$B,MATCH(P3697,Fit_Matrix!$A:$A,0)))),"CHECK KEY"))</f>
        <v/>
      </c>
      <c r="U3697" s="10"/>
      <c r="V3697" s="10"/>
      <c r="W3697" s="10"/>
      <c r="X3697" s="10"/>
      <c r="Y3697" s="10"/>
      <c r="Z3697" s="10"/>
      <c r="AA3697" s="11" t="str">
        <f t="shared" si="115"/>
        <v/>
      </c>
    </row>
    <row r="3698" spans="16:27" ht="15" customHeight="1">
      <c r="P3698" t="str">
        <f t="shared" si="114"/>
        <v/>
      </c>
      <c r="Q3698" t="str">
        <f>IF(P3698="","",IFERROR(IF(AND(H3698="W7",OR(F3698="causal",F3698="predictive")),IF(AND(OR(K3698=1,K3698="1"),OR(L3698=1,L3698="1"),OR(M3698=1,M3698="1")),"adequate","partial"),IF(AND(H3698="W4",F3698="predictive",OR(J3698="P2",J3698="P3",J3698="P4")),IF(OR(U3698=1,U3698="1"),"adequate","partial"),INDEX(Fit_Matrix!$B:$B,MATCH(P3698,Fit_Matrix!$A:$A,0)))),"CHECK KEY"))</f>
        <v/>
      </c>
      <c r="U3698" s="10"/>
      <c r="V3698" s="10"/>
      <c r="W3698" s="10"/>
      <c r="X3698" s="10"/>
      <c r="Y3698" s="10"/>
      <c r="Z3698" s="10"/>
      <c r="AA3698" s="11" t="str">
        <f t="shared" si="115"/>
        <v/>
      </c>
    </row>
    <row r="3699" spans="16:27" ht="15" customHeight="1">
      <c r="P3699" t="str">
        <f t="shared" si="114"/>
        <v/>
      </c>
      <c r="Q3699" t="str">
        <f>IF(P3699="","",IFERROR(IF(AND(H3699="W7",OR(F3699="causal",F3699="predictive")),IF(AND(OR(K3699=1,K3699="1"),OR(L3699=1,L3699="1"),OR(M3699=1,M3699="1")),"adequate","partial"),IF(AND(H3699="W4",F3699="predictive",OR(J3699="P2",J3699="P3",J3699="P4")),IF(OR(U3699=1,U3699="1"),"adequate","partial"),INDEX(Fit_Matrix!$B:$B,MATCH(P3699,Fit_Matrix!$A:$A,0)))),"CHECK KEY"))</f>
        <v/>
      </c>
      <c r="U3699" s="10"/>
      <c r="V3699" s="10"/>
      <c r="W3699" s="10"/>
      <c r="X3699" s="10"/>
      <c r="Y3699" s="10"/>
      <c r="Z3699" s="10"/>
      <c r="AA3699" s="11" t="str">
        <f t="shared" si="115"/>
        <v/>
      </c>
    </row>
    <row r="3700" spans="16:27" ht="15" customHeight="1">
      <c r="P3700" t="str">
        <f t="shared" si="114"/>
        <v/>
      </c>
      <c r="Q3700" t="str">
        <f>IF(P3700="","",IFERROR(IF(AND(H3700="W7",OR(F3700="causal",F3700="predictive")),IF(AND(OR(K3700=1,K3700="1"),OR(L3700=1,L3700="1"),OR(M3700=1,M3700="1")),"adequate","partial"),IF(AND(H3700="W4",F3700="predictive",OR(J3700="P2",J3700="P3",J3700="P4")),IF(OR(U3700=1,U3700="1"),"adequate","partial"),INDEX(Fit_Matrix!$B:$B,MATCH(P3700,Fit_Matrix!$A:$A,0)))),"CHECK KEY"))</f>
        <v/>
      </c>
      <c r="U3700" s="10"/>
      <c r="V3700" s="10"/>
      <c r="W3700" s="10"/>
      <c r="X3700" s="10"/>
      <c r="Y3700" s="10"/>
      <c r="Z3700" s="10"/>
      <c r="AA3700" s="11" t="str">
        <f t="shared" si="115"/>
        <v/>
      </c>
    </row>
    <row r="3701" spans="16:27" ht="15" customHeight="1">
      <c r="P3701" t="str">
        <f t="shared" si="114"/>
        <v/>
      </c>
      <c r="Q3701" t="str">
        <f>IF(P3701="","",IFERROR(IF(AND(H3701="W7",OR(F3701="causal",F3701="predictive")),IF(AND(OR(K3701=1,K3701="1"),OR(L3701=1,L3701="1"),OR(M3701=1,M3701="1")),"adequate","partial"),IF(AND(H3701="W4",F3701="predictive",OR(J3701="P2",J3701="P3",J3701="P4")),IF(OR(U3701=1,U3701="1"),"adequate","partial"),INDEX(Fit_Matrix!$B:$B,MATCH(P3701,Fit_Matrix!$A:$A,0)))),"CHECK KEY"))</f>
        <v/>
      </c>
      <c r="U3701" s="10"/>
      <c r="V3701" s="10"/>
      <c r="W3701" s="10"/>
      <c r="X3701" s="10"/>
      <c r="Y3701" s="10"/>
      <c r="Z3701" s="10"/>
      <c r="AA3701" s="11" t="str">
        <f t="shared" si="115"/>
        <v/>
      </c>
    </row>
    <row r="3702" spans="16:27" ht="15" customHeight="1">
      <c r="P3702" t="str">
        <f t="shared" si="114"/>
        <v/>
      </c>
      <c r="Q3702" t="str">
        <f>IF(P3702="","",IFERROR(IF(AND(H3702="W7",OR(F3702="causal",F3702="predictive")),IF(AND(OR(K3702=1,K3702="1"),OR(L3702=1,L3702="1"),OR(M3702=1,M3702="1")),"adequate","partial"),IF(AND(H3702="W4",F3702="predictive",OR(J3702="P2",J3702="P3",J3702="P4")),IF(OR(U3702=1,U3702="1"),"adequate","partial"),INDEX(Fit_Matrix!$B:$B,MATCH(P3702,Fit_Matrix!$A:$A,0)))),"CHECK KEY"))</f>
        <v/>
      </c>
      <c r="U3702" s="10"/>
      <c r="V3702" s="10"/>
      <c r="W3702" s="10"/>
      <c r="X3702" s="10"/>
      <c r="Y3702" s="10"/>
      <c r="Z3702" s="10"/>
      <c r="AA3702" s="11" t="str">
        <f t="shared" si="115"/>
        <v/>
      </c>
    </row>
    <row r="3703" spans="16:27" ht="15" customHeight="1">
      <c r="P3703" t="str">
        <f t="shared" si="114"/>
        <v/>
      </c>
      <c r="Q3703" t="str">
        <f>IF(P3703="","",IFERROR(IF(AND(H3703="W7",OR(F3703="causal",F3703="predictive")),IF(AND(OR(K3703=1,K3703="1"),OR(L3703=1,L3703="1"),OR(M3703=1,M3703="1")),"adequate","partial"),IF(AND(H3703="W4",F3703="predictive",OR(J3703="P2",J3703="P3",J3703="P4")),IF(OR(U3703=1,U3703="1"),"adequate","partial"),INDEX(Fit_Matrix!$B:$B,MATCH(P3703,Fit_Matrix!$A:$A,0)))),"CHECK KEY"))</f>
        <v/>
      </c>
      <c r="U3703" s="10"/>
      <c r="V3703" s="10"/>
      <c r="W3703" s="10"/>
      <c r="X3703" s="10"/>
      <c r="Y3703" s="10"/>
      <c r="Z3703" s="10"/>
      <c r="AA3703" s="11" t="str">
        <f t="shared" si="115"/>
        <v/>
      </c>
    </row>
    <row r="3704" spans="16:27" ht="15" customHeight="1">
      <c r="P3704" t="str">
        <f t="shared" si="114"/>
        <v/>
      </c>
      <c r="Q3704" t="str">
        <f>IF(P3704="","",IFERROR(IF(AND(H3704="W7",OR(F3704="causal",F3704="predictive")),IF(AND(OR(K3704=1,K3704="1"),OR(L3704=1,L3704="1"),OR(M3704=1,M3704="1")),"adequate","partial"),IF(AND(H3704="W4",F3704="predictive",OR(J3704="P2",J3704="P3",J3704="P4")),IF(OR(U3704=1,U3704="1"),"adequate","partial"),INDEX(Fit_Matrix!$B:$B,MATCH(P3704,Fit_Matrix!$A:$A,0)))),"CHECK KEY"))</f>
        <v/>
      </c>
      <c r="U3704" s="10"/>
      <c r="V3704" s="10"/>
      <c r="W3704" s="10"/>
      <c r="X3704" s="10"/>
      <c r="Y3704" s="10"/>
      <c r="Z3704" s="10"/>
      <c r="AA3704" s="11" t="str">
        <f t="shared" si="115"/>
        <v/>
      </c>
    </row>
    <row r="3705" spans="16:27" ht="15" customHeight="1">
      <c r="P3705" t="str">
        <f t="shared" si="114"/>
        <v/>
      </c>
      <c r="Q3705" t="str">
        <f>IF(P3705="","",IFERROR(IF(AND(H3705="W7",OR(F3705="causal",F3705="predictive")),IF(AND(OR(K3705=1,K3705="1"),OR(L3705=1,L3705="1"),OR(M3705=1,M3705="1")),"adequate","partial"),IF(AND(H3705="W4",F3705="predictive",OR(J3705="P2",J3705="P3",J3705="P4")),IF(OR(U3705=1,U3705="1"),"adequate","partial"),INDEX(Fit_Matrix!$B:$B,MATCH(P3705,Fit_Matrix!$A:$A,0)))),"CHECK KEY"))</f>
        <v/>
      </c>
      <c r="U3705" s="10"/>
      <c r="V3705" s="10"/>
      <c r="W3705" s="10"/>
      <c r="X3705" s="10"/>
      <c r="Y3705" s="10"/>
      <c r="Z3705" s="10"/>
      <c r="AA3705" s="11" t="str">
        <f t="shared" si="115"/>
        <v/>
      </c>
    </row>
    <row r="3706" spans="16:27" ht="15" customHeight="1">
      <c r="P3706" t="str">
        <f t="shared" si="114"/>
        <v/>
      </c>
      <c r="Q3706" t="str">
        <f>IF(P3706="","",IFERROR(IF(AND(H3706="W7",OR(F3706="causal",F3706="predictive")),IF(AND(OR(K3706=1,K3706="1"),OR(L3706=1,L3706="1"),OR(M3706=1,M3706="1")),"adequate","partial"),IF(AND(H3706="W4",F3706="predictive",OR(J3706="P2",J3706="P3",J3706="P4")),IF(OR(U3706=1,U3706="1"),"adequate","partial"),INDEX(Fit_Matrix!$B:$B,MATCH(P3706,Fit_Matrix!$A:$A,0)))),"CHECK KEY"))</f>
        <v/>
      </c>
      <c r="U3706" s="10"/>
      <c r="V3706" s="10"/>
      <c r="W3706" s="10"/>
      <c r="X3706" s="10"/>
      <c r="Y3706" s="10"/>
      <c r="Z3706" s="10"/>
      <c r="AA3706" s="11" t="str">
        <f t="shared" si="115"/>
        <v/>
      </c>
    </row>
    <row r="3707" spans="16:27" ht="15" customHeight="1">
      <c r="P3707" t="str">
        <f t="shared" si="114"/>
        <v/>
      </c>
      <c r="Q3707" t="str">
        <f>IF(P3707="","",IFERROR(IF(AND(H3707="W7",OR(F3707="causal",F3707="predictive")),IF(AND(OR(K3707=1,K3707="1"),OR(L3707=1,L3707="1"),OR(M3707=1,M3707="1")),"adequate","partial"),IF(AND(H3707="W4",F3707="predictive",OR(J3707="P2",J3707="P3",J3707="P4")),IF(OR(U3707=1,U3707="1"),"adequate","partial"),INDEX(Fit_Matrix!$B:$B,MATCH(P3707,Fit_Matrix!$A:$A,0)))),"CHECK KEY"))</f>
        <v/>
      </c>
      <c r="U3707" s="10"/>
      <c r="V3707" s="10"/>
      <c r="W3707" s="10"/>
      <c r="X3707" s="10"/>
      <c r="Y3707" s="10"/>
      <c r="Z3707" s="10"/>
      <c r="AA3707" s="11" t="str">
        <f t="shared" si="115"/>
        <v/>
      </c>
    </row>
    <row r="3708" spans="16:27" ht="15" customHeight="1">
      <c r="P3708" t="str">
        <f t="shared" si="114"/>
        <v/>
      </c>
      <c r="Q3708" t="str">
        <f>IF(P3708="","",IFERROR(IF(AND(H3708="W7",OR(F3708="causal",F3708="predictive")),IF(AND(OR(K3708=1,K3708="1"),OR(L3708=1,L3708="1"),OR(M3708=1,M3708="1")),"adequate","partial"),IF(AND(H3708="W4",F3708="predictive",OR(J3708="P2",J3708="P3",J3708="P4")),IF(OR(U3708=1,U3708="1"),"adequate","partial"),INDEX(Fit_Matrix!$B:$B,MATCH(P3708,Fit_Matrix!$A:$A,0)))),"CHECK KEY"))</f>
        <v/>
      </c>
      <c r="U3708" s="10"/>
      <c r="V3708" s="10"/>
      <c r="W3708" s="10"/>
      <c r="X3708" s="10"/>
      <c r="Y3708" s="10"/>
      <c r="Z3708" s="10"/>
      <c r="AA3708" s="11" t="str">
        <f t="shared" si="115"/>
        <v/>
      </c>
    </row>
    <row r="3709" spans="16:27" ht="15" customHeight="1">
      <c r="P3709" t="str">
        <f t="shared" si="114"/>
        <v/>
      </c>
      <c r="Q3709" t="str">
        <f>IF(P3709="","",IFERROR(IF(AND(H3709="W7",OR(F3709="causal",F3709="predictive")),IF(AND(OR(K3709=1,K3709="1"),OR(L3709=1,L3709="1"),OR(M3709=1,M3709="1")),"adequate","partial"),IF(AND(H3709="W4",F3709="predictive",OR(J3709="P2",J3709="P3",J3709="P4")),IF(OR(U3709=1,U3709="1"),"adequate","partial"),INDEX(Fit_Matrix!$B:$B,MATCH(P3709,Fit_Matrix!$A:$A,0)))),"CHECK KEY"))</f>
        <v/>
      </c>
      <c r="U3709" s="10"/>
      <c r="V3709" s="10"/>
      <c r="W3709" s="10"/>
      <c r="X3709" s="10"/>
      <c r="Y3709" s="10"/>
      <c r="Z3709" s="10"/>
      <c r="AA3709" s="11" t="str">
        <f t="shared" si="115"/>
        <v/>
      </c>
    </row>
    <row r="3710" spans="16:27" ht="15" customHeight="1">
      <c r="P3710" t="str">
        <f t="shared" si="114"/>
        <v/>
      </c>
      <c r="Q3710" t="str">
        <f>IF(P3710="","",IFERROR(IF(AND(H3710="W7",OR(F3710="causal",F3710="predictive")),IF(AND(OR(K3710=1,K3710="1"),OR(L3710=1,L3710="1"),OR(M3710=1,M3710="1")),"adequate","partial"),IF(AND(H3710="W4",F3710="predictive",OR(J3710="P2",J3710="P3",J3710="P4")),IF(OR(U3710=1,U3710="1"),"adequate","partial"),INDEX(Fit_Matrix!$B:$B,MATCH(P3710,Fit_Matrix!$A:$A,0)))),"CHECK KEY"))</f>
        <v/>
      </c>
      <c r="U3710" s="10"/>
      <c r="V3710" s="10"/>
      <c r="W3710" s="10"/>
      <c r="X3710" s="10"/>
      <c r="Y3710" s="10"/>
      <c r="Z3710" s="10"/>
      <c r="AA3710" s="11" t="str">
        <f t="shared" si="115"/>
        <v/>
      </c>
    </row>
    <row r="3711" spans="16:27" ht="15" customHeight="1">
      <c r="P3711" t="str">
        <f t="shared" si="114"/>
        <v/>
      </c>
      <c r="Q3711" t="str">
        <f>IF(P3711="","",IFERROR(IF(AND(H3711="W7",OR(F3711="causal",F3711="predictive")),IF(AND(OR(K3711=1,K3711="1"),OR(L3711=1,L3711="1"),OR(M3711=1,M3711="1")),"adequate","partial"),IF(AND(H3711="W4",F3711="predictive",OR(J3711="P2",J3711="P3",J3711="P4")),IF(OR(U3711=1,U3711="1"),"adequate","partial"),INDEX(Fit_Matrix!$B:$B,MATCH(P3711,Fit_Matrix!$A:$A,0)))),"CHECK KEY"))</f>
        <v/>
      </c>
      <c r="U3711" s="10"/>
      <c r="V3711" s="10"/>
      <c r="W3711" s="10"/>
      <c r="X3711" s="10"/>
      <c r="Y3711" s="10"/>
      <c r="Z3711" s="10"/>
      <c r="AA3711" s="11" t="str">
        <f t="shared" si="115"/>
        <v/>
      </c>
    </row>
    <row r="3712" spans="16:27" ht="15" customHeight="1">
      <c r="P3712" t="str">
        <f t="shared" si="114"/>
        <v/>
      </c>
      <c r="Q3712" t="str">
        <f>IF(P3712="","",IFERROR(IF(AND(H3712="W7",OR(F3712="causal",F3712="predictive")),IF(AND(OR(K3712=1,K3712="1"),OR(L3712=1,L3712="1"),OR(M3712=1,M3712="1")),"adequate","partial"),IF(AND(H3712="W4",F3712="predictive",OR(J3712="P2",J3712="P3",J3712="P4")),IF(OR(U3712=1,U3712="1"),"adequate","partial"),INDEX(Fit_Matrix!$B:$B,MATCH(P3712,Fit_Matrix!$A:$A,0)))),"CHECK KEY"))</f>
        <v/>
      </c>
      <c r="U3712" s="10"/>
      <c r="V3712" s="10"/>
      <c r="W3712" s="10"/>
      <c r="X3712" s="10"/>
      <c r="Y3712" s="10"/>
      <c r="Z3712" s="10"/>
      <c r="AA3712" s="11" t="str">
        <f t="shared" si="115"/>
        <v/>
      </c>
    </row>
    <row r="3713" spans="16:27" ht="15" customHeight="1">
      <c r="P3713" t="str">
        <f t="shared" si="114"/>
        <v/>
      </c>
      <c r="Q3713" t="str">
        <f>IF(P3713="","",IFERROR(IF(AND(H3713="W7",OR(F3713="causal",F3713="predictive")),IF(AND(OR(K3713=1,K3713="1"),OR(L3713=1,L3713="1"),OR(M3713=1,M3713="1")),"adequate","partial"),IF(AND(H3713="W4",F3713="predictive",OR(J3713="P2",J3713="P3",J3713="P4")),IF(OR(U3713=1,U3713="1"),"adequate","partial"),INDEX(Fit_Matrix!$B:$B,MATCH(P3713,Fit_Matrix!$A:$A,0)))),"CHECK KEY"))</f>
        <v/>
      </c>
      <c r="U3713" s="10"/>
      <c r="V3713" s="10"/>
      <c r="W3713" s="10"/>
      <c r="X3713" s="10"/>
      <c r="Y3713" s="10"/>
      <c r="Z3713" s="10"/>
      <c r="AA3713" s="11" t="str">
        <f t="shared" si="115"/>
        <v/>
      </c>
    </row>
    <row r="3714" spans="16:27" ht="15" customHeight="1">
      <c r="P3714" t="str">
        <f t="shared" ref="P3714:P3777" si="116">IF(OR(F3714="",H3714="",J3714=""),"",J3714&amp;"|"&amp;F3714&amp;"|"&amp;IF(H3714="W3","W3_"&amp;IF(I3714="","unknown",I3714),H3714))</f>
        <v/>
      </c>
      <c r="Q3714" t="str">
        <f>IF(P3714="","",IFERROR(IF(AND(H3714="W7",OR(F3714="causal",F3714="predictive")),IF(AND(OR(K3714=1,K3714="1"),OR(L3714=1,L3714="1"),OR(M3714=1,M3714="1")),"adequate","partial"),IF(AND(H3714="W4",F3714="predictive",OR(J3714="P2",J3714="P3",J3714="P4")),IF(OR(U3714=1,U3714="1"),"adequate","partial"),INDEX(Fit_Matrix!$B:$B,MATCH(P3714,Fit_Matrix!$A:$A,0)))),"CHECK KEY"))</f>
        <v/>
      </c>
      <c r="U3714" s="10"/>
      <c r="V3714" s="10"/>
      <c r="W3714" s="10"/>
      <c r="X3714" s="10"/>
      <c r="Y3714" s="10"/>
      <c r="Z3714" s="10"/>
      <c r="AA3714" s="11" t="str">
        <f t="shared" ref="AA3714:AA3777" si="117">IF(A3714="","",IF(AND(J3714="P4",F3714="causal"),"P4-CAUSAL",""))</f>
        <v/>
      </c>
    </row>
    <row r="3715" spans="16:27" ht="15" customHeight="1">
      <c r="P3715" t="str">
        <f t="shared" si="116"/>
        <v/>
      </c>
      <c r="Q3715" t="str">
        <f>IF(P3715="","",IFERROR(IF(AND(H3715="W7",OR(F3715="causal",F3715="predictive")),IF(AND(OR(K3715=1,K3715="1"),OR(L3715=1,L3715="1"),OR(M3715=1,M3715="1")),"adequate","partial"),IF(AND(H3715="W4",F3715="predictive",OR(J3715="P2",J3715="P3",J3715="P4")),IF(OR(U3715=1,U3715="1"),"adequate","partial"),INDEX(Fit_Matrix!$B:$B,MATCH(P3715,Fit_Matrix!$A:$A,0)))),"CHECK KEY"))</f>
        <v/>
      </c>
      <c r="U3715" s="10"/>
      <c r="V3715" s="10"/>
      <c r="W3715" s="10"/>
      <c r="X3715" s="10"/>
      <c r="Y3715" s="10"/>
      <c r="Z3715" s="10"/>
      <c r="AA3715" s="11" t="str">
        <f t="shared" si="117"/>
        <v/>
      </c>
    </row>
    <row r="3716" spans="16:27" ht="15" customHeight="1">
      <c r="P3716" t="str">
        <f t="shared" si="116"/>
        <v/>
      </c>
      <c r="Q3716" t="str">
        <f>IF(P3716="","",IFERROR(IF(AND(H3716="W7",OR(F3716="causal",F3716="predictive")),IF(AND(OR(K3716=1,K3716="1"),OR(L3716=1,L3716="1"),OR(M3716=1,M3716="1")),"adequate","partial"),IF(AND(H3716="W4",F3716="predictive",OR(J3716="P2",J3716="P3",J3716="P4")),IF(OR(U3716=1,U3716="1"),"adequate","partial"),INDEX(Fit_Matrix!$B:$B,MATCH(P3716,Fit_Matrix!$A:$A,0)))),"CHECK KEY"))</f>
        <v/>
      </c>
      <c r="U3716" s="10"/>
      <c r="V3716" s="10"/>
      <c r="W3716" s="10"/>
      <c r="X3716" s="10"/>
      <c r="Y3716" s="10"/>
      <c r="Z3716" s="10"/>
      <c r="AA3716" s="11" t="str">
        <f t="shared" si="117"/>
        <v/>
      </c>
    </row>
    <row r="3717" spans="16:27" ht="15" customHeight="1">
      <c r="P3717" t="str">
        <f t="shared" si="116"/>
        <v/>
      </c>
      <c r="Q3717" t="str">
        <f>IF(P3717="","",IFERROR(IF(AND(H3717="W7",OR(F3717="causal",F3717="predictive")),IF(AND(OR(K3717=1,K3717="1"),OR(L3717=1,L3717="1"),OR(M3717=1,M3717="1")),"adequate","partial"),IF(AND(H3717="W4",F3717="predictive",OR(J3717="P2",J3717="P3",J3717="P4")),IF(OR(U3717=1,U3717="1"),"adequate","partial"),INDEX(Fit_Matrix!$B:$B,MATCH(P3717,Fit_Matrix!$A:$A,0)))),"CHECK KEY"))</f>
        <v/>
      </c>
      <c r="U3717" s="10"/>
      <c r="V3717" s="10"/>
      <c r="W3717" s="10"/>
      <c r="X3717" s="10"/>
      <c r="Y3717" s="10"/>
      <c r="Z3717" s="10"/>
      <c r="AA3717" s="11" t="str">
        <f t="shared" si="117"/>
        <v/>
      </c>
    </row>
    <row r="3718" spans="16:27" ht="15" customHeight="1">
      <c r="P3718" t="str">
        <f t="shared" si="116"/>
        <v/>
      </c>
      <c r="Q3718" t="str">
        <f>IF(P3718="","",IFERROR(IF(AND(H3718="W7",OR(F3718="causal",F3718="predictive")),IF(AND(OR(K3718=1,K3718="1"),OR(L3718=1,L3718="1"),OR(M3718=1,M3718="1")),"adequate","partial"),IF(AND(H3718="W4",F3718="predictive",OR(J3718="P2",J3718="P3",J3718="P4")),IF(OR(U3718=1,U3718="1"),"adequate","partial"),INDEX(Fit_Matrix!$B:$B,MATCH(P3718,Fit_Matrix!$A:$A,0)))),"CHECK KEY"))</f>
        <v/>
      </c>
      <c r="U3718" s="10"/>
      <c r="V3718" s="10"/>
      <c r="W3718" s="10"/>
      <c r="X3718" s="10"/>
      <c r="Y3718" s="10"/>
      <c r="Z3718" s="10"/>
      <c r="AA3718" s="11" t="str">
        <f t="shared" si="117"/>
        <v/>
      </c>
    </row>
    <row r="3719" spans="16:27" ht="15" customHeight="1">
      <c r="P3719" t="str">
        <f t="shared" si="116"/>
        <v/>
      </c>
      <c r="Q3719" t="str">
        <f>IF(P3719="","",IFERROR(IF(AND(H3719="W7",OR(F3719="causal",F3719="predictive")),IF(AND(OR(K3719=1,K3719="1"),OR(L3719=1,L3719="1"),OR(M3719=1,M3719="1")),"adequate","partial"),IF(AND(H3719="W4",F3719="predictive",OR(J3719="P2",J3719="P3",J3719="P4")),IF(OR(U3719=1,U3719="1"),"adequate","partial"),INDEX(Fit_Matrix!$B:$B,MATCH(P3719,Fit_Matrix!$A:$A,0)))),"CHECK KEY"))</f>
        <v/>
      </c>
      <c r="U3719" s="10"/>
      <c r="V3719" s="10"/>
      <c r="W3719" s="10"/>
      <c r="X3719" s="10"/>
      <c r="Y3719" s="10"/>
      <c r="Z3719" s="10"/>
      <c r="AA3719" s="11" t="str">
        <f t="shared" si="117"/>
        <v/>
      </c>
    </row>
    <row r="3720" spans="16:27" ht="15" customHeight="1">
      <c r="P3720" t="str">
        <f t="shared" si="116"/>
        <v/>
      </c>
      <c r="Q3720" t="str">
        <f>IF(P3720="","",IFERROR(IF(AND(H3720="W7",OR(F3720="causal",F3720="predictive")),IF(AND(OR(K3720=1,K3720="1"),OR(L3720=1,L3720="1"),OR(M3720=1,M3720="1")),"adequate","partial"),IF(AND(H3720="W4",F3720="predictive",OR(J3720="P2",J3720="P3",J3720="P4")),IF(OR(U3720=1,U3720="1"),"adequate","partial"),INDEX(Fit_Matrix!$B:$B,MATCH(P3720,Fit_Matrix!$A:$A,0)))),"CHECK KEY"))</f>
        <v/>
      </c>
      <c r="U3720" s="10"/>
      <c r="V3720" s="10"/>
      <c r="W3720" s="10"/>
      <c r="X3720" s="10"/>
      <c r="Y3720" s="10"/>
      <c r="Z3720" s="10"/>
      <c r="AA3720" s="11" t="str">
        <f t="shared" si="117"/>
        <v/>
      </c>
    </row>
    <row r="3721" spans="16:27" ht="15" customHeight="1">
      <c r="P3721" t="str">
        <f t="shared" si="116"/>
        <v/>
      </c>
      <c r="Q3721" t="str">
        <f>IF(P3721="","",IFERROR(IF(AND(H3721="W7",OR(F3721="causal",F3721="predictive")),IF(AND(OR(K3721=1,K3721="1"),OR(L3721=1,L3721="1"),OR(M3721=1,M3721="1")),"adequate","partial"),IF(AND(H3721="W4",F3721="predictive",OR(J3721="P2",J3721="P3",J3721="P4")),IF(OR(U3721=1,U3721="1"),"adequate","partial"),INDEX(Fit_Matrix!$B:$B,MATCH(P3721,Fit_Matrix!$A:$A,0)))),"CHECK KEY"))</f>
        <v/>
      </c>
      <c r="U3721" s="10"/>
      <c r="V3721" s="10"/>
      <c r="W3721" s="10"/>
      <c r="X3721" s="10"/>
      <c r="Y3721" s="10"/>
      <c r="Z3721" s="10"/>
      <c r="AA3721" s="11" t="str">
        <f t="shared" si="117"/>
        <v/>
      </c>
    </row>
    <row r="3722" spans="16:27" ht="15" customHeight="1">
      <c r="P3722" t="str">
        <f t="shared" si="116"/>
        <v/>
      </c>
      <c r="Q3722" t="str">
        <f>IF(P3722="","",IFERROR(IF(AND(H3722="W7",OR(F3722="causal",F3722="predictive")),IF(AND(OR(K3722=1,K3722="1"),OR(L3722=1,L3722="1"),OR(M3722=1,M3722="1")),"adequate","partial"),IF(AND(H3722="W4",F3722="predictive",OR(J3722="P2",J3722="P3",J3722="P4")),IF(OR(U3722=1,U3722="1"),"adequate","partial"),INDEX(Fit_Matrix!$B:$B,MATCH(P3722,Fit_Matrix!$A:$A,0)))),"CHECK KEY"))</f>
        <v/>
      </c>
      <c r="U3722" s="10"/>
      <c r="V3722" s="10"/>
      <c r="W3722" s="10"/>
      <c r="X3722" s="10"/>
      <c r="Y3722" s="10"/>
      <c r="Z3722" s="10"/>
      <c r="AA3722" s="11" t="str">
        <f t="shared" si="117"/>
        <v/>
      </c>
    </row>
    <row r="3723" spans="16:27" ht="15" customHeight="1">
      <c r="P3723" t="str">
        <f t="shared" si="116"/>
        <v/>
      </c>
      <c r="Q3723" t="str">
        <f>IF(P3723="","",IFERROR(IF(AND(H3723="W7",OR(F3723="causal",F3723="predictive")),IF(AND(OR(K3723=1,K3723="1"),OR(L3723=1,L3723="1"),OR(M3723=1,M3723="1")),"adequate","partial"),IF(AND(H3723="W4",F3723="predictive",OR(J3723="P2",J3723="P3",J3723="P4")),IF(OR(U3723=1,U3723="1"),"adequate","partial"),INDEX(Fit_Matrix!$B:$B,MATCH(P3723,Fit_Matrix!$A:$A,0)))),"CHECK KEY"))</f>
        <v/>
      </c>
      <c r="U3723" s="10"/>
      <c r="V3723" s="10"/>
      <c r="W3723" s="10"/>
      <c r="X3723" s="10"/>
      <c r="Y3723" s="10"/>
      <c r="Z3723" s="10"/>
      <c r="AA3723" s="11" t="str">
        <f t="shared" si="117"/>
        <v/>
      </c>
    </row>
    <row r="3724" spans="16:27" ht="15" customHeight="1">
      <c r="P3724" t="str">
        <f t="shared" si="116"/>
        <v/>
      </c>
      <c r="Q3724" t="str">
        <f>IF(P3724="","",IFERROR(IF(AND(H3724="W7",OR(F3724="causal",F3724="predictive")),IF(AND(OR(K3724=1,K3724="1"),OR(L3724=1,L3724="1"),OR(M3724=1,M3724="1")),"adequate","partial"),IF(AND(H3724="W4",F3724="predictive",OR(J3724="P2",J3724="P3",J3724="P4")),IF(OR(U3724=1,U3724="1"),"adequate","partial"),INDEX(Fit_Matrix!$B:$B,MATCH(P3724,Fit_Matrix!$A:$A,0)))),"CHECK KEY"))</f>
        <v/>
      </c>
      <c r="U3724" s="10"/>
      <c r="V3724" s="10"/>
      <c r="W3724" s="10"/>
      <c r="X3724" s="10"/>
      <c r="Y3724" s="10"/>
      <c r="Z3724" s="10"/>
      <c r="AA3724" s="11" t="str">
        <f t="shared" si="117"/>
        <v/>
      </c>
    </row>
    <row r="3725" spans="16:27" ht="15" customHeight="1">
      <c r="P3725" t="str">
        <f t="shared" si="116"/>
        <v/>
      </c>
      <c r="Q3725" t="str">
        <f>IF(P3725="","",IFERROR(IF(AND(H3725="W7",OR(F3725="causal",F3725="predictive")),IF(AND(OR(K3725=1,K3725="1"),OR(L3725=1,L3725="1"),OR(M3725=1,M3725="1")),"adequate","partial"),IF(AND(H3725="W4",F3725="predictive",OR(J3725="P2",J3725="P3",J3725="P4")),IF(OR(U3725=1,U3725="1"),"adequate","partial"),INDEX(Fit_Matrix!$B:$B,MATCH(P3725,Fit_Matrix!$A:$A,0)))),"CHECK KEY"))</f>
        <v/>
      </c>
      <c r="U3725" s="10"/>
      <c r="V3725" s="10"/>
      <c r="W3725" s="10"/>
      <c r="X3725" s="10"/>
      <c r="Y3725" s="10"/>
      <c r="Z3725" s="10"/>
      <c r="AA3725" s="11" t="str">
        <f t="shared" si="117"/>
        <v/>
      </c>
    </row>
    <row r="3726" spans="16:27" ht="15" customHeight="1">
      <c r="P3726" t="str">
        <f t="shared" si="116"/>
        <v/>
      </c>
      <c r="Q3726" t="str">
        <f>IF(P3726="","",IFERROR(IF(AND(H3726="W7",OR(F3726="causal",F3726="predictive")),IF(AND(OR(K3726=1,K3726="1"),OR(L3726=1,L3726="1"),OR(M3726=1,M3726="1")),"adequate","partial"),IF(AND(H3726="W4",F3726="predictive",OR(J3726="P2",J3726="P3",J3726="P4")),IF(OR(U3726=1,U3726="1"),"adequate","partial"),INDEX(Fit_Matrix!$B:$B,MATCH(P3726,Fit_Matrix!$A:$A,0)))),"CHECK KEY"))</f>
        <v/>
      </c>
      <c r="U3726" s="10"/>
      <c r="V3726" s="10"/>
      <c r="W3726" s="10"/>
      <c r="X3726" s="10"/>
      <c r="Y3726" s="10"/>
      <c r="Z3726" s="10"/>
      <c r="AA3726" s="11" t="str">
        <f t="shared" si="117"/>
        <v/>
      </c>
    </row>
    <row r="3727" spans="16:27" ht="15" customHeight="1">
      <c r="P3727" t="str">
        <f t="shared" si="116"/>
        <v/>
      </c>
      <c r="Q3727" t="str">
        <f>IF(P3727="","",IFERROR(IF(AND(H3727="W7",OR(F3727="causal",F3727="predictive")),IF(AND(OR(K3727=1,K3727="1"),OR(L3727=1,L3727="1"),OR(M3727=1,M3727="1")),"adequate","partial"),IF(AND(H3727="W4",F3727="predictive",OR(J3727="P2",J3727="P3",J3727="P4")),IF(OR(U3727=1,U3727="1"),"adequate","partial"),INDEX(Fit_Matrix!$B:$B,MATCH(P3727,Fit_Matrix!$A:$A,0)))),"CHECK KEY"))</f>
        <v/>
      </c>
      <c r="U3727" s="10"/>
      <c r="V3727" s="10"/>
      <c r="W3727" s="10"/>
      <c r="X3727" s="10"/>
      <c r="Y3727" s="10"/>
      <c r="Z3727" s="10"/>
      <c r="AA3727" s="11" t="str">
        <f t="shared" si="117"/>
        <v/>
      </c>
    </row>
    <row r="3728" spans="16:27" ht="15" customHeight="1">
      <c r="P3728" t="str">
        <f t="shared" si="116"/>
        <v/>
      </c>
      <c r="Q3728" t="str">
        <f>IF(P3728="","",IFERROR(IF(AND(H3728="W7",OR(F3728="causal",F3728="predictive")),IF(AND(OR(K3728=1,K3728="1"),OR(L3728=1,L3728="1"),OR(M3728=1,M3728="1")),"adequate","partial"),IF(AND(H3728="W4",F3728="predictive",OR(J3728="P2",J3728="P3",J3728="P4")),IF(OR(U3728=1,U3728="1"),"adequate","partial"),INDEX(Fit_Matrix!$B:$B,MATCH(P3728,Fit_Matrix!$A:$A,0)))),"CHECK KEY"))</f>
        <v/>
      </c>
      <c r="U3728" s="10"/>
      <c r="V3728" s="10"/>
      <c r="W3728" s="10"/>
      <c r="X3728" s="10"/>
      <c r="Y3728" s="10"/>
      <c r="Z3728" s="10"/>
      <c r="AA3728" s="11" t="str">
        <f t="shared" si="117"/>
        <v/>
      </c>
    </row>
    <row r="3729" spans="16:27" ht="15" customHeight="1">
      <c r="P3729" t="str">
        <f t="shared" si="116"/>
        <v/>
      </c>
      <c r="Q3729" t="str">
        <f>IF(P3729="","",IFERROR(IF(AND(H3729="W7",OR(F3729="causal",F3729="predictive")),IF(AND(OR(K3729=1,K3729="1"),OR(L3729=1,L3729="1"),OR(M3729=1,M3729="1")),"adequate","partial"),IF(AND(H3729="W4",F3729="predictive",OR(J3729="P2",J3729="P3",J3729="P4")),IF(OR(U3729=1,U3729="1"),"adequate","partial"),INDEX(Fit_Matrix!$B:$B,MATCH(P3729,Fit_Matrix!$A:$A,0)))),"CHECK KEY"))</f>
        <v/>
      </c>
      <c r="U3729" s="10"/>
      <c r="V3729" s="10"/>
      <c r="W3729" s="10"/>
      <c r="X3729" s="10"/>
      <c r="Y3729" s="10"/>
      <c r="Z3729" s="10"/>
      <c r="AA3729" s="11" t="str">
        <f t="shared" si="117"/>
        <v/>
      </c>
    </row>
    <row r="3730" spans="16:27" ht="15" customHeight="1">
      <c r="P3730" t="str">
        <f t="shared" si="116"/>
        <v/>
      </c>
      <c r="Q3730" t="str">
        <f>IF(P3730="","",IFERROR(IF(AND(H3730="W7",OR(F3730="causal",F3730="predictive")),IF(AND(OR(K3730=1,K3730="1"),OR(L3730=1,L3730="1"),OR(M3730=1,M3730="1")),"adequate","partial"),IF(AND(H3730="W4",F3730="predictive",OR(J3730="P2",J3730="P3",J3730="P4")),IF(OR(U3730=1,U3730="1"),"adequate","partial"),INDEX(Fit_Matrix!$B:$B,MATCH(P3730,Fit_Matrix!$A:$A,0)))),"CHECK KEY"))</f>
        <v/>
      </c>
      <c r="U3730" s="10"/>
      <c r="V3730" s="10"/>
      <c r="W3730" s="10"/>
      <c r="X3730" s="10"/>
      <c r="Y3730" s="10"/>
      <c r="Z3730" s="10"/>
      <c r="AA3730" s="11" t="str">
        <f t="shared" si="117"/>
        <v/>
      </c>
    </row>
    <row r="3731" spans="16:27" ht="15" customHeight="1">
      <c r="P3731" t="str">
        <f t="shared" si="116"/>
        <v/>
      </c>
      <c r="Q3731" t="str">
        <f>IF(P3731="","",IFERROR(IF(AND(H3731="W7",OR(F3731="causal",F3731="predictive")),IF(AND(OR(K3731=1,K3731="1"),OR(L3731=1,L3731="1"),OR(M3731=1,M3731="1")),"adequate","partial"),IF(AND(H3731="W4",F3731="predictive",OR(J3731="P2",J3731="P3",J3731="P4")),IF(OR(U3731=1,U3731="1"),"adequate","partial"),INDEX(Fit_Matrix!$B:$B,MATCH(P3731,Fit_Matrix!$A:$A,0)))),"CHECK KEY"))</f>
        <v/>
      </c>
      <c r="U3731" s="10"/>
      <c r="V3731" s="10"/>
      <c r="W3731" s="10"/>
      <c r="X3731" s="10"/>
      <c r="Y3731" s="10"/>
      <c r="Z3731" s="10"/>
      <c r="AA3731" s="11" t="str">
        <f t="shared" si="117"/>
        <v/>
      </c>
    </row>
    <row r="3732" spans="16:27" ht="15" customHeight="1">
      <c r="P3732" t="str">
        <f t="shared" si="116"/>
        <v/>
      </c>
      <c r="Q3732" t="str">
        <f>IF(P3732="","",IFERROR(IF(AND(H3732="W7",OR(F3732="causal",F3732="predictive")),IF(AND(OR(K3732=1,K3732="1"),OR(L3732=1,L3732="1"),OR(M3732=1,M3732="1")),"adequate","partial"),IF(AND(H3732="W4",F3732="predictive",OR(J3732="P2",J3732="P3",J3732="P4")),IF(OR(U3732=1,U3732="1"),"adequate","partial"),INDEX(Fit_Matrix!$B:$B,MATCH(P3732,Fit_Matrix!$A:$A,0)))),"CHECK KEY"))</f>
        <v/>
      </c>
      <c r="U3732" s="10"/>
      <c r="V3732" s="10"/>
      <c r="W3732" s="10"/>
      <c r="X3732" s="10"/>
      <c r="Y3732" s="10"/>
      <c r="Z3732" s="10"/>
      <c r="AA3732" s="11" t="str">
        <f t="shared" si="117"/>
        <v/>
      </c>
    </row>
    <row r="3733" spans="16:27" ht="15" customHeight="1">
      <c r="P3733" t="str">
        <f t="shared" si="116"/>
        <v/>
      </c>
      <c r="Q3733" t="str">
        <f>IF(P3733="","",IFERROR(IF(AND(H3733="W7",OR(F3733="causal",F3733="predictive")),IF(AND(OR(K3733=1,K3733="1"),OR(L3733=1,L3733="1"),OR(M3733=1,M3733="1")),"adequate","partial"),IF(AND(H3733="W4",F3733="predictive",OR(J3733="P2",J3733="P3",J3733="P4")),IF(OR(U3733=1,U3733="1"),"adequate","partial"),INDEX(Fit_Matrix!$B:$B,MATCH(P3733,Fit_Matrix!$A:$A,0)))),"CHECK KEY"))</f>
        <v/>
      </c>
      <c r="U3733" s="10"/>
      <c r="V3733" s="10"/>
      <c r="W3733" s="10"/>
      <c r="X3733" s="10"/>
      <c r="Y3733" s="10"/>
      <c r="Z3733" s="10"/>
      <c r="AA3733" s="11" t="str">
        <f t="shared" si="117"/>
        <v/>
      </c>
    </row>
    <row r="3734" spans="16:27" ht="15" customHeight="1">
      <c r="P3734" t="str">
        <f t="shared" si="116"/>
        <v/>
      </c>
      <c r="Q3734" t="str">
        <f>IF(P3734="","",IFERROR(IF(AND(H3734="W7",OR(F3734="causal",F3734="predictive")),IF(AND(OR(K3734=1,K3734="1"),OR(L3734=1,L3734="1"),OR(M3734=1,M3734="1")),"adequate","partial"),IF(AND(H3734="W4",F3734="predictive",OR(J3734="P2",J3734="P3",J3734="P4")),IF(OR(U3734=1,U3734="1"),"adequate","partial"),INDEX(Fit_Matrix!$B:$B,MATCH(P3734,Fit_Matrix!$A:$A,0)))),"CHECK KEY"))</f>
        <v/>
      </c>
      <c r="U3734" s="10"/>
      <c r="V3734" s="10"/>
      <c r="W3734" s="10"/>
      <c r="X3734" s="10"/>
      <c r="Y3734" s="10"/>
      <c r="Z3734" s="10"/>
      <c r="AA3734" s="11" t="str">
        <f t="shared" si="117"/>
        <v/>
      </c>
    </row>
    <row r="3735" spans="16:27" ht="15" customHeight="1">
      <c r="P3735" t="str">
        <f t="shared" si="116"/>
        <v/>
      </c>
      <c r="Q3735" t="str">
        <f>IF(P3735="","",IFERROR(IF(AND(H3735="W7",OR(F3735="causal",F3735="predictive")),IF(AND(OR(K3735=1,K3735="1"),OR(L3735=1,L3735="1"),OR(M3735=1,M3735="1")),"adequate","partial"),IF(AND(H3735="W4",F3735="predictive",OR(J3735="P2",J3735="P3",J3735="P4")),IF(OR(U3735=1,U3735="1"),"adequate","partial"),INDEX(Fit_Matrix!$B:$B,MATCH(P3735,Fit_Matrix!$A:$A,0)))),"CHECK KEY"))</f>
        <v/>
      </c>
      <c r="U3735" s="10"/>
      <c r="V3735" s="10"/>
      <c r="W3735" s="10"/>
      <c r="X3735" s="10"/>
      <c r="Y3735" s="10"/>
      <c r="Z3735" s="10"/>
      <c r="AA3735" s="11" t="str">
        <f t="shared" si="117"/>
        <v/>
      </c>
    </row>
    <row r="3736" spans="16:27" ht="15" customHeight="1">
      <c r="P3736" t="str">
        <f t="shared" si="116"/>
        <v/>
      </c>
      <c r="Q3736" t="str">
        <f>IF(P3736="","",IFERROR(IF(AND(H3736="W7",OR(F3736="causal",F3736="predictive")),IF(AND(OR(K3736=1,K3736="1"),OR(L3736=1,L3736="1"),OR(M3736=1,M3736="1")),"adequate","partial"),IF(AND(H3736="W4",F3736="predictive",OR(J3736="P2",J3736="P3",J3736="P4")),IF(OR(U3736=1,U3736="1"),"adequate","partial"),INDEX(Fit_Matrix!$B:$B,MATCH(P3736,Fit_Matrix!$A:$A,0)))),"CHECK KEY"))</f>
        <v/>
      </c>
      <c r="U3736" s="10"/>
      <c r="V3736" s="10"/>
      <c r="W3736" s="10"/>
      <c r="X3736" s="10"/>
      <c r="Y3736" s="10"/>
      <c r="Z3736" s="10"/>
      <c r="AA3736" s="11" t="str">
        <f t="shared" si="117"/>
        <v/>
      </c>
    </row>
    <row r="3737" spans="16:27" ht="15" customHeight="1">
      <c r="P3737" t="str">
        <f t="shared" si="116"/>
        <v/>
      </c>
      <c r="Q3737" t="str">
        <f>IF(P3737="","",IFERROR(IF(AND(H3737="W7",OR(F3737="causal",F3737="predictive")),IF(AND(OR(K3737=1,K3737="1"),OR(L3737=1,L3737="1"),OR(M3737=1,M3737="1")),"adequate","partial"),IF(AND(H3737="W4",F3737="predictive",OR(J3737="P2",J3737="P3",J3737="P4")),IF(OR(U3737=1,U3737="1"),"adequate","partial"),INDEX(Fit_Matrix!$B:$B,MATCH(P3737,Fit_Matrix!$A:$A,0)))),"CHECK KEY"))</f>
        <v/>
      </c>
      <c r="U3737" s="10"/>
      <c r="V3737" s="10"/>
      <c r="W3737" s="10"/>
      <c r="X3737" s="10"/>
      <c r="Y3737" s="10"/>
      <c r="Z3737" s="10"/>
      <c r="AA3737" s="11" t="str">
        <f t="shared" si="117"/>
        <v/>
      </c>
    </row>
    <row r="3738" spans="16:27" ht="15" customHeight="1">
      <c r="P3738" t="str">
        <f t="shared" si="116"/>
        <v/>
      </c>
      <c r="Q3738" t="str">
        <f>IF(P3738="","",IFERROR(IF(AND(H3738="W7",OR(F3738="causal",F3738="predictive")),IF(AND(OR(K3738=1,K3738="1"),OR(L3738=1,L3738="1"),OR(M3738=1,M3738="1")),"adequate","partial"),IF(AND(H3738="W4",F3738="predictive",OR(J3738="P2",J3738="P3",J3738="P4")),IF(OR(U3738=1,U3738="1"),"adequate","partial"),INDEX(Fit_Matrix!$B:$B,MATCH(P3738,Fit_Matrix!$A:$A,0)))),"CHECK KEY"))</f>
        <v/>
      </c>
      <c r="U3738" s="10"/>
      <c r="V3738" s="10"/>
      <c r="W3738" s="10"/>
      <c r="X3738" s="10"/>
      <c r="Y3738" s="10"/>
      <c r="Z3738" s="10"/>
      <c r="AA3738" s="11" t="str">
        <f t="shared" si="117"/>
        <v/>
      </c>
    </row>
    <row r="3739" spans="16:27" ht="15" customHeight="1">
      <c r="P3739" t="str">
        <f t="shared" si="116"/>
        <v/>
      </c>
      <c r="Q3739" t="str">
        <f>IF(P3739="","",IFERROR(IF(AND(H3739="W7",OR(F3739="causal",F3739="predictive")),IF(AND(OR(K3739=1,K3739="1"),OR(L3739=1,L3739="1"),OR(M3739=1,M3739="1")),"adequate","partial"),IF(AND(H3739="W4",F3739="predictive",OR(J3739="P2",J3739="P3",J3739="P4")),IF(OR(U3739=1,U3739="1"),"adequate","partial"),INDEX(Fit_Matrix!$B:$B,MATCH(P3739,Fit_Matrix!$A:$A,0)))),"CHECK KEY"))</f>
        <v/>
      </c>
      <c r="U3739" s="10"/>
      <c r="V3739" s="10"/>
      <c r="W3739" s="10"/>
      <c r="X3739" s="10"/>
      <c r="Y3739" s="10"/>
      <c r="Z3739" s="10"/>
      <c r="AA3739" s="11" t="str">
        <f t="shared" si="117"/>
        <v/>
      </c>
    </row>
    <row r="3740" spans="16:27" ht="15" customHeight="1">
      <c r="P3740" t="str">
        <f t="shared" si="116"/>
        <v/>
      </c>
      <c r="Q3740" t="str">
        <f>IF(P3740="","",IFERROR(IF(AND(H3740="W7",OR(F3740="causal",F3740="predictive")),IF(AND(OR(K3740=1,K3740="1"),OR(L3740=1,L3740="1"),OR(M3740=1,M3740="1")),"adequate","partial"),IF(AND(H3740="W4",F3740="predictive",OR(J3740="P2",J3740="P3",J3740="P4")),IF(OR(U3740=1,U3740="1"),"adequate","partial"),INDEX(Fit_Matrix!$B:$B,MATCH(P3740,Fit_Matrix!$A:$A,0)))),"CHECK KEY"))</f>
        <v/>
      </c>
      <c r="U3740" s="10"/>
      <c r="V3740" s="10"/>
      <c r="W3740" s="10"/>
      <c r="X3740" s="10"/>
      <c r="Y3740" s="10"/>
      <c r="Z3740" s="10"/>
      <c r="AA3740" s="11" t="str">
        <f t="shared" si="117"/>
        <v/>
      </c>
    </row>
    <row r="3741" spans="16:27" ht="15" customHeight="1">
      <c r="P3741" t="str">
        <f t="shared" si="116"/>
        <v/>
      </c>
      <c r="Q3741" t="str">
        <f>IF(P3741="","",IFERROR(IF(AND(H3741="W7",OR(F3741="causal",F3741="predictive")),IF(AND(OR(K3741=1,K3741="1"),OR(L3741=1,L3741="1"),OR(M3741=1,M3741="1")),"adequate","partial"),IF(AND(H3741="W4",F3741="predictive",OR(J3741="P2",J3741="P3",J3741="P4")),IF(OR(U3741=1,U3741="1"),"adequate","partial"),INDEX(Fit_Matrix!$B:$B,MATCH(P3741,Fit_Matrix!$A:$A,0)))),"CHECK KEY"))</f>
        <v/>
      </c>
      <c r="U3741" s="10"/>
      <c r="V3741" s="10"/>
      <c r="W3741" s="10"/>
      <c r="X3741" s="10"/>
      <c r="Y3741" s="10"/>
      <c r="Z3741" s="10"/>
      <c r="AA3741" s="11" t="str">
        <f t="shared" si="117"/>
        <v/>
      </c>
    </row>
    <row r="3742" spans="16:27" ht="15" customHeight="1">
      <c r="P3742" t="str">
        <f t="shared" si="116"/>
        <v/>
      </c>
      <c r="Q3742" t="str">
        <f>IF(P3742="","",IFERROR(IF(AND(H3742="W7",OR(F3742="causal",F3742="predictive")),IF(AND(OR(K3742=1,K3742="1"),OR(L3742=1,L3742="1"),OR(M3742=1,M3742="1")),"adequate","partial"),IF(AND(H3742="W4",F3742="predictive",OR(J3742="P2",J3742="P3",J3742="P4")),IF(OR(U3742=1,U3742="1"),"adequate","partial"),INDEX(Fit_Matrix!$B:$B,MATCH(P3742,Fit_Matrix!$A:$A,0)))),"CHECK KEY"))</f>
        <v/>
      </c>
      <c r="U3742" s="10"/>
      <c r="V3742" s="10"/>
      <c r="W3742" s="10"/>
      <c r="X3742" s="10"/>
      <c r="Y3742" s="10"/>
      <c r="Z3742" s="10"/>
      <c r="AA3742" s="11" t="str">
        <f t="shared" si="117"/>
        <v/>
      </c>
    </row>
    <row r="3743" spans="16:27" ht="15" customHeight="1">
      <c r="P3743" t="str">
        <f t="shared" si="116"/>
        <v/>
      </c>
      <c r="Q3743" t="str">
        <f>IF(P3743="","",IFERROR(IF(AND(H3743="W7",OR(F3743="causal",F3743="predictive")),IF(AND(OR(K3743=1,K3743="1"),OR(L3743=1,L3743="1"),OR(M3743=1,M3743="1")),"adequate","partial"),IF(AND(H3743="W4",F3743="predictive",OR(J3743="P2",J3743="P3",J3743="P4")),IF(OR(U3743=1,U3743="1"),"adequate","partial"),INDEX(Fit_Matrix!$B:$B,MATCH(P3743,Fit_Matrix!$A:$A,0)))),"CHECK KEY"))</f>
        <v/>
      </c>
      <c r="U3743" s="10"/>
      <c r="V3743" s="10"/>
      <c r="W3743" s="10"/>
      <c r="X3743" s="10"/>
      <c r="Y3743" s="10"/>
      <c r="Z3743" s="10"/>
      <c r="AA3743" s="11" t="str">
        <f t="shared" si="117"/>
        <v/>
      </c>
    </row>
    <row r="3744" spans="16:27" ht="15" customHeight="1">
      <c r="P3744" t="str">
        <f t="shared" si="116"/>
        <v/>
      </c>
      <c r="Q3744" t="str">
        <f>IF(P3744="","",IFERROR(IF(AND(H3744="W7",OR(F3744="causal",F3744="predictive")),IF(AND(OR(K3744=1,K3744="1"),OR(L3744=1,L3744="1"),OR(M3744=1,M3744="1")),"adequate","partial"),IF(AND(H3744="W4",F3744="predictive",OR(J3744="P2",J3744="P3",J3744="P4")),IF(OR(U3744=1,U3744="1"),"adequate","partial"),INDEX(Fit_Matrix!$B:$B,MATCH(P3744,Fit_Matrix!$A:$A,0)))),"CHECK KEY"))</f>
        <v/>
      </c>
      <c r="U3744" s="10"/>
      <c r="V3744" s="10"/>
      <c r="W3744" s="10"/>
      <c r="X3744" s="10"/>
      <c r="Y3744" s="10"/>
      <c r="Z3744" s="10"/>
      <c r="AA3744" s="11" t="str">
        <f t="shared" si="117"/>
        <v/>
      </c>
    </row>
    <row r="3745" spans="16:27" ht="15" customHeight="1">
      <c r="P3745" t="str">
        <f t="shared" si="116"/>
        <v/>
      </c>
      <c r="Q3745" t="str">
        <f>IF(P3745="","",IFERROR(IF(AND(H3745="W7",OR(F3745="causal",F3745="predictive")),IF(AND(OR(K3745=1,K3745="1"),OR(L3745=1,L3745="1"),OR(M3745=1,M3745="1")),"adequate","partial"),IF(AND(H3745="W4",F3745="predictive",OR(J3745="P2",J3745="P3",J3745="P4")),IF(OR(U3745=1,U3745="1"),"adequate","partial"),INDEX(Fit_Matrix!$B:$B,MATCH(P3745,Fit_Matrix!$A:$A,0)))),"CHECK KEY"))</f>
        <v/>
      </c>
      <c r="U3745" s="10"/>
      <c r="V3745" s="10"/>
      <c r="W3745" s="10"/>
      <c r="X3745" s="10"/>
      <c r="Y3745" s="10"/>
      <c r="Z3745" s="10"/>
      <c r="AA3745" s="11" t="str">
        <f t="shared" si="117"/>
        <v/>
      </c>
    </row>
    <row r="3746" spans="16:27" ht="15" customHeight="1">
      <c r="P3746" t="str">
        <f t="shared" si="116"/>
        <v/>
      </c>
      <c r="Q3746" t="str">
        <f>IF(P3746="","",IFERROR(IF(AND(H3746="W7",OR(F3746="causal",F3746="predictive")),IF(AND(OR(K3746=1,K3746="1"),OR(L3746=1,L3746="1"),OR(M3746=1,M3746="1")),"adequate","partial"),IF(AND(H3746="W4",F3746="predictive",OR(J3746="P2",J3746="P3",J3746="P4")),IF(OR(U3746=1,U3746="1"),"adequate","partial"),INDEX(Fit_Matrix!$B:$B,MATCH(P3746,Fit_Matrix!$A:$A,0)))),"CHECK KEY"))</f>
        <v/>
      </c>
      <c r="U3746" s="10"/>
      <c r="V3746" s="10"/>
      <c r="W3746" s="10"/>
      <c r="X3746" s="10"/>
      <c r="Y3746" s="10"/>
      <c r="Z3746" s="10"/>
      <c r="AA3746" s="11" t="str">
        <f t="shared" si="117"/>
        <v/>
      </c>
    </row>
    <row r="3747" spans="16:27" ht="15" customHeight="1">
      <c r="P3747" t="str">
        <f t="shared" si="116"/>
        <v/>
      </c>
      <c r="Q3747" t="str">
        <f>IF(P3747="","",IFERROR(IF(AND(H3747="W7",OR(F3747="causal",F3747="predictive")),IF(AND(OR(K3747=1,K3747="1"),OR(L3747=1,L3747="1"),OR(M3747=1,M3747="1")),"adequate","partial"),IF(AND(H3747="W4",F3747="predictive",OR(J3747="P2",J3747="P3",J3747="P4")),IF(OR(U3747=1,U3747="1"),"adequate","partial"),INDEX(Fit_Matrix!$B:$B,MATCH(P3747,Fit_Matrix!$A:$A,0)))),"CHECK KEY"))</f>
        <v/>
      </c>
      <c r="U3747" s="10"/>
      <c r="V3747" s="10"/>
      <c r="W3747" s="10"/>
      <c r="X3747" s="10"/>
      <c r="Y3747" s="10"/>
      <c r="Z3747" s="10"/>
      <c r="AA3747" s="11" t="str">
        <f t="shared" si="117"/>
        <v/>
      </c>
    </row>
    <row r="3748" spans="16:27" ht="15" customHeight="1">
      <c r="P3748" t="str">
        <f t="shared" si="116"/>
        <v/>
      </c>
      <c r="Q3748" t="str">
        <f>IF(P3748="","",IFERROR(IF(AND(H3748="W7",OR(F3748="causal",F3748="predictive")),IF(AND(OR(K3748=1,K3748="1"),OR(L3748=1,L3748="1"),OR(M3748=1,M3748="1")),"adequate","partial"),IF(AND(H3748="W4",F3748="predictive",OR(J3748="P2",J3748="P3",J3748="P4")),IF(OR(U3748=1,U3748="1"),"adequate","partial"),INDEX(Fit_Matrix!$B:$B,MATCH(P3748,Fit_Matrix!$A:$A,0)))),"CHECK KEY"))</f>
        <v/>
      </c>
      <c r="U3748" s="10"/>
      <c r="V3748" s="10"/>
      <c r="W3748" s="10"/>
      <c r="X3748" s="10"/>
      <c r="Y3748" s="10"/>
      <c r="Z3748" s="10"/>
      <c r="AA3748" s="11" t="str">
        <f t="shared" si="117"/>
        <v/>
      </c>
    </row>
    <row r="3749" spans="16:27" ht="15" customHeight="1">
      <c r="P3749" t="str">
        <f t="shared" si="116"/>
        <v/>
      </c>
      <c r="Q3749" t="str">
        <f>IF(P3749="","",IFERROR(IF(AND(H3749="W7",OR(F3749="causal",F3749="predictive")),IF(AND(OR(K3749=1,K3749="1"),OR(L3749=1,L3749="1"),OR(M3749=1,M3749="1")),"adequate","partial"),IF(AND(H3749="W4",F3749="predictive",OR(J3749="P2",J3749="P3",J3749="P4")),IF(OR(U3749=1,U3749="1"),"adequate","partial"),INDEX(Fit_Matrix!$B:$B,MATCH(P3749,Fit_Matrix!$A:$A,0)))),"CHECK KEY"))</f>
        <v/>
      </c>
      <c r="U3749" s="10"/>
      <c r="V3749" s="10"/>
      <c r="W3749" s="10"/>
      <c r="X3749" s="10"/>
      <c r="Y3749" s="10"/>
      <c r="Z3749" s="10"/>
      <c r="AA3749" s="11" t="str">
        <f t="shared" si="117"/>
        <v/>
      </c>
    </row>
    <row r="3750" spans="16:27" ht="15" customHeight="1">
      <c r="P3750" t="str">
        <f t="shared" si="116"/>
        <v/>
      </c>
      <c r="Q3750" t="str">
        <f>IF(P3750="","",IFERROR(IF(AND(H3750="W7",OR(F3750="causal",F3750="predictive")),IF(AND(OR(K3750=1,K3750="1"),OR(L3750=1,L3750="1"),OR(M3750=1,M3750="1")),"adequate","partial"),IF(AND(H3750="W4",F3750="predictive",OR(J3750="P2",J3750="P3",J3750="P4")),IF(OR(U3750=1,U3750="1"),"adequate","partial"),INDEX(Fit_Matrix!$B:$B,MATCH(P3750,Fit_Matrix!$A:$A,0)))),"CHECK KEY"))</f>
        <v/>
      </c>
      <c r="U3750" s="10"/>
      <c r="V3750" s="10"/>
      <c r="W3750" s="10"/>
      <c r="X3750" s="10"/>
      <c r="Y3750" s="10"/>
      <c r="Z3750" s="10"/>
      <c r="AA3750" s="11" t="str">
        <f t="shared" si="117"/>
        <v/>
      </c>
    </row>
    <row r="3751" spans="16:27" ht="15" customHeight="1">
      <c r="P3751" t="str">
        <f t="shared" si="116"/>
        <v/>
      </c>
      <c r="Q3751" t="str">
        <f>IF(P3751="","",IFERROR(IF(AND(H3751="W7",OR(F3751="causal",F3751="predictive")),IF(AND(OR(K3751=1,K3751="1"),OR(L3751=1,L3751="1"),OR(M3751=1,M3751="1")),"adequate","partial"),IF(AND(H3751="W4",F3751="predictive",OR(J3751="P2",J3751="P3",J3751="P4")),IF(OR(U3751=1,U3751="1"),"adequate","partial"),INDEX(Fit_Matrix!$B:$B,MATCH(P3751,Fit_Matrix!$A:$A,0)))),"CHECK KEY"))</f>
        <v/>
      </c>
      <c r="U3751" s="10"/>
      <c r="V3751" s="10"/>
      <c r="W3751" s="10"/>
      <c r="X3751" s="10"/>
      <c r="Y3751" s="10"/>
      <c r="Z3751" s="10"/>
      <c r="AA3751" s="11" t="str">
        <f t="shared" si="117"/>
        <v/>
      </c>
    </row>
    <row r="3752" spans="16:27" ht="15" customHeight="1">
      <c r="P3752" t="str">
        <f t="shared" si="116"/>
        <v/>
      </c>
      <c r="Q3752" t="str">
        <f>IF(P3752="","",IFERROR(IF(AND(H3752="W7",OR(F3752="causal",F3752="predictive")),IF(AND(OR(K3752=1,K3752="1"),OR(L3752=1,L3752="1"),OR(M3752=1,M3752="1")),"adequate","partial"),IF(AND(H3752="W4",F3752="predictive",OR(J3752="P2",J3752="P3",J3752="P4")),IF(OR(U3752=1,U3752="1"),"adequate","partial"),INDEX(Fit_Matrix!$B:$B,MATCH(P3752,Fit_Matrix!$A:$A,0)))),"CHECK KEY"))</f>
        <v/>
      </c>
      <c r="U3752" s="10"/>
      <c r="V3752" s="10"/>
      <c r="W3752" s="10"/>
      <c r="X3752" s="10"/>
      <c r="Y3752" s="10"/>
      <c r="Z3752" s="10"/>
      <c r="AA3752" s="11" t="str">
        <f t="shared" si="117"/>
        <v/>
      </c>
    </row>
    <row r="3753" spans="16:27" ht="15" customHeight="1">
      <c r="P3753" t="str">
        <f t="shared" si="116"/>
        <v/>
      </c>
      <c r="Q3753" t="str">
        <f>IF(P3753="","",IFERROR(IF(AND(H3753="W7",OR(F3753="causal",F3753="predictive")),IF(AND(OR(K3753=1,K3753="1"),OR(L3753=1,L3753="1"),OR(M3753=1,M3753="1")),"adequate","partial"),IF(AND(H3753="W4",F3753="predictive",OR(J3753="P2",J3753="P3",J3753="P4")),IF(OR(U3753=1,U3753="1"),"adequate","partial"),INDEX(Fit_Matrix!$B:$B,MATCH(P3753,Fit_Matrix!$A:$A,0)))),"CHECK KEY"))</f>
        <v/>
      </c>
      <c r="U3753" s="10"/>
      <c r="V3753" s="10"/>
      <c r="W3753" s="10"/>
      <c r="X3753" s="10"/>
      <c r="Y3753" s="10"/>
      <c r="Z3753" s="10"/>
      <c r="AA3753" s="11" t="str">
        <f t="shared" si="117"/>
        <v/>
      </c>
    </row>
    <row r="3754" spans="16:27" ht="15" customHeight="1">
      <c r="P3754" t="str">
        <f t="shared" si="116"/>
        <v/>
      </c>
      <c r="Q3754" t="str">
        <f>IF(P3754="","",IFERROR(IF(AND(H3754="W7",OR(F3754="causal",F3754="predictive")),IF(AND(OR(K3754=1,K3754="1"),OR(L3754=1,L3754="1"),OR(M3754=1,M3754="1")),"adequate","partial"),IF(AND(H3754="W4",F3754="predictive",OR(J3754="P2",J3754="P3",J3754="P4")),IF(OR(U3754=1,U3754="1"),"adequate","partial"),INDEX(Fit_Matrix!$B:$B,MATCH(P3754,Fit_Matrix!$A:$A,0)))),"CHECK KEY"))</f>
        <v/>
      </c>
      <c r="U3754" s="10"/>
      <c r="V3754" s="10"/>
      <c r="W3754" s="10"/>
      <c r="X3754" s="10"/>
      <c r="Y3754" s="10"/>
      <c r="Z3754" s="10"/>
      <c r="AA3754" s="11" t="str">
        <f t="shared" si="117"/>
        <v/>
      </c>
    </row>
    <row r="3755" spans="16:27" ht="15" customHeight="1">
      <c r="P3755" t="str">
        <f t="shared" si="116"/>
        <v/>
      </c>
      <c r="Q3755" t="str">
        <f>IF(P3755="","",IFERROR(IF(AND(H3755="W7",OR(F3755="causal",F3755="predictive")),IF(AND(OR(K3755=1,K3755="1"),OR(L3755=1,L3755="1"),OR(M3755=1,M3755="1")),"adequate","partial"),IF(AND(H3755="W4",F3755="predictive",OR(J3755="P2",J3755="P3",J3755="P4")),IF(OR(U3755=1,U3755="1"),"adequate","partial"),INDEX(Fit_Matrix!$B:$B,MATCH(P3755,Fit_Matrix!$A:$A,0)))),"CHECK KEY"))</f>
        <v/>
      </c>
      <c r="U3755" s="10"/>
      <c r="V3755" s="10"/>
      <c r="W3755" s="10"/>
      <c r="X3755" s="10"/>
      <c r="Y3755" s="10"/>
      <c r="Z3755" s="10"/>
      <c r="AA3755" s="11" t="str">
        <f t="shared" si="117"/>
        <v/>
      </c>
    </row>
    <row r="3756" spans="16:27" ht="15" customHeight="1">
      <c r="P3756" t="str">
        <f t="shared" si="116"/>
        <v/>
      </c>
      <c r="Q3756" t="str">
        <f>IF(P3756="","",IFERROR(IF(AND(H3756="W7",OR(F3756="causal",F3756="predictive")),IF(AND(OR(K3756=1,K3756="1"),OR(L3756=1,L3756="1"),OR(M3756=1,M3756="1")),"adequate","partial"),IF(AND(H3756="W4",F3756="predictive",OR(J3756="P2",J3756="P3",J3756="P4")),IF(OR(U3756=1,U3756="1"),"adequate","partial"),INDEX(Fit_Matrix!$B:$B,MATCH(P3756,Fit_Matrix!$A:$A,0)))),"CHECK KEY"))</f>
        <v/>
      </c>
      <c r="U3756" s="10"/>
      <c r="V3756" s="10"/>
      <c r="W3756" s="10"/>
      <c r="X3756" s="10"/>
      <c r="Y3756" s="10"/>
      <c r="Z3756" s="10"/>
      <c r="AA3756" s="11" t="str">
        <f t="shared" si="117"/>
        <v/>
      </c>
    </row>
    <row r="3757" spans="16:27" ht="15" customHeight="1">
      <c r="P3757" t="str">
        <f t="shared" si="116"/>
        <v/>
      </c>
      <c r="Q3757" t="str">
        <f>IF(P3757="","",IFERROR(IF(AND(H3757="W7",OR(F3757="causal",F3757="predictive")),IF(AND(OR(K3757=1,K3757="1"),OR(L3757=1,L3757="1"),OR(M3757=1,M3757="1")),"adequate","partial"),IF(AND(H3757="W4",F3757="predictive",OR(J3757="P2",J3757="P3",J3757="P4")),IF(OR(U3757=1,U3757="1"),"adequate","partial"),INDEX(Fit_Matrix!$B:$B,MATCH(P3757,Fit_Matrix!$A:$A,0)))),"CHECK KEY"))</f>
        <v/>
      </c>
      <c r="U3757" s="10"/>
      <c r="V3757" s="10"/>
      <c r="W3757" s="10"/>
      <c r="X3757" s="10"/>
      <c r="Y3757" s="10"/>
      <c r="Z3757" s="10"/>
      <c r="AA3757" s="11" t="str">
        <f t="shared" si="117"/>
        <v/>
      </c>
    </row>
    <row r="3758" spans="16:27" ht="15" customHeight="1">
      <c r="P3758" t="str">
        <f t="shared" si="116"/>
        <v/>
      </c>
      <c r="Q3758" t="str">
        <f>IF(P3758="","",IFERROR(IF(AND(H3758="W7",OR(F3758="causal",F3758="predictive")),IF(AND(OR(K3758=1,K3758="1"),OR(L3758=1,L3758="1"),OR(M3758=1,M3758="1")),"adequate","partial"),IF(AND(H3758="W4",F3758="predictive",OR(J3758="P2",J3758="P3",J3758="P4")),IF(OR(U3758=1,U3758="1"),"adequate","partial"),INDEX(Fit_Matrix!$B:$B,MATCH(P3758,Fit_Matrix!$A:$A,0)))),"CHECK KEY"))</f>
        <v/>
      </c>
      <c r="U3758" s="10"/>
      <c r="V3758" s="10"/>
      <c r="W3758" s="10"/>
      <c r="X3758" s="10"/>
      <c r="Y3758" s="10"/>
      <c r="Z3758" s="10"/>
      <c r="AA3758" s="11" t="str">
        <f t="shared" si="117"/>
        <v/>
      </c>
    </row>
    <row r="3759" spans="16:27" ht="15" customHeight="1">
      <c r="P3759" t="str">
        <f t="shared" si="116"/>
        <v/>
      </c>
      <c r="Q3759" t="str">
        <f>IF(P3759="","",IFERROR(IF(AND(H3759="W7",OR(F3759="causal",F3759="predictive")),IF(AND(OR(K3759=1,K3759="1"),OR(L3759=1,L3759="1"),OR(M3759=1,M3759="1")),"adequate","partial"),IF(AND(H3759="W4",F3759="predictive",OR(J3759="P2",J3759="P3",J3759="P4")),IF(OR(U3759=1,U3759="1"),"adequate","partial"),INDEX(Fit_Matrix!$B:$B,MATCH(P3759,Fit_Matrix!$A:$A,0)))),"CHECK KEY"))</f>
        <v/>
      </c>
      <c r="U3759" s="10"/>
      <c r="V3759" s="10"/>
      <c r="W3759" s="10"/>
      <c r="X3759" s="10"/>
      <c r="Y3759" s="10"/>
      <c r="Z3759" s="10"/>
      <c r="AA3759" s="11" t="str">
        <f t="shared" si="117"/>
        <v/>
      </c>
    </row>
    <row r="3760" spans="16:27" ht="15" customHeight="1">
      <c r="P3760" t="str">
        <f t="shared" si="116"/>
        <v/>
      </c>
      <c r="Q3760" t="str">
        <f>IF(P3760="","",IFERROR(IF(AND(H3760="W7",OR(F3760="causal",F3760="predictive")),IF(AND(OR(K3760=1,K3760="1"),OR(L3760=1,L3760="1"),OR(M3760=1,M3760="1")),"adequate","partial"),IF(AND(H3760="W4",F3760="predictive",OR(J3760="P2",J3760="P3",J3760="P4")),IF(OR(U3760=1,U3760="1"),"adequate","partial"),INDEX(Fit_Matrix!$B:$B,MATCH(P3760,Fit_Matrix!$A:$A,0)))),"CHECK KEY"))</f>
        <v/>
      </c>
      <c r="U3760" s="10"/>
      <c r="V3760" s="10"/>
      <c r="W3760" s="10"/>
      <c r="X3760" s="10"/>
      <c r="Y3760" s="10"/>
      <c r="Z3760" s="10"/>
      <c r="AA3760" s="11" t="str">
        <f t="shared" si="117"/>
        <v/>
      </c>
    </row>
    <row r="3761" spans="16:27" ht="15" customHeight="1">
      <c r="P3761" t="str">
        <f t="shared" si="116"/>
        <v/>
      </c>
      <c r="Q3761" t="str">
        <f>IF(P3761="","",IFERROR(IF(AND(H3761="W7",OR(F3761="causal",F3761="predictive")),IF(AND(OR(K3761=1,K3761="1"),OR(L3761=1,L3761="1"),OR(M3761=1,M3761="1")),"adequate","partial"),IF(AND(H3761="W4",F3761="predictive",OR(J3761="P2",J3761="P3",J3761="P4")),IF(OR(U3761=1,U3761="1"),"adequate","partial"),INDEX(Fit_Matrix!$B:$B,MATCH(P3761,Fit_Matrix!$A:$A,0)))),"CHECK KEY"))</f>
        <v/>
      </c>
      <c r="U3761" s="10"/>
      <c r="V3761" s="10"/>
      <c r="W3761" s="10"/>
      <c r="X3761" s="10"/>
      <c r="Y3761" s="10"/>
      <c r="Z3761" s="10"/>
      <c r="AA3761" s="11" t="str">
        <f t="shared" si="117"/>
        <v/>
      </c>
    </row>
    <row r="3762" spans="16:27" ht="15" customHeight="1">
      <c r="P3762" t="str">
        <f t="shared" si="116"/>
        <v/>
      </c>
      <c r="Q3762" t="str">
        <f>IF(P3762="","",IFERROR(IF(AND(H3762="W7",OR(F3762="causal",F3762="predictive")),IF(AND(OR(K3762=1,K3762="1"),OR(L3762=1,L3762="1"),OR(M3762=1,M3762="1")),"adequate","partial"),IF(AND(H3762="W4",F3762="predictive",OR(J3762="P2",J3762="P3",J3762="P4")),IF(OR(U3762=1,U3762="1"),"adequate","partial"),INDEX(Fit_Matrix!$B:$B,MATCH(P3762,Fit_Matrix!$A:$A,0)))),"CHECK KEY"))</f>
        <v/>
      </c>
      <c r="U3762" s="10"/>
      <c r="V3762" s="10"/>
      <c r="W3762" s="10"/>
      <c r="X3762" s="10"/>
      <c r="Y3762" s="10"/>
      <c r="Z3762" s="10"/>
      <c r="AA3762" s="11" t="str">
        <f t="shared" si="117"/>
        <v/>
      </c>
    </row>
    <row r="3763" spans="16:27" ht="15" customHeight="1">
      <c r="P3763" t="str">
        <f t="shared" si="116"/>
        <v/>
      </c>
      <c r="Q3763" t="str">
        <f>IF(P3763="","",IFERROR(IF(AND(H3763="W7",OR(F3763="causal",F3763="predictive")),IF(AND(OR(K3763=1,K3763="1"),OR(L3763=1,L3763="1"),OR(M3763=1,M3763="1")),"adequate","partial"),IF(AND(H3763="W4",F3763="predictive",OR(J3763="P2",J3763="P3",J3763="P4")),IF(OR(U3763=1,U3763="1"),"adequate","partial"),INDEX(Fit_Matrix!$B:$B,MATCH(P3763,Fit_Matrix!$A:$A,0)))),"CHECK KEY"))</f>
        <v/>
      </c>
      <c r="U3763" s="10"/>
      <c r="V3763" s="10"/>
      <c r="W3763" s="10"/>
      <c r="X3763" s="10"/>
      <c r="Y3763" s="10"/>
      <c r="Z3763" s="10"/>
      <c r="AA3763" s="11" t="str">
        <f t="shared" si="117"/>
        <v/>
      </c>
    </row>
    <row r="3764" spans="16:27" ht="15" customHeight="1">
      <c r="P3764" t="str">
        <f t="shared" si="116"/>
        <v/>
      </c>
      <c r="Q3764" t="str">
        <f>IF(P3764="","",IFERROR(IF(AND(H3764="W7",OR(F3764="causal",F3764="predictive")),IF(AND(OR(K3764=1,K3764="1"),OR(L3764=1,L3764="1"),OR(M3764=1,M3764="1")),"adequate","partial"),IF(AND(H3764="W4",F3764="predictive",OR(J3764="P2",J3764="P3",J3764="P4")),IF(OR(U3764=1,U3764="1"),"adequate","partial"),INDEX(Fit_Matrix!$B:$B,MATCH(P3764,Fit_Matrix!$A:$A,0)))),"CHECK KEY"))</f>
        <v/>
      </c>
      <c r="U3764" s="10"/>
      <c r="V3764" s="10"/>
      <c r="W3764" s="10"/>
      <c r="X3764" s="10"/>
      <c r="Y3764" s="10"/>
      <c r="Z3764" s="10"/>
      <c r="AA3764" s="11" t="str">
        <f t="shared" si="117"/>
        <v/>
      </c>
    </row>
    <row r="3765" spans="16:27" ht="15" customHeight="1">
      <c r="P3765" t="str">
        <f t="shared" si="116"/>
        <v/>
      </c>
      <c r="Q3765" t="str">
        <f>IF(P3765="","",IFERROR(IF(AND(H3765="W7",OR(F3765="causal",F3765="predictive")),IF(AND(OR(K3765=1,K3765="1"),OR(L3765=1,L3765="1"),OR(M3765=1,M3765="1")),"adequate","partial"),IF(AND(H3765="W4",F3765="predictive",OR(J3765="P2",J3765="P3",J3765="P4")),IF(OR(U3765=1,U3765="1"),"adequate","partial"),INDEX(Fit_Matrix!$B:$B,MATCH(P3765,Fit_Matrix!$A:$A,0)))),"CHECK KEY"))</f>
        <v/>
      </c>
      <c r="U3765" s="10"/>
      <c r="V3765" s="10"/>
      <c r="W3765" s="10"/>
      <c r="X3765" s="10"/>
      <c r="Y3765" s="10"/>
      <c r="Z3765" s="10"/>
      <c r="AA3765" s="11" t="str">
        <f t="shared" si="117"/>
        <v/>
      </c>
    </row>
    <row r="3766" spans="16:27" ht="15" customHeight="1">
      <c r="P3766" t="str">
        <f t="shared" si="116"/>
        <v/>
      </c>
      <c r="Q3766" t="str">
        <f>IF(P3766="","",IFERROR(IF(AND(H3766="W7",OR(F3766="causal",F3766="predictive")),IF(AND(OR(K3766=1,K3766="1"),OR(L3766=1,L3766="1"),OR(M3766=1,M3766="1")),"adequate","partial"),IF(AND(H3766="W4",F3766="predictive",OR(J3766="P2",J3766="P3",J3766="P4")),IF(OR(U3766=1,U3766="1"),"adequate","partial"),INDEX(Fit_Matrix!$B:$B,MATCH(P3766,Fit_Matrix!$A:$A,0)))),"CHECK KEY"))</f>
        <v/>
      </c>
      <c r="U3766" s="10"/>
      <c r="V3766" s="10"/>
      <c r="W3766" s="10"/>
      <c r="X3766" s="10"/>
      <c r="Y3766" s="10"/>
      <c r="Z3766" s="10"/>
      <c r="AA3766" s="11" t="str">
        <f t="shared" si="117"/>
        <v/>
      </c>
    </row>
    <row r="3767" spans="16:27" ht="15" customHeight="1">
      <c r="P3767" t="str">
        <f t="shared" si="116"/>
        <v/>
      </c>
      <c r="Q3767" t="str">
        <f>IF(P3767="","",IFERROR(IF(AND(H3767="W7",OR(F3767="causal",F3767="predictive")),IF(AND(OR(K3767=1,K3767="1"),OR(L3767=1,L3767="1"),OR(M3767=1,M3767="1")),"adequate","partial"),IF(AND(H3767="W4",F3767="predictive",OR(J3767="P2",J3767="P3",J3767="P4")),IF(OR(U3767=1,U3767="1"),"adequate","partial"),INDEX(Fit_Matrix!$B:$B,MATCH(P3767,Fit_Matrix!$A:$A,0)))),"CHECK KEY"))</f>
        <v/>
      </c>
      <c r="U3767" s="10"/>
      <c r="V3767" s="10"/>
      <c r="W3767" s="10"/>
      <c r="X3767" s="10"/>
      <c r="Y3767" s="10"/>
      <c r="Z3767" s="10"/>
      <c r="AA3767" s="11" t="str">
        <f t="shared" si="117"/>
        <v/>
      </c>
    </row>
    <row r="3768" spans="16:27" ht="15" customHeight="1">
      <c r="P3768" t="str">
        <f t="shared" si="116"/>
        <v/>
      </c>
      <c r="Q3768" t="str">
        <f>IF(P3768="","",IFERROR(IF(AND(H3768="W7",OR(F3768="causal",F3768="predictive")),IF(AND(OR(K3768=1,K3768="1"),OR(L3768=1,L3768="1"),OR(M3768=1,M3768="1")),"adequate","partial"),IF(AND(H3768="W4",F3768="predictive",OR(J3768="P2",J3768="P3",J3768="P4")),IF(OR(U3768=1,U3768="1"),"adequate","partial"),INDEX(Fit_Matrix!$B:$B,MATCH(P3768,Fit_Matrix!$A:$A,0)))),"CHECK KEY"))</f>
        <v/>
      </c>
      <c r="U3768" s="10"/>
      <c r="V3768" s="10"/>
      <c r="W3768" s="10"/>
      <c r="X3768" s="10"/>
      <c r="Y3768" s="10"/>
      <c r="Z3768" s="10"/>
      <c r="AA3768" s="11" t="str">
        <f t="shared" si="117"/>
        <v/>
      </c>
    </row>
    <row r="3769" spans="16:27" ht="15" customHeight="1">
      <c r="P3769" t="str">
        <f t="shared" si="116"/>
        <v/>
      </c>
      <c r="Q3769" t="str">
        <f>IF(P3769="","",IFERROR(IF(AND(H3769="W7",OR(F3769="causal",F3769="predictive")),IF(AND(OR(K3769=1,K3769="1"),OR(L3769=1,L3769="1"),OR(M3769=1,M3769="1")),"adequate","partial"),IF(AND(H3769="W4",F3769="predictive",OR(J3769="P2",J3769="P3",J3769="P4")),IF(OR(U3769=1,U3769="1"),"adequate","partial"),INDEX(Fit_Matrix!$B:$B,MATCH(P3769,Fit_Matrix!$A:$A,0)))),"CHECK KEY"))</f>
        <v/>
      </c>
      <c r="U3769" s="10"/>
      <c r="V3769" s="10"/>
      <c r="W3769" s="10"/>
      <c r="X3769" s="10"/>
      <c r="Y3769" s="10"/>
      <c r="Z3769" s="10"/>
      <c r="AA3769" s="11" t="str">
        <f t="shared" si="117"/>
        <v/>
      </c>
    </row>
    <row r="3770" spans="16:27" ht="15" customHeight="1">
      <c r="P3770" t="str">
        <f t="shared" si="116"/>
        <v/>
      </c>
      <c r="Q3770" t="str">
        <f>IF(P3770="","",IFERROR(IF(AND(H3770="W7",OR(F3770="causal",F3770="predictive")),IF(AND(OR(K3770=1,K3770="1"),OR(L3770=1,L3770="1"),OR(M3770=1,M3770="1")),"adequate","partial"),IF(AND(H3770="W4",F3770="predictive",OR(J3770="P2",J3770="P3",J3770="P4")),IF(OR(U3770=1,U3770="1"),"adequate","partial"),INDEX(Fit_Matrix!$B:$B,MATCH(P3770,Fit_Matrix!$A:$A,0)))),"CHECK KEY"))</f>
        <v/>
      </c>
      <c r="U3770" s="10"/>
      <c r="V3770" s="10"/>
      <c r="W3770" s="10"/>
      <c r="X3770" s="10"/>
      <c r="Y3770" s="10"/>
      <c r="Z3770" s="10"/>
      <c r="AA3770" s="11" t="str">
        <f t="shared" si="117"/>
        <v/>
      </c>
    </row>
    <row r="3771" spans="16:27" ht="15" customHeight="1">
      <c r="P3771" t="str">
        <f t="shared" si="116"/>
        <v/>
      </c>
      <c r="Q3771" t="str">
        <f>IF(P3771="","",IFERROR(IF(AND(H3771="W7",OR(F3771="causal",F3771="predictive")),IF(AND(OR(K3771=1,K3771="1"),OR(L3771=1,L3771="1"),OR(M3771=1,M3771="1")),"adequate","partial"),IF(AND(H3771="W4",F3771="predictive",OR(J3771="P2",J3771="P3",J3771="P4")),IF(OR(U3771=1,U3771="1"),"adequate","partial"),INDEX(Fit_Matrix!$B:$B,MATCH(P3771,Fit_Matrix!$A:$A,0)))),"CHECK KEY"))</f>
        <v/>
      </c>
      <c r="U3771" s="10"/>
      <c r="V3771" s="10"/>
      <c r="W3771" s="10"/>
      <c r="X3771" s="10"/>
      <c r="Y3771" s="10"/>
      <c r="Z3771" s="10"/>
      <c r="AA3771" s="11" t="str">
        <f t="shared" si="117"/>
        <v/>
      </c>
    </row>
    <row r="3772" spans="16:27" ht="15" customHeight="1">
      <c r="P3772" t="str">
        <f t="shared" si="116"/>
        <v/>
      </c>
      <c r="Q3772" t="str">
        <f>IF(P3772="","",IFERROR(IF(AND(H3772="W7",OR(F3772="causal",F3772="predictive")),IF(AND(OR(K3772=1,K3772="1"),OR(L3772=1,L3772="1"),OR(M3772=1,M3772="1")),"adequate","partial"),IF(AND(H3772="W4",F3772="predictive",OR(J3772="P2",J3772="P3",J3772="P4")),IF(OR(U3772=1,U3772="1"),"adequate","partial"),INDEX(Fit_Matrix!$B:$B,MATCH(P3772,Fit_Matrix!$A:$A,0)))),"CHECK KEY"))</f>
        <v/>
      </c>
      <c r="U3772" s="10"/>
      <c r="V3772" s="10"/>
      <c r="W3772" s="10"/>
      <c r="X3772" s="10"/>
      <c r="Y3772" s="10"/>
      <c r="Z3772" s="10"/>
      <c r="AA3772" s="11" t="str">
        <f t="shared" si="117"/>
        <v/>
      </c>
    </row>
    <row r="3773" spans="16:27" ht="15" customHeight="1">
      <c r="P3773" t="str">
        <f t="shared" si="116"/>
        <v/>
      </c>
      <c r="Q3773" t="str">
        <f>IF(P3773="","",IFERROR(IF(AND(H3773="W7",OR(F3773="causal",F3773="predictive")),IF(AND(OR(K3773=1,K3773="1"),OR(L3773=1,L3773="1"),OR(M3773=1,M3773="1")),"adequate","partial"),IF(AND(H3773="W4",F3773="predictive",OR(J3773="P2",J3773="P3",J3773="P4")),IF(OR(U3773=1,U3773="1"),"adequate","partial"),INDEX(Fit_Matrix!$B:$B,MATCH(P3773,Fit_Matrix!$A:$A,0)))),"CHECK KEY"))</f>
        <v/>
      </c>
      <c r="U3773" s="10"/>
      <c r="V3773" s="10"/>
      <c r="W3773" s="10"/>
      <c r="X3773" s="10"/>
      <c r="Y3773" s="10"/>
      <c r="Z3773" s="10"/>
      <c r="AA3773" s="11" t="str">
        <f t="shared" si="117"/>
        <v/>
      </c>
    </row>
    <row r="3774" spans="16:27" ht="15" customHeight="1">
      <c r="P3774" t="str">
        <f t="shared" si="116"/>
        <v/>
      </c>
      <c r="Q3774" t="str">
        <f>IF(P3774="","",IFERROR(IF(AND(H3774="W7",OR(F3774="causal",F3774="predictive")),IF(AND(OR(K3774=1,K3774="1"),OR(L3774=1,L3774="1"),OR(M3774=1,M3774="1")),"adequate","partial"),IF(AND(H3774="W4",F3774="predictive",OR(J3774="P2",J3774="P3",J3774="P4")),IF(OR(U3774=1,U3774="1"),"adequate","partial"),INDEX(Fit_Matrix!$B:$B,MATCH(P3774,Fit_Matrix!$A:$A,0)))),"CHECK KEY"))</f>
        <v/>
      </c>
      <c r="U3774" s="10"/>
      <c r="V3774" s="10"/>
      <c r="W3774" s="10"/>
      <c r="X3774" s="10"/>
      <c r="Y3774" s="10"/>
      <c r="Z3774" s="10"/>
      <c r="AA3774" s="11" t="str">
        <f t="shared" si="117"/>
        <v/>
      </c>
    </row>
    <row r="3775" spans="16:27" ht="15" customHeight="1">
      <c r="P3775" t="str">
        <f t="shared" si="116"/>
        <v/>
      </c>
      <c r="Q3775" t="str">
        <f>IF(P3775="","",IFERROR(IF(AND(H3775="W7",OR(F3775="causal",F3775="predictive")),IF(AND(OR(K3775=1,K3775="1"),OR(L3775=1,L3775="1"),OR(M3775=1,M3775="1")),"adequate","partial"),IF(AND(H3775="W4",F3775="predictive",OR(J3775="P2",J3775="P3",J3775="P4")),IF(OR(U3775=1,U3775="1"),"adequate","partial"),INDEX(Fit_Matrix!$B:$B,MATCH(P3775,Fit_Matrix!$A:$A,0)))),"CHECK KEY"))</f>
        <v/>
      </c>
      <c r="U3775" s="10"/>
      <c r="V3775" s="10"/>
      <c r="W3775" s="10"/>
      <c r="X3775" s="10"/>
      <c r="Y3775" s="10"/>
      <c r="Z3775" s="10"/>
      <c r="AA3775" s="11" t="str">
        <f t="shared" si="117"/>
        <v/>
      </c>
    </row>
    <row r="3776" spans="16:27" ht="15" customHeight="1">
      <c r="P3776" t="str">
        <f t="shared" si="116"/>
        <v/>
      </c>
      <c r="Q3776" t="str">
        <f>IF(P3776="","",IFERROR(IF(AND(H3776="W7",OR(F3776="causal",F3776="predictive")),IF(AND(OR(K3776=1,K3776="1"),OR(L3776=1,L3776="1"),OR(M3776=1,M3776="1")),"adequate","partial"),IF(AND(H3776="W4",F3776="predictive",OR(J3776="P2",J3776="P3",J3776="P4")),IF(OR(U3776=1,U3776="1"),"adequate","partial"),INDEX(Fit_Matrix!$B:$B,MATCH(P3776,Fit_Matrix!$A:$A,0)))),"CHECK KEY"))</f>
        <v/>
      </c>
      <c r="U3776" s="10"/>
      <c r="V3776" s="10"/>
      <c r="W3776" s="10"/>
      <c r="X3776" s="10"/>
      <c r="Y3776" s="10"/>
      <c r="Z3776" s="10"/>
      <c r="AA3776" s="11" t="str">
        <f t="shared" si="117"/>
        <v/>
      </c>
    </row>
    <row r="3777" spans="16:27" ht="15" customHeight="1">
      <c r="P3777" t="str">
        <f t="shared" si="116"/>
        <v/>
      </c>
      <c r="Q3777" t="str">
        <f>IF(P3777="","",IFERROR(IF(AND(H3777="W7",OR(F3777="causal",F3777="predictive")),IF(AND(OR(K3777=1,K3777="1"),OR(L3777=1,L3777="1"),OR(M3777=1,M3777="1")),"adequate","partial"),IF(AND(H3777="W4",F3777="predictive",OR(J3777="P2",J3777="P3",J3777="P4")),IF(OR(U3777=1,U3777="1"),"adequate","partial"),INDEX(Fit_Matrix!$B:$B,MATCH(P3777,Fit_Matrix!$A:$A,0)))),"CHECK KEY"))</f>
        <v/>
      </c>
      <c r="U3777" s="10"/>
      <c r="V3777" s="10"/>
      <c r="W3777" s="10"/>
      <c r="X3777" s="10"/>
      <c r="Y3777" s="10"/>
      <c r="Z3777" s="10"/>
      <c r="AA3777" s="11" t="str">
        <f t="shared" si="117"/>
        <v/>
      </c>
    </row>
    <row r="3778" spans="16:27" ht="15" customHeight="1">
      <c r="P3778" t="str">
        <f t="shared" ref="P3778:P3841" si="118">IF(OR(F3778="",H3778="",J3778=""),"",J3778&amp;"|"&amp;F3778&amp;"|"&amp;IF(H3778="W3","W3_"&amp;IF(I3778="","unknown",I3778),H3778))</f>
        <v/>
      </c>
      <c r="Q3778" t="str">
        <f>IF(P3778="","",IFERROR(IF(AND(H3778="W7",OR(F3778="causal",F3778="predictive")),IF(AND(OR(K3778=1,K3778="1"),OR(L3778=1,L3778="1"),OR(M3778=1,M3778="1")),"adequate","partial"),IF(AND(H3778="W4",F3778="predictive",OR(J3778="P2",J3778="P3",J3778="P4")),IF(OR(U3778=1,U3778="1"),"adequate","partial"),INDEX(Fit_Matrix!$B:$B,MATCH(P3778,Fit_Matrix!$A:$A,0)))),"CHECK KEY"))</f>
        <v/>
      </c>
      <c r="U3778" s="10"/>
      <c r="V3778" s="10"/>
      <c r="W3778" s="10"/>
      <c r="X3778" s="10"/>
      <c r="Y3778" s="10"/>
      <c r="Z3778" s="10"/>
      <c r="AA3778" s="11" t="str">
        <f t="shared" ref="AA3778:AA3841" si="119">IF(A3778="","",IF(AND(J3778="P4",F3778="causal"),"P4-CAUSAL",""))</f>
        <v/>
      </c>
    </row>
    <row r="3779" spans="16:27" ht="15" customHeight="1">
      <c r="P3779" t="str">
        <f t="shared" si="118"/>
        <v/>
      </c>
      <c r="Q3779" t="str">
        <f>IF(P3779="","",IFERROR(IF(AND(H3779="W7",OR(F3779="causal",F3779="predictive")),IF(AND(OR(K3779=1,K3779="1"),OR(L3779=1,L3779="1"),OR(M3779=1,M3779="1")),"adequate","partial"),IF(AND(H3779="W4",F3779="predictive",OR(J3779="P2",J3779="P3",J3779="P4")),IF(OR(U3779=1,U3779="1"),"adequate","partial"),INDEX(Fit_Matrix!$B:$B,MATCH(P3779,Fit_Matrix!$A:$A,0)))),"CHECK KEY"))</f>
        <v/>
      </c>
      <c r="U3779" s="10"/>
      <c r="V3779" s="10"/>
      <c r="W3779" s="10"/>
      <c r="X3779" s="10"/>
      <c r="Y3779" s="10"/>
      <c r="Z3779" s="10"/>
      <c r="AA3779" s="11" t="str">
        <f t="shared" si="119"/>
        <v/>
      </c>
    </row>
    <row r="3780" spans="16:27" ht="15" customHeight="1">
      <c r="P3780" t="str">
        <f t="shared" si="118"/>
        <v/>
      </c>
      <c r="Q3780" t="str">
        <f>IF(P3780="","",IFERROR(IF(AND(H3780="W7",OR(F3780="causal",F3780="predictive")),IF(AND(OR(K3780=1,K3780="1"),OR(L3780=1,L3780="1"),OR(M3780=1,M3780="1")),"adequate","partial"),IF(AND(H3780="W4",F3780="predictive",OR(J3780="P2",J3780="P3",J3780="P4")),IF(OR(U3780=1,U3780="1"),"adequate","partial"),INDEX(Fit_Matrix!$B:$B,MATCH(P3780,Fit_Matrix!$A:$A,0)))),"CHECK KEY"))</f>
        <v/>
      </c>
      <c r="U3780" s="10"/>
      <c r="V3780" s="10"/>
      <c r="W3780" s="10"/>
      <c r="X3780" s="10"/>
      <c r="Y3780" s="10"/>
      <c r="Z3780" s="10"/>
      <c r="AA3780" s="11" t="str">
        <f t="shared" si="119"/>
        <v/>
      </c>
    </row>
    <row r="3781" spans="16:27" ht="15" customHeight="1">
      <c r="P3781" t="str">
        <f t="shared" si="118"/>
        <v/>
      </c>
      <c r="Q3781" t="str">
        <f>IF(P3781="","",IFERROR(IF(AND(H3781="W7",OR(F3781="causal",F3781="predictive")),IF(AND(OR(K3781=1,K3781="1"),OR(L3781=1,L3781="1"),OR(M3781=1,M3781="1")),"adequate","partial"),IF(AND(H3781="W4",F3781="predictive",OR(J3781="P2",J3781="P3",J3781="P4")),IF(OR(U3781=1,U3781="1"),"adequate","partial"),INDEX(Fit_Matrix!$B:$B,MATCH(P3781,Fit_Matrix!$A:$A,0)))),"CHECK KEY"))</f>
        <v/>
      </c>
      <c r="U3781" s="10"/>
      <c r="V3781" s="10"/>
      <c r="W3781" s="10"/>
      <c r="X3781" s="10"/>
      <c r="Y3781" s="10"/>
      <c r="Z3781" s="10"/>
      <c r="AA3781" s="11" t="str">
        <f t="shared" si="119"/>
        <v/>
      </c>
    </row>
    <row r="3782" spans="16:27" ht="15" customHeight="1">
      <c r="P3782" t="str">
        <f t="shared" si="118"/>
        <v/>
      </c>
      <c r="Q3782" t="str">
        <f>IF(P3782="","",IFERROR(IF(AND(H3782="W7",OR(F3782="causal",F3782="predictive")),IF(AND(OR(K3782=1,K3782="1"),OR(L3782=1,L3782="1"),OR(M3782=1,M3782="1")),"adequate","partial"),IF(AND(H3782="W4",F3782="predictive",OR(J3782="P2",J3782="P3",J3782="P4")),IF(OR(U3782=1,U3782="1"),"adequate","partial"),INDEX(Fit_Matrix!$B:$B,MATCH(P3782,Fit_Matrix!$A:$A,0)))),"CHECK KEY"))</f>
        <v/>
      </c>
      <c r="U3782" s="10"/>
      <c r="V3782" s="10"/>
      <c r="W3782" s="10"/>
      <c r="X3782" s="10"/>
      <c r="Y3782" s="10"/>
      <c r="Z3782" s="10"/>
      <c r="AA3782" s="11" t="str">
        <f t="shared" si="119"/>
        <v/>
      </c>
    </row>
    <row r="3783" spans="16:27" ht="15" customHeight="1">
      <c r="P3783" t="str">
        <f t="shared" si="118"/>
        <v/>
      </c>
      <c r="Q3783" t="str">
        <f>IF(P3783="","",IFERROR(IF(AND(H3783="W7",OR(F3783="causal",F3783="predictive")),IF(AND(OR(K3783=1,K3783="1"),OR(L3783=1,L3783="1"),OR(M3783=1,M3783="1")),"adequate","partial"),IF(AND(H3783="W4",F3783="predictive",OR(J3783="P2",J3783="P3",J3783="P4")),IF(OR(U3783=1,U3783="1"),"adequate","partial"),INDEX(Fit_Matrix!$B:$B,MATCH(P3783,Fit_Matrix!$A:$A,0)))),"CHECK KEY"))</f>
        <v/>
      </c>
      <c r="U3783" s="10"/>
      <c r="V3783" s="10"/>
      <c r="W3783" s="10"/>
      <c r="X3783" s="10"/>
      <c r="Y3783" s="10"/>
      <c r="Z3783" s="10"/>
      <c r="AA3783" s="11" t="str">
        <f t="shared" si="119"/>
        <v/>
      </c>
    </row>
    <row r="3784" spans="16:27" ht="15" customHeight="1">
      <c r="P3784" t="str">
        <f t="shared" si="118"/>
        <v/>
      </c>
      <c r="Q3784" t="str">
        <f>IF(P3784="","",IFERROR(IF(AND(H3784="W7",OR(F3784="causal",F3784="predictive")),IF(AND(OR(K3784=1,K3784="1"),OR(L3784=1,L3784="1"),OR(M3784=1,M3784="1")),"adequate","partial"),IF(AND(H3784="W4",F3784="predictive",OR(J3784="P2",J3784="P3",J3784="P4")),IF(OR(U3784=1,U3784="1"),"adequate","partial"),INDEX(Fit_Matrix!$B:$B,MATCH(P3784,Fit_Matrix!$A:$A,0)))),"CHECK KEY"))</f>
        <v/>
      </c>
      <c r="U3784" s="10"/>
      <c r="V3784" s="10"/>
      <c r="W3784" s="10"/>
      <c r="X3784" s="10"/>
      <c r="Y3784" s="10"/>
      <c r="Z3784" s="10"/>
      <c r="AA3784" s="11" t="str">
        <f t="shared" si="119"/>
        <v/>
      </c>
    </row>
    <row r="3785" spans="16:27" ht="15" customHeight="1">
      <c r="P3785" t="str">
        <f t="shared" si="118"/>
        <v/>
      </c>
      <c r="Q3785" t="str">
        <f>IF(P3785="","",IFERROR(IF(AND(H3785="W7",OR(F3785="causal",F3785="predictive")),IF(AND(OR(K3785=1,K3785="1"),OR(L3785=1,L3785="1"),OR(M3785=1,M3785="1")),"adequate","partial"),IF(AND(H3785="W4",F3785="predictive",OR(J3785="P2",J3785="P3",J3785="P4")),IF(OR(U3785=1,U3785="1"),"adequate","partial"),INDEX(Fit_Matrix!$B:$B,MATCH(P3785,Fit_Matrix!$A:$A,0)))),"CHECK KEY"))</f>
        <v/>
      </c>
      <c r="U3785" s="10"/>
      <c r="V3785" s="10"/>
      <c r="W3785" s="10"/>
      <c r="X3785" s="10"/>
      <c r="Y3785" s="10"/>
      <c r="Z3785" s="10"/>
      <c r="AA3785" s="11" t="str">
        <f t="shared" si="119"/>
        <v/>
      </c>
    </row>
    <row r="3786" spans="16:27" ht="15" customHeight="1">
      <c r="P3786" t="str">
        <f t="shared" si="118"/>
        <v/>
      </c>
      <c r="Q3786" t="str">
        <f>IF(P3786="","",IFERROR(IF(AND(H3786="W7",OR(F3786="causal",F3786="predictive")),IF(AND(OR(K3786=1,K3786="1"),OR(L3786=1,L3786="1"),OR(M3786=1,M3786="1")),"adequate","partial"),IF(AND(H3786="W4",F3786="predictive",OR(J3786="P2",J3786="P3",J3786="P4")),IF(OR(U3786=1,U3786="1"),"adequate","partial"),INDEX(Fit_Matrix!$B:$B,MATCH(P3786,Fit_Matrix!$A:$A,0)))),"CHECK KEY"))</f>
        <v/>
      </c>
      <c r="U3786" s="10"/>
      <c r="V3786" s="10"/>
      <c r="W3786" s="10"/>
      <c r="X3786" s="10"/>
      <c r="Y3786" s="10"/>
      <c r="Z3786" s="10"/>
      <c r="AA3786" s="11" t="str">
        <f t="shared" si="119"/>
        <v/>
      </c>
    </row>
    <row r="3787" spans="16:27" ht="15" customHeight="1">
      <c r="P3787" t="str">
        <f t="shared" si="118"/>
        <v/>
      </c>
      <c r="Q3787" t="str">
        <f>IF(P3787="","",IFERROR(IF(AND(H3787="W7",OR(F3787="causal",F3787="predictive")),IF(AND(OR(K3787=1,K3787="1"),OR(L3787=1,L3787="1"),OR(M3787=1,M3787="1")),"adequate","partial"),IF(AND(H3787="W4",F3787="predictive",OR(J3787="P2",J3787="P3",J3787="P4")),IF(OR(U3787=1,U3787="1"),"adequate","partial"),INDEX(Fit_Matrix!$B:$B,MATCH(P3787,Fit_Matrix!$A:$A,0)))),"CHECK KEY"))</f>
        <v/>
      </c>
      <c r="U3787" s="10"/>
      <c r="V3787" s="10"/>
      <c r="W3787" s="10"/>
      <c r="X3787" s="10"/>
      <c r="Y3787" s="10"/>
      <c r="Z3787" s="10"/>
      <c r="AA3787" s="11" t="str">
        <f t="shared" si="119"/>
        <v/>
      </c>
    </row>
    <row r="3788" spans="16:27" ht="15" customHeight="1">
      <c r="P3788" t="str">
        <f t="shared" si="118"/>
        <v/>
      </c>
      <c r="Q3788" t="str">
        <f>IF(P3788="","",IFERROR(IF(AND(H3788="W7",OR(F3788="causal",F3788="predictive")),IF(AND(OR(K3788=1,K3788="1"),OR(L3788=1,L3788="1"),OR(M3788=1,M3788="1")),"adequate","partial"),IF(AND(H3788="W4",F3788="predictive",OR(J3788="P2",J3788="P3",J3788="P4")),IF(OR(U3788=1,U3788="1"),"adequate","partial"),INDEX(Fit_Matrix!$B:$B,MATCH(P3788,Fit_Matrix!$A:$A,0)))),"CHECK KEY"))</f>
        <v/>
      </c>
      <c r="U3788" s="10"/>
      <c r="V3788" s="10"/>
      <c r="W3788" s="10"/>
      <c r="X3788" s="10"/>
      <c r="Y3788" s="10"/>
      <c r="Z3788" s="10"/>
      <c r="AA3788" s="11" t="str">
        <f t="shared" si="119"/>
        <v/>
      </c>
    </row>
    <row r="3789" spans="16:27" ht="15" customHeight="1">
      <c r="P3789" t="str">
        <f t="shared" si="118"/>
        <v/>
      </c>
      <c r="Q3789" t="str">
        <f>IF(P3789="","",IFERROR(IF(AND(H3789="W7",OR(F3789="causal",F3789="predictive")),IF(AND(OR(K3789=1,K3789="1"),OR(L3789=1,L3789="1"),OR(M3789=1,M3789="1")),"adequate","partial"),IF(AND(H3789="W4",F3789="predictive",OR(J3789="P2",J3789="P3",J3789="P4")),IF(OR(U3789=1,U3789="1"),"adequate","partial"),INDEX(Fit_Matrix!$B:$B,MATCH(P3789,Fit_Matrix!$A:$A,0)))),"CHECK KEY"))</f>
        <v/>
      </c>
      <c r="U3789" s="10"/>
      <c r="V3789" s="10"/>
      <c r="W3789" s="10"/>
      <c r="X3789" s="10"/>
      <c r="Y3789" s="10"/>
      <c r="Z3789" s="10"/>
      <c r="AA3789" s="11" t="str">
        <f t="shared" si="119"/>
        <v/>
      </c>
    </row>
    <row r="3790" spans="16:27" ht="15" customHeight="1">
      <c r="P3790" t="str">
        <f t="shared" si="118"/>
        <v/>
      </c>
      <c r="Q3790" t="str">
        <f>IF(P3790="","",IFERROR(IF(AND(H3790="W7",OR(F3790="causal",F3790="predictive")),IF(AND(OR(K3790=1,K3790="1"),OR(L3790=1,L3790="1"),OR(M3790=1,M3790="1")),"adequate","partial"),IF(AND(H3790="W4",F3790="predictive",OR(J3790="P2",J3790="P3",J3790="P4")),IF(OR(U3790=1,U3790="1"),"adequate","partial"),INDEX(Fit_Matrix!$B:$B,MATCH(P3790,Fit_Matrix!$A:$A,0)))),"CHECK KEY"))</f>
        <v/>
      </c>
      <c r="U3790" s="10"/>
      <c r="V3790" s="10"/>
      <c r="W3790" s="10"/>
      <c r="X3790" s="10"/>
      <c r="Y3790" s="10"/>
      <c r="Z3790" s="10"/>
      <c r="AA3790" s="11" t="str">
        <f t="shared" si="119"/>
        <v/>
      </c>
    </row>
    <row r="3791" spans="16:27" ht="15" customHeight="1">
      <c r="P3791" t="str">
        <f t="shared" si="118"/>
        <v/>
      </c>
      <c r="Q3791" t="str">
        <f>IF(P3791="","",IFERROR(IF(AND(H3791="W7",OR(F3791="causal",F3791="predictive")),IF(AND(OR(K3791=1,K3791="1"),OR(L3791=1,L3791="1"),OR(M3791=1,M3791="1")),"adequate","partial"),IF(AND(H3791="W4",F3791="predictive",OR(J3791="P2",J3791="P3",J3791="P4")),IF(OR(U3791=1,U3791="1"),"adequate","partial"),INDEX(Fit_Matrix!$B:$B,MATCH(P3791,Fit_Matrix!$A:$A,0)))),"CHECK KEY"))</f>
        <v/>
      </c>
      <c r="U3791" s="10"/>
      <c r="V3791" s="10"/>
      <c r="W3791" s="10"/>
      <c r="X3791" s="10"/>
      <c r="Y3791" s="10"/>
      <c r="Z3791" s="10"/>
      <c r="AA3791" s="11" t="str">
        <f t="shared" si="119"/>
        <v/>
      </c>
    </row>
    <row r="3792" spans="16:27" ht="15" customHeight="1">
      <c r="P3792" t="str">
        <f t="shared" si="118"/>
        <v/>
      </c>
      <c r="Q3792" t="str">
        <f>IF(P3792="","",IFERROR(IF(AND(H3792="W7",OR(F3792="causal",F3792="predictive")),IF(AND(OR(K3792=1,K3792="1"),OR(L3792=1,L3792="1"),OR(M3792=1,M3792="1")),"adequate","partial"),IF(AND(H3792="W4",F3792="predictive",OR(J3792="P2",J3792="P3",J3792="P4")),IF(OR(U3792=1,U3792="1"),"adequate","partial"),INDEX(Fit_Matrix!$B:$B,MATCH(P3792,Fit_Matrix!$A:$A,0)))),"CHECK KEY"))</f>
        <v/>
      </c>
      <c r="U3792" s="10"/>
      <c r="V3792" s="10"/>
      <c r="W3792" s="10"/>
      <c r="X3792" s="10"/>
      <c r="Y3792" s="10"/>
      <c r="Z3792" s="10"/>
      <c r="AA3792" s="11" t="str">
        <f t="shared" si="119"/>
        <v/>
      </c>
    </row>
    <row r="3793" spans="16:27" ht="15" customHeight="1">
      <c r="P3793" t="str">
        <f t="shared" si="118"/>
        <v/>
      </c>
      <c r="Q3793" t="str">
        <f>IF(P3793="","",IFERROR(IF(AND(H3793="W7",OR(F3793="causal",F3793="predictive")),IF(AND(OR(K3793=1,K3793="1"),OR(L3793=1,L3793="1"),OR(M3793=1,M3793="1")),"adequate","partial"),IF(AND(H3793="W4",F3793="predictive",OR(J3793="P2",J3793="P3",J3793="P4")),IF(OR(U3793=1,U3793="1"),"adequate","partial"),INDEX(Fit_Matrix!$B:$B,MATCH(P3793,Fit_Matrix!$A:$A,0)))),"CHECK KEY"))</f>
        <v/>
      </c>
      <c r="U3793" s="10"/>
      <c r="V3793" s="10"/>
      <c r="W3793" s="10"/>
      <c r="X3793" s="10"/>
      <c r="Y3793" s="10"/>
      <c r="Z3793" s="10"/>
      <c r="AA3793" s="11" t="str">
        <f t="shared" si="119"/>
        <v/>
      </c>
    </row>
    <row r="3794" spans="16:27" ht="15" customHeight="1">
      <c r="P3794" t="str">
        <f t="shared" si="118"/>
        <v/>
      </c>
      <c r="Q3794" t="str">
        <f>IF(P3794="","",IFERROR(IF(AND(H3794="W7",OR(F3794="causal",F3794="predictive")),IF(AND(OR(K3794=1,K3794="1"),OR(L3794=1,L3794="1"),OR(M3794=1,M3794="1")),"adequate","partial"),IF(AND(H3794="W4",F3794="predictive",OR(J3794="P2",J3794="P3",J3794="P4")),IF(OR(U3794=1,U3794="1"),"adequate","partial"),INDEX(Fit_Matrix!$B:$B,MATCH(P3794,Fit_Matrix!$A:$A,0)))),"CHECK KEY"))</f>
        <v/>
      </c>
      <c r="U3794" s="10"/>
      <c r="V3794" s="10"/>
      <c r="W3794" s="10"/>
      <c r="X3794" s="10"/>
      <c r="Y3794" s="10"/>
      <c r="Z3794" s="10"/>
      <c r="AA3794" s="11" t="str">
        <f t="shared" si="119"/>
        <v/>
      </c>
    </row>
    <row r="3795" spans="16:27" ht="15" customHeight="1">
      <c r="P3795" t="str">
        <f t="shared" si="118"/>
        <v/>
      </c>
      <c r="Q3795" t="str">
        <f>IF(P3795="","",IFERROR(IF(AND(H3795="W7",OR(F3795="causal",F3795="predictive")),IF(AND(OR(K3795=1,K3795="1"),OR(L3795=1,L3795="1"),OR(M3795=1,M3795="1")),"adequate","partial"),IF(AND(H3795="W4",F3795="predictive",OR(J3795="P2",J3795="P3",J3795="P4")),IF(OR(U3795=1,U3795="1"),"adequate","partial"),INDEX(Fit_Matrix!$B:$B,MATCH(P3795,Fit_Matrix!$A:$A,0)))),"CHECK KEY"))</f>
        <v/>
      </c>
      <c r="U3795" s="10"/>
      <c r="V3795" s="10"/>
      <c r="W3795" s="10"/>
      <c r="X3795" s="10"/>
      <c r="Y3795" s="10"/>
      <c r="Z3795" s="10"/>
      <c r="AA3795" s="11" t="str">
        <f t="shared" si="119"/>
        <v/>
      </c>
    </row>
    <row r="3796" spans="16:27" ht="15" customHeight="1">
      <c r="P3796" t="str">
        <f t="shared" si="118"/>
        <v/>
      </c>
      <c r="Q3796" t="str">
        <f>IF(P3796="","",IFERROR(IF(AND(H3796="W7",OR(F3796="causal",F3796="predictive")),IF(AND(OR(K3796=1,K3796="1"),OR(L3796=1,L3796="1"),OR(M3796=1,M3796="1")),"adequate","partial"),IF(AND(H3796="W4",F3796="predictive",OR(J3796="P2",J3796="P3",J3796="P4")),IF(OR(U3796=1,U3796="1"),"adequate","partial"),INDEX(Fit_Matrix!$B:$B,MATCH(P3796,Fit_Matrix!$A:$A,0)))),"CHECK KEY"))</f>
        <v/>
      </c>
      <c r="U3796" s="10"/>
      <c r="V3796" s="10"/>
      <c r="W3796" s="10"/>
      <c r="X3796" s="10"/>
      <c r="Y3796" s="10"/>
      <c r="Z3796" s="10"/>
      <c r="AA3796" s="11" t="str">
        <f t="shared" si="119"/>
        <v/>
      </c>
    </row>
    <row r="3797" spans="16:27" ht="15" customHeight="1">
      <c r="P3797" t="str">
        <f t="shared" si="118"/>
        <v/>
      </c>
      <c r="Q3797" t="str">
        <f>IF(P3797="","",IFERROR(IF(AND(H3797="W7",OR(F3797="causal",F3797="predictive")),IF(AND(OR(K3797=1,K3797="1"),OR(L3797=1,L3797="1"),OR(M3797=1,M3797="1")),"adequate","partial"),IF(AND(H3797="W4",F3797="predictive",OR(J3797="P2",J3797="P3",J3797="P4")),IF(OR(U3797=1,U3797="1"),"adequate","partial"),INDEX(Fit_Matrix!$B:$B,MATCH(P3797,Fit_Matrix!$A:$A,0)))),"CHECK KEY"))</f>
        <v/>
      </c>
      <c r="U3797" s="10"/>
      <c r="V3797" s="10"/>
      <c r="W3797" s="10"/>
      <c r="X3797" s="10"/>
      <c r="Y3797" s="10"/>
      <c r="Z3797" s="10"/>
      <c r="AA3797" s="11" t="str">
        <f t="shared" si="119"/>
        <v/>
      </c>
    </row>
    <row r="3798" spans="16:27" ht="15" customHeight="1">
      <c r="P3798" t="str">
        <f t="shared" si="118"/>
        <v/>
      </c>
      <c r="Q3798" t="str">
        <f>IF(P3798="","",IFERROR(IF(AND(H3798="W7",OR(F3798="causal",F3798="predictive")),IF(AND(OR(K3798=1,K3798="1"),OR(L3798=1,L3798="1"),OR(M3798=1,M3798="1")),"adequate","partial"),IF(AND(H3798="W4",F3798="predictive",OR(J3798="P2",J3798="P3",J3798="P4")),IF(OR(U3798=1,U3798="1"),"adequate","partial"),INDEX(Fit_Matrix!$B:$B,MATCH(P3798,Fit_Matrix!$A:$A,0)))),"CHECK KEY"))</f>
        <v/>
      </c>
      <c r="U3798" s="10"/>
      <c r="V3798" s="10"/>
      <c r="W3798" s="10"/>
      <c r="X3798" s="10"/>
      <c r="Y3798" s="10"/>
      <c r="Z3798" s="10"/>
      <c r="AA3798" s="11" t="str">
        <f t="shared" si="119"/>
        <v/>
      </c>
    </row>
    <row r="3799" spans="16:27" ht="15" customHeight="1">
      <c r="P3799" t="str">
        <f t="shared" si="118"/>
        <v/>
      </c>
      <c r="Q3799" t="str">
        <f>IF(P3799="","",IFERROR(IF(AND(H3799="W7",OR(F3799="causal",F3799="predictive")),IF(AND(OR(K3799=1,K3799="1"),OR(L3799=1,L3799="1"),OR(M3799=1,M3799="1")),"adequate","partial"),IF(AND(H3799="W4",F3799="predictive",OR(J3799="P2",J3799="P3",J3799="P4")),IF(OR(U3799=1,U3799="1"),"adequate","partial"),INDEX(Fit_Matrix!$B:$B,MATCH(P3799,Fit_Matrix!$A:$A,0)))),"CHECK KEY"))</f>
        <v/>
      </c>
      <c r="U3799" s="10"/>
      <c r="V3799" s="10"/>
      <c r="W3799" s="10"/>
      <c r="X3799" s="10"/>
      <c r="Y3799" s="10"/>
      <c r="Z3799" s="10"/>
      <c r="AA3799" s="11" t="str">
        <f t="shared" si="119"/>
        <v/>
      </c>
    </row>
    <row r="3800" spans="16:27" ht="15" customHeight="1">
      <c r="P3800" t="str">
        <f t="shared" si="118"/>
        <v/>
      </c>
      <c r="Q3800" t="str">
        <f>IF(P3800="","",IFERROR(IF(AND(H3800="W7",OR(F3800="causal",F3800="predictive")),IF(AND(OR(K3800=1,K3800="1"),OR(L3800=1,L3800="1"),OR(M3800=1,M3800="1")),"adequate","partial"),IF(AND(H3800="W4",F3800="predictive",OR(J3800="P2",J3800="P3",J3800="P4")),IF(OR(U3800=1,U3800="1"),"adequate","partial"),INDEX(Fit_Matrix!$B:$B,MATCH(P3800,Fit_Matrix!$A:$A,0)))),"CHECK KEY"))</f>
        <v/>
      </c>
      <c r="U3800" s="10"/>
      <c r="V3800" s="10"/>
      <c r="W3800" s="10"/>
      <c r="X3800" s="10"/>
      <c r="Y3800" s="10"/>
      <c r="Z3800" s="10"/>
      <c r="AA3800" s="11" t="str">
        <f t="shared" si="119"/>
        <v/>
      </c>
    </row>
    <row r="3801" spans="16:27" ht="15" customHeight="1">
      <c r="P3801" t="str">
        <f t="shared" si="118"/>
        <v/>
      </c>
      <c r="Q3801" t="str">
        <f>IF(P3801="","",IFERROR(IF(AND(H3801="W7",OR(F3801="causal",F3801="predictive")),IF(AND(OR(K3801=1,K3801="1"),OR(L3801=1,L3801="1"),OR(M3801=1,M3801="1")),"adequate","partial"),IF(AND(H3801="W4",F3801="predictive",OR(J3801="P2",J3801="P3",J3801="P4")),IF(OR(U3801=1,U3801="1"),"adequate","partial"),INDEX(Fit_Matrix!$B:$B,MATCH(P3801,Fit_Matrix!$A:$A,0)))),"CHECK KEY"))</f>
        <v/>
      </c>
      <c r="U3801" s="10"/>
      <c r="V3801" s="10"/>
      <c r="W3801" s="10"/>
      <c r="X3801" s="10"/>
      <c r="Y3801" s="10"/>
      <c r="Z3801" s="10"/>
      <c r="AA3801" s="11" t="str">
        <f t="shared" si="119"/>
        <v/>
      </c>
    </row>
    <row r="3802" spans="16:27" ht="15" customHeight="1">
      <c r="P3802" t="str">
        <f t="shared" si="118"/>
        <v/>
      </c>
      <c r="Q3802" t="str">
        <f>IF(P3802="","",IFERROR(IF(AND(H3802="W7",OR(F3802="causal",F3802="predictive")),IF(AND(OR(K3802=1,K3802="1"),OR(L3802=1,L3802="1"),OR(M3802=1,M3802="1")),"adequate","partial"),IF(AND(H3802="W4",F3802="predictive",OR(J3802="P2",J3802="P3",J3802="P4")),IF(OR(U3802=1,U3802="1"),"adequate","partial"),INDEX(Fit_Matrix!$B:$B,MATCH(P3802,Fit_Matrix!$A:$A,0)))),"CHECK KEY"))</f>
        <v/>
      </c>
      <c r="U3802" s="10"/>
      <c r="V3802" s="10"/>
      <c r="W3802" s="10"/>
      <c r="X3802" s="10"/>
      <c r="Y3802" s="10"/>
      <c r="Z3802" s="10"/>
      <c r="AA3802" s="11" t="str">
        <f t="shared" si="119"/>
        <v/>
      </c>
    </row>
    <row r="3803" spans="16:27" ht="15" customHeight="1">
      <c r="P3803" t="str">
        <f t="shared" si="118"/>
        <v/>
      </c>
      <c r="Q3803" t="str">
        <f>IF(P3803="","",IFERROR(IF(AND(H3803="W7",OR(F3803="causal",F3803="predictive")),IF(AND(OR(K3803=1,K3803="1"),OR(L3803=1,L3803="1"),OR(M3803=1,M3803="1")),"adequate","partial"),IF(AND(H3803="W4",F3803="predictive",OR(J3803="P2",J3803="P3",J3803="P4")),IF(OR(U3803=1,U3803="1"),"adequate","partial"),INDEX(Fit_Matrix!$B:$B,MATCH(P3803,Fit_Matrix!$A:$A,0)))),"CHECK KEY"))</f>
        <v/>
      </c>
      <c r="U3803" s="10"/>
      <c r="V3803" s="10"/>
      <c r="W3803" s="10"/>
      <c r="X3803" s="10"/>
      <c r="Y3803" s="10"/>
      <c r="Z3803" s="10"/>
      <c r="AA3803" s="11" t="str">
        <f t="shared" si="119"/>
        <v/>
      </c>
    </row>
    <row r="3804" spans="16:27" ht="15" customHeight="1">
      <c r="P3804" t="str">
        <f t="shared" si="118"/>
        <v/>
      </c>
      <c r="Q3804" t="str">
        <f>IF(P3804="","",IFERROR(IF(AND(H3804="W7",OR(F3804="causal",F3804="predictive")),IF(AND(OR(K3804=1,K3804="1"),OR(L3804=1,L3804="1"),OR(M3804=1,M3804="1")),"adequate","partial"),IF(AND(H3804="W4",F3804="predictive",OR(J3804="P2",J3804="P3",J3804="P4")),IF(OR(U3804=1,U3804="1"),"adequate","partial"),INDEX(Fit_Matrix!$B:$B,MATCH(P3804,Fit_Matrix!$A:$A,0)))),"CHECK KEY"))</f>
        <v/>
      </c>
      <c r="U3804" s="10"/>
      <c r="V3804" s="10"/>
      <c r="W3804" s="10"/>
      <c r="X3804" s="10"/>
      <c r="Y3804" s="10"/>
      <c r="Z3804" s="10"/>
      <c r="AA3804" s="11" t="str">
        <f t="shared" si="119"/>
        <v/>
      </c>
    </row>
    <row r="3805" spans="16:27" ht="15" customHeight="1">
      <c r="P3805" t="str">
        <f t="shared" si="118"/>
        <v/>
      </c>
      <c r="Q3805" t="str">
        <f>IF(P3805="","",IFERROR(IF(AND(H3805="W7",OR(F3805="causal",F3805="predictive")),IF(AND(OR(K3805=1,K3805="1"),OR(L3805=1,L3805="1"),OR(M3805=1,M3805="1")),"adequate","partial"),IF(AND(H3805="W4",F3805="predictive",OR(J3805="P2",J3805="P3",J3805="P4")),IF(OR(U3805=1,U3805="1"),"adequate","partial"),INDEX(Fit_Matrix!$B:$B,MATCH(P3805,Fit_Matrix!$A:$A,0)))),"CHECK KEY"))</f>
        <v/>
      </c>
      <c r="U3805" s="10"/>
      <c r="V3805" s="10"/>
      <c r="W3805" s="10"/>
      <c r="X3805" s="10"/>
      <c r="Y3805" s="10"/>
      <c r="Z3805" s="10"/>
      <c r="AA3805" s="11" t="str">
        <f t="shared" si="119"/>
        <v/>
      </c>
    </row>
    <row r="3806" spans="16:27" ht="15" customHeight="1">
      <c r="P3806" t="str">
        <f t="shared" si="118"/>
        <v/>
      </c>
      <c r="Q3806" t="str">
        <f>IF(P3806="","",IFERROR(IF(AND(H3806="W7",OR(F3806="causal",F3806="predictive")),IF(AND(OR(K3806=1,K3806="1"),OR(L3806=1,L3806="1"),OR(M3806=1,M3806="1")),"adequate","partial"),IF(AND(H3806="W4",F3806="predictive",OR(J3806="P2",J3806="P3",J3806="P4")),IF(OR(U3806=1,U3806="1"),"adequate","partial"),INDEX(Fit_Matrix!$B:$B,MATCH(P3806,Fit_Matrix!$A:$A,0)))),"CHECK KEY"))</f>
        <v/>
      </c>
      <c r="U3806" s="10"/>
      <c r="V3806" s="10"/>
      <c r="W3806" s="10"/>
      <c r="X3806" s="10"/>
      <c r="Y3806" s="10"/>
      <c r="Z3806" s="10"/>
      <c r="AA3806" s="11" t="str">
        <f t="shared" si="119"/>
        <v/>
      </c>
    </row>
    <row r="3807" spans="16:27" ht="15" customHeight="1">
      <c r="P3807" t="str">
        <f t="shared" si="118"/>
        <v/>
      </c>
      <c r="Q3807" t="str">
        <f>IF(P3807="","",IFERROR(IF(AND(H3807="W7",OR(F3807="causal",F3807="predictive")),IF(AND(OR(K3807=1,K3807="1"),OR(L3807=1,L3807="1"),OR(M3807=1,M3807="1")),"adequate","partial"),IF(AND(H3807="W4",F3807="predictive",OR(J3807="P2",J3807="P3",J3807="P4")),IF(OR(U3807=1,U3807="1"),"adequate","partial"),INDEX(Fit_Matrix!$B:$B,MATCH(P3807,Fit_Matrix!$A:$A,0)))),"CHECK KEY"))</f>
        <v/>
      </c>
      <c r="U3807" s="10"/>
      <c r="V3807" s="10"/>
      <c r="W3807" s="10"/>
      <c r="X3807" s="10"/>
      <c r="Y3807" s="10"/>
      <c r="Z3807" s="10"/>
      <c r="AA3807" s="11" t="str">
        <f t="shared" si="119"/>
        <v/>
      </c>
    </row>
    <row r="3808" spans="16:27" ht="15" customHeight="1">
      <c r="P3808" t="str">
        <f t="shared" si="118"/>
        <v/>
      </c>
      <c r="Q3808" t="str">
        <f>IF(P3808="","",IFERROR(IF(AND(H3808="W7",OR(F3808="causal",F3808="predictive")),IF(AND(OR(K3808=1,K3808="1"),OR(L3808=1,L3808="1"),OR(M3808=1,M3808="1")),"adequate","partial"),IF(AND(H3808="W4",F3808="predictive",OR(J3808="P2",J3808="P3",J3808="P4")),IF(OR(U3808=1,U3808="1"),"adequate","partial"),INDEX(Fit_Matrix!$B:$B,MATCH(P3808,Fit_Matrix!$A:$A,0)))),"CHECK KEY"))</f>
        <v/>
      </c>
      <c r="U3808" s="10"/>
      <c r="V3808" s="10"/>
      <c r="W3808" s="10"/>
      <c r="X3808" s="10"/>
      <c r="Y3808" s="10"/>
      <c r="Z3808" s="10"/>
      <c r="AA3808" s="11" t="str">
        <f t="shared" si="119"/>
        <v/>
      </c>
    </row>
    <row r="3809" spans="16:27" ht="15" customHeight="1">
      <c r="P3809" t="str">
        <f t="shared" si="118"/>
        <v/>
      </c>
      <c r="Q3809" t="str">
        <f>IF(P3809="","",IFERROR(IF(AND(H3809="W7",OR(F3809="causal",F3809="predictive")),IF(AND(OR(K3809=1,K3809="1"),OR(L3809=1,L3809="1"),OR(M3809=1,M3809="1")),"adequate","partial"),IF(AND(H3809="W4",F3809="predictive",OR(J3809="P2",J3809="P3",J3809="P4")),IF(OR(U3809=1,U3809="1"),"adequate","partial"),INDEX(Fit_Matrix!$B:$B,MATCH(P3809,Fit_Matrix!$A:$A,0)))),"CHECK KEY"))</f>
        <v/>
      </c>
      <c r="U3809" s="10"/>
      <c r="V3809" s="10"/>
      <c r="W3809" s="10"/>
      <c r="X3809" s="10"/>
      <c r="Y3809" s="10"/>
      <c r="Z3809" s="10"/>
      <c r="AA3809" s="11" t="str">
        <f t="shared" si="119"/>
        <v/>
      </c>
    </row>
    <row r="3810" spans="16:27" ht="15" customHeight="1">
      <c r="P3810" t="str">
        <f t="shared" si="118"/>
        <v/>
      </c>
      <c r="Q3810" t="str">
        <f>IF(P3810="","",IFERROR(IF(AND(H3810="W7",OR(F3810="causal",F3810="predictive")),IF(AND(OR(K3810=1,K3810="1"),OR(L3810=1,L3810="1"),OR(M3810=1,M3810="1")),"adequate","partial"),IF(AND(H3810="W4",F3810="predictive",OR(J3810="P2",J3810="P3",J3810="P4")),IF(OR(U3810=1,U3810="1"),"adequate","partial"),INDEX(Fit_Matrix!$B:$B,MATCH(P3810,Fit_Matrix!$A:$A,0)))),"CHECK KEY"))</f>
        <v/>
      </c>
      <c r="U3810" s="10"/>
      <c r="V3810" s="10"/>
      <c r="W3810" s="10"/>
      <c r="X3810" s="10"/>
      <c r="Y3810" s="10"/>
      <c r="Z3810" s="10"/>
      <c r="AA3810" s="11" t="str">
        <f t="shared" si="119"/>
        <v/>
      </c>
    </row>
    <row r="3811" spans="16:27" ht="15" customHeight="1">
      <c r="P3811" t="str">
        <f t="shared" si="118"/>
        <v/>
      </c>
      <c r="Q3811" t="str">
        <f>IF(P3811="","",IFERROR(IF(AND(H3811="W7",OR(F3811="causal",F3811="predictive")),IF(AND(OR(K3811=1,K3811="1"),OR(L3811=1,L3811="1"),OR(M3811=1,M3811="1")),"adequate","partial"),IF(AND(H3811="W4",F3811="predictive",OR(J3811="P2",J3811="P3",J3811="P4")),IF(OR(U3811=1,U3811="1"),"adequate","partial"),INDEX(Fit_Matrix!$B:$B,MATCH(P3811,Fit_Matrix!$A:$A,0)))),"CHECK KEY"))</f>
        <v/>
      </c>
      <c r="U3811" s="10"/>
      <c r="V3811" s="10"/>
      <c r="W3811" s="10"/>
      <c r="X3811" s="10"/>
      <c r="Y3811" s="10"/>
      <c r="Z3811" s="10"/>
      <c r="AA3811" s="11" t="str">
        <f t="shared" si="119"/>
        <v/>
      </c>
    </row>
    <row r="3812" spans="16:27" ht="15" customHeight="1">
      <c r="P3812" t="str">
        <f t="shared" si="118"/>
        <v/>
      </c>
      <c r="Q3812" t="str">
        <f>IF(P3812="","",IFERROR(IF(AND(H3812="W7",OR(F3812="causal",F3812="predictive")),IF(AND(OR(K3812=1,K3812="1"),OR(L3812=1,L3812="1"),OR(M3812=1,M3812="1")),"adequate","partial"),IF(AND(H3812="W4",F3812="predictive",OR(J3812="P2",J3812="P3",J3812="P4")),IF(OR(U3812=1,U3812="1"),"adequate","partial"),INDEX(Fit_Matrix!$B:$B,MATCH(P3812,Fit_Matrix!$A:$A,0)))),"CHECK KEY"))</f>
        <v/>
      </c>
      <c r="U3812" s="10"/>
      <c r="V3812" s="10"/>
      <c r="W3812" s="10"/>
      <c r="X3812" s="10"/>
      <c r="Y3812" s="10"/>
      <c r="Z3812" s="10"/>
      <c r="AA3812" s="11" t="str">
        <f t="shared" si="119"/>
        <v/>
      </c>
    </row>
    <row r="3813" spans="16:27" ht="15" customHeight="1">
      <c r="P3813" t="str">
        <f t="shared" si="118"/>
        <v/>
      </c>
      <c r="Q3813" t="str">
        <f>IF(P3813="","",IFERROR(IF(AND(H3813="W7",OR(F3813="causal",F3813="predictive")),IF(AND(OR(K3813=1,K3813="1"),OR(L3813=1,L3813="1"),OR(M3813=1,M3813="1")),"adequate","partial"),IF(AND(H3813="W4",F3813="predictive",OR(J3813="P2",J3813="P3",J3813="P4")),IF(OR(U3813=1,U3813="1"),"adequate","partial"),INDEX(Fit_Matrix!$B:$B,MATCH(P3813,Fit_Matrix!$A:$A,0)))),"CHECK KEY"))</f>
        <v/>
      </c>
      <c r="U3813" s="10"/>
      <c r="V3813" s="10"/>
      <c r="W3813" s="10"/>
      <c r="X3813" s="10"/>
      <c r="Y3813" s="10"/>
      <c r="Z3813" s="10"/>
      <c r="AA3813" s="11" t="str">
        <f t="shared" si="119"/>
        <v/>
      </c>
    </row>
    <row r="3814" spans="16:27" ht="15" customHeight="1">
      <c r="P3814" t="str">
        <f t="shared" si="118"/>
        <v/>
      </c>
      <c r="Q3814" t="str">
        <f>IF(P3814="","",IFERROR(IF(AND(H3814="W7",OR(F3814="causal",F3814="predictive")),IF(AND(OR(K3814=1,K3814="1"),OR(L3814=1,L3814="1"),OR(M3814=1,M3814="1")),"adequate","partial"),IF(AND(H3814="W4",F3814="predictive",OR(J3814="P2",J3814="P3",J3814="P4")),IF(OR(U3814=1,U3814="1"),"adequate","partial"),INDEX(Fit_Matrix!$B:$B,MATCH(P3814,Fit_Matrix!$A:$A,0)))),"CHECK KEY"))</f>
        <v/>
      </c>
      <c r="U3814" s="10"/>
      <c r="V3814" s="10"/>
      <c r="W3814" s="10"/>
      <c r="X3814" s="10"/>
      <c r="Y3814" s="10"/>
      <c r="Z3814" s="10"/>
      <c r="AA3814" s="11" t="str">
        <f t="shared" si="119"/>
        <v/>
      </c>
    </row>
    <row r="3815" spans="16:27" ht="15" customHeight="1">
      <c r="P3815" t="str">
        <f t="shared" si="118"/>
        <v/>
      </c>
      <c r="Q3815" t="str">
        <f>IF(P3815="","",IFERROR(IF(AND(H3815="W7",OR(F3815="causal",F3815="predictive")),IF(AND(OR(K3815=1,K3815="1"),OR(L3815=1,L3815="1"),OR(M3815=1,M3815="1")),"adequate","partial"),IF(AND(H3815="W4",F3815="predictive",OR(J3815="P2",J3815="P3",J3815="P4")),IF(OR(U3815=1,U3815="1"),"adequate","partial"),INDEX(Fit_Matrix!$B:$B,MATCH(P3815,Fit_Matrix!$A:$A,0)))),"CHECK KEY"))</f>
        <v/>
      </c>
      <c r="U3815" s="10"/>
      <c r="V3815" s="10"/>
      <c r="W3815" s="10"/>
      <c r="X3815" s="10"/>
      <c r="Y3815" s="10"/>
      <c r="Z3815" s="10"/>
      <c r="AA3815" s="11" t="str">
        <f t="shared" si="119"/>
        <v/>
      </c>
    </row>
    <row r="3816" spans="16:27" ht="15" customHeight="1">
      <c r="P3816" t="str">
        <f t="shared" si="118"/>
        <v/>
      </c>
      <c r="Q3816" t="str">
        <f>IF(P3816="","",IFERROR(IF(AND(H3816="W7",OR(F3816="causal",F3816="predictive")),IF(AND(OR(K3816=1,K3816="1"),OR(L3816=1,L3816="1"),OR(M3816=1,M3816="1")),"adequate","partial"),IF(AND(H3816="W4",F3816="predictive",OR(J3816="P2",J3816="P3",J3816="P4")),IF(OR(U3816=1,U3816="1"),"adequate","partial"),INDEX(Fit_Matrix!$B:$B,MATCH(P3816,Fit_Matrix!$A:$A,0)))),"CHECK KEY"))</f>
        <v/>
      </c>
      <c r="U3816" s="10"/>
      <c r="V3816" s="10"/>
      <c r="W3816" s="10"/>
      <c r="X3816" s="10"/>
      <c r="Y3816" s="10"/>
      <c r="Z3816" s="10"/>
      <c r="AA3816" s="11" t="str">
        <f t="shared" si="119"/>
        <v/>
      </c>
    </row>
    <row r="3817" spans="16:27" ht="15" customHeight="1">
      <c r="P3817" t="str">
        <f t="shared" si="118"/>
        <v/>
      </c>
      <c r="Q3817" t="str">
        <f>IF(P3817="","",IFERROR(IF(AND(H3817="W7",OR(F3817="causal",F3817="predictive")),IF(AND(OR(K3817=1,K3817="1"),OR(L3817=1,L3817="1"),OR(M3817=1,M3817="1")),"adequate","partial"),IF(AND(H3817="W4",F3817="predictive",OR(J3817="P2",J3817="P3",J3817="P4")),IF(OR(U3817=1,U3817="1"),"adequate","partial"),INDEX(Fit_Matrix!$B:$B,MATCH(P3817,Fit_Matrix!$A:$A,0)))),"CHECK KEY"))</f>
        <v/>
      </c>
      <c r="U3817" s="10"/>
      <c r="V3817" s="10"/>
      <c r="W3817" s="10"/>
      <c r="X3817" s="10"/>
      <c r="Y3817" s="10"/>
      <c r="Z3817" s="10"/>
      <c r="AA3817" s="11" t="str">
        <f t="shared" si="119"/>
        <v/>
      </c>
    </row>
    <row r="3818" spans="16:27" ht="15" customHeight="1">
      <c r="P3818" t="str">
        <f t="shared" si="118"/>
        <v/>
      </c>
      <c r="Q3818" t="str">
        <f>IF(P3818="","",IFERROR(IF(AND(H3818="W7",OR(F3818="causal",F3818="predictive")),IF(AND(OR(K3818=1,K3818="1"),OR(L3818=1,L3818="1"),OR(M3818=1,M3818="1")),"adequate","partial"),IF(AND(H3818="W4",F3818="predictive",OR(J3818="P2",J3818="P3",J3818="P4")),IF(OR(U3818=1,U3818="1"),"adequate","partial"),INDEX(Fit_Matrix!$B:$B,MATCH(P3818,Fit_Matrix!$A:$A,0)))),"CHECK KEY"))</f>
        <v/>
      </c>
      <c r="U3818" s="10"/>
      <c r="V3818" s="10"/>
      <c r="W3818" s="10"/>
      <c r="X3818" s="10"/>
      <c r="Y3818" s="10"/>
      <c r="Z3818" s="10"/>
      <c r="AA3818" s="11" t="str">
        <f t="shared" si="119"/>
        <v/>
      </c>
    </row>
    <row r="3819" spans="16:27" ht="15" customHeight="1">
      <c r="P3819" t="str">
        <f t="shared" si="118"/>
        <v/>
      </c>
      <c r="Q3819" t="str">
        <f>IF(P3819="","",IFERROR(IF(AND(H3819="W7",OR(F3819="causal",F3819="predictive")),IF(AND(OR(K3819=1,K3819="1"),OR(L3819=1,L3819="1"),OR(M3819=1,M3819="1")),"adequate","partial"),IF(AND(H3819="W4",F3819="predictive",OR(J3819="P2",J3819="P3",J3819="P4")),IF(OR(U3819=1,U3819="1"),"adequate","partial"),INDEX(Fit_Matrix!$B:$B,MATCH(P3819,Fit_Matrix!$A:$A,0)))),"CHECK KEY"))</f>
        <v/>
      </c>
      <c r="U3819" s="10"/>
      <c r="V3819" s="10"/>
      <c r="W3819" s="10"/>
      <c r="X3819" s="10"/>
      <c r="Y3819" s="10"/>
      <c r="Z3819" s="10"/>
      <c r="AA3819" s="11" t="str">
        <f t="shared" si="119"/>
        <v/>
      </c>
    </row>
    <row r="3820" spans="16:27" ht="15" customHeight="1">
      <c r="P3820" t="str">
        <f t="shared" si="118"/>
        <v/>
      </c>
      <c r="Q3820" t="str">
        <f>IF(P3820="","",IFERROR(IF(AND(H3820="W7",OR(F3820="causal",F3820="predictive")),IF(AND(OR(K3820=1,K3820="1"),OR(L3820=1,L3820="1"),OR(M3820=1,M3820="1")),"adequate","partial"),IF(AND(H3820="W4",F3820="predictive",OR(J3820="P2",J3820="P3",J3820="P4")),IF(OR(U3820=1,U3820="1"),"adequate","partial"),INDEX(Fit_Matrix!$B:$B,MATCH(P3820,Fit_Matrix!$A:$A,0)))),"CHECK KEY"))</f>
        <v/>
      </c>
      <c r="U3820" s="10"/>
      <c r="V3820" s="10"/>
      <c r="W3820" s="10"/>
      <c r="X3820" s="10"/>
      <c r="Y3820" s="10"/>
      <c r="Z3820" s="10"/>
      <c r="AA3820" s="11" t="str">
        <f t="shared" si="119"/>
        <v/>
      </c>
    </row>
    <row r="3821" spans="16:27" ht="15" customHeight="1">
      <c r="P3821" t="str">
        <f t="shared" si="118"/>
        <v/>
      </c>
      <c r="Q3821" t="str">
        <f>IF(P3821="","",IFERROR(IF(AND(H3821="W7",OR(F3821="causal",F3821="predictive")),IF(AND(OR(K3821=1,K3821="1"),OR(L3821=1,L3821="1"),OR(M3821=1,M3821="1")),"adequate","partial"),IF(AND(H3821="W4",F3821="predictive",OR(J3821="P2",J3821="P3",J3821="P4")),IF(OR(U3821=1,U3821="1"),"adequate","partial"),INDEX(Fit_Matrix!$B:$B,MATCH(P3821,Fit_Matrix!$A:$A,0)))),"CHECK KEY"))</f>
        <v/>
      </c>
      <c r="U3821" s="10"/>
      <c r="V3821" s="10"/>
      <c r="W3821" s="10"/>
      <c r="X3821" s="10"/>
      <c r="Y3821" s="10"/>
      <c r="Z3821" s="10"/>
      <c r="AA3821" s="11" t="str">
        <f t="shared" si="119"/>
        <v/>
      </c>
    </row>
    <row r="3822" spans="16:27" ht="15" customHeight="1">
      <c r="P3822" t="str">
        <f t="shared" si="118"/>
        <v/>
      </c>
      <c r="Q3822" t="str">
        <f>IF(P3822="","",IFERROR(IF(AND(H3822="W7",OR(F3822="causal",F3822="predictive")),IF(AND(OR(K3822=1,K3822="1"),OR(L3822=1,L3822="1"),OR(M3822=1,M3822="1")),"adequate","partial"),IF(AND(H3822="W4",F3822="predictive",OR(J3822="P2",J3822="P3",J3822="P4")),IF(OR(U3822=1,U3822="1"),"adequate","partial"),INDEX(Fit_Matrix!$B:$B,MATCH(P3822,Fit_Matrix!$A:$A,0)))),"CHECK KEY"))</f>
        <v/>
      </c>
      <c r="U3822" s="10"/>
      <c r="V3822" s="10"/>
      <c r="W3822" s="10"/>
      <c r="X3822" s="10"/>
      <c r="Y3822" s="10"/>
      <c r="Z3822" s="10"/>
      <c r="AA3822" s="11" t="str">
        <f t="shared" si="119"/>
        <v/>
      </c>
    </row>
    <row r="3823" spans="16:27" ht="15" customHeight="1">
      <c r="P3823" t="str">
        <f t="shared" si="118"/>
        <v/>
      </c>
      <c r="Q3823" t="str">
        <f>IF(P3823="","",IFERROR(IF(AND(H3823="W7",OR(F3823="causal",F3823="predictive")),IF(AND(OR(K3823=1,K3823="1"),OR(L3823=1,L3823="1"),OR(M3823=1,M3823="1")),"adequate","partial"),IF(AND(H3823="W4",F3823="predictive",OR(J3823="P2",J3823="P3",J3823="P4")),IF(OR(U3823=1,U3823="1"),"adequate","partial"),INDEX(Fit_Matrix!$B:$B,MATCH(P3823,Fit_Matrix!$A:$A,0)))),"CHECK KEY"))</f>
        <v/>
      </c>
      <c r="U3823" s="10"/>
      <c r="V3823" s="10"/>
      <c r="W3823" s="10"/>
      <c r="X3823" s="10"/>
      <c r="Y3823" s="10"/>
      <c r="Z3823" s="10"/>
      <c r="AA3823" s="11" t="str">
        <f t="shared" si="119"/>
        <v/>
      </c>
    </row>
    <row r="3824" spans="16:27" ht="15" customHeight="1">
      <c r="P3824" t="str">
        <f t="shared" si="118"/>
        <v/>
      </c>
      <c r="Q3824" t="str">
        <f>IF(P3824="","",IFERROR(IF(AND(H3824="W7",OR(F3824="causal",F3824="predictive")),IF(AND(OR(K3824=1,K3824="1"),OR(L3824=1,L3824="1"),OR(M3824=1,M3824="1")),"adequate","partial"),IF(AND(H3824="W4",F3824="predictive",OR(J3824="P2",J3824="P3",J3824="P4")),IF(OR(U3824=1,U3824="1"),"adequate","partial"),INDEX(Fit_Matrix!$B:$B,MATCH(P3824,Fit_Matrix!$A:$A,0)))),"CHECK KEY"))</f>
        <v/>
      </c>
      <c r="U3824" s="10"/>
      <c r="V3824" s="10"/>
      <c r="W3824" s="10"/>
      <c r="X3824" s="10"/>
      <c r="Y3824" s="10"/>
      <c r="Z3824" s="10"/>
      <c r="AA3824" s="11" t="str">
        <f t="shared" si="119"/>
        <v/>
      </c>
    </row>
    <row r="3825" spans="16:27" ht="15" customHeight="1">
      <c r="P3825" t="str">
        <f t="shared" si="118"/>
        <v/>
      </c>
      <c r="Q3825" t="str">
        <f>IF(P3825="","",IFERROR(IF(AND(H3825="W7",OR(F3825="causal",F3825="predictive")),IF(AND(OR(K3825=1,K3825="1"),OR(L3825=1,L3825="1"),OR(M3825=1,M3825="1")),"adequate","partial"),IF(AND(H3825="W4",F3825="predictive",OR(J3825="P2",J3825="P3",J3825="P4")),IF(OR(U3825=1,U3825="1"),"adequate","partial"),INDEX(Fit_Matrix!$B:$B,MATCH(P3825,Fit_Matrix!$A:$A,0)))),"CHECK KEY"))</f>
        <v/>
      </c>
      <c r="U3825" s="10"/>
      <c r="V3825" s="10"/>
      <c r="W3825" s="10"/>
      <c r="X3825" s="10"/>
      <c r="Y3825" s="10"/>
      <c r="Z3825" s="10"/>
      <c r="AA3825" s="11" t="str">
        <f t="shared" si="119"/>
        <v/>
      </c>
    </row>
    <row r="3826" spans="16:27" ht="15" customHeight="1">
      <c r="P3826" t="str">
        <f t="shared" si="118"/>
        <v/>
      </c>
      <c r="Q3826" t="str">
        <f>IF(P3826="","",IFERROR(IF(AND(H3826="W7",OR(F3826="causal",F3826="predictive")),IF(AND(OR(K3826=1,K3826="1"),OR(L3826=1,L3826="1"),OR(M3826=1,M3826="1")),"adequate","partial"),IF(AND(H3826="W4",F3826="predictive",OR(J3826="P2",J3826="P3",J3826="P4")),IF(OR(U3826=1,U3826="1"),"adequate","partial"),INDEX(Fit_Matrix!$B:$B,MATCH(P3826,Fit_Matrix!$A:$A,0)))),"CHECK KEY"))</f>
        <v/>
      </c>
      <c r="U3826" s="10"/>
      <c r="V3826" s="10"/>
      <c r="W3826" s="10"/>
      <c r="X3826" s="10"/>
      <c r="Y3826" s="10"/>
      <c r="Z3826" s="10"/>
      <c r="AA3826" s="11" t="str">
        <f t="shared" si="119"/>
        <v/>
      </c>
    </row>
    <row r="3827" spans="16:27" ht="15" customHeight="1">
      <c r="P3827" t="str">
        <f t="shared" si="118"/>
        <v/>
      </c>
      <c r="Q3827" t="str">
        <f>IF(P3827="","",IFERROR(IF(AND(H3827="W7",OR(F3827="causal",F3827="predictive")),IF(AND(OR(K3827=1,K3827="1"),OR(L3827=1,L3827="1"),OR(M3827=1,M3827="1")),"adequate","partial"),IF(AND(H3827="W4",F3827="predictive",OR(J3827="P2",J3827="P3",J3827="P4")),IF(OR(U3827=1,U3827="1"),"adequate","partial"),INDEX(Fit_Matrix!$B:$B,MATCH(P3827,Fit_Matrix!$A:$A,0)))),"CHECK KEY"))</f>
        <v/>
      </c>
      <c r="U3827" s="10"/>
      <c r="V3827" s="10"/>
      <c r="W3827" s="10"/>
      <c r="X3827" s="10"/>
      <c r="Y3827" s="10"/>
      <c r="Z3827" s="10"/>
      <c r="AA3827" s="11" t="str">
        <f t="shared" si="119"/>
        <v/>
      </c>
    </row>
    <row r="3828" spans="16:27" ht="15" customHeight="1">
      <c r="P3828" t="str">
        <f t="shared" si="118"/>
        <v/>
      </c>
      <c r="Q3828" t="str">
        <f>IF(P3828="","",IFERROR(IF(AND(H3828="W7",OR(F3828="causal",F3828="predictive")),IF(AND(OR(K3828=1,K3828="1"),OR(L3828=1,L3828="1"),OR(M3828=1,M3828="1")),"adequate","partial"),IF(AND(H3828="W4",F3828="predictive",OR(J3828="P2",J3828="P3",J3828="P4")),IF(OR(U3828=1,U3828="1"),"adequate","partial"),INDEX(Fit_Matrix!$B:$B,MATCH(P3828,Fit_Matrix!$A:$A,0)))),"CHECK KEY"))</f>
        <v/>
      </c>
      <c r="U3828" s="10"/>
      <c r="V3828" s="10"/>
      <c r="W3828" s="10"/>
      <c r="X3828" s="10"/>
      <c r="Y3828" s="10"/>
      <c r="Z3828" s="10"/>
      <c r="AA3828" s="11" t="str">
        <f t="shared" si="119"/>
        <v/>
      </c>
    </row>
    <row r="3829" spans="16:27" ht="15" customHeight="1">
      <c r="P3829" t="str">
        <f t="shared" si="118"/>
        <v/>
      </c>
      <c r="Q3829" t="str">
        <f>IF(P3829="","",IFERROR(IF(AND(H3829="W7",OR(F3829="causal",F3829="predictive")),IF(AND(OR(K3829=1,K3829="1"),OR(L3829=1,L3829="1"),OR(M3829=1,M3829="1")),"adequate","partial"),IF(AND(H3829="W4",F3829="predictive",OR(J3829="P2",J3829="P3",J3829="P4")),IF(OR(U3829=1,U3829="1"),"adequate","partial"),INDEX(Fit_Matrix!$B:$B,MATCH(P3829,Fit_Matrix!$A:$A,0)))),"CHECK KEY"))</f>
        <v/>
      </c>
      <c r="U3829" s="10"/>
      <c r="V3829" s="10"/>
      <c r="W3829" s="10"/>
      <c r="X3829" s="10"/>
      <c r="Y3829" s="10"/>
      <c r="Z3829" s="10"/>
      <c r="AA3829" s="11" t="str">
        <f t="shared" si="119"/>
        <v/>
      </c>
    </row>
    <row r="3830" spans="16:27" ht="15" customHeight="1">
      <c r="P3830" t="str">
        <f t="shared" si="118"/>
        <v/>
      </c>
      <c r="Q3830" t="str">
        <f>IF(P3830="","",IFERROR(IF(AND(H3830="W7",OR(F3830="causal",F3830="predictive")),IF(AND(OR(K3830=1,K3830="1"),OR(L3830=1,L3830="1"),OR(M3830=1,M3830="1")),"adequate","partial"),IF(AND(H3830="W4",F3830="predictive",OR(J3830="P2",J3830="P3",J3830="P4")),IF(OR(U3830=1,U3830="1"),"adequate","partial"),INDEX(Fit_Matrix!$B:$B,MATCH(P3830,Fit_Matrix!$A:$A,0)))),"CHECK KEY"))</f>
        <v/>
      </c>
      <c r="U3830" s="10"/>
      <c r="V3830" s="10"/>
      <c r="W3830" s="10"/>
      <c r="X3830" s="10"/>
      <c r="Y3830" s="10"/>
      <c r="Z3830" s="10"/>
      <c r="AA3830" s="11" t="str">
        <f t="shared" si="119"/>
        <v/>
      </c>
    </row>
    <row r="3831" spans="16:27" ht="15" customHeight="1">
      <c r="P3831" t="str">
        <f t="shared" si="118"/>
        <v/>
      </c>
      <c r="Q3831" t="str">
        <f>IF(P3831="","",IFERROR(IF(AND(H3831="W7",OR(F3831="causal",F3831="predictive")),IF(AND(OR(K3831=1,K3831="1"),OR(L3831=1,L3831="1"),OR(M3831=1,M3831="1")),"adequate","partial"),IF(AND(H3831="W4",F3831="predictive",OR(J3831="P2",J3831="P3",J3831="P4")),IF(OR(U3831=1,U3831="1"),"adequate","partial"),INDEX(Fit_Matrix!$B:$B,MATCH(P3831,Fit_Matrix!$A:$A,0)))),"CHECK KEY"))</f>
        <v/>
      </c>
      <c r="U3831" s="10"/>
      <c r="V3831" s="10"/>
      <c r="W3831" s="10"/>
      <c r="X3831" s="10"/>
      <c r="Y3831" s="10"/>
      <c r="Z3831" s="10"/>
      <c r="AA3831" s="11" t="str">
        <f t="shared" si="119"/>
        <v/>
      </c>
    </row>
    <row r="3832" spans="16:27" ht="15" customHeight="1">
      <c r="P3832" t="str">
        <f t="shared" si="118"/>
        <v/>
      </c>
      <c r="Q3832" t="str">
        <f>IF(P3832="","",IFERROR(IF(AND(H3832="W7",OR(F3832="causal",F3832="predictive")),IF(AND(OR(K3832=1,K3832="1"),OR(L3832=1,L3832="1"),OR(M3832=1,M3832="1")),"adequate","partial"),IF(AND(H3832="W4",F3832="predictive",OR(J3832="P2",J3832="P3",J3832="P4")),IF(OR(U3832=1,U3832="1"),"adequate","partial"),INDEX(Fit_Matrix!$B:$B,MATCH(P3832,Fit_Matrix!$A:$A,0)))),"CHECK KEY"))</f>
        <v/>
      </c>
      <c r="U3832" s="10"/>
      <c r="V3832" s="10"/>
      <c r="W3832" s="10"/>
      <c r="X3832" s="10"/>
      <c r="Y3832" s="10"/>
      <c r="Z3832" s="10"/>
      <c r="AA3832" s="11" t="str">
        <f t="shared" si="119"/>
        <v/>
      </c>
    </row>
    <row r="3833" spans="16:27" ht="15" customHeight="1">
      <c r="P3833" t="str">
        <f t="shared" si="118"/>
        <v/>
      </c>
      <c r="Q3833" t="str">
        <f>IF(P3833="","",IFERROR(IF(AND(H3833="W7",OR(F3833="causal",F3833="predictive")),IF(AND(OR(K3833=1,K3833="1"),OR(L3833=1,L3833="1"),OR(M3833=1,M3833="1")),"adequate","partial"),IF(AND(H3833="W4",F3833="predictive",OR(J3833="P2",J3833="P3",J3833="P4")),IF(OR(U3833=1,U3833="1"),"adequate","partial"),INDEX(Fit_Matrix!$B:$B,MATCH(P3833,Fit_Matrix!$A:$A,0)))),"CHECK KEY"))</f>
        <v/>
      </c>
      <c r="U3833" s="10"/>
      <c r="V3833" s="10"/>
      <c r="W3833" s="10"/>
      <c r="X3833" s="10"/>
      <c r="Y3833" s="10"/>
      <c r="Z3833" s="10"/>
      <c r="AA3833" s="11" t="str">
        <f t="shared" si="119"/>
        <v/>
      </c>
    </row>
    <row r="3834" spans="16:27" ht="15" customHeight="1">
      <c r="P3834" t="str">
        <f t="shared" si="118"/>
        <v/>
      </c>
      <c r="Q3834" t="str">
        <f>IF(P3834="","",IFERROR(IF(AND(H3834="W7",OR(F3834="causal",F3834="predictive")),IF(AND(OR(K3834=1,K3834="1"),OR(L3834=1,L3834="1"),OR(M3834=1,M3834="1")),"adequate","partial"),IF(AND(H3834="W4",F3834="predictive",OR(J3834="P2",J3834="P3",J3834="P4")),IF(OR(U3834=1,U3834="1"),"adequate","partial"),INDEX(Fit_Matrix!$B:$B,MATCH(P3834,Fit_Matrix!$A:$A,0)))),"CHECK KEY"))</f>
        <v/>
      </c>
      <c r="U3834" s="10"/>
      <c r="V3834" s="10"/>
      <c r="W3834" s="10"/>
      <c r="X3834" s="10"/>
      <c r="Y3834" s="10"/>
      <c r="Z3834" s="10"/>
      <c r="AA3834" s="11" t="str">
        <f t="shared" si="119"/>
        <v/>
      </c>
    </row>
    <row r="3835" spans="16:27" ht="15" customHeight="1">
      <c r="P3835" t="str">
        <f t="shared" si="118"/>
        <v/>
      </c>
      <c r="Q3835" t="str">
        <f>IF(P3835="","",IFERROR(IF(AND(H3835="W7",OR(F3835="causal",F3835="predictive")),IF(AND(OR(K3835=1,K3835="1"),OR(L3835=1,L3835="1"),OR(M3835=1,M3835="1")),"adequate","partial"),IF(AND(H3835="W4",F3835="predictive",OR(J3835="P2",J3835="P3",J3835="P4")),IF(OR(U3835=1,U3835="1"),"adequate","partial"),INDEX(Fit_Matrix!$B:$B,MATCH(P3835,Fit_Matrix!$A:$A,0)))),"CHECK KEY"))</f>
        <v/>
      </c>
      <c r="U3835" s="10"/>
      <c r="V3835" s="10"/>
      <c r="W3835" s="10"/>
      <c r="X3835" s="10"/>
      <c r="Y3835" s="10"/>
      <c r="Z3835" s="10"/>
      <c r="AA3835" s="11" t="str">
        <f t="shared" si="119"/>
        <v/>
      </c>
    </row>
    <row r="3836" spans="16:27" ht="15" customHeight="1">
      <c r="P3836" t="str">
        <f t="shared" si="118"/>
        <v/>
      </c>
      <c r="Q3836" t="str">
        <f>IF(P3836="","",IFERROR(IF(AND(H3836="W7",OR(F3836="causal",F3836="predictive")),IF(AND(OR(K3836=1,K3836="1"),OR(L3836=1,L3836="1"),OR(M3836=1,M3836="1")),"adequate","partial"),IF(AND(H3836="W4",F3836="predictive",OR(J3836="P2",J3836="P3",J3836="P4")),IF(OR(U3836=1,U3836="1"),"adequate","partial"),INDEX(Fit_Matrix!$B:$B,MATCH(P3836,Fit_Matrix!$A:$A,0)))),"CHECK KEY"))</f>
        <v/>
      </c>
      <c r="U3836" s="10"/>
      <c r="V3836" s="10"/>
      <c r="W3836" s="10"/>
      <c r="X3836" s="10"/>
      <c r="Y3836" s="10"/>
      <c r="Z3836" s="10"/>
      <c r="AA3836" s="11" t="str">
        <f t="shared" si="119"/>
        <v/>
      </c>
    </row>
    <row r="3837" spans="16:27" ht="15" customHeight="1">
      <c r="P3837" t="str">
        <f t="shared" si="118"/>
        <v/>
      </c>
      <c r="Q3837" t="str">
        <f>IF(P3837="","",IFERROR(IF(AND(H3837="W7",OR(F3837="causal",F3837="predictive")),IF(AND(OR(K3837=1,K3837="1"),OR(L3837=1,L3837="1"),OR(M3837=1,M3837="1")),"adequate","partial"),IF(AND(H3837="W4",F3837="predictive",OR(J3837="P2",J3837="P3",J3837="P4")),IF(OR(U3837=1,U3837="1"),"adequate","partial"),INDEX(Fit_Matrix!$B:$B,MATCH(P3837,Fit_Matrix!$A:$A,0)))),"CHECK KEY"))</f>
        <v/>
      </c>
      <c r="U3837" s="10"/>
      <c r="V3837" s="10"/>
      <c r="W3837" s="10"/>
      <c r="X3837" s="10"/>
      <c r="Y3837" s="10"/>
      <c r="Z3837" s="10"/>
      <c r="AA3837" s="11" t="str">
        <f t="shared" si="119"/>
        <v/>
      </c>
    </row>
    <row r="3838" spans="16:27" ht="15" customHeight="1">
      <c r="P3838" t="str">
        <f t="shared" si="118"/>
        <v/>
      </c>
      <c r="Q3838" t="str">
        <f>IF(P3838="","",IFERROR(IF(AND(H3838="W7",OR(F3838="causal",F3838="predictive")),IF(AND(OR(K3838=1,K3838="1"),OR(L3838=1,L3838="1"),OR(M3838=1,M3838="1")),"adequate","partial"),IF(AND(H3838="W4",F3838="predictive",OR(J3838="P2",J3838="P3",J3838="P4")),IF(OR(U3838=1,U3838="1"),"adequate","partial"),INDEX(Fit_Matrix!$B:$B,MATCH(P3838,Fit_Matrix!$A:$A,0)))),"CHECK KEY"))</f>
        <v/>
      </c>
      <c r="U3838" s="10"/>
      <c r="V3838" s="10"/>
      <c r="W3838" s="10"/>
      <c r="X3838" s="10"/>
      <c r="Y3838" s="10"/>
      <c r="Z3838" s="10"/>
      <c r="AA3838" s="11" t="str">
        <f t="shared" si="119"/>
        <v/>
      </c>
    </row>
    <row r="3839" spans="16:27" ht="15" customHeight="1">
      <c r="P3839" t="str">
        <f t="shared" si="118"/>
        <v/>
      </c>
      <c r="Q3839" t="str">
        <f>IF(P3839="","",IFERROR(IF(AND(H3839="W7",OR(F3839="causal",F3839="predictive")),IF(AND(OR(K3839=1,K3839="1"),OR(L3839=1,L3839="1"),OR(M3839=1,M3839="1")),"adequate","partial"),IF(AND(H3839="W4",F3839="predictive",OR(J3839="P2",J3839="P3",J3839="P4")),IF(OR(U3839=1,U3839="1"),"adequate","partial"),INDEX(Fit_Matrix!$B:$B,MATCH(P3839,Fit_Matrix!$A:$A,0)))),"CHECK KEY"))</f>
        <v/>
      </c>
      <c r="U3839" s="10"/>
      <c r="V3839" s="10"/>
      <c r="W3839" s="10"/>
      <c r="X3839" s="10"/>
      <c r="Y3839" s="10"/>
      <c r="Z3839" s="10"/>
      <c r="AA3839" s="11" t="str">
        <f t="shared" si="119"/>
        <v/>
      </c>
    </row>
    <row r="3840" spans="16:27" ht="15" customHeight="1">
      <c r="P3840" t="str">
        <f t="shared" si="118"/>
        <v/>
      </c>
      <c r="Q3840" t="str">
        <f>IF(P3840="","",IFERROR(IF(AND(H3840="W7",OR(F3840="causal",F3840="predictive")),IF(AND(OR(K3840=1,K3840="1"),OR(L3840=1,L3840="1"),OR(M3840=1,M3840="1")),"adequate","partial"),IF(AND(H3840="W4",F3840="predictive",OR(J3840="P2",J3840="P3",J3840="P4")),IF(OR(U3840=1,U3840="1"),"adequate","partial"),INDEX(Fit_Matrix!$B:$B,MATCH(P3840,Fit_Matrix!$A:$A,0)))),"CHECK KEY"))</f>
        <v/>
      </c>
      <c r="U3840" s="10"/>
      <c r="V3840" s="10"/>
      <c r="W3840" s="10"/>
      <c r="X3840" s="10"/>
      <c r="Y3840" s="10"/>
      <c r="Z3840" s="10"/>
      <c r="AA3840" s="11" t="str">
        <f t="shared" si="119"/>
        <v/>
      </c>
    </row>
    <row r="3841" spans="16:27" ht="15" customHeight="1">
      <c r="P3841" t="str">
        <f t="shared" si="118"/>
        <v/>
      </c>
      <c r="Q3841" t="str">
        <f>IF(P3841="","",IFERROR(IF(AND(H3841="W7",OR(F3841="causal",F3841="predictive")),IF(AND(OR(K3841=1,K3841="1"),OR(L3841=1,L3841="1"),OR(M3841=1,M3841="1")),"adequate","partial"),IF(AND(H3841="W4",F3841="predictive",OR(J3841="P2",J3841="P3",J3841="P4")),IF(OR(U3841=1,U3841="1"),"adequate","partial"),INDEX(Fit_Matrix!$B:$B,MATCH(P3841,Fit_Matrix!$A:$A,0)))),"CHECK KEY"))</f>
        <v/>
      </c>
      <c r="U3841" s="10"/>
      <c r="V3841" s="10"/>
      <c r="W3841" s="10"/>
      <c r="X3841" s="10"/>
      <c r="Y3841" s="10"/>
      <c r="Z3841" s="10"/>
      <c r="AA3841" s="11" t="str">
        <f t="shared" si="119"/>
        <v/>
      </c>
    </row>
    <row r="3842" spans="16:27" ht="15" customHeight="1">
      <c r="P3842" t="str">
        <f t="shared" ref="P3842:P3905" si="120">IF(OR(F3842="",H3842="",J3842=""),"",J3842&amp;"|"&amp;F3842&amp;"|"&amp;IF(H3842="W3","W3_"&amp;IF(I3842="","unknown",I3842),H3842))</f>
        <v/>
      </c>
      <c r="Q3842" t="str">
        <f>IF(P3842="","",IFERROR(IF(AND(H3842="W7",OR(F3842="causal",F3842="predictive")),IF(AND(OR(K3842=1,K3842="1"),OR(L3842=1,L3842="1"),OR(M3842=1,M3842="1")),"adequate","partial"),IF(AND(H3842="W4",F3842="predictive",OR(J3842="P2",J3842="P3",J3842="P4")),IF(OR(U3842=1,U3842="1"),"adequate","partial"),INDEX(Fit_Matrix!$B:$B,MATCH(P3842,Fit_Matrix!$A:$A,0)))),"CHECK KEY"))</f>
        <v/>
      </c>
      <c r="U3842" s="10"/>
      <c r="V3842" s="10"/>
      <c r="W3842" s="10"/>
      <c r="X3842" s="10"/>
      <c r="Y3842" s="10"/>
      <c r="Z3842" s="10"/>
      <c r="AA3842" s="11" t="str">
        <f t="shared" ref="AA3842:AA3905" si="121">IF(A3842="","",IF(AND(J3842="P4",F3842="causal"),"P4-CAUSAL",""))</f>
        <v/>
      </c>
    </row>
    <row r="3843" spans="16:27" ht="15" customHeight="1">
      <c r="P3843" t="str">
        <f t="shared" si="120"/>
        <v/>
      </c>
      <c r="Q3843" t="str">
        <f>IF(P3843="","",IFERROR(IF(AND(H3843="W7",OR(F3843="causal",F3843="predictive")),IF(AND(OR(K3843=1,K3843="1"),OR(L3843=1,L3843="1"),OR(M3843=1,M3843="1")),"adequate","partial"),IF(AND(H3843="W4",F3843="predictive",OR(J3843="P2",J3843="P3",J3843="P4")),IF(OR(U3843=1,U3843="1"),"adequate","partial"),INDEX(Fit_Matrix!$B:$B,MATCH(P3843,Fit_Matrix!$A:$A,0)))),"CHECK KEY"))</f>
        <v/>
      </c>
      <c r="U3843" s="10"/>
      <c r="V3843" s="10"/>
      <c r="W3843" s="10"/>
      <c r="X3843" s="10"/>
      <c r="Y3843" s="10"/>
      <c r="Z3843" s="10"/>
      <c r="AA3843" s="11" t="str">
        <f t="shared" si="121"/>
        <v/>
      </c>
    </row>
    <row r="3844" spans="16:27" ht="15" customHeight="1">
      <c r="P3844" t="str">
        <f t="shared" si="120"/>
        <v/>
      </c>
      <c r="Q3844" t="str">
        <f>IF(P3844="","",IFERROR(IF(AND(H3844="W7",OR(F3844="causal",F3844="predictive")),IF(AND(OR(K3844=1,K3844="1"),OR(L3844=1,L3844="1"),OR(M3844=1,M3844="1")),"adequate","partial"),IF(AND(H3844="W4",F3844="predictive",OR(J3844="P2",J3844="P3",J3844="P4")),IF(OR(U3844=1,U3844="1"),"adequate","partial"),INDEX(Fit_Matrix!$B:$B,MATCH(P3844,Fit_Matrix!$A:$A,0)))),"CHECK KEY"))</f>
        <v/>
      </c>
      <c r="U3844" s="10"/>
      <c r="V3844" s="10"/>
      <c r="W3844" s="10"/>
      <c r="X3844" s="10"/>
      <c r="Y3844" s="10"/>
      <c r="Z3844" s="10"/>
      <c r="AA3844" s="11" t="str">
        <f t="shared" si="121"/>
        <v/>
      </c>
    </row>
    <row r="3845" spans="16:27" ht="15" customHeight="1">
      <c r="P3845" t="str">
        <f t="shared" si="120"/>
        <v/>
      </c>
      <c r="Q3845" t="str">
        <f>IF(P3845="","",IFERROR(IF(AND(H3845="W7",OR(F3845="causal",F3845="predictive")),IF(AND(OR(K3845=1,K3845="1"),OR(L3845=1,L3845="1"),OR(M3845=1,M3845="1")),"adequate","partial"),IF(AND(H3845="W4",F3845="predictive",OR(J3845="P2",J3845="P3",J3845="P4")),IF(OR(U3845=1,U3845="1"),"adequate","partial"),INDEX(Fit_Matrix!$B:$B,MATCH(P3845,Fit_Matrix!$A:$A,0)))),"CHECK KEY"))</f>
        <v/>
      </c>
      <c r="U3845" s="10"/>
      <c r="V3845" s="10"/>
      <c r="W3845" s="10"/>
      <c r="X3845" s="10"/>
      <c r="Y3845" s="10"/>
      <c r="Z3845" s="10"/>
      <c r="AA3845" s="11" t="str">
        <f t="shared" si="121"/>
        <v/>
      </c>
    </row>
    <row r="3846" spans="16:27" ht="15" customHeight="1">
      <c r="P3846" t="str">
        <f t="shared" si="120"/>
        <v/>
      </c>
      <c r="Q3846" t="str">
        <f>IF(P3846="","",IFERROR(IF(AND(H3846="W7",OR(F3846="causal",F3846="predictive")),IF(AND(OR(K3846=1,K3846="1"),OR(L3846=1,L3846="1"),OR(M3846=1,M3846="1")),"adequate","partial"),IF(AND(H3846="W4",F3846="predictive",OR(J3846="P2",J3846="P3",J3846="P4")),IF(OR(U3846=1,U3846="1"),"adequate","partial"),INDEX(Fit_Matrix!$B:$B,MATCH(P3846,Fit_Matrix!$A:$A,0)))),"CHECK KEY"))</f>
        <v/>
      </c>
      <c r="U3846" s="10"/>
      <c r="V3846" s="10"/>
      <c r="W3846" s="10"/>
      <c r="X3846" s="10"/>
      <c r="Y3846" s="10"/>
      <c r="Z3846" s="10"/>
      <c r="AA3846" s="11" t="str">
        <f t="shared" si="121"/>
        <v/>
      </c>
    </row>
    <row r="3847" spans="16:27" ht="15" customHeight="1">
      <c r="P3847" t="str">
        <f t="shared" si="120"/>
        <v/>
      </c>
      <c r="Q3847" t="str">
        <f>IF(P3847="","",IFERROR(IF(AND(H3847="W7",OR(F3847="causal",F3847="predictive")),IF(AND(OR(K3847=1,K3847="1"),OR(L3847=1,L3847="1"),OR(M3847=1,M3847="1")),"adequate","partial"),IF(AND(H3847="W4",F3847="predictive",OR(J3847="P2",J3847="P3",J3847="P4")),IF(OR(U3847=1,U3847="1"),"adequate","partial"),INDEX(Fit_Matrix!$B:$B,MATCH(P3847,Fit_Matrix!$A:$A,0)))),"CHECK KEY"))</f>
        <v/>
      </c>
      <c r="U3847" s="10"/>
      <c r="V3847" s="10"/>
      <c r="W3847" s="10"/>
      <c r="X3847" s="10"/>
      <c r="Y3847" s="10"/>
      <c r="Z3847" s="10"/>
      <c r="AA3847" s="11" t="str">
        <f t="shared" si="121"/>
        <v/>
      </c>
    </row>
    <row r="3848" spans="16:27" ht="15" customHeight="1">
      <c r="P3848" t="str">
        <f t="shared" si="120"/>
        <v/>
      </c>
      <c r="Q3848" t="str">
        <f>IF(P3848="","",IFERROR(IF(AND(H3848="W7",OR(F3848="causal",F3848="predictive")),IF(AND(OR(K3848=1,K3848="1"),OR(L3848=1,L3848="1"),OR(M3848=1,M3848="1")),"adequate","partial"),IF(AND(H3848="W4",F3848="predictive",OR(J3848="P2",J3848="P3",J3848="P4")),IF(OR(U3848=1,U3848="1"),"adequate","partial"),INDEX(Fit_Matrix!$B:$B,MATCH(P3848,Fit_Matrix!$A:$A,0)))),"CHECK KEY"))</f>
        <v/>
      </c>
      <c r="U3848" s="10"/>
      <c r="V3848" s="10"/>
      <c r="W3848" s="10"/>
      <c r="X3848" s="10"/>
      <c r="Y3848" s="10"/>
      <c r="Z3848" s="10"/>
      <c r="AA3848" s="11" t="str">
        <f t="shared" si="121"/>
        <v/>
      </c>
    </row>
    <row r="3849" spans="16:27" ht="15" customHeight="1">
      <c r="P3849" t="str">
        <f t="shared" si="120"/>
        <v/>
      </c>
      <c r="Q3849" t="str">
        <f>IF(P3849="","",IFERROR(IF(AND(H3849="W7",OR(F3849="causal",F3849="predictive")),IF(AND(OR(K3849=1,K3849="1"),OR(L3849=1,L3849="1"),OR(M3849=1,M3849="1")),"adequate","partial"),IF(AND(H3849="W4",F3849="predictive",OR(J3849="P2",J3849="P3",J3849="P4")),IF(OR(U3849=1,U3849="1"),"adequate","partial"),INDEX(Fit_Matrix!$B:$B,MATCH(P3849,Fit_Matrix!$A:$A,0)))),"CHECK KEY"))</f>
        <v/>
      </c>
      <c r="U3849" s="10"/>
      <c r="V3849" s="10"/>
      <c r="W3849" s="10"/>
      <c r="X3849" s="10"/>
      <c r="Y3849" s="10"/>
      <c r="Z3849" s="10"/>
      <c r="AA3849" s="11" t="str">
        <f t="shared" si="121"/>
        <v/>
      </c>
    </row>
    <row r="3850" spans="16:27" ht="15" customHeight="1">
      <c r="P3850" t="str">
        <f t="shared" si="120"/>
        <v/>
      </c>
      <c r="Q3850" t="str">
        <f>IF(P3850="","",IFERROR(IF(AND(H3850="W7",OR(F3850="causal",F3850="predictive")),IF(AND(OR(K3850=1,K3850="1"),OR(L3850=1,L3850="1"),OR(M3850=1,M3850="1")),"adequate","partial"),IF(AND(H3850="W4",F3850="predictive",OR(J3850="P2",J3850="P3",J3850="P4")),IF(OR(U3850=1,U3850="1"),"adequate","partial"),INDEX(Fit_Matrix!$B:$B,MATCH(P3850,Fit_Matrix!$A:$A,0)))),"CHECK KEY"))</f>
        <v/>
      </c>
      <c r="U3850" s="10"/>
      <c r="V3850" s="10"/>
      <c r="W3850" s="10"/>
      <c r="X3850" s="10"/>
      <c r="Y3850" s="10"/>
      <c r="Z3850" s="10"/>
      <c r="AA3850" s="11" t="str">
        <f t="shared" si="121"/>
        <v/>
      </c>
    </row>
    <row r="3851" spans="16:27" ht="15" customHeight="1">
      <c r="P3851" t="str">
        <f t="shared" si="120"/>
        <v/>
      </c>
      <c r="Q3851" t="str">
        <f>IF(P3851="","",IFERROR(IF(AND(H3851="W7",OR(F3851="causal",F3851="predictive")),IF(AND(OR(K3851=1,K3851="1"),OR(L3851=1,L3851="1"),OR(M3851=1,M3851="1")),"adequate","partial"),IF(AND(H3851="W4",F3851="predictive",OR(J3851="P2",J3851="P3",J3851="P4")),IF(OR(U3851=1,U3851="1"),"adequate","partial"),INDEX(Fit_Matrix!$B:$B,MATCH(P3851,Fit_Matrix!$A:$A,0)))),"CHECK KEY"))</f>
        <v/>
      </c>
      <c r="U3851" s="10"/>
      <c r="V3851" s="10"/>
      <c r="W3851" s="10"/>
      <c r="X3851" s="10"/>
      <c r="Y3851" s="10"/>
      <c r="Z3851" s="10"/>
      <c r="AA3851" s="11" t="str">
        <f t="shared" si="121"/>
        <v/>
      </c>
    </row>
    <row r="3852" spans="16:27" ht="15" customHeight="1">
      <c r="P3852" t="str">
        <f t="shared" si="120"/>
        <v/>
      </c>
      <c r="Q3852" t="str">
        <f>IF(P3852="","",IFERROR(IF(AND(H3852="W7",OR(F3852="causal",F3852="predictive")),IF(AND(OR(K3852=1,K3852="1"),OR(L3852=1,L3852="1"),OR(M3852=1,M3852="1")),"adequate","partial"),IF(AND(H3852="W4",F3852="predictive",OR(J3852="P2",J3852="P3",J3852="P4")),IF(OR(U3852=1,U3852="1"),"adequate","partial"),INDEX(Fit_Matrix!$B:$B,MATCH(P3852,Fit_Matrix!$A:$A,0)))),"CHECK KEY"))</f>
        <v/>
      </c>
      <c r="U3852" s="10"/>
      <c r="V3852" s="10"/>
      <c r="W3852" s="10"/>
      <c r="X3852" s="10"/>
      <c r="Y3852" s="10"/>
      <c r="Z3852" s="10"/>
      <c r="AA3852" s="11" t="str">
        <f t="shared" si="121"/>
        <v/>
      </c>
    </row>
    <row r="3853" spans="16:27" ht="15" customHeight="1">
      <c r="P3853" t="str">
        <f t="shared" si="120"/>
        <v/>
      </c>
      <c r="Q3853" t="str">
        <f>IF(P3853="","",IFERROR(IF(AND(H3853="W7",OR(F3853="causal",F3853="predictive")),IF(AND(OR(K3853=1,K3853="1"),OR(L3853=1,L3853="1"),OR(M3853=1,M3853="1")),"adequate","partial"),IF(AND(H3853="W4",F3853="predictive",OR(J3853="P2",J3853="P3",J3853="P4")),IF(OR(U3853=1,U3853="1"),"adequate","partial"),INDEX(Fit_Matrix!$B:$B,MATCH(P3853,Fit_Matrix!$A:$A,0)))),"CHECK KEY"))</f>
        <v/>
      </c>
      <c r="U3853" s="10"/>
      <c r="V3853" s="10"/>
      <c r="W3853" s="10"/>
      <c r="X3853" s="10"/>
      <c r="Y3853" s="10"/>
      <c r="Z3853" s="10"/>
      <c r="AA3853" s="11" t="str">
        <f t="shared" si="121"/>
        <v/>
      </c>
    </row>
    <row r="3854" spans="16:27" ht="15" customHeight="1">
      <c r="P3854" t="str">
        <f t="shared" si="120"/>
        <v/>
      </c>
      <c r="Q3854" t="str">
        <f>IF(P3854="","",IFERROR(IF(AND(H3854="W7",OR(F3854="causal",F3854="predictive")),IF(AND(OR(K3854=1,K3854="1"),OR(L3854=1,L3854="1"),OR(M3854=1,M3854="1")),"adequate","partial"),IF(AND(H3854="W4",F3854="predictive",OR(J3854="P2",J3854="P3",J3854="P4")),IF(OR(U3854=1,U3854="1"),"adequate","partial"),INDEX(Fit_Matrix!$B:$B,MATCH(P3854,Fit_Matrix!$A:$A,0)))),"CHECK KEY"))</f>
        <v/>
      </c>
      <c r="U3854" s="10"/>
      <c r="V3854" s="10"/>
      <c r="W3854" s="10"/>
      <c r="X3854" s="10"/>
      <c r="Y3854" s="10"/>
      <c r="Z3854" s="10"/>
      <c r="AA3854" s="11" t="str">
        <f t="shared" si="121"/>
        <v/>
      </c>
    </row>
    <row r="3855" spans="16:27" ht="15" customHeight="1">
      <c r="P3855" t="str">
        <f t="shared" si="120"/>
        <v/>
      </c>
      <c r="Q3855" t="str">
        <f>IF(P3855="","",IFERROR(IF(AND(H3855="W7",OR(F3855="causal",F3855="predictive")),IF(AND(OR(K3855=1,K3855="1"),OR(L3855=1,L3855="1"),OR(M3855=1,M3855="1")),"adequate","partial"),IF(AND(H3855="W4",F3855="predictive",OR(J3855="P2",J3855="P3",J3855="P4")),IF(OR(U3855=1,U3855="1"),"adequate","partial"),INDEX(Fit_Matrix!$B:$B,MATCH(P3855,Fit_Matrix!$A:$A,0)))),"CHECK KEY"))</f>
        <v/>
      </c>
      <c r="U3855" s="10"/>
      <c r="V3855" s="10"/>
      <c r="W3855" s="10"/>
      <c r="X3855" s="10"/>
      <c r="Y3855" s="10"/>
      <c r="Z3855" s="10"/>
      <c r="AA3855" s="11" t="str">
        <f t="shared" si="121"/>
        <v/>
      </c>
    </row>
    <row r="3856" spans="16:27" ht="15" customHeight="1">
      <c r="P3856" t="str">
        <f t="shared" si="120"/>
        <v/>
      </c>
      <c r="Q3856" t="str">
        <f>IF(P3856="","",IFERROR(IF(AND(H3856="W7",OR(F3856="causal",F3856="predictive")),IF(AND(OR(K3856=1,K3856="1"),OR(L3856=1,L3856="1"),OR(M3856=1,M3856="1")),"adequate","partial"),IF(AND(H3856="W4",F3856="predictive",OR(J3856="P2",J3856="P3",J3856="P4")),IF(OR(U3856=1,U3856="1"),"adequate","partial"),INDEX(Fit_Matrix!$B:$B,MATCH(P3856,Fit_Matrix!$A:$A,0)))),"CHECK KEY"))</f>
        <v/>
      </c>
      <c r="U3856" s="10"/>
      <c r="V3856" s="10"/>
      <c r="W3856" s="10"/>
      <c r="X3856" s="10"/>
      <c r="Y3856" s="10"/>
      <c r="Z3856" s="10"/>
      <c r="AA3856" s="11" t="str">
        <f t="shared" si="121"/>
        <v/>
      </c>
    </row>
    <row r="3857" spans="16:27" ht="15" customHeight="1">
      <c r="P3857" t="str">
        <f t="shared" si="120"/>
        <v/>
      </c>
      <c r="Q3857" t="str">
        <f>IF(P3857="","",IFERROR(IF(AND(H3857="W7",OR(F3857="causal",F3857="predictive")),IF(AND(OR(K3857=1,K3857="1"),OR(L3857=1,L3857="1"),OR(M3857=1,M3857="1")),"adequate","partial"),IF(AND(H3857="W4",F3857="predictive",OR(J3857="P2",J3857="P3",J3857="P4")),IF(OR(U3857=1,U3857="1"),"adequate","partial"),INDEX(Fit_Matrix!$B:$B,MATCH(P3857,Fit_Matrix!$A:$A,0)))),"CHECK KEY"))</f>
        <v/>
      </c>
      <c r="U3857" s="10"/>
      <c r="V3857" s="10"/>
      <c r="W3857" s="10"/>
      <c r="X3857" s="10"/>
      <c r="Y3857" s="10"/>
      <c r="Z3857" s="10"/>
      <c r="AA3857" s="11" t="str">
        <f t="shared" si="121"/>
        <v/>
      </c>
    </row>
    <row r="3858" spans="16:27" ht="15" customHeight="1">
      <c r="P3858" t="str">
        <f t="shared" si="120"/>
        <v/>
      </c>
      <c r="Q3858" t="str">
        <f>IF(P3858="","",IFERROR(IF(AND(H3858="W7",OR(F3858="causal",F3858="predictive")),IF(AND(OR(K3858=1,K3858="1"),OR(L3858=1,L3858="1"),OR(M3858=1,M3858="1")),"adequate","partial"),IF(AND(H3858="W4",F3858="predictive",OR(J3858="P2",J3858="P3",J3858="P4")),IF(OR(U3858=1,U3858="1"),"adequate","partial"),INDEX(Fit_Matrix!$B:$B,MATCH(P3858,Fit_Matrix!$A:$A,0)))),"CHECK KEY"))</f>
        <v/>
      </c>
      <c r="U3858" s="10"/>
      <c r="V3858" s="10"/>
      <c r="W3858" s="10"/>
      <c r="X3858" s="10"/>
      <c r="Y3858" s="10"/>
      <c r="Z3858" s="10"/>
      <c r="AA3858" s="11" t="str">
        <f t="shared" si="121"/>
        <v/>
      </c>
    </row>
    <row r="3859" spans="16:27" ht="15" customHeight="1">
      <c r="P3859" t="str">
        <f t="shared" si="120"/>
        <v/>
      </c>
      <c r="Q3859" t="str">
        <f>IF(P3859="","",IFERROR(IF(AND(H3859="W7",OR(F3859="causal",F3859="predictive")),IF(AND(OR(K3859=1,K3859="1"),OR(L3859=1,L3859="1"),OR(M3859=1,M3859="1")),"adequate","partial"),IF(AND(H3859="W4",F3859="predictive",OR(J3859="P2",J3859="P3",J3859="P4")),IF(OR(U3859=1,U3859="1"),"adequate","partial"),INDEX(Fit_Matrix!$B:$B,MATCH(P3859,Fit_Matrix!$A:$A,0)))),"CHECK KEY"))</f>
        <v/>
      </c>
      <c r="U3859" s="10"/>
      <c r="V3859" s="10"/>
      <c r="W3859" s="10"/>
      <c r="X3859" s="10"/>
      <c r="Y3859" s="10"/>
      <c r="Z3859" s="10"/>
      <c r="AA3859" s="11" t="str">
        <f t="shared" si="121"/>
        <v/>
      </c>
    </row>
    <row r="3860" spans="16:27" ht="15" customHeight="1">
      <c r="P3860" t="str">
        <f t="shared" si="120"/>
        <v/>
      </c>
      <c r="Q3860" t="str">
        <f>IF(P3860="","",IFERROR(IF(AND(H3860="W7",OR(F3860="causal",F3860="predictive")),IF(AND(OR(K3860=1,K3860="1"),OR(L3860=1,L3860="1"),OR(M3860=1,M3860="1")),"adequate","partial"),IF(AND(H3860="W4",F3860="predictive",OR(J3860="P2",J3860="P3",J3860="P4")),IF(OR(U3860=1,U3860="1"),"adequate","partial"),INDEX(Fit_Matrix!$B:$B,MATCH(P3860,Fit_Matrix!$A:$A,0)))),"CHECK KEY"))</f>
        <v/>
      </c>
      <c r="U3860" s="10"/>
      <c r="V3860" s="10"/>
      <c r="W3860" s="10"/>
      <c r="X3860" s="10"/>
      <c r="Y3860" s="10"/>
      <c r="Z3860" s="10"/>
      <c r="AA3860" s="11" t="str">
        <f t="shared" si="121"/>
        <v/>
      </c>
    </row>
    <row r="3861" spans="16:27" ht="15" customHeight="1">
      <c r="P3861" t="str">
        <f t="shared" si="120"/>
        <v/>
      </c>
      <c r="Q3861" t="str">
        <f>IF(P3861="","",IFERROR(IF(AND(H3861="W7",OR(F3861="causal",F3861="predictive")),IF(AND(OR(K3861=1,K3861="1"),OR(L3861=1,L3861="1"),OR(M3861=1,M3861="1")),"adequate","partial"),IF(AND(H3861="W4",F3861="predictive",OR(J3861="P2",J3861="P3",J3861="P4")),IF(OR(U3861=1,U3861="1"),"adequate","partial"),INDEX(Fit_Matrix!$B:$B,MATCH(P3861,Fit_Matrix!$A:$A,0)))),"CHECK KEY"))</f>
        <v/>
      </c>
      <c r="U3861" s="10"/>
      <c r="V3861" s="10"/>
      <c r="W3861" s="10"/>
      <c r="X3861" s="10"/>
      <c r="Y3861" s="10"/>
      <c r="Z3861" s="10"/>
      <c r="AA3861" s="11" t="str">
        <f t="shared" si="121"/>
        <v/>
      </c>
    </row>
    <row r="3862" spans="16:27" ht="15" customHeight="1">
      <c r="P3862" t="str">
        <f t="shared" si="120"/>
        <v/>
      </c>
      <c r="Q3862" t="str">
        <f>IF(P3862="","",IFERROR(IF(AND(H3862="W7",OR(F3862="causal",F3862="predictive")),IF(AND(OR(K3862=1,K3862="1"),OR(L3862=1,L3862="1"),OR(M3862=1,M3862="1")),"adequate","partial"),IF(AND(H3862="W4",F3862="predictive",OR(J3862="P2",J3862="P3",J3862="P4")),IF(OR(U3862=1,U3862="1"),"adequate","partial"),INDEX(Fit_Matrix!$B:$B,MATCH(P3862,Fit_Matrix!$A:$A,0)))),"CHECK KEY"))</f>
        <v/>
      </c>
      <c r="U3862" s="10"/>
      <c r="V3862" s="10"/>
      <c r="W3862" s="10"/>
      <c r="X3862" s="10"/>
      <c r="Y3862" s="10"/>
      <c r="Z3862" s="10"/>
      <c r="AA3862" s="11" t="str">
        <f t="shared" si="121"/>
        <v/>
      </c>
    </row>
    <row r="3863" spans="16:27" ht="15" customHeight="1">
      <c r="P3863" t="str">
        <f t="shared" si="120"/>
        <v/>
      </c>
      <c r="Q3863" t="str">
        <f>IF(P3863="","",IFERROR(IF(AND(H3863="W7",OR(F3863="causal",F3863="predictive")),IF(AND(OR(K3863=1,K3863="1"),OR(L3863=1,L3863="1"),OR(M3863=1,M3863="1")),"adequate","partial"),IF(AND(H3863="W4",F3863="predictive",OR(J3863="P2",J3863="P3",J3863="P4")),IF(OR(U3863=1,U3863="1"),"adequate","partial"),INDEX(Fit_Matrix!$B:$B,MATCH(P3863,Fit_Matrix!$A:$A,0)))),"CHECK KEY"))</f>
        <v/>
      </c>
      <c r="U3863" s="10"/>
      <c r="V3863" s="10"/>
      <c r="W3863" s="10"/>
      <c r="X3863" s="10"/>
      <c r="Y3863" s="10"/>
      <c r="Z3863" s="10"/>
      <c r="AA3863" s="11" t="str">
        <f t="shared" si="121"/>
        <v/>
      </c>
    </row>
    <row r="3864" spans="16:27" ht="15" customHeight="1">
      <c r="P3864" t="str">
        <f t="shared" si="120"/>
        <v/>
      </c>
      <c r="Q3864" t="str">
        <f>IF(P3864="","",IFERROR(IF(AND(H3864="W7",OR(F3864="causal",F3864="predictive")),IF(AND(OR(K3864=1,K3864="1"),OR(L3864=1,L3864="1"),OR(M3864=1,M3864="1")),"adequate","partial"),IF(AND(H3864="W4",F3864="predictive",OR(J3864="P2",J3864="P3",J3864="P4")),IF(OR(U3864=1,U3864="1"),"adequate","partial"),INDEX(Fit_Matrix!$B:$B,MATCH(P3864,Fit_Matrix!$A:$A,0)))),"CHECK KEY"))</f>
        <v/>
      </c>
      <c r="U3864" s="10"/>
      <c r="V3864" s="10"/>
      <c r="W3864" s="10"/>
      <c r="X3864" s="10"/>
      <c r="Y3864" s="10"/>
      <c r="Z3864" s="10"/>
      <c r="AA3864" s="11" t="str">
        <f t="shared" si="121"/>
        <v/>
      </c>
    </row>
    <row r="3865" spans="16:27" ht="15" customHeight="1">
      <c r="P3865" t="str">
        <f t="shared" si="120"/>
        <v/>
      </c>
      <c r="Q3865" t="str">
        <f>IF(P3865="","",IFERROR(IF(AND(H3865="W7",OR(F3865="causal",F3865="predictive")),IF(AND(OR(K3865=1,K3865="1"),OR(L3865=1,L3865="1"),OR(M3865=1,M3865="1")),"adequate","partial"),IF(AND(H3865="W4",F3865="predictive",OR(J3865="P2",J3865="P3",J3865="P4")),IF(OR(U3865=1,U3865="1"),"adequate","partial"),INDEX(Fit_Matrix!$B:$B,MATCH(P3865,Fit_Matrix!$A:$A,0)))),"CHECK KEY"))</f>
        <v/>
      </c>
      <c r="U3865" s="10"/>
      <c r="V3865" s="10"/>
      <c r="W3865" s="10"/>
      <c r="X3865" s="10"/>
      <c r="Y3865" s="10"/>
      <c r="Z3865" s="10"/>
      <c r="AA3865" s="11" t="str">
        <f t="shared" si="121"/>
        <v/>
      </c>
    </row>
    <row r="3866" spans="16:27" ht="15" customHeight="1">
      <c r="P3866" t="str">
        <f t="shared" si="120"/>
        <v/>
      </c>
      <c r="Q3866" t="str">
        <f>IF(P3866="","",IFERROR(IF(AND(H3866="W7",OR(F3866="causal",F3866="predictive")),IF(AND(OR(K3866=1,K3866="1"),OR(L3866=1,L3866="1"),OR(M3866=1,M3866="1")),"adequate","partial"),IF(AND(H3866="W4",F3866="predictive",OR(J3866="P2",J3866="P3",J3866="P4")),IF(OR(U3866=1,U3866="1"),"adequate","partial"),INDEX(Fit_Matrix!$B:$B,MATCH(P3866,Fit_Matrix!$A:$A,0)))),"CHECK KEY"))</f>
        <v/>
      </c>
      <c r="U3866" s="10"/>
      <c r="V3866" s="10"/>
      <c r="W3866" s="10"/>
      <c r="X3866" s="10"/>
      <c r="Y3866" s="10"/>
      <c r="Z3866" s="10"/>
      <c r="AA3866" s="11" t="str">
        <f t="shared" si="121"/>
        <v/>
      </c>
    </row>
    <row r="3867" spans="16:27" ht="15" customHeight="1">
      <c r="P3867" t="str">
        <f t="shared" si="120"/>
        <v/>
      </c>
      <c r="Q3867" t="str">
        <f>IF(P3867="","",IFERROR(IF(AND(H3867="W7",OR(F3867="causal",F3867="predictive")),IF(AND(OR(K3867=1,K3867="1"),OR(L3867=1,L3867="1"),OR(M3867=1,M3867="1")),"adequate","partial"),IF(AND(H3867="W4",F3867="predictive",OR(J3867="P2",J3867="P3",J3867="P4")),IF(OR(U3867=1,U3867="1"),"adequate","partial"),INDEX(Fit_Matrix!$B:$B,MATCH(P3867,Fit_Matrix!$A:$A,0)))),"CHECK KEY"))</f>
        <v/>
      </c>
      <c r="U3867" s="10"/>
      <c r="V3867" s="10"/>
      <c r="W3867" s="10"/>
      <c r="X3867" s="10"/>
      <c r="Y3867" s="10"/>
      <c r="Z3867" s="10"/>
      <c r="AA3867" s="11" t="str">
        <f t="shared" si="121"/>
        <v/>
      </c>
    </row>
    <row r="3868" spans="16:27" ht="15" customHeight="1">
      <c r="P3868" t="str">
        <f t="shared" si="120"/>
        <v/>
      </c>
      <c r="Q3868" t="str">
        <f>IF(P3868="","",IFERROR(IF(AND(H3868="W7",OR(F3868="causal",F3868="predictive")),IF(AND(OR(K3868=1,K3868="1"),OR(L3868=1,L3868="1"),OR(M3868=1,M3868="1")),"adequate","partial"),IF(AND(H3868="W4",F3868="predictive",OR(J3868="P2",J3868="P3",J3868="P4")),IF(OR(U3868=1,U3868="1"),"adequate","partial"),INDEX(Fit_Matrix!$B:$B,MATCH(P3868,Fit_Matrix!$A:$A,0)))),"CHECK KEY"))</f>
        <v/>
      </c>
      <c r="U3868" s="10"/>
      <c r="V3868" s="10"/>
      <c r="W3868" s="10"/>
      <c r="X3868" s="10"/>
      <c r="Y3868" s="10"/>
      <c r="Z3868" s="10"/>
      <c r="AA3868" s="11" t="str">
        <f t="shared" si="121"/>
        <v/>
      </c>
    </row>
    <row r="3869" spans="16:27" ht="15" customHeight="1">
      <c r="P3869" t="str">
        <f t="shared" si="120"/>
        <v/>
      </c>
      <c r="Q3869" t="str">
        <f>IF(P3869="","",IFERROR(IF(AND(H3869="W7",OR(F3869="causal",F3869="predictive")),IF(AND(OR(K3869=1,K3869="1"),OR(L3869=1,L3869="1"),OR(M3869=1,M3869="1")),"adequate","partial"),IF(AND(H3869="W4",F3869="predictive",OR(J3869="P2",J3869="P3",J3869="P4")),IF(OR(U3869=1,U3869="1"),"adequate","partial"),INDEX(Fit_Matrix!$B:$B,MATCH(P3869,Fit_Matrix!$A:$A,0)))),"CHECK KEY"))</f>
        <v/>
      </c>
      <c r="U3869" s="10"/>
      <c r="V3869" s="10"/>
      <c r="W3869" s="10"/>
      <c r="X3869" s="10"/>
      <c r="Y3869" s="10"/>
      <c r="Z3869" s="10"/>
      <c r="AA3869" s="11" t="str">
        <f t="shared" si="121"/>
        <v/>
      </c>
    </row>
    <row r="3870" spans="16:27" ht="15" customHeight="1">
      <c r="P3870" t="str">
        <f t="shared" si="120"/>
        <v/>
      </c>
      <c r="Q3870" t="str">
        <f>IF(P3870="","",IFERROR(IF(AND(H3870="W7",OR(F3870="causal",F3870="predictive")),IF(AND(OR(K3870=1,K3870="1"),OR(L3870=1,L3870="1"),OR(M3870=1,M3870="1")),"adequate","partial"),IF(AND(H3870="W4",F3870="predictive",OR(J3870="P2",J3870="P3",J3870="P4")),IF(OR(U3870=1,U3870="1"),"adequate","partial"),INDEX(Fit_Matrix!$B:$B,MATCH(P3870,Fit_Matrix!$A:$A,0)))),"CHECK KEY"))</f>
        <v/>
      </c>
      <c r="U3870" s="10"/>
      <c r="V3870" s="10"/>
      <c r="W3870" s="10"/>
      <c r="X3870" s="10"/>
      <c r="Y3870" s="10"/>
      <c r="Z3870" s="10"/>
      <c r="AA3870" s="11" t="str">
        <f t="shared" si="121"/>
        <v/>
      </c>
    </row>
    <row r="3871" spans="16:27" ht="15" customHeight="1">
      <c r="P3871" t="str">
        <f t="shared" si="120"/>
        <v/>
      </c>
      <c r="Q3871" t="str">
        <f>IF(P3871="","",IFERROR(IF(AND(H3871="W7",OR(F3871="causal",F3871="predictive")),IF(AND(OR(K3871=1,K3871="1"),OR(L3871=1,L3871="1"),OR(M3871=1,M3871="1")),"adequate","partial"),IF(AND(H3871="W4",F3871="predictive",OR(J3871="P2",J3871="P3",J3871="P4")),IF(OR(U3871=1,U3871="1"),"adequate","partial"),INDEX(Fit_Matrix!$B:$B,MATCH(P3871,Fit_Matrix!$A:$A,0)))),"CHECK KEY"))</f>
        <v/>
      </c>
      <c r="U3871" s="10"/>
      <c r="V3871" s="10"/>
      <c r="W3871" s="10"/>
      <c r="X3871" s="10"/>
      <c r="Y3871" s="10"/>
      <c r="Z3871" s="10"/>
      <c r="AA3871" s="11" t="str">
        <f t="shared" si="121"/>
        <v/>
      </c>
    </row>
    <row r="3872" spans="16:27" ht="15" customHeight="1">
      <c r="P3872" t="str">
        <f t="shared" si="120"/>
        <v/>
      </c>
      <c r="Q3872" t="str">
        <f>IF(P3872="","",IFERROR(IF(AND(H3872="W7",OR(F3872="causal",F3872="predictive")),IF(AND(OR(K3872=1,K3872="1"),OR(L3872=1,L3872="1"),OR(M3872=1,M3872="1")),"adequate","partial"),IF(AND(H3872="W4",F3872="predictive",OR(J3872="P2",J3872="P3",J3872="P4")),IF(OR(U3872=1,U3872="1"),"adequate","partial"),INDEX(Fit_Matrix!$B:$B,MATCH(P3872,Fit_Matrix!$A:$A,0)))),"CHECK KEY"))</f>
        <v/>
      </c>
      <c r="U3872" s="10"/>
      <c r="V3872" s="10"/>
      <c r="W3872" s="10"/>
      <c r="X3872" s="10"/>
      <c r="Y3872" s="10"/>
      <c r="Z3872" s="10"/>
      <c r="AA3872" s="11" t="str">
        <f t="shared" si="121"/>
        <v/>
      </c>
    </row>
    <row r="3873" spans="16:27" ht="15" customHeight="1">
      <c r="P3873" t="str">
        <f t="shared" si="120"/>
        <v/>
      </c>
      <c r="Q3873" t="str">
        <f>IF(P3873="","",IFERROR(IF(AND(H3873="W7",OR(F3873="causal",F3873="predictive")),IF(AND(OR(K3873=1,K3873="1"),OR(L3873=1,L3873="1"),OR(M3873=1,M3873="1")),"adequate","partial"),IF(AND(H3873="W4",F3873="predictive",OR(J3873="P2",J3873="P3",J3873="P4")),IF(OR(U3873=1,U3873="1"),"adequate","partial"),INDEX(Fit_Matrix!$B:$B,MATCH(P3873,Fit_Matrix!$A:$A,0)))),"CHECK KEY"))</f>
        <v/>
      </c>
      <c r="U3873" s="10"/>
      <c r="V3873" s="10"/>
      <c r="W3873" s="10"/>
      <c r="X3873" s="10"/>
      <c r="Y3873" s="10"/>
      <c r="Z3873" s="10"/>
      <c r="AA3873" s="11" t="str">
        <f t="shared" si="121"/>
        <v/>
      </c>
    </row>
    <row r="3874" spans="16:27" ht="15" customHeight="1">
      <c r="P3874" t="str">
        <f t="shared" si="120"/>
        <v/>
      </c>
      <c r="Q3874" t="str">
        <f>IF(P3874="","",IFERROR(IF(AND(H3874="W7",OR(F3874="causal",F3874="predictive")),IF(AND(OR(K3874=1,K3874="1"),OR(L3874=1,L3874="1"),OR(M3874=1,M3874="1")),"adequate","partial"),IF(AND(H3874="W4",F3874="predictive",OR(J3874="P2",J3874="P3",J3874="P4")),IF(OR(U3874=1,U3874="1"),"adequate","partial"),INDEX(Fit_Matrix!$B:$B,MATCH(P3874,Fit_Matrix!$A:$A,0)))),"CHECK KEY"))</f>
        <v/>
      </c>
      <c r="U3874" s="10"/>
      <c r="V3874" s="10"/>
      <c r="W3874" s="10"/>
      <c r="X3874" s="10"/>
      <c r="Y3874" s="10"/>
      <c r="Z3874" s="10"/>
      <c r="AA3874" s="11" t="str">
        <f t="shared" si="121"/>
        <v/>
      </c>
    </row>
    <row r="3875" spans="16:27" ht="15" customHeight="1">
      <c r="P3875" t="str">
        <f t="shared" si="120"/>
        <v/>
      </c>
      <c r="Q3875" t="str">
        <f>IF(P3875="","",IFERROR(IF(AND(H3875="W7",OR(F3875="causal",F3875="predictive")),IF(AND(OR(K3875=1,K3875="1"),OR(L3875=1,L3875="1"),OR(M3875=1,M3875="1")),"adequate","partial"),IF(AND(H3875="W4",F3875="predictive",OR(J3875="P2",J3875="P3",J3875="P4")),IF(OR(U3875=1,U3875="1"),"adequate","partial"),INDEX(Fit_Matrix!$B:$B,MATCH(P3875,Fit_Matrix!$A:$A,0)))),"CHECK KEY"))</f>
        <v/>
      </c>
      <c r="U3875" s="10"/>
      <c r="V3875" s="10"/>
      <c r="W3875" s="10"/>
      <c r="X3875" s="10"/>
      <c r="Y3875" s="10"/>
      <c r="Z3875" s="10"/>
      <c r="AA3875" s="11" t="str">
        <f t="shared" si="121"/>
        <v/>
      </c>
    </row>
    <row r="3876" spans="16:27" ht="15" customHeight="1">
      <c r="P3876" t="str">
        <f t="shared" si="120"/>
        <v/>
      </c>
      <c r="Q3876" t="str">
        <f>IF(P3876="","",IFERROR(IF(AND(H3876="W7",OR(F3876="causal",F3876="predictive")),IF(AND(OR(K3876=1,K3876="1"),OR(L3876=1,L3876="1"),OR(M3876=1,M3876="1")),"adequate","partial"),IF(AND(H3876="W4",F3876="predictive",OR(J3876="P2",J3876="P3",J3876="P4")),IF(OR(U3876=1,U3876="1"),"adequate","partial"),INDEX(Fit_Matrix!$B:$B,MATCH(P3876,Fit_Matrix!$A:$A,0)))),"CHECK KEY"))</f>
        <v/>
      </c>
      <c r="U3876" s="10"/>
      <c r="V3876" s="10"/>
      <c r="W3876" s="10"/>
      <c r="X3876" s="10"/>
      <c r="Y3876" s="10"/>
      <c r="Z3876" s="10"/>
      <c r="AA3876" s="11" t="str">
        <f t="shared" si="121"/>
        <v/>
      </c>
    </row>
    <row r="3877" spans="16:27" ht="15" customHeight="1">
      <c r="P3877" t="str">
        <f t="shared" si="120"/>
        <v/>
      </c>
      <c r="Q3877" t="str">
        <f>IF(P3877="","",IFERROR(IF(AND(H3877="W7",OR(F3877="causal",F3877="predictive")),IF(AND(OR(K3877=1,K3877="1"),OR(L3877=1,L3877="1"),OR(M3877=1,M3877="1")),"adequate","partial"),IF(AND(H3877="W4",F3877="predictive",OR(J3877="P2",J3877="P3",J3877="P4")),IF(OR(U3877=1,U3877="1"),"adequate","partial"),INDEX(Fit_Matrix!$B:$B,MATCH(P3877,Fit_Matrix!$A:$A,0)))),"CHECK KEY"))</f>
        <v/>
      </c>
      <c r="U3877" s="10"/>
      <c r="V3877" s="10"/>
      <c r="W3877" s="10"/>
      <c r="X3877" s="10"/>
      <c r="Y3877" s="10"/>
      <c r="Z3877" s="10"/>
      <c r="AA3877" s="11" t="str">
        <f t="shared" si="121"/>
        <v/>
      </c>
    </row>
    <row r="3878" spans="16:27" ht="15" customHeight="1">
      <c r="P3878" t="str">
        <f t="shared" si="120"/>
        <v/>
      </c>
      <c r="Q3878" t="str">
        <f>IF(P3878="","",IFERROR(IF(AND(H3878="W7",OR(F3878="causal",F3878="predictive")),IF(AND(OR(K3878=1,K3878="1"),OR(L3878=1,L3878="1"),OR(M3878=1,M3878="1")),"adequate","partial"),IF(AND(H3878="W4",F3878="predictive",OR(J3878="P2",J3878="P3",J3878="P4")),IF(OR(U3878=1,U3878="1"),"adequate","partial"),INDEX(Fit_Matrix!$B:$B,MATCH(P3878,Fit_Matrix!$A:$A,0)))),"CHECK KEY"))</f>
        <v/>
      </c>
      <c r="U3878" s="10"/>
      <c r="V3878" s="10"/>
      <c r="W3878" s="10"/>
      <c r="X3878" s="10"/>
      <c r="Y3878" s="10"/>
      <c r="Z3878" s="10"/>
      <c r="AA3878" s="11" t="str">
        <f t="shared" si="121"/>
        <v/>
      </c>
    </row>
    <row r="3879" spans="16:27" ht="15" customHeight="1">
      <c r="P3879" t="str">
        <f t="shared" si="120"/>
        <v/>
      </c>
      <c r="Q3879" t="str">
        <f>IF(P3879="","",IFERROR(IF(AND(H3879="W7",OR(F3879="causal",F3879="predictive")),IF(AND(OR(K3879=1,K3879="1"),OR(L3879=1,L3879="1"),OR(M3879=1,M3879="1")),"adequate","partial"),IF(AND(H3879="W4",F3879="predictive",OR(J3879="P2",J3879="P3",J3879="P4")),IF(OR(U3879=1,U3879="1"),"adequate","partial"),INDEX(Fit_Matrix!$B:$B,MATCH(P3879,Fit_Matrix!$A:$A,0)))),"CHECK KEY"))</f>
        <v/>
      </c>
      <c r="U3879" s="10"/>
      <c r="V3879" s="10"/>
      <c r="W3879" s="10"/>
      <c r="X3879" s="10"/>
      <c r="Y3879" s="10"/>
      <c r="Z3879" s="10"/>
      <c r="AA3879" s="11" t="str">
        <f t="shared" si="121"/>
        <v/>
      </c>
    </row>
    <row r="3880" spans="16:27" ht="15" customHeight="1">
      <c r="P3880" t="str">
        <f t="shared" si="120"/>
        <v/>
      </c>
      <c r="Q3880" t="str">
        <f>IF(P3880="","",IFERROR(IF(AND(H3880="W7",OR(F3880="causal",F3880="predictive")),IF(AND(OR(K3880=1,K3880="1"),OR(L3880=1,L3880="1"),OR(M3880=1,M3880="1")),"adequate","partial"),IF(AND(H3880="W4",F3880="predictive",OR(J3880="P2",J3880="P3",J3880="P4")),IF(OR(U3880=1,U3880="1"),"adequate","partial"),INDEX(Fit_Matrix!$B:$B,MATCH(P3880,Fit_Matrix!$A:$A,0)))),"CHECK KEY"))</f>
        <v/>
      </c>
      <c r="U3880" s="10"/>
      <c r="V3880" s="10"/>
      <c r="W3880" s="10"/>
      <c r="X3880" s="10"/>
      <c r="Y3880" s="10"/>
      <c r="Z3880" s="10"/>
      <c r="AA3880" s="11" t="str">
        <f t="shared" si="121"/>
        <v/>
      </c>
    </row>
    <row r="3881" spans="16:27" ht="15" customHeight="1">
      <c r="P3881" t="str">
        <f t="shared" si="120"/>
        <v/>
      </c>
      <c r="Q3881" t="str">
        <f>IF(P3881="","",IFERROR(IF(AND(H3881="W7",OR(F3881="causal",F3881="predictive")),IF(AND(OR(K3881=1,K3881="1"),OR(L3881=1,L3881="1"),OR(M3881=1,M3881="1")),"adequate","partial"),IF(AND(H3881="W4",F3881="predictive",OR(J3881="P2",J3881="P3",J3881="P4")),IF(OR(U3881=1,U3881="1"),"adequate","partial"),INDEX(Fit_Matrix!$B:$B,MATCH(P3881,Fit_Matrix!$A:$A,0)))),"CHECK KEY"))</f>
        <v/>
      </c>
      <c r="U3881" s="10"/>
      <c r="V3881" s="10"/>
      <c r="W3881" s="10"/>
      <c r="X3881" s="10"/>
      <c r="Y3881" s="10"/>
      <c r="Z3881" s="10"/>
      <c r="AA3881" s="11" t="str">
        <f t="shared" si="121"/>
        <v/>
      </c>
    </row>
    <row r="3882" spans="16:27" ht="15" customHeight="1">
      <c r="P3882" t="str">
        <f t="shared" si="120"/>
        <v/>
      </c>
      <c r="Q3882" t="str">
        <f>IF(P3882="","",IFERROR(IF(AND(H3882="W7",OR(F3882="causal",F3882="predictive")),IF(AND(OR(K3882=1,K3882="1"),OR(L3882=1,L3882="1"),OR(M3882=1,M3882="1")),"adequate","partial"),IF(AND(H3882="W4",F3882="predictive",OR(J3882="P2",J3882="P3",J3882="P4")),IF(OR(U3882=1,U3882="1"),"adequate","partial"),INDEX(Fit_Matrix!$B:$B,MATCH(P3882,Fit_Matrix!$A:$A,0)))),"CHECK KEY"))</f>
        <v/>
      </c>
      <c r="U3882" s="10"/>
      <c r="V3882" s="10"/>
      <c r="W3882" s="10"/>
      <c r="X3882" s="10"/>
      <c r="Y3882" s="10"/>
      <c r="Z3882" s="10"/>
      <c r="AA3882" s="11" t="str">
        <f t="shared" si="121"/>
        <v/>
      </c>
    </row>
    <row r="3883" spans="16:27" ht="15" customHeight="1">
      <c r="P3883" t="str">
        <f t="shared" si="120"/>
        <v/>
      </c>
      <c r="Q3883" t="str">
        <f>IF(P3883="","",IFERROR(IF(AND(H3883="W7",OR(F3883="causal",F3883="predictive")),IF(AND(OR(K3883=1,K3883="1"),OR(L3883=1,L3883="1"),OR(M3883=1,M3883="1")),"adequate","partial"),IF(AND(H3883="W4",F3883="predictive",OR(J3883="P2",J3883="P3",J3883="P4")),IF(OR(U3883=1,U3883="1"),"adequate","partial"),INDEX(Fit_Matrix!$B:$B,MATCH(P3883,Fit_Matrix!$A:$A,0)))),"CHECK KEY"))</f>
        <v/>
      </c>
      <c r="U3883" s="10"/>
      <c r="V3883" s="10"/>
      <c r="W3883" s="10"/>
      <c r="X3883" s="10"/>
      <c r="Y3883" s="10"/>
      <c r="Z3883" s="10"/>
      <c r="AA3883" s="11" t="str">
        <f t="shared" si="121"/>
        <v/>
      </c>
    </row>
    <row r="3884" spans="16:27" ht="15" customHeight="1">
      <c r="P3884" t="str">
        <f t="shared" si="120"/>
        <v/>
      </c>
      <c r="Q3884" t="str">
        <f>IF(P3884="","",IFERROR(IF(AND(H3884="W7",OR(F3884="causal",F3884="predictive")),IF(AND(OR(K3884=1,K3884="1"),OR(L3884=1,L3884="1"),OR(M3884=1,M3884="1")),"adequate","partial"),IF(AND(H3884="W4",F3884="predictive",OR(J3884="P2",J3884="P3",J3884="P4")),IF(OR(U3884=1,U3884="1"),"adequate","partial"),INDEX(Fit_Matrix!$B:$B,MATCH(P3884,Fit_Matrix!$A:$A,0)))),"CHECK KEY"))</f>
        <v/>
      </c>
      <c r="U3884" s="10"/>
      <c r="V3884" s="10"/>
      <c r="W3884" s="10"/>
      <c r="X3884" s="10"/>
      <c r="Y3884" s="10"/>
      <c r="Z3884" s="10"/>
      <c r="AA3884" s="11" t="str">
        <f t="shared" si="121"/>
        <v/>
      </c>
    </row>
    <row r="3885" spans="16:27" ht="15" customHeight="1">
      <c r="P3885" t="str">
        <f t="shared" si="120"/>
        <v/>
      </c>
      <c r="Q3885" t="str">
        <f>IF(P3885="","",IFERROR(IF(AND(H3885="W7",OR(F3885="causal",F3885="predictive")),IF(AND(OR(K3885=1,K3885="1"),OR(L3885=1,L3885="1"),OR(M3885=1,M3885="1")),"adequate","partial"),IF(AND(H3885="W4",F3885="predictive",OR(J3885="P2",J3885="P3",J3885="P4")),IF(OR(U3885=1,U3885="1"),"adequate","partial"),INDEX(Fit_Matrix!$B:$B,MATCH(P3885,Fit_Matrix!$A:$A,0)))),"CHECK KEY"))</f>
        <v/>
      </c>
      <c r="U3885" s="10"/>
      <c r="V3885" s="10"/>
      <c r="W3885" s="10"/>
      <c r="X3885" s="10"/>
      <c r="Y3885" s="10"/>
      <c r="Z3885" s="10"/>
      <c r="AA3885" s="11" t="str">
        <f t="shared" si="121"/>
        <v/>
      </c>
    </row>
    <row r="3886" spans="16:27" ht="15" customHeight="1">
      <c r="P3886" t="str">
        <f t="shared" si="120"/>
        <v/>
      </c>
      <c r="Q3886" t="str">
        <f>IF(P3886="","",IFERROR(IF(AND(H3886="W7",OR(F3886="causal",F3886="predictive")),IF(AND(OR(K3886=1,K3886="1"),OR(L3886=1,L3886="1"),OR(M3886=1,M3886="1")),"adequate","partial"),IF(AND(H3886="W4",F3886="predictive",OR(J3886="P2",J3886="P3",J3886="P4")),IF(OR(U3886=1,U3886="1"),"adequate","partial"),INDEX(Fit_Matrix!$B:$B,MATCH(P3886,Fit_Matrix!$A:$A,0)))),"CHECK KEY"))</f>
        <v/>
      </c>
      <c r="U3886" s="10"/>
      <c r="V3886" s="10"/>
      <c r="W3886" s="10"/>
      <c r="X3886" s="10"/>
      <c r="Y3886" s="10"/>
      <c r="Z3886" s="10"/>
      <c r="AA3886" s="11" t="str">
        <f t="shared" si="121"/>
        <v/>
      </c>
    </row>
    <row r="3887" spans="16:27" ht="15" customHeight="1">
      <c r="P3887" t="str">
        <f t="shared" si="120"/>
        <v/>
      </c>
      <c r="Q3887" t="str">
        <f>IF(P3887="","",IFERROR(IF(AND(H3887="W7",OR(F3887="causal",F3887="predictive")),IF(AND(OR(K3887=1,K3887="1"),OR(L3887=1,L3887="1"),OR(M3887=1,M3887="1")),"adequate","partial"),IF(AND(H3887="W4",F3887="predictive",OR(J3887="P2",J3887="P3",J3887="P4")),IF(OR(U3887=1,U3887="1"),"adequate","partial"),INDEX(Fit_Matrix!$B:$B,MATCH(P3887,Fit_Matrix!$A:$A,0)))),"CHECK KEY"))</f>
        <v/>
      </c>
      <c r="U3887" s="10"/>
      <c r="V3887" s="10"/>
      <c r="W3887" s="10"/>
      <c r="X3887" s="10"/>
      <c r="Y3887" s="10"/>
      <c r="Z3887" s="10"/>
      <c r="AA3887" s="11" t="str">
        <f t="shared" si="121"/>
        <v/>
      </c>
    </row>
    <row r="3888" spans="16:27" ht="15" customHeight="1">
      <c r="P3888" t="str">
        <f t="shared" si="120"/>
        <v/>
      </c>
      <c r="Q3888" t="str">
        <f>IF(P3888="","",IFERROR(IF(AND(H3888="W7",OR(F3888="causal",F3888="predictive")),IF(AND(OR(K3888=1,K3888="1"),OR(L3888=1,L3888="1"),OR(M3888=1,M3888="1")),"adequate","partial"),IF(AND(H3888="W4",F3888="predictive",OR(J3888="P2",J3888="P3",J3888="P4")),IF(OR(U3888=1,U3888="1"),"adequate","partial"),INDEX(Fit_Matrix!$B:$B,MATCH(P3888,Fit_Matrix!$A:$A,0)))),"CHECK KEY"))</f>
        <v/>
      </c>
      <c r="U3888" s="10"/>
      <c r="V3888" s="10"/>
      <c r="W3888" s="10"/>
      <c r="X3888" s="10"/>
      <c r="Y3888" s="10"/>
      <c r="Z3888" s="10"/>
      <c r="AA3888" s="11" t="str">
        <f t="shared" si="121"/>
        <v/>
      </c>
    </row>
    <row r="3889" spans="16:27" ht="15" customHeight="1">
      <c r="P3889" t="str">
        <f t="shared" si="120"/>
        <v/>
      </c>
      <c r="Q3889" t="str">
        <f>IF(P3889="","",IFERROR(IF(AND(H3889="W7",OR(F3889="causal",F3889="predictive")),IF(AND(OR(K3889=1,K3889="1"),OR(L3889=1,L3889="1"),OR(M3889=1,M3889="1")),"adequate","partial"),IF(AND(H3889="W4",F3889="predictive",OR(J3889="P2",J3889="P3",J3889="P4")),IF(OR(U3889=1,U3889="1"),"adequate","partial"),INDEX(Fit_Matrix!$B:$B,MATCH(P3889,Fit_Matrix!$A:$A,0)))),"CHECK KEY"))</f>
        <v/>
      </c>
      <c r="U3889" s="10"/>
      <c r="V3889" s="10"/>
      <c r="W3889" s="10"/>
      <c r="X3889" s="10"/>
      <c r="Y3889" s="10"/>
      <c r="Z3889" s="10"/>
      <c r="AA3889" s="11" t="str">
        <f t="shared" si="121"/>
        <v/>
      </c>
    </row>
    <row r="3890" spans="16:27" ht="15" customHeight="1">
      <c r="P3890" t="str">
        <f t="shared" si="120"/>
        <v/>
      </c>
      <c r="Q3890" t="str">
        <f>IF(P3890="","",IFERROR(IF(AND(H3890="W7",OR(F3890="causal",F3890="predictive")),IF(AND(OR(K3890=1,K3890="1"),OR(L3890=1,L3890="1"),OR(M3890=1,M3890="1")),"adequate","partial"),IF(AND(H3890="W4",F3890="predictive",OR(J3890="P2",J3890="P3",J3890="P4")),IF(OR(U3890=1,U3890="1"),"adequate","partial"),INDEX(Fit_Matrix!$B:$B,MATCH(P3890,Fit_Matrix!$A:$A,0)))),"CHECK KEY"))</f>
        <v/>
      </c>
      <c r="U3890" s="10"/>
      <c r="V3890" s="10"/>
      <c r="W3890" s="10"/>
      <c r="X3890" s="10"/>
      <c r="Y3890" s="10"/>
      <c r="Z3890" s="10"/>
      <c r="AA3890" s="11" t="str">
        <f t="shared" si="121"/>
        <v/>
      </c>
    </row>
    <row r="3891" spans="16:27" ht="15" customHeight="1">
      <c r="P3891" t="str">
        <f t="shared" si="120"/>
        <v/>
      </c>
      <c r="Q3891" t="str">
        <f>IF(P3891="","",IFERROR(IF(AND(H3891="W7",OR(F3891="causal",F3891="predictive")),IF(AND(OR(K3891=1,K3891="1"),OR(L3891=1,L3891="1"),OR(M3891=1,M3891="1")),"adequate","partial"),IF(AND(H3891="W4",F3891="predictive",OR(J3891="P2",J3891="P3",J3891="P4")),IF(OR(U3891=1,U3891="1"),"adequate","partial"),INDEX(Fit_Matrix!$B:$B,MATCH(P3891,Fit_Matrix!$A:$A,0)))),"CHECK KEY"))</f>
        <v/>
      </c>
      <c r="U3891" s="10"/>
      <c r="V3891" s="10"/>
      <c r="W3891" s="10"/>
      <c r="X3891" s="10"/>
      <c r="Y3891" s="10"/>
      <c r="Z3891" s="10"/>
      <c r="AA3891" s="11" t="str">
        <f t="shared" si="121"/>
        <v/>
      </c>
    </row>
    <row r="3892" spans="16:27" ht="15" customHeight="1">
      <c r="P3892" t="str">
        <f t="shared" si="120"/>
        <v/>
      </c>
      <c r="Q3892" t="str">
        <f>IF(P3892="","",IFERROR(IF(AND(H3892="W7",OR(F3892="causal",F3892="predictive")),IF(AND(OR(K3892=1,K3892="1"),OR(L3892=1,L3892="1"),OR(M3892=1,M3892="1")),"adequate","partial"),IF(AND(H3892="W4",F3892="predictive",OR(J3892="P2",J3892="P3",J3892="P4")),IF(OR(U3892=1,U3892="1"),"adequate","partial"),INDEX(Fit_Matrix!$B:$B,MATCH(P3892,Fit_Matrix!$A:$A,0)))),"CHECK KEY"))</f>
        <v/>
      </c>
      <c r="U3892" s="10"/>
      <c r="V3892" s="10"/>
      <c r="W3892" s="10"/>
      <c r="X3892" s="10"/>
      <c r="Y3892" s="10"/>
      <c r="Z3892" s="10"/>
      <c r="AA3892" s="11" t="str">
        <f t="shared" si="121"/>
        <v/>
      </c>
    </row>
    <row r="3893" spans="16:27" ht="15" customHeight="1">
      <c r="P3893" t="str">
        <f t="shared" si="120"/>
        <v/>
      </c>
      <c r="Q3893" t="str">
        <f>IF(P3893="","",IFERROR(IF(AND(H3893="W7",OR(F3893="causal",F3893="predictive")),IF(AND(OR(K3893=1,K3893="1"),OR(L3893=1,L3893="1"),OR(M3893=1,M3893="1")),"adequate","partial"),IF(AND(H3893="W4",F3893="predictive",OR(J3893="P2",J3893="P3",J3893="P4")),IF(OR(U3893=1,U3893="1"),"adequate","partial"),INDEX(Fit_Matrix!$B:$B,MATCH(P3893,Fit_Matrix!$A:$A,0)))),"CHECK KEY"))</f>
        <v/>
      </c>
      <c r="U3893" s="10"/>
      <c r="V3893" s="10"/>
      <c r="W3893" s="10"/>
      <c r="X3893" s="10"/>
      <c r="Y3893" s="10"/>
      <c r="Z3893" s="10"/>
      <c r="AA3893" s="11" t="str">
        <f t="shared" si="121"/>
        <v/>
      </c>
    </row>
    <row r="3894" spans="16:27" ht="15" customHeight="1">
      <c r="P3894" t="str">
        <f t="shared" si="120"/>
        <v/>
      </c>
      <c r="Q3894" t="str">
        <f>IF(P3894="","",IFERROR(IF(AND(H3894="W7",OR(F3894="causal",F3894="predictive")),IF(AND(OR(K3894=1,K3894="1"),OR(L3894=1,L3894="1"),OR(M3894=1,M3894="1")),"adequate","partial"),IF(AND(H3894="W4",F3894="predictive",OR(J3894="P2",J3894="P3",J3894="P4")),IF(OR(U3894=1,U3894="1"),"adequate","partial"),INDEX(Fit_Matrix!$B:$B,MATCH(P3894,Fit_Matrix!$A:$A,0)))),"CHECK KEY"))</f>
        <v/>
      </c>
      <c r="U3894" s="10"/>
      <c r="V3894" s="10"/>
      <c r="W3894" s="10"/>
      <c r="X3894" s="10"/>
      <c r="Y3894" s="10"/>
      <c r="Z3894" s="10"/>
      <c r="AA3894" s="11" t="str">
        <f t="shared" si="121"/>
        <v/>
      </c>
    </row>
    <row r="3895" spans="16:27" ht="15" customHeight="1">
      <c r="P3895" t="str">
        <f t="shared" si="120"/>
        <v/>
      </c>
      <c r="Q3895" t="str">
        <f>IF(P3895="","",IFERROR(IF(AND(H3895="W7",OR(F3895="causal",F3895="predictive")),IF(AND(OR(K3895=1,K3895="1"),OR(L3895=1,L3895="1"),OR(M3895=1,M3895="1")),"adequate","partial"),IF(AND(H3895="W4",F3895="predictive",OR(J3895="P2",J3895="P3",J3895="P4")),IF(OR(U3895=1,U3895="1"),"adequate","partial"),INDEX(Fit_Matrix!$B:$B,MATCH(P3895,Fit_Matrix!$A:$A,0)))),"CHECK KEY"))</f>
        <v/>
      </c>
      <c r="U3895" s="10"/>
      <c r="V3895" s="10"/>
      <c r="W3895" s="10"/>
      <c r="X3895" s="10"/>
      <c r="Y3895" s="10"/>
      <c r="Z3895" s="10"/>
      <c r="AA3895" s="11" t="str">
        <f t="shared" si="121"/>
        <v/>
      </c>
    </row>
    <row r="3896" spans="16:27" ht="15" customHeight="1">
      <c r="P3896" t="str">
        <f t="shared" si="120"/>
        <v/>
      </c>
      <c r="Q3896" t="str">
        <f>IF(P3896="","",IFERROR(IF(AND(H3896="W7",OR(F3896="causal",F3896="predictive")),IF(AND(OR(K3896=1,K3896="1"),OR(L3896=1,L3896="1"),OR(M3896=1,M3896="1")),"adequate","partial"),IF(AND(H3896="W4",F3896="predictive",OR(J3896="P2",J3896="P3",J3896="P4")),IF(OR(U3896=1,U3896="1"),"adequate","partial"),INDEX(Fit_Matrix!$B:$B,MATCH(P3896,Fit_Matrix!$A:$A,0)))),"CHECK KEY"))</f>
        <v/>
      </c>
      <c r="U3896" s="10"/>
      <c r="V3896" s="10"/>
      <c r="W3896" s="10"/>
      <c r="X3896" s="10"/>
      <c r="Y3896" s="10"/>
      <c r="Z3896" s="10"/>
      <c r="AA3896" s="11" t="str">
        <f t="shared" si="121"/>
        <v/>
      </c>
    </row>
    <row r="3897" spans="16:27" ht="15" customHeight="1">
      <c r="P3897" t="str">
        <f t="shared" si="120"/>
        <v/>
      </c>
      <c r="Q3897" t="str">
        <f>IF(P3897="","",IFERROR(IF(AND(H3897="W7",OR(F3897="causal",F3897="predictive")),IF(AND(OR(K3897=1,K3897="1"),OR(L3897=1,L3897="1"),OR(M3897=1,M3897="1")),"adequate","partial"),IF(AND(H3897="W4",F3897="predictive",OR(J3897="P2",J3897="P3",J3897="P4")),IF(OR(U3897=1,U3897="1"),"adequate","partial"),INDEX(Fit_Matrix!$B:$B,MATCH(P3897,Fit_Matrix!$A:$A,0)))),"CHECK KEY"))</f>
        <v/>
      </c>
      <c r="U3897" s="10"/>
      <c r="V3897" s="10"/>
      <c r="W3897" s="10"/>
      <c r="X3897" s="10"/>
      <c r="Y3897" s="10"/>
      <c r="Z3897" s="10"/>
      <c r="AA3897" s="11" t="str">
        <f t="shared" si="121"/>
        <v/>
      </c>
    </row>
    <row r="3898" spans="16:27" ht="15" customHeight="1">
      <c r="P3898" t="str">
        <f t="shared" si="120"/>
        <v/>
      </c>
      <c r="Q3898" t="str">
        <f>IF(P3898="","",IFERROR(IF(AND(H3898="W7",OR(F3898="causal",F3898="predictive")),IF(AND(OR(K3898=1,K3898="1"),OR(L3898=1,L3898="1"),OR(M3898=1,M3898="1")),"adequate","partial"),IF(AND(H3898="W4",F3898="predictive",OR(J3898="P2",J3898="P3",J3898="P4")),IF(OR(U3898=1,U3898="1"),"adequate","partial"),INDEX(Fit_Matrix!$B:$B,MATCH(P3898,Fit_Matrix!$A:$A,0)))),"CHECK KEY"))</f>
        <v/>
      </c>
      <c r="U3898" s="10"/>
      <c r="V3898" s="10"/>
      <c r="W3898" s="10"/>
      <c r="X3898" s="10"/>
      <c r="Y3898" s="10"/>
      <c r="Z3898" s="10"/>
      <c r="AA3898" s="11" t="str">
        <f t="shared" si="121"/>
        <v/>
      </c>
    </row>
    <row r="3899" spans="16:27" ht="15" customHeight="1">
      <c r="P3899" t="str">
        <f t="shared" si="120"/>
        <v/>
      </c>
      <c r="Q3899" t="str">
        <f>IF(P3899="","",IFERROR(IF(AND(H3899="W7",OR(F3899="causal",F3899="predictive")),IF(AND(OR(K3899=1,K3899="1"),OR(L3899=1,L3899="1"),OR(M3899=1,M3899="1")),"adequate","partial"),IF(AND(H3899="W4",F3899="predictive",OR(J3899="P2",J3899="P3",J3899="P4")),IF(OR(U3899=1,U3899="1"),"adequate","partial"),INDEX(Fit_Matrix!$B:$B,MATCH(P3899,Fit_Matrix!$A:$A,0)))),"CHECK KEY"))</f>
        <v/>
      </c>
      <c r="U3899" s="10"/>
      <c r="V3899" s="10"/>
      <c r="W3899" s="10"/>
      <c r="X3899" s="10"/>
      <c r="Y3899" s="10"/>
      <c r="Z3899" s="10"/>
      <c r="AA3899" s="11" t="str">
        <f t="shared" si="121"/>
        <v/>
      </c>
    </row>
    <row r="3900" spans="16:27" ht="15" customHeight="1">
      <c r="P3900" t="str">
        <f t="shared" si="120"/>
        <v/>
      </c>
      <c r="Q3900" t="str">
        <f>IF(P3900="","",IFERROR(IF(AND(H3900="W7",OR(F3900="causal",F3900="predictive")),IF(AND(OR(K3900=1,K3900="1"),OR(L3900=1,L3900="1"),OR(M3900=1,M3900="1")),"adequate","partial"),IF(AND(H3900="W4",F3900="predictive",OR(J3900="P2",J3900="P3",J3900="P4")),IF(OR(U3900=1,U3900="1"),"adequate","partial"),INDEX(Fit_Matrix!$B:$B,MATCH(P3900,Fit_Matrix!$A:$A,0)))),"CHECK KEY"))</f>
        <v/>
      </c>
      <c r="U3900" s="10"/>
      <c r="V3900" s="10"/>
      <c r="W3900" s="10"/>
      <c r="X3900" s="10"/>
      <c r="Y3900" s="10"/>
      <c r="Z3900" s="10"/>
      <c r="AA3900" s="11" t="str">
        <f t="shared" si="121"/>
        <v/>
      </c>
    </row>
    <row r="3901" spans="16:27" ht="15" customHeight="1">
      <c r="P3901" t="str">
        <f t="shared" si="120"/>
        <v/>
      </c>
      <c r="Q3901" t="str">
        <f>IF(P3901="","",IFERROR(IF(AND(H3901="W7",OR(F3901="causal",F3901="predictive")),IF(AND(OR(K3901=1,K3901="1"),OR(L3901=1,L3901="1"),OR(M3901=1,M3901="1")),"adequate","partial"),IF(AND(H3901="W4",F3901="predictive",OR(J3901="P2",J3901="P3",J3901="P4")),IF(OR(U3901=1,U3901="1"),"adequate","partial"),INDEX(Fit_Matrix!$B:$B,MATCH(P3901,Fit_Matrix!$A:$A,0)))),"CHECK KEY"))</f>
        <v/>
      </c>
      <c r="U3901" s="10"/>
      <c r="V3901" s="10"/>
      <c r="W3901" s="10"/>
      <c r="X3901" s="10"/>
      <c r="Y3901" s="10"/>
      <c r="Z3901" s="10"/>
      <c r="AA3901" s="11" t="str">
        <f t="shared" si="121"/>
        <v/>
      </c>
    </row>
    <row r="3902" spans="16:27" ht="15" customHeight="1">
      <c r="P3902" t="str">
        <f t="shared" si="120"/>
        <v/>
      </c>
      <c r="Q3902" t="str">
        <f>IF(P3902="","",IFERROR(IF(AND(H3902="W7",OR(F3902="causal",F3902="predictive")),IF(AND(OR(K3902=1,K3902="1"),OR(L3902=1,L3902="1"),OR(M3902=1,M3902="1")),"adequate","partial"),IF(AND(H3902="W4",F3902="predictive",OR(J3902="P2",J3902="P3",J3902="P4")),IF(OR(U3902=1,U3902="1"),"adequate","partial"),INDEX(Fit_Matrix!$B:$B,MATCH(P3902,Fit_Matrix!$A:$A,0)))),"CHECK KEY"))</f>
        <v/>
      </c>
      <c r="U3902" s="10"/>
      <c r="V3902" s="10"/>
      <c r="W3902" s="10"/>
      <c r="X3902" s="10"/>
      <c r="Y3902" s="10"/>
      <c r="Z3902" s="10"/>
      <c r="AA3902" s="11" t="str">
        <f t="shared" si="121"/>
        <v/>
      </c>
    </row>
    <row r="3903" spans="16:27" ht="15" customHeight="1">
      <c r="P3903" t="str">
        <f t="shared" si="120"/>
        <v/>
      </c>
      <c r="Q3903" t="str">
        <f>IF(P3903="","",IFERROR(IF(AND(H3903="W7",OR(F3903="causal",F3903="predictive")),IF(AND(OR(K3903=1,K3903="1"),OR(L3903=1,L3903="1"),OR(M3903=1,M3903="1")),"adequate","partial"),IF(AND(H3903="W4",F3903="predictive",OR(J3903="P2",J3903="P3",J3903="P4")),IF(OR(U3903=1,U3903="1"),"adequate","partial"),INDEX(Fit_Matrix!$B:$B,MATCH(P3903,Fit_Matrix!$A:$A,0)))),"CHECK KEY"))</f>
        <v/>
      </c>
      <c r="U3903" s="10"/>
      <c r="V3903" s="10"/>
      <c r="W3903" s="10"/>
      <c r="X3903" s="10"/>
      <c r="Y3903" s="10"/>
      <c r="Z3903" s="10"/>
      <c r="AA3903" s="11" t="str">
        <f t="shared" si="121"/>
        <v/>
      </c>
    </row>
    <row r="3904" spans="16:27" ht="15" customHeight="1">
      <c r="P3904" t="str">
        <f t="shared" si="120"/>
        <v/>
      </c>
      <c r="Q3904" t="str">
        <f>IF(P3904="","",IFERROR(IF(AND(H3904="W7",OR(F3904="causal",F3904="predictive")),IF(AND(OR(K3904=1,K3904="1"),OR(L3904=1,L3904="1"),OR(M3904=1,M3904="1")),"adequate","partial"),IF(AND(H3904="W4",F3904="predictive",OR(J3904="P2",J3904="P3",J3904="P4")),IF(OR(U3904=1,U3904="1"),"adequate","partial"),INDEX(Fit_Matrix!$B:$B,MATCH(P3904,Fit_Matrix!$A:$A,0)))),"CHECK KEY"))</f>
        <v/>
      </c>
      <c r="U3904" s="10"/>
      <c r="V3904" s="10"/>
      <c r="W3904" s="10"/>
      <c r="X3904" s="10"/>
      <c r="Y3904" s="10"/>
      <c r="Z3904" s="10"/>
      <c r="AA3904" s="11" t="str">
        <f t="shared" si="121"/>
        <v/>
      </c>
    </row>
    <row r="3905" spans="16:27" ht="15" customHeight="1">
      <c r="P3905" t="str">
        <f t="shared" si="120"/>
        <v/>
      </c>
      <c r="Q3905" t="str">
        <f>IF(P3905="","",IFERROR(IF(AND(H3905="W7",OR(F3905="causal",F3905="predictive")),IF(AND(OR(K3905=1,K3905="1"),OR(L3905=1,L3905="1"),OR(M3905=1,M3905="1")),"adequate","partial"),IF(AND(H3905="W4",F3905="predictive",OR(J3905="P2",J3905="P3",J3905="P4")),IF(OR(U3905=1,U3905="1"),"adequate","partial"),INDEX(Fit_Matrix!$B:$B,MATCH(P3905,Fit_Matrix!$A:$A,0)))),"CHECK KEY"))</f>
        <v/>
      </c>
      <c r="U3905" s="10"/>
      <c r="V3905" s="10"/>
      <c r="W3905" s="10"/>
      <c r="X3905" s="10"/>
      <c r="Y3905" s="10"/>
      <c r="Z3905" s="10"/>
      <c r="AA3905" s="11" t="str">
        <f t="shared" si="121"/>
        <v/>
      </c>
    </row>
    <row r="3906" spans="16:27" ht="15" customHeight="1">
      <c r="P3906" t="str">
        <f t="shared" ref="P3906:P3969" si="122">IF(OR(F3906="",H3906="",J3906=""),"",J3906&amp;"|"&amp;F3906&amp;"|"&amp;IF(H3906="W3","W3_"&amp;IF(I3906="","unknown",I3906),H3906))</f>
        <v/>
      </c>
      <c r="Q3906" t="str">
        <f>IF(P3906="","",IFERROR(IF(AND(H3906="W7",OR(F3906="causal",F3906="predictive")),IF(AND(OR(K3906=1,K3906="1"),OR(L3906=1,L3906="1"),OR(M3906=1,M3906="1")),"adequate","partial"),IF(AND(H3906="W4",F3906="predictive",OR(J3906="P2",J3906="P3",J3906="P4")),IF(OR(U3906=1,U3906="1"),"adequate","partial"),INDEX(Fit_Matrix!$B:$B,MATCH(P3906,Fit_Matrix!$A:$A,0)))),"CHECK KEY"))</f>
        <v/>
      </c>
      <c r="U3906" s="10"/>
      <c r="V3906" s="10"/>
      <c r="W3906" s="10"/>
      <c r="X3906" s="10"/>
      <c r="Y3906" s="10"/>
      <c r="Z3906" s="10"/>
      <c r="AA3906" s="11" t="str">
        <f t="shared" ref="AA3906:AA3969" si="123">IF(A3906="","",IF(AND(J3906="P4",F3906="causal"),"P4-CAUSAL",""))</f>
        <v/>
      </c>
    </row>
    <row r="3907" spans="16:27" ht="15" customHeight="1">
      <c r="P3907" t="str">
        <f t="shared" si="122"/>
        <v/>
      </c>
      <c r="Q3907" t="str">
        <f>IF(P3907="","",IFERROR(IF(AND(H3907="W7",OR(F3907="causal",F3907="predictive")),IF(AND(OR(K3907=1,K3907="1"),OR(L3907=1,L3907="1"),OR(M3907=1,M3907="1")),"adequate","partial"),IF(AND(H3907="W4",F3907="predictive",OR(J3907="P2",J3907="P3",J3907="P4")),IF(OR(U3907=1,U3907="1"),"adequate","partial"),INDEX(Fit_Matrix!$B:$B,MATCH(P3907,Fit_Matrix!$A:$A,0)))),"CHECK KEY"))</f>
        <v/>
      </c>
      <c r="U3907" s="10"/>
      <c r="V3907" s="10"/>
      <c r="W3907" s="10"/>
      <c r="X3907" s="10"/>
      <c r="Y3907" s="10"/>
      <c r="Z3907" s="10"/>
      <c r="AA3907" s="11" t="str">
        <f t="shared" si="123"/>
        <v/>
      </c>
    </row>
    <row r="3908" spans="16:27" ht="15" customHeight="1">
      <c r="P3908" t="str">
        <f t="shared" si="122"/>
        <v/>
      </c>
      <c r="Q3908" t="str">
        <f>IF(P3908="","",IFERROR(IF(AND(H3908="W7",OR(F3908="causal",F3908="predictive")),IF(AND(OR(K3908=1,K3908="1"),OR(L3908=1,L3908="1"),OR(M3908=1,M3908="1")),"adequate","partial"),IF(AND(H3908="W4",F3908="predictive",OR(J3908="P2",J3908="P3",J3908="P4")),IF(OR(U3908=1,U3908="1"),"adequate","partial"),INDEX(Fit_Matrix!$B:$B,MATCH(P3908,Fit_Matrix!$A:$A,0)))),"CHECK KEY"))</f>
        <v/>
      </c>
      <c r="U3908" s="10"/>
      <c r="V3908" s="10"/>
      <c r="W3908" s="10"/>
      <c r="X3908" s="10"/>
      <c r="Y3908" s="10"/>
      <c r="Z3908" s="10"/>
      <c r="AA3908" s="11" t="str">
        <f t="shared" si="123"/>
        <v/>
      </c>
    </row>
    <row r="3909" spans="16:27" ht="15" customHeight="1">
      <c r="P3909" t="str">
        <f t="shared" si="122"/>
        <v/>
      </c>
      <c r="Q3909" t="str">
        <f>IF(P3909="","",IFERROR(IF(AND(H3909="W7",OR(F3909="causal",F3909="predictive")),IF(AND(OR(K3909=1,K3909="1"),OR(L3909=1,L3909="1"),OR(M3909=1,M3909="1")),"adequate","partial"),IF(AND(H3909="W4",F3909="predictive",OR(J3909="P2",J3909="P3",J3909="P4")),IF(OR(U3909=1,U3909="1"),"adequate","partial"),INDEX(Fit_Matrix!$B:$B,MATCH(P3909,Fit_Matrix!$A:$A,0)))),"CHECK KEY"))</f>
        <v/>
      </c>
      <c r="U3909" s="10"/>
      <c r="V3909" s="10"/>
      <c r="W3909" s="10"/>
      <c r="X3909" s="10"/>
      <c r="Y3909" s="10"/>
      <c r="Z3909" s="10"/>
      <c r="AA3909" s="11" t="str">
        <f t="shared" si="123"/>
        <v/>
      </c>
    </row>
    <row r="3910" spans="16:27" ht="15" customHeight="1">
      <c r="P3910" t="str">
        <f t="shared" si="122"/>
        <v/>
      </c>
      <c r="Q3910" t="str">
        <f>IF(P3910="","",IFERROR(IF(AND(H3910="W7",OR(F3910="causal",F3910="predictive")),IF(AND(OR(K3910=1,K3910="1"),OR(L3910=1,L3910="1"),OR(M3910=1,M3910="1")),"adequate","partial"),IF(AND(H3910="W4",F3910="predictive",OR(J3910="P2",J3910="P3",J3910="P4")),IF(OR(U3910=1,U3910="1"),"adequate","partial"),INDEX(Fit_Matrix!$B:$B,MATCH(P3910,Fit_Matrix!$A:$A,0)))),"CHECK KEY"))</f>
        <v/>
      </c>
      <c r="U3910" s="10"/>
      <c r="V3910" s="10"/>
      <c r="W3910" s="10"/>
      <c r="X3910" s="10"/>
      <c r="Y3910" s="10"/>
      <c r="Z3910" s="10"/>
      <c r="AA3910" s="11" t="str">
        <f t="shared" si="123"/>
        <v/>
      </c>
    </row>
    <row r="3911" spans="16:27" ht="15" customHeight="1">
      <c r="P3911" t="str">
        <f t="shared" si="122"/>
        <v/>
      </c>
      <c r="Q3911" t="str">
        <f>IF(P3911="","",IFERROR(IF(AND(H3911="W7",OR(F3911="causal",F3911="predictive")),IF(AND(OR(K3911=1,K3911="1"),OR(L3911=1,L3911="1"),OR(M3911=1,M3911="1")),"adequate","partial"),IF(AND(H3911="W4",F3911="predictive",OR(J3911="P2",J3911="P3",J3911="P4")),IF(OR(U3911=1,U3911="1"),"adequate","partial"),INDEX(Fit_Matrix!$B:$B,MATCH(P3911,Fit_Matrix!$A:$A,0)))),"CHECK KEY"))</f>
        <v/>
      </c>
      <c r="U3911" s="10"/>
      <c r="V3911" s="10"/>
      <c r="W3911" s="10"/>
      <c r="X3911" s="10"/>
      <c r="Y3911" s="10"/>
      <c r="Z3911" s="10"/>
      <c r="AA3911" s="11" t="str">
        <f t="shared" si="123"/>
        <v/>
      </c>
    </row>
    <row r="3912" spans="16:27" ht="15" customHeight="1">
      <c r="P3912" t="str">
        <f t="shared" si="122"/>
        <v/>
      </c>
      <c r="Q3912" t="str">
        <f>IF(P3912="","",IFERROR(IF(AND(H3912="W7",OR(F3912="causal",F3912="predictive")),IF(AND(OR(K3912=1,K3912="1"),OR(L3912=1,L3912="1"),OR(M3912=1,M3912="1")),"adequate","partial"),IF(AND(H3912="W4",F3912="predictive",OR(J3912="P2",J3912="P3",J3912="P4")),IF(OR(U3912=1,U3912="1"),"adequate","partial"),INDEX(Fit_Matrix!$B:$B,MATCH(P3912,Fit_Matrix!$A:$A,0)))),"CHECK KEY"))</f>
        <v/>
      </c>
      <c r="U3912" s="10"/>
      <c r="V3912" s="10"/>
      <c r="W3912" s="10"/>
      <c r="X3912" s="10"/>
      <c r="Y3912" s="10"/>
      <c r="Z3912" s="10"/>
      <c r="AA3912" s="11" t="str">
        <f t="shared" si="123"/>
        <v/>
      </c>
    </row>
    <row r="3913" spans="16:27" ht="15" customHeight="1">
      <c r="P3913" t="str">
        <f t="shared" si="122"/>
        <v/>
      </c>
      <c r="Q3913" t="str">
        <f>IF(P3913="","",IFERROR(IF(AND(H3913="W7",OR(F3913="causal",F3913="predictive")),IF(AND(OR(K3913=1,K3913="1"),OR(L3913=1,L3913="1"),OR(M3913=1,M3913="1")),"adequate","partial"),IF(AND(H3913="W4",F3913="predictive",OR(J3913="P2",J3913="P3",J3913="P4")),IF(OR(U3913=1,U3913="1"),"adequate","partial"),INDEX(Fit_Matrix!$B:$B,MATCH(P3913,Fit_Matrix!$A:$A,0)))),"CHECK KEY"))</f>
        <v/>
      </c>
      <c r="U3913" s="10"/>
      <c r="V3913" s="10"/>
      <c r="W3913" s="10"/>
      <c r="X3913" s="10"/>
      <c r="Y3913" s="10"/>
      <c r="Z3913" s="10"/>
      <c r="AA3913" s="11" t="str">
        <f t="shared" si="123"/>
        <v/>
      </c>
    </row>
    <row r="3914" spans="16:27" ht="15" customHeight="1">
      <c r="P3914" t="str">
        <f t="shared" si="122"/>
        <v/>
      </c>
      <c r="Q3914" t="str">
        <f>IF(P3914="","",IFERROR(IF(AND(H3914="W7",OR(F3914="causal",F3914="predictive")),IF(AND(OR(K3914=1,K3914="1"),OR(L3914=1,L3914="1"),OR(M3914=1,M3914="1")),"adequate","partial"),IF(AND(H3914="W4",F3914="predictive",OR(J3914="P2",J3914="P3",J3914="P4")),IF(OR(U3914=1,U3914="1"),"adequate","partial"),INDEX(Fit_Matrix!$B:$B,MATCH(P3914,Fit_Matrix!$A:$A,0)))),"CHECK KEY"))</f>
        <v/>
      </c>
      <c r="U3914" s="10"/>
      <c r="V3914" s="10"/>
      <c r="W3914" s="10"/>
      <c r="X3914" s="10"/>
      <c r="Y3914" s="10"/>
      <c r="Z3914" s="10"/>
      <c r="AA3914" s="11" t="str">
        <f t="shared" si="123"/>
        <v/>
      </c>
    </row>
    <row r="3915" spans="16:27" ht="15" customHeight="1">
      <c r="P3915" t="str">
        <f t="shared" si="122"/>
        <v/>
      </c>
      <c r="Q3915" t="str">
        <f>IF(P3915="","",IFERROR(IF(AND(H3915="W7",OR(F3915="causal",F3915="predictive")),IF(AND(OR(K3915=1,K3915="1"),OR(L3915=1,L3915="1"),OR(M3915=1,M3915="1")),"adequate","partial"),IF(AND(H3915="W4",F3915="predictive",OR(J3915="P2",J3915="P3",J3915="P4")),IF(OR(U3915=1,U3915="1"),"adequate","partial"),INDEX(Fit_Matrix!$B:$B,MATCH(P3915,Fit_Matrix!$A:$A,0)))),"CHECK KEY"))</f>
        <v/>
      </c>
      <c r="U3915" s="10"/>
      <c r="V3915" s="10"/>
      <c r="W3915" s="10"/>
      <c r="X3915" s="10"/>
      <c r="Y3915" s="10"/>
      <c r="Z3915" s="10"/>
      <c r="AA3915" s="11" t="str">
        <f t="shared" si="123"/>
        <v/>
      </c>
    </row>
    <row r="3916" spans="16:27" ht="15" customHeight="1">
      <c r="P3916" t="str">
        <f t="shared" si="122"/>
        <v/>
      </c>
      <c r="Q3916" t="str">
        <f>IF(P3916="","",IFERROR(IF(AND(H3916="W7",OR(F3916="causal",F3916="predictive")),IF(AND(OR(K3916=1,K3916="1"),OR(L3916=1,L3916="1"),OR(M3916=1,M3916="1")),"adequate","partial"),IF(AND(H3916="W4",F3916="predictive",OR(J3916="P2",J3916="P3",J3916="P4")),IF(OR(U3916=1,U3916="1"),"adequate","partial"),INDEX(Fit_Matrix!$B:$B,MATCH(P3916,Fit_Matrix!$A:$A,0)))),"CHECK KEY"))</f>
        <v/>
      </c>
      <c r="U3916" s="10"/>
      <c r="V3916" s="10"/>
      <c r="W3916" s="10"/>
      <c r="X3916" s="10"/>
      <c r="Y3916" s="10"/>
      <c r="Z3916" s="10"/>
      <c r="AA3916" s="11" t="str">
        <f t="shared" si="123"/>
        <v/>
      </c>
    </row>
    <row r="3917" spans="16:27" ht="15" customHeight="1">
      <c r="P3917" t="str">
        <f t="shared" si="122"/>
        <v/>
      </c>
      <c r="Q3917" t="str">
        <f>IF(P3917="","",IFERROR(IF(AND(H3917="W7",OR(F3917="causal",F3917="predictive")),IF(AND(OR(K3917=1,K3917="1"),OR(L3917=1,L3917="1"),OR(M3917=1,M3917="1")),"adequate","partial"),IF(AND(H3917="W4",F3917="predictive",OR(J3917="P2",J3917="P3",J3917="P4")),IF(OR(U3917=1,U3917="1"),"adequate","partial"),INDEX(Fit_Matrix!$B:$B,MATCH(P3917,Fit_Matrix!$A:$A,0)))),"CHECK KEY"))</f>
        <v/>
      </c>
      <c r="U3917" s="10"/>
      <c r="V3917" s="10"/>
      <c r="W3917" s="10"/>
      <c r="X3917" s="10"/>
      <c r="Y3917" s="10"/>
      <c r="Z3917" s="10"/>
      <c r="AA3917" s="11" t="str">
        <f t="shared" si="123"/>
        <v/>
      </c>
    </row>
    <row r="3918" spans="16:27" ht="15" customHeight="1">
      <c r="P3918" t="str">
        <f t="shared" si="122"/>
        <v/>
      </c>
      <c r="Q3918" t="str">
        <f>IF(P3918="","",IFERROR(IF(AND(H3918="W7",OR(F3918="causal",F3918="predictive")),IF(AND(OR(K3918=1,K3918="1"),OR(L3918=1,L3918="1"),OR(M3918=1,M3918="1")),"adequate","partial"),IF(AND(H3918="W4",F3918="predictive",OR(J3918="P2",J3918="P3",J3918="P4")),IF(OR(U3918=1,U3918="1"),"adequate","partial"),INDEX(Fit_Matrix!$B:$B,MATCH(P3918,Fit_Matrix!$A:$A,0)))),"CHECK KEY"))</f>
        <v/>
      </c>
      <c r="U3918" s="10"/>
      <c r="V3918" s="10"/>
      <c r="W3918" s="10"/>
      <c r="X3918" s="10"/>
      <c r="Y3918" s="10"/>
      <c r="Z3918" s="10"/>
      <c r="AA3918" s="11" t="str">
        <f t="shared" si="123"/>
        <v/>
      </c>
    </row>
    <row r="3919" spans="16:27" ht="15" customHeight="1">
      <c r="P3919" t="str">
        <f t="shared" si="122"/>
        <v/>
      </c>
      <c r="Q3919" t="str">
        <f>IF(P3919="","",IFERROR(IF(AND(H3919="W7",OR(F3919="causal",F3919="predictive")),IF(AND(OR(K3919=1,K3919="1"),OR(L3919=1,L3919="1"),OR(M3919=1,M3919="1")),"adequate","partial"),IF(AND(H3919="W4",F3919="predictive",OR(J3919="P2",J3919="P3",J3919="P4")),IF(OR(U3919=1,U3919="1"),"adequate","partial"),INDEX(Fit_Matrix!$B:$B,MATCH(P3919,Fit_Matrix!$A:$A,0)))),"CHECK KEY"))</f>
        <v/>
      </c>
      <c r="U3919" s="10"/>
      <c r="V3919" s="10"/>
      <c r="W3919" s="10"/>
      <c r="X3919" s="10"/>
      <c r="Y3919" s="10"/>
      <c r="Z3919" s="10"/>
      <c r="AA3919" s="11" t="str">
        <f t="shared" si="123"/>
        <v/>
      </c>
    </row>
    <row r="3920" spans="16:27" ht="15" customHeight="1">
      <c r="P3920" t="str">
        <f t="shared" si="122"/>
        <v/>
      </c>
      <c r="Q3920" t="str">
        <f>IF(P3920="","",IFERROR(IF(AND(H3920="W7",OR(F3920="causal",F3920="predictive")),IF(AND(OR(K3920=1,K3920="1"),OR(L3920=1,L3920="1"),OR(M3920=1,M3920="1")),"adequate","partial"),IF(AND(H3920="W4",F3920="predictive",OR(J3920="P2",J3920="P3",J3920="P4")),IF(OR(U3920=1,U3920="1"),"adequate","partial"),INDEX(Fit_Matrix!$B:$B,MATCH(P3920,Fit_Matrix!$A:$A,0)))),"CHECK KEY"))</f>
        <v/>
      </c>
      <c r="U3920" s="10"/>
      <c r="V3920" s="10"/>
      <c r="W3920" s="10"/>
      <c r="X3920" s="10"/>
      <c r="Y3920" s="10"/>
      <c r="Z3920" s="10"/>
      <c r="AA3920" s="11" t="str">
        <f t="shared" si="123"/>
        <v/>
      </c>
    </row>
    <row r="3921" spans="16:27" ht="15" customHeight="1">
      <c r="P3921" t="str">
        <f t="shared" si="122"/>
        <v/>
      </c>
      <c r="Q3921" t="str">
        <f>IF(P3921="","",IFERROR(IF(AND(H3921="W7",OR(F3921="causal",F3921="predictive")),IF(AND(OR(K3921=1,K3921="1"),OR(L3921=1,L3921="1"),OR(M3921=1,M3921="1")),"adequate","partial"),IF(AND(H3921="W4",F3921="predictive",OR(J3921="P2",J3921="P3",J3921="P4")),IF(OR(U3921=1,U3921="1"),"adequate","partial"),INDEX(Fit_Matrix!$B:$B,MATCH(P3921,Fit_Matrix!$A:$A,0)))),"CHECK KEY"))</f>
        <v/>
      </c>
      <c r="U3921" s="10"/>
      <c r="V3921" s="10"/>
      <c r="W3921" s="10"/>
      <c r="X3921" s="10"/>
      <c r="Y3921" s="10"/>
      <c r="Z3921" s="10"/>
      <c r="AA3921" s="11" t="str">
        <f t="shared" si="123"/>
        <v/>
      </c>
    </row>
    <row r="3922" spans="16:27" ht="15" customHeight="1">
      <c r="P3922" t="str">
        <f t="shared" si="122"/>
        <v/>
      </c>
      <c r="Q3922" t="str">
        <f>IF(P3922="","",IFERROR(IF(AND(H3922="W7",OR(F3922="causal",F3922="predictive")),IF(AND(OR(K3922=1,K3922="1"),OR(L3922=1,L3922="1"),OR(M3922=1,M3922="1")),"adequate","partial"),IF(AND(H3922="W4",F3922="predictive",OR(J3922="P2",J3922="P3",J3922="P4")),IF(OR(U3922=1,U3922="1"),"adequate","partial"),INDEX(Fit_Matrix!$B:$B,MATCH(P3922,Fit_Matrix!$A:$A,0)))),"CHECK KEY"))</f>
        <v/>
      </c>
      <c r="U3922" s="10"/>
      <c r="V3922" s="10"/>
      <c r="W3922" s="10"/>
      <c r="X3922" s="10"/>
      <c r="Y3922" s="10"/>
      <c r="Z3922" s="10"/>
      <c r="AA3922" s="11" t="str">
        <f t="shared" si="123"/>
        <v/>
      </c>
    </row>
    <row r="3923" spans="16:27" ht="15" customHeight="1">
      <c r="P3923" t="str">
        <f t="shared" si="122"/>
        <v/>
      </c>
      <c r="Q3923" t="str">
        <f>IF(P3923="","",IFERROR(IF(AND(H3923="W7",OR(F3923="causal",F3923="predictive")),IF(AND(OR(K3923=1,K3923="1"),OR(L3923=1,L3923="1"),OR(M3923=1,M3923="1")),"adequate","partial"),IF(AND(H3923="W4",F3923="predictive",OR(J3923="P2",J3923="P3",J3923="P4")),IF(OR(U3923=1,U3923="1"),"adequate","partial"),INDEX(Fit_Matrix!$B:$B,MATCH(P3923,Fit_Matrix!$A:$A,0)))),"CHECK KEY"))</f>
        <v/>
      </c>
      <c r="U3923" s="10"/>
      <c r="V3923" s="10"/>
      <c r="W3923" s="10"/>
      <c r="X3923" s="10"/>
      <c r="Y3923" s="10"/>
      <c r="Z3923" s="10"/>
      <c r="AA3923" s="11" t="str">
        <f t="shared" si="123"/>
        <v/>
      </c>
    </row>
    <row r="3924" spans="16:27" ht="15" customHeight="1">
      <c r="P3924" t="str">
        <f t="shared" si="122"/>
        <v/>
      </c>
      <c r="Q3924" t="str">
        <f>IF(P3924="","",IFERROR(IF(AND(H3924="W7",OR(F3924="causal",F3924="predictive")),IF(AND(OR(K3924=1,K3924="1"),OR(L3924=1,L3924="1"),OR(M3924=1,M3924="1")),"adequate","partial"),IF(AND(H3924="W4",F3924="predictive",OR(J3924="P2",J3924="P3",J3924="P4")),IF(OR(U3924=1,U3924="1"),"adequate","partial"),INDEX(Fit_Matrix!$B:$B,MATCH(P3924,Fit_Matrix!$A:$A,0)))),"CHECK KEY"))</f>
        <v/>
      </c>
      <c r="U3924" s="10"/>
      <c r="V3924" s="10"/>
      <c r="W3924" s="10"/>
      <c r="X3924" s="10"/>
      <c r="Y3924" s="10"/>
      <c r="Z3924" s="10"/>
      <c r="AA3924" s="11" t="str">
        <f t="shared" si="123"/>
        <v/>
      </c>
    </row>
    <row r="3925" spans="16:27" ht="15" customHeight="1">
      <c r="P3925" t="str">
        <f t="shared" si="122"/>
        <v/>
      </c>
      <c r="Q3925" t="str">
        <f>IF(P3925="","",IFERROR(IF(AND(H3925="W7",OR(F3925="causal",F3925="predictive")),IF(AND(OR(K3925=1,K3925="1"),OR(L3925=1,L3925="1"),OR(M3925=1,M3925="1")),"adequate","partial"),IF(AND(H3925="W4",F3925="predictive",OR(J3925="P2",J3925="P3",J3925="P4")),IF(OR(U3925=1,U3925="1"),"adequate","partial"),INDEX(Fit_Matrix!$B:$B,MATCH(P3925,Fit_Matrix!$A:$A,0)))),"CHECK KEY"))</f>
        <v/>
      </c>
      <c r="U3925" s="10"/>
      <c r="V3925" s="10"/>
      <c r="W3925" s="10"/>
      <c r="X3925" s="10"/>
      <c r="Y3925" s="10"/>
      <c r="Z3925" s="10"/>
      <c r="AA3925" s="11" t="str">
        <f t="shared" si="123"/>
        <v/>
      </c>
    </row>
    <row r="3926" spans="16:27" ht="15" customHeight="1">
      <c r="P3926" t="str">
        <f t="shared" si="122"/>
        <v/>
      </c>
      <c r="Q3926" t="str">
        <f>IF(P3926="","",IFERROR(IF(AND(H3926="W7",OR(F3926="causal",F3926="predictive")),IF(AND(OR(K3926=1,K3926="1"),OR(L3926=1,L3926="1"),OR(M3926=1,M3926="1")),"adequate","partial"),IF(AND(H3926="W4",F3926="predictive",OR(J3926="P2",J3926="P3",J3926="P4")),IF(OR(U3926=1,U3926="1"),"adequate","partial"),INDEX(Fit_Matrix!$B:$B,MATCH(P3926,Fit_Matrix!$A:$A,0)))),"CHECK KEY"))</f>
        <v/>
      </c>
      <c r="U3926" s="10"/>
      <c r="V3926" s="10"/>
      <c r="W3926" s="10"/>
      <c r="X3926" s="10"/>
      <c r="Y3926" s="10"/>
      <c r="Z3926" s="10"/>
      <c r="AA3926" s="11" t="str">
        <f t="shared" si="123"/>
        <v/>
      </c>
    </row>
    <row r="3927" spans="16:27" ht="15" customHeight="1">
      <c r="P3927" t="str">
        <f t="shared" si="122"/>
        <v/>
      </c>
      <c r="Q3927" t="str">
        <f>IF(P3927="","",IFERROR(IF(AND(H3927="W7",OR(F3927="causal",F3927="predictive")),IF(AND(OR(K3927=1,K3927="1"),OR(L3927=1,L3927="1"),OR(M3927=1,M3927="1")),"adequate","partial"),IF(AND(H3927="W4",F3927="predictive",OR(J3927="P2",J3927="P3",J3927="P4")),IF(OR(U3927=1,U3927="1"),"adequate","partial"),INDEX(Fit_Matrix!$B:$B,MATCH(P3927,Fit_Matrix!$A:$A,0)))),"CHECK KEY"))</f>
        <v/>
      </c>
      <c r="U3927" s="10"/>
      <c r="V3927" s="10"/>
      <c r="W3927" s="10"/>
      <c r="X3927" s="10"/>
      <c r="Y3927" s="10"/>
      <c r="Z3927" s="10"/>
      <c r="AA3927" s="11" t="str">
        <f t="shared" si="123"/>
        <v/>
      </c>
    </row>
    <row r="3928" spans="16:27" ht="15" customHeight="1">
      <c r="P3928" t="str">
        <f t="shared" si="122"/>
        <v/>
      </c>
      <c r="Q3928" t="str">
        <f>IF(P3928="","",IFERROR(IF(AND(H3928="W7",OR(F3928="causal",F3928="predictive")),IF(AND(OR(K3928=1,K3928="1"),OR(L3928=1,L3928="1"),OR(M3928=1,M3928="1")),"adequate","partial"),IF(AND(H3928="W4",F3928="predictive",OR(J3928="P2",J3928="P3",J3928="P4")),IF(OR(U3928=1,U3928="1"),"adequate","partial"),INDEX(Fit_Matrix!$B:$B,MATCH(P3928,Fit_Matrix!$A:$A,0)))),"CHECK KEY"))</f>
        <v/>
      </c>
      <c r="U3928" s="10"/>
      <c r="V3928" s="10"/>
      <c r="W3928" s="10"/>
      <c r="X3928" s="10"/>
      <c r="Y3928" s="10"/>
      <c r="Z3928" s="10"/>
      <c r="AA3928" s="11" t="str">
        <f t="shared" si="123"/>
        <v/>
      </c>
    </row>
    <row r="3929" spans="16:27" ht="15" customHeight="1">
      <c r="P3929" t="str">
        <f t="shared" si="122"/>
        <v/>
      </c>
      <c r="Q3929" t="str">
        <f>IF(P3929="","",IFERROR(IF(AND(H3929="W7",OR(F3929="causal",F3929="predictive")),IF(AND(OR(K3929=1,K3929="1"),OR(L3929=1,L3929="1"),OR(M3929=1,M3929="1")),"adequate","partial"),IF(AND(H3929="W4",F3929="predictive",OR(J3929="P2",J3929="P3",J3929="P4")),IF(OR(U3929=1,U3929="1"),"adequate","partial"),INDEX(Fit_Matrix!$B:$B,MATCH(P3929,Fit_Matrix!$A:$A,0)))),"CHECK KEY"))</f>
        <v/>
      </c>
      <c r="U3929" s="10"/>
      <c r="V3929" s="10"/>
      <c r="W3929" s="10"/>
      <c r="X3929" s="10"/>
      <c r="Y3929" s="10"/>
      <c r="Z3929" s="10"/>
      <c r="AA3929" s="11" t="str">
        <f t="shared" si="123"/>
        <v/>
      </c>
    </row>
    <row r="3930" spans="16:27" ht="15" customHeight="1">
      <c r="P3930" t="str">
        <f t="shared" si="122"/>
        <v/>
      </c>
      <c r="Q3930" t="str">
        <f>IF(P3930="","",IFERROR(IF(AND(H3930="W7",OR(F3930="causal",F3930="predictive")),IF(AND(OR(K3930=1,K3930="1"),OR(L3930=1,L3930="1"),OR(M3930=1,M3930="1")),"adequate","partial"),IF(AND(H3930="W4",F3930="predictive",OR(J3930="P2",J3930="P3",J3930="P4")),IF(OR(U3930=1,U3930="1"),"adequate","partial"),INDEX(Fit_Matrix!$B:$B,MATCH(P3930,Fit_Matrix!$A:$A,0)))),"CHECK KEY"))</f>
        <v/>
      </c>
      <c r="U3930" s="10"/>
      <c r="V3930" s="10"/>
      <c r="W3930" s="10"/>
      <c r="X3930" s="10"/>
      <c r="Y3930" s="10"/>
      <c r="Z3930" s="10"/>
      <c r="AA3930" s="11" t="str">
        <f t="shared" si="123"/>
        <v/>
      </c>
    </row>
    <row r="3931" spans="16:27" ht="15" customHeight="1">
      <c r="P3931" t="str">
        <f t="shared" si="122"/>
        <v/>
      </c>
      <c r="Q3931" t="str">
        <f>IF(P3931="","",IFERROR(IF(AND(H3931="W7",OR(F3931="causal",F3931="predictive")),IF(AND(OR(K3931=1,K3931="1"),OR(L3931=1,L3931="1"),OR(M3931=1,M3931="1")),"adequate","partial"),IF(AND(H3931="W4",F3931="predictive",OR(J3931="P2",J3931="P3",J3931="P4")),IF(OR(U3931=1,U3931="1"),"adequate","partial"),INDEX(Fit_Matrix!$B:$B,MATCH(P3931,Fit_Matrix!$A:$A,0)))),"CHECK KEY"))</f>
        <v/>
      </c>
      <c r="U3931" s="10"/>
      <c r="V3931" s="10"/>
      <c r="W3931" s="10"/>
      <c r="X3931" s="10"/>
      <c r="Y3931" s="10"/>
      <c r="Z3931" s="10"/>
      <c r="AA3931" s="11" t="str">
        <f t="shared" si="123"/>
        <v/>
      </c>
    </row>
    <row r="3932" spans="16:27" ht="15" customHeight="1">
      <c r="P3932" t="str">
        <f t="shared" si="122"/>
        <v/>
      </c>
      <c r="Q3932" t="str">
        <f>IF(P3932="","",IFERROR(IF(AND(H3932="W7",OR(F3932="causal",F3932="predictive")),IF(AND(OR(K3932=1,K3932="1"),OR(L3932=1,L3932="1"),OR(M3932=1,M3932="1")),"adequate","partial"),IF(AND(H3932="W4",F3932="predictive",OR(J3932="P2",J3932="P3",J3932="P4")),IF(OR(U3932=1,U3932="1"),"adequate","partial"),INDEX(Fit_Matrix!$B:$B,MATCH(P3932,Fit_Matrix!$A:$A,0)))),"CHECK KEY"))</f>
        <v/>
      </c>
      <c r="U3932" s="10"/>
      <c r="V3932" s="10"/>
      <c r="W3932" s="10"/>
      <c r="X3932" s="10"/>
      <c r="Y3932" s="10"/>
      <c r="Z3932" s="10"/>
      <c r="AA3932" s="11" t="str">
        <f t="shared" si="123"/>
        <v/>
      </c>
    </row>
    <row r="3933" spans="16:27" ht="15" customHeight="1">
      <c r="P3933" t="str">
        <f t="shared" si="122"/>
        <v/>
      </c>
      <c r="Q3933" t="str">
        <f>IF(P3933="","",IFERROR(IF(AND(H3933="W7",OR(F3933="causal",F3933="predictive")),IF(AND(OR(K3933=1,K3933="1"),OR(L3933=1,L3933="1"),OR(M3933=1,M3933="1")),"adequate","partial"),IF(AND(H3933="W4",F3933="predictive",OR(J3933="P2",J3933="P3",J3933="P4")),IF(OR(U3933=1,U3933="1"),"adequate","partial"),INDEX(Fit_Matrix!$B:$B,MATCH(P3933,Fit_Matrix!$A:$A,0)))),"CHECK KEY"))</f>
        <v/>
      </c>
      <c r="U3933" s="10"/>
      <c r="V3933" s="10"/>
      <c r="W3933" s="10"/>
      <c r="X3933" s="10"/>
      <c r="Y3933" s="10"/>
      <c r="Z3933" s="10"/>
      <c r="AA3933" s="11" t="str">
        <f t="shared" si="123"/>
        <v/>
      </c>
    </row>
    <row r="3934" spans="16:27" ht="15" customHeight="1">
      <c r="P3934" t="str">
        <f t="shared" si="122"/>
        <v/>
      </c>
      <c r="Q3934" t="str">
        <f>IF(P3934="","",IFERROR(IF(AND(H3934="W7",OR(F3934="causal",F3934="predictive")),IF(AND(OR(K3934=1,K3934="1"),OR(L3934=1,L3934="1"),OR(M3934=1,M3934="1")),"adequate","partial"),IF(AND(H3934="W4",F3934="predictive",OR(J3934="P2",J3934="P3",J3934="P4")),IF(OR(U3934=1,U3934="1"),"adequate","partial"),INDEX(Fit_Matrix!$B:$B,MATCH(P3934,Fit_Matrix!$A:$A,0)))),"CHECK KEY"))</f>
        <v/>
      </c>
      <c r="U3934" s="10"/>
      <c r="V3934" s="10"/>
      <c r="W3934" s="10"/>
      <c r="X3934" s="10"/>
      <c r="Y3934" s="10"/>
      <c r="Z3934" s="10"/>
      <c r="AA3934" s="11" t="str">
        <f t="shared" si="123"/>
        <v/>
      </c>
    </row>
    <row r="3935" spans="16:27" ht="15" customHeight="1">
      <c r="P3935" t="str">
        <f t="shared" si="122"/>
        <v/>
      </c>
      <c r="Q3935" t="str">
        <f>IF(P3935="","",IFERROR(IF(AND(H3935="W7",OR(F3935="causal",F3935="predictive")),IF(AND(OR(K3935=1,K3935="1"),OR(L3935=1,L3935="1"),OR(M3935=1,M3935="1")),"adequate","partial"),IF(AND(H3935="W4",F3935="predictive",OR(J3935="P2",J3935="P3",J3935="P4")),IF(OR(U3935=1,U3935="1"),"adequate","partial"),INDEX(Fit_Matrix!$B:$B,MATCH(P3935,Fit_Matrix!$A:$A,0)))),"CHECK KEY"))</f>
        <v/>
      </c>
      <c r="U3935" s="10"/>
      <c r="V3935" s="10"/>
      <c r="W3935" s="10"/>
      <c r="X3935" s="10"/>
      <c r="Y3935" s="10"/>
      <c r="Z3935" s="10"/>
      <c r="AA3935" s="11" t="str">
        <f t="shared" si="123"/>
        <v/>
      </c>
    </row>
    <row r="3936" spans="16:27" ht="15" customHeight="1">
      <c r="P3936" t="str">
        <f t="shared" si="122"/>
        <v/>
      </c>
      <c r="Q3936" t="str">
        <f>IF(P3936="","",IFERROR(IF(AND(H3936="W7",OR(F3936="causal",F3936="predictive")),IF(AND(OR(K3936=1,K3936="1"),OR(L3936=1,L3936="1"),OR(M3936=1,M3936="1")),"adequate","partial"),IF(AND(H3936="W4",F3936="predictive",OR(J3936="P2",J3936="P3",J3936="P4")),IF(OR(U3936=1,U3936="1"),"adequate","partial"),INDEX(Fit_Matrix!$B:$B,MATCH(P3936,Fit_Matrix!$A:$A,0)))),"CHECK KEY"))</f>
        <v/>
      </c>
      <c r="U3936" s="10"/>
      <c r="V3936" s="10"/>
      <c r="W3936" s="10"/>
      <c r="X3936" s="10"/>
      <c r="Y3936" s="10"/>
      <c r="Z3936" s="10"/>
      <c r="AA3936" s="11" t="str">
        <f t="shared" si="123"/>
        <v/>
      </c>
    </row>
    <row r="3937" spans="16:27" ht="15" customHeight="1">
      <c r="P3937" t="str">
        <f t="shared" si="122"/>
        <v/>
      </c>
      <c r="Q3937" t="str">
        <f>IF(P3937="","",IFERROR(IF(AND(H3937="W7",OR(F3937="causal",F3937="predictive")),IF(AND(OR(K3937=1,K3937="1"),OR(L3937=1,L3937="1"),OR(M3937=1,M3937="1")),"adequate","partial"),IF(AND(H3937="W4",F3937="predictive",OR(J3937="P2",J3937="P3",J3937="P4")),IF(OR(U3937=1,U3937="1"),"adequate","partial"),INDEX(Fit_Matrix!$B:$B,MATCH(P3937,Fit_Matrix!$A:$A,0)))),"CHECK KEY"))</f>
        <v/>
      </c>
      <c r="U3937" s="10"/>
      <c r="V3937" s="10"/>
      <c r="W3937" s="10"/>
      <c r="X3937" s="10"/>
      <c r="Y3937" s="10"/>
      <c r="Z3937" s="10"/>
      <c r="AA3937" s="11" t="str">
        <f t="shared" si="123"/>
        <v/>
      </c>
    </row>
    <row r="3938" spans="16:27" ht="15" customHeight="1">
      <c r="P3938" t="str">
        <f t="shared" si="122"/>
        <v/>
      </c>
      <c r="Q3938" t="str">
        <f>IF(P3938="","",IFERROR(IF(AND(H3938="W7",OR(F3938="causal",F3938="predictive")),IF(AND(OR(K3938=1,K3938="1"),OR(L3938=1,L3938="1"),OR(M3938=1,M3938="1")),"adequate","partial"),IF(AND(H3938="W4",F3938="predictive",OR(J3938="P2",J3938="P3",J3938="P4")),IF(OR(U3938=1,U3938="1"),"adequate","partial"),INDEX(Fit_Matrix!$B:$B,MATCH(P3938,Fit_Matrix!$A:$A,0)))),"CHECK KEY"))</f>
        <v/>
      </c>
      <c r="U3938" s="10"/>
      <c r="V3938" s="10"/>
      <c r="W3938" s="10"/>
      <c r="X3938" s="10"/>
      <c r="Y3938" s="10"/>
      <c r="Z3938" s="10"/>
      <c r="AA3938" s="11" t="str">
        <f t="shared" si="123"/>
        <v/>
      </c>
    </row>
    <row r="3939" spans="16:27" ht="15" customHeight="1">
      <c r="P3939" t="str">
        <f t="shared" si="122"/>
        <v/>
      </c>
      <c r="Q3939" t="str">
        <f>IF(P3939="","",IFERROR(IF(AND(H3939="W7",OR(F3939="causal",F3939="predictive")),IF(AND(OR(K3939=1,K3939="1"),OR(L3939=1,L3939="1"),OR(M3939=1,M3939="1")),"adequate","partial"),IF(AND(H3939="W4",F3939="predictive",OR(J3939="P2",J3939="P3",J3939="P4")),IF(OR(U3939=1,U3939="1"),"adequate","partial"),INDEX(Fit_Matrix!$B:$B,MATCH(P3939,Fit_Matrix!$A:$A,0)))),"CHECK KEY"))</f>
        <v/>
      </c>
      <c r="U3939" s="10"/>
      <c r="V3939" s="10"/>
      <c r="W3939" s="10"/>
      <c r="X3939" s="10"/>
      <c r="Y3939" s="10"/>
      <c r="Z3939" s="10"/>
      <c r="AA3939" s="11" t="str">
        <f t="shared" si="123"/>
        <v/>
      </c>
    </row>
    <row r="3940" spans="16:27" ht="15" customHeight="1">
      <c r="P3940" t="str">
        <f t="shared" si="122"/>
        <v/>
      </c>
      <c r="Q3940" t="str">
        <f>IF(P3940="","",IFERROR(IF(AND(H3940="W7",OR(F3940="causal",F3940="predictive")),IF(AND(OR(K3940=1,K3940="1"),OR(L3940=1,L3940="1"),OR(M3940=1,M3940="1")),"adequate","partial"),IF(AND(H3940="W4",F3940="predictive",OR(J3940="P2",J3940="P3",J3940="P4")),IF(OR(U3940=1,U3940="1"),"adequate","partial"),INDEX(Fit_Matrix!$B:$B,MATCH(P3940,Fit_Matrix!$A:$A,0)))),"CHECK KEY"))</f>
        <v/>
      </c>
      <c r="U3940" s="10"/>
      <c r="V3940" s="10"/>
      <c r="W3940" s="10"/>
      <c r="X3940" s="10"/>
      <c r="Y3940" s="10"/>
      <c r="Z3940" s="10"/>
      <c r="AA3940" s="11" t="str">
        <f t="shared" si="123"/>
        <v/>
      </c>
    </row>
    <row r="3941" spans="16:27" ht="15" customHeight="1">
      <c r="P3941" t="str">
        <f t="shared" si="122"/>
        <v/>
      </c>
      <c r="Q3941" t="str">
        <f>IF(P3941="","",IFERROR(IF(AND(H3941="W7",OR(F3941="causal",F3941="predictive")),IF(AND(OR(K3941=1,K3941="1"),OR(L3941=1,L3941="1"),OR(M3941=1,M3941="1")),"adequate","partial"),IF(AND(H3941="W4",F3941="predictive",OR(J3941="P2",J3941="P3",J3941="P4")),IF(OR(U3941=1,U3941="1"),"adequate","partial"),INDEX(Fit_Matrix!$B:$B,MATCH(P3941,Fit_Matrix!$A:$A,0)))),"CHECK KEY"))</f>
        <v/>
      </c>
      <c r="U3941" s="10"/>
      <c r="V3941" s="10"/>
      <c r="W3941" s="10"/>
      <c r="X3941" s="10"/>
      <c r="Y3941" s="10"/>
      <c r="Z3941" s="10"/>
      <c r="AA3941" s="11" t="str">
        <f t="shared" si="123"/>
        <v/>
      </c>
    </row>
    <row r="3942" spans="16:27" ht="15" customHeight="1">
      <c r="P3942" t="str">
        <f t="shared" si="122"/>
        <v/>
      </c>
      <c r="Q3942" t="str">
        <f>IF(P3942="","",IFERROR(IF(AND(H3942="W7",OR(F3942="causal",F3942="predictive")),IF(AND(OR(K3942=1,K3942="1"),OR(L3942=1,L3942="1"),OR(M3942=1,M3942="1")),"adequate","partial"),IF(AND(H3942="W4",F3942="predictive",OR(J3942="P2",J3942="P3",J3942="P4")),IF(OR(U3942=1,U3942="1"),"adequate","partial"),INDEX(Fit_Matrix!$B:$B,MATCH(P3942,Fit_Matrix!$A:$A,0)))),"CHECK KEY"))</f>
        <v/>
      </c>
      <c r="U3942" s="10"/>
      <c r="V3942" s="10"/>
      <c r="W3942" s="10"/>
      <c r="X3942" s="10"/>
      <c r="Y3942" s="10"/>
      <c r="Z3942" s="10"/>
      <c r="AA3942" s="11" t="str">
        <f t="shared" si="123"/>
        <v/>
      </c>
    </row>
    <row r="3943" spans="16:27" ht="15" customHeight="1">
      <c r="P3943" t="str">
        <f t="shared" si="122"/>
        <v/>
      </c>
      <c r="Q3943" t="str">
        <f>IF(P3943="","",IFERROR(IF(AND(H3943="W7",OR(F3943="causal",F3943="predictive")),IF(AND(OR(K3943=1,K3943="1"),OR(L3943=1,L3943="1"),OR(M3943=1,M3943="1")),"adequate","partial"),IF(AND(H3943="W4",F3943="predictive",OR(J3943="P2",J3943="P3",J3943="P4")),IF(OR(U3943=1,U3943="1"),"adequate","partial"),INDEX(Fit_Matrix!$B:$B,MATCH(P3943,Fit_Matrix!$A:$A,0)))),"CHECK KEY"))</f>
        <v/>
      </c>
      <c r="U3943" s="10"/>
      <c r="V3943" s="10"/>
      <c r="W3943" s="10"/>
      <c r="X3943" s="10"/>
      <c r="Y3943" s="10"/>
      <c r="Z3943" s="10"/>
      <c r="AA3943" s="11" t="str">
        <f t="shared" si="123"/>
        <v/>
      </c>
    </row>
    <row r="3944" spans="16:27" ht="15" customHeight="1">
      <c r="P3944" t="str">
        <f t="shared" si="122"/>
        <v/>
      </c>
      <c r="Q3944" t="str">
        <f>IF(P3944="","",IFERROR(IF(AND(H3944="W7",OR(F3944="causal",F3944="predictive")),IF(AND(OR(K3944=1,K3944="1"),OR(L3944=1,L3944="1"),OR(M3944=1,M3944="1")),"adequate","partial"),IF(AND(H3944="W4",F3944="predictive",OR(J3944="P2",J3944="P3",J3944="P4")),IF(OR(U3944=1,U3944="1"),"adequate","partial"),INDEX(Fit_Matrix!$B:$B,MATCH(P3944,Fit_Matrix!$A:$A,0)))),"CHECK KEY"))</f>
        <v/>
      </c>
      <c r="U3944" s="10"/>
      <c r="V3944" s="10"/>
      <c r="W3944" s="10"/>
      <c r="X3944" s="10"/>
      <c r="Y3944" s="10"/>
      <c r="Z3944" s="10"/>
      <c r="AA3944" s="11" t="str">
        <f t="shared" si="123"/>
        <v/>
      </c>
    </row>
    <row r="3945" spans="16:27" ht="15" customHeight="1">
      <c r="P3945" t="str">
        <f t="shared" si="122"/>
        <v/>
      </c>
      <c r="Q3945" t="str">
        <f>IF(P3945="","",IFERROR(IF(AND(H3945="W7",OR(F3945="causal",F3945="predictive")),IF(AND(OR(K3945=1,K3945="1"),OR(L3945=1,L3945="1"),OR(M3945=1,M3945="1")),"adequate","partial"),IF(AND(H3945="W4",F3945="predictive",OR(J3945="P2",J3945="P3",J3945="P4")),IF(OR(U3945=1,U3945="1"),"adequate","partial"),INDEX(Fit_Matrix!$B:$B,MATCH(P3945,Fit_Matrix!$A:$A,0)))),"CHECK KEY"))</f>
        <v/>
      </c>
      <c r="U3945" s="10"/>
      <c r="V3945" s="10"/>
      <c r="W3945" s="10"/>
      <c r="X3945" s="10"/>
      <c r="Y3945" s="10"/>
      <c r="Z3945" s="10"/>
      <c r="AA3945" s="11" t="str">
        <f t="shared" si="123"/>
        <v/>
      </c>
    </row>
    <row r="3946" spans="16:27" ht="15" customHeight="1">
      <c r="P3946" t="str">
        <f t="shared" si="122"/>
        <v/>
      </c>
      <c r="Q3946" t="str">
        <f>IF(P3946="","",IFERROR(IF(AND(H3946="W7",OR(F3946="causal",F3946="predictive")),IF(AND(OR(K3946=1,K3946="1"),OR(L3946=1,L3946="1"),OR(M3946=1,M3946="1")),"adequate","partial"),IF(AND(H3946="W4",F3946="predictive",OR(J3946="P2",J3946="P3",J3946="P4")),IF(OR(U3946=1,U3946="1"),"adequate","partial"),INDEX(Fit_Matrix!$B:$B,MATCH(P3946,Fit_Matrix!$A:$A,0)))),"CHECK KEY"))</f>
        <v/>
      </c>
      <c r="U3946" s="10"/>
      <c r="V3946" s="10"/>
      <c r="W3946" s="10"/>
      <c r="X3946" s="10"/>
      <c r="Y3946" s="10"/>
      <c r="Z3946" s="10"/>
      <c r="AA3946" s="11" t="str">
        <f t="shared" si="123"/>
        <v/>
      </c>
    </row>
    <row r="3947" spans="16:27" ht="15" customHeight="1">
      <c r="P3947" t="str">
        <f t="shared" si="122"/>
        <v/>
      </c>
      <c r="Q3947" t="str">
        <f>IF(P3947="","",IFERROR(IF(AND(H3947="W7",OR(F3947="causal",F3947="predictive")),IF(AND(OR(K3947=1,K3947="1"),OR(L3947=1,L3947="1"),OR(M3947=1,M3947="1")),"adequate","partial"),IF(AND(H3947="W4",F3947="predictive",OR(J3947="P2",J3947="P3",J3947="P4")),IF(OR(U3947=1,U3947="1"),"adequate","partial"),INDEX(Fit_Matrix!$B:$B,MATCH(P3947,Fit_Matrix!$A:$A,0)))),"CHECK KEY"))</f>
        <v/>
      </c>
      <c r="U3947" s="10"/>
      <c r="V3947" s="10"/>
      <c r="W3947" s="10"/>
      <c r="X3947" s="10"/>
      <c r="Y3947" s="10"/>
      <c r="Z3947" s="10"/>
      <c r="AA3947" s="11" t="str">
        <f t="shared" si="123"/>
        <v/>
      </c>
    </row>
    <row r="3948" spans="16:27" ht="15" customHeight="1">
      <c r="P3948" t="str">
        <f t="shared" si="122"/>
        <v/>
      </c>
      <c r="Q3948" t="str">
        <f>IF(P3948="","",IFERROR(IF(AND(H3948="W7",OR(F3948="causal",F3948="predictive")),IF(AND(OR(K3948=1,K3948="1"),OR(L3948=1,L3948="1"),OR(M3948=1,M3948="1")),"adequate","partial"),IF(AND(H3948="W4",F3948="predictive",OR(J3948="P2",J3948="P3",J3948="P4")),IF(OR(U3948=1,U3948="1"),"adequate","partial"),INDEX(Fit_Matrix!$B:$B,MATCH(P3948,Fit_Matrix!$A:$A,0)))),"CHECK KEY"))</f>
        <v/>
      </c>
      <c r="U3948" s="10"/>
      <c r="V3948" s="10"/>
      <c r="W3948" s="10"/>
      <c r="X3948" s="10"/>
      <c r="Y3948" s="10"/>
      <c r="Z3948" s="10"/>
      <c r="AA3948" s="11" t="str">
        <f t="shared" si="123"/>
        <v/>
      </c>
    </row>
    <row r="3949" spans="16:27" ht="15" customHeight="1">
      <c r="P3949" t="str">
        <f t="shared" si="122"/>
        <v/>
      </c>
      <c r="Q3949" t="str">
        <f>IF(P3949="","",IFERROR(IF(AND(H3949="W7",OR(F3949="causal",F3949="predictive")),IF(AND(OR(K3949=1,K3949="1"),OR(L3949=1,L3949="1"),OR(M3949=1,M3949="1")),"adequate","partial"),IF(AND(H3949="W4",F3949="predictive",OR(J3949="P2",J3949="P3",J3949="P4")),IF(OR(U3949=1,U3949="1"),"adequate","partial"),INDEX(Fit_Matrix!$B:$B,MATCH(P3949,Fit_Matrix!$A:$A,0)))),"CHECK KEY"))</f>
        <v/>
      </c>
      <c r="U3949" s="10"/>
      <c r="V3949" s="10"/>
      <c r="W3949" s="10"/>
      <c r="X3949" s="10"/>
      <c r="Y3949" s="10"/>
      <c r="Z3949" s="10"/>
      <c r="AA3949" s="11" t="str">
        <f t="shared" si="123"/>
        <v/>
      </c>
    </row>
    <row r="3950" spans="16:27" ht="15" customHeight="1">
      <c r="P3950" t="str">
        <f t="shared" si="122"/>
        <v/>
      </c>
      <c r="Q3950" t="str">
        <f>IF(P3950="","",IFERROR(IF(AND(H3950="W7",OR(F3950="causal",F3950="predictive")),IF(AND(OR(K3950=1,K3950="1"),OR(L3950=1,L3950="1"),OR(M3950=1,M3950="1")),"adequate","partial"),IF(AND(H3950="W4",F3950="predictive",OR(J3950="P2",J3950="P3",J3950="P4")),IF(OR(U3950=1,U3950="1"),"adequate","partial"),INDEX(Fit_Matrix!$B:$B,MATCH(P3950,Fit_Matrix!$A:$A,0)))),"CHECK KEY"))</f>
        <v/>
      </c>
      <c r="U3950" s="10"/>
      <c r="V3950" s="10"/>
      <c r="W3950" s="10"/>
      <c r="X3950" s="10"/>
      <c r="Y3950" s="10"/>
      <c r="Z3950" s="10"/>
      <c r="AA3950" s="11" t="str">
        <f t="shared" si="123"/>
        <v/>
      </c>
    </row>
    <row r="3951" spans="16:27" ht="15" customHeight="1">
      <c r="P3951" t="str">
        <f t="shared" si="122"/>
        <v/>
      </c>
      <c r="Q3951" t="str">
        <f>IF(P3951="","",IFERROR(IF(AND(H3951="W7",OR(F3951="causal",F3951="predictive")),IF(AND(OR(K3951=1,K3951="1"),OR(L3951=1,L3951="1"),OR(M3951=1,M3951="1")),"adequate","partial"),IF(AND(H3951="W4",F3951="predictive",OR(J3951="P2",J3951="P3",J3951="P4")),IF(OR(U3951=1,U3951="1"),"adequate","partial"),INDEX(Fit_Matrix!$B:$B,MATCH(P3951,Fit_Matrix!$A:$A,0)))),"CHECK KEY"))</f>
        <v/>
      </c>
      <c r="U3951" s="10"/>
      <c r="V3951" s="10"/>
      <c r="W3951" s="10"/>
      <c r="X3951" s="10"/>
      <c r="Y3951" s="10"/>
      <c r="Z3951" s="10"/>
      <c r="AA3951" s="11" t="str">
        <f t="shared" si="123"/>
        <v/>
      </c>
    </row>
    <row r="3952" spans="16:27" ht="15" customHeight="1">
      <c r="P3952" t="str">
        <f t="shared" si="122"/>
        <v/>
      </c>
      <c r="Q3952" t="str">
        <f>IF(P3952="","",IFERROR(IF(AND(H3952="W7",OR(F3952="causal",F3952="predictive")),IF(AND(OR(K3952=1,K3952="1"),OR(L3952=1,L3952="1"),OR(M3952=1,M3952="1")),"adequate","partial"),IF(AND(H3952="W4",F3952="predictive",OR(J3952="P2",J3952="P3",J3952="P4")),IF(OR(U3952=1,U3952="1"),"adequate","partial"),INDEX(Fit_Matrix!$B:$B,MATCH(P3952,Fit_Matrix!$A:$A,0)))),"CHECK KEY"))</f>
        <v/>
      </c>
      <c r="U3952" s="10"/>
      <c r="V3952" s="10"/>
      <c r="W3952" s="10"/>
      <c r="X3952" s="10"/>
      <c r="Y3952" s="10"/>
      <c r="Z3952" s="10"/>
      <c r="AA3952" s="11" t="str">
        <f t="shared" si="123"/>
        <v/>
      </c>
    </row>
    <row r="3953" spans="16:27" ht="15" customHeight="1">
      <c r="P3953" t="str">
        <f t="shared" si="122"/>
        <v/>
      </c>
      <c r="Q3953" t="str">
        <f>IF(P3953="","",IFERROR(IF(AND(H3953="W7",OR(F3953="causal",F3953="predictive")),IF(AND(OR(K3953=1,K3953="1"),OR(L3953=1,L3953="1"),OR(M3953=1,M3953="1")),"adequate","partial"),IF(AND(H3953="W4",F3953="predictive",OR(J3953="P2",J3953="P3",J3953="P4")),IF(OR(U3953=1,U3953="1"),"adequate","partial"),INDEX(Fit_Matrix!$B:$B,MATCH(P3953,Fit_Matrix!$A:$A,0)))),"CHECK KEY"))</f>
        <v/>
      </c>
      <c r="U3953" s="10"/>
      <c r="V3953" s="10"/>
      <c r="W3953" s="10"/>
      <c r="X3953" s="10"/>
      <c r="Y3953" s="10"/>
      <c r="Z3953" s="10"/>
      <c r="AA3953" s="11" t="str">
        <f t="shared" si="123"/>
        <v/>
      </c>
    </row>
    <row r="3954" spans="16:27" ht="15" customHeight="1">
      <c r="P3954" t="str">
        <f t="shared" si="122"/>
        <v/>
      </c>
      <c r="Q3954" t="str">
        <f>IF(P3954="","",IFERROR(IF(AND(H3954="W7",OR(F3954="causal",F3954="predictive")),IF(AND(OR(K3954=1,K3954="1"),OR(L3954=1,L3954="1"),OR(M3954=1,M3954="1")),"adequate","partial"),IF(AND(H3954="W4",F3954="predictive",OR(J3954="P2",J3954="P3",J3954="P4")),IF(OR(U3954=1,U3954="1"),"adequate","partial"),INDEX(Fit_Matrix!$B:$B,MATCH(P3954,Fit_Matrix!$A:$A,0)))),"CHECK KEY"))</f>
        <v/>
      </c>
      <c r="U3954" s="10"/>
      <c r="V3954" s="10"/>
      <c r="W3954" s="10"/>
      <c r="X3954" s="10"/>
      <c r="Y3954" s="10"/>
      <c r="Z3954" s="10"/>
      <c r="AA3954" s="11" t="str">
        <f t="shared" si="123"/>
        <v/>
      </c>
    </row>
    <row r="3955" spans="16:27" ht="15" customHeight="1">
      <c r="P3955" t="str">
        <f t="shared" si="122"/>
        <v/>
      </c>
      <c r="Q3955" t="str">
        <f>IF(P3955="","",IFERROR(IF(AND(H3955="W7",OR(F3955="causal",F3955="predictive")),IF(AND(OR(K3955=1,K3955="1"),OR(L3955=1,L3955="1"),OR(M3955=1,M3955="1")),"adequate","partial"),IF(AND(H3955="W4",F3955="predictive",OR(J3955="P2",J3955="P3",J3955="P4")),IF(OR(U3955=1,U3955="1"),"adequate","partial"),INDEX(Fit_Matrix!$B:$B,MATCH(P3955,Fit_Matrix!$A:$A,0)))),"CHECK KEY"))</f>
        <v/>
      </c>
      <c r="U3955" s="10"/>
      <c r="V3955" s="10"/>
      <c r="W3955" s="10"/>
      <c r="X3955" s="10"/>
      <c r="Y3955" s="10"/>
      <c r="Z3955" s="10"/>
      <c r="AA3955" s="11" t="str">
        <f t="shared" si="123"/>
        <v/>
      </c>
    </row>
    <row r="3956" spans="16:27" ht="15" customHeight="1">
      <c r="P3956" t="str">
        <f t="shared" si="122"/>
        <v/>
      </c>
      <c r="Q3956" t="str">
        <f>IF(P3956="","",IFERROR(IF(AND(H3956="W7",OR(F3956="causal",F3956="predictive")),IF(AND(OR(K3956=1,K3956="1"),OR(L3956=1,L3956="1"),OR(M3956=1,M3956="1")),"adequate","partial"),IF(AND(H3956="W4",F3956="predictive",OR(J3956="P2",J3956="P3",J3956="P4")),IF(OR(U3956=1,U3956="1"),"adequate","partial"),INDEX(Fit_Matrix!$B:$B,MATCH(P3956,Fit_Matrix!$A:$A,0)))),"CHECK KEY"))</f>
        <v/>
      </c>
      <c r="U3956" s="10"/>
      <c r="V3956" s="10"/>
      <c r="W3956" s="10"/>
      <c r="X3956" s="10"/>
      <c r="Y3956" s="10"/>
      <c r="Z3956" s="10"/>
      <c r="AA3956" s="11" t="str">
        <f t="shared" si="123"/>
        <v/>
      </c>
    </row>
    <row r="3957" spans="16:27" ht="15" customHeight="1">
      <c r="P3957" t="str">
        <f t="shared" si="122"/>
        <v/>
      </c>
      <c r="Q3957" t="str">
        <f>IF(P3957="","",IFERROR(IF(AND(H3957="W7",OR(F3957="causal",F3957="predictive")),IF(AND(OR(K3957=1,K3957="1"),OR(L3957=1,L3957="1"),OR(M3957=1,M3957="1")),"adequate","partial"),IF(AND(H3957="W4",F3957="predictive",OR(J3957="P2",J3957="P3",J3957="P4")),IF(OR(U3957=1,U3957="1"),"adequate","partial"),INDEX(Fit_Matrix!$B:$B,MATCH(P3957,Fit_Matrix!$A:$A,0)))),"CHECK KEY"))</f>
        <v/>
      </c>
      <c r="U3957" s="10"/>
      <c r="V3957" s="10"/>
      <c r="W3957" s="10"/>
      <c r="X3957" s="10"/>
      <c r="Y3957" s="10"/>
      <c r="Z3957" s="10"/>
      <c r="AA3957" s="11" t="str">
        <f t="shared" si="123"/>
        <v/>
      </c>
    </row>
    <row r="3958" spans="16:27" ht="15" customHeight="1">
      <c r="P3958" t="str">
        <f t="shared" si="122"/>
        <v/>
      </c>
      <c r="Q3958" t="str">
        <f>IF(P3958="","",IFERROR(IF(AND(H3958="W7",OR(F3958="causal",F3958="predictive")),IF(AND(OR(K3958=1,K3958="1"),OR(L3958=1,L3958="1"),OR(M3958=1,M3958="1")),"adequate","partial"),IF(AND(H3958="W4",F3958="predictive",OR(J3958="P2",J3958="P3",J3958="P4")),IF(OR(U3958=1,U3958="1"),"adequate","partial"),INDEX(Fit_Matrix!$B:$B,MATCH(P3958,Fit_Matrix!$A:$A,0)))),"CHECK KEY"))</f>
        <v/>
      </c>
      <c r="U3958" s="10"/>
      <c r="V3958" s="10"/>
      <c r="W3958" s="10"/>
      <c r="X3958" s="10"/>
      <c r="Y3958" s="10"/>
      <c r="Z3958" s="10"/>
      <c r="AA3958" s="11" t="str">
        <f t="shared" si="123"/>
        <v/>
      </c>
    </row>
    <row r="3959" spans="16:27" ht="15" customHeight="1">
      <c r="P3959" t="str">
        <f t="shared" si="122"/>
        <v/>
      </c>
      <c r="Q3959" t="str">
        <f>IF(P3959="","",IFERROR(IF(AND(H3959="W7",OR(F3959="causal",F3959="predictive")),IF(AND(OR(K3959=1,K3959="1"),OR(L3959=1,L3959="1"),OR(M3959=1,M3959="1")),"adequate","partial"),IF(AND(H3959="W4",F3959="predictive",OR(J3959="P2",J3959="P3",J3959="P4")),IF(OR(U3959=1,U3959="1"),"adequate","partial"),INDEX(Fit_Matrix!$B:$B,MATCH(P3959,Fit_Matrix!$A:$A,0)))),"CHECK KEY"))</f>
        <v/>
      </c>
      <c r="U3959" s="10"/>
      <c r="V3959" s="10"/>
      <c r="W3959" s="10"/>
      <c r="X3959" s="10"/>
      <c r="Y3959" s="10"/>
      <c r="Z3959" s="10"/>
      <c r="AA3959" s="11" t="str">
        <f t="shared" si="123"/>
        <v/>
      </c>
    </row>
    <row r="3960" spans="16:27" ht="15" customHeight="1">
      <c r="P3960" t="str">
        <f t="shared" si="122"/>
        <v/>
      </c>
      <c r="Q3960" t="str">
        <f>IF(P3960="","",IFERROR(IF(AND(H3960="W7",OR(F3960="causal",F3960="predictive")),IF(AND(OR(K3960=1,K3960="1"),OR(L3960=1,L3960="1"),OR(M3960=1,M3960="1")),"adequate","partial"),IF(AND(H3960="W4",F3960="predictive",OR(J3960="P2",J3960="P3",J3960="P4")),IF(OR(U3960=1,U3960="1"),"adequate","partial"),INDEX(Fit_Matrix!$B:$B,MATCH(P3960,Fit_Matrix!$A:$A,0)))),"CHECK KEY"))</f>
        <v/>
      </c>
      <c r="U3960" s="10"/>
      <c r="V3960" s="10"/>
      <c r="W3960" s="10"/>
      <c r="X3960" s="10"/>
      <c r="Y3960" s="10"/>
      <c r="Z3960" s="10"/>
      <c r="AA3960" s="11" t="str">
        <f t="shared" si="123"/>
        <v/>
      </c>
    </row>
    <row r="3961" spans="16:27" ht="15" customHeight="1">
      <c r="P3961" t="str">
        <f t="shared" si="122"/>
        <v/>
      </c>
      <c r="Q3961" t="str">
        <f>IF(P3961="","",IFERROR(IF(AND(H3961="W7",OR(F3961="causal",F3961="predictive")),IF(AND(OR(K3961=1,K3961="1"),OR(L3961=1,L3961="1"),OR(M3961=1,M3961="1")),"adequate","partial"),IF(AND(H3961="W4",F3961="predictive",OR(J3961="P2",J3961="P3",J3961="P4")),IF(OR(U3961=1,U3961="1"),"adequate","partial"),INDEX(Fit_Matrix!$B:$B,MATCH(P3961,Fit_Matrix!$A:$A,0)))),"CHECK KEY"))</f>
        <v/>
      </c>
      <c r="U3961" s="10"/>
      <c r="V3961" s="10"/>
      <c r="W3961" s="10"/>
      <c r="X3961" s="10"/>
      <c r="Y3961" s="10"/>
      <c r="Z3961" s="10"/>
      <c r="AA3961" s="11" t="str">
        <f t="shared" si="123"/>
        <v/>
      </c>
    </row>
    <row r="3962" spans="16:27" ht="15" customHeight="1">
      <c r="P3962" t="str">
        <f t="shared" si="122"/>
        <v/>
      </c>
      <c r="Q3962" t="str">
        <f>IF(P3962="","",IFERROR(IF(AND(H3962="W7",OR(F3962="causal",F3962="predictive")),IF(AND(OR(K3962=1,K3962="1"),OR(L3962=1,L3962="1"),OR(M3962=1,M3962="1")),"adequate","partial"),IF(AND(H3962="W4",F3962="predictive",OR(J3962="P2",J3962="P3",J3962="P4")),IF(OR(U3962=1,U3962="1"),"adequate","partial"),INDEX(Fit_Matrix!$B:$B,MATCH(P3962,Fit_Matrix!$A:$A,0)))),"CHECK KEY"))</f>
        <v/>
      </c>
      <c r="U3962" s="10"/>
      <c r="V3962" s="10"/>
      <c r="W3962" s="10"/>
      <c r="X3962" s="10"/>
      <c r="Y3962" s="10"/>
      <c r="Z3962" s="10"/>
      <c r="AA3962" s="11" t="str">
        <f t="shared" si="123"/>
        <v/>
      </c>
    </row>
    <row r="3963" spans="16:27" ht="15" customHeight="1">
      <c r="P3963" t="str">
        <f t="shared" si="122"/>
        <v/>
      </c>
      <c r="Q3963" t="str">
        <f>IF(P3963="","",IFERROR(IF(AND(H3963="W7",OR(F3963="causal",F3963="predictive")),IF(AND(OR(K3963=1,K3963="1"),OR(L3963=1,L3963="1"),OR(M3963=1,M3963="1")),"adequate","partial"),IF(AND(H3963="W4",F3963="predictive",OR(J3963="P2",J3963="P3",J3963="P4")),IF(OR(U3963=1,U3963="1"),"adequate","partial"),INDEX(Fit_Matrix!$B:$B,MATCH(P3963,Fit_Matrix!$A:$A,0)))),"CHECK KEY"))</f>
        <v/>
      </c>
      <c r="U3963" s="10"/>
      <c r="V3963" s="10"/>
      <c r="W3963" s="10"/>
      <c r="X3963" s="10"/>
      <c r="Y3963" s="10"/>
      <c r="Z3963" s="10"/>
      <c r="AA3963" s="11" t="str">
        <f t="shared" si="123"/>
        <v/>
      </c>
    </row>
    <row r="3964" spans="16:27" ht="15" customHeight="1">
      <c r="P3964" t="str">
        <f t="shared" si="122"/>
        <v/>
      </c>
      <c r="Q3964" t="str">
        <f>IF(P3964="","",IFERROR(IF(AND(H3964="W7",OR(F3964="causal",F3964="predictive")),IF(AND(OR(K3964=1,K3964="1"),OR(L3964=1,L3964="1"),OR(M3964=1,M3964="1")),"adequate","partial"),IF(AND(H3964="W4",F3964="predictive",OR(J3964="P2",J3964="P3",J3964="P4")),IF(OR(U3964=1,U3964="1"),"adequate","partial"),INDEX(Fit_Matrix!$B:$B,MATCH(P3964,Fit_Matrix!$A:$A,0)))),"CHECK KEY"))</f>
        <v/>
      </c>
      <c r="U3964" s="10"/>
      <c r="V3964" s="10"/>
      <c r="W3964" s="10"/>
      <c r="X3964" s="10"/>
      <c r="Y3964" s="10"/>
      <c r="Z3964" s="10"/>
      <c r="AA3964" s="11" t="str">
        <f t="shared" si="123"/>
        <v/>
      </c>
    </row>
    <row r="3965" spans="16:27" ht="15" customHeight="1">
      <c r="P3965" t="str">
        <f t="shared" si="122"/>
        <v/>
      </c>
      <c r="Q3965" t="str">
        <f>IF(P3965="","",IFERROR(IF(AND(H3965="W7",OR(F3965="causal",F3965="predictive")),IF(AND(OR(K3965=1,K3965="1"),OR(L3965=1,L3965="1"),OR(M3965=1,M3965="1")),"adequate","partial"),IF(AND(H3965="W4",F3965="predictive",OR(J3965="P2",J3965="P3",J3965="P4")),IF(OR(U3965=1,U3965="1"),"adequate","partial"),INDEX(Fit_Matrix!$B:$B,MATCH(P3965,Fit_Matrix!$A:$A,0)))),"CHECK KEY"))</f>
        <v/>
      </c>
      <c r="U3965" s="10"/>
      <c r="V3965" s="10"/>
      <c r="W3965" s="10"/>
      <c r="X3965" s="10"/>
      <c r="Y3965" s="10"/>
      <c r="Z3965" s="10"/>
      <c r="AA3965" s="11" t="str">
        <f t="shared" si="123"/>
        <v/>
      </c>
    </row>
    <row r="3966" spans="16:27" ht="15" customHeight="1">
      <c r="P3966" t="str">
        <f t="shared" si="122"/>
        <v/>
      </c>
      <c r="Q3966" t="str">
        <f>IF(P3966="","",IFERROR(IF(AND(H3966="W7",OR(F3966="causal",F3966="predictive")),IF(AND(OR(K3966=1,K3966="1"),OR(L3966=1,L3966="1"),OR(M3966=1,M3966="1")),"adequate","partial"),IF(AND(H3966="W4",F3966="predictive",OR(J3966="P2",J3966="P3",J3966="P4")),IF(OR(U3966=1,U3966="1"),"adequate","partial"),INDEX(Fit_Matrix!$B:$B,MATCH(P3966,Fit_Matrix!$A:$A,0)))),"CHECK KEY"))</f>
        <v/>
      </c>
      <c r="U3966" s="10"/>
      <c r="V3966" s="10"/>
      <c r="W3966" s="10"/>
      <c r="X3966" s="10"/>
      <c r="Y3966" s="10"/>
      <c r="Z3966" s="10"/>
      <c r="AA3966" s="11" t="str">
        <f t="shared" si="123"/>
        <v/>
      </c>
    </row>
    <row r="3967" spans="16:27" ht="15" customHeight="1">
      <c r="P3967" t="str">
        <f t="shared" si="122"/>
        <v/>
      </c>
      <c r="Q3967" t="str">
        <f>IF(P3967="","",IFERROR(IF(AND(H3967="W7",OR(F3967="causal",F3967="predictive")),IF(AND(OR(K3967=1,K3967="1"),OR(L3967=1,L3967="1"),OR(M3967=1,M3967="1")),"adequate","partial"),IF(AND(H3967="W4",F3967="predictive",OR(J3967="P2",J3967="P3",J3967="P4")),IF(OR(U3967=1,U3967="1"),"adequate","partial"),INDEX(Fit_Matrix!$B:$B,MATCH(P3967,Fit_Matrix!$A:$A,0)))),"CHECK KEY"))</f>
        <v/>
      </c>
      <c r="U3967" s="10"/>
      <c r="V3967" s="10"/>
      <c r="W3967" s="10"/>
      <c r="X3967" s="10"/>
      <c r="Y3967" s="10"/>
      <c r="Z3967" s="10"/>
      <c r="AA3967" s="11" t="str">
        <f t="shared" si="123"/>
        <v/>
      </c>
    </row>
    <row r="3968" spans="16:27" ht="15" customHeight="1">
      <c r="P3968" t="str">
        <f t="shared" si="122"/>
        <v/>
      </c>
      <c r="Q3968" t="str">
        <f>IF(P3968="","",IFERROR(IF(AND(H3968="W7",OR(F3968="causal",F3968="predictive")),IF(AND(OR(K3968=1,K3968="1"),OR(L3968=1,L3968="1"),OR(M3968=1,M3968="1")),"adequate","partial"),IF(AND(H3968="W4",F3968="predictive",OR(J3968="P2",J3968="P3",J3968="P4")),IF(OR(U3968=1,U3968="1"),"adequate","partial"),INDEX(Fit_Matrix!$B:$B,MATCH(P3968,Fit_Matrix!$A:$A,0)))),"CHECK KEY"))</f>
        <v/>
      </c>
      <c r="U3968" s="10"/>
      <c r="V3968" s="10"/>
      <c r="W3968" s="10"/>
      <c r="X3968" s="10"/>
      <c r="Y3968" s="10"/>
      <c r="Z3968" s="10"/>
      <c r="AA3968" s="11" t="str">
        <f t="shared" si="123"/>
        <v/>
      </c>
    </row>
    <row r="3969" spans="16:27" ht="15" customHeight="1">
      <c r="P3969" t="str">
        <f t="shared" si="122"/>
        <v/>
      </c>
      <c r="Q3969" t="str">
        <f>IF(P3969="","",IFERROR(IF(AND(H3969="W7",OR(F3969="causal",F3969="predictive")),IF(AND(OR(K3969=1,K3969="1"),OR(L3969=1,L3969="1"),OR(M3969=1,M3969="1")),"adequate","partial"),IF(AND(H3969="W4",F3969="predictive",OR(J3969="P2",J3969="P3",J3969="P4")),IF(OR(U3969=1,U3969="1"),"adequate","partial"),INDEX(Fit_Matrix!$B:$B,MATCH(P3969,Fit_Matrix!$A:$A,0)))),"CHECK KEY"))</f>
        <v/>
      </c>
      <c r="U3969" s="10"/>
      <c r="V3969" s="10"/>
      <c r="W3969" s="10"/>
      <c r="X3969" s="10"/>
      <c r="Y3969" s="10"/>
      <c r="Z3969" s="10"/>
      <c r="AA3969" s="11" t="str">
        <f t="shared" si="123"/>
        <v/>
      </c>
    </row>
    <row r="3970" spans="16:27" ht="15" customHeight="1">
      <c r="P3970" t="str">
        <f t="shared" ref="P3970:P4033" si="124">IF(OR(F3970="",H3970="",J3970=""),"",J3970&amp;"|"&amp;F3970&amp;"|"&amp;IF(H3970="W3","W3_"&amp;IF(I3970="","unknown",I3970),H3970))</f>
        <v/>
      </c>
      <c r="Q3970" t="str">
        <f>IF(P3970="","",IFERROR(IF(AND(H3970="W7",OR(F3970="causal",F3970="predictive")),IF(AND(OR(K3970=1,K3970="1"),OR(L3970=1,L3970="1"),OR(M3970=1,M3970="1")),"adequate","partial"),IF(AND(H3970="W4",F3970="predictive",OR(J3970="P2",J3970="P3",J3970="P4")),IF(OR(U3970=1,U3970="1"),"adequate","partial"),INDEX(Fit_Matrix!$B:$B,MATCH(P3970,Fit_Matrix!$A:$A,0)))),"CHECK KEY"))</f>
        <v/>
      </c>
      <c r="U3970" s="10"/>
      <c r="V3970" s="10"/>
      <c r="W3970" s="10"/>
      <c r="X3970" s="10"/>
      <c r="Y3970" s="10"/>
      <c r="Z3970" s="10"/>
      <c r="AA3970" s="11" t="str">
        <f t="shared" ref="AA3970:AA4033" si="125">IF(A3970="","",IF(AND(J3970="P4",F3970="causal"),"P4-CAUSAL",""))</f>
        <v/>
      </c>
    </row>
    <row r="3971" spans="16:27" ht="15" customHeight="1">
      <c r="P3971" t="str">
        <f t="shared" si="124"/>
        <v/>
      </c>
      <c r="Q3971" t="str">
        <f>IF(P3971="","",IFERROR(IF(AND(H3971="W7",OR(F3971="causal",F3971="predictive")),IF(AND(OR(K3971=1,K3971="1"),OR(L3971=1,L3971="1"),OR(M3971=1,M3971="1")),"adequate","partial"),IF(AND(H3971="W4",F3971="predictive",OR(J3971="P2",J3971="P3",J3971="P4")),IF(OR(U3971=1,U3971="1"),"adequate","partial"),INDEX(Fit_Matrix!$B:$B,MATCH(P3971,Fit_Matrix!$A:$A,0)))),"CHECK KEY"))</f>
        <v/>
      </c>
      <c r="U3971" s="10"/>
      <c r="V3971" s="10"/>
      <c r="W3971" s="10"/>
      <c r="X3971" s="10"/>
      <c r="Y3971" s="10"/>
      <c r="Z3971" s="10"/>
      <c r="AA3971" s="11" t="str">
        <f t="shared" si="125"/>
        <v/>
      </c>
    </row>
    <row r="3972" spans="16:27" ht="15" customHeight="1">
      <c r="P3972" t="str">
        <f t="shared" si="124"/>
        <v/>
      </c>
      <c r="Q3972" t="str">
        <f>IF(P3972="","",IFERROR(IF(AND(H3972="W7",OR(F3972="causal",F3972="predictive")),IF(AND(OR(K3972=1,K3972="1"),OR(L3972=1,L3972="1"),OR(M3972=1,M3972="1")),"adequate","partial"),IF(AND(H3972="W4",F3972="predictive",OR(J3972="P2",J3972="P3",J3972="P4")),IF(OR(U3972=1,U3972="1"),"adequate","partial"),INDEX(Fit_Matrix!$B:$B,MATCH(P3972,Fit_Matrix!$A:$A,0)))),"CHECK KEY"))</f>
        <v/>
      </c>
      <c r="U3972" s="10"/>
      <c r="V3972" s="10"/>
      <c r="W3972" s="10"/>
      <c r="X3972" s="10"/>
      <c r="Y3972" s="10"/>
      <c r="Z3972" s="10"/>
      <c r="AA3972" s="11" t="str">
        <f t="shared" si="125"/>
        <v/>
      </c>
    </row>
    <row r="3973" spans="16:27" ht="15" customHeight="1">
      <c r="P3973" t="str">
        <f t="shared" si="124"/>
        <v/>
      </c>
      <c r="Q3973" t="str">
        <f>IF(P3973="","",IFERROR(IF(AND(H3973="W7",OR(F3973="causal",F3973="predictive")),IF(AND(OR(K3973=1,K3973="1"),OR(L3973=1,L3973="1"),OR(M3973=1,M3973="1")),"adequate","partial"),IF(AND(H3973="W4",F3973="predictive",OR(J3973="P2",J3973="P3",J3973="P4")),IF(OR(U3973=1,U3973="1"),"adequate","partial"),INDEX(Fit_Matrix!$B:$B,MATCH(P3973,Fit_Matrix!$A:$A,0)))),"CHECK KEY"))</f>
        <v/>
      </c>
      <c r="U3973" s="10"/>
      <c r="V3973" s="10"/>
      <c r="W3973" s="10"/>
      <c r="X3973" s="10"/>
      <c r="Y3973" s="10"/>
      <c r="Z3973" s="10"/>
      <c r="AA3973" s="11" t="str">
        <f t="shared" si="125"/>
        <v/>
      </c>
    </row>
    <row r="3974" spans="16:27" ht="15" customHeight="1">
      <c r="P3974" t="str">
        <f t="shared" si="124"/>
        <v/>
      </c>
      <c r="Q3974" t="str">
        <f>IF(P3974="","",IFERROR(IF(AND(H3974="W7",OR(F3974="causal",F3974="predictive")),IF(AND(OR(K3974=1,K3974="1"),OR(L3974=1,L3974="1"),OR(M3974=1,M3974="1")),"adequate","partial"),IF(AND(H3974="W4",F3974="predictive",OR(J3974="P2",J3974="P3",J3974="P4")),IF(OR(U3974=1,U3974="1"),"adequate","partial"),INDEX(Fit_Matrix!$B:$B,MATCH(P3974,Fit_Matrix!$A:$A,0)))),"CHECK KEY"))</f>
        <v/>
      </c>
      <c r="U3974" s="10"/>
      <c r="V3974" s="10"/>
      <c r="W3974" s="10"/>
      <c r="X3974" s="10"/>
      <c r="Y3974" s="10"/>
      <c r="Z3974" s="10"/>
      <c r="AA3974" s="11" t="str">
        <f t="shared" si="125"/>
        <v/>
      </c>
    </row>
    <row r="3975" spans="16:27" ht="15" customHeight="1">
      <c r="P3975" t="str">
        <f t="shared" si="124"/>
        <v/>
      </c>
      <c r="Q3975" t="str">
        <f>IF(P3975="","",IFERROR(IF(AND(H3975="W7",OR(F3975="causal",F3975="predictive")),IF(AND(OR(K3975=1,K3975="1"),OR(L3975=1,L3975="1"),OR(M3975=1,M3975="1")),"adequate","partial"),IF(AND(H3975="W4",F3975="predictive",OR(J3975="P2",J3975="P3",J3975="P4")),IF(OR(U3975=1,U3975="1"),"adequate","partial"),INDEX(Fit_Matrix!$B:$B,MATCH(P3975,Fit_Matrix!$A:$A,0)))),"CHECK KEY"))</f>
        <v/>
      </c>
      <c r="U3975" s="10"/>
      <c r="V3975" s="10"/>
      <c r="W3975" s="10"/>
      <c r="X3975" s="10"/>
      <c r="Y3975" s="10"/>
      <c r="Z3975" s="10"/>
      <c r="AA3975" s="11" t="str">
        <f t="shared" si="125"/>
        <v/>
      </c>
    </row>
    <row r="3976" spans="16:27" ht="15" customHeight="1">
      <c r="P3976" t="str">
        <f t="shared" si="124"/>
        <v/>
      </c>
      <c r="Q3976" t="str">
        <f>IF(P3976="","",IFERROR(IF(AND(H3976="W7",OR(F3976="causal",F3976="predictive")),IF(AND(OR(K3976=1,K3976="1"),OR(L3976=1,L3976="1"),OR(M3976=1,M3976="1")),"adequate","partial"),IF(AND(H3976="W4",F3976="predictive",OR(J3976="P2",J3976="P3",J3976="P4")),IF(OR(U3976=1,U3976="1"),"adequate","partial"),INDEX(Fit_Matrix!$B:$B,MATCH(P3976,Fit_Matrix!$A:$A,0)))),"CHECK KEY"))</f>
        <v/>
      </c>
      <c r="U3976" s="10"/>
      <c r="V3976" s="10"/>
      <c r="W3976" s="10"/>
      <c r="X3976" s="10"/>
      <c r="Y3976" s="10"/>
      <c r="Z3976" s="10"/>
      <c r="AA3976" s="11" t="str">
        <f t="shared" si="125"/>
        <v/>
      </c>
    </row>
    <row r="3977" spans="16:27" ht="15" customHeight="1">
      <c r="P3977" t="str">
        <f t="shared" si="124"/>
        <v/>
      </c>
      <c r="Q3977" t="str">
        <f>IF(P3977="","",IFERROR(IF(AND(H3977="W7",OR(F3977="causal",F3977="predictive")),IF(AND(OR(K3977=1,K3977="1"),OR(L3977=1,L3977="1"),OR(M3977=1,M3977="1")),"adequate","partial"),IF(AND(H3977="W4",F3977="predictive",OR(J3977="P2",J3977="P3",J3977="P4")),IF(OR(U3977=1,U3977="1"),"adequate","partial"),INDEX(Fit_Matrix!$B:$B,MATCH(P3977,Fit_Matrix!$A:$A,0)))),"CHECK KEY"))</f>
        <v/>
      </c>
      <c r="U3977" s="10"/>
      <c r="V3977" s="10"/>
      <c r="W3977" s="10"/>
      <c r="X3977" s="10"/>
      <c r="Y3977" s="10"/>
      <c r="Z3977" s="10"/>
      <c r="AA3977" s="11" t="str">
        <f t="shared" si="125"/>
        <v/>
      </c>
    </row>
    <row r="3978" spans="16:27" ht="15" customHeight="1">
      <c r="P3978" t="str">
        <f t="shared" si="124"/>
        <v/>
      </c>
      <c r="Q3978" t="str">
        <f>IF(P3978="","",IFERROR(IF(AND(H3978="W7",OR(F3978="causal",F3978="predictive")),IF(AND(OR(K3978=1,K3978="1"),OR(L3978=1,L3978="1"),OR(M3978=1,M3978="1")),"adequate","partial"),IF(AND(H3978="W4",F3978="predictive",OR(J3978="P2",J3978="P3",J3978="P4")),IF(OR(U3978=1,U3978="1"),"adequate","partial"),INDEX(Fit_Matrix!$B:$B,MATCH(P3978,Fit_Matrix!$A:$A,0)))),"CHECK KEY"))</f>
        <v/>
      </c>
      <c r="U3978" s="10"/>
      <c r="V3978" s="10"/>
      <c r="W3978" s="10"/>
      <c r="X3978" s="10"/>
      <c r="Y3978" s="10"/>
      <c r="Z3978" s="10"/>
      <c r="AA3978" s="11" t="str">
        <f t="shared" si="125"/>
        <v/>
      </c>
    </row>
    <row r="3979" spans="16:27" ht="15" customHeight="1">
      <c r="P3979" t="str">
        <f t="shared" si="124"/>
        <v/>
      </c>
      <c r="Q3979" t="str">
        <f>IF(P3979="","",IFERROR(IF(AND(H3979="W7",OR(F3979="causal",F3979="predictive")),IF(AND(OR(K3979=1,K3979="1"),OR(L3979=1,L3979="1"),OR(M3979=1,M3979="1")),"adequate","partial"),IF(AND(H3979="W4",F3979="predictive",OR(J3979="P2",J3979="P3",J3979="P4")),IF(OR(U3979=1,U3979="1"),"adequate","partial"),INDEX(Fit_Matrix!$B:$B,MATCH(P3979,Fit_Matrix!$A:$A,0)))),"CHECK KEY"))</f>
        <v/>
      </c>
      <c r="U3979" s="10"/>
      <c r="V3979" s="10"/>
      <c r="W3979" s="10"/>
      <c r="X3979" s="10"/>
      <c r="Y3979" s="10"/>
      <c r="Z3979" s="10"/>
      <c r="AA3979" s="11" t="str">
        <f t="shared" si="125"/>
        <v/>
      </c>
    </row>
    <row r="3980" spans="16:27" ht="15" customHeight="1">
      <c r="P3980" t="str">
        <f t="shared" si="124"/>
        <v/>
      </c>
      <c r="Q3980" t="str">
        <f>IF(P3980="","",IFERROR(IF(AND(H3980="W7",OR(F3980="causal",F3980="predictive")),IF(AND(OR(K3980=1,K3980="1"),OR(L3980=1,L3980="1"),OR(M3980=1,M3980="1")),"adequate","partial"),IF(AND(H3980="W4",F3980="predictive",OR(J3980="P2",J3980="P3",J3980="P4")),IF(OR(U3980=1,U3980="1"),"adequate","partial"),INDEX(Fit_Matrix!$B:$B,MATCH(P3980,Fit_Matrix!$A:$A,0)))),"CHECK KEY"))</f>
        <v/>
      </c>
      <c r="U3980" s="10"/>
      <c r="V3980" s="10"/>
      <c r="W3980" s="10"/>
      <c r="X3980" s="10"/>
      <c r="Y3980" s="10"/>
      <c r="Z3980" s="10"/>
      <c r="AA3980" s="11" t="str">
        <f t="shared" si="125"/>
        <v/>
      </c>
    </row>
    <row r="3981" spans="16:27" ht="15" customHeight="1">
      <c r="P3981" t="str">
        <f t="shared" si="124"/>
        <v/>
      </c>
      <c r="Q3981" t="str">
        <f>IF(P3981="","",IFERROR(IF(AND(H3981="W7",OR(F3981="causal",F3981="predictive")),IF(AND(OR(K3981=1,K3981="1"),OR(L3981=1,L3981="1"),OR(M3981=1,M3981="1")),"adequate","partial"),IF(AND(H3981="W4",F3981="predictive",OR(J3981="P2",J3981="P3",J3981="P4")),IF(OR(U3981=1,U3981="1"),"adequate","partial"),INDEX(Fit_Matrix!$B:$B,MATCH(P3981,Fit_Matrix!$A:$A,0)))),"CHECK KEY"))</f>
        <v/>
      </c>
      <c r="U3981" s="10"/>
      <c r="V3981" s="10"/>
      <c r="W3981" s="10"/>
      <c r="X3981" s="10"/>
      <c r="Y3981" s="10"/>
      <c r="Z3981" s="10"/>
      <c r="AA3981" s="11" t="str">
        <f t="shared" si="125"/>
        <v/>
      </c>
    </row>
    <row r="3982" spans="16:27" ht="15" customHeight="1">
      <c r="P3982" t="str">
        <f t="shared" si="124"/>
        <v/>
      </c>
      <c r="Q3982" t="str">
        <f>IF(P3982="","",IFERROR(IF(AND(H3982="W7",OR(F3982="causal",F3982="predictive")),IF(AND(OR(K3982=1,K3982="1"),OR(L3982=1,L3982="1"),OR(M3982=1,M3982="1")),"adequate","partial"),IF(AND(H3982="W4",F3982="predictive",OR(J3982="P2",J3982="P3",J3982="P4")),IF(OR(U3982=1,U3982="1"),"adequate","partial"),INDEX(Fit_Matrix!$B:$B,MATCH(P3982,Fit_Matrix!$A:$A,0)))),"CHECK KEY"))</f>
        <v/>
      </c>
      <c r="U3982" s="10"/>
      <c r="V3982" s="10"/>
      <c r="W3982" s="10"/>
      <c r="X3982" s="10"/>
      <c r="Y3982" s="10"/>
      <c r="Z3982" s="10"/>
      <c r="AA3982" s="11" t="str">
        <f t="shared" si="125"/>
        <v/>
      </c>
    </row>
    <row r="3983" spans="16:27" ht="15" customHeight="1">
      <c r="P3983" t="str">
        <f t="shared" si="124"/>
        <v/>
      </c>
      <c r="Q3983" t="str">
        <f>IF(P3983="","",IFERROR(IF(AND(H3983="W7",OR(F3983="causal",F3983="predictive")),IF(AND(OR(K3983=1,K3983="1"),OR(L3983=1,L3983="1"),OR(M3983=1,M3983="1")),"adequate","partial"),IF(AND(H3983="W4",F3983="predictive",OR(J3983="P2",J3983="P3",J3983="P4")),IF(OR(U3983=1,U3983="1"),"adequate","partial"),INDEX(Fit_Matrix!$B:$B,MATCH(P3983,Fit_Matrix!$A:$A,0)))),"CHECK KEY"))</f>
        <v/>
      </c>
      <c r="U3983" s="10"/>
      <c r="V3983" s="10"/>
      <c r="W3983" s="10"/>
      <c r="X3983" s="10"/>
      <c r="Y3983" s="10"/>
      <c r="Z3983" s="10"/>
      <c r="AA3983" s="11" t="str">
        <f t="shared" si="125"/>
        <v/>
      </c>
    </row>
    <row r="3984" spans="16:27" ht="15" customHeight="1">
      <c r="P3984" t="str">
        <f t="shared" si="124"/>
        <v/>
      </c>
      <c r="Q3984" t="str">
        <f>IF(P3984="","",IFERROR(IF(AND(H3984="W7",OR(F3984="causal",F3984="predictive")),IF(AND(OR(K3984=1,K3984="1"),OR(L3984=1,L3984="1"),OR(M3984=1,M3984="1")),"adequate","partial"),IF(AND(H3984="W4",F3984="predictive",OR(J3984="P2",J3984="P3",J3984="P4")),IF(OR(U3984=1,U3984="1"),"adequate","partial"),INDEX(Fit_Matrix!$B:$B,MATCH(P3984,Fit_Matrix!$A:$A,0)))),"CHECK KEY"))</f>
        <v/>
      </c>
      <c r="U3984" s="10"/>
      <c r="V3984" s="10"/>
      <c r="W3984" s="10"/>
      <c r="X3984" s="10"/>
      <c r="Y3984" s="10"/>
      <c r="Z3984" s="10"/>
      <c r="AA3984" s="11" t="str">
        <f t="shared" si="125"/>
        <v/>
      </c>
    </row>
    <row r="3985" spans="16:27" ht="15" customHeight="1">
      <c r="P3985" t="str">
        <f t="shared" si="124"/>
        <v/>
      </c>
      <c r="Q3985" t="str">
        <f>IF(P3985="","",IFERROR(IF(AND(H3985="W7",OR(F3985="causal",F3985="predictive")),IF(AND(OR(K3985=1,K3985="1"),OR(L3985=1,L3985="1"),OR(M3985=1,M3985="1")),"adequate","partial"),IF(AND(H3985="W4",F3985="predictive",OR(J3985="P2",J3985="P3",J3985="P4")),IF(OR(U3985=1,U3985="1"),"adequate","partial"),INDEX(Fit_Matrix!$B:$B,MATCH(P3985,Fit_Matrix!$A:$A,0)))),"CHECK KEY"))</f>
        <v/>
      </c>
      <c r="U3985" s="10"/>
      <c r="V3985" s="10"/>
      <c r="W3985" s="10"/>
      <c r="X3985" s="10"/>
      <c r="Y3985" s="10"/>
      <c r="Z3985" s="10"/>
      <c r="AA3985" s="11" t="str">
        <f t="shared" si="125"/>
        <v/>
      </c>
    </row>
    <row r="3986" spans="16:27" ht="15" customHeight="1">
      <c r="P3986" t="str">
        <f t="shared" si="124"/>
        <v/>
      </c>
      <c r="Q3986" t="str">
        <f>IF(P3986="","",IFERROR(IF(AND(H3986="W7",OR(F3986="causal",F3986="predictive")),IF(AND(OR(K3986=1,K3986="1"),OR(L3986=1,L3986="1"),OR(M3986=1,M3986="1")),"adequate","partial"),IF(AND(H3986="W4",F3986="predictive",OR(J3986="P2",J3986="P3",J3986="P4")),IF(OR(U3986=1,U3986="1"),"adequate","partial"),INDEX(Fit_Matrix!$B:$B,MATCH(P3986,Fit_Matrix!$A:$A,0)))),"CHECK KEY"))</f>
        <v/>
      </c>
      <c r="U3986" s="10"/>
      <c r="V3986" s="10"/>
      <c r="W3986" s="10"/>
      <c r="X3986" s="10"/>
      <c r="Y3986" s="10"/>
      <c r="Z3986" s="10"/>
      <c r="AA3986" s="11" t="str">
        <f t="shared" si="125"/>
        <v/>
      </c>
    </row>
    <row r="3987" spans="16:27" ht="15" customHeight="1">
      <c r="P3987" t="str">
        <f t="shared" si="124"/>
        <v/>
      </c>
      <c r="Q3987" t="str">
        <f>IF(P3987="","",IFERROR(IF(AND(H3987="W7",OR(F3987="causal",F3987="predictive")),IF(AND(OR(K3987=1,K3987="1"),OR(L3987=1,L3987="1"),OR(M3987=1,M3987="1")),"adequate","partial"),IF(AND(H3987="W4",F3987="predictive",OR(J3987="P2",J3987="P3",J3987="P4")),IF(OR(U3987=1,U3987="1"),"adequate","partial"),INDEX(Fit_Matrix!$B:$B,MATCH(P3987,Fit_Matrix!$A:$A,0)))),"CHECK KEY"))</f>
        <v/>
      </c>
      <c r="U3987" s="10"/>
      <c r="V3987" s="10"/>
      <c r="W3987" s="10"/>
      <c r="X3987" s="10"/>
      <c r="Y3987" s="10"/>
      <c r="Z3987" s="10"/>
      <c r="AA3987" s="11" t="str">
        <f t="shared" si="125"/>
        <v/>
      </c>
    </row>
    <row r="3988" spans="16:27" ht="15" customHeight="1">
      <c r="P3988" t="str">
        <f t="shared" si="124"/>
        <v/>
      </c>
      <c r="Q3988" t="str">
        <f>IF(P3988="","",IFERROR(IF(AND(H3988="W7",OR(F3988="causal",F3988="predictive")),IF(AND(OR(K3988=1,K3988="1"),OR(L3988=1,L3988="1"),OR(M3988=1,M3988="1")),"adequate","partial"),IF(AND(H3988="W4",F3988="predictive",OR(J3988="P2",J3988="P3",J3988="P4")),IF(OR(U3988=1,U3988="1"),"adequate","partial"),INDEX(Fit_Matrix!$B:$B,MATCH(P3988,Fit_Matrix!$A:$A,0)))),"CHECK KEY"))</f>
        <v/>
      </c>
      <c r="U3988" s="10"/>
      <c r="V3988" s="10"/>
      <c r="W3988" s="10"/>
      <c r="X3988" s="10"/>
      <c r="Y3988" s="10"/>
      <c r="Z3988" s="10"/>
      <c r="AA3988" s="11" t="str">
        <f t="shared" si="125"/>
        <v/>
      </c>
    </row>
    <row r="3989" spans="16:27" ht="15" customHeight="1">
      <c r="P3989" t="str">
        <f t="shared" si="124"/>
        <v/>
      </c>
      <c r="Q3989" t="str">
        <f>IF(P3989="","",IFERROR(IF(AND(H3989="W7",OR(F3989="causal",F3989="predictive")),IF(AND(OR(K3989=1,K3989="1"),OR(L3989=1,L3989="1"),OR(M3989=1,M3989="1")),"adequate","partial"),IF(AND(H3989="W4",F3989="predictive",OR(J3989="P2",J3989="P3",J3989="P4")),IF(OR(U3989=1,U3989="1"),"adequate","partial"),INDEX(Fit_Matrix!$B:$B,MATCH(P3989,Fit_Matrix!$A:$A,0)))),"CHECK KEY"))</f>
        <v/>
      </c>
      <c r="U3989" s="10"/>
      <c r="V3989" s="10"/>
      <c r="W3989" s="10"/>
      <c r="X3989" s="10"/>
      <c r="Y3989" s="10"/>
      <c r="Z3989" s="10"/>
      <c r="AA3989" s="11" t="str">
        <f t="shared" si="125"/>
        <v/>
      </c>
    </row>
    <row r="3990" spans="16:27" ht="15" customHeight="1">
      <c r="P3990" t="str">
        <f t="shared" si="124"/>
        <v/>
      </c>
      <c r="Q3990" t="str">
        <f>IF(P3990="","",IFERROR(IF(AND(H3990="W7",OR(F3990="causal",F3990="predictive")),IF(AND(OR(K3990=1,K3990="1"),OR(L3990=1,L3990="1"),OR(M3990=1,M3990="1")),"adequate","partial"),IF(AND(H3990="W4",F3990="predictive",OR(J3990="P2",J3990="P3",J3990="P4")),IF(OR(U3990=1,U3990="1"),"adequate","partial"),INDEX(Fit_Matrix!$B:$B,MATCH(P3990,Fit_Matrix!$A:$A,0)))),"CHECK KEY"))</f>
        <v/>
      </c>
      <c r="U3990" s="10"/>
      <c r="V3990" s="10"/>
      <c r="W3990" s="10"/>
      <c r="X3990" s="10"/>
      <c r="Y3990" s="10"/>
      <c r="Z3990" s="10"/>
      <c r="AA3990" s="11" t="str">
        <f t="shared" si="125"/>
        <v/>
      </c>
    </row>
    <row r="3991" spans="16:27" ht="15" customHeight="1">
      <c r="P3991" t="str">
        <f t="shared" si="124"/>
        <v/>
      </c>
      <c r="Q3991" t="str">
        <f>IF(P3991="","",IFERROR(IF(AND(H3991="W7",OR(F3991="causal",F3991="predictive")),IF(AND(OR(K3991=1,K3991="1"),OR(L3991=1,L3991="1"),OR(M3991=1,M3991="1")),"adequate","partial"),IF(AND(H3991="W4",F3991="predictive",OR(J3991="P2",J3991="P3",J3991="P4")),IF(OR(U3991=1,U3991="1"),"adequate","partial"),INDEX(Fit_Matrix!$B:$B,MATCH(P3991,Fit_Matrix!$A:$A,0)))),"CHECK KEY"))</f>
        <v/>
      </c>
      <c r="U3991" s="10"/>
      <c r="V3991" s="10"/>
      <c r="W3991" s="10"/>
      <c r="X3991" s="10"/>
      <c r="Y3991" s="10"/>
      <c r="Z3991" s="10"/>
      <c r="AA3991" s="11" t="str">
        <f t="shared" si="125"/>
        <v/>
      </c>
    </row>
    <row r="3992" spans="16:27" ht="15" customHeight="1">
      <c r="P3992" t="str">
        <f t="shared" si="124"/>
        <v/>
      </c>
      <c r="Q3992" t="str">
        <f>IF(P3992="","",IFERROR(IF(AND(H3992="W7",OR(F3992="causal",F3992="predictive")),IF(AND(OR(K3992=1,K3992="1"),OR(L3992=1,L3992="1"),OR(M3992=1,M3992="1")),"adequate","partial"),IF(AND(H3992="W4",F3992="predictive",OR(J3992="P2",J3992="P3",J3992="P4")),IF(OR(U3992=1,U3992="1"),"adequate","partial"),INDEX(Fit_Matrix!$B:$B,MATCH(P3992,Fit_Matrix!$A:$A,0)))),"CHECK KEY"))</f>
        <v/>
      </c>
      <c r="U3992" s="10"/>
      <c r="V3992" s="10"/>
      <c r="W3992" s="10"/>
      <c r="X3992" s="10"/>
      <c r="Y3992" s="10"/>
      <c r="Z3992" s="10"/>
      <c r="AA3992" s="11" t="str">
        <f t="shared" si="125"/>
        <v/>
      </c>
    </row>
    <row r="3993" spans="16:27" ht="15" customHeight="1">
      <c r="P3993" t="str">
        <f t="shared" si="124"/>
        <v/>
      </c>
      <c r="Q3993" t="str">
        <f>IF(P3993="","",IFERROR(IF(AND(H3993="W7",OR(F3993="causal",F3993="predictive")),IF(AND(OR(K3993=1,K3993="1"),OR(L3993=1,L3993="1"),OR(M3993=1,M3993="1")),"adequate","partial"),IF(AND(H3993="W4",F3993="predictive",OR(J3993="P2",J3993="P3",J3993="P4")),IF(OR(U3993=1,U3993="1"),"adequate","partial"),INDEX(Fit_Matrix!$B:$B,MATCH(P3993,Fit_Matrix!$A:$A,0)))),"CHECK KEY"))</f>
        <v/>
      </c>
      <c r="U3993" s="10"/>
      <c r="V3993" s="10"/>
      <c r="W3993" s="10"/>
      <c r="X3993" s="10"/>
      <c r="Y3993" s="10"/>
      <c r="Z3993" s="10"/>
      <c r="AA3993" s="11" t="str">
        <f t="shared" si="125"/>
        <v/>
      </c>
    </row>
    <row r="3994" spans="16:27" ht="15" customHeight="1">
      <c r="P3994" t="str">
        <f t="shared" si="124"/>
        <v/>
      </c>
      <c r="Q3994" t="str">
        <f>IF(P3994="","",IFERROR(IF(AND(H3994="W7",OR(F3994="causal",F3994="predictive")),IF(AND(OR(K3994=1,K3994="1"),OR(L3994=1,L3994="1"),OR(M3994=1,M3994="1")),"adequate","partial"),IF(AND(H3994="W4",F3994="predictive",OR(J3994="P2",J3994="P3",J3994="P4")),IF(OR(U3994=1,U3994="1"),"adequate","partial"),INDEX(Fit_Matrix!$B:$B,MATCH(P3994,Fit_Matrix!$A:$A,0)))),"CHECK KEY"))</f>
        <v/>
      </c>
      <c r="U3994" s="10"/>
      <c r="V3994" s="10"/>
      <c r="W3994" s="10"/>
      <c r="X3994" s="10"/>
      <c r="Y3994" s="10"/>
      <c r="Z3994" s="10"/>
      <c r="AA3994" s="11" t="str">
        <f t="shared" si="125"/>
        <v/>
      </c>
    </row>
    <row r="3995" spans="16:27" ht="15" customHeight="1">
      <c r="P3995" t="str">
        <f t="shared" si="124"/>
        <v/>
      </c>
      <c r="Q3995" t="str">
        <f>IF(P3995="","",IFERROR(IF(AND(H3995="W7",OR(F3995="causal",F3995="predictive")),IF(AND(OR(K3995=1,K3995="1"),OR(L3995=1,L3995="1"),OR(M3995=1,M3995="1")),"adequate","partial"),IF(AND(H3995="W4",F3995="predictive",OR(J3995="P2",J3995="P3",J3995="P4")),IF(OR(U3995=1,U3995="1"),"adequate","partial"),INDEX(Fit_Matrix!$B:$B,MATCH(P3995,Fit_Matrix!$A:$A,0)))),"CHECK KEY"))</f>
        <v/>
      </c>
      <c r="U3995" s="10"/>
      <c r="V3995" s="10"/>
      <c r="W3995" s="10"/>
      <c r="X3995" s="10"/>
      <c r="Y3995" s="10"/>
      <c r="Z3995" s="10"/>
      <c r="AA3995" s="11" t="str">
        <f t="shared" si="125"/>
        <v/>
      </c>
    </row>
    <row r="3996" spans="16:27" ht="15" customHeight="1">
      <c r="P3996" t="str">
        <f t="shared" si="124"/>
        <v/>
      </c>
      <c r="Q3996" t="str">
        <f>IF(P3996="","",IFERROR(IF(AND(H3996="W7",OR(F3996="causal",F3996="predictive")),IF(AND(OR(K3996=1,K3996="1"),OR(L3996=1,L3996="1"),OR(M3996=1,M3996="1")),"adequate","partial"),IF(AND(H3996="W4",F3996="predictive",OR(J3996="P2",J3996="P3",J3996="P4")),IF(OR(U3996=1,U3996="1"),"adequate","partial"),INDEX(Fit_Matrix!$B:$B,MATCH(P3996,Fit_Matrix!$A:$A,0)))),"CHECK KEY"))</f>
        <v/>
      </c>
      <c r="U3996" s="10"/>
      <c r="V3996" s="10"/>
      <c r="W3996" s="10"/>
      <c r="X3996" s="10"/>
      <c r="Y3996" s="10"/>
      <c r="Z3996" s="10"/>
      <c r="AA3996" s="11" t="str">
        <f t="shared" si="125"/>
        <v/>
      </c>
    </row>
    <row r="3997" spans="16:27" ht="15" customHeight="1">
      <c r="P3997" t="str">
        <f t="shared" si="124"/>
        <v/>
      </c>
      <c r="Q3997" t="str">
        <f>IF(P3997="","",IFERROR(IF(AND(H3997="W7",OR(F3997="causal",F3997="predictive")),IF(AND(OR(K3997=1,K3997="1"),OR(L3997=1,L3997="1"),OR(M3997=1,M3997="1")),"adequate","partial"),IF(AND(H3997="W4",F3997="predictive",OR(J3997="P2",J3997="P3",J3997="P4")),IF(OR(U3997=1,U3997="1"),"adequate","partial"),INDEX(Fit_Matrix!$B:$B,MATCH(P3997,Fit_Matrix!$A:$A,0)))),"CHECK KEY"))</f>
        <v/>
      </c>
      <c r="U3997" s="10"/>
      <c r="V3997" s="10"/>
      <c r="W3997" s="10"/>
      <c r="X3997" s="10"/>
      <c r="Y3997" s="10"/>
      <c r="Z3997" s="10"/>
      <c r="AA3997" s="11" t="str">
        <f t="shared" si="125"/>
        <v/>
      </c>
    </row>
    <row r="3998" spans="16:27" ht="15" customHeight="1">
      <c r="P3998" t="str">
        <f t="shared" si="124"/>
        <v/>
      </c>
      <c r="Q3998" t="str">
        <f>IF(P3998="","",IFERROR(IF(AND(H3998="W7",OR(F3998="causal",F3998="predictive")),IF(AND(OR(K3998=1,K3998="1"),OR(L3998=1,L3998="1"),OR(M3998=1,M3998="1")),"adequate","partial"),IF(AND(H3998="W4",F3998="predictive",OR(J3998="P2",J3998="P3",J3998="P4")),IF(OR(U3998=1,U3998="1"),"adequate","partial"),INDEX(Fit_Matrix!$B:$B,MATCH(P3998,Fit_Matrix!$A:$A,0)))),"CHECK KEY"))</f>
        <v/>
      </c>
      <c r="U3998" s="10"/>
      <c r="V3998" s="10"/>
      <c r="W3998" s="10"/>
      <c r="X3998" s="10"/>
      <c r="Y3998" s="10"/>
      <c r="Z3998" s="10"/>
      <c r="AA3998" s="11" t="str">
        <f t="shared" si="125"/>
        <v/>
      </c>
    </row>
    <row r="3999" spans="16:27" ht="15" customHeight="1">
      <c r="P3999" t="str">
        <f t="shared" si="124"/>
        <v/>
      </c>
      <c r="Q3999" t="str">
        <f>IF(P3999="","",IFERROR(IF(AND(H3999="W7",OR(F3999="causal",F3999="predictive")),IF(AND(OR(K3999=1,K3999="1"),OR(L3999=1,L3999="1"),OR(M3999=1,M3999="1")),"adequate","partial"),IF(AND(H3999="W4",F3999="predictive",OR(J3999="P2",J3999="P3",J3999="P4")),IF(OR(U3999=1,U3999="1"),"adequate","partial"),INDEX(Fit_Matrix!$B:$B,MATCH(P3999,Fit_Matrix!$A:$A,0)))),"CHECK KEY"))</f>
        <v/>
      </c>
      <c r="U3999" s="10"/>
      <c r="V3999" s="10"/>
      <c r="W3999" s="10"/>
      <c r="X3999" s="10"/>
      <c r="Y3999" s="10"/>
      <c r="Z3999" s="10"/>
      <c r="AA3999" s="11" t="str">
        <f t="shared" si="125"/>
        <v/>
      </c>
    </row>
    <row r="4000" spans="16:27" ht="15" customHeight="1">
      <c r="P4000" t="str">
        <f t="shared" si="124"/>
        <v/>
      </c>
      <c r="Q4000" t="str">
        <f>IF(P4000="","",IFERROR(IF(AND(H4000="W7",OR(F4000="causal",F4000="predictive")),IF(AND(OR(K4000=1,K4000="1"),OR(L4000=1,L4000="1"),OR(M4000=1,M4000="1")),"adequate","partial"),IF(AND(H4000="W4",F4000="predictive",OR(J4000="P2",J4000="P3",J4000="P4")),IF(OR(U4000=1,U4000="1"),"adequate","partial"),INDEX(Fit_Matrix!$B:$B,MATCH(P4000,Fit_Matrix!$A:$A,0)))),"CHECK KEY"))</f>
        <v/>
      </c>
      <c r="U4000" s="10"/>
      <c r="V4000" s="10"/>
      <c r="W4000" s="10"/>
      <c r="X4000" s="10"/>
      <c r="Y4000" s="10"/>
      <c r="Z4000" s="10"/>
      <c r="AA4000" s="11" t="str">
        <f t="shared" si="125"/>
        <v/>
      </c>
    </row>
    <row r="4001" spans="16:27" ht="15" customHeight="1">
      <c r="P4001" t="str">
        <f t="shared" si="124"/>
        <v/>
      </c>
      <c r="Q4001" t="str">
        <f>IF(P4001="","",IFERROR(IF(AND(H4001="W7",OR(F4001="causal",F4001="predictive")),IF(AND(OR(K4001=1,K4001="1"),OR(L4001=1,L4001="1"),OR(M4001=1,M4001="1")),"adequate","partial"),IF(AND(H4001="W4",F4001="predictive",OR(J4001="P2",J4001="P3",J4001="P4")),IF(OR(U4001=1,U4001="1"),"adequate","partial"),INDEX(Fit_Matrix!$B:$B,MATCH(P4001,Fit_Matrix!$A:$A,0)))),"CHECK KEY"))</f>
        <v/>
      </c>
      <c r="U4001" s="10"/>
      <c r="V4001" s="10"/>
      <c r="W4001" s="10"/>
      <c r="X4001" s="10"/>
      <c r="Y4001" s="10"/>
      <c r="Z4001" s="10"/>
      <c r="AA4001" s="11" t="str">
        <f t="shared" si="125"/>
        <v/>
      </c>
    </row>
    <row r="4002" spans="16:27" ht="15" customHeight="1">
      <c r="P4002" t="str">
        <f t="shared" si="124"/>
        <v/>
      </c>
      <c r="Q4002" t="str">
        <f>IF(P4002="","",IFERROR(IF(AND(H4002="W7",OR(F4002="causal",F4002="predictive")),IF(AND(OR(K4002=1,K4002="1"),OR(L4002=1,L4002="1"),OR(M4002=1,M4002="1")),"adequate","partial"),IF(AND(H4002="W4",F4002="predictive",OR(J4002="P2",J4002="P3",J4002="P4")),IF(OR(U4002=1,U4002="1"),"adequate","partial"),INDEX(Fit_Matrix!$B:$B,MATCH(P4002,Fit_Matrix!$A:$A,0)))),"CHECK KEY"))</f>
        <v/>
      </c>
      <c r="U4002" s="10"/>
      <c r="V4002" s="10"/>
      <c r="W4002" s="10"/>
      <c r="X4002" s="10"/>
      <c r="Y4002" s="10"/>
      <c r="Z4002" s="10"/>
      <c r="AA4002" s="11" t="str">
        <f t="shared" si="125"/>
        <v/>
      </c>
    </row>
    <row r="4003" spans="16:27" ht="15" customHeight="1">
      <c r="P4003" t="str">
        <f t="shared" si="124"/>
        <v/>
      </c>
      <c r="Q4003" t="str">
        <f>IF(P4003="","",IFERROR(IF(AND(H4003="W7",OR(F4003="causal",F4003="predictive")),IF(AND(OR(K4003=1,K4003="1"),OR(L4003=1,L4003="1"),OR(M4003=1,M4003="1")),"adequate","partial"),IF(AND(H4003="W4",F4003="predictive",OR(J4003="P2",J4003="P3",J4003="P4")),IF(OR(U4003=1,U4003="1"),"adequate","partial"),INDEX(Fit_Matrix!$B:$B,MATCH(P4003,Fit_Matrix!$A:$A,0)))),"CHECK KEY"))</f>
        <v/>
      </c>
      <c r="U4003" s="10"/>
      <c r="V4003" s="10"/>
      <c r="W4003" s="10"/>
      <c r="X4003" s="10"/>
      <c r="Y4003" s="10"/>
      <c r="Z4003" s="10"/>
      <c r="AA4003" s="11" t="str">
        <f t="shared" si="125"/>
        <v/>
      </c>
    </row>
    <row r="4004" spans="16:27" ht="15" customHeight="1">
      <c r="P4004" t="str">
        <f t="shared" si="124"/>
        <v/>
      </c>
      <c r="Q4004" t="str">
        <f>IF(P4004="","",IFERROR(IF(AND(H4004="W7",OR(F4004="causal",F4004="predictive")),IF(AND(OR(K4004=1,K4004="1"),OR(L4004=1,L4004="1"),OR(M4004=1,M4004="1")),"adequate","partial"),IF(AND(H4004="W4",F4004="predictive",OR(J4004="P2",J4004="P3",J4004="P4")),IF(OR(U4004=1,U4004="1"),"adequate","partial"),INDEX(Fit_Matrix!$B:$B,MATCH(P4004,Fit_Matrix!$A:$A,0)))),"CHECK KEY"))</f>
        <v/>
      </c>
      <c r="U4004" s="10"/>
      <c r="V4004" s="10"/>
      <c r="W4004" s="10"/>
      <c r="X4004" s="10"/>
      <c r="Y4004" s="10"/>
      <c r="Z4004" s="10"/>
      <c r="AA4004" s="11" t="str">
        <f t="shared" si="125"/>
        <v/>
      </c>
    </row>
    <row r="4005" spans="16:27" ht="15" customHeight="1">
      <c r="P4005" t="str">
        <f t="shared" si="124"/>
        <v/>
      </c>
      <c r="Q4005" t="str">
        <f>IF(P4005="","",IFERROR(IF(AND(H4005="W7",OR(F4005="causal",F4005="predictive")),IF(AND(OR(K4005=1,K4005="1"),OR(L4005=1,L4005="1"),OR(M4005=1,M4005="1")),"adequate","partial"),IF(AND(H4005="W4",F4005="predictive",OR(J4005="P2",J4005="P3",J4005="P4")),IF(OR(U4005=1,U4005="1"),"adequate","partial"),INDEX(Fit_Matrix!$B:$B,MATCH(P4005,Fit_Matrix!$A:$A,0)))),"CHECK KEY"))</f>
        <v/>
      </c>
      <c r="U4005" s="10"/>
      <c r="V4005" s="10"/>
      <c r="W4005" s="10"/>
      <c r="X4005" s="10"/>
      <c r="Y4005" s="10"/>
      <c r="Z4005" s="10"/>
      <c r="AA4005" s="11" t="str">
        <f t="shared" si="125"/>
        <v/>
      </c>
    </row>
    <row r="4006" spans="16:27" ht="15" customHeight="1">
      <c r="P4006" t="str">
        <f t="shared" si="124"/>
        <v/>
      </c>
      <c r="Q4006" t="str">
        <f>IF(P4006="","",IFERROR(IF(AND(H4006="W7",OR(F4006="causal",F4006="predictive")),IF(AND(OR(K4006=1,K4006="1"),OR(L4006=1,L4006="1"),OR(M4006=1,M4006="1")),"adequate","partial"),IF(AND(H4006="W4",F4006="predictive",OR(J4006="P2",J4006="P3",J4006="P4")),IF(OR(U4006=1,U4006="1"),"adequate","partial"),INDEX(Fit_Matrix!$B:$B,MATCH(P4006,Fit_Matrix!$A:$A,0)))),"CHECK KEY"))</f>
        <v/>
      </c>
      <c r="U4006" s="10"/>
      <c r="V4006" s="10"/>
      <c r="W4006" s="10"/>
      <c r="X4006" s="10"/>
      <c r="Y4006" s="10"/>
      <c r="Z4006" s="10"/>
      <c r="AA4006" s="11" t="str">
        <f t="shared" si="125"/>
        <v/>
      </c>
    </row>
    <row r="4007" spans="16:27" ht="15" customHeight="1">
      <c r="P4007" t="str">
        <f t="shared" si="124"/>
        <v/>
      </c>
      <c r="Q4007" t="str">
        <f>IF(P4007="","",IFERROR(IF(AND(H4007="W7",OR(F4007="causal",F4007="predictive")),IF(AND(OR(K4007=1,K4007="1"),OR(L4007=1,L4007="1"),OR(M4007=1,M4007="1")),"adequate","partial"),IF(AND(H4007="W4",F4007="predictive",OR(J4007="P2",J4007="P3",J4007="P4")),IF(OR(U4007=1,U4007="1"),"adequate","partial"),INDEX(Fit_Matrix!$B:$B,MATCH(P4007,Fit_Matrix!$A:$A,0)))),"CHECK KEY"))</f>
        <v/>
      </c>
      <c r="U4007" s="10"/>
      <c r="V4007" s="10"/>
      <c r="W4007" s="10"/>
      <c r="X4007" s="10"/>
      <c r="Y4007" s="10"/>
      <c r="Z4007" s="10"/>
      <c r="AA4007" s="11" t="str">
        <f t="shared" si="125"/>
        <v/>
      </c>
    </row>
    <row r="4008" spans="16:27" ht="15" customHeight="1">
      <c r="P4008" t="str">
        <f t="shared" si="124"/>
        <v/>
      </c>
      <c r="Q4008" t="str">
        <f>IF(P4008="","",IFERROR(IF(AND(H4008="W7",OR(F4008="causal",F4008="predictive")),IF(AND(OR(K4008=1,K4008="1"),OR(L4008=1,L4008="1"),OR(M4008=1,M4008="1")),"adequate","partial"),IF(AND(H4008="W4",F4008="predictive",OR(J4008="P2",J4008="P3",J4008="P4")),IF(OR(U4008=1,U4008="1"),"adequate","partial"),INDEX(Fit_Matrix!$B:$B,MATCH(P4008,Fit_Matrix!$A:$A,0)))),"CHECK KEY"))</f>
        <v/>
      </c>
      <c r="U4008" s="10"/>
      <c r="V4008" s="10"/>
      <c r="W4008" s="10"/>
      <c r="X4008" s="10"/>
      <c r="Y4008" s="10"/>
      <c r="Z4008" s="10"/>
      <c r="AA4008" s="11" t="str">
        <f t="shared" si="125"/>
        <v/>
      </c>
    </row>
    <row r="4009" spans="16:27" ht="15" customHeight="1">
      <c r="P4009" t="str">
        <f t="shared" si="124"/>
        <v/>
      </c>
      <c r="Q4009" t="str">
        <f>IF(P4009="","",IFERROR(IF(AND(H4009="W7",OR(F4009="causal",F4009="predictive")),IF(AND(OR(K4009=1,K4009="1"),OR(L4009=1,L4009="1"),OR(M4009=1,M4009="1")),"adequate","partial"),IF(AND(H4009="W4",F4009="predictive",OR(J4009="P2",J4009="P3",J4009="P4")),IF(OR(U4009=1,U4009="1"),"adequate","partial"),INDEX(Fit_Matrix!$B:$B,MATCH(P4009,Fit_Matrix!$A:$A,0)))),"CHECK KEY"))</f>
        <v/>
      </c>
      <c r="U4009" s="10"/>
      <c r="V4009" s="10"/>
      <c r="W4009" s="10"/>
      <c r="X4009" s="10"/>
      <c r="Y4009" s="10"/>
      <c r="Z4009" s="10"/>
      <c r="AA4009" s="11" t="str">
        <f t="shared" si="125"/>
        <v/>
      </c>
    </row>
    <row r="4010" spans="16:27" ht="15" customHeight="1">
      <c r="P4010" t="str">
        <f t="shared" si="124"/>
        <v/>
      </c>
      <c r="Q4010" t="str">
        <f>IF(P4010="","",IFERROR(IF(AND(H4010="W7",OR(F4010="causal",F4010="predictive")),IF(AND(OR(K4010=1,K4010="1"),OR(L4010=1,L4010="1"),OR(M4010=1,M4010="1")),"adequate","partial"),IF(AND(H4010="W4",F4010="predictive",OR(J4010="P2",J4010="P3",J4010="P4")),IF(OR(U4010=1,U4010="1"),"adequate","partial"),INDEX(Fit_Matrix!$B:$B,MATCH(P4010,Fit_Matrix!$A:$A,0)))),"CHECK KEY"))</f>
        <v/>
      </c>
      <c r="U4010" s="10"/>
      <c r="V4010" s="10"/>
      <c r="W4010" s="10"/>
      <c r="X4010" s="10"/>
      <c r="Y4010" s="10"/>
      <c r="Z4010" s="10"/>
      <c r="AA4010" s="11" t="str">
        <f t="shared" si="125"/>
        <v/>
      </c>
    </row>
    <row r="4011" spans="16:27" ht="15" customHeight="1">
      <c r="P4011" t="str">
        <f t="shared" si="124"/>
        <v/>
      </c>
      <c r="Q4011" t="str">
        <f>IF(P4011="","",IFERROR(IF(AND(H4011="W7",OR(F4011="causal",F4011="predictive")),IF(AND(OR(K4011=1,K4011="1"),OR(L4011=1,L4011="1"),OR(M4011=1,M4011="1")),"adequate","partial"),IF(AND(H4011="W4",F4011="predictive",OR(J4011="P2",J4011="P3",J4011="P4")),IF(OR(U4011=1,U4011="1"),"adequate","partial"),INDEX(Fit_Matrix!$B:$B,MATCH(P4011,Fit_Matrix!$A:$A,0)))),"CHECK KEY"))</f>
        <v/>
      </c>
      <c r="U4011" s="10"/>
      <c r="V4011" s="10"/>
      <c r="W4011" s="10"/>
      <c r="X4011" s="10"/>
      <c r="Y4011" s="10"/>
      <c r="Z4011" s="10"/>
      <c r="AA4011" s="11" t="str">
        <f t="shared" si="125"/>
        <v/>
      </c>
    </row>
    <row r="4012" spans="16:27" ht="15" customHeight="1">
      <c r="P4012" t="str">
        <f t="shared" si="124"/>
        <v/>
      </c>
      <c r="Q4012" t="str">
        <f>IF(P4012="","",IFERROR(IF(AND(H4012="W7",OR(F4012="causal",F4012="predictive")),IF(AND(OR(K4012=1,K4012="1"),OR(L4012=1,L4012="1"),OR(M4012=1,M4012="1")),"adequate","partial"),IF(AND(H4012="W4",F4012="predictive",OR(J4012="P2",J4012="P3",J4012="P4")),IF(OR(U4012=1,U4012="1"),"adequate","partial"),INDEX(Fit_Matrix!$B:$B,MATCH(P4012,Fit_Matrix!$A:$A,0)))),"CHECK KEY"))</f>
        <v/>
      </c>
      <c r="U4012" s="10"/>
      <c r="V4012" s="10"/>
      <c r="W4012" s="10"/>
      <c r="X4012" s="10"/>
      <c r="Y4012" s="10"/>
      <c r="Z4012" s="10"/>
      <c r="AA4012" s="11" t="str">
        <f t="shared" si="125"/>
        <v/>
      </c>
    </row>
    <row r="4013" spans="16:27" ht="15" customHeight="1">
      <c r="P4013" t="str">
        <f t="shared" si="124"/>
        <v/>
      </c>
      <c r="Q4013" t="str">
        <f>IF(P4013="","",IFERROR(IF(AND(H4013="W7",OR(F4013="causal",F4013="predictive")),IF(AND(OR(K4013=1,K4013="1"),OR(L4013=1,L4013="1"),OR(M4013=1,M4013="1")),"adequate","partial"),IF(AND(H4013="W4",F4013="predictive",OR(J4013="P2",J4013="P3",J4013="P4")),IF(OR(U4013=1,U4013="1"),"adequate","partial"),INDEX(Fit_Matrix!$B:$B,MATCH(P4013,Fit_Matrix!$A:$A,0)))),"CHECK KEY"))</f>
        <v/>
      </c>
      <c r="U4013" s="10"/>
      <c r="V4013" s="10"/>
      <c r="W4013" s="10"/>
      <c r="X4013" s="10"/>
      <c r="Y4013" s="10"/>
      <c r="Z4013" s="10"/>
      <c r="AA4013" s="11" t="str">
        <f t="shared" si="125"/>
        <v/>
      </c>
    </row>
    <row r="4014" spans="16:27" ht="15" customHeight="1">
      <c r="P4014" t="str">
        <f t="shared" si="124"/>
        <v/>
      </c>
      <c r="Q4014" t="str">
        <f>IF(P4014="","",IFERROR(IF(AND(H4014="W7",OR(F4014="causal",F4014="predictive")),IF(AND(OR(K4014=1,K4014="1"),OR(L4014=1,L4014="1"),OR(M4014=1,M4014="1")),"adequate","partial"),IF(AND(H4014="W4",F4014="predictive",OR(J4014="P2",J4014="P3",J4014="P4")),IF(OR(U4014=1,U4014="1"),"adequate","partial"),INDEX(Fit_Matrix!$B:$B,MATCH(P4014,Fit_Matrix!$A:$A,0)))),"CHECK KEY"))</f>
        <v/>
      </c>
      <c r="U4014" s="10"/>
      <c r="V4014" s="10"/>
      <c r="W4014" s="10"/>
      <c r="X4014" s="10"/>
      <c r="Y4014" s="10"/>
      <c r="Z4014" s="10"/>
      <c r="AA4014" s="11" t="str">
        <f t="shared" si="125"/>
        <v/>
      </c>
    </row>
    <row r="4015" spans="16:27" ht="15" customHeight="1">
      <c r="P4015" t="str">
        <f t="shared" si="124"/>
        <v/>
      </c>
      <c r="Q4015" t="str">
        <f>IF(P4015="","",IFERROR(IF(AND(H4015="W7",OR(F4015="causal",F4015="predictive")),IF(AND(OR(K4015=1,K4015="1"),OR(L4015=1,L4015="1"),OR(M4015=1,M4015="1")),"adequate","partial"),IF(AND(H4015="W4",F4015="predictive",OR(J4015="P2",J4015="P3",J4015="P4")),IF(OR(U4015=1,U4015="1"),"adequate","partial"),INDEX(Fit_Matrix!$B:$B,MATCH(P4015,Fit_Matrix!$A:$A,0)))),"CHECK KEY"))</f>
        <v/>
      </c>
      <c r="U4015" s="10"/>
      <c r="V4015" s="10"/>
      <c r="W4015" s="10"/>
      <c r="X4015" s="10"/>
      <c r="Y4015" s="10"/>
      <c r="Z4015" s="10"/>
      <c r="AA4015" s="11" t="str">
        <f t="shared" si="125"/>
        <v/>
      </c>
    </row>
    <row r="4016" spans="16:27" ht="15" customHeight="1">
      <c r="P4016" t="str">
        <f t="shared" si="124"/>
        <v/>
      </c>
      <c r="Q4016" t="str">
        <f>IF(P4016="","",IFERROR(IF(AND(H4016="W7",OR(F4016="causal",F4016="predictive")),IF(AND(OR(K4016=1,K4016="1"),OR(L4016=1,L4016="1"),OR(M4016=1,M4016="1")),"adequate","partial"),IF(AND(H4016="W4",F4016="predictive",OR(J4016="P2",J4016="P3",J4016="P4")),IF(OR(U4016=1,U4016="1"),"adequate","partial"),INDEX(Fit_Matrix!$B:$B,MATCH(P4016,Fit_Matrix!$A:$A,0)))),"CHECK KEY"))</f>
        <v/>
      </c>
      <c r="U4016" s="10"/>
      <c r="V4016" s="10"/>
      <c r="W4016" s="10"/>
      <c r="X4016" s="10"/>
      <c r="Y4016" s="10"/>
      <c r="Z4016" s="10"/>
      <c r="AA4016" s="11" t="str">
        <f t="shared" si="125"/>
        <v/>
      </c>
    </row>
    <row r="4017" spans="16:27" ht="15" customHeight="1">
      <c r="P4017" t="str">
        <f t="shared" si="124"/>
        <v/>
      </c>
      <c r="Q4017" t="str">
        <f>IF(P4017="","",IFERROR(IF(AND(H4017="W7",OR(F4017="causal",F4017="predictive")),IF(AND(OR(K4017=1,K4017="1"),OR(L4017=1,L4017="1"),OR(M4017=1,M4017="1")),"adequate","partial"),IF(AND(H4017="W4",F4017="predictive",OR(J4017="P2",J4017="P3",J4017="P4")),IF(OR(U4017=1,U4017="1"),"adequate","partial"),INDEX(Fit_Matrix!$B:$B,MATCH(P4017,Fit_Matrix!$A:$A,0)))),"CHECK KEY"))</f>
        <v/>
      </c>
      <c r="U4017" s="10"/>
      <c r="V4017" s="10"/>
      <c r="W4017" s="10"/>
      <c r="X4017" s="10"/>
      <c r="Y4017" s="10"/>
      <c r="Z4017" s="10"/>
      <c r="AA4017" s="11" t="str">
        <f t="shared" si="125"/>
        <v/>
      </c>
    </row>
    <row r="4018" spans="16:27" ht="15" customHeight="1">
      <c r="P4018" t="str">
        <f t="shared" si="124"/>
        <v/>
      </c>
      <c r="Q4018" t="str">
        <f>IF(P4018="","",IFERROR(IF(AND(H4018="W7",OR(F4018="causal",F4018="predictive")),IF(AND(OR(K4018=1,K4018="1"),OR(L4018=1,L4018="1"),OR(M4018=1,M4018="1")),"adequate","partial"),IF(AND(H4018="W4",F4018="predictive",OR(J4018="P2",J4018="P3",J4018="P4")),IF(OR(U4018=1,U4018="1"),"adequate","partial"),INDEX(Fit_Matrix!$B:$B,MATCH(P4018,Fit_Matrix!$A:$A,0)))),"CHECK KEY"))</f>
        <v/>
      </c>
      <c r="U4018" s="10"/>
      <c r="V4018" s="10"/>
      <c r="W4018" s="10"/>
      <c r="X4018" s="10"/>
      <c r="Y4018" s="10"/>
      <c r="Z4018" s="10"/>
      <c r="AA4018" s="11" t="str">
        <f t="shared" si="125"/>
        <v/>
      </c>
    </row>
    <row r="4019" spans="16:27" ht="15" customHeight="1">
      <c r="P4019" t="str">
        <f t="shared" si="124"/>
        <v/>
      </c>
      <c r="Q4019" t="str">
        <f>IF(P4019="","",IFERROR(IF(AND(H4019="W7",OR(F4019="causal",F4019="predictive")),IF(AND(OR(K4019=1,K4019="1"),OR(L4019=1,L4019="1"),OR(M4019=1,M4019="1")),"adequate","partial"),IF(AND(H4019="W4",F4019="predictive",OR(J4019="P2",J4019="P3",J4019="P4")),IF(OR(U4019=1,U4019="1"),"adequate","partial"),INDEX(Fit_Matrix!$B:$B,MATCH(P4019,Fit_Matrix!$A:$A,0)))),"CHECK KEY"))</f>
        <v/>
      </c>
      <c r="U4019" s="10"/>
      <c r="V4019" s="10"/>
      <c r="W4019" s="10"/>
      <c r="X4019" s="10"/>
      <c r="Y4019" s="10"/>
      <c r="Z4019" s="10"/>
      <c r="AA4019" s="11" t="str">
        <f t="shared" si="125"/>
        <v/>
      </c>
    </row>
    <row r="4020" spans="16:27" ht="15" customHeight="1">
      <c r="P4020" t="str">
        <f t="shared" si="124"/>
        <v/>
      </c>
      <c r="Q4020" t="str">
        <f>IF(P4020="","",IFERROR(IF(AND(H4020="W7",OR(F4020="causal",F4020="predictive")),IF(AND(OR(K4020=1,K4020="1"),OR(L4020=1,L4020="1"),OR(M4020=1,M4020="1")),"adequate","partial"),IF(AND(H4020="W4",F4020="predictive",OR(J4020="P2",J4020="P3",J4020="P4")),IF(OR(U4020=1,U4020="1"),"adequate","partial"),INDEX(Fit_Matrix!$B:$B,MATCH(P4020,Fit_Matrix!$A:$A,0)))),"CHECK KEY"))</f>
        <v/>
      </c>
      <c r="U4020" s="10"/>
      <c r="V4020" s="10"/>
      <c r="W4020" s="10"/>
      <c r="X4020" s="10"/>
      <c r="Y4020" s="10"/>
      <c r="Z4020" s="10"/>
      <c r="AA4020" s="11" t="str">
        <f t="shared" si="125"/>
        <v/>
      </c>
    </row>
    <row r="4021" spans="16:27" ht="15" customHeight="1">
      <c r="P4021" t="str">
        <f t="shared" si="124"/>
        <v/>
      </c>
      <c r="Q4021" t="str">
        <f>IF(P4021="","",IFERROR(IF(AND(H4021="W7",OR(F4021="causal",F4021="predictive")),IF(AND(OR(K4021=1,K4021="1"),OR(L4021=1,L4021="1"),OR(M4021=1,M4021="1")),"adequate","partial"),IF(AND(H4021="W4",F4021="predictive",OR(J4021="P2",J4021="P3",J4021="P4")),IF(OR(U4021=1,U4021="1"),"adequate","partial"),INDEX(Fit_Matrix!$B:$B,MATCH(P4021,Fit_Matrix!$A:$A,0)))),"CHECK KEY"))</f>
        <v/>
      </c>
      <c r="U4021" s="10"/>
      <c r="V4021" s="10"/>
      <c r="W4021" s="10"/>
      <c r="X4021" s="10"/>
      <c r="Y4021" s="10"/>
      <c r="Z4021" s="10"/>
      <c r="AA4021" s="11" t="str">
        <f t="shared" si="125"/>
        <v/>
      </c>
    </row>
    <row r="4022" spans="16:27" ht="15" customHeight="1">
      <c r="P4022" t="str">
        <f t="shared" si="124"/>
        <v/>
      </c>
      <c r="Q4022" t="str">
        <f>IF(P4022="","",IFERROR(IF(AND(H4022="W7",OR(F4022="causal",F4022="predictive")),IF(AND(OR(K4022=1,K4022="1"),OR(L4022=1,L4022="1"),OR(M4022=1,M4022="1")),"adequate","partial"),IF(AND(H4022="W4",F4022="predictive",OR(J4022="P2",J4022="P3",J4022="P4")),IF(OR(U4022=1,U4022="1"),"adequate","partial"),INDEX(Fit_Matrix!$B:$B,MATCH(P4022,Fit_Matrix!$A:$A,0)))),"CHECK KEY"))</f>
        <v/>
      </c>
      <c r="U4022" s="10"/>
      <c r="V4022" s="10"/>
      <c r="W4022" s="10"/>
      <c r="X4022" s="10"/>
      <c r="Y4022" s="10"/>
      <c r="Z4022" s="10"/>
      <c r="AA4022" s="11" t="str">
        <f t="shared" si="125"/>
        <v/>
      </c>
    </row>
    <row r="4023" spans="16:27" ht="15" customHeight="1">
      <c r="P4023" t="str">
        <f t="shared" si="124"/>
        <v/>
      </c>
      <c r="Q4023" t="str">
        <f>IF(P4023="","",IFERROR(IF(AND(H4023="W7",OR(F4023="causal",F4023="predictive")),IF(AND(OR(K4023=1,K4023="1"),OR(L4023=1,L4023="1"),OR(M4023=1,M4023="1")),"adequate","partial"),IF(AND(H4023="W4",F4023="predictive",OR(J4023="P2",J4023="P3",J4023="P4")),IF(OR(U4023=1,U4023="1"),"adequate","partial"),INDEX(Fit_Matrix!$B:$B,MATCH(P4023,Fit_Matrix!$A:$A,0)))),"CHECK KEY"))</f>
        <v/>
      </c>
      <c r="U4023" s="10"/>
      <c r="V4023" s="10"/>
      <c r="W4023" s="10"/>
      <c r="X4023" s="10"/>
      <c r="Y4023" s="10"/>
      <c r="Z4023" s="10"/>
      <c r="AA4023" s="11" t="str">
        <f t="shared" si="125"/>
        <v/>
      </c>
    </row>
    <row r="4024" spans="16:27" ht="15" customHeight="1">
      <c r="P4024" t="str">
        <f t="shared" si="124"/>
        <v/>
      </c>
      <c r="Q4024" t="str">
        <f>IF(P4024="","",IFERROR(IF(AND(H4024="W7",OR(F4024="causal",F4024="predictive")),IF(AND(OR(K4024=1,K4024="1"),OR(L4024=1,L4024="1"),OR(M4024=1,M4024="1")),"adequate","partial"),IF(AND(H4024="W4",F4024="predictive",OR(J4024="P2",J4024="P3",J4024="P4")),IF(OR(U4024=1,U4024="1"),"adequate","partial"),INDEX(Fit_Matrix!$B:$B,MATCH(P4024,Fit_Matrix!$A:$A,0)))),"CHECK KEY"))</f>
        <v/>
      </c>
      <c r="U4024" s="10"/>
      <c r="V4024" s="10"/>
      <c r="W4024" s="10"/>
      <c r="X4024" s="10"/>
      <c r="Y4024" s="10"/>
      <c r="Z4024" s="10"/>
      <c r="AA4024" s="11" t="str">
        <f t="shared" si="125"/>
        <v/>
      </c>
    </row>
    <row r="4025" spans="16:27" ht="15" customHeight="1">
      <c r="P4025" t="str">
        <f t="shared" si="124"/>
        <v/>
      </c>
      <c r="Q4025" t="str">
        <f>IF(P4025="","",IFERROR(IF(AND(H4025="W7",OR(F4025="causal",F4025="predictive")),IF(AND(OR(K4025=1,K4025="1"),OR(L4025=1,L4025="1"),OR(M4025=1,M4025="1")),"adequate","partial"),IF(AND(H4025="W4",F4025="predictive",OR(J4025="P2",J4025="P3",J4025="P4")),IF(OR(U4025=1,U4025="1"),"adequate","partial"),INDEX(Fit_Matrix!$B:$B,MATCH(P4025,Fit_Matrix!$A:$A,0)))),"CHECK KEY"))</f>
        <v/>
      </c>
      <c r="U4025" s="10"/>
      <c r="V4025" s="10"/>
      <c r="W4025" s="10"/>
      <c r="X4025" s="10"/>
      <c r="Y4025" s="10"/>
      <c r="Z4025" s="10"/>
      <c r="AA4025" s="11" t="str">
        <f t="shared" si="125"/>
        <v/>
      </c>
    </row>
    <row r="4026" spans="16:27" ht="15" customHeight="1">
      <c r="P4026" t="str">
        <f t="shared" si="124"/>
        <v/>
      </c>
      <c r="Q4026" t="str">
        <f>IF(P4026="","",IFERROR(IF(AND(H4026="W7",OR(F4026="causal",F4026="predictive")),IF(AND(OR(K4026=1,K4026="1"),OR(L4026=1,L4026="1"),OR(M4026=1,M4026="1")),"adequate","partial"),IF(AND(H4026="W4",F4026="predictive",OR(J4026="P2",J4026="P3",J4026="P4")),IF(OR(U4026=1,U4026="1"),"adequate","partial"),INDEX(Fit_Matrix!$B:$B,MATCH(P4026,Fit_Matrix!$A:$A,0)))),"CHECK KEY"))</f>
        <v/>
      </c>
      <c r="U4026" s="10"/>
      <c r="V4026" s="10"/>
      <c r="W4026" s="10"/>
      <c r="X4026" s="10"/>
      <c r="Y4026" s="10"/>
      <c r="Z4026" s="10"/>
      <c r="AA4026" s="11" t="str">
        <f t="shared" si="125"/>
        <v/>
      </c>
    </row>
    <row r="4027" spans="16:27" ht="15" customHeight="1">
      <c r="P4027" t="str">
        <f t="shared" si="124"/>
        <v/>
      </c>
      <c r="Q4027" t="str">
        <f>IF(P4027="","",IFERROR(IF(AND(H4027="W7",OR(F4027="causal",F4027="predictive")),IF(AND(OR(K4027=1,K4027="1"),OR(L4027=1,L4027="1"),OR(M4027=1,M4027="1")),"adequate","partial"),IF(AND(H4027="W4",F4027="predictive",OR(J4027="P2",J4027="P3",J4027="P4")),IF(OR(U4027=1,U4027="1"),"adequate","partial"),INDEX(Fit_Matrix!$B:$B,MATCH(P4027,Fit_Matrix!$A:$A,0)))),"CHECK KEY"))</f>
        <v/>
      </c>
      <c r="U4027" s="10"/>
      <c r="V4027" s="10"/>
      <c r="W4027" s="10"/>
      <c r="X4027" s="10"/>
      <c r="Y4027" s="10"/>
      <c r="Z4027" s="10"/>
      <c r="AA4027" s="11" t="str">
        <f t="shared" si="125"/>
        <v/>
      </c>
    </row>
    <row r="4028" spans="16:27" ht="15" customHeight="1">
      <c r="P4028" t="str">
        <f t="shared" si="124"/>
        <v/>
      </c>
      <c r="Q4028" t="str">
        <f>IF(P4028="","",IFERROR(IF(AND(H4028="W7",OR(F4028="causal",F4028="predictive")),IF(AND(OR(K4028=1,K4028="1"),OR(L4028=1,L4028="1"),OR(M4028=1,M4028="1")),"adequate","partial"),IF(AND(H4028="W4",F4028="predictive",OR(J4028="P2",J4028="P3",J4028="P4")),IF(OR(U4028=1,U4028="1"),"adequate","partial"),INDEX(Fit_Matrix!$B:$B,MATCH(P4028,Fit_Matrix!$A:$A,0)))),"CHECK KEY"))</f>
        <v/>
      </c>
      <c r="U4028" s="10"/>
      <c r="V4028" s="10"/>
      <c r="W4028" s="10"/>
      <c r="X4028" s="10"/>
      <c r="Y4028" s="10"/>
      <c r="Z4028" s="10"/>
      <c r="AA4028" s="11" t="str">
        <f t="shared" si="125"/>
        <v/>
      </c>
    </row>
    <row r="4029" spans="16:27" ht="15" customHeight="1">
      <c r="P4029" t="str">
        <f t="shared" si="124"/>
        <v/>
      </c>
      <c r="Q4029" t="str">
        <f>IF(P4029="","",IFERROR(IF(AND(H4029="W7",OR(F4029="causal",F4029="predictive")),IF(AND(OR(K4029=1,K4029="1"),OR(L4029=1,L4029="1"),OR(M4029=1,M4029="1")),"adequate","partial"),IF(AND(H4029="W4",F4029="predictive",OR(J4029="P2",J4029="P3",J4029="P4")),IF(OR(U4029=1,U4029="1"),"adequate","partial"),INDEX(Fit_Matrix!$B:$B,MATCH(P4029,Fit_Matrix!$A:$A,0)))),"CHECK KEY"))</f>
        <v/>
      </c>
      <c r="U4029" s="10"/>
      <c r="V4029" s="10"/>
      <c r="W4029" s="10"/>
      <c r="X4029" s="10"/>
      <c r="Y4029" s="10"/>
      <c r="Z4029" s="10"/>
      <c r="AA4029" s="11" t="str">
        <f t="shared" si="125"/>
        <v/>
      </c>
    </row>
    <row r="4030" spans="16:27" ht="15" customHeight="1">
      <c r="P4030" t="str">
        <f t="shared" si="124"/>
        <v/>
      </c>
      <c r="Q4030" t="str">
        <f>IF(P4030="","",IFERROR(IF(AND(H4030="W7",OR(F4030="causal",F4030="predictive")),IF(AND(OR(K4030=1,K4030="1"),OR(L4030=1,L4030="1"),OR(M4030=1,M4030="1")),"adequate","partial"),IF(AND(H4030="W4",F4030="predictive",OR(J4030="P2",J4030="P3",J4030="P4")),IF(OR(U4030=1,U4030="1"),"adequate","partial"),INDEX(Fit_Matrix!$B:$B,MATCH(P4030,Fit_Matrix!$A:$A,0)))),"CHECK KEY"))</f>
        <v/>
      </c>
      <c r="U4030" s="10"/>
      <c r="V4030" s="10"/>
      <c r="W4030" s="10"/>
      <c r="X4030" s="10"/>
      <c r="Y4030" s="10"/>
      <c r="Z4030" s="10"/>
      <c r="AA4030" s="11" t="str">
        <f t="shared" si="125"/>
        <v/>
      </c>
    </row>
    <row r="4031" spans="16:27" ht="15" customHeight="1">
      <c r="P4031" t="str">
        <f t="shared" si="124"/>
        <v/>
      </c>
      <c r="Q4031" t="str">
        <f>IF(P4031="","",IFERROR(IF(AND(H4031="W7",OR(F4031="causal",F4031="predictive")),IF(AND(OR(K4031=1,K4031="1"),OR(L4031=1,L4031="1"),OR(M4031=1,M4031="1")),"adequate","partial"),IF(AND(H4031="W4",F4031="predictive",OR(J4031="P2",J4031="P3",J4031="P4")),IF(OR(U4031=1,U4031="1"),"adequate","partial"),INDEX(Fit_Matrix!$B:$B,MATCH(P4031,Fit_Matrix!$A:$A,0)))),"CHECK KEY"))</f>
        <v/>
      </c>
      <c r="U4031" s="10"/>
      <c r="V4031" s="10"/>
      <c r="W4031" s="10"/>
      <c r="X4031" s="10"/>
      <c r="Y4031" s="10"/>
      <c r="Z4031" s="10"/>
      <c r="AA4031" s="11" t="str">
        <f t="shared" si="125"/>
        <v/>
      </c>
    </row>
    <row r="4032" spans="16:27" ht="15" customHeight="1">
      <c r="P4032" t="str">
        <f t="shared" si="124"/>
        <v/>
      </c>
      <c r="Q4032" t="str">
        <f>IF(P4032="","",IFERROR(IF(AND(H4032="W7",OR(F4032="causal",F4032="predictive")),IF(AND(OR(K4032=1,K4032="1"),OR(L4032=1,L4032="1"),OR(M4032=1,M4032="1")),"adequate","partial"),IF(AND(H4032="W4",F4032="predictive",OR(J4032="P2",J4032="P3",J4032="P4")),IF(OR(U4032=1,U4032="1"),"adequate","partial"),INDEX(Fit_Matrix!$B:$B,MATCH(P4032,Fit_Matrix!$A:$A,0)))),"CHECK KEY"))</f>
        <v/>
      </c>
      <c r="U4032" s="10"/>
      <c r="V4032" s="10"/>
      <c r="W4032" s="10"/>
      <c r="X4032" s="10"/>
      <c r="Y4032" s="10"/>
      <c r="Z4032" s="10"/>
      <c r="AA4032" s="11" t="str">
        <f t="shared" si="125"/>
        <v/>
      </c>
    </row>
    <row r="4033" spans="16:27" ht="15" customHeight="1">
      <c r="P4033" t="str">
        <f t="shared" si="124"/>
        <v/>
      </c>
      <c r="Q4033" t="str">
        <f>IF(P4033="","",IFERROR(IF(AND(H4033="W7",OR(F4033="causal",F4033="predictive")),IF(AND(OR(K4033=1,K4033="1"),OR(L4033=1,L4033="1"),OR(M4033=1,M4033="1")),"adequate","partial"),IF(AND(H4033="W4",F4033="predictive",OR(J4033="P2",J4033="P3",J4033="P4")),IF(OR(U4033=1,U4033="1"),"adequate","partial"),INDEX(Fit_Matrix!$B:$B,MATCH(P4033,Fit_Matrix!$A:$A,0)))),"CHECK KEY"))</f>
        <v/>
      </c>
      <c r="U4033" s="10"/>
      <c r="V4033" s="10"/>
      <c r="W4033" s="10"/>
      <c r="X4033" s="10"/>
      <c r="Y4033" s="10"/>
      <c r="Z4033" s="10"/>
      <c r="AA4033" s="11" t="str">
        <f t="shared" si="125"/>
        <v/>
      </c>
    </row>
    <row r="4034" spans="16:27" ht="15" customHeight="1">
      <c r="P4034" t="str">
        <f t="shared" ref="P4034:P4097" si="126">IF(OR(F4034="",H4034="",J4034=""),"",J4034&amp;"|"&amp;F4034&amp;"|"&amp;IF(H4034="W3","W3_"&amp;IF(I4034="","unknown",I4034),H4034))</f>
        <v/>
      </c>
      <c r="Q4034" t="str">
        <f>IF(P4034="","",IFERROR(IF(AND(H4034="W7",OR(F4034="causal",F4034="predictive")),IF(AND(OR(K4034=1,K4034="1"),OR(L4034=1,L4034="1"),OR(M4034=1,M4034="1")),"adequate","partial"),IF(AND(H4034="W4",F4034="predictive",OR(J4034="P2",J4034="P3",J4034="P4")),IF(OR(U4034=1,U4034="1"),"adequate","partial"),INDEX(Fit_Matrix!$B:$B,MATCH(P4034,Fit_Matrix!$A:$A,0)))),"CHECK KEY"))</f>
        <v/>
      </c>
      <c r="U4034" s="10"/>
      <c r="V4034" s="10"/>
      <c r="W4034" s="10"/>
      <c r="X4034" s="10"/>
      <c r="Y4034" s="10"/>
      <c r="Z4034" s="10"/>
      <c r="AA4034" s="11" t="str">
        <f t="shared" ref="AA4034:AA4097" si="127">IF(A4034="","",IF(AND(J4034="P4",F4034="causal"),"P4-CAUSAL",""))</f>
        <v/>
      </c>
    </row>
    <row r="4035" spans="16:27" ht="15" customHeight="1">
      <c r="P4035" t="str">
        <f t="shared" si="126"/>
        <v/>
      </c>
      <c r="Q4035" t="str">
        <f>IF(P4035="","",IFERROR(IF(AND(H4035="W7",OR(F4035="causal",F4035="predictive")),IF(AND(OR(K4035=1,K4035="1"),OR(L4035=1,L4035="1"),OR(M4035=1,M4035="1")),"adequate","partial"),IF(AND(H4035="W4",F4035="predictive",OR(J4035="P2",J4035="P3",J4035="P4")),IF(OR(U4035=1,U4035="1"),"adequate","partial"),INDEX(Fit_Matrix!$B:$B,MATCH(P4035,Fit_Matrix!$A:$A,0)))),"CHECK KEY"))</f>
        <v/>
      </c>
      <c r="U4035" s="10"/>
      <c r="V4035" s="10"/>
      <c r="W4035" s="10"/>
      <c r="X4035" s="10"/>
      <c r="Y4035" s="10"/>
      <c r="Z4035" s="10"/>
      <c r="AA4035" s="11" t="str">
        <f t="shared" si="127"/>
        <v/>
      </c>
    </row>
    <row r="4036" spans="16:27" ht="15" customHeight="1">
      <c r="P4036" t="str">
        <f t="shared" si="126"/>
        <v/>
      </c>
      <c r="Q4036" t="str">
        <f>IF(P4036="","",IFERROR(IF(AND(H4036="W7",OR(F4036="causal",F4036="predictive")),IF(AND(OR(K4036=1,K4036="1"),OR(L4036=1,L4036="1"),OR(M4036=1,M4036="1")),"adequate","partial"),IF(AND(H4036="W4",F4036="predictive",OR(J4036="P2",J4036="P3",J4036="P4")),IF(OR(U4036=1,U4036="1"),"adequate","partial"),INDEX(Fit_Matrix!$B:$B,MATCH(P4036,Fit_Matrix!$A:$A,0)))),"CHECK KEY"))</f>
        <v/>
      </c>
      <c r="U4036" s="10"/>
      <c r="V4036" s="10"/>
      <c r="W4036" s="10"/>
      <c r="X4036" s="10"/>
      <c r="Y4036" s="10"/>
      <c r="Z4036" s="10"/>
      <c r="AA4036" s="11" t="str">
        <f t="shared" si="127"/>
        <v/>
      </c>
    </row>
    <row r="4037" spans="16:27" ht="15" customHeight="1">
      <c r="P4037" t="str">
        <f t="shared" si="126"/>
        <v/>
      </c>
      <c r="Q4037" t="str">
        <f>IF(P4037="","",IFERROR(IF(AND(H4037="W7",OR(F4037="causal",F4037="predictive")),IF(AND(OR(K4037=1,K4037="1"),OR(L4037=1,L4037="1"),OR(M4037=1,M4037="1")),"adequate","partial"),IF(AND(H4037="W4",F4037="predictive",OR(J4037="P2",J4037="P3",J4037="P4")),IF(OR(U4037=1,U4037="1"),"adequate","partial"),INDEX(Fit_Matrix!$B:$B,MATCH(P4037,Fit_Matrix!$A:$A,0)))),"CHECK KEY"))</f>
        <v/>
      </c>
      <c r="U4037" s="10"/>
      <c r="V4037" s="10"/>
      <c r="W4037" s="10"/>
      <c r="X4037" s="10"/>
      <c r="Y4037" s="10"/>
      <c r="Z4037" s="10"/>
      <c r="AA4037" s="11" t="str">
        <f t="shared" si="127"/>
        <v/>
      </c>
    </row>
    <row r="4038" spans="16:27" ht="15" customHeight="1">
      <c r="P4038" t="str">
        <f t="shared" si="126"/>
        <v/>
      </c>
      <c r="Q4038" t="str">
        <f>IF(P4038="","",IFERROR(IF(AND(H4038="W7",OR(F4038="causal",F4038="predictive")),IF(AND(OR(K4038=1,K4038="1"),OR(L4038=1,L4038="1"),OR(M4038=1,M4038="1")),"adequate","partial"),IF(AND(H4038="W4",F4038="predictive",OR(J4038="P2",J4038="P3",J4038="P4")),IF(OR(U4038=1,U4038="1"),"adequate","partial"),INDEX(Fit_Matrix!$B:$B,MATCH(P4038,Fit_Matrix!$A:$A,0)))),"CHECK KEY"))</f>
        <v/>
      </c>
      <c r="U4038" s="10"/>
      <c r="V4038" s="10"/>
      <c r="W4038" s="10"/>
      <c r="X4038" s="10"/>
      <c r="Y4038" s="10"/>
      <c r="Z4038" s="10"/>
      <c r="AA4038" s="11" t="str">
        <f t="shared" si="127"/>
        <v/>
      </c>
    </row>
    <row r="4039" spans="16:27" ht="15" customHeight="1">
      <c r="P4039" t="str">
        <f t="shared" si="126"/>
        <v/>
      </c>
      <c r="Q4039" t="str">
        <f>IF(P4039="","",IFERROR(IF(AND(H4039="W7",OR(F4039="causal",F4039="predictive")),IF(AND(OR(K4039=1,K4039="1"),OR(L4039=1,L4039="1"),OR(M4039=1,M4039="1")),"adequate","partial"),IF(AND(H4039="W4",F4039="predictive",OR(J4039="P2",J4039="P3",J4039="P4")),IF(OR(U4039=1,U4039="1"),"adequate","partial"),INDEX(Fit_Matrix!$B:$B,MATCH(P4039,Fit_Matrix!$A:$A,0)))),"CHECK KEY"))</f>
        <v/>
      </c>
      <c r="U4039" s="10"/>
      <c r="V4039" s="10"/>
      <c r="W4039" s="10"/>
      <c r="X4039" s="10"/>
      <c r="Y4039" s="10"/>
      <c r="Z4039" s="10"/>
      <c r="AA4039" s="11" t="str">
        <f t="shared" si="127"/>
        <v/>
      </c>
    </row>
    <row r="4040" spans="16:27" ht="15" customHeight="1">
      <c r="P4040" t="str">
        <f t="shared" si="126"/>
        <v/>
      </c>
      <c r="Q4040" t="str">
        <f>IF(P4040="","",IFERROR(IF(AND(H4040="W7",OR(F4040="causal",F4040="predictive")),IF(AND(OR(K4040=1,K4040="1"),OR(L4040=1,L4040="1"),OR(M4040=1,M4040="1")),"adequate","partial"),IF(AND(H4040="W4",F4040="predictive",OR(J4040="P2",J4040="P3",J4040="P4")),IF(OR(U4040=1,U4040="1"),"adequate","partial"),INDEX(Fit_Matrix!$B:$B,MATCH(P4040,Fit_Matrix!$A:$A,0)))),"CHECK KEY"))</f>
        <v/>
      </c>
      <c r="U4040" s="10"/>
      <c r="V4040" s="10"/>
      <c r="W4040" s="10"/>
      <c r="X4040" s="10"/>
      <c r="Y4040" s="10"/>
      <c r="Z4040" s="10"/>
      <c r="AA4040" s="11" t="str">
        <f t="shared" si="127"/>
        <v/>
      </c>
    </row>
    <row r="4041" spans="16:27" ht="15" customHeight="1">
      <c r="P4041" t="str">
        <f t="shared" si="126"/>
        <v/>
      </c>
      <c r="Q4041" t="str">
        <f>IF(P4041="","",IFERROR(IF(AND(H4041="W7",OR(F4041="causal",F4041="predictive")),IF(AND(OR(K4041=1,K4041="1"),OR(L4041=1,L4041="1"),OR(M4041=1,M4041="1")),"adequate","partial"),IF(AND(H4041="W4",F4041="predictive",OR(J4041="P2",J4041="P3",J4041="P4")),IF(OR(U4041=1,U4041="1"),"adequate","partial"),INDEX(Fit_Matrix!$B:$B,MATCH(P4041,Fit_Matrix!$A:$A,0)))),"CHECK KEY"))</f>
        <v/>
      </c>
      <c r="U4041" s="10"/>
      <c r="V4041" s="10"/>
      <c r="W4041" s="10"/>
      <c r="X4041" s="10"/>
      <c r="Y4041" s="10"/>
      <c r="Z4041" s="10"/>
      <c r="AA4041" s="11" t="str">
        <f t="shared" si="127"/>
        <v/>
      </c>
    </row>
    <row r="4042" spans="16:27" ht="15" customHeight="1">
      <c r="P4042" t="str">
        <f t="shared" si="126"/>
        <v/>
      </c>
      <c r="Q4042" t="str">
        <f>IF(P4042="","",IFERROR(IF(AND(H4042="W7",OR(F4042="causal",F4042="predictive")),IF(AND(OR(K4042=1,K4042="1"),OR(L4042=1,L4042="1"),OR(M4042=1,M4042="1")),"adequate","partial"),IF(AND(H4042="W4",F4042="predictive",OR(J4042="P2",J4042="P3",J4042="P4")),IF(OR(U4042=1,U4042="1"),"adequate","partial"),INDEX(Fit_Matrix!$B:$B,MATCH(P4042,Fit_Matrix!$A:$A,0)))),"CHECK KEY"))</f>
        <v/>
      </c>
      <c r="U4042" s="10"/>
      <c r="V4042" s="10"/>
      <c r="W4042" s="10"/>
      <c r="X4042" s="10"/>
      <c r="Y4042" s="10"/>
      <c r="Z4042" s="10"/>
      <c r="AA4042" s="11" t="str">
        <f t="shared" si="127"/>
        <v/>
      </c>
    </row>
    <row r="4043" spans="16:27" ht="15" customHeight="1">
      <c r="P4043" t="str">
        <f t="shared" si="126"/>
        <v/>
      </c>
      <c r="Q4043" t="str">
        <f>IF(P4043="","",IFERROR(IF(AND(H4043="W7",OR(F4043="causal",F4043="predictive")),IF(AND(OR(K4043=1,K4043="1"),OR(L4043=1,L4043="1"),OR(M4043=1,M4043="1")),"adequate","partial"),IF(AND(H4043="W4",F4043="predictive",OR(J4043="P2",J4043="P3",J4043="P4")),IF(OR(U4043=1,U4043="1"),"adequate","partial"),INDEX(Fit_Matrix!$B:$B,MATCH(P4043,Fit_Matrix!$A:$A,0)))),"CHECK KEY"))</f>
        <v/>
      </c>
      <c r="U4043" s="10"/>
      <c r="V4043" s="10"/>
      <c r="W4043" s="10"/>
      <c r="X4043" s="10"/>
      <c r="Y4043" s="10"/>
      <c r="Z4043" s="10"/>
      <c r="AA4043" s="11" t="str">
        <f t="shared" si="127"/>
        <v/>
      </c>
    </row>
    <row r="4044" spans="16:27" ht="15" customHeight="1">
      <c r="P4044" t="str">
        <f t="shared" si="126"/>
        <v/>
      </c>
      <c r="Q4044" t="str">
        <f>IF(P4044="","",IFERROR(IF(AND(H4044="W7",OR(F4044="causal",F4044="predictive")),IF(AND(OR(K4044=1,K4044="1"),OR(L4044=1,L4044="1"),OR(M4044=1,M4044="1")),"adequate","partial"),IF(AND(H4044="W4",F4044="predictive",OR(J4044="P2",J4044="P3",J4044="P4")),IF(OR(U4044=1,U4044="1"),"adequate","partial"),INDEX(Fit_Matrix!$B:$B,MATCH(P4044,Fit_Matrix!$A:$A,0)))),"CHECK KEY"))</f>
        <v/>
      </c>
      <c r="U4044" s="10"/>
      <c r="V4044" s="10"/>
      <c r="W4044" s="10"/>
      <c r="X4044" s="10"/>
      <c r="Y4044" s="10"/>
      <c r="Z4044" s="10"/>
      <c r="AA4044" s="11" t="str">
        <f t="shared" si="127"/>
        <v/>
      </c>
    </row>
    <row r="4045" spans="16:27" ht="15" customHeight="1">
      <c r="P4045" t="str">
        <f t="shared" si="126"/>
        <v/>
      </c>
      <c r="Q4045" t="str">
        <f>IF(P4045="","",IFERROR(IF(AND(H4045="W7",OR(F4045="causal",F4045="predictive")),IF(AND(OR(K4045=1,K4045="1"),OR(L4045=1,L4045="1"),OR(M4045=1,M4045="1")),"adequate","partial"),IF(AND(H4045="W4",F4045="predictive",OR(J4045="P2",J4045="P3",J4045="P4")),IF(OR(U4045=1,U4045="1"),"adequate","partial"),INDEX(Fit_Matrix!$B:$B,MATCH(P4045,Fit_Matrix!$A:$A,0)))),"CHECK KEY"))</f>
        <v/>
      </c>
      <c r="U4045" s="10"/>
      <c r="V4045" s="10"/>
      <c r="W4045" s="10"/>
      <c r="X4045" s="10"/>
      <c r="Y4045" s="10"/>
      <c r="Z4045" s="10"/>
      <c r="AA4045" s="11" t="str">
        <f t="shared" si="127"/>
        <v/>
      </c>
    </row>
    <row r="4046" spans="16:27" ht="15" customHeight="1">
      <c r="P4046" t="str">
        <f t="shared" si="126"/>
        <v/>
      </c>
      <c r="Q4046" t="str">
        <f>IF(P4046="","",IFERROR(IF(AND(H4046="W7",OR(F4046="causal",F4046="predictive")),IF(AND(OR(K4046=1,K4046="1"),OR(L4046=1,L4046="1"),OR(M4046=1,M4046="1")),"adequate","partial"),IF(AND(H4046="W4",F4046="predictive",OR(J4046="P2",J4046="P3",J4046="P4")),IF(OR(U4046=1,U4046="1"),"adequate","partial"),INDEX(Fit_Matrix!$B:$B,MATCH(P4046,Fit_Matrix!$A:$A,0)))),"CHECK KEY"))</f>
        <v/>
      </c>
      <c r="U4046" s="10"/>
      <c r="V4046" s="10"/>
      <c r="W4046" s="10"/>
      <c r="X4046" s="10"/>
      <c r="Y4046" s="10"/>
      <c r="Z4046" s="10"/>
      <c r="AA4046" s="11" t="str">
        <f t="shared" si="127"/>
        <v/>
      </c>
    </row>
    <row r="4047" spans="16:27" ht="15" customHeight="1">
      <c r="P4047" t="str">
        <f t="shared" si="126"/>
        <v/>
      </c>
      <c r="Q4047" t="str">
        <f>IF(P4047="","",IFERROR(IF(AND(H4047="W7",OR(F4047="causal",F4047="predictive")),IF(AND(OR(K4047=1,K4047="1"),OR(L4047=1,L4047="1"),OR(M4047=1,M4047="1")),"adequate","partial"),IF(AND(H4047="W4",F4047="predictive",OR(J4047="P2",J4047="P3",J4047="P4")),IF(OR(U4047=1,U4047="1"),"adequate","partial"),INDEX(Fit_Matrix!$B:$B,MATCH(P4047,Fit_Matrix!$A:$A,0)))),"CHECK KEY"))</f>
        <v/>
      </c>
      <c r="U4047" s="10"/>
      <c r="V4047" s="10"/>
      <c r="W4047" s="10"/>
      <c r="X4047" s="10"/>
      <c r="Y4047" s="10"/>
      <c r="Z4047" s="10"/>
      <c r="AA4047" s="11" t="str">
        <f t="shared" si="127"/>
        <v/>
      </c>
    </row>
    <row r="4048" spans="16:27" ht="15" customHeight="1">
      <c r="P4048" t="str">
        <f t="shared" si="126"/>
        <v/>
      </c>
      <c r="Q4048" t="str">
        <f>IF(P4048="","",IFERROR(IF(AND(H4048="W7",OR(F4048="causal",F4048="predictive")),IF(AND(OR(K4048=1,K4048="1"),OR(L4048=1,L4048="1"),OR(M4048=1,M4048="1")),"adequate","partial"),IF(AND(H4048="W4",F4048="predictive",OR(J4048="P2",J4048="P3",J4048="P4")),IF(OR(U4048=1,U4048="1"),"adequate","partial"),INDEX(Fit_Matrix!$B:$B,MATCH(P4048,Fit_Matrix!$A:$A,0)))),"CHECK KEY"))</f>
        <v/>
      </c>
      <c r="U4048" s="10"/>
      <c r="V4048" s="10"/>
      <c r="W4048" s="10"/>
      <c r="X4048" s="10"/>
      <c r="Y4048" s="10"/>
      <c r="Z4048" s="10"/>
      <c r="AA4048" s="11" t="str">
        <f t="shared" si="127"/>
        <v/>
      </c>
    </row>
    <row r="4049" spans="16:27" ht="15" customHeight="1">
      <c r="P4049" t="str">
        <f t="shared" si="126"/>
        <v/>
      </c>
      <c r="Q4049" t="str">
        <f>IF(P4049="","",IFERROR(IF(AND(H4049="W7",OR(F4049="causal",F4049="predictive")),IF(AND(OR(K4049=1,K4049="1"),OR(L4049=1,L4049="1"),OR(M4049=1,M4049="1")),"adequate","partial"),IF(AND(H4049="W4",F4049="predictive",OR(J4049="P2",J4049="P3",J4049="P4")),IF(OR(U4049=1,U4049="1"),"adequate","partial"),INDEX(Fit_Matrix!$B:$B,MATCH(P4049,Fit_Matrix!$A:$A,0)))),"CHECK KEY"))</f>
        <v/>
      </c>
      <c r="U4049" s="10"/>
      <c r="V4049" s="10"/>
      <c r="W4049" s="10"/>
      <c r="X4049" s="10"/>
      <c r="Y4049" s="10"/>
      <c r="Z4049" s="10"/>
      <c r="AA4049" s="11" t="str">
        <f t="shared" si="127"/>
        <v/>
      </c>
    </row>
    <row r="4050" spans="16:27" ht="15" customHeight="1">
      <c r="P4050" t="str">
        <f t="shared" si="126"/>
        <v/>
      </c>
      <c r="Q4050" t="str">
        <f>IF(P4050="","",IFERROR(IF(AND(H4050="W7",OR(F4050="causal",F4050="predictive")),IF(AND(OR(K4050=1,K4050="1"),OR(L4050=1,L4050="1"),OR(M4050=1,M4050="1")),"adequate","partial"),IF(AND(H4050="W4",F4050="predictive",OR(J4050="P2",J4050="P3",J4050="P4")),IF(OR(U4050=1,U4050="1"),"adequate","partial"),INDEX(Fit_Matrix!$B:$B,MATCH(P4050,Fit_Matrix!$A:$A,0)))),"CHECK KEY"))</f>
        <v/>
      </c>
      <c r="U4050" s="10"/>
      <c r="V4050" s="10"/>
      <c r="W4050" s="10"/>
      <c r="X4050" s="10"/>
      <c r="Y4050" s="10"/>
      <c r="Z4050" s="10"/>
      <c r="AA4050" s="11" t="str">
        <f t="shared" si="127"/>
        <v/>
      </c>
    </row>
    <row r="4051" spans="16:27" ht="15" customHeight="1">
      <c r="P4051" t="str">
        <f t="shared" si="126"/>
        <v/>
      </c>
      <c r="Q4051" t="str">
        <f>IF(P4051="","",IFERROR(IF(AND(H4051="W7",OR(F4051="causal",F4051="predictive")),IF(AND(OR(K4051=1,K4051="1"),OR(L4051=1,L4051="1"),OR(M4051=1,M4051="1")),"adequate","partial"),IF(AND(H4051="W4",F4051="predictive",OR(J4051="P2",J4051="P3",J4051="P4")),IF(OR(U4051=1,U4051="1"),"adequate","partial"),INDEX(Fit_Matrix!$B:$B,MATCH(P4051,Fit_Matrix!$A:$A,0)))),"CHECK KEY"))</f>
        <v/>
      </c>
      <c r="U4051" s="10"/>
      <c r="V4051" s="10"/>
      <c r="W4051" s="10"/>
      <c r="X4051" s="10"/>
      <c r="Y4051" s="10"/>
      <c r="Z4051" s="10"/>
      <c r="AA4051" s="11" t="str">
        <f t="shared" si="127"/>
        <v/>
      </c>
    </row>
    <row r="4052" spans="16:27" ht="15" customHeight="1">
      <c r="P4052" t="str">
        <f t="shared" si="126"/>
        <v/>
      </c>
      <c r="Q4052" t="str">
        <f>IF(P4052="","",IFERROR(IF(AND(H4052="W7",OR(F4052="causal",F4052="predictive")),IF(AND(OR(K4052=1,K4052="1"),OR(L4052=1,L4052="1"),OR(M4052=1,M4052="1")),"adequate","partial"),IF(AND(H4052="W4",F4052="predictive",OR(J4052="P2",J4052="P3",J4052="P4")),IF(OR(U4052=1,U4052="1"),"adequate","partial"),INDEX(Fit_Matrix!$B:$B,MATCH(P4052,Fit_Matrix!$A:$A,0)))),"CHECK KEY"))</f>
        <v/>
      </c>
      <c r="U4052" s="10"/>
      <c r="V4052" s="10"/>
      <c r="W4052" s="10"/>
      <c r="X4052" s="10"/>
      <c r="Y4052" s="10"/>
      <c r="Z4052" s="10"/>
      <c r="AA4052" s="11" t="str">
        <f t="shared" si="127"/>
        <v/>
      </c>
    </row>
    <row r="4053" spans="16:27" ht="15" customHeight="1">
      <c r="P4053" t="str">
        <f t="shared" si="126"/>
        <v/>
      </c>
      <c r="Q4053" t="str">
        <f>IF(P4053="","",IFERROR(IF(AND(H4053="W7",OR(F4053="causal",F4053="predictive")),IF(AND(OR(K4053=1,K4053="1"),OR(L4053=1,L4053="1"),OR(M4053=1,M4053="1")),"adequate","partial"),IF(AND(H4053="W4",F4053="predictive",OR(J4053="P2",J4053="P3",J4053="P4")),IF(OR(U4053=1,U4053="1"),"adequate","partial"),INDEX(Fit_Matrix!$B:$B,MATCH(P4053,Fit_Matrix!$A:$A,0)))),"CHECK KEY"))</f>
        <v/>
      </c>
      <c r="U4053" s="10"/>
      <c r="V4053" s="10"/>
      <c r="W4053" s="10"/>
      <c r="X4053" s="10"/>
      <c r="Y4053" s="10"/>
      <c r="Z4053" s="10"/>
      <c r="AA4053" s="11" t="str">
        <f t="shared" si="127"/>
        <v/>
      </c>
    </row>
    <row r="4054" spans="16:27" ht="15" customHeight="1">
      <c r="P4054" t="str">
        <f t="shared" si="126"/>
        <v/>
      </c>
      <c r="Q4054" t="str">
        <f>IF(P4054="","",IFERROR(IF(AND(H4054="W7",OR(F4054="causal",F4054="predictive")),IF(AND(OR(K4054=1,K4054="1"),OR(L4054=1,L4054="1"),OR(M4054=1,M4054="1")),"adequate","partial"),IF(AND(H4054="W4",F4054="predictive",OR(J4054="P2",J4054="P3",J4054="P4")),IF(OR(U4054=1,U4054="1"),"adequate","partial"),INDEX(Fit_Matrix!$B:$B,MATCH(P4054,Fit_Matrix!$A:$A,0)))),"CHECK KEY"))</f>
        <v/>
      </c>
      <c r="U4054" s="10"/>
      <c r="V4054" s="10"/>
      <c r="W4054" s="10"/>
      <c r="X4054" s="10"/>
      <c r="Y4054" s="10"/>
      <c r="Z4054" s="10"/>
      <c r="AA4054" s="11" t="str">
        <f t="shared" si="127"/>
        <v/>
      </c>
    </row>
    <row r="4055" spans="16:27" ht="15" customHeight="1">
      <c r="P4055" t="str">
        <f t="shared" si="126"/>
        <v/>
      </c>
      <c r="Q4055" t="str">
        <f>IF(P4055="","",IFERROR(IF(AND(H4055="W7",OR(F4055="causal",F4055="predictive")),IF(AND(OR(K4055=1,K4055="1"),OR(L4055=1,L4055="1"),OR(M4055=1,M4055="1")),"adequate","partial"),IF(AND(H4055="W4",F4055="predictive",OR(J4055="P2",J4055="P3",J4055="P4")),IF(OR(U4055=1,U4055="1"),"adequate","partial"),INDEX(Fit_Matrix!$B:$B,MATCH(P4055,Fit_Matrix!$A:$A,0)))),"CHECK KEY"))</f>
        <v/>
      </c>
      <c r="U4055" s="10"/>
      <c r="V4055" s="10"/>
      <c r="W4055" s="10"/>
      <c r="X4055" s="10"/>
      <c r="Y4055" s="10"/>
      <c r="Z4055" s="10"/>
      <c r="AA4055" s="11" t="str">
        <f t="shared" si="127"/>
        <v/>
      </c>
    </row>
    <row r="4056" spans="16:27" ht="15" customHeight="1">
      <c r="P4056" t="str">
        <f t="shared" si="126"/>
        <v/>
      </c>
      <c r="Q4056" t="str">
        <f>IF(P4056="","",IFERROR(IF(AND(H4056="W7",OR(F4056="causal",F4056="predictive")),IF(AND(OR(K4056=1,K4056="1"),OR(L4056=1,L4056="1"),OR(M4056=1,M4056="1")),"adequate","partial"),IF(AND(H4056="W4",F4056="predictive",OR(J4056="P2",J4056="P3",J4056="P4")),IF(OR(U4056=1,U4056="1"),"adequate","partial"),INDEX(Fit_Matrix!$B:$B,MATCH(P4056,Fit_Matrix!$A:$A,0)))),"CHECK KEY"))</f>
        <v/>
      </c>
      <c r="U4056" s="10"/>
      <c r="V4056" s="10"/>
      <c r="W4056" s="10"/>
      <c r="X4056" s="10"/>
      <c r="Y4056" s="10"/>
      <c r="Z4056" s="10"/>
      <c r="AA4056" s="11" t="str">
        <f t="shared" si="127"/>
        <v/>
      </c>
    </row>
    <row r="4057" spans="16:27" ht="15" customHeight="1">
      <c r="P4057" t="str">
        <f t="shared" si="126"/>
        <v/>
      </c>
      <c r="Q4057" t="str">
        <f>IF(P4057="","",IFERROR(IF(AND(H4057="W7",OR(F4057="causal",F4057="predictive")),IF(AND(OR(K4057=1,K4057="1"),OR(L4057=1,L4057="1"),OR(M4057=1,M4057="1")),"adequate","partial"),IF(AND(H4057="W4",F4057="predictive",OR(J4057="P2",J4057="P3",J4057="P4")),IF(OR(U4057=1,U4057="1"),"adequate","partial"),INDEX(Fit_Matrix!$B:$B,MATCH(P4057,Fit_Matrix!$A:$A,0)))),"CHECK KEY"))</f>
        <v/>
      </c>
      <c r="U4057" s="10"/>
      <c r="V4057" s="10"/>
      <c r="W4057" s="10"/>
      <c r="X4057" s="10"/>
      <c r="Y4057" s="10"/>
      <c r="Z4057" s="10"/>
      <c r="AA4057" s="11" t="str">
        <f t="shared" si="127"/>
        <v/>
      </c>
    </row>
    <row r="4058" spans="16:27" ht="15" customHeight="1">
      <c r="P4058" t="str">
        <f t="shared" si="126"/>
        <v/>
      </c>
      <c r="Q4058" t="str">
        <f>IF(P4058="","",IFERROR(IF(AND(H4058="W7",OR(F4058="causal",F4058="predictive")),IF(AND(OR(K4058=1,K4058="1"),OR(L4058=1,L4058="1"),OR(M4058=1,M4058="1")),"adequate","partial"),IF(AND(H4058="W4",F4058="predictive",OR(J4058="P2",J4058="P3",J4058="P4")),IF(OR(U4058=1,U4058="1"),"adequate","partial"),INDEX(Fit_Matrix!$B:$B,MATCH(P4058,Fit_Matrix!$A:$A,0)))),"CHECK KEY"))</f>
        <v/>
      </c>
      <c r="U4058" s="10"/>
      <c r="V4058" s="10"/>
      <c r="W4058" s="10"/>
      <c r="X4058" s="10"/>
      <c r="Y4058" s="10"/>
      <c r="Z4058" s="10"/>
      <c r="AA4058" s="11" t="str">
        <f t="shared" si="127"/>
        <v/>
      </c>
    </row>
    <row r="4059" spans="16:27" ht="15" customHeight="1">
      <c r="P4059" t="str">
        <f t="shared" si="126"/>
        <v/>
      </c>
      <c r="Q4059" t="str">
        <f>IF(P4059="","",IFERROR(IF(AND(H4059="W7",OR(F4059="causal",F4059="predictive")),IF(AND(OR(K4059=1,K4059="1"),OR(L4059=1,L4059="1"),OR(M4059=1,M4059="1")),"adequate","partial"),IF(AND(H4059="W4",F4059="predictive",OR(J4059="P2",J4059="P3",J4059="P4")),IF(OR(U4059=1,U4059="1"),"adequate","partial"),INDEX(Fit_Matrix!$B:$B,MATCH(P4059,Fit_Matrix!$A:$A,0)))),"CHECK KEY"))</f>
        <v/>
      </c>
      <c r="U4059" s="10"/>
      <c r="V4059" s="10"/>
      <c r="W4059" s="10"/>
      <c r="X4059" s="10"/>
      <c r="Y4059" s="10"/>
      <c r="Z4059" s="10"/>
      <c r="AA4059" s="11" t="str">
        <f t="shared" si="127"/>
        <v/>
      </c>
    </row>
    <row r="4060" spans="16:27" ht="15" customHeight="1">
      <c r="P4060" t="str">
        <f t="shared" si="126"/>
        <v/>
      </c>
      <c r="Q4060" t="str">
        <f>IF(P4060="","",IFERROR(IF(AND(H4060="W7",OR(F4060="causal",F4060="predictive")),IF(AND(OR(K4060=1,K4060="1"),OR(L4060=1,L4060="1"),OR(M4060=1,M4060="1")),"adequate","partial"),IF(AND(H4060="W4",F4060="predictive",OR(J4060="P2",J4060="P3",J4060="P4")),IF(OR(U4060=1,U4060="1"),"adequate","partial"),INDEX(Fit_Matrix!$B:$B,MATCH(P4060,Fit_Matrix!$A:$A,0)))),"CHECK KEY"))</f>
        <v/>
      </c>
      <c r="U4060" s="10"/>
      <c r="V4060" s="10"/>
      <c r="W4060" s="10"/>
      <c r="X4060" s="10"/>
      <c r="Y4060" s="10"/>
      <c r="Z4060" s="10"/>
      <c r="AA4060" s="11" t="str">
        <f t="shared" si="127"/>
        <v/>
      </c>
    </row>
    <row r="4061" spans="16:27" ht="15" customHeight="1">
      <c r="P4061" t="str">
        <f t="shared" si="126"/>
        <v/>
      </c>
      <c r="Q4061" t="str">
        <f>IF(P4061="","",IFERROR(IF(AND(H4061="W7",OR(F4061="causal",F4061="predictive")),IF(AND(OR(K4061=1,K4061="1"),OR(L4061=1,L4061="1"),OR(M4061=1,M4061="1")),"adequate","partial"),IF(AND(H4061="W4",F4061="predictive",OR(J4061="P2",J4061="P3",J4061="P4")),IF(OR(U4061=1,U4061="1"),"adequate","partial"),INDEX(Fit_Matrix!$B:$B,MATCH(P4061,Fit_Matrix!$A:$A,0)))),"CHECK KEY"))</f>
        <v/>
      </c>
      <c r="U4061" s="10"/>
      <c r="V4061" s="10"/>
      <c r="W4061" s="10"/>
      <c r="X4061" s="10"/>
      <c r="Y4061" s="10"/>
      <c r="Z4061" s="10"/>
      <c r="AA4061" s="11" t="str">
        <f t="shared" si="127"/>
        <v/>
      </c>
    </row>
    <row r="4062" spans="16:27" ht="15" customHeight="1">
      <c r="P4062" t="str">
        <f t="shared" si="126"/>
        <v/>
      </c>
      <c r="Q4062" t="str">
        <f>IF(P4062="","",IFERROR(IF(AND(H4062="W7",OR(F4062="causal",F4062="predictive")),IF(AND(OR(K4062=1,K4062="1"),OR(L4062=1,L4062="1"),OR(M4062=1,M4062="1")),"adequate","partial"),IF(AND(H4062="W4",F4062="predictive",OR(J4062="P2",J4062="P3",J4062="P4")),IF(OR(U4062=1,U4062="1"),"adequate","partial"),INDEX(Fit_Matrix!$B:$B,MATCH(P4062,Fit_Matrix!$A:$A,0)))),"CHECK KEY"))</f>
        <v/>
      </c>
      <c r="U4062" s="10"/>
      <c r="V4062" s="10"/>
      <c r="W4062" s="10"/>
      <c r="X4062" s="10"/>
      <c r="Y4062" s="10"/>
      <c r="Z4062" s="10"/>
      <c r="AA4062" s="11" t="str">
        <f t="shared" si="127"/>
        <v/>
      </c>
    </row>
    <row r="4063" spans="16:27" ht="15" customHeight="1">
      <c r="P4063" t="str">
        <f t="shared" si="126"/>
        <v/>
      </c>
      <c r="Q4063" t="str">
        <f>IF(P4063="","",IFERROR(IF(AND(H4063="W7",OR(F4063="causal",F4063="predictive")),IF(AND(OR(K4063=1,K4063="1"),OR(L4063=1,L4063="1"),OR(M4063=1,M4063="1")),"adequate","partial"),IF(AND(H4063="W4",F4063="predictive",OR(J4063="P2",J4063="P3",J4063="P4")),IF(OR(U4063=1,U4063="1"),"adequate","partial"),INDEX(Fit_Matrix!$B:$B,MATCH(P4063,Fit_Matrix!$A:$A,0)))),"CHECK KEY"))</f>
        <v/>
      </c>
      <c r="U4063" s="10"/>
      <c r="V4063" s="10"/>
      <c r="W4063" s="10"/>
      <c r="X4063" s="10"/>
      <c r="Y4063" s="10"/>
      <c r="Z4063" s="10"/>
      <c r="AA4063" s="11" t="str">
        <f t="shared" si="127"/>
        <v/>
      </c>
    </row>
    <row r="4064" spans="16:27" ht="15" customHeight="1">
      <c r="P4064" t="str">
        <f t="shared" si="126"/>
        <v/>
      </c>
      <c r="Q4064" t="str">
        <f>IF(P4064="","",IFERROR(IF(AND(H4064="W7",OR(F4064="causal",F4064="predictive")),IF(AND(OR(K4064=1,K4064="1"),OR(L4064=1,L4064="1"),OR(M4064=1,M4064="1")),"adequate","partial"),IF(AND(H4064="W4",F4064="predictive",OR(J4064="P2",J4064="P3",J4064="P4")),IF(OR(U4064=1,U4064="1"),"adequate","partial"),INDEX(Fit_Matrix!$B:$B,MATCH(P4064,Fit_Matrix!$A:$A,0)))),"CHECK KEY"))</f>
        <v/>
      </c>
      <c r="U4064" s="10"/>
      <c r="V4064" s="10"/>
      <c r="W4064" s="10"/>
      <c r="X4064" s="10"/>
      <c r="Y4064" s="10"/>
      <c r="Z4064" s="10"/>
      <c r="AA4064" s="11" t="str">
        <f t="shared" si="127"/>
        <v/>
      </c>
    </row>
    <row r="4065" spans="16:27" ht="15" customHeight="1">
      <c r="P4065" t="str">
        <f t="shared" si="126"/>
        <v/>
      </c>
      <c r="Q4065" t="str">
        <f>IF(P4065="","",IFERROR(IF(AND(H4065="W7",OR(F4065="causal",F4065="predictive")),IF(AND(OR(K4065=1,K4065="1"),OR(L4065=1,L4065="1"),OR(M4065=1,M4065="1")),"adequate","partial"),IF(AND(H4065="W4",F4065="predictive",OR(J4065="P2",J4065="P3",J4065="P4")),IF(OR(U4065=1,U4065="1"),"adequate","partial"),INDEX(Fit_Matrix!$B:$B,MATCH(P4065,Fit_Matrix!$A:$A,0)))),"CHECK KEY"))</f>
        <v/>
      </c>
      <c r="U4065" s="10"/>
      <c r="V4065" s="10"/>
      <c r="W4065" s="10"/>
      <c r="X4065" s="10"/>
      <c r="Y4065" s="10"/>
      <c r="Z4065" s="10"/>
      <c r="AA4065" s="11" t="str">
        <f t="shared" si="127"/>
        <v/>
      </c>
    </row>
    <row r="4066" spans="16:27" ht="15" customHeight="1">
      <c r="P4066" t="str">
        <f t="shared" si="126"/>
        <v/>
      </c>
      <c r="Q4066" t="str">
        <f>IF(P4066="","",IFERROR(IF(AND(H4066="W7",OR(F4066="causal",F4066="predictive")),IF(AND(OR(K4066=1,K4066="1"),OR(L4066=1,L4066="1"),OR(M4066=1,M4066="1")),"adequate","partial"),IF(AND(H4066="W4",F4066="predictive",OR(J4066="P2",J4066="P3",J4066="P4")),IF(OR(U4066=1,U4066="1"),"adequate","partial"),INDEX(Fit_Matrix!$B:$B,MATCH(P4066,Fit_Matrix!$A:$A,0)))),"CHECK KEY"))</f>
        <v/>
      </c>
      <c r="U4066" s="10"/>
      <c r="V4066" s="10"/>
      <c r="W4066" s="10"/>
      <c r="X4066" s="10"/>
      <c r="Y4066" s="10"/>
      <c r="Z4066" s="10"/>
      <c r="AA4066" s="11" t="str">
        <f t="shared" si="127"/>
        <v/>
      </c>
    </row>
    <row r="4067" spans="16:27" ht="15" customHeight="1">
      <c r="P4067" t="str">
        <f t="shared" si="126"/>
        <v/>
      </c>
      <c r="Q4067" t="str">
        <f>IF(P4067="","",IFERROR(IF(AND(H4067="W7",OR(F4067="causal",F4067="predictive")),IF(AND(OR(K4067=1,K4067="1"),OR(L4067=1,L4067="1"),OR(M4067=1,M4067="1")),"adequate","partial"),IF(AND(H4067="W4",F4067="predictive",OR(J4067="P2",J4067="P3",J4067="P4")),IF(OR(U4067=1,U4067="1"),"adequate","partial"),INDEX(Fit_Matrix!$B:$B,MATCH(P4067,Fit_Matrix!$A:$A,0)))),"CHECK KEY"))</f>
        <v/>
      </c>
      <c r="U4067" s="10"/>
      <c r="V4067" s="10"/>
      <c r="W4067" s="10"/>
      <c r="X4067" s="10"/>
      <c r="Y4067" s="10"/>
      <c r="Z4067" s="10"/>
      <c r="AA4067" s="11" t="str">
        <f t="shared" si="127"/>
        <v/>
      </c>
    </row>
    <row r="4068" spans="16:27" ht="15" customHeight="1">
      <c r="P4068" t="str">
        <f t="shared" si="126"/>
        <v/>
      </c>
      <c r="Q4068" t="str">
        <f>IF(P4068="","",IFERROR(IF(AND(H4068="W7",OR(F4068="causal",F4068="predictive")),IF(AND(OR(K4068=1,K4068="1"),OR(L4068=1,L4068="1"),OR(M4068=1,M4068="1")),"adequate","partial"),IF(AND(H4068="W4",F4068="predictive",OR(J4068="P2",J4068="P3",J4068="P4")),IF(OR(U4068=1,U4068="1"),"adequate","partial"),INDEX(Fit_Matrix!$B:$B,MATCH(P4068,Fit_Matrix!$A:$A,0)))),"CHECK KEY"))</f>
        <v/>
      </c>
      <c r="U4068" s="10"/>
      <c r="V4068" s="10"/>
      <c r="W4068" s="10"/>
      <c r="X4068" s="10"/>
      <c r="Y4068" s="10"/>
      <c r="Z4068" s="10"/>
      <c r="AA4068" s="11" t="str">
        <f t="shared" si="127"/>
        <v/>
      </c>
    </row>
    <row r="4069" spans="16:27" ht="15" customHeight="1">
      <c r="P4069" t="str">
        <f t="shared" si="126"/>
        <v/>
      </c>
      <c r="Q4069" t="str">
        <f>IF(P4069="","",IFERROR(IF(AND(H4069="W7",OR(F4069="causal",F4069="predictive")),IF(AND(OR(K4069=1,K4069="1"),OR(L4069=1,L4069="1"),OR(M4069=1,M4069="1")),"adequate","partial"),IF(AND(H4069="W4",F4069="predictive",OR(J4069="P2",J4069="P3",J4069="P4")),IF(OR(U4069=1,U4069="1"),"adequate","partial"),INDEX(Fit_Matrix!$B:$B,MATCH(P4069,Fit_Matrix!$A:$A,0)))),"CHECK KEY"))</f>
        <v/>
      </c>
      <c r="U4069" s="10"/>
      <c r="V4069" s="10"/>
      <c r="W4069" s="10"/>
      <c r="X4069" s="10"/>
      <c r="Y4069" s="10"/>
      <c r="Z4069" s="10"/>
      <c r="AA4069" s="11" t="str">
        <f t="shared" si="127"/>
        <v/>
      </c>
    </row>
    <row r="4070" spans="16:27" ht="15" customHeight="1">
      <c r="P4070" t="str">
        <f t="shared" si="126"/>
        <v/>
      </c>
      <c r="Q4070" t="str">
        <f>IF(P4070="","",IFERROR(IF(AND(H4070="W7",OR(F4070="causal",F4070="predictive")),IF(AND(OR(K4070=1,K4070="1"),OR(L4070=1,L4070="1"),OR(M4070=1,M4070="1")),"adequate","partial"),IF(AND(H4070="W4",F4070="predictive",OR(J4070="P2",J4070="P3",J4070="P4")),IF(OR(U4070=1,U4070="1"),"adequate","partial"),INDEX(Fit_Matrix!$B:$B,MATCH(P4070,Fit_Matrix!$A:$A,0)))),"CHECK KEY"))</f>
        <v/>
      </c>
      <c r="U4070" s="10"/>
      <c r="V4070" s="10"/>
      <c r="W4070" s="10"/>
      <c r="X4070" s="10"/>
      <c r="Y4070" s="10"/>
      <c r="Z4070" s="10"/>
      <c r="AA4070" s="11" t="str">
        <f t="shared" si="127"/>
        <v/>
      </c>
    </row>
    <row r="4071" spans="16:27" ht="15" customHeight="1">
      <c r="P4071" t="str">
        <f t="shared" si="126"/>
        <v/>
      </c>
      <c r="Q4071" t="str">
        <f>IF(P4071="","",IFERROR(IF(AND(H4071="W7",OR(F4071="causal",F4071="predictive")),IF(AND(OR(K4071=1,K4071="1"),OR(L4071=1,L4071="1"),OR(M4071=1,M4071="1")),"adequate","partial"),IF(AND(H4071="W4",F4071="predictive",OR(J4071="P2",J4071="P3",J4071="P4")),IF(OR(U4071=1,U4071="1"),"adequate","partial"),INDEX(Fit_Matrix!$B:$B,MATCH(P4071,Fit_Matrix!$A:$A,0)))),"CHECK KEY"))</f>
        <v/>
      </c>
      <c r="U4071" s="10"/>
      <c r="V4071" s="10"/>
      <c r="W4071" s="10"/>
      <c r="X4071" s="10"/>
      <c r="Y4071" s="10"/>
      <c r="Z4071" s="10"/>
      <c r="AA4071" s="11" t="str">
        <f t="shared" si="127"/>
        <v/>
      </c>
    </row>
    <row r="4072" spans="16:27" ht="15" customHeight="1">
      <c r="P4072" t="str">
        <f t="shared" si="126"/>
        <v/>
      </c>
      <c r="Q4072" t="str">
        <f>IF(P4072="","",IFERROR(IF(AND(H4072="W7",OR(F4072="causal",F4072="predictive")),IF(AND(OR(K4072=1,K4072="1"),OR(L4072=1,L4072="1"),OR(M4072=1,M4072="1")),"adequate","partial"),IF(AND(H4072="W4",F4072="predictive",OR(J4072="P2",J4072="P3",J4072="P4")),IF(OR(U4072=1,U4072="1"),"adequate","partial"),INDEX(Fit_Matrix!$B:$B,MATCH(P4072,Fit_Matrix!$A:$A,0)))),"CHECK KEY"))</f>
        <v/>
      </c>
      <c r="U4072" s="10"/>
      <c r="V4072" s="10"/>
      <c r="W4072" s="10"/>
      <c r="X4072" s="10"/>
      <c r="Y4072" s="10"/>
      <c r="Z4072" s="10"/>
      <c r="AA4072" s="11" t="str">
        <f t="shared" si="127"/>
        <v/>
      </c>
    </row>
    <row r="4073" spans="16:27" ht="15" customHeight="1">
      <c r="P4073" t="str">
        <f t="shared" si="126"/>
        <v/>
      </c>
      <c r="Q4073" t="str">
        <f>IF(P4073="","",IFERROR(IF(AND(H4073="W7",OR(F4073="causal",F4073="predictive")),IF(AND(OR(K4073=1,K4073="1"),OR(L4073=1,L4073="1"),OR(M4073=1,M4073="1")),"adequate","partial"),IF(AND(H4073="W4",F4073="predictive",OR(J4073="P2",J4073="P3",J4073="P4")),IF(OR(U4073=1,U4073="1"),"adequate","partial"),INDEX(Fit_Matrix!$B:$B,MATCH(P4073,Fit_Matrix!$A:$A,0)))),"CHECK KEY"))</f>
        <v/>
      </c>
      <c r="U4073" s="10"/>
      <c r="V4073" s="10"/>
      <c r="W4073" s="10"/>
      <c r="X4073" s="10"/>
      <c r="Y4073" s="10"/>
      <c r="Z4073" s="10"/>
      <c r="AA4073" s="11" t="str">
        <f t="shared" si="127"/>
        <v/>
      </c>
    </row>
    <row r="4074" spans="16:27" ht="15" customHeight="1">
      <c r="P4074" t="str">
        <f t="shared" si="126"/>
        <v/>
      </c>
      <c r="Q4074" t="str">
        <f>IF(P4074="","",IFERROR(IF(AND(H4074="W7",OR(F4074="causal",F4074="predictive")),IF(AND(OR(K4074=1,K4074="1"),OR(L4074=1,L4074="1"),OR(M4074=1,M4074="1")),"adequate","partial"),IF(AND(H4074="W4",F4074="predictive",OR(J4074="P2",J4074="P3",J4074="P4")),IF(OR(U4074=1,U4074="1"),"adequate","partial"),INDEX(Fit_Matrix!$B:$B,MATCH(P4074,Fit_Matrix!$A:$A,0)))),"CHECK KEY"))</f>
        <v/>
      </c>
      <c r="U4074" s="10"/>
      <c r="V4074" s="10"/>
      <c r="W4074" s="10"/>
      <c r="X4074" s="10"/>
      <c r="Y4074" s="10"/>
      <c r="Z4074" s="10"/>
      <c r="AA4074" s="11" t="str">
        <f t="shared" si="127"/>
        <v/>
      </c>
    </row>
    <row r="4075" spans="16:27" ht="15" customHeight="1">
      <c r="P4075" t="str">
        <f t="shared" si="126"/>
        <v/>
      </c>
      <c r="Q4075" t="str">
        <f>IF(P4075="","",IFERROR(IF(AND(H4075="W7",OR(F4075="causal",F4075="predictive")),IF(AND(OR(K4075=1,K4075="1"),OR(L4075=1,L4075="1"),OR(M4075=1,M4075="1")),"adequate","partial"),IF(AND(H4075="W4",F4075="predictive",OR(J4075="P2",J4075="P3",J4075="P4")),IF(OR(U4075=1,U4075="1"),"adequate","partial"),INDEX(Fit_Matrix!$B:$B,MATCH(P4075,Fit_Matrix!$A:$A,0)))),"CHECK KEY"))</f>
        <v/>
      </c>
      <c r="U4075" s="10"/>
      <c r="V4075" s="10"/>
      <c r="W4075" s="10"/>
      <c r="X4075" s="10"/>
      <c r="Y4075" s="10"/>
      <c r="Z4075" s="10"/>
      <c r="AA4075" s="11" t="str">
        <f t="shared" si="127"/>
        <v/>
      </c>
    </row>
    <row r="4076" spans="16:27" ht="15" customHeight="1">
      <c r="P4076" t="str">
        <f t="shared" si="126"/>
        <v/>
      </c>
      <c r="Q4076" t="str">
        <f>IF(P4076="","",IFERROR(IF(AND(H4076="W7",OR(F4076="causal",F4076="predictive")),IF(AND(OR(K4076=1,K4076="1"),OR(L4076=1,L4076="1"),OR(M4076=1,M4076="1")),"adequate","partial"),IF(AND(H4076="W4",F4076="predictive",OR(J4076="P2",J4076="P3",J4076="P4")),IF(OR(U4076=1,U4076="1"),"adequate","partial"),INDEX(Fit_Matrix!$B:$B,MATCH(P4076,Fit_Matrix!$A:$A,0)))),"CHECK KEY"))</f>
        <v/>
      </c>
      <c r="U4076" s="10"/>
      <c r="V4076" s="10"/>
      <c r="W4076" s="10"/>
      <c r="X4076" s="10"/>
      <c r="Y4076" s="10"/>
      <c r="Z4076" s="10"/>
      <c r="AA4076" s="11" t="str">
        <f t="shared" si="127"/>
        <v/>
      </c>
    </row>
    <row r="4077" spans="16:27" ht="15" customHeight="1">
      <c r="P4077" t="str">
        <f t="shared" si="126"/>
        <v/>
      </c>
      <c r="Q4077" t="str">
        <f>IF(P4077="","",IFERROR(IF(AND(H4077="W7",OR(F4077="causal",F4077="predictive")),IF(AND(OR(K4077=1,K4077="1"),OR(L4077=1,L4077="1"),OR(M4077=1,M4077="1")),"adequate","partial"),IF(AND(H4077="W4",F4077="predictive",OR(J4077="P2",J4077="P3",J4077="P4")),IF(OR(U4077=1,U4077="1"),"adequate","partial"),INDEX(Fit_Matrix!$B:$B,MATCH(P4077,Fit_Matrix!$A:$A,0)))),"CHECK KEY"))</f>
        <v/>
      </c>
      <c r="U4077" s="10"/>
      <c r="V4077" s="10"/>
      <c r="W4077" s="10"/>
      <c r="X4077" s="10"/>
      <c r="Y4077" s="10"/>
      <c r="Z4077" s="10"/>
      <c r="AA4077" s="11" t="str">
        <f t="shared" si="127"/>
        <v/>
      </c>
    </row>
    <row r="4078" spans="16:27" ht="15" customHeight="1">
      <c r="P4078" t="str">
        <f t="shared" si="126"/>
        <v/>
      </c>
      <c r="Q4078" t="str">
        <f>IF(P4078="","",IFERROR(IF(AND(H4078="W7",OR(F4078="causal",F4078="predictive")),IF(AND(OR(K4078=1,K4078="1"),OR(L4078=1,L4078="1"),OR(M4078=1,M4078="1")),"adequate","partial"),IF(AND(H4078="W4",F4078="predictive",OR(J4078="P2",J4078="P3",J4078="P4")),IF(OR(U4078=1,U4078="1"),"adequate","partial"),INDEX(Fit_Matrix!$B:$B,MATCH(P4078,Fit_Matrix!$A:$A,0)))),"CHECK KEY"))</f>
        <v/>
      </c>
      <c r="U4078" s="10"/>
      <c r="V4078" s="10"/>
      <c r="W4078" s="10"/>
      <c r="X4078" s="10"/>
      <c r="Y4078" s="10"/>
      <c r="Z4078" s="10"/>
      <c r="AA4078" s="11" t="str">
        <f t="shared" si="127"/>
        <v/>
      </c>
    </row>
    <row r="4079" spans="16:27" ht="15" customHeight="1">
      <c r="P4079" t="str">
        <f t="shared" si="126"/>
        <v/>
      </c>
      <c r="Q4079" t="str">
        <f>IF(P4079="","",IFERROR(IF(AND(H4079="W7",OR(F4079="causal",F4079="predictive")),IF(AND(OR(K4079=1,K4079="1"),OR(L4079=1,L4079="1"),OR(M4079=1,M4079="1")),"adequate","partial"),IF(AND(H4079="W4",F4079="predictive",OR(J4079="P2",J4079="P3",J4079="P4")),IF(OR(U4079=1,U4079="1"),"adequate","partial"),INDEX(Fit_Matrix!$B:$B,MATCH(P4079,Fit_Matrix!$A:$A,0)))),"CHECK KEY"))</f>
        <v/>
      </c>
      <c r="U4079" s="10"/>
      <c r="V4079" s="10"/>
      <c r="W4079" s="10"/>
      <c r="X4079" s="10"/>
      <c r="Y4079" s="10"/>
      <c r="Z4079" s="10"/>
      <c r="AA4079" s="11" t="str">
        <f t="shared" si="127"/>
        <v/>
      </c>
    </row>
    <row r="4080" spans="16:27" ht="15" customHeight="1">
      <c r="P4080" t="str">
        <f t="shared" si="126"/>
        <v/>
      </c>
      <c r="Q4080" t="str">
        <f>IF(P4080="","",IFERROR(IF(AND(H4080="W7",OR(F4080="causal",F4080="predictive")),IF(AND(OR(K4080=1,K4080="1"),OR(L4080=1,L4080="1"),OR(M4080=1,M4080="1")),"adequate","partial"),IF(AND(H4080="W4",F4080="predictive",OR(J4080="P2",J4080="P3",J4080="P4")),IF(OR(U4080=1,U4080="1"),"adequate","partial"),INDEX(Fit_Matrix!$B:$B,MATCH(P4080,Fit_Matrix!$A:$A,0)))),"CHECK KEY"))</f>
        <v/>
      </c>
      <c r="U4080" s="10"/>
      <c r="V4080" s="10"/>
      <c r="W4080" s="10"/>
      <c r="X4080" s="10"/>
      <c r="Y4080" s="10"/>
      <c r="Z4080" s="10"/>
      <c r="AA4080" s="11" t="str">
        <f t="shared" si="127"/>
        <v/>
      </c>
    </row>
    <row r="4081" spans="16:27" ht="15" customHeight="1">
      <c r="P4081" t="str">
        <f t="shared" si="126"/>
        <v/>
      </c>
      <c r="Q4081" t="str">
        <f>IF(P4081="","",IFERROR(IF(AND(H4081="W7",OR(F4081="causal",F4081="predictive")),IF(AND(OR(K4081=1,K4081="1"),OR(L4081=1,L4081="1"),OR(M4081=1,M4081="1")),"adequate","partial"),IF(AND(H4081="W4",F4081="predictive",OR(J4081="P2",J4081="P3",J4081="P4")),IF(OR(U4081=1,U4081="1"),"adequate","partial"),INDEX(Fit_Matrix!$B:$B,MATCH(P4081,Fit_Matrix!$A:$A,0)))),"CHECK KEY"))</f>
        <v/>
      </c>
      <c r="U4081" s="10"/>
      <c r="V4081" s="10"/>
      <c r="W4081" s="10"/>
      <c r="X4081" s="10"/>
      <c r="Y4081" s="10"/>
      <c r="Z4081" s="10"/>
      <c r="AA4081" s="11" t="str">
        <f t="shared" si="127"/>
        <v/>
      </c>
    </row>
    <row r="4082" spans="16:27" ht="15" customHeight="1">
      <c r="P4082" t="str">
        <f t="shared" si="126"/>
        <v/>
      </c>
      <c r="Q4082" t="str">
        <f>IF(P4082="","",IFERROR(IF(AND(H4082="W7",OR(F4082="causal",F4082="predictive")),IF(AND(OR(K4082=1,K4082="1"),OR(L4082=1,L4082="1"),OR(M4082=1,M4082="1")),"adequate","partial"),IF(AND(H4082="W4",F4082="predictive",OR(J4082="P2",J4082="P3",J4082="P4")),IF(OR(U4082=1,U4082="1"),"adequate","partial"),INDEX(Fit_Matrix!$B:$B,MATCH(P4082,Fit_Matrix!$A:$A,0)))),"CHECK KEY"))</f>
        <v/>
      </c>
      <c r="U4082" s="10"/>
      <c r="V4082" s="10"/>
      <c r="W4082" s="10"/>
      <c r="X4082" s="10"/>
      <c r="Y4082" s="10"/>
      <c r="Z4082" s="10"/>
      <c r="AA4082" s="11" t="str">
        <f t="shared" si="127"/>
        <v/>
      </c>
    </row>
    <row r="4083" spans="16:27" ht="15" customHeight="1">
      <c r="P4083" t="str">
        <f t="shared" si="126"/>
        <v/>
      </c>
      <c r="Q4083" t="str">
        <f>IF(P4083="","",IFERROR(IF(AND(H4083="W7",OR(F4083="causal",F4083="predictive")),IF(AND(OR(K4083=1,K4083="1"),OR(L4083=1,L4083="1"),OR(M4083=1,M4083="1")),"adequate","partial"),IF(AND(H4083="W4",F4083="predictive",OR(J4083="P2",J4083="P3",J4083="P4")),IF(OR(U4083=1,U4083="1"),"adequate","partial"),INDEX(Fit_Matrix!$B:$B,MATCH(P4083,Fit_Matrix!$A:$A,0)))),"CHECK KEY"))</f>
        <v/>
      </c>
      <c r="U4083" s="10"/>
      <c r="V4083" s="10"/>
      <c r="W4083" s="10"/>
      <c r="X4083" s="10"/>
      <c r="Y4083" s="10"/>
      <c r="Z4083" s="10"/>
      <c r="AA4083" s="11" t="str">
        <f t="shared" si="127"/>
        <v/>
      </c>
    </row>
    <row r="4084" spans="16:27" ht="15" customHeight="1">
      <c r="P4084" t="str">
        <f t="shared" si="126"/>
        <v/>
      </c>
      <c r="Q4084" t="str">
        <f>IF(P4084="","",IFERROR(IF(AND(H4084="W7",OR(F4084="causal",F4084="predictive")),IF(AND(OR(K4084=1,K4084="1"),OR(L4084=1,L4084="1"),OR(M4084=1,M4084="1")),"adequate","partial"),IF(AND(H4084="W4",F4084="predictive",OR(J4084="P2",J4084="P3",J4084="P4")),IF(OR(U4084=1,U4084="1"),"adequate","partial"),INDEX(Fit_Matrix!$B:$B,MATCH(P4084,Fit_Matrix!$A:$A,0)))),"CHECK KEY"))</f>
        <v/>
      </c>
      <c r="U4084" s="10"/>
      <c r="V4084" s="10"/>
      <c r="W4084" s="10"/>
      <c r="X4084" s="10"/>
      <c r="Y4084" s="10"/>
      <c r="Z4084" s="10"/>
      <c r="AA4084" s="11" t="str">
        <f t="shared" si="127"/>
        <v/>
      </c>
    </row>
    <row r="4085" spans="16:27" ht="15" customHeight="1">
      <c r="P4085" t="str">
        <f t="shared" si="126"/>
        <v/>
      </c>
      <c r="Q4085" t="str">
        <f>IF(P4085="","",IFERROR(IF(AND(H4085="W7",OR(F4085="causal",F4085="predictive")),IF(AND(OR(K4085=1,K4085="1"),OR(L4085=1,L4085="1"),OR(M4085=1,M4085="1")),"adequate","partial"),IF(AND(H4085="W4",F4085="predictive",OR(J4085="P2",J4085="P3",J4085="P4")),IF(OR(U4085=1,U4085="1"),"adequate","partial"),INDEX(Fit_Matrix!$B:$B,MATCH(P4085,Fit_Matrix!$A:$A,0)))),"CHECK KEY"))</f>
        <v/>
      </c>
      <c r="U4085" s="10"/>
      <c r="V4085" s="10"/>
      <c r="W4085" s="10"/>
      <c r="X4085" s="10"/>
      <c r="Y4085" s="10"/>
      <c r="Z4085" s="10"/>
      <c r="AA4085" s="11" t="str">
        <f t="shared" si="127"/>
        <v/>
      </c>
    </row>
    <row r="4086" spans="16:27" ht="15" customHeight="1">
      <c r="P4086" t="str">
        <f t="shared" si="126"/>
        <v/>
      </c>
      <c r="Q4086" t="str">
        <f>IF(P4086="","",IFERROR(IF(AND(H4086="W7",OR(F4086="causal",F4086="predictive")),IF(AND(OR(K4086=1,K4086="1"),OR(L4086=1,L4086="1"),OR(M4086=1,M4086="1")),"adequate","partial"),IF(AND(H4086="W4",F4086="predictive",OR(J4086="P2",J4086="P3",J4086="P4")),IF(OR(U4086=1,U4086="1"),"adequate","partial"),INDEX(Fit_Matrix!$B:$B,MATCH(P4086,Fit_Matrix!$A:$A,0)))),"CHECK KEY"))</f>
        <v/>
      </c>
      <c r="U4086" s="10"/>
      <c r="V4086" s="10"/>
      <c r="W4086" s="10"/>
      <c r="X4086" s="10"/>
      <c r="Y4086" s="10"/>
      <c r="Z4086" s="10"/>
      <c r="AA4086" s="11" t="str">
        <f t="shared" si="127"/>
        <v/>
      </c>
    </row>
    <row r="4087" spans="16:27" ht="15" customHeight="1">
      <c r="P4087" t="str">
        <f t="shared" si="126"/>
        <v/>
      </c>
      <c r="Q4087" t="str">
        <f>IF(P4087="","",IFERROR(IF(AND(H4087="W7",OR(F4087="causal",F4087="predictive")),IF(AND(OR(K4087=1,K4087="1"),OR(L4087=1,L4087="1"),OR(M4087=1,M4087="1")),"adequate","partial"),IF(AND(H4087="W4",F4087="predictive",OR(J4087="P2",J4087="P3",J4087="P4")),IF(OR(U4087=1,U4087="1"),"adequate","partial"),INDEX(Fit_Matrix!$B:$B,MATCH(P4087,Fit_Matrix!$A:$A,0)))),"CHECK KEY"))</f>
        <v/>
      </c>
      <c r="U4087" s="10"/>
      <c r="V4087" s="10"/>
      <c r="W4087" s="10"/>
      <c r="X4087" s="10"/>
      <c r="Y4087" s="10"/>
      <c r="Z4087" s="10"/>
      <c r="AA4087" s="11" t="str">
        <f t="shared" si="127"/>
        <v/>
      </c>
    </row>
    <row r="4088" spans="16:27" ht="15" customHeight="1">
      <c r="P4088" t="str">
        <f t="shared" si="126"/>
        <v/>
      </c>
      <c r="Q4088" t="str">
        <f>IF(P4088="","",IFERROR(IF(AND(H4088="W7",OR(F4088="causal",F4088="predictive")),IF(AND(OR(K4088=1,K4088="1"),OR(L4088=1,L4088="1"),OR(M4088=1,M4088="1")),"adequate","partial"),IF(AND(H4088="W4",F4088="predictive",OR(J4088="P2",J4088="P3",J4088="P4")),IF(OR(U4088=1,U4088="1"),"adequate","partial"),INDEX(Fit_Matrix!$B:$B,MATCH(P4088,Fit_Matrix!$A:$A,0)))),"CHECK KEY"))</f>
        <v/>
      </c>
      <c r="U4088" s="10"/>
      <c r="V4088" s="10"/>
      <c r="W4088" s="10"/>
      <c r="X4088" s="10"/>
      <c r="Y4088" s="10"/>
      <c r="Z4088" s="10"/>
      <c r="AA4088" s="11" t="str">
        <f t="shared" si="127"/>
        <v/>
      </c>
    </row>
    <row r="4089" spans="16:27" ht="15" customHeight="1">
      <c r="P4089" t="str">
        <f t="shared" si="126"/>
        <v/>
      </c>
      <c r="Q4089" t="str">
        <f>IF(P4089="","",IFERROR(IF(AND(H4089="W7",OR(F4089="causal",F4089="predictive")),IF(AND(OR(K4089=1,K4089="1"),OR(L4089=1,L4089="1"),OR(M4089=1,M4089="1")),"adequate","partial"),IF(AND(H4089="W4",F4089="predictive",OR(J4089="P2",J4089="P3",J4089="P4")),IF(OR(U4089=1,U4089="1"),"adequate","partial"),INDEX(Fit_Matrix!$B:$B,MATCH(P4089,Fit_Matrix!$A:$A,0)))),"CHECK KEY"))</f>
        <v/>
      </c>
      <c r="U4089" s="10"/>
      <c r="V4089" s="10"/>
      <c r="W4089" s="10"/>
      <c r="X4089" s="10"/>
      <c r="Y4089" s="10"/>
      <c r="Z4089" s="10"/>
      <c r="AA4089" s="11" t="str">
        <f t="shared" si="127"/>
        <v/>
      </c>
    </row>
    <row r="4090" spans="16:27" ht="15" customHeight="1">
      <c r="P4090" t="str">
        <f t="shared" si="126"/>
        <v/>
      </c>
      <c r="Q4090" t="str">
        <f>IF(P4090="","",IFERROR(IF(AND(H4090="W7",OR(F4090="causal",F4090="predictive")),IF(AND(OR(K4090=1,K4090="1"),OR(L4090=1,L4090="1"),OR(M4090=1,M4090="1")),"adequate","partial"),IF(AND(H4090="W4",F4090="predictive",OR(J4090="P2",J4090="P3",J4090="P4")),IF(OR(U4090=1,U4090="1"),"adequate","partial"),INDEX(Fit_Matrix!$B:$B,MATCH(P4090,Fit_Matrix!$A:$A,0)))),"CHECK KEY"))</f>
        <v/>
      </c>
      <c r="U4090" s="10"/>
      <c r="V4090" s="10"/>
      <c r="W4090" s="10"/>
      <c r="X4090" s="10"/>
      <c r="Y4090" s="10"/>
      <c r="Z4090" s="10"/>
      <c r="AA4090" s="11" t="str">
        <f t="shared" si="127"/>
        <v/>
      </c>
    </row>
    <row r="4091" spans="16:27" ht="15" customHeight="1">
      <c r="P4091" t="str">
        <f t="shared" si="126"/>
        <v/>
      </c>
      <c r="Q4091" t="str">
        <f>IF(P4091="","",IFERROR(IF(AND(H4091="W7",OR(F4091="causal",F4091="predictive")),IF(AND(OR(K4091=1,K4091="1"),OR(L4091=1,L4091="1"),OR(M4091=1,M4091="1")),"adequate","partial"),IF(AND(H4091="W4",F4091="predictive",OR(J4091="P2",J4091="P3",J4091="P4")),IF(OR(U4091=1,U4091="1"),"adequate","partial"),INDEX(Fit_Matrix!$B:$B,MATCH(P4091,Fit_Matrix!$A:$A,0)))),"CHECK KEY"))</f>
        <v/>
      </c>
      <c r="U4091" s="10"/>
      <c r="V4091" s="10"/>
      <c r="W4091" s="10"/>
      <c r="X4091" s="10"/>
      <c r="Y4091" s="10"/>
      <c r="Z4091" s="10"/>
      <c r="AA4091" s="11" t="str">
        <f t="shared" si="127"/>
        <v/>
      </c>
    </row>
    <row r="4092" spans="16:27" ht="15" customHeight="1">
      <c r="P4092" t="str">
        <f t="shared" si="126"/>
        <v/>
      </c>
      <c r="Q4092" t="str">
        <f>IF(P4092="","",IFERROR(IF(AND(H4092="W7",OR(F4092="causal",F4092="predictive")),IF(AND(OR(K4092=1,K4092="1"),OR(L4092=1,L4092="1"),OR(M4092=1,M4092="1")),"adequate","partial"),IF(AND(H4092="W4",F4092="predictive",OR(J4092="P2",J4092="P3",J4092="P4")),IF(OR(U4092=1,U4092="1"),"adequate","partial"),INDEX(Fit_Matrix!$B:$B,MATCH(P4092,Fit_Matrix!$A:$A,0)))),"CHECK KEY"))</f>
        <v/>
      </c>
      <c r="U4092" s="10"/>
      <c r="V4092" s="10"/>
      <c r="W4092" s="10"/>
      <c r="X4092" s="10"/>
      <c r="Y4092" s="10"/>
      <c r="Z4092" s="10"/>
      <c r="AA4092" s="11" t="str">
        <f t="shared" si="127"/>
        <v/>
      </c>
    </row>
    <row r="4093" spans="16:27" ht="15" customHeight="1">
      <c r="P4093" t="str">
        <f t="shared" si="126"/>
        <v/>
      </c>
      <c r="Q4093" t="str">
        <f>IF(P4093="","",IFERROR(IF(AND(H4093="W7",OR(F4093="causal",F4093="predictive")),IF(AND(OR(K4093=1,K4093="1"),OR(L4093=1,L4093="1"),OR(M4093=1,M4093="1")),"adequate","partial"),IF(AND(H4093="W4",F4093="predictive",OR(J4093="P2",J4093="P3",J4093="P4")),IF(OR(U4093=1,U4093="1"),"adequate","partial"),INDEX(Fit_Matrix!$B:$B,MATCH(P4093,Fit_Matrix!$A:$A,0)))),"CHECK KEY"))</f>
        <v/>
      </c>
      <c r="U4093" s="10"/>
      <c r="V4093" s="10"/>
      <c r="W4093" s="10"/>
      <c r="X4093" s="10"/>
      <c r="Y4093" s="10"/>
      <c r="Z4093" s="10"/>
      <c r="AA4093" s="11" t="str">
        <f t="shared" si="127"/>
        <v/>
      </c>
    </row>
    <row r="4094" spans="16:27" ht="15" customHeight="1">
      <c r="P4094" t="str">
        <f t="shared" si="126"/>
        <v/>
      </c>
      <c r="Q4094" t="str">
        <f>IF(P4094="","",IFERROR(IF(AND(H4094="W7",OR(F4094="causal",F4094="predictive")),IF(AND(OR(K4094=1,K4094="1"),OR(L4094=1,L4094="1"),OR(M4094=1,M4094="1")),"adequate","partial"),IF(AND(H4094="W4",F4094="predictive",OR(J4094="P2",J4094="P3",J4094="P4")),IF(OR(U4094=1,U4094="1"),"adequate","partial"),INDEX(Fit_Matrix!$B:$B,MATCH(P4094,Fit_Matrix!$A:$A,0)))),"CHECK KEY"))</f>
        <v/>
      </c>
      <c r="U4094" s="10"/>
      <c r="V4094" s="10"/>
      <c r="W4094" s="10"/>
      <c r="X4094" s="10"/>
      <c r="Y4094" s="10"/>
      <c r="Z4094" s="10"/>
      <c r="AA4094" s="11" t="str">
        <f t="shared" si="127"/>
        <v/>
      </c>
    </row>
    <row r="4095" spans="16:27" ht="15" customHeight="1">
      <c r="P4095" t="str">
        <f t="shared" si="126"/>
        <v/>
      </c>
      <c r="Q4095" t="str">
        <f>IF(P4095="","",IFERROR(IF(AND(H4095="W7",OR(F4095="causal",F4095="predictive")),IF(AND(OR(K4095=1,K4095="1"),OR(L4095=1,L4095="1"),OR(M4095=1,M4095="1")),"adequate","partial"),IF(AND(H4095="W4",F4095="predictive",OR(J4095="P2",J4095="P3",J4095="P4")),IF(OR(U4095=1,U4095="1"),"adequate","partial"),INDEX(Fit_Matrix!$B:$B,MATCH(P4095,Fit_Matrix!$A:$A,0)))),"CHECK KEY"))</f>
        <v/>
      </c>
      <c r="U4095" s="10"/>
      <c r="V4095" s="10"/>
      <c r="W4095" s="10"/>
      <c r="X4095" s="10"/>
      <c r="Y4095" s="10"/>
      <c r="Z4095" s="10"/>
      <c r="AA4095" s="11" t="str">
        <f t="shared" si="127"/>
        <v/>
      </c>
    </row>
    <row r="4096" spans="16:27" ht="15" customHeight="1">
      <c r="P4096" t="str">
        <f t="shared" si="126"/>
        <v/>
      </c>
      <c r="Q4096" t="str">
        <f>IF(P4096="","",IFERROR(IF(AND(H4096="W7",OR(F4096="causal",F4096="predictive")),IF(AND(OR(K4096=1,K4096="1"),OR(L4096=1,L4096="1"),OR(M4096=1,M4096="1")),"adequate","partial"),IF(AND(H4096="W4",F4096="predictive",OR(J4096="P2",J4096="P3",J4096="P4")),IF(OR(U4096=1,U4096="1"),"adequate","partial"),INDEX(Fit_Matrix!$B:$B,MATCH(P4096,Fit_Matrix!$A:$A,0)))),"CHECK KEY"))</f>
        <v/>
      </c>
      <c r="U4096" s="10"/>
      <c r="V4096" s="10"/>
      <c r="W4096" s="10"/>
      <c r="X4096" s="10"/>
      <c r="Y4096" s="10"/>
      <c r="Z4096" s="10"/>
      <c r="AA4096" s="11" t="str">
        <f t="shared" si="127"/>
        <v/>
      </c>
    </row>
    <row r="4097" spans="16:27" ht="15" customHeight="1">
      <c r="P4097" t="str">
        <f t="shared" si="126"/>
        <v/>
      </c>
      <c r="Q4097" t="str">
        <f>IF(P4097="","",IFERROR(IF(AND(H4097="W7",OR(F4097="causal",F4097="predictive")),IF(AND(OR(K4097=1,K4097="1"),OR(L4097=1,L4097="1"),OR(M4097=1,M4097="1")),"adequate","partial"),IF(AND(H4097="W4",F4097="predictive",OR(J4097="P2",J4097="P3",J4097="P4")),IF(OR(U4097=1,U4097="1"),"adequate","partial"),INDEX(Fit_Matrix!$B:$B,MATCH(P4097,Fit_Matrix!$A:$A,0)))),"CHECK KEY"))</f>
        <v/>
      </c>
      <c r="U4097" s="10"/>
      <c r="V4097" s="10"/>
      <c r="W4097" s="10"/>
      <c r="X4097" s="10"/>
      <c r="Y4097" s="10"/>
      <c r="Z4097" s="10"/>
      <c r="AA4097" s="11" t="str">
        <f t="shared" si="127"/>
        <v/>
      </c>
    </row>
    <row r="4098" spans="16:27" ht="15" customHeight="1">
      <c r="P4098" t="str">
        <f t="shared" ref="P4098:P4161" si="128">IF(OR(F4098="",H4098="",J4098=""),"",J4098&amp;"|"&amp;F4098&amp;"|"&amp;IF(H4098="W3","W3_"&amp;IF(I4098="","unknown",I4098),H4098))</f>
        <v/>
      </c>
      <c r="Q4098" t="str">
        <f>IF(P4098="","",IFERROR(IF(AND(H4098="W7",OR(F4098="causal",F4098="predictive")),IF(AND(OR(K4098=1,K4098="1"),OR(L4098=1,L4098="1"),OR(M4098=1,M4098="1")),"adequate","partial"),IF(AND(H4098="W4",F4098="predictive",OR(J4098="P2",J4098="P3",J4098="P4")),IF(OR(U4098=1,U4098="1"),"adequate","partial"),INDEX(Fit_Matrix!$B:$B,MATCH(P4098,Fit_Matrix!$A:$A,0)))),"CHECK KEY"))</f>
        <v/>
      </c>
      <c r="U4098" s="10"/>
      <c r="V4098" s="10"/>
      <c r="W4098" s="10"/>
      <c r="X4098" s="10"/>
      <c r="Y4098" s="10"/>
      <c r="Z4098" s="10"/>
      <c r="AA4098" s="11" t="str">
        <f t="shared" ref="AA4098:AA4161" si="129">IF(A4098="","",IF(AND(J4098="P4",F4098="causal"),"P4-CAUSAL",""))</f>
        <v/>
      </c>
    </row>
    <row r="4099" spans="16:27" ht="15" customHeight="1">
      <c r="P4099" t="str">
        <f t="shared" si="128"/>
        <v/>
      </c>
      <c r="Q4099" t="str">
        <f>IF(P4099="","",IFERROR(IF(AND(H4099="W7",OR(F4099="causal",F4099="predictive")),IF(AND(OR(K4099=1,K4099="1"),OR(L4099=1,L4099="1"),OR(M4099=1,M4099="1")),"adequate","partial"),IF(AND(H4099="W4",F4099="predictive",OR(J4099="P2",J4099="P3",J4099="P4")),IF(OR(U4099=1,U4099="1"),"adequate","partial"),INDEX(Fit_Matrix!$B:$B,MATCH(P4099,Fit_Matrix!$A:$A,0)))),"CHECK KEY"))</f>
        <v/>
      </c>
      <c r="U4099" s="10"/>
      <c r="V4099" s="10"/>
      <c r="W4099" s="10"/>
      <c r="X4099" s="10"/>
      <c r="Y4099" s="10"/>
      <c r="Z4099" s="10"/>
      <c r="AA4099" s="11" t="str">
        <f t="shared" si="129"/>
        <v/>
      </c>
    </row>
    <row r="4100" spans="16:27" ht="15" customHeight="1">
      <c r="P4100" t="str">
        <f t="shared" si="128"/>
        <v/>
      </c>
      <c r="Q4100" t="str">
        <f>IF(P4100="","",IFERROR(IF(AND(H4100="W7",OR(F4100="causal",F4100="predictive")),IF(AND(OR(K4100=1,K4100="1"),OR(L4100=1,L4100="1"),OR(M4100=1,M4100="1")),"adequate","partial"),IF(AND(H4100="W4",F4100="predictive",OR(J4100="P2",J4100="P3",J4100="P4")),IF(OR(U4100=1,U4100="1"),"adequate","partial"),INDEX(Fit_Matrix!$B:$B,MATCH(P4100,Fit_Matrix!$A:$A,0)))),"CHECK KEY"))</f>
        <v/>
      </c>
      <c r="U4100" s="10"/>
      <c r="V4100" s="10"/>
      <c r="W4100" s="10"/>
      <c r="X4100" s="10"/>
      <c r="Y4100" s="10"/>
      <c r="Z4100" s="10"/>
      <c r="AA4100" s="11" t="str">
        <f t="shared" si="129"/>
        <v/>
      </c>
    </row>
    <row r="4101" spans="16:27" ht="15" customHeight="1">
      <c r="P4101" t="str">
        <f t="shared" si="128"/>
        <v/>
      </c>
      <c r="Q4101" t="str">
        <f>IF(P4101="","",IFERROR(IF(AND(H4101="W7",OR(F4101="causal",F4101="predictive")),IF(AND(OR(K4101=1,K4101="1"),OR(L4101=1,L4101="1"),OR(M4101=1,M4101="1")),"adequate","partial"),IF(AND(H4101="W4",F4101="predictive",OR(J4101="P2",J4101="P3",J4101="P4")),IF(OR(U4101=1,U4101="1"),"adequate","partial"),INDEX(Fit_Matrix!$B:$B,MATCH(P4101,Fit_Matrix!$A:$A,0)))),"CHECK KEY"))</f>
        <v/>
      </c>
      <c r="U4101" s="10"/>
      <c r="V4101" s="10"/>
      <c r="W4101" s="10"/>
      <c r="X4101" s="10"/>
      <c r="Y4101" s="10"/>
      <c r="Z4101" s="10"/>
      <c r="AA4101" s="11" t="str">
        <f t="shared" si="129"/>
        <v/>
      </c>
    </row>
    <row r="4102" spans="16:27" ht="15" customHeight="1">
      <c r="P4102" t="str">
        <f t="shared" si="128"/>
        <v/>
      </c>
      <c r="Q4102" t="str">
        <f>IF(P4102="","",IFERROR(IF(AND(H4102="W7",OR(F4102="causal",F4102="predictive")),IF(AND(OR(K4102=1,K4102="1"),OR(L4102=1,L4102="1"),OR(M4102=1,M4102="1")),"adequate","partial"),IF(AND(H4102="W4",F4102="predictive",OR(J4102="P2",J4102="P3",J4102="P4")),IF(OR(U4102=1,U4102="1"),"adequate","partial"),INDEX(Fit_Matrix!$B:$B,MATCH(P4102,Fit_Matrix!$A:$A,0)))),"CHECK KEY"))</f>
        <v/>
      </c>
      <c r="U4102" s="10"/>
      <c r="V4102" s="10"/>
      <c r="W4102" s="10"/>
      <c r="X4102" s="10"/>
      <c r="Y4102" s="10"/>
      <c r="Z4102" s="10"/>
      <c r="AA4102" s="11" t="str">
        <f t="shared" si="129"/>
        <v/>
      </c>
    </row>
    <row r="4103" spans="16:27" ht="15" customHeight="1">
      <c r="P4103" t="str">
        <f t="shared" si="128"/>
        <v/>
      </c>
      <c r="Q4103" t="str">
        <f>IF(P4103="","",IFERROR(IF(AND(H4103="W7",OR(F4103="causal",F4103="predictive")),IF(AND(OR(K4103=1,K4103="1"),OR(L4103=1,L4103="1"),OR(M4103=1,M4103="1")),"adequate","partial"),IF(AND(H4103="W4",F4103="predictive",OR(J4103="P2",J4103="P3",J4103="P4")),IF(OR(U4103=1,U4103="1"),"adequate","partial"),INDEX(Fit_Matrix!$B:$B,MATCH(P4103,Fit_Matrix!$A:$A,0)))),"CHECK KEY"))</f>
        <v/>
      </c>
      <c r="U4103" s="10"/>
      <c r="V4103" s="10"/>
      <c r="W4103" s="10"/>
      <c r="X4103" s="10"/>
      <c r="Y4103" s="10"/>
      <c r="Z4103" s="10"/>
      <c r="AA4103" s="11" t="str">
        <f t="shared" si="129"/>
        <v/>
      </c>
    </row>
    <row r="4104" spans="16:27" ht="15" customHeight="1">
      <c r="P4104" t="str">
        <f t="shared" si="128"/>
        <v/>
      </c>
      <c r="Q4104" t="str">
        <f>IF(P4104="","",IFERROR(IF(AND(H4104="W7",OR(F4104="causal",F4104="predictive")),IF(AND(OR(K4104=1,K4104="1"),OR(L4104=1,L4104="1"),OR(M4104=1,M4104="1")),"adequate","partial"),IF(AND(H4104="W4",F4104="predictive",OR(J4104="P2",J4104="P3",J4104="P4")),IF(OR(U4104=1,U4104="1"),"adequate","partial"),INDEX(Fit_Matrix!$B:$B,MATCH(P4104,Fit_Matrix!$A:$A,0)))),"CHECK KEY"))</f>
        <v/>
      </c>
      <c r="U4104" s="10"/>
      <c r="V4104" s="10"/>
      <c r="W4104" s="10"/>
      <c r="X4104" s="10"/>
      <c r="Y4104" s="10"/>
      <c r="Z4104" s="10"/>
      <c r="AA4104" s="11" t="str">
        <f t="shared" si="129"/>
        <v/>
      </c>
    </row>
    <row r="4105" spans="16:27" ht="15" customHeight="1">
      <c r="P4105" t="str">
        <f t="shared" si="128"/>
        <v/>
      </c>
      <c r="Q4105" t="str">
        <f>IF(P4105="","",IFERROR(IF(AND(H4105="W7",OR(F4105="causal",F4105="predictive")),IF(AND(OR(K4105=1,K4105="1"),OR(L4105=1,L4105="1"),OR(M4105=1,M4105="1")),"adequate","partial"),IF(AND(H4105="W4",F4105="predictive",OR(J4105="P2",J4105="P3",J4105="P4")),IF(OR(U4105=1,U4105="1"),"adequate","partial"),INDEX(Fit_Matrix!$B:$B,MATCH(P4105,Fit_Matrix!$A:$A,0)))),"CHECK KEY"))</f>
        <v/>
      </c>
      <c r="U4105" s="10"/>
      <c r="V4105" s="10"/>
      <c r="W4105" s="10"/>
      <c r="X4105" s="10"/>
      <c r="Y4105" s="10"/>
      <c r="Z4105" s="10"/>
      <c r="AA4105" s="11" t="str">
        <f t="shared" si="129"/>
        <v/>
      </c>
    </row>
    <row r="4106" spans="16:27" ht="15" customHeight="1">
      <c r="P4106" t="str">
        <f t="shared" si="128"/>
        <v/>
      </c>
      <c r="Q4106" t="str">
        <f>IF(P4106="","",IFERROR(IF(AND(H4106="W7",OR(F4106="causal",F4106="predictive")),IF(AND(OR(K4106=1,K4106="1"),OR(L4106=1,L4106="1"),OR(M4106=1,M4106="1")),"adequate","partial"),IF(AND(H4106="W4",F4106="predictive",OR(J4106="P2",J4106="P3",J4106="P4")),IF(OR(U4106=1,U4106="1"),"adequate","partial"),INDEX(Fit_Matrix!$B:$B,MATCH(P4106,Fit_Matrix!$A:$A,0)))),"CHECK KEY"))</f>
        <v/>
      </c>
      <c r="U4106" s="10"/>
      <c r="V4106" s="10"/>
      <c r="W4106" s="10"/>
      <c r="X4106" s="10"/>
      <c r="Y4106" s="10"/>
      <c r="Z4106" s="10"/>
      <c r="AA4106" s="11" t="str">
        <f t="shared" si="129"/>
        <v/>
      </c>
    </row>
    <row r="4107" spans="16:27" ht="15" customHeight="1">
      <c r="P4107" t="str">
        <f t="shared" si="128"/>
        <v/>
      </c>
      <c r="Q4107" t="str">
        <f>IF(P4107="","",IFERROR(IF(AND(H4107="W7",OR(F4107="causal",F4107="predictive")),IF(AND(OR(K4107=1,K4107="1"),OR(L4107=1,L4107="1"),OR(M4107=1,M4107="1")),"adequate","partial"),IF(AND(H4107="W4",F4107="predictive",OR(J4107="P2",J4107="P3",J4107="P4")),IF(OR(U4107=1,U4107="1"),"adequate","partial"),INDEX(Fit_Matrix!$B:$B,MATCH(P4107,Fit_Matrix!$A:$A,0)))),"CHECK KEY"))</f>
        <v/>
      </c>
      <c r="U4107" s="10"/>
      <c r="V4107" s="10"/>
      <c r="W4107" s="10"/>
      <c r="X4107" s="10"/>
      <c r="Y4107" s="10"/>
      <c r="Z4107" s="10"/>
      <c r="AA4107" s="11" t="str">
        <f t="shared" si="129"/>
        <v/>
      </c>
    </row>
    <row r="4108" spans="16:27" ht="15" customHeight="1">
      <c r="P4108" t="str">
        <f t="shared" si="128"/>
        <v/>
      </c>
      <c r="Q4108" t="str">
        <f>IF(P4108="","",IFERROR(IF(AND(H4108="W7",OR(F4108="causal",F4108="predictive")),IF(AND(OR(K4108=1,K4108="1"),OR(L4108=1,L4108="1"),OR(M4108=1,M4108="1")),"adequate","partial"),IF(AND(H4108="W4",F4108="predictive",OR(J4108="P2",J4108="P3",J4108="P4")),IF(OR(U4108=1,U4108="1"),"adequate","partial"),INDEX(Fit_Matrix!$B:$B,MATCH(P4108,Fit_Matrix!$A:$A,0)))),"CHECK KEY"))</f>
        <v/>
      </c>
      <c r="U4108" s="10"/>
      <c r="V4108" s="10"/>
      <c r="W4108" s="10"/>
      <c r="X4108" s="10"/>
      <c r="Y4108" s="10"/>
      <c r="Z4108" s="10"/>
      <c r="AA4108" s="11" t="str">
        <f t="shared" si="129"/>
        <v/>
      </c>
    </row>
    <row r="4109" spans="16:27" ht="15" customHeight="1">
      <c r="P4109" t="str">
        <f t="shared" si="128"/>
        <v/>
      </c>
      <c r="Q4109" t="str">
        <f>IF(P4109="","",IFERROR(IF(AND(H4109="W7",OR(F4109="causal",F4109="predictive")),IF(AND(OR(K4109=1,K4109="1"),OR(L4109=1,L4109="1"),OR(M4109=1,M4109="1")),"adequate","partial"),IF(AND(H4109="W4",F4109="predictive",OR(J4109="P2",J4109="P3",J4109="P4")),IF(OR(U4109=1,U4109="1"),"adequate","partial"),INDEX(Fit_Matrix!$B:$B,MATCH(P4109,Fit_Matrix!$A:$A,0)))),"CHECK KEY"))</f>
        <v/>
      </c>
      <c r="U4109" s="10"/>
      <c r="V4109" s="10"/>
      <c r="W4109" s="10"/>
      <c r="X4109" s="10"/>
      <c r="Y4109" s="10"/>
      <c r="Z4109" s="10"/>
      <c r="AA4109" s="11" t="str">
        <f t="shared" si="129"/>
        <v/>
      </c>
    </row>
    <row r="4110" spans="16:27" ht="15" customHeight="1">
      <c r="P4110" t="str">
        <f t="shared" si="128"/>
        <v/>
      </c>
      <c r="Q4110" t="str">
        <f>IF(P4110="","",IFERROR(IF(AND(H4110="W7",OR(F4110="causal",F4110="predictive")),IF(AND(OR(K4110=1,K4110="1"),OR(L4110=1,L4110="1"),OR(M4110=1,M4110="1")),"adequate","partial"),IF(AND(H4110="W4",F4110="predictive",OR(J4110="P2",J4110="P3",J4110="P4")),IF(OR(U4110=1,U4110="1"),"adequate","partial"),INDEX(Fit_Matrix!$B:$B,MATCH(P4110,Fit_Matrix!$A:$A,0)))),"CHECK KEY"))</f>
        <v/>
      </c>
      <c r="U4110" s="10"/>
      <c r="V4110" s="10"/>
      <c r="W4110" s="10"/>
      <c r="X4110" s="10"/>
      <c r="Y4110" s="10"/>
      <c r="Z4110" s="10"/>
      <c r="AA4110" s="11" t="str">
        <f t="shared" si="129"/>
        <v/>
      </c>
    </row>
    <row r="4111" spans="16:27" ht="15" customHeight="1">
      <c r="P4111" t="str">
        <f t="shared" si="128"/>
        <v/>
      </c>
      <c r="Q4111" t="str">
        <f>IF(P4111="","",IFERROR(IF(AND(H4111="W7",OR(F4111="causal",F4111="predictive")),IF(AND(OR(K4111=1,K4111="1"),OR(L4111=1,L4111="1"),OR(M4111=1,M4111="1")),"adequate","partial"),IF(AND(H4111="W4",F4111="predictive",OR(J4111="P2",J4111="P3",J4111="P4")),IF(OR(U4111=1,U4111="1"),"adequate","partial"),INDEX(Fit_Matrix!$B:$B,MATCH(P4111,Fit_Matrix!$A:$A,0)))),"CHECK KEY"))</f>
        <v/>
      </c>
      <c r="U4111" s="10"/>
      <c r="V4111" s="10"/>
      <c r="W4111" s="10"/>
      <c r="X4111" s="10"/>
      <c r="Y4111" s="10"/>
      <c r="Z4111" s="10"/>
      <c r="AA4111" s="11" t="str">
        <f t="shared" si="129"/>
        <v/>
      </c>
    </row>
    <row r="4112" spans="16:27" ht="15" customHeight="1">
      <c r="P4112" t="str">
        <f t="shared" si="128"/>
        <v/>
      </c>
      <c r="Q4112" t="str">
        <f>IF(P4112="","",IFERROR(IF(AND(H4112="W7",OR(F4112="causal",F4112="predictive")),IF(AND(OR(K4112=1,K4112="1"),OR(L4112=1,L4112="1"),OR(M4112=1,M4112="1")),"adequate","partial"),IF(AND(H4112="W4",F4112="predictive",OR(J4112="P2",J4112="P3",J4112="P4")),IF(OR(U4112=1,U4112="1"),"adequate","partial"),INDEX(Fit_Matrix!$B:$B,MATCH(P4112,Fit_Matrix!$A:$A,0)))),"CHECK KEY"))</f>
        <v/>
      </c>
      <c r="U4112" s="10"/>
      <c r="V4112" s="10"/>
      <c r="W4112" s="10"/>
      <c r="X4112" s="10"/>
      <c r="Y4112" s="10"/>
      <c r="Z4112" s="10"/>
      <c r="AA4112" s="11" t="str">
        <f t="shared" si="129"/>
        <v/>
      </c>
    </row>
    <row r="4113" spans="16:27" ht="15" customHeight="1">
      <c r="P4113" t="str">
        <f t="shared" si="128"/>
        <v/>
      </c>
      <c r="Q4113" t="str">
        <f>IF(P4113="","",IFERROR(IF(AND(H4113="W7",OR(F4113="causal",F4113="predictive")),IF(AND(OR(K4113=1,K4113="1"),OR(L4113=1,L4113="1"),OR(M4113=1,M4113="1")),"adequate","partial"),IF(AND(H4113="W4",F4113="predictive",OR(J4113="P2",J4113="P3",J4113="P4")),IF(OR(U4113=1,U4113="1"),"adequate","partial"),INDEX(Fit_Matrix!$B:$B,MATCH(P4113,Fit_Matrix!$A:$A,0)))),"CHECK KEY"))</f>
        <v/>
      </c>
      <c r="U4113" s="10"/>
      <c r="V4113" s="10"/>
      <c r="W4113" s="10"/>
      <c r="X4113" s="10"/>
      <c r="Y4113" s="10"/>
      <c r="Z4113" s="10"/>
      <c r="AA4113" s="11" t="str">
        <f t="shared" si="129"/>
        <v/>
      </c>
    </row>
    <row r="4114" spans="16:27" ht="15" customHeight="1">
      <c r="P4114" t="str">
        <f t="shared" si="128"/>
        <v/>
      </c>
      <c r="Q4114" t="str">
        <f>IF(P4114="","",IFERROR(IF(AND(H4114="W7",OR(F4114="causal",F4114="predictive")),IF(AND(OR(K4114=1,K4114="1"),OR(L4114=1,L4114="1"),OR(M4114=1,M4114="1")),"adequate","partial"),IF(AND(H4114="W4",F4114="predictive",OR(J4114="P2",J4114="P3",J4114="P4")),IF(OR(U4114=1,U4114="1"),"adequate","partial"),INDEX(Fit_Matrix!$B:$B,MATCH(P4114,Fit_Matrix!$A:$A,0)))),"CHECK KEY"))</f>
        <v/>
      </c>
      <c r="U4114" s="10"/>
      <c r="V4114" s="10"/>
      <c r="W4114" s="10"/>
      <c r="X4114" s="10"/>
      <c r="Y4114" s="10"/>
      <c r="Z4114" s="10"/>
      <c r="AA4114" s="11" t="str">
        <f t="shared" si="129"/>
        <v/>
      </c>
    </row>
    <row r="4115" spans="16:27" ht="15" customHeight="1">
      <c r="P4115" t="str">
        <f t="shared" si="128"/>
        <v/>
      </c>
      <c r="Q4115" t="str">
        <f>IF(P4115="","",IFERROR(IF(AND(H4115="W7",OR(F4115="causal",F4115="predictive")),IF(AND(OR(K4115=1,K4115="1"),OR(L4115=1,L4115="1"),OR(M4115=1,M4115="1")),"adequate","partial"),IF(AND(H4115="W4",F4115="predictive",OR(J4115="P2",J4115="P3",J4115="P4")),IF(OR(U4115=1,U4115="1"),"adequate","partial"),INDEX(Fit_Matrix!$B:$B,MATCH(P4115,Fit_Matrix!$A:$A,0)))),"CHECK KEY"))</f>
        <v/>
      </c>
      <c r="U4115" s="10"/>
      <c r="V4115" s="10"/>
      <c r="W4115" s="10"/>
      <c r="X4115" s="10"/>
      <c r="Y4115" s="10"/>
      <c r="Z4115" s="10"/>
      <c r="AA4115" s="11" t="str">
        <f t="shared" si="129"/>
        <v/>
      </c>
    </row>
    <row r="4116" spans="16:27" ht="15" customHeight="1">
      <c r="P4116" t="str">
        <f t="shared" si="128"/>
        <v/>
      </c>
      <c r="Q4116" t="str">
        <f>IF(P4116="","",IFERROR(IF(AND(H4116="W7",OR(F4116="causal",F4116="predictive")),IF(AND(OR(K4116=1,K4116="1"),OR(L4116=1,L4116="1"),OR(M4116=1,M4116="1")),"adequate","partial"),IF(AND(H4116="W4",F4116="predictive",OR(J4116="P2",J4116="P3",J4116="P4")),IF(OR(U4116=1,U4116="1"),"adequate","partial"),INDEX(Fit_Matrix!$B:$B,MATCH(P4116,Fit_Matrix!$A:$A,0)))),"CHECK KEY"))</f>
        <v/>
      </c>
      <c r="U4116" s="10"/>
      <c r="V4116" s="10"/>
      <c r="W4116" s="10"/>
      <c r="X4116" s="10"/>
      <c r="Y4116" s="10"/>
      <c r="Z4116" s="10"/>
      <c r="AA4116" s="11" t="str">
        <f t="shared" si="129"/>
        <v/>
      </c>
    </row>
    <row r="4117" spans="16:27" ht="15" customHeight="1">
      <c r="P4117" t="str">
        <f t="shared" si="128"/>
        <v/>
      </c>
      <c r="Q4117" t="str">
        <f>IF(P4117="","",IFERROR(IF(AND(H4117="W7",OR(F4117="causal",F4117="predictive")),IF(AND(OR(K4117=1,K4117="1"),OR(L4117=1,L4117="1"),OR(M4117=1,M4117="1")),"adequate","partial"),IF(AND(H4117="W4",F4117="predictive",OR(J4117="P2",J4117="P3",J4117="P4")),IF(OR(U4117=1,U4117="1"),"adequate","partial"),INDEX(Fit_Matrix!$B:$B,MATCH(P4117,Fit_Matrix!$A:$A,0)))),"CHECK KEY"))</f>
        <v/>
      </c>
      <c r="U4117" s="10"/>
      <c r="V4117" s="10"/>
      <c r="W4117" s="10"/>
      <c r="X4117" s="10"/>
      <c r="Y4117" s="10"/>
      <c r="Z4117" s="10"/>
      <c r="AA4117" s="11" t="str">
        <f t="shared" si="129"/>
        <v/>
      </c>
    </row>
    <row r="4118" spans="16:27" ht="15" customHeight="1">
      <c r="P4118" t="str">
        <f t="shared" si="128"/>
        <v/>
      </c>
      <c r="Q4118" t="str">
        <f>IF(P4118="","",IFERROR(IF(AND(H4118="W7",OR(F4118="causal",F4118="predictive")),IF(AND(OR(K4118=1,K4118="1"),OR(L4118=1,L4118="1"),OR(M4118=1,M4118="1")),"adequate","partial"),IF(AND(H4118="W4",F4118="predictive",OR(J4118="P2",J4118="P3",J4118="P4")),IF(OR(U4118=1,U4118="1"),"adequate","partial"),INDEX(Fit_Matrix!$B:$B,MATCH(P4118,Fit_Matrix!$A:$A,0)))),"CHECK KEY"))</f>
        <v/>
      </c>
      <c r="U4118" s="10"/>
      <c r="V4118" s="10"/>
      <c r="W4118" s="10"/>
      <c r="X4118" s="10"/>
      <c r="Y4118" s="10"/>
      <c r="Z4118" s="10"/>
      <c r="AA4118" s="11" t="str">
        <f t="shared" si="129"/>
        <v/>
      </c>
    </row>
    <row r="4119" spans="16:27" ht="15" customHeight="1">
      <c r="P4119" t="str">
        <f t="shared" si="128"/>
        <v/>
      </c>
      <c r="Q4119" t="str">
        <f>IF(P4119="","",IFERROR(IF(AND(H4119="W7",OR(F4119="causal",F4119="predictive")),IF(AND(OR(K4119=1,K4119="1"),OR(L4119=1,L4119="1"),OR(M4119=1,M4119="1")),"adequate","partial"),IF(AND(H4119="W4",F4119="predictive",OR(J4119="P2",J4119="P3",J4119="P4")),IF(OR(U4119=1,U4119="1"),"adequate","partial"),INDEX(Fit_Matrix!$B:$B,MATCH(P4119,Fit_Matrix!$A:$A,0)))),"CHECK KEY"))</f>
        <v/>
      </c>
      <c r="U4119" s="10"/>
      <c r="V4119" s="10"/>
      <c r="W4119" s="10"/>
      <c r="X4119" s="10"/>
      <c r="Y4119" s="10"/>
      <c r="Z4119" s="10"/>
      <c r="AA4119" s="11" t="str">
        <f t="shared" si="129"/>
        <v/>
      </c>
    </row>
    <row r="4120" spans="16:27" ht="15" customHeight="1">
      <c r="P4120" t="str">
        <f t="shared" si="128"/>
        <v/>
      </c>
      <c r="Q4120" t="str">
        <f>IF(P4120="","",IFERROR(IF(AND(H4120="W7",OR(F4120="causal",F4120="predictive")),IF(AND(OR(K4120=1,K4120="1"),OR(L4120=1,L4120="1"),OR(M4120=1,M4120="1")),"adequate","partial"),IF(AND(H4120="W4",F4120="predictive",OR(J4120="P2",J4120="P3",J4120="P4")),IF(OR(U4120=1,U4120="1"),"adequate","partial"),INDEX(Fit_Matrix!$B:$B,MATCH(P4120,Fit_Matrix!$A:$A,0)))),"CHECK KEY"))</f>
        <v/>
      </c>
      <c r="U4120" s="10"/>
      <c r="V4120" s="10"/>
      <c r="W4120" s="10"/>
      <c r="X4120" s="10"/>
      <c r="Y4120" s="10"/>
      <c r="Z4120" s="10"/>
      <c r="AA4120" s="11" t="str">
        <f t="shared" si="129"/>
        <v/>
      </c>
    </row>
    <row r="4121" spans="16:27" ht="15" customHeight="1">
      <c r="P4121" t="str">
        <f t="shared" si="128"/>
        <v/>
      </c>
      <c r="Q4121" t="str">
        <f>IF(P4121="","",IFERROR(IF(AND(H4121="W7",OR(F4121="causal",F4121="predictive")),IF(AND(OR(K4121=1,K4121="1"),OR(L4121=1,L4121="1"),OR(M4121=1,M4121="1")),"adequate","partial"),IF(AND(H4121="W4",F4121="predictive",OR(J4121="P2",J4121="P3",J4121="P4")),IF(OR(U4121=1,U4121="1"),"adequate","partial"),INDEX(Fit_Matrix!$B:$B,MATCH(P4121,Fit_Matrix!$A:$A,0)))),"CHECK KEY"))</f>
        <v/>
      </c>
      <c r="U4121" s="10"/>
      <c r="V4121" s="10"/>
      <c r="W4121" s="10"/>
      <c r="X4121" s="10"/>
      <c r="Y4121" s="10"/>
      <c r="Z4121" s="10"/>
      <c r="AA4121" s="11" t="str">
        <f t="shared" si="129"/>
        <v/>
      </c>
    </row>
    <row r="4122" spans="16:27" ht="15" customHeight="1">
      <c r="P4122" t="str">
        <f t="shared" si="128"/>
        <v/>
      </c>
      <c r="Q4122" t="str">
        <f>IF(P4122="","",IFERROR(IF(AND(H4122="W7",OR(F4122="causal",F4122="predictive")),IF(AND(OR(K4122=1,K4122="1"),OR(L4122=1,L4122="1"),OR(M4122=1,M4122="1")),"adequate","partial"),IF(AND(H4122="W4",F4122="predictive",OR(J4122="P2",J4122="P3",J4122="P4")),IF(OR(U4122=1,U4122="1"),"adequate","partial"),INDEX(Fit_Matrix!$B:$B,MATCH(P4122,Fit_Matrix!$A:$A,0)))),"CHECK KEY"))</f>
        <v/>
      </c>
      <c r="U4122" s="10"/>
      <c r="V4122" s="10"/>
      <c r="W4122" s="10"/>
      <c r="X4122" s="10"/>
      <c r="Y4122" s="10"/>
      <c r="Z4122" s="10"/>
      <c r="AA4122" s="11" t="str">
        <f t="shared" si="129"/>
        <v/>
      </c>
    </row>
    <row r="4123" spans="16:27" ht="15" customHeight="1">
      <c r="P4123" t="str">
        <f t="shared" si="128"/>
        <v/>
      </c>
      <c r="Q4123" t="str">
        <f>IF(P4123="","",IFERROR(IF(AND(H4123="W7",OR(F4123="causal",F4123="predictive")),IF(AND(OR(K4123=1,K4123="1"),OR(L4123=1,L4123="1"),OR(M4123=1,M4123="1")),"adequate","partial"),IF(AND(H4123="W4",F4123="predictive",OR(J4123="P2",J4123="P3",J4123="P4")),IF(OR(U4123=1,U4123="1"),"adequate","partial"),INDEX(Fit_Matrix!$B:$B,MATCH(P4123,Fit_Matrix!$A:$A,0)))),"CHECK KEY"))</f>
        <v/>
      </c>
      <c r="U4123" s="10"/>
      <c r="V4123" s="10"/>
      <c r="W4123" s="10"/>
      <c r="X4123" s="10"/>
      <c r="Y4123" s="10"/>
      <c r="Z4123" s="10"/>
      <c r="AA4123" s="11" t="str">
        <f t="shared" si="129"/>
        <v/>
      </c>
    </row>
    <row r="4124" spans="16:27" ht="15" customHeight="1">
      <c r="P4124" t="str">
        <f t="shared" si="128"/>
        <v/>
      </c>
      <c r="Q4124" t="str">
        <f>IF(P4124="","",IFERROR(IF(AND(H4124="W7",OR(F4124="causal",F4124="predictive")),IF(AND(OR(K4124=1,K4124="1"),OR(L4124=1,L4124="1"),OR(M4124=1,M4124="1")),"adequate","partial"),IF(AND(H4124="W4",F4124="predictive",OR(J4124="P2",J4124="P3",J4124="P4")),IF(OR(U4124=1,U4124="1"),"adequate","partial"),INDEX(Fit_Matrix!$B:$B,MATCH(P4124,Fit_Matrix!$A:$A,0)))),"CHECK KEY"))</f>
        <v/>
      </c>
      <c r="U4124" s="10"/>
      <c r="V4124" s="10"/>
      <c r="W4124" s="10"/>
      <c r="X4124" s="10"/>
      <c r="Y4124" s="10"/>
      <c r="Z4124" s="10"/>
      <c r="AA4124" s="11" t="str">
        <f t="shared" si="129"/>
        <v/>
      </c>
    </row>
    <row r="4125" spans="16:27" ht="15" customHeight="1">
      <c r="P4125" t="str">
        <f t="shared" si="128"/>
        <v/>
      </c>
      <c r="Q4125" t="str">
        <f>IF(P4125="","",IFERROR(IF(AND(H4125="W7",OR(F4125="causal",F4125="predictive")),IF(AND(OR(K4125=1,K4125="1"),OR(L4125=1,L4125="1"),OR(M4125=1,M4125="1")),"adequate","partial"),IF(AND(H4125="W4",F4125="predictive",OR(J4125="P2",J4125="P3",J4125="P4")),IF(OR(U4125=1,U4125="1"),"adequate","partial"),INDEX(Fit_Matrix!$B:$B,MATCH(P4125,Fit_Matrix!$A:$A,0)))),"CHECK KEY"))</f>
        <v/>
      </c>
      <c r="U4125" s="10"/>
      <c r="V4125" s="10"/>
      <c r="W4125" s="10"/>
      <c r="X4125" s="10"/>
      <c r="Y4125" s="10"/>
      <c r="Z4125" s="10"/>
      <c r="AA4125" s="11" t="str">
        <f t="shared" si="129"/>
        <v/>
      </c>
    </row>
    <row r="4126" spans="16:27" ht="15" customHeight="1">
      <c r="P4126" t="str">
        <f t="shared" si="128"/>
        <v/>
      </c>
      <c r="Q4126" t="str">
        <f>IF(P4126="","",IFERROR(IF(AND(H4126="W7",OR(F4126="causal",F4126="predictive")),IF(AND(OR(K4126=1,K4126="1"),OR(L4126=1,L4126="1"),OR(M4126=1,M4126="1")),"adequate","partial"),IF(AND(H4126="W4",F4126="predictive",OR(J4126="P2",J4126="P3",J4126="P4")),IF(OR(U4126=1,U4126="1"),"adequate","partial"),INDEX(Fit_Matrix!$B:$B,MATCH(P4126,Fit_Matrix!$A:$A,0)))),"CHECK KEY"))</f>
        <v/>
      </c>
      <c r="U4126" s="10"/>
      <c r="V4126" s="10"/>
      <c r="W4126" s="10"/>
      <c r="X4126" s="10"/>
      <c r="Y4126" s="10"/>
      <c r="Z4126" s="10"/>
      <c r="AA4126" s="11" t="str">
        <f t="shared" si="129"/>
        <v/>
      </c>
    </row>
    <row r="4127" spans="16:27" ht="15" customHeight="1">
      <c r="P4127" t="str">
        <f t="shared" si="128"/>
        <v/>
      </c>
      <c r="Q4127" t="str">
        <f>IF(P4127="","",IFERROR(IF(AND(H4127="W7",OR(F4127="causal",F4127="predictive")),IF(AND(OR(K4127=1,K4127="1"),OR(L4127=1,L4127="1"),OR(M4127=1,M4127="1")),"adequate","partial"),IF(AND(H4127="W4",F4127="predictive",OR(J4127="P2",J4127="P3",J4127="P4")),IF(OR(U4127=1,U4127="1"),"adequate","partial"),INDEX(Fit_Matrix!$B:$B,MATCH(P4127,Fit_Matrix!$A:$A,0)))),"CHECK KEY"))</f>
        <v/>
      </c>
      <c r="U4127" s="10"/>
      <c r="V4127" s="10"/>
      <c r="W4127" s="10"/>
      <c r="X4127" s="10"/>
      <c r="Y4127" s="10"/>
      <c r="Z4127" s="10"/>
      <c r="AA4127" s="11" t="str">
        <f t="shared" si="129"/>
        <v/>
      </c>
    </row>
    <row r="4128" spans="16:27" ht="15" customHeight="1">
      <c r="P4128" t="str">
        <f t="shared" si="128"/>
        <v/>
      </c>
      <c r="Q4128" t="str">
        <f>IF(P4128="","",IFERROR(IF(AND(H4128="W7",OR(F4128="causal",F4128="predictive")),IF(AND(OR(K4128=1,K4128="1"),OR(L4128=1,L4128="1"),OR(M4128=1,M4128="1")),"adequate","partial"),IF(AND(H4128="W4",F4128="predictive",OR(J4128="P2",J4128="P3",J4128="P4")),IF(OR(U4128=1,U4128="1"),"adequate","partial"),INDEX(Fit_Matrix!$B:$B,MATCH(P4128,Fit_Matrix!$A:$A,0)))),"CHECK KEY"))</f>
        <v/>
      </c>
      <c r="U4128" s="10"/>
      <c r="V4128" s="10"/>
      <c r="W4128" s="10"/>
      <c r="X4128" s="10"/>
      <c r="Y4128" s="10"/>
      <c r="Z4128" s="10"/>
      <c r="AA4128" s="11" t="str">
        <f t="shared" si="129"/>
        <v/>
      </c>
    </row>
    <row r="4129" spans="16:27" ht="15" customHeight="1">
      <c r="P4129" t="str">
        <f t="shared" si="128"/>
        <v/>
      </c>
      <c r="Q4129" t="str">
        <f>IF(P4129="","",IFERROR(IF(AND(H4129="W7",OR(F4129="causal",F4129="predictive")),IF(AND(OR(K4129=1,K4129="1"),OR(L4129=1,L4129="1"),OR(M4129=1,M4129="1")),"adequate","partial"),IF(AND(H4129="W4",F4129="predictive",OR(J4129="P2",J4129="P3",J4129="P4")),IF(OR(U4129=1,U4129="1"),"adequate","partial"),INDEX(Fit_Matrix!$B:$B,MATCH(P4129,Fit_Matrix!$A:$A,0)))),"CHECK KEY"))</f>
        <v/>
      </c>
      <c r="U4129" s="10"/>
      <c r="V4129" s="10"/>
      <c r="W4129" s="10"/>
      <c r="X4129" s="10"/>
      <c r="Y4129" s="10"/>
      <c r="Z4129" s="10"/>
      <c r="AA4129" s="11" t="str">
        <f t="shared" si="129"/>
        <v/>
      </c>
    </row>
    <row r="4130" spans="16:27" ht="15" customHeight="1">
      <c r="P4130" t="str">
        <f t="shared" si="128"/>
        <v/>
      </c>
      <c r="Q4130" t="str">
        <f>IF(P4130="","",IFERROR(IF(AND(H4130="W7",OR(F4130="causal",F4130="predictive")),IF(AND(OR(K4130=1,K4130="1"),OR(L4130=1,L4130="1"),OR(M4130=1,M4130="1")),"adequate","partial"),IF(AND(H4130="W4",F4130="predictive",OR(J4130="P2",J4130="P3",J4130="P4")),IF(OR(U4130=1,U4130="1"),"adequate","partial"),INDEX(Fit_Matrix!$B:$B,MATCH(P4130,Fit_Matrix!$A:$A,0)))),"CHECK KEY"))</f>
        <v/>
      </c>
      <c r="U4130" s="10"/>
      <c r="V4130" s="10"/>
      <c r="W4130" s="10"/>
      <c r="X4130" s="10"/>
      <c r="Y4130" s="10"/>
      <c r="Z4130" s="10"/>
      <c r="AA4130" s="11" t="str">
        <f t="shared" si="129"/>
        <v/>
      </c>
    </row>
    <row r="4131" spans="16:27" ht="15" customHeight="1">
      <c r="P4131" t="str">
        <f t="shared" si="128"/>
        <v/>
      </c>
      <c r="Q4131" t="str">
        <f>IF(P4131="","",IFERROR(IF(AND(H4131="W7",OR(F4131="causal",F4131="predictive")),IF(AND(OR(K4131=1,K4131="1"),OR(L4131=1,L4131="1"),OR(M4131=1,M4131="1")),"adequate","partial"),IF(AND(H4131="W4",F4131="predictive",OR(J4131="P2",J4131="P3",J4131="P4")),IF(OR(U4131=1,U4131="1"),"adequate","partial"),INDEX(Fit_Matrix!$B:$B,MATCH(P4131,Fit_Matrix!$A:$A,0)))),"CHECK KEY"))</f>
        <v/>
      </c>
      <c r="U4131" s="10"/>
      <c r="V4131" s="10"/>
      <c r="W4131" s="10"/>
      <c r="X4131" s="10"/>
      <c r="Y4131" s="10"/>
      <c r="Z4131" s="10"/>
      <c r="AA4131" s="11" t="str">
        <f t="shared" si="129"/>
        <v/>
      </c>
    </row>
    <row r="4132" spans="16:27" ht="15" customHeight="1">
      <c r="P4132" t="str">
        <f t="shared" si="128"/>
        <v/>
      </c>
      <c r="Q4132" t="str">
        <f>IF(P4132="","",IFERROR(IF(AND(H4132="W7",OR(F4132="causal",F4132="predictive")),IF(AND(OR(K4132=1,K4132="1"),OR(L4132=1,L4132="1"),OR(M4132=1,M4132="1")),"adequate","partial"),IF(AND(H4132="W4",F4132="predictive",OR(J4132="P2",J4132="P3",J4132="P4")),IF(OR(U4132=1,U4132="1"),"adequate","partial"),INDEX(Fit_Matrix!$B:$B,MATCH(P4132,Fit_Matrix!$A:$A,0)))),"CHECK KEY"))</f>
        <v/>
      </c>
      <c r="U4132" s="10"/>
      <c r="V4132" s="10"/>
      <c r="W4132" s="10"/>
      <c r="X4132" s="10"/>
      <c r="Y4132" s="10"/>
      <c r="Z4132" s="10"/>
      <c r="AA4132" s="11" t="str">
        <f t="shared" si="129"/>
        <v/>
      </c>
    </row>
    <row r="4133" spans="16:27" ht="15" customHeight="1">
      <c r="P4133" t="str">
        <f t="shared" si="128"/>
        <v/>
      </c>
      <c r="Q4133" t="str">
        <f>IF(P4133="","",IFERROR(IF(AND(H4133="W7",OR(F4133="causal",F4133="predictive")),IF(AND(OR(K4133=1,K4133="1"),OR(L4133=1,L4133="1"),OR(M4133=1,M4133="1")),"adequate","partial"),IF(AND(H4133="W4",F4133="predictive",OR(J4133="P2",J4133="P3",J4133="P4")),IF(OR(U4133=1,U4133="1"),"adequate","partial"),INDEX(Fit_Matrix!$B:$B,MATCH(P4133,Fit_Matrix!$A:$A,0)))),"CHECK KEY"))</f>
        <v/>
      </c>
      <c r="U4133" s="10"/>
      <c r="V4133" s="10"/>
      <c r="W4133" s="10"/>
      <c r="X4133" s="10"/>
      <c r="Y4133" s="10"/>
      <c r="Z4133" s="10"/>
      <c r="AA4133" s="11" t="str">
        <f t="shared" si="129"/>
        <v/>
      </c>
    </row>
    <row r="4134" spans="16:27" ht="15" customHeight="1">
      <c r="P4134" t="str">
        <f t="shared" si="128"/>
        <v/>
      </c>
      <c r="Q4134" t="str">
        <f>IF(P4134="","",IFERROR(IF(AND(H4134="W7",OR(F4134="causal",F4134="predictive")),IF(AND(OR(K4134=1,K4134="1"),OR(L4134=1,L4134="1"),OR(M4134=1,M4134="1")),"adequate","partial"),IF(AND(H4134="W4",F4134="predictive",OR(J4134="P2",J4134="P3",J4134="P4")),IF(OR(U4134=1,U4134="1"),"adequate","partial"),INDEX(Fit_Matrix!$B:$B,MATCH(P4134,Fit_Matrix!$A:$A,0)))),"CHECK KEY"))</f>
        <v/>
      </c>
      <c r="U4134" s="10"/>
      <c r="V4134" s="10"/>
      <c r="W4134" s="10"/>
      <c r="X4134" s="10"/>
      <c r="Y4134" s="10"/>
      <c r="Z4134" s="10"/>
      <c r="AA4134" s="11" t="str">
        <f t="shared" si="129"/>
        <v/>
      </c>
    </row>
    <row r="4135" spans="16:27" ht="15" customHeight="1">
      <c r="P4135" t="str">
        <f t="shared" si="128"/>
        <v/>
      </c>
      <c r="Q4135" t="str">
        <f>IF(P4135="","",IFERROR(IF(AND(H4135="W7",OR(F4135="causal",F4135="predictive")),IF(AND(OR(K4135=1,K4135="1"),OR(L4135=1,L4135="1"),OR(M4135=1,M4135="1")),"adequate","partial"),IF(AND(H4135="W4",F4135="predictive",OR(J4135="P2",J4135="P3",J4135="P4")),IF(OR(U4135=1,U4135="1"),"adequate","partial"),INDEX(Fit_Matrix!$B:$B,MATCH(P4135,Fit_Matrix!$A:$A,0)))),"CHECK KEY"))</f>
        <v/>
      </c>
      <c r="U4135" s="10"/>
      <c r="V4135" s="10"/>
      <c r="W4135" s="10"/>
      <c r="X4135" s="10"/>
      <c r="Y4135" s="10"/>
      <c r="Z4135" s="10"/>
      <c r="AA4135" s="11" t="str">
        <f t="shared" si="129"/>
        <v/>
      </c>
    </row>
    <row r="4136" spans="16:27" ht="15" customHeight="1">
      <c r="P4136" t="str">
        <f t="shared" si="128"/>
        <v/>
      </c>
      <c r="Q4136" t="str">
        <f>IF(P4136="","",IFERROR(IF(AND(H4136="W7",OR(F4136="causal",F4136="predictive")),IF(AND(OR(K4136=1,K4136="1"),OR(L4136=1,L4136="1"),OR(M4136=1,M4136="1")),"adequate","partial"),IF(AND(H4136="W4",F4136="predictive",OR(J4136="P2",J4136="P3",J4136="P4")),IF(OR(U4136=1,U4136="1"),"adequate","partial"),INDEX(Fit_Matrix!$B:$B,MATCH(P4136,Fit_Matrix!$A:$A,0)))),"CHECK KEY"))</f>
        <v/>
      </c>
      <c r="U4136" s="10"/>
      <c r="V4136" s="10"/>
      <c r="W4136" s="10"/>
      <c r="X4136" s="10"/>
      <c r="Y4136" s="10"/>
      <c r="Z4136" s="10"/>
      <c r="AA4136" s="11" t="str">
        <f t="shared" si="129"/>
        <v/>
      </c>
    </row>
    <row r="4137" spans="16:27" ht="15" customHeight="1">
      <c r="P4137" t="str">
        <f t="shared" si="128"/>
        <v/>
      </c>
      <c r="Q4137" t="str">
        <f>IF(P4137="","",IFERROR(IF(AND(H4137="W7",OR(F4137="causal",F4137="predictive")),IF(AND(OR(K4137=1,K4137="1"),OR(L4137=1,L4137="1"),OR(M4137=1,M4137="1")),"adequate","partial"),IF(AND(H4137="W4",F4137="predictive",OR(J4137="P2",J4137="P3",J4137="P4")),IF(OR(U4137=1,U4137="1"),"adequate","partial"),INDEX(Fit_Matrix!$B:$B,MATCH(P4137,Fit_Matrix!$A:$A,0)))),"CHECK KEY"))</f>
        <v/>
      </c>
      <c r="U4137" s="10"/>
      <c r="V4137" s="10"/>
      <c r="W4137" s="10"/>
      <c r="X4137" s="10"/>
      <c r="Y4137" s="10"/>
      <c r="Z4137" s="10"/>
      <c r="AA4137" s="11" t="str">
        <f t="shared" si="129"/>
        <v/>
      </c>
    </row>
    <row r="4138" spans="16:27" ht="15" customHeight="1">
      <c r="P4138" t="str">
        <f t="shared" si="128"/>
        <v/>
      </c>
      <c r="Q4138" t="str">
        <f>IF(P4138="","",IFERROR(IF(AND(H4138="W7",OR(F4138="causal",F4138="predictive")),IF(AND(OR(K4138=1,K4138="1"),OR(L4138=1,L4138="1"),OR(M4138=1,M4138="1")),"adequate","partial"),IF(AND(H4138="W4",F4138="predictive",OR(J4138="P2",J4138="P3",J4138="P4")),IF(OR(U4138=1,U4138="1"),"adequate","partial"),INDEX(Fit_Matrix!$B:$B,MATCH(P4138,Fit_Matrix!$A:$A,0)))),"CHECK KEY"))</f>
        <v/>
      </c>
      <c r="U4138" s="10"/>
      <c r="V4138" s="10"/>
      <c r="W4138" s="10"/>
      <c r="X4138" s="10"/>
      <c r="Y4138" s="10"/>
      <c r="Z4138" s="10"/>
      <c r="AA4138" s="11" t="str">
        <f t="shared" si="129"/>
        <v/>
      </c>
    </row>
    <row r="4139" spans="16:27" ht="15" customHeight="1">
      <c r="P4139" t="str">
        <f t="shared" si="128"/>
        <v/>
      </c>
      <c r="Q4139" t="str">
        <f>IF(P4139="","",IFERROR(IF(AND(H4139="W7",OR(F4139="causal",F4139="predictive")),IF(AND(OR(K4139=1,K4139="1"),OR(L4139=1,L4139="1"),OR(M4139=1,M4139="1")),"adequate","partial"),IF(AND(H4139="W4",F4139="predictive",OR(J4139="P2",J4139="P3",J4139="P4")),IF(OR(U4139=1,U4139="1"),"adequate","partial"),INDEX(Fit_Matrix!$B:$B,MATCH(P4139,Fit_Matrix!$A:$A,0)))),"CHECK KEY"))</f>
        <v/>
      </c>
      <c r="U4139" s="10"/>
      <c r="V4139" s="10"/>
      <c r="W4139" s="10"/>
      <c r="X4139" s="10"/>
      <c r="Y4139" s="10"/>
      <c r="Z4139" s="10"/>
      <c r="AA4139" s="11" t="str">
        <f t="shared" si="129"/>
        <v/>
      </c>
    </row>
    <row r="4140" spans="16:27" ht="15" customHeight="1">
      <c r="P4140" t="str">
        <f t="shared" si="128"/>
        <v/>
      </c>
      <c r="Q4140" t="str">
        <f>IF(P4140="","",IFERROR(IF(AND(H4140="W7",OR(F4140="causal",F4140="predictive")),IF(AND(OR(K4140=1,K4140="1"),OR(L4140=1,L4140="1"),OR(M4140=1,M4140="1")),"adequate","partial"),IF(AND(H4140="W4",F4140="predictive",OR(J4140="P2",J4140="P3",J4140="P4")),IF(OR(U4140=1,U4140="1"),"adequate","partial"),INDEX(Fit_Matrix!$B:$B,MATCH(P4140,Fit_Matrix!$A:$A,0)))),"CHECK KEY"))</f>
        <v/>
      </c>
      <c r="U4140" s="10"/>
      <c r="V4140" s="10"/>
      <c r="W4140" s="10"/>
      <c r="X4140" s="10"/>
      <c r="Y4140" s="10"/>
      <c r="Z4140" s="10"/>
      <c r="AA4140" s="11" t="str">
        <f t="shared" si="129"/>
        <v/>
      </c>
    </row>
    <row r="4141" spans="16:27" ht="15" customHeight="1">
      <c r="P4141" t="str">
        <f t="shared" si="128"/>
        <v/>
      </c>
      <c r="Q4141" t="str">
        <f>IF(P4141="","",IFERROR(IF(AND(H4141="W7",OR(F4141="causal",F4141="predictive")),IF(AND(OR(K4141=1,K4141="1"),OR(L4141=1,L4141="1"),OR(M4141=1,M4141="1")),"adequate","partial"),IF(AND(H4141="W4",F4141="predictive",OR(J4141="P2",J4141="P3",J4141="P4")),IF(OR(U4141=1,U4141="1"),"adequate","partial"),INDEX(Fit_Matrix!$B:$B,MATCH(P4141,Fit_Matrix!$A:$A,0)))),"CHECK KEY"))</f>
        <v/>
      </c>
      <c r="U4141" s="10"/>
      <c r="V4141" s="10"/>
      <c r="W4141" s="10"/>
      <c r="X4141" s="10"/>
      <c r="Y4141" s="10"/>
      <c r="Z4141" s="10"/>
      <c r="AA4141" s="11" t="str">
        <f t="shared" si="129"/>
        <v/>
      </c>
    </row>
    <row r="4142" spans="16:27" ht="15" customHeight="1">
      <c r="P4142" t="str">
        <f t="shared" si="128"/>
        <v/>
      </c>
      <c r="Q4142" t="str">
        <f>IF(P4142="","",IFERROR(IF(AND(H4142="W7",OR(F4142="causal",F4142="predictive")),IF(AND(OR(K4142=1,K4142="1"),OR(L4142=1,L4142="1"),OR(M4142=1,M4142="1")),"adequate","partial"),IF(AND(H4142="W4",F4142="predictive",OR(J4142="P2",J4142="P3",J4142="P4")),IF(OR(U4142=1,U4142="1"),"adequate","partial"),INDEX(Fit_Matrix!$B:$B,MATCH(P4142,Fit_Matrix!$A:$A,0)))),"CHECK KEY"))</f>
        <v/>
      </c>
      <c r="U4142" s="10"/>
      <c r="V4142" s="10"/>
      <c r="W4142" s="10"/>
      <c r="X4142" s="10"/>
      <c r="Y4142" s="10"/>
      <c r="Z4142" s="10"/>
      <c r="AA4142" s="11" t="str">
        <f t="shared" si="129"/>
        <v/>
      </c>
    </row>
    <row r="4143" spans="16:27" ht="15" customHeight="1">
      <c r="P4143" t="str">
        <f t="shared" si="128"/>
        <v/>
      </c>
      <c r="Q4143" t="str">
        <f>IF(P4143="","",IFERROR(IF(AND(H4143="W7",OR(F4143="causal",F4143="predictive")),IF(AND(OR(K4143=1,K4143="1"),OR(L4143=1,L4143="1"),OR(M4143=1,M4143="1")),"adequate","partial"),IF(AND(H4143="W4",F4143="predictive",OR(J4143="P2",J4143="P3",J4143="P4")),IF(OR(U4143=1,U4143="1"),"adequate","partial"),INDEX(Fit_Matrix!$B:$B,MATCH(P4143,Fit_Matrix!$A:$A,0)))),"CHECK KEY"))</f>
        <v/>
      </c>
      <c r="U4143" s="10"/>
      <c r="V4143" s="10"/>
      <c r="W4143" s="10"/>
      <c r="X4143" s="10"/>
      <c r="Y4143" s="10"/>
      <c r="Z4143" s="10"/>
      <c r="AA4143" s="11" t="str">
        <f t="shared" si="129"/>
        <v/>
      </c>
    </row>
    <row r="4144" spans="16:27" ht="15" customHeight="1">
      <c r="P4144" t="str">
        <f t="shared" si="128"/>
        <v/>
      </c>
      <c r="Q4144" t="str">
        <f>IF(P4144="","",IFERROR(IF(AND(H4144="W7",OR(F4144="causal",F4144="predictive")),IF(AND(OR(K4144=1,K4144="1"),OR(L4144=1,L4144="1"),OR(M4144=1,M4144="1")),"adequate","partial"),IF(AND(H4144="W4",F4144="predictive",OR(J4144="P2",J4144="P3",J4144="P4")),IF(OR(U4144=1,U4144="1"),"adequate","partial"),INDEX(Fit_Matrix!$B:$B,MATCH(P4144,Fit_Matrix!$A:$A,0)))),"CHECK KEY"))</f>
        <v/>
      </c>
      <c r="U4144" s="10"/>
      <c r="V4144" s="10"/>
      <c r="W4144" s="10"/>
      <c r="X4144" s="10"/>
      <c r="Y4144" s="10"/>
      <c r="Z4144" s="10"/>
      <c r="AA4144" s="11" t="str">
        <f t="shared" si="129"/>
        <v/>
      </c>
    </row>
    <row r="4145" spans="16:27" ht="15" customHeight="1">
      <c r="P4145" t="str">
        <f t="shared" si="128"/>
        <v/>
      </c>
      <c r="Q4145" t="str">
        <f>IF(P4145="","",IFERROR(IF(AND(H4145="W7",OR(F4145="causal",F4145="predictive")),IF(AND(OR(K4145=1,K4145="1"),OR(L4145=1,L4145="1"),OR(M4145=1,M4145="1")),"adequate","partial"),IF(AND(H4145="W4",F4145="predictive",OR(J4145="P2",J4145="P3",J4145="P4")),IF(OR(U4145=1,U4145="1"),"adequate","partial"),INDEX(Fit_Matrix!$B:$B,MATCH(P4145,Fit_Matrix!$A:$A,0)))),"CHECK KEY"))</f>
        <v/>
      </c>
      <c r="U4145" s="10"/>
      <c r="V4145" s="10"/>
      <c r="W4145" s="10"/>
      <c r="X4145" s="10"/>
      <c r="Y4145" s="10"/>
      <c r="Z4145" s="10"/>
      <c r="AA4145" s="11" t="str">
        <f t="shared" si="129"/>
        <v/>
      </c>
    </row>
    <row r="4146" spans="16:27" ht="15" customHeight="1">
      <c r="P4146" t="str">
        <f t="shared" si="128"/>
        <v/>
      </c>
      <c r="Q4146" t="str">
        <f>IF(P4146="","",IFERROR(IF(AND(H4146="W7",OR(F4146="causal",F4146="predictive")),IF(AND(OR(K4146=1,K4146="1"),OR(L4146=1,L4146="1"),OR(M4146=1,M4146="1")),"adequate","partial"),IF(AND(H4146="W4",F4146="predictive",OR(J4146="P2",J4146="P3",J4146="P4")),IF(OR(U4146=1,U4146="1"),"adequate","partial"),INDEX(Fit_Matrix!$B:$B,MATCH(P4146,Fit_Matrix!$A:$A,0)))),"CHECK KEY"))</f>
        <v/>
      </c>
      <c r="U4146" s="10"/>
      <c r="V4146" s="10"/>
      <c r="W4146" s="10"/>
      <c r="X4146" s="10"/>
      <c r="Y4146" s="10"/>
      <c r="Z4146" s="10"/>
      <c r="AA4146" s="11" t="str">
        <f t="shared" si="129"/>
        <v/>
      </c>
    </row>
    <row r="4147" spans="16:27" ht="15" customHeight="1">
      <c r="P4147" t="str">
        <f t="shared" si="128"/>
        <v/>
      </c>
      <c r="Q4147" t="str">
        <f>IF(P4147="","",IFERROR(IF(AND(H4147="W7",OR(F4147="causal",F4147="predictive")),IF(AND(OR(K4147=1,K4147="1"),OR(L4147=1,L4147="1"),OR(M4147=1,M4147="1")),"adequate","partial"),IF(AND(H4147="W4",F4147="predictive",OR(J4147="P2",J4147="P3",J4147="P4")),IF(OR(U4147=1,U4147="1"),"adequate","partial"),INDEX(Fit_Matrix!$B:$B,MATCH(P4147,Fit_Matrix!$A:$A,0)))),"CHECK KEY"))</f>
        <v/>
      </c>
      <c r="U4147" s="10"/>
      <c r="V4147" s="10"/>
      <c r="W4147" s="10"/>
      <c r="X4147" s="10"/>
      <c r="Y4147" s="10"/>
      <c r="Z4147" s="10"/>
      <c r="AA4147" s="11" t="str">
        <f t="shared" si="129"/>
        <v/>
      </c>
    </row>
    <row r="4148" spans="16:27" ht="15" customHeight="1">
      <c r="P4148" t="str">
        <f t="shared" si="128"/>
        <v/>
      </c>
      <c r="Q4148" t="str">
        <f>IF(P4148="","",IFERROR(IF(AND(H4148="W7",OR(F4148="causal",F4148="predictive")),IF(AND(OR(K4148=1,K4148="1"),OR(L4148=1,L4148="1"),OR(M4148=1,M4148="1")),"adequate","partial"),IF(AND(H4148="W4",F4148="predictive",OR(J4148="P2",J4148="P3",J4148="P4")),IF(OR(U4148=1,U4148="1"),"adequate","partial"),INDEX(Fit_Matrix!$B:$B,MATCH(P4148,Fit_Matrix!$A:$A,0)))),"CHECK KEY"))</f>
        <v/>
      </c>
      <c r="U4148" s="10"/>
      <c r="V4148" s="10"/>
      <c r="W4148" s="10"/>
      <c r="X4148" s="10"/>
      <c r="Y4148" s="10"/>
      <c r="Z4148" s="10"/>
      <c r="AA4148" s="11" t="str">
        <f t="shared" si="129"/>
        <v/>
      </c>
    </row>
    <row r="4149" spans="16:27" ht="15" customHeight="1">
      <c r="P4149" t="str">
        <f t="shared" si="128"/>
        <v/>
      </c>
      <c r="Q4149" t="str">
        <f>IF(P4149="","",IFERROR(IF(AND(H4149="W7",OR(F4149="causal",F4149="predictive")),IF(AND(OR(K4149=1,K4149="1"),OR(L4149=1,L4149="1"),OR(M4149=1,M4149="1")),"adequate","partial"),IF(AND(H4149="W4",F4149="predictive",OR(J4149="P2",J4149="P3",J4149="P4")),IF(OR(U4149=1,U4149="1"),"adequate","partial"),INDEX(Fit_Matrix!$B:$B,MATCH(P4149,Fit_Matrix!$A:$A,0)))),"CHECK KEY"))</f>
        <v/>
      </c>
      <c r="U4149" s="10"/>
      <c r="V4149" s="10"/>
      <c r="W4149" s="10"/>
      <c r="X4149" s="10"/>
      <c r="Y4149" s="10"/>
      <c r="Z4149" s="10"/>
      <c r="AA4149" s="11" t="str">
        <f t="shared" si="129"/>
        <v/>
      </c>
    </row>
    <row r="4150" spans="16:27" ht="15" customHeight="1">
      <c r="P4150" t="str">
        <f t="shared" si="128"/>
        <v/>
      </c>
      <c r="Q4150" t="str">
        <f>IF(P4150="","",IFERROR(IF(AND(H4150="W7",OR(F4150="causal",F4150="predictive")),IF(AND(OR(K4150=1,K4150="1"),OR(L4150=1,L4150="1"),OR(M4150=1,M4150="1")),"adequate","partial"),IF(AND(H4150="W4",F4150="predictive",OR(J4150="P2",J4150="P3",J4150="P4")),IF(OR(U4150=1,U4150="1"),"adequate","partial"),INDEX(Fit_Matrix!$B:$B,MATCH(P4150,Fit_Matrix!$A:$A,0)))),"CHECK KEY"))</f>
        <v/>
      </c>
      <c r="U4150" s="10"/>
      <c r="V4150" s="10"/>
      <c r="W4150" s="10"/>
      <c r="X4150" s="10"/>
      <c r="Y4150" s="10"/>
      <c r="Z4150" s="10"/>
      <c r="AA4150" s="11" t="str">
        <f t="shared" si="129"/>
        <v/>
      </c>
    </row>
    <row r="4151" spans="16:27" ht="15" customHeight="1">
      <c r="P4151" t="str">
        <f t="shared" si="128"/>
        <v/>
      </c>
      <c r="Q4151" t="str">
        <f>IF(P4151="","",IFERROR(IF(AND(H4151="W7",OR(F4151="causal",F4151="predictive")),IF(AND(OR(K4151=1,K4151="1"),OR(L4151=1,L4151="1"),OR(M4151=1,M4151="1")),"adequate","partial"),IF(AND(H4151="W4",F4151="predictive",OR(J4151="P2",J4151="P3",J4151="P4")),IF(OR(U4151=1,U4151="1"),"adequate","partial"),INDEX(Fit_Matrix!$B:$B,MATCH(P4151,Fit_Matrix!$A:$A,0)))),"CHECK KEY"))</f>
        <v/>
      </c>
      <c r="U4151" s="10"/>
      <c r="V4151" s="10"/>
      <c r="W4151" s="10"/>
      <c r="X4151" s="10"/>
      <c r="Y4151" s="10"/>
      <c r="Z4151" s="10"/>
      <c r="AA4151" s="11" t="str">
        <f t="shared" si="129"/>
        <v/>
      </c>
    </row>
    <row r="4152" spans="16:27" ht="15" customHeight="1">
      <c r="P4152" t="str">
        <f t="shared" si="128"/>
        <v/>
      </c>
      <c r="Q4152" t="str">
        <f>IF(P4152="","",IFERROR(IF(AND(H4152="W7",OR(F4152="causal",F4152="predictive")),IF(AND(OR(K4152=1,K4152="1"),OR(L4152=1,L4152="1"),OR(M4152=1,M4152="1")),"adequate","partial"),IF(AND(H4152="W4",F4152="predictive",OR(J4152="P2",J4152="P3",J4152="P4")),IF(OR(U4152=1,U4152="1"),"adequate","partial"),INDEX(Fit_Matrix!$B:$B,MATCH(P4152,Fit_Matrix!$A:$A,0)))),"CHECK KEY"))</f>
        <v/>
      </c>
      <c r="U4152" s="10"/>
      <c r="V4152" s="10"/>
      <c r="W4152" s="10"/>
      <c r="X4152" s="10"/>
      <c r="Y4152" s="10"/>
      <c r="Z4152" s="10"/>
      <c r="AA4152" s="11" t="str">
        <f t="shared" si="129"/>
        <v/>
      </c>
    </row>
    <row r="4153" spans="16:27" ht="15" customHeight="1">
      <c r="P4153" t="str">
        <f t="shared" si="128"/>
        <v/>
      </c>
      <c r="Q4153" t="str">
        <f>IF(P4153="","",IFERROR(IF(AND(H4153="W7",OR(F4153="causal",F4153="predictive")),IF(AND(OR(K4153=1,K4153="1"),OR(L4153=1,L4153="1"),OR(M4153=1,M4153="1")),"adequate","partial"),IF(AND(H4153="W4",F4153="predictive",OR(J4153="P2",J4153="P3",J4153="P4")),IF(OR(U4153=1,U4153="1"),"adequate","partial"),INDEX(Fit_Matrix!$B:$B,MATCH(P4153,Fit_Matrix!$A:$A,0)))),"CHECK KEY"))</f>
        <v/>
      </c>
      <c r="U4153" s="10"/>
      <c r="V4153" s="10"/>
      <c r="W4153" s="10"/>
      <c r="X4153" s="10"/>
      <c r="Y4153" s="10"/>
      <c r="Z4153" s="10"/>
      <c r="AA4153" s="11" t="str">
        <f t="shared" si="129"/>
        <v/>
      </c>
    </row>
    <row r="4154" spans="16:27" ht="15" customHeight="1">
      <c r="P4154" t="str">
        <f t="shared" si="128"/>
        <v/>
      </c>
      <c r="Q4154" t="str">
        <f>IF(P4154="","",IFERROR(IF(AND(H4154="W7",OR(F4154="causal",F4154="predictive")),IF(AND(OR(K4154=1,K4154="1"),OR(L4154=1,L4154="1"),OR(M4154=1,M4154="1")),"adequate","partial"),IF(AND(H4154="W4",F4154="predictive",OR(J4154="P2",J4154="P3",J4154="P4")),IF(OR(U4154=1,U4154="1"),"adequate","partial"),INDEX(Fit_Matrix!$B:$B,MATCH(P4154,Fit_Matrix!$A:$A,0)))),"CHECK KEY"))</f>
        <v/>
      </c>
      <c r="U4154" s="10"/>
      <c r="V4154" s="10"/>
      <c r="W4154" s="10"/>
      <c r="X4154" s="10"/>
      <c r="Y4154" s="10"/>
      <c r="Z4154" s="10"/>
      <c r="AA4154" s="11" t="str">
        <f t="shared" si="129"/>
        <v/>
      </c>
    </row>
    <row r="4155" spans="16:27" ht="15" customHeight="1">
      <c r="P4155" t="str">
        <f t="shared" si="128"/>
        <v/>
      </c>
      <c r="Q4155" t="str">
        <f>IF(P4155="","",IFERROR(IF(AND(H4155="W7",OR(F4155="causal",F4155="predictive")),IF(AND(OR(K4155=1,K4155="1"),OR(L4155=1,L4155="1"),OR(M4155=1,M4155="1")),"adequate","partial"),IF(AND(H4155="W4",F4155="predictive",OR(J4155="P2",J4155="P3",J4155="P4")),IF(OR(U4155=1,U4155="1"),"adequate","partial"),INDEX(Fit_Matrix!$B:$B,MATCH(P4155,Fit_Matrix!$A:$A,0)))),"CHECK KEY"))</f>
        <v/>
      </c>
      <c r="U4155" s="10"/>
      <c r="V4155" s="10"/>
      <c r="W4155" s="10"/>
      <c r="X4155" s="10"/>
      <c r="Y4155" s="10"/>
      <c r="Z4155" s="10"/>
      <c r="AA4155" s="11" t="str">
        <f t="shared" si="129"/>
        <v/>
      </c>
    </row>
    <row r="4156" spans="16:27" ht="15" customHeight="1">
      <c r="P4156" t="str">
        <f t="shared" si="128"/>
        <v/>
      </c>
      <c r="Q4156" t="str">
        <f>IF(P4156="","",IFERROR(IF(AND(H4156="W7",OR(F4156="causal",F4156="predictive")),IF(AND(OR(K4156=1,K4156="1"),OR(L4156=1,L4156="1"),OR(M4156=1,M4156="1")),"adequate","partial"),IF(AND(H4156="W4",F4156="predictive",OR(J4156="P2",J4156="P3",J4156="P4")),IF(OR(U4156=1,U4156="1"),"adequate","partial"),INDEX(Fit_Matrix!$B:$B,MATCH(P4156,Fit_Matrix!$A:$A,0)))),"CHECK KEY"))</f>
        <v/>
      </c>
      <c r="U4156" s="10"/>
      <c r="V4156" s="10"/>
      <c r="W4156" s="10"/>
      <c r="X4156" s="10"/>
      <c r="Y4156" s="10"/>
      <c r="Z4156" s="10"/>
      <c r="AA4156" s="11" t="str">
        <f t="shared" si="129"/>
        <v/>
      </c>
    </row>
    <row r="4157" spans="16:27" ht="15" customHeight="1">
      <c r="P4157" t="str">
        <f t="shared" si="128"/>
        <v/>
      </c>
      <c r="Q4157" t="str">
        <f>IF(P4157="","",IFERROR(IF(AND(H4157="W7",OR(F4157="causal",F4157="predictive")),IF(AND(OR(K4157=1,K4157="1"),OR(L4157=1,L4157="1"),OR(M4157=1,M4157="1")),"adequate","partial"),IF(AND(H4157="W4",F4157="predictive",OR(J4157="P2",J4157="P3",J4157="P4")),IF(OR(U4157=1,U4157="1"),"adequate","partial"),INDEX(Fit_Matrix!$B:$B,MATCH(P4157,Fit_Matrix!$A:$A,0)))),"CHECK KEY"))</f>
        <v/>
      </c>
      <c r="U4157" s="10"/>
      <c r="V4157" s="10"/>
      <c r="W4157" s="10"/>
      <c r="X4157" s="10"/>
      <c r="Y4157" s="10"/>
      <c r="Z4157" s="10"/>
      <c r="AA4157" s="11" t="str">
        <f t="shared" si="129"/>
        <v/>
      </c>
    </row>
    <row r="4158" spans="16:27" ht="15" customHeight="1">
      <c r="P4158" t="str">
        <f t="shared" si="128"/>
        <v/>
      </c>
      <c r="Q4158" t="str">
        <f>IF(P4158="","",IFERROR(IF(AND(H4158="W7",OR(F4158="causal",F4158="predictive")),IF(AND(OR(K4158=1,K4158="1"),OR(L4158=1,L4158="1"),OR(M4158=1,M4158="1")),"adequate","partial"),IF(AND(H4158="W4",F4158="predictive",OR(J4158="P2",J4158="P3",J4158="P4")),IF(OR(U4158=1,U4158="1"),"adequate","partial"),INDEX(Fit_Matrix!$B:$B,MATCH(P4158,Fit_Matrix!$A:$A,0)))),"CHECK KEY"))</f>
        <v/>
      </c>
      <c r="U4158" s="10"/>
      <c r="V4158" s="10"/>
      <c r="W4158" s="10"/>
      <c r="X4158" s="10"/>
      <c r="Y4158" s="10"/>
      <c r="Z4158" s="10"/>
      <c r="AA4158" s="11" t="str">
        <f t="shared" si="129"/>
        <v/>
      </c>
    </row>
    <row r="4159" spans="16:27" ht="15" customHeight="1">
      <c r="P4159" t="str">
        <f t="shared" si="128"/>
        <v/>
      </c>
      <c r="Q4159" t="str">
        <f>IF(P4159="","",IFERROR(IF(AND(H4159="W7",OR(F4159="causal",F4159="predictive")),IF(AND(OR(K4159=1,K4159="1"),OR(L4159=1,L4159="1"),OR(M4159=1,M4159="1")),"adequate","partial"),IF(AND(H4159="W4",F4159="predictive",OR(J4159="P2",J4159="P3",J4159="P4")),IF(OR(U4159=1,U4159="1"),"adequate","partial"),INDEX(Fit_Matrix!$B:$B,MATCH(P4159,Fit_Matrix!$A:$A,0)))),"CHECK KEY"))</f>
        <v/>
      </c>
      <c r="U4159" s="10"/>
      <c r="V4159" s="10"/>
      <c r="W4159" s="10"/>
      <c r="X4159" s="10"/>
      <c r="Y4159" s="10"/>
      <c r="Z4159" s="10"/>
      <c r="AA4159" s="11" t="str">
        <f t="shared" si="129"/>
        <v/>
      </c>
    </row>
    <row r="4160" spans="16:27" ht="15" customHeight="1">
      <c r="P4160" t="str">
        <f t="shared" si="128"/>
        <v/>
      </c>
      <c r="Q4160" t="str">
        <f>IF(P4160="","",IFERROR(IF(AND(H4160="W7",OR(F4160="causal",F4160="predictive")),IF(AND(OR(K4160=1,K4160="1"),OR(L4160=1,L4160="1"),OR(M4160=1,M4160="1")),"adequate","partial"),IF(AND(H4160="W4",F4160="predictive",OR(J4160="P2",J4160="P3",J4160="P4")),IF(OR(U4160=1,U4160="1"),"adequate","partial"),INDEX(Fit_Matrix!$B:$B,MATCH(P4160,Fit_Matrix!$A:$A,0)))),"CHECK KEY"))</f>
        <v/>
      </c>
      <c r="U4160" s="10"/>
      <c r="V4160" s="10"/>
      <c r="W4160" s="10"/>
      <c r="X4160" s="10"/>
      <c r="Y4160" s="10"/>
      <c r="Z4160" s="10"/>
      <c r="AA4160" s="11" t="str">
        <f t="shared" si="129"/>
        <v/>
      </c>
    </row>
    <row r="4161" spans="16:27" ht="15" customHeight="1">
      <c r="P4161" t="str">
        <f t="shared" si="128"/>
        <v/>
      </c>
      <c r="Q4161" t="str">
        <f>IF(P4161="","",IFERROR(IF(AND(H4161="W7",OR(F4161="causal",F4161="predictive")),IF(AND(OR(K4161=1,K4161="1"),OR(L4161=1,L4161="1"),OR(M4161=1,M4161="1")),"adequate","partial"),IF(AND(H4161="W4",F4161="predictive",OR(J4161="P2",J4161="P3",J4161="P4")),IF(OR(U4161=1,U4161="1"),"adequate","partial"),INDEX(Fit_Matrix!$B:$B,MATCH(P4161,Fit_Matrix!$A:$A,0)))),"CHECK KEY"))</f>
        <v/>
      </c>
      <c r="U4161" s="10"/>
      <c r="V4161" s="10"/>
      <c r="W4161" s="10"/>
      <c r="X4161" s="10"/>
      <c r="Y4161" s="10"/>
      <c r="Z4161" s="10"/>
      <c r="AA4161" s="11" t="str">
        <f t="shared" si="129"/>
        <v/>
      </c>
    </row>
    <row r="4162" spans="16:27" ht="15" customHeight="1">
      <c r="P4162" t="str">
        <f t="shared" ref="P4162:P4225" si="130">IF(OR(F4162="",H4162="",J4162=""),"",J4162&amp;"|"&amp;F4162&amp;"|"&amp;IF(H4162="W3","W3_"&amp;IF(I4162="","unknown",I4162),H4162))</f>
        <v/>
      </c>
      <c r="Q4162" t="str">
        <f>IF(P4162="","",IFERROR(IF(AND(H4162="W7",OR(F4162="causal",F4162="predictive")),IF(AND(OR(K4162=1,K4162="1"),OR(L4162=1,L4162="1"),OR(M4162=1,M4162="1")),"adequate","partial"),IF(AND(H4162="W4",F4162="predictive",OR(J4162="P2",J4162="P3",J4162="P4")),IF(OR(U4162=1,U4162="1"),"adequate","partial"),INDEX(Fit_Matrix!$B:$B,MATCH(P4162,Fit_Matrix!$A:$A,0)))),"CHECK KEY"))</f>
        <v/>
      </c>
      <c r="U4162" s="10"/>
      <c r="V4162" s="10"/>
      <c r="W4162" s="10"/>
      <c r="X4162" s="10"/>
      <c r="Y4162" s="10"/>
      <c r="Z4162" s="10"/>
      <c r="AA4162" s="11" t="str">
        <f t="shared" ref="AA4162:AA4225" si="131">IF(A4162="","",IF(AND(J4162="P4",F4162="causal"),"P4-CAUSAL",""))</f>
        <v/>
      </c>
    </row>
    <row r="4163" spans="16:27" ht="15" customHeight="1">
      <c r="P4163" t="str">
        <f t="shared" si="130"/>
        <v/>
      </c>
      <c r="Q4163" t="str">
        <f>IF(P4163="","",IFERROR(IF(AND(H4163="W7",OR(F4163="causal",F4163="predictive")),IF(AND(OR(K4163=1,K4163="1"),OR(L4163=1,L4163="1"),OR(M4163=1,M4163="1")),"adequate","partial"),IF(AND(H4163="W4",F4163="predictive",OR(J4163="P2",J4163="P3",J4163="P4")),IF(OR(U4163=1,U4163="1"),"adequate","partial"),INDEX(Fit_Matrix!$B:$B,MATCH(P4163,Fit_Matrix!$A:$A,0)))),"CHECK KEY"))</f>
        <v/>
      </c>
      <c r="U4163" s="10"/>
      <c r="V4163" s="10"/>
      <c r="W4163" s="10"/>
      <c r="X4163" s="10"/>
      <c r="Y4163" s="10"/>
      <c r="Z4163" s="10"/>
      <c r="AA4163" s="11" t="str">
        <f t="shared" si="131"/>
        <v/>
      </c>
    </row>
    <row r="4164" spans="16:27" ht="15" customHeight="1">
      <c r="P4164" t="str">
        <f t="shared" si="130"/>
        <v/>
      </c>
      <c r="Q4164" t="str">
        <f>IF(P4164="","",IFERROR(IF(AND(H4164="W7",OR(F4164="causal",F4164="predictive")),IF(AND(OR(K4164=1,K4164="1"),OR(L4164=1,L4164="1"),OR(M4164=1,M4164="1")),"adequate","partial"),IF(AND(H4164="W4",F4164="predictive",OR(J4164="P2",J4164="P3",J4164="P4")),IF(OR(U4164=1,U4164="1"),"adequate","partial"),INDEX(Fit_Matrix!$B:$B,MATCH(P4164,Fit_Matrix!$A:$A,0)))),"CHECK KEY"))</f>
        <v/>
      </c>
      <c r="U4164" s="10"/>
      <c r="V4164" s="10"/>
      <c r="W4164" s="10"/>
      <c r="X4164" s="10"/>
      <c r="Y4164" s="10"/>
      <c r="Z4164" s="10"/>
      <c r="AA4164" s="11" t="str">
        <f t="shared" si="131"/>
        <v/>
      </c>
    </row>
    <row r="4165" spans="16:27" ht="15" customHeight="1">
      <c r="P4165" t="str">
        <f t="shared" si="130"/>
        <v/>
      </c>
      <c r="Q4165" t="str">
        <f>IF(P4165="","",IFERROR(IF(AND(H4165="W7",OR(F4165="causal",F4165="predictive")),IF(AND(OR(K4165=1,K4165="1"),OR(L4165=1,L4165="1"),OR(M4165=1,M4165="1")),"adequate","partial"),IF(AND(H4165="W4",F4165="predictive",OR(J4165="P2",J4165="P3",J4165="P4")),IF(OR(U4165=1,U4165="1"),"adequate","partial"),INDEX(Fit_Matrix!$B:$B,MATCH(P4165,Fit_Matrix!$A:$A,0)))),"CHECK KEY"))</f>
        <v/>
      </c>
      <c r="U4165" s="10"/>
      <c r="V4165" s="10"/>
      <c r="W4165" s="10"/>
      <c r="X4165" s="10"/>
      <c r="Y4165" s="10"/>
      <c r="Z4165" s="10"/>
      <c r="AA4165" s="11" t="str">
        <f t="shared" si="131"/>
        <v/>
      </c>
    </row>
    <row r="4166" spans="16:27" ht="15" customHeight="1">
      <c r="P4166" t="str">
        <f t="shared" si="130"/>
        <v/>
      </c>
      <c r="Q4166" t="str">
        <f>IF(P4166="","",IFERROR(IF(AND(H4166="W7",OR(F4166="causal",F4166="predictive")),IF(AND(OR(K4166=1,K4166="1"),OR(L4166=1,L4166="1"),OR(M4166=1,M4166="1")),"adequate","partial"),IF(AND(H4166="W4",F4166="predictive",OR(J4166="P2",J4166="P3",J4166="P4")),IF(OR(U4166=1,U4166="1"),"adequate","partial"),INDEX(Fit_Matrix!$B:$B,MATCH(P4166,Fit_Matrix!$A:$A,0)))),"CHECK KEY"))</f>
        <v/>
      </c>
      <c r="U4166" s="10"/>
      <c r="V4166" s="10"/>
      <c r="W4166" s="10"/>
      <c r="X4166" s="10"/>
      <c r="Y4166" s="10"/>
      <c r="Z4166" s="10"/>
      <c r="AA4166" s="11" t="str">
        <f t="shared" si="131"/>
        <v/>
      </c>
    </row>
    <row r="4167" spans="16:27" ht="15" customHeight="1">
      <c r="P4167" t="str">
        <f t="shared" si="130"/>
        <v/>
      </c>
      <c r="Q4167" t="str">
        <f>IF(P4167="","",IFERROR(IF(AND(H4167="W7",OR(F4167="causal",F4167="predictive")),IF(AND(OR(K4167=1,K4167="1"),OR(L4167=1,L4167="1"),OR(M4167=1,M4167="1")),"adequate","partial"),IF(AND(H4167="W4",F4167="predictive",OR(J4167="P2",J4167="P3",J4167="P4")),IF(OR(U4167=1,U4167="1"),"adequate","partial"),INDEX(Fit_Matrix!$B:$B,MATCH(P4167,Fit_Matrix!$A:$A,0)))),"CHECK KEY"))</f>
        <v/>
      </c>
      <c r="U4167" s="10"/>
      <c r="V4167" s="10"/>
      <c r="W4167" s="10"/>
      <c r="X4167" s="10"/>
      <c r="Y4167" s="10"/>
      <c r="Z4167" s="10"/>
      <c r="AA4167" s="11" t="str">
        <f t="shared" si="131"/>
        <v/>
      </c>
    </row>
    <row r="4168" spans="16:27" ht="15" customHeight="1">
      <c r="P4168" t="str">
        <f t="shared" si="130"/>
        <v/>
      </c>
      <c r="Q4168" t="str">
        <f>IF(P4168="","",IFERROR(IF(AND(H4168="W7",OR(F4168="causal",F4168="predictive")),IF(AND(OR(K4168=1,K4168="1"),OR(L4168=1,L4168="1"),OR(M4168=1,M4168="1")),"adequate","partial"),IF(AND(H4168="W4",F4168="predictive",OR(J4168="P2",J4168="P3",J4168="P4")),IF(OR(U4168=1,U4168="1"),"adequate","partial"),INDEX(Fit_Matrix!$B:$B,MATCH(P4168,Fit_Matrix!$A:$A,0)))),"CHECK KEY"))</f>
        <v/>
      </c>
      <c r="U4168" s="10"/>
      <c r="V4168" s="10"/>
      <c r="W4168" s="10"/>
      <c r="X4168" s="10"/>
      <c r="Y4168" s="10"/>
      <c r="Z4168" s="10"/>
      <c r="AA4168" s="11" t="str">
        <f t="shared" si="131"/>
        <v/>
      </c>
    </row>
    <row r="4169" spans="16:27" ht="15" customHeight="1">
      <c r="P4169" t="str">
        <f t="shared" si="130"/>
        <v/>
      </c>
      <c r="Q4169" t="str">
        <f>IF(P4169="","",IFERROR(IF(AND(H4169="W7",OR(F4169="causal",F4169="predictive")),IF(AND(OR(K4169=1,K4169="1"),OR(L4169=1,L4169="1"),OR(M4169=1,M4169="1")),"adequate","partial"),IF(AND(H4169="W4",F4169="predictive",OR(J4169="P2",J4169="P3",J4169="P4")),IF(OR(U4169=1,U4169="1"),"adequate","partial"),INDEX(Fit_Matrix!$B:$B,MATCH(P4169,Fit_Matrix!$A:$A,0)))),"CHECK KEY"))</f>
        <v/>
      </c>
      <c r="U4169" s="10"/>
      <c r="V4169" s="10"/>
      <c r="W4169" s="10"/>
      <c r="X4169" s="10"/>
      <c r="Y4169" s="10"/>
      <c r="Z4169" s="10"/>
      <c r="AA4169" s="11" t="str">
        <f t="shared" si="131"/>
        <v/>
      </c>
    </row>
    <row r="4170" spans="16:27" ht="15" customHeight="1">
      <c r="P4170" t="str">
        <f t="shared" si="130"/>
        <v/>
      </c>
      <c r="Q4170" t="str">
        <f>IF(P4170="","",IFERROR(IF(AND(H4170="W7",OR(F4170="causal",F4170="predictive")),IF(AND(OR(K4170=1,K4170="1"),OR(L4170=1,L4170="1"),OR(M4170=1,M4170="1")),"adequate","partial"),IF(AND(H4170="W4",F4170="predictive",OR(J4170="P2",J4170="P3",J4170="P4")),IF(OR(U4170=1,U4170="1"),"adequate","partial"),INDEX(Fit_Matrix!$B:$B,MATCH(P4170,Fit_Matrix!$A:$A,0)))),"CHECK KEY"))</f>
        <v/>
      </c>
      <c r="U4170" s="10"/>
      <c r="V4170" s="10"/>
      <c r="W4170" s="10"/>
      <c r="X4170" s="10"/>
      <c r="Y4170" s="10"/>
      <c r="Z4170" s="10"/>
      <c r="AA4170" s="11" t="str">
        <f t="shared" si="131"/>
        <v/>
      </c>
    </row>
    <row r="4171" spans="16:27" ht="15" customHeight="1">
      <c r="P4171" t="str">
        <f t="shared" si="130"/>
        <v/>
      </c>
      <c r="Q4171" t="str">
        <f>IF(P4171="","",IFERROR(IF(AND(H4171="W7",OR(F4171="causal",F4171="predictive")),IF(AND(OR(K4171=1,K4171="1"),OR(L4171=1,L4171="1"),OR(M4171=1,M4171="1")),"adequate","partial"),IF(AND(H4171="W4",F4171="predictive",OR(J4171="P2",J4171="P3",J4171="P4")),IF(OR(U4171=1,U4171="1"),"adequate","partial"),INDEX(Fit_Matrix!$B:$B,MATCH(P4171,Fit_Matrix!$A:$A,0)))),"CHECK KEY"))</f>
        <v/>
      </c>
      <c r="U4171" s="10"/>
      <c r="V4171" s="10"/>
      <c r="W4171" s="10"/>
      <c r="X4171" s="10"/>
      <c r="Y4171" s="10"/>
      <c r="Z4171" s="10"/>
      <c r="AA4171" s="11" t="str">
        <f t="shared" si="131"/>
        <v/>
      </c>
    </row>
    <row r="4172" spans="16:27" ht="15" customHeight="1">
      <c r="P4172" t="str">
        <f t="shared" si="130"/>
        <v/>
      </c>
      <c r="Q4172" t="str">
        <f>IF(P4172="","",IFERROR(IF(AND(H4172="W7",OR(F4172="causal",F4172="predictive")),IF(AND(OR(K4172=1,K4172="1"),OR(L4172=1,L4172="1"),OR(M4172=1,M4172="1")),"adequate","partial"),IF(AND(H4172="W4",F4172="predictive",OR(J4172="P2",J4172="P3",J4172="P4")),IF(OR(U4172=1,U4172="1"),"adequate","partial"),INDEX(Fit_Matrix!$B:$B,MATCH(P4172,Fit_Matrix!$A:$A,0)))),"CHECK KEY"))</f>
        <v/>
      </c>
      <c r="U4172" s="10"/>
      <c r="V4172" s="10"/>
      <c r="W4172" s="10"/>
      <c r="X4172" s="10"/>
      <c r="Y4172" s="10"/>
      <c r="Z4172" s="10"/>
      <c r="AA4172" s="11" t="str">
        <f t="shared" si="131"/>
        <v/>
      </c>
    </row>
    <row r="4173" spans="16:27" ht="15" customHeight="1">
      <c r="P4173" t="str">
        <f t="shared" si="130"/>
        <v/>
      </c>
      <c r="Q4173" t="str">
        <f>IF(P4173="","",IFERROR(IF(AND(H4173="W7",OR(F4173="causal",F4173="predictive")),IF(AND(OR(K4173=1,K4173="1"),OR(L4173=1,L4173="1"),OR(M4173=1,M4173="1")),"adequate","partial"),IF(AND(H4173="W4",F4173="predictive",OR(J4173="P2",J4173="P3",J4173="P4")),IF(OR(U4173=1,U4173="1"),"adequate","partial"),INDEX(Fit_Matrix!$B:$B,MATCH(P4173,Fit_Matrix!$A:$A,0)))),"CHECK KEY"))</f>
        <v/>
      </c>
      <c r="U4173" s="10"/>
      <c r="V4173" s="10"/>
      <c r="W4173" s="10"/>
      <c r="X4173" s="10"/>
      <c r="Y4173" s="10"/>
      <c r="Z4173" s="10"/>
      <c r="AA4173" s="11" t="str">
        <f t="shared" si="131"/>
        <v/>
      </c>
    </row>
    <row r="4174" spans="16:27" ht="15" customHeight="1">
      <c r="P4174" t="str">
        <f t="shared" si="130"/>
        <v/>
      </c>
      <c r="Q4174" t="str">
        <f>IF(P4174="","",IFERROR(IF(AND(H4174="W7",OR(F4174="causal",F4174="predictive")),IF(AND(OR(K4174=1,K4174="1"),OR(L4174=1,L4174="1"),OR(M4174=1,M4174="1")),"adequate","partial"),IF(AND(H4174="W4",F4174="predictive",OR(J4174="P2",J4174="P3",J4174="P4")),IF(OR(U4174=1,U4174="1"),"adequate","partial"),INDEX(Fit_Matrix!$B:$B,MATCH(P4174,Fit_Matrix!$A:$A,0)))),"CHECK KEY"))</f>
        <v/>
      </c>
      <c r="U4174" s="10"/>
      <c r="V4174" s="10"/>
      <c r="W4174" s="10"/>
      <c r="X4174" s="10"/>
      <c r="Y4174" s="10"/>
      <c r="Z4174" s="10"/>
      <c r="AA4174" s="11" t="str">
        <f t="shared" si="131"/>
        <v/>
      </c>
    </row>
    <row r="4175" spans="16:27" ht="15" customHeight="1">
      <c r="P4175" t="str">
        <f t="shared" si="130"/>
        <v/>
      </c>
      <c r="Q4175" t="str">
        <f>IF(P4175="","",IFERROR(IF(AND(H4175="W7",OR(F4175="causal",F4175="predictive")),IF(AND(OR(K4175=1,K4175="1"),OR(L4175=1,L4175="1"),OR(M4175=1,M4175="1")),"adequate","partial"),IF(AND(H4175="W4",F4175="predictive",OR(J4175="P2",J4175="P3",J4175="P4")),IF(OR(U4175=1,U4175="1"),"adequate","partial"),INDEX(Fit_Matrix!$B:$B,MATCH(P4175,Fit_Matrix!$A:$A,0)))),"CHECK KEY"))</f>
        <v/>
      </c>
      <c r="U4175" s="10"/>
      <c r="V4175" s="10"/>
      <c r="W4175" s="10"/>
      <c r="X4175" s="10"/>
      <c r="Y4175" s="10"/>
      <c r="Z4175" s="10"/>
      <c r="AA4175" s="11" t="str">
        <f t="shared" si="131"/>
        <v/>
      </c>
    </row>
    <row r="4176" spans="16:27" ht="15" customHeight="1">
      <c r="P4176" t="str">
        <f t="shared" si="130"/>
        <v/>
      </c>
      <c r="Q4176" t="str">
        <f>IF(P4176="","",IFERROR(IF(AND(H4176="W7",OR(F4176="causal",F4176="predictive")),IF(AND(OR(K4176=1,K4176="1"),OR(L4176=1,L4176="1"),OR(M4176=1,M4176="1")),"adequate","partial"),IF(AND(H4176="W4",F4176="predictive",OR(J4176="P2",J4176="P3",J4176="P4")),IF(OR(U4176=1,U4176="1"),"adequate","partial"),INDEX(Fit_Matrix!$B:$B,MATCH(P4176,Fit_Matrix!$A:$A,0)))),"CHECK KEY"))</f>
        <v/>
      </c>
      <c r="U4176" s="10"/>
      <c r="V4176" s="10"/>
      <c r="W4176" s="10"/>
      <c r="X4176" s="10"/>
      <c r="Y4176" s="10"/>
      <c r="Z4176" s="10"/>
      <c r="AA4176" s="11" t="str">
        <f t="shared" si="131"/>
        <v/>
      </c>
    </row>
    <row r="4177" spans="16:27" ht="15" customHeight="1">
      <c r="P4177" t="str">
        <f t="shared" si="130"/>
        <v/>
      </c>
      <c r="Q4177" t="str">
        <f>IF(P4177="","",IFERROR(IF(AND(H4177="W7",OR(F4177="causal",F4177="predictive")),IF(AND(OR(K4177=1,K4177="1"),OR(L4177=1,L4177="1"),OR(M4177=1,M4177="1")),"adequate","partial"),IF(AND(H4177="W4",F4177="predictive",OR(J4177="P2",J4177="P3",J4177="P4")),IF(OR(U4177=1,U4177="1"),"adequate","partial"),INDEX(Fit_Matrix!$B:$B,MATCH(P4177,Fit_Matrix!$A:$A,0)))),"CHECK KEY"))</f>
        <v/>
      </c>
      <c r="U4177" s="10"/>
      <c r="V4177" s="10"/>
      <c r="W4177" s="10"/>
      <c r="X4177" s="10"/>
      <c r="Y4177" s="10"/>
      <c r="Z4177" s="10"/>
      <c r="AA4177" s="11" t="str">
        <f t="shared" si="131"/>
        <v/>
      </c>
    </row>
    <row r="4178" spans="16:27" ht="15" customHeight="1">
      <c r="P4178" t="str">
        <f t="shared" si="130"/>
        <v/>
      </c>
      <c r="Q4178" t="str">
        <f>IF(P4178="","",IFERROR(IF(AND(H4178="W7",OR(F4178="causal",F4178="predictive")),IF(AND(OR(K4178=1,K4178="1"),OR(L4178=1,L4178="1"),OR(M4178=1,M4178="1")),"adequate","partial"),IF(AND(H4178="W4",F4178="predictive",OR(J4178="P2",J4178="P3",J4178="P4")),IF(OR(U4178=1,U4178="1"),"adequate","partial"),INDEX(Fit_Matrix!$B:$B,MATCH(P4178,Fit_Matrix!$A:$A,0)))),"CHECK KEY"))</f>
        <v/>
      </c>
      <c r="U4178" s="10"/>
      <c r="V4178" s="10"/>
      <c r="W4178" s="10"/>
      <c r="X4178" s="10"/>
      <c r="Y4178" s="10"/>
      <c r="Z4178" s="10"/>
      <c r="AA4178" s="11" t="str">
        <f t="shared" si="131"/>
        <v/>
      </c>
    </row>
    <row r="4179" spans="16:27" ht="15" customHeight="1">
      <c r="P4179" t="str">
        <f t="shared" si="130"/>
        <v/>
      </c>
      <c r="Q4179" t="str">
        <f>IF(P4179="","",IFERROR(IF(AND(H4179="W7",OR(F4179="causal",F4179="predictive")),IF(AND(OR(K4179=1,K4179="1"),OR(L4179=1,L4179="1"),OR(M4179=1,M4179="1")),"adequate","partial"),IF(AND(H4179="W4",F4179="predictive",OR(J4179="P2",J4179="P3",J4179="P4")),IF(OR(U4179=1,U4179="1"),"adequate","partial"),INDEX(Fit_Matrix!$B:$B,MATCH(P4179,Fit_Matrix!$A:$A,0)))),"CHECK KEY"))</f>
        <v/>
      </c>
      <c r="U4179" s="10"/>
      <c r="V4179" s="10"/>
      <c r="W4179" s="10"/>
      <c r="X4179" s="10"/>
      <c r="Y4179" s="10"/>
      <c r="Z4179" s="10"/>
      <c r="AA4179" s="11" t="str">
        <f t="shared" si="131"/>
        <v/>
      </c>
    </row>
    <row r="4180" spans="16:27" ht="15" customHeight="1">
      <c r="P4180" t="str">
        <f t="shared" si="130"/>
        <v/>
      </c>
      <c r="Q4180" t="str">
        <f>IF(P4180="","",IFERROR(IF(AND(H4180="W7",OR(F4180="causal",F4180="predictive")),IF(AND(OR(K4180=1,K4180="1"),OR(L4180=1,L4180="1"),OR(M4180=1,M4180="1")),"adequate","partial"),IF(AND(H4180="W4",F4180="predictive",OR(J4180="P2",J4180="P3",J4180="P4")),IF(OR(U4180=1,U4180="1"),"adequate","partial"),INDEX(Fit_Matrix!$B:$B,MATCH(P4180,Fit_Matrix!$A:$A,0)))),"CHECK KEY"))</f>
        <v/>
      </c>
      <c r="U4180" s="10"/>
      <c r="V4180" s="10"/>
      <c r="W4180" s="10"/>
      <c r="X4180" s="10"/>
      <c r="Y4180" s="10"/>
      <c r="Z4180" s="10"/>
      <c r="AA4180" s="11" t="str">
        <f t="shared" si="131"/>
        <v/>
      </c>
    </row>
    <row r="4181" spans="16:27" ht="15" customHeight="1">
      <c r="P4181" t="str">
        <f t="shared" si="130"/>
        <v/>
      </c>
      <c r="Q4181" t="str">
        <f>IF(P4181="","",IFERROR(IF(AND(H4181="W7",OR(F4181="causal",F4181="predictive")),IF(AND(OR(K4181=1,K4181="1"),OR(L4181=1,L4181="1"),OR(M4181=1,M4181="1")),"adequate","partial"),IF(AND(H4181="W4",F4181="predictive",OR(J4181="P2",J4181="P3",J4181="P4")),IF(OR(U4181=1,U4181="1"),"adequate","partial"),INDEX(Fit_Matrix!$B:$B,MATCH(P4181,Fit_Matrix!$A:$A,0)))),"CHECK KEY"))</f>
        <v/>
      </c>
      <c r="U4181" s="10"/>
      <c r="V4181" s="10"/>
      <c r="W4181" s="10"/>
      <c r="X4181" s="10"/>
      <c r="Y4181" s="10"/>
      <c r="Z4181" s="10"/>
      <c r="AA4181" s="11" t="str">
        <f t="shared" si="131"/>
        <v/>
      </c>
    </row>
    <row r="4182" spans="16:27" ht="15" customHeight="1">
      <c r="P4182" t="str">
        <f t="shared" si="130"/>
        <v/>
      </c>
      <c r="Q4182" t="str">
        <f>IF(P4182="","",IFERROR(IF(AND(H4182="W7",OR(F4182="causal",F4182="predictive")),IF(AND(OR(K4182=1,K4182="1"),OR(L4182=1,L4182="1"),OR(M4182=1,M4182="1")),"adequate","partial"),IF(AND(H4182="W4",F4182="predictive",OR(J4182="P2",J4182="P3",J4182="P4")),IF(OR(U4182=1,U4182="1"),"adequate","partial"),INDEX(Fit_Matrix!$B:$B,MATCH(P4182,Fit_Matrix!$A:$A,0)))),"CHECK KEY"))</f>
        <v/>
      </c>
      <c r="U4182" s="10"/>
      <c r="V4182" s="10"/>
      <c r="W4182" s="10"/>
      <c r="X4182" s="10"/>
      <c r="Y4182" s="10"/>
      <c r="Z4182" s="10"/>
      <c r="AA4182" s="11" t="str">
        <f t="shared" si="131"/>
        <v/>
      </c>
    </row>
    <row r="4183" spans="16:27" ht="15" customHeight="1">
      <c r="P4183" t="str">
        <f t="shared" si="130"/>
        <v/>
      </c>
      <c r="Q4183" t="str">
        <f>IF(P4183="","",IFERROR(IF(AND(H4183="W7",OR(F4183="causal",F4183="predictive")),IF(AND(OR(K4183=1,K4183="1"),OR(L4183=1,L4183="1"),OR(M4183=1,M4183="1")),"adequate","partial"),IF(AND(H4183="W4",F4183="predictive",OR(J4183="P2",J4183="P3",J4183="P4")),IF(OR(U4183=1,U4183="1"),"adequate","partial"),INDEX(Fit_Matrix!$B:$B,MATCH(P4183,Fit_Matrix!$A:$A,0)))),"CHECK KEY"))</f>
        <v/>
      </c>
      <c r="U4183" s="10"/>
      <c r="V4183" s="10"/>
      <c r="W4183" s="10"/>
      <c r="X4183" s="10"/>
      <c r="Y4183" s="10"/>
      <c r="Z4183" s="10"/>
      <c r="AA4183" s="11" t="str">
        <f t="shared" si="131"/>
        <v/>
      </c>
    </row>
    <row r="4184" spans="16:27" ht="15" customHeight="1">
      <c r="P4184" t="str">
        <f t="shared" si="130"/>
        <v/>
      </c>
      <c r="Q4184" t="str">
        <f>IF(P4184="","",IFERROR(IF(AND(H4184="W7",OR(F4184="causal",F4184="predictive")),IF(AND(OR(K4184=1,K4184="1"),OR(L4184=1,L4184="1"),OR(M4184=1,M4184="1")),"adequate","partial"),IF(AND(H4184="W4",F4184="predictive",OR(J4184="P2",J4184="P3",J4184="P4")),IF(OR(U4184=1,U4184="1"),"adequate","partial"),INDEX(Fit_Matrix!$B:$B,MATCH(P4184,Fit_Matrix!$A:$A,0)))),"CHECK KEY"))</f>
        <v/>
      </c>
      <c r="U4184" s="10"/>
      <c r="V4184" s="10"/>
      <c r="W4184" s="10"/>
      <c r="X4184" s="10"/>
      <c r="Y4184" s="10"/>
      <c r="Z4184" s="10"/>
      <c r="AA4184" s="11" t="str">
        <f t="shared" si="131"/>
        <v/>
      </c>
    </row>
    <row r="4185" spans="16:27" ht="15" customHeight="1">
      <c r="P4185" t="str">
        <f t="shared" si="130"/>
        <v/>
      </c>
      <c r="Q4185" t="str">
        <f>IF(P4185="","",IFERROR(IF(AND(H4185="W7",OR(F4185="causal",F4185="predictive")),IF(AND(OR(K4185=1,K4185="1"),OR(L4185=1,L4185="1"),OR(M4185=1,M4185="1")),"adequate","partial"),IF(AND(H4185="W4",F4185="predictive",OR(J4185="P2",J4185="P3",J4185="P4")),IF(OR(U4185=1,U4185="1"),"adequate","partial"),INDEX(Fit_Matrix!$B:$B,MATCH(P4185,Fit_Matrix!$A:$A,0)))),"CHECK KEY"))</f>
        <v/>
      </c>
      <c r="U4185" s="10"/>
      <c r="V4185" s="10"/>
      <c r="W4185" s="10"/>
      <c r="X4185" s="10"/>
      <c r="Y4185" s="10"/>
      <c r="Z4185" s="10"/>
      <c r="AA4185" s="11" t="str">
        <f t="shared" si="131"/>
        <v/>
      </c>
    </row>
    <row r="4186" spans="16:27" ht="15" customHeight="1">
      <c r="P4186" t="str">
        <f t="shared" si="130"/>
        <v/>
      </c>
      <c r="Q4186" t="str">
        <f>IF(P4186="","",IFERROR(IF(AND(H4186="W7",OR(F4186="causal",F4186="predictive")),IF(AND(OR(K4186=1,K4186="1"),OR(L4186=1,L4186="1"),OR(M4186=1,M4186="1")),"adequate","partial"),IF(AND(H4186="W4",F4186="predictive",OR(J4186="P2",J4186="P3",J4186="P4")),IF(OR(U4186=1,U4186="1"),"adequate","partial"),INDEX(Fit_Matrix!$B:$B,MATCH(P4186,Fit_Matrix!$A:$A,0)))),"CHECK KEY"))</f>
        <v/>
      </c>
      <c r="U4186" s="10"/>
      <c r="V4186" s="10"/>
      <c r="W4186" s="10"/>
      <c r="X4186" s="10"/>
      <c r="Y4186" s="10"/>
      <c r="Z4186" s="10"/>
      <c r="AA4186" s="11" t="str">
        <f t="shared" si="131"/>
        <v/>
      </c>
    </row>
    <row r="4187" spans="16:27" ht="15" customHeight="1">
      <c r="P4187" t="str">
        <f t="shared" si="130"/>
        <v/>
      </c>
      <c r="Q4187" t="str">
        <f>IF(P4187="","",IFERROR(IF(AND(H4187="W7",OR(F4187="causal",F4187="predictive")),IF(AND(OR(K4187=1,K4187="1"),OR(L4187=1,L4187="1"),OR(M4187=1,M4187="1")),"adequate","partial"),IF(AND(H4187="W4",F4187="predictive",OR(J4187="P2",J4187="P3",J4187="P4")),IF(OR(U4187=1,U4187="1"),"adequate","partial"),INDEX(Fit_Matrix!$B:$B,MATCH(P4187,Fit_Matrix!$A:$A,0)))),"CHECK KEY"))</f>
        <v/>
      </c>
      <c r="U4187" s="10"/>
      <c r="V4187" s="10"/>
      <c r="W4187" s="10"/>
      <c r="X4187" s="10"/>
      <c r="Y4187" s="10"/>
      <c r="Z4187" s="10"/>
      <c r="AA4187" s="11" t="str">
        <f t="shared" si="131"/>
        <v/>
      </c>
    </row>
    <row r="4188" spans="16:27" ht="15" customHeight="1">
      <c r="P4188" t="str">
        <f t="shared" si="130"/>
        <v/>
      </c>
      <c r="Q4188" t="str">
        <f>IF(P4188="","",IFERROR(IF(AND(H4188="W7",OR(F4188="causal",F4188="predictive")),IF(AND(OR(K4188=1,K4188="1"),OR(L4188=1,L4188="1"),OR(M4188=1,M4188="1")),"adequate","partial"),IF(AND(H4188="W4",F4188="predictive",OR(J4188="P2",J4188="P3",J4188="P4")),IF(OR(U4188=1,U4188="1"),"adequate","partial"),INDEX(Fit_Matrix!$B:$B,MATCH(P4188,Fit_Matrix!$A:$A,0)))),"CHECK KEY"))</f>
        <v/>
      </c>
      <c r="U4188" s="10"/>
      <c r="V4188" s="10"/>
      <c r="W4188" s="10"/>
      <c r="X4188" s="10"/>
      <c r="Y4188" s="10"/>
      <c r="Z4188" s="10"/>
      <c r="AA4188" s="11" t="str">
        <f t="shared" si="131"/>
        <v/>
      </c>
    </row>
    <row r="4189" spans="16:27" ht="15" customHeight="1">
      <c r="P4189" t="str">
        <f t="shared" si="130"/>
        <v/>
      </c>
      <c r="Q4189" t="str">
        <f>IF(P4189="","",IFERROR(IF(AND(H4189="W7",OR(F4189="causal",F4189="predictive")),IF(AND(OR(K4189=1,K4189="1"),OR(L4189=1,L4189="1"),OR(M4189=1,M4189="1")),"adequate","partial"),IF(AND(H4189="W4",F4189="predictive",OR(J4189="P2",J4189="P3",J4189="P4")),IF(OR(U4189=1,U4189="1"),"adequate","partial"),INDEX(Fit_Matrix!$B:$B,MATCH(P4189,Fit_Matrix!$A:$A,0)))),"CHECK KEY"))</f>
        <v/>
      </c>
      <c r="U4189" s="10"/>
      <c r="V4189" s="10"/>
      <c r="W4189" s="10"/>
      <c r="X4189" s="10"/>
      <c r="Y4189" s="10"/>
      <c r="Z4189" s="10"/>
      <c r="AA4189" s="11" t="str">
        <f t="shared" si="131"/>
        <v/>
      </c>
    </row>
    <row r="4190" spans="16:27" ht="15" customHeight="1">
      <c r="P4190" t="str">
        <f t="shared" si="130"/>
        <v/>
      </c>
      <c r="Q4190" t="str">
        <f>IF(P4190="","",IFERROR(IF(AND(H4190="W7",OR(F4190="causal",F4190="predictive")),IF(AND(OR(K4190=1,K4190="1"),OR(L4190=1,L4190="1"),OR(M4190=1,M4190="1")),"adequate","partial"),IF(AND(H4190="W4",F4190="predictive",OR(J4190="P2",J4190="P3",J4190="P4")),IF(OR(U4190=1,U4190="1"),"adequate","partial"),INDEX(Fit_Matrix!$B:$B,MATCH(P4190,Fit_Matrix!$A:$A,0)))),"CHECK KEY"))</f>
        <v/>
      </c>
      <c r="U4190" s="10"/>
      <c r="V4190" s="10"/>
      <c r="W4190" s="10"/>
      <c r="X4190" s="10"/>
      <c r="Y4190" s="10"/>
      <c r="Z4190" s="10"/>
      <c r="AA4190" s="11" t="str">
        <f t="shared" si="131"/>
        <v/>
      </c>
    </row>
    <row r="4191" spans="16:27" ht="15" customHeight="1">
      <c r="P4191" t="str">
        <f t="shared" si="130"/>
        <v/>
      </c>
      <c r="Q4191" t="str">
        <f>IF(P4191="","",IFERROR(IF(AND(H4191="W7",OR(F4191="causal",F4191="predictive")),IF(AND(OR(K4191=1,K4191="1"),OR(L4191=1,L4191="1"),OR(M4191=1,M4191="1")),"adequate","partial"),IF(AND(H4191="W4",F4191="predictive",OR(J4191="P2",J4191="P3",J4191="P4")),IF(OR(U4191=1,U4191="1"),"adequate","partial"),INDEX(Fit_Matrix!$B:$B,MATCH(P4191,Fit_Matrix!$A:$A,0)))),"CHECK KEY"))</f>
        <v/>
      </c>
      <c r="U4191" s="10"/>
      <c r="V4191" s="10"/>
      <c r="W4191" s="10"/>
      <c r="X4191" s="10"/>
      <c r="Y4191" s="10"/>
      <c r="Z4191" s="10"/>
      <c r="AA4191" s="11" t="str">
        <f t="shared" si="131"/>
        <v/>
      </c>
    </row>
    <row r="4192" spans="16:27" ht="15" customHeight="1">
      <c r="P4192" t="str">
        <f t="shared" si="130"/>
        <v/>
      </c>
      <c r="Q4192" t="str">
        <f>IF(P4192="","",IFERROR(IF(AND(H4192="W7",OR(F4192="causal",F4192="predictive")),IF(AND(OR(K4192=1,K4192="1"),OR(L4192=1,L4192="1"),OR(M4192=1,M4192="1")),"adequate","partial"),IF(AND(H4192="W4",F4192="predictive",OR(J4192="P2",J4192="P3",J4192="P4")),IF(OR(U4192=1,U4192="1"),"adequate","partial"),INDEX(Fit_Matrix!$B:$B,MATCH(P4192,Fit_Matrix!$A:$A,0)))),"CHECK KEY"))</f>
        <v/>
      </c>
      <c r="U4192" s="10"/>
      <c r="V4192" s="10"/>
      <c r="W4192" s="10"/>
      <c r="X4192" s="10"/>
      <c r="Y4192" s="10"/>
      <c r="Z4192" s="10"/>
      <c r="AA4192" s="11" t="str">
        <f t="shared" si="131"/>
        <v/>
      </c>
    </row>
    <row r="4193" spans="16:27" ht="15" customHeight="1">
      <c r="P4193" t="str">
        <f t="shared" si="130"/>
        <v/>
      </c>
      <c r="Q4193" t="str">
        <f>IF(P4193="","",IFERROR(IF(AND(H4193="W7",OR(F4193="causal",F4193="predictive")),IF(AND(OR(K4193=1,K4193="1"),OR(L4193=1,L4193="1"),OR(M4193=1,M4193="1")),"adequate","partial"),IF(AND(H4193="W4",F4193="predictive",OR(J4193="P2",J4193="P3",J4193="P4")),IF(OR(U4193=1,U4193="1"),"adequate","partial"),INDEX(Fit_Matrix!$B:$B,MATCH(P4193,Fit_Matrix!$A:$A,0)))),"CHECK KEY"))</f>
        <v/>
      </c>
      <c r="U4193" s="10"/>
      <c r="V4193" s="10"/>
      <c r="W4193" s="10"/>
      <c r="X4193" s="10"/>
      <c r="Y4193" s="10"/>
      <c r="Z4193" s="10"/>
      <c r="AA4193" s="11" t="str">
        <f t="shared" si="131"/>
        <v/>
      </c>
    </row>
    <row r="4194" spans="16:27" ht="15" customHeight="1">
      <c r="P4194" t="str">
        <f t="shared" si="130"/>
        <v/>
      </c>
      <c r="Q4194" t="str">
        <f>IF(P4194="","",IFERROR(IF(AND(H4194="W7",OR(F4194="causal",F4194="predictive")),IF(AND(OR(K4194=1,K4194="1"),OR(L4194=1,L4194="1"),OR(M4194=1,M4194="1")),"adequate","partial"),IF(AND(H4194="W4",F4194="predictive",OR(J4194="P2",J4194="P3",J4194="P4")),IF(OR(U4194=1,U4194="1"),"adequate","partial"),INDEX(Fit_Matrix!$B:$B,MATCH(P4194,Fit_Matrix!$A:$A,0)))),"CHECK KEY"))</f>
        <v/>
      </c>
      <c r="U4194" s="10"/>
      <c r="V4194" s="10"/>
      <c r="W4194" s="10"/>
      <c r="X4194" s="10"/>
      <c r="Y4194" s="10"/>
      <c r="Z4194" s="10"/>
      <c r="AA4194" s="11" t="str">
        <f t="shared" si="131"/>
        <v/>
      </c>
    </row>
    <row r="4195" spans="16:27" ht="15" customHeight="1">
      <c r="P4195" t="str">
        <f t="shared" si="130"/>
        <v/>
      </c>
      <c r="Q4195" t="str">
        <f>IF(P4195="","",IFERROR(IF(AND(H4195="W7",OR(F4195="causal",F4195="predictive")),IF(AND(OR(K4195=1,K4195="1"),OR(L4195=1,L4195="1"),OR(M4195=1,M4195="1")),"adequate","partial"),IF(AND(H4195="W4",F4195="predictive",OR(J4195="P2",J4195="P3",J4195="P4")),IF(OR(U4195=1,U4195="1"),"adequate","partial"),INDEX(Fit_Matrix!$B:$B,MATCH(P4195,Fit_Matrix!$A:$A,0)))),"CHECK KEY"))</f>
        <v/>
      </c>
      <c r="U4195" s="10"/>
      <c r="V4195" s="10"/>
      <c r="W4195" s="10"/>
      <c r="X4195" s="10"/>
      <c r="Y4195" s="10"/>
      <c r="Z4195" s="10"/>
      <c r="AA4195" s="11" t="str">
        <f t="shared" si="131"/>
        <v/>
      </c>
    </row>
    <row r="4196" spans="16:27" ht="15" customHeight="1">
      <c r="P4196" t="str">
        <f t="shared" si="130"/>
        <v/>
      </c>
      <c r="Q4196" t="str">
        <f>IF(P4196="","",IFERROR(IF(AND(H4196="W7",OR(F4196="causal",F4196="predictive")),IF(AND(OR(K4196=1,K4196="1"),OR(L4196=1,L4196="1"),OR(M4196=1,M4196="1")),"adequate","partial"),IF(AND(H4196="W4",F4196="predictive",OR(J4196="P2",J4196="P3",J4196="P4")),IF(OR(U4196=1,U4196="1"),"adequate","partial"),INDEX(Fit_Matrix!$B:$B,MATCH(P4196,Fit_Matrix!$A:$A,0)))),"CHECK KEY"))</f>
        <v/>
      </c>
      <c r="U4196" s="10"/>
      <c r="V4196" s="10"/>
      <c r="W4196" s="10"/>
      <c r="X4196" s="10"/>
      <c r="Y4196" s="10"/>
      <c r="Z4196" s="10"/>
      <c r="AA4196" s="11" t="str">
        <f t="shared" si="131"/>
        <v/>
      </c>
    </row>
    <row r="4197" spans="16:27" ht="15" customHeight="1">
      <c r="P4197" t="str">
        <f t="shared" si="130"/>
        <v/>
      </c>
      <c r="Q4197" t="str">
        <f>IF(P4197="","",IFERROR(IF(AND(H4197="W7",OR(F4197="causal",F4197="predictive")),IF(AND(OR(K4197=1,K4197="1"),OR(L4197=1,L4197="1"),OR(M4197=1,M4197="1")),"adequate","partial"),IF(AND(H4197="W4",F4197="predictive",OR(J4197="P2",J4197="P3",J4197="P4")),IF(OR(U4197=1,U4197="1"),"adequate","partial"),INDEX(Fit_Matrix!$B:$B,MATCH(P4197,Fit_Matrix!$A:$A,0)))),"CHECK KEY"))</f>
        <v/>
      </c>
      <c r="U4197" s="10"/>
      <c r="V4197" s="10"/>
      <c r="W4197" s="10"/>
      <c r="X4197" s="10"/>
      <c r="Y4197" s="10"/>
      <c r="Z4197" s="10"/>
      <c r="AA4197" s="11" t="str">
        <f t="shared" si="131"/>
        <v/>
      </c>
    </row>
    <row r="4198" spans="16:27" ht="15" customHeight="1">
      <c r="P4198" t="str">
        <f t="shared" si="130"/>
        <v/>
      </c>
      <c r="Q4198" t="str">
        <f>IF(P4198="","",IFERROR(IF(AND(H4198="W7",OR(F4198="causal",F4198="predictive")),IF(AND(OR(K4198=1,K4198="1"),OR(L4198=1,L4198="1"),OR(M4198=1,M4198="1")),"adequate","partial"),IF(AND(H4198="W4",F4198="predictive",OR(J4198="P2",J4198="P3",J4198="P4")),IF(OR(U4198=1,U4198="1"),"adequate","partial"),INDEX(Fit_Matrix!$B:$B,MATCH(P4198,Fit_Matrix!$A:$A,0)))),"CHECK KEY"))</f>
        <v/>
      </c>
      <c r="U4198" s="10"/>
      <c r="V4198" s="10"/>
      <c r="W4198" s="10"/>
      <c r="X4198" s="10"/>
      <c r="Y4198" s="10"/>
      <c r="Z4198" s="10"/>
      <c r="AA4198" s="11" t="str">
        <f t="shared" si="131"/>
        <v/>
      </c>
    </row>
    <row r="4199" spans="16:27" ht="15" customHeight="1">
      <c r="P4199" t="str">
        <f t="shared" si="130"/>
        <v/>
      </c>
      <c r="Q4199" t="str">
        <f>IF(P4199="","",IFERROR(IF(AND(H4199="W7",OR(F4199="causal",F4199="predictive")),IF(AND(OR(K4199=1,K4199="1"),OR(L4199=1,L4199="1"),OR(M4199=1,M4199="1")),"adequate","partial"),IF(AND(H4199="W4",F4199="predictive",OR(J4199="P2",J4199="P3",J4199="P4")),IF(OR(U4199=1,U4199="1"),"adequate","partial"),INDEX(Fit_Matrix!$B:$B,MATCH(P4199,Fit_Matrix!$A:$A,0)))),"CHECK KEY"))</f>
        <v/>
      </c>
      <c r="U4199" s="10"/>
      <c r="V4199" s="10"/>
      <c r="W4199" s="10"/>
      <c r="X4199" s="10"/>
      <c r="Y4199" s="10"/>
      <c r="Z4199" s="10"/>
      <c r="AA4199" s="11" t="str">
        <f t="shared" si="131"/>
        <v/>
      </c>
    </row>
    <row r="4200" spans="16:27" ht="15" customHeight="1">
      <c r="P4200" t="str">
        <f t="shared" si="130"/>
        <v/>
      </c>
      <c r="Q4200" t="str">
        <f>IF(P4200="","",IFERROR(IF(AND(H4200="W7",OR(F4200="causal",F4200="predictive")),IF(AND(OR(K4200=1,K4200="1"),OR(L4200=1,L4200="1"),OR(M4200=1,M4200="1")),"adequate","partial"),IF(AND(H4200="W4",F4200="predictive",OR(J4200="P2",J4200="P3",J4200="P4")),IF(OR(U4200=1,U4200="1"),"adequate","partial"),INDEX(Fit_Matrix!$B:$B,MATCH(P4200,Fit_Matrix!$A:$A,0)))),"CHECK KEY"))</f>
        <v/>
      </c>
      <c r="U4200" s="10"/>
      <c r="V4200" s="10"/>
      <c r="W4200" s="10"/>
      <c r="X4200" s="10"/>
      <c r="Y4200" s="10"/>
      <c r="Z4200" s="10"/>
      <c r="AA4200" s="11" t="str">
        <f t="shared" si="131"/>
        <v/>
      </c>
    </row>
    <row r="4201" spans="16:27" ht="15" customHeight="1">
      <c r="P4201" t="str">
        <f t="shared" si="130"/>
        <v/>
      </c>
      <c r="Q4201" t="str">
        <f>IF(P4201="","",IFERROR(IF(AND(H4201="W7",OR(F4201="causal",F4201="predictive")),IF(AND(OR(K4201=1,K4201="1"),OR(L4201=1,L4201="1"),OR(M4201=1,M4201="1")),"adequate","partial"),IF(AND(H4201="W4",F4201="predictive",OR(J4201="P2",J4201="P3",J4201="P4")),IF(OR(U4201=1,U4201="1"),"adequate","partial"),INDEX(Fit_Matrix!$B:$B,MATCH(P4201,Fit_Matrix!$A:$A,0)))),"CHECK KEY"))</f>
        <v/>
      </c>
      <c r="U4201" s="10"/>
      <c r="V4201" s="10"/>
      <c r="W4201" s="10"/>
      <c r="X4201" s="10"/>
      <c r="Y4201" s="10"/>
      <c r="Z4201" s="10"/>
      <c r="AA4201" s="11" t="str">
        <f t="shared" si="131"/>
        <v/>
      </c>
    </row>
    <row r="4202" spans="16:27" ht="15" customHeight="1">
      <c r="P4202" t="str">
        <f t="shared" si="130"/>
        <v/>
      </c>
      <c r="Q4202" t="str">
        <f>IF(P4202="","",IFERROR(IF(AND(H4202="W7",OR(F4202="causal",F4202="predictive")),IF(AND(OR(K4202=1,K4202="1"),OR(L4202=1,L4202="1"),OR(M4202=1,M4202="1")),"adequate","partial"),IF(AND(H4202="W4",F4202="predictive",OR(J4202="P2",J4202="P3",J4202="P4")),IF(OR(U4202=1,U4202="1"),"adequate","partial"),INDEX(Fit_Matrix!$B:$B,MATCH(P4202,Fit_Matrix!$A:$A,0)))),"CHECK KEY"))</f>
        <v/>
      </c>
      <c r="U4202" s="10"/>
      <c r="V4202" s="10"/>
      <c r="W4202" s="10"/>
      <c r="X4202" s="10"/>
      <c r="Y4202" s="10"/>
      <c r="Z4202" s="10"/>
      <c r="AA4202" s="11" t="str">
        <f t="shared" si="131"/>
        <v/>
      </c>
    </row>
    <row r="4203" spans="16:27" ht="15" customHeight="1">
      <c r="P4203" t="str">
        <f t="shared" si="130"/>
        <v/>
      </c>
      <c r="Q4203" t="str">
        <f>IF(P4203="","",IFERROR(IF(AND(H4203="W7",OR(F4203="causal",F4203="predictive")),IF(AND(OR(K4203=1,K4203="1"),OR(L4203=1,L4203="1"),OR(M4203=1,M4203="1")),"adequate","partial"),IF(AND(H4203="W4",F4203="predictive",OR(J4203="P2",J4203="P3",J4203="P4")),IF(OR(U4203=1,U4203="1"),"adequate","partial"),INDEX(Fit_Matrix!$B:$B,MATCH(P4203,Fit_Matrix!$A:$A,0)))),"CHECK KEY"))</f>
        <v/>
      </c>
      <c r="U4203" s="10"/>
      <c r="V4203" s="10"/>
      <c r="W4203" s="10"/>
      <c r="X4203" s="10"/>
      <c r="Y4203" s="10"/>
      <c r="Z4203" s="10"/>
      <c r="AA4203" s="11" t="str">
        <f t="shared" si="131"/>
        <v/>
      </c>
    </row>
    <row r="4204" spans="16:27" ht="15" customHeight="1">
      <c r="P4204" t="str">
        <f t="shared" si="130"/>
        <v/>
      </c>
      <c r="Q4204" t="str">
        <f>IF(P4204="","",IFERROR(IF(AND(H4204="W7",OR(F4204="causal",F4204="predictive")),IF(AND(OR(K4204=1,K4204="1"),OR(L4204=1,L4204="1"),OR(M4204=1,M4204="1")),"adequate","partial"),IF(AND(H4204="W4",F4204="predictive",OR(J4204="P2",J4204="P3",J4204="P4")),IF(OR(U4204=1,U4204="1"),"adequate","partial"),INDEX(Fit_Matrix!$B:$B,MATCH(P4204,Fit_Matrix!$A:$A,0)))),"CHECK KEY"))</f>
        <v/>
      </c>
      <c r="U4204" s="10"/>
      <c r="V4204" s="10"/>
      <c r="W4204" s="10"/>
      <c r="X4204" s="10"/>
      <c r="Y4204" s="10"/>
      <c r="Z4204" s="10"/>
      <c r="AA4204" s="11" t="str">
        <f t="shared" si="131"/>
        <v/>
      </c>
    </row>
    <row r="4205" spans="16:27" ht="15" customHeight="1">
      <c r="P4205" t="str">
        <f t="shared" si="130"/>
        <v/>
      </c>
      <c r="Q4205" t="str">
        <f>IF(P4205="","",IFERROR(IF(AND(H4205="W7",OR(F4205="causal",F4205="predictive")),IF(AND(OR(K4205=1,K4205="1"),OR(L4205=1,L4205="1"),OR(M4205=1,M4205="1")),"adequate","partial"),IF(AND(H4205="W4",F4205="predictive",OR(J4205="P2",J4205="P3",J4205="P4")),IF(OR(U4205=1,U4205="1"),"adequate","partial"),INDEX(Fit_Matrix!$B:$B,MATCH(P4205,Fit_Matrix!$A:$A,0)))),"CHECK KEY"))</f>
        <v/>
      </c>
      <c r="U4205" s="10"/>
      <c r="V4205" s="10"/>
      <c r="W4205" s="10"/>
      <c r="X4205" s="10"/>
      <c r="Y4205" s="10"/>
      <c r="Z4205" s="10"/>
      <c r="AA4205" s="11" t="str">
        <f t="shared" si="131"/>
        <v/>
      </c>
    </row>
    <row r="4206" spans="16:27" ht="15" customHeight="1">
      <c r="P4206" t="str">
        <f t="shared" si="130"/>
        <v/>
      </c>
      <c r="Q4206" t="str">
        <f>IF(P4206="","",IFERROR(IF(AND(H4206="W7",OR(F4206="causal",F4206="predictive")),IF(AND(OR(K4206=1,K4206="1"),OR(L4206=1,L4206="1"),OR(M4206=1,M4206="1")),"adequate","partial"),IF(AND(H4206="W4",F4206="predictive",OR(J4206="P2",J4206="P3",J4206="P4")),IF(OR(U4206=1,U4206="1"),"adequate","partial"),INDEX(Fit_Matrix!$B:$B,MATCH(P4206,Fit_Matrix!$A:$A,0)))),"CHECK KEY"))</f>
        <v/>
      </c>
      <c r="U4206" s="10"/>
      <c r="V4206" s="10"/>
      <c r="W4206" s="10"/>
      <c r="X4206" s="10"/>
      <c r="Y4206" s="10"/>
      <c r="Z4206" s="10"/>
      <c r="AA4206" s="11" t="str">
        <f t="shared" si="131"/>
        <v/>
      </c>
    </row>
    <row r="4207" spans="16:27" ht="15" customHeight="1">
      <c r="P4207" t="str">
        <f t="shared" si="130"/>
        <v/>
      </c>
      <c r="Q4207" t="str">
        <f>IF(P4207="","",IFERROR(IF(AND(H4207="W7",OR(F4207="causal",F4207="predictive")),IF(AND(OR(K4207=1,K4207="1"),OR(L4207=1,L4207="1"),OR(M4207=1,M4207="1")),"adequate","partial"),IF(AND(H4207="W4",F4207="predictive",OR(J4207="P2",J4207="P3",J4207="P4")),IF(OR(U4207=1,U4207="1"),"adequate","partial"),INDEX(Fit_Matrix!$B:$B,MATCH(P4207,Fit_Matrix!$A:$A,0)))),"CHECK KEY"))</f>
        <v/>
      </c>
      <c r="U4207" s="10"/>
      <c r="V4207" s="10"/>
      <c r="W4207" s="10"/>
      <c r="X4207" s="10"/>
      <c r="Y4207" s="10"/>
      <c r="Z4207" s="10"/>
      <c r="AA4207" s="11" t="str">
        <f t="shared" si="131"/>
        <v/>
      </c>
    </row>
    <row r="4208" spans="16:27" ht="15" customHeight="1">
      <c r="P4208" t="str">
        <f t="shared" si="130"/>
        <v/>
      </c>
      <c r="Q4208" t="str">
        <f>IF(P4208="","",IFERROR(IF(AND(H4208="W7",OR(F4208="causal",F4208="predictive")),IF(AND(OR(K4208=1,K4208="1"),OR(L4208=1,L4208="1"),OR(M4208=1,M4208="1")),"adequate","partial"),IF(AND(H4208="W4",F4208="predictive",OR(J4208="P2",J4208="P3",J4208="P4")),IF(OR(U4208=1,U4208="1"),"adequate","partial"),INDEX(Fit_Matrix!$B:$B,MATCH(P4208,Fit_Matrix!$A:$A,0)))),"CHECK KEY"))</f>
        <v/>
      </c>
      <c r="U4208" s="10"/>
      <c r="V4208" s="10"/>
      <c r="W4208" s="10"/>
      <c r="X4208" s="10"/>
      <c r="Y4208" s="10"/>
      <c r="Z4208" s="10"/>
      <c r="AA4208" s="11" t="str">
        <f t="shared" si="131"/>
        <v/>
      </c>
    </row>
    <row r="4209" spans="16:27" ht="15" customHeight="1">
      <c r="P4209" t="str">
        <f t="shared" si="130"/>
        <v/>
      </c>
      <c r="Q4209" t="str">
        <f>IF(P4209="","",IFERROR(IF(AND(H4209="W7",OR(F4209="causal",F4209="predictive")),IF(AND(OR(K4209=1,K4209="1"),OR(L4209=1,L4209="1"),OR(M4209=1,M4209="1")),"adequate","partial"),IF(AND(H4209="W4",F4209="predictive",OR(J4209="P2",J4209="P3",J4209="P4")),IF(OR(U4209=1,U4209="1"),"adequate","partial"),INDEX(Fit_Matrix!$B:$B,MATCH(P4209,Fit_Matrix!$A:$A,0)))),"CHECK KEY"))</f>
        <v/>
      </c>
      <c r="U4209" s="10"/>
      <c r="V4209" s="10"/>
      <c r="W4209" s="10"/>
      <c r="X4209" s="10"/>
      <c r="Y4209" s="10"/>
      <c r="Z4209" s="10"/>
      <c r="AA4209" s="11" t="str">
        <f t="shared" si="131"/>
        <v/>
      </c>
    </row>
    <row r="4210" spans="16:27" ht="15" customHeight="1">
      <c r="P4210" t="str">
        <f t="shared" si="130"/>
        <v/>
      </c>
      <c r="Q4210" t="str">
        <f>IF(P4210="","",IFERROR(IF(AND(H4210="W7",OR(F4210="causal",F4210="predictive")),IF(AND(OR(K4210=1,K4210="1"),OR(L4210=1,L4210="1"),OR(M4210=1,M4210="1")),"adequate","partial"),IF(AND(H4210="W4",F4210="predictive",OR(J4210="P2",J4210="P3",J4210="P4")),IF(OR(U4210=1,U4210="1"),"adequate","partial"),INDEX(Fit_Matrix!$B:$B,MATCH(P4210,Fit_Matrix!$A:$A,0)))),"CHECK KEY"))</f>
        <v/>
      </c>
      <c r="U4210" s="10"/>
      <c r="V4210" s="10"/>
      <c r="W4210" s="10"/>
      <c r="X4210" s="10"/>
      <c r="Y4210" s="10"/>
      <c r="Z4210" s="10"/>
      <c r="AA4210" s="11" t="str">
        <f t="shared" si="131"/>
        <v/>
      </c>
    </row>
    <row r="4211" spans="16:27" ht="15" customHeight="1">
      <c r="P4211" t="str">
        <f t="shared" si="130"/>
        <v/>
      </c>
      <c r="Q4211" t="str">
        <f>IF(P4211="","",IFERROR(IF(AND(H4211="W7",OR(F4211="causal",F4211="predictive")),IF(AND(OR(K4211=1,K4211="1"),OR(L4211=1,L4211="1"),OR(M4211=1,M4211="1")),"adequate","partial"),IF(AND(H4211="W4",F4211="predictive",OR(J4211="P2",J4211="P3",J4211="P4")),IF(OR(U4211=1,U4211="1"),"adequate","partial"),INDEX(Fit_Matrix!$B:$B,MATCH(P4211,Fit_Matrix!$A:$A,0)))),"CHECK KEY"))</f>
        <v/>
      </c>
      <c r="U4211" s="10"/>
      <c r="V4211" s="10"/>
      <c r="W4211" s="10"/>
      <c r="X4211" s="10"/>
      <c r="Y4211" s="10"/>
      <c r="Z4211" s="10"/>
      <c r="AA4211" s="11" t="str">
        <f t="shared" si="131"/>
        <v/>
      </c>
    </row>
    <row r="4212" spans="16:27" ht="15" customHeight="1">
      <c r="P4212" t="str">
        <f t="shared" si="130"/>
        <v/>
      </c>
      <c r="Q4212" t="str">
        <f>IF(P4212="","",IFERROR(IF(AND(H4212="W7",OR(F4212="causal",F4212="predictive")),IF(AND(OR(K4212=1,K4212="1"),OR(L4212=1,L4212="1"),OR(M4212=1,M4212="1")),"adequate","partial"),IF(AND(H4212="W4",F4212="predictive",OR(J4212="P2",J4212="P3",J4212="P4")),IF(OR(U4212=1,U4212="1"),"adequate","partial"),INDEX(Fit_Matrix!$B:$B,MATCH(P4212,Fit_Matrix!$A:$A,0)))),"CHECK KEY"))</f>
        <v/>
      </c>
      <c r="U4212" s="10"/>
      <c r="V4212" s="10"/>
      <c r="W4212" s="10"/>
      <c r="X4212" s="10"/>
      <c r="Y4212" s="10"/>
      <c r="Z4212" s="10"/>
      <c r="AA4212" s="11" t="str">
        <f t="shared" si="131"/>
        <v/>
      </c>
    </row>
    <row r="4213" spans="16:27" ht="15" customHeight="1">
      <c r="P4213" t="str">
        <f t="shared" si="130"/>
        <v/>
      </c>
      <c r="Q4213" t="str">
        <f>IF(P4213="","",IFERROR(IF(AND(H4213="W7",OR(F4213="causal",F4213="predictive")),IF(AND(OR(K4213=1,K4213="1"),OR(L4213=1,L4213="1"),OR(M4213=1,M4213="1")),"adequate","partial"),IF(AND(H4213="W4",F4213="predictive",OR(J4213="P2",J4213="P3",J4213="P4")),IF(OR(U4213=1,U4213="1"),"adequate","partial"),INDEX(Fit_Matrix!$B:$B,MATCH(P4213,Fit_Matrix!$A:$A,0)))),"CHECK KEY"))</f>
        <v/>
      </c>
      <c r="U4213" s="10"/>
      <c r="V4213" s="10"/>
      <c r="W4213" s="10"/>
      <c r="X4213" s="10"/>
      <c r="Y4213" s="10"/>
      <c r="Z4213" s="10"/>
      <c r="AA4213" s="11" t="str">
        <f t="shared" si="131"/>
        <v/>
      </c>
    </row>
    <row r="4214" spans="16:27" ht="15" customHeight="1">
      <c r="P4214" t="str">
        <f t="shared" si="130"/>
        <v/>
      </c>
      <c r="Q4214" t="str">
        <f>IF(P4214="","",IFERROR(IF(AND(H4214="W7",OR(F4214="causal",F4214="predictive")),IF(AND(OR(K4214=1,K4214="1"),OR(L4214=1,L4214="1"),OR(M4214=1,M4214="1")),"adequate","partial"),IF(AND(H4214="W4",F4214="predictive",OR(J4214="P2",J4214="P3",J4214="P4")),IF(OR(U4214=1,U4214="1"),"adequate","partial"),INDEX(Fit_Matrix!$B:$B,MATCH(P4214,Fit_Matrix!$A:$A,0)))),"CHECK KEY"))</f>
        <v/>
      </c>
      <c r="U4214" s="10"/>
      <c r="V4214" s="10"/>
      <c r="W4214" s="10"/>
      <c r="X4214" s="10"/>
      <c r="Y4214" s="10"/>
      <c r="Z4214" s="10"/>
      <c r="AA4214" s="11" t="str">
        <f t="shared" si="131"/>
        <v/>
      </c>
    </row>
    <row r="4215" spans="16:27" ht="15" customHeight="1">
      <c r="P4215" t="str">
        <f t="shared" si="130"/>
        <v/>
      </c>
      <c r="Q4215" t="str">
        <f>IF(P4215="","",IFERROR(IF(AND(H4215="W7",OR(F4215="causal",F4215="predictive")),IF(AND(OR(K4215=1,K4215="1"),OR(L4215=1,L4215="1"),OR(M4215=1,M4215="1")),"adequate","partial"),IF(AND(H4215="W4",F4215="predictive",OR(J4215="P2",J4215="P3",J4215="P4")),IF(OR(U4215=1,U4215="1"),"adequate","partial"),INDEX(Fit_Matrix!$B:$B,MATCH(P4215,Fit_Matrix!$A:$A,0)))),"CHECK KEY"))</f>
        <v/>
      </c>
      <c r="U4215" s="10"/>
      <c r="V4215" s="10"/>
      <c r="W4215" s="10"/>
      <c r="X4215" s="10"/>
      <c r="Y4215" s="10"/>
      <c r="Z4215" s="10"/>
      <c r="AA4215" s="11" t="str">
        <f t="shared" si="131"/>
        <v/>
      </c>
    </row>
    <row r="4216" spans="16:27" ht="15" customHeight="1">
      <c r="P4216" t="str">
        <f t="shared" si="130"/>
        <v/>
      </c>
      <c r="Q4216" t="str">
        <f>IF(P4216="","",IFERROR(IF(AND(H4216="W7",OR(F4216="causal",F4216="predictive")),IF(AND(OR(K4216=1,K4216="1"),OR(L4216=1,L4216="1"),OR(M4216=1,M4216="1")),"adequate","partial"),IF(AND(H4216="W4",F4216="predictive",OR(J4216="P2",J4216="P3",J4216="P4")),IF(OR(U4216=1,U4216="1"),"adequate","partial"),INDEX(Fit_Matrix!$B:$B,MATCH(P4216,Fit_Matrix!$A:$A,0)))),"CHECK KEY"))</f>
        <v/>
      </c>
      <c r="U4216" s="10"/>
      <c r="V4216" s="10"/>
      <c r="W4216" s="10"/>
      <c r="X4216" s="10"/>
      <c r="Y4216" s="10"/>
      <c r="Z4216" s="10"/>
      <c r="AA4216" s="11" t="str">
        <f t="shared" si="131"/>
        <v/>
      </c>
    </row>
    <row r="4217" spans="16:27" ht="15" customHeight="1">
      <c r="P4217" t="str">
        <f t="shared" si="130"/>
        <v/>
      </c>
      <c r="Q4217" t="str">
        <f>IF(P4217="","",IFERROR(IF(AND(H4217="W7",OR(F4217="causal",F4217="predictive")),IF(AND(OR(K4217=1,K4217="1"),OR(L4217=1,L4217="1"),OR(M4217=1,M4217="1")),"adequate","partial"),IF(AND(H4217="W4",F4217="predictive",OR(J4217="P2",J4217="P3",J4217="P4")),IF(OR(U4217=1,U4217="1"),"adequate","partial"),INDEX(Fit_Matrix!$B:$B,MATCH(P4217,Fit_Matrix!$A:$A,0)))),"CHECK KEY"))</f>
        <v/>
      </c>
      <c r="U4217" s="10"/>
      <c r="V4217" s="10"/>
      <c r="W4217" s="10"/>
      <c r="X4217" s="10"/>
      <c r="Y4217" s="10"/>
      <c r="Z4217" s="10"/>
      <c r="AA4217" s="11" t="str">
        <f t="shared" si="131"/>
        <v/>
      </c>
    </row>
    <row r="4218" spans="16:27" ht="15" customHeight="1">
      <c r="P4218" t="str">
        <f t="shared" si="130"/>
        <v/>
      </c>
      <c r="Q4218" t="str">
        <f>IF(P4218="","",IFERROR(IF(AND(H4218="W7",OR(F4218="causal",F4218="predictive")),IF(AND(OR(K4218=1,K4218="1"),OR(L4218=1,L4218="1"),OR(M4218=1,M4218="1")),"adequate","partial"),IF(AND(H4218="W4",F4218="predictive",OR(J4218="P2",J4218="P3",J4218="P4")),IF(OR(U4218=1,U4218="1"),"adequate","partial"),INDEX(Fit_Matrix!$B:$B,MATCH(P4218,Fit_Matrix!$A:$A,0)))),"CHECK KEY"))</f>
        <v/>
      </c>
      <c r="U4218" s="10"/>
      <c r="V4218" s="10"/>
      <c r="W4218" s="10"/>
      <c r="X4218" s="10"/>
      <c r="Y4218" s="10"/>
      <c r="Z4218" s="10"/>
      <c r="AA4218" s="11" t="str">
        <f t="shared" si="131"/>
        <v/>
      </c>
    </row>
    <row r="4219" spans="16:27" ht="15" customHeight="1">
      <c r="P4219" t="str">
        <f t="shared" si="130"/>
        <v/>
      </c>
      <c r="Q4219" t="str">
        <f>IF(P4219="","",IFERROR(IF(AND(H4219="W7",OR(F4219="causal",F4219="predictive")),IF(AND(OR(K4219=1,K4219="1"),OR(L4219=1,L4219="1"),OR(M4219=1,M4219="1")),"adequate","partial"),IF(AND(H4219="W4",F4219="predictive",OR(J4219="P2",J4219="P3",J4219="P4")),IF(OR(U4219=1,U4219="1"),"adequate","partial"),INDEX(Fit_Matrix!$B:$B,MATCH(P4219,Fit_Matrix!$A:$A,0)))),"CHECK KEY"))</f>
        <v/>
      </c>
      <c r="U4219" s="10"/>
      <c r="V4219" s="10"/>
      <c r="W4219" s="10"/>
      <c r="X4219" s="10"/>
      <c r="Y4219" s="10"/>
      <c r="Z4219" s="10"/>
      <c r="AA4219" s="11" t="str">
        <f t="shared" si="131"/>
        <v/>
      </c>
    </row>
    <row r="4220" spans="16:27" ht="15" customHeight="1">
      <c r="P4220" t="str">
        <f t="shared" si="130"/>
        <v/>
      </c>
      <c r="Q4220" t="str">
        <f>IF(P4220="","",IFERROR(IF(AND(H4220="W7",OR(F4220="causal",F4220="predictive")),IF(AND(OR(K4220=1,K4220="1"),OR(L4220=1,L4220="1"),OR(M4220=1,M4220="1")),"adequate","partial"),IF(AND(H4220="W4",F4220="predictive",OR(J4220="P2",J4220="P3",J4220="P4")),IF(OR(U4220=1,U4220="1"),"adequate","partial"),INDEX(Fit_Matrix!$B:$B,MATCH(P4220,Fit_Matrix!$A:$A,0)))),"CHECK KEY"))</f>
        <v/>
      </c>
      <c r="U4220" s="10"/>
      <c r="V4220" s="10"/>
      <c r="W4220" s="10"/>
      <c r="X4220" s="10"/>
      <c r="Y4220" s="10"/>
      <c r="Z4220" s="10"/>
      <c r="AA4220" s="11" t="str">
        <f t="shared" si="131"/>
        <v/>
      </c>
    </row>
    <row r="4221" spans="16:27" ht="15" customHeight="1">
      <c r="P4221" t="str">
        <f t="shared" si="130"/>
        <v/>
      </c>
      <c r="Q4221" t="str">
        <f>IF(P4221="","",IFERROR(IF(AND(H4221="W7",OR(F4221="causal",F4221="predictive")),IF(AND(OR(K4221=1,K4221="1"),OR(L4221=1,L4221="1"),OR(M4221=1,M4221="1")),"adequate","partial"),IF(AND(H4221="W4",F4221="predictive",OR(J4221="P2",J4221="P3",J4221="P4")),IF(OR(U4221=1,U4221="1"),"adequate","partial"),INDEX(Fit_Matrix!$B:$B,MATCH(P4221,Fit_Matrix!$A:$A,0)))),"CHECK KEY"))</f>
        <v/>
      </c>
      <c r="U4221" s="10"/>
      <c r="V4221" s="10"/>
      <c r="W4221" s="10"/>
      <c r="X4221" s="10"/>
      <c r="Y4221" s="10"/>
      <c r="Z4221" s="10"/>
      <c r="AA4221" s="11" t="str">
        <f t="shared" si="131"/>
        <v/>
      </c>
    </row>
    <row r="4222" spans="16:27" ht="15" customHeight="1">
      <c r="P4222" t="str">
        <f t="shared" si="130"/>
        <v/>
      </c>
      <c r="Q4222" t="str">
        <f>IF(P4222="","",IFERROR(IF(AND(H4222="W7",OR(F4222="causal",F4222="predictive")),IF(AND(OR(K4222=1,K4222="1"),OR(L4222=1,L4222="1"),OR(M4222=1,M4222="1")),"adequate","partial"),IF(AND(H4222="W4",F4222="predictive",OR(J4222="P2",J4222="P3",J4222="P4")),IF(OR(U4222=1,U4222="1"),"adequate","partial"),INDEX(Fit_Matrix!$B:$B,MATCH(P4222,Fit_Matrix!$A:$A,0)))),"CHECK KEY"))</f>
        <v/>
      </c>
      <c r="U4222" s="10"/>
      <c r="V4222" s="10"/>
      <c r="W4222" s="10"/>
      <c r="X4222" s="10"/>
      <c r="Y4222" s="10"/>
      <c r="Z4222" s="10"/>
      <c r="AA4222" s="11" t="str">
        <f t="shared" si="131"/>
        <v/>
      </c>
    </row>
    <row r="4223" spans="16:27" ht="15" customHeight="1">
      <c r="P4223" t="str">
        <f t="shared" si="130"/>
        <v/>
      </c>
      <c r="Q4223" t="str">
        <f>IF(P4223="","",IFERROR(IF(AND(H4223="W7",OR(F4223="causal",F4223="predictive")),IF(AND(OR(K4223=1,K4223="1"),OR(L4223=1,L4223="1"),OR(M4223=1,M4223="1")),"adequate","partial"),IF(AND(H4223="W4",F4223="predictive",OR(J4223="P2",J4223="P3",J4223="P4")),IF(OR(U4223=1,U4223="1"),"adequate","partial"),INDEX(Fit_Matrix!$B:$B,MATCH(P4223,Fit_Matrix!$A:$A,0)))),"CHECK KEY"))</f>
        <v/>
      </c>
      <c r="U4223" s="10"/>
      <c r="V4223" s="10"/>
      <c r="W4223" s="10"/>
      <c r="X4223" s="10"/>
      <c r="Y4223" s="10"/>
      <c r="Z4223" s="10"/>
      <c r="AA4223" s="11" t="str">
        <f t="shared" si="131"/>
        <v/>
      </c>
    </row>
    <row r="4224" spans="16:27" ht="15" customHeight="1">
      <c r="P4224" t="str">
        <f t="shared" si="130"/>
        <v/>
      </c>
      <c r="Q4224" t="str">
        <f>IF(P4224="","",IFERROR(IF(AND(H4224="W7",OR(F4224="causal",F4224="predictive")),IF(AND(OR(K4224=1,K4224="1"),OR(L4224=1,L4224="1"),OR(M4224=1,M4224="1")),"adequate","partial"),IF(AND(H4224="W4",F4224="predictive",OR(J4224="P2",J4224="P3",J4224="P4")),IF(OR(U4224=1,U4224="1"),"adequate","partial"),INDEX(Fit_Matrix!$B:$B,MATCH(P4224,Fit_Matrix!$A:$A,0)))),"CHECK KEY"))</f>
        <v/>
      </c>
      <c r="U4224" s="10"/>
      <c r="V4224" s="10"/>
      <c r="W4224" s="10"/>
      <c r="X4224" s="10"/>
      <c r="Y4224" s="10"/>
      <c r="Z4224" s="10"/>
      <c r="AA4224" s="11" t="str">
        <f t="shared" si="131"/>
        <v/>
      </c>
    </row>
    <row r="4225" spans="16:27" ht="15" customHeight="1">
      <c r="P4225" t="str">
        <f t="shared" si="130"/>
        <v/>
      </c>
      <c r="Q4225" t="str">
        <f>IF(P4225="","",IFERROR(IF(AND(H4225="W7",OR(F4225="causal",F4225="predictive")),IF(AND(OR(K4225=1,K4225="1"),OR(L4225=1,L4225="1"),OR(M4225=1,M4225="1")),"adequate","partial"),IF(AND(H4225="W4",F4225="predictive",OR(J4225="P2",J4225="P3",J4225="P4")),IF(OR(U4225=1,U4225="1"),"adequate","partial"),INDEX(Fit_Matrix!$B:$B,MATCH(P4225,Fit_Matrix!$A:$A,0)))),"CHECK KEY"))</f>
        <v/>
      </c>
      <c r="U4225" s="10"/>
      <c r="V4225" s="10"/>
      <c r="W4225" s="10"/>
      <c r="X4225" s="10"/>
      <c r="Y4225" s="10"/>
      <c r="Z4225" s="10"/>
      <c r="AA4225" s="11" t="str">
        <f t="shared" si="131"/>
        <v/>
      </c>
    </row>
    <row r="4226" spans="16:27" ht="15" customHeight="1">
      <c r="P4226" t="str">
        <f t="shared" ref="P4226:P4289" si="132">IF(OR(F4226="",H4226="",J4226=""),"",J4226&amp;"|"&amp;F4226&amp;"|"&amp;IF(H4226="W3","W3_"&amp;IF(I4226="","unknown",I4226),H4226))</f>
        <v/>
      </c>
      <c r="Q4226" t="str">
        <f>IF(P4226="","",IFERROR(IF(AND(H4226="W7",OR(F4226="causal",F4226="predictive")),IF(AND(OR(K4226=1,K4226="1"),OR(L4226=1,L4226="1"),OR(M4226=1,M4226="1")),"adequate","partial"),IF(AND(H4226="W4",F4226="predictive",OR(J4226="P2",J4226="P3",J4226="P4")),IF(OR(U4226=1,U4226="1"),"adequate","partial"),INDEX(Fit_Matrix!$B:$B,MATCH(P4226,Fit_Matrix!$A:$A,0)))),"CHECK KEY"))</f>
        <v/>
      </c>
      <c r="U4226" s="10"/>
      <c r="V4226" s="10"/>
      <c r="W4226" s="10"/>
      <c r="X4226" s="10"/>
      <c r="Y4226" s="10"/>
      <c r="Z4226" s="10"/>
      <c r="AA4226" s="11" t="str">
        <f t="shared" ref="AA4226:AA4289" si="133">IF(A4226="","",IF(AND(J4226="P4",F4226="causal"),"P4-CAUSAL",""))</f>
        <v/>
      </c>
    </row>
    <row r="4227" spans="16:27" ht="15" customHeight="1">
      <c r="P4227" t="str">
        <f t="shared" si="132"/>
        <v/>
      </c>
      <c r="Q4227" t="str">
        <f>IF(P4227="","",IFERROR(IF(AND(H4227="W7",OR(F4227="causal",F4227="predictive")),IF(AND(OR(K4227=1,K4227="1"),OR(L4227=1,L4227="1"),OR(M4227=1,M4227="1")),"adequate","partial"),IF(AND(H4227="W4",F4227="predictive",OR(J4227="P2",J4227="P3",J4227="P4")),IF(OR(U4227=1,U4227="1"),"adequate","partial"),INDEX(Fit_Matrix!$B:$B,MATCH(P4227,Fit_Matrix!$A:$A,0)))),"CHECK KEY"))</f>
        <v/>
      </c>
      <c r="U4227" s="10"/>
      <c r="V4227" s="10"/>
      <c r="W4227" s="10"/>
      <c r="X4227" s="10"/>
      <c r="Y4227" s="10"/>
      <c r="Z4227" s="10"/>
      <c r="AA4227" s="11" t="str">
        <f t="shared" si="133"/>
        <v/>
      </c>
    </row>
    <row r="4228" spans="16:27" ht="15" customHeight="1">
      <c r="P4228" t="str">
        <f t="shared" si="132"/>
        <v/>
      </c>
      <c r="Q4228" t="str">
        <f>IF(P4228="","",IFERROR(IF(AND(H4228="W7",OR(F4228="causal",F4228="predictive")),IF(AND(OR(K4228=1,K4228="1"),OR(L4228=1,L4228="1"),OR(M4228=1,M4228="1")),"adequate","partial"),IF(AND(H4228="W4",F4228="predictive",OR(J4228="P2",J4228="P3",J4228="P4")),IF(OR(U4228=1,U4228="1"),"adequate","partial"),INDEX(Fit_Matrix!$B:$B,MATCH(P4228,Fit_Matrix!$A:$A,0)))),"CHECK KEY"))</f>
        <v/>
      </c>
      <c r="U4228" s="10"/>
      <c r="V4228" s="10"/>
      <c r="W4228" s="10"/>
      <c r="X4228" s="10"/>
      <c r="Y4228" s="10"/>
      <c r="Z4228" s="10"/>
      <c r="AA4228" s="11" t="str">
        <f t="shared" si="133"/>
        <v/>
      </c>
    </row>
    <row r="4229" spans="16:27" ht="15" customHeight="1">
      <c r="P4229" t="str">
        <f t="shared" si="132"/>
        <v/>
      </c>
      <c r="Q4229" t="str">
        <f>IF(P4229="","",IFERROR(IF(AND(H4229="W7",OR(F4229="causal",F4229="predictive")),IF(AND(OR(K4229=1,K4229="1"),OR(L4229=1,L4229="1"),OR(M4229=1,M4229="1")),"adequate","partial"),IF(AND(H4229="W4",F4229="predictive",OR(J4229="P2",J4229="P3",J4229="P4")),IF(OR(U4229=1,U4229="1"),"adequate","partial"),INDEX(Fit_Matrix!$B:$B,MATCH(P4229,Fit_Matrix!$A:$A,0)))),"CHECK KEY"))</f>
        <v/>
      </c>
      <c r="U4229" s="10"/>
      <c r="V4229" s="10"/>
      <c r="W4229" s="10"/>
      <c r="X4229" s="10"/>
      <c r="Y4229" s="10"/>
      <c r="Z4229" s="10"/>
      <c r="AA4229" s="11" t="str">
        <f t="shared" si="133"/>
        <v/>
      </c>
    </row>
    <row r="4230" spans="16:27" ht="15" customHeight="1">
      <c r="P4230" t="str">
        <f t="shared" si="132"/>
        <v/>
      </c>
      <c r="Q4230" t="str">
        <f>IF(P4230="","",IFERROR(IF(AND(H4230="W7",OR(F4230="causal",F4230="predictive")),IF(AND(OR(K4230=1,K4230="1"),OR(L4230=1,L4230="1"),OR(M4230=1,M4230="1")),"adequate","partial"),IF(AND(H4230="W4",F4230="predictive",OR(J4230="P2",J4230="P3",J4230="P4")),IF(OR(U4230=1,U4230="1"),"adequate","partial"),INDEX(Fit_Matrix!$B:$B,MATCH(P4230,Fit_Matrix!$A:$A,0)))),"CHECK KEY"))</f>
        <v/>
      </c>
      <c r="U4230" s="10"/>
      <c r="V4230" s="10"/>
      <c r="W4230" s="10"/>
      <c r="X4230" s="10"/>
      <c r="Y4230" s="10"/>
      <c r="Z4230" s="10"/>
      <c r="AA4230" s="11" t="str">
        <f t="shared" si="133"/>
        <v/>
      </c>
    </row>
    <row r="4231" spans="16:27" ht="15" customHeight="1">
      <c r="P4231" t="str">
        <f t="shared" si="132"/>
        <v/>
      </c>
      <c r="Q4231" t="str">
        <f>IF(P4231="","",IFERROR(IF(AND(H4231="W7",OR(F4231="causal",F4231="predictive")),IF(AND(OR(K4231=1,K4231="1"),OR(L4231=1,L4231="1"),OR(M4231=1,M4231="1")),"adequate","partial"),IF(AND(H4231="W4",F4231="predictive",OR(J4231="P2",J4231="P3",J4231="P4")),IF(OR(U4231=1,U4231="1"),"adequate","partial"),INDEX(Fit_Matrix!$B:$B,MATCH(P4231,Fit_Matrix!$A:$A,0)))),"CHECK KEY"))</f>
        <v/>
      </c>
      <c r="U4231" s="10"/>
      <c r="V4231" s="10"/>
      <c r="W4231" s="10"/>
      <c r="X4231" s="10"/>
      <c r="Y4231" s="10"/>
      <c r="Z4231" s="10"/>
      <c r="AA4231" s="11" t="str">
        <f t="shared" si="133"/>
        <v/>
      </c>
    </row>
    <row r="4232" spans="16:27" ht="15" customHeight="1">
      <c r="P4232" t="str">
        <f t="shared" si="132"/>
        <v/>
      </c>
      <c r="Q4232" t="str">
        <f>IF(P4232="","",IFERROR(IF(AND(H4232="W7",OR(F4232="causal",F4232="predictive")),IF(AND(OR(K4232=1,K4232="1"),OR(L4232=1,L4232="1"),OR(M4232=1,M4232="1")),"adequate","partial"),IF(AND(H4232="W4",F4232="predictive",OR(J4232="P2",J4232="P3",J4232="P4")),IF(OR(U4232=1,U4232="1"),"adequate","partial"),INDEX(Fit_Matrix!$B:$B,MATCH(P4232,Fit_Matrix!$A:$A,0)))),"CHECK KEY"))</f>
        <v/>
      </c>
      <c r="U4232" s="10"/>
      <c r="V4232" s="10"/>
      <c r="W4232" s="10"/>
      <c r="X4232" s="10"/>
      <c r="Y4232" s="10"/>
      <c r="Z4232" s="10"/>
      <c r="AA4232" s="11" t="str">
        <f t="shared" si="133"/>
        <v/>
      </c>
    </row>
    <row r="4233" spans="16:27" ht="15" customHeight="1">
      <c r="P4233" t="str">
        <f t="shared" si="132"/>
        <v/>
      </c>
      <c r="Q4233" t="str">
        <f>IF(P4233="","",IFERROR(IF(AND(H4233="W7",OR(F4233="causal",F4233="predictive")),IF(AND(OR(K4233=1,K4233="1"),OR(L4233=1,L4233="1"),OR(M4233=1,M4233="1")),"adequate","partial"),IF(AND(H4233="W4",F4233="predictive",OR(J4233="P2",J4233="P3",J4233="P4")),IF(OR(U4233=1,U4233="1"),"adequate","partial"),INDEX(Fit_Matrix!$B:$B,MATCH(P4233,Fit_Matrix!$A:$A,0)))),"CHECK KEY"))</f>
        <v/>
      </c>
      <c r="U4233" s="10"/>
      <c r="V4233" s="10"/>
      <c r="W4233" s="10"/>
      <c r="X4233" s="10"/>
      <c r="Y4233" s="10"/>
      <c r="Z4233" s="10"/>
      <c r="AA4233" s="11" t="str">
        <f t="shared" si="133"/>
        <v/>
      </c>
    </row>
    <row r="4234" spans="16:27" ht="15" customHeight="1">
      <c r="P4234" t="str">
        <f t="shared" si="132"/>
        <v/>
      </c>
      <c r="Q4234" t="str">
        <f>IF(P4234="","",IFERROR(IF(AND(H4234="W7",OR(F4234="causal",F4234="predictive")),IF(AND(OR(K4234=1,K4234="1"),OR(L4234=1,L4234="1"),OR(M4234=1,M4234="1")),"adequate","partial"),IF(AND(H4234="W4",F4234="predictive",OR(J4234="P2",J4234="P3",J4234="P4")),IF(OR(U4234=1,U4234="1"),"adequate","partial"),INDEX(Fit_Matrix!$B:$B,MATCH(P4234,Fit_Matrix!$A:$A,0)))),"CHECK KEY"))</f>
        <v/>
      </c>
      <c r="U4234" s="10"/>
      <c r="V4234" s="10"/>
      <c r="W4234" s="10"/>
      <c r="X4234" s="10"/>
      <c r="Y4234" s="10"/>
      <c r="Z4234" s="10"/>
      <c r="AA4234" s="11" t="str">
        <f t="shared" si="133"/>
        <v/>
      </c>
    </row>
    <row r="4235" spans="16:27" ht="15" customHeight="1">
      <c r="P4235" t="str">
        <f t="shared" si="132"/>
        <v/>
      </c>
      <c r="Q4235" t="str">
        <f>IF(P4235="","",IFERROR(IF(AND(H4235="W7",OR(F4235="causal",F4235="predictive")),IF(AND(OR(K4235=1,K4235="1"),OR(L4235=1,L4235="1"),OR(M4235=1,M4235="1")),"adequate","partial"),IF(AND(H4235="W4",F4235="predictive",OR(J4235="P2",J4235="P3",J4235="P4")),IF(OR(U4235=1,U4235="1"),"adequate","partial"),INDEX(Fit_Matrix!$B:$B,MATCH(P4235,Fit_Matrix!$A:$A,0)))),"CHECK KEY"))</f>
        <v/>
      </c>
      <c r="U4235" s="10"/>
      <c r="V4235" s="10"/>
      <c r="W4235" s="10"/>
      <c r="X4235" s="10"/>
      <c r="Y4235" s="10"/>
      <c r="Z4235" s="10"/>
      <c r="AA4235" s="11" t="str">
        <f t="shared" si="133"/>
        <v/>
      </c>
    </row>
    <row r="4236" spans="16:27" ht="15" customHeight="1">
      <c r="P4236" t="str">
        <f t="shared" si="132"/>
        <v/>
      </c>
      <c r="Q4236" t="str">
        <f>IF(P4236="","",IFERROR(IF(AND(H4236="W7",OR(F4236="causal",F4236="predictive")),IF(AND(OR(K4236=1,K4236="1"),OR(L4236=1,L4236="1"),OR(M4236=1,M4236="1")),"adequate","partial"),IF(AND(H4236="W4",F4236="predictive",OR(J4236="P2",J4236="P3",J4236="P4")),IF(OR(U4236=1,U4236="1"),"adequate","partial"),INDEX(Fit_Matrix!$B:$B,MATCH(P4236,Fit_Matrix!$A:$A,0)))),"CHECK KEY"))</f>
        <v/>
      </c>
      <c r="U4236" s="10"/>
      <c r="V4236" s="10"/>
      <c r="W4236" s="10"/>
      <c r="X4236" s="10"/>
      <c r="Y4236" s="10"/>
      <c r="Z4236" s="10"/>
      <c r="AA4236" s="11" t="str">
        <f t="shared" si="133"/>
        <v/>
      </c>
    </row>
    <row r="4237" spans="16:27" ht="15" customHeight="1">
      <c r="P4237" t="str">
        <f t="shared" si="132"/>
        <v/>
      </c>
      <c r="Q4237" t="str">
        <f>IF(P4237="","",IFERROR(IF(AND(H4237="W7",OR(F4237="causal",F4237="predictive")),IF(AND(OR(K4237=1,K4237="1"),OR(L4237=1,L4237="1"),OR(M4237=1,M4237="1")),"adequate","partial"),IF(AND(H4237="W4",F4237="predictive",OR(J4237="P2",J4237="P3",J4237="P4")),IF(OR(U4237=1,U4237="1"),"adequate","partial"),INDEX(Fit_Matrix!$B:$B,MATCH(P4237,Fit_Matrix!$A:$A,0)))),"CHECK KEY"))</f>
        <v/>
      </c>
      <c r="U4237" s="10"/>
      <c r="V4237" s="10"/>
      <c r="W4237" s="10"/>
      <c r="X4237" s="10"/>
      <c r="Y4237" s="10"/>
      <c r="Z4237" s="10"/>
      <c r="AA4237" s="11" t="str">
        <f t="shared" si="133"/>
        <v/>
      </c>
    </row>
    <row r="4238" spans="16:27" ht="15" customHeight="1">
      <c r="P4238" t="str">
        <f t="shared" si="132"/>
        <v/>
      </c>
      <c r="Q4238" t="str">
        <f>IF(P4238="","",IFERROR(IF(AND(H4238="W7",OR(F4238="causal",F4238="predictive")),IF(AND(OR(K4238=1,K4238="1"),OR(L4238=1,L4238="1"),OR(M4238=1,M4238="1")),"adequate","partial"),IF(AND(H4238="W4",F4238="predictive",OR(J4238="P2",J4238="P3",J4238="P4")),IF(OR(U4238=1,U4238="1"),"adequate","partial"),INDEX(Fit_Matrix!$B:$B,MATCH(P4238,Fit_Matrix!$A:$A,0)))),"CHECK KEY"))</f>
        <v/>
      </c>
      <c r="U4238" s="10"/>
      <c r="V4238" s="10"/>
      <c r="W4238" s="10"/>
      <c r="X4238" s="10"/>
      <c r="Y4238" s="10"/>
      <c r="Z4238" s="10"/>
      <c r="AA4238" s="11" t="str">
        <f t="shared" si="133"/>
        <v/>
      </c>
    </row>
    <row r="4239" spans="16:27" ht="15" customHeight="1">
      <c r="P4239" t="str">
        <f t="shared" si="132"/>
        <v/>
      </c>
      <c r="Q4239" t="str">
        <f>IF(P4239="","",IFERROR(IF(AND(H4239="W7",OR(F4239="causal",F4239="predictive")),IF(AND(OR(K4239=1,K4239="1"),OR(L4239=1,L4239="1"),OR(M4239=1,M4239="1")),"adequate","partial"),IF(AND(H4239="W4",F4239="predictive",OR(J4239="P2",J4239="P3",J4239="P4")),IF(OR(U4239=1,U4239="1"),"adequate","partial"),INDEX(Fit_Matrix!$B:$B,MATCH(P4239,Fit_Matrix!$A:$A,0)))),"CHECK KEY"))</f>
        <v/>
      </c>
      <c r="U4239" s="10"/>
      <c r="V4239" s="10"/>
      <c r="W4239" s="10"/>
      <c r="X4239" s="10"/>
      <c r="Y4239" s="10"/>
      <c r="Z4239" s="10"/>
      <c r="AA4239" s="11" t="str">
        <f t="shared" si="133"/>
        <v/>
      </c>
    </row>
    <row r="4240" spans="16:27" ht="15" customHeight="1">
      <c r="P4240" t="str">
        <f t="shared" si="132"/>
        <v/>
      </c>
      <c r="Q4240" t="str">
        <f>IF(P4240="","",IFERROR(IF(AND(H4240="W7",OR(F4240="causal",F4240="predictive")),IF(AND(OR(K4240=1,K4240="1"),OR(L4240=1,L4240="1"),OR(M4240=1,M4240="1")),"adequate","partial"),IF(AND(H4240="W4",F4240="predictive",OR(J4240="P2",J4240="P3",J4240="P4")),IF(OR(U4240=1,U4240="1"),"adequate","partial"),INDEX(Fit_Matrix!$B:$B,MATCH(P4240,Fit_Matrix!$A:$A,0)))),"CHECK KEY"))</f>
        <v/>
      </c>
      <c r="U4240" s="10"/>
      <c r="V4240" s="10"/>
      <c r="W4240" s="10"/>
      <c r="X4240" s="10"/>
      <c r="Y4240" s="10"/>
      <c r="Z4240" s="10"/>
      <c r="AA4240" s="11" t="str">
        <f t="shared" si="133"/>
        <v/>
      </c>
    </row>
    <row r="4241" spans="16:27" ht="15" customHeight="1">
      <c r="P4241" t="str">
        <f t="shared" si="132"/>
        <v/>
      </c>
      <c r="Q4241" t="str">
        <f>IF(P4241="","",IFERROR(IF(AND(H4241="W7",OR(F4241="causal",F4241="predictive")),IF(AND(OR(K4241=1,K4241="1"),OR(L4241=1,L4241="1"),OR(M4241=1,M4241="1")),"adequate","partial"),IF(AND(H4241="W4",F4241="predictive",OR(J4241="P2",J4241="P3",J4241="P4")),IF(OR(U4241=1,U4241="1"),"adequate","partial"),INDEX(Fit_Matrix!$B:$B,MATCH(P4241,Fit_Matrix!$A:$A,0)))),"CHECK KEY"))</f>
        <v/>
      </c>
      <c r="U4241" s="10"/>
      <c r="V4241" s="10"/>
      <c r="W4241" s="10"/>
      <c r="X4241" s="10"/>
      <c r="Y4241" s="10"/>
      <c r="Z4241" s="10"/>
      <c r="AA4241" s="11" t="str">
        <f t="shared" si="133"/>
        <v/>
      </c>
    </row>
    <row r="4242" spans="16:27" ht="15" customHeight="1">
      <c r="P4242" t="str">
        <f t="shared" si="132"/>
        <v/>
      </c>
      <c r="Q4242" t="str">
        <f>IF(P4242="","",IFERROR(IF(AND(H4242="W7",OR(F4242="causal",F4242="predictive")),IF(AND(OR(K4242=1,K4242="1"),OR(L4242=1,L4242="1"),OR(M4242=1,M4242="1")),"adequate","partial"),IF(AND(H4242="W4",F4242="predictive",OR(J4242="P2",J4242="P3",J4242="P4")),IF(OR(U4242=1,U4242="1"),"adequate","partial"),INDEX(Fit_Matrix!$B:$B,MATCH(P4242,Fit_Matrix!$A:$A,0)))),"CHECK KEY"))</f>
        <v/>
      </c>
      <c r="U4242" s="10"/>
      <c r="V4242" s="10"/>
      <c r="W4242" s="10"/>
      <c r="X4242" s="10"/>
      <c r="Y4242" s="10"/>
      <c r="Z4242" s="10"/>
      <c r="AA4242" s="11" t="str">
        <f t="shared" si="133"/>
        <v/>
      </c>
    </row>
    <row r="4243" spans="16:27" ht="15" customHeight="1">
      <c r="P4243" t="str">
        <f t="shared" si="132"/>
        <v/>
      </c>
      <c r="Q4243" t="str">
        <f>IF(P4243="","",IFERROR(IF(AND(H4243="W7",OR(F4243="causal",F4243="predictive")),IF(AND(OR(K4243=1,K4243="1"),OR(L4243=1,L4243="1"),OR(M4243=1,M4243="1")),"adequate","partial"),IF(AND(H4243="W4",F4243="predictive",OR(J4243="P2",J4243="P3",J4243="P4")),IF(OR(U4243=1,U4243="1"),"adequate","partial"),INDEX(Fit_Matrix!$B:$B,MATCH(P4243,Fit_Matrix!$A:$A,0)))),"CHECK KEY"))</f>
        <v/>
      </c>
      <c r="U4243" s="10"/>
      <c r="V4243" s="10"/>
      <c r="W4243" s="10"/>
      <c r="X4243" s="10"/>
      <c r="Y4243" s="10"/>
      <c r="Z4243" s="10"/>
      <c r="AA4243" s="11" t="str">
        <f t="shared" si="133"/>
        <v/>
      </c>
    </row>
    <row r="4244" spans="16:27" ht="15" customHeight="1">
      <c r="P4244" t="str">
        <f t="shared" si="132"/>
        <v/>
      </c>
      <c r="Q4244" t="str">
        <f>IF(P4244="","",IFERROR(IF(AND(H4244="W7",OR(F4244="causal",F4244="predictive")),IF(AND(OR(K4244=1,K4244="1"),OR(L4244=1,L4244="1"),OR(M4244=1,M4244="1")),"adequate","partial"),IF(AND(H4244="W4",F4244="predictive",OR(J4244="P2",J4244="P3",J4244="P4")),IF(OR(U4244=1,U4244="1"),"adequate","partial"),INDEX(Fit_Matrix!$B:$B,MATCH(P4244,Fit_Matrix!$A:$A,0)))),"CHECK KEY"))</f>
        <v/>
      </c>
      <c r="U4244" s="10"/>
      <c r="V4244" s="10"/>
      <c r="W4244" s="10"/>
      <c r="X4244" s="10"/>
      <c r="Y4244" s="10"/>
      <c r="Z4244" s="10"/>
      <c r="AA4244" s="11" t="str">
        <f t="shared" si="133"/>
        <v/>
      </c>
    </row>
    <row r="4245" spans="16:27" ht="15" customHeight="1">
      <c r="P4245" t="str">
        <f t="shared" si="132"/>
        <v/>
      </c>
      <c r="Q4245" t="str">
        <f>IF(P4245="","",IFERROR(IF(AND(H4245="W7",OR(F4245="causal",F4245="predictive")),IF(AND(OR(K4245=1,K4245="1"),OR(L4245=1,L4245="1"),OR(M4245=1,M4245="1")),"adequate","partial"),IF(AND(H4245="W4",F4245="predictive",OR(J4245="P2",J4245="P3",J4245="P4")),IF(OR(U4245=1,U4245="1"),"adequate","partial"),INDEX(Fit_Matrix!$B:$B,MATCH(P4245,Fit_Matrix!$A:$A,0)))),"CHECK KEY"))</f>
        <v/>
      </c>
      <c r="U4245" s="10"/>
      <c r="V4245" s="10"/>
      <c r="W4245" s="10"/>
      <c r="X4245" s="10"/>
      <c r="Y4245" s="10"/>
      <c r="Z4245" s="10"/>
      <c r="AA4245" s="11" t="str">
        <f t="shared" si="133"/>
        <v/>
      </c>
    </row>
    <row r="4246" spans="16:27" ht="15" customHeight="1">
      <c r="P4246" t="str">
        <f t="shared" si="132"/>
        <v/>
      </c>
      <c r="Q4246" t="str">
        <f>IF(P4246="","",IFERROR(IF(AND(H4246="W7",OR(F4246="causal",F4246="predictive")),IF(AND(OR(K4246=1,K4246="1"),OR(L4246=1,L4246="1"),OR(M4246=1,M4246="1")),"adequate","partial"),IF(AND(H4246="W4",F4246="predictive",OR(J4246="P2",J4246="P3",J4246="P4")),IF(OR(U4246=1,U4246="1"),"adequate","partial"),INDEX(Fit_Matrix!$B:$B,MATCH(P4246,Fit_Matrix!$A:$A,0)))),"CHECK KEY"))</f>
        <v/>
      </c>
      <c r="U4246" s="10"/>
      <c r="V4246" s="10"/>
      <c r="W4246" s="10"/>
      <c r="X4246" s="10"/>
      <c r="Y4246" s="10"/>
      <c r="Z4246" s="10"/>
      <c r="AA4246" s="11" t="str">
        <f t="shared" si="133"/>
        <v/>
      </c>
    </row>
    <row r="4247" spans="16:27" ht="15" customHeight="1">
      <c r="P4247" t="str">
        <f t="shared" si="132"/>
        <v/>
      </c>
      <c r="Q4247" t="str">
        <f>IF(P4247="","",IFERROR(IF(AND(H4247="W7",OR(F4247="causal",F4247="predictive")),IF(AND(OR(K4247=1,K4247="1"),OR(L4247=1,L4247="1"),OR(M4247=1,M4247="1")),"adequate","partial"),IF(AND(H4247="W4",F4247="predictive",OR(J4247="P2",J4247="P3",J4247="P4")),IF(OR(U4247=1,U4247="1"),"adequate","partial"),INDEX(Fit_Matrix!$B:$B,MATCH(P4247,Fit_Matrix!$A:$A,0)))),"CHECK KEY"))</f>
        <v/>
      </c>
      <c r="U4247" s="10"/>
      <c r="V4247" s="10"/>
      <c r="W4247" s="10"/>
      <c r="X4247" s="10"/>
      <c r="Y4247" s="10"/>
      <c r="Z4247" s="10"/>
      <c r="AA4247" s="11" t="str">
        <f t="shared" si="133"/>
        <v/>
      </c>
    </row>
    <row r="4248" spans="16:27" ht="15" customHeight="1">
      <c r="P4248" t="str">
        <f t="shared" si="132"/>
        <v/>
      </c>
      <c r="Q4248" t="str">
        <f>IF(P4248="","",IFERROR(IF(AND(H4248="W7",OR(F4248="causal",F4248="predictive")),IF(AND(OR(K4248=1,K4248="1"),OR(L4248=1,L4248="1"),OR(M4248=1,M4248="1")),"adequate","partial"),IF(AND(H4248="W4",F4248="predictive",OR(J4248="P2",J4248="P3",J4248="P4")),IF(OR(U4248=1,U4248="1"),"adequate","partial"),INDEX(Fit_Matrix!$B:$B,MATCH(P4248,Fit_Matrix!$A:$A,0)))),"CHECK KEY"))</f>
        <v/>
      </c>
      <c r="U4248" s="10"/>
      <c r="V4248" s="10"/>
      <c r="W4248" s="10"/>
      <c r="X4248" s="10"/>
      <c r="Y4248" s="10"/>
      <c r="Z4248" s="10"/>
      <c r="AA4248" s="11" t="str">
        <f t="shared" si="133"/>
        <v/>
      </c>
    </row>
    <row r="4249" spans="16:27" ht="15" customHeight="1">
      <c r="P4249" t="str">
        <f t="shared" si="132"/>
        <v/>
      </c>
      <c r="Q4249" t="str">
        <f>IF(P4249="","",IFERROR(IF(AND(H4249="W7",OR(F4249="causal",F4249="predictive")),IF(AND(OR(K4249=1,K4249="1"),OR(L4249=1,L4249="1"),OR(M4249=1,M4249="1")),"adequate","partial"),IF(AND(H4249="W4",F4249="predictive",OR(J4249="P2",J4249="P3",J4249="P4")),IF(OR(U4249=1,U4249="1"),"adequate","partial"),INDEX(Fit_Matrix!$B:$B,MATCH(P4249,Fit_Matrix!$A:$A,0)))),"CHECK KEY"))</f>
        <v/>
      </c>
      <c r="U4249" s="10"/>
      <c r="V4249" s="10"/>
      <c r="W4249" s="10"/>
      <c r="X4249" s="10"/>
      <c r="Y4249" s="10"/>
      <c r="Z4249" s="10"/>
      <c r="AA4249" s="11" t="str">
        <f t="shared" si="133"/>
        <v/>
      </c>
    </row>
    <row r="4250" spans="16:27" ht="15" customHeight="1">
      <c r="P4250" t="str">
        <f t="shared" si="132"/>
        <v/>
      </c>
      <c r="Q4250" t="str">
        <f>IF(P4250="","",IFERROR(IF(AND(H4250="W7",OR(F4250="causal",F4250="predictive")),IF(AND(OR(K4250=1,K4250="1"),OR(L4250=1,L4250="1"),OR(M4250=1,M4250="1")),"adequate","partial"),IF(AND(H4250="W4",F4250="predictive",OR(J4250="P2",J4250="P3",J4250="P4")),IF(OR(U4250=1,U4250="1"),"adequate","partial"),INDEX(Fit_Matrix!$B:$B,MATCH(P4250,Fit_Matrix!$A:$A,0)))),"CHECK KEY"))</f>
        <v/>
      </c>
      <c r="U4250" s="10"/>
      <c r="V4250" s="10"/>
      <c r="W4250" s="10"/>
      <c r="X4250" s="10"/>
      <c r="Y4250" s="10"/>
      <c r="Z4250" s="10"/>
      <c r="AA4250" s="11" t="str">
        <f t="shared" si="133"/>
        <v/>
      </c>
    </row>
    <row r="4251" spans="16:27" ht="15" customHeight="1">
      <c r="P4251" t="str">
        <f t="shared" si="132"/>
        <v/>
      </c>
      <c r="Q4251" t="str">
        <f>IF(P4251="","",IFERROR(IF(AND(H4251="W7",OR(F4251="causal",F4251="predictive")),IF(AND(OR(K4251=1,K4251="1"),OR(L4251=1,L4251="1"),OR(M4251=1,M4251="1")),"adequate","partial"),IF(AND(H4251="W4",F4251="predictive",OR(J4251="P2",J4251="P3",J4251="P4")),IF(OR(U4251=1,U4251="1"),"adequate","partial"),INDEX(Fit_Matrix!$B:$B,MATCH(P4251,Fit_Matrix!$A:$A,0)))),"CHECK KEY"))</f>
        <v/>
      </c>
      <c r="U4251" s="10"/>
      <c r="V4251" s="10"/>
      <c r="W4251" s="10"/>
      <c r="X4251" s="10"/>
      <c r="Y4251" s="10"/>
      <c r="Z4251" s="10"/>
      <c r="AA4251" s="11" t="str">
        <f t="shared" si="133"/>
        <v/>
      </c>
    </row>
    <row r="4252" spans="16:27" ht="15" customHeight="1">
      <c r="P4252" t="str">
        <f t="shared" si="132"/>
        <v/>
      </c>
      <c r="Q4252" t="str">
        <f>IF(P4252="","",IFERROR(IF(AND(H4252="W7",OR(F4252="causal",F4252="predictive")),IF(AND(OR(K4252=1,K4252="1"),OR(L4252=1,L4252="1"),OR(M4252=1,M4252="1")),"adequate","partial"),IF(AND(H4252="W4",F4252="predictive",OR(J4252="P2",J4252="P3",J4252="P4")),IF(OR(U4252=1,U4252="1"),"adequate","partial"),INDEX(Fit_Matrix!$B:$B,MATCH(P4252,Fit_Matrix!$A:$A,0)))),"CHECK KEY"))</f>
        <v/>
      </c>
      <c r="U4252" s="10"/>
      <c r="V4252" s="10"/>
      <c r="W4252" s="10"/>
      <c r="X4252" s="10"/>
      <c r="Y4252" s="10"/>
      <c r="Z4252" s="10"/>
      <c r="AA4252" s="11" t="str">
        <f t="shared" si="133"/>
        <v/>
      </c>
    </row>
    <row r="4253" spans="16:27" ht="15" customHeight="1">
      <c r="P4253" t="str">
        <f t="shared" si="132"/>
        <v/>
      </c>
      <c r="Q4253" t="str">
        <f>IF(P4253="","",IFERROR(IF(AND(H4253="W7",OR(F4253="causal",F4253="predictive")),IF(AND(OR(K4253=1,K4253="1"),OR(L4253=1,L4253="1"),OR(M4253=1,M4253="1")),"adequate","partial"),IF(AND(H4253="W4",F4253="predictive",OR(J4253="P2",J4253="P3",J4253="P4")),IF(OR(U4253=1,U4253="1"),"adequate","partial"),INDEX(Fit_Matrix!$B:$B,MATCH(P4253,Fit_Matrix!$A:$A,0)))),"CHECK KEY"))</f>
        <v/>
      </c>
      <c r="U4253" s="10"/>
      <c r="V4253" s="10"/>
      <c r="W4253" s="10"/>
      <c r="X4253" s="10"/>
      <c r="Y4253" s="10"/>
      <c r="Z4253" s="10"/>
      <c r="AA4253" s="11" t="str">
        <f t="shared" si="133"/>
        <v/>
      </c>
    </row>
    <row r="4254" spans="16:27" ht="15" customHeight="1">
      <c r="P4254" t="str">
        <f t="shared" si="132"/>
        <v/>
      </c>
      <c r="Q4254" t="str">
        <f>IF(P4254="","",IFERROR(IF(AND(H4254="W7",OR(F4254="causal",F4254="predictive")),IF(AND(OR(K4254=1,K4254="1"),OR(L4254=1,L4254="1"),OR(M4254=1,M4254="1")),"adequate","partial"),IF(AND(H4254="W4",F4254="predictive",OR(J4254="P2",J4254="P3",J4254="P4")),IF(OR(U4254=1,U4254="1"),"adequate","partial"),INDEX(Fit_Matrix!$B:$B,MATCH(P4254,Fit_Matrix!$A:$A,0)))),"CHECK KEY"))</f>
        <v/>
      </c>
      <c r="U4254" s="10"/>
      <c r="V4254" s="10"/>
      <c r="W4254" s="10"/>
      <c r="X4254" s="10"/>
      <c r="Y4254" s="10"/>
      <c r="Z4254" s="10"/>
      <c r="AA4254" s="11" t="str">
        <f t="shared" si="133"/>
        <v/>
      </c>
    </row>
    <row r="4255" spans="16:27" ht="15" customHeight="1">
      <c r="P4255" t="str">
        <f t="shared" si="132"/>
        <v/>
      </c>
      <c r="Q4255" t="str">
        <f>IF(P4255="","",IFERROR(IF(AND(H4255="W7",OR(F4255="causal",F4255="predictive")),IF(AND(OR(K4255=1,K4255="1"),OR(L4255=1,L4255="1"),OR(M4255=1,M4255="1")),"adequate","partial"),IF(AND(H4255="W4",F4255="predictive",OR(J4255="P2",J4255="P3",J4255="P4")),IF(OR(U4255=1,U4255="1"),"adequate","partial"),INDEX(Fit_Matrix!$B:$B,MATCH(P4255,Fit_Matrix!$A:$A,0)))),"CHECK KEY"))</f>
        <v/>
      </c>
      <c r="U4255" s="10"/>
      <c r="V4255" s="10"/>
      <c r="W4255" s="10"/>
      <c r="X4255" s="10"/>
      <c r="Y4255" s="10"/>
      <c r="Z4255" s="10"/>
      <c r="AA4255" s="11" t="str">
        <f t="shared" si="133"/>
        <v/>
      </c>
    </row>
    <row r="4256" spans="16:27" ht="15" customHeight="1">
      <c r="P4256" t="str">
        <f t="shared" si="132"/>
        <v/>
      </c>
      <c r="Q4256" t="str">
        <f>IF(P4256="","",IFERROR(IF(AND(H4256="W7",OR(F4256="causal",F4256="predictive")),IF(AND(OR(K4256=1,K4256="1"),OR(L4256=1,L4256="1"),OR(M4256=1,M4256="1")),"adequate","partial"),IF(AND(H4256="W4",F4256="predictive",OR(J4256="P2",J4256="P3",J4256="P4")),IF(OR(U4256=1,U4256="1"),"adequate","partial"),INDEX(Fit_Matrix!$B:$B,MATCH(P4256,Fit_Matrix!$A:$A,0)))),"CHECK KEY"))</f>
        <v/>
      </c>
      <c r="U4256" s="10"/>
      <c r="V4256" s="10"/>
      <c r="W4256" s="10"/>
      <c r="X4256" s="10"/>
      <c r="Y4256" s="10"/>
      <c r="Z4256" s="10"/>
      <c r="AA4256" s="11" t="str">
        <f t="shared" si="133"/>
        <v/>
      </c>
    </row>
    <row r="4257" spans="16:27" ht="15" customHeight="1">
      <c r="P4257" t="str">
        <f t="shared" si="132"/>
        <v/>
      </c>
      <c r="Q4257" t="str">
        <f>IF(P4257="","",IFERROR(IF(AND(H4257="W7",OR(F4257="causal",F4257="predictive")),IF(AND(OR(K4257=1,K4257="1"),OR(L4257=1,L4257="1"),OR(M4257=1,M4257="1")),"adequate","partial"),IF(AND(H4257="W4",F4257="predictive",OR(J4257="P2",J4257="P3",J4257="P4")),IF(OR(U4257=1,U4257="1"),"adequate","partial"),INDEX(Fit_Matrix!$B:$B,MATCH(P4257,Fit_Matrix!$A:$A,0)))),"CHECK KEY"))</f>
        <v/>
      </c>
      <c r="U4257" s="10"/>
      <c r="V4257" s="10"/>
      <c r="W4257" s="10"/>
      <c r="X4257" s="10"/>
      <c r="Y4257" s="10"/>
      <c r="Z4257" s="10"/>
      <c r="AA4257" s="11" t="str">
        <f t="shared" si="133"/>
        <v/>
      </c>
    </row>
    <row r="4258" spans="16:27" ht="15" customHeight="1">
      <c r="P4258" t="str">
        <f t="shared" si="132"/>
        <v/>
      </c>
      <c r="Q4258" t="str">
        <f>IF(P4258="","",IFERROR(IF(AND(H4258="W7",OR(F4258="causal",F4258="predictive")),IF(AND(OR(K4258=1,K4258="1"),OR(L4258=1,L4258="1"),OR(M4258=1,M4258="1")),"adequate","partial"),IF(AND(H4258="W4",F4258="predictive",OR(J4258="P2",J4258="P3",J4258="P4")),IF(OR(U4258=1,U4258="1"),"adequate","partial"),INDEX(Fit_Matrix!$B:$B,MATCH(P4258,Fit_Matrix!$A:$A,0)))),"CHECK KEY"))</f>
        <v/>
      </c>
      <c r="U4258" s="10"/>
      <c r="V4258" s="10"/>
      <c r="W4258" s="10"/>
      <c r="X4258" s="10"/>
      <c r="Y4258" s="10"/>
      <c r="Z4258" s="10"/>
      <c r="AA4258" s="11" t="str">
        <f t="shared" si="133"/>
        <v/>
      </c>
    </row>
    <row r="4259" spans="16:27" ht="15" customHeight="1">
      <c r="P4259" t="str">
        <f t="shared" si="132"/>
        <v/>
      </c>
      <c r="Q4259" t="str">
        <f>IF(P4259="","",IFERROR(IF(AND(H4259="W7",OR(F4259="causal",F4259="predictive")),IF(AND(OR(K4259=1,K4259="1"),OR(L4259=1,L4259="1"),OR(M4259=1,M4259="1")),"adequate","partial"),IF(AND(H4259="W4",F4259="predictive",OR(J4259="P2",J4259="P3",J4259="P4")),IF(OR(U4259=1,U4259="1"),"adequate","partial"),INDEX(Fit_Matrix!$B:$B,MATCH(P4259,Fit_Matrix!$A:$A,0)))),"CHECK KEY"))</f>
        <v/>
      </c>
      <c r="U4259" s="10"/>
      <c r="V4259" s="10"/>
      <c r="W4259" s="10"/>
      <c r="X4259" s="10"/>
      <c r="Y4259" s="10"/>
      <c r="Z4259" s="10"/>
      <c r="AA4259" s="11" t="str">
        <f t="shared" si="133"/>
        <v/>
      </c>
    </row>
    <row r="4260" spans="16:27" ht="15" customHeight="1">
      <c r="P4260" t="str">
        <f t="shared" si="132"/>
        <v/>
      </c>
      <c r="Q4260" t="str">
        <f>IF(P4260="","",IFERROR(IF(AND(H4260="W7",OR(F4260="causal",F4260="predictive")),IF(AND(OR(K4260=1,K4260="1"),OR(L4260=1,L4260="1"),OR(M4260=1,M4260="1")),"adequate","partial"),IF(AND(H4260="W4",F4260="predictive",OR(J4260="P2",J4260="P3",J4260="P4")),IF(OR(U4260=1,U4260="1"),"adequate","partial"),INDEX(Fit_Matrix!$B:$B,MATCH(P4260,Fit_Matrix!$A:$A,0)))),"CHECK KEY"))</f>
        <v/>
      </c>
      <c r="U4260" s="10"/>
      <c r="V4260" s="10"/>
      <c r="W4260" s="10"/>
      <c r="X4260" s="10"/>
      <c r="Y4260" s="10"/>
      <c r="Z4260" s="10"/>
      <c r="AA4260" s="11" t="str">
        <f t="shared" si="133"/>
        <v/>
      </c>
    </row>
    <row r="4261" spans="16:27" ht="15" customHeight="1">
      <c r="P4261" t="str">
        <f t="shared" si="132"/>
        <v/>
      </c>
      <c r="Q4261" t="str">
        <f>IF(P4261="","",IFERROR(IF(AND(H4261="W7",OR(F4261="causal",F4261="predictive")),IF(AND(OR(K4261=1,K4261="1"),OR(L4261=1,L4261="1"),OR(M4261=1,M4261="1")),"adequate","partial"),IF(AND(H4261="W4",F4261="predictive",OR(J4261="P2",J4261="P3",J4261="P4")),IF(OR(U4261=1,U4261="1"),"adequate","partial"),INDEX(Fit_Matrix!$B:$B,MATCH(P4261,Fit_Matrix!$A:$A,0)))),"CHECK KEY"))</f>
        <v/>
      </c>
      <c r="U4261" s="10"/>
      <c r="V4261" s="10"/>
      <c r="W4261" s="10"/>
      <c r="X4261" s="10"/>
      <c r="Y4261" s="10"/>
      <c r="Z4261" s="10"/>
      <c r="AA4261" s="11" t="str">
        <f t="shared" si="133"/>
        <v/>
      </c>
    </row>
    <row r="4262" spans="16:27" ht="15" customHeight="1">
      <c r="P4262" t="str">
        <f t="shared" si="132"/>
        <v/>
      </c>
      <c r="Q4262" t="str">
        <f>IF(P4262="","",IFERROR(IF(AND(H4262="W7",OR(F4262="causal",F4262="predictive")),IF(AND(OR(K4262=1,K4262="1"),OR(L4262=1,L4262="1"),OR(M4262=1,M4262="1")),"adequate","partial"),IF(AND(H4262="W4",F4262="predictive",OR(J4262="P2",J4262="P3",J4262="P4")),IF(OR(U4262=1,U4262="1"),"adequate","partial"),INDEX(Fit_Matrix!$B:$B,MATCH(P4262,Fit_Matrix!$A:$A,0)))),"CHECK KEY"))</f>
        <v/>
      </c>
      <c r="U4262" s="10"/>
      <c r="V4262" s="10"/>
      <c r="W4262" s="10"/>
      <c r="X4262" s="10"/>
      <c r="Y4262" s="10"/>
      <c r="Z4262" s="10"/>
      <c r="AA4262" s="11" t="str">
        <f t="shared" si="133"/>
        <v/>
      </c>
    </row>
    <row r="4263" spans="16:27" ht="15" customHeight="1">
      <c r="P4263" t="str">
        <f t="shared" si="132"/>
        <v/>
      </c>
      <c r="Q4263" t="str">
        <f>IF(P4263="","",IFERROR(IF(AND(H4263="W7",OR(F4263="causal",F4263="predictive")),IF(AND(OR(K4263=1,K4263="1"),OR(L4263=1,L4263="1"),OR(M4263=1,M4263="1")),"adequate","partial"),IF(AND(H4263="W4",F4263="predictive",OR(J4263="P2",J4263="P3",J4263="P4")),IF(OR(U4263=1,U4263="1"),"adequate","partial"),INDEX(Fit_Matrix!$B:$B,MATCH(P4263,Fit_Matrix!$A:$A,0)))),"CHECK KEY"))</f>
        <v/>
      </c>
      <c r="U4263" s="10"/>
      <c r="V4263" s="10"/>
      <c r="W4263" s="10"/>
      <c r="X4263" s="10"/>
      <c r="Y4263" s="10"/>
      <c r="Z4263" s="10"/>
      <c r="AA4263" s="11" t="str">
        <f t="shared" si="133"/>
        <v/>
      </c>
    </row>
    <row r="4264" spans="16:27" ht="15" customHeight="1">
      <c r="P4264" t="str">
        <f t="shared" si="132"/>
        <v/>
      </c>
      <c r="Q4264" t="str">
        <f>IF(P4264="","",IFERROR(IF(AND(H4264="W7",OR(F4264="causal",F4264="predictive")),IF(AND(OR(K4264=1,K4264="1"),OR(L4264=1,L4264="1"),OR(M4264=1,M4264="1")),"adequate","partial"),IF(AND(H4264="W4",F4264="predictive",OR(J4264="P2",J4264="P3",J4264="P4")),IF(OR(U4264=1,U4264="1"),"adequate","partial"),INDEX(Fit_Matrix!$B:$B,MATCH(P4264,Fit_Matrix!$A:$A,0)))),"CHECK KEY"))</f>
        <v/>
      </c>
      <c r="U4264" s="10"/>
      <c r="V4264" s="10"/>
      <c r="W4264" s="10"/>
      <c r="X4264" s="10"/>
      <c r="Y4264" s="10"/>
      <c r="Z4264" s="10"/>
      <c r="AA4264" s="11" t="str">
        <f t="shared" si="133"/>
        <v/>
      </c>
    </row>
    <row r="4265" spans="16:27" ht="15" customHeight="1">
      <c r="P4265" t="str">
        <f t="shared" si="132"/>
        <v/>
      </c>
      <c r="Q4265" t="str">
        <f>IF(P4265="","",IFERROR(IF(AND(H4265="W7",OR(F4265="causal",F4265="predictive")),IF(AND(OR(K4265=1,K4265="1"),OR(L4265=1,L4265="1"),OR(M4265=1,M4265="1")),"adequate","partial"),IF(AND(H4265="W4",F4265="predictive",OR(J4265="P2",J4265="P3",J4265="P4")),IF(OR(U4265=1,U4265="1"),"adequate","partial"),INDEX(Fit_Matrix!$B:$B,MATCH(P4265,Fit_Matrix!$A:$A,0)))),"CHECK KEY"))</f>
        <v/>
      </c>
      <c r="U4265" s="10"/>
      <c r="V4265" s="10"/>
      <c r="W4265" s="10"/>
      <c r="X4265" s="10"/>
      <c r="Y4265" s="10"/>
      <c r="Z4265" s="10"/>
      <c r="AA4265" s="11" t="str">
        <f t="shared" si="133"/>
        <v/>
      </c>
    </row>
    <row r="4266" spans="16:27" ht="15" customHeight="1">
      <c r="P4266" t="str">
        <f t="shared" si="132"/>
        <v/>
      </c>
      <c r="Q4266" t="str">
        <f>IF(P4266="","",IFERROR(IF(AND(H4266="W7",OR(F4266="causal",F4266="predictive")),IF(AND(OR(K4266=1,K4266="1"),OR(L4266=1,L4266="1"),OR(M4266=1,M4266="1")),"adequate","partial"),IF(AND(H4266="W4",F4266="predictive",OR(J4266="P2",J4266="P3",J4266="P4")),IF(OR(U4266=1,U4266="1"),"adequate","partial"),INDEX(Fit_Matrix!$B:$B,MATCH(P4266,Fit_Matrix!$A:$A,0)))),"CHECK KEY"))</f>
        <v/>
      </c>
      <c r="U4266" s="10"/>
      <c r="V4266" s="10"/>
      <c r="W4266" s="10"/>
      <c r="X4266" s="10"/>
      <c r="Y4266" s="10"/>
      <c r="Z4266" s="10"/>
      <c r="AA4266" s="11" t="str">
        <f t="shared" si="133"/>
        <v/>
      </c>
    </row>
    <row r="4267" spans="16:27" ht="15" customHeight="1">
      <c r="P4267" t="str">
        <f t="shared" si="132"/>
        <v/>
      </c>
      <c r="Q4267" t="str">
        <f>IF(P4267="","",IFERROR(IF(AND(H4267="W7",OR(F4267="causal",F4267="predictive")),IF(AND(OR(K4267=1,K4267="1"),OR(L4267=1,L4267="1"),OR(M4267=1,M4267="1")),"adequate","partial"),IF(AND(H4267="W4",F4267="predictive",OR(J4267="P2",J4267="P3",J4267="P4")),IF(OR(U4267=1,U4267="1"),"adequate","partial"),INDEX(Fit_Matrix!$B:$B,MATCH(P4267,Fit_Matrix!$A:$A,0)))),"CHECK KEY"))</f>
        <v/>
      </c>
      <c r="U4267" s="10"/>
      <c r="V4267" s="10"/>
      <c r="W4267" s="10"/>
      <c r="X4267" s="10"/>
      <c r="Y4267" s="10"/>
      <c r="Z4267" s="10"/>
      <c r="AA4267" s="11" t="str">
        <f t="shared" si="133"/>
        <v/>
      </c>
    </row>
    <row r="4268" spans="16:27" ht="15" customHeight="1">
      <c r="P4268" t="str">
        <f t="shared" si="132"/>
        <v/>
      </c>
      <c r="Q4268" t="str">
        <f>IF(P4268="","",IFERROR(IF(AND(H4268="W7",OR(F4268="causal",F4268="predictive")),IF(AND(OR(K4268=1,K4268="1"),OR(L4268=1,L4268="1"),OR(M4268=1,M4268="1")),"adequate","partial"),IF(AND(H4268="W4",F4268="predictive",OR(J4268="P2",J4268="P3",J4268="P4")),IF(OR(U4268=1,U4268="1"),"adequate","partial"),INDEX(Fit_Matrix!$B:$B,MATCH(P4268,Fit_Matrix!$A:$A,0)))),"CHECK KEY"))</f>
        <v/>
      </c>
      <c r="U4268" s="10"/>
      <c r="V4268" s="10"/>
      <c r="W4268" s="10"/>
      <c r="X4268" s="10"/>
      <c r="Y4268" s="10"/>
      <c r="Z4268" s="10"/>
      <c r="AA4268" s="11" t="str">
        <f t="shared" si="133"/>
        <v/>
      </c>
    </row>
    <row r="4269" spans="16:27" ht="15" customHeight="1">
      <c r="P4269" t="str">
        <f t="shared" si="132"/>
        <v/>
      </c>
      <c r="Q4269" t="str">
        <f>IF(P4269="","",IFERROR(IF(AND(H4269="W7",OR(F4269="causal",F4269="predictive")),IF(AND(OR(K4269=1,K4269="1"),OR(L4269=1,L4269="1"),OR(M4269=1,M4269="1")),"adequate","partial"),IF(AND(H4269="W4",F4269="predictive",OR(J4269="P2",J4269="P3",J4269="P4")),IF(OR(U4269=1,U4269="1"),"adequate","partial"),INDEX(Fit_Matrix!$B:$B,MATCH(P4269,Fit_Matrix!$A:$A,0)))),"CHECK KEY"))</f>
        <v/>
      </c>
      <c r="U4269" s="10"/>
      <c r="V4269" s="10"/>
      <c r="W4269" s="10"/>
      <c r="X4269" s="10"/>
      <c r="Y4269" s="10"/>
      <c r="Z4269" s="10"/>
      <c r="AA4269" s="11" t="str">
        <f t="shared" si="133"/>
        <v/>
      </c>
    </row>
    <row r="4270" spans="16:27" ht="15" customHeight="1">
      <c r="P4270" t="str">
        <f t="shared" si="132"/>
        <v/>
      </c>
      <c r="Q4270" t="str">
        <f>IF(P4270="","",IFERROR(IF(AND(H4270="W7",OR(F4270="causal",F4270="predictive")),IF(AND(OR(K4270=1,K4270="1"),OR(L4270=1,L4270="1"),OR(M4270=1,M4270="1")),"adequate","partial"),IF(AND(H4270="W4",F4270="predictive",OR(J4270="P2",J4270="P3",J4270="P4")),IF(OR(U4270=1,U4270="1"),"adequate","partial"),INDEX(Fit_Matrix!$B:$B,MATCH(P4270,Fit_Matrix!$A:$A,0)))),"CHECK KEY"))</f>
        <v/>
      </c>
      <c r="U4270" s="10"/>
      <c r="V4270" s="10"/>
      <c r="W4270" s="10"/>
      <c r="X4270" s="10"/>
      <c r="Y4270" s="10"/>
      <c r="Z4270" s="10"/>
      <c r="AA4270" s="11" t="str">
        <f t="shared" si="133"/>
        <v/>
      </c>
    </row>
    <row r="4271" spans="16:27" ht="15" customHeight="1">
      <c r="P4271" t="str">
        <f t="shared" si="132"/>
        <v/>
      </c>
      <c r="Q4271" t="str">
        <f>IF(P4271="","",IFERROR(IF(AND(H4271="W7",OR(F4271="causal",F4271="predictive")),IF(AND(OR(K4271=1,K4271="1"),OR(L4271=1,L4271="1"),OR(M4271=1,M4271="1")),"adequate","partial"),IF(AND(H4271="W4",F4271="predictive",OR(J4271="P2",J4271="P3",J4271="P4")),IF(OR(U4271=1,U4271="1"),"adequate","partial"),INDEX(Fit_Matrix!$B:$B,MATCH(P4271,Fit_Matrix!$A:$A,0)))),"CHECK KEY"))</f>
        <v/>
      </c>
      <c r="U4271" s="10"/>
      <c r="V4271" s="10"/>
      <c r="W4271" s="10"/>
      <c r="X4271" s="10"/>
      <c r="Y4271" s="10"/>
      <c r="Z4271" s="10"/>
      <c r="AA4271" s="11" t="str">
        <f t="shared" si="133"/>
        <v/>
      </c>
    </row>
    <row r="4272" spans="16:27" ht="15" customHeight="1">
      <c r="P4272" t="str">
        <f t="shared" si="132"/>
        <v/>
      </c>
      <c r="Q4272" t="str">
        <f>IF(P4272="","",IFERROR(IF(AND(H4272="W7",OR(F4272="causal",F4272="predictive")),IF(AND(OR(K4272=1,K4272="1"),OR(L4272=1,L4272="1"),OR(M4272=1,M4272="1")),"adequate","partial"),IF(AND(H4272="W4",F4272="predictive",OR(J4272="P2",J4272="P3",J4272="P4")),IF(OR(U4272=1,U4272="1"),"adequate","partial"),INDEX(Fit_Matrix!$B:$B,MATCH(P4272,Fit_Matrix!$A:$A,0)))),"CHECK KEY"))</f>
        <v/>
      </c>
      <c r="U4272" s="10"/>
      <c r="V4272" s="10"/>
      <c r="W4272" s="10"/>
      <c r="X4272" s="10"/>
      <c r="Y4272" s="10"/>
      <c r="Z4272" s="10"/>
      <c r="AA4272" s="11" t="str">
        <f t="shared" si="133"/>
        <v/>
      </c>
    </row>
    <row r="4273" spans="16:27" ht="15" customHeight="1">
      <c r="P4273" t="str">
        <f t="shared" si="132"/>
        <v/>
      </c>
      <c r="Q4273" t="str">
        <f>IF(P4273="","",IFERROR(IF(AND(H4273="W7",OR(F4273="causal",F4273="predictive")),IF(AND(OR(K4273=1,K4273="1"),OR(L4273=1,L4273="1"),OR(M4273=1,M4273="1")),"adequate","partial"),IF(AND(H4273="W4",F4273="predictive",OR(J4273="P2",J4273="P3",J4273="P4")),IF(OR(U4273=1,U4273="1"),"adequate","partial"),INDEX(Fit_Matrix!$B:$B,MATCH(P4273,Fit_Matrix!$A:$A,0)))),"CHECK KEY"))</f>
        <v/>
      </c>
      <c r="U4273" s="10"/>
      <c r="V4273" s="10"/>
      <c r="W4273" s="10"/>
      <c r="X4273" s="10"/>
      <c r="Y4273" s="10"/>
      <c r="Z4273" s="10"/>
      <c r="AA4273" s="11" t="str">
        <f t="shared" si="133"/>
        <v/>
      </c>
    </row>
    <row r="4274" spans="16:27" ht="15" customHeight="1">
      <c r="P4274" t="str">
        <f t="shared" si="132"/>
        <v/>
      </c>
      <c r="Q4274" t="str">
        <f>IF(P4274="","",IFERROR(IF(AND(H4274="W7",OR(F4274="causal",F4274="predictive")),IF(AND(OR(K4274=1,K4274="1"),OR(L4274=1,L4274="1"),OR(M4274=1,M4274="1")),"adequate","partial"),IF(AND(H4274="W4",F4274="predictive",OR(J4274="P2",J4274="P3",J4274="P4")),IF(OR(U4274=1,U4274="1"),"adequate","partial"),INDEX(Fit_Matrix!$B:$B,MATCH(P4274,Fit_Matrix!$A:$A,0)))),"CHECK KEY"))</f>
        <v/>
      </c>
      <c r="U4274" s="10"/>
      <c r="V4274" s="10"/>
      <c r="W4274" s="10"/>
      <c r="X4274" s="10"/>
      <c r="Y4274" s="10"/>
      <c r="Z4274" s="10"/>
      <c r="AA4274" s="11" t="str">
        <f t="shared" si="133"/>
        <v/>
      </c>
    </row>
    <row r="4275" spans="16:27" ht="15" customHeight="1">
      <c r="P4275" t="str">
        <f t="shared" si="132"/>
        <v/>
      </c>
      <c r="Q4275" t="str">
        <f>IF(P4275="","",IFERROR(IF(AND(H4275="W7",OR(F4275="causal",F4275="predictive")),IF(AND(OR(K4275=1,K4275="1"),OR(L4275=1,L4275="1"),OR(M4275=1,M4275="1")),"adequate","partial"),IF(AND(H4275="W4",F4275="predictive",OR(J4275="P2",J4275="P3",J4275="P4")),IF(OR(U4275=1,U4275="1"),"adequate","partial"),INDEX(Fit_Matrix!$B:$B,MATCH(P4275,Fit_Matrix!$A:$A,0)))),"CHECK KEY"))</f>
        <v/>
      </c>
      <c r="U4275" s="10"/>
      <c r="V4275" s="10"/>
      <c r="W4275" s="10"/>
      <c r="X4275" s="10"/>
      <c r="Y4275" s="10"/>
      <c r="Z4275" s="10"/>
      <c r="AA4275" s="11" t="str">
        <f t="shared" si="133"/>
        <v/>
      </c>
    </row>
    <row r="4276" spans="16:27" ht="15" customHeight="1">
      <c r="P4276" t="str">
        <f t="shared" si="132"/>
        <v/>
      </c>
      <c r="Q4276" t="str">
        <f>IF(P4276="","",IFERROR(IF(AND(H4276="W7",OR(F4276="causal",F4276="predictive")),IF(AND(OR(K4276=1,K4276="1"),OR(L4276=1,L4276="1"),OR(M4276=1,M4276="1")),"adequate","partial"),IF(AND(H4276="W4",F4276="predictive",OR(J4276="P2",J4276="P3",J4276="P4")),IF(OR(U4276=1,U4276="1"),"adequate","partial"),INDEX(Fit_Matrix!$B:$B,MATCH(P4276,Fit_Matrix!$A:$A,0)))),"CHECK KEY"))</f>
        <v/>
      </c>
      <c r="U4276" s="10"/>
      <c r="V4276" s="10"/>
      <c r="W4276" s="10"/>
      <c r="X4276" s="10"/>
      <c r="Y4276" s="10"/>
      <c r="Z4276" s="10"/>
      <c r="AA4276" s="11" t="str">
        <f t="shared" si="133"/>
        <v/>
      </c>
    </row>
    <row r="4277" spans="16:27" ht="15" customHeight="1">
      <c r="P4277" t="str">
        <f t="shared" si="132"/>
        <v/>
      </c>
      <c r="Q4277" t="str">
        <f>IF(P4277="","",IFERROR(IF(AND(H4277="W7",OR(F4277="causal",F4277="predictive")),IF(AND(OR(K4277=1,K4277="1"),OR(L4277=1,L4277="1"),OR(M4277=1,M4277="1")),"adequate","partial"),IF(AND(H4277="W4",F4277="predictive",OR(J4277="P2",J4277="P3",J4277="P4")),IF(OR(U4277=1,U4277="1"),"adequate","partial"),INDEX(Fit_Matrix!$B:$B,MATCH(P4277,Fit_Matrix!$A:$A,0)))),"CHECK KEY"))</f>
        <v/>
      </c>
      <c r="U4277" s="10"/>
      <c r="V4277" s="10"/>
      <c r="W4277" s="10"/>
      <c r="X4277" s="10"/>
      <c r="Y4277" s="10"/>
      <c r="Z4277" s="10"/>
      <c r="AA4277" s="11" t="str">
        <f t="shared" si="133"/>
        <v/>
      </c>
    </row>
    <row r="4278" spans="16:27" ht="15" customHeight="1">
      <c r="P4278" t="str">
        <f t="shared" si="132"/>
        <v/>
      </c>
      <c r="Q4278" t="str">
        <f>IF(P4278="","",IFERROR(IF(AND(H4278="W7",OR(F4278="causal",F4278="predictive")),IF(AND(OR(K4278=1,K4278="1"),OR(L4278=1,L4278="1"),OR(M4278=1,M4278="1")),"adequate","partial"),IF(AND(H4278="W4",F4278="predictive",OR(J4278="P2",J4278="P3",J4278="P4")),IF(OR(U4278=1,U4278="1"),"adequate","partial"),INDEX(Fit_Matrix!$B:$B,MATCH(P4278,Fit_Matrix!$A:$A,0)))),"CHECK KEY"))</f>
        <v/>
      </c>
      <c r="U4278" s="10"/>
      <c r="V4278" s="10"/>
      <c r="W4278" s="10"/>
      <c r="X4278" s="10"/>
      <c r="Y4278" s="10"/>
      <c r="Z4278" s="10"/>
      <c r="AA4278" s="11" t="str">
        <f t="shared" si="133"/>
        <v/>
      </c>
    </row>
    <row r="4279" spans="16:27" ht="15" customHeight="1">
      <c r="P4279" t="str">
        <f t="shared" si="132"/>
        <v/>
      </c>
      <c r="Q4279" t="str">
        <f>IF(P4279="","",IFERROR(IF(AND(H4279="W7",OR(F4279="causal",F4279="predictive")),IF(AND(OR(K4279=1,K4279="1"),OR(L4279=1,L4279="1"),OR(M4279=1,M4279="1")),"adequate","partial"),IF(AND(H4279="W4",F4279="predictive",OR(J4279="P2",J4279="P3",J4279="P4")),IF(OR(U4279=1,U4279="1"),"adequate","partial"),INDEX(Fit_Matrix!$B:$B,MATCH(P4279,Fit_Matrix!$A:$A,0)))),"CHECK KEY"))</f>
        <v/>
      </c>
      <c r="U4279" s="10"/>
      <c r="V4279" s="10"/>
      <c r="W4279" s="10"/>
      <c r="X4279" s="10"/>
      <c r="Y4279" s="10"/>
      <c r="Z4279" s="10"/>
      <c r="AA4279" s="11" t="str">
        <f t="shared" si="133"/>
        <v/>
      </c>
    </row>
    <row r="4280" spans="16:27" ht="15" customHeight="1">
      <c r="P4280" t="str">
        <f t="shared" si="132"/>
        <v/>
      </c>
      <c r="Q4280" t="str">
        <f>IF(P4280="","",IFERROR(IF(AND(H4280="W7",OR(F4280="causal",F4280="predictive")),IF(AND(OR(K4280=1,K4280="1"),OR(L4280=1,L4280="1"),OR(M4280=1,M4280="1")),"adequate","partial"),IF(AND(H4280="W4",F4280="predictive",OR(J4280="P2",J4280="P3",J4280="P4")),IF(OR(U4280=1,U4280="1"),"adequate","partial"),INDEX(Fit_Matrix!$B:$B,MATCH(P4280,Fit_Matrix!$A:$A,0)))),"CHECK KEY"))</f>
        <v/>
      </c>
      <c r="U4280" s="10"/>
      <c r="V4280" s="10"/>
      <c r="W4280" s="10"/>
      <c r="X4280" s="10"/>
      <c r="Y4280" s="10"/>
      <c r="Z4280" s="10"/>
      <c r="AA4280" s="11" t="str">
        <f t="shared" si="133"/>
        <v/>
      </c>
    </row>
    <row r="4281" spans="16:27" ht="15" customHeight="1">
      <c r="P4281" t="str">
        <f t="shared" si="132"/>
        <v/>
      </c>
      <c r="Q4281" t="str">
        <f>IF(P4281="","",IFERROR(IF(AND(H4281="W7",OR(F4281="causal",F4281="predictive")),IF(AND(OR(K4281=1,K4281="1"),OR(L4281=1,L4281="1"),OR(M4281=1,M4281="1")),"adequate","partial"),IF(AND(H4281="W4",F4281="predictive",OR(J4281="P2",J4281="P3",J4281="P4")),IF(OR(U4281=1,U4281="1"),"adequate","partial"),INDEX(Fit_Matrix!$B:$B,MATCH(P4281,Fit_Matrix!$A:$A,0)))),"CHECK KEY"))</f>
        <v/>
      </c>
      <c r="U4281" s="10"/>
      <c r="V4281" s="10"/>
      <c r="W4281" s="10"/>
      <c r="X4281" s="10"/>
      <c r="Y4281" s="10"/>
      <c r="Z4281" s="10"/>
      <c r="AA4281" s="11" t="str">
        <f t="shared" si="133"/>
        <v/>
      </c>
    </row>
    <row r="4282" spans="16:27" ht="15" customHeight="1">
      <c r="P4282" t="str">
        <f t="shared" si="132"/>
        <v/>
      </c>
      <c r="Q4282" t="str">
        <f>IF(P4282="","",IFERROR(IF(AND(H4282="W7",OR(F4282="causal",F4282="predictive")),IF(AND(OR(K4282=1,K4282="1"),OR(L4282=1,L4282="1"),OR(M4282=1,M4282="1")),"adequate","partial"),IF(AND(H4282="W4",F4282="predictive",OR(J4282="P2",J4282="P3",J4282="P4")),IF(OR(U4282=1,U4282="1"),"adequate","partial"),INDEX(Fit_Matrix!$B:$B,MATCH(P4282,Fit_Matrix!$A:$A,0)))),"CHECK KEY"))</f>
        <v/>
      </c>
      <c r="U4282" s="10"/>
      <c r="V4282" s="10"/>
      <c r="W4282" s="10"/>
      <c r="X4282" s="10"/>
      <c r="Y4282" s="10"/>
      <c r="Z4282" s="10"/>
      <c r="AA4282" s="11" t="str">
        <f t="shared" si="133"/>
        <v/>
      </c>
    </row>
    <row r="4283" spans="16:27" ht="15" customHeight="1">
      <c r="P4283" t="str">
        <f t="shared" si="132"/>
        <v/>
      </c>
      <c r="Q4283" t="str">
        <f>IF(P4283="","",IFERROR(IF(AND(H4283="W7",OR(F4283="causal",F4283="predictive")),IF(AND(OR(K4283=1,K4283="1"),OR(L4283=1,L4283="1"),OR(M4283=1,M4283="1")),"adequate","partial"),IF(AND(H4283="W4",F4283="predictive",OR(J4283="P2",J4283="P3",J4283="P4")),IF(OR(U4283=1,U4283="1"),"adequate","partial"),INDEX(Fit_Matrix!$B:$B,MATCH(P4283,Fit_Matrix!$A:$A,0)))),"CHECK KEY"))</f>
        <v/>
      </c>
      <c r="U4283" s="10"/>
      <c r="V4283" s="10"/>
      <c r="W4283" s="10"/>
      <c r="X4283" s="10"/>
      <c r="Y4283" s="10"/>
      <c r="Z4283" s="10"/>
      <c r="AA4283" s="11" t="str">
        <f t="shared" si="133"/>
        <v/>
      </c>
    </row>
    <row r="4284" spans="16:27" ht="15" customHeight="1">
      <c r="P4284" t="str">
        <f t="shared" si="132"/>
        <v/>
      </c>
      <c r="Q4284" t="str">
        <f>IF(P4284="","",IFERROR(IF(AND(H4284="W7",OR(F4284="causal",F4284="predictive")),IF(AND(OR(K4284=1,K4284="1"),OR(L4284=1,L4284="1"),OR(M4284=1,M4284="1")),"adequate","partial"),IF(AND(H4284="W4",F4284="predictive",OR(J4284="P2",J4284="P3",J4284="P4")),IF(OR(U4284=1,U4284="1"),"adequate","partial"),INDEX(Fit_Matrix!$B:$B,MATCH(P4284,Fit_Matrix!$A:$A,0)))),"CHECK KEY"))</f>
        <v/>
      </c>
      <c r="U4284" s="10"/>
      <c r="V4284" s="10"/>
      <c r="W4284" s="10"/>
      <c r="X4284" s="10"/>
      <c r="Y4284" s="10"/>
      <c r="Z4284" s="10"/>
      <c r="AA4284" s="11" t="str">
        <f t="shared" si="133"/>
        <v/>
      </c>
    </row>
    <row r="4285" spans="16:27" ht="15" customHeight="1">
      <c r="P4285" t="str">
        <f t="shared" si="132"/>
        <v/>
      </c>
      <c r="Q4285" t="str">
        <f>IF(P4285="","",IFERROR(IF(AND(H4285="W7",OR(F4285="causal",F4285="predictive")),IF(AND(OR(K4285=1,K4285="1"),OR(L4285=1,L4285="1"),OR(M4285=1,M4285="1")),"adequate","partial"),IF(AND(H4285="W4",F4285="predictive",OR(J4285="P2",J4285="P3",J4285="P4")),IF(OR(U4285=1,U4285="1"),"adequate","partial"),INDEX(Fit_Matrix!$B:$B,MATCH(P4285,Fit_Matrix!$A:$A,0)))),"CHECK KEY"))</f>
        <v/>
      </c>
      <c r="U4285" s="10"/>
      <c r="V4285" s="10"/>
      <c r="W4285" s="10"/>
      <c r="X4285" s="10"/>
      <c r="Y4285" s="10"/>
      <c r="Z4285" s="10"/>
      <c r="AA4285" s="11" t="str">
        <f t="shared" si="133"/>
        <v/>
      </c>
    </row>
    <row r="4286" spans="16:27" ht="15" customHeight="1">
      <c r="P4286" t="str">
        <f t="shared" si="132"/>
        <v/>
      </c>
      <c r="Q4286" t="str">
        <f>IF(P4286="","",IFERROR(IF(AND(H4286="W7",OR(F4286="causal",F4286="predictive")),IF(AND(OR(K4286=1,K4286="1"),OR(L4286=1,L4286="1"),OR(M4286=1,M4286="1")),"adequate","partial"),IF(AND(H4286="W4",F4286="predictive",OR(J4286="P2",J4286="P3",J4286="P4")),IF(OR(U4286=1,U4286="1"),"adequate","partial"),INDEX(Fit_Matrix!$B:$B,MATCH(P4286,Fit_Matrix!$A:$A,0)))),"CHECK KEY"))</f>
        <v/>
      </c>
      <c r="U4286" s="10"/>
      <c r="V4286" s="10"/>
      <c r="W4286" s="10"/>
      <c r="X4286" s="10"/>
      <c r="Y4286" s="10"/>
      <c r="Z4286" s="10"/>
      <c r="AA4286" s="11" t="str">
        <f t="shared" si="133"/>
        <v/>
      </c>
    </row>
    <row r="4287" spans="16:27" ht="15" customHeight="1">
      <c r="P4287" t="str">
        <f t="shared" si="132"/>
        <v/>
      </c>
      <c r="Q4287" t="str">
        <f>IF(P4287="","",IFERROR(IF(AND(H4287="W7",OR(F4287="causal",F4287="predictive")),IF(AND(OR(K4287=1,K4287="1"),OR(L4287=1,L4287="1"),OR(M4287=1,M4287="1")),"adequate","partial"),IF(AND(H4287="W4",F4287="predictive",OR(J4287="P2",J4287="P3",J4287="P4")),IF(OR(U4287=1,U4287="1"),"adequate","partial"),INDEX(Fit_Matrix!$B:$B,MATCH(P4287,Fit_Matrix!$A:$A,0)))),"CHECK KEY"))</f>
        <v/>
      </c>
      <c r="U4287" s="10"/>
      <c r="V4287" s="10"/>
      <c r="W4287" s="10"/>
      <c r="X4287" s="10"/>
      <c r="Y4287" s="10"/>
      <c r="Z4287" s="10"/>
      <c r="AA4287" s="11" t="str">
        <f t="shared" si="133"/>
        <v/>
      </c>
    </row>
    <row r="4288" spans="16:27" ht="15" customHeight="1">
      <c r="P4288" t="str">
        <f t="shared" si="132"/>
        <v/>
      </c>
      <c r="Q4288" t="str">
        <f>IF(P4288="","",IFERROR(IF(AND(H4288="W7",OR(F4288="causal",F4288="predictive")),IF(AND(OR(K4288=1,K4288="1"),OR(L4288=1,L4288="1"),OR(M4288=1,M4288="1")),"adequate","partial"),IF(AND(H4288="W4",F4288="predictive",OR(J4288="P2",J4288="P3",J4288="P4")),IF(OR(U4288=1,U4288="1"),"adequate","partial"),INDEX(Fit_Matrix!$B:$B,MATCH(P4288,Fit_Matrix!$A:$A,0)))),"CHECK KEY"))</f>
        <v/>
      </c>
      <c r="U4288" s="10"/>
      <c r="V4288" s="10"/>
      <c r="W4288" s="10"/>
      <c r="X4288" s="10"/>
      <c r="Y4288" s="10"/>
      <c r="Z4288" s="10"/>
      <c r="AA4288" s="11" t="str">
        <f t="shared" si="133"/>
        <v/>
      </c>
    </row>
    <row r="4289" spans="16:27" ht="15" customHeight="1">
      <c r="P4289" t="str">
        <f t="shared" si="132"/>
        <v/>
      </c>
      <c r="Q4289" t="str">
        <f>IF(P4289="","",IFERROR(IF(AND(H4289="W7",OR(F4289="causal",F4289="predictive")),IF(AND(OR(K4289=1,K4289="1"),OR(L4289=1,L4289="1"),OR(M4289=1,M4289="1")),"adequate","partial"),IF(AND(H4289="W4",F4289="predictive",OR(J4289="P2",J4289="P3",J4289="P4")),IF(OR(U4289=1,U4289="1"),"adequate","partial"),INDEX(Fit_Matrix!$B:$B,MATCH(P4289,Fit_Matrix!$A:$A,0)))),"CHECK KEY"))</f>
        <v/>
      </c>
      <c r="U4289" s="10"/>
      <c r="V4289" s="10"/>
      <c r="W4289" s="10"/>
      <c r="X4289" s="10"/>
      <c r="Y4289" s="10"/>
      <c r="Z4289" s="10"/>
      <c r="AA4289" s="11" t="str">
        <f t="shared" si="133"/>
        <v/>
      </c>
    </row>
    <row r="4290" spans="16:27" ht="15" customHeight="1">
      <c r="P4290" t="str">
        <f t="shared" ref="P4290:P4353" si="134">IF(OR(F4290="",H4290="",J4290=""),"",J4290&amp;"|"&amp;F4290&amp;"|"&amp;IF(H4290="W3","W3_"&amp;IF(I4290="","unknown",I4290),H4290))</f>
        <v/>
      </c>
      <c r="Q4290" t="str">
        <f>IF(P4290="","",IFERROR(IF(AND(H4290="W7",OR(F4290="causal",F4290="predictive")),IF(AND(OR(K4290=1,K4290="1"),OR(L4290=1,L4290="1"),OR(M4290=1,M4290="1")),"adequate","partial"),IF(AND(H4290="W4",F4290="predictive",OR(J4290="P2",J4290="P3",J4290="P4")),IF(OR(U4290=1,U4290="1"),"adequate","partial"),INDEX(Fit_Matrix!$B:$B,MATCH(P4290,Fit_Matrix!$A:$A,0)))),"CHECK KEY"))</f>
        <v/>
      </c>
      <c r="U4290" s="10"/>
      <c r="V4290" s="10"/>
      <c r="W4290" s="10"/>
      <c r="X4290" s="10"/>
      <c r="Y4290" s="10"/>
      <c r="Z4290" s="10"/>
      <c r="AA4290" s="11" t="str">
        <f t="shared" ref="AA4290:AA4353" si="135">IF(A4290="","",IF(AND(J4290="P4",F4290="causal"),"P4-CAUSAL",""))</f>
        <v/>
      </c>
    </row>
    <row r="4291" spans="16:27" ht="15" customHeight="1">
      <c r="P4291" t="str">
        <f t="shared" si="134"/>
        <v/>
      </c>
      <c r="Q4291" t="str">
        <f>IF(P4291="","",IFERROR(IF(AND(H4291="W7",OR(F4291="causal",F4291="predictive")),IF(AND(OR(K4291=1,K4291="1"),OR(L4291=1,L4291="1"),OR(M4291=1,M4291="1")),"adequate","partial"),IF(AND(H4291="W4",F4291="predictive",OR(J4291="P2",J4291="P3",J4291="P4")),IF(OR(U4291=1,U4291="1"),"adequate","partial"),INDEX(Fit_Matrix!$B:$B,MATCH(P4291,Fit_Matrix!$A:$A,0)))),"CHECK KEY"))</f>
        <v/>
      </c>
      <c r="U4291" s="10"/>
      <c r="V4291" s="10"/>
      <c r="W4291" s="10"/>
      <c r="X4291" s="10"/>
      <c r="Y4291" s="10"/>
      <c r="Z4291" s="10"/>
      <c r="AA4291" s="11" t="str">
        <f t="shared" si="135"/>
        <v/>
      </c>
    </row>
    <row r="4292" spans="16:27" ht="15" customHeight="1">
      <c r="P4292" t="str">
        <f t="shared" si="134"/>
        <v/>
      </c>
      <c r="Q4292" t="str">
        <f>IF(P4292="","",IFERROR(IF(AND(H4292="W7",OR(F4292="causal",F4292="predictive")),IF(AND(OR(K4292=1,K4292="1"),OR(L4292=1,L4292="1"),OR(M4292=1,M4292="1")),"adequate","partial"),IF(AND(H4292="W4",F4292="predictive",OR(J4292="P2",J4292="P3",J4292="P4")),IF(OR(U4292=1,U4292="1"),"adequate","partial"),INDEX(Fit_Matrix!$B:$B,MATCH(P4292,Fit_Matrix!$A:$A,0)))),"CHECK KEY"))</f>
        <v/>
      </c>
      <c r="U4292" s="10"/>
      <c r="V4292" s="10"/>
      <c r="W4292" s="10"/>
      <c r="X4292" s="10"/>
      <c r="Y4292" s="10"/>
      <c r="Z4292" s="10"/>
      <c r="AA4292" s="11" t="str">
        <f t="shared" si="135"/>
        <v/>
      </c>
    </row>
    <row r="4293" spans="16:27" ht="15" customHeight="1">
      <c r="P4293" t="str">
        <f t="shared" si="134"/>
        <v/>
      </c>
      <c r="Q4293" t="str">
        <f>IF(P4293="","",IFERROR(IF(AND(H4293="W7",OR(F4293="causal",F4293="predictive")),IF(AND(OR(K4293=1,K4293="1"),OR(L4293=1,L4293="1"),OR(M4293=1,M4293="1")),"adequate","partial"),IF(AND(H4293="W4",F4293="predictive",OR(J4293="P2",J4293="P3",J4293="P4")),IF(OR(U4293=1,U4293="1"),"adequate","partial"),INDEX(Fit_Matrix!$B:$B,MATCH(P4293,Fit_Matrix!$A:$A,0)))),"CHECK KEY"))</f>
        <v/>
      </c>
      <c r="U4293" s="10"/>
      <c r="V4293" s="10"/>
      <c r="W4293" s="10"/>
      <c r="X4293" s="10"/>
      <c r="Y4293" s="10"/>
      <c r="Z4293" s="10"/>
      <c r="AA4293" s="11" t="str">
        <f t="shared" si="135"/>
        <v/>
      </c>
    </row>
    <row r="4294" spans="16:27" ht="15" customHeight="1">
      <c r="P4294" t="str">
        <f t="shared" si="134"/>
        <v/>
      </c>
      <c r="Q4294" t="str">
        <f>IF(P4294="","",IFERROR(IF(AND(H4294="W7",OR(F4294="causal",F4294="predictive")),IF(AND(OR(K4294=1,K4294="1"),OR(L4294=1,L4294="1"),OR(M4294=1,M4294="1")),"adequate","partial"),IF(AND(H4294="W4",F4294="predictive",OR(J4294="P2",J4294="P3",J4294="P4")),IF(OR(U4294=1,U4294="1"),"adequate","partial"),INDEX(Fit_Matrix!$B:$B,MATCH(P4294,Fit_Matrix!$A:$A,0)))),"CHECK KEY"))</f>
        <v/>
      </c>
      <c r="U4294" s="10"/>
      <c r="V4294" s="10"/>
      <c r="W4294" s="10"/>
      <c r="X4294" s="10"/>
      <c r="Y4294" s="10"/>
      <c r="Z4294" s="10"/>
      <c r="AA4294" s="11" t="str">
        <f t="shared" si="135"/>
        <v/>
      </c>
    </row>
    <row r="4295" spans="16:27" ht="15" customHeight="1">
      <c r="P4295" t="str">
        <f t="shared" si="134"/>
        <v/>
      </c>
      <c r="Q4295" t="str">
        <f>IF(P4295="","",IFERROR(IF(AND(H4295="W7",OR(F4295="causal",F4295="predictive")),IF(AND(OR(K4295=1,K4295="1"),OR(L4295=1,L4295="1"),OR(M4295=1,M4295="1")),"adequate","partial"),IF(AND(H4295="W4",F4295="predictive",OR(J4295="P2",J4295="P3",J4295="P4")),IF(OR(U4295=1,U4295="1"),"adequate","partial"),INDEX(Fit_Matrix!$B:$B,MATCH(P4295,Fit_Matrix!$A:$A,0)))),"CHECK KEY"))</f>
        <v/>
      </c>
      <c r="U4295" s="10"/>
      <c r="V4295" s="10"/>
      <c r="W4295" s="10"/>
      <c r="X4295" s="10"/>
      <c r="Y4295" s="10"/>
      <c r="Z4295" s="10"/>
      <c r="AA4295" s="11" t="str">
        <f t="shared" si="135"/>
        <v/>
      </c>
    </row>
    <row r="4296" spans="16:27" ht="15" customHeight="1">
      <c r="P4296" t="str">
        <f t="shared" si="134"/>
        <v/>
      </c>
      <c r="Q4296" t="str">
        <f>IF(P4296="","",IFERROR(IF(AND(H4296="W7",OR(F4296="causal",F4296="predictive")),IF(AND(OR(K4296=1,K4296="1"),OR(L4296=1,L4296="1"),OR(M4296=1,M4296="1")),"adequate","partial"),IF(AND(H4296="W4",F4296="predictive",OR(J4296="P2",J4296="P3",J4296="P4")),IF(OR(U4296=1,U4296="1"),"adequate","partial"),INDEX(Fit_Matrix!$B:$B,MATCH(P4296,Fit_Matrix!$A:$A,0)))),"CHECK KEY"))</f>
        <v/>
      </c>
      <c r="U4296" s="10"/>
      <c r="V4296" s="10"/>
      <c r="W4296" s="10"/>
      <c r="X4296" s="10"/>
      <c r="Y4296" s="10"/>
      <c r="Z4296" s="10"/>
      <c r="AA4296" s="11" t="str">
        <f t="shared" si="135"/>
        <v/>
      </c>
    </row>
    <row r="4297" spans="16:27" ht="15" customHeight="1">
      <c r="P4297" t="str">
        <f t="shared" si="134"/>
        <v/>
      </c>
      <c r="Q4297" t="str">
        <f>IF(P4297="","",IFERROR(IF(AND(H4297="W7",OR(F4297="causal",F4297="predictive")),IF(AND(OR(K4297=1,K4297="1"),OR(L4297=1,L4297="1"),OR(M4297=1,M4297="1")),"adequate","partial"),IF(AND(H4297="W4",F4297="predictive",OR(J4297="P2",J4297="P3",J4297="P4")),IF(OR(U4297=1,U4297="1"),"adequate","partial"),INDEX(Fit_Matrix!$B:$B,MATCH(P4297,Fit_Matrix!$A:$A,0)))),"CHECK KEY"))</f>
        <v/>
      </c>
      <c r="U4297" s="10"/>
      <c r="V4297" s="10"/>
      <c r="W4297" s="10"/>
      <c r="X4297" s="10"/>
      <c r="Y4297" s="10"/>
      <c r="Z4297" s="10"/>
      <c r="AA4297" s="11" t="str">
        <f t="shared" si="135"/>
        <v/>
      </c>
    </row>
    <row r="4298" spans="16:27" ht="15" customHeight="1">
      <c r="P4298" t="str">
        <f t="shared" si="134"/>
        <v/>
      </c>
      <c r="Q4298" t="str">
        <f>IF(P4298="","",IFERROR(IF(AND(H4298="W7",OR(F4298="causal",F4298="predictive")),IF(AND(OR(K4298=1,K4298="1"),OR(L4298=1,L4298="1"),OR(M4298=1,M4298="1")),"adequate","partial"),IF(AND(H4298="W4",F4298="predictive",OR(J4298="P2",J4298="P3",J4298="P4")),IF(OR(U4298=1,U4298="1"),"adequate","partial"),INDEX(Fit_Matrix!$B:$B,MATCH(P4298,Fit_Matrix!$A:$A,0)))),"CHECK KEY"))</f>
        <v/>
      </c>
      <c r="U4298" s="10"/>
      <c r="V4298" s="10"/>
      <c r="W4298" s="10"/>
      <c r="X4298" s="10"/>
      <c r="Y4298" s="10"/>
      <c r="Z4298" s="10"/>
      <c r="AA4298" s="11" t="str">
        <f t="shared" si="135"/>
        <v/>
      </c>
    </row>
    <row r="4299" spans="16:27" ht="15" customHeight="1">
      <c r="P4299" t="str">
        <f t="shared" si="134"/>
        <v/>
      </c>
      <c r="Q4299" t="str">
        <f>IF(P4299="","",IFERROR(IF(AND(H4299="W7",OR(F4299="causal",F4299="predictive")),IF(AND(OR(K4299=1,K4299="1"),OR(L4299=1,L4299="1"),OR(M4299=1,M4299="1")),"adequate","partial"),IF(AND(H4299="W4",F4299="predictive",OR(J4299="P2",J4299="P3",J4299="P4")),IF(OR(U4299=1,U4299="1"),"adequate","partial"),INDEX(Fit_Matrix!$B:$B,MATCH(P4299,Fit_Matrix!$A:$A,0)))),"CHECK KEY"))</f>
        <v/>
      </c>
      <c r="U4299" s="10"/>
      <c r="V4299" s="10"/>
      <c r="W4299" s="10"/>
      <c r="X4299" s="10"/>
      <c r="Y4299" s="10"/>
      <c r="Z4299" s="10"/>
      <c r="AA4299" s="11" t="str">
        <f t="shared" si="135"/>
        <v/>
      </c>
    </row>
    <row r="4300" spans="16:27" ht="15" customHeight="1">
      <c r="P4300" t="str">
        <f t="shared" si="134"/>
        <v/>
      </c>
      <c r="Q4300" t="str">
        <f>IF(P4300="","",IFERROR(IF(AND(H4300="W7",OR(F4300="causal",F4300="predictive")),IF(AND(OR(K4300=1,K4300="1"),OR(L4300=1,L4300="1"),OR(M4300=1,M4300="1")),"adequate","partial"),IF(AND(H4300="W4",F4300="predictive",OR(J4300="P2",J4300="P3",J4300="P4")),IF(OR(U4300=1,U4300="1"),"adequate","partial"),INDEX(Fit_Matrix!$B:$B,MATCH(P4300,Fit_Matrix!$A:$A,0)))),"CHECK KEY"))</f>
        <v/>
      </c>
      <c r="U4300" s="10"/>
      <c r="V4300" s="10"/>
      <c r="W4300" s="10"/>
      <c r="X4300" s="10"/>
      <c r="Y4300" s="10"/>
      <c r="Z4300" s="10"/>
      <c r="AA4300" s="11" t="str">
        <f t="shared" si="135"/>
        <v/>
      </c>
    </row>
    <row r="4301" spans="16:27" ht="15" customHeight="1">
      <c r="P4301" t="str">
        <f t="shared" si="134"/>
        <v/>
      </c>
      <c r="Q4301" t="str">
        <f>IF(P4301="","",IFERROR(IF(AND(H4301="W7",OR(F4301="causal",F4301="predictive")),IF(AND(OR(K4301=1,K4301="1"),OR(L4301=1,L4301="1"),OR(M4301=1,M4301="1")),"adequate","partial"),IF(AND(H4301="W4",F4301="predictive",OR(J4301="P2",J4301="P3",J4301="P4")),IF(OR(U4301=1,U4301="1"),"adequate","partial"),INDEX(Fit_Matrix!$B:$B,MATCH(P4301,Fit_Matrix!$A:$A,0)))),"CHECK KEY"))</f>
        <v/>
      </c>
      <c r="U4301" s="10"/>
      <c r="V4301" s="10"/>
      <c r="W4301" s="10"/>
      <c r="X4301" s="10"/>
      <c r="Y4301" s="10"/>
      <c r="Z4301" s="10"/>
      <c r="AA4301" s="11" t="str">
        <f t="shared" si="135"/>
        <v/>
      </c>
    </row>
    <row r="4302" spans="16:27" ht="15" customHeight="1">
      <c r="P4302" t="str">
        <f t="shared" si="134"/>
        <v/>
      </c>
      <c r="Q4302" t="str">
        <f>IF(P4302="","",IFERROR(IF(AND(H4302="W7",OR(F4302="causal",F4302="predictive")),IF(AND(OR(K4302=1,K4302="1"),OR(L4302=1,L4302="1"),OR(M4302=1,M4302="1")),"adequate","partial"),IF(AND(H4302="W4",F4302="predictive",OR(J4302="P2",J4302="P3",J4302="P4")),IF(OR(U4302=1,U4302="1"),"adequate","partial"),INDEX(Fit_Matrix!$B:$B,MATCH(P4302,Fit_Matrix!$A:$A,0)))),"CHECK KEY"))</f>
        <v/>
      </c>
      <c r="U4302" s="10"/>
      <c r="V4302" s="10"/>
      <c r="W4302" s="10"/>
      <c r="X4302" s="10"/>
      <c r="Y4302" s="10"/>
      <c r="Z4302" s="10"/>
      <c r="AA4302" s="11" t="str">
        <f t="shared" si="135"/>
        <v/>
      </c>
    </row>
    <row r="4303" spans="16:27" ht="15" customHeight="1">
      <c r="P4303" t="str">
        <f t="shared" si="134"/>
        <v/>
      </c>
      <c r="Q4303" t="str">
        <f>IF(P4303="","",IFERROR(IF(AND(H4303="W7",OR(F4303="causal",F4303="predictive")),IF(AND(OR(K4303=1,K4303="1"),OR(L4303=1,L4303="1"),OR(M4303=1,M4303="1")),"adequate","partial"),IF(AND(H4303="W4",F4303="predictive",OR(J4303="P2",J4303="P3",J4303="P4")),IF(OR(U4303=1,U4303="1"),"adequate","partial"),INDEX(Fit_Matrix!$B:$B,MATCH(P4303,Fit_Matrix!$A:$A,0)))),"CHECK KEY"))</f>
        <v/>
      </c>
      <c r="U4303" s="10"/>
      <c r="V4303" s="10"/>
      <c r="W4303" s="10"/>
      <c r="X4303" s="10"/>
      <c r="Y4303" s="10"/>
      <c r="Z4303" s="10"/>
      <c r="AA4303" s="11" t="str">
        <f t="shared" si="135"/>
        <v/>
      </c>
    </row>
    <row r="4304" spans="16:27" ht="15" customHeight="1">
      <c r="P4304" t="str">
        <f t="shared" si="134"/>
        <v/>
      </c>
      <c r="Q4304" t="str">
        <f>IF(P4304="","",IFERROR(IF(AND(H4304="W7",OR(F4304="causal",F4304="predictive")),IF(AND(OR(K4304=1,K4304="1"),OR(L4304=1,L4304="1"),OR(M4304=1,M4304="1")),"adequate","partial"),IF(AND(H4304="W4",F4304="predictive",OR(J4304="P2",J4304="P3",J4304="P4")),IF(OR(U4304=1,U4304="1"),"adequate","partial"),INDEX(Fit_Matrix!$B:$B,MATCH(P4304,Fit_Matrix!$A:$A,0)))),"CHECK KEY"))</f>
        <v/>
      </c>
      <c r="U4304" s="10"/>
      <c r="V4304" s="10"/>
      <c r="W4304" s="10"/>
      <c r="X4304" s="10"/>
      <c r="Y4304" s="10"/>
      <c r="Z4304" s="10"/>
      <c r="AA4304" s="11" t="str">
        <f t="shared" si="135"/>
        <v/>
      </c>
    </row>
    <row r="4305" spans="16:27" ht="15" customHeight="1">
      <c r="P4305" t="str">
        <f t="shared" si="134"/>
        <v/>
      </c>
      <c r="Q4305" t="str">
        <f>IF(P4305="","",IFERROR(IF(AND(H4305="W7",OR(F4305="causal",F4305="predictive")),IF(AND(OR(K4305=1,K4305="1"),OR(L4305=1,L4305="1"),OR(M4305=1,M4305="1")),"adequate","partial"),IF(AND(H4305="W4",F4305="predictive",OR(J4305="P2",J4305="P3",J4305="P4")),IF(OR(U4305=1,U4305="1"),"adequate","partial"),INDEX(Fit_Matrix!$B:$B,MATCH(P4305,Fit_Matrix!$A:$A,0)))),"CHECK KEY"))</f>
        <v/>
      </c>
      <c r="U4305" s="10"/>
      <c r="V4305" s="10"/>
      <c r="W4305" s="10"/>
      <c r="X4305" s="10"/>
      <c r="Y4305" s="10"/>
      <c r="Z4305" s="10"/>
      <c r="AA4305" s="11" t="str">
        <f t="shared" si="135"/>
        <v/>
      </c>
    </row>
    <row r="4306" spans="16:27" ht="15" customHeight="1">
      <c r="P4306" t="str">
        <f t="shared" si="134"/>
        <v/>
      </c>
      <c r="Q4306" t="str">
        <f>IF(P4306="","",IFERROR(IF(AND(H4306="W7",OR(F4306="causal",F4306="predictive")),IF(AND(OR(K4306=1,K4306="1"),OR(L4306=1,L4306="1"),OR(M4306=1,M4306="1")),"adequate","partial"),IF(AND(H4306="W4",F4306="predictive",OR(J4306="P2",J4306="P3",J4306="P4")),IF(OR(U4306=1,U4306="1"),"adequate","partial"),INDEX(Fit_Matrix!$B:$B,MATCH(P4306,Fit_Matrix!$A:$A,0)))),"CHECK KEY"))</f>
        <v/>
      </c>
      <c r="U4306" s="10"/>
      <c r="V4306" s="10"/>
      <c r="W4306" s="10"/>
      <c r="X4306" s="10"/>
      <c r="Y4306" s="10"/>
      <c r="Z4306" s="10"/>
      <c r="AA4306" s="11" t="str">
        <f t="shared" si="135"/>
        <v/>
      </c>
    </row>
    <row r="4307" spans="16:27" ht="15" customHeight="1">
      <c r="P4307" t="str">
        <f t="shared" si="134"/>
        <v/>
      </c>
      <c r="Q4307" t="str">
        <f>IF(P4307="","",IFERROR(IF(AND(H4307="W7",OR(F4307="causal",F4307="predictive")),IF(AND(OR(K4307=1,K4307="1"),OR(L4307=1,L4307="1"),OR(M4307=1,M4307="1")),"adequate","partial"),IF(AND(H4307="W4",F4307="predictive",OR(J4307="P2",J4307="P3",J4307="P4")),IF(OR(U4307=1,U4307="1"),"adequate","partial"),INDEX(Fit_Matrix!$B:$B,MATCH(P4307,Fit_Matrix!$A:$A,0)))),"CHECK KEY"))</f>
        <v/>
      </c>
      <c r="U4307" s="10"/>
      <c r="V4307" s="10"/>
      <c r="W4307" s="10"/>
      <c r="X4307" s="10"/>
      <c r="Y4307" s="10"/>
      <c r="Z4307" s="10"/>
      <c r="AA4307" s="11" t="str">
        <f t="shared" si="135"/>
        <v/>
      </c>
    </row>
    <row r="4308" spans="16:27" ht="15" customHeight="1">
      <c r="P4308" t="str">
        <f t="shared" si="134"/>
        <v/>
      </c>
      <c r="Q4308" t="str">
        <f>IF(P4308="","",IFERROR(IF(AND(H4308="W7",OR(F4308="causal",F4308="predictive")),IF(AND(OR(K4308=1,K4308="1"),OR(L4308=1,L4308="1"),OR(M4308=1,M4308="1")),"adequate","partial"),IF(AND(H4308="W4",F4308="predictive",OR(J4308="P2",J4308="P3",J4308="P4")),IF(OR(U4308=1,U4308="1"),"adequate","partial"),INDEX(Fit_Matrix!$B:$B,MATCH(P4308,Fit_Matrix!$A:$A,0)))),"CHECK KEY"))</f>
        <v/>
      </c>
      <c r="U4308" s="10"/>
      <c r="V4308" s="10"/>
      <c r="W4308" s="10"/>
      <c r="X4308" s="10"/>
      <c r="Y4308" s="10"/>
      <c r="Z4308" s="10"/>
      <c r="AA4308" s="11" t="str">
        <f t="shared" si="135"/>
        <v/>
      </c>
    </row>
    <row r="4309" spans="16:27" ht="15" customHeight="1">
      <c r="P4309" t="str">
        <f t="shared" si="134"/>
        <v/>
      </c>
      <c r="Q4309" t="str">
        <f>IF(P4309="","",IFERROR(IF(AND(H4309="W7",OR(F4309="causal",F4309="predictive")),IF(AND(OR(K4309=1,K4309="1"),OR(L4309=1,L4309="1"),OR(M4309=1,M4309="1")),"adequate","partial"),IF(AND(H4309="W4",F4309="predictive",OR(J4309="P2",J4309="P3",J4309="P4")),IF(OR(U4309=1,U4309="1"),"adequate","partial"),INDEX(Fit_Matrix!$B:$B,MATCH(P4309,Fit_Matrix!$A:$A,0)))),"CHECK KEY"))</f>
        <v/>
      </c>
      <c r="U4309" s="10"/>
      <c r="V4309" s="10"/>
      <c r="W4309" s="10"/>
      <c r="X4309" s="10"/>
      <c r="Y4309" s="10"/>
      <c r="Z4309" s="10"/>
      <c r="AA4309" s="11" t="str">
        <f t="shared" si="135"/>
        <v/>
      </c>
    </row>
    <row r="4310" spans="16:27" ht="15" customHeight="1">
      <c r="P4310" t="str">
        <f t="shared" si="134"/>
        <v/>
      </c>
      <c r="Q4310" t="str">
        <f>IF(P4310="","",IFERROR(IF(AND(H4310="W7",OR(F4310="causal",F4310="predictive")),IF(AND(OR(K4310=1,K4310="1"),OR(L4310=1,L4310="1"),OR(M4310=1,M4310="1")),"adequate","partial"),IF(AND(H4310="W4",F4310="predictive",OR(J4310="P2",J4310="P3",J4310="P4")),IF(OR(U4310=1,U4310="1"),"adequate","partial"),INDEX(Fit_Matrix!$B:$B,MATCH(P4310,Fit_Matrix!$A:$A,0)))),"CHECK KEY"))</f>
        <v/>
      </c>
      <c r="U4310" s="10"/>
      <c r="V4310" s="10"/>
      <c r="W4310" s="10"/>
      <c r="X4310" s="10"/>
      <c r="Y4310" s="10"/>
      <c r="Z4310" s="10"/>
      <c r="AA4310" s="11" t="str">
        <f t="shared" si="135"/>
        <v/>
      </c>
    </row>
    <row r="4311" spans="16:27" ht="15" customHeight="1">
      <c r="P4311" t="str">
        <f t="shared" si="134"/>
        <v/>
      </c>
      <c r="Q4311" t="str">
        <f>IF(P4311="","",IFERROR(IF(AND(H4311="W7",OR(F4311="causal",F4311="predictive")),IF(AND(OR(K4311=1,K4311="1"),OR(L4311=1,L4311="1"),OR(M4311=1,M4311="1")),"adequate","partial"),IF(AND(H4311="W4",F4311="predictive",OR(J4311="P2",J4311="P3",J4311="P4")),IF(OR(U4311=1,U4311="1"),"adequate","partial"),INDEX(Fit_Matrix!$B:$B,MATCH(P4311,Fit_Matrix!$A:$A,0)))),"CHECK KEY"))</f>
        <v/>
      </c>
      <c r="U4311" s="10"/>
      <c r="V4311" s="10"/>
      <c r="W4311" s="10"/>
      <c r="X4311" s="10"/>
      <c r="Y4311" s="10"/>
      <c r="Z4311" s="10"/>
      <c r="AA4311" s="11" t="str">
        <f t="shared" si="135"/>
        <v/>
      </c>
    </row>
    <row r="4312" spans="16:27" ht="15" customHeight="1">
      <c r="P4312" t="str">
        <f t="shared" si="134"/>
        <v/>
      </c>
      <c r="Q4312" t="str">
        <f>IF(P4312="","",IFERROR(IF(AND(H4312="W7",OR(F4312="causal",F4312="predictive")),IF(AND(OR(K4312=1,K4312="1"),OR(L4312=1,L4312="1"),OR(M4312=1,M4312="1")),"adequate","partial"),IF(AND(H4312="W4",F4312="predictive",OR(J4312="P2",J4312="P3",J4312="P4")),IF(OR(U4312=1,U4312="1"),"adequate","partial"),INDEX(Fit_Matrix!$B:$B,MATCH(P4312,Fit_Matrix!$A:$A,0)))),"CHECK KEY"))</f>
        <v/>
      </c>
      <c r="U4312" s="10"/>
      <c r="V4312" s="10"/>
      <c r="W4312" s="10"/>
      <c r="X4312" s="10"/>
      <c r="Y4312" s="10"/>
      <c r="Z4312" s="10"/>
      <c r="AA4312" s="11" t="str">
        <f t="shared" si="135"/>
        <v/>
      </c>
    </row>
    <row r="4313" spans="16:27" ht="15" customHeight="1">
      <c r="P4313" t="str">
        <f t="shared" si="134"/>
        <v/>
      </c>
      <c r="Q4313" t="str">
        <f>IF(P4313="","",IFERROR(IF(AND(H4313="W7",OR(F4313="causal",F4313="predictive")),IF(AND(OR(K4313=1,K4313="1"),OR(L4313=1,L4313="1"),OR(M4313=1,M4313="1")),"adequate","partial"),IF(AND(H4313="W4",F4313="predictive",OR(J4313="P2",J4313="P3",J4313="P4")),IF(OR(U4313=1,U4313="1"),"adequate","partial"),INDEX(Fit_Matrix!$B:$B,MATCH(P4313,Fit_Matrix!$A:$A,0)))),"CHECK KEY"))</f>
        <v/>
      </c>
      <c r="U4313" s="10"/>
      <c r="V4313" s="10"/>
      <c r="W4313" s="10"/>
      <c r="X4313" s="10"/>
      <c r="Y4313" s="10"/>
      <c r="Z4313" s="10"/>
      <c r="AA4313" s="11" t="str">
        <f t="shared" si="135"/>
        <v/>
      </c>
    </row>
    <row r="4314" spans="16:27" ht="15" customHeight="1">
      <c r="P4314" t="str">
        <f t="shared" si="134"/>
        <v/>
      </c>
      <c r="Q4314" t="str">
        <f>IF(P4314="","",IFERROR(IF(AND(H4314="W7",OR(F4314="causal",F4314="predictive")),IF(AND(OR(K4314=1,K4314="1"),OR(L4314=1,L4314="1"),OR(M4314=1,M4314="1")),"adequate","partial"),IF(AND(H4314="W4",F4314="predictive",OR(J4314="P2",J4314="P3",J4314="P4")),IF(OR(U4314=1,U4314="1"),"adequate","partial"),INDEX(Fit_Matrix!$B:$B,MATCH(P4314,Fit_Matrix!$A:$A,0)))),"CHECK KEY"))</f>
        <v/>
      </c>
      <c r="U4314" s="10"/>
      <c r="V4314" s="10"/>
      <c r="W4314" s="10"/>
      <c r="X4314" s="10"/>
      <c r="Y4314" s="10"/>
      <c r="Z4314" s="10"/>
      <c r="AA4314" s="11" t="str">
        <f t="shared" si="135"/>
        <v/>
      </c>
    </row>
    <row r="4315" spans="16:27" ht="15" customHeight="1">
      <c r="P4315" t="str">
        <f t="shared" si="134"/>
        <v/>
      </c>
      <c r="Q4315" t="str">
        <f>IF(P4315="","",IFERROR(IF(AND(H4315="W7",OR(F4315="causal",F4315="predictive")),IF(AND(OR(K4315=1,K4315="1"),OR(L4315=1,L4315="1"),OR(M4315=1,M4315="1")),"adequate","partial"),IF(AND(H4315="W4",F4315="predictive",OR(J4315="P2",J4315="P3",J4315="P4")),IF(OR(U4315=1,U4315="1"),"adequate","partial"),INDEX(Fit_Matrix!$B:$B,MATCH(P4315,Fit_Matrix!$A:$A,0)))),"CHECK KEY"))</f>
        <v/>
      </c>
      <c r="U4315" s="10"/>
      <c r="V4315" s="10"/>
      <c r="W4315" s="10"/>
      <c r="X4315" s="10"/>
      <c r="Y4315" s="10"/>
      <c r="Z4315" s="10"/>
      <c r="AA4315" s="11" t="str">
        <f t="shared" si="135"/>
        <v/>
      </c>
    </row>
    <row r="4316" spans="16:27" ht="15" customHeight="1">
      <c r="P4316" t="str">
        <f t="shared" si="134"/>
        <v/>
      </c>
      <c r="Q4316" t="str">
        <f>IF(P4316="","",IFERROR(IF(AND(H4316="W7",OR(F4316="causal",F4316="predictive")),IF(AND(OR(K4316=1,K4316="1"),OR(L4316=1,L4316="1"),OR(M4316=1,M4316="1")),"adequate","partial"),IF(AND(H4316="W4",F4316="predictive",OR(J4316="P2",J4316="P3",J4316="P4")),IF(OR(U4316=1,U4316="1"),"adequate","partial"),INDEX(Fit_Matrix!$B:$B,MATCH(P4316,Fit_Matrix!$A:$A,0)))),"CHECK KEY"))</f>
        <v/>
      </c>
      <c r="U4316" s="10"/>
      <c r="V4316" s="10"/>
      <c r="W4316" s="10"/>
      <c r="X4316" s="10"/>
      <c r="Y4316" s="10"/>
      <c r="Z4316" s="10"/>
      <c r="AA4316" s="11" t="str">
        <f t="shared" si="135"/>
        <v/>
      </c>
    </row>
    <row r="4317" spans="16:27" ht="15" customHeight="1">
      <c r="P4317" t="str">
        <f t="shared" si="134"/>
        <v/>
      </c>
      <c r="Q4317" t="str">
        <f>IF(P4317="","",IFERROR(IF(AND(H4317="W7",OR(F4317="causal",F4317="predictive")),IF(AND(OR(K4317=1,K4317="1"),OR(L4317=1,L4317="1"),OR(M4317=1,M4317="1")),"adequate","partial"),IF(AND(H4317="W4",F4317="predictive",OR(J4317="P2",J4317="P3",J4317="P4")),IF(OR(U4317=1,U4317="1"),"adequate","partial"),INDEX(Fit_Matrix!$B:$B,MATCH(P4317,Fit_Matrix!$A:$A,0)))),"CHECK KEY"))</f>
        <v/>
      </c>
      <c r="U4317" s="10"/>
      <c r="V4317" s="10"/>
      <c r="W4317" s="10"/>
      <c r="X4317" s="10"/>
      <c r="Y4317" s="10"/>
      <c r="Z4317" s="10"/>
      <c r="AA4317" s="11" t="str">
        <f t="shared" si="135"/>
        <v/>
      </c>
    </row>
    <row r="4318" spans="16:27" ht="15" customHeight="1">
      <c r="P4318" t="str">
        <f t="shared" si="134"/>
        <v/>
      </c>
      <c r="Q4318" t="str">
        <f>IF(P4318="","",IFERROR(IF(AND(H4318="W7",OR(F4318="causal",F4318="predictive")),IF(AND(OR(K4318=1,K4318="1"),OR(L4318=1,L4318="1"),OR(M4318=1,M4318="1")),"adequate","partial"),IF(AND(H4318="W4",F4318="predictive",OR(J4318="P2",J4318="P3",J4318="P4")),IF(OR(U4318=1,U4318="1"),"adequate","partial"),INDEX(Fit_Matrix!$B:$B,MATCH(P4318,Fit_Matrix!$A:$A,0)))),"CHECK KEY"))</f>
        <v/>
      </c>
      <c r="U4318" s="10"/>
      <c r="V4318" s="10"/>
      <c r="W4318" s="10"/>
      <c r="X4318" s="10"/>
      <c r="Y4318" s="10"/>
      <c r="Z4318" s="10"/>
      <c r="AA4318" s="11" t="str">
        <f t="shared" si="135"/>
        <v/>
      </c>
    </row>
    <row r="4319" spans="16:27" ht="15" customHeight="1">
      <c r="P4319" t="str">
        <f t="shared" si="134"/>
        <v/>
      </c>
      <c r="Q4319" t="str">
        <f>IF(P4319="","",IFERROR(IF(AND(H4319="W7",OR(F4319="causal",F4319="predictive")),IF(AND(OR(K4319=1,K4319="1"),OR(L4319=1,L4319="1"),OR(M4319=1,M4319="1")),"adequate","partial"),IF(AND(H4319="W4",F4319="predictive",OR(J4319="P2",J4319="P3",J4319="P4")),IF(OR(U4319=1,U4319="1"),"adequate","partial"),INDEX(Fit_Matrix!$B:$B,MATCH(P4319,Fit_Matrix!$A:$A,0)))),"CHECK KEY"))</f>
        <v/>
      </c>
      <c r="U4319" s="10"/>
      <c r="V4319" s="10"/>
      <c r="W4319" s="10"/>
      <c r="X4319" s="10"/>
      <c r="Y4319" s="10"/>
      <c r="Z4319" s="10"/>
      <c r="AA4319" s="11" t="str">
        <f t="shared" si="135"/>
        <v/>
      </c>
    </row>
    <row r="4320" spans="16:27" ht="15" customHeight="1">
      <c r="P4320" t="str">
        <f t="shared" si="134"/>
        <v/>
      </c>
      <c r="Q4320" t="str">
        <f>IF(P4320="","",IFERROR(IF(AND(H4320="W7",OR(F4320="causal",F4320="predictive")),IF(AND(OR(K4320=1,K4320="1"),OR(L4320=1,L4320="1"),OR(M4320=1,M4320="1")),"adequate","partial"),IF(AND(H4320="W4",F4320="predictive",OR(J4320="P2",J4320="P3",J4320="P4")),IF(OR(U4320=1,U4320="1"),"adequate","partial"),INDEX(Fit_Matrix!$B:$B,MATCH(P4320,Fit_Matrix!$A:$A,0)))),"CHECK KEY"))</f>
        <v/>
      </c>
      <c r="U4320" s="10"/>
      <c r="V4320" s="10"/>
      <c r="W4320" s="10"/>
      <c r="X4320" s="10"/>
      <c r="Y4320" s="10"/>
      <c r="Z4320" s="10"/>
      <c r="AA4320" s="11" t="str">
        <f t="shared" si="135"/>
        <v/>
      </c>
    </row>
    <row r="4321" spans="16:27" ht="15" customHeight="1">
      <c r="P4321" t="str">
        <f t="shared" si="134"/>
        <v/>
      </c>
      <c r="Q4321" t="str">
        <f>IF(P4321="","",IFERROR(IF(AND(H4321="W7",OR(F4321="causal",F4321="predictive")),IF(AND(OR(K4321=1,K4321="1"),OR(L4321=1,L4321="1"),OR(M4321=1,M4321="1")),"adequate","partial"),IF(AND(H4321="W4",F4321="predictive",OR(J4321="P2",J4321="P3",J4321="P4")),IF(OR(U4321=1,U4321="1"),"adequate","partial"),INDEX(Fit_Matrix!$B:$B,MATCH(P4321,Fit_Matrix!$A:$A,0)))),"CHECK KEY"))</f>
        <v/>
      </c>
      <c r="U4321" s="10"/>
      <c r="V4321" s="10"/>
      <c r="W4321" s="10"/>
      <c r="X4321" s="10"/>
      <c r="Y4321" s="10"/>
      <c r="Z4321" s="10"/>
      <c r="AA4321" s="11" t="str">
        <f t="shared" si="135"/>
        <v/>
      </c>
    </row>
    <row r="4322" spans="16:27" ht="15" customHeight="1">
      <c r="P4322" t="str">
        <f t="shared" si="134"/>
        <v/>
      </c>
      <c r="Q4322" t="str">
        <f>IF(P4322="","",IFERROR(IF(AND(H4322="W7",OR(F4322="causal",F4322="predictive")),IF(AND(OR(K4322=1,K4322="1"),OR(L4322=1,L4322="1"),OR(M4322=1,M4322="1")),"adequate","partial"),IF(AND(H4322="W4",F4322="predictive",OR(J4322="P2",J4322="P3",J4322="P4")),IF(OR(U4322=1,U4322="1"),"adequate","partial"),INDEX(Fit_Matrix!$B:$B,MATCH(P4322,Fit_Matrix!$A:$A,0)))),"CHECK KEY"))</f>
        <v/>
      </c>
      <c r="U4322" s="10"/>
      <c r="V4322" s="10"/>
      <c r="W4322" s="10"/>
      <c r="X4322" s="10"/>
      <c r="Y4322" s="10"/>
      <c r="Z4322" s="10"/>
      <c r="AA4322" s="11" t="str">
        <f t="shared" si="135"/>
        <v/>
      </c>
    </row>
    <row r="4323" spans="16:27" ht="15" customHeight="1">
      <c r="P4323" t="str">
        <f t="shared" si="134"/>
        <v/>
      </c>
      <c r="Q4323" t="str">
        <f>IF(P4323="","",IFERROR(IF(AND(H4323="W7",OR(F4323="causal",F4323="predictive")),IF(AND(OR(K4323=1,K4323="1"),OR(L4323=1,L4323="1"),OR(M4323=1,M4323="1")),"adequate","partial"),IF(AND(H4323="W4",F4323="predictive",OR(J4323="P2",J4323="P3",J4323="P4")),IF(OR(U4323=1,U4323="1"),"adequate","partial"),INDEX(Fit_Matrix!$B:$B,MATCH(P4323,Fit_Matrix!$A:$A,0)))),"CHECK KEY"))</f>
        <v/>
      </c>
      <c r="U4323" s="10"/>
      <c r="V4323" s="10"/>
      <c r="W4323" s="10"/>
      <c r="X4323" s="10"/>
      <c r="Y4323" s="10"/>
      <c r="Z4323" s="10"/>
      <c r="AA4323" s="11" t="str">
        <f t="shared" si="135"/>
        <v/>
      </c>
    </row>
    <row r="4324" spans="16:27" ht="15" customHeight="1">
      <c r="P4324" t="str">
        <f t="shared" si="134"/>
        <v/>
      </c>
      <c r="Q4324" t="str">
        <f>IF(P4324="","",IFERROR(IF(AND(H4324="W7",OR(F4324="causal",F4324="predictive")),IF(AND(OR(K4324=1,K4324="1"),OR(L4324=1,L4324="1"),OR(M4324=1,M4324="1")),"adequate","partial"),IF(AND(H4324="W4",F4324="predictive",OR(J4324="P2",J4324="P3",J4324="P4")),IF(OR(U4324=1,U4324="1"),"adequate","partial"),INDEX(Fit_Matrix!$B:$B,MATCH(P4324,Fit_Matrix!$A:$A,0)))),"CHECK KEY"))</f>
        <v/>
      </c>
      <c r="U4324" s="10"/>
      <c r="V4324" s="10"/>
      <c r="W4324" s="10"/>
      <c r="X4324" s="10"/>
      <c r="Y4324" s="10"/>
      <c r="Z4324" s="10"/>
      <c r="AA4324" s="11" t="str">
        <f t="shared" si="135"/>
        <v/>
      </c>
    </row>
    <row r="4325" spans="16:27" ht="15" customHeight="1">
      <c r="P4325" t="str">
        <f t="shared" si="134"/>
        <v/>
      </c>
      <c r="Q4325" t="str">
        <f>IF(P4325="","",IFERROR(IF(AND(H4325="W7",OR(F4325="causal",F4325="predictive")),IF(AND(OR(K4325=1,K4325="1"),OR(L4325=1,L4325="1"),OR(M4325=1,M4325="1")),"adequate","partial"),IF(AND(H4325="W4",F4325="predictive",OR(J4325="P2",J4325="P3",J4325="P4")),IF(OR(U4325=1,U4325="1"),"adequate","partial"),INDEX(Fit_Matrix!$B:$B,MATCH(P4325,Fit_Matrix!$A:$A,0)))),"CHECK KEY"))</f>
        <v/>
      </c>
      <c r="U4325" s="10"/>
      <c r="V4325" s="10"/>
      <c r="W4325" s="10"/>
      <c r="X4325" s="10"/>
      <c r="Y4325" s="10"/>
      <c r="Z4325" s="10"/>
      <c r="AA4325" s="11" t="str">
        <f t="shared" si="135"/>
        <v/>
      </c>
    </row>
    <row r="4326" spans="16:27" ht="15" customHeight="1">
      <c r="P4326" t="str">
        <f t="shared" si="134"/>
        <v/>
      </c>
      <c r="Q4326" t="str">
        <f>IF(P4326="","",IFERROR(IF(AND(H4326="W7",OR(F4326="causal",F4326="predictive")),IF(AND(OR(K4326=1,K4326="1"),OR(L4326=1,L4326="1"),OR(M4326=1,M4326="1")),"adequate","partial"),IF(AND(H4326="W4",F4326="predictive",OR(J4326="P2",J4326="P3",J4326="P4")),IF(OR(U4326=1,U4326="1"),"adequate","partial"),INDEX(Fit_Matrix!$B:$B,MATCH(P4326,Fit_Matrix!$A:$A,0)))),"CHECK KEY"))</f>
        <v/>
      </c>
      <c r="U4326" s="10"/>
      <c r="V4326" s="10"/>
      <c r="W4326" s="10"/>
      <c r="X4326" s="10"/>
      <c r="Y4326" s="10"/>
      <c r="Z4326" s="10"/>
      <c r="AA4326" s="11" t="str">
        <f t="shared" si="135"/>
        <v/>
      </c>
    </row>
    <row r="4327" spans="16:27" ht="15" customHeight="1">
      <c r="P4327" t="str">
        <f t="shared" si="134"/>
        <v/>
      </c>
      <c r="Q4327" t="str">
        <f>IF(P4327="","",IFERROR(IF(AND(H4327="W7",OR(F4327="causal",F4327="predictive")),IF(AND(OR(K4327=1,K4327="1"),OR(L4327=1,L4327="1"),OR(M4327=1,M4327="1")),"adequate","partial"),IF(AND(H4327="W4",F4327="predictive",OR(J4327="P2",J4327="P3",J4327="P4")),IF(OR(U4327=1,U4327="1"),"adequate","partial"),INDEX(Fit_Matrix!$B:$B,MATCH(P4327,Fit_Matrix!$A:$A,0)))),"CHECK KEY"))</f>
        <v/>
      </c>
      <c r="U4327" s="10"/>
      <c r="V4327" s="10"/>
      <c r="W4327" s="10"/>
      <c r="X4327" s="10"/>
      <c r="Y4327" s="10"/>
      <c r="Z4327" s="10"/>
      <c r="AA4327" s="11" t="str">
        <f t="shared" si="135"/>
        <v/>
      </c>
    </row>
    <row r="4328" spans="16:27" ht="15" customHeight="1">
      <c r="P4328" t="str">
        <f t="shared" si="134"/>
        <v/>
      </c>
      <c r="Q4328" t="str">
        <f>IF(P4328="","",IFERROR(IF(AND(H4328="W7",OR(F4328="causal",F4328="predictive")),IF(AND(OR(K4328=1,K4328="1"),OR(L4328=1,L4328="1"),OR(M4328=1,M4328="1")),"adequate","partial"),IF(AND(H4328="W4",F4328="predictive",OR(J4328="P2",J4328="P3",J4328="P4")),IF(OR(U4328=1,U4328="1"),"adequate","partial"),INDEX(Fit_Matrix!$B:$B,MATCH(P4328,Fit_Matrix!$A:$A,0)))),"CHECK KEY"))</f>
        <v/>
      </c>
      <c r="U4328" s="10"/>
      <c r="V4328" s="10"/>
      <c r="W4328" s="10"/>
      <c r="X4328" s="10"/>
      <c r="Y4328" s="10"/>
      <c r="Z4328" s="10"/>
      <c r="AA4328" s="11" t="str">
        <f t="shared" si="135"/>
        <v/>
      </c>
    </row>
    <row r="4329" spans="16:27" ht="15" customHeight="1">
      <c r="P4329" t="str">
        <f t="shared" si="134"/>
        <v/>
      </c>
      <c r="Q4329" t="str">
        <f>IF(P4329="","",IFERROR(IF(AND(H4329="W7",OR(F4329="causal",F4329="predictive")),IF(AND(OR(K4329=1,K4329="1"),OR(L4329=1,L4329="1"),OR(M4329=1,M4329="1")),"adequate","partial"),IF(AND(H4329="W4",F4329="predictive",OR(J4329="P2",J4329="P3",J4329="P4")),IF(OR(U4329=1,U4329="1"),"adequate","partial"),INDEX(Fit_Matrix!$B:$B,MATCH(P4329,Fit_Matrix!$A:$A,0)))),"CHECK KEY"))</f>
        <v/>
      </c>
      <c r="U4329" s="10"/>
      <c r="V4329" s="10"/>
      <c r="W4329" s="10"/>
      <c r="X4329" s="10"/>
      <c r="Y4329" s="10"/>
      <c r="Z4329" s="10"/>
      <c r="AA4329" s="11" t="str">
        <f t="shared" si="135"/>
        <v/>
      </c>
    </row>
    <row r="4330" spans="16:27" ht="15" customHeight="1">
      <c r="P4330" t="str">
        <f t="shared" si="134"/>
        <v/>
      </c>
      <c r="Q4330" t="str">
        <f>IF(P4330="","",IFERROR(IF(AND(H4330="W7",OR(F4330="causal",F4330="predictive")),IF(AND(OR(K4330=1,K4330="1"),OR(L4330=1,L4330="1"),OR(M4330=1,M4330="1")),"adequate","partial"),IF(AND(H4330="W4",F4330="predictive",OR(J4330="P2",J4330="P3",J4330="P4")),IF(OR(U4330=1,U4330="1"),"adequate","partial"),INDEX(Fit_Matrix!$B:$B,MATCH(P4330,Fit_Matrix!$A:$A,0)))),"CHECK KEY"))</f>
        <v/>
      </c>
      <c r="U4330" s="10"/>
      <c r="V4330" s="10"/>
      <c r="W4330" s="10"/>
      <c r="X4330" s="10"/>
      <c r="Y4330" s="10"/>
      <c r="Z4330" s="10"/>
      <c r="AA4330" s="11" t="str">
        <f t="shared" si="135"/>
        <v/>
      </c>
    </row>
    <row r="4331" spans="16:27" ht="15" customHeight="1">
      <c r="P4331" t="str">
        <f t="shared" si="134"/>
        <v/>
      </c>
      <c r="Q4331" t="str">
        <f>IF(P4331="","",IFERROR(IF(AND(H4331="W7",OR(F4331="causal",F4331="predictive")),IF(AND(OR(K4331=1,K4331="1"),OR(L4331=1,L4331="1"),OR(M4331=1,M4331="1")),"adequate","partial"),IF(AND(H4331="W4",F4331="predictive",OR(J4331="P2",J4331="P3",J4331="P4")),IF(OR(U4331=1,U4331="1"),"adequate","partial"),INDEX(Fit_Matrix!$B:$B,MATCH(P4331,Fit_Matrix!$A:$A,0)))),"CHECK KEY"))</f>
        <v/>
      </c>
      <c r="U4331" s="10"/>
      <c r="V4331" s="10"/>
      <c r="W4331" s="10"/>
      <c r="X4331" s="10"/>
      <c r="Y4331" s="10"/>
      <c r="Z4331" s="10"/>
      <c r="AA4331" s="11" t="str">
        <f t="shared" si="135"/>
        <v/>
      </c>
    </row>
    <row r="4332" spans="16:27" ht="15" customHeight="1">
      <c r="P4332" t="str">
        <f t="shared" si="134"/>
        <v/>
      </c>
      <c r="Q4332" t="str">
        <f>IF(P4332="","",IFERROR(IF(AND(H4332="W7",OR(F4332="causal",F4332="predictive")),IF(AND(OR(K4332=1,K4332="1"),OR(L4332=1,L4332="1"),OR(M4332=1,M4332="1")),"adequate","partial"),IF(AND(H4332="W4",F4332="predictive",OR(J4332="P2",J4332="P3",J4332="P4")),IF(OR(U4332=1,U4332="1"),"adequate","partial"),INDEX(Fit_Matrix!$B:$B,MATCH(P4332,Fit_Matrix!$A:$A,0)))),"CHECK KEY"))</f>
        <v/>
      </c>
      <c r="U4332" s="10"/>
      <c r="V4332" s="10"/>
      <c r="W4332" s="10"/>
      <c r="X4332" s="10"/>
      <c r="Y4332" s="10"/>
      <c r="Z4332" s="10"/>
      <c r="AA4332" s="11" t="str">
        <f t="shared" si="135"/>
        <v/>
      </c>
    </row>
    <row r="4333" spans="16:27" ht="15" customHeight="1">
      <c r="P4333" t="str">
        <f t="shared" si="134"/>
        <v/>
      </c>
      <c r="Q4333" t="str">
        <f>IF(P4333="","",IFERROR(IF(AND(H4333="W7",OR(F4333="causal",F4333="predictive")),IF(AND(OR(K4333=1,K4333="1"),OR(L4333=1,L4333="1"),OR(M4333=1,M4333="1")),"adequate","partial"),IF(AND(H4333="W4",F4333="predictive",OR(J4333="P2",J4333="P3",J4333="P4")),IF(OR(U4333=1,U4333="1"),"adequate","partial"),INDEX(Fit_Matrix!$B:$B,MATCH(P4333,Fit_Matrix!$A:$A,0)))),"CHECK KEY"))</f>
        <v/>
      </c>
      <c r="U4333" s="10"/>
      <c r="V4333" s="10"/>
      <c r="W4333" s="10"/>
      <c r="X4333" s="10"/>
      <c r="Y4333" s="10"/>
      <c r="Z4333" s="10"/>
      <c r="AA4333" s="11" t="str">
        <f t="shared" si="135"/>
        <v/>
      </c>
    </row>
    <row r="4334" spans="16:27" ht="15" customHeight="1">
      <c r="P4334" t="str">
        <f t="shared" si="134"/>
        <v/>
      </c>
      <c r="Q4334" t="str">
        <f>IF(P4334="","",IFERROR(IF(AND(H4334="W7",OR(F4334="causal",F4334="predictive")),IF(AND(OR(K4334=1,K4334="1"),OR(L4334=1,L4334="1"),OR(M4334=1,M4334="1")),"adequate","partial"),IF(AND(H4334="W4",F4334="predictive",OR(J4334="P2",J4334="P3",J4334="P4")),IF(OR(U4334=1,U4334="1"),"adequate","partial"),INDEX(Fit_Matrix!$B:$B,MATCH(P4334,Fit_Matrix!$A:$A,0)))),"CHECK KEY"))</f>
        <v/>
      </c>
      <c r="U4334" s="10"/>
      <c r="V4334" s="10"/>
      <c r="W4334" s="10"/>
      <c r="X4334" s="10"/>
      <c r="Y4334" s="10"/>
      <c r="Z4334" s="10"/>
      <c r="AA4334" s="11" t="str">
        <f t="shared" si="135"/>
        <v/>
      </c>
    </row>
    <row r="4335" spans="16:27" ht="15" customHeight="1">
      <c r="P4335" t="str">
        <f t="shared" si="134"/>
        <v/>
      </c>
      <c r="Q4335" t="str">
        <f>IF(P4335="","",IFERROR(IF(AND(H4335="W7",OR(F4335="causal",F4335="predictive")),IF(AND(OR(K4335=1,K4335="1"),OR(L4335=1,L4335="1"),OR(M4335=1,M4335="1")),"adequate","partial"),IF(AND(H4335="W4",F4335="predictive",OR(J4335="P2",J4335="P3",J4335="P4")),IF(OR(U4335=1,U4335="1"),"adequate","partial"),INDEX(Fit_Matrix!$B:$B,MATCH(P4335,Fit_Matrix!$A:$A,0)))),"CHECK KEY"))</f>
        <v/>
      </c>
      <c r="U4335" s="10"/>
      <c r="V4335" s="10"/>
      <c r="W4335" s="10"/>
      <c r="X4335" s="10"/>
      <c r="Y4335" s="10"/>
      <c r="Z4335" s="10"/>
      <c r="AA4335" s="11" t="str">
        <f t="shared" si="135"/>
        <v/>
      </c>
    </row>
    <row r="4336" spans="16:27" ht="15" customHeight="1">
      <c r="P4336" t="str">
        <f t="shared" si="134"/>
        <v/>
      </c>
      <c r="Q4336" t="str">
        <f>IF(P4336="","",IFERROR(IF(AND(H4336="W7",OR(F4336="causal",F4336="predictive")),IF(AND(OR(K4336=1,K4336="1"),OR(L4336=1,L4336="1"),OR(M4336=1,M4336="1")),"adequate","partial"),IF(AND(H4336="W4",F4336="predictive",OR(J4336="P2",J4336="P3",J4336="P4")),IF(OR(U4336=1,U4336="1"),"adequate","partial"),INDEX(Fit_Matrix!$B:$B,MATCH(P4336,Fit_Matrix!$A:$A,0)))),"CHECK KEY"))</f>
        <v/>
      </c>
      <c r="U4336" s="10"/>
      <c r="V4336" s="10"/>
      <c r="W4336" s="10"/>
      <c r="X4336" s="10"/>
      <c r="Y4336" s="10"/>
      <c r="Z4336" s="10"/>
      <c r="AA4336" s="11" t="str">
        <f t="shared" si="135"/>
        <v/>
      </c>
    </row>
    <row r="4337" spans="16:27" ht="15" customHeight="1">
      <c r="P4337" t="str">
        <f t="shared" si="134"/>
        <v/>
      </c>
      <c r="Q4337" t="str">
        <f>IF(P4337="","",IFERROR(IF(AND(H4337="W7",OR(F4337="causal",F4337="predictive")),IF(AND(OR(K4337=1,K4337="1"),OR(L4337=1,L4337="1"),OR(M4337=1,M4337="1")),"adequate","partial"),IF(AND(H4337="W4",F4337="predictive",OR(J4337="P2",J4337="P3",J4337="P4")),IF(OR(U4337=1,U4337="1"),"adequate","partial"),INDEX(Fit_Matrix!$B:$B,MATCH(P4337,Fit_Matrix!$A:$A,0)))),"CHECK KEY"))</f>
        <v/>
      </c>
      <c r="U4337" s="10"/>
      <c r="V4337" s="10"/>
      <c r="W4337" s="10"/>
      <c r="X4337" s="10"/>
      <c r="Y4337" s="10"/>
      <c r="Z4337" s="10"/>
      <c r="AA4337" s="11" t="str">
        <f t="shared" si="135"/>
        <v/>
      </c>
    </row>
    <row r="4338" spans="16:27" ht="15" customHeight="1">
      <c r="P4338" t="str">
        <f t="shared" si="134"/>
        <v/>
      </c>
      <c r="Q4338" t="str">
        <f>IF(P4338="","",IFERROR(IF(AND(H4338="W7",OR(F4338="causal",F4338="predictive")),IF(AND(OR(K4338=1,K4338="1"),OR(L4338=1,L4338="1"),OR(M4338=1,M4338="1")),"adequate","partial"),IF(AND(H4338="W4",F4338="predictive",OR(J4338="P2",J4338="P3",J4338="P4")),IF(OR(U4338=1,U4338="1"),"adequate","partial"),INDEX(Fit_Matrix!$B:$B,MATCH(P4338,Fit_Matrix!$A:$A,0)))),"CHECK KEY"))</f>
        <v/>
      </c>
      <c r="U4338" s="10"/>
      <c r="V4338" s="10"/>
      <c r="W4338" s="10"/>
      <c r="X4338" s="10"/>
      <c r="Y4338" s="10"/>
      <c r="Z4338" s="10"/>
      <c r="AA4338" s="11" t="str">
        <f t="shared" si="135"/>
        <v/>
      </c>
    </row>
    <row r="4339" spans="16:27" ht="15" customHeight="1">
      <c r="P4339" t="str">
        <f t="shared" si="134"/>
        <v/>
      </c>
      <c r="Q4339" t="str">
        <f>IF(P4339="","",IFERROR(IF(AND(H4339="W7",OR(F4339="causal",F4339="predictive")),IF(AND(OR(K4339=1,K4339="1"),OR(L4339=1,L4339="1"),OR(M4339=1,M4339="1")),"adequate","partial"),IF(AND(H4339="W4",F4339="predictive",OR(J4339="P2",J4339="P3",J4339="P4")),IF(OR(U4339=1,U4339="1"),"adequate","partial"),INDEX(Fit_Matrix!$B:$B,MATCH(P4339,Fit_Matrix!$A:$A,0)))),"CHECK KEY"))</f>
        <v/>
      </c>
      <c r="U4339" s="10"/>
      <c r="V4339" s="10"/>
      <c r="W4339" s="10"/>
      <c r="X4339" s="10"/>
      <c r="Y4339" s="10"/>
      <c r="Z4339" s="10"/>
      <c r="AA4339" s="11" t="str">
        <f t="shared" si="135"/>
        <v/>
      </c>
    </row>
    <row r="4340" spans="16:27" ht="15" customHeight="1">
      <c r="P4340" t="str">
        <f t="shared" si="134"/>
        <v/>
      </c>
      <c r="Q4340" t="str">
        <f>IF(P4340="","",IFERROR(IF(AND(H4340="W7",OR(F4340="causal",F4340="predictive")),IF(AND(OR(K4340=1,K4340="1"),OR(L4340=1,L4340="1"),OR(M4340=1,M4340="1")),"adequate","partial"),IF(AND(H4340="W4",F4340="predictive",OR(J4340="P2",J4340="P3",J4340="P4")),IF(OR(U4340=1,U4340="1"),"adequate","partial"),INDEX(Fit_Matrix!$B:$B,MATCH(P4340,Fit_Matrix!$A:$A,0)))),"CHECK KEY"))</f>
        <v/>
      </c>
      <c r="U4340" s="10"/>
      <c r="V4340" s="10"/>
      <c r="W4340" s="10"/>
      <c r="X4340" s="10"/>
      <c r="Y4340" s="10"/>
      <c r="Z4340" s="10"/>
      <c r="AA4340" s="11" t="str">
        <f t="shared" si="135"/>
        <v/>
      </c>
    </row>
    <row r="4341" spans="16:27" ht="15" customHeight="1">
      <c r="P4341" t="str">
        <f t="shared" si="134"/>
        <v/>
      </c>
      <c r="Q4341" t="str">
        <f>IF(P4341="","",IFERROR(IF(AND(H4341="W7",OR(F4341="causal",F4341="predictive")),IF(AND(OR(K4341=1,K4341="1"),OR(L4341=1,L4341="1"),OR(M4341=1,M4341="1")),"adequate","partial"),IF(AND(H4341="W4",F4341="predictive",OR(J4341="P2",J4341="P3",J4341="P4")),IF(OR(U4341=1,U4341="1"),"adequate","partial"),INDEX(Fit_Matrix!$B:$B,MATCH(P4341,Fit_Matrix!$A:$A,0)))),"CHECK KEY"))</f>
        <v/>
      </c>
      <c r="U4341" s="10"/>
      <c r="V4341" s="10"/>
      <c r="W4341" s="10"/>
      <c r="X4341" s="10"/>
      <c r="Y4341" s="10"/>
      <c r="Z4341" s="10"/>
      <c r="AA4341" s="11" t="str">
        <f t="shared" si="135"/>
        <v/>
      </c>
    </row>
    <row r="4342" spans="16:27" ht="15" customHeight="1">
      <c r="P4342" t="str">
        <f t="shared" si="134"/>
        <v/>
      </c>
      <c r="Q4342" t="str">
        <f>IF(P4342="","",IFERROR(IF(AND(H4342="W7",OR(F4342="causal",F4342="predictive")),IF(AND(OR(K4342=1,K4342="1"),OR(L4342=1,L4342="1"),OR(M4342=1,M4342="1")),"adequate","partial"),IF(AND(H4342="W4",F4342="predictive",OR(J4342="P2",J4342="P3",J4342="P4")),IF(OR(U4342=1,U4342="1"),"adequate","partial"),INDEX(Fit_Matrix!$B:$B,MATCH(P4342,Fit_Matrix!$A:$A,0)))),"CHECK KEY"))</f>
        <v/>
      </c>
      <c r="U4342" s="10"/>
      <c r="V4342" s="10"/>
      <c r="W4342" s="10"/>
      <c r="X4342" s="10"/>
      <c r="Y4342" s="10"/>
      <c r="Z4342" s="10"/>
      <c r="AA4342" s="11" t="str">
        <f t="shared" si="135"/>
        <v/>
      </c>
    </row>
    <row r="4343" spans="16:27" ht="15" customHeight="1">
      <c r="P4343" t="str">
        <f t="shared" si="134"/>
        <v/>
      </c>
      <c r="Q4343" t="str">
        <f>IF(P4343="","",IFERROR(IF(AND(H4343="W7",OR(F4343="causal",F4343="predictive")),IF(AND(OR(K4343=1,K4343="1"),OR(L4343=1,L4343="1"),OR(M4343=1,M4343="1")),"adequate","partial"),IF(AND(H4343="W4",F4343="predictive",OR(J4343="P2",J4343="P3",J4343="P4")),IF(OR(U4343=1,U4343="1"),"adequate","partial"),INDEX(Fit_Matrix!$B:$B,MATCH(P4343,Fit_Matrix!$A:$A,0)))),"CHECK KEY"))</f>
        <v/>
      </c>
      <c r="U4343" s="10"/>
      <c r="V4343" s="10"/>
      <c r="W4343" s="10"/>
      <c r="X4343" s="10"/>
      <c r="Y4343" s="10"/>
      <c r="Z4343" s="10"/>
      <c r="AA4343" s="11" t="str">
        <f t="shared" si="135"/>
        <v/>
      </c>
    </row>
    <row r="4344" spans="16:27" ht="15" customHeight="1">
      <c r="P4344" t="str">
        <f t="shared" si="134"/>
        <v/>
      </c>
      <c r="Q4344" t="str">
        <f>IF(P4344="","",IFERROR(IF(AND(H4344="W7",OR(F4344="causal",F4344="predictive")),IF(AND(OR(K4344=1,K4344="1"),OR(L4344=1,L4344="1"),OR(M4344=1,M4344="1")),"adequate","partial"),IF(AND(H4344="W4",F4344="predictive",OR(J4344="P2",J4344="P3",J4344="P4")),IF(OR(U4344=1,U4344="1"),"adequate","partial"),INDEX(Fit_Matrix!$B:$B,MATCH(P4344,Fit_Matrix!$A:$A,0)))),"CHECK KEY"))</f>
        <v/>
      </c>
      <c r="U4344" s="10"/>
      <c r="V4344" s="10"/>
      <c r="W4344" s="10"/>
      <c r="X4344" s="10"/>
      <c r="Y4344" s="10"/>
      <c r="Z4344" s="10"/>
      <c r="AA4344" s="11" t="str">
        <f t="shared" si="135"/>
        <v/>
      </c>
    </row>
    <row r="4345" spans="16:27" ht="15" customHeight="1">
      <c r="P4345" t="str">
        <f t="shared" si="134"/>
        <v/>
      </c>
      <c r="Q4345" t="str">
        <f>IF(P4345="","",IFERROR(IF(AND(H4345="W7",OR(F4345="causal",F4345="predictive")),IF(AND(OR(K4345=1,K4345="1"),OR(L4345=1,L4345="1"),OR(M4345=1,M4345="1")),"adequate","partial"),IF(AND(H4345="W4",F4345="predictive",OR(J4345="P2",J4345="P3",J4345="P4")),IF(OR(U4345=1,U4345="1"),"adequate","partial"),INDEX(Fit_Matrix!$B:$B,MATCH(P4345,Fit_Matrix!$A:$A,0)))),"CHECK KEY"))</f>
        <v/>
      </c>
      <c r="U4345" s="10"/>
      <c r="V4345" s="10"/>
      <c r="W4345" s="10"/>
      <c r="X4345" s="10"/>
      <c r="Y4345" s="10"/>
      <c r="Z4345" s="10"/>
      <c r="AA4345" s="11" t="str">
        <f t="shared" si="135"/>
        <v/>
      </c>
    </row>
    <row r="4346" spans="16:27" ht="15" customHeight="1">
      <c r="P4346" t="str">
        <f t="shared" si="134"/>
        <v/>
      </c>
      <c r="Q4346" t="str">
        <f>IF(P4346="","",IFERROR(IF(AND(H4346="W7",OR(F4346="causal",F4346="predictive")),IF(AND(OR(K4346=1,K4346="1"),OR(L4346=1,L4346="1"),OR(M4346=1,M4346="1")),"adequate","partial"),IF(AND(H4346="W4",F4346="predictive",OR(J4346="P2",J4346="P3",J4346="P4")),IF(OR(U4346=1,U4346="1"),"adequate","partial"),INDEX(Fit_Matrix!$B:$B,MATCH(P4346,Fit_Matrix!$A:$A,0)))),"CHECK KEY"))</f>
        <v/>
      </c>
      <c r="U4346" s="10"/>
      <c r="V4346" s="10"/>
      <c r="W4346" s="10"/>
      <c r="X4346" s="10"/>
      <c r="Y4346" s="10"/>
      <c r="Z4346" s="10"/>
      <c r="AA4346" s="11" t="str">
        <f t="shared" si="135"/>
        <v/>
      </c>
    </row>
    <row r="4347" spans="16:27" ht="15" customHeight="1">
      <c r="P4347" t="str">
        <f t="shared" si="134"/>
        <v/>
      </c>
      <c r="Q4347" t="str">
        <f>IF(P4347="","",IFERROR(IF(AND(H4347="W7",OR(F4347="causal",F4347="predictive")),IF(AND(OR(K4347=1,K4347="1"),OR(L4347=1,L4347="1"),OR(M4347=1,M4347="1")),"adequate","partial"),IF(AND(H4347="W4",F4347="predictive",OR(J4347="P2",J4347="P3",J4347="P4")),IF(OR(U4347=1,U4347="1"),"adequate","partial"),INDEX(Fit_Matrix!$B:$B,MATCH(P4347,Fit_Matrix!$A:$A,0)))),"CHECK KEY"))</f>
        <v/>
      </c>
      <c r="U4347" s="10"/>
      <c r="V4347" s="10"/>
      <c r="W4347" s="10"/>
      <c r="X4347" s="10"/>
      <c r="Y4347" s="10"/>
      <c r="Z4347" s="10"/>
      <c r="AA4347" s="11" t="str">
        <f t="shared" si="135"/>
        <v/>
      </c>
    </row>
    <row r="4348" spans="16:27" ht="15" customHeight="1">
      <c r="P4348" t="str">
        <f t="shared" si="134"/>
        <v/>
      </c>
      <c r="Q4348" t="str">
        <f>IF(P4348="","",IFERROR(IF(AND(H4348="W7",OR(F4348="causal",F4348="predictive")),IF(AND(OR(K4348=1,K4348="1"),OR(L4348=1,L4348="1"),OR(M4348=1,M4348="1")),"adequate","partial"),IF(AND(H4348="W4",F4348="predictive",OR(J4348="P2",J4348="P3",J4348="P4")),IF(OR(U4348=1,U4348="1"),"adequate","partial"),INDEX(Fit_Matrix!$B:$B,MATCH(P4348,Fit_Matrix!$A:$A,0)))),"CHECK KEY"))</f>
        <v/>
      </c>
      <c r="U4348" s="10"/>
      <c r="V4348" s="10"/>
      <c r="W4348" s="10"/>
      <c r="X4348" s="10"/>
      <c r="Y4348" s="10"/>
      <c r="Z4348" s="10"/>
      <c r="AA4348" s="11" t="str">
        <f t="shared" si="135"/>
        <v/>
      </c>
    </row>
    <row r="4349" spans="16:27" ht="15" customHeight="1">
      <c r="P4349" t="str">
        <f t="shared" si="134"/>
        <v/>
      </c>
      <c r="Q4349" t="str">
        <f>IF(P4349="","",IFERROR(IF(AND(H4349="W7",OR(F4349="causal",F4349="predictive")),IF(AND(OR(K4349=1,K4349="1"),OR(L4349=1,L4349="1"),OR(M4349=1,M4349="1")),"adequate","partial"),IF(AND(H4349="W4",F4349="predictive",OR(J4349="P2",J4349="P3",J4349="P4")),IF(OR(U4349=1,U4349="1"),"adequate","partial"),INDEX(Fit_Matrix!$B:$B,MATCH(P4349,Fit_Matrix!$A:$A,0)))),"CHECK KEY"))</f>
        <v/>
      </c>
      <c r="U4349" s="10"/>
      <c r="V4349" s="10"/>
      <c r="W4349" s="10"/>
      <c r="X4349" s="10"/>
      <c r="Y4349" s="10"/>
      <c r="Z4349" s="10"/>
      <c r="AA4349" s="11" t="str">
        <f t="shared" si="135"/>
        <v/>
      </c>
    </row>
    <row r="4350" spans="16:27" ht="15" customHeight="1">
      <c r="P4350" t="str">
        <f t="shared" si="134"/>
        <v/>
      </c>
      <c r="Q4350" t="str">
        <f>IF(P4350="","",IFERROR(IF(AND(H4350="W7",OR(F4350="causal",F4350="predictive")),IF(AND(OR(K4350=1,K4350="1"),OR(L4350=1,L4350="1"),OR(M4350=1,M4350="1")),"adequate","partial"),IF(AND(H4350="W4",F4350="predictive",OR(J4350="P2",J4350="P3",J4350="P4")),IF(OR(U4350=1,U4350="1"),"adequate","partial"),INDEX(Fit_Matrix!$B:$B,MATCH(P4350,Fit_Matrix!$A:$A,0)))),"CHECK KEY"))</f>
        <v/>
      </c>
      <c r="U4350" s="10"/>
      <c r="V4350" s="10"/>
      <c r="W4350" s="10"/>
      <c r="X4350" s="10"/>
      <c r="Y4350" s="10"/>
      <c r="Z4350" s="10"/>
      <c r="AA4350" s="11" t="str">
        <f t="shared" si="135"/>
        <v/>
      </c>
    </row>
    <row r="4351" spans="16:27" ht="15" customHeight="1">
      <c r="P4351" t="str">
        <f t="shared" si="134"/>
        <v/>
      </c>
      <c r="Q4351" t="str">
        <f>IF(P4351="","",IFERROR(IF(AND(H4351="W7",OR(F4351="causal",F4351="predictive")),IF(AND(OR(K4351=1,K4351="1"),OR(L4351=1,L4351="1"),OR(M4351=1,M4351="1")),"adequate","partial"),IF(AND(H4351="W4",F4351="predictive",OR(J4351="P2",J4351="P3",J4351="P4")),IF(OR(U4351=1,U4351="1"),"adequate","partial"),INDEX(Fit_Matrix!$B:$B,MATCH(P4351,Fit_Matrix!$A:$A,0)))),"CHECK KEY"))</f>
        <v/>
      </c>
      <c r="U4351" s="10"/>
      <c r="V4351" s="10"/>
      <c r="W4351" s="10"/>
      <c r="X4351" s="10"/>
      <c r="Y4351" s="10"/>
      <c r="Z4351" s="10"/>
      <c r="AA4351" s="11" t="str">
        <f t="shared" si="135"/>
        <v/>
      </c>
    </row>
    <row r="4352" spans="16:27" ht="15" customHeight="1">
      <c r="P4352" t="str">
        <f t="shared" si="134"/>
        <v/>
      </c>
      <c r="Q4352" t="str">
        <f>IF(P4352="","",IFERROR(IF(AND(H4352="W7",OR(F4352="causal",F4352="predictive")),IF(AND(OR(K4352=1,K4352="1"),OR(L4352=1,L4352="1"),OR(M4352=1,M4352="1")),"adequate","partial"),IF(AND(H4352="W4",F4352="predictive",OR(J4352="P2",J4352="P3",J4352="P4")),IF(OR(U4352=1,U4352="1"),"adequate","partial"),INDEX(Fit_Matrix!$B:$B,MATCH(P4352,Fit_Matrix!$A:$A,0)))),"CHECK KEY"))</f>
        <v/>
      </c>
      <c r="U4352" s="10"/>
      <c r="V4352" s="10"/>
      <c r="W4352" s="10"/>
      <c r="X4352" s="10"/>
      <c r="Y4352" s="10"/>
      <c r="Z4352" s="10"/>
      <c r="AA4352" s="11" t="str">
        <f t="shared" si="135"/>
        <v/>
      </c>
    </row>
    <row r="4353" spans="16:27" ht="15" customHeight="1">
      <c r="P4353" t="str">
        <f t="shared" si="134"/>
        <v/>
      </c>
      <c r="Q4353" t="str">
        <f>IF(P4353="","",IFERROR(IF(AND(H4353="W7",OR(F4353="causal",F4353="predictive")),IF(AND(OR(K4353=1,K4353="1"),OR(L4353=1,L4353="1"),OR(M4353=1,M4353="1")),"adequate","partial"),IF(AND(H4353="W4",F4353="predictive",OR(J4353="P2",J4353="P3",J4353="P4")),IF(OR(U4353=1,U4353="1"),"adequate","partial"),INDEX(Fit_Matrix!$B:$B,MATCH(P4353,Fit_Matrix!$A:$A,0)))),"CHECK KEY"))</f>
        <v/>
      </c>
      <c r="U4353" s="10"/>
      <c r="V4353" s="10"/>
      <c r="W4353" s="10"/>
      <c r="X4353" s="10"/>
      <c r="Y4353" s="10"/>
      <c r="Z4353" s="10"/>
      <c r="AA4353" s="11" t="str">
        <f t="shared" si="135"/>
        <v/>
      </c>
    </row>
    <row r="4354" spans="16:27" ht="15" customHeight="1">
      <c r="P4354" t="str">
        <f t="shared" ref="P4354:P4417" si="136">IF(OR(F4354="",H4354="",J4354=""),"",J4354&amp;"|"&amp;F4354&amp;"|"&amp;IF(H4354="W3","W3_"&amp;IF(I4354="","unknown",I4354),H4354))</f>
        <v/>
      </c>
      <c r="Q4354" t="str">
        <f>IF(P4354="","",IFERROR(IF(AND(H4354="W7",OR(F4354="causal",F4354="predictive")),IF(AND(OR(K4354=1,K4354="1"),OR(L4354=1,L4354="1"),OR(M4354=1,M4354="1")),"adequate","partial"),IF(AND(H4354="W4",F4354="predictive",OR(J4354="P2",J4354="P3",J4354="P4")),IF(OR(U4354=1,U4354="1"),"adequate","partial"),INDEX(Fit_Matrix!$B:$B,MATCH(P4354,Fit_Matrix!$A:$A,0)))),"CHECK KEY"))</f>
        <v/>
      </c>
      <c r="U4354" s="10"/>
      <c r="V4354" s="10"/>
      <c r="W4354" s="10"/>
      <c r="X4354" s="10"/>
      <c r="Y4354" s="10"/>
      <c r="Z4354" s="10"/>
      <c r="AA4354" s="11" t="str">
        <f t="shared" ref="AA4354:AA4417" si="137">IF(A4354="","",IF(AND(J4354="P4",F4354="causal"),"P4-CAUSAL",""))</f>
        <v/>
      </c>
    </row>
    <row r="4355" spans="16:27" ht="15" customHeight="1">
      <c r="P4355" t="str">
        <f t="shared" si="136"/>
        <v/>
      </c>
      <c r="Q4355" t="str">
        <f>IF(P4355="","",IFERROR(IF(AND(H4355="W7",OR(F4355="causal",F4355="predictive")),IF(AND(OR(K4355=1,K4355="1"),OR(L4355=1,L4355="1"),OR(M4355=1,M4355="1")),"adequate","partial"),IF(AND(H4355="W4",F4355="predictive",OR(J4355="P2",J4355="P3",J4355="P4")),IF(OR(U4355=1,U4355="1"),"adequate","partial"),INDEX(Fit_Matrix!$B:$B,MATCH(P4355,Fit_Matrix!$A:$A,0)))),"CHECK KEY"))</f>
        <v/>
      </c>
      <c r="U4355" s="10"/>
      <c r="V4355" s="10"/>
      <c r="W4355" s="10"/>
      <c r="X4355" s="10"/>
      <c r="Y4355" s="10"/>
      <c r="Z4355" s="10"/>
      <c r="AA4355" s="11" t="str">
        <f t="shared" si="137"/>
        <v/>
      </c>
    </row>
    <row r="4356" spans="16:27" ht="15" customHeight="1">
      <c r="P4356" t="str">
        <f t="shared" si="136"/>
        <v/>
      </c>
      <c r="Q4356" t="str">
        <f>IF(P4356="","",IFERROR(IF(AND(H4356="W7",OR(F4356="causal",F4356="predictive")),IF(AND(OR(K4356=1,K4356="1"),OR(L4356=1,L4356="1"),OR(M4356=1,M4356="1")),"adequate","partial"),IF(AND(H4356="W4",F4356="predictive",OR(J4356="P2",J4356="P3",J4356="P4")),IF(OR(U4356=1,U4356="1"),"adequate","partial"),INDEX(Fit_Matrix!$B:$B,MATCH(P4356,Fit_Matrix!$A:$A,0)))),"CHECK KEY"))</f>
        <v/>
      </c>
      <c r="U4356" s="10"/>
      <c r="V4356" s="10"/>
      <c r="W4356" s="10"/>
      <c r="X4356" s="10"/>
      <c r="Y4356" s="10"/>
      <c r="Z4356" s="10"/>
      <c r="AA4356" s="11" t="str">
        <f t="shared" si="137"/>
        <v/>
      </c>
    </row>
    <row r="4357" spans="16:27" ht="15" customHeight="1">
      <c r="P4357" t="str">
        <f t="shared" si="136"/>
        <v/>
      </c>
      <c r="Q4357" t="str">
        <f>IF(P4357="","",IFERROR(IF(AND(H4357="W7",OR(F4357="causal",F4357="predictive")),IF(AND(OR(K4357=1,K4357="1"),OR(L4357=1,L4357="1"),OR(M4357=1,M4357="1")),"adequate","partial"),IF(AND(H4357="W4",F4357="predictive",OR(J4357="P2",J4357="P3",J4357="P4")),IF(OR(U4357=1,U4357="1"),"adequate","partial"),INDEX(Fit_Matrix!$B:$B,MATCH(P4357,Fit_Matrix!$A:$A,0)))),"CHECK KEY"))</f>
        <v/>
      </c>
      <c r="U4357" s="10"/>
      <c r="V4357" s="10"/>
      <c r="W4357" s="10"/>
      <c r="X4357" s="10"/>
      <c r="Y4357" s="10"/>
      <c r="Z4357" s="10"/>
      <c r="AA4357" s="11" t="str">
        <f t="shared" si="137"/>
        <v/>
      </c>
    </row>
    <row r="4358" spans="16:27" ht="15" customHeight="1">
      <c r="P4358" t="str">
        <f t="shared" si="136"/>
        <v/>
      </c>
      <c r="Q4358" t="str">
        <f>IF(P4358="","",IFERROR(IF(AND(H4358="W7",OR(F4358="causal",F4358="predictive")),IF(AND(OR(K4358=1,K4358="1"),OR(L4358=1,L4358="1"),OR(M4358=1,M4358="1")),"adequate","partial"),IF(AND(H4358="W4",F4358="predictive",OR(J4358="P2",J4358="P3",J4358="P4")),IF(OR(U4358=1,U4358="1"),"adequate","partial"),INDEX(Fit_Matrix!$B:$B,MATCH(P4358,Fit_Matrix!$A:$A,0)))),"CHECK KEY"))</f>
        <v/>
      </c>
      <c r="U4358" s="10"/>
      <c r="V4358" s="10"/>
      <c r="W4358" s="10"/>
      <c r="X4358" s="10"/>
      <c r="Y4358" s="10"/>
      <c r="Z4358" s="10"/>
      <c r="AA4358" s="11" t="str">
        <f t="shared" si="137"/>
        <v/>
      </c>
    </row>
    <row r="4359" spans="16:27" ht="15" customHeight="1">
      <c r="P4359" t="str">
        <f t="shared" si="136"/>
        <v/>
      </c>
      <c r="Q4359" t="str">
        <f>IF(P4359="","",IFERROR(IF(AND(H4359="W7",OR(F4359="causal",F4359="predictive")),IF(AND(OR(K4359=1,K4359="1"),OR(L4359=1,L4359="1"),OR(M4359=1,M4359="1")),"adequate","partial"),IF(AND(H4359="W4",F4359="predictive",OR(J4359="P2",J4359="P3",J4359="P4")),IF(OR(U4359=1,U4359="1"),"adequate","partial"),INDEX(Fit_Matrix!$B:$B,MATCH(P4359,Fit_Matrix!$A:$A,0)))),"CHECK KEY"))</f>
        <v/>
      </c>
      <c r="U4359" s="10"/>
      <c r="V4359" s="10"/>
      <c r="W4359" s="10"/>
      <c r="X4359" s="10"/>
      <c r="Y4359" s="10"/>
      <c r="Z4359" s="10"/>
      <c r="AA4359" s="11" t="str">
        <f t="shared" si="137"/>
        <v/>
      </c>
    </row>
    <row r="4360" spans="16:27" ht="15" customHeight="1">
      <c r="P4360" t="str">
        <f t="shared" si="136"/>
        <v/>
      </c>
      <c r="Q4360" t="str">
        <f>IF(P4360="","",IFERROR(IF(AND(H4360="W7",OR(F4360="causal",F4360="predictive")),IF(AND(OR(K4360=1,K4360="1"),OR(L4360=1,L4360="1"),OR(M4360=1,M4360="1")),"adequate","partial"),IF(AND(H4360="W4",F4360="predictive",OR(J4360="P2",J4360="P3",J4360="P4")),IF(OR(U4360=1,U4360="1"),"adequate","partial"),INDEX(Fit_Matrix!$B:$B,MATCH(P4360,Fit_Matrix!$A:$A,0)))),"CHECK KEY"))</f>
        <v/>
      </c>
      <c r="U4360" s="10"/>
      <c r="V4360" s="10"/>
      <c r="W4360" s="10"/>
      <c r="X4360" s="10"/>
      <c r="Y4360" s="10"/>
      <c r="Z4360" s="10"/>
      <c r="AA4360" s="11" t="str">
        <f t="shared" si="137"/>
        <v/>
      </c>
    </row>
    <row r="4361" spans="16:27" ht="15" customHeight="1">
      <c r="P4361" t="str">
        <f t="shared" si="136"/>
        <v/>
      </c>
      <c r="Q4361" t="str">
        <f>IF(P4361="","",IFERROR(IF(AND(H4361="W7",OR(F4361="causal",F4361="predictive")),IF(AND(OR(K4361=1,K4361="1"),OR(L4361=1,L4361="1"),OR(M4361=1,M4361="1")),"adequate","partial"),IF(AND(H4361="W4",F4361="predictive",OR(J4361="P2",J4361="P3",J4361="P4")),IF(OR(U4361=1,U4361="1"),"adequate","partial"),INDEX(Fit_Matrix!$B:$B,MATCH(P4361,Fit_Matrix!$A:$A,0)))),"CHECK KEY"))</f>
        <v/>
      </c>
      <c r="U4361" s="10"/>
      <c r="V4361" s="10"/>
      <c r="W4361" s="10"/>
      <c r="X4361" s="10"/>
      <c r="Y4361" s="10"/>
      <c r="Z4361" s="10"/>
      <c r="AA4361" s="11" t="str">
        <f t="shared" si="137"/>
        <v/>
      </c>
    </row>
    <row r="4362" spans="16:27" ht="15" customHeight="1">
      <c r="P4362" t="str">
        <f t="shared" si="136"/>
        <v/>
      </c>
      <c r="Q4362" t="str">
        <f>IF(P4362="","",IFERROR(IF(AND(H4362="W7",OR(F4362="causal",F4362="predictive")),IF(AND(OR(K4362=1,K4362="1"),OR(L4362=1,L4362="1"),OR(M4362=1,M4362="1")),"adequate","partial"),IF(AND(H4362="W4",F4362="predictive",OR(J4362="P2",J4362="P3",J4362="P4")),IF(OR(U4362=1,U4362="1"),"adequate","partial"),INDEX(Fit_Matrix!$B:$B,MATCH(P4362,Fit_Matrix!$A:$A,0)))),"CHECK KEY"))</f>
        <v/>
      </c>
      <c r="U4362" s="10"/>
      <c r="V4362" s="10"/>
      <c r="W4362" s="10"/>
      <c r="X4362" s="10"/>
      <c r="Y4362" s="10"/>
      <c r="Z4362" s="10"/>
      <c r="AA4362" s="11" t="str">
        <f t="shared" si="137"/>
        <v/>
      </c>
    </row>
    <row r="4363" spans="16:27" ht="15" customHeight="1">
      <c r="P4363" t="str">
        <f t="shared" si="136"/>
        <v/>
      </c>
      <c r="Q4363" t="str">
        <f>IF(P4363="","",IFERROR(IF(AND(H4363="W7",OR(F4363="causal",F4363="predictive")),IF(AND(OR(K4363=1,K4363="1"),OR(L4363=1,L4363="1"),OR(M4363=1,M4363="1")),"adequate","partial"),IF(AND(H4363="W4",F4363="predictive",OR(J4363="P2",J4363="P3",J4363="P4")),IF(OR(U4363=1,U4363="1"),"adequate","partial"),INDEX(Fit_Matrix!$B:$B,MATCH(P4363,Fit_Matrix!$A:$A,0)))),"CHECK KEY"))</f>
        <v/>
      </c>
      <c r="U4363" s="10"/>
      <c r="V4363" s="10"/>
      <c r="W4363" s="10"/>
      <c r="X4363" s="10"/>
      <c r="Y4363" s="10"/>
      <c r="Z4363" s="10"/>
      <c r="AA4363" s="11" t="str">
        <f t="shared" si="137"/>
        <v/>
      </c>
    </row>
    <row r="4364" spans="16:27" ht="15" customHeight="1">
      <c r="P4364" t="str">
        <f t="shared" si="136"/>
        <v/>
      </c>
      <c r="Q4364" t="str">
        <f>IF(P4364="","",IFERROR(IF(AND(H4364="W7",OR(F4364="causal",F4364="predictive")),IF(AND(OR(K4364=1,K4364="1"),OR(L4364=1,L4364="1"),OR(M4364=1,M4364="1")),"adequate","partial"),IF(AND(H4364="W4",F4364="predictive",OR(J4364="P2",J4364="P3",J4364="P4")),IF(OR(U4364=1,U4364="1"),"adequate","partial"),INDEX(Fit_Matrix!$B:$B,MATCH(P4364,Fit_Matrix!$A:$A,0)))),"CHECK KEY"))</f>
        <v/>
      </c>
      <c r="U4364" s="10"/>
      <c r="V4364" s="10"/>
      <c r="W4364" s="10"/>
      <c r="X4364" s="10"/>
      <c r="Y4364" s="10"/>
      <c r="Z4364" s="10"/>
      <c r="AA4364" s="11" t="str">
        <f t="shared" si="137"/>
        <v/>
      </c>
    </row>
    <row r="4365" spans="16:27" ht="15" customHeight="1">
      <c r="P4365" t="str">
        <f t="shared" si="136"/>
        <v/>
      </c>
      <c r="Q4365" t="str">
        <f>IF(P4365="","",IFERROR(IF(AND(H4365="W7",OR(F4365="causal",F4365="predictive")),IF(AND(OR(K4365=1,K4365="1"),OR(L4365=1,L4365="1"),OR(M4365=1,M4365="1")),"adequate","partial"),IF(AND(H4365="W4",F4365="predictive",OR(J4365="P2",J4365="P3",J4365="P4")),IF(OR(U4365=1,U4365="1"),"adequate","partial"),INDEX(Fit_Matrix!$B:$B,MATCH(P4365,Fit_Matrix!$A:$A,0)))),"CHECK KEY"))</f>
        <v/>
      </c>
      <c r="U4365" s="10"/>
      <c r="V4365" s="10"/>
      <c r="W4365" s="10"/>
      <c r="X4365" s="10"/>
      <c r="Y4365" s="10"/>
      <c r="Z4365" s="10"/>
      <c r="AA4365" s="11" t="str">
        <f t="shared" si="137"/>
        <v/>
      </c>
    </row>
    <row r="4366" spans="16:27" ht="15" customHeight="1">
      <c r="P4366" t="str">
        <f t="shared" si="136"/>
        <v/>
      </c>
      <c r="Q4366" t="str">
        <f>IF(P4366="","",IFERROR(IF(AND(H4366="W7",OR(F4366="causal",F4366="predictive")),IF(AND(OR(K4366=1,K4366="1"),OR(L4366=1,L4366="1"),OR(M4366=1,M4366="1")),"adequate","partial"),IF(AND(H4366="W4",F4366="predictive",OR(J4366="P2",J4366="P3",J4366="P4")),IF(OR(U4366=1,U4366="1"),"adequate","partial"),INDEX(Fit_Matrix!$B:$B,MATCH(P4366,Fit_Matrix!$A:$A,0)))),"CHECK KEY"))</f>
        <v/>
      </c>
      <c r="U4366" s="10"/>
      <c r="V4366" s="10"/>
      <c r="W4366" s="10"/>
      <c r="X4366" s="10"/>
      <c r="Y4366" s="10"/>
      <c r="Z4366" s="10"/>
      <c r="AA4366" s="11" t="str">
        <f t="shared" si="137"/>
        <v/>
      </c>
    </row>
    <row r="4367" spans="16:27" ht="15" customHeight="1">
      <c r="P4367" t="str">
        <f t="shared" si="136"/>
        <v/>
      </c>
      <c r="Q4367" t="str">
        <f>IF(P4367="","",IFERROR(IF(AND(H4367="W7",OR(F4367="causal",F4367="predictive")),IF(AND(OR(K4367=1,K4367="1"),OR(L4367=1,L4367="1"),OR(M4367=1,M4367="1")),"adequate","partial"),IF(AND(H4367="W4",F4367="predictive",OR(J4367="P2",J4367="P3",J4367="P4")),IF(OR(U4367=1,U4367="1"),"adequate","partial"),INDEX(Fit_Matrix!$B:$B,MATCH(P4367,Fit_Matrix!$A:$A,0)))),"CHECK KEY"))</f>
        <v/>
      </c>
      <c r="U4367" s="10"/>
      <c r="V4367" s="10"/>
      <c r="W4367" s="10"/>
      <c r="X4367" s="10"/>
      <c r="Y4367" s="10"/>
      <c r="Z4367" s="10"/>
      <c r="AA4367" s="11" t="str">
        <f t="shared" si="137"/>
        <v/>
      </c>
    </row>
    <row r="4368" spans="16:27" ht="15" customHeight="1">
      <c r="P4368" t="str">
        <f t="shared" si="136"/>
        <v/>
      </c>
      <c r="Q4368" t="str">
        <f>IF(P4368="","",IFERROR(IF(AND(H4368="W7",OR(F4368="causal",F4368="predictive")),IF(AND(OR(K4368=1,K4368="1"),OR(L4368=1,L4368="1"),OR(M4368=1,M4368="1")),"adequate","partial"),IF(AND(H4368="W4",F4368="predictive",OR(J4368="P2",J4368="P3",J4368="P4")),IF(OR(U4368=1,U4368="1"),"adequate","partial"),INDEX(Fit_Matrix!$B:$B,MATCH(P4368,Fit_Matrix!$A:$A,0)))),"CHECK KEY"))</f>
        <v/>
      </c>
      <c r="U4368" s="10"/>
      <c r="V4368" s="10"/>
      <c r="W4368" s="10"/>
      <c r="X4368" s="10"/>
      <c r="Y4368" s="10"/>
      <c r="Z4368" s="10"/>
      <c r="AA4368" s="11" t="str">
        <f t="shared" si="137"/>
        <v/>
      </c>
    </row>
    <row r="4369" spans="16:27" ht="15" customHeight="1">
      <c r="P4369" t="str">
        <f t="shared" si="136"/>
        <v/>
      </c>
      <c r="Q4369" t="str">
        <f>IF(P4369="","",IFERROR(IF(AND(H4369="W7",OR(F4369="causal",F4369="predictive")),IF(AND(OR(K4369=1,K4369="1"),OR(L4369=1,L4369="1"),OR(M4369=1,M4369="1")),"adequate","partial"),IF(AND(H4369="W4",F4369="predictive",OR(J4369="P2",J4369="P3",J4369="P4")),IF(OR(U4369=1,U4369="1"),"adequate","partial"),INDEX(Fit_Matrix!$B:$B,MATCH(P4369,Fit_Matrix!$A:$A,0)))),"CHECK KEY"))</f>
        <v/>
      </c>
      <c r="U4369" s="10"/>
      <c r="V4369" s="10"/>
      <c r="W4369" s="10"/>
      <c r="X4369" s="10"/>
      <c r="Y4369" s="10"/>
      <c r="Z4369" s="10"/>
      <c r="AA4369" s="11" t="str">
        <f t="shared" si="137"/>
        <v/>
      </c>
    </row>
    <row r="4370" spans="16:27" ht="15" customHeight="1">
      <c r="P4370" t="str">
        <f t="shared" si="136"/>
        <v/>
      </c>
      <c r="Q4370" t="str">
        <f>IF(P4370="","",IFERROR(IF(AND(H4370="W7",OR(F4370="causal",F4370="predictive")),IF(AND(OR(K4370=1,K4370="1"),OR(L4370=1,L4370="1"),OR(M4370=1,M4370="1")),"adequate","partial"),IF(AND(H4370="W4",F4370="predictive",OR(J4370="P2",J4370="P3",J4370="P4")),IF(OR(U4370=1,U4370="1"),"adequate","partial"),INDEX(Fit_Matrix!$B:$B,MATCH(P4370,Fit_Matrix!$A:$A,0)))),"CHECK KEY"))</f>
        <v/>
      </c>
      <c r="U4370" s="10"/>
      <c r="V4370" s="10"/>
      <c r="W4370" s="10"/>
      <c r="X4370" s="10"/>
      <c r="Y4370" s="10"/>
      <c r="Z4370" s="10"/>
      <c r="AA4370" s="11" t="str">
        <f t="shared" si="137"/>
        <v/>
      </c>
    </row>
    <row r="4371" spans="16:27" ht="15" customHeight="1">
      <c r="P4371" t="str">
        <f t="shared" si="136"/>
        <v/>
      </c>
      <c r="Q4371" t="str">
        <f>IF(P4371="","",IFERROR(IF(AND(H4371="W7",OR(F4371="causal",F4371="predictive")),IF(AND(OR(K4371=1,K4371="1"),OR(L4371=1,L4371="1"),OR(M4371=1,M4371="1")),"adequate","partial"),IF(AND(H4371="W4",F4371="predictive",OR(J4371="P2",J4371="P3",J4371="P4")),IF(OR(U4371=1,U4371="1"),"adequate","partial"),INDEX(Fit_Matrix!$B:$B,MATCH(P4371,Fit_Matrix!$A:$A,0)))),"CHECK KEY"))</f>
        <v/>
      </c>
      <c r="U4371" s="10"/>
      <c r="V4371" s="10"/>
      <c r="W4371" s="10"/>
      <c r="X4371" s="10"/>
      <c r="Y4371" s="10"/>
      <c r="Z4371" s="10"/>
      <c r="AA4371" s="11" t="str">
        <f t="shared" si="137"/>
        <v/>
      </c>
    </row>
    <row r="4372" spans="16:27" ht="15" customHeight="1">
      <c r="P4372" t="str">
        <f t="shared" si="136"/>
        <v/>
      </c>
      <c r="Q4372" t="str">
        <f>IF(P4372="","",IFERROR(IF(AND(H4372="W7",OR(F4372="causal",F4372="predictive")),IF(AND(OR(K4372=1,K4372="1"),OR(L4372=1,L4372="1"),OR(M4372=1,M4372="1")),"adequate","partial"),IF(AND(H4372="W4",F4372="predictive",OR(J4372="P2",J4372="P3",J4372="P4")),IF(OR(U4372=1,U4372="1"),"adequate","partial"),INDEX(Fit_Matrix!$B:$B,MATCH(P4372,Fit_Matrix!$A:$A,0)))),"CHECK KEY"))</f>
        <v/>
      </c>
      <c r="U4372" s="10"/>
      <c r="V4372" s="10"/>
      <c r="W4372" s="10"/>
      <c r="X4372" s="10"/>
      <c r="Y4372" s="10"/>
      <c r="Z4372" s="10"/>
      <c r="AA4372" s="11" t="str">
        <f t="shared" si="137"/>
        <v/>
      </c>
    </row>
    <row r="4373" spans="16:27" ht="15" customHeight="1">
      <c r="P4373" t="str">
        <f t="shared" si="136"/>
        <v/>
      </c>
      <c r="Q4373" t="str">
        <f>IF(P4373="","",IFERROR(IF(AND(H4373="W7",OR(F4373="causal",F4373="predictive")),IF(AND(OR(K4373=1,K4373="1"),OR(L4373=1,L4373="1"),OR(M4373=1,M4373="1")),"adequate","partial"),IF(AND(H4373="W4",F4373="predictive",OR(J4373="P2",J4373="P3",J4373="P4")),IF(OR(U4373=1,U4373="1"),"adequate","partial"),INDEX(Fit_Matrix!$B:$B,MATCH(P4373,Fit_Matrix!$A:$A,0)))),"CHECK KEY"))</f>
        <v/>
      </c>
      <c r="U4373" s="10"/>
      <c r="V4373" s="10"/>
      <c r="W4373" s="10"/>
      <c r="X4373" s="10"/>
      <c r="Y4373" s="10"/>
      <c r="Z4373" s="10"/>
      <c r="AA4373" s="11" t="str">
        <f t="shared" si="137"/>
        <v/>
      </c>
    </row>
    <row r="4374" spans="16:27" ht="15" customHeight="1">
      <c r="P4374" t="str">
        <f t="shared" si="136"/>
        <v/>
      </c>
      <c r="Q4374" t="str">
        <f>IF(P4374="","",IFERROR(IF(AND(H4374="W7",OR(F4374="causal",F4374="predictive")),IF(AND(OR(K4374=1,K4374="1"),OR(L4374=1,L4374="1"),OR(M4374=1,M4374="1")),"adequate","partial"),IF(AND(H4374="W4",F4374="predictive",OR(J4374="P2",J4374="P3",J4374="P4")),IF(OR(U4374=1,U4374="1"),"adequate","partial"),INDEX(Fit_Matrix!$B:$B,MATCH(P4374,Fit_Matrix!$A:$A,0)))),"CHECK KEY"))</f>
        <v/>
      </c>
      <c r="U4374" s="10"/>
      <c r="V4374" s="10"/>
      <c r="W4374" s="10"/>
      <c r="X4374" s="10"/>
      <c r="Y4374" s="10"/>
      <c r="Z4374" s="10"/>
      <c r="AA4374" s="11" t="str">
        <f t="shared" si="137"/>
        <v/>
      </c>
    </row>
    <row r="4375" spans="16:27" ht="15" customHeight="1">
      <c r="P4375" t="str">
        <f t="shared" si="136"/>
        <v/>
      </c>
      <c r="Q4375" t="str">
        <f>IF(P4375="","",IFERROR(IF(AND(H4375="W7",OR(F4375="causal",F4375="predictive")),IF(AND(OR(K4375=1,K4375="1"),OR(L4375=1,L4375="1"),OR(M4375=1,M4375="1")),"adequate","partial"),IF(AND(H4375="W4",F4375="predictive",OR(J4375="P2",J4375="P3",J4375="P4")),IF(OR(U4375=1,U4375="1"),"adequate","partial"),INDEX(Fit_Matrix!$B:$B,MATCH(P4375,Fit_Matrix!$A:$A,0)))),"CHECK KEY"))</f>
        <v/>
      </c>
      <c r="U4375" s="10"/>
      <c r="V4375" s="10"/>
      <c r="W4375" s="10"/>
      <c r="X4375" s="10"/>
      <c r="Y4375" s="10"/>
      <c r="Z4375" s="10"/>
      <c r="AA4375" s="11" t="str">
        <f t="shared" si="137"/>
        <v/>
      </c>
    </row>
    <row r="4376" spans="16:27" ht="15" customHeight="1">
      <c r="P4376" t="str">
        <f t="shared" si="136"/>
        <v/>
      </c>
      <c r="Q4376" t="str">
        <f>IF(P4376="","",IFERROR(IF(AND(H4376="W7",OR(F4376="causal",F4376="predictive")),IF(AND(OR(K4376=1,K4376="1"),OR(L4376=1,L4376="1"),OR(M4376=1,M4376="1")),"adequate","partial"),IF(AND(H4376="W4",F4376="predictive",OR(J4376="P2",J4376="P3",J4376="P4")),IF(OR(U4376=1,U4376="1"),"adequate","partial"),INDEX(Fit_Matrix!$B:$B,MATCH(P4376,Fit_Matrix!$A:$A,0)))),"CHECK KEY"))</f>
        <v/>
      </c>
      <c r="U4376" s="10"/>
      <c r="V4376" s="10"/>
      <c r="W4376" s="10"/>
      <c r="X4376" s="10"/>
      <c r="Y4376" s="10"/>
      <c r="Z4376" s="10"/>
      <c r="AA4376" s="11" t="str">
        <f t="shared" si="137"/>
        <v/>
      </c>
    </row>
    <row r="4377" spans="16:27" ht="15" customHeight="1">
      <c r="P4377" t="str">
        <f t="shared" si="136"/>
        <v/>
      </c>
      <c r="Q4377" t="str">
        <f>IF(P4377="","",IFERROR(IF(AND(H4377="W7",OR(F4377="causal",F4377="predictive")),IF(AND(OR(K4377=1,K4377="1"),OR(L4377=1,L4377="1"),OR(M4377=1,M4377="1")),"adequate","partial"),IF(AND(H4377="W4",F4377="predictive",OR(J4377="P2",J4377="P3",J4377="P4")),IF(OR(U4377=1,U4377="1"),"adequate","partial"),INDEX(Fit_Matrix!$B:$B,MATCH(P4377,Fit_Matrix!$A:$A,0)))),"CHECK KEY"))</f>
        <v/>
      </c>
      <c r="U4377" s="10"/>
      <c r="V4377" s="10"/>
      <c r="W4377" s="10"/>
      <c r="X4377" s="10"/>
      <c r="Y4377" s="10"/>
      <c r="Z4377" s="10"/>
      <c r="AA4377" s="11" t="str">
        <f t="shared" si="137"/>
        <v/>
      </c>
    </row>
    <row r="4378" spans="16:27" ht="15" customHeight="1">
      <c r="P4378" t="str">
        <f t="shared" si="136"/>
        <v/>
      </c>
      <c r="Q4378" t="str">
        <f>IF(P4378="","",IFERROR(IF(AND(H4378="W7",OR(F4378="causal",F4378="predictive")),IF(AND(OR(K4378=1,K4378="1"),OR(L4378=1,L4378="1"),OR(M4378=1,M4378="1")),"adequate","partial"),IF(AND(H4378="W4",F4378="predictive",OR(J4378="P2",J4378="P3",J4378="P4")),IF(OR(U4378=1,U4378="1"),"adequate","partial"),INDEX(Fit_Matrix!$B:$B,MATCH(P4378,Fit_Matrix!$A:$A,0)))),"CHECK KEY"))</f>
        <v/>
      </c>
      <c r="U4378" s="10"/>
      <c r="V4378" s="10"/>
      <c r="W4378" s="10"/>
      <c r="X4378" s="10"/>
      <c r="Y4378" s="10"/>
      <c r="Z4378" s="10"/>
      <c r="AA4378" s="11" t="str">
        <f t="shared" si="137"/>
        <v/>
      </c>
    </row>
    <row r="4379" spans="16:27" ht="15" customHeight="1">
      <c r="P4379" t="str">
        <f t="shared" si="136"/>
        <v/>
      </c>
      <c r="Q4379" t="str">
        <f>IF(P4379="","",IFERROR(IF(AND(H4379="W7",OR(F4379="causal",F4379="predictive")),IF(AND(OR(K4379=1,K4379="1"),OR(L4379=1,L4379="1"),OR(M4379=1,M4379="1")),"adequate","partial"),IF(AND(H4379="W4",F4379="predictive",OR(J4379="P2",J4379="P3",J4379="P4")),IF(OR(U4379=1,U4379="1"),"adequate","partial"),INDEX(Fit_Matrix!$B:$B,MATCH(P4379,Fit_Matrix!$A:$A,0)))),"CHECK KEY"))</f>
        <v/>
      </c>
      <c r="U4379" s="10"/>
      <c r="V4379" s="10"/>
      <c r="W4379" s="10"/>
      <c r="X4379" s="10"/>
      <c r="Y4379" s="10"/>
      <c r="Z4379" s="10"/>
      <c r="AA4379" s="11" t="str">
        <f t="shared" si="137"/>
        <v/>
      </c>
    </row>
    <row r="4380" spans="16:27" ht="15" customHeight="1">
      <c r="P4380" t="str">
        <f t="shared" si="136"/>
        <v/>
      </c>
      <c r="Q4380" t="str">
        <f>IF(P4380="","",IFERROR(IF(AND(H4380="W7",OR(F4380="causal",F4380="predictive")),IF(AND(OR(K4380=1,K4380="1"),OR(L4380=1,L4380="1"),OR(M4380=1,M4380="1")),"adequate","partial"),IF(AND(H4380="W4",F4380="predictive",OR(J4380="P2",J4380="P3",J4380="P4")),IF(OR(U4380=1,U4380="1"),"adequate","partial"),INDEX(Fit_Matrix!$B:$B,MATCH(P4380,Fit_Matrix!$A:$A,0)))),"CHECK KEY"))</f>
        <v/>
      </c>
      <c r="U4380" s="10"/>
      <c r="V4380" s="10"/>
      <c r="W4380" s="10"/>
      <c r="X4380" s="10"/>
      <c r="Y4380" s="10"/>
      <c r="Z4380" s="10"/>
      <c r="AA4380" s="11" t="str">
        <f t="shared" si="137"/>
        <v/>
      </c>
    </row>
    <row r="4381" spans="16:27" ht="15" customHeight="1">
      <c r="P4381" t="str">
        <f t="shared" si="136"/>
        <v/>
      </c>
      <c r="Q4381" t="str">
        <f>IF(P4381="","",IFERROR(IF(AND(H4381="W7",OR(F4381="causal",F4381="predictive")),IF(AND(OR(K4381=1,K4381="1"),OR(L4381=1,L4381="1"),OR(M4381=1,M4381="1")),"adequate","partial"),IF(AND(H4381="W4",F4381="predictive",OR(J4381="P2",J4381="P3",J4381="P4")),IF(OR(U4381=1,U4381="1"),"adequate","partial"),INDEX(Fit_Matrix!$B:$B,MATCH(P4381,Fit_Matrix!$A:$A,0)))),"CHECK KEY"))</f>
        <v/>
      </c>
      <c r="U4381" s="10"/>
      <c r="V4381" s="10"/>
      <c r="W4381" s="10"/>
      <c r="X4381" s="10"/>
      <c r="Y4381" s="10"/>
      <c r="Z4381" s="10"/>
      <c r="AA4381" s="11" t="str">
        <f t="shared" si="137"/>
        <v/>
      </c>
    </row>
    <row r="4382" spans="16:27" ht="15" customHeight="1">
      <c r="P4382" t="str">
        <f t="shared" si="136"/>
        <v/>
      </c>
      <c r="Q4382" t="str">
        <f>IF(P4382="","",IFERROR(IF(AND(H4382="W7",OR(F4382="causal",F4382="predictive")),IF(AND(OR(K4382=1,K4382="1"),OR(L4382=1,L4382="1"),OR(M4382=1,M4382="1")),"adequate","partial"),IF(AND(H4382="W4",F4382="predictive",OR(J4382="P2",J4382="P3",J4382="P4")),IF(OR(U4382=1,U4382="1"),"adequate","partial"),INDEX(Fit_Matrix!$B:$B,MATCH(P4382,Fit_Matrix!$A:$A,0)))),"CHECK KEY"))</f>
        <v/>
      </c>
      <c r="U4382" s="10"/>
      <c r="V4382" s="10"/>
      <c r="W4382" s="10"/>
      <c r="X4382" s="10"/>
      <c r="Y4382" s="10"/>
      <c r="Z4382" s="10"/>
      <c r="AA4382" s="11" t="str">
        <f t="shared" si="137"/>
        <v/>
      </c>
    </row>
    <row r="4383" spans="16:27" ht="15" customHeight="1">
      <c r="P4383" t="str">
        <f t="shared" si="136"/>
        <v/>
      </c>
      <c r="Q4383" t="str">
        <f>IF(P4383="","",IFERROR(IF(AND(H4383="W7",OR(F4383="causal",F4383="predictive")),IF(AND(OR(K4383=1,K4383="1"),OR(L4383=1,L4383="1"),OR(M4383=1,M4383="1")),"adequate","partial"),IF(AND(H4383="W4",F4383="predictive",OR(J4383="P2",J4383="P3",J4383="P4")),IF(OR(U4383=1,U4383="1"),"adequate","partial"),INDEX(Fit_Matrix!$B:$B,MATCH(P4383,Fit_Matrix!$A:$A,0)))),"CHECK KEY"))</f>
        <v/>
      </c>
      <c r="U4383" s="10"/>
      <c r="V4383" s="10"/>
      <c r="W4383" s="10"/>
      <c r="X4383" s="10"/>
      <c r="Y4383" s="10"/>
      <c r="Z4383" s="10"/>
      <c r="AA4383" s="11" t="str">
        <f t="shared" si="137"/>
        <v/>
      </c>
    </row>
    <row r="4384" spans="16:27" ht="15" customHeight="1">
      <c r="P4384" t="str">
        <f t="shared" si="136"/>
        <v/>
      </c>
      <c r="Q4384" t="str">
        <f>IF(P4384="","",IFERROR(IF(AND(H4384="W7",OR(F4384="causal",F4384="predictive")),IF(AND(OR(K4384=1,K4384="1"),OR(L4384=1,L4384="1"),OR(M4384=1,M4384="1")),"adequate","partial"),IF(AND(H4384="W4",F4384="predictive",OR(J4384="P2",J4384="P3",J4384="P4")),IF(OR(U4384=1,U4384="1"),"adequate","partial"),INDEX(Fit_Matrix!$B:$B,MATCH(P4384,Fit_Matrix!$A:$A,0)))),"CHECK KEY"))</f>
        <v/>
      </c>
      <c r="U4384" s="10"/>
      <c r="V4384" s="10"/>
      <c r="W4384" s="10"/>
      <c r="X4384" s="10"/>
      <c r="Y4384" s="10"/>
      <c r="Z4384" s="10"/>
      <c r="AA4384" s="11" t="str">
        <f t="shared" si="137"/>
        <v/>
      </c>
    </row>
    <row r="4385" spans="16:27" ht="15" customHeight="1">
      <c r="P4385" t="str">
        <f t="shared" si="136"/>
        <v/>
      </c>
      <c r="Q4385" t="str">
        <f>IF(P4385="","",IFERROR(IF(AND(H4385="W7",OR(F4385="causal",F4385="predictive")),IF(AND(OR(K4385=1,K4385="1"),OR(L4385=1,L4385="1"),OR(M4385=1,M4385="1")),"adequate","partial"),IF(AND(H4385="W4",F4385="predictive",OR(J4385="P2",J4385="P3",J4385="P4")),IF(OR(U4385=1,U4385="1"),"adequate","partial"),INDEX(Fit_Matrix!$B:$B,MATCH(P4385,Fit_Matrix!$A:$A,0)))),"CHECK KEY"))</f>
        <v/>
      </c>
      <c r="U4385" s="10"/>
      <c r="V4385" s="10"/>
      <c r="W4385" s="10"/>
      <c r="X4385" s="10"/>
      <c r="Y4385" s="10"/>
      <c r="Z4385" s="10"/>
      <c r="AA4385" s="11" t="str">
        <f t="shared" si="137"/>
        <v/>
      </c>
    </row>
    <row r="4386" spans="16:27" ht="15" customHeight="1">
      <c r="P4386" t="str">
        <f t="shared" si="136"/>
        <v/>
      </c>
      <c r="Q4386" t="str">
        <f>IF(P4386="","",IFERROR(IF(AND(H4386="W7",OR(F4386="causal",F4386="predictive")),IF(AND(OR(K4386=1,K4386="1"),OR(L4386=1,L4386="1"),OR(M4386=1,M4386="1")),"adequate","partial"),IF(AND(H4386="W4",F4386="predictive",OR(J4386="P2",J4386="P3",J4386="P4")),IF(OR(U4386=1,U4386="1"),"adequate","partial"),INDEX(Fit_Matrix!$B:$B,MATCH(P4386,Fit_Matrix!$A:$A,0)))),"CHECK KEY"))</f>
        <v/>
      </c>
      <c r="U4386" s="10"/>
      <c r="V4386" s="10"/>
      <c r="W4386" s="10"/>
      <c r="X4386" s="10"/>
      <c r="Y4386" s="10"/>
      <c r="Z4386" s="10"/>
      <c r="AA4386" s="11" t="str">
        <f t="shared" si="137"/>
        <v/>
      </c>
    </row>
    <row r="4387" spans="16:27" ht="15" customHeight="1">
      <c r="P4387" t="str">
        <f t="shared" si="136"/>
        <v/>
      </c>
      <c r="Q4387" t="str">
        <f>IF(P4387="","",IFERROR(IF(AND(H4387="W7",OR(F4387="causal",F4387="predictive")),IF(AND(OR(K4387=1,K4387="1"),OR(L4387=1,L4387="1"),OR(M4387=1,M4387="1")),"adequate","partial"),IF(AND(H4387="W4",F4387="predictive",OR(J4387="P2",J4387="P3",J4387="P4")),IF(OR(U4387=1,U4387="1"),"adequate","partial"),INDEX(Fit_Matrix!$B:$B,MATCH(P4387,Fit_Matrix!$A:$A,0)))),"CHECK KEY"))</f>
        <v/>
      </c>
      <c r="U4387" s="10"/>
      <c r="V4387" s="10"/>
      <c r="W4387" s="10"/>
      <c r="X4387" s="10"/>
      <c r="Y4387" s="10"/>
      <c r="Z4387" s="10"/>
      <c r="AA4387" s="11" t="str">
        <f t="shared" si="137"/>
        <v/>
      </c>
    </row>
    <row r="4388" spans="16:27" ht="15" customHeight="1">
      <c r="P4388" t="str">
        <f t="shared" si="136"/>
        <v/>
      </c>
      <c r="Q4388" t="str">
        <f>IF(P4388="","",IFERROR(IF(AND(H4388="W7",OR(F4388="causal",F4388="predictive")),IF(AND(OR(K4388=1,K4388="1"),OR(L4388=1,L4388="1"),OR(M4388=1,M4388="1")),"adequate","partial"),IF(AND(H4388="W4",F4388="predictive",OR(J4388="P2",J4388="P3",J4388="P4")),IF(OR(U4388=1,U4388="1"),"adequate","partial"),INDEX(Fit_Matrix!$B:$B,MATCH(P4388,Fit_Matrix!$A:$A,0)))),"CHECK KEY"))</f>
        <v/>
      </c>
      <c r="U4388" s="10"/>
      <c r="V4388" s="10"/>
      <c r="W4388" s="10"/>
      <c r="X4388" s="10"/>
      <c r="Y4388" s="10"/>
      <c r="Z4388" s="10"/>
      <c r="AA4388" s="11" t="str">
        <f t="shared" si="137"/>
        <v/>
      </c>
    </row>
    <row r="4389" spans="16:27" ht="15" customHeight="1">
      <c r="P4389" t="str">
        <f t="shared" si="136"/>
        <v/>
      </c>
      <c r="Q4389" t="str">
        <f>IF(P4389="","",IFERROR(IF(AND(H4389="W7",OR(F4389="causal",F4389="predictive")),IF(AND(OR(K4389=1,K4389="1"),OR(L4389=1,L4389="1"),OR(M4389=1,M4389="1")),"adequate","partial"),IF(AND(H4389="W4",F4389="predictive",OR(J4389="P2",J4389="P3",J4389="P4")),IF(OR(U4389=1,U4389="1"),"adequate","partial"),INDEX(Fit_Matrix!$B:$B,MATCH(P4389,Fit_Matrix!$A:$A,0)))),"CHECK KEY"))</f>
        <v/>
      </c>
      <c r="U4389" s="10"/>
      <c r="V4389" s="10"/>
      <c r="W4389" s="10"/>
      <c r="X4389" s="10"/>
      <c r="Y4389" s="10"/>
      <c r="Z4389" s="10"/>
      <c r="AA4389" s="11" t="str">
        <f t="shared" si="137"/>
        <v/>
      </c>
    </row>
    <row r="4390" spans="16:27" ht="15" customHeight="1">
      <c r="P4390" t="str">
        <f t="shared" si="136"/>
        <v/>
      </c>
      <c r="Q4390" t="str">
        <f>IF(P4390="","",IFERROR(IF(AND(H4390="W7",OR(F4390="causal",F4390="predictive")),IF(AND(OR(K4390=1,K4390="1"),OR(L4390=1,L4390="1"),OR(M4390=1,M4390="1")),"adequate","partial"),IF(AND(H4390="W4",F4390="predictive",OR(J4390="P2",J4390="P3",J4390="P4")),IF(OR(U4390=1,U4390="1"),"adequate","partial"),INDEX(Fit_Matrix!$B:$B,MATCH(P4390,Fit_Matrix!$A:$A,0)))),"CHECK KEY"))</f>
        <v/>
      </c>
      <c r="U4390" s="10"/>
      <c r="V4390" s="10"/>
      <c r="W4390" s="10"/>
      <c r="X4390" s="10"/>
      <c r="Y4390" s="10"/>
      <c r="Z4390" s="10"/>
      <c r="AA4390" s="11" t="str">
        <f t="shared" si="137"/>
        <v/>
      </c>
    </row>
    <row r="4391" spans="16:27" ht="15" customHeight="1">
      <c r="P4391" t="str">
        <f t="shared" si="136"/>
        <v/>
      </c>
      <c r="Q4391" t="str">
        <f>IF(P4391="","",IFERROR(IF(AND(H4391="W7",OR(F4391="causal",F4391="predictive")),IF(AND(OR(K4391=1,K4391="1"),OR(L4391=1,L4391="1"),OR(M4391=1,M4391="1")),"adequate","partial"),IF(AND(H4391="W4",F4391="predictive",OR(J4391="P2",J4391="P3",J4391="P4")),IF(OR(U4391=1,U4391="1"),"adequate","partial"),INDEX(Fit_Matrix!$B:$B,MATCH(P4391,Fit_Matrix!$A:$A,0)))),"CHECK KEY"))</f>
        <v/>
      </c>
      <c r="U4391" s="10"/>
      <c r="V4391" s="10"/>
      <c r="W4391" s="10"/>
      <c r="X4391" s="10"/>
      <c r="Y4391" s="10"/>
      <c r="Z4391" s="10"/>
      <c r="AA4391" s="11" t="str">
        <f t="shared" si="137"/>
        <v/>
      </c>
    </row>
    <row r="4392" spans="16:27" ht="15" customHeight="1">
      <c r="P4392" t="str">
        <f t="shared" si="136"/>
        <v/>
      </c>
      <c r="Q4392" t="str">
        <f>IF(P4392="","",IFERROR(IF(AND(H4392="W7",OR(F4392="causal",F4392="predictive")),IF(AND(OR(K4392=1,K4392="1"),OR(L4392=1,L4392="1"),OR(M4392=1,M4392="1")),"adequate","partial"),IF(AND(H4392="W4",F4392="predictive",OR(J4392="P2",J4392="P3",J4392="P4")),IF(OR(U4392=1,U4392="1"),"adequate","partial"),INDEX(Fit_Matrix!$B:$B,MATCH(P4392,Fit_Matrix!$A:$A,0)))),"CHECK KEY"))</f>
        <v/>
      </c>
      <c r="U4392" s="10"/>
      <c r="V4392" s="10"/>
      <c r="W4392" s="10"/>
      <c r="X4392" s="10"/>
      <c r="Y4392" s="10"/>
      <c r="Z4392" s="10"/>
      <c r="AA4392" s="11" t="str">
        <f t="shared" si="137"/>
        <v/>
      </c>
    </row>
    <row r="4393" spans="16:27" ht="15" customHeight="1">
      <c r="P4393" t="str">
        <f t="shared" si="136"/>
        <v/>
      </c>
      <c r="Q4393" t="str">
        <f>IF(P4393="","",IFERROR(IF(AND(H4393="W7",OR(F4393="causal",F4393="predictive")),IF(AND(OR(K4393=1,K4393="1"),OR(L4393=1,L4393="1"),OR(M4393=1,M4393="1")),"adequate","partial"),IF(AND(H4393="W4",F4393="predictive",OR(J4393="P2",J4393="P3",J4393="P4")),IF(OR(U4393=1,U4393="1"),"adequate","partial"),INDEX(Fit_Matrix!$B:$B,MATCH(P4393,Fit_Matrix!$A:$A,0)))),"CHECK KEY"))</f>
        <v/>
      </c>
      <c r="U4393" s="10"/>
      <c r="V4393" s="10"/>
      <c r="W4393" s="10"/>
      <c r="X4393" s="10"/>
      <c r="Y4393" s="10"/>
      <c r="Z4393" s="10"/>
      <c r="AA4393" s="11" t="str">
        <f t="shared" si="137"/>
        <v/>
      </c>
    </row>
    <row r="4394" spans="16:27" ht="15" customHeight="1">
      <c r="P4394" t="str">
        <f t="shared" si="136"/>
        <v/>
      </c>
      <c r="Q4394" t="str">
        <f>IF(P4394="","",IFERROR(IF(AND(H4394="W7",OR(F4394="causal",F4394="predictive")),IF(AND(OR(K4394=1,K4394="1"),OR(L4394=1,L4394="1"),OR(M4394=1,M4394="1")),"adequate","partial"),IF(AND(H4394="W4",F4394="predictive",OR(J4394="P2",J4394="P3",J4394="P4")),IF(OR(U4394=1,U4394="1"),"adequate","partial"),INDEX(Fit_Matrix!$B:$B,MATCH(P4394,Fit_Matrix!$A:$A,0)))),"CHECK KEY"))</f>
        <v/>
      </c>
      <c r="U4394" s="10"/>
      <c r="V4394" s="10"/>
      <c r="W4394" s="10"/>
      <c r="X4394" s="10"/>
      <c r="Y4394" s="10"/>
      <c r="Z4394" s="10"/>
      <c r="AA4394" s="11" t="str">
        <f t="shared" si="137"/>
        <v/>
      </c>
    </row>
    <row r="4395" spans="16:27" ht="15" customHeight="1">
      <c r="P4395" t="str">
        <f t="shared" si="136"/>
        <v/>
      </c>
      <c r="Q4395" t="str">
        <f>IF(P4395="","",IFERROR(IF(AND(H4395="W7",OR(F4395="causal",F4395="predictive")),IF(AND(OR(K4395=1,K4395="1"),OR(L4395=1,L4395="1"),OR(M4395=1,M4395="1")),"adequate","partial"),IF(AND(H4395="W4",F4395="predictive",OR(J4395="P2",J4395="P3",J4395="P4")),IF(OR(U4395=1,U4395="1"),"adequate","partial"),INDEX(Fit_Matrix!$B:$B,MATCH(P4395,Fit_Matrix!$A:$A,0)))),"CHECK KEY"))</f>
        <v/>
      </c>
      <c r="U4395" s="10"/>
      <c r="V4395" s="10"/>
      <c r="W4395" s="10"/>
      <c r="X4395" s="10"/>
      <c r="Y4395" s="10"/>
      <c r="Z4395" s="10"/>
      <c r="AA4395" s="11" t="str">
        <f t="shared" si="137"/>
        <v/>
      </c>
    </row>
    <row r="4396" spans="16:27" ht="15" customHeight="1">
      <c r="P4396" t="str">
        <f t="shared" si="136"/>
        <v/>
      </c>
      <c r="Q4396" t="str">
        <f>IF(P4396="","",IFERROR(IF(AND(H4396="W7",OR(F4396="causal",F4396="predictive")),IF(AND(OR(K4396=1,K4396="1"),OR(L4396=1,L4396="1"),OR(M4396=1,M4396="1")),"adequate","partial"),IF(AND(H4396="W4",F4396="predictive",OR(J4396="P2",J4396="P3",J4396="P4")),IF(OR(U4396=1,U4396="1"),"adequate","partial"),INDEX(Fit_Matrix!$B:$B,MATCH(P4396,Fit_Matrix!$A:$A,0)))),"CHECK KEY"))</f>
        <v/>
      </c>
      <c r="U4396" s="10"/>
      <c r="V4396" s="10"/>
      <c r="W4396" s="10"/>
      <c r="X4396" s="10"/>
      <c r="Y4396" s="10"/>
      <c r="Z4396" s="10"/>
      <c r="AA4396" s="11" t="str">
        <f t="shared" si="137"/>
        <v/>
      </c>
    </row>
    <row r="4397" spans="16:27" ht="15" customHeight="1">
      <c r="P4397" t="str">
        <f t="shared" si="136"/>
        <v/>
      </c>
      <c r="Q4397" t="str">
        <f>IF(P4397="","",IFERROR(IF(AND(H4397="W7",OR(F4397="causal",F4397="predictive")),IF(AND(OR(K4397=1,K4397="1"),OR(L4397=1,L4397="1"),OR(M4397=1,M4397="1")),"adequate","partial"),IF(AND(H4397="W4",F4397="predictive",OR(J4397="P2",J4397="P3",J4397="P4")),IF(OR(U4397=1,U4397="1"),"adequate","partial"),INDEX(Fit_Matrix!$B:$B,MATCH(P4397,Fit_Matrix!$A:$A,0)))),"CHECK KEY"))</f>
        <v/>
      </c>
      <c r="U4397" s="10"/>
      <c r="V4397" s="10"/>
      <c r="W4397" s="10"/>
      <c r="X4397" s="10"/>
      <c r="Y4397" s="10"/>
      <c r="Z4397" s="10"/>
      <c r="AA4397" s="11" t="str">
        <f t="shared" si="137"/>
        <v/>
      </c>
    </row>
    <row r="4398" spans="16:27" ht="15" customHeight="1">
      <c r="P4398" t="str">
        <f t="shared" si="136"/>
        <v/>
      </c>
      <c r="Q4398" t="str">
        <f>IF(P4398="","",IFERROR(IF(AND(H4398="W7",OR(F4398="causal",F4398="predictive")),IF(AND(OR(K4398=1,K4398="1"),OR(L4398=1,L4398="1"),OR(M4398=1,M4398="1")),"adequate","partial"),IF(AND(H4398="W4",F4398="predictive",OR(J4398="P2",J4398="P3",J4398="P4")),IF(OR(U4398=1,U4398="1"),"adequate","partial"),INDEX(Fit_Matrix!$B:$B,MATCH(P4398,Fit_Matrix!$A:$A,0)))),"CHECK KEY"))</f>
        <v/>
      </c>
      <c r="U4398" s="10"/>
      <c r="V4398" s="10"/>
      <c r="W4398" s="10"/>
      <c r="X4398" s="10"/>
      <c r="Y4398" s="10"/>
      <c r="Z4398" s="10"/>
      <c r="AA4398" s="11" t="str">
        <f t="shared" si="137"/>
        <v/>
      </c>
    </row>
    <row r="4399" spans="16:27" ht="15" customHeight="1">
      <c r="P4399" t="str">
        <f t="shared" si="136"/>
        <v/>
      </c>
      <c r="Q4399" t="str">
        <f>IF(P4399="","",IFERROR(IF(AND(H4399="W7",OR(F4399="causal",F4399="predictive")),IF(AND(OR(K4399=1,K4399="1"),OR(L4399=1,L4399="1"),OR(M4399=1,M4399="1")),"adequate","partial"),IF(AND(H4399="W4",F4399="predictive",OR(J4399="P2",J4399="P3",J4399="P4")),IF(OR(U4399=1,U4399="1"),"adequate","partial"),INDEX(Fit_Matrix!$B:$B,MATCH(P4399,Fit_Matrix!$A:$A,0)))),"CHECK KEY"))</f>
        <v/>
      </c>
      <c r="U4399" s="10"/>
      <c r="V4399" s="10"/>
      <c r="W4399" s="10"/>
      <c r="X4399" s="10"/>
      <c r="Y4399" s="10"/>
      <c r="Z4399" s="10"/>
      <c r="AA4399" s="11" t="str">
        <f t="shared" si="137"/>
        <v/>
      </c>
    </row>
    <row r="4400" spans="16:27" ht="15" customHeight="1">
      <c r="P4400" t="str">
        <f t="shared" si="136"/>
        <v/>
      </c>
      <c r="Q4400" t="str">
        <f>IF(P4400="","",IFERROR(IF(AND(H4400="W7",OR(F4400="causal",F4400="predictive")),IF(AND(OR(K4400=1,K4400="1"),OR(L4400=1,L4400="1"),OR(M4400=1,M4400="1")),"adequate","partial"),IF(AND(H4400="W4",F4400="predictive",OR(J4400="P2",J4400="P3",J4400="P4")),IF(OR(U4400=1,U4400="1"),"adequate","partial"),INDEX(Fit_Matrix!$B:$B,MATCH(P4400,Fit_Matrix!$A:$A,0)))),"CHECK KEY"))</f>
        <v/>
      </c>
      <c r="U4400" s="10"/>
      <c r="V4400" s="10"/>
      <c r="W4400" s="10"/>
      <c r="X4400" s="10"/>
      <c r="Y4400" s="10"/>
      <c r="Z4400" s="10"/>
      <c r="AA4400" s="11" t="str">
        <f t="shared" si="137"/>
        <v/>
      </c>
    </row>
    <row r="4401" spans="16:27" ht="15" customHeight="1">
      <c r="P4401" t="str">
        <f t="shared" si="136"/>
        <v/>
      </c>
      <c r="Q4401" t="str">
        <f>IF(P4401="","",IFERROR(IF(AND(H4401="W7",OR(F4401="causal",F4401="predictive")),IF(AND(OR(K4401=1,K4401="1"),OR(L4401=1,L4401="1"),OR(M4401=1,M4401="1")),"adequate","partial"),IF(AND(H4401="W4",F4401="predictive",OR(J4401="P2",J4401="P3",J4401="P4")),IF(OR(U4401=1,U4401="1"),"adequate","partial"),INDEX(Fit_Matrix!$B:$B,MATCH(P4401,Fit_Matrix!$A:$A,0)))),"CHECK KEY"))</f>
        <v/>
      </c>
      <c r="U4401" s="10"/>
      <c r="V4401" s="10"/>
      <c r="W4401" s="10"/>
      <c r="X4401" s="10"/>
      <c r="Y4401" s="10"/>
      <c r="Z4401" s="10"/>
      <c r="AA4401" s="11" t="str">
        <f t="shared" si="137"/>
        <v/>
      </c>
    </row>
    <row r="4402" spans="16:27" ht="15" customHeight="1">
      <c r="P4402" t="str">
        <f t="shared" si="136"/>
        <v/>
      </c>
      <c r="Q4402" t="str">
        <f>IF(P4402="","",IFERROR(IF(AND(H4402="W7",OR(F4402="causal",F4402="predictive")),IF(AND(OR(K4402=1,K4402="1"),OR(L4402=1,L4402="1"),OR(M4402=1,M4402="1")),"adequate","partial"),IF(AND(H4402="W4",F4402="predictive",OR(J4402="P2",J4402="P3",J4402="P4")),IF(OR(U4402=1,U4402="1"),"adequate","partial"),INDEX(Fit_Matrix!$B:$B,MATCH(P4402,Fit_Matrix!$A:$A,0)))),"CHECK KEY"))</f>
        <v/>
      </c>
      <c r="U4402" s="10"/>
      <c r="V4402" s="10"/>
      <c r="W4402" s="10"/>
      <c r="X4402" s="10"/>
      <c r="Y4402" s="10"/>
      <c r="Z4402" s="10"/>
      <c r="AA4402" s="11" t="str">
        <f t="shared" si="137"/>
        <v/>
      </c>
    </row>
    <row r="4403" spans="16:27" ht="15" customHeight="1">
      <c r="P4403" t="str">
        <f t="shared" si="136"/>
        <v/>
      </c>
      <c r="Q4403" t="str">
        <f>IF(P4403="","",IFERROR(IF(AND(H4403="W7",OR(F4403="causal",F4403="predictive")),IF(AND(OR(K4403=1,K4403="1"),OR(L4403=1,L4403="1"),OR(M4403=1,M4403="1")),"adequate","partial"),IF(AND(H4403="W4",F4403="predictive",OR(J4403="P2",J4403="P3",J4403="P4")),IF(OR(U4403=1,U4403="1"),"adequate","partial"),INDEX(Fit_Matrix!$B:$B,MATCH(P4403,Fit_Matrix!$A:$A,0)))),"CHECK KEY"))</f>
        <v/>
      </c>
      <c r="U4403" s="10"/>
      <c r="V4403" s="10"/>
      <c r="W4403" s="10"/>
      <c r="X4403" s="10"/>
      <c r="Y4403" s="10"/>
      <c r="Z4403" s="10"/>
      <c r="AA4403" s="11" t="str">
        <f t="shared" si="137"/>
        <v/>
      </c>
    </row>
    <row r="4404" spans="16:27" ht="15" customHeight="1">
      <c r="P4404" t="str">
        <f t="shared" si="136"/>
        <v/>
      </c>
      <c r="Q4404" t="str">
        <f>IF(P4404="","",IFERROR(IF(AND(H4404="W7",OR(F4404="causal",F4404="predictive")),IF(AND(OR(K4404=1,K4404="1"),OR(L4404=1,L4404="1"),OR(M4404=1,M4404="1")),"adequate","partial"),IF(AND(H4404="W4",F4404="predictive",OR(J4404="P2",J4404="P3",J4404="P4")),IF(OR(U4404=1,U4404="1"),"adequate","partial"),INDEX(Fit_Matrix!$B:$B,MATCH(P4404,Fit_Matrix!$A:$A,0)))),"CHECK KEY"))</f>
        <v/>
      </c>
      <c r="U4404" s="10"/>
      <c r="V4404" s="10"/>
      <c r="W4404" s="10"/>
      <c r="X4404" s="10"/>
      <c r="Y4404" s="10"/>
      <c r="Z4404" s="10"/>
      <c r="AA4404" s="11" t="str">
        <f t="shared" si="137"/>
        <v/>
      </c>
    </row>
    <row r="4405" spans="16:27" ht="15" customHeight="1">
      <c r="P4405" t="str">
        <f t="shared" si="136"/>
        <v/>
      </c>
      <c r="Q4405" t="str">
        <f>IF(P4405="","",IFERROR(IF(AND(H4405="W7",OR(F4405="causal",F4405="predictive")),IF(AND(OR(K4405=1,K4405="1"),OR(L4405=1,L4405="1"),OR(M4405=1,M4405="1")),"adequate","partial"),IF(AND(H4405="W4",F4405="predictive",OR(J4405="P2",J4405="P3",J4405="P4")),IF(OR(U4405=1,U4405="1"),"adequate","partial"),INDEX(Fit_Matrix!$B:$B,MATCH(P4405,Fit_Matrix!$A:$A,0)))),"CHECK KEY"))</f>
        <v/>
      </c>
      <c r="U4405" s="10"/>
      <c r="V4405" s="10"/>
      <c r="W4405" s="10"/>
      <c r="X4405" s="10"/>
      <c r="Y4405" s="10"/>
      <c r="Z4405" s="10"/>
      <c r="AA4405" s="11" t="str">
        <f t="shared" si="137"/>
        <v/>
      </c>
    </row>
    <row r="4406" spans="16:27" ht="15" customHeight="1">
      <c r="P4406" t="str">
        <f t="shared" si="136"/>
        <v/>
      </c>
      <c r="Q4406" t="str">
        <f>IF(P4406="","",IFERROR(IF(AND(H4406="W7",OR(F4406="causal",F4406="predictive")),IF(AND(OR(K4406=1,K4406="1"),OR(L4406=1,L4406="1"),OR(M4406=1,M4406="1")),"adequate","partial"),IF(AND(H4406="W4",F4406="predictive",OR(J4406="P2",J4406="P3",J4406="P4")),IF(OR(U4406=1,U4406="1"),"adequate","partial"),INDEX(Fit_Matrix!$B:$B,MATCH(P4406,Fit_Matrix!$A:$A,0)))),"CHECK KEY"))</f>
        <v/>
      </c>
      <c r="U4406" s="10"/>
      <c r="V4406" s="10"/>
      <c r="W4406" s="10"/>
      <c r="X4406" s="10"/>
      <c r="Y4406" s="10"/>
      <c r="Z4406" s="10"/>
      <c r="AA4406" s="11" t="str">
        <f t="shared" si="137"/>
        <v/>
      </c>
    </row>
    <row r="4407" spans="16:27" ht="15" customHeight="1">
      <c r="P4407" t="str">
        <f t="shared" si="136"/>
        <v/>
      </c>
      <c r="Q4407" t="str">
        <f>IF(P4407="","",IFERROR(IF(AND(H4407="W7",OR(F4407="causal",F4407="predictive")),IF(AND(OR(K4407=1,K4407="1"),OR(L4407=1,L4407="1"),OR(M4407=1,M4407="1")),"adequate","partial"),IF(AND(H4407="W4",F4407="predictive",OR(J4407="P2",J4407="P3",J4407="P4")),IF(OR(U4407=1,U4407="1"),"adequate","partial"),INDEX(Fit_Matrix!$B:$B,MATCH(P4407,Fit_Matrix!$A:$A,0)))),"CHECK KEY"))</f>
        <v/>
      </c>
      <c r="U4407" s="10"/>
      <c r="V4407" s="10"/>
      <c r="W4407" s="10"/>
      <c r="X4407" s="10"/>
      <c r="Y4407" s="10"/>
      <c r="Z4407" s="10"/>
      <c r="AA4407" s="11" t="str">
        <f t="shared" si="137"/>
        <v/>
      </c>
    </row>
    <row r="4408" spans="16:27" ht="15" customHeight="1">
      <c r="P4408" t="str">
        <f t="shared" si="136"/>
        <v/>
      </c>
      <c r="Q4408" t="str">
        <f>IF(P4408="","",IFERROR(IF(AND(H4408="W7",OR(F4408="causal",F4408="predictive")),IF(AND(OR(K4408=1,K4408="1"),OR(L4408=1,L4408="1"),OR(M4408=1,M4408="1")),"adequate","partial"),IF(AND(H4408="W4",F4408="predictive",OR(J4408="P2",J4408="P3",J4408="P4")),IF(OR(U4408=1,U4408="1"),"adequate","partial"),INDEX(Fit_Matrix!$B:$B,MATCH(P4408,Fit_Matrix!$A:$A,0)))),"CHECK KEY"))</f>
        <v/>
      </c>
      <c r="U4408" s="10"/>
      <c r="V4408" s="10"/>
      <c r="W4408" s="10"/>
      <c r="X4408" s="10"/>
      <c r="Y4408" s="10"/>
      <c r="Z4408" s="10"/>
      <c r="AA4408" s="11" t="str">
        <f t="shared" si="137"/>
        <v/>
      </c>
    </row>
    <row r="4409" spans="16:27" ht="15" customHeight="1">
      <c r="P4409" t="str">
        <f t="shared" si="136"/>
        <v/>
      </c>
      <c r="Q4409" t="str">
        <f>IF(P4409="","",IFERROR(IF(AND(H4409="W7",OR(F4409="causal",F4409="predictive")),IF(AND(OR(K4409=1,K4409="1"),OR(L4409=1,L4409="1"),OR(M4409=1,M4409="1")),"adequate","partial"),IF(AND(H4409="W4",F4409="predictive",OR(J4409="P2",J4409="P3",J4409="P4")),IF(OR(U4409=1,U4409="1"),"adequate","partial"),INDEX(Fit_Matrix!$B:$B,MATCH(P4409,Fit_Matrix!$A:$A,0)))),"CHECK KEY"))</f>
        <v/>
      </c>
      <c r="U4409" s="10"/>
      <c r="V4409" s="10"/>
      <c r="W4409" s="10"/>
      <c r="X4409" s="10"/>
      <c r="Y4409" s="10"/>
      <c r="Z4409" s="10"/>
      <c r="AA4409" s="11" t="str">
        <f t="shared" si="137"/>
        <v/>
      </c>
    </row>
    <row r="4410" spans="16:27" ht="15" customHeight="1">
      <c r="P4410" t="str">
        <f t="shared" si="136"/>
        <v/>
      </c>
      <c r="Q4410" t="str">
        <f>IF(P4410="","",IFERROR(IF(AND(H4410="W7",OR(F4410="causal",F4410="predictive")),IF(AND(OR(K4410=1,K4410="1"),OR(L4410=1,L4410="1"),OR(M4410=1,M4410="1")),"adequate","partial"),IF(AND(H4410="W4",F4410="predictive",OR(J4410="P2",J4410="P3",J4410="P4")),IF(OR(U4410=1,U4410="1"),"adequate","partial"),INDEX(Fit_Matrix!$B:$B,MATCH(P4410,Fit_Matrix!$A:$A,0)))),"CHECK KEY"))</f>
        <v/>
      </c>
      <c r="U4410" s="10"/>
      <c r="V4410" s="10"/>
      <c r="W4410" s="10"/>
      <c r="X4410" s="10"/>
      <c r="Y4410" s="10"/>
      <c r="Z4410" s="10"/>
      <c r="AA4410" s="11" t="str">
        <f t="shared" si="137"/>
        <v/>
      </c>
    </row>
    <row r="4411" spans="16:27" ht="15" customHeight="1">
      <c r="P4411" t="str">
        <f t="shared" si="136"/>
        <v/>
      </c>
      <c r="Q4411" t="str">
        <f>IF(P4411="","",IFERROR(IF(AND(H4411="W7",OR(F4411="causal",F4411="predictive")),IF(AND(OR(K4411=1,K4411="1"),OR(L4411=1,L4411="1"),OR(M4411=1,M4411="1")),"adequate","partial"),IF(AND(H4411="W4",F4411="predictive",OR(J4411="P2",J4411="P3",J4411="P4")),IF(OR(U4411=1,U4411="1"),"adequate","partial"),INDEX(Fit_Matrix!$B:$B,MATCH(P4411,Fit_Matrix!$A:$A,0)))),"CHECK KEY"))</f>
        <v/>
      </c>
      <c r="U4411" s="10"/>
      <c r="V4411" s="10"/>
      <c r="W4411" s="10"/>
      <c r="X4411" s="10"/>
      <c r="Y4411" s="10"/>
      <c r="Z4411" s="10"/>
      <c r="AA4411" s="11" t="str">
        <f t="shared" si="137"/>
        <v/>
      </c>
    </row>
    <row r="4412" spans="16:27" ht="15" customHeight="1">
      <c r="P4412" t="str">
        <f t="shared" si="136"/>
        <v/>
      </c>
      <c r="Q4412" t="str">
        <f>IF(P4412="","",IFERROR(IF(AND(H4412="W7",OR(F4412="causal",F4412="predictive")),IF(AND(OR(K4412=1,K4412="1"),OR(L4412=1,L4412="1"),OR(M4412=1,M4412="1")),"adequate","partial"),IF(AND(H4412="W4",F4412="predictive",OR(J4412="P2",J4412="P3",J4412="P4")),IF(OR(U4412=1,U4412="1"),"adequate","partial"),INDEX(Fit_Matrix!$B:$B,MATCH(P4412,Fit_Matrix!$A:$A,0)))),"CHECK KEY"))</f>
        <v/>
      </c>
      <c r="U4412" s="10"/>
      <c r="V4412" s="10"/>
      <c r="W4412" s="10"/>
      <c r="X4412" s="10"/>
      <c r="Y4412" s="10"/>
      <c r="Z4412" s="10"/>
      <c r="AA4412" s="11" t="str">
        <f t="shared" si="137"/>
        <v/>
      </c>
    </row>
    <row r="4413" spans="16:27" ht="15" customHeight="1">
      <c r="P4413" t="str">
        <f t="shared" si="136"/>
        <v/>
      </c>
      <c r="Q4413" t="str">
        <f>IF(P4413="","",IFERROR(IF(AND(H4413="W7",OR(F4413="causal",F4413="predictive")),IF(AND(OR(K4413=1,K4413="1"),OR(L4413=1,L4413="1"),OR(M4413=1,M4413="1")),"adequate","partial"),IF(AND(H4413="W4",F4413="predictive",OR(J4413="P2",J4413="P3",J4413="P4")),IF(OR(U4413=1,U4413="1"),"adequate","partial"),INDEX(Fit_Matrix!$B:$B,MATCH(P4413,Fit_Matrix!$A:$A,0)))),"CHECK KEY"))</f>
        <v/>
      </c>
      <c r="U4413" s="10"/>
      <c r="V4413" s="10"/>
      <c r="W4413" s="10"/>
      <c r="X4413" s="10"/>
      <c r="Y4413" s="10"/>
      <c r="Z4413" s="10"/>
      <c r="AA4413" s="11" t="str">
        <f t="shared" si="137"/>
        <v/>
      </c>
    </row>
    <row r="4414" spans="16:27" ht="15" customHeight="1">
      <c r="P4414" t="str">
        <f t="shared" si="136"/>
        <v/>
      </c>
      <c r="Q4414" t="str">
        <f>IF(P4414="","",IFERROR(IF(AND(H4414="W7",OR(F4414="causal",F4414="predictive")),IF(AND(OR(K4414=1,K4414="1"),OR(L4414=1,L4414="1"),OR(M4414=1,M4414="1")),"adequate","partial"),IF(AND(H4414="W4",F4414="predictive",OR(J4414="P2",J4414="P3",J4414="P4")),IF(OR(U4414=1,U4414="1"),"adequate","partial"),INDEX(Fit_Matrix!$B:$B,MATCH(P4414,Fit_Matrix!$A:$A,0)))),"CHECK KEY"))</f>
        <v/>
      </c>
      <c r="U4414" s="10"/>
      <c r="V4414" s="10"/>
      <c r="W4414" s="10"/>
      <c r="X4414" s="10"/>
      <c r="Y4414" s="10"/>
      <c r="Z4414" s="10"/>
      <c r="AA4414" s="11" t="str">
        <f t="shared" si="137"/>
        <v/>
      </c>
    </row>
    <row r="4415" spans="16:27" ht="15" customHeight="1">
      <c r="P4415" t="str">
        <f t="shared" si="136"/>
        <v/>
      </c>
      <c r="Q4415" t="str">
        <f>IF(P4415="","",IFERROR(IF(AND(H4415="W7",OR(F4415="causal",F4415="predictive")),IF(AND(OR(K4415=1,K4415="1"),OR(L4415=1,L4415="1"),OR(M4415=1,M4415="1")),"adequate","partial"),IF(AND(H4415="W4",F4415="predictive",OR(J4415="P2",J4415="P3",J4415="P4")),IF(OR(U4415=1,U4415="1"),"adequate","partial"),INDEX(Fit_Matrix!$B:$B,MATCH(P4415,Fit_Matrix!$A:$A,0)))),"CHECK KEY"))</f>
        <v/>
      </c>
      <c r="U4415" s="10"/>
      <c r="V4415" s="10"/>
      <c r="W4415" s="10"/>
      <c r="X4415" s="10"/>
      <c r="Y4415" s="10"/>
      <c r="Z4415" s="10"/>
      <c r="AA4415" s="11" t="str">
        <f t="shared" si="137"/>
        <v/>
      </c>
    </row>
    <row r="4416" spans="16:27" ht="15" customHeight="1">
      <c r="P4416" t="str">
        <f t="shared" si="136"/>
        <v/>
      </c>
      <c r="Q4416" t="str">
        <f>IF(P4416="","",IFERROR(IF(AND(H4416="W7",OR(F4416="causal",F4416="predictive")),IF(AND(OR(K4416=1,K4416="1"),OR(L4416=1,L4416="1"),OR(M4416=1,M4416="1")),"adequate","partial"),IF(AND(H4416="W4",F4416="predictive",OR(J4416="P2",J4416="P3",J4416="P4")),IF(OR(U4416=1,U4416="1"),"adequate","partial"),INDEX(Fit_Matrix!$B:$B,MATCH(P4416,Fit_Matrix!$A:$A,0)))),"CHECK KEY"))</f>
        <v/>
      </c>
      <c r="U4416" s="10"/>
      <c r="V4416" s="10"/>
      <c r="W4416" s="10"/>
      <c r="X4416" s="10"/>
      <c r="Y4416" s="10"/>
      <c r="Z4416" s="10"/>
      <c r="AA4416" s="11" t="str">
        <f t="shared" si="137"/>
        <v/>
      </c>
    </row>
    <row r="4417" spans="16:27" ht="15" customHeight="1">
      <c r="P4417" t="str">
        <f t="shared" si="136"/>
        <v/>
      </c>
      <c r="Q4417" t="str">
        <f>IF(P4417="","",IFERROR(IF(AND(H4417="W7",OR(F4417="causal",F4417="predictive")),IF(AND(OR(K4417=1,K4417="1"),OR(L4417=1,L4417="1"),OR(M4417=1,M4417="1")),"adequate","partial"),IF(AND(H4417="W4",F4417="predictive",OR(J4417="P2",J4417="P3",J4417="P4")),IF(OR(U4417=1,U4417="1"),"adequate","partial"),INDEX(Fit_Matrix!$B:$B,MATCH(P4417,Fit_Matrix!$A:$A,0)))),"CHECK KEY"))</f>
        <v/>
      </c>
      <c r="U4417" s="10"/>
      <c r="V4417" s="10"/>
      <c r="W4417" s="10"/>
      <c r="X4417" s="10"/>
      <c r="Y4417" s="10"/>
      <c r="Z4417" s="10"/>
      <c r="AA4417" s="11" t="str">
        <f t="shared" si="137"/>
        <v/>
      </c>
    </row>
    <row r="4418" spans="16:27" ht="15" customHeight="1">
      <c r="P4418" t="str">
        <f t="shared" ref="P4418:P4481" si="138">IF(OR(F4418="",H4418="",J4418=""),"",J4418&amp;"|"&amp;F4418&amp;"|"&amp;IF(H4418="W3","W3_"&amp;IF(I4418="","unknown",I4418),H4418))</f>
        <v/>
      </c>
      <c r="Q4418" t="str">
        <f>IF(P4418="","",IFERROR(IF(AND(H4418="W7",OR(F4418="causal",F4418="predictive")),IF(AND(OR(K4418=1,K4418="1"),OR(L4418=1,L4418="1"),OR(M4418=1,M4418="1")),"adequate","partial"),IF(AND(H4418="W4",F4418="predictive",OR(J4418="P2",J4418="P3",J4418="P4")),IF(OR(U4418=1,U4418="1"),"adequate","partial"),INDEX(Fit_Matrix!$B:$B,MATCH(P4418,Fit_Matrix!$A:$A,0)))),"CHECK KEY"))</f>
        <v/>
      </c>
      <c r="U4418" s="10"/>
      <c r="V4418" s="10"/>
      <c r="W4418" s="10"/>
      <c r="X4418" s="10"/>
      <c r="Y4418" s="10"/>
      <c r="Z4418" s="10"/>
      <c r="AA4418" s="11" t="str">
        <f t="shared" ref="AA4418:AA4481" si="139">IF(A4418="","",IF(AND(J4418="P4",F4418="causal"),"P4-CAUSAL",""))</f>
        <v/>
      </c>
    </row>
    <row r="4419" spans="16:27" ht="15" customHeight="1">
      <c r="P4419" t="str">
        <f t="shared" si="138"/>
        <v/>
      </c>
      <c r="Q4419" t="str">
        <f>IF(P4419="","",IFERROR(IF(AND(H4419="W7",OR(F4419="causal",F4419="predictive")),IF(AND(OR(K4419=1,K4419="1"),OR(L4419=1,L4419="1"),OR(M4419=1,M4419="1")),"adequate","partial"),IF(AND(H4419="W4",F4419="predictive",OR(J4419="P2",J4419="P3",J4419="P4")),IF(OR(U4419=1,U4419="1"),"adequate","partial"),INDEX(Fit_Matrix!$B:$B,MATCH(P4419,Fit_Matrix!$A:$A,0)))),"CHECK KEY"))</f>
        <v/>
      </c>
      <c r="U4419" s="10"/>
      <c r="V4419" s="10"/>
      <c r="W4419" s="10"/>
      <c r="X4419" s="10"/>
      <c r="Y4419" s="10"/>
      <c r="Z4419" s="10"/>
      <c r="AA4419" s="11" t="str">
        <f t="shared" si="139"/>
        <v/>
      </c>
    </row>
    <row r="4420" spans="16:27" ht="15" customHeight="1">
      <c r="P4420" t="str">
        <f t="shared" si="138"/>
        <v/>
      </c>
      <c r="Q4420" t="str">
        <f>IF(P4420="","",IFERROR(IF(AND(H4420="W7",OR(F4420="causal",F4420="predictive")),IF(AND(OR(K4420=1,K4420="1"),OR(L4420=1,L4420="1"),OR(M4420=1,M4420="1")),"adequate","partial"),IF(AND(H4420="W4",F4420="predictive",OR(J4420="P2",J4420="P3",J4420="P4")),IF(OR(U4420=1,U4420="1"),"adequate","partial"),INDEX(Fit_Matrix!$B:$B,MATCH(P4420,Fit_Matrix!$A:$A,0)))),"CHECK KEY"))</f>
        <v/>
      </c>
      <c r="U4420" s="10"/>
      <c r="V4420" s="10"/>
      <c r="W4420" s="10"/>
      <c r="X4420" s="10"/>
      <c r="Y4420" s="10"/>
      <c r="Z4420" s="10"/>
      <c r="AA4420" s="11" t="str">
        <f t="shared" si="139"/>
        <v/>
      </c>
    </row>
    <row r="4421" spans="16:27" ht="15" customHeight="1">
      <c r="P4421" t="str">
        <f t="shared" si="138"/>
        <v/>
      </c>
      <c r="Q4421" t="str">
        <f>IF(P4421="","",IFERROR(IF(AND(H4421="W7",OR(F4421="causal",F4421="predictive")),IF(AND(OR(K4421=1,K4421="1"),OR(L4421=1,L4421="1"),OR(M4421=1,M4421="1")),"adequate","partial"),IF(AND(H4421="W4",F4421="predictive",OR(J4421="P2",J4421="P3",J4421="P4")),IF(OR(U4421=1,U4421="1"),"adequate","partial"),INDEX(Fit_Matrix!$B:$B,MATCH(P4421,Fit_Matrix!$A:$A,0)))),"CHECK KEY"))</f>
        <v/>
      </c>
      <c r="U4421" s="10"/>
      <c r="V4421" s="10"/>
      <c r="W4421" s="10"/>
      <c r="X4421" s="10"/>
      <c r="Y4421" s="10"/>
      <c r="Z4421" s="10"/>
      <c r="AA4421" s="11" t="str">
        <f t="shared" si="139"/>
        <v/>
      </c>
    </row>
    <row r="4422" spans="16:27" ht="15" customHeight="1">
      <c r="P4422" t="str">
        <f t="shared" si="138"/>
        <v/>
      </c>
      <c r="Q4422" t="str">
        <f>IF(P4422="","",IFERROR(IF(AND(H4422="W7",OR(F4422="causal",F4422="predictive")),IF(AND(OR(K4422=1,K4422="1"),OR(L4422=1,L4422="1"),OR(M4422=1,M4422="1")),"adequate","partial"),IF(AND(H4422="W4",F4422="predictive",OR(J4422="P2",J4422="P3",J4422="P4")),IF(OR(U4422=1,U4422="1"),"adequate","partial"),INDEX(Fit_Matrix!$B:$B,MATCH(P4422,Fit_Matrix!$A:$A,0)))),"CHECK KEY"))</f>
        <v/>
      </c>
      <c r="U4422" s="10"/>
      <c r="V4422" s="10"/>
      <c r="W4422" s="10"/>
      <c r="X4422" s="10"/>
      <c r="Y4422" s="10"/>
      <c r="Z4422" s="10"/>
      <c r="AA4422" s="11" t="str">
        <f t="shared" si="139"/>
        <v/>
      </c>
    </row>
    <row r="4423" spans="16:27" ht="15" customHeight="1">
      <c r="P4423" t="str">
        <f t="shared" si="138"/>
        <v/>
      </c>
      <c r="Q4423" t="str">
        <f>IF(P4423="","",IFERROR(IF(AND(H4423="W7",OR(F4423="causal",F4423="predictive")),IF(AND(OR(K4423=1,K4423="1"),OR(L4423=1,L4423="1"),OR(M4423=1,M4423="1")),"adequate","partial"),IF(AND(H4423="W4",F4423="predictive",OR(J4423="P2",J4423="P3",J4423="P4")),IF(OR(U4423=1,U4423="1"),"adequate","partial"),INDEX(Fit_Matrix!$B:$B,MATCH(P4423,Fit_Matrix!$A:$A,0)))),"CHECK KEY"))</f>
        <v/>
      </c>
      <c r="U4423" s="10"/>
      <c r="V4423" s="10"/>
      <c r="W4423" s="10"/>
      <c r="X4423" s="10"/>
      <c r="Y4423" s="10"/>
      <c r="Z4423" s="10"/>
      <c r="AA4423" s="11" t="str">
        <f t="shared" si="139"/>
        <v/>
      </c>
    </row>
    <row r="4424" spans="16:27" ht="15" customHeight="1">
      <c r="P4424" t="str">
        <f t="shared" si="138"/>
        <v/>
      </c>
      <c r="Q4424" t="str">
        <f>IF(P4424="","",IFERROR(IF(AND(H4424="W7",OR(F4424="causal",F4424="predictive")),IF(AND(OR(K4424=1,K4424="1"),OR(L4424=1,L4424="1"),OR(M4424=1,M4424="1")),"adequate","partial"),IF(AND(H4424="W4",F4424="predictive",OR(J4424="P2",J4424="P3",J4424="P4")),IF(OR(U4424=1,U4424="1"),"adequate","partial"),INDEX(Fit_Matrix!$B:$B,MATCH(P4424,Fit_Matrix!$A:$A,0)))),"CHECK KEY"))</f>
        <v/>
      </c>
      <c r="U4424" s="10"/>
      <c r="V4424" s="10"/>
      <c r="W4424" s="10"/>
      <c r="X4424" s="10"/>
      <c r="Y4424" s="10"/>
      <c r="Z4424" s="10"/>
      <c r="AA4424" s="11" t="str">
        <f t="shared" si="139"/>
        <v/>
      </c>
    </row>
    <row r="4425" spans="16:27" ht="15" customHeight="1">
      <c r="P4425" t="str">
        <f t="shared" si="138"/>
        <v/>
      </c>
      <c r="Q4425" t="str">
        <f>IF(P4425="","",IFERROR(IF(AND(H4425="W7",OR(F4425="causal",F4425="predictive")),IF(AND(OR(K4425=1,K4425="1"),OR(L4425=1,L4425="1"),OR(M4425=1,M4425="1")),"adequate","partial"),IF(AND(H4425="W4",F4425="predictive",OR(J4425="P2",J4425="P3",J4425="P4")),IF(OR(U4425=1,U4425="1"),"adequate","partial"),INDEX(Fit_Matrix!$B:$B,MATCH(P4425,Fit_Matrix!$A:$A,0)))),"CHECK KEY"))</f>
        <v/>
      </c>
      <c r="U4425" s="10"/>
      <c r="V4425" s="10"/>
      <c r="W4425" s="10"/>
      <c r="X4425" s="10"/>
      <c r="Y4425" s="10"/>
      <c r="Z4425" s="10"/>
      <c r="AA4425" s="11" t="str">
        <f t="shared" si="139"/>
        <v/>
      </c>
    </row>
    <row r="4426" spans="16:27" ht="15" customHeight="1">
      <c r="P4426" t="str">
        <f t="shared" si="138"/>
        <v/>
      </c>
      <c r="Q4426" t="str">
        <f>IF(P4426="","",IFERROR(IF(AND(H4426="W7",OR(F4426="causal",F4426="predictive")),IF(AND(OR(K4426=1,K4426="1"),OR(L4426=1,L4426="1"),OR(M4426=1,M4426="1")),"adequate","partial"),IF(AND(H4426="W4",F4426="predictive",OR(J4426="P2",J4426="P3",J4426="P4")),IF(OR(U4426=1,U4426="1"),"adequate","partial"),INDEX(Fit_Matrix!$B:$B,MATCH(P4426,Fit_Matrix!$A:$A,0)))),"CHECK KEY"))</f>
        <v/>
      </c>
      <c r="U4426" s="10"/>
      <c r="V4426" s="10"/>
      <c r="W4426" s="10"/>
      <c r="X4426" s="10"/>
      <c r="Y4426" s="10"/>
      <c r="Z4426" s="10"/>
      <c r="AA4426" s="11" t="str">
        <f t="shared" si="139"/>
        <v/>
      </c>
    </row>
    <row r="4427" spans="16:27" ht="15" customHeight="1">
      <c r="P4427" t="str">
        <f t="shared" si="138"/>
        <v/>
      </c>
      <c r="Q4427" t="str">
        <f>IF(P4427="","",IFERROR(IF(AND(H4427="W7",OR(F4427="causal",F4427="predictive")),IF(AND(OR(K4427=1,K4427="1"),OR(L4427=1,L4427="1"),OR(M4427=1,M4427="1")),"adequate","partial"),IF(AND(H4427="W4",F4427="predictive",OR(J4427="P2",J4427="P3",J4427="P4")),IF(OR(U4427=1,U4427="1"),"adequate","partial"),INDEX(Fit_Matrix!$B:$B,MATCH(P4427,Fit_Matrix!$A:$A,0)))),"CHECK KEY"))</f>
        <v/>
      </c>
      <c r="U4427" s="10"/>
      <c r="V4427" s="10"/>
      <c r="W4427" s="10"/>
      <c r="X4427" s="10"/>
      <c r="Y4427" s="10"/>
      <c r="Z4427" s="10"/>
      <c r="AA4427" s="11" t="str">
        <f t="shared" si="139"/>
        <v/>
      </c>
    </row>
    <row r="4428" spans="16:27" ht="15" customHeight="1">
      <c r="P4428" t="str">
        <f t="shared" si="138"/>
        <v/>
      </c>
      <c r="Q4428" t="str">
        <f>IF(P4428="","",IFERROR(IF(AND(H4428="W7",OR(F4428="causal",F4428="predictive")),IF(AND(OR(K4428=1,K4428="1"),OR(L4428=1,L4428="1"),OR(M4428=1,M4428="1")),"adequate","partial"),IF(AND(H4428="W4",F4428="predictive",OR(J4428="P2",J4428="P3",J4428="P4")),IF(OR(U4428=1,U4428="1"),"adequate","partial"),INDEX(Fit_Matrix!$B:$B,MATCH(P4428,Fit_Matrix!$A:$A,0)))),"CHECK KEY"))</f>
        <v/>
      </c>
      <c r="U4428" s="10"/>
      <c r="V4428" s="10"/>
      <c r="W4428" s="10"/>
      <c r="X4428" s="10"/>
      <c r="Y4428" s="10"/>
      <c r="Z4428" s="10"/>
      <c r="AA4428" s="11" t="str">
        <f t="shared" si="139"/>
        <v/>
      </c>
    </row>
    <row r="4429" spans="16:27" ht="15" customHeight="1">
      <c r="P4429" t="str">
        <f t="shared" si="138"/>
        <v/>
      </c>
      <c r="Q4429" t="str">
        <f>IF(P4429="","",IFERROR(IF(AND(H4429="W7",OR(F4429="causal",F4429="predictive")),IF(AND(OR(K4429=1,K4429="1"),OR(L4429=1,L4429="1"),OR(M4429=1,M4429="1")),"adequate","partial"),IF(AND(H4429="W4",F4429="predictive",OR(J4429="P2",J4429="P3",J4429="P4")),IF(OR(U4429=1,U4429="1"),"adequate","partial"),INDEX(Fit_Matrix!$B:$B,MATCH(P4429,Fit_Matrix!$A:$A,0)))),"CHECK KEY"))</f>
        <v/>
      </c>
      <c r="U4429" s="10"/>
      <c r="V4429" s="10"/>
      <c r="W4429" s="10"/>
      <c r="X4429" s="10"/>
      <c r="Y4429" s="10"/>
      <c r="Z4429" s="10"/>
      <c r="AA4429" s="11" t="str">
        <f t="shared" si="139"/>
        <v/>
      </c>
    </row>
    <row r="4430" spans="16:27" ht="15" customHeight="1">
      <c r="P4430" t="str">
        <f t="shared" si="138"/>
        <v/>
      </c>
      <c r="Q4430" t="str">
        <f>IF(P4430="","",IFERROR(IF(AND(H4430="W7",OR(F4430="causal",F4430="predictive")),IF(AND(OR(K4430=1,K4430="1"),OR(L4430=1,L4430="1"),OR(M4430=1,M4430="1")),"adequate","partial"),IF(AND(H4430="W4",F4430="predictive",OR(J4430="P2",J4430="P3",J4430="P4")),IF(OR(U4430=1,U4430="1"),"adequate","partial"),INDEX(Fit_Matrix!$B:$B,MATCH(P4430,Fit_Matrix!$A:$A,0)))),"CHECK KEY"))</f>
        <v/>
      </c>
      <c r="U4430" s="10"/>
      <c r="V4430" s="10"/>
      <c r="W4430" s="10"/>
      <c r="X4430" s="10"/>
      <c r="Y4430" s="10"/>
      <c r="Z4430" s="10"/>
      <c r="AA4430" s="11" t="str">
        <f t="shared" si="139"/>
        <v/>
      </c>
    </row>
    <row r="4431" spans="16:27" ht="15" customHeight="1">
      <c r="P4431" t="str">
        <f t="shared" si="138"/>
        <v/>
      </c>
      <c r="Q4431" t="str">
        <f>IF(P4431="","",IFERROR(IF(AND(H4431="W7",OR(F4431="causal",F4431="predictive")),IF(AND(OR(K4431=1,K4431="1"),OR(L4431=1,L4431="1"),OR(M4431=1,M4431="1")),"adequate","partial"),IF(AND(H4431="W4",F4431="predictive",OR(J4431="P2",J4431="P3",J4431="P4")),IF(OR(U4431=1,U4431="1"),"adequate","partial"),INDEX(Fit_Matrix!$B:$B,MATCH(P4431,Fit_Matrix!$A:$A,0)))),"CHECK KEY"))</f>
        <v/>
      </c>
      <c r="U4431" s="10"/>
      <c r="V4431" s="10"/>
      <c r="W4431" s="10"/>
      <c r="X4431" s="10"/>
      <c r="Y4431" s="10"/>
      <c r="Z4431" s="10"/>
      <c r="AA4431" s="11" t="str">
        <f t="shared" si="139"/>
        <v/>
      </c>
    </row>
    <row r="4432" spans="16:27" ht="15" customHeight="1">
      <c r="P4432" t="str">
        <f t="shared" si="138"/>
        <v/>
      </c>
      <c r="Q4432" t="str">
        <f>IF(P4432="","",IFERROR(IF(AND(H4432="W7",OR(F4432="causal",F4432="predictive")),IF(AND(OR(K4432=1,K4432="1"),OR(L4432=1,L4432="1"),OR(M4432=1,M4432="1")),"adequate","partial"),IF(AND(H4432="W4",F4432="predictive",OR(J4432="P2",J4432="P3",J4432="P4")),IF(OR(U4432=1,U4432="1"),"adequate","partial"),INDEX(Fit_Matrix!$B:$B,MATCH(P4432,Fit_Matrix!$A:$A,0)))),"CHECK KEY"))</f>
        <v/>
      </c>
      <c r="U4432" s="10"/>
      <c r="V4432" s="10"/>
      <c r="W4432" s="10"/>
      <c r="X4432" s="10"/>
      <c r="Y4432" s="10"/>
      <c r="Z4432" s="10"/>
      <c r="AA4432" s="11" t="str">
        <f t="shared" si="139"/>
        <v/>
      </c>
    </row>
    <row r="4433" spans="16:27" ht="15" customHeight="1">
      <c r="P4433" t="str">
        <f t="shared" si="138"/>
        <v/>
      </c>
      <c r="Q4433" t="str">
        <f>IF(P4433="","",IFERROR(IF(AND(H4433="W7",OR(F4433="causal",F4433="predictive")),IF(AND(OR(K4433=1,K4433="1"),OR(L4433=1,L4433="1"),OR(M4433=1,M4433="1")),"adequate","partial"),IF(AND(H4433="W4",F4433="predictive",OR(J4433="P2",J4433="P3",J4433="P4")),IF(OR(U4433=1,U4433="1"),"adequate","partial"),INDEX(Fit_Matrix!$B:$B,MATCH(P4433,Fit_Matrix!$A:$A,0)))),"CHECK KEY"))</f>
        <v/>
      </c>
      <c r="U4433" s="10"/>
      <c r="V4433" s="10"/>
      <c r="W4433" s="10"/>
      <c r="X4433" s="10"/>
      <c r="Y4433" s="10"/>
      <c r="Z4433" s="10"/>
      <c r="AA4433" s="11" t="str">
        <f t="shared" si="139"/>
        <v/>
      </c>
    </row>
    <row r="4434" spans="16:27" ht="15" customHeight="1">
      <c r="P4434" t="str">
        <f t="shared" si="138"/>
        <v/>
      </c>
      <c r="Q4434" t="str">
        <f>IF(P4434="","",IFERROR(IF(AND(H4434="W7",OR(F4434="causal",F4434="predictive")),IF(AND(OR(K4434=1,K4434="1"),OR(L4434=1,L4434="1"),OR(M4434=1,M4434="1")),"adequate","partial"),IF(AND(H4434="W4",F4434="predictive",OR(J4434="P2",J4434="P3",J4434="P4")),IF(OR(U4434=1,U4434="1"),"adequate","partial"),INDEX(Fit_Matrix!$B:$B,MATCH(P4434,Fit_Matrix!$A:$A,0)))),"CHECK KEY"))</f>
        <v/>
      </c>
      <c r="U4434" s="10"/>
      <c r="V4434" s="10"/>
      <c r="W4434" s="10"/>
      <c r="X4434" s="10"/>
      <c r="Y4434" s="10"/>
      <c r="Z4434" s="10"/>
      <c r="AA4434" s="11" t="str">
        <f t="shared" si="139"/>
        <v/>
      </c>
    </row>
    <row r="4435" spans="16:27" ht="15" customHeight="1">
      <c r="P4435" t="str">
        <f t="shared" si="138"/>
        <v/>
      </c>
      <c r="Q4435" t="str">
        <f>IF(P4435="","",IFERROR(IF(AND(H4435="W7",OR(F4435="causal",F4435="predictive")),IF(AND(OR(K4435=1,K4435="1"),OR(L4435=1,L4435="1"),OR(M4435=1,M4435="1")),"adequate","partial"),IF(AND(H4435="W4",F4435="predictive",OR(J4435="P2",J4435="P3",J4435="P4")),IF(OR(U4435=1,U4435="1"),"adequate","partial"),INDEX(Fit_Matrix!$B:$B,MATCH(P4435,Fit_Matrix!$A:$A,0)))),"CHECK KEY"))</f>
        <v/>
      </c>
      <c r="U4435" s="10"/>
      <c r="V4435" s="10"/>
      <c r="W4435" s="10"/>
      <c r="X4435" s="10"/>
      <c r="Y4435" s="10"/>
      <c r="Z4435" s="10"/>
      <c r="AA4435" s="11" t="str">
        <f t="shared" si="139"/>
        <v/>
      </c>
    </row>
    <row r="4436" spans="16:27" ht="15" customHeight="1">
      <c r="P4436" t="str">
        <f t="shared" si="138"/>
        <v/>
      </c>
      <c r="Q4436" t="str">
        <f>IF(P4436="","",IFERROR(IF(AND(H4436="W7",OR(F4436="causal",F4436="predictive")),IF(AND(OR(K4436=1,K4436="1"),OR(L4436=1,L4436="1"),OR(M4436=1,M4436="1")),"adequate","partial"),IF(AND(H4436="W4",F4436="predictive",OR(J4436="P2",J4436="P3",J4436="P4")),IF(OR(U4436=1,U4436="1"),"adequate","partial"),INDEX(Fit_Matrix!$B:$B,MATCH(P4436,Fit_Matrix!$A:$A,0)))),"CHECK KEY"))</f>
        <v/>
      </c>
      <c r="U4436" s="10"/>
      <c r="V4436" s="10"/>
      <c r="W4436" s="10"/>
      <c r="X4436" s="10"/>
      <c r="Y4436" s="10"/>
      <c r="Z4436" s="10"/>
      <c r="AA4436" s="11" t="str">
        <f t="shared" si="139"/>
        <v/>
      </c>
    </row>
    <row r="4437" spans="16:27" ht="15" customHeight="1">
      <c r="P4437" t="str">
        <f t="shared" si="138"/>
        <v/>
      </c>
      <c r="Q4437" t="str">
        <f>IF(P4437="","",IFERROR(IF(AND(H4437="W7",OR(F4437="causal",F4437="predictive")),IF(AND(OR(K4437=1,K4437="1"),OR(L4437=1,L4437="1"),OR(M4437=1,M4437="1")),"adequate","partial"),IF(AND(H4437="W4",F4437="predictive",OR(J4437="P2",J4437="P3",J4437="P4")),IF(OR(U4437=1,U4437="1"),"adequate","partial"),INDEX(Fit_Matrix!$B:$B,MATCH(P4437,Fit_Matrix!$A:$A,0)))),"CHECK KEY"))</f>
        <v/>
      </c>
      <c r="U4437" s="10"/>
      <c r="V4437" s="10"/>
      <c r="W4437" s="10"/>
      <c r="X4437" s="10"/>
      <c r="Y4437" s="10"/>
      <c r="Z4437" s="10"/>
      <c r="AA4437" s="11" t="str">
        <f t="shared" si="139"/>
        <v/>
      </c>
    </row>
    <row r="4438" spans="16:27" ht="15" customHeight="1">
      <c r="P4438" t="str">
        <f t="shared" si="138"/>
        <v/>
      </c>
      <c r="Q4438" t="str">
        <f>IF(P4438="","",IFERROR(IF(AND(H4438="W7",OR(F4438="causal",F4438="predictive")),IF(AND(OR(K4438=1,K4438="1"),OR(L4438=1,L4438="1"),OR(M4438=1,M4438="1")),"adequate","partial"),IF(AND(H4438="W4",F4438="predictive",OR(J4438="P2",J4438="P3",J4438="P4")),IF(OR(U4438=1,U4438="1"),"adequate","partial"),INDEX(Fit_Matrix!$B:$B,MATCH(P4438,Fit_Matrix!$A:$A,0)))),"CHECK KEY"))</f>
        <v/>
      </c>
      <c r="U4438" s="10"/>
      <c r="V4438" s="10"/>
      <c r="W4438" s="10"/>
      <c r="X4438" s="10"/>
      <c r="Y4438" s="10"/>
      <c r="Z4438" s="10"/>
      <c r="AA4438" s="11" t="str">
        <f t="shared" si="139"/>
        <v/>
      </c>
    </row>
    <row r="4439" spans="16:27" ht="15" customHeight="1">
      <c r="P4439" t="str">
        <f t="shared" si="138"/>
        <v/>
      </c>
      <c r="Q4439" t="str">
        <f>IF(P4439="","",IFERROR(IF(AND(H4439="W7",OR(F4439="causal",F4439="predictive")),IF(AND(OR(K4439=1,K4439="1"),OR(L4439=1,L4439="1"),OR(M4439=1,M4439="1")),"adequate","partial"),IF(AND(H4439="W4",F4439="predictive",OR(J4439="P2",J4439="P3",J4439="P4")),IF(OR(U4439=1,U4439="1"),"adequate","partial"),INDEX(Fit_Matrix!$B:$B,MATCH(P4439,Fit_Matrix!$A:$A,0)))),"CHECK KEY"))</f>
        <v/>
      </c>
      <c r="U4439" s="10"/>
      <c r="V4439" s="10"/>
      <c r="W4439" s="10"/>
      <c r="X4439" s="10"/>
      <c r="Y4439" s="10"/>
      <c r="Z4439" s="10"/>
      <c r="AA4439" s="11" t="str">
        <f t="shared" si="139"/>
        <v/>
      </c>
    </row>
    <row r="4440" spans="16:27" ht="15" customHeight="1">
      <c r="P4440" t="str">
        <f t="shared" si="138"/>
        <v/>
      </c>
      <c r="Q4440" t="str">
        <f>IF(P4440="","",IFERROR(IF(AND(H4440="W7",OR(F4440="causal",F4440="predictive")),IF(AND(OR(K4440=1,K4440="1"),OR(L4440=1,L4440="1"),OR(M4440=1,M4440="1")),"adequate","partial"),IF(AND(H4440="W4",F4440="predictive",OR(J4440="P2",J4440="P3",J4440="P4")),IF(OR(U4440=1,U4440="1"),"adequate","partial"),INDEX(Fit_Matrix!$B:$B,MATCH(P4440,Fit_Matrix!$A:$A,0)))),"CHECK KEY"))</f>
        <v/>
      </c>
      <c r="U4440" s="10"/>
      <c r="V4440" s="10"/>
      <c r="W4440" s="10"/>
      <c r="X4440" s="10"/>
      <c r="Y4440" s="10"/>
      <c r="Z4440" s="10"/>
      <c r="AA4440" s="11" t="str">
        <f t="shared" si="139"/>
        <v/>
      </c>
    </row>
    <row r="4441" spans="16:27" ht="15" customHeight="1">
      <c r="P4441" t="str">
        <f t="shared" si="138"/>
        <v/>
      </c>
      <c r="Q4441" t="str">
        <f>IF(P4441="","",IFERROR(IF(AND(H4441="W7",OR(F4441="causal",F4441="predictive")),IF(AND(OR(K4441=1,K4441="1"),OR(L4441=1,L4441="1"),OR(M4441=1,M4441="1")),"adequate","partial"),IF(AND(H4441="W4",F4441="predictive",OR(J4441="P2",J4441="P3",J4441="P4")),IF(OR(U4441=1,U4441="1"),"adequate","partial"),INDEX(Fit_Matrix!$B:$B,MATCH(P4441,Fit_Matrix!$A:$A,0)))),"CHECK KEY"))</f>
        <v/>
      </c>
      <c r="U4441" s="10"/>
      <c r="V4441" s="10"/>
      <c r="W4441" s="10"/>
      <c r="X4441" s="10"/>
      <c r="Y4441" s="10"/>
      <c r="Z4441" s="10"/>
      <c r="AA4441" s="11" t="str">
        <f t="shared" si="139"/>
        <v/>
      </c>
    </row>
    <row r="4442" spans="16:27" ht="15" customHeight="1">
      <c r="P4442" t="str">
        <f t="shared" si="138"/>
        <v/>
      </c>
      <c r="Q4442" t="str">
        <f>IF(P4442="","",IFERROR(IF(AND(H4442="W7",OR(F4442="causal",F4442="predictive")),IF(AND(OR(K4442=1,K4442="1"),OR(L4442=1,L4442="1"),OR(M4442=1,M4442="1")),"adequate","partial"),IF(AND(H4442="W4",F4442="predictive",OR(J4442="P2",J4442="P3",J4442="P4")),IF(OR(U4442=1,U4442="1"),"adequate","partial"),INDEX(Fit_Matrix!$B:$B,MATCH(P4442,Fit_Matrix!$A:$A,0)))),"CHECK KEY"))</f>
        <v/>
      </c>
      <c r="U4442" s="10"/>
      <c r="V4442" s="10"/>
      <c r="W4442" s="10"/>
      <c r="X4442" s="10"/>
      <c r="Y4442" s="10"/>
      <c r="Z4442" s="10"/>
      <c r="AA4442" s="11" t="str">
        <f t="shared" si="139"/>
        <v/>
      </c>
    </row>
    <row r="4443" spans="16:27" ht="15" customHeight="1">
      <c r="P4443" t="str">
        <f t="shared" si="138"/>
        <v/>
      </c>
      <c r="Q4443" t="str">
        <f>IF(P4443="","",IFERROR(IF(AND(H4443="W7",OR(F4443="causal",F4443="predictive")),IF(AND(OR(K4443=1,K4443="1"),OR(L4443=1,L4443="1"),OR(M4443=1,M4443="1")),"adequate","partial"),IF(AND(H4443="W4",F4443="predictive",OR(J4443="P2",J4443="P3",J4443="P4")),IF(OR(U4443=1,U4443="1"),"adequate","partial"),INDEX(Fit_Matrix!$B:$B,MATCH(P4443,Fit_Matrix!$A:$A,0)))),"CHECK KEY"))</f>
        <v/>
      </c>
      <c r="U4443" s="10"/>
      <c r="V4443" s="10"/>
      <c r="W4443" s="10"/>
      <c r="X4443" s="10"/>
      <c r="Y4443" s="10"/>
      <c r="Z4443" s="10"/>
      <c r="AA4443" s="11" t="str">
        <f t="shared" si="139"/>
        <v/>
      </c>
    </row>
    <row r="4444" spans="16:27" ht="15" customHeight="1">
      <c r="P4444" t="str">
        <f t="shared" si="138"/>
        <v/>
      </c>
      <c r="Q4444" t="str">
        <f>IF(P4444="","",IFERROR(IF(AND(H4444="W7",OR(F4444="causal",F4444="predictive")),IF(AND(OR(K4444=1,K4444="1"),OR(L4444=1,L4444="1"),OR(M4444=1,M4444="1")),"adequate","partial"),IF(AND(H4444="W4",F4444="predictive",OR(J4444="P2",J4444="P3",J4444="P4")),IF(OR(U4444=1,U4444="1"),"adequate","partial"),INDEX(Fit_Matrix!$B:$B,MATCH(P4444,Fit_Matrix!$A:$A,0)))),"CHECK KEY"))</f>
        <v/>
      </c>
      <c r="U4444" s="10"/>
      <c r="V4444" s="10"/>
      <c r="W4444" s="10"/>
      <c r="X4444" s="10"/>
      <c r="Y4444" s="10"/>
      <c r="Z4444" s="10"/>
      <c r="AA4444" s="11" t="str">
        <f t="shared" si="139"/>
        <v/>
      </c>
    </row>
    <row r="4445" spans="16:27" ht="15" customHeight="1">
      <c r="P4445" t="str">
        <f t="shared" si="138"/>
        <v/>
      </c>
      <c r="Q4445" t="str">
        <f>IF(P4445="","",IFERROR(IF(AND(H4445="W7",OR(F4445="causal",F4445="predictive")),IF(AND(OR(K4445=1,K4445="1"),OR(L4445=1,L4445="1"),OR(M4445=1,M4445="1")),"adequate","partial"),IF(AND(H4445="W4",F4445="predictive",OR(J4445="P2",J4445="P3",J4445="P4")),IF(OR(U4445=1,U4445="1"),"adequate","partial"),INDEX(Fit_Matrix!$B:$B,MATCH(P4445,Fit_Matrix!$A:$A,0)))),"CHECK KEY"))</f>
        <v/>
      </c>
      <c r="U4445" s="10"/>
      <c r="V4445" s="10"/>
      <c r="W4445" s="10"/>
      <c r="X4445" s="10"/>
      <c r="Y4445" s="10"/>
      <c r="Z4445" s="10"/>
      <c r="AA4445" s="11" t="str">
        <f t="shared" si="139"/>
        <v/>
      </c>
    </row>
    <row r="4446" spans="16:27" ht="15" customHeight="1">
      <c r="P4446" t="str">
        <f t="shared" si="138"/>
        <v/>
      </c>
      <c r="Q4446" t="str">
        <f>IF(P4446="","",IFERROR(IF(AND(H4446="W7",OR(F4446="causal",F4446="predictive")),IF(AND(OR(K4446=1,K4446="1"),OR(L4446=1,L4446="1"),OR(M4446=1,M4446="1")),"adequate","partial"),IF(AND(H4446="W4",F4446="predictive",OR(J4446="P2",J4446="P3",J4446="P4")),IF(OR(U4446=1,U4446="1"),"adequate","partial"),INDEX(Fit_Matrix!$B:$B,MATCH(P4446,Fit_Matrix!$A:$A,0)))),"CHECK KEY"))</f>
        <v/>
      </c>
      <c r="U4446" s="10"/>
      <c r="V4446" s="10"/>
      <c r="W4446" s="10"/>
      <c r="X4446" s="10"/>
      <c r="Y4446" s="10"/>
      <c r="Z4446" s="10"/>
      <c r="AA4446" s="11" t="str">
        <f t="shared" si="139"/>
        <v/>
      </c>
    </row>
    <row r="4447" spans="16:27" ht="15" customHeight="1">
      <c r="P4447" t="str">
        <f t="shared" si="138"/>
        <v/>
      </c>
      <c r="Q4447" t="str">
        <f>IF(P4447="","",IFERROR(IF(AND(H4447="W7",OR(F4447="causal",F4447="predictive")),IF(AND(OR(K4447=1,K4447="1"),OR(L4447=1,L4447="1"),OR(M4447=1,M4447="1")),"adequate","partial"),IF(AND(H4447="W4",F4447="predictive",OR(J4447="P2",J4447="P3",J4447="P4")),IF(OR(U4447=1,U4447="1"),"adequate","partial"),INDEX(Fit_Matrix!$B:$B,MATCH(P4447,Fit_Matrix!$A:$A,0)))),"CHECK KEY"))</f>
        <v/>
      </c>
      <c r="U4447" s="10"/>
      <c r="V4447" s="10"/>
      <c r="W4447" s="10"/>
      <c r="X4447" s="10"/>
      <c r="Y4447" s="10"/>
      <c r="Z4447" s="10"/>
      <c r="AA4447" s="11" t="str">
        <f t="shared" si="139"/>
        <v/>
      </c>
    </row>
    <row r="4448" spans="16:27" ht="15" customHeight="1">
      <c r="P4448" t="str">
        <f t="shared" si="138"/>
        <v/>
      </c>
      <c r="Q4448" t="str">
        <f>IF(P4448="","",IFERROR(IF(AND(H4448="W7",OR(F4448="causal",F4448="predictive")),IF(AND(OR(K4448=1,K4448="1"),OR(L4448=1,L4448="1"),OR(M4448=1,M4448="1")),"adequate","partial"),IF(AND(H4448="W4",F4448="predictive",OR(J4448="P2",J4448="P3",J4448="P4")),IF(OR(U4448=1,U4448="1"),"adequate","partial"),INDEX(Fit_Matrix!$B:$B,MATCH(P4448,Fit_Matrix!$A:$A,0)))),"CHECK KEY"))</f>
        <v/>
      </c>
      <c r="U4448" s="10"/>
      <c r="V4448" s="10"/>
      <c r="W4448" s="10"/>
      <c r="X4448" s="10"/>
      <c r="Y4448" s="10"/>
      <c r="Z4448" s="10"/>
      <c r="AA4448" s="11" t="str">
        <f t="shared" si="139"/>
        <v/>
      </c>
    </row>
    <row r="4449" spans="16:27" ht="15" customHeight="1">
      <c r="P4449" t="str">
        <f t="shared" si="138"/>
        <v/>
      </c>
      <c r="Q4449" t="str">
        <f>IF(P4449="","",IFERROR(IF(AND(H4449="W7",OR(F4449="causal",F4449="predictive")),IF(AND(OR(K4449=1,K4449="1"),OR(L4449=1,L4449="1"),OR(M4449=1,M4449="1")),"adequate","partial"),IF(AND(H4449="W4",F4449="predictive",OR(J4449="P2",J4449="P3",J4449="P4")),IF(OR(U4449=1,U4449="1"),"adequate","partial"),INDEX(Fit_Matrix!$B:$B,MATCH(P4449,Fit_Matrix!$A:$A,0)))),"CHECK KEY"))</f>
        <v/>
      </c>
      <c r="U4449" s="10"/>
      <c r="V4449" s="10"/>
      <c r="W4449" s="10"/>
      <c r="X4449" s="10"/>
      <c r="Y4449" s="10"/>
      <c r="Z4449" s="10"/>
      <c r="AA4449" s="11" t="str">
        <f t="shared" si="139"/>
        <v/>
      </c>
    </row>
    <row r="4450" spans="16:27" ht="15" customHeight="1">
      <c r="P4450" t="str">
        <f t="shared" si="138"/>
        <v/>
      </c>
      <c r="Q4450" t="str">
        <f>IF(P4450="","",IFERROR(IF(AND(H4450="W7",OR(F4450="causal",F4450="predictive")),IF(AND(OR(K4450=1,K4450="1"),OR(L4450=1,L4450="1"),OR(M4450=1,M4450="1")),"adequate","partial"),IF(AND(H4450="W4",F4450="predictive",OR(J4450="P2",J4450="P3",J4450="P4")),IF(OR(U4450=1,U4450="1"),"adequate","partial"),INDEX(Fit_Matrix!$B:$B,MATCH(P4450,Fit_Matrix!$A:$A,0)))),"CHECK KEY"))</f>
        <v/>
      </c>
      <c r="U4450" s="10"/>
      <c r="V4450" s="10"/>
      <c r="W4450" s="10"/>
      <c r="X4450" s="10"/>
      <c r="Y4450" s="10"/>
      <c r="Z4450" s="10"/>
      <c r="AA4450" s="11" t="str">
        <f t="shared" si="139"/>
        <v/>
      </c>
    </row>
    <row r="4451" spans="16:27" ht="15" customHeight="1">
      <c r="P4451" t="str">
        <f t="shared" si="138"/>
        <v/>
      </c>
      <c r="Q4451" t="str">
        <f>IF(P4451="","",IFERROR(IF(AND(H4451="W7",OR(F4451="causal",F4451="predictive")),IF(AND(OR(K4451=1,K4451="1"),OR(L4451=1,L4451="1"),OR(M4451=1,M4451="1")),"adequate","partial"),IF(AND(H4451="W4",F4451="predictive",OR(J4451="P2",J4451="P3",J4451="P4")),IF(OR(U4451=1,U4451="1"),"adequate","partial"),INDEX(Fit_Matrix!$B:$B,MATCH(P4451,Fit_Matrix!$A:$A,0)))),"CHECK KEY"))</f>
        <v/>
      </c>
      <c r="U4451" s="10"/>
      <c r="V4451" s="10"/>
      <c r="W4451" s="10"/>
      <c r="X4451" s="10"/>
      <c r="Y4451" s="10"/>
      <c r="Z4451" s="10"/>
      <c r="AA4451" s="11" t="str">
        <f t="shared" si="139"/>
        <v/>
      </c>
    </row>
    <row r="4452" spans="16:27" ht="15" customHeight="1">
      <c r="P4452" t="str">
        <f t="shared" si="138"/>
        <v/>
      </c>
      <c r="Q4452" t="str">
        <f>IF(P4452="","",IFERROR(IF(AND(H4452="W7",OR(F4452="causal",F4452="predictive")),IF(AND(OR(K4452=1,K4452="1"),OR(L4452=1,L4452="1"),OR(M4452=1,M4452="1")),"adequate","partial"),IF(AND(H4452="W4",F4452="predictive",OR(J4452="P2",J4452="P3",J4452="P4")),IF(OR(U4452=1,U4452="1"),"adequate","partial"),INDEX(Fit_Matrix!$B:$B,MATCH(P4452,Fit_Matrix!$A:$A,0)))),"CHECK KEY"))</f>
        <v/>
      </c>
      <c r="U4452" s="10"/>
      <c r="V4452" s="10"/>
      <c r="W4452" s="10"/>
      <c r="X4452" s="10"/>
      <c r="Y4452" s="10"/>
      <c r="Z4452" s="10"/>
      <c r="AA4452" s="11" t="str">
        <f t="shared" si="139"/>
        <v/>
      </c>
    </row>
    <row r="4453" spans="16:27" ht="15" customHeight="1">
      <c r="P4453" t="str">
        <f t="shared" si="138"/>
        <v/>
      </c>
      <c r="Q4453" t="str">
        <f>IF(P4453="","",IFERROR(IF(AND(H4453="W7",OR(F4453="causal",F4453="predictive")),IF(AND(OR(K4453=1,K4453="1"),OR(L4453=1,L4453="1"),OR(M4453=1,M4453="1")),"adequate","partial"),IF(AND(H4453="W4",F4453="predictive",OR(J4453="P2",J4453="P3",J4453="P4")),IF(OR(U4453=1,U4453="1"),"adequate","partial"),INDEX(Fit_Matrix!$B:$B,MATCH(P4453,Fit_Matrix!$A:$A,0)))),"CHECK KEY"))</f>
        <v/>
      </c>
      <c r="U4453" s="10"/>
      <c r="V4453" s="10"/>
      <c r="W4453" s="10"/>
      <c r="X4453" s="10"/>
      <c r="Y4453" s="10"/>
      <c r="Z4453" s="10"/>
      <c r="AA4453" s="11" t="str">
        <f t="shared" si="139"/>
        <v/>
      </c>
    </row>
    <row r="4454" spans="16:27" ht="15" customHeight="1">
      <c r="P4454" t="str">
        <f t="shared" si="138"/>
        <v/>
      </c>
      <c r="Q4454" t="str">
        <f>IF(P4454="","",IFERROR(IF(AND(H4454="W7",OR(F4454="causal",F4454="predictive")),IF(AND(OR(K4454=1,K4454="1"),OR(L4454=1,L4454="1"),OR(M4454=1,M4454="1")),"adequate","partial"),IF(AND(H4454="W4",F4454="predictive",OR(J4454="P2",J4454="P3",J4454="P4")),IF(OR(U4454=1,U4454="1"),"adequate","partial"),INDEX(Fit_Matrix!$B:$B,MATCH(P4454,Fit_Matrix!$A:$A,0)))),"CHECK KEY"))</f>
        <v/>
      </c>
      <c r="U4454" s="10"/>
      <c r="V4454" s="10"/>
      <c r="W4454" s="10"/>
      <c r="X4454" s="10"/>
      <c r="Y4454" s="10"/>
      <c r="Z4454" s="10"/>
      <c r="AA4454" s="11" t="str">
        <f t="shared" si="139"/>
        <v/>
      </c>
    </row>
    <row r="4455" spans="16:27" ht="15" customHeight="1">
      <c r="P4455" t="str">
        <f t="shared" si="138"/>
        <v/>
      </c>
      <c r="Q4455" t="str">
        <f>IF(P4455="","",IFERROR(IF(AND(H4455="W7",OR(F4455="causal",F4455="predictive")),IF(AND(OR(K4455=1,K4455="1"),OR(L4455=1,L4455="1"),OR(M4455=1,M4455="1")),"adequate","partial"),IF(AND(H4455="W4",F4455="predictive",OR(J4455="P2",J4455="P3",J4455="P4")),IF(OR(U4455=1,U4455="1"),"adequate","partial"),INDEX(Fit_Matrix!$B:$B,MATCH(P4455,Fit_Matrix!$A:$A,0)))),"CHECK KEY"))</f>
        <v/>
      </c>
      <c r="U4455" s="10"/>
      <c r="V4455" s="10"/>
      <c r="W4455" s="10"/>
      <c r="X4455" s="10"/>
      <c r="Y4455" s="10"/>
      <c r="Z4455" s="10"/>
      <c r="AA4455" s="11" t="str">
        <f t="shared" si="139"/>
        <v/>
      </c>
    </row>
    <row r="4456" spans="16:27" ht="15" customHeight="1">
      <c r="P4456" t="str">
        <f t="shared" si="138"/>
        <v/>
      </c>
      <c r="Q4456" t="str">
        <f>IF(P4456="","",IFERROR(IF(AND(H4456="W7",OR(F4456="causal",F4456="predictive")),IF(AND(OR(K4456=1,K4456="1"),OR(L4456=1,L4456="1"),OR(M4456=1,M4456="1")),"adequate","partial"),IF(AND(H4456="W4",F4456="predictive",OR(J4456="P2",J4456="P3",J4456="P4")),IF(OR(U4456=1,U4456="1"),"adequate","partial"),INDEX(Fit_Matrix!$B:$B,MATCH(P4456,Fit_Matrix!$A:$A,0)))),"CHECK KEY"))</f>
        <v/>
      </c>
      <c r="U4456" s="10"/>
      <c r="V4456" s="10"/>
      <c r="W4456" s="10"/>
      <c r="X4456" s="10"/>
      <c r="Y4456" s="10"/>
      <c r="Z4456" s="10"/>
      <c r="AA4456" s="11" t="str">
        <f t="shared" si="139"/>
        <v/>
      </c>
    </row>
    <row r="4457" spans="16:27" ht="15" customHeight="1">
      <c r="P4457" t="str">
        <f t="shared" si="138"/>
        <v/>
      </c>
      <c r="Q4457" t="str">
        <f>IF(P4457="","",IFERROR(IF(AND(H4457="W7",OR(F4457="causal",F4457="predictive")),IF(AND(OR(K4457=1,K4457="1"),OR(L4457=1,L4457="1"),OR(M4457=1,M4457="1")),"adequate","partial"),IF(AND(H4457="W4",F4457="predictive",OR(J4457="P2",J4457="P3",J4457="P4")),IF(OR(U4457=1,U4457="1"),"adequate","partial"),INDEX(Fit_Matrix!$B:$B,MATCH(P4457,Fit_Matrix!$A:$A,0)))),"CHECK KEY"))</f>
        <v/>
      </c>
      <c r="U4457" s="10"/>
      <c r="V4457" s="10"/>
      <c r="W4457" s="10"/>
      <c r="X4457" s="10"/>
      <c r="Y4457" s="10"/>
      <c r="Z4457" s="10"/>
      <c r="AA4457" s="11" t="str">
        <f t="shared" si="139"/>
        <v/>
      </c>
    </row>
    <row r="4458" spans="16:27" ht="15" customHeight="1">
      <c r="P4458" t="str">
        <f t="shared" si="138"/>
        <v/>
      </c>
      <c r="Q4458" t="str">
        <f>IF(P4458="","",IFERROR(IF(AND(H4458="W7",OR(F4458="causal",F4458="predictive")),IF(AND(OR(K4458=1,K4458="1"),OR(L4458=1,L4458="1"),OR(M4458=1,M4458="1")),"adequate","partial"),IF(AND(H4458="W4",F4458="predictive",OR(J4458="P2",J4458="P3",J4458="P4")),IF(OR(U4458=1,U4458="1"),"adequate","partial"),INDEX(Fit_Matrix!$B:$B,MATCH(P4458,Fit_Matrix!$A:$A,0)))),"CHECK KEY"))</f>
        <v/>
      </c>
      <c r="U4458" s="10"/>
      <c r="V4458" s="10"/>
      <c r="W4458" s="10"/>
      <c r="X4458" s="10"/>
      <c r="Y4458" s="10"/>
      <c r="Z4458" s="10"/>
      <c r="AA4458" s="11" t="str">
        <f t="shared" si="139"/>
        <v/>
      </c>
    </row>
    <row r="4459" spans="16:27" ht="15" customHeight="1">
      <c r="P4459" t="str">
        <f t="shared" si="138"/>
        <v/>
      </c>
      <c r="Q4459" t="str">
        <f>IF(P4459="","",IFERROR(IF(AND(H4459="W7",OR(F4459="causal",F4459="predictive")),IF(AND(OR(K4459=1,K4459="1"),OR(L4459=1,L4459="1"),OR(M4459=1,M4459="1")),"adequate","partial"),IF(AND(H4459="W4",F4459="predictive",OR(J4459="P2",J4459="P3",J4459="P4")),IF(OR(U4459=1,U4459="1"),"adequate","partial"),INDEX(Fit_Matrix!$B:$B,MATCH(P4459,Fit_Matrix!$A:$A,0)))),"CHECK KEY"))</f>
        <v/>
      </c>
      <c r="U4459" s="10"/>
      <c r="V4459" s="10"/>
      <c r="W4459" s="10"/>
      <c r="X4459" s="10"/>
      <c r="Y4459" s="10"/>
      <c r="Z4459" s="10"/>
      <c r="AA4459" s="11" t="str">
        <f t="shared" si="139"/>
        <v/>
      </c>
    </row>
    <row r="4460" spans="16:27" ht="15" customHeight="1">
      <c r="P4460" t="str">
        <f t="shared" si="138"/>
        <v/>
      </c>
      <c r="Q4460" t="str">
        <f>IF(P4460="","",IFERROR(IF(AND(H4460="W7",OR(F4460="causal",F4460="predictive")),IF(AND(OR(K4460=1,K4460="1"),OR(L4460=1,L4460="1"),OR(M4460=1,M4460="1")),"adequate","partial"),IF(AND(H4460="W4",F4460="predictive",OR(J4460="P2",J4460="P3",J4460="P4")),IF(OR(U4460=1,U4460="1"),"adequate","partial"),INDEX(Fit_Matrix!$B:$B,MATCH(P4460,Fit_Matrix!$A:$A,0)))),"CHECK KEY"))</f>
        <v/>
      </c>
      <c r="U4460" s="10"/>
      <c r="V4460" s="10"/>
      <c r="W4460" s="10"/>
      <c r="X4460" s="10"/>
      <c r="Y4460" s="10"/>
      <c r="Z4460" s="10"/>
      <c r="AA4460" s="11" t="str">
        <f t="shared" si="139"/>
        <v/>
      </c>
    </row>
    <row r="4461" spans="16:27" ht="15" customHeight="1">
      <c r="P4461" t="str">
        <f t="shared" si="138"/>
        <v/>
      </c>
      <c r="Q4461" t="str">
        <f>IF(P4461="","",IFERROR(IF(AND(H4461="W7",OR(F4461="causal",F4461="predictive")),IF(AND(OR(K4461=1,K4461="1"),OR(L4461=1,L4461="1"),OR(M4461=1,M4461="1")),"adequate","partial"),IF(AND(H4461="W4",F4461="predictive",OR(J4461="P2",J4461="P3",J4461="P4")),IF(OR(U4461=1,U4461="1"),"adequate","partial"),INDEX(Fit_Matrix!$B:$B,MATCH(P4461,Fit_Matrix!$A:$A,0)))),"CHECK KEY"))</f>
        <v/>
      </c>
      <c r="U4461" s="10"/>
      <c r="V4461" s="10"/>
      <c r="W4461" s="10"/>
      <c r="X4461" s="10"/>
      <c r="Y4461" s="10"/>
      <c r="Z4461" s="10"/>
      <c r="AA4461" s="11" t="str">
        <f t="shared" si="139"/>
        <v/>
      </c>
    </row>
    <row r="4462" spans="16:27" ht="15" customHeight="1">
      <c r="P4462" t="str">
        <f t="shared" si="138"/>
        <v/>
      </c>
      <c r="Q4462" t="str">
        <f>IF(P4462="","",IFERROR(IF(AND(H4462="W7",OR(F4462="causal",F4462="predictive")),IF(AND(OR(K4462=1,K4462="1"),OR(L4462=1,L4462="1"),OR(M4462=1,M4462="1")),"adequate","partial"),IF(AND(H4462="W4",F4462="predictive",OR(J4462="P2",J4462="P3",J4462="P4")),IF(OR(U4462=1,U4462="1"),"adequate","partial"),INDEX(Fit_Matrix!$B:$B,MATCH(P4462,Fit_Matrix!$A:$A,0)))),"CHECK KEY"))</f>
        <v/>
      </c>
      <c r="U4462" s="10"/>
      <c r="V4462" s="10"/>
      <c r="W4462" s="10"/>
      <c r="X4462" s="10"/>
      <c r="Y4462" s="10"/>
      <c r="Z4462" s="10"/>
      <c r="AA4462" s="11" t="str">
        <f t="shared" si="139"/>
        <v/>
      </c>
    </row>
    <row r="4463" spans="16:27" ht="15" customHeight="1">
      <c r="P4463" t="str">
        <f t="shared" si="138"/>
        <v/>
      </c>
      <c r="Q4463" t="str">
        <f>IF(P4463="","",IFERROR(IF(AND(H4463="W7",OR(F4463="causal",F4463="predictive")),IF(AND(OR(K4463=1,K4463="1"),OR(L4463=1,L4463="1"),OR(M4463=1,M4463="1")),"adequate","partial"),IF(AND(H4463="W4",F4463="predictive",OR(J4463="P2",J4463="P3",J4463="P4")),IF(OR(U4463=1,U4463="1"),"adequate","partial"),INDEX(Fit_Matrix!$B:$B,MATCH(P4463,Fit_Matrix!$A:$A,0)))),"CHECK KEY"))</f>
        <v/>
      </c>
      <c r="U4463" s="10"/>
      <c r="V4463" s="10"/>
      <c r="W4463" s="10"/>
      <c r="X4463" s="10"/>
      <c r="Y4463" s="10"/>
      <c r="Z4463" s="10"/>
      <c r="AA4463" s="11" t="str">
        <f t="shared" si="139"/>
        <v/>
      </c>
    </row>
    <row r="4464" spans="16:27" ht="15" customHeight="1">
      <c r="P4464" t="str">
        <f t="shared" si="138"/>
        <v/>
      </c>
      <c r="Q4464" t="str">
        <f>IF(P4464="","",IFERROR(IF(AND(H4464="W7",OR(F4464="causal",F4464="predictive")),IF(AND(OR(K4464=1,K4464="1"),OR(L4464=1,L4464="1"),OR(M4464=1,M4464="1")),"adequate","partial"),IF(AND(H4464="W4",F4464="predictive",OR(J4464="P2",J4464="P3",J4464="P4")),IF(OR(U4464=1,U4464="1"),"adequate","partial"),INDEX(Fit_Matrix!$B:$B,MATCH(P4464,Fit_Matrix!$A:$A,0)))),"CHECK KEY"))</f>
        <v/>
      </c>
      <c r="U4464" s="10"/>
      <c r="V4464" s="10"/>
      <c r="W4464" s="10"/>
      <c r="X4464" s="10"/>
      <c r="Y4464" s="10"/>
      <c r="Z4464" s="10"/>
      <c r="AA4464" s="11" t="str">
        <f t="shared" si="139"/>
        <v/>
      </c>
    </row>
    <row r="4465" spans="16:27" ht="15" customHeight="1">
      <c r="P4465" t="str">
        <f t="shared" si="138"/>
        <v/>
      </c>
      <c r="Q4465" t="str">
        <f>IF(P4465="","",IFERROR(IF(AND(H4465="W7",OR(F4465="causal",F4465="predictive")),IF(AND(OR(K4465=1,K4465="1"),OR(L4465=1,L4465="1"),OR(M4465=1,M4465="1")),"adequate","partial"),IF(AND(H4465="W4",F4465="predictive",OR(J4465="P2",J4465="P3",J4465="P4")),IF(OR(U4465=1,U4465="1"),"adequate","partial"),INDEX(Fit_Matrix!$B:$B,MATCH(P4465,Fit_Matrix!$A:$A,0)))),"CHECK KEY"))</f>
        <v/>
      </c>
      <c r="U4465" s="10"/>
      <c r="V4465" s="10"/>
      <c r="W4465" s="10"/>
      <c r="X4465" s="10"/>
      <c r="Y4465" s="10"/>
      <c r="Z4465" s="10"/>
      <c r="AA4465" s="11" t="str">
        <f t="shared" si="139"/>
        <v/>
      </c>
    </row>
    <row r="4466" spans="16:27" ht="15" customHeight="1">
      <c r="P4466" t="str">
        <f t="shared" si="138"/>
        <v/>
      </c>
      <c r="Q4466" t="str">
        <f>IF(P4466="","",IFERROR(IF(AND(H4466="W7",OR(F4466="causal",F4466="predictive")),IF(AND(OR(K4466=1,K4466="1"),OR(L4466=1,L4466="1"),OR(M4466=1,M4466="1")),"adequate","partial"),IF(AND(H4466="W4",F4466="predictive",OR(J4466="P2",J4466="P3",J4466="P4")),IF(OR(U4466=1,U4466="1"),"adequate","partial"),INDEX(Fit_Matrix!$B:$B,MATCH(P4466,Fit_Matrix!$A:$A,0)))),"CHECK KEY"))</f>
        <v/>
      </c>
      <c r="U4466" s="10"/>
      <c r="V4466" s="10"/>
      <c r="W4466" s="10"/>
      <c r="X4466" s="10"/>
      <c r="Y4466" s="10"/>
      <c r="Z4466" s="10"/>
      <c r="AA4466" s="11" t="str">
        <f t="shared" si="139"/>
        <v/>
      </c>
    </row>
    <row r="4467" spans="16:27" ht="15" customHeight="1">
      <c r="P4467" t="str">
        <f t="shared" si="138"/>
        <v/>
      </c>
      <c r="Q4467" t="str">
        <f>IF(P4467="","",IFERROR(IF(AND(H4467="W7",OR(F4467="causal",F4467="predictive")),IF(AND(OR(K4467=1,K4467="1"),OR(L4467=1,L4467="1"),OR(M4467=1,M4467="1")),"adequate","partial"),IF(AND(H4467="W4",F4467="predictive",OR(J4467="P2",J4467="P3",J4467="P4")),IF(OR(U4467=1,U4467="1"),"adequate","partial"),INDEX(Fit_Matrix!$B:$B,MATCH(P4467,Fit_Matrix!$A:$A,0)))),"CHECK KEY"))</f>
        <v/>
      </c>
      <c r="U4467" s="10"/>
      <c r="V4467" s="10"/>
      <c r="W4467" s="10"/>
      <c r="X4467" s="10"/>
      <c r="Y4467" s="10"/>
      <c r="Z4467" s="10"/>
      <c r="AA4467" s="11" t="str">
        <f t="shared" si="139"/>
        <v/>
      </c>
    </row>
    <row r="4468" spans="16:27" ht="15" customHeight="1">
      <c r="P4468" t="str">
        <f t="shared" si="138"/>
        <v/>
      </c>
      <c r="Q4468" t="str">
        <f>IF(P4468="","",IFERROR(IF(AND(H4468="W7",OR(F4468="causal",F4468="predictive")),IF(AND(OR(K4468=1,K4468="1"),OR(L4468=1,L4468="1"),OR(M4468=1,M4468="1")),"adequate","partial"),IF(AND(H4468="W4",F4468="predictive",OR(J4468="P2",J4468="P3",J4468="P4")),IF(OR(U4468=1,U4468="1"),"adequate","partial"),INDEX(Fit_Matrix!$B:$B,MATCH(P4468,Fit_Matrix!$A:$A,0)))),"CHECK KEY"))</f>
        <v/>
      </c>
      <c r="U4468" s="10"/>
      <c r="V4468" s="10"/>
      <c r="W4468" s="10"/>
      <c r="X4468" s="10"/>
      <c r="Y4468" s="10"/>
      <c r="Z4468" s="10"/>
      <c r="AA4468" s="11" t="str">
        <f t="shared" si="139"/>
        <v/>
      </c>
    </row>
    <row r="4469" spans="16:27" ht="15" customHeight="1">
      <c r="P4469" t="str">
        <f t="shared" si="138"/>
        <v/>
      </c>
      <c r="Q4469" t="str">
        <f>IF(P4469="","",IFERROR(IF(AND(H4469="W7",OR(F4469="causal",F4469="predictive")),IF(AND(OR(K4469=1,K4469="1"),OR(L4469=1,L4469="1"),OR(M4469=1,M4469="1")),"adequate","partial"),IF(AND(H4469="W4",F4469="predictive",OR(J4469="P2",J4469="P3",J4469="P4")),IF(OR(U4469=1,U4469="1"),"adequate","partial"),INDEX(Fit_Matrix!$B:$B,MATCH(P4469,Fit_Matrix!$A:$A,0)))),"CHECK KEY"))</f>
        <v/>
      </c>
      <c r="U4469" s="10"/>
      <c r="V4469" s="10"/>
      <c r="W4469" s="10"/>
      <c r="X4469" s="10"/>
      <c r="Y4469" s="10"/>
      <c r="Z4469" s="10"/>
      <c r="AA4469" s="11" t="str">
        <f t="shared" si="139"/>
        <v/>
      </c>
    </row>
    <row r="4470" spans="16:27" ht="15" customHeight="1">
      <c r="P4470" t="str">
        <f t="shared" si="138"/>
        <v/>
      </c>
      <c r="Q4470" t="str">
        <f>IF(P4470="","",IFERROR(IF(AND(H4470="W7",OR(F4470="causal",F4470="predictive")),IF(AND(OR(K4470=1,K4470="1"),OR(L4470=1,L4470="1"),OR(M4470=1,M4470="1")),"adequate","partial"),IF(AND(H4470="W4",F4470="predictive",OR(J4470="P2",J4470="P3",J4470="P4")),IF(OR(U4470=1,U4470="1"),"adequate","partial"),INDEX(Fit_Matrix!$B:$B,MATCH(P4470,Fit_Matrix!$A:$A,0)))),"CHECK KEY"))</f>
        <v/>
      </c>
      <c r="U4470" s="10"/>
      <c r="V4470" s="10"/>
      <c r="W4470" s="10"/>
      <c r="X4470" s="10"/>
      <c r="Y4470" s="10"/>
      <c r="Z4470" s="10"/>
      <c r="AA4470" s="11" t="str">
        <f t="shared" si="139"/>
        <v/>
      </c>
    </row>
    <row r="4471" spans="16:27" ht="15" customHeight="1">
      <c r="P4471" t="str">
        <f t="shared" si="138"/>
        <v/>
      </c>
      <c r="Q4471" t="str">
        <f>IF(P4471="","",IFERROR(IF(AND(H4471="W7",OR(F4471="causal",F4471="predictive")),IF(AND(OR(K4471=1,K4471="1"),OR(L4471=1,L4471="1"),OR(M4471=1,M4471="1")),"adequate","partial"),IF(AND(H4471="W4",F4471="predictive",OR(J4471="P2",J4471="P3",J4471="P4")),IF(OR(U4471=1,U4471="1"),"adequate","partial"),INDEX(Fit_Matrix!$B:$B,MATCH(P4471,Fit_Matrix!$A:$A,0)))),"CHECK KEY"))</f>
        <v/>
      </c>
      <c r="U4471" s="10"/>
      <c r="V4471" s="10"/>
      <c r="W4471" s="10"/>
      <c r="X4471" s="10"/>
      <c r="Y4471" s="10"/>
      <c r="Z4471" s="10"/>
      <c r="AA4471" s="11" t="str">
        <f t="shared" si="139"/>
        <v/>
      </c>
    </row>
    <row r="4472" spans="16:27" ht="15" customHeight="1">
      <c r="P4472" t="str">
        <f t="shared" si="138"/>
        <v/>
      </c>
      <c r="Q4472" t="str">
        <f>IF(P4472="","",IFERROR(IF(AND(H4472="W7",OR(F4472="causal",F4472="predictive")),IF(AND(OR(K4472=1,K4472="1"),OR(L4472=1,L4472="1"),OR(M4472=1,M4472="1")),"adequate","partial"),IF(AND(H4472="W4",F4472="predictive",OR(J4472="P2",J4472="P3",J4472="P4")),IF(OR(U4472=1,U4472="1"),"adequate","partial"),INDEX(Fit_Matrix!$B:$B,MATCH(P4472,Fit_Matrix!$A:$A,0)))),"CHECK KEY"))</f>
        <v/>
      </c>
      <c r="U4472" s="10"/>
      <c r="V4472" s="10"/>
      <c r="W4472" s="10"/>
      <c r="X4472" s="10"/>
      <c r="Y4472" s="10"/>
      <c r="Z4472" s="10"/>
      <c r="AA4472" s="11" t="str">
        <f t="shared" si="139"/>
        <v/>
      </c>
    </row>
    <row r="4473" spans="16:27" ht="15" customHeight="1">
      <c r="P4473" t="str">
        <f t="shared" si="138"/>
        <v/>
      </c>
      <c r="Q4473" t="str">
        <f>IF(P4473="","",IFERROR(IF(AND(H4473="W7",OR(F4473="causal",F4473="predictive")),IF(AND(OR(K4473=1,K4473="1"),OR(L4473=1,L4473="1"),OR(M4473=1,M4473="1")),"adequate","partial"),IF(AND(H4473="W4",F4473="predictive",OR(J4473="P2",J4473="P3",J4473="P4")),IF(OR(U4473=1,U4473="1"),"adequate","partial"),INDEX(Fit_Matrix!$B:$B,MATCH(P4473,Fit_Matrix!$A:$A,0)))),"CHECK KEY"))</f>
        <v/>
      </c>
      <c r="U4473" s="10"/>
      <c r="V4473" s="10"/>
      <c r="W4473" s="10"/>
      <c r="X4473" s="10"/>
      <c r="Y4473" s="10"/>
      <c r="Z4473" s="10"/>
      <c r="AA4473" s="11" t="str">
        <f t="shared" si="139"/>
        <v/>
      </c>
    </row>
    <row r="4474" spans="16:27" ht="15" customHeight="1">
      <c r="P4474" t="str">
        <f t="shared" si="138"/>
        <v/>
      </c>
      <c r="Q4474" t="str">
        <f>IF(P4474="","",IFERROR(IF(AND(H4474="W7",OR(F4474="causal",F4474="predictive")),IF(AND(OR(K4474=1,K4474="1"),OR(L4474=1,L4474="1"),OR(M4474=1,M4474="1")),"adequate","partial"),IF(AND(H4474="W4",F4474="predictive",OR(J4474="P2",J4474="P3",J4474="P4")),IF(OR(U4474=1,U4474="1"),"adequate","partial"),INDEX(Fit_Matrix!$B:$B,MATCH(P4474,Fit_Matrix!$A:$A,0)))),"CHECK KEY"))</f>
        <v/>
      </c>
      <c r="U4474" s="10"/>
      <c r="V4474" s="10"/>
      <c r="W4474" s="10"/>
      <c r="X4474" s="10"/>
      <c r="Y4474" s="10"/>
      <c r="Z4474" s="10"/>
      <c r="AA4474" s="11" t="str">
        <f t="shared" si="139"/>
        <v/>
      </c>
    </row>
    <row r="4475" spans="16:27" ht="15" customHeight="1">
      <c r="P4475" t="str">
        <f t="shared" si="138"/>
        <v/>
      </c>
      <c r="Q4475" t="str">
        <f>IF(P4475="","",IFERROR(IF(AND(H4475="W7",OR(F4475="causal",F4475="predictive")),IF(AND(OR(K4475=1,K4475="1"),OR(L4475=1,L4475="1"),OR(M4475=1,M4475="1")),"adequate","partial"),IF(AND(H4475="W4",F4475="predictive",OR(J4475="P2",J4475="P3",J4475="P4")),IF(OR(U4475=1,U4475="1"),"adequate","partial"),INDEX(Fit_Matrix!$B:$B,MATCH(P4475,Fit_Matrix!$A:$A,0)))),"CHECK KEY"))</f>
        <v/>
      </c>
      <c r="U4475" s="10"/>
      <c r="V4475" s="10"/>
      <c r="W4475" s="10"/>
      <c r="X4475" s="10"/>
      <c r="Y4475" s="10"/>
      <c r="Z4475" s="10"/>
      <c r="AA4475" s="11" t="str">
        <f t="shared" si="139"/>
        <v/>
      </c>
    </row>
    <row r="4476" spans="16:27" ht="15" customHeight="1">
      <c r="P4476" t="str">
        <f t="shared" si="138"/>
        <v/>
      </c>
      <c r="Q4476" t="str">
        <f>IF(P4476="","",IFERROR(IF(AND(H4476="W7",OR(F4476="causal",F4476="predictive")),IF(AND(OR(K4476=1,K4476="1"),OR(L4476=1,L4476="1"),OR(M4476=1,M4476="1")),"adequate","partial"),IF(AND(H4476="W4",F4476="predictive",OR(J4476="P2",J4476="P3",J4476="P4")),IF(OR(U4476=1,U4476="1"),"adequate","partial"),INDEX(Fit_Matrix!$B:$B,MATCH(P4476,Fit_Matrix!$A:$A,0)))),"CHECK KEY"))</f>
        <v/>
      </c>
      <c r="U4476" s="10"/>
      <c r="V4476" s="10"/>
      <c r="W4476" s="10"/>
      <c r="X4476" s="10"/>
      <c r="Y4476" s="10"/>
      <c r="Z4476" s="10"/>
      <c r="AA4476" s="11" t="str">
        <f t="shared" si="139"/>
        <v/>
      </c>
    </row>
    <row r="4477" spans="16:27" ht="15" customHeight="1">
      <c r="P4477" t="str">
        <f t="shared" si="138"/>
        <v/>
      </c>
      <c r="Q4477" t="str">
        <f>IF(P4477="","",IFERROR(IF(AND(H4477="W7",OR(F4477="causal",F4477="predictive")),IF(AND(OR(K4477=1,K4477="1"),OR(L4477=1,L4477="1"),OR(M4477=1,M4477="1")),"adequate","partial"),IF(AND(H4477="W4",F4477="predictive",OR(J4477="P2",J4477="P3",J4477="P4")),IF(OR(U4477=1,U4477="1"),"adequate","partial"),INDEX(Fit_Matrix!$B:$B,MATCH(P4477,Fit_Matrix!$A:$A,0)))),"CHECK KEY"))</f>
        <v/>
      </c>
      <c r="U4477" s="10"/>
      <c r="V4477" s="10"/>
      <c r="W4477" s="10"/>
      <c r="X4477" s="10"/>
      <c r="Y4477" s="10"/>
      <c r="Z4477" s="10"/>
      <c r="AA4477" s="11" t="str">
        <f t="shared" si="139"/>
        <v/>
      </c>
    </row>
    <row r="4478" spans="16:27" ht="15" customHeight="1">
      <c r="P4478" t="str">
        <f t="shared" si="138"/>
        <v/>
      </c>
      <c r="Q4478" t="str">
        <f>IF(P4478="","",IFERROR(IF(AND(H4478="W7",OR(F4478="causal",F4478="predictive")),IF(AND(OR(K4478=1,K4478="1"),OR(L4478=1,L4478="1"),OR(M4478=1,M4478="1")),"adequate","partial"),IF(AND(H4478="W4",F4478="predictive",OR(J4478="P2",J4478="P3",J4478="P4")),IF(OR(U4478=1,U4478="1"),"adequate","partial"),INDEX(Fit_Matrix!$B:$B,MATCH(P4478,Fit_Matrix!$A:$A,0)))),"CHECK KEY"))</f>
        <v/>
      </c>
      <c r="U4478" s="10"/>
      <c r="V4478" s="10"/>
      <c r="W4478" s="10"/>
      <c r="X4478" s="10"/>
      <c r="Y4478" s="10"/>
      <c r="Z4478" s="10"/>
      <c r="AA4478" s="11" t="str">
        <f t="shared" si="139"/>
        <v/>
      </c>
    </row>
    <row r="4479" spans="16:27" ht="15" customHeight="1">
      <c r="P4479" t="str">
        <f t="shared" si="138"/>
        <v/>
      </c>
      <c r="Q4479" t="str">
        <f>IF(P4479="","",IFERROR(IF(AND(H4479="W7",OR(F4479="causal",F4479="predictive")),IF(AND(OR(K4479=1,K4479="1"),OR(L4479=1,L4479="1"),OR(M4479=1,M4479="1")),"adequate","partial"),IF(AND(H4479="W4",F4479="predictive",OR(J4479="P2",J4479="P3",J4479="P4")),IF(OR(U4479=1,U4479="1"),"adequate","partial"),INDEX(Fit_Matrix!$B:$B,MATCH(P4479,Fit_Matrix!$A:$A,0)))),"CHECK KEY"))</f>
        <v/>
      </c>
      <c r="U4479" s="10"/>
      <c r="V4479" s="10"/>
      <c r="W4479" s="10"/>
      <c r="X4479" s="10"/>
      <c r="Y4479" s="10"/>
      <c r="Z4479" s="10"/>
      <c r="AA4479" s="11" t="str">
        <f t="shared" si="139"/>
        <v/>
      </c>
    </row>
    <row r="4480" spans="16:27" ht="15" customHeight="1">
      <c r="P4480" t="str">
        <f t="shared" si="138"/>
        <v/>
      </c>
      <c r="Q4480" t="str">
        <f>IF(P4480="","",IFERROR(IF(AND(H4480="W7",OR(F4480="causal",F4480="predictive")),IF(AND(OR(K4480=1,K4480="1"),OR(L4480=1,L4480="1"),OR(M4480=1,M4480="1")),"adequate","partial"),IF(AND(H4480="W4",F4480="predictive",OR(J4480="P2",J4480="P3",J4480="P4")),IF(OR(U4480=1,U4480="1"),"adequate","partial"),INDEX(Fit_Matrix!$B:$B,MATCH(P4480,Fit_Matrix!$A:$A,0)))),"CHECK KEY"))</f>
        <v/>
      </c>
      <c r="U4480" s="10"/>
      <c r="V4480" s="10"/>
      <c r="W4480" s="10"/>
      <c r="X4480" s="10"/>
      <c r="Y4480" s="10"/>
      <c r="Z4480" s="10"/>
      <c r="AA4480" s="11" t="str">
        <f t="shared" si="139"/>
        <v/>
      </c>
    </row>
    <row r="4481" spans="16:27" ht="15" customHeight="1">
      <c r="P4481" t="str">
        <f t="shared" si="138"/>
        <v/>
      </c>
      <c r="Q4481" t="str">
        <f>IF(P4481="","",IFERROR(IF(AND(H4481="W7",OR(F4481="causal",F4481="predictive")),IF(AND(OR(K4481=1,K4481="1"),OR(L4481=1,L4481="1"),OR(M4481=1,M4481="1")),"adequate","partial"),IF(AND(H4481="W4",F4481="predictive",OR(J4481="P2",J4481="P3",J4481="P4")),IF(OR(U4481=1,U4481="1"),"adequate","partial"),INDEX(Fit_Matrix!$B:$B,MATCH(P4481,Fit_Matrix!$A:$A,0)))),"CHECK KEY"))</f>
        <v/>
      </c>
      <c r="U4481" s="10"/>
      <c r="V4481" s="10"/>
      <c r="W4481" s="10"/>
      <c r="X4481" s="10"/>
      <c r="Y4481" s="10"/>
      <c r="Z4481" s="10"/>
      <c r="AA4481" s="11" t="str">
        <f t="shared" si="139"/>
        <v/>
      </c>
    </row>
    <row r="4482" spans="16:27" ht="15" customHeight="1">
      <c r="P4482" t="str">
        <f t="shared" ref="P4482:P4545" si="140">IF(OR(F4482="",H4482="",J4482=""),"",J4482&amp;"|"&amp;F4482&amp;"|"&amp;IF(H4482="W3","W3_"&amp;IF(I4482="","unknown",I4482),H4482))</f>
        <v/>
      </c>
      <c r="Q4482" t="str">
        <f>IF(P4482="","",IFERROR(IF(AND(H4482="W7",OR(F4482="causal",F4482="predictive")),IF(AND(OR(K4482=1,K4482="1"),OR(L4482=1,L4482="1"),OR(M4482=1,M4482="1")),"adequate","partial"),IF(AND(H4482="W4",F4482="predictive",OR(J4482="P2",J4482="P3",J4482="P4")),IF(OR(U4482=1,U4482="1"),"adequate","partial"),INDEX(Fit_Matrix!$B:$B,MATCH(P4482,Fit_Matrix!$A:$A,0)))),"CHECK KEY"))</f>
        <v/>
      </c>
      <c r="U4482" s="10"/>
      <c r="V4482" s="10"/>
      <c r="W4482" s="10"/>
      <c r="X4482" s="10"/>
      <c r="Y4482" s="10"/>
      <c r="Z4482" s="10"/>
      <c r="AA4482" s="11" t="str">
        <f t="shared" ref="AA4482:AA4545" si="141">IF(A4482="","",IF(AND(J4482="P4",F4482="causal"),"P4-CAUSAL",""))</f>
        <v/>
      </c>
    </row>
    <row r="4483" spans="16:27" ht="15" customHeight="1">
      <c r="P4483" t="str">
        <f t="shared" si="140"/>
        <v/>
      </c>
      <c r="Q4483" t="str">
        <f>IF(P4483="","",IFERROR(IF(AND(H4483="W7",OR(F4483="causal",F4483="predictive")),IF(AND(OR(K4483=1,K4483="1"),OR(L4483=1,L4483="1"),OR(M4483=1,M4483="1")),"adequate","partial"),IF(AND(H4483="W4",F4483="predictive",OR(J4483="P2",J4483="P3",J4483="P4")),IF(OR(U4483=1,U4483="1"),"adequate","partial"),INDEX(Fit_Matrix!$B:$B,MATCH(P4483,Fit_Matrix!$A:$A,0)))),"CHECK KEY"))</f>
        <v/>
      </c>
      <c r="U4483" s="10"/>
      <c r="V4483" s="10"/>
      <c r="W4483" s="10"/>
      <c r="X4483" s="10"/>
      <c r="Y4483" s="10"/>
      <c r="Z4483" s="10"/>
      <c r="AA4483" s="11" t="str">
        <f t="shared" si="141"/>
        <v/>
      </c>
    </row>
    <row r="4484" spans="16:27" ht="15" customHeight="1">
      <c r="P4484" t="str">
        <f t="shared" si="140"/>
        <v/>
      </c>
      <c r="Q4484" t="str">
        <f>IF(P4484="","",IFERROR(IF(AND(H4484="W7",OR(F4484="causal",F4484="predictive")),IF(AND(OR(K4484=1,K4484="1"),OR(L4484=1,L4484="1"),OR(M4484=1,M4484="1")),"adequate","partial"),IF(AND(H4484="W4",F4484="predictive",OR(J4484="P2",J4484="P3",J4484="P4")),IF(OR(U4484=1,U4484="1"),"adequate","partial"),INDEX(Fit_Matrix!$B:$B,MATCH(P4484,Fit_Matrix!$A:$A,0)))),"CHECK KEY"))</f>
        <v/>
      </c>
      <c r="U4484" s="10"/>
      <c r="V4484" s="10"/>
      <c r="W4484" s="10"/>
      <c r="X4484" s="10"/>
      <c r="Y4484" s="10"/>
      <c r="Z4484" s="10"/>
      <c r="AA4484" s="11" t="str">
        <f t="shared" si="141"/>
        <v/>
      </c>
    </row>
    <row r="4485" spans="16:27" ht="15" customHeight="1">
      <c r="P4485" t="str">
        <f t="shared" si="140"/>
        <v/>
      </c>
      <c r="Q4485" t="str">
        <f>IF(P4485="","",IFERROR(IF(AND(H4485="W7",OR(F4485="causal",F4485="predictive")),IF(AND(OR(K4485=1,K4485="1"),OR(L4485=1,L4485="1"),OR(M4485=1,M4485="1")),"adequate","partial"),IF(AND(H4485="W4",F4485="predictive",OR(J4485="P2",J4485="P3",J4485="P4")),IF(OR(U4485=1,U4485="1"),"adequate","partial"),INDEX(Fit_Matrix!$B:$B,MATCH(P4485,Fit_Matrix!$A:$A,0)))),"CHECK KEY"))</f>
        <v/>
      </c>
      <c r="U4485" s="10"/>
      <c r="V4485" s="10"/>
      <c r="W4485" s="10"/>
      <c r="X4485" s="10"/>
      <c r="Y4485" s="10"/>
      <c r="Z4485" s="10"/>
      <c r="AA4485" s="11" t="str">
        <f t="shared" si="141"/>
        <v/>
      </c>
    </row>
    <row r="4486" spans="16:27" ht="15" customHeight="1">
      <c r="P4486" t="str">
        <f t="shared" si="140"/>
        <v/>
      </c>
      <c r="Q4486" t="str">
        <f>IF(P4486="","",IFERROR(IF(AND(H4486="W7",OR(F4486="causal",F4486="predictive")),IF(AND(OR(K4486=1,K4486="1"),OR(L4486=1,L4486="1"),OR(M4486=1,M4486="1")),"adequate","partial"),IF(AND(H4486="W4",F4486="predictive",OR(J4486="P2",J4486="P3",J4486="P4")),IF(OR(U4486=1,U4486="1"),"adequate","partial"),INDEX(Fit_Matrix!$B:$B,MATCH(P4486,Fit_Matrix!$A:$A,0)))),"CHECK KEY"))</f>
        <v/>
      </c>
      <c r="U4486" s="10"/>
      <c r="V4486" s="10"/>
      <c r="W4486" s="10"/>
      <c r="X4486" s="10"/>
      <c r="Y4486" s="10"/>
      <c r="Z4486" s="10"/>
      <c r="AA4486" s="11" t="str">
        <f t="shared" si="141"/>
        <v/>
      </c>
    </row>
    <row r="4487" spans="16:27" ht="15" customHeight="1">
      <c r="P4487" t="str">
        <f t="shared" si="140"/>
        <v/>
      </c>
      <c r="Q4487" t="str">
        <f>IF(P4487="","",IFERROR(IF(AND(H4487="W7",OR(F4487="causal",F4487="predictive")),IF(AND(OR(K4487=1,K4487="1"),OR(L4487=1,L4487="1"),OR(M4487=1,M4487="1")),"adequate","partial"),IF(AND(H4487="W4",F4487="predictive",OR(J4487="P2",J4487="P3",J4487="P4")),IF(OR(U4487=1,U4487="1"),"adequate","partial"),INDEX(Fit_Matrix!$B:$B,MATCH(P4487,Fit_Matrix!$A:$A,0)))),"CHECK KEY"))</f>
        <v/>
      </c>
      <c r="U4487" s="10"/>
      <c r="V4487" s="10"/>
      <c r="W4487" s="10"/>
      <c r="X4487" s="10"/>
      <c r="Y4487" s="10"/>
      <c r="Z4487" s="10"/>
      <c r="AA4487" s="11" t="str">
        <f t="shared" si="141"/>
        <v/>
      </c>
    </row>
    <row r="4488" spans="16:27" ht="15" customHeight="1">
      <c r="P4488" t="str">
        <f t="shared" si="140"/>
        <v/>
      </c>
      <c r="Q4488" t="str">
        <f>IF(P4488="","",IFERROR(IF(AND(H4488="W7",OR(F4488="causal",F4488="predictive")),IF(AND(OR(K4488=1,K4488="1"),OR(L4488=1,L4488="1"),OR(M4488=1,M4488="1")),"adequate","partial"),IF(AND(H4488="W4",F4488="predictive",OR(J4488="P2",J4488="P3",J4488="P4")),IF(OR(U4488=1,U4488="1"),"adequate","partial"),INDEX(Fit_Matrix!$B:$B,MATCH(P4488,Fit_Matrix!$A:$A,0)))),"CHECK KEY"))</f>
        <v/>
      </c>
      <c r="U4488" s="10"/>
      <c r="V4488" s="10"/>
      <c r="W4488" s="10"/>
      <c r="X4488" s="10"/>
      <c r="Y4488" s="10"/>
      <c r="Z4488" s="10"/>
      <c r="AA4488" s="11" t="str">
        <f t="shared" si="141"/>
        <v/>
      </c>
    </row>
    <row r="4489" spans="16:27" ht="15" customHeight="1">
      <c r="P4489" t="str">
        <f t="shared" si="140"/>
        <v/>
      </c>
      <c r="Q4489" t="str">
        <f>IF(P4489="","",IFERROR(IF(AND(H4489="W7",OR(F4489="causal",F4489="predictive")),IF(AND(OR(K4489=1,K4489="1"),OR(L4489=1,L4489="1"),OR(M4489=1,M4489="1")),"adequate","partial"),IF(AND(H4489="W4",F4489="predictive",OR(J4489="P2",J4489="P3",J4489="P4")),IF(OR(U4489=1,U4489="1"),"adequate","partial"),INDEX(Fit_Matrix!$B:$B,MATCH(P4489,Fit_Matrix!$A:$A,0)))),"CHECK KEY"))</f>
        <v/>
      </c>
      <c r="U4489" s="10"/>
      <c r="V4489" s="10"/>
      <c r="W4489" s="10"/>
      <c r="X4489" s="10"/>
      <c r="Y4489" s="10"/>
      <c r="Z4489" s="10"/>
      <c r="AA4489" s="11" t="str">
        <f t="shared" si="141"/>
        <v/>
      </c>
    </row>
    <row r="4490" spans="16:27" ht="15" customHeight="1">
      <c r="P4490" t="str">
        <f t="shared" si="140"/>
        <v/>
      </c>
      <c r="Q4490" t="str">
        <f>IF(P4490="","",IFERROR(IF(AND(H4490="W7",OR(F4490="causal",F4490="predictive")),IF(AND(OR(K4490=1,K4490="1"),OR(L4490=1,L4490="1"),OR(M4490=1,M4490="1")),"adequate","partial"),IF(AND(H4490="W4",F4490="predictive",OR(J4490="P2",J4490="P3",J4490="P4")),IF(OR(U4490=1,U4490="1"),"adequate","partial"),INDEX(Fit_Matrix!$B:$B,MATCH(P4490,Fit_Matrix!$A:$A,0)))),"CHECK KEY"))</f>
        <v/>
      </c>
      <c r="U4490" s="10"/>
      <c r="V4490" s="10"/>
      <c r="W4490" s="10"/>
      <c r="X4490" s="10"/>
      <c r="Y4490" s="10"/>
      <c r="Z4490" s="10"/>
      <c r="AA4490" s="11" t="str">
        <f t="shared" si="141"/>
        <v/>
      </c>
    </row>
    <row r="4491" spans="16:27" ht="15" customHeight="1">
      <c r="P4491" t="str">
        <f t="shared" si="140"/>
        <v/>
      </c>
      <c r="Q4491" t="str">
        <f>IF(P4491="","",IFERROR(IF(AND(H4491="W7",OR(F4491="causal",F4491="predictive")),IF(AND(OR(K4491=1,K4491="1"),OR(L4491=1,L4491="1"),OR(M4491=1,M4491="1")),"adequate","partial"),IF(AND(H4491="W4",F4491="predictive",OR(J4491="P2",J4491="P3",J4491="P4")),IF(OR(U4491=1,U4491="1"),"adequate","partial"),INDEX(Fit_Matrix!$B:$B,MATCH(P4491,Fit_Matrix!$A:$A,0)))),"CHECK KEY"))</f>
        <v/>
      </c>
      <c r="U4491" s="10"/>
      <c r="V4491" s="10"/>
      <c r="W4491" s="10"/>
      <c r="X4491" s="10"/>
      <c r="Y4491" s="10"/>
      <c r="Z4491" s="10"/>
      <c r="AA4491" s="11" t="str">
        <f t="shared" si="141"/>
        <v/>
      </c>
    </row>
    <row r="4492" spans="16:27" ht="15" customHeight="1">
      <c r="P4492" t="str">
        <f t="shared" si="140"/>
        <v/>
      </c>
      <c r="Q4492" t="str">
        <f>IF(P4492="","",IFERROR(IF(AND(H4492="W7",OR(F4492="causal",F4492="predictive")),IF(AND(OR(K4492=1,K4492="1"),OR(L4492=1,L4492="1"),OR(M4492=1,M4492="1")),"adequate","partial"),IF(AND(H4492="W4",F4492="predictive",OR(J4492="P2",J4492="P3",J4492="P4")),IF(OR(U4492=1,U4492="1"),"adequate","partial"),INDEX(Fit_Matrix!$B:$B,MATCH(P4492,Fit_Matrix!$A:$A,0)))),"CHECK KEY"))</f>
        <v/>
      </c>
      <c r="U4492" s="10"/>
      <c r="V4492" s="10"/>
      <c r="W4492" s="10"/>
      <c r="X4492" s="10"/>
      <c r="Y4492" s="10"/>
      <c r="Z4492" s="10"/>
      <c r="AA4492" s="11" t="str">
        <f t="shared" si="141"/>
        <v/>
      </c>
    </row>
    <row r="4493" spans="16:27" ht="15" customHeight="1">
      <c r="P4493" t="str">
        <f t="shared" si="140"/>
        <v/>
      </c>
      <c r="Q4493" t="str">
        <f>IF(P4493="","",IFERROR(IF(AND(H4493="W7",OR(F4493="causal",F4493="predictive")),IF(AND(OR(K4493=1,K4493="1"),OR(L4493=1,L4493="1"),OR(M4493=1,M4493="1")),"adequate","partial"),IF(AND(H4493="W4",F4493="predictive",OR(J4493="P2",J4493="P3",J4493="P4")),IF(OR(U4493=1,U4493="1"),"adequate","partial"),INDEX(Fit_Matrix!$B:$B,MATCH(P4493,Fit_Matrix!$A:$A,0)))),"CHECK KEY"))</f>
        <v/>
      </c>
      <c r="U4493" s="10"/>
      <c r="V4493" s="10"/>
      <c r="W4493" s="10"/>
      <c r="X4493" s="10"/>
      <c r="Y4493" s="10"/>
      <c r="Z4493" s="10"/>
      <c r="AA4493" s="11" t="str">
        <f t="shared" si="141"/>
        <v/>
      </c>
    </row>
    <row r="4494" spans="16:27" ht="15" customHeight="1">
      <c r="P4494" t="str">
        <f t="shared" si="140"/>
        <v/>
      </c>
      <c r="Q4494" t="str">
        <f>IF(P4494="","",IFERROR(IF(AND(H4494="W7",OR(F4494="causal",F4494="predictive")),IF(AND(OR(K4494=1,K4494="1"),OR(L4494=1,L4494="1"),OR(M4494=1,M4494="1")),"adequate","partial"),IF(AND(H4494="W4",F4494="predictive",OR(J4494="P2",J4494="P3",J4494="P4")),IF(OR(U4494=1,U4494="1"),"adequate","partial"),INDEX(Fit_Matrix!$B:$B,MATCH(P4494,Fit_Matrix!$A:$A,0)))),"CHECK KEY"))</f>
        <v/>
      </c>
      <c r="U4494" s="10"/>
      <c r="V4494" s="10"/>
      <c r="W4494" s="10"/>
      <c r="X4494" s="10"/>
      <c r="Y4494" s="10"/>
      <c r="Z4494" s="10"/>
      <c r="AA4494" s="11" t="str">
        <f t="shared" si="141"/>
        <v/>
      </c>
    </row>
    <row r="4495" spans="16:27" ht="15" customHeight="1">
      <c r="P4495" t="str">
        <f t="shared" si="140"/>
        <v/>
      </c>
      <c r="Q4495" t="str">
        <f>IF(P4495="","",IFERROR(IF(AND(H4495="W7",OR(F4495="causal",F4495="predictive")),IF(AND(OR(K4495=1,K4495="1"),OR(L4495=1,L4495="1"),OR(M4495=1,M4495="1")),"adequate","partial"),IF(AND(H4495="W4",F4495="predictive",OR(J4495="P2",J4495="P3",J4495="P4")),IF(OR(U4495=1,U4495="1"),"adequate","partial"),INDEX(Fit_Matrix!$B:$B,MATCH(P4495,Fit_Matrix!$A:$A,0)))),"CHECK KEY"))</f>
        <v/>
      </c>
      <c r="U4495" s="10"/>
      <c r="V4495" s="10"/>
      <c r="W4495" s="10"/>
      <c r="X4495" s="10"/>
      <c r="Y4495" s="10"/>
      <c r="Z4495" s="10"/>
      <c r="AA4495" s="11" t="str">
        <f t="shared" si="141"/>
        <v/>
      </c>
    </row>
    <row r="4496" spans="16:27" ht="15" customHeight="1">
      <c r="P4496" t="str">
        <f t="shared" si="140"/>
        <v/>
      </c>
      <c r="Q4496" t="str">
        <f>IF(P4496="","",IFERROR(IF(AND(H4496="W7",OR(F4496="causal",F4496="predictive")),IF(AND(OR(K4496=1,K4496="1"),OR(L4496=1,L4496="1"),OR(M4496=1,M4496="1")),"adequate","partial"),IF(AND(H4496="W4",F4496="predictive",OR(J4496="P2",J4496="P3",J4496="P4")),IF(OR(U4496=1,U4496="1"),"adequate","partial"),INDEX(Fit_Matrix!$B:$B,MATCH(P4496,Fit_Matrix!$A:$A,0)))),"CHECK KEY"))</f>
        <v/>
      </c>
      <c r="U4496" s="10"/>
      <c r="V4496" s="10"/>
      <c r="W4496" s="10"/>
      <c r="X4496" s="10"/>
      <c r="Y4496" s="10"/>
      <c r="Z4496" s="10"/>
      <c r="AA4496" s="11" t="str">
        <f t="shared" si="141"/>
        <v/>
      </c>
    </row>
    <row r="4497" spans="16:27" ht="15" customHeight="1">
      <c r="P4497" t="str">
        <f t="shared" si="140"/>
        <v/>
      </c>
      <c r="Q4497" t="str">
        <f>IF(P4497="","",IFERROR(IF(AND(H4497="W7",OR(F4497="causal",F4497="predictive")),IF(AND(OR(K4497=1,K4497="1"),OR(L4497=1,L4497="1"),OR(M4497=1,M4497="1")),"adequate","partial"),IF(AND(H4497="W4",F4497="predictive",OR(J4497="P2",J4497="P3",J4497="P4")),IF(OR(U4497=1,U4497="1"),"adequate","partial"),INDEX(Fit_Matrix!$B:$B,MATCH(P4497,Fit_Matrix!$A:$A,0)))),"CHECK KEY"))</f>
        <v/>
      </c>
      <c r="U4497" s="10"/>
      <c r="V4497" s="10"/>
      <c r="W4497" s="10"/>
      <c r="X4497" s="10"/>
      <c r="Y4497" s="10"/>
      <c r="Z4497" s="10"/>
      <c r="AA4497" s="11" t="str">
        <f t="shared" si="141"/>
        <v/>
      </c>
    </row>
    <row r="4498" spans="16:27" ht="15" customHeight="1">
      <c r="P4498" t="str">
        <f t="shared" si="140"/>
        <v/>
      </c>
      <c r="Q4498" t="str">
        <f>IF(P4498="","",IFERROR(IF(AND(H4498="W7",OR(F4498="causal",F4498="predictive")),IF(AND(OR(K4498=1,K4498="1"),OR(L4498=1,L4498="1"),OR(M4498=1,M4498="1")),"adequate","partial"),IF(AND(H4498="W4",F4498="predictive",OR(J4498="P2",J4498="P3",J4498="P4")),IF(OR(U4498=1,U4498="1"),"adequate","partial"),INDEX(Fit_Matrix!$B:$B,MATCH(P4498,Fit_Matrix!$A:$A,0)))),"CHECK KEY"))</f>
        <v/>
      </c>
      <c r="U4498" s="10"/>
      <c r="V4498" s="10"/>
      <c r="W4498" s="10"/>
      <c r="X4498" s="10"/>
      <c r="Y4498" s="10"/>
      <c r="Z4498" s="10"/>
      <c r="AA4498" s="11" t="str">
        <f t="shared" si="141"/>
        <v/>
      </c>
    </row>
    <row r="4499" spans="16:27" ht="15" customHeight="1">
      <c r="P4499" t="str">
        <f t="shared" si="140"/>
        <v/>
      </c>
      <c r="Q4499" t="str">
        <f>IF(P4499="","",IFERROR(IF(AND(H4499="W7",OR(F4499="causal",F4499="predictive")),IF(AND(OR(K4499=1,K4499="1"),OR(L4499=1,L4499="1"),OR(M4499=1,M4499="1")),"adequate","partial"),IF(AND(H4499="W4",F4499="predictive",OR(J4499="P2",J4499="P3",J4499="P4")),IF(OR(U4499=1,U4499="1"),"adequate","partial"),INDEX(Fit_Matrix!$B:$B,MATCH(P4499,Fit_Matrix!$A:$A,0)))),"CHECK KEY"))</f>
        <v/>
      </c>
      <c r="U4499" s="10"/>
      <c r="V4499" s="10"/>
      <c r="W4499" s="10"/>
      <c r="X4499" s="10"/>
      <c r="Y4499" s="10"/>
      <c r="Z4499" s="10"/>
      <c r="AA4499" s="11" t="str">
        <f t="shared" si="141"/>
        <v/>
      </c>
    </row>
    <row r="4500" spans="16:27" ht="15" customHeight="1">
      <c r="P4500" t="str">
        <f t="shared" si="140"/>
        <v/>
      </c>
      <c r="Q4500" t="str">
        <f>IF(P4500="","",IFERROR(IF(AND(H4500="W7",OR(F4500="causal",F4500="predictive")),IF(AND(OR(K4500=1,K4500="1"),OR(L4500=1,L4500="1"),OR(M4500=1,M4500="1")),"adequate","partial"),IF(AND(H4500="W4",F4500="predictive",OR(J4500="P2",J4500="P3",J4500="P4")),IF(OR(U4500=1,U4500="1"),"adequate","partial"),INDEX(Fit_Matrix!$B:$B,MATCH(P4500,Fit_Matrix!$A:$A,0)))),"CHECK KEY"))</f>
        <v/>
      </c>
      <c r="U4500" s="10"/>
      <c r="V4500" s="10"/>
      <c r="W4500" s="10"/>
      <c r="X4500" s="10"/>
      <c r="Y4500" s="10"/>
      <c r="Z4500" s="10"/>
      <c r="AA4500" s="11" t="str">
        <f t="shared" si="141"/>
        <v/>
      </c>
    </row>
    <row r="4501" spans="16:27" ht="15" customHeight="1">
      <c r="P4501" t="str">
        <f t="shared" si="140"/>
        <v/>
      </c>
      <c r="Q4501" t="str">
        <f>IF(P4501="","",IFERROR(IF(AND(H4501="W7",OR(F4501="causal",F4501="predictive")),IF(AND(OR(K4501=1,K4501="1"),OR(L4501=1,L4501="1"),OR(M4501=1,M4501="1")),"adequate","partial"),IF(AND(H4501="W4",F4501="predictive",OR(J4501="P2",J4501="P3",J4501="P4")),IF(OR(U4501=1,U4501="1"),"adequate","partial"),INDEX(Fit_Matrix!$B:$B,MATCH(P4501,Fit_Matrix!$A:$A,0)))),"CHECK KEY"))</f>
        <v/>
      </c>
      <c r="U4501" s="10"/>
      <c r="V4501" s="10"/>
      <c r="W4501" s="10"/>
      <c r="X4501" s="10"/>
      <c r="Y4501" s="10"/>
      <c r="Z4501" s="10"/>
      <c r="AA4501" s="11" t="str">
        <f t="shared" si="141"/>
        <v/>
      </c>
    </row>
    <row r="4502" spans="16:27" ht="15" customHeight="1">
      <c r="P4502" t="str">
        <f t="shared" si="140"/>
        <v/>
      </c>
      <c r="Q4502" t="str">
        <f>IF(P4502="","",IFERROR(IF(AND(H4502="W7",OR(F4502="causal",F4502="predictive")),IF(AND(OR(K4502=1,K4502="1"),OR(L4502=1,L4502="1"),OR(M4502=1,M4502="1")),"adequate","partial"),IF(AND(H4502="W4",F4502="predictive",OR(J4502="P2",J4502="P3",J4502="P4")),IF(OR(U4502=1,U4502="1"),"adequate","partial"),INDEX(Fit_Matrix!$B:$B,MATCH(P4502,Fit_Matrix!$A:$A,0)))),"CHECK KEY"))</f>
        <v/>
      </c>
      <c r="U4502" s="10"/>
      <c r="V4502" s="10"/>
      <c r="W4502" s="10"/>
      <c r="X4502" s="10"/>
      <c r="Y4502" s="10"/>
      <c r="Z4502" s="10"/>
      <c r="AA4502" s="11" t="str">
        <f t="shared" si="141"/>
        <v/>
      </c>
    </row>
    <row r="4503" spans="16:27" ht="15" customHeight="1">
      <c r="P4503" t="str">
        <f t="shared" si="140"/>
        <v/>
      </c>
      <c r="Q4503" t="str">
        <f>IF(P4503="","",IFERROR(IF(AND(H4503="W7",OR(F4503="causal",F4503="predictive")),IF(AND(OR(K4503=1,K4503="1"),OR(L4503=1,L4503="1"),OR(M4503=1,M4503="1")),"adequate","partial"),IF(AND(H4503="W4",F4503="predictive",OR(J4503="P2",J4503="P3",J4503="P4")),IF(OR(U4503=1,U4503="1"),"adequate","partial"),INDEX(Fit_Matrix!$B:$B,MATCH(P4503,Fit_Matrix!$A:$A,0)))),"CHECK KEY"))</f>
        <v/>
      </c>
      <c r="U4503" s="10"/>
      <c r="V4503" s="10"/>
      <c r="W4503" s="10"/>
      <c r="X4503" s="10"/>
      <c r="Y4503" s="10"/>
      <c r="Z4503" s="10"/>
      <c r="AA4503" s="11" t="str">
        <f t="shared" si="141"/>
        <v/>
      </c>
    </row>
    <row r="4504" spans="16:27" ht="15" customHeight="1">
      <c r="P4504" t="str">
        <f t="shared" si="140"/>
        <v/>
      </c>
      <c r="Q4504" t="str">
        <f>IF(P4504="","",IFERROR(IF(AND(H4504="W7",OR(F4504="causal",F4504="predictive")),IF(AND(OR(K4504=1,K4504="1"),OR(L4504=1,L4504="1"),OR(M4504=1,M4504="1")),"adequate","partial"),IF(AND(H4504="W4",F4504="predictive",OR(J4504="P2",J4504="P3",J4504="P4")),IF(OR(U4504=1,U4504="1"),"adequate","partial"),INDEX(Fit_Matrix!$B:$B,MATCH(P4504,Fit_Matrix!$A:$A,0)))),"CHECK KEY"))</f>
        <v/>
      </c>
      <c r="U4504" s="10"/>
      <c r="V4504" s="10"/>
      <c r="W4504" s="10"/>
      <c r="X4504" s="10"/>
      <c r="Y4504" s="10"/>
      <c r="Z4504" s="10"/>
      <c r="AA4504" s="11" t="str">
        <f t="shared" si="141"/>
        <v/>
      </c>
    </row>
    <row r="4505" spans="16:27" ht="15" customHeight="1">
      <c r="P4505" t="str">
        <f t="shared" si="140"/>
        <v/>
      </c>
      <c r="Q4505" t="str">
        <f>IF(P4505="","",IFERROR(IF(AND(H4505="W7",OR(F4505="causal",F4505="predictive")),IF(AND(OR(K4505=1,K4505="1"),OR(L4505=1,L4505="1"),OR(M4505=1,M4505="1")),"adequate","partial"),IF(AND(H4505="W4",F4505="predictive",OR(J4505="P2",J4505="P3",J4505="P4")),IF(OR(U4505=1,U4505="1"),"adequate","partial"),INDEX(Fit_Matrix!$B:$B,MATCH(P4505,Fit_Matrix!$A:$A,0)))),"CHECK KEY"))</f>
        <v/>
      </c>
      <c r="U4505" s="10"/>
      <c r="V4505" s="10"/>
      <c r="W4505" s="10"/>
      <c r="X4505" s="10"/>
      <c r="Y4505" s="10"/>
      <c r="Z4505" s="10"/>
      <c r="AA4505" s="11" t="str">
        <f t="shared" si="141"/>
        <v/>
      </c>
    </row>
    <row r="4506" spans="16:27" ht="15" customHeight="1">
      <c r="P4506" t="str">
        <f t="shared" si="140"/>
        <v/>
      </c>
      <c r="Q4506" t="str">
        <f>IF(P4506="","",IFERROR(IF(AND(H4506="W7",OR(F4506="causal",F4506="predictive")),IF(AND(OR(K4506=1,K4506="1"),OR(L4506=1,L4506="1"),OR(M4506=1,M4506="1")),"adequate","partial"),IF(AND(H4506="W4",F4506="predictive",OR(J4506="P2",J4506="P3",J4506="P4")),IF(OR(U4506=1,U4506="1"),"adequate","partial"),INDEX(Fit_Matrix!$B:$B,MATCH(P4506,Fit_Matrix!$A:$A,0)))),"CHECK KEY"))</f>
        <v/>
      </c>
      <c r="U4506" s="10"/>
      <c r="V4506" s="10"/>
      <c r="W4506" s="10"/>
      <c r="X4506" s="10"/>
      <c r="Y4506" s="10"/>
      <c r="Z4506" s="10"/>
      <c r="AA4506" s="11" t="str">
        <f t="shared" si="141"/>
        <v/>
      </c>
    </row>
    <row r="4507" spans="16:27" ht="15" customHeight="1">
      <c r="P4507" t="str">
        <f t="shared" si="140"/>
        <v/>
      </c>
      <c r="Q4507" t="str">
        <f>IF(P4507="","",IFERROR(IF(AND(H4507="W7",OR(F4507="causal",F4507="predictive")),IF(AND(OR(K4507=1,K4507="1"),OR(L4507=1,L4507="1"),OR(M4507=1,M4507="1")),"adequate","partial"),IF(AND(H4507="W4",F4507="predictive",OR(J4507="P2",J4507="P3",J4507="P4")),IF(OR(U4507=1,U4507="1"),"adequate","partial"),INDEX(Fit_Matrix!$B:$B,MATCH(P4507,Fit_Matrix!$A:$A,0)))),"CHECK KEY"))</f>
        <v/>
      </c>
      <c r="U4507" s="10"/>
      <c r="V4507" s="10"/>
      <c r="W4507" s="10"/>
      <c r="X4507" s="10"/>
      <c r="Y4507" s="10"/>
      <c r="Z4507" s="10"/>
      <c r="AA4507" s="11" t="str">
        <f t="shared" si="141"/>
        <v/>
      </c>
    </row>
    <row r="4508" spans="16:27" ht="15" customHeight="1">
      <c r="P4508" t="str">
        <f t="shared" si="140"/>
        <v/>
      </c>
      <c r="Q4508" t="str">
        <f>IF(P4508="","",IFERROR(IF(AND(H4508="W7",OR(F4508="causal",F4508="predictive")),IF(AND(OR(K4508=1,K4508="1"),OR(L4508=1,L4508="1"),OR(M4508=1,M4508="1")),"adequate","partial"),IF(AND(H4508="W4",F4508="predictive",OR(J4508="P2",J4508="P3",J4508="P4")),IF(OR(U4508=1,U4508="1"),"adequate","partial"),INDEX(Fit_Matrix!$B:$B,MATCH(P4508,Fit_Matrix!$A:$A,0)))),"CHECK KEY"))</f>
        <v/>
      </c>
      <c r="U4508" s="10"/>
      <c r="V4508" s="10"/>
      <c r="W4508" s="10"/>
      <c r="X4508" s="10"/>
      <c r="Y4508" s="10"/>
      <c r="Z4508" s="10"/>
      <c r="AA4508" s="11" t="str">
        <f t="shared" si="141"/>
        <v/>
      </c>
    </row>
    <row r="4509" spans="16:27" ht="15" customHeight="1">
      <c r="P4509" t="str">
        <f t="shared" si="140"/>
        <v/>
      </c>
      <c r="Q4509" t="str">
        <f>IF(P4509="","",IFERROR(IF(AND(H4509="W7",OR(F4509="causal",F4509="predictive")),IF(AND(OR(K4509=1,K4509="1"),OR(L4509=1,L4509="1"),OR(M4509=1,M4509="1")),"adequate","partial"),IF(AND(H4509="W4",F4509="predictive",OR(J4509="P2",J4509="P3",J4509="P4")),IF(OR(U4509=1,U4509="1"),"adequate","partial"),INDEX(Fit_Matrix!$B:$B,MATCH(P4509,Fit_Matrix!$A:$A,0)))),"CHECK KEY"))</f>
        <v/>
      </c>
      <c r="U4509" s="10"/>
      <c r="V4509" s="10"/>
      <c r="W4509" s="10"/>
      <c r="X4509" s="10"/>
      <c r="Y4509" s="10"/>
      <c r="Z4509" s="10"/>
      <c r="AA4509" s="11" t="str">
        <f t="shared" si="141"/>
        <v/>
      </c>
    </row>
    <row r="4510" spans="16:27" ht="15" customHeight="1">
      <c r="P4510" t="str">
        <f t="shared" si="140"/>
        <v/>
      </c>
      <c r="Q4510" t="str">
        <f>IF(P4510="","",IFERROR(IF(AND(H4510="W7",OR(F4510="causal",F4510="predictive")),IF(AND(OR(K4510=1,K4510="1"),OR(L4510=1,L4510="1"),OR(M4510=1,M4510="1")),"adequate","partial"),IF(AND(H4510="W4",F4510="predictive",OR(J4510="P2",J4510="P3",J4510="P4")),IF(OR(U4510=1,U4510="1"),"adequate","partial"),INDEX(Fit_Matrix!$B:$B,MATCH(P4510,Fit_Matrix!$A:$A,0)))),"CHECK KEY"))</f>
        <v/>
      </c>
      <c r="U4510" s="10"/>
      <c r="V4510" s="10"/>
      <c r="W4510" s="10"/>
      <c r="X4510" s="10"/>
      <c r="Y4510" s="10"/>
      <c r="Z4510" s="10"/>
      <c r="AA4510" s="11" t="str">
        <f t="shared" si="141"/>
        <v/>
      </c>
    </row>
    <row r="4511" spans="16:27" ht="15" customHeight="1">
      <c r="P4511" t="str">
        <f t="shared" si="140"/>
        <v/>
      </c>
      <c r="Q4511" t="str">
        <f>IF(P4511="","",IFERROR(IF(AND(H4511="W7",OR(F4511="causal",F4511="predictive")),IF(AND(OR(K4511=1,K4511="1"),OR(L4511=1,L4511="1"),OR(M4511=1,M4511="1")),"adequate","partial"),IF(AND(H4511="W4",F4511="predictive",OR(J4511="P2",J4511="P3",J4511="P4")),IF(OR(U4511=1,U4511="1"),"adequate","partial"),INDEX(Fit_Matrix!$B:$B,MATCH(P4511,Fit_Matrix!$A:$A,0)))),"CHECK KEY"))</f>
        <v/>
      </c>
      <c r="U4511" s="10"/>
      <c r="V4511" s="10"/>
      <c r="W4511" s="10"/>
      <c r="X4511" s="10"/>
      <c r="Y4511" s="10"/>
      <c r="Z4511" s="10"/>
      <c r="AA4511" s="11" t="str">
        <f t="shared" si="141"/>
        <v/>
      </c>
    </row>
    <row r="4512" spans="16:27" ht="15" customHeight="1">
      <c r="P4512" t="str">
        <f t="shared" si="140"/>
        <v/>
      </c>
      <c r="Q4512" t="str">
        <f>IF(P4512="","",IFERROR(IF(AND(H4512="W7",OR(F4512="causal",F4512="predictive")),IF(AND(OR(K4512=1,K4512="1"),OR(L4512=1,L4512="1"),OR(M4512=1,M4512="1")),"adequate","partial"),IF(AND(H4512="W4",F4512="predictive",OR(J4512="P2",J4512="P3",J4512="P4")),IF(OR(U4512=1,U4512="1"),"adequate","partial"),INDEX(Fit_Matrix!$B:$B,MATCH(P4512,Fit_Matrix!$A:$A,0)))),"CHECK KEY"))</f>
        <v/>
      </c>
      <c r="U4512" s="10"/>
      <c r="V4512" s="10"/>
      <c r="W4512" s="10"/>
      <c r="X4512" s="10"/>
      <c r="Y4512" s="10"/>
      <c r="Z4512" s="10"/>
      <c r="AA4512" s="11" t="str">
        <f t="shared" si="141"/>
        <v/>
      </c>
    </row>
    <row r="4513" spans="16:27" ht="15" customHeight="1">
      <c r="P4513" t="str">
        <f t="shared" si="140"/>
        <v/>
      </c>
      <c r="Q4513" t="str">
        <f>IF(P4513="","",IFERROR(IF(AND(H4513="W7",OR(F4513="causal",F4513="predictive")),IF(AND(OR(K4513=1,K4513="1"),OR(L4513=1,L4513="1"),OR(M4513=1,M4513="1")),"adequate","partial"),IF(AND(H4513="W4",F4513="predictive",OR(J4513="P2",J4513="P3",J4513="P4")),IF(OR(U4513=1,U4513="1"),"adequate","partial"),INDEX(Fit_Matrix!$B:$B,MATCH(P4513,Fit_Matrix!$A:$A,0)))),"CHECK KEY"))</f>
        <v/>
      </c>
      <c r="U4513" s="10"/>
      <c r="V4513" s="10"/>
      <c r="W4513" s="10"/>
      <c r="X4513" s="10"/>
      <c r="Y4513" s="10"/>
      <c r="Z4513" s="10"/>
      <c r="AA4513" s="11" t="str">
        <f t="shared" si="141"/>
        <v/>
      </c>
    </row>
    <row r="4514" spans="16:27" ht="15" customHeight="1">
      <c r="P4514" t="str">
        <f t="shared" si="140"/>
        <v/>
      </c>
      <c r="Q4514" t="str">
        <f>IF(P4514="","",IFERROR(IF(AND(H4514="W7",OR(F4514="causal",F4514="predictive")),IF(AND(OR(K4514=1,K4514="1"),OR(L4514=1,L4514="1"),OR(M4514=1,M4514="1")),"adequate","partial"),IF(AND(H4514="W4",F4514="predictive",OR(J4514="P2",J4514="P3",J4514="P4")),IF(OR(U4514=1,U4514="1"),"adequate","partial"),INDEX(Fit_Matrix!$B:$B,MATCH(P4514,Fit_Matrix!$A:$A,0)))),"CHECK KEY"))</f>
        <v/>
      </c>
      <c r="U4514" s="10"/>
      <c r="V4514" s="10"/>
      <c r="W4514" s="10"/>
      <c r="X4514" s="10"/>
      <c r="Y4514" s="10"/>
      <c r="Z4514" s="10"/>
      <c r="AA4514" s="11" t="str">
        <f t="shared" si="141"/>
        <v/>
      </c>
    </row>
    <row r="4515" spans="16:27" ht="15" customHeight="1">
      <c r="P4515" t="str">
        <f t="shared" si="140"/>
        <v/>
      </c>
      <c r="Q4515" t="str">
        <f>IF(P4515="","",IFERROR(IF(AND(H4515="W7",OR(F4515="causal",F4515="predictive")),IF(AND(OR(K4515=1,K4515="1"),OR(L4515=1,L4515="1"),OR(M4515=1,M4515="1")),"adequate","partial"),IF(AND(H4515="W4",F4515="predictive",OR(J4515="P2",J4515="P3",J4515="P4")),IF(OR(U4515=1,U4515="1"),"adequate","partial"),INDEX(Fit_Matrix!$B:$B,MATCH(P4515,Fit_Matrix!$A:$A,0)))),"CHECK KEY"))</f>
        <v/>
      </c>
      <c r="U4515" s="10"/>
      <c r="V4515" s="10"/>
      <c r="W4515" s="10"/>
      <c r="X4515" s="10"/>
      <c r="Y4515" s="10"/>
      <c r="Z4515" s="10"/>
      <c r="AA4515" s="11" t="str">
        <f t="shared" si="141"/>
        <v/>
      </c>
    </row>
    <row r="4516" spans="16:27" ht="15" customHeight="1">
      <c r="P4516" t="str">
        <f t="shared" si="140"/>
        <v/>
      </c>
      <c r="Q4516" t="str">
        <f>IF(P4516="","",IFERROR(IF(AND(H4516="W7",OR(F4516="causal",F4516="predictive")),IF(AND(OR(K4516=1,K4516="1"),OR(L4516=1,L4516="1"),OR(M4516=1,M4516="1")),"adequate","partial"),IF(AND(H4516="W4",F4516="predictive",OR(J4516="P2",J4516="P3",J4516="P4")),IF(OR(U4516=1,U4516="1"),"adequate","partial"),INDEX(Fit_Matrix!$B:$B,MATCH(P4516,Fit_Matrix!$A:$A,0)))),"CHECK KEY"))</f>
        <v/>
      </c>
      <c r="U4516" s="10"/>
      <c r="V4516" s="10"/>
      <c r="W4516" s="10"/>
      <c r="X4516" s="10"/>
      <c r="Y4516" s="10"/>
      <c r="Z4516" s="10"/>
      <c r="AA4516" s="11" t="str">
        <f t="shared" si="141"/>
        <v/>
      </c>
    </row>
    <row r="4517" spans="16:27" ht="15" customHeight="1">
      <c r="P4517" t="str">
        <f t="shared" si="140"/>
        <v/>
      </c>
      <c r="Q4517" t="str">
        <f>IF(P4517="","",IFERROR(IF(AND(H4517="W7",OR(F4517="causal",F4517="predictive")),IF(AND(OR(K4517=1,K4517="1"),OR(L4517=1,L4517="1"),OR(M4517=1,M4517="1")),"adequate","partial"),IF(AND(H4517="W4",F4517="predictive",OR(J4517="P2",J4517="P3",J4517="P4")),IF(OR(U4517=1,U4517="1"),"adequate","partial"),INDEX(Fit_Matrix!$B:$B,MATCH(P4517,Fit_Matrix!$A:$A,0)))),"CHECK KEY"))</f>
        <v/>
      </c>
      <c r="U4517" s="10"/>
      <c r="V4517" s="10"/>
      <c r="W4517" s="10"/>
      <c r="X4517" s="10"/>
      <c r="Y4517" s="10"/>
      <c r="Z4517" s="10"/>
      <c r="AA4517" s="11" t="str">
        <f t="shared" si="141"/>
        <v/>
      </c>
    </row>
    <row r="4518" spans="16:27" ht="15" customHeight="1">
      <c r="P4518" t="str">
        <f t="shared" si="140"/>
        <v/>
      </c>
      <c r="Q4518" t="str">
        <f>IF(P4518="","",IFERROR(IF(AND(H4518="W7",OR(F4518="causal",F4518="predictive")),IF(AND(OR(K4518=1,K4518="1"),OR(L4518=1,L4518="1"),OR(M4518=1,M4518="1")),"adequate","partial"),IF(AND(H4518="W4",F4518="predictive",OR(J4518="P2",J4518="P3",J4518="P4")),IF(OR(U4518=1,U4518="1"),"adequate","partial"),INDEX(Fit_Matrix!$B:$B,MATCH(P4518,Fit_Matrix!$A:$A,0)))),"CHECK KEY"))</f>
        <v/>
      </c>
      <c r="U4518" s="10"/>
      <c r="V4518" s="10"/>
      <c r="W4518" s="10"/>
      <c r="X4518" s="10"/>
      <c r="Y4518" s="10"/>
      <c r="Z4518" s="10"/>
      <c r="AA4518" s="11" t="str">
        <f t="shared" si="141"/>
        <v/>
      </c>
    </row>
    <row r="4519" spans="16:27" ht="15" customHeight="1">
      <c r="P4519" t="str">
        <f t="shared" si="140"/>
        <v/>
      </c>
      <c r="Q4519" t="str">
        <f>IF(P4519="","",IFERROR(IF(AND(H4519="W7",OR(F4519="causal",F4519="predictive")),IF(AND(OR(K4519=1,K4519="1"),OR(L4519=1,L4519="1"),OR(M4519=1,M4519="1")),"adequate","partial"),IF(AND(H4519="W4",F4519="predictive",OR(J4519="P2",J4519="P3",J4519="P4")),IF(OR(U4519=1,U4519="1"),"adequate","partial"),INDEX(Fit_Matrix!$B:$B,MATCH(P4519,Fit_Matrix!$A:$A,0)))),"CHECK KEY"))</f>
        <v/>
      </c>
      <c r="U4519" s="10"/>
      <c r="V4519" s="10"/>
      <c r="W4519" s="10"/>
      <c r="X4519" s="10"/>
      <c r="Y4519" s="10"/>
      <c r="Z4519" s="10"/>
      <c r="AA4519" s="11" t="str">
        <f t="shared" si="141"/>
        <v/>
      </c>
    </row>
    <row r="4520" spans="16:27" ht="15" customHeight="1">
      <c r="P4520" t="str">
        <f t="shared" si="140"/>
        <v/>
      </c>
      <c r="Q4520" t="str">
        <f>IF(P4520="","",IFERROR(IF(AND(H4520="W7",OR(F4520="causal",F4520="predictive")),IF(AND(OR(K4520=1,K4520="1"),OR(L4520=1,L4520="1"),OR(M4520=1,M4520="1")),"adequate","partial"),IF(AND(H4520="W4",F4520="predictive",OR(J4520="P2",J4520="P3",J4520="P4")),IF(OR(U4520=1,U4520="1"),"adequate","partial"),INDEX(Fit_Matrix!$B:$B,MATCH(P4520,Fit_Matrix!$A:$A,0)))),"CHECK KEY"))</f>
        <v/>
      </c>
      <c r="U4520" s="10"/>
      <c r="V4520" s="10"/>
      <c r="W4520" s="10"/>
      <c r="X4520" s="10"/>
      <c r="Y4520" s="10"/>
      <c r="Z4520" s="10"/>
      <c r="AA4520" s="11" t="str">
        <f t="shared" si="141"/>
        <v/>
      </c>
    </row>
    <row r="4521" spans="16:27" ht="15" customHeight="1">
      <c r="P4521" t="str">
        <f t="shared" si="140"/>
        <v/>
      </c>
      <c r="Q4521" t="str">
        <f>IF(P4521="","",IFERROR(IF(AND(H4521="W7",OR(F4521="causal",F4521="predictive")),IF(AND(OR(K4521=1,K4521="1"),OR(L4521=1,L4521="1"),OR(M4521=1,M4521="1")),"adequate","partial"),IF(AND(H4521="W4",F4521="predictive",OR(J4521="P2",J4521="P3",J4521="P4")),IF(OR(U4521=1,U4521="1"),"adequate","partial"),INDEX(Fit_Matrix!$B:$B,MATCH(P4521,Fit_Matrix!$A:$A,0)))),"CHECK KEY"))</f>
        <v/>
      </c>
      <c r="U4521" s="10"/>
      <c r="V4521" s="10"/>
      <c r="W4521" s="10"/>
      <c r="X4521" s="10"/>
      <c r="Y4521" s="10"/>
      <c r="Z4521" s="10"/>
      <c r="AA4521" s="11" t="str">
        <f t="shared" si="141"/>
        <v/>
      </c>
    </row>
    <row r="4522" spans="16:27" ht="15" customHeight="1">
      <c r="P4522" t="str">
        <f t="shared" si="140"/>
        <v/>
      </c>
      <c r="Q4522" t="str">
        <f>IF(P4522="","",IFERROR(IF(AND(H4522="W7",OR(F4522="causal",F4522="predictive")),IF(AND(OR(K4522=1,K4522="1"),OR(L4522=1,L4522="1"),OR(M4522=1,M4522="1")),"adequate","partial"),IF(AND(H4522="W4",F4522="predictive",OR(J4522="P2",J4522="P3",J4522="P4")),IF(OR(U4522=1,U4522="1"),"adequate","partial"),INDEX(Fit_Matrix!$B:$B,MATCH(P4522,Fit_Matrix!$A:$A,0)))),"CHECK KEY"))</f>
        <v/>
      </c>
      <c r="U4522" s="10"/>
      <c r="V4522" s="10"/>
      <c r="W4522" s="10"/>
      <c r="X4522" s="10"/>
      <c r="Y4522" s="10"/>
      <c r="Z4522" s="10"/>
      <c r="AA4522" s="11" t="str">
        <f t="shared" si="141"/>
        <v/>
      </c>
    </row>
    <row r="4523" spans="16:27" ht="15" customHeight="1">
      <c r="P4523" t="str">
        <f t="shared" si="140"/>
        <v/>
      </c>
      <c r="Q4523" t="str">
        <f>IF(P4523="","",IFERROR(IF(AND(H4523="W7",OR(F4523="causal",F4523="predictive")),IF(AND(OR(K4523=1,K4523="1"),OR(L4523=1,L4523="1"),OR(M4523=1,M4523="1")),"adequate","partial"),IF(AND(H4523="W4",F4523="predictive",OR(J4523="P2",J4523="P3",J4523="P4")),IF(OR(U4523=1,U4523="1"),"adequate","partial"),INDEX(Fit_Matrix!$B:$B,MATCH(P4523,Fit_Matrix!$A:$A,0)))),"CHECK KEY"))</f>
        <v/>
      </c>
      <c r="U4523" s="10"/>
      <c r="V4523" s="10"/>
      <c r="W4523" s="10"/>
      <c r="X4523" s="10"/>
      <c r="Y4523" s="10"/>
      <c r="Z4523" s="10"/>
      <c r="AA4523" s="11" t="str">
        <f t="shared" si="141"/>
        <v/>
      </c>
    </row>
    <row r="4524" spans="16:27" ht="15" customHeight="1">
      <c r="P4524" t="str">
        <f t="shared" si="140"/>
        <v/>
      </c>
      <c r="Q4524" t="str">
        <f>IF(P4524="","",IFERROR(IF(AND(H4524="W7",OR(F4524="causal",F4524="predictive")),IF(AND(OR(K4524=1,K4524="1"),OR(L4524=1,L4524="1"),OR(M4524=1,M4524="1")),"adequate","partial"),IF(AND(H4524="W4",F4524="predictive",OR(J4524="P2",J4524="P3",J4524="P4")),IF(OR(U4524=1,U4524="1"),"adequate","partial"),INDEX(Fit_Matrix!$B:$B,MATCH(P4524,Fit_Matrix!$A:$A,0)))),"CHECK KEY"))</f>
        <v/>
      </c>
      <c r="U4524" s="10"/>
      <c r="V4524" s="10"/>
      <c r="W4524" s="10"/>
      <c r="X4524" s="10"/>
      <c r="Y4524" s="10"/>
      <c r="Z4524" s="10"/>
      <c r="AA4524" s="11" t="str">
        <f t="shared" si="141"/>
        <v/>
      </c>
    </row>
    <row r="4525" spans="16:27" ht="15" customHeight="1">
      <c r="P4525" t="str">
        <f t="shared" si="140"/>
        <v/>
      </c>
      <c r="Q4525" t="str">
        <f>IF(P4525="","",IFERROR(IF(AND(H4525="W7",OR(F4525="causal",F4525="predictive")),IF(AND(OR(K4525=1,K4525="1"),OR(L4525=1,L4525="1"),OR(M4525=1,M4525="1")),"adequate","partial"),IF(AND(H4525="W4",F4525="predictive",OR(J4525="P2",J4525="P3",J4525="P4")),IF(OR(U4525=1,U4525="1"),"adequate","partial"),INDEX(Fit_Matrix!$B:$B,MATCH(P4525,Fit_Matrix!$A:$A,0)))),"CHECK KEY"))</f>
        <v/>
      </c>
      <c r="U4525" s="10"/>
      <c r="V4525" s="10"/>
      <c r="W4525" s="10"/>
      <c r="X4525" s="10"/>
      <c r="Y4525" s="10"/>
      <c r="Z4525" s="10"/>
      <c r="AA4525" s="11" t="str">
        <f t="shared" si="141"/>
        <v/>
      </c>
    </row>
    <row r="4526" spans="16:27" ht="15" customHeight="1">
      <c r="P4526" t="str">
        <f t="shared" si="140"/>
        <v/>
      </c>
      <c r="Q4526" t="str">
        <f>IF(P4526="","",IFERROR(IF(AND(H4526="W7",OR(F4526="causal",F4526="predictive")),IF(AND(OR(K4526=1,K4526="1"),OR(L4526=1,L4526="1"),OR(M4526=1,M4526="1")),"adequate","partial"),IF(AND(H4526="W4",F4526="predictive",OR(J4526="P2",J4526="P3",J4526="P4")),IF(OR(U4526=1,U4526="1"),"adequate","partial"),INDEX(Fit_Matrix!$B:$B,MATCH(P4526,Fit_Matrix!$A:$A,0)))),"CHECK KEY"))</f>
        <v/>
      </c>
      <c r="U4526" s="10"/>
      <c r="V4526" s="10"/>
      <c r="W4526" s="10"/>
      <c r="X4526" s="10"/>
      <c r="Y4526" s="10"/>
      <c r="Z4526" s="10"/>
      <c r="AA4526" s="11" t="str">
        <f t="shared" si="141"/>
        <v/>
      </c>
    </row>
    <row r="4527" spans="16:27" ht="15" customHeight="1">
      <c r="P4527" t="str">
        <f t="shared" si="140"/>
        <v/>
      </c>
      <c r="Q4527" t="str">
        <f>IF(P4527="","",IFERROR(IF(AND(H4527="W7",OR(F4527="causal",F4527="predictive")),IF(AND(OR(K4527=1,K4527="1"),OR(L4527=1,L4527="1"),OR(M4527=1,M4527="1")),"adequate","partial"),IF(AND(H4527="W4",F4527="predictive",OR(J4527="P2",J4527="P3",J4527="P4")),IF(OR(U4527=1,U4527="1"),"adequate","partial"),INDEX(Fit_Matrix!$B:$B,MATCH(P4527,Fit_Matrix!$A:$A,0)))),"CHECK KEY"))</f>
        <v/>
      </c>
      <c r="U4527" s="10"/>
      <c r="V4527" s="10"/>
      <c r="W4527" s="10"/>
      <c r="X4527" s="10"/>
      <c r="Y4527" s="10"/>
      <c r="Z4527" s="10"/>
      <c r="AA4527" s="11" t="str">
        <f t="shared" si="141"/>
        <v/>
      </c>
    </row>
    <row r="4528" spans="16:27" ht="15" customHeight="1">
      <c r="P4528" t="str">
        <f t="shared" si="140"/>
        <v/>
      </c>
      <c r="Q4528" t="str">
        <f>IF(P4528="","",IFERROR(IF(AND(H4528="W7",OR(F4528="causal",F4528="predictive")),IF(AND(OR(K4528=1,K4528="1"),OR(L4528=1,L4528="1"),OR(M4528=1,M4528="1")),"adequate","partial"),IF(AND(H4528="W4",F4528="predictive",OR(J4528="P2",J4528="P3",J4528="P4")),IF(OR(U4528=1,U4528="1"),"adequate","partial"),INDEX(Fit_Matrix!$B:$B,MATCH(P4528,Fit_Matrix!$A:$A,0)))),"CHECK KEY"))</f>
        <v/>
      </c>
      <c r="U4528" s="10"/>
      <c r="V4528" s="10"/>
      <c r="W4528" s="10"/>
      <c r="X4528" s="10"/>
      <c r="Y4528" s="10"/>
      <c r="Z4528" s="10"/>
      <c r="AA4528" s="11" t="str">
        <f t="shared" si="141"/>
        <v/>
      </c>
    </row>
    <row r="4529" spans="16:27" ht="15" customHeight="1">
      <c r="P4529" t="str">
        <f t="shared" si="140"/>
        <v/>
      </c>
      <c r="Q4529" t="str">
        <f>IF(P4529="","",IFERROR(IF(AND(H4529="W7",OR(F4529="causal",F4529="predictive")),IF(AND(OR(K4529=1,K4529="1"),OR(L4529=1,L4529="1"),OR(M4529=1,M4529="1")),"adequate","partial"),IF(AND(H4529="W4",F4529="predictive",OR(J4529="P2",J4529="P3",J4529="P4")),IF(OR(U4529=1,U4529="1"),"adequate","partial"),INDEX(Fit_Matrix!$B:$B,MATCH(P4529,Fit_Matrix!$A:$A,0)))),"CHECK KEY"))</f>
        <v/>
      </c>
      <c r="U4529" s="10"/>
      <c r="V4529" s="10"/>
      <c r="W4529" s="10"/>
      <c r="X4529" s="10"/>
      <c r="Y4529" s="10"/>
      <c r="Z4529" s="10"/>
      <c r="AA4529" s="11" t="str">
        <f t="shared" si="141"/>
        <v/>
      </c>
    </row>
    <row r="4530" spans="16:27" ht="15" customHeight="1">
      <c r="P4530" t="str">
        <f t="shared" si="140"/>
        <v/>
      </c>
      <c r="Q4530" t="str">
        <f>IF(P4530="","",IFERROR(IF(AND(H4530="W7",OR(F4530="causal",F4530="predictive")),IF(AND(OR(K4530=1,K4530="1"),OR(L4530=1,L4530="1"),OR(M4530=1,M4530="1")),"adequate","partial"),IF(AND(H4530="W4",F4530="predictive",OR(J4530="P2",J4530="P3",J4530="P4")),IF(OR(U4530=1,U4530="1"),"adequate","partial"),INDEX(Fit_Matrix!$B:$B,MATCH(P4530,Fit_Matrix!$A:$A,0)))),"CHECK KEY"))</f>
        <v/>
      </c>
      <c r="U4530" s="10"/>
      <c r="V4530" s="10"/>
      <c r="W4530" s="10"/>
      <c r="X4530" s="10"/>
      <c r="Y4530" s="10"/>
      <c r="Z4530" s="10"/>
      <c r="AA4530" s="11" t="str">
        <f t="shared" si="141"/>
        <v/>
      </c>
    </row>
    <row r="4531" spans="16:27" ht="15" customHeight="1">
      <c r="P4531" t="str">
        <f t="shared" si="140"/>
        <v/>
      </c>
      <c r="Q4531" t="str">
        <f>IF(P4531="","",IFERROR(IF(AND(H4531="W7",OR(F4531="causal",F4531="predictive")),IF(AND(OR(K4531=1,K4531="1"),OR(L4531=1,L4531="1"),OR(M4531=1,M4531="1")),"adequate","partial"),IF(AND(H4531="W4",F4531="predictive",OR(J4531="P2",J4531="P3",J4531="P4")),IF(OR(U4531=1,U4531="1"),"adequate","partial"),INDEX(Fit_Matrix!$B:$B,MATCH(P4531,Fit_Matrix!$A:$A,0)))),"CHECK KEY"))</f>
        <v/>
      </c>
      <c r="U4531" s="10"/>
      <c r="V4531" s="10"/>
      <c r="W4531" s="10"/>
      <c r="X4531" s="10"/>
      <c r="Y4531" s="10"/>
      <c r="Z4531" s="10"/>
      <c r="AA4531" s="11" t="str">
        <f t="shared" si="141"/>
        <v/>
      </c>
    </row>
    <row r="4532" spans="16:27" ht="15" customHeight="1">
      <c r="P4532" t="str">
        <f t="shared" si="140"/>
        <v/>
      </c>
      <c r="Q4532" t="str">
        <f>IF(P4532="","",IFERROR(IF(AND(H4532="W7",OR(F4532="causal",F4532="predictive")),IF(AND(OR(K4532=1,K4532="1"),OR(L4532=1,L4532="1"),OR(M4532=1,M4532="1")),"adequate","partial"),IF(AND(H4532="W4",F4532="predictive",OR(J4532="P2",J4532="P3",J4532="P4")),IF(OR(U4532=1,U4532="1"),"adequate","partial"),INDEX(Fit_Matrix!$B:$B,MATCH(P4532,Fit_Matrix!$A:$A,0)))),"CHECK KEY"))</f>
        <v/>
      </c>
      <c r="U4532" s="10"/>
      <c r="V4532" s="10"/>
      <c r="W4532" s="10"/>
      <c r="X4532" s="10"/>
      <c r="Y4532" s="10"/>
      <c r="Z4532" s="10"/>
      <c r="AA4532" s="11" t="str">
        <f t="shared" si="141"/>
        <v/>
      </c>
    </row>
    <row r="4533" spans="16:27" ht="15" customHeight="1">
      <c r="P4533" t="str">
        <f t="shared" si="140"/>
        <v/>
      </c>
      <c r="Q4533" t="str">
        <f>IF(P4533="","",IFERROR(IF(AND(H4533="W7",OR(F4533="causal",F4533="predictive")),IF(AND(OR(K4533=1,K4533="1"),OR(L4533=1,L4533="1"),OR(M4533=1,M4533="1")),"adequate","partial"),IF(AND(H4533="W4",F4533="predictive",OR(J4533="P2",J4533="P3",J4533="P4")),IF(OR(U4533=1,U4533="1"),"adequate","partial"),INDEX(Fit_Matrix!$B:$B,MATCH(P4533,Fit_Matrix!$A:$A,0)))),"CHECK KEY"))</f>
        <v/>
      </c>
      <c r="U4533" s="10"/>
      <c r="V4533" s="10"/>
      <c r="W4533" s="10"/>
      <c r="X4533" s="10"/>
      <c r="Y4533" s="10"/>
      <c r="Z4533" s="10"/>
      <c r="AA4533" s="11" t="str">
        <f t="shared" si="141"/>
        <v/>
      </c>
    </row>
    <row r="4534" spans="16:27" ht="15" customHeight="1">
      <c r="P4534" t="str">
        <f t="shared" si="140"/>
        <v/>
      </c>
      <c r="Q4534" t="str">
        <f>IF(P4534="","",IFERROR(IF(AND(H4534="W7",OR(F4534="causal",F4534="predictive")),IF(AND(OR(K4534=1,K4534="1"),OR(L4534=1,L4534="1"),OR(M4534=1,M4534="1")),"adequate","partial"),IF(AND(H4534="W4",F4534="predictive",OR(J4534="P2",J4534="P3",J4534="P4")),IF(OR(U4534=1,U4534="1"),"adequate","partial"),INDEX(Fit_Matrix!$B:$B,MATCH(P4534,Fit_Matrix!$A:$A,0)))),"CHECK KEY"))</f>
        <v/>
      </c>
      <c r="U4534" s="10"/>
      <c r="V4534" s="10"/>
      <c r="W4534" s="10"/>
      <c r="X4534" s="10"/>
      <c r="Y4534" s="10"/>
      <c r="Z4534" s="10"/>
      <c r="AA4534" s="11" t="str">
        <f t="shared" si="141"/>
        <v/>
      </c>
    </row>
    <row r="4535" spans="16:27" ht="15" customHeight="1">
      <c r="P4535" t="str">
        <f t="shared" si="140"/>
        <v/>
      </c>
      <c r="Q4535" t="str">
        <f>IF(P4535="","",IFERROR(IF(AND(H4535="W7",OR(F4535="causal",F4535="predictive")),IF(AND(OR(K4535=1,K4535="1"),OR(L4535=1,L4535="1"),OR(M4535=1,M4535="1")),"adequate","partial"),IF(AND(H4535="W4",F4535="predictive",OR(J4535="P2",J4535="P3",J4535="P4")),IF(OR(U4535=1,U4535="1"),"adequate","partial"),INDEX(Fit_Matrix!$B:$B,MATCH(P4535,Fit_Matrix!$A:$A,0)))),"CHECK KEY"))</f>
        <v/>
      </c>
      <c r="U4535" s="10"/>
      <c r="V4535" s="10"/>
      <c r="W4535" s="10"/>
      <c r="X4535" s="10"/>
      <c r="Y4535" s="10"/>
      <c r="Z4535" s="10"/>
      <c r="AA4535" s="11" t="str">
        <f t="shared" si="141"/>
        <v/>
      </c>
    </row>
    <row r="4536" spans="16:27" ht="15" customHeight="1">
      <c r="P4536" t="str">
        <f t="shared" si="140"/>
        <v/>
      </c>
      <c r="Q4536" t="str">
        <f>IF(P4536="","",IFERROR(IF(AND(H4536="W7",OR(F4536="causal",F4536="predictive")),IF(AND(OR(K4536=1,K4536="1"),OR(L4536=1,L4536="1"),OR(M4536=1,M4536="1")),"adequate","partial"),IF(AND(H4536="W4",F4536="predictive",OR(J4536="P2",J4536="P3",J4536="P4")),IF(OR(U4536=1,U4536="1"),"adequate","partial"),INDEX(Fit_Matrix!$B:$B,MATCH(P4536,Fit_Matrix!$A:$A,0)))),"CHECK KEY"))</f>
        <v/>
      </c>
      <c r="U4536" s="10"/>
      <c r="V4536" s="10"/>
      <c r="W4536" s="10"/>
      <c r="X4536" s="10"/>
      <c r="Y4536" s="10"/>
      <c r="Z4536" s="10"/>
      <c r="AA4536" s="11" t="str">
        <f t="shared" si="141"/>
        <v/>
      </c>
    </row>
    <row r="4537" spans="16:27" ht="15" customHeight="1">
      <c r="P4537" t="str">
        <f t="shared" si="140"/>
        <v/>
      </c>
      <c r="Q4537" t="str">
        <f>IF(P4537="","",IFERROR(IF(AND(H4537="W7",OR(F4537="causal",F4537="predictive")),IF(AND(OR(K4537=1,K4537="1"),OR(L4537=1,L4537="1"),OR(M4537=1,M4537="1")),"adequate","partial"),IF(AND(H4537="W4",F4537="predictive",OR(J4537="P2",J4537="P3",J4537="P4")),IF(OR(U4537=1,U4537="1"),"adequate","partial"),INDEX(Fit_Matrix!$B:$B,MATCH(P4537,Fit_Matrix!$A:$A,0)))),"CHECK KEY"))</f>
        <v/>
      </c>
      <c r="U4537" s="10"/>
      <c r="V4537" s="10"/>
      <c r="W4537" s="10"/>
      <c r="X4537" s="10"/>
      <c r="Y4537" s="10"/>
      <c r="Z4537" s="10"/>
      <c r="AA4537" s="11" t="str">
        <f t="shared" si="141"/>
        <v/>
      </c>
    </row>
    <row r="4538" spans="16:27" ht="15" customHeight="1">
      <c r="P4538" t="str">
        <f t="shared" si="140"/>
        <v/>
      </c>
      <c r="Q4538" t="str">
        <f>IF(P4538="","",IFERROR(IF(AND(H4538="W7",OR(F4538="causal",F4538="predictive")),IF(AND(OR(K4538=1,K4538="1"),OR(L4538=1,L4538="1"),OR(M4538=1,M4538="1")),"adequate","partial"),IF(AND(H4538="W4",F4538="predictive",OR(J4538="P2",J4538="P3",J4538="P4")),IF(OR(U4538=1,U4538="1"),"adequate","partial"),INDEX(Fit_Matrix!$B:$B,MATCH(P4538,Fit_Matrix!$A:$A,0)))),"CHECK KEY"))</f>
        <v/>
      </c>
      <c r="U4538" s="10"/>
      <c r="V4538" s="10"/>
      <c r="W4538" s="10"/>
      <c r="X4538" s="10"/>
      <c r="Y4538" s="10"/>
      <c r="Z4538" s="10"/>
      <c r="AA4538" s="11" t="str">
        <f t="shared" si="141"/>
        <v/>
      </c>
    </row>
    <row r="4539" spans="16:27" ht="15" customHeight="1">
      <c r="P4539" t="str">
        <f t="shared" si="140"/>
        <v/>
      </c>
      <c r="Q4539" t="str">
        <f>IF(P4539="","",IFERROR(IF(AND(H4539="W7",OR(F4539="causal",F4539="predictive")),IF(AND(OR(K4539=1,K4539="1"),OR(L4539=1,L4539="1"),OR(M4539=1,M4539="1")),"adequate","partial"),IF(AND(H4539="W4",F4539="predictive",OR(J4539="P2",J4539="P3",J4539="P4")),IF(OR(U4539=1,U4539="1"),"adequate","partial"),INDEX(Fit_Matrix!$B:$B,MATCH(P4539,Fit_Matrix!$A:$A,0)))),"CHECK KEY"))</f>
        <v/>
      </c>
      <c r="U4539" s="10"/>
      <c r="V4539" s="10"/>
      <c r="W4539" s="10"/>
      <c r="X4539" s="10"/>
      <c r="Y4539" s="10"/>
      <c r="Z4539" s="10"/>
      <c r="AA4539" s="11" t="str">
        <f t="shared" si="141"/>
        <v/>
      </c>
    </row>
    <row r="4540" spans="16:27" ht="15" customHeight="1">
      <c r="P4540" t="str">
        <f t="shared" si="140"/>
        <v/>
      </c>
      <c r="Q4540" t="str">
        <f>IF(P4540="","",IFERROR(IF(AND(H4540="W7",OR(F4540="causal",F4540="predictive")),IF(AND(OR(K4540=1,K4540="1"),OR(L4540=1,L4540="1"),OR(M4540=1,M4540="1")),"adequate","partial"),IF(AND(H4540="W4",F4540="predictive",OR(J4540="P2",J4540="P3",J4540="P4")),IF(OR(U4540=1,U4540="1"),"adequate","partial"),INDEX(Fit_Matrix!$B:$B,MATCH(P4540,Fit_Matrix!$A:$A,0)))),"CHECK KEY"))</f>
        <v/>
      </c>
      <c r="U4540" s="10"/>
      <c r="V4540" s="10"/>
      <c r="W4540" s="10"/>
      <c r="X4540" s="10"/>
      <c r="Y4540" s="10"/>
      <c r="Z4540" s="10"/>
      <c r="AA4540" s="11" t="str">
        <f t="shared" si="141"/>
        <v/>
      </c>
    </row>
    <row r="4541" spans="16:27" ht="15" customHeight="1">
      <c r="P4541" t="str">
        <f t="shared" si="140"/>
        <v/>
      </c>
      <c r="Q4541" t="str">
        <f>IF(P4541="","",IFERROR(IF(AND(H4541="W7",OR(F4541="causal",F4541="predictive")),IF(AND(OR(K4541=1,K4541="1"),OR(L4541=1,L4541="1"),OR(M4541=1,M4541="1")),"adequate","partial"),IF(AND(H4541="W4",F4541="predictive",OR(J4541="P2",J4541="P3",J4541="P4")),IF(OR(U4541=1,U4541="1"),"adequate","partial"),INDEX(Fit_Matrix!$B:$B,MATCH(P4541,Fit_Matrix!$A:$A,0)))),"CHECK KEY"))</f>
        <v/>
      </c>
      <c r="U4541" s="10"/>
      <c r="V4541" s="10"/>
      <c r="W4541" s="10"/>
      <c r="X4541" s="10"/>
      <c r="Y4541" s="10"/>
      <c r="Z4541" s="10"/>
      <c r="AA4541" s="11" t="str">
        <f t="shared" si="141"/>
        <v/>
      </c>
    </row>
    <row r="4542" spans="16:27" ht="15" customHeight="1">
      <c r="P4542" t="str">
        <f t="shared" si="140"/>
        <v/>
      </c>
      <c r="Q4542" t="str">
        <f>IF(P4542="","",IFERROR(IF(AND(H4542="W7",OR(F4542="causal",F4542="predictive")),IF(AND(OR(K4542=1,K4542="1"),OR(L4542=1,L4542="1"),OR(M4542=1,M4542="1")),"adequate","partial"),IF(AND(H4542="W4",F4542="predictive",OR(J4542="P2",J4542="P3",J4542="P4")),IF(OR(U4542=1,U4542="1"),"adequate","partial"),INDEX(Fit_Matrix!$B:$B,MATCH(P4542,Fit_Matrix!$A:$A,0)))),"CHECK KEY"))</f>
        <v/>
      </c>
      <c r="U4542" s="10"/>
      <c r="V4542" s="10"/>
      <c r="W4542" s="10"/>
      <c r="X4542" s="10"/>
      <c r="Y4542" s="10"/>
      <c r="Z4542" s="10"/>
      <c r="AA4542" s="11" t="str">
        <f t="shared" si="141"/>
        <v/>
      </c>
    </row>
    <row r="4543" spans="16:27" ht="15" customHeight="1">
      <c r="P4543" t="str">
        <f t="shared" si="140"/>
        <v/>
      </c>
      <c r="Q4543" t="str">
        <f>IF(P4543="","",IFERROR(IF(AND(H4543="W7",OR(F4543="causal",F4543="predictive")),IF(AND(OR(K4543=1,K4543="1"),OR(L4543=1,L4543="1"),OR(M4543=1,M4543="1")),"adequate","partial"),IF(AND(H4543="W4",F4543="predictive",OR(J4543="P2",J4543="P3",J4543="P4")),IF(OR(U4543=1,U4543="1"),"adequate","partial"),INDEX(Fit_Matrix!$B:$B,MATCH(P4543,Fit_Matrix!$A:$A,0)))),"CHECK KEY"))</f>
        <v/>
      </c>
      <c r="U4543" s="10"/>
      <c r="V4543" s="10"/>
      <c r="W4543" s="10"/>
      <c r="X4543" s="10"/>
      <c r="Y4543" s="10"/>
      <c r="Z4543" s="10"/>
      <c r="AA4543" s="11" t="str">
        <f t="shared" si="141"/>
        <v/>
      </c>
    </row>
    <row r="4544" spans="16:27" ht="15" customHeight="1">
      <c r="P4544" t="str">
        <f t="shared" si="140"/>
        <v/>
      </c>
      <c r="Q4544" t="str">
        <f>IF(P4544="","",IFERROR(IF(AND(H4544="W7",OR(F4544="causal",F4544="predictive")),IF(AND(OR(K4544=1,K4544="1"),OR(L4544=1,L4544="1"),OR(M4544=1,M4544="1")),"adequate","partial"),IF(AND(H4544="W4",F4544="predictive",OR(J4544="P2",J4544="P3",J4544="P4")),IF(OR(U4544=1,U4544="1"),"adequate","partial"),INDEX(Fit_Matrix!$B:$B,MATCH(P4544,Fit_Matrix!$A:$A,0)))),"CHECK KEY"))</f>
        <v/>
      </c>
      <c r="U4544" s="10"/>
      <c r="V4544" s="10"/>
      <c r="W4544" s="10"/>
      <c r="X4544" s="10"/>
      <c r="Y4544" s="10"/>
      <c r="Z4544" s="10"/>
      <c r="AA4544" s="11" t="str">
        <f t="shared" si="141"/>
        <v/>
      </c>
    </row>
    <row r="4545" spans="16:27" ht="15" customHeight="1">
      <c r="P4545" t="str">
        <f t="shared" si="140"/>
        <v/>
      </c>
      <c r="Q4545" t="str">
        <f>IF(P4545="","",IFERROR(IF(AND(H4545="W7",OR(F4545="causal",F4545="predictive")),IF(AND(OR(K4545=1,K4545="1"),OR(L4545=1,L4545="1"),OR(M4545=1,M4545="1")),"adequate","partial"),IF(AND(H4545="W4",F4545="predictive",OR(J4545="P2",J4545="P3",J4545="P4")),IF(OR(U4545=1,U4545="1"),"adequate","partial"),INDEX(Fit_Matrix!$B:$B,MATCH(P4545,Fit_Matrix!$A:$A,0)))),"CHECK KEY"))</f>
        <v/>
      </c>
      <c r="U4545" s="10"/>
      <c r="V4545" s="10"/>
      <c r="W4545" s="10"/>
      <c r="X4545" s="10"/>
      <c r="Y4545" s="10"/>
      <c r="Z4545" s="10"/>
      <c r="AA4545" s="11" t="str">
        <f t="shared" si="141"/>
        <v/>
      </c>
    </row>
    <row r="4546" spans="16:27" ht="15" customHeight="1">
      <c r="P4546" t="str">
        <f t="shared" ref="P4546:P4609" si="142">IF(OR(F4546="",H4546="",J4546=""),"",J4546&amp;"|"&amp;F4546&amp;"|"&amp;IF(H4546="W3","W3_"&amp;IF(I4546="","unknown",I4546),H4546))</f>
        <v/>
      </c>
      <c r="Q4546" t="str">
        <f>IF(P4546="","",IFERROR(IF(AND(H4546="W7",OR(F4546="causal",F4546="predictive")),IF(AND(OR(K4546=1,K4546="1"),OR(L4546=1,L4546="1"),OR(M4546=1,M4546="1")),"adequate","partial"),IF(AND(H4546="W4",F4546="predictive",OR(J4546="P2",J4546="P3",J4546="P4")),IF(OR(U4546=1,U4546="1"),"adequate","partial"),INDEX(Fit_Matrix!$B:$B,MATCH(P4546,Fit_Matrix!$A:$A,0)))),"CHECK KEY"))</f>
        <v/>
      </c>
      <c r="U4546" s="10"/>
      <c r="V4546" s="10"/>
      <c r="W4546" s="10"/>
      <c r="X4546" s="10"/>
      <c r="Y4546" s="10"/>
      <c r="Z4546" s="10"/>
      <c r="AA4546" s="11" t="str">
        <f t="shared" ref="AA4546:AA4609" si="143">IF(A4546="","",IF(AND(J4546="P4",F4546="causal"),"P4-CAUSAL",""))</f>
        <v/>
      </c>
    </row>
    <row r="4547" spans="16:27" ht="15" customHeight="1">
      <c r="P4547" t="str">
        <f t="shared" si="142"/>
        <v/>
      </c>
      <c r="Q4547" t="str">
        <f>IF(P4547="","",IFERROR(IF(AND(H4547="W7",OR(F4547="causal",F4547="predictive")),IF(AND(OR(K4547=1,K4547="1"),OR(L4547=1,L4547="1"),OR(M4547=1,M4547="1")),"adequate","partial"),IF(AND(H4547="W4",F4547="predictive",OR(J4547="P2",J4547="P3",J4547="P4")),IF(OR(U4547=1,U4547="1"),"adequate","partial"),INDEX(Fit_Matrix!$B:$B,MATCH(P4547,Fit_Matrix!$A:$A,0)))),"CHECK KEY"))</f>
        <v/>
      </c>
      <c r="U4547" s="10"/>
      <c r="V4547" s="10"/>
      <c r="W4547" s="10"/>
      <c r="X4547" s="10"/>
      <c r="Y4547" s="10"/>
      <c r="Z4547" s="10"/>
      <c r="AA4547" s="11" t="str">
        <f t="shared" si="143"/>
        <v/>
      </c>
    </row>
    <row r="4548" spans="16:27" ht="15" customHeight="1">
      <c r="P4548" t="str">
        <f t="shared" si="142"/>
        <v/>
      </c>
      <c r="Q4548" t="str">
        <f>IF(P4548="","",IFERROR(IF(AND(H4548="W7",OR(F4548="causal",F4548="predictive")),IF(AND(OR(K4548=1,K4548="1"),OR(L4548=1,L4548="1"),OR(M4548=1,M4548="1")),"adequate","partial"),IF(AND(H4548="W4",F4548="predictive",OR(J4548="P2",J4548="P3",J4548="P4")),IF(OR(U4548=1,U4548="1"),"adequate","partial"),INDEX(Fit_Matrix!$B:$B,MATCH(P4548,Fit_Matrix!$A:$A,0)))),"CHECK KEY"))</f>
        <v/>
      </c>
      <c r="U4548" s="10"/>
      <c r="V4548" s="10"/>
      <c r="W4548" s="10"/>
      <c r="X4548" s="10"/>
      <c r="Y4548" s="10"/>
      <c r="Z4548" s="10"/>
      <c r="AA4548" s="11" t="str">
        <f t="shared" si="143"/>
        <v/>
      </c>
    </row>
    <row r="4549" spans="16:27" ht="15" customHeight="1">
      <c r="P4549" t="str">
        <f t="shared" si="142"/>
        <v/>
      </c>
      <c r="Q4549" t="str">
        <f>IF(P4549="","",IFERROR(IF(AND(H4549="W7",OR(F4549="causal",F4549="predictive")),IF(AND(OR(K4549=1,K4549="1"),OR(L4549=1,L4549="1"),OR(M4549=1,M4549="1")),"adequate","partial"),IF(AND(H4549="W4",F4549="predictive",OR(J4549="P2",J4549="P3",J4549="P4")),IF(OR(U4549=1,U4549="1"),"adequate","partial"),INDEX(Fit_Matrix!$B:$B,MATCH(P4549,Fit_Matrix!$A:$A,0)))),"CHECK KEY"))</f>
        <v/>
      </c>
      <c r="U4549" s="10"/>
      <c r="V4549" s="10"/>
      <c r="W4549" s="10"/>
      <c r="X4549" s="10"/>
      <c r="Y4549" s="10"/>
      <c r="Z4549" s="10"/>
      <c r="AA4549" s="11" t="str">
        <f t="shared" si="143"/>
        <v/>
      </c>
    </row>
    <row r="4550" spans="16:27" ht="15" customHeight="1">
      <c r="P4550" t="str">
        <f t="shared" si="142"/>
        <v/>
      </c>
      <c r="Q4550" t="str">
        <f>IF(P4550="","",IFERROR(IF(AND(H4550="W7",OR(F4550="causal",F4550="predictive")),IF(AND(OR(K4550=1,K4550="1"),OR(L4550=1,L4550="1"),OR(M4550=1,M4550="1")),"adequate","partial"),IF(AND(H4550="W4",F4550="predictive",OR(J4550="P2",J4550="P3",J4550="P4")),IF(OR(U4550=1,U4550="1"),"adequate","partial"),INDEX(Fit_Matrix!$B:$B,MATCH(P4550,Fit_Matrix!$A:$A,0)))),"CHECK KEY"))</f>
        <v/>
      </c>
      <c r="U4550" s="10"/>
      <c r="V4550" s="10"/>
      <c r="W4550" s="10"/>
      <c r="X4550" s="10"/>
      <c r="Y4550" s="10"/>
      <c r="Z4550" s="10"/>
      <c r="AA4550" s="11" t="str">
        <f t="shared" si="143"/>
        <v/>
      </c>
    </row>
    <row r="4551" spans="16:27" ht="15" customHeight="1">
      <c r="P4551" t="str">
        <f t="shared" si="142"/>
        <v/>
      </c>
      <c r="Q4551" t="str">
        <f>IF(P4551="","",IFERROR(IF(AND(H4551="W7",OR(F4551="causal",F4551="predictive")),IF(AND(OR(K4551=1,K4551="1"),OR(L4551=1,L4551="1"),OR(M4551=1,M4551="1")),"adequate","partial"),IF(AND(H4551="W4",F4551="predictive",OR(J4551="P2",J4551="P3",J4551="P4")),IF(OR(U4551=1,U4551="1"),"adequate","partial"),INDEX(Fit_Matrix!$B:$B,MATCH(P4551,Fit_Matrix!$A:$A,0)))),"CHECK KEY"))</f>
        <v/>
      </c>
      <c r="U4551" s="10"/>
      <c r="V4551" s="10"/>
      <c r="W4551" s="10"/>
      <c r="X4551" s="10"/>
      <c r="Y4551" s="10"/>
      <c r="Z4551" s="10"/>
      <c r="AA4551" s="11" t="str">
        <f t="shared" si="143"/>
        <v/>
      </c>
    </row>
    <row r="4552" spans="16:27" ht="15" customHeight="1">
      <c r="P4552" t="str">
        <f t="shared" si="142"/>
        <v/>
      </c>
      <c r="Q4552" t="str">
        <f>IF(P4552="","",IFERROR(IF(AND(H4552="W7",OR(F4552="causal",F4552="predictive")),IF(AND(OR(K4552=1,K4552="1"),OR(L4552=1,L4552="1"),OR(M4552=1,M4552="1")),"adequate","partial"),IF(AND(H4552="W4",F4552="predictive",OR(J4552="P2",J4552="P3",J4552="P4")),IF(OR(U4552=1,U4552="1"),"adequate","partial"),INDEX(Fit_Matrix!$B:$B,MATCH(P4552,Fit_Matrix!$A:$A,0)))),"CHECK KEY"))</f>
        <v/>
      </c>
      <c r="U4552" s="10"/>
      <c r="V4552" s="10"/>
      <c r="W4552" s="10"/>
      <c r="X4552" s="10"/>
      <c r="Y4552" s="10"/>
      <c r="Z4552" s="10"/>
      <c r="AA4552" s="11" t="str">
        <f t="shared" si="143"/>
        <v/>
      </c>
    </row>
    <row r="4553" spans="16:27" ht="15" customHeight="1">
      <c r="P4553" t="str">
        <f t="shared" si="142"/>
        <v/>
      </c>
      <c r="Q4553" t="str">
        <f>IF(P4553="","",IFERROR(IF(AND(H4553="W7",OR(F4553="causal",F4553="predictive")),IF(AND(OR(K4553=1,K4553="1"),OR(L4553=1,L4553="1"),OR(M4553=1,M4553="1")),"adequate","partial"),IF(AND(H4553="W4",F4553="predictive",OR(J4553="P2",J4553="P3",J4553="P4")),IF(OR(U4553=1,U4553="1"),"adequate","partial"),INDEX(Fit_Matrix!$B:$B,MATCH(P4553,Fit_Matrix!$A:$A,0)))),"CHECK KEY"))</f>
        <v/>
      </c>
      <c r="U4553" s="10"/>
      <c r="V4553" s="10"/>
      <c r="W4553" s="10"/>
      <c r="X4553" s="10"/>
      <c r="Y4553" s="10"/>
      <c r="Z4553" s="10"/>
      <c r="AA4553" s="11" t="str">
        <f t="shared" si="143"/>
        <v/>
      </c>
    </row>
    <row r="4554" spans="16:27" ht="15" customHeight="1">
      <c r="P4554" t="str">
        <f t="shared" si="142"/>
        <v/>
      </c>
      <c r="Q4554" t="str">
        <f>IF(P4554="","",IFERROR(IF(AND(H4554="W7",OR(F4554="causal",F4554="predictive")),IF(AND(OR(K4554=1,K4554="1"),OR(L4554=1,L4554="1"),OR(M4554=1,M4554="1")),"adequate","partial"),IF(AND(H4554="W4",F4554="predictive",OR(J4554="P2",J4554="P3",J4554="P4")),IF(OR(U4554=1,U4554="1"),"adequate","partial"),INDEX(Fit_Matrix!$B:$B,MATCH(P4554,Fit_Matrix!$A:$A,0)))),"CHECK KEY"))</f>
        <v/>
      </c>
      <c r="U4554" s="10"/>
      <c r="V4554" s="10"/>
      <c r="W4554" s="10"/>
      <c r="X4554" s="10"/>
      <c r="Y4554" s="10"/>
      <c r="Z4554" s="10"/>
      <c r="AA4554" s="11" t="str">
        <f t="shared" si="143"/>
        <v/>
      </c>
    </row>
    <row r="4555" spans="16:27" ht="15" customHeight="1">
      <c r="P4555" t="str">
        <f t="shared" si="142"/>
        <v/>
      </c>
      <c r="Q4555" t="str">
        <f>IF(P4555="","",IFERROR(IF(AND(H4555="W7",OR(F4555="causal",F4555="predictive")),IF(AND(OR(K4555=1,K4555="1"),OR(L4555=1,L4555="1"),OR(M4555=1,M4555="1")),"adequate","partial"),IF(AND(H4555="W4",F4555="predictive",OR(J4555="P2",J4555="P3",J4555="P4")),IF(OR(U4555=1,U4555="1"),"adequate","partial"),INDEX(Fit_Matrix!$B:$B,MATCH(P4555,Fit_Matrix!$A:$A,0)))),"CHECK KEY"))</f>
        <v/>
      </c>
      <c r="U4555" s="10"/>
      <c r="V4555" s="10"/>
      <c r="W4555" s="10"/>
      <c r="X4555" s="10"/>
      <c r="Y4555" s="10"/>
      <c r="Z4555" s="10"/>
      <c r="AA4555" s="11" t="str">
        <f t="shared" si="143"/>
        <v/>
      </c>
    </row>
    <row r="4556" spans="16:27" ht="15" customHeight="1">
      <c r="P4556" t="str">
        <f t="shared" si="142"/>
        <v/>
      </c>
      <c r="Q4556" t="str">
        <f>IF(P4556="","",IFERROR(IF(AND(H4556="W7",OR(F4556="causal",F4556="predictive")),IF(AND(OR(K4556=1,K4556="1"),OR(L4556=1,L4556="1"),OR(M4556=1,M4556="1")),"adequate","partial"),IF(AND(H4556="W4",F4556="predictive",OR(J4556="P2",J4556="P3",J4556="P4")),IF(OR(U4556=1,U4556="1"),"adequate","partial"),INDEX(Fit_Matrix!$B:$B,MATCH(P4556,Fit_Matrix!$A:$A,0)))),"CHECK KEY"))</f>
        <v/>
      </c>
      <c r="U4556" s="10"/>
      <c r="V4556" s="10"/>
      <c r="W4556" s="10"/>
      <c r="X4556" s="10"/>
      <c r="Y4556" s="10"/>
      <c r="Z4556" s="10"/>
      <c r="AA4556" s="11" t="str">
        <f t="shared" si="143"/>
        <v/>
      </c>
    </row>
    <row r="4557" spans="16:27" ht="15" customHeight="1">
      <c r="P4557" t="str">
        <f t="shared" si="142"/>
        <v/>
      </c>
      <c r="Q4557" t="str">
        <f>IF(P4557="","",IFERROR(IF(AND(H4557="W7",OR(F4557="causal",F4557="predictive")),IF(AND(OR(K4557=1,K4557="1"),OR(L4557=1,L4557="1"),OR(M4557=1,M4557="1")),"adequate","partial"),IF(AND(H4557="W4",F4557="predictive",OR(J4557="P2",J4557="P3",J4557="P4")),IF(OR(U4557=1,U4557="1"),"adequate","partial"),INDEX(Fit_Matrix!$B:$B,MATCH(P4557,Fit_Matrix!$A:$A,0)))),"CHECK KEY"))</f>
        <v/>
      </c>
      <c r="U4557" s="10"/>
      <c r="V4557" s="10"/>
      <c r="W4557" s="10"/>
      <c r="X4557" s="10"/>
      <c r="Y4557" s="10"/>
      <c r="Z4557" s="10"/>
      <c r="AA4557" s="11" t="str">
        <f t="shared" si="143"/>
        <v/>
      </c>
    </row>
    <row r="4558" spans="16:27" ht="15" customHeight="1">
      <c r="P4558" t="str">
        <f t="shared" si="142"/>
        <v/>
      </c>
      <c r="Q4558" t="str">
        <f>IF(P4558="","",IFERROR(IF(AND(H4558="W7",OR(F4558="causal",F4558="predictive")),IF(AND(OR(K4558=1,K4558="1"),OR(L4558=1,L4558="1"),OR(M4558=1,M4558="1")),"adequate","partial"),IF(AND(H4558="W4",F4558="predictive",OR(J4558="P2",J4558="P3",J4558="P4")),IF(OR(U4558=1,U4558="1"),"adequate","partial"),INDEX(Fit_Matrix!$B:$B,MATCH(P4558,Fit_Matrix!$A:$A,0)))),"CHECK KEY"))</f>
        <v/>
      </c>
      <c r="U4558" s="10"/>
      <c r="V4558" s="10"/>
      <c r="W4558" s="10"/>
      <c r="X4558" s="10"/>
      <c r="Y4558" s="10"/>
      <c r="Z4558" s="10"/>
      <c r="AA4558" s="11" t="str">
        <f t="shared" si="143"/>
        <v/>
      </c>
    </row>
    <row r="4559" spans="16:27" ht="15" customHeight="1">
      <c r="P4559" t="str">
        <f t="shared" si="142"/>
        <v/>
      </c>
      <c r="Q4559" t="str">
        <f>IF(P4559="","",IFERROR(IF(AND(H4559="W7",OR(F4559="causal",F4559="predictive")),IF(AND(OR(K4559=1,K4559="1"),OR(L4559=1,L4559="1"),OR(M4559=1,M4559="1")),"adequate","partial"),IF(AND(H4559="W4",F4559="predictive",OR(J4559="P2",J4559="P3",J4559="P4")),IF(OR(U4559=1,U4559="1"),"adequate","partial"),INDEX(Fit_Matrix!$B:$B,MATCH(P4559,Fit_Matrix!$A:$A,0)))),"CHECK KEY"))</f>
        <v/>
      </c>
      <c r="U4559" s="10"/>
      <c r="V4559" s="10"/>
      <c r="W4559" s="10"/>
      <c r="X4559" s="10"/>
      <c r="Y4559" s="10"/>
      <c r="Z4559" s="10"/>
      <c r="AA4559" s="11" t="str">
        <f t="shared" si="143"/>
        <v/>
      </c>
    </row>
    <row r="4560" spans="16:27" ht="15" customHeight="1">
      <c r="P4560" t="str">
        <f t="shared" si="142"/>
        <v/>
      </c>
      <c r="Q4560" t="str">
        <f>IF(P4560="","",IFERROR(IF(AND(H4560="W7",OR(F4560="causal",F4560="predictive")),IF(AND(OR(K4560=1,K4560="1"),OR(L4560=1,L4560="1"),OR(M4560=1,M4560="1")),"adequate","partial"),IF(AND(H4560="W4",F4560="predictive",OR(J4560="P2",J4560="P3",J4560="P4")),IF(OR(U4560=1,U4560="1"),"adequate","partial"),INDEX(Fit_Matrix!$B:$B,MATCH(P4560,Fit_Matrix!$A:$A,0)))),"CHECK KEY"))</f>
        <v/>
      </c>
      <c r="U4560" s="10"/>
      <c r="V4560" s="10"/>
      <c r="W4560" s="10"/>
      <c r="X4560" s="10"/>
      <c r="Y4560" s="10"/>
      <c r="Z4560" s="10"/>
      <c r="AA4560" s="11" t="str">
        <f t="shared" si="143"/>
        <v/>
      </c>
    </row>
    <row r="4561" spans="16:27" ht="15" customHeight="1">
      <c r="P4561" t="str">
        <f t="shared" si="142"/>
        <v/>
      </c>
      <c r="Q4561" t="str">
        <f>IF(P4561="","",IFERROR(IF(AND(H4561="W7",OR(F4561="causal",F4561="predictive")),IF(AND(OR(K4561=1,K4561="1"),OR(L4561=1,L4561="1"),OR(M4561=1,M4561="1")),"adequate","partial"),IF(AND(H4561="W4",F4561="predictive",OR(J4561="P2",J4561="P3",J4561="P4")),IF(OR(U4561=1,U4561="1"),"adequate","partial"),INDEX(Fit_Matrix!$B:$B,MATCH(P4561,Fit_Matrix!$A:$A,0)))),"CHECK KEY"))</f>
        <v/>
      </c>
      <c r="U4561" s="10"/>
      <c r="V4561" s="10"/>
      <c r="W4561" s="10"/>
      <c r="X4561" s="10"/>
      <c r="Y4561" s="10"/>
      <c r="Z4561" s="10"/>
      <c r="AA4561" s="11" t="str">
        <f t="shared" si="143"/>
        <v/>
      </c>
    </row>
    <row r="4562" spans="16:27" ht="15" customHeight="1">
      <c r="P4562" t="str">
        <f t="shared" si="142"/>
        <v/>
      </c>
      <c r="Q4562" t="str">
        <f>IF(P4562="","",IFERROR(IF(AND(H4562="W7",OR(F4562="causal",F4562="predictive")),IF(AND(OR(K4562=1,K4562="1"),OR(L4562=1,L4562="1"),OR(M4562=1,M4562="1")),"adequate","partial"),IF(AND(H4562="W4",F4562="predictive",OR(J4562="P2",J4562="P3",J4562="P4")),IF(OR(U4562=1,U4562="1"),"adequate","partial"),INDEX(Fit_Matrix!$B:$B,MATCH(P4562,Fit_Matrix!$A:$A,0)))),"CHECK KEY"))</f>
        <v/>
      </c>
      <c r="U4562" s="10"/>
      <c r="V4562" s="10"/>
      <c r="W4562" s="10"/>
      <c r="X4562" s="10"/>
      <c r="Y4562" s="10"/>
      <c r="Z4562" s="10"/>
      <c r="AA4562" s="11" t="str">
        <f t="shared" si="143"/>
        <v/>
      </c>
    </row>
    <row r="4563" spans="16:27" ht="15" customHeight="1">
      <c r="P4563" t="str">
        <f t="shared" si="142"/>
        <v/>
      </c>
      <c r="Q4563" t="str">
        <f>IF(P4563="","",IFERROR(IF(AND(H4563="W7",OR(F4563="causal",F4563="predictive")),IF(AND(OR(K4563=1,K4563="1"),OR(L4563=1,L4563="1"),OR(M4563=1,M4563="1")),"adequate","partial"),IF(AND(H4563="W4",F4563="predictive",OR(J4563="P2",J4563="P3",J4563="P4")),IF(OR(U4563=1,U4563="1"),"adequate","partial"),INDEX(Fit_Matrix!$B:$B,MATCH(P4563,Fit_Matrix!$A:$A,0)))),"CHECK KEY"))</f>
        <v/>
      </c>
      <c r="U4563" s="10"/>
      <c r="V4563" s="10"/>
      <c r="W4563" s="10"/>
      <c r="X4563" s="10"/>
      <c r="Y4563" s="10"/>
      <c r="Z4563" s="10"/>
      <c r="AA4563" s="11" t="str">
        <f t="shared" si="143"/>
        <v/>
      </c>
    </row>
    <row r="4564" spans="16:27" ht="15" customHeight="1">
      <c r="P4564" t="str">
        <f t="shared" si="142"/>
        <v/>
      </c>
      <c r="Q4564" t="str">
        <f>IF(P4564="","",IFERROR(IF(AND(H4564="W7",OR(F4564="causal",F4564="predictive")),IF(AND(OR(K4564=1,K4564="1"),OR(L4564=1,L4564="1"),OR(M4564=1,M4564="1")),"adequate","partial"),IF(AND(H4564="W4",F4564="predictive",OR(J4564="P2",J4564="P3",J4564="P4")),IF(OR(U4564=1,U4564="1"),"adequate","partial"),INDEX(Fit_Matrix!$B:$B,MATCH(P4564,Fit_Matrix!$A:$A,0)))),"CHECK KEY"))</f>
        <v/>
      </c>
      <c r="U4564" s="10"/>
      <c r="V4564" s="10"/>
      <c r="W4564" s="10"/>
      <c r="X4564" s="10"/>
      <c r="Y4564" s="10"/>
      <c r="Z4564" s="10"/>
      <c r="AA4564" s="11" t="str">
        <f t="shared" si="143"/>
        <v/>
      </c>
    </row>
    <row r="4565" spans="16:27" ht="15" customHeight="1">
      <c r="P4565" t="str">
        <f t="shared" si="142"/>
        <v/>
      </c>
      <c r="Q4565" t="str">
        <f>IF(P4565="","",IFERROR(IF(AND(H4565="W7",OR(F4565="causal",F4565="predictive")),IF(AND(OR(K4565=1,K4565="1"),OR(L4565=1,L4565="1"),OR(M4565=1,M4565="1")),"adequate","partial"),IF(AND(H4565="W4",F4565="predictive",OR(J4565="P2",J4565="P3",J4565="P4")),IF(OR(U4565=1,U4565="1"),"adequate","partial"),INDEX(Fit_Matrix!$B:$B,MATCH(P4565,Fit_Matrix!$A:$A,0)))),"CHECK KEY"))</f>
        <v/>
      </c>
      <c r="U4565" s="10"/>
      <c r="V4565" s="10"/>
      <c r="W4565" s="10"/>
      <c r="X4565" s="10"/>
      <c r="Y4565" s="10"/>
      <c r="Z4565" s="10"/>
      <c r="AA4565" s="11" t="str">
        <f t="shared" si="143"/>
        <v/>
      </c>
    </row>
    <row r="4566" spans="16:27" ht="15" customHeight="1">
      <c r="P4566" t="str">
        <f t="shared" si="142"/>
        <v/>
      </c>
      <c r="Q4566" t="str">
        <f>IF(P4566="","",IFERROR(IF(AND(H4566="W7",OR(F4566="causal",F4566="predictive")),IF(AND(OR(K4566=1,K4566="1"),OR(L4566=1,L4566="1"),OR(M4566=1,M4566="1")),"adequate","partial"),IF(AND(H4566="W4",F4566="predictive",OR(J4566="P2",J4566="P3",J4566="P4")),IF(OR(U4566=1,U4566="1"),"adequate","partial"),INDEX(Fit_Matrix!$B:$B,MATCH(P4566,Fit_Matrix!$A:$A,0)))),"CHECK KEY"))</f>
        <v/>
      </c>
      <c r="U4566" s="10"/>
      <c r="V4566" s="10"/>
      <c r="W4566" s="10"/>
      <c r="X4566" s="10"/>
      <c r="Y4566" s="10"/>
      <c r="Z4566" s="10"/>
      <c r="AA4566" s="11" t="str">
        <f t="shared" si="143"/>
        <v/>
      </c>
    </row>
    <row r="4567" spans="16:27" ht="15" customHeight="1">
      <c r="P4567" t="str">
        <f t="shared" si="142"/>
        <v/>
      </c>
      <c r="Q4567" t="str">
        <f>IF(P4567="","",IFERROR(IF(AND(H4567="W7",OR(F4567="causal",F4567="predictive")),IF(AND(OR(K4567=1,K4567="1"),OR(L4567=1,L4567="1"),OR(M4567=1,M4567="1")),"adequate","partial"),IF(AND(H4567="W4",F4567="predictive",OR(J4567="P2",J4567="P3",J4567="P4")),IF(OR(U4567=1,U4567="1"),"adequate","partial"),INDEX(Fit_Matrix!$B:$B,MATCH(P4567,Fit_Matrix!$A:$A,0)))),"CHECK KEY"))</f>
        <v/>
      </c>
      <c r="U4567" s="10"/>
      <c r="V4567" s="10"/>
      <c r="W4567" s="10"/>
      <c r="X4567" s="10"/>
      <c r="Y4567" s="10"/>
      <c r="Z4567" s="10"/>
      <c r="AA4567" s="11" t="str">
        <f t="shared" si="143"/>
        <v/>
      </c>
    </row>
    <row r="4568" spans="16:27" ht="15" customHeight="1">
      <c r="P4568" t="str">
        <f t="shared" si="142"/>
        <v/>
      </c>
      <c r="Q4568" t="str">
        <f>IF(P4568="","",IFERROR(IF(AND(H4568="W7",OR(F4568="causal",F4568="predictive")),IF(AND(OR(K4568=1,K4568="1"),OR(L4568=1,L4568="1"),OR(M4568=1,M4568="1")),"adequate","partial"),IF(AND(H4568="W4",F4568="predictive",OR(J4568="P2",J4568="P3",J4568="P4")),IF(OR(U4568=1,U4568="1"),"adequate","partial"),INDEX(Fit_Matrix!$B:$B,MATCH(P4568,Fit_Matrix!$A:$A,0)))),"CHECK KEY"))</f>
        <v/>
      </c>
      <c r="U4568" s="10"/>
      <c r="V4568" s="10"/>
      <c r="W4568" s="10"/>
      <c r="X4568" s="10"/>
      <c r="Y4568" s="10"/>
      <c r="Z4568" s="10"/>
      <c r="AA4568" s="11" t="str">
        <f t="shared" si="143"/>
        <v/>
      </c>
    </row>
    <row r="4569" spans="16:27" ht="15" customHeight="1">
      <c r="P4569" t="str">
        <f t="shared" si="142"/>
        <v/>
      </c>
      <c r="Q4569" t="str">
        <f>IF(P4569="","",IFERROR(IF(AND(H4569="W7",OR(F4569="causal",F4569="predictive")),IF(AND(OR(K4569=1,K4569="1"),OR(L4569=1,L4569="1"),OR(M4569=1,M4569="1")),"adequate","partial"),IF(AND(H4569="W4",F4569="predictive",OR(J4569="P2",J4569="P3",J4569="P4")),IF(OR(U4569=1,U4569="1"),"adequate","partial"),INDEX(Fit_Matrix!$B:$B,MATCH(P4569,Fit_Matrix!$A:$A,0)))),"CHECK KEY"))</f>
        <v/>
      </c>
      <c r="U4569" s="10"/>
      <c r="V4569" s="10"/>
      <c r="W4569" s="10"/>
      <c r="X4569" s="10"/>
      <c r="Y4569" s="10"/>
      <c r="Z4569" s="10"/>
      <c r="AA4569" s="11" t="str">
        <f t="shared" si="143"/>
        <v/>
      </c>
    </row>
    <row r="4570" spans="16:27" ht="15" customHeight="1">
      <c r="P4570" t="str">
        <f t="shared" si="142"/>
        <v/>
      </c>
      <c r="Q4570" t="str">
        <f>IF(P4570="","",IFERROR(IF(AND(H4570="W7",OR(F4570="causal",F4570="predictive")),IF(AND(OR(K4570=1,K4570="1"),OR(L4570=1,L4570="1"),OR(M4570=1,M4570="1")),"adequate","partial"),IF(AND(H4570="W4",F4570="predictive",OR(J4570="P2",J4570="P3",J4570="P4")),IF(OR(U4570=1,U4570="1"),"adequate","partial"),INDEX(Fit_Matrix!$B:$B,MATCH(P4570,Fit_Matrix!$A:$A,0)))),"CHECK KEY"))</f>
        <v/>
      </c>
      <c r="U4570" s="10"/>
      <c r="V4570" s="10"/>
      <c r="W4570" s="10"/>
      <c r="X4570" s="10"/>
      <c r="Y4570" s="10"/>
      <c r="Z4570" s="10"/>
      <c r="AA4570" s="11" t="str">
        <f t="shared" si="143"/>
        <v/>
      </c>
    </row>
    <row r="4571" spans="16:27" ht="15" customHeight="1">
      <c r="P4571" t="str">
        <f t="shared" si="142"/>
        <v/>
      </c>
      <c r="Q4571" t="str">
        <f>IF(P4571="","",IFERROR(IF(AND(H4571="W7",OR(F4571="causal",F4571="predictive")),IF(AND(OR(K4571=1,K4571="1"),OR(L4571=1,L4571="1"),OR(M4571=1,M4571="1")),"adequate","partial"),IF(AND(H4571="W4",F4571="predictive",OR(J4571="P2",J4571="P3",J4571="P4")),IF(OR(U4571=1,U4571="1"),"adequate","partial"),INDEX(Fit_Matrix!$B:$B,MATCH(P4571,Fit_Matrix!$A:$A,0)))),"CHECK KEY"))</f>
        <v/>
      </c>
      <c r="U4571" s="10"/>
      <c r="V4571" s="10"/>
      <c r="W4571" s="10"/>
      <c r="X4571" s="10"/>
      <c r="Y4571" s="10"/>
      <c r="Z4571" s="10"/>
      <c r="AA4571" s="11" t="str">
        <f t="shared" si="143"/>
        <v/>
      </c>
    </row>
    <row r="4572" spans="16:27" ht="15" customHeight="1">
      <c r="P4572" t="str">
        <f t="shared" si="142"/>
        <v/>
      </c>
      <c r="Q4572" t="str">
        <f>IF(P4572="","",IFERROR(IF(AND(H4572="W7",OR(F4572="causal",F4572="predictive")),IF(AND(OR(K4572=1,K4572="1"),OR(L4572=1,L4572="1"),OR(M4572=1,M4572="1")),"adequate","partial"),IF(AND(H4572="W4",F4572="predictive",OR(J4572="P2",J4572="P3",J4572="P4")),IF(OR(U4572=1,U4572="1"),"adequate","partial"),INDEX(Fit_Matrix!$B:$B,MATCH(P4572,Fit_Matrix!$A:$A,0)))),"CHECK KEY"))</f>
        <v/>
      </c>
      <c r="U4572" s="10"/>
      <c r="V4572" s="10"/>
      <c r="W4572" s="10"/>
      <c r="X4572" s="10"/>
      <c r="Y4572" s="10"/>
      <c r="Z4572" s="10"/>
      <c r="AA4572" s="11" t="str">
        <f t="shared" si="143"/>
        <v/>
      </c>
    </row>
    <row r="4573" spans="16:27" ht="15" customHeight="1">
      <c r="P4573" t="str">
        <f t="shared" si="142"/>
        <v/>
      </c>
      <c r="Q4573" t="str">
        <f>IF(P4573="","",IFERROR(IF(AND(H4573="W7",OR(F4573="causal",F4573="predictive")),IF(AND(OR(K4573=1,K4573="1"),OR(L4573=1,L4573="1"),OR(M4573=1,M4573="1")),"adequate","partial"),IF(AND(H4573="W4",F4573="predictive",OR(J4573="P2",J4573="P3",J4573="P4")),IF(OR(U4573=1,U4573="1"),"adequate","partial"),INDEX(Fit_Matrix!$B:$B,MATCH(P4573,Fit_Matrix!$A:$A,0)))),"CHECK KEY"))</f>
        <v/>
      </c>
      <c r="U4573" s="10"/>
      <c r="V4573" s="10"/>
      <c r="W4573" s="10"/>
      <c r="X4573" s="10"/>
      <c r="Y4573" s="10"/>
      <c r="Z4573" s="10"/>
      <c r="AA4573" s="11" t="str">
        <f t="shared" si="143"/>
        <v/>
      </c>
    </row>
    <row r="4574" spans="16:27" ht="15" customHeight="1">
      <c r="P4574" t="str">
        <f t="shared" si="142"/>
        <v/>
      </c>
      <c r="Q4574" t="str">
        <f>IF(P4574="","",IFERROR(IF(AND(H4574="W7",OR(F4574="causal",F4574="predictive")),IF(AND(OR(K4574=1,K4574="1"),OR(L4574=1,L4574="1"),OR(M4574=1,M4574="1")),"adequate","partial"),IF(AND(H4574="W4",F4574="predictive",OR(J4574="P2",J4574="P3",J4574="P4")),IF(OR(U4574=1,U4574="1"),"adequate","partial"),INDEX(Fit_Matrix!$B:$B,MATCH(P4574,Fit_Matrix!$A:$A,0)))),"CHECK KEY"))</f>
        <v/>
      </c>
      <c r="U4574" s="10"/>
      <c r="V4574" s="10"/>
      <c r="W4574" s="10"/>
      <c r="X4574" s="10"/>
      <c r="Y4574" s="10"/>
      <c r="Z4574" s="10"/>
      <c r="AA4574" s="11" t="str">
        <f t="shared" si="143"/>
        <v/>
      </c>
    </row>
    <row r="4575" spans="16:27" ht="15" customHeight="1">
      <c r="P4575" t="str">
        <f t="shared" si="142"/>
        <v/>
      </c>
      <c r="Q4575" t="str">
        <f>IF(P4575="","",IFERROR(IF(AND(H4575="W7",OR(F4575="causal",F4575="predictive")),IF(AND(OR(K4575=1,K4575="1"),OR(L4575=1,L4575="1"),OR(M4575=1,M4575="1")),"adequate","partial"),IF(AND(H4575="W4",F4575="predictive",OR(J4575="P2",J4575="P3",J4575="P4")),IF(OR(U4575=1,U4575="1"),"adequate","partial"),INDEX(Fit_Matrix!$B:$B,MATCH(P4575,Fit_Matrix!$A:$A,0)))),"CHECK KEY"))</f>
        <v/>
      </c>
      <c r="U4575" s="10"/>
      <c r="V4575" s="10"/>
      <c r="W4575" s="10"/>
      <c r="X4575" s="10"/>
      <c r="Y4575" s="10"/>
      <c r="Z4575" s="10"/>
      <c r="AA4575" s="11" t="str">
        <f t="shared" si="143"/>
        <v/>
      </c>
    </row>
    <row r="4576" spans="16:27" ht="15" customHeight="1">
      <c r="P4576" t="str">
        <f t="shared" si="142"/>
        <v/>
      </c>
      <c r="Q4576" t="str">
        <f>IF(P4576="","",IFERROR(IF(AND(H4576="W7",OR(F4576="causal",F4576="predictive")),IF(AND(OR(K4576=1,K4576="1"),OR(L4576=1,L4576="1"),OR(M4576=1,M4576="1")),"adequate","partial"),IF(AND(H4576="W4",F4576="predictive",OR(J4576="P2",J4576="P3",J4576="P4")),IF(OR(U4576=1,U4576="1"),"adequate","partial"),INDEX(Fit_Matrix!$B:$B,MATCH(P4576,Fit_Matrix!$A:$A,0)))),"CHECK KEY"))</f>
        <v/>
      </c>
      <c r="U4576" s="10"/>
      <c r="V4576" s="10"/>
      <c r="W4576" s="10"/>
      <c r="X4576" s="10"/>
      <c r="Y4576" s="10"/>
      <c r="Z4576" s="10"/>
      <c r="AA4576" s="11" t="str">
        <f t="shared" si="143"/>
        <v/>
      </c>
    </row>
    <row r="4577" spans="16:27" ht="15" customHeight="1">
      <c r="P4577" t="str">
        <f t="shared" si="142"/>
        <v/>
      </c>
      <c r="Q4577" t="str">
        <f>IF(P4577="","",IFERROR(IF(AND(H4577="W7",OR(F4577="causal",F4577="predictive")),IF(AND(OR(K4577=1,K4577="1"),OR(L4577=1,L4577="1"),OR(M4577=1,M4577="1")),"adequate","partial"),IF(AND(H4577="W4",F4577="predictive",OR(J4577="P2",J4577="P3",J4577="P4")),IF(OR(U4577=1,U4577="1"),"adequate","partial"),INDEX(Fit_Matrix!$B:$B,MATCH(P4577,Fit_Matrix!$A:$A,0)))),"CHECK KEY"))</f>
        <v/>
      </c>
      <c r="U4577" s="10"/>
      <c r="V4577" s="10"/>
      <c r="W4577" s="10"/>
      <c r="X4577" s="10"/>
      <c r="Y4577" s="10"/>
      <c r="Z4577" s="10"/>
      <c r="AA4577" s="11" t="str">
        <f t="shared" si="143"/>
        <v/>
      </c>
    </row>
    <row r="4578" spans="16:27" ht="15" customHeight="1">
      <c r="P4578" t="str">
        <f t="shared" si="142"/>
        <v/>
      </c>
      <c r="Q4578" t="str">
        <f>IF(P4578="","",IFERROR(IF(AND(H4578="W7",OR(F4578="causal",F4578="predictive")),IF(AND(OR(K4578=1,K4578="1"),OR(L4578=1,L4578="1"),OR(M4578=1,M4578="1")),"adequate","partial"),IF(AND(H4578="W4",F4578="predictive",OR(J4578="P2",J4578="P3",J4578="P4")),IF(OR(U4578=1,U4578="1"),"adequate","partial"),INDEX(Fit_Matrix!$B:$B,MATCH(P4578,Fit_Matrix!$A:$A,0)))),"CHECK KEY"))</f>
        <v/>
      </c>
      <c r="U4578" s="10"/>
      <c r="V4578" s="10"/>
      <c r="W4578" s="10"/>
      <c r="X4578" s="10"/>
      <c r="Y4578" s="10"/>
      <c r="Z4578" s="10"/>
      <c r="AA4578" s="11" t="str">
        <f t="shared" si="143"/>
        <v/>
      </c>
    </row>
    <row r="4579" spans="16:27" ht="15" customHeight="1">
      <c r="P4579" t="str">
        <f t="shared" si="142"/>
        <v/>
      </c>
      <c r="Q4579" t="str">
        <f>IF(P4579="","",IFERROR(IF(AND(H4579="W7",OR(F4579="causal",F4579="predictive")),IF(AND(OR(K4579=1,K4579="1"),OR(L4579=1,L4579="1"),OR(M4579=1,M4579="1")),"adequate","partial"),IF(AND(H4579="W4",F4579="predictive",OR(J4579="P2",J4579="P3",J4579="P4")),IF(OR(U4579=1,U4579="1"),"adequate","partial"),INDEX(Fit_Matrix!$B:$B,MATCH(P4579,Fit_Matrix!$A:$A,0)))),"CHECK KEY"))</f>
        <v/>
      </c>
      <c r="U4579" s="10"/>
      <c r="V4579" s="10"/>
      <c r="W4579" s="10"/>
      <c r="X4579" s="10"/>
      <c r="Y4579" s="10"/>
      <c r="Z4579" s="10"/>
      <c r="AA4579" s="11" t="str">
        <f t="shared" si="143"/>
        <v/>
      </c>
    </row>
    <row r="4580" spans="16:27" ht="15" customHeight="1">
      <c r="P4580" t="str">
        <f t="shared" si="142"/>
        <v/>
      </c>
      <c r="Q4580" t="str">
        <f>IF(P4580="","",IFERROR(IF(AND(H4580="W7",OR(F4580="causal",F4580="predictive")),IF(AND(OR(K4580=1,K4580="1"),OR(L4580=1,L4580="1"),OR(M4580=1,M4580="1")),"adequate","partial"),IF(AND(H4580="W4",F4580="predictive",OR(J4580="P2",J4580="P3",J4580="P4")),IF(OR(U4580=1,U4580="1"),"adequate","partial"),INDEX(Fit_Matrix!$B:$B,MATCH(P4580,Fit_Matrix!$A:$A,0)))),"CHECK KEY"))</f>
        <v/>
      </c>
      <c r="U4580" s="10"/>
      <c r="V4580" s="10"/>
      <c r="W4580" s="10"/>
      <c r="X4580" s="10"/>
      <c r="Y4580" s="10"/>
      <c r="Z4580" s="10"/>
      <c r="AA4580" s="11" t="str">
        <f t="shared" si="143"/>
        <v/>
      </c>
    </row>
    <row r="4581" spans="16:27" ht="15" customHeight="1">
      <c r="P4581" t="str">
        <f t="shared" si="142"/>
        <v/>
      </c>
      <c r="Q4581" t="str">
        <f>IF(P4581="","",IFERROR(IF(AND(H4581="W7",OR(F4581="causal",F4581="predictive")),IF(AND(OR(K4581=1,K4581="1"),OR(L4581=1,L4581="1"),OR(M4581=1,M4581="1")),"adequate","partial"),IF(AND(H4581="W4",F4581="predictive",OR(J4581="P2",J4581="P3",J4581="P4")),IF(OR(U4581=1,U4581="1"),"adequate","partial"),INDEX(Fit_Matrix!$B:$B,MATCH(P4581,Fit_Matrix!$A:$A,0)))),"CHECK KEY"))</f>
        <v/>
      </c>
      <c r="U4581" s="10"/>
      <c r="V4581" s="10"/>
      <c r="W4581" s="10"/>
      <c r="X4581" s="10"/>
      <c r="Y4581" s="10"/>
      <c r="Z4581" s="10"/>
      <c r="AA4581" s="11" t="str">
        <f t="shared" si="143"/>
        <v/>
      </c>
    </row>
    <row r="4582" spans="16:27" ht="15" customHeight="1">
      <c r="P4582" t="str">
        <f t="shared" si="142"/>
        <v/>
      </c>
      <c r="Q4582" t="str">
        <f>IF(P4582="","",IFERROR(IF(AND(H4582="W7",OR(F4582="causal",F4582="predictive")),IF(AND(OR(K4582=1,K4582="1"),OR(L4582=1,L4582="1"),OR(M4582=1,M4582="1")),"adequate","partial"),IF(AND(H4582="W4",F4582="predictive",OR(J4582="P2",J4582="P3",J4582="P4")),IF(OR(U4582=1,U4582="1"),"adequate","partial"),INDEX(Fit_Matrix!$B:$B,MATCH(P4582,Fit_Matrix!$A:$A,0)))),"CHECK KEY"))</f>
        <v/>
      </c>
      <c r="U4582" s="10"/>
      <c r="V4582" s="10"/>
      <c r="W4582" s="10"/>
      <c r="X4582" s="10"/>
      <c r="Y4582" s="10"/>
      <c r="Z4582" s="10"/>
      <c r="AA4582" s="11" t="str">
        <f t="shared" si="143"/>
        <v/>
      </c>
    </row>
    <row r="4583" spans="16:27" ht="15" customHeight="1">
      <c r="P4583" t="str">
        <f t="shared" si="142"/>
        <v/>
      </c>
      <c r="Q4583" t="str">
        <f>IF(P4583="","",IFERROR(IF(AND(H4583="W7",OR(F4583="causal",F4583="predictive")),IF(AND(OR(K4583=1,K4583="1"),OR(L4583=1,L4583="1"),OR(M4583=1,M4583="1")),"adequate","partial"),IF(AND(H4583="W4",F4583="predictive",OR(J4583="P2",J4583="P3",J4583="P4")),IF(OR(U4583=1,U4583="1"),"adequate","partial"),INDEX(Fit_Matrix!$B:$B,MATCH(P4583,Fit_Matrix!$A:$A,0)))),"CHECK KEY"))</f>
        <v/>
      </c>
      <c r="U4583" s="10"/>
      <c r="V4583" s="10"/>
      <c r="W4583" s="10"/>
      <c r="X4583" s="10"/>
      <c r="Y4583" s="10"/>
      <c r="Z4583" s="10"/>
      <c r="AA4583" s="11" t="str">
        <f t="shared" si="143"/>
        <v/>
      </c>
    </row>
    <row r="4584" spans="16:27" ht="15" customHeight="1">
      <c r="P4584" t="str">
        <f t="shared" si="142"/>
        <v/>
      </c>
      <c r="Q4584" t="str">
        <f>IF(P4584="","",IFERROR(IF(AND(H4584="W7",OR(F4584="causal",F4584="predictive")),IF(AND(OR(K4584=1,K4584="1"),OR(L4584=1,L4584="1"),OR(M4584=1,M4584="1")),"adequate","partial"),IF(AND(H4584="W4",F4584="predictive",OR(J4584="P2",J4584="P3",J4584="P4")),IF(OR(U4584=1,U4584="1"),"adequate","partial"),INDEX(Fit_Matrix!$B:$B,MATCH(P4584,Fit_Matrix!$A:$A,0)))),"CHECK KEY"))</f>
        <v/>
      </c>
      <c r="U4584" s="10"/>
      <c r="V4584" s="10"/>
      <c r="W4584" s="10"/>
      <c r="X4584" s="10"/>
      <c r="Y4584" s="10"/>
      <c r="Z4584" s="10"/>
      <c r="AA4584" s="11" t="str">
        <f t="shared" si="143"/>
        <v/>
      </c>
    </row>
    <row r="4585" spans="16:27" ht="15" customHeight="1">
      <c r="P4585" t="str">
        <f t="shared" si="142"/>
        <v/>
      </c>
      <c r="Q4585" t="str">
        <f>IF(P4585="","",IFERROR(IF(AND(H4585="W7",OR(F4585="causal",F4585="predictive")),IF(AND(OR(K4585=1,K4585="1"),OR(L4585=1,L4585="1"),OR(M4585=1,M4585="1")),"adequate","partial"),IF(AND(H4585="W4",F4585="predictive",OR(J4585="P2",J4585="P3",J4585="P4")),IF(OR(U4585=1,U4585="1"),"adequate","partial"),INDEX(Fit_Matrix!$B:$B,MATCH(P4585,Fit_Matrix!$A:$A,0)))),"CHECK KEY"))</f>
        <v/>
      </c>
      <c r="U4585" s="10"/>
      <c r="V4585" s="10"/>
      <c r="W4585" s="10"/>
      <c r="X4585" s="10"/>
      <c r="Y4585" s="10"/>
      <c r="Z4585" s="10"/>
      <c r="AA4585" s="11" t="str">
        <f t="shared" si="143"/>
        <v/>
      </c>
    </row>
    <row r="4586" spans="16:27" ht="15" customHeight="1">
      <c r="P4586" t="str">
        <f t="shared" si="142"/>
        <v/>
      </c>
      <c r="Q4586" t="str">
        <f>IF(P4586="","",IFERROR(IF(AND(H4586="W7",OR(F4586="causal",F4586="predictive")),IF(AND(OR(K4586=1,K4586="1"),OR(L4586=1,L4586="1"),OR(M4586=1,M4586="1")),"adequate","partial"),IF(AND(H4586="W4",F4586="predictive",OR(J4586="P2",J4586="P3",J4586="P4")),IF(OR(U4586=1,U4586="1"),"adequate","partial"),INDEX(Fit_Matrix!$B:$B,MATCH(P4586,Fit_Matrix!$A:$A,0)))),"CHECK KEY"))</f>
        <v/>
      </c>
      <c r="U4586" s="10"/>
      <c r="V4586" s="10"/>
      <c r="W4586" s="10"/>
      <c r="X4586" s="10"/>
      <c r="Y4586" s="10"/>
      <c r="Z4586" s="10"/>
      <c r="AA4586" s="11" t="str">
        <f t="shared" si="143"/>
        <v/>
      </c>
    </row>
    <row r="4587" spans="16:27" ht="15" customHeight="1">
      <c r="P4587" t="str">
        <f t="shared" si="142"/>
        <v/>
      </c>
      <c r="Q4587" t="str">
        <f>IF(P4587="","",IFERROR(IF(AND(H4587="W7",OR(F4587="causal",F4587="predictive")),IF(AND(OR(K4587=1,K4587="1"),OR(L4587=1,L4587="1"),OR(M4587=1,M4587="1")),"adequate","partial"),IF(AND(H4587="W4",F4587="predictive",OR(J4587="P2",J4587="P3",J4587="P4")),IF(OR(U4587=1,U4587="1"),"adequate","partial"),INDEX(Fit_Matrix!$B:$B,MATCH(P4587,Fit_Matrix!$A:$A,0)))),"CHECK KEY"))</f>
        <v/>
      </c>
      <c r="U4587" s="10"/>
      <c r="V4587" s="10"/>
      <c r="W4587" s="10"/>
      <c r="X4587" s="10"/>
      <c r="Y4587" s="10"/>
      <c r="Z4587" s="10"/>
      <c r="AA4587" s="11" t="str">
        <f t="shared" si="143"/>
        <v/>
      </c>
    </row>
    <row r="4588" spans="16:27" ht="15" customHeight="1">
      <c r="P4588" t="str">
        <f t="shared" si="142"/>
        <v/>
      </c>
      <c r="Q4588" t="str">
        <f>IF(P4588="","",IFERROR(IF(AND(H4588="W7",OR(F4588="causal",F4588="predictive")),IF(AND(OR(K4588=1,K4588="1"),OR(L4588=1,L4588="1"),OR(M4588=1,M4588="1")),"adequate","partial"),IF(AND(H4588="W4",F4588="predictive",OR(J4588="P2",J4588="P3",J4588="P4")),IF(OR(U4588=1,U4588="1"),"adequate","partial"),INDEX(Fit_Matrix!$B:$B,MATCH(P4588,Fit_Matrix!$A:$A,0)))),"CHECK KEY"))</f>
        <v/>
      </c>
      <c r="U4588" s="10"/>
      <c r="V4588" s="10"/>
      <c r="W4588" s="10"/>
      <c r="X4588" s="10"/>
      <c r="Y4588" s="10"/>
      <c r="Z4588" s="10"/>
      <c r="AA4588" s="11" t="str">
        <f t="shared" si="143"/>
        <v/>
      </c>
    </row>
    <row r="4589" spans="16:27" ht="15" customHeight="1">
      <c r="P4589" t="str">
        <f t="shared" si="142"/>
        <v/>
      </c>
      <c r="Q4589" t="str">
        <f>IF(P4589="","",IFERROR(IF(AND(H4589="W7",OR(F4589="causal",F4589="predictive")),IF(AND(OR(K4589=1,K4589="1"),OR(L4589=1,L4589="1"),OR(M4589=1,M4589="1")),"adequate","partial"),IF(AND(H4589="W4",F4589="predictive",OR(J4589="P2",J4589="P3",J4589="P4")),IF(OR(U4589=1,U4589="1"),"adequate","partial"),INDEX(Fit_Matrix!$B:$B,MATCH(P4589,Fit_Matrix!$A:$A,0)))),"CHECK KEY"))</f>
        <v/>
      </c>
      <c r="U4589" s="10"/>
      <c r="V4589" s="10"/>
      <c r="W4589" s="10"/>
      <c r="X4589" s="10"/>
      <c r="Y4589" s="10"/>
      <c r="Z4589" s="10"/>
      <c r="AA4589" s="11" t="str">
        <f t="shared" si="143"/>
        <v/>
      </c>
    </row>
    <row r="4590" spans="16:27" ht="15" customHeight="1">
      <c r="P4590" t="str">
        <f t="shared" si="142"/>
        <v/>
      </c>
      <c r="Q4590" t="str">
        <f>IF(P4590="","",IFERROR(IF(AND(H4590="W7",OR(F4590="causal",F4590="predictive")),IF(AND(OR(K4590=1,K4590="1"),OR(L4590=1,L4590="1"),OR(M4590=1,M4590="1")),"adequate","partial"),IF(AND(H4590="W4",F4590="predictive",OR(J4590="P2",J4590="P3",J4590="P4")),IF(OR(U4590=1,U4590="1"),"adequate","partial"),INDEX(Fit_Matrix!$B:$B,MATCH(P4590,Fit_Matrix!$A:$A,0)))),"CHECK KEY"))</f>
        <v/>
      </c>
      <c r="U4590" s="10"/>
      <c r="V4590" s="10"/>
      <c r="W4590" s="10"/>
      <c r="X4590" s="10"/>
      <c r="Y4590" s="10"/>
      <c r="Z4590" s="10"/>
      <c r="AA4590" s="11" t="str">
        <f t="shared" si="143"/>
        <v/>
      </c>
    </row>
    <row r="4591" spans="16:27" ht="15" customHeight="1">
      <c r="P4591" t="str">
        <f t="shared" si="142"/>
        <v/>
      </c>
      <c r="Q4591" t="str">
        <f>IF(P4591="","",IFERROR(IF(AND(H4591="W7",OR(F4591="causal",F4591="predictive")),IF(AND(OR(K4591=1,K4591="1"),OR(L4591=1,L4591="1"),OR(M4591=1,M4591="1")),"adequate","partial"),IF(AND(H4591="W4",F4591="predictive",OR(J4591="P2",J4591="P3",J4591="P4")),IF(OR(U4591=1,U4591="1"),"adequate","partial"),INDEX(Fit_Matrix!$B:$B,MATCH(P4591,Fit_Matrix!$A:$A,0)))),"CHECK KEY"))</f>
        <v/>
      </c>
      <c r="U4591" s="10"/>
      <c r="V4591" s="10"/>
      <c r="W4591" s="10"/>
      <c r="X4591" s="10"/>
      <c r="Y4591" s="10"/>
      <c r="Z4591" s="10"/>
      <c r="AA4591" s="11" t="str">
        <f t="shared" si="143"/>
        <v/>
      </c>
    </row>
    <row r="4592" spans="16:27" ht="15" customHeight="1">
      <c r="P4592" t="str">
        <f t="shared" si="142"/>
        <v/>
      </c>
      <c r="Q4592" t="str">
        <f>IF(P4592="","",IFERROR(IF(AND(H4592="W7",OR(F4592="causal",F4592="predictive")),IF(AND(OR(K4592=1,K4592="1"),OR(L4592=1,L4592="1"),OR(M4592=1,M4592="1")),"adequate","partial"),IF(AND(H4592="W4",F4592="predictive",OR(J4592="P2",J4592="P3",J4592="P4")),IF(OR(U4592=1,U4592="1"),"adequate","partial"),INDEX(Fit_Matrix!$B:$B,MATCH(P4592,Fit_Matrix!$A:$A,0)))),"CHECK KEY"))</f>
        <v/>
      </c>
      <c r="U4592" s="10"/>
      <c r="V4592" s="10"/>
      <c r="W4592" s="10"/>
      <c r="X4592" s="10"/>
      <c r="Y4592" s="10"/>
      <c r="Z4592" s="10"/>
      <c r="AA4592" s="11" t="str">
        <f t="shared" si="143"/>
        <v/>
      </c>
    </row>
    <row r="4593" spans="16:27" ht="15" customHeight="1">
      <c r="P4593" t="str">
        <f t="shared" si="142"/>
        <v/>
      </c>
      <c r="Q4593" t="str">
        <f>IF(P4593="","",IFERROR(IF(AND(H4593="W7",OR(F4593="causal",F4593="predictive")),IF(AND(OR(K4593=1,K4593="1"),OR(L4593=1,L4593="1"),OR(M4593=1,M4593="1")),"adequate","partial"),IF(AND(H4593="W4",F4593="predictive",OR(J4593="P2",J4593="P3",J4593="P4")),IF(OR(U4593=1,U4593="1"),"adequate","partial"),INDEX(Fit_Matrix!$B:$B,MATCH(P4593,Fit_Matrix!$A:$A,0)))),"CHECK KEY"))</f>
        <v/>
      </c>
      <c r="U4593" s="10"/>
      <c r="V4593" s="10"/>
      <c r="W4593" s="10"/>
      <c r="X4593" s="10"/>
      <c r="Y4593" s="10"/>
      <c r="Z4593" s="10"/>
      <c r="AA4593" s="11" t="str">
        <f t="shared" si="143"/>
        <v/>
      </c>
    </row>
    <row r="4594" spans="16:27" ht="15" customHeight="1">
      <c r="P4594" t="str">
        <f t="shared" si="142"/>
        <v/>
      </c>
      <c r="Q4594" t="str">
        <f>IF(P4594="","",IFERROR(IF(AND(H4594="W7",OR(F4594="causal",F4594="predictive")),IF(AND(OR(K4594=1,K4594="1"),OR(L4594=1,L4594="1"),OR(M4594=1,M4594="1")),"adequate","partial"),IF(AND(H4594="W4",F4594="predictive",OR(J4594="P2",J4594="P3",J4594="P4")),IF(OR(U4594=1,U4594="1"),"adequate","partial"),INDEX(Fit_Matrix!$B:$B,MATCH(P4594,Fit_Matrix!$A:$A,0)))),"CHECK KEY"))</f>
        <v/>
      </c>
      <c r="U4594" s="10"/>
      <c r="V4594" s="10"/>
      <c r="W4594" s="10"/>
      <c r="X4594" s="10"/>
      <c r="Y4594" s="10"/>
      <c r="Z4594" s="10"/>
      <c r="AA4594" s="11" t="str">
        <f t="shared" si="143"/>
        <v/>
      </c>
    </row>
    <row r="4595" spans="16:27" ht="15" customHeight="1">
      <c r="P4595" t="str">
        <f t="shared" si="142"/>
        <v/>
      </c>
      <c r="Q4595" t="str">
        <f>IF(P4595="","",IFERROR(IF(AND(H4595="W7",OR(F4595="causal",F4595="predictive")),IF(AND(OR(K4595=1,K4595="1"),OR(L4595=1,L4595="1"),OR(M4595=1,M4595="1")),"adequate","partial"),IF(AND(H4595="W4",F4595="predictive",OR(J4595="P2",J4595="P3",J4595="P4")),IF(OR(U4595=1,U4595="1"),"adequate","partial"),INDEX(Fit_Matrix!$B:$B,MATCH(P4595,Fit_Matrix!$A:$A,0)))),"CHECK KEY"))</f>
        <v/>
      </c>
      <c r="U4595" s="10"/>
      <c r="V4595" s="10"/>
      <c r="W4595" s="10"/>
      <c r="X4595" s="10"/>
      <c r="Y4595" s="10"/>
      <c r="Z4595" s="10"/>
      <c r="AA4595" s="11" t="str">
        <f t="shared" si="143"/>
        <v/>
      </c>
    </row>
    <row r="4596" spans="16:27" ht="15" customHeight="1">
      <c r="P4596" t="str">
        <f t="shared" si="142"/>
        <v/>
      </c>
      <c r="Q4596" t="str">
        <f>IF(P4596="","",IFERROR(IF(AND(H4596="W7",OR(F4596="causal",F4596="predictive")),IF(AND(OR(K4596=1,K4596="1"),OR(L4596=1,L4596="1"),OR(M4596=1,M4596="1")),"adequate","partial"),IF(AND(H4596="W4",F4596="predictive",OR(J4596="P2",J4596="P3",J4596="P4")),IF(OR(U4596=1,U4596="1"),"adequate","partial"),INDEX(Fit_Matrix!$B:$B,MATCH(P4596,Fit_Matrix!$A:$A,0)))),"CHECK KEY"))</f>
        <v/>
      </c>
      <c r="U4596" s="10"/>
      <c r="V4596" s="10"/>
      <c r="W4596" s="10"/>
      <c r="X4596" s="10"/>
      <c r="Y4596" s="10"/>
      <c r="Z4596" s="10"/>
      <c r="AA4596" s="11" t="str">
        <f t="shared" si="143"/>
        <v/>
      </c>
    </row>
    <row r="4597" spans="16:27" ht="15" customHeight="1">
      <c r="P4597" t="str">
        <f t="shared" si="142"/>
        <v/>
      </c>
      <c r="Q4597" t="str">
        <f>IF(P4597="","",IFERROR(IF(AND(H4597="W7",OR(F4597="causal",F4597="predictive")),IF(AND(OR(K4597=1,K4597="1"),OR(L4597=1,L4597="1"),OR(M4597=1,M4597="1")),"adequate","partial"),IF(AND(H4597="W4",F4597="predictive",OR(J4597="P2",J4597="P3",J4597="P4")),IF(OR(U4597=1,U4597="1"),"adequate","partial"),INDEX(Fit_Matrix!$B:$B,MATCH(P4597,Fit_Matrix!$A:$A,0)))),"CHECK KEY"))</f>
        <v/>
      </c>
      <c r="U4597" s="10"/>
      <c r="V4597" s="10"/>
      <c r="W4597" s="10"/>
      <c r="X4597" s="10"/>
      <c r="Y4597" s="10"/>
      <c r="Z4597" s="10"/>
      <c r="AA4597" s="11" t="str">
        <f t="shared" si="143"/>
        <v/>
      </c>
    </row>
    <row r="4598" spans="16:27" ht="15" customHeight="1">
      <c r="P4598" t="str">
        <f t="shared" si="142"/>
        <v/>
      </c>
      <c r="Q4598" t="str">
        <f>IF(P4598="","",IFERROR(IF(AND(H4598="W7",OR(F4598="causal",F4598="predictive")),IF(AND(OR(K4598=1,K4598="1"),OR(L4598=1,L4598="1"),OR(M4598=1,M4598="1")),"adequate","partial"),IF(AND(H4598="W4",F4598="predictive",OR(J4598="P2",J4598="P3",J4598="P4")),IF(OR(U4598=1,U4598="1"),"adequate","partial"),INDEX(Fit_Matrix!$B:$B,MATCH(P4598,Fit_Matrix!$A:$A,0)))),"CHECK KEY"))</f>
        <v/>
      </c>
      <c r="U4598" s="10"/>
      <c r="V4598" s="10"/>
      <c r="W4598" s="10"/>
      <c r="X4598" s="10"/>
      <c r="Y4598" s="10"/>
      <c r="Z4598" s="10"/>
      <c r="AA4598" s="11" t="str">
        <f t="shared" si="143"/>
        <v/>
      </c>
    </row>
    <row r="4599" spans="16:27" ht="15" customHeight="1">
      <c r="P4599" t="str">
        <f t="shared" si="142"/>
        <v/>
      </c>
      <c r="Q4599" t="str">
        <f>IF(P4599="","",IFERROR(IF(AND(H4599="W7",OR(F4599="causal",F4599="predictive")),IF(AND(OR(K4599=1,K4599="1"),OR(L4599=1,L4599="1"),OR(M4599=1,M4599="1")),"adequate","partial"),IF(AND(H4599="W4",F4599="predictive",OR(J4599="P2",J4599="P3",J4599="P4")),IF(OR(U4599=1,U4599="1"),"adequate","partial"),INDEX(Fit_Matrix!$B:$B,MATCH(P4599,Fit_Matrix!$A:$A,0)))),"CHECK KEY"))</f>
        <v/>
      </c>
      <c r="U4599" s="10"/>
      <c r="V4599" s="10"/>
      <c r="W4599" s="10"/>
      <c r="X4599" s="10"/>
      <c r="Y4599" s="10"/>
      <c r="Z4599" s="10"/>
      <c r="AA4599" s="11" t="str">
        <f t="shared" si="143"/>
        <v/>
      </c>
    </row>
    <row r="4600" spans="16:27" ht="15" customHeight="1">
      <c r="P4600" t="str">
        <f t="shared" si="142"/>
        <v/>
      </c>
      <c r="Q4600" t="str">
        <f>IF(P4600="","",IFERROR(IF(AND(H4600="W7",OR(F4600="causal",F4600="predictive")),IF(AND(OR(K4600=1,K4600="1"),OR(L4600=1,L4600="1"),OR(M4600=1,M4600="1")),"adequate","partial"),IF(AND(H4600="W4",F4600="predictive",OR(J4600="P2",J4600="P3",J4600="P4")),IF(OR(U4600=1,U4600="1"),"adequate","partial"),INDEX(Fit_Matrix!$B:$B,MATCH(P4600,Fit_Matrix!$A:$A,0)))),"CHECK KEY"))</f>
        <v/>
      </c>
      <c r="U4600" s="10"/>
      <c r="V4600" s="10"/>
      <c r="W4600" s="10"/>
      <c r="X4600" s="10"/>
      <c r="Y4600" s="10"/>
      <c r="Z4600" s="10"/>
      <c r="AA4600" s="11" t="str">
        <f t="shared" si="143"/>
        <v/>
      </c>
    </row>
    <row r="4601" spans="16:27" ht="15" customHeight="1">
      <c r="P4601" t="str">
        <f t="shared" si="142"/>
        <v/>
      </c>
      <c r="Q4601" t="str">
        <f>IF(P4601="","",IFERROR(IF(AND(H4601="W7",OR(F4601="causal",F4601="predictive")),IF(AND(OR(K4601=1,K4601="1"),OR(L4601=1,L4601="1"),OR(M4601=1,M4601="1")),"adequate","partial"),IF(AND(H4601="W4",F4601="predictive",OR(J4601="P2",J4601="P3",J4601="P4")),IF(OR(U4601=1,U4601="1"),"adequate","partial"),INDEX(Fit_Matrix!$B:$B,MATCH(P4601,Fit_Matrix!$A:$A,0)))),"CHECK KEY"))</f>
        <v/>
      </c>
      <c r="U4601" s="10"/>
      <c r="V4601" s="10"/>
      <c r="W4601" s="10"/>
      <c r="X4601" s="10"/>
      <c r="Y4601" s="10"/>
      <c r="Z4601" s="10"/>
      <c r="AA4601" s="11" t="str">
        <f t="shared" si="143"/>
        <v/>
      </c>
    </row>
    <row r="4602" spans="16:27" ht="15" customHeight="1">
      <c r="P4602" t="str">
        <f t="shared" si="142"/>
        <v/>
      </c>
      <c r="Q4602" t="str">
        <f>IF(P4602="","",IFERROR(IF(AND(H4602="W7",OR(F4602="causal",F4602="predictive")),IF(AND(OR(K4602=1,K4602="1"),OR(L4602=1,L4602="1"),OR(M4602=1,M4602="1")),"adequate","partial"),IF(AND(H4602="W4",F4602="predictive",OR(J4602="P2",J4602="P3",J4602="P4")),IF(OR(U4602=1,U4602="1"),"adequate","partial"),INDEX(Fit_Matrix!$B:$B,MATCH(P4602,Fit_Matrix!$A:$A,0)))),"CHECK KEY"))</f>
        <v/>
      </c>
      <c r="U4602" s="10"/>
      <c r="V4602" s="10"/>
      <c r="W4602" s="10"/>
      <c r="X4602" s="10"/>
      <c r="Y4602" s="10"/>
      <c r="Z4602" s="10"/>
      <c r="AA4602" s="11" t="str">
        <f t="shared" si="143"/>
        <v/>
      </c>
    </row>
    <row r="4603" spans="16:27" ht="15" customHeight="1">
      <c r="P4603" t="str">
        <f t="shared" si="142"/>
        <v/>
      </c>
      <c r="Q4603" t="str">
        <f>IF(P4603="","",IFERROR(IF(AND(H4603="W7",OR(F4603="causal",F4603="predictive")),IF(AND(OR(K4603=1,K4603="1"),OR(L4603=1,L4603="1"),OR(M4603=1,M4603="1")),"adequate","partial"),IF(AND(H4603="W4",F4603="predictive",OR(J4603="P2",J4603="P3",J4603="P4")),IF(OR(U4603=1,U4603="1"),"adequate","partial"),INDEX(Fit_Matrix!$B:$B,MATCH(P4603,Fit_Matrix!$A:$A,0)))),"CHECK KEY"))</f>
        <v/>
      </c>
      <c r="U4603" s="10"/>
      <c r="V4603" s="10"/>
      <c r="W4603" s="10"/>
      <c r="X4603" s="10"/>
      <c r="Y4603" s="10"/>
      <c r="Z4603" s="10"/>
      <c r="AA4603" s="11" t="str">
        <f t="shared" si="143"/>
        <v/>
      </c>
    </row>
    <row r="4604" spans="16:27" ht="15" customHeight="1">
      <c r="P4604" t="str">
        <f t="shared" si="142"/>
        <v/>
      </c>
      <c r="Q4604" t="str">
        <f>IF(P4604="","",IFERROR(IF(AND(H4604="W7",OR(F4604="causal",F4604="predictive")),IF(AND(OR(K4604=1,K4604="1"),OR(L4604=1,L4604="1"),OR(M4604=1,M4604="1")),"adequate","partial"),IF(AND(H4604="W4",F4604="predictive",OR(J4604="P2",J4604="P3",J4604="P4")),IF(OR(U4604=1,U4604="1"),"adequate","partial"),INDEX(Fit_Matrix!$B:$B,MATCH(P4604,Fit_Matrix!$A:$A,0)))),"CHECK KEY"))</f>
        <v/>
      </c>
      <c r="U4604" s="10"/>
      <c r="V4604" s="10"/>
      <c r="W4604" s="10"/>
      <c r="X4604" s="10"/>
      <c r="Y4604" s="10"/>
      <c r="Z4604" s="10"/>
      <c r="AA4604" s="11" t="str">
        <f t="shared" si="143"/>
        <v/>
      </c>
    </row>
    <row r="4605" spans="16:27" ht="15" customHeight="1">
      <c r="P4605" t="str">
        <f t="shared" si="142"/>
        <v/>
      </c>
      <c r="Q4605" t="str">
        <f>IF(P4605="","",IFERROR(IF(AND(H4605="W7",OR(F4605="causal",F4605="predictive")),IF(AND(OR(K4605=1,K4605="1"),OR(L4605=1,L4605="1"),OR(M4605=1,M4605="1")),"adequate","partial"),IF(AND(H4605="W4",F4605="predictive",OR(J4605="P2",J4605="P3",J4605="P4")),IF(OR(U4605=1,U4605="1"),"adequate","partial"),INDEX(Fit_Matrix!$B:$B,MATCH(P4605,Fit_Matrix!$A:$A,0)))),"CHECK KEY"))</f>
        <v/>
      </c>
      <c r="U4605" s="10"/>
      <c r="V4605" s="10"/>
      <c r="W4605" s="10"/>
      <c r="X4605" s="10"/>
      <c r="Y4605" s="10"/>
      <c r="Z4605" s="10"/>
      <c r="AA4605" s="11" t="str">
        <f t="shared" si="143"/>
        <v/>
      </c>
    </row>
    <row r="4606" spans="16:27" ht="15" customHeight="1">
      <c r="P4606" t="str">
        <f t="shared" si="142"/>
        <v/>
      </c>
      <c r="Q4606" t="str">
        <f>IF(P4606="","",IFERROR(IF(AND(H4606="W7",OR(F4606="causal",F4606="predictive")),IF(AND(OR(K4606=1,K4606="1"),OR(L4606=1,L4606="1"),OR(M4606=1,M4606="1")),"adequate","partial"),IF(AND(H4606="W4",F4606="predictive",OR(J4606="P2",J4606="P3",J4606="P4")),IF(OR(U4606=1,U4606="1"),"adequate","partial"),INDEX(Fit_Matrix!$B:$B,MATCH(P4606,Fit_Matrix!$A:$A,0)))),"CHECK KEY"))</f>
        <v/>
      </c>
      <c r="U4606" s="10"/>
      <c r="V4606" s="10"/>
      <c r="W4606" s="10"/>
      <c r="X4606" s="10"/>
      <c r="Y4606" s="10"/>
      <c r="Z4606" s="10"/>
      <c r="AA4606" s="11" t="str">
        <f t="shared" si="143"/>
        <v/>
      </c>
    </row>
    <row r="4607" spans="16:27" ht="15" customHeight="1">
      <c r="P4607" t="str">
        <f t="shared" si="142"/>
        <v/>
      </c>
      <c r="Q4607" t="str">
        <f>IF(P4607="","",IFERROR(IF(AND(H4607="W7",OR(F4607="causal",F4607="predictive")),IF(AND(OR(K4607=1,K4607="1"),OR(L4607=1,L4607="1"),OR(M4607=1,M4607="1")),"adequate","partial"),IF(AND(H4607="W4",F4607="predictive",OR(J4607="P2",J4607="P3",J4607="P4")),IF(OR(U4607=1,U4607="1"),"adequate","partial"),INDEX(Fit_Matrix!$B:$B,MATCH(P4607,Fit_Matrix!$A:$A,0)))),"CHECK KEY"))</f>
        <v/>
      </c>
      <c r="U4607" s="10"/>
      <c r="V4607" s="10"/>
      <c r="W4607" s="10"/>
      <c r="X4607" s="10"/>
      <c r="Y4607" s="10"/>
      <c r="Z4607" s="10"/>
      <c r="AA4607" s="11" t="str">
        <f t="shared" si="143"/>
        <v/>
      </c>
    </row>
    <row r="4608" spans="16:27" ht="15" customHeight="1">
      <c r="P4608" t="str">
        <f t="shared" si="142"/>
        <v/>
      </c>
      <c r="Q4608" t="str">
        <f>IF(P4608="","",IFERROR(IF(AND(H4608="W7",OR(F4608="causal",F4608="predictive")),IF(AND(OR(K4608=1,K4608="1"),OR(L4608=1,L4608="1"),OR(M4608=1,M4608="1")),"adequate","partial"),IF(AND(H4608="W4",F4608="predictive",OR(J4608="P2",J4608="P3",J4608="P4")),IF(OR(U4608=1,U4608="1"),"adequate","partial"),INDEX(Fit_Matrix!$B:$B,MATCH(P4608,Fit_Matrix!$A:$A,0)))),"CHECK KEY"))</f>
        <v/>
      </c>
      <c r="U4608" s="10"/>
      <c r="V4608" s="10"/>
      <c r="W4608" s="10"/>
      <c r="X4608" s="10"/>
      <c r="Y4608" s="10"/>
      <c r="Z4608" s="10"/>
      <c r="AA4608" s="11" t="str">
        <f t="shared" si="143"/>
        <v/>
      </c>
    </row>
    <row r="4609" spans="16:27" ht="15" customHeight="1">
      <c r="P4609" t="str">
        <f t="shared" si="142"/>
        <v/>
      </c>
      <c r="Q4609" t="str">
        <f>IF(P4609="","",IFERROR(IF(AND(H4609="W7",OR(F4609="causal",F4609="predictive")),IF(AND(OR(K4609=1,K4609="1"),OR(L4609=1,L4609="1"),OR(M4609=1,M4609="1")),"adequate","partial"),IF(AND(H4609="W4",F4609="predictive",OR(J4609="P2",J4609="P3",J4609="P4")),IF(OR(U4609=1,U4609="1"),"adequate","partial"),INDEX(Fit_Matrix!$B:$B,MATCH(P4609,Fit_Matrix!$A:$A,0)))),"CHECK KEY"))</f>
        <v/>
      </c>
      <c r="U4609" s="10"/>
      <c r="V4609" s="10"/>
      <c r="W4609" s="10"/>
      <c r="X4609" s="10"/>
      <c r="Y4609" s="10"/>
      <c r="Z4609" s="10"/>
      <c r="AA4609" s="11" t="str">
        <f t="shared" si="143"/>
        <v/>
      </c>
    </row>
    <row r="4610" spans="16:27" ht="15" customHeight="1">
      <c r="P4610" t="str">
        <f t="shared" ref="P4610:P4673" si="144">IF(OR(F4610="",H4610="",J4610=""),"",J4610&amp;"|"&amp;F4610&amp;"|"&amp;IF(H4610="W3","W3_"&amp;IF(I4610="","unknown",I4610),H4610))</f>
        <v/>
      </c>
      <c r="Q4610" t="str">
        <f>IF(P4610="","",IFERROR(IF(AND(H4610="W7",OR(F4610="causal",F4610="predictive")),IF(AND(OR(K4610=1,K4610="1"),OR(L4610=1,L4610="1"),OR(M4610=1,M4610="1")),"adequate","partial"),IF(AND(H4610="W4",F4610="predictive",OR(J4610="P2",J4610="P3",J4610="P4")),IF(OR(U4610=1,U4610="1"),"adequate","partial"),INDEX(Fit_Matrix!$B:$B,MATCH(P4610,Fit_Matrix!$A:$A,0)))),"CHECK KEY"))</f>
        <v/>
      </c>
      <c r="U4610" s="10"/>
      <c r="V4610" s="10"/>
      <c r="W4610" s="10"/>
      <c r="X4610" s="10"/>
      <c r="Y4610" s="10"/>
      <c r="Z4610" s="10"/>
      <c r="AA4610" s="11" t="str">
        <f t="shared" ref="AA4610:AA4673" si="145">IF(A4610="","",IF(AND(J4610="P4",F4610="causal"),"P4-CAUSAL",""))</f>
        <v/>
      </c>
    </row>
    <row r="4611" spans="16:27" ht="15" customHeight="1">
      <c r="P4611" t="str">
        <f t="shared" si="144"/>
        <v/>
      </c>
      <c r="Q4611" t="str">
        <f>IF(P4611="","",IFERROR(IF(AND(H4611="W7",OR(F4611="causal",F4611="predictive")),IF(AND(OR(K4611=1,K4611="1"),OR(L4611=1,L4611="1"),OR(M4611=1,M4611="1")),"adequate","partial"),IF(AND(H4611="W4",F4611="predictive",OR(J4611="P2",J4611="P3",J4611="P4")),IF(OR(U4611=1,U4611="1"),"adequate","partial"),INDEX(Fit_Matrix!$B:$B,MATCH(P4611,Fit_Matrix!$A:$A,0)))),"CHECK KEY"))</f>
        <v/>
      </c>
      <c r="U4611" s="10"/>
      <c r="V4611" s="10"/>
      <c r="W4611" s="10"/>
      <c r="X4611" s="10"/>
      <c r="Y4611" s="10"/>
      <c r="Z4611" s="10"/>
      <c r="AA4611" s="11" t="str">
        <f t="shared" si="145"/>
        <v/>
      </c>
    </row>
    <row r="4612" spans="16:27" ht="15" customHeight="1">
      <c r="P4612" t="str">
        <f t="shared" si="144"/>
        <v/>
      </c>
      <c r="Q4612" t="str">
        <f>IF(P4612="","",IFERROR(IF(AND(H4612="W7",OR(F4612="causal",F4612="predictive")),IF(AND(OR(K4612=1,K4612="1"),OR(L4612=1,L4612="1"),OR(M4612=1,M4612="1")),"adequate","partial"),IF(AND(H4612="W4",F4612="predictive",OR(J4612="P2",J4612="P3",J4612="P4")),IF(OR(U4612=1,U4612="1"),"adequate","partial"),INDEX(Fit_Matrix!$B:$B,MATCH(P4612,Fit_Matrix!$A:$A,0)))),"CHECK KEY"))</f>
        <v/>
      </c>
      <c r="U4612" s="10"/>
      <c r="V4612" s="10"/>
      <c r="W4612" s="10"/>
      <c r="X4612" s="10"/>
      <c r="Y4612" s="10"/>
      <c r="Z4612" s="10"/>
      <c r="AA4612" s="11" t="str">
        <f t="shared" si="145"/>
        <v/>
      </c>
    </row>
    <row r="4613" spans="16:27" ht="15" customHeight="1">
      <c r="P4613" t="str">
        <f t="shared" si="144"/>
        <v/>
      </c>
      <c r="Q4613" t="str">
        <f>IF(P4613="","",IFERROR(IF(AND(H4613="W7",OR(F4613="causal",F4613="predictive")),IF(AND(OR(K4613=1,K4613="1"),OR(L4613=1,L4613="1"),OR(M4613=1,M4613="1")),"adequate","partial"),IF(AND(H4613="W4",F4613="predictive",OR(J4613="P2",J4613="P3",J4613="P4")),IF(OR(U4613=1,U4613="1"),"adequate","partial"),INDEX(Fit_Matrix!$B:$B,MATCH(P4613,Fit_Matrix!$A:$A,0)))),"CHECK KEY"))</f>
        <v/>
      </c>
      <c r="U4613" s="10"/>
      <c r="V4613" s="10"/>
      <c r="W4613" s="10"/>
      <c r="X4613" s="10"/>
      <c r="Y4613" s="10"/>
      <c r="Z4613" s="10"/>
      <c r="AA4613" s="11" t="str">
        <f t="shared" si="145"/>
        <v/>
      </c>
    </row>
    <row r="4614" spans="16:27" ht="15" customHeight="1">
      <c r="P4614" t="str">
        <f t="shared" si="144"/>
        <v/>
      </c>
      <c r="Q4614" t="str">
        <f>IF(P4614="","",IFERROR(IF(AND(H4614="W7",OR(F4614="causal",F4614="predictive")),IF(AND(OR(K4614=1,K4614="1"),OR(L4614=1,L4614="1"),OR(M4614=1,M4614="1")),"adequate","partial"),IF(AND(H4614="W4",F4614="predictive",OR(J4614="P2",J4614="P3",J4614="P4")),IF(OR(U4614=1,U4614="1"),"adequate","partial"),INDEX(Fit_Matrix!$B:$B,MATCH(P4614,Fit_Matrix!$A:$A,0)))),"CHECK KEY"))</f>
        <v/>
      </c>
      <c r="U4614" s="10"/>
      <c r="V4614" s="10"/>
      <c r="W4614" s="10"/>
      <c r="X4614" s="10"/>
      <c r="Y4614" s="10"/>
      <c r="Z4614" s="10"/>
      <c r="AA4614" s="11" t="str">
        <f t="shared" si="145"/>
        <v/>
      </c>
    </row>
    <row r="4615" spans="16:27" ht="15" customHeight="1">
      <c r="P4615" t="str">
        <f t="shared" si="144"/>
        <v/>
      </c>
      <c r="Q4615" t="str">
        <f>IF(P4615="","",IFERROR(IF(AND(H4615="W7",OR(F4615="causal",F4615="predictive")),IF(AND(OR(K4615=1,K4615="1"),OR(L4615=1,L4615="1"),OR(M4615=1,M4615="1")),"adequate","partial"),IF(AND(H4615="W4",F4615="predictive",OR(J4615="P2",J4615="P3",J4615="P4")),IF(OR(U4615=1,U4615="1"),"adequate","partial"),INDEX(Fit_Matrix!$B:$B,MATCH(P4615,Fit_Matrix!$A:$A,0)))),"CHECK KEY"))</f>
        <v/>
      </c>
      <c r="U4615" s="10"/>
      <c r="V4615" s="10"/>
      <c r="W4615" s="10"/>
      <c r="X4615" s="10"/>
      <c r="Y4615" s="10"/>
      <c r="Z4615" s="10"/>
      <c r="AA4615" s="11" t="str">
        <f t="shared" si="145"/>
        <v/>
      </c>
    </row>
    <row r="4616" spans="16:27" ht="15" customHeight="1">
      <c r="P4616" t="str">
        <f t="shared" si="144"/>
        <v/>
      </c>
      <c r="Q4616" t="str">
        <f>IF(P4616="","",IFERROR(IF(AND(H4616="W7",OR(F4616="causal",F4616="predictive")),IF(AND(OR(K4616=1,K4616="1"),OR(L4616=1,L4616="1"),OR(M4616=1,M4616="1")),"adequate","partial"),IF(AND(H4616="W4",F4616="predictive",OR(J4616="P2",J4616="P3",J4616="P4")),IF(OR(U4616=1,U4616="1"),"adequate","partial"),INDEX(Fit_Matrix!$B:$B,MATCH(P4616,Fit_Matrix!$A:$A,0)))),"CHECK KEY"))</f>
        <v/>
      </c>
      <c r="U4616" s="10"/>
      <c r="V4616" s="10"/>
      <c r="W4616" s="10"/>
      <c r="X4616" s="10"/>
      <c r="Y4616" s="10"/>
      <c r="Z4616" s="10"/>
      <c r="AA4616" s="11" t="str">
        <f t="shared" si="145"/>
        <v/>
      </c>
    </row>
    <row r="4617" spans="16:27" ht="15" customHeight="1">
      <c r="P4617" t="str">
        <f t="shared" si="144"/>
        <v/>
      </c>
      <c r="Q4617" t="str">
        <f>IF(P4617="","",IFERROR(IF(AND(H4617="W7",OR(F4617="causal",F4617="predictive")),IF(AND(OR(K4617=1,K4617="1"),OR(L4617=1,L4617="1"),OR(M4617=1,M4617="1")),"adequate","partial"),IF(AND(H4617="W4",F4617="predictive",OR(J4617="P2",J4617="P3",J4617="P4")),IF(OR(U4617=1,U4617="1"),"adequate","partial"),INDEX(Fit_Matrix!$B:$B,MATCH(P4617,Fit_Matrix!$A:$A,0)))),"CHECK KEY"))</f>
        <v/>
      </c>
      <c r="U4617" s="10"/>
      <c r="V4617" s="10"/>
      <c r="W4617" s="10"/>
      <c r="X4617" s="10"/>
      <c r="Y4617" s="10"/>
      <c r="Z4617" s="10"/>
      <c r="AA4617" s="11" t="str">
        <f t="shared" si="145"/>
        <v/>
      </c>
    </row>
    <row r="4618" spans="16:27" ht="15" customHeight="1">
      <c r="P4618" t="str">
        <f t="shared" si="144"/>
        <v/>
      </c>
      <c r="Q4618" t="str">
        <f>IF(P4618="","",IFERROR(IF(AND(H4618="W7",OR(F4618="causal",F4618="predictive")),IF(AND(OR(K4618=1,K4618="1"),OR(L4618=1,L4618="1"),OR(M4618=1,M4618="1")),"adequate","partial"),IF(AND(H4618="W4",F4618="predictive",OR(J4618="P2",J4618="P3",J4618="P4")),IF(OR(U4618=1,U4618="1"),"adequate","partial"),INDEX(Fit_Matrix!$B:$B,MATCH(P4618,Fit_Matrix!$A:$A,0)))),"CHECK KEY"))</f>
        <v/>
      </c>
      <c r="U4618" s="10"/>
      <c r="V4618" s="10"/>
      <c r="W4618" s="10"/>
      <c r="X4618" s="10"/>
      <c r="Y4618" s="10"/>
      <c r="Z4618" s="10"/>
      <c r="AA4618" s="11" t="str">
        <f t="shared" si="145"/>
        <v/>
      </c>
    </row>
    <row r="4619" spans="16:27" ht="15" customHeight="1">
      <c r="P4619" t="str">
        <f t="shared" si="144"/>
        <v/>
      </c>
      <c r="Q4619" t="str">
        <f>IF(P4619="","",IFERROR(IF(AND(H4619="W7",OR(F4619="causal",F4619="predictive")),IF(AND(OR(K4619=1,K4619="1"),OR(L4619=1,L4619="1"),OR(M4619=1,M4619="1")),"adequate","partial"),IF(AND(H4619="W4",F4619="predictive",OR(J4619="P2",J4619="P3",J4619="P4")),IF(OR(U4619=1,U4619="1"),"adequate","partial"),INDEX(Fit_Matrix!$B:$B,MATCH(P4619,Fit_Matrix!$A:$A,0)))),"CHECK KEY"))</f>
        <v/>
      </c>
      <c r="U4619" s="10"/>
      <c r="V4619" s="10"/>
      <c r="W4619" s="10"/>
      <c r="X4619" s="10"/>
      <c r="Y4619" s="10"/>
      <c r="Z4619" s="10"/>
      <c r="AA4619" s="11" t="str">
        <f t="shared" si="145"/>
        <v/>
      </c>
    </row>
    <row r="4620" spans="16:27" ht="15" customHeight="1">
      <c r="P4620" t="str">
        <f t="shared" si="144"/>
        <v/>
      </c>
      <c r="Q4620" t="str">
        <f>IF(P4620="","",IFERROR(IF(AND(H4620="W7",OR(F4620="causal",F4620="predictive")),IF(AND(OR(K4620=1,K4620="1"),OR(L4620=1,L4620="1"),OR(M4620=1,M4620="1")),"adequate","partial"),IF(AND(H4620="W4",F4620="predictive",OR(J4620="P2",J4620="P3",J4620="P4")),IF(OR(U4620=1,U4620="1"),"adequate","partial"),INDEX(Fit_Matrix!$B:$B,MATCH(P4620,Fit_Matrix!$A:$A,0)))),"CHECK KEY"))</f>
        <v/>
      </c>
      <c r="U4620" s="10"/>
      <c r="V4620" s="10"/>
      <c r="W4620" s="10"/>
      <c r="X4620" s="10"/>
      <c r="Y4620" s="10"/>
      <c r="Z4620" s="10"/>
      <c r="AA4620" s="11" t="str">
        <f t="shared" si="145"/>
        <v/>
      </c>
    </row>
    <row r="4621" spans="16:27" ht="15" customHeight="1">
      <c r="P4621" t="str">
        <f t="shared" si="144"/>
        <v/>
      </c>
      <c r="Q4621" t="str">
        <f>IF(P4621="","",IFERROR(IF(AND(H4621="W7",OR(F4621="causal",F4621="predictive")),IF(AND(OR(K4621=1,K4621="1"),OR(L4621=1,L4621="1"),OR(M4621=1,M4621="1")),"adequate","partial"),IF(AND(H4621="W4",F4621="predictive",OR(J4621="P2",J4621="P3",J4621="P4")),IF(OR(U4621=1,U4621="1"),"adequate","partial"),INDEX(Fit_Matrix!$B:$B,MATCH(P4621,Fit_Matrix!$A:$A,0)))),"CHECK KEY"))</f>
        <v/>
      </c>
      <c r="U4621" s="10"/>
      <c r="V4621" s="10"/>
      <c r="W4621" s="10"/>
      <c r="X4621" s="10"/>
      <c r="Y4621" s="10"/>
      <c r="Z4621" s="10"/>
      <c r="AA4621" s="11" t="str">
        <f t="shared" si="145"/>
        <v/>
      </c>
    </row>
    <row r="4622" spans="16:27" ht="15" customHeight="1">
      <c r="P4622" t="str">
        <f t="shared" si="144"/>
        <v/>
      </c>
      <c r="Q4622" t="str">
        <f>IF(P4622="","",IFERROR(IF(AND(H4622="W7",OR(F4622="causal",F4622="predictive")),IF(AND(OR(K4622=1,K4622="1"),OR(L4622=1,L4622="1"),OR(M4622=1,M4622="1")),"adequate","partial"),IF(AND(H4622="W4",F4622="predictive",OR(J4622="P2",J4622="P3",J4622="P4")),IF(OR(U4622=1,U4622="1"),"adequate","partial"),INDEX(Fit_Matrix!$B:$B,MATCH(P4622,Fit_Matrix!$A:$A,0)))),"CHECK KEY"))</f>
        <v/>
      </c>
      <c r="U4622" s="10"/>
      <c r="V4622" s="10"/>
      <c r="W4622" s="10"/>
      <c r="X4622" s="10"/>
      <c r="Y4622" s="10"/>
      <c r="Z4622" s="10"/>
      <c r="AA4622" s="11" t="str">
        <f t="shared" si="145"/>
        <v/>
      </c>
    </row>
    <row r="4623" spans="16:27" ht="15" customHeight="1">
      <c r="P4623" t="str">
        <f t="shared" si="144"/>
        <v/>
      </c>
      <c r="Q4623" t="str">
        <f>IF(P4623="","",IFERROR(IF(AND(H4623="W7",OR(F4623="causal",F4623="predictive")),IF(AND(OR(K4623=1,K4623="1"),OR(L4623=1,L4623="1"),OR(M4623=1,M4623="1")),"adequate","partial"),IF(AND(H4623="W4",F4623="predictive",OR(J4623="P2",J4623="P3",J4623="P4")),IF(OR(U4623=1,U4623="1"),"adequate","partial"),INDEX(Fit_Matrix!$B:$B,MATCH(P4623,Fit_Matrix!$A:$A,0)))),"CHECK KEY"))</f>
        <v/>
      </c>
      <c r="U4623" s="10"/>
      <c r="V4623" s="10"/>
      <c r="W4623" s="10"/>
      <c r="X4623" s="10"/>
      <c r="Y4623" s="10"/>
      <c r="Z4623" s="10"/>
      <c r="AA4623" s="11" t="str">
        <f t="shared" si="145"/>
        <v/>
      </c>
    </row>
    <row r="4624" spans="16:27" ht="15" customHeight="1">
      <c r="P4624" t="str">
        <f t="shared" si="144"/>
        <v/>
      </c>
      <c r="Q4624" t="str">
        <f>IF(P4624="","",IFERROR(IF(AND(H4624="W7",OR(F4624="causal",F4624="predictive")),IF(AND(OR(K4624=1,K4624="1"),OR(L4624=1,L4624="1"),OR(M4624=1,M4624="1")),"adequate","partial"),IF(AND(H4624="W4",F4624="predictive",OR(J4624="P2",J4624="P3",J4624="P4")),IF(OR(U4624=1,U4624="1"),"adequate","partial"),INDEX(Fit_Matrix!$B:$B,MATCH(P4624,Fit_Matrix!$A:$A,0)))),"CHECK KEY"))</f>
        <v/>
      </c>
      <c r="U4624" s="10"/>
      <c r="V4624" s="10"/>
      <c r="W4624" s="10"/>
      <c r="X4624" s="10"/>
      <c r="Y4624" s="10"/>
      <c r="Z4624" s="10"/>
      <c r="AA4624" s="11" t="str">
        <f t="shared" si="145"/>
        <v/>
      </c>
    </row>
    <row r="4625" spans="16:27" ht="15" customHeight="1">
      <c r="P4625" t="str">
        <f t="shared" si="144"/>
        <v/>
      </c>
      <c r="Q4625" t="str">
        <f>IF(P4625="","",IFERROR(IF(AND(H4625="W7",OR(F4625="causal",F4625="predictive")),IF(AND(OR(K4625=1,K4625="1"),OR(L4625=1,L4625="1"),OR(M4625=1,M4625="1")),"adequate","partial"),IF(AND(H4625="W4",F4625="predictive",OR(J4625="P2",J4625="P3",J4625="P4")),IF(OR(U4625=1,U4625="1"),"adequate","partial"),INDEX(Fit_Matrix!$B:$B,MATCH(P4625,Fit_Matrix!$A:$A,0)))),"CHECK KEY"))</f>
        <v/>
      </c>
      <c r="U4625" s="10"/>
      <c r="V4625" s="10"/>
      <c r="W4625" s="10"/>
      <c r="X4625" s="10"/>
      <c r="Y4625" s="10"/>
      <c r="Z4625" s="10"/>
      <c r="AA4625" s="11" t="str">
        <f t="shared" si="145"/>
        <v/>
      </c>
    </row>
    <row r="4626" spans="16:27" ht="15" customHeight="1">
      <c r="P4626" t="str">
        <f t="shared" si="144"/>
        <v/>
      </c>
      <c r="Q4626" t="str">
        <f>IF(P4626="","",IFERROR(IF(AND(H4626="W7",OR(F4626="causal",F4626="predictive")),IF(AND(OR(K4626=1,K4626="1"),OR(L4626=1,L4626="1"),OR(M4626=1,M4626="1")),"adequate","partial"),IF(AND(H4626="W4",F4626="predictive",OR(J4626="P2",J4626="P3",J4626="P4")),IF(OR(U4626=1,U4626="1"),"adequate","partial"),INDEX(Fit_Matrix!$B:$B,MATCH(P4626,Fit_Matrix!$A:$A,0)))),"CHECK KEY"))</f>
        <v/>
      </c>
      <c r="U4626" s="10"/>
      <c r="V4626" s="10"/>
      <c r="W4626" s="10"/>
      <c r="X4626" s="10"/>
      <c r="Y4626" s="10"/>
      <c r="Z4626" s="10"/>
      <c r="AA4626" s="11" t="str">
        <f t="shared" si="145"/>
        <v/>
      </c>
    </row>
    <row r="4627" spans="16:27" ht="15" customHeight="1">
      <c r="P4627" t="str">
        <f t="shared" si="144"/>
        <v/>
      </c>
      <c r="Q4627" t="str">
        <f>IF(P4627="","",IFERROR(IF(AND(H4627="W7",OR(F4627="causal",F4627="predictive")),IF(AND(OR(K4627=1,K4627="1"),OR(L4627=1,L4627="1"),OR(M4627=1,M4627="1")),"adequate","partial"),IF(AND(H4627="W4",F4627="predictive",OR(J4627="P2",J4627="P3",J4627="P4")),IF(OR(U4627=1,U4627="1"),"adequate","partial"),INDEX(Fit_Matrix!$B:$B,MATCH(P4627,Fit_Matrix!$A:$A,0)))),"CHECK KEY"))</f>
        <v/>
      </c>
      <c r="U4627" s="10"/>
      <c r="V4627" s="10"/>
      <c r="W4627" s="10"/>
      <c r="X4627" s="10"/>
      <c r="Y4627" s="10"/>
      <c r="Z4627" s="10"/>
      <c r="AA4627" s="11" t="str">
        <f t="shared" si="145"/>
        <v/>
      </c>
    </row>
    <row r="4628" spans="16:27" ht="15" customHeight="1">
      <c r="P4628" t="str">
        <f t="shared" si="144"/>
        <v/>
      </c>
      <c r="Q4628" t="str">
        <f>IF(P4628="","",IFERROR(IF(AND(H4628="W7",OR(F4628="causal",F4628="predictive")),IF(AND(OR(K4628=1,K4628="1"),OR(L4628=1,L4628="1"),OR(M4628=1,M4628="1")),"adequate","partial"),IF(AND(H4628="W4",F4628="predictive",OR(J4628="P2",J4628="P3",J4628="P4")),IF(OR(U4628=1,U4628="1"),"adequate","partial"),INDEX(Fit_Matrix!$B:$B,MATCH(P4628,Fit_Matrix!$A:$A,0)))),"CHECK KEY"))</f>
        <v/>
      </c>
      <c r="U4628" s="10"/>
      <c r="V4628" s="10"/>
      <c r="W4628" s="10"/>
      <c r="X4628" s="10"/>
      <c r="Y4628" s="10"/>
      <c r="Z4628" s="10"/>
      <c r="AA4628" s="11" t="str">
        <f t="shared" si="145"/>
        <v/>
      </c>
    </row>
    <row r="4629" spans="16:27" ht="15" customHeight="1">
      <c r="P4629" t="str">
        <f t="shared" si="144"/>
        <v/>
      </c>
      <c r="Q4629" t="str">
        <f>IF(P4629="","",IFERROR(IF(AND(H4629="W7",OR(F4629="causal",F4629="predictive")),IF(AND(OR(K4629=1,K4629="1"),OR(L4629=1,L4629="1"),OR(M4629=1,M4629="1")),"adequate","partial"),IF(AND(H4629="W4",F4629="predictive",OR(J4629="P2",J4629="P3",J4629="P4")),IF(OR(U4629=1,U4629="1"),"adequate","partial"),INDEX(Fit_Matrix!$B:$B,MATCH(P4629,Fit_Matrix!$A:$A,0)))),"CHECK KEY"))</f>
        <v/>
      </c>
      <c r="U4629" s="10"/>
      <c r="V4629" s="10"/>
      <c r="W4629" s="10"/>
      <c r="X4629" s="10"/>
      <c r="Y4629" s="10"/>
      <c r="Z4629" s="10"/>
      <c r="AA4629" s="11" t="str">
        <f t="shared" si="145"/>
        <v/>
      </c>
    </row>
    <row r="4630" spans="16:27" ht="15" customHeight="1">
      <c r="P4630" t="str">
        <f t="shared" si="144"/>
        <v/>
      </c>
      <c r="Q4630" t="str">
        <f>IF(P4630="","",IFERROR(IF(AND(H4630="W7",OR(F4630="causal",F4630="predictive")),IF(AND(OR(K4630=1,K4630="1"),OR(L4630=1,L4630="1"),OR(M4630=1,M4630="1")),"adequate","partial"),IF(AND(H4630="W4",F4630="predictive",OR(J4630="P2",J4630="P3",J4630="P4")),IF(OR(U4630=1,U4630="1"),"adequate","partial"),INDEX(Fit_Matrix!$B:$B,MATCH(P4630,Fit_Matrix!$A:$A,0)))),"CHECK KEY"))</f>
        <v/>
      </c>
      <c r="U4630" s="10"/>
      <c r="V4630" s="10"/>
      <c r="W4630" s="10"/>
      <c r="X4630" s="10"/>
      <c r="Y4630" s="10"/>
      <c r="Z4630" s="10"/>
      <c r="AA4630" s="11" t="str">
        <f t="shared" si="145"/>
        <v/>
      </c>
    </row>
    <row r="4631" spans="16:27" ht="15" customHeight="1">
      <c r="P4631" t="str">
        <f t="shared" si="144"/>
        <v/>
      </c>
      <c r="Q4631" t="str">
        <f>IF(P4631="","",IFERROR(IF(AND(H4631="W7",OR(F4631="causal",F4631="predictive")),IF(AND(OR(K4631=1,K4631="1"),OR(L4631=1,L4631="1"),OR(M4631=1,M4631="1")),"adequate","partial"),IF(AND(H4631="W4",F4631="predictive",OR(J4631="P2",J4631="P3",J4631="P4")),IF(OR(U4631=1,U4631="1"),"adequate","partial"),INDEX(Fit_Matrix!$B:$B,MATCH(P4631,Fit_Matrix!$A:$A,0)))),"CHECK KEY"))</f>
        <v/>
      </c>
      <c r="U4631" s="10"/>
      <c r="V4631" s="10"/>
      <c r="W4631" s="10"/>
      <c r="X4631" s="10"/>
      <c r="Y4631" s="10"/>
      <c r="Z4631" s="10"/>
      <c r="AA4631" s="11" t="str">
        <f t="shared" si="145"/>
        <v/>
      </c>
    </row>
    <row r="4632" spans="16:27" ht="15" customHeight="1">
      <c r="P4632" t="str">
        <f t="shared" si="144"/>
        <v/>
      </c>
      <c r="Q4632" t="str">
        <f>IF(P4632="","",IFERROR(IF(AND(H4632="W7",OR(F4632="causal",F4632="predictive")),IF(AND(OR(K4632=1,K4632="1"),OR(L4632=1,L4632="1"),OR(M4632=1,M4632="1")),"adequate","partial"),IF(AND(H4632="W4",F4632="predictive",OR(J4632="P2",J4632="P3",J4632="P4")),IF(OR(U4632=1,U4632="1"),"adequate","partial"),INDEX(Fit_Matrix!$B:$B,MATCH(P4632,Fit_Matrix!$A:$A,0)))),"CHECK KEY"))</f>
        <v/>
      </c>
      <c r="U4632" s="10"/>
      <c r="V4632" s="10"/>
      <c r="W4632" s="10"/>
      <c r="X4632" s="10"/>
      <c r="Y4632" s="10"/>
      <c r="Z4632" s="10"/>
      <c r="AA4632" s="11" t="str">
        <f t="shared" si="145"/>
        <v/>
      </c>
    </row>
    <row r="4633" spans="16:27" ht="15" customHeight="1">
      <c r="P4633" t="str">
        <f t="shared" si="144"/>
        <v/>
      </c>
      <c r="Q4633" t="str">
        <f>IF(P4633="","",IFERROR(IF(AND(H4633="W7",OR(F4633="causal",F4633="predictive")),IF(AND(OR(K4633=1,K4633="1"),OR(L4633=1,L4633="1"),OR(M4633=1,M4633="1")),"adequate","partial"),IF(AND(H4633="W4",F4633="predictive",OR(J4633="P2",J4633="P3",J4633="P4")),IF(OR(U4633=1,U4633="1"),"adequate","partial"),INDEX(Fit_Matrix!$B:$B,MATCH(P4633,Fit_Matrix!$A:$A,0)))),"CHECK KEY"))</f>
        <v/>
      </c>
      <c r="U4633" s="10"/>
      <c r="V4633" s="10"/>
      <c r="W4633" s="10"/>
      <c r="X4633" s="10"/>
      <c r="Y4633" s="10"/>
      <c r="Z4633" s="10"/>
      <c r="AA4633" s="11" t="str">
        <f t="shared" si="145"/>
        <v/>
      </c>
    </row>
    <row r="4634" spans="16:27" ht="15" customHeight="1">
      <c r="P4634" t="str">
        <f t="shared" si="144"/>
        <v/>
      </c>
      <c r="Q4634" t="str">
        <f>IF(P4634="","",IFERROR(IF(AND(H4634="W7",OR(F4634="causal",F4634="predictive")),IF(AND(OR(K4634=1,K4634="1"),OR(L4634=1,L4634="1"),OR(M4634=1,M4634="1")),"adequate","partial"),IF(AND(H4634="W4",F4634="predictive",OR(J4634="P2",J4634="P3",J4634="P4")),IF(OR(U4634=1,U4634="1"),"adequate","partial"),INDEX(Fit_Matrix!$B:$B,MATCH(P4634,Fit_Matrix!$A:$A,0)))),"CHECK KEY"))</f>
        <v/>
      </c>
      <c r="U4634" s="10"/>
      <c r="V4634" s="10"/>
      <c r="W4634" s="10"/>
      <c r="X4634" s="10"/>
      <c r="Y4634" s="10"/>
      <c r="Z4634" s="10"/>
      <c r="AA4634" s="11" t="str">
        <f t="shared" si="145"/>
        <v/>
      </c>
    </row>
    <row r="4635" spans="16:27" ht="15" customHeight="1">
      <c r="P4635" t="str">
        <f t="shared" si="144"/>
        <v/>
      </c>
      <c r="Q4635" t="str">
        <f>IF(P4635="","",IFERROR(IF(AND(H4635="W7",OR(F4635="causal",F4635="predictive")),IF(AND(OR(K4635=1,K4635="1"),OR(L4635=1,L4635="1"),OR(M4635=1,M4635="1")),"adequate","partial"),IF(AND(H4635="W4",F4635="predictive",OR(J4635="P2",J4635="P3",J4635="P4")),IF(OR(U4635=1,U4635="1"),"adequate","partial"),INDEX(Fit_Matrix!$B:$B,MATCH(P4635,Fit_Matrix!$A:$A,0)))),"CHECK KEY"))</f>
        <v/>
      </c>
      <c r="U4635" s="10"/>
      <c r="V4635" s="10"/>
      <c r="W4635" s="10"/>
      <c r="X4635" s="10"/>
      <c r="Y4635" s="10"/>
      <c r="Z4635" s="10"/>
      <c r="AA4635" s="11" t="str">
        <f t="shared" si="145"/>
        <v/>
      </c>
    </row>
    <row r="4636" spans="16:27" ht="15" customHeight="1">
      <c r="P4636" t="str">
        <f t="shared" si="144"/>
        <v/>
      </c>
      <c r="Q4636" t="str">
        <f>IF(P4636="","",IFERROR(IF(AND(H4636="W7",OR(F4636="causal",F4636="predictive")),IF(AND(OR(K4636=1,K4636="1"),OR(L4636=1,L4636="1"),OR(M4636=1,M4636="1")),"adequate","partial"),IF(AND(H4636="W4",F4636="predictive",OR(J4636="P2",J4636="P3",J4636="P4")),IF(OR(U4636=1,U4636="1"),"adequate","partial"),INDEX(Fit_Matrix!$B:$B,MATCH(P4636,Fit_Matrix!$A:$A,0)))),"CHECK KEY"))</f>
        <v/>
      </c>
      <c r="U4636" s="10"/>
      <c r="V4636" s="10"/>
      <c r="W4636" s="10"/>
      <c r="X4636" s="10"/>
      <c r="Y4636" s="10"/>
      <c r="Z4636" s="10"/>
      <c r="AA4636" s="11" t="str">
        <f t="shared" si="145"/>
        <v/>
      </c>
    </row>
    <row r="4637" spans="16:27" ht="15" customHeight="1">
      <c r="P4637" t="str">
        <f t="shared" si="144"/>
        <v/>
      </c>
      <c r="Q4637" t="str">
        <f>IF(P4637="","",IFERROR(IF(AND(H4637="W7",OR(F4637="causal",F4637="predictive")),IF(AND(OR(K4637=1,K4637="1"),OR(L4637=1,L4637="1"),OR(M4637=1,M4637="1")),"adequate","partial"),IF(AND(H4637="W4",F4637="predictive",OR(J4637="P2",J4637="P3",J4637="P4")),IF(OR(U4637=1,U4637="1"),"adequate","partial"),INDEX(Fit_Matrix!$B:$B,MATCH(P4637,Fit_Matrix!$A:$A,0)))),"CHECK KEY"))</f>
        <v/>
      </c>
      <c r="U4637" s="10"/>
      <c r="V4637" s="10"/>
      <c r="W4637" s="10"/>
      <c r="X4637" s="10"/>
      <c r="Y4637" s="10"/>
      <c r="Z4637" s="10"/>
      <c r="AA4637" s="11" t="str">
        <f t="shared" si="145"/>
        <v/>
      </c>
    </row>
    <row r="4638" spans="16:27" ht="15" customHeight="1">
      <c r="P4638" t="str">
        <f t="shared" si="144"/>
        <v/>
      </c>
      <c r="Q4638" t="str">
        <f>IF(P4638="","",IFERROR(IF(AND(H4638="W7",OR(F4638="causal",F4638="predictive")),IF(AND(OR(K4638=1,K4638="1"),OR(L4638=1,L4638="1"),OR(M4638=1,M4638="1")),"adequate","partial"),IF(AND(H4638="W4",F4638="predictive",OR(J4638="P2",J4638="P3",J4638="P4")),IF(OR(U4638=1,U4638="1"),"adequate","partial"),INDEX(Fit_Matrix!$B:$B,MATCH(P4638,Fit_Matrix!$A:$A,0)))),"CHECK KEY"))</f>
        <v/>
      </c>
      <c r="U4638" s="10"/>
      <c r="V4638" s="10"/>
      <c r="W4638" s="10"/>
      <c r="X4638" s="10"/>
      <c r="Y4638" s="10"/>
      <c r="Z4638" s="10"/>
      <c r="AA4638" s="11" t="str">
        <f t="shared" si="145"/>
        <v/>
      </c>
    </row>
    <row r="4639" spans="16:27" ht="15" customHeight="1">
      <c r="P4639" t="str">
        <f t="shared" si="144"/>
        <v/>
      </c>
      <c r="Q4639" t="str">
        <f>IF(P4639="","",IFERROR(IF(AND(H4639="W7",OR(F4639="causal",F4639="predictive")),IF(AND(OR(K4639=1,K4639="1"),OR(L4639=1,L4639="1"),OR(M4639=1,M4639="1")),"adequate","partial"),IF(AND(H4639="W4",F4639="predictive",OR(J4639="P2",J4639="P3",J4639="P4")),IF(OR(U4639=1,U4639="1"),"adequate","partial"),INDEX(Fit_Matrix!$B:$B,MATCH(P4639,Fit_Matrix!$A:$A,0)))),"CHECK KEY"))</f>
        <v/>
      </c>
      <c r="U4639" s="10"/>
      <c r="V4639" s="10"/>
      <c r="W4639" s="10"/>
      <c r="X4639" s="10"/>
      <c r="Y4639" s="10"/>
      <c r="Z4639" s="10"/>
      <c r="AA4639" s="11" t="str">
        <f t="shared" si="145"/>
        <v/>
      </c>
    </row>
    <row r="4640" spans="16:27" ht="15" customHeight="1">
      <c r="P4640" t="str">
        <f t="shared" si="144"/>
        <v/>
      </c>
      <c r="Q4640" t="str">
        <f>IF(P4640="","",IFERROR(IF(AND(H4640="W7",OR(F4640="causal",F4640="predictive")),IF(AND(OR(K4640=1,K4640="1"),OR(L4640=1,L4640="1"),OR(M4640=1,M4640="1")),"adequate","partial"),IF(AND(H4640="W4",F4640="predictive",OR(J4640="P2",J4640="P3",J4640="P4")),IF(OR(U4640=1,U4640="1"),"adequate","partial"),INDEX(Fit_Matrix!$B:$B,MATCH(P4640,Fit_Matrix!$A:$A,0)))),"CHECK KEY"))</f>
        <v/>
      </c>
      <c r="U4640" s="10"/>
      <c r="V4640" s="10"/>
      <c r="W4640" s="10"/>
      <c r="X4640" s="10"/>
      <c r="Y4640" s="10"/>
      <c r="Z4640" s="10"/>
      <c r="AA4640" s="11" t="str">
        <f t="shared" si="145"/>
        <v/>
      </c>
    </row>
    <row r="4641" spans="16:27" ht="15" customHeight="1">
      <c r="P4641" t="str">
        <f t="shared" si="144"/>
        <v/>
      </c>
      <c r="Q4641" t="str">
        <f>IF(P4641="","",IFERROR(IF(AND(H4641="W7",OR(F4641="causal",F4641="predictive")),IF(AND(OR(K4641=1,K4641="1"),OR(L4641=1,L4641="1"),OR(M4641=1,M4641="1")),"adequate","partial"),IF(AND(H4641="W4",F4641="predictive",OR(J4641="P2",J4641="P3",J4641="P4")),IF(OR(U4641=1,U4641="1"),"adequate","partial"),INDEX(Fit_Matrix!$B:$B,MATCH(P4641,Fit_Matrix!$A:$A,0)))),"CHECK KEY"))</f>
        <v/>
      </c>
      <c r="U4641" s="10"/>
      <c r="V4641" s="10"/>
      <c r="W4641" s="10"/>
      <c r="X4641" s="10"/>
      <c r="Y4641" s="10"/>
      <c r="Z4641" s="10"/>
      <c r="AA4641" s="11" t="str">
        <f t="shared" si="145"/>
        <v/>
      </c>
    </row>
    <row r="4642" spans="16:27" ht="15" customHeight="1">
      <c r="P4642" t="str">
        <f t="shared" si="144"/>
        <v/>
      </c>
      <c r="Q4642" t="str">
        <f>IF(P4642="","",IFERROR(IF(AND(H4642="W7",OR(F4642="causal",F4642="predictive")),IF(AND(OR(K4642=1,K4642="1"),OR(L4642=1,L4642="1"),OR(M4642=1,M4642="1")),"adequate","partial"),IF(AND(H4642="W4",F4642="predictive",OR(J4642="P2",J4642="P3",J4642="P4")),IF(OR(U4642=1,U4642="1"),"adequate","partial"),INDEX(Fit_Matrix!$B:$B,MATCH(P4642,Fit_Matrix!$A:$A,0)))),"CHECK KEY"))</f>
        <v/>
      </c>
      <c r="U4642" s="10"/>
      <c r="V4642" s="10"/>
      <c r="W4642" s="10"/>
      <c r="X4642" s="10"/>
      <c r="Y4642" s="10"/>
      <c r="Z4642" s="10"/>
      <c r="AA4642" s="11" t="str">
        <f t="shared" si="145"/>
        <v/>
      </c>
    </row>
    <row r="4643" spans="16:27" ht="15" customHeight="1">
      <c r="P4643" t="str">
        <f t="shared" si="144"/>
        <v/>
      </c>
      <c r="Q4643" t="str">
        <f>IF(P4643="","",IFERROR(IF(AND(H4643="W7",OR(F4643="causal",F4643="predictive")),IF(AND(OR(K4643=1,K4643="1"),OR(L4643=1,L4643="1"),OR(M4643=1,M4643="1")),"adequate","partial"),IF(AND(H4643="W4",F4643="predictive",OR(J4643="P2",J4643="P3",J4643="P4")),IF(OR(U4643=1,U4643="1"),"adequate","partial"),INDEX(Fit_Matrix!$B:$B,MATCH(P4643,Fit_Matrix!$A:$A,0)))),"CHECK KEY"))</f>
        <v/>
      </c>
      <c r="U4643" s="10"/>
      <c r="V4643" s="10"/>
      <c r="W4643" s="10"/>
      <c r="X4643" s="10"/>
      <c r="Y4643" s="10"/>
      <c r="Z4643" s="10"/>
      <c r="AA4643" s="11" t="str">
        <f t="shared" si="145"/>
        <v/>
      </c>
    </row>
    <row r="4644" spans="16:27" ht="15" customHeight="1">
      <c r="P4644" t="str">
        <f t="shared" si="144"/>
        <v/>
      </c>
      <c r="Q4644" t="str">
        <f>IF(P4644="","",IFERROR(IF(AND(H4644="W7",OR(F4644="causal",F4644="predictive")),IF(AND(OR(K4644=1,K4644="1"),OR(L4644=1,L4644="1"),OR(M4644=1,M4644="1")),"adequate","partial"),IF(AND(H4644="W4",F4644="predictive",OR(J4644="P2",J4644="P3",J4644="P4")),IF(OR(U4644=1,U4644="1"),"adequate","partial"),INDEX(Fit_Matrix!$B:$B,MATCH(P4644,Fit_Matrix!$A:$A,0)))),"CHECK KEY"))</f>
        <v/>
      </c>
      <c r="U4644" s="10"/>
      <c r="V4644" s="10"/>
      <c r="W4644" s="10"/>
      <c r="X4644" s="10"/>
      <c r="Y4644" s="10"/>
      <c r="Z4644" s="10"/>
      <c r="AA4644" s="11" t="str">
        <f t="shared" si="145"/>
        <v/>
      </c>
    </row>
    <row r="4645" spans="16:27" ht="15" customHeight="1">
      <c r="P4645" t="str">
        <f t="shared" si="144"/>
        <v/>
      </c>
      <c r="Q4645" t="str">
        <f>IF(P4645="","",IFERROR(IF(AND(H4645="W7",OR(F4645="causal",F4645="predictive")),IF(AND(OR(K4645=1,K4645="1"),OR(L4645=1,L4645="1"),OR(M4645=1,M4645="1")),"adequate","partial"),IF(AND(H4645="W4",F4645="predictive",OR(J4645="P2",J4645="P3",J4645="P4")),IF(OR(U4645=1,U4645="1"),"adequate","partial"),INDEX(Fit_Matrix!$B:$B,MATCH(P4645,Fit_Matrix!$A:$A,0)))),"CHECK KEY"))</f>
        <v/>
      </c>
      <c r="U4645" s="10"/>
      <c r="V4645" s="10"/>
      <c r="W4645" s="10"/>
      <c r="X4645" s="10"/>
      <c r="Y4645" s="10"/>
      <c r="Z4645" s="10"/>
      <c r="AA4645" s="11" t="str">
        <f t="shared" si="145"/>
        <v/>
      </c>
    </row>
    <row r="4646" spans="16:27" ht="15" customHeight="1">
      <c r="P4646" t="str">
        <f t="shared" si="144"/>
        <v/>
      </c>
      <c r="Q4646" t="str">
        <f>IF(P4646="","",IFERROR(IF(AND(H4646="W7",OR(F4646="causal",F4646="predictive")),IF(AND(OR(K4646=1,K4646="1"),OR(L4646=1,L4646="1"),OR(M4646=1,M4646="1")),"adequate","partial"),IF(AND(H4646="W4",F4646="predictive",OR(J4646="P2",J4646="P3",J4646="P4")),IF(OR(U4646=1,U4646="1"),"adequate","partial"),INDEX(Fit_Matrix!$B:$B,MATCH(P4646,Fit_Matrix!$A:$A,0)))),"CHECK KEY"))</f>
        <v/>
      </c>
      <c r="U4646" s="10"/>
      <c r="V4646" s="10"/>
      <c r="W4646" s="10"/>
      <c r="X4646" s="10"/>
      <c r="Y4646" s="10"/>
      <c r="Z4646" s="10"/>
      <c r="AA4646" s="11" t="str">
        <f t="shared" si="145"/>
        <v/>
      </c>
    </row>
    <row r="4647" spans="16:27" ht="15" customHeight="1">
      <c r="P4647" t="str">
        <f t="shared" si="144"/>
        <v/>
      </c>
      <c r="Q4647" t="str">
        <f>IF(P4647="","",IFERROR(IF(AND(H4647="W7",OR(F4647="causal",F4647="predictive")),IF(AND(OR(K4647=1,K4647="1"),OR(L4647=1,L4647="1"),OR(M4647=1,M4647="1")),"adequate","partial"),IF(AND(H4647="W4",F4647="predictive",OR(J4647="P2",J4647="P3",J4647="P4")),IF(OR(U4647=1,U4647="1"),"adequate","partial"),INDEX(Fit_Matrix!$B:$B,MATCH(P4647,Fit_Matrix!$A:$A,0)))),"CHECK KEY"))</f>
        <v/>
      </c>
      <c r="U4647" s="10"/>
      <c r="V4647" s="10"/>
      <c r="W4647" s="10"/>
      <c r="X4647" s="10"/>
      <c r="Y4647" s="10"/>
      <c r="Z4647" s="10"/>
      <c r="AA4647" s="11" t="str">
        <f t="shared" si="145"/>
        <v/>
      </c>
    </row>
    <row r="4648" spans="16:27" ht="15" customHeight="1">
      <c r="P4648" t="str">
        <f t="shared" si="144"/>
        <v/>
      </c>
      <c r="Q4648" t="str">
        <f>IF(P4648="","",IFERROR(IF(AND(H4648="W7",OR(F4648="causal",F4648="predictive")),IF(AND(OR(K4648=1,K4648="1"),OR(L4648=1,L4648="1"),OR(M4648=1,M4648="1")),"adequate","partial"),IF(AND(H4648="W4",F4648="predictive",OR(J4648="P2",J4648="P3",J4648="P4")),IF(OR(U4648=1,U4648="1"),"adequate","partial"),INDEX(Fit_Matrix!$B:$B,MATCH(P4648,Fit_Matrix!$A:$A,0)))),"CHECK KEY"))</f>
        <v/>
      </c>
      <c r="U4648" s="10"/>
      <c r="V4648" s="10"/>
      <c r="W4648" s="10"/>
      <c r="X4648" s="10"/>
      <c r="Y4648" s="10"/>
      <c r="Z4648" s="10"/>
      <c r="AA4648" s="11" t="str">
        <f t="shared" si="145"/>
        <v/>
      </c>
    </row>
    <row r="4649" spans="16:27" ht="15" customHeight="1">
      <c r="P4649" t="str">
        <f t="shared" si="144"/>
        <v/>
      </c>
      <c r="Q4649" t="str">
        <f>IF(P4649="","",IFERROR(IF(AND(H4649="W7",OR(F4649="causal",F4649="predictive")),IF(AND(OR(K4649=1,K4649="1"),OR(L4649=1,L4649="1"),OR(M4649=1,M4649="1")),"adequate","partial"),IF(AND(H4649="W4",F4649="predictive",OR(J4649="P2",J4649="P3",J4649="P4")),IF(OR(U4649=1,U4649="1"),"adequate","partial"),INDEX(Fit_Matrix!$B:$B,MATCH(P4649,Fit_Matrix!$A:$A,0)))),"CHECK KEY"))</f>
        <v/>
      </c>
      <c r="U4649" s="10"/>
      <c r="V4649" s="10"/>
      <c r="W4649" s="10"/>
      <c r="X4649" s="10"/>
      <c r="Y4649" s="10"/>
      <c r="Z4649" s="10"/>
      <c r="AA4649" s="11" t="str">
        <f t="shared" si="145"/>
        <v/>
      </c>
    </row>
    <row r="4650" spans="16:27" ht="15" customHeight="1">
      <c r="P4650" t="str">
        <f t="shared" si="144"/>
        <v/>
      </c>
      <c r="Q4650" t="str">
        <f>IF(P4650="","",IFERROR(IF(AND(H4650="W7",OR(F4650="causal",F4650="predictive")),IF(AND(OR(K4650=1,K4650="1"),OR(L4650=1,L4650="1"),OR(M4650=1,M4650="1")),"adequate","partial"),IF(AND(H4650="W4",F4650="predictive",OR(J4650="P2",J4650="P3",J4650="P4")),IF(OR(U4650=1,U4650="1"),"adequate","partial"),INDEX(Fit_Matrix!$B:$B,MATCH(P4650,Fit_Matrix!$A:$A,0)))),"CHECK KEY"))</f>
        <v/>
      </c>
      <c r="U4650" s="10"/>
      <c r="V4650" s="10"/>
      <c r="W4650" s="10"/>
      <c r="X4650" s="10"/>
      <c r="Y4650" s="10"/>
      <c r="Z4650" s="10"/>
      <c r="AA4650" s="11" t="str">
        <f t="shared" si="145"/>
        <v/>
      </c>
    </row>
    <row r="4651" spans="16:27" ht="15" customHeight="1">
      <c r="P4651" t="str">
        <f t="shared" si="144"/>
        <v/>
      </c>
      <c r="Q4651" t="str">
        <f>IF(P4651="","",IFERROR(IF(AND(H4651="W7",OR(F4651="causal",F4651="predictive")),IF(AND(OR(K4651=1,K4651="1"),OR(L4651=1,L4651="1"),OR(M4651=1,M4651="1")),"adequate","partial"),IF(AND(H4651="W4",F4651="predictive",OR(J4651="P2",J4651="P3",J4651="P4")),IF(OR(U4651=1,U4651="1"),"adequate","partial"),INDEX(Fit_Matrix!$B:$B,MATCH(P4651,Fit_Matrix!$A:$A,0)))),"CHECK KEY"))</f>
        <v/>
      </c>
      <c r="U4651" s="10"/>
      <c r="V4651" s="10"/>
      <c r="W4651" s="10"/>
      <c r="X4651" s="10"/>
      <c r="Y4651" s="10"/>
      <c r="Z4651" s="10"/>
      <c r="AA4651" s="11" t="str">
        <f t="shared" si="145"/>
        <v/>
      </c>
    </row>
    <row r="4652" spans="16:27" ht="15" customHeight="1">
      <c r="P4652" t="str">
        <f t="shared" si="144"/>
        <v/>
      </c>
      <c r="Q4652" t="str">
        <f>IF(P4652="","",IFERROR(IF(AND(H4652="W7",OR(F4652="causal",F4652="predictive")),IF(AND(OR(K4652=1,K4652="1"),OR(L4652=1,L4652="1"),OR(M4652=1,M4652="1")),"adequate","partial"),IF(AND(H4652="W4",F4652="predictive",OR(J4652="P2",J4652="P3",J4652="P4")),IF(OR(U4652=1,U4652="1"),"adequate","partial"),INDEX(Fit_Matrix!$B:$B,MATCH(P4652,Fit_Matrix!$A:$A,0)))),"CHECK KEY"))</f>
        <v/>
      </c>
      <c r="U4652" s="10"/>
      <c r="V4652" s="10"/>
      <c r="W4652" s="10"/>
      <c r="X4652" s="10"/>
      <c r="Y4652" s="10"/>
      <c r="Z4652" s="10"/>
      <c r="AA4652" s="11" t="str">
        <f t="shared" si="145"/>
        <v/>
      </c>
    </row>
    <row r="4653" spans="16:27" ht="15" customHeight="1">
      <c r="P4653" t="str">
        <f t="shared" si="144"/>
        <v/>
      </c>
      <c r="Q4653" t="str">
        <f>IF(P4653="","",IFERROR(IF(AND(H4653="W7",OR(F4653="causal",F4653="predictive")),IF(AND(OR(K4653=1,K4653="1"),OR(L4653=1,L4653="1"),OR(M4653=1,M4653="1")),"adequate","partial"),IF(AND(H4653="W4",F4653="predictive",OR(J4653="P2",J4653="P3",J4653="P4")),IF(OR(U4653=1,U4653="1"),"adequate","partial"),INDEX(Fit_Matrix!$B:$B,MATCH(P4653,Fit_Matrix!$A:$A,0)))),"CHECK KEY"))</f>
        <v/>
      </c>
      <c r="U4653" s="10"/>
      <c r="V4653" s="10"/>
      <c r="W4653" s="10"/>
      <c r="X4653" s="10"/>
      <c r="Y4653" s="10"/>
      <c r="Z4653" s="10"/>
      <c r="AA4653" s="11" t="str">
        <f t="shared" si="145"/>
        <v/>
      </c>
    </row>
    <row r="4654" spans="16:27" ht="15" customHeight="1">
      <c r="P4654" t="str">
        <f t="shared" si="144"/>
        <v/>
      </c>
      <c r="Q4654" t="str">
        <f>IF(P4654="","",IFERROR(IF(AND(H4654="W7",OR(F4654="causal",F4654="predictive")),IF(AND(OR(K4654=1,K4654="1"),OR(L4654=1,L4654="1"),OR(M4654=1,M4654="1")),"adequate","partial"),IF(AND(H4654="W4",F4654="predictive",OR(J4654="P2",J4654="P3",J4654="P4")),IF(OR(U4654=1,U4654="1"),"adequate","partial"),INDEX(Fit_Matrix!$B:$B,MATCH(P4654,Fit_Matrix!$A:$A,0)))),"CHECK KEY"))</f>
        <v/>
      </c>
      <c r="U4654" s="10"/>
      <c r="V4654" s="10"/>
      <c r="W4654" s="10"/>
      <c r="X4654" s="10"/>
      <c r="Y4654" s="10"/>
      <c r="Z4654" s="10"/>
      <c r="AA4654" s="11" t="str">
        <f t="shared" si="145"/>
        <v/>
      </c>
    </row>
    <row r="4655" spans="16:27" ht="15" customHeight="1">
      <c r="P4655" t="str">
        <f t="shared" si="144"/>
        <v/>
      </c>
      <c r="Q4655" t="str">
        <f>IF(P4655="","",IFERROR(IF(AND(H4655="W7",OR(F4655="causal",F4655="predictive")),IF(AND(OR(K4655=1,K4655="1"),OR(L4655=1,L4655="1"),OR(M4655=1,M4655="1")),"adequate","partial"),IF(AND(H4655="W4",F4655="predictive",OR(J4655="P2",J4655="P3",J4655="P4")),IF(OR(U4655=1,U4655="1"),"adequate","partial"),INDEX(Fit_Matrix!$B:$B,MATCH(P4655,Fit_Matrix!$A:$A,0)))),"CHECK KEY"))</f>
        <v/>
      </c>
      <c r="U4655" s="10"/>
      <c r="V4655" s="10"/>
      <c r="W4655" s="10"/>
      <c r="X4655" s="10"/>
      <c r="Y4655" s="10"/>
      <c r="Z4655" s="10"/>
      <c r="AA4655" s="11" t="str">
        <f t="shared" si="145"/>
        <v/>
      </c>
    </row>
    <row r="4656" spans="16:27" ht="15" customHeight="1">
      <c r="P4656" t="str">
        <f t="shared" si="144"/>
        <v/>
      </c>
      <c r="Q4656" t="str">
        <f>IF(P4656="","",IFERROR(IF(AND(H4656="W7",OR(F4656="causal",F4656="predictive")),IF(AND(OR(K4656=1,K4656="1"),OR(L4656=1,L4656="1"),OR(M4656=1,M4656="1")),"adequate","partial"),IF(AND(H4656="W4",F4656="predictive",OR(J4656="P2",J4656="P3",J4656="P4")),IF(OR(U4656=1,U4656="1"),"adequate","partial"),INDEX(Fit_Matrix!$B:$B,MATCH(P4656,Fit_Matrix!$A:$A,0)))),"CHECK KEY"))</f>
        <v/>
      </c>
      <c r="U4656" s="10"/>
      <c r="V4656" s="10"/>
      <c r="W4656" s="10"/>
      <c r="X4656" s="10"/>
      <c r="Y4656" s="10"/>
      <c r="Z4656" s="10"/>
      <c r="AA4656" s="11" t="str">
        <f t="shared" si="145"/>
        <v/>
      </c>
    </row>
    <row r="4657" spans="16:27" ht="15" customHeight="1">
      <c r="P4657" t="str">
        <f t="shared" si="144"/>
        <v/>
      </c>
      <c r="Q4657" t="str">
        <f>IF(P4657="","",IFERROR(IF(AND(H4657="W7",OR(F4657="causal",F4657="predictive")),IF(AND(OR(K4657=1,K4657="1"),OR(L4657=1,L4657="1"),OR(M4657=1,M4657="1")),"adequate","partial"),IF(AND(H4657="W4",F4657="predictive",OR(J4657="P2",J4657="P3",J4657="P4")),IF(OR(U4657=1,U4657="1"),"adequate","partial"),INDEX(Fit_Matrix!$B:$B,MATCH(P4657,Fit_Matrix!$A:$A,0)))),"CHECK KEY"))</f>
        <v/>
      </c>
      <c r="U4657" s="10"/>
      <c r="V4657" s="10"/>
      <c r="W4657" s="10"/>
      <c r="X4657" s="10"/>
      <c r="Y4657" s="10"/>
      <c r="Z4657" s="10"/>
      <c r="AA4657" s="11" t="str">
        <f t="shared" si="145"/>
        <v/>
      </c>
    </row>
    <row r="4658" spans="16:27" ht="15" customHeight="1">
      <c r="P4658" t="str">
        <f t="shared" si="144"/>
        <v/>
      </c>
      <c r="Q4658" t="str">
        <f>IF(P4658="","",IFERROR(IF(AND(H4658="W7",OR(F4658="causal",F4658="predictive")),IF(AND(OR(K4658=1,K4658="1"),OR(L4658=1,L4658="1"),OR(M4658=1,M4658="1")),"adequate","partial"),IF(AND(H4658="W4",F4658="predictive",OR(J4658="P2",J4658="P3",J4658="P4")),IF(OR(U4658=1,U4658="1"),"adequate","partial"),INDEX(Fit_Matrix!$B:$B,MATCH(P4658,Fit_Matrix!$A:$A,0)))),"CHECK KEY"))</f>
        <v/>
      </c>
      <c r="U4658" s="10"/>
      <c r="V4658" s="10"/>
      <c r="W4658" s="10"/>
      <c r="X4658" s="10"/>
      <c r="Y4658" s="10"/>
      <c r="Z4658" s="10"/>
      <c r="AA4658" s="11" t="str">
        <f t="shared" si="145"/>
        <v/>
      </c>
    </row>
    <row r="4659" spans="16:27" ht="15" customHeight="1">
      <c r="P4659" t="str">
        <f t="shared" si="144"/>
        <v/>
      </c>
      <c r="Q4659" t="str">
        <f>IF(P4659="","",IFERROR(IF(AND(H4659="W7",OR(F4659="causal",F4659="predictive")),IF(AND(OR(K4659=1,K4659="1"),OR(L4659=1,L4659="1"),OR(M4659=1,M4659="1")),"adequate","partial"),IF(AND(H4659="W4",F4659="predictive",OR(J4659="P2",J4659="P3",J4659="P4")),IF(OR(U4659=1,U4659="1"),"adequate","partial"),INDEX(Fit_Matrix!$B:$B,MATCH(P4659,Fit_Matrix!$A:$A,0)))),"CHECK KEY"))</f>
        <v/>
      </c>
      <c r="U4659" s="10"/>
      <c r="V4659" s="10"/>
      <c r="W4659" s="10"/>
      <c r="X4659" s="10"/>
      <c r="Y4659" s="10"/>
      <c r="Z4659" s="10"/>
      <c r="AA4659" s="11" t="str">
        <f t="shared" si="145"/>
        <v/>
      </c>
    </row>
    <row r="4660" spans="16:27" ht="15" customHeight="1">
      <c r="P4660" t="str">
        <f t="shared" si="144"/>
        <v/>
      </c>
      <c r="Q4660" t="str">
        <f>IF(P4660="","",IFERROR(IF(AND(H4660="W7",OR(F4660="causal",F4660="predictive")),IF(AND(OR(K4660=1,K4660="1"),OR(L4660=1,L4660="1"),OR(M4660=1,M4660="1")),"adequate","partial"),IF(AND(H4660="W4",F4660="predictive",OR(J4660="P2",J4660="P3",J4660="P4")),IF(OR(U4660=1,U4660="1"),"adequate","partial"),INDEX(Fit_Matrix!$B:$B,MATCH(P4660,Fit_Matrix!$A:$A,0)))),"CHECK KEY"))</f>
        <v/>
      </c>
      <c r="U4660" s="10"/>
      <c r="V4660" s="10"/>
      <c r="W4660" s="10"/>
      <c r="X4660" s="10"/>
      <c r="Y4660" s="10"/>
      <c r="Z4660" s="10"/>
      <c r="AA4660" s="11" t="str">
        <f t="shared" si="145"/>
        <v/>
      </c>
    </row>
    <row r="4661" spans="16:27" ht="15" customHeight="1">
      <c r="P4661" t="str">
        <f t="shared" si="144"/>
        <v/>
      </c>
      <c r="Q4661" t="str">
        <f>IF(P4661="","",IFERROR(IF(AND(H4661="W7",OR(F4661="causal",F4661="predictive")),IF(AND(OR(K4661=1,K4661="1"),OR(L4661=1,L4661="1"),OR(M4661=1,M4661="1")),"adequate","partial"),IF(AND(H4661="W4",F4661="predictive",OR(J4661="P2",J4661="P3",J4661="P4")),IF(OR(U4661=1,U4661="1"),"adequate","partial"),INDEX(Fit_Matrix!$B:$B,MATCH(P4661,Fit_Matrix!$A:$A,0)))),"CHECK KEY"))</f>
        <v/>
      </c>
      <c r="U4661" s="10"/>
      <c r="V4661" s="10"/>
      <c r="W4661" s="10"/>
      <c r="X4661" s="10"/>
      <c r="Y4661" s="10"/>
      <c r="Z4661" s="10"/>
      <c r="AA4661" s="11" t="str">
        <f t="shared" si="145"/>
        <v/>
      </c>
    </row>
    <row r="4662" spans="16:27" ht="15" customHeight="1">
      <c r="P4662" t="str">
        <f t="shared" si="144"/>
        <v/>
      </c>
      <c r="Q4662" t="str">
        <f>IF(P4662="","",IFERROR(IF(AND(H4662="W7",OR(F4662="causal",F4662="predictive")),IF(AND(OR(K4662=1,K4662="1"),OR(L4662=1,L4662="1"),OR(M4662=1,M4662="1")),"adequate","partial"),IF(AND(H4662="W4",F4662="predictive",OR(J4662="P2",J4662="P3",J4662="P4")),IF(OR(U4662=1,U4662="1"),"adequate","partial"),INDEX(Fit_Matrix!$B:$B,MATCH(P4662,Fit_Matrix!$A:$A,0)))),"CHECK KEY"))</f>
        <v/>
      </c>
      <c r="U4662" s="10"/>
      <c r="V4662" s="10"/>
      <c r="W4662" s="10"/>
      <c r="X4662" s="10"/>
      <c r="Y4662" s="10"/>
      <c r="Z4662" s="10"/>
      <c r="AA4662" s="11" t="str">
        <f t="shared" si="145"/>
        <v/>
      </c>
    </row>
    <row r="4663" spans="16:27" ht="15" customHeight="1">
      <c r="P4663" t="str">
        <f t="shared" si="144"/>
        <v/>
      </c>
      <c r="Q4663" t="str">
        <f>IF(P4663="","",IFERROR(IF(AND(H4663="W7",OR(F4663="causal",F4663="predictive")),IF(AND(OR(K4663=1,K4663="1"),OR(L4663=1,L4663="1"),OR(M4663=1,M4663="1")),"adequate","partial"),IF(AND(H4663="W4",F4663="predictive",OR(J4663="P2",J4663="P3",J4663="P4")),IF(OR(U4663=1,U4663="1"),"adequate","partial"),INDEX(Fit_Matrix!$B:$B,MATCH(P4663,Fit_Matrix!$A:$A,0)))),"CHECK KEY"))</f>
        <v/>
      </c>
      <c r="U4663" s="10"/>
      <c r="V4663" s="10"/>
      <c r="W4663" s="10"/>
      <c r="X4663" s="10"/>
      <c r="Y4663" s="10"/>
      <c r="Z4663" s="10"/>
      <c r="AA4663" s="11" t="str">
        <f t="shared" si="145"/>
        <v/>
      </c>
    </row>
    <row r="4664" spans="16:27" ht="15" customHeight="1">
      <c r="P4664" t="str">
        <f t="shared" si="144"/>
        <v/>
      </c>
      <c r="Q4664" t="str">
        <f>IF(P4664="","",IFERROR(IF(AND(H4664="W7",OR(F4664="causal",F4664="predictive")),IF(AND(OR(K4664=1,K4664="1"),OR(L4664=1,L4664="1"),OR(M4664=1,M4664="1")),"adequate","partial"),IF(AND(H4664="W4",F4664="predictive",OR(J4664="P2",J4664="P3",J4664="P4")),IF(OR(U4664=1,U4664="1"),"adequate","partial"),INDEX(Fit_Matrix!$B:$B,MATCH(P4664,Fit_Matrix!$A:$A,0)))),"CHECK KEY"))</f>
        <v/>
      </c>
      <c r="U4664" s="10"/>
      <c r="V4664" s="10"/>
      <c r="W4664" s="10"/>
      <c r="X4664" s="10"/>
      <c r="Y4664" s="10"/>
      <c r="Z4664" s="10"/>
      <c r="AA4664" s="11" t="str">
        <f t="shared" si="145"/>
        <v/>
      </c>
    </row>
    <row r="4665" spans="16:27" ht="15" customHeight="1">
      <c r="P4665" t="str">
        <f t="shared" si="144"/>
        <v/>
      </c>
      <c r="Q4665" t="str">
        <f>IF(P4665="","",IFERROR(IF(AND(H4665="W7",OR(F4665="causal",F4665="predictive")),IF(AND(OR(K4665=1,K4665="1"),OR(L4665=1,L4665="1"),OR(M4665=1,M4665="1")),"adequate","partial"),IF(AND(H4665="W4",F4665="predictive",OR(J4665="P2",J4665="P3",J4665="P4")),IF(OR(U4665=1,U4665="1"),"adequate","partial"),INDEX(Fit_Matrix!$B:$B,MATCH(P4665,Fit_Matrix!$A:$A,0)))),"CHECK KEY"))</f>
        <v/>
      </c>
      <c r="U4665" s="10"/>
      <c r="V4665" s="10"/>
      <c r="W4665" s="10"/>
      <c r="X4665" s="10"/>
      <c r="Y4665" s="10"/>
      <c r="Z4665" s="10"/>
      <c r="AA4665" s="11" t="str">
        <f t="shared" si="145"/>
        <v/>
      </c>
    </row>
    <row r="4666" spans="16:27" ht="15" customHeight="1">
      <c r="P4666" t="str">
        <f t="shared" si="144"/>
        <v/>
      </c>
      <c r="Q4666" t="str">
        <f>IF(P4666="","",IFERROR(IF(AND(H4666="W7",OR(F4666="causal",F4666="predictive")),IF(AND(OR(K4666=1,K4666="1"),OR(L4666=1,L4666="1"),OR(M4666=1,M4666="1")),"adequate","partial"),IF(AND(H4666="W4",F4666="predictive",OR(J4666="P2",J4666="P3",J4666="P4")),IF(OR(U4666=1,U4666="1"),"adequate","partial"),INDEX(Fit_Matrix!$B:$B,MATCH(P4666,Fit_Matrix!$A:$A,0)))),"CHECK KEY"))</f>
        <v/>
      </c>
      <c r="U4666" s="10"/>
      <c r="V4666" s="10"/>
      <c r="W4666" s="10"/>
      <c r="X4666" s="10"/>
      <c r="Y4666" s="10"/>
      <c r="Z4666" s="10"/>
      <c r="AA4666" s="11" t="str">
        <f t="shared" si="145"/>
        <v/>
      </c>
    </row>
    <row r="4667" spans="16:27" ht="15" customHeight="1">
      <c r="P4667" t="str">
        <f t="shared" si="144"/>
        <v/>
      </c>
      <c r="Q4667" t="str">
        <f>IF(P4667="","",IFERROR(IF(AND(H4667="W7",OR(F4667="causal",F4667="predictive")),IF(AND(OR(K4667=1,K4667="1"),OR(L4667=1,L4667="1"),OR(M4667=1,M4667="1")),"adequate","partial"),IF(AND(H4667="W4",F4667="predictive",OR(J4667="P2",J4667="P3",J4667="P4")),IF(OR(U4667=1,U4667="1"),"adequate","partial"),INDEX(Fit_Matrix!$B:$B,MATCH(P4667,Fit_Matrix!$A:$A,0)))),"CHECK KEY"))</f>
        <v/>
      </c>
      <c r="U4667" s="10"/>
      <c r="V4667" s="10"/>
      <c r="W4667" s="10"/>
      <c r="X4667" s="10"/>
      <c r="Y4667" s="10"/>
      <c r="Z4667" s="10"/>
      <c r="AA4667" s="11" t="str">
        <f t="shared" si="145"/>
        <v/>
      </c>
    </row>
    <row r="4668" spans="16:27" ht="15" customHeight="1">
      <c r="P4668" t="str">
        <f t="shared" si="144"/>
        <v/>
      </c>
      <c r="Q4668" t="str">
        <f>IF(P4668="","",IFERROR(IF(AND(H4668="W7",OR(F4668="causal",F4668="predictive")),IF(AND(OR(K4668=1,K4668="1"),OR(L4668=1,L4668="1"),OR(M4668=1,M4668="1")),"adequate","partial"),IF(AND(H4668="W4",F4668="predictive",OR(J4668="P2",J4668="P3",J4668="P4")),IF(OR(U4668=1,U4668="1"),"adequate","partial"),INDEX(Fit_Matrix!$B:$B,MATCH(P4668,Fit_Matrix!$A:$A,0)))),"CHECK KEY"))</f>
        <v/>
      </c>
      <c r="U4668" s="10"/>
      <c r="V4668" s="10"/>
      <c r="W4668" s="10"/>
      <c r="X4668" s="10"/>
      <c r="Y4668" s="10"/>
      <c r="Z4668" s="10"/>
      <c r="AA4668" s="11" t="str">
        <f t="shared" si="145"/>
        <v/>
      </c>
    </row>
    <row r="4669" spans="16:27" ht="15" customHeight="1">
      <c r="P4669" t="str">
        <f t="shared" si="144"/>
        <v/>
      </c>
      <c r="Q4669" t="str">
        <f>IF(P4669="","",IFERROR(IF(AND(H4669="W7",OR(F4669="causal",F4669="predictive")),IF(AND(OR(K4669=1,K4669="1"),OR(L4669=1,L4669="1"),OR(M4669=1,M4669="1")),"adequate","partial"),IF(AND(H4669="W4",F4669="predictive",OR(J4669="P2",J4669="P3",J4669="P4")),IF(OR(U4669=1,U4669="1"),"adequate","partial"),INDEX(Fit_Matrix!$B:$B,MATCH(P4669,Fit_Matrix!$A:$A,0)))),"CHECK KEY"))</f>
        <v/>
      </c>
      <c r="U4669" s="10"/>
      <c r="V4669" s="10"/>
      <c r="W4669" s="10"/>
      <c r="X4669" s="10"/>
      <c r="Y4669" s="10"/>
      <c r="Z4669" s="10"/>
      <c r="AA4669" s="11" t="str">
        <f t="shared" si="145"/>
        <v/>
      </c>
    </row>
    <row r="4670" spans="16:27" ht="15" customHeight="1">
      <c r="P4670" t="str">
        <f t="shared" si="144"/>
        <v/>
      </c>
      <c r="Q4670" t="str">
        <f>IF(P4670="","",IFERROR(IF(AND(H4670="W7",OR(F4670="causal",F4670="predictive")),IF(AND(OR(K4670=1,K4670="1"),OR(L4670=1,L4670="1"),OR(M4670=1,M4670="1")),"adequate","partial"),IF(AND(H4670="W4",F4670="predictive",OR(J4670="P2",J4670="P3",J4670="P4")),IF(OR(U4670=1,U4670="1"),"adequate","partial"),INDEX(Fit_Matrix!$B:$B,MATCH(P4670,Fit_Matrix!$A:$A,0)))),"CHECK KEY"))</f>
        <v/>
      </c>
      <c r="U4670" s="10"/>
      <c r="V4670" s="10"/>
      <c r="W4670" s="10"/>
      <c r="X4670" s="10"/>
      <c r="Y4670" s="10"/>
      <c r="Z4670" s="10"/>
      <c r="AA4670" s="11" t="str">
        <f t="shared" si="145"/>
        <v/>
      </c>
    </row>
    <row r="4671" spans="16:27" ht="15" customHeight="1">
      <c r="P4671" t="str">
        <f t="shared" si="144"/>
        <v/>
      </c>
      <c r="Q4671" t="str">
        <f>IF(P4671="","",IFERROR(IF(AND(H4671="W7",OR(F4671="causal",F4671="predictive")),IF(AND(OR(K4671=1,K4671="1"),OR(L4671=1,L4671="1"),OR(M4671=1,M4671="1")),"adequate","partial"),IF(AND(H4671="W4",F4671="predictive",OR(J4671="P2",J4671="P3",J4671="P4")),IF(OR(U4671=1,U4671="1"),"adequate","partial"),INDEX(Fit_Matrix!$B:$B,MATCH(P4671,Fit_Matrix!$A:$A,0)))),"CHECK KEY"))</f>
        <v/>
      </c>
      <c r="U4671" s="10"/>
      <c r="V4671" s="10"/>
      <c r="W4671" s="10"/>
      <c r="X4671" s="10"/>
      <c r="Y4671" s="10"/>
      <c r="Z4671" s="10"/>
      <c r="AA4671" s="11" t="str">
        <f t="shared" si="145"/>
        <v/>
      </c>
    </row>
    <row r="4672" spans="16:27" ht="15" customHeight="1">
      <c r="P4672" t="str">
        <f t="shared" si="144"/>
        <v/>
      </c>
      <c r="Q4672" t="str">
        <f>IF(P4672="","",IFERROR(IF(AND(H4672="W7",OR(F4672="causal",F4672="predictive")),IF(AND(OR(K4672=1,K4672="1"),OR(L4672=1,L4672="1"),OR(M4672=1,M4672="1")),"adequate","partial"),IF(AND(H4672="W4",F4672="predictive",OR(J4672="P2",J4672="P3",J4672="P4")),IF(OR(U4672=1,U4672="1"),"adequate","partial"),INDEX(Fit_Matrix!$B:$B,MATCH(P4672,Fit_Matrix!$A:$A,0)))),"CHECK KEY"))</f>
        <v/>
      </c>
      <c r="U4672" s="10"/>
      <c r="V4672" s="10"/>
      <c r="W4672" s="10"/>
      <c r="X4672" s="10"/>
      <c r="Y4672" s="10"/>
      <c r="Z4672" s="10"/>
      <c r="AA4672" s="11" t="str">
        <f t="shared" si="145"/>
        <v/>
      </c>
    </row>
    <row r="4673" spans="16:27" ht="15" customHeight="1">
      <c r="P4673" t="str">
        <f t="shared" si="144"/>
        <v/>
      </c>
      <c r="Q4673" t="str">
        <f>IF(P4673="","",IFERROR(IF(AND(H4673="W7",OR(F4673="causal",F4673="predictive")),IF(AND(OR(K4673=1,K4673="1"),OR(L4673=1,L4673="1"),OR(M4673=1,M4673="1")),"adequate","partial"),IF(AND(H4673="W4",F4673="predictive",OR(J4673="P2",J4673="P3",J4673="P4")),IF(OR(U4673=1,U4673="1"),"adequate","partial"),INDEX(Fit_Matrix!$B:$B,MATCH(P4673,Fit_Matrix!$A:$A,0)))),"CHECK KEY"))</f>
        <v/>
      </c>
      <c r="U4673" s="10"/>
      <c r="V4673" s="10"/>
      <c r="W4673" s="10"/>
      <c r="X4673" s="10"/>
      <c r="Y4673" s="10"/>
      <c r="Z4673" s="10"/>
      <c r="AA4673" s="11" t="str">
        <f t="shared" si="145"/>
        <v/>
      </c>
    </row>
    <row r="4674" spans="16:27" ht="15" customHeight="1">
      <c r="P4674" t="str">
        <f t="shared" ref="P4674:P4737" si="146">IF(OR(F4674="",H4674="",J4674=""),"",J4674&amp;"|"&amp;F4674&amp;"|"&amp;IF(H4674="W3","W3_"&amp;IF(I4674="","unknown",I4674),H4674))</f>
        <v/>
      </c>
      <c r="Q4674" t="str">
        <f>IF(P4674="","",IFERROR(IF(AND(H4674="W7",OR(F4674="causal",F4674="predictive")),IF(AND(OR(K4674=1,K4674="1"),OR(L4674=1,L4674="1"),OR(M4674=1,M4674="1")),"adequate","partial"),IF(AND(H4674="W4",F4674="predictive",OR(J4674="P2",J4674="P3",J4674="P4")),IF(OR(U4674=1,U4674="1"),"adequate","partial"),INDEX(Fit_Matrix!$B:$B,MATCH(P4674,Fit_Matrix!$A:$A,0)))),"CHECK KEY"))</f>
        <v/>
      </c>
      <c r="U4674" s="10"/>
      <c r="V4674" s="10"/>
      <c r="W4674" s="10"/>
      <c r="X4674" s="10"/>
      <c r="Y4674" s="10"/>
      <c r="Z4674" s="10"/>
      <c r="AA4674" s="11" t="str">
        <f t="shared" ref="AA4674:AA4737" si="147">IF(A4674="","",IF(AND(J4674="P4",F4674="causal"),"P4-CAUSAL",""))</f>
        <v/>
      </c>
    </row>
    <row r="4675" spans="16:27" ht="15" customHeight="1">
      <c r="P4675" t="str">
        <f t="shared" si="146"/>
        <v/>
      </c>
      <c r="Q4675" t="str">
        <f>IF(P4675="","",IFERROR(IF(AND(H4675="W7",OR(F4675="causal",F4675="predictive")),IF(AND(OR(K4675=1,K4675="1"),OR(L4675=1,L4675="1"),OR(M4675=1,M4675="1")),"adequate","partial"),IF(AND(H4675="W4",F4675="predictive",OR(J4675="P2",J4675="P3",J4675="P4")),IF(OR(U4675=1,U4675="1"),"adequate","partial"),INDEX(Fit_Matrix!$B:$B,MATCH(P4675,Fit_Matrix!$A:$A,0)))),"CHECK KEY"))</f>
        <v/>
      </c>
      <c r="U4675" s="10"/>
      <c r="V4675" s="10"/>
      <c r="W4675" s="10"/>
      <c r="X4675" s="10"/>
      <c r="Y4675" s="10"/>
      <c r="Z4675" s="10"/>
      <c r="AA4675" s="11" t="str">
        <f t="shared" si="147"/>
        <v/>
      </c>
    </row>
    <row r="4676" spans="16:27" ht="15" customHeight="1">
      <c r="P4676" t="str">
        <f t="shared" si="146"/>
        <v/>
      </c>
      <c r="Q4676" t="str">
        <f>IF(P4676="","",IFERROR(IF(AND(H4676="W7",OR(F4676="causal",F4676="predictive")),IF(AND(OR(K4676=1,K4676="1"),OR(L4676=1,L4676="1"),OR(M4676=1,M4676="1")),"adequate","partial"),IF(AND(H4676="W4",F4676="predictive",OR(J4676="P2",J4676="P3",J4676="P4")),IF(OR(U4676=1,U4676="1"),"adequate","partial"),INDEX(Fit_Matrix!$B:$B,MATCH(P4676,Fit_Matrix!$A:$A,0)))),"CHECK KEY"))</f>
        <v/>
      </c>
      <c r="U4676" s="10"/>
      <c r="V4676" s="10"/>
      <c r="W4676" s="10"/>
      <c r="X4676" s="10"/>
      <c r="Y4676" s="10"/>
      <c r="Z4676" s="10"/>
      <c r="AA4676" s="11" t="str">
        <f t="shared" si="147"/>
        <v/>
      </c>
    </row>
    <row r="4677" spans="16:27" ht="15" customHeight="1">
      <c r="P4677" t="str">
        <f t="shared" si="146"/>
        <v/>
      </c>
      <c r="Q4677" t="str">
        <f>IF(P4677="","",IFERROR(IF(AND(H4677="W7",OR(F4677="causal",F4677="predictive")),IF(AND(OR(K4677=1,K4677="1"),OR(L4677=1,L4677="1"),OR(M4677=1,M4677="1")),"adequate","partial"),IF(AND(H4677="W4",F4677="predictive",OR(J4677="P2",J4677="P3",J4677="P4")),IF(OR(U4677=1,U4677="1"),"adequate","partial"),INDEX(Fit_Matrix!$B:$B,MATCH(P4677,Fit_Matrix!$A:$A,0)))),"CHECK KEY"))</f>
        <v/>
      </c>
      <c r="U4677" s="10"/>
      <c r="V4677" s="10"/>
      <c r="W4677" s="10"/>
      <c r="X4677" s="10"/>
      <c r="Y4677" s="10"/>
      <c r="Z4677" s="10"/>
      <c r="AA4677" s="11" t="str">
        <f t="shared" si="147"/>
        <v/>
      </c>
    </row>
    <row r="4678" spans="16:27" ht="15" customHeight="1">
      <c r="P4678" t="str">
        <f t="shared" si="146"/>
        <v/>
      </c>
      <c r="Q4678" t="str">
        <f>IF(P4678="","",IFERROR(IF(AND(H4678="W7",OR(F4678="causal",F4678="predictive")),IF(AND(OR(K4678=1,K4678="1"),OR(L4678=1,L4678="1"),OR(M4678=1,M4678="1")),"adequate","partial"),IF(AND(H4678="W4",F4678="predictive",OR(J4678="P2",J4678="P3",J4678="P4")),IF(OR(U4678=1,U4678="1"),"adequate","partial"),INDEX(Fit_Matrix!$B:$B,MATCH(P4678,Fit_Matrix!$A:$A,0)))),"CHECK KEY"))</f>
        <v/>
      </c>
      <c r="U4678" s="10"/>
      <c r="V4678" s="10"/>
      <c r="W4678" s="10"/>
      <c r="X4678" s="10"/>
      <c r="Y4678" s="10"/>
      <c r="Z4678" s="10"/>
      <c r="AA4678" s="11" t="str">
        <f t="shared" si="147"/>
        <v/>
      </c>
    </row>
    <row r="4679" spans="16:27" ht="15" customHeight="1">
      <c r="P4679" t="str">
        <f t="shared" si="146"/>
        <v/>
      </c>
      <c r="Q4679" t="str">
        <f>IF(P4679="","",IFERROR(IF(AND(H4679="W7",OR(F4679="causal",F4679="predictive")),IF(AND(OR(K4679=1,K4679="1"),OR(L4679=1,L4679="1"),OR(M4679=1,M4679="1")),"adequate","partial"),IF(AND(H4679="W4",F4679="predictive",OR(J4679="P2",J4679="P3",J4679="P4")),IF(OR(U4679=1,U4679="1"),"adequate","partial"),INDEX(Fit_Matrix!$B:$B,MATCH(P4679,Fit_Matrix!$A:$A,0)))),"CHECK KEY"))</f>
        <v/>
      </c>
      <c r="U4679" s="10"/>
      <c r="V4679" s="10"/>
      <c r="W4679" s="10"/>
      <c r="X4679" s="10"/>
      <c r="Y4679" s="10"/>
      <c r="Z4679" s="10"/>
      <c r="AA4679" s="11" t="str">
        <f t="shared" si="147"/>
        <v/>
      </c>
    </row>
    <row r="4680" spans="16:27" ht="15" customHeight="1">
      <c r="P4680" t="str">
        <f t="shared" si="146"/>
        <v/>
      </c>
      <c r="Q4680" t="str">
        <f>IF(P4680="","",IFERROR(IF(AND(H4680="W7",OR(F4680="causal",F4680="predictive")),IF(AND(OR(K4680=1,K4680="1"),OR(L4680=1,L4680="1"),OR(M4680=1,M4680="1")),"adequate","partial"),IF(AND(H4680="W4",F4680="predictive",OR(J4680="P2",J4680="P3",J4680="P4")),IF(OR(U4680=1,U4680="1"),"adequate","partial"),INDEX(Fit_Matrix!$B:$B,MATCH(P4680,Fit_Matrix!$A:$A,0)))),"CHECK KEY"))</f>
        <v/>
      </c>
      <c r="U4680" s="10"/>
      <c r="V4680" s="10"/>
      <c r="W4680" s="10"/>
      <c r="X4680" s="10"/>
      <c r="Y4680" s="10"/>
      <c r="Z4680" s="10"/>
      <c r="AA4680" s="11" t="str">
        <f t="shared" si="147"/>
        <v/>
      </c>
    </row>
    <row r="4681" spans="16:27" ht="15" customHeight="1">
      <c r="P4681" t="str">
        <f t="shared" si="146"/>
        <v/>
      </c>
      <c r="Q4681" t="str">
        <f>IF(P4681="","",IFERROR(IF(AND(H4681="W7",OR(F4681="causal",F4681="predictive")),IF(AND(OR(K4681=1,K4681="1"),OR(L4681=1,L4681="1"),OR(M4681=1,M4681="1")),"adequate","partial"),IF(AND(H4681="W4",F4681="predictive",OR(J4681="P2",J4681="P3",J4681="P4")),IF(OR(U4681=1,U4681="1"),"adequate","partial"),INDEX(Fit_Matrix!$B:$B,MATCH(P4681,Fit_Matrix!$A:$A,0)))),"CHECK KEY"))</f>
        <v/>
      </c>
      <c r="U4681" s="10"/>
      <c r="V4681" s="10"/>
      <c r="W4681" s="10"/>
      <c r="X4681" s="10"/>
      <c r="Y4681" s="10"/>
      <c r="Z4681" s="10"/>
      <c r="AA4681" s="11" t="str">
        <f t="shared" si="147"/>
        <v/>
      </c>
    </row>
    <row r="4682" spans="16:27" ht="15" customHeight="1">
      <c r="P4682" t="str">
        <f t="shared" si="146"/>
        <v/>
      </c>
      <c r="Q4682" t="str">
        <f>IF(P4682="","",IFERROR(IF(AND(H4682="W7",OR(F4682="causal",F4682="predictive")),IF(AND(OR(K4682=1,K4682="1"),OR(L4682=1,L4682="1"),OR(M4682=1,M4682="1")),"adequate","partial"),IF(AND(H4682="W4",F4682="predictive",OR(J4682="P2",J4682="P3",J4682="P4")),IF(OR(U4682=1,U4682="1"),"adequate","partial"),INDEX(Fit_Matrix!$B:$B,MATCH(P4682,Fit_Matrix!$A:$A,0)))),"CHECK KEY"))</f>
        <v/>
      </c>
      <c r="U4682" s="10"/>
      <c r="V4682" s="10"/>
      <c r="W4682" s="10"/>
      <c r="X4682" s="10"/>
      <c r="Y4682" s="10"/>
      <c r="Z4682" s="10"/>
      <c r="AA4682" s="11" t="str">
        <f t="shared" si="147"/>
        <v/>
      </c>
    </row>
    <row r="4683" spans="16:27" ht="15" customHeight="1">
      <c r="P4683" t="str">
        <f t="shared" si="146"/>
        <v/>
      </c>
      <c r="Q4683" t="str">
        <f>IF(P4683="","",IFERROR(IF(AND(H4683="W7",OR(F4683="causal",F4683="predictive")),IF(AND(OR(K4683=1,K4683="1"),OR(L4683=1,L4683="1"),OR(M4683=1,M4683="1")),"adequate","partial"),IF(AND(H4683="W4",F4683="predictive",OR(J4683="P2",J4683="P3",J4683="P4")),IF(OR(U4683=1,U4683="1"),"adequate","partial"),INDEX(Fit_Matrix!$B:$B,MATCH(P4683,Fit_Matrix!$A:$A,0)))),"CHECK KEY"))</f>
        <v/>
      </c>
      <c r="U4683" s="10"/>
      <c r="V4683" s="10"/>
      <c r="W4683" s="10"/>
      <c r="X4683" s="10"/>
      <c r="Y4683" s="10"/>
      <c r="Z4683" s="10"/>
      <c r="AA4683" s="11" t="str">
        <f t="shared" si="147"/>
        <v/>
      </c>
    </row>
    <row r="4684" spans="16:27" ht="15" customHeight="1">
      <c r="P4684" t="str">
        <f t="shared" si="146"/>
        <v/>
      </c>
      <c r="Q4684" t="str">
        <f>IF(P4684="","",IFERROR(IF(AND(H4684="W7",OR(F4684="causal",F4684="predictive")),IF(AND(OR(K4684=1,K4684="1"),OR(L4684=1,L4684="1"),OR(M4684=1,M4684="1")),"adequate","partial"),IF(AND(H4684="W4",F4684="predictive",OR(J4684="P2",J4684="P3",J4684="P4")),IF(OR(U4684=1,U4684="1"),"adequate","partial"),INDEX(Fit_Matrix!$B:$B,MATCH(P4684,Fit_Matrix!$A:$A,0)))),"CHECK KEY"))</f>
        <v/>
      </c>
      <c r="U4684" s="10"/>
      <c r="V4684" s="10"/>
      <c r="W4684" s="10"/>
      <c r="X4684" s="10"/>
      <c r="Y4684" s="10"/>
      <c r="Z4684" s="10"/>
      <c r="AA4684" s="11" t="str">
        <f t="shared" si="147"/>
        <v/>
      </c>
    </row>
    <row r="4685" spans="16:27" ht="15" customHeight="1">
      <c r="P4685" t="str">
        <f t="shared" si="146"/>
        <v/>
      </c>
      <c r="Q4685" t="str">
        <f>IF(P4685="","",IFERROR(IF(AND(H4685="W7",OR(F4685="causal",F4685="predictive")),IF(AND(OR(K4685=1,K4685="1"),OR(L4685=1,L4685="1"),OR(M4685=1,M4685="1")),"adequate","partial"),IF(AND(H4685="W4",F4685="predictive",OR(J4685="P2",J4685="P3",J4685="P4")),IF(OR(U4685=1,U4685="1"),"adequate","partial"),INDEX(Fit_Matrix!$B:$B,MATCH(P4685,Fit_Matrix!$A:$A,0)))),"CHECK KEY"))</f>
        <v/>
      </c>
      <c r="U4685" s="10"/>
      <c r="V4685" s="10"/>
      <c r="W4685" s="10"/>
      <c r="X4685" s="10"/>
      <c r="Y4685" s="10"/>
      <c r="Z4685" s="10"/>
      <c r="AA4685" s="11" t="str">
        <f t="shared" si="147"/>
        <v/>
      </c>
    </row>
    <row r="4686" spans="16:27" ht="15" customHeight="1">
      <c r="P4686" t="str">
        <f t="shared" si="146"/>
        <v/>
      </c>
      <c r="Q4686" t="str">
        <f>IF(P4686="","",IFERROR(IF(AND(H4686="W7",OR(F4686="causal",F4686="predictive")),IF(AND(OR(K4686=1,K4686="1"),OR(L4686=1,L4686="1"),OR(M4686=1,M4686="1")),"adequate","partial"),IF(AND(H4686="W4",F4686="predictive",OR(J4686="P2",J4686="P3",J4686="P4")),IF(OR(U4686=1,U4686="1"),"adequate","partial"),INDEX(Fit_Matrix!$B:$B,MATCH(P4686,Fit_Matrix!$A:$A,0)))),"CHECK KEY"))</f>
        <v/>
      </c>
      <c r="U4686" s="10"/>
      <c r="V4686" s="10"/>
      <c r="W4686" s="10"/>
      <c r="X4686" s="10"/>
      <c r="Y4686" s="10"/>
      <c r="Z4686" s="10"/>
      <c r="AA4686" s="11" t="str">
        <f t="shared" si="147"/>
        <v/>
      </c>
    </row>
    <row r="4687" spans="16:27" ht="15" customHeight="1">
      <c r="P4687" t="str">
        <f t="shared" si="146"/>
        <v/>
      </c>
      <c r="Q4687" t="str">
        <f>IF(P4687="","",IFERROR(IF(AND(H4687="W7",OR(F4687="causal",F4687="predictive")),IF(AND(OR(K4687=1,K4687="1"),OR(L4687=1,L4687="1"),OR(M4687=1,M4687="1")),"adequate","partial"),IF(AND(H4687="W4",F4687="predictive",OR(J4687="P2",J4687="P3",J4687="P4")),IF(OR(U4687=1,U4687="1"),"adequate","partial"),INDEX(Fit_Matrix!$B:$B,MATCH(P4687,Fit_Matrix!$A:$A,0)))),"CHECK KEY"))</f>
        <v/>
      </c>
      <c r="U4687" s="10"/>
      <c r="V4687" s="10"/>
      <c r="W4687" s="10"/>
      <c r="X4687" s="10"/>
      <c r="Y4687" s="10"/>
      <c r="Z4687" s="10"/>
      <c r="AA4687" s="11" t="str">
        <f t="shared" si="147"/>
        <v/>
      </c>
    </row>
    <row r="4688" spans="16:27" ht="15" customHeight="1">
      <c r="P4688" t="str">
        <f t="shared" si="146"/>
        <v/>
      </c>
      <c r="Q4688" t="str">
        <f>IF(P4688="","",IFERROR(IF(AND(H4688="W7",OR(F4688="causal",F4688="predictive")),IF(AND(OR(K4688=1,K4688="1"),OR(L4688=1,L4688="1"),OR(M4688=1,M4688="1")),"adequate","partial"),IF(AND(H4688="W4",F4688="predictive",OR(J4688="P2",J4688="P3",J4688="P4")),IF(OR(U4688=1,U4688="1"),"adequate","partial"),INDEX(Fit_Matrix!$B:$B,MATCH(P4688,Fit_Matrix!$A:$A,0)))),"CHECK KEY"))</f>
        <v/>
      </c>
      <c r="U4688" s="10"/>
      <c r="V4688" s="10"/>
      <c r="W4688" s="10"/>
      <c r="X4688" s="10"/>
      <c r="Y4688" s="10"/>
      <c r="Z4688" s="10"/>
      <c r="AA4688" s="11" t="str">
        <f t="shared" si="147"/>
        <v/>
      </c>
    </row>
    <row r="4689" spans="16:27" ht="15" customHeight="1">
      <c r="P4689" t="str">
        <f t="shared" si="146"/>
        <v/>
      </c>
      <c r="Q4689" t="str">
        <f>IF(P4689="","",IFERROR(IF(AND(H4689="W7",OR(F4689="causal",F4689="predictive")),IF(AND(OR(K4689=1,K4689="1"),OR(L4689=1,L4689="1"),OR(M4689=1,M4689="1")),"adequate","partial"),IF(AND(H4689="W4",F4689="predictive",OR(J4689="P2",J4689="P3",J4689="P4")),IF(OR(U4689=1,U4689="1"),"adequate","partial"),INDEX(Fit_Matrix!$B:$B,MATCH(P4689,Fit_Matrix!$A:$A,0)))),"CHECK KEY"))</f>
        <v/>
      </c>
      <c r="U4689" s="10"/>
      <c r="V4689" s="10"/>
      <c r="W4689" s="10"/>
      <c r="X4689" s="10"/>
      <c r="Y4689" s="10"/>
      <c r="Z4689" s="10"/>
      <c r="AA4689" s="11" t="str">
        <f t="shared" si="147"/>
        <v/>
      </c>
    </row>
    <row r="4690" spans="16:27" ht="15" customHeight="1">
      <c r="P4690" t="str">
        <f t="shared" si="146"/>
        <v/>
      </c>
      <c r="Q4690" t="str">
        <f>IF(P4690="","",IFERROR(IF(AND(H4690="W7",OR(F4690="causal",F4690="predictive")),IF(AND(OR(K4690=1,K4690="1"),OR(L4690=1,L4690="1"),OR(M4690=1,M4690="1")),"adequate","partial"),IF(AND(H4690="W4",F4690="predictive",OR(J4690="P2",J4690="P3",J4690="P4")),IF(OR(U4690=1,U4690="1"),"adequate","partial"),INDEX(Fit_Matrix!$B:$B,MATCH(P4690,Fit_Matrix!$A:$A,0)))),"CHECK KEY"))</f>
        <v/>
      </c>
      <c r="U4690" s="10"/>
      <c r="V4690" s="10"/>
      <c r="W4690" s="10"/>
      <c r="X4690" s="10"/>
      <c r="Y4690" s="10"/>
      <c r="Z4690" s="10"/>
      <c r="AA4690" s="11" t="str">
        <f t="shared" si="147"/>
        <v/>
      </c>
    </row>
    <row r="4691" spans="16:27" ht="15" customHeight="1">
      <c r="P4691" t="str">
        <f t="shared" si="146"/>
        <v/>
      </c>
      <c r="Q4691" t="str">
        <f>IF(P4691="","",IFERROR(IF(AND(H4691="W7",OR(F4691="causal",F4691="predictive")),IF(AND(OR(K4691=1,K4691="1"),OR(L4691=1,L4691="1"),OR(M4691=1,M4691="1")),"adequate","partial"),IF(AND(H4691="W4",F4691="predictive",OR(J4691="P2",J4691="P3",J4691="P4")),IF(OR(U4691=1,U4691="1"),"adequate","partial"),INDEX(Fit_Matrix!$B:$B,MATCH(P4691,Fit_Matrix!$A:$A,0)))),"CHECK KEY"))</f>
        <v/>
      </c>
      <c r="U4691" s="10"/>
      <c r="V4691" s="10"/>
      <c r="W4691" s="10"/>
      <c r="X4691" s="10"/>
      <c r="Y4691" s="10"/>
      <c r="Z4691" s="10"/>
      <c r="AA4691" s="11" t="str">
        <f t="shared" si="147"/>
        <v/>
      </c>
    </row>
    <row r="4692" spans="16:27" ht="15" customHeight="1">
      <c r="P4692" t="str">
        <f t="shared" si="146"/>
        <v/>
      </c>
      <c r="Q4692" t="str">
        <f>IF(P4692="","",IFERROR(IF(AND(H4692="W7",OR(F4692="causal",F4692="predictive")),IF(AND(OR(K4692=1,K4692="1"),OR(L4692=1,L4692="1"),OR(M4692=1,M4692="1")),"adequate","partial"),IF(AND(H4692="W4",F4692="predictive",OR(J4692="P2",J4692="P3",J4692="P4")),IF(OR(U4692=1,U4692="1"),"adequate","partial"),INDEX(Fit_Matrix!$B:$B,MATCH(P4692,Fit_Matrix!$A:$A,0)))),"CHECK KEY"))</f>
        <v/>
      </c>
      <c r="U4692" s="10"/>
      <c r="V4692" s="10"/>
      <c r="W4692" s="10"/>
      <c r="X4692" s="10"/>
      <c r="Y4692" s="10"/>
      <c r="Z4692" s="10"/>
      <c r="AA4692" s="11" t="str">
        <f t="shared" si="147"/>
        <v/>
      </c>
    </row>
    <row r="4693" spans="16:27" ht="15" customHeight="1">
      <c r="P4693" t="str">
        <f t="shared" si="146"/>
        <v/>
      </c>
      <c r="Q4693" t="str">
        <f>IF(P4693="","",IFERROR(IF(AND(H4693="W7",OR(F4693="causal",F4693="predictive")),IF(AND(OR(K4693=1,K4693="1"),OR(L4693=1,L4693="1"),OR(M4693=1,M4693="1")),"adequate","partial"),IF(AND(H4693="W4",F4693="predictive",OR(J4693="P2",J4693="P3",J4693="P4")),IF(OR(U4693=1,U4693="1"),"adequate","partial"),INDEX(Fit_Matrix!$B:$B,MATCH(P4693,Fit_Matrix!$A:$A,0)))),"CHECK KEY"))</f>
        <v/>
      </c>
      <c r="U4693" s="10"/>
      <c r="V4693" s="10"/>
      <c r="W4693" s="10"/>
      <c r="X4693" s="10"/>
      <c r="Y4693" s="10"/>
      <c r="Z4693" s="10"/>
      <c r="AA4693" s="11" t="str">
        <f t="shared" si="147"/>
        <v/>
      </c>
    </row>
    <row r="4694" spans="16:27" ht="15" customHeight="1">
      <c r="P4694" t="str">
        <f t="shared" si="146"/>
        <v/>
      </c>
      <c r="Q4694" t="str">
        <f>IF(P4694="","",IFERROR(IF(AND(H4694="W7",OR(F4694="causal",F4694="predictive")),IF(AND(OR(K4694=1,K4694="1"),OR(L4694=1,L4694="1"),OR(M4694=1,M4694="1")),"adequate","partial"),IF(AND(H4694="W4",F4694="predictive",OR(J4694="P2",J4694="P3",J4694="P4")),IF(OR(U4694=1,U4694="1"),"adequate","partial"),INDEX(Fit_Matrix!$B:$B,MATCH(P4694,Fit_Matrix!$A:$A,0)))),"CHECK KEY"))</f>
        <v/>
      </c>
      <c r="U4694" s="10"/>
      <c r="V4694" s="10"/>
      <c r="W4694" s="10"/>
      <c r="X4694" s="10"/>
      <c r="Y4694" s="10"/>
      <c r="Z4694" s="10"/>
      <c r="AA4694" s="11" t="str">
        <f t="shared" si="147"/>
        <v/>
      </c>
    </row>
    <row r="4695" spans="16:27" ht="15" customHeight="1">
      <c r="P4695" t="str">
        <f t="shared" si="146"/>
        <v/>
      </c>
      <c r="Q4695" t="str">
        <f>IF(P4695="","",IFERROR(IF(AND(H4695="W7",OR(F4695="causal",F4695="predictive")),IF(AND(OR(K4695=1,K4695="1"),OR(L4695=1,L4695="1"),OR(M4695=1,M4695="1")),"adequate","partial"),IF(AND(H4695="W4",F4695="predictive",OR(J4695="P2",J4695="P3",J4695="P4")),IF(OR(U4695=1,U4695="1"),"adequate","partial"),INDEX(Fit_Matrix!$B:$B,MATCH(P4695,Fit_Matrix!$A:$A,0)))),"CHECK KEY"))</f>
        <v/>
      </c>
      <c r="U4695" s="10"/>
      <c r="V4695" s="10"/>
      <c r="W4695" s="10"/>
      <c r="X4695" s="10"/>
      <c r="Y4695" s="10"/>
      <c r="Z4695" s="10"/>
      <c r="AA4695" s="11" t="str">
        <f t="shared" si="147"/>
        <v/>
      </c>
    </row>
    <row r="4696" spans="16:27" ht="15" customHeight="1">
      <c r="P4696" t="str">
        <f t="shared" si="146"/>
        <v/>
      </c>
      <c r="Q4696" t="str">
        <f>IF(P4696="","",IFERROR(IF(AND(H4696="W7",OR(F4696="causal",F4696="predictive")),IF(AND(OR(K4696=1,K4696="1"),OR(L4696=1,L4696="1"),OR(M4696=1,M4696="1")),"adequate","partial"),IF(AND(H4696="W4",F4696="predictive",OR(J4696="P2",J4696="P3",J4696="P4")),IF(OR(U4696=1,U4696="1"),"adequate","partial"),INDEX(Fit_Matrix!$B:$B,MATCH(P4696,Fit_Matrix!$A:$A,0)))),"CHECK KEY"))</f>
        <v/>
      </c>
      <c r="U4696" s="10"/>
      <c r="V4696" s="10"/>
      <c r="W4696" s="10"/>
      <c r="X4696" s="10"/>
      <c r="Y4696" s="10"/>
      <c r="Z4696" s="10"/>
      <c r="AA4696" s="11" t="str">
        <f t="shared" si="147"/>
        <v/>
      </c>
    </row>
    <row r="4697" spans="16:27" ht="15" customHeight="1">
      <c r="P4697" t="str">
        <f t="shared" si="146"/>
        <v/>
      </c>
      <c r="Q4697" t="str">
        <f>IF(P4697="","",IFERROR(IF(AND(H4697="W7",OR(F4697="causal",F4697="predictive")),IF(AND(OR(K4697=1,K4697="1"),OR(L4697=1,L4697="1"),OR(M4697=1,M4697="1")),"adequate","partial"),IF(AND(H4697="W4",F4697="predictive",OR(J4697="P2",J4697="P3",J4697="P4")),IF(OR(U4697=1,U4697="1"),"adequate","partial"),INDEX(Fit_Matrix!$B:$B,MATCH(P4697,Fit_Matrix!$A:$A,0)))),"CHECK KEY"))</f>
        <v/>
      </c>
      <c r="U4697" s="10"/>
      <c r="V4697" s="10"/>
      <c r="W4697" s="10"/>
      <c r="X4697" s="10"/>
      <c r="Y4697" s="10"/>
      <c r="Z4697" s="10"/>
      <c r="AA4697" s="11" t="str">
        <f t="shared" si="147"/>
        <v/>
      </c>
    </row>
    <row r="4698" spans="16:27" ht="15" customHeight="1">
      <c r="P4698" t="str">
        <f t="shared" si="146"/>
        <v/>
      </c>
      <c r="Q4698" t="str">
        <f>IF(P4698="","",IFERROR(IF(AND(H4698="W7",OR(F4698="causal",F4698="predictive")),IF(AND(OR(K4698=1,K4698="1"),OR(L4698=1,L4698="1"),OR(M4698=1,M4698="1")),"adequate","partial"),IF(AND(H4698="W4",F4698="predictive",OR(J4698="P2",J4698="P3",J4698="P4")),IF(OR(U4698=1,U4698="1"),"adequate","partial"),INDEX(Fit_Matrix!$B:$B,MATCH(P4698,Fit_Matrix!$A:$A,0)))),"CHECK KEY"))</f>
        <v/>
      </c>
      <c r="U4698" s="10"/>
      <c r="V4698" s="10"/>
      <c r="W4698" s="10"/>
      <c r="X4698" s="10"/>
      <c r="Y4698" s="10"/>
      <c r="Z4698" s="10"/>
      <c r="AA4698" s="11" t="str">
        <f t="shared" si="147"/>
        <v/>
      </c>
    </row>
    <row r="4699" spans="16:27" ht="15" customHeight="1">
      <c r="P4699" t="str">
        <f t="shared" si="146"/>
        <v/>
      </c>
      <c r="Q4699" t="str">
        <f>IF(P4699="","",IFERROR(IF(AND(H4699="W7",OR(F4699="causal",F4699="predictive")),IF(AND(OR(K4699=1,K4699="1"),OR(L4699=1,L4699="1"),OR(M4699=1,M4699="1")),"adequate","partial"),IF(AND(H4699="W4",F4699="predictive",OR(J4699="P2",J4699="P3",J4699="P4")),IF(OR(U4699=1,U4699="1"),"adequate","partial"),INDEX(Fit_Matrix!$B:$B,MATCH(P4699,Fit_Matrix!$A:$A,0)))),"CHECK KEY"))</f>
        <v/>
      </c>
      <c r="U4699" s="10"/>
      <c r="V4699" s="10"/>
      <c r="W4699" s="10"/>
      <c r="X4699" s="10"/>
      <c r="Y4699" s="10"/>
      <c r="Z4699" s="10"/>
      <c r="AA4699" s="11" t="str">
        <f t="shared" si="147"/>
        <v/>
      </c>
    </row>
    <row r="4700" spans="16:27" ht="15" customHeight="1">
      <c r="P4700" t="str">
        <f t="shared" si="146"/>
        <v/>
      </c>
      <c r="Q4700" t="str">
        <f>IF(P4700="","",IFERROR(IF(AND(H4700="W7",OR(F4700="causal",F4700="predictive")),IF(AND(OR(K4700=1,K4700="1"),OR(L4700=1,L4700="1"),OR(M4700=1,M4700="1")),"adequate","partial"),IF(AND(H4700="W4",F4700="predictive",OR(J4700="P2",J4700="P3",J4700="P4")),IF(OR(U4700=1,U4700="1"),"adequate","partial"),INDEX(Fit_Matrix!$B:$B,MATCH(P4700,Fit_Matrix!$A:$A,0)))),"CHECK KEY"))</f>
        <v/>
      </c>
      <c r="U4700" s="10"/>
      <c r="V4700" s="10"/>
      <c r="W4700" s="10"/>
      <c r="X4700" s="10"/>
      <c r="Y4700" s="10"/>
      <c r="Z4700" s="10"/>
      <c r="AA4700" s="11" t="str">
        <f t="shared" si="147"/>
        <v/>
      </c>
    </row>
    <row r="4701" spans="16:27" ht="15" customHeight="1">
      <c r="P4701" t="str">
        <f t="shared" si="146"/>
        <v/>
      </c>
      <c r="Q4701" t="str">
        <f>IF(P4701="","",IFERROR(IF(AND(H4701="W7",OR(F4701="causal",F4701="predictive")),IF(AND(OR(K4701=1,K4701="1"),OR(L4701=1,L4701="1"),OR(M4701=1,M4701="1")),"adequate","partial"),IF(AND(H4701="W4",F4701="predictive",OR(J4701="P2",J4701="P3",J4701="P4")),IF(OR(U4701=1,U4701="1"),"adequate","partial"),INDEX(Fit_Matrix!$B:$B,MATCH(P4701,Fit_Matrix!$A:$A,0)))),"CHECK KEY"))</f>
        <v/>
      </c>
      <c r="U4701" s="10"/>
      <c r="V4701" s="10"/>
      <c r="W4701" s="10"/>
      <c r="X4701" s="10"/>
      <c r="Y4701" s="10"/>
      <c r="Z4701" s="10"/>
      <c r="AA4701" s="11" t="str">
        <f t="shared" si="147"/>
        <v/>
      </c>
    </row>
    <row r="4702" spans="16:27" ht="15" customHeight="1">
      <c r="P4702" t="str">
        <f t="shared" si="146"/>
        <v/>
      </c>
      <c r="Q4702" t="str">
        <f>IF(P4702="","",IFERROR(IF(AND(H4702="W7",OR(F4702="causal",F4702="predictive")),IF(AND(OR(K4702=1,K4702="1"),OR(L4702=1,L4702="1"),OR(M4702=1,M4702="1")),"adequate","partial"),IF(AND(H4702="W4",F4702="predictive",OR(J4702="P2",J4702="P3",J4702="P4")),IF(OR(U4702=1,U4702="1"),"adequate","partial"),INDEX(Fit_Matrix!$B:$B,MATCH(P4702,Fit_Matrix!$A:$A,0)))),"CHECK KEY"))</f>
        <v/>
      </c>
      <c r="U4702" s="10"/>
      <c r="V4702" s="10"/>
      <c r="W4702" s="10"/>
      <c r="X4702" s="10"/>
      <c r="Y4702" s="10"/>
      <c r="Z4702" s="10"/>
      <c r="AA4702" s="11" t="str">
        <f t="shared" si="147"/>
        <v/>
      </c>
    </row>
    <row r="4703" spans="16:27" ht="15" customHeight="1">
      <c r="P4703" t="str">
        <f t="shared" si="146"/>
        <v/>
      </c>
      <c r="Q4703" t="str">
        <f>IF(P4703="","",IFERROR(IF(AND(H4703="W7",OR(F4703="causal",F4703="predictive")),IF(AND(OR(K4703=1,K4703="1"),OR(L4703=1,L4703="1"),OR(M4703=1,M4703="1")),"adequate","partial"),IF(AND(H4703="W4",F4703="predictive",OR(J4703="P2",J4703="P3",J4703="P4")),IF(OR(U4703=1,U4703="1"),"adequate","partial"),INDEX(Fit_Matrix!$B:$B,MATCH(P4703,Fit_Matrix!$A:$A,0)))),"CHECK KEY"))</f>
        <v/>
      </c>
      <c r="U4703" s="10"/>
      <c r="V4703" s="10"/>
      <c r="W4703" s="10"/>
      <c r="X4703" s="10"/>
      <c r="Y4703" s="10"/>
      <c r="Z4703" s="10"/>
      <c r="AA4703" s="11" t="str">
        <f t="shared" si="147"/>
        <v/>
      </c>
    </row>
    <row r="4704" spans="16:27" ht="15" customHeight="1">
      <c r="P4704" t="str">
        <f t="shared" si="146"/>
        <v/>
      </c>
      <c r="Q4704" t="str">
        <f>IF(P4704="","",IFERROR(IF(AND(H4704="W7",OR(F4704="causal",F4704="predictive")),IF(AND(OR(K4704=1,K4704="1"),OR(L4704=1,L4704="1"),OR(M4704=1,M4704="1")),"adequate","partial"),IF(AND(H4704="W4",F4704="predictive",OR(J4704="P2",J4704="P3",J4704="P4")),IF(OR(U4704=1,U4704="1"),"adequate","partial"),INDEX(Fit_Matrix!$B:$B,MATCH(P4704,Fit_Matrix!$A:$A,0)))),"CHECK KEY"))</f>
        <v/>
      </c>
      <c r="U4704" s="10"/>
      <c r="V4704" s="10"/>
      <c r="W4704" s="10"/>
      <c r="X4704" s="10"/>
      <c r="Y4704" s="10"/>
      <c r="Z4704" s="10"/>
      <c r="AA4704" s="11" t="str">
        <f t="shared" si="147"/>
        <v/>
      </c>
    </row>
    <row r="4705" spans="16:27" ht="15" customHeight="1">
      <c r="P4705" t="str">
        <f t="shared" si="146"/>
        <v/>
      </c>
      <c r="Q4705" t="str">
        <f>IF(P4705="","",IFERROR(IF(AND(H4705="W7",OR(F4705="causal",F4705="predictive")),IF(AND(OR(K4705=1,K4705="1"),OR(L4705=1,L4705="1"),OR(M4705=1,M4705="1")),"adequate","partial"),IF(AND(H4705="W4",F4705="predictive",OR(J4705="P2",J4705="P3",J4705="P4")),IF(OR(U4705=1,U4705="1"),"adequate","partial"),INDEX(Fit_Matrix!$B:$B,MATCH(P4705,Fit_Matrix!$A:$A,0)))),"CHECK KEY"))</f>
        <v/>
      </c>
      <c r="U4705" s="10"/>
      <c r="V4705" s="10"/>
      <c r="W4705" s="10"/>
      <c r="X4705" s="10"/>
      <c r="Y4705" s="10"/>
      <c r="Z4705" s="10"/>
      <c r="AA4705" s="11" t="str">
        <f t="shared" si="147"/>
        <v/>
      </c>
    </row>
    <row r="4706" spans="16:27" ht="15" customHeight="1">
      <c r="P4706" t="str">
        <f t="shared" si="146"/>
        <v/>
      </c>
      <c r="Q4706" t="str">
        <f>IF(P4706="","",IFERROR(IF(AND(H4706="W7",OR(F4706="causal",F4706="predictive")),IF(AND(OR(K4706=1,K4706="1"),OR(L4706=1,L4706="1"),OR(M4706=1,M4706="1")),"adequate","partial"),IF(AND(H4706="W4",F4706="predictive",OR(J4706="P2",J4706="P3",J4706="P4")),IF(OR(U4706=1,U4706="1"),"adequate","partial"),INDEX(Fit_Matrix!$B:$B,MATCH(P4706,Fit_Matrix!$A:$A,0)))),"CHECK KEY"))</f>
        <v/>
      </c>
      <c r="U4706" s="10"/>
      <c r="V4706" s="10"/>
      <c r="W4706" s="10"/>
      <c r="X4706" s="10"/>
      <c r="Y4706" s="10"/>
      <c r="Z4706" s="10"/>
      <c r="AA4706" s="11" t="str">
        <f t="shared" si="147"/>
        <v/>
      </c>
    </row>
    <row r="4707" spans="16:27" ht="15" customHeight="1">
      <c r="P4707" t="str">
        <f t="shared" si="146"/>
        <v/>
      </c>
      <c r="Q4707" t="str">
        <f>IF(P4707="","",IFERROR(IF(AND(H4707="W7",OR(F4707="causal",F4707="predictive")),IF(AND(OR(K4707=1,K4707="1"),OR(L4707=1,L4707="1"),OR(M4707=1,M4707="1")),"adequate","partial"),IF(AND(H4707="W4",F4707="predictive",OR(J4707="P2",J4707="P3",J4707="P4")),IF(OR(U4707=1,U4707="1"),"adequate","partial"),INDEX(Fit_Matrix!$B:$B,MATCH(P4707,Fit_Matrix!$A:$A,0)))),"CHECK KEY"))</f>
        <v/>
      </c>
      <c r="U4707" s="10"/>
      <c r="V4707" s="10"/>
      <c r="W4707" s="10"/>
      <c r="X4707" s="10"/>
      <c r="Y4707" s="10"/>
      <c r="Z4707" s="10"/>
      <c r="AA4707" s="11" t="str">
        <f t="shared" si="147"/>
        <v/>
      </c>
    </row>
    <row r="4708" spans="16:27" ht="15" customHeight="1">
      <c r="P4708" t="str">
        <f t="shared" si="146"/>
        <v/>
      </c>
      <c r="Q4708" t="str">
        <f>IF(P4708="","",IFERROR(IF(AND(H4708="W7",OR(F4708="causal",F4708="predictive")),IF(AND(OR(K4708=1,K4708="1"),OR(L4708=1,L4708="1"),OR(M4708=1,M4708="1")),"adequate","partial"),IF(AND(H4708="W4",F4708="predictive",OR(J4708="P2",J4708="P3",J4708="P4")),IF(OR(U4708=1,U4708="1"),"adequate","partial"),INDEX(Fit_Matrix!$B:$B,MATCH(P4708,Fit_Matrix!$A:$A,0)))),"CHECK KEY"))</f>
        <v/>
      </c>
      <c r="U4708" s="10"/>
      <c r="V4708" s="10"/>
      <c r="W4708" s="10"/>
      <c r="X4708" s="10"/>
      <c r="Y4708" s="10"/>
      <c r="Z4708" s="10"/>
      <c r="AA4708" s="11" t="str">
        <f t="shared" si="147"/>
        <v/>
      </c>
    </row>
    <row r="4709" spans="16:27" ht="15" customHeight="1">
      <c r="P4709" t="str">
        <f t="shared" si="146"/>
        <v/>
      </c>
      <c r="Q4709" t="str">
        <f>IF(P4709="","",IFERROR(IF(AND(H4709="W7",OR(F4709="causal",F4709="predictive")),IF(AND(OR(K4709=1,K4709="1"),OR(L4709=1,L4709="1"),OR(M4709=1,M4709="1")),"adequate","partial"),IF(AND(H4709="W4",F4709="predictive",OR(J4709="P2",J4709="P3",J4709="P4")),IF(OR(U4709=1,U4709="1"),"adequate","partial"),INDEX(Fit_Matrix!$B:$B,MATCH(P4709,Fit_Matrix!$A:$A,0)))),"CHECK KEY"))</f>
        <v/>
      </c>
      <c r="U4709" s="10"/>
      <c r="V4709" s="10"/>
      <c r="W4709" s="10"/>
      <c r="X4709" s="10"/>
      <c r="Y4709" s="10"/>
      <c r="Z4709" s="10"/>
      <c r="AA4709" s="11" t="str">
        <f t="shared" si="147"/>
        <v/>
      </c>
    </row>
    <row r="4710" spans="16:27" ht="15" customHeight="1">
      <c r="P4710" t="str">
        <f t="shared" si="146"/>
        <v/>
      </c>
      <c r="Q4710" t="str">
        <f>IF(P4710="","",IFERROR(IF(AND(H4710="W7",OR(F4710="causal",F4710="predictive")),IF(AND(OR(K4710=1,K4710="1"),OR(L4710=1,L4710="1"),OR(M4710=1,M4710="1")),"adequate","partial"),IF(AND(H4710="W4",F4710="predictive",OR(J4710="P2",J4710="P3",J4710="P4")),IF(OR(U4710=1,U4710="1"),"adequate","partial"),INDEX(Fit_Matrix!$B:$B,MATCH(P4710,Fit_Matrix!$A:$A,0)))),"CHECK KEY"))</f>
        <v/>
      </c>
      <c r="U4710" s="10"/>
      <c r="V4710" s="10"/>
      <c r="W4710" s="10"/>
      <c r="X4710" s="10"/>
      <c r="Y4710" s="10"/>
      <c r="Z4710" s="10"/>
      <c r="AA4710" s="11" t="str">
        <f t="shared" si="147"/>
        <v/>
      </c>
    </row>
    <row r="4711" spans="16:27" ht="15" customHeight="1">
      <c r="P4711" t="str">
        <f t="shared" si="146"/>
        <v/>
      </c>
      <c r="Q4711" t="str">
        <f>IF(P4711="","",IFERROR(IF(AND(H4711="W7",OR(F4711="causal",F4711="predictive")),IF(AND(OR(K4711=1,K4711="1"),OR(L4711=1,L4711="1"),OR(M4711=1,M4711="1")),"adequate","partial"),IF(AND(H4711="W4",F4711="predictive",OR(J4711="P2",J4711="P3",J4711="P4")),IF(OR(U4711=1,U4711="1"),"adequate","partial"),INDEX(Fit_Matrix!$B:$B,MATCH(P4711,Fit_Matrix!$A:$A,0)))),"CHECK KEY"))</f>
        <v/>
      </c>
      <c r="U4711" s="10"/>
      <c r="V4711" s="10"/>
      <c r="W4711" s="10"/>
      <c r="X4711" s="10"/>
      <c r="Y4711" s="10"/>
      <c r="Z4711" s="10"/>
      <c r="AA4711" s="11" t="str">
        <f t="shared" si="147"/>
        <v/>
      </c>
    </row>
    <row r="4712" spans="16:27" ht="15" customHeight="1">
      <c r="P4712" t="str">
        <f t="shared" si="146"/>
        <v/>
      </c>
      <c r="Q4712" t="str">
        <f>IF(P4712="","",IFERROR(IF(AND(H4712="W7",OR(F4712="causal",F4712="predictive")),IF(AND(OR(K4712=1,K4712="1"),OR(L4712=1,L4712="1"),OR(M4712=1,M4712="1")),"adequate","partial"),IF(AND(H4712="W4",F4712="predictive",OR(J4712="P2",J4712="P3",J4712="P4")),IF(OR(U4712=1,U4712="1"),"adequate","partial"),INDEX(Fit_Matrix!$B:$B,MATCH(P4712,Fit_Matrix!$A:$A,0)))),"CHECK KEY"))</f>
        <v/>
      </c>
      <c r="U4712" s="10"/>
      <c r="V4712" s="10"/>
      <c r="W4712" s="10"/>
      <c r="X4712" s="10"/>
      <c r="Y4712" s="10"/>
      <c r="Z4712" s="10"/>
      <c r="AA4712" s="11" t="str">
        <f t="shared" si="147"/>
        <v/>
      </c>
    </row>
    <row r="4713" spans="16:27" ht="15" customHeight="1">
      <c r="P4713" t="str">
        <f t="shared" si="146"/>
        <v/>
      </c>
      <c r="Q4713" t="str">
        <f>IF(P4713="","",IFERROR(IF(AND(H4713="W7",OR(F4713="causal",F4713="predictive")),IF(AND(OR(K4713=1,K4713="1"),OR(L4713=1,L4713="1"),OR(M4713=1,M4713="1")),"adequate","partial"),IF(AND(H4713="W4",F4713="predictive",OR(J4713="P2",J4713="P3",J4713="P4")),IF(OR(U4713=1,U4713="1"),"adequate","partial"),INDEX(Fit_Matrix!$B:$B,MATCH(P4713,Fit_Matrix!$A:$A,0)))),"CHECK KEY"))</f>
        <v/>
      </c>
      <c r="U4713" s="10"/>
      <c r="V4713" s="10"/>
      <c r="W4713" s="10"/>
      <c r="X4713" s="10"/>
      <c r="Y4713" s="10"/>
      <c r="Z4713" s="10"/>
      <c r="AA4713" s="11" t="str">
        <f t="shared" si="147"/>
        <v/>
      </c>
    </row>
    <row r="4714" spans="16:27" ht="15" customHeight="1">
      <c r="P4714" t="str">
        <f t="shared" si="146"/>
        <v/>
      </c>
      <c r="Q4714" t="str">
        <f>IF(P4714="","",IFERROR(IF(AND(H4714="W7",OR(F4714="causal",F4714="predictive")),IF(AND(OR(K4714=1,K4714="1"),OR(L4714=1,L4714="1"),OR(M4714=1,M4714="1")),"adequate","partial"),IF(AND(H4714="W4",F4714="predictive",OR(J4714="P2",J4714="P3",J4714="P4")),IF(OR(U4714=1,U4714="1"),"adequate","partial"),INDEX(Fit_Matrix!$B:$B,MATCH(P4714,Fit_Matrix!$A:$A,0)))),"CHECK KEY"))</f>
        <v/>
      </c>
      <c r="U4714" s="10"/>
      <c r="V4714" s="10"/>
      <c r="W4714" s="10"/>
      <c r="X4714" s="10"/>
      <c r="Y4714" s="10"/>
      <c r="Z4714" s="10"/>
      <c r="AA4714" s="11" t="str">
        <f t="shared" si="147"/>
        <v/>
      </c>
    </row>
    <row r="4715" spans="16:27" ht="15" customHeight="1">
      <c r="P4715" t="str">
        <f t="shared" si="146"/>
        <v/>
      </c>
      <c r="Q4715" t="str">
        <f>IF(P4715="","",IFERROR(IF(AND(H4715="W7",OR(F4715="causal",F4715="predictive")),IF(AND(OR(K4715=1,K4715="1"),OR(L4715=1,L4715="1"),OR(M4715=1,M4715="1")),"adequate","partial"),IF(AND(H4715="W4",F4715="predictive",OR(J4715="P2",J4715="P3",J4715="P4")),IF(OR(U4715=1,U4715="1"),"adequate","partial"),INDEX(Fit_Matrix!$B:$B,MATCH(P4715,Fit_Matrix!$A:$A,0)))),"CHECK KEY"))</f>
        <v/>
      </c>
      <c r="U4715" s="10"/>
      <c r="V4715" s="10"/>
      <c r="W4715" s="10"/>
      <c r="X4715" s="10"/>
      <c r="Y4715" s="10"/>
      <c r="Z4715" s="10"/>
      <c r="AA4715" s="11" t="str">
        <f t="shared" si="147"/>
        <v/>
      </c>
    </row>
    <row r="4716" spans="16:27" ht="15" customHeight="1">
      <c r="P4716" t="str">
        <f t="shared" si="146"/>
        <v/>
      </c>
      <c r="Q4716" t="str">
        <f>IF(P4716="","",IFERROR(IF(AND(H4716="W7",OR(F4716="causal",F4716="predictive")),IF(AND(OR(K4716=1,K4716="1"),OR(L4716=1,L4716="1"),OR(M4716=1,M4716="1")),"adequate","partial"),IF(AND(H4716="W4",F4716="predictive",OR(J4716="P2",J4716="P3",J4716="P4")),IF(OR(U4716=1,U4716="1"),"adequate","partial"),INDEX(Fit_Matrix!$B:$B,MATCH(P4716,Fit_Matrix!$A:$A,0)))),"CHECK KEY"))</f>
        <v/>
      </c>
      <c r="U4716" s="10"/>
      <c r="V4716" s="10"/>
      <c r="W4716" s="10"/>
      <c r="X4716" s="10"/>
      <c r="Y4716" s="10"/>
      <c r="Z4716" s="10"/>
      <c r="AA4716" s="11" t="str">
        <f t="shared" si="147"/>
        <v/>
      </c>
    </row>
    <row r="4717" spans="16:27" ht="15" customHeight="1">
      <c r="P4717" t="str">
        <f t="shared" si="146"/>
        <v/>
      </c>
      <c r="Q4717" t="str">
        <f>IF(P4717="","",IFERROR(IF(AND(H4717="W7",OR(F4717="causal",F4717="predictive")),IF(AND(OR(K4717=1,K4717="1"),OR(L4717=1,L4717="1"),OR(M4717=1,M4717="1")),"adequate","partial"),IF(AND(H4717="W4",F4717="predictive",OR(J4717="P2",J4717="P3",J4717="P4")),IF(OR(U4717=1,U4717="1"),"adequate","partial"),INDEX(Fit_Matrix!$B:$B,MATCH(P4717,Fit_Matrix!$A:$A,0)))),"CHECK KEY"))</f>
        <v/>
      </c>
      <c r="U4717" s="10"/>
      <c r="V4717" s="10"/>
      <c r="W4717" s="10"/>
      <c r="X4717" s="10"/>
      <c r="Y4717" s="10"/>
      <c r="Z4717" s="10"/>
      <c r="AA4717" s="11" t="str">
        <f t="shared" si="147"/>
        <v/>
      </c>
    </row>
    <row r="4718" spans="16:27" ht="15" customHeight="1">
      <c r="P4718" t="str">
        <f t="shared" si="146"/>
        <v/>
      </c>
      <c r="Q4718" t="str">
        <f>IF(P4718="","",IFERROR(IF(AND(H4718="W7",OR(F4718="causal",F4718="predictive")),IF(AND(OR(K4718=1,K4718="1"),OR(L4718=1,L4718="1"),OR(M4718=1,M4718="1")),"adequate","partial"),IF(AND(H4718="W4",F4718="predictive",OR(J4718="P2",J4718="P3",J4718="P4")),IF(OR(U4718=1,U4718="1"),"adequate","partial"),INDEX(Fit_Matrix!$B:$B,MATCH(P4718,Fit_Matrix!$A:$A,0)))),"CHECK KEY"))</f>
        <v/>
      </c>
      <c r="U4718" s="10"/>
      <c r="V4718" s="10"/>
      <c r="W4718" s="10"/>
      <c r="X4718" s="10"/>
      <c r="Y4718" s="10"/>
      <c r="Z4718" s="10"/>
      <c r="AA4718" s="11" t="str">
        <f t="shared" si="147"/>
        <v/>
      </c>
    </row>
    <row r="4719" spans="16:27" ht="15" customHeight="1">
      <c r="P4719" t="str">
        <f t="shared" si="146"/>
        <v/>
      </c>
      <c r="Q4719" t="str">
        <f>IF(P4719="","",IFERROR(IF(AND(H4719="W7",OR(F4719="causal",F4719="predictive")),IF(AND(OR(K4719=1,K4719="1"),OR(L4719=1,L4719="1"),OR(M4719=1,M4719="1")),"adequate","partial"),IF(AND(H4719="W4",F4719="predictive",OR(J4719="P2",J4719="P3",J4719="P4")),IF(OR(U4719=1,U4719="1"),"adequate","partial"),INDEX(Fit_Matrix!$B:$B,MATCH(P4719,Fit_Matrix!$A:$A,0)))),"CHECK KEY"))</f>
        <v/>
      </c>
      <c r="U4719" s="10"/>
      <c r="V4719" s="10"/>
      <c r="W4719" s="10"/>
      <c r="X4719" s="10"/>
      <c r="Y4719" s="10"/>
      <c r="Z4719" s="10"/>
      <c r="AA4719" s="11" t="str">
        <f t="shared" si="147"/>
        <v/>
      </c>
    </row>
    <row r="4720" spans="16:27" ht="15" customHeight="1">
      <c r="P4720" t="str">
        <f t="shared" si="146"/>
        <v/>
      </c>
      <c r="Q4720" t="str">
        <f>IF(P4720="","",IFERROR(IF(AND(H4720="W7",OR(F4720="causal",F4720="predictive")),IF(AND(OR(K4720=1,K4720="1"),OR(L4720=1,L4720="1"),OR(M4720=1,M4720="1")),"adequate","partial"),IF(AND(H4720="W4",F4720="predictive",OR(J4720="P2",J4720="P3",J4720="P4")),IF(OR(U4720=1,U4720="1"),"adequate","partial"),INDEX(Fit_Matrix!$B:$B,MATCH(P4720,Fit_Matrix!$A:$A,0)))),"CHECK KEY"))</f>
        <v/>
      </c>
      <c r="U4720" s="10"/>
      <c r="V4720" s="10"/>
      <c r="W4720" s="10"/>
      <c r="X4720" s="10"/>
      <c r="Y4720" s="10"/>
      <c r="Z4720" s="10"/>
      <c r="AA4720" s="11" t="str">
        <f t="shared" si="147"/>
        <v/>
      </c>
    </row>
    <row r="4721" spans="16:27" ht="15" customHeight="1">
      <c r="P4721" t="str">
        <f t="shared" si="146"/>
        <v/>
      </c>
      <c r="Q4721" t="str">
        <f>IF(P4721="","",IFERROR(IF(AND(H4721="W7",OR(F4721="causal",F4721="predictive")),IF(AND(OR(K4721=1,K4721="1"),OR(L4721=1,L4721="1"),OR(M4721=1,M4721="1")),"adequate","partial"),IF(AND(H4721="W4",F4721="predictive",OR(J4721="P2",J4721="P3",J4721="P4")),IF(OR(U4721=1,U4721="1"),"adequate","partial"),INDEX(Fit_Matrix!$B:$B,MATCH(P4721,Fit_Matrix!$A:$A,0)))),"CHECK KEY"))</f>
        <v/>
      </c>
      <c r="U4721" s="10"/>
      <c r="V4721" s="10"/>
      <c r="W4721" s="10"/>
      <c r="X4721" s="10"/>
      <c r="Y4721" s="10"/>
      <c r="Z4721" s="10"/>
      <c r="AA4721" s="11" t="str">
        <f t="shared" si="147"/>
        <v/>
      </c>
    </row>
    <row r="4722" spans="16:27" ht="15" customHeight="1">
      <c r="P4722" t="str">
        <f t="shared" si="146"/>
        <v/>
      </c>
      <c r="Q4722" t="str">
        <f>IF(P4722="","",IFERROR(IF(AND(H4722="W7",OR(F4722="causal",F4722="predictive")),IF(AND(OR(K4722=1,K4722="1"),OR(L4722=1,L4722="1"),OR(M4722=1,M4722="1")),"adequate","partial"),IF(AND(H4722="W4",F4722="predictive",OR(J4722="P2",J4722="P3",J4722="P4")),IF(OR(U4722=1,U4722="1"),"adequate","partial"),INDEX(Fit_Matrix!$B:$B,MATCH(P4722,Fit_Matrix!$A:$A,0)))),"CHECK KEY"))</f>
        <v/>
      </c>
      <c r="U4722" s="10"/>
      <c r="V4722" s="10"/>
      <c r="W4722" s="10"/>
      <c r="X4722" s="10"/>
      <c r="Y4722" s="10"/>
      <c r="Z4722" s="10"/>
      <c r="AA4722" s="11" t="str">
        <f t="shared" si="147"/>
        <v/>
      </c>
    </row>
    <row r="4723" spans="16:27" ht="15" customHeight="1">
      <c r="P4723" t="str">
        <f t="shared" si="146"/>
        <v/>
      </c>
      <c r="Q4723" t="str">
        <f>IF(P4723="","",IFERROR(IF(AND(H4723="W7",OR(F4723="causal",F4723="predictive")),IF(AND(OR(K4723=1,K4723="1"),OR(L4723=1,L4723="1"),OR(M4723=1,M4723="1")),"adequate","partial"),IF(AND(H4723="W4",F4723="predictive",OR(J4723="P2",J4723="P3",J4723="P4")),IF(OR(U4723=1,U4723="1"),"adequate","partial"),INDEX(Fit_Matrix!$B:$B,MATCH(P4723,Fit_Matrix!$A:$A,0)))),"CHECK KEY"))</f>
        <v/>
      </c>
      <c r="U4723" s="10"/>
      <c r="V4723" s="10"/>
      <c r="W4723" s="10"/>
      <c r="X4723" s="10"/>
      <c r="Y4723" s="10"/>
      <c r="Z4723" s="10"/>
      <c r="AA4723" s="11" t="str">
        <f t="shared" si="147"/>
        <v/>
      </c>
    </row>
    <row r="4724" spans="16:27" ht="15" customHeight="1">
      <c r="P4724" t="str">
        <f t="shared" si="146"/>
        <v/>
      </c>
      <c r="Q4724" t="str">
        <f>IF(P4724="","",IFERROR(IF(AND(H4724="W7",OR(F4724="causal",F4724="predictive")),IF(AND(OR(K4724=1,K4724="1"),OR(L4724=1,L4724="1"),OR(M4724=1,M4724="1")),"adequate","partial"),IF(AND(H4724="W4",F4724="predictive",OR(J4724="P2",J4724="P3",J4724="P4")),IF(OR(U4724=1,U4724="1"),"adequate","partial"),INDEX(Fit_Matrix!$B:$B,MATCH(P4724,Fit_Matrix!$A:$A,0)))),"CHECK KEY"))</f>
        <v/>
      </c>
      <c r="U4724" s="10"/>
      <c r="V4724" s="10"/>
      <c r="W4724" s="10"/>
      <c r="X4724" s="10"/>
      <c r="Y4724" s="10"/>
      <c r="Z4724" s="10"/>
      <c r="AA4724" s="11" t="str">
        <f t="shared" si="147"/>
        <v/>
      </c>
    </row>
    <row r="4725" spans="16:27" ht="15" customHeight="1">
      <c r="P4725" t="str">
        <f t="shared" si="146"/>
        <v/>
      </c>
      <c r="Q4725" t="str">
        <f>IF(P4725="","",IFERROR(IF(AND(H4725="W7",OR(F4725="causal",F4725="predictive")),IF(AND(OR(K4725=1,K4725="1"),OR(L4725=1,L4725="1"),OR(M4725=1,M4725="1")),"adequate","partial"),IF(AND(H4725="W4",F4725="predictive",OR(J4725="P2",J4725="P3",J4725="P4")),IF(OR(U4725=1,U4725="1"),"adequate","partial"),INDEX(Fit_Matrix!$B:$B,MATCH(P4725,Fit_Matrix!$A:$A,0)))),"CHECK KEY"))</f>
        <v/>
      </c>
      <c r="U4725" s="10"/>
      <c r="V4725" s="10"/>
      <c r="W4725" s="10"/>
      <c r="X4725" s="10"/>
      <c r="Y4725" s="10"/>
      <c r="Z4725" s="10"/>
      <c r="AA4725" s="11" t="str">
        <f t="shared" si="147"/>
        <v/>
      </c>
    </row>
    <row r="4726" spans="16:27" ht="15" customHeight="1">
      <c r="P4726" t="str">
        <f t="shared" si="146"/>
        <v/>
      </c>
      <c r="Q4726" t="str">
        <f>IF(P4726="","",IFERROR(IF(AND(H4726="W7",OR(F4726="causal",F4726="predictive")),IF(AND(OR(K4726=1,K4726="1"),OR(L4726=1,L4726="1"),OR(M4726=1,M4726="1")),"adequate","partial"),IF(AND(H4726="W4",F4726="predictive",OR(J4726="P2",J4726="P3",J4726="P4")),IF(OR(U4726=1,U4726="1"),"adequate","partial"),INDEX(Fit_Matrix!$B:$B,MATCH(P4726,Fit_Matrix!$A:$A,0)))),"CHECK KEY"))</f>
        <v/>
      </c>
      <c r="U4726" s="10"/>
      <c r="V4726" s="10"/>
      <c r="W4726" s="10"/>
      <c r="X4726" s="10"/>
      <c r="Y4726" s="10"/>
      <c r="Z4726" s="10"/>
      <c r="AA4726" s="11" t="str">
        <f t="shared" si="147"/>
        <v/>
      </c>
    </row>
    <row r="4727" spans="16:27" ht="15" customHeight="1">
      <c r="P4727" t="str">
        <f t="shared" si="146"/>
        <v/>
      </c>
      <c r="Q4727" t="str">
        <f>IF(P4727="","",IFERROR(IF(AND(H4727="W7",OR(F4727="causal",F4727="predictive")),IF(AND(OR(K4727=1,K4727="1"),OR(L4727=1,L4727="1"),OR(M4727=1,M4727="1")),"adequate","partial"),IF(AND(H4727="W4",F4727="predictive",OR(J4727="P2",J4727="P3",J4727="P4")),IF(OR(U4727=1,U4727="1"),"adequate","partial"),INDEX(Fit_Matrix!$B:$B,MATCH(P4727,Fit_Matrix!$A:$A,0)))),"CHECK KEY"))</f>
        <v/>
      </c>
      <c r="U4727" s="10"/>
      <c r="V4727" s="10"/>
      <c r="W4727" s="10"/>
      <c r="X4727" s="10"/>
      <c r="Y4727" s="10"/>
      <c r="Z4727" s="10"/>
      <c r="AA4727" s="11" t="str">
        <f t="shared" si="147"/>
        <v/>
      </c>
    </row>
    <row r="4728" spans="16:27" ht="15" customHeight="1">
      <c r="P4728" t="str">
        <f t="shared" si="146"/>
        <v/>
      </c>
      <c r="Q4728" t="str">
        <f>IF(P4728="","",IFERROR(IF(AND(H4728="W7",OR(F4728="causal",F4728="predictive")),IF(AND(OR(K4728=1,K4728="1"),OR(L4728=1,L4728="1"),OR(M4728=1,M4728="1")),"adequate","partial"),IF(AND(H4728="W4",F4728="predictive",OR(J4728="P2",J4728="P3",J4728="P4")),IF(OR(U4728=1,U4728="1"),"adequate","partial"),INDEX(Fit_Matrix!$B:$B,MATCH(P4728,Fit_Matrix!$A:$A,0)))),"CHECK KEY"))</f>
        <v/>
      </c>
      <c r="U4728" s="10"/>
      <c r="V4728" s="10"/>
      <c r="W4728" s="10"/>
      <c r="X4728" s="10"/>
      <c r="Y4728" s="10"/>
      <c r="Z4728" s="10"/>
      <c r="AA4728" s="11" t="str">
        <f t="shared" si="147"/>
        <v/>
      </c>
    </row>
    <row r="4729" spans="16:27" ht="15" customHeight="1">
      <c r="P4729" t="str">
        <f t="shared" si="146"/>
        <v/>
      </c>
      <c r="Q4729" t="str">
        <f>IF(P4729="","",IFERROR(IF(AND(H4729="W7",OR(F4729="causal",F4729="predictive")),IF(AND(OR(K4729=1,K4729="1"),OR(L4729=1,L4729="1"),OR(M4729=1,M4729="1")),"adequate","partial"),IF(AND(H4729="W4",F4729="predictive",OR(J4729="P2",J4729="P3",J4729="P4")),IF(OR(U4729=1,U4729="1"),"adequate","partial"),INDEX(Fit_Matrix!$B:$B,MATCH(P4729,Fit_Matrix!$A:$A,0)))),"CHECK KEY"))</f>
        <v/>
      </c>
      <c r="U4729" s="10"/>
      <c r="V4729" s="10"/>
      <c r="W4729" s="10"/>
      <c r="X4729" s="10"/>
      <c r="Y4729" s="10"/>
      <c r="Z4729" s="10"/>
      <c r="AA4729" s="11" t="str">
        <f t="shared" si="147"/>
        <v/>
      </c>
    </row>
    <row r="4730" spans="16:27" ht="15" customHeight="1">
      <c r="P4730" t="str">
        <f t="shared" si="146"/>
        <v/>
      </c>
      <c r="Q4730" t="str">
        <f>IF(P4730="","",IFERROR(IF(AND(H4730="W7",OR(F4730="causal",F4730="predictive")),IF(AND(OR(K4730=1,K4730="1"),OR(L4730=1,L4730="1"),OR(M4730=1,M4730="1")),"adequate","partial"),IF(AND(H4730="W4",F4730="predictive",OR(J4730="P2",J4730="P3",J4730="P4")),IF(OR(U4730=1,U4730="1"),"adequate","partial"),INDEX(Fit_Matrix!$B:$B,MATCH(P4730,Fit_Matrix!$A:$A,0)))),"CHECK KEY"))</f>
        <v/>
      </c>
      <c r="U4730" s="10"/>
      <c r="V4730" s="10"/>
      <c r="W4730" s="10"/>
      <c r="X4730" s="10"/>
      <c r="Y4730" s="10"/>
      <c r="Z4730" s="10"/>
      <c r="AA4730" s="11" t="str">
        <f t="shared" si="147"/>
        <v/>
      </c>
    </row>
    <row r="4731" spans="16:27" ht="15" customHeight="1">
      <c r="P4731" t="str">
        <f t="shared" si="146"/>
        <v/>
      </c>
      <c r="Q4731" t="str">
        <f>IF(P4731="","",IFERROR(IF(AND(H4731="W7",OR(F4731="causal",F4731="predictive")),IF(AND(OR(K4731=1,K4731="1"),OR(L4731=1,L4731="1"),OR(M4731=1,M4731="1")),"adequate","partial"),IF(AND(H4731="W4",F4731="predictive",OR(J4731="P2",J4731="P3",J4731="P4")),IF(OR(U4731=1,U4731="1"),"adequate","partial"),INDEX(Fit_Matrix!$B:$B,MATCH(P4731,Fit_Matrix!$A:$A,0)))),"CHECK KEY"))</f>
        <v/>
      </c>
      <c r="U4731" s="10"/>
      <c r="V4731" s="10"/>
      <c r="W4731" s="10"/>
      <c r="X4731" s="10"/>
      <c r="Y4731" s="10"/>
      <c r="Z4731" s="10"/>
      <c r="AA4731" s="11" t="str">
        <f t="shared" si="147"/>
        <v/>
      </c>
    </row>
    <row r="4732" spans="16:27" ht="15" customHeight="1">
      <c r="P4732" t="str">
        <f t="shared" si="146"/>
        <v/>
      </c>
      <c r="Q4732" t="str">
        <f>IF(P4732="","",IFERROR(IF(AND(H4732="W7",OR(F4732="causal",F4732="predictive")),IF(AND(OR(K4732=1,K4732="1"),OR(L4732=1,L4732="1"),OR(M4732=1,M4732="1")),"adequate","partial"),IF(AND(H4732="W4",F4732="predictive",OR(J4732="P2",J4732="P3",J4732="P4")),IF(OR(U4732=1,U4732="1"),"adequate","partial"),INDEX(Fit_Matrix!$B:$B,MATCH(P4732,Fit_Matrix!$A:$A,0)))),"CHECK KEY"))</f>
        <v/>
      </c>
      <c r="U4732" s="10"/>
      <c r="V4732" s="10"/>
      <c r="W4732" s="10"/>
      <c r="X4732" s="10"/>
      <c r="Y4732" s="10"/>
      <c r="Z4732" s="10"/>
      <c r="AA4732" s="11" t="str">
        <f t="shared" si="147"/>
        <v/>
      </c>
    </row>
    <row r="4733" spans="16:27" ht="15" customHeight="1">
      <c r="P4733" t="str">
        <f t="shared" si="146"/>
        <v/>
      </c>
      <c r="Q4733" t="str">
        <f>IF(P4733="","",IFERROR(IF(AND(H4733="W7",OR(F4733="causal",F4733="predictive")),IF(AND(OR(K4733=1,K4733="1"),OR(L4733=1,L4733="1"),OR(M4733=1,M4733="1")),"adequate","partial"),IF(AND(H4733="W4",F4733="predictive",OR(J4733="P2",J4733="P3",J4733="P4")),IF(OR(U4733=1,U4733="1"),"adequate","partial"),INDEX(Fit_Matrix!$B:$B,MATCH(P4733,Fit_Matrix!$A:$A,0)))),"CHECK KEY"))</f>
        <v/>
      </c>
      <c r="U4733" s="10"/>
      <c r="V4733" s="10"/>
      <c r="W4733" s="10"/>
      <c r="X4733" s="10"/>
      <c r="Y4733" s="10"/>
      <c r="Z4733" s="10"/>
      <c r="AA4733" s="11" t="str">
        <f t="shared" si="147"/>
        <v/>
      </c>
    </row>
    <row r="4734" spans="16:27" ht="15" customHeight="1">
      <c r="P4734" t="str">
        <f t="shared" si="146"/>
        <v/>
      </c>
      <c r="Q4734" t="str">
        <f>IF(P4734="","",IFERROR(IF(AND(H4734="W7",OR(F4734="causal",F4734="predictive")),IF(AND(OR(K4734=1,K4734="1"),OR(L4734=1,L4734="1"),OR(M4734=1,M4734="1")),"adequate","partial"),IF(AND(H4734="W4",F4734="predictive",OR(J4734="P2",J4734="P3",J4734="P4")),IF(OR(U4734=1,U4734="1"),"adequate","partial"),INDEX(Fit_Matrix!$B:$B,MATCH(P4734,Fit_Matrix!$A:$A,0)))),"CHECK KEY"))</f>
        <v/>
      </c>
      <c r="U4734" s="10"/>
      <c r="V4734" s="10"/>
      <c r="W4734" s="10"/>
      <c r="X4734" s="10"/>
      <c r="Y4734" s="10"/>
      <c r="Z4734" s="10"/>
      <c r="AA4734" s="11" t="str">
        <f t="shared" si="147"/>
        <v/>
      </c>
    </row>
    <row r="4735" spans="16:27" ht="15" customHeight="1">
      <c r="P4735" t="str">
        <f t="shared" si="146"/>
        <v/>
      </c>
      <c r="Q4735" t="str">
        <f>IF(P4735="","",IFERROR(IF(AND(H4735="W7",OR(F4735="causal",F4735="predictive")),IF(AND(OR(K4735=1,K4735="1"),OR(L4735=1,L4735="1"),OR(M4735=1,M4735="1")),"adequate","partial"),IF(AND(H4735="W4",F4735="predictive",OR(J4735="P2",J4735="P3",J4735="P4")),IF(OR(U4735=1,U4735="1"),"adequate","partial"),INDEX(Fit_Matrix!$B:$B,MATCH(P4735,Fit_Matrix!$A:$A,0)))),"CHECK KEY"))</f>
        <v/>
      </c>
      <c r="U4735" s="10"/>
      <c r="V4735" s="10"/>
      <c r="W4735" s="10"/>
      <c r="X4735" s="10"/>
      <c r="Y4735" s="10"/>
      <c r="Z4735" s="10"/>
      <c r="AA4735" s="11" t="str">
        <f t="shared" si="147"/>
        <v/>
      </c>
    </row>
    <row r="4736" spans="16:27" ht="15" customHeight="1">
      <c r="P4736" t="str">
        <f t="shared" si="146"/>
        <v/>
      </c>
      <c r="Q4736" t="str">
        <f>IF(P4736="","",IFERROR(IF(AND(H4736="W7",OR(F4736="causal",F4736="predictive")),IF(AND(OR(K4736=1,K4736="1"),OR(L4736=1,L4736="1"),OR(M4736=1,M4736="1")),"adequate","partial"),IF(AND(H4736="W4",F4736="predictive",OR(J4736="P2",J4736="P3",J4736="P4")),IF(OR(U4736=1,U4736="1"),"adequate","partial"),INDEX(Fit_Matrix!$B:$B,MATCH(P4736,Fit_Matrix!$A:$A,0)))),"CHECK KEY"))</f>
        <v/>
      </c>
      <c r="U4736" s="10"/>
      <c r="V4736" s="10"/>
      <c r="W4736" s="10"/>
      <c r="X4736" s="10"/>
      <c r="Y4736" s="10"/>
      <c r="Z4736" s="10"/>
      <c r="AA4736" s="11" t="str">
        <f t="shared" si="147"/>
        <v/>
      </c>
    </row>
    <row r="4737" spans="16:27" ht="15" customHeight="1">
      <c r="P4737" t="str">
        <f t="shared" si="146"/>
        <v/>
      </c>
      <c r="Q4737" t="str">
        <f>IF(P4737="","",IFERROR(IF(AND(H4737="W7",OR(F4737="causal",F4737="predictive")),IF(AND(OR(K4737=1,K4737="1"),OR(L4737=1,L4737="1"),OR(M4737=1,M4737="1")),"adequate","partial"),IF(AND(H4737="W4",F4737="predictive",OR(J4737="P2",J4737="P3",J4737="P4")),IF(OR(U4737=1,U4737="1"),"adequate","partial"),INDEX(Fit_Matrix!$B:$B,MATCH(P4737,Fit_Matrix!$A:$A,0)))),"CHECK KEY"))</f>
        <v/>
      </c>
      <c r="U4737" s="10"/>
      <c r="V4737" s="10"/>
      <c r="W4737" s="10"/>
      <c r="X4737" s="10"/>
      <c r="Y4737" s="10"/>
      <c r="Z4737" s="10"/>
      <c r="AA4737" s="11" t="str">
        <f t="shared" si="147"/>
        <v/>
      </c>
    </row>
    <row r="4738" spans="16:27" ht="15" customHeight="1">
      <c r="P4738" t="str">
        <f t="shared" ref="P4738:P4801" si="148">IF(OR(F4738="",H4738="",J4738=""),"",J4738&amp;"|"&amp;F4738&amp;"|"&amp;IF(H4738="W3","W3_"&amp;IF(I4738="","unknown",I4738),H4738))</f>
        <v/>
      </c>
      <c r="Q4738" t="str">
        <f>IF(P4738="","",IFERROR(IF(AND(H4738="W7",OR(F4738="causal",F4738="predictive")),IF(AND(OR(K4738=1,K4738="1"),OR(L4738=1,L4738="1"),OR(M4738=1,M4738="1")),"adequate","partial"),IF(AND(H4738="W4",F4738="predictive",OR(J4738="P2",J4738="P3",J4738="P4")),IF(OR(U4738=1,U4738="1"),"adequate","partial"),INDEX(Fit_Matrix!$B:$B,MATCH(P4738,Fit_Matrix!$A:$A,0)))),"CHECK KEY"))</f>
        <v/>
      </c>
      <c r="U4738" s="10"/>
      <c r="V4738" s="10"/>
      <c r="W4738" s="10"/>
      <c r="X4738" s="10"/>
      <c r="Y4738" s="10"/>
      <c r="Z4738" s="10"/>
      <c r="AA4738" s="11" t="str">
        <f t="shared" ref="AA4738:AA4801" si="149">IF(A4738="","",IF(AND(J4738="P4",F4738="causal"),"P4-CAUSAL",""))</f>
        <v/>
      </c>
    </row>
    <row r="4739" spans="16:27" ht="15" customHeight="1">
      <c r="P4739" t="str">
        <f t="shared" si="148"/>
        <v/>
      </c>
      <c r="Q4739" t="str">
        <f>IF(P4739="","",IFERROR(IF(AND(H4739="W7",OR(F4739="causal",F4739="predictive")),IF(AND(OR(K4739=1,K4739="1"),OR(L4739=1,L4739="1"),OR(M4739=1,M4739="1")),"adequate","partial"),IF(AND(H4739="W4",F4739="predictive",OR(J4739="P2",J4739="P3",J4739="P4")),IF(OR(U4739=1,U4739="1"),"adequate","partial"),INDEX(Fit_Matrix!$B:$B,MATCH(P4739,Fit_Matrix!$A:$A,0)))),"CHECK KEY"))</f>
        <v/>
      </c>
      <c r="U4739" s="10"/>
      <c r="V4739" s="10"/>
      <c r="W4739" s="10"/>
      <c r="X4739" s="10"/>
      <c r="Y4739" s="10"/>
      <c r="Z4739" s="10"/>
      <c r="AA4739" s="11" t="str">
        <f t="shared" si="149"/>
        <v/>
      </c>
    </row>
    <row r="4740" spans="16:27" ht="15" customHeight="1">
      <c r="P4740" t="str">
        <f t="shared" si="148"/>
        <v/>
      </c>
      <c r="Q4740" t="str">
        <f>IF(P4740="","",IFERROR(IF(AND(H4740="W7",OR(F4740="causal",F4740="predictive")),IF(AND(OR(K4740=1,K4740="1"),OR(L4740=1,L4740="1"),OR(M4740=1,M4740="1")),"adequate","partial"),IF(AND(H4740="W4",F4740="predictive",OR(J4740="P2",J4740="P3",J4740="P4")),IF(OR(U4740=1,U4740="1"),"adequate","partial"),INDEX(Fit_Matrix!$B:$B,MATCH(P4740,Fit_Matrix!$A:$A,0)))),"CHECK KEY"))</f>
        <v/>
      </c>
      <c r="U4740" s="10"/>
      <c r="V4740" s="10"/>
      <c r="W4740" s="10"/>
      <c r="X4740" s="10"/>
      <c r="Y4740" s="10"/>
      <c r="Z4740" s="10"/>
      <c r="AA4740" s="11" t="str">
        <f t="shared" si="149"/>
        <v/>
      </c>
    </row>
    <row r="4741" spans="16:27" ht="15" customHeight="1">
      <c r="P4741" t="str">
        <f t="shared" si="148"/>
        <v/>
      </c>
      <c r="Q4741" t="str">
        <f>IF(P4741="","",IFERROR(IF(AND(H4741="W7",OR(F4741="causal",F4741="predictive")),IF(AND(OR(K4741=1,K4741="1"),OR(L4741=1,L4741="1"),OR(M4741=1,M4741="1")),"adequate","partial"),IF(AND(H4741="W4",F4741="predictive",OR(J4741="P2",J4741="P3",J4741="P4")),IF(OR(U4741=1,U4741="1"),"adequate","partial"),INDEX(Fit_Matrix!$B:$B,MATCH(P4741,Fit_Matrix!$A:$A,0)))),"CHECK KEY"))</f>
        <v/>
      </c>
      <c r="U4741" s="10"/>
      <c r="V4741" s="10"/>
      <c r="W4741" s="10"/>
      <c r="X4741" s="10"/>
      <c r="Y4741" s="10"/>
      <c r="Z4741" s="10"/>
      <c r="AA4741" s="11" t="str">
        <f t="shared" si="149"/>
        <v/>
      </c>
    </row>
    <row r="4742" spans="16:27" ht="15" customHeight="1">
      <c r="P4742" t="str">
        <f t="shared" si="148"/>
        <v/>
      </c>
      <c r="Q4742" t="str">
        <f>IF(P4742="","",IFERROR(IF(AND(H4742="W7",OR(F4742="causal",F4742="predictive")),IF(AND(OR(K4742=1,K4742="1"),OR(L4742=1,L4742="1"),OR(M4742=1,M4742="1")),"adequate","partial"),IF(AND(H4742="W4",F4742="predictive",OR(J4742="P2",J4742="P3",J4742="P4")),IF(OR(U4742=1,U4742="1"),"adequate","partial"),INDEX(Fit_Matrix!$B:$B,MATCH(P4742,Fit_Matrix!$A:$A,0)))),"CHECK KEY"))</f>
        <v/>
      </c>
      <c r="U4742" s="10"/>
      <c r="V4742" s="10"/>
      <c r="W4742" s="10"/>
      <c r="X4742" s="10"/>
      <c r="Y4742" s="10"/>
      <c r="Z4742" s="10"/>
      <c r="AA4742" s="11" t="str">
        <f t="shared" si="149"/>
        <v/>
      </c>
    </row>
    <row r="4743" spans="16:27" ht="15" customHeight="1">
      <c r="P4743" t="str">
        <f t="shared" si="148"/>
        <v/>
      </c>
      <c r="Q4743" t="str">
        <f>IF(P4743="","",IFERROR(IF(AND(H4743="W7",OR(F4743="causal",F4743="predictive")),IF(AND(OR(K4743=1,K4743="1"),OR(L4743=1,L4743="1"),OR(M4743=1,M4743="1")),"adequate","partial"),IF(AND(H4743="W4",F4743="predictive",OR(J4743="P2",J4743="P3",J4743="P4")),IF(OR(U4743=1,U4743="1"),"adequate","partial"),INDEX(Fit_Matrix!$B:$B,MATCH(P4743,Fit_Matrix!$A:$A,0)))),"CHECK KEY"))</f>
        <v/>
      </c>
      <c r="U4743" s="10"/>
      <c r="V4743" s="10"/>
      <c r="W4743" s="10"/>
      <c r="X4743" s="10"/>
      <c r="Y4743" s="10"/>
      <c r="Z4743" s="10"/>
      <c r="AA4743" s="11" t="str">
        <f t="shared" si="149"/>
        <v/>
      </c>
    </row>
    <row r="4744" spans="16:27" ht="15" customHeight="1">
      <c r="P4744" t="str">
        <f t="shared" si="148"/>
        <v/>
      </c>
      <c r="Q4744" t="str">
        <f>IF(P4744="","",IFERROR(IF(AND(H4744="W7",OR(F4744="causal",F4744="predictive")),IF(AND(OR(K4744=1,K4744="1"),OR(L4744=1,L4744="1"),OR(M4744=1,M4744="1")),"adequate","partial"),IF(AND(H4744="W4",F4744="predictive",OR(J4744="P2",J4744="P3",J4744="P4")),IF(OR(U4744=1,U4744="1"),"adequate","partial"),INDEX(Fit_Matrix!$B:$B,MATCH(P4744,Fit_Matrix!$A:$A,0)))),"CHECK KEY"))</f>
        <v/>
      </c>
      <c r="U4744" s="10"/>
      <c r="V4744" s="10"/>
      <c r="W4744" s="10"/>
      <c r="X4744" s="10"/>
      <c r="Y4744" s="10"/>
      <c r="Z4744" s="10"/>
      <c r="AA4744" s="11" t="str">
        <f t="shared" si="149"/>
        <v/>
      </c>
    </row>
    <row r="4745" spans="16:27" ht="15" customHeight="1">
      <c r="P4745" t="str">
        <f t="shared" si="148"/>
        <v/>
      </c>
      <c r="Q4745" t="str">
        <f>IF(P4745="","",IFERROR(IF(AND(H4745="W7",OR(F4745="causal",F4745="predictive")),IF(AND(OR(K4745=1,K4745="1"),OR(L4745=1,L4745="1"),OR(M4745=1,M4745="1")),"adequate","partial"),IF(AND(H4745="W4",F4745="predictive",OR(J4745="P2",J4745="P3",J4745="P4")),IF(OR(U4745=1,U4745="1"),"adequate","partial"),INDEX(Fit_Matrix!$B:$B,MATCH(P4745,Fit_Matrix!$A:$A,0)))),"CHECK KEY"))</f>
        <v/>
      </c>
      <c r="U4745" s="10"/>
      <c r="V4745" s="10"/>
      <c r="W4745" s="10"/>
      <c r="X4745" s="10"/>
      <c r="Y4745" s="10"/>
      <c r="Z4745" s="10"/>
      <c r="AA4745" s="11" t="str">
        <f t="shared" si="149"/>
        <v/>
      </c>
    </row>
    <row r="4746" spans="16:27" ht="15" customHeight="1">
      <c r="P4746" t="str">
        <f t="shared" si="148"/>
        <v/>
      </c>
      <c r="Q4746" t="str">
        <f>IF(P4746="","",IFERROR(IF(AND(H4746="W7",OR(F4746="causal",F4746="predictive")),IF(AND(OR(K4746=1,K4746="1"),OR(L4746=1,L4746="1"),OR(M4746=1,M4746="1")),"adequate","partial"),IF(AND(H4746="W4",F4746="predictive",OR(J4746="P2",J4746="P3",J4746="P4")),IF(OR(U4746=1,U4746="1"),"adequate","partial"),INDEX(Fit_Matrix!$B:$B,MATCH(P4746,Fit_Matrix!$A:$A,0)))),"CHECK KEY"))</f>
        <v/>
      </c>
      <c r="U4746" s="10"/>
      <c r="V4746" s="10"/>
      <c r="W4746" s="10"/>
      <c r="X4746" s="10"/>
      <c r="Y4746" s="10"/>
      <c r="Z4746" s="10"/>
      <c r="AA4746" s="11" t="str">
        <f t="shared" si="149"/>
        <v/>
      </c>
    </row>
    <row r="4747" spans="16:27" ht="15" customHeight="1">
      <c r="P4747" t="str">
        <f t="shared" si="148"/>
        <v/>
      </c>
      <c r="Q4747" t="str">
        <f>IF(P4747="","",IFERROR(IF(AND(H4747="W7",OR(F4747="causal",F4747="predictive")),IF(AND(OR(K4747=1,K4747="1"),OR(L4747=1,L4747="1"),OR(M4747=1,M4747="1")),"adequate","partial"),IF(AND(H4747="W4",F4747="predictive",OR(J4747="P2",J4747="P3",J4747="P4")),IF(OR(U4747=1,U4747="1"),"adequate","partial"),INDEX(Fit_Matrix!$B:$B,MATCH(P4747,Fit_Matrix!$A:$A,0)))),"CHECK KEY"))</f>
        <v/>
      </c>
      <c r="U4747" s="10"/>
      <c r="V4747" s="10"/>
      <c r="W4747" s="10"/>
      <c r="X4747" s="10"/>
      <c r="Y4747" s="10"/>
      <c r="Z4747" s="10"/>
      <c r="AA4747" s="11" t="str">
        <f t="shared" si="149"/>
        <v/>
      </c>
    </row>
    <row r="4748" spans="16:27" ht="15" customHeight="1">
      <c r="P4748" t="str">
        <f t="shared" si="148"/>
        <v/>
      </c>
      <c r="Q4748" t="str">
        <f>IF(P4748="","",IFERROR(IF(AND(H4748="W7",OR(F4748="causal",F4748="predictive")),IF(AND(OR(K4748=1,K4748="1"),OR(L4748=1,L4748="1"),OR(M4748=1,M4748="1")),"adequate","partial"),IF(AND(H4748="W4",F4748="predictive",OR(J4748="P2",J4748="P3",J4748="P4")),IF(OR(U4748=1,U4748="1"),"adequate","partial"),INDEX(Fit_Matrix!$B:$B,MATCH(P4748,Fit_Matrix!$A:$A,0)))),"CHECK KEY"))</f>
        <v/>
      </c>
      <c r="U4748" s="10"/>
      <c r="V4748" s="10"/>
      <c r="W4748" s="10"/>
      <c r="X4748" s="10"/>
      <c r="Y4748" s="10"/>
      <c r="Z4748" s="10"/>
      <c r="AA4748" s="11" t="str">
        <f t="shared" si="149"/>
        <v/>
      </c>
    </row>
    <row r="4749" spans="16:27" ht="15" customHeight="1">
      <c r="P4749" t="str">
        <f t="shared" si="148"/>
        <v/>
      </c>
      <c r="Q4749" t="str">
        <f>IF(P4749="","",IFERROR(IF(AND(H4749="W7",OR(F4749="causal",F4749="predictive")),IF(AND(OR(K4749=1,K4749="1"),OR(L4749=1,L4749="1"),OR(M4749=1,M4749="1")),"adequate","partial"),IF(AND(H4749="W4",F4749="predictive",OR(J4749="P2",J4749="P3",J4749="P4")),IF(OR(U4749=1,U4749="1"),"adequate","partial"),INDEX(Fit_Matrix!$B:$B,MATCH(P4749,Fit_Matrix!$A:$A,0)))),"CHECK KEY"))</f>
        <v/>
      </c>
      <c r="U4749" s="10"/>
      <c r="V4749" s="10"/>
      <c r="W4749" s="10"/>
      <c r="X4749" s="10"/>
      <c r="Y4749" s="10"/>
      <c r="Z4749" s="10"/>
      <c r="AA4749" s="11" t="str">
        <f t="shared" si="149"/>
        <v/>
      </c>
    </row>
    <row r="4750" spans="16:27" ht="15" customHeight="1">
      <c r="P4750" t="str">
        <f t="shared" si="148"/>
        <v/>
      </c>
      <c r="Q4750" t="str">
        <f>IF(P4750="","",IFERROR(IF(AND(H4750="W7",OR(F4750="causal",F4750="predictive")),IF(AND(OR(K4750=1,K4750="1"),OR(L4750=1,L4750="1"),OR(M4750=1,M4750="1")),"adequate","partial"),IF(AND(H4750="W4",F4750="predictive",OR(J4750="P2",J4750="P3",J4750="P4")),IF(OR(U4750=1,U4750="1"),"adequate","partial"),INDEX(Fit_Matrix!$B:$B,MATCH(P4750,Fit_Matrix!$A:$A,0)))),"CHECK KEY"))</f>
        <v/>
      </c>
      <c r="U4750" s="10"/>
      <c r="V4750" s="10"/>
      <c r="W4750" s="10"/>
      <c r="X4750" s="10"/>
      <c r="Y4750" s="10"/>
      <c r="Z4750" s="10"/>
      <c r="AA4750" s="11" t="str">
        <f t="shared" si="149"/>
        <v/>
      </c>
    </row>
    <row r="4751" spans="16:27" ht="15" customHeight="1">
      <c r="P4751" t="str">
        <f t="shared" si="148"/>
        <v/>
      </c>
      <c r="Q4751" t="str">
        <f>IF(P4751="","",IFERROR(IF(AND(H4751="W7",OR(F4751="causal",F4751="predictive")),IF(AND(OR(K4751=1,K4751="1"),OR(L4751=1,L4751="1"),OR(M4751=1,M4751="1")),"adequate","partial"),IF(AND(H4751="W4",F4751="predictive",OR(J4751="P2",J4751="P3",J4751="P4")),IF(OR(U4751=1,U4751="1"),"adequate","partial"),INDEX(Fit_Matrix!$B:$B,MATCH(P4751,Fit_Matrix!$A:$A,0)))),"CHECK KEY"))</f>
        <v/>
      </c>
      <c r="U4751" s="10"/>
      <c r="V4751" s="10"/>
      <c r="W4751" s="10"/>
      <c r="X4751" s="10"/>
      <c r="Y4751" s="10"/>
      <c r="Z4751" s="10"/>
      <c r="AA4751" s="11" t="str">
        <f t="shared" si="149"/>
        <v/>
      </c>
    </row>
    <row r="4752" spans="16:27" ht="15" customHeight="1">
      <c r="P4752" t="str">
        <f t="shared" si="148"/>
        <v/>
      </c>
      <c r="Q4752" t="str">
        <f>IF(P4752="","",IFERROR(IF(AND(H4752="W7",OR(F4752="causal",F4752="predictive")),IF(AND(OR(K4752=1,K4752="1"),OR(L4752=1,L4752="1"),OR(M4752=1,M4752="1")),"adequate","partial"),IF(AND(H4752="W4",F4752="predictive",OR(J4752="P2",J4752="P3",J4752="P4")),IF(OR(U4752=1,U4752="1"),"adequate","partial"),INDEX(Fit_Matrix!$B:$B,MATCH(P4752,Fit_Matrix!$A:$A,0)))),"CHECK KEY"))</f>
        <v/>
      </c>
      <c r="U4752" s="10"/>
      <c r="V4752" s="10"/>
      <c r="W4752" s="10"/>
      <c r="X4752" s="10"/>
      <c r="Y4752" s="10"/>
      <c r="Z4752" s="10"/>
      <c r="AA4752" s="11" t="str">
        <f t="shared" si="149"/>
        <v/>
      </c>
    </row>
    <row r="4753" spans="16:27" ht="15" customHeight="1">
      <c r="P4753" t="str">
        <f t="shared" si="148"/>
        <v/>
      </c>
      <c r="Q4753" t="str">
        <f>IF(P4753="","",IFERROR(IF(AND(H4753="W7",OR(F4753="causal",F4753="predictive")),IF(AND(OR(K4753=1,K4753="1"),OR(L4753=1,L4753="1"),OR(M4753=1,M4753="1")),"adequate","partial"),IF(AND(H4753="W4",F4753="predictive",OR(J4753="P2",J4753="P3",J4753="P4")),IF(OR(U4753=1,U4753="1"),"adequate","partial"),INDEX(Fit_Matrix!$B:$B,MATCH(P4753,Fit_Matrix!$A:$A,0)))),"CHECK KEY"))</f>
        <v/>
      </c>
      <c r="U4753" s="10"/>
      <c r="V4753" s="10"/>
      <c r="W4753" s="10"/>
      <c r="X4753" s="10"/>
      <c r="Y4753" s="10"/>
      <c r="Z4753" s="10"/>
      <c r="AA4753" s="11" t="str">
        <f t="shared" si="149"/>
        <v/>
      </c>
    </row>
    <row r="4754" spans="16:27" ht="15" customHeight="1">
      <c r="P4754" t="str">
        <f t="shared" si="148"/>
        <v/>
      </c>
      <c r="Q4754" t="str">
        <f>IF(P4754="","",IFERROR(IF(AND(H4754="W7",OR(F4754="causal",F4754="predictive")),IF(AND(OR(K4754=1,K4754="1"),OR(L4754=1,L4754="1"),OR(M4754=1,M4754="1")),"adequate","partial"),IF(AND(H4754="W4",F4754="predictive",OR(J4754="P2",J4754="P3",J4754="P4")),IF(OR(U4754=1,U4754="1"),"adequate","partial"),INDEX(Fit_Matrix!$B:$B,MATCH(P4754,Fit_Matrix!$A:$A,0)))),"CHECK KEY"))</f>
        <v/>
      </c>
      <c r="U4754" s="10"/>
      <c r="V4754" s="10"/>
      <c r="W4754" s="10"/>
      <c r="X4754" s="10"/>
      <c r="Y4754" s="10"/>
      <c r="Z4754" s="10"/>
      <c r="AA4754" s="11" t="str">
        <f t="shared" si="149"/>
        <v/>
      </c>
    </row>
    <row r="4755" spans="16:27" ht="15" customHeight="1">
      <c r="P4755" t="str">
        <f t="shared" si="148"/>
        <v/>
      </c>
      <c r="Q4755" t="str">
        <f>IF(P4755="","",IFERROR(IF(AND(H4755="W7",OR(F4755="causal",F4755="predictive")),IF(AND(OR(K4755=1,K4755="1"),OR(L4755=1,L4755="1"),OR(M4755=1,M4755="1")),"adequate","partial"),IF(AND(H4755="W4",F4755="predictive",OR(J4755="P2",J4755="P3",J4755="P4")),IF(OR(U4755=1,U4755="1"),"adequate","partial"),INDEX(Fit_Matrix!$B:$B,MATCH(P4755,Fit_Matrix!$A:$A,0)))),"CHECK KEY"))</f>
        <v/>
      </c>
      <c r="U4755" s="10"/>
      <c r="V4755" s="10"/>
      <c r="W4755" s="10"/>
      <c r="X4755" s="10"/>
      <c r="Y4755" s="10"/>
      <c r="Z4755" s="10"/>
      <c r="AA4755" s="11" t="str">
        <f t="shared" si="149"/>
        <v/>
      </c>
    </row>
    <row r="4756" spans="16:27" ht="15" customHeight="1">
      <c r="P4756" t="str">
        <f t="shared" si="148"/>
        <v/>
      </c>
      <c r="Q4756" t="str">
        <f>IF(P4756="","",IFERROR(IF(AND(H4756="W7",OR(F4756="causal",F4756="predictive")),IF(AND(OR(K4756=1,K4756="1"),OR(L4756=1,L4756="1"),OR(M4756=1,M4756="1")),"adequate","partial"),IF(AND(H4756="W4",F4756="predictive",OR(J4756="P2",J4756="P3",J4756="P4")),IF(OR(U4756=1,U4756="1"),"adequate","partial"),INDEX(Fit_Matrix!$B:$B,MATCH(P4756,Fit_Matrix!$A:$A,0)))),"CHECK KEY"))</f>
        <v/>
      </c>
      <c r="U4756" s="10"/>
      <c r="V4756" s="10"/>
      <c r="W4756" s="10"/>
      <c r="X4756" s="10"/>
      <c r="Y4756" s="10"/>
      <c r="Z4756" s="10"/>
      <c r="AA4756" s="11" t="str">
        <f t="shared" si="149"/>
        <v/>
      </c>
    </row>
    <row r="4757" spans="16:27" ht="15" customHeight="1">
      <c r="P4757" t="str">
        <f t="shared" si="148"/>
        <v/>
      </c>
      <c r="Q4757" t="str">
        <f>IF(P4757="","",IFERROR(IF(AND(H4757="W7",OR(F4757="causal",F4757="predictive")),IF(AND(OR(K4757=1,K4757="1"),OR(L4757=1,L4757="1"),OR(M4757=1,M4757="1")),"adequate","partial"),IF(AND(H4757="W4",F4757="predictive",OR(J4757="P2",J4757="P3",J4757="P4")),IF(OR(U4757=1,U4757="1"),"adequate","partial"),INDEX(Fit_Matrix!$B:$B,MATCH(P4757,Fit_Matrix!$A:$A,0)))),"CHECK KEY"))</f>
        <v/>
      </c>
      <c r="U4757" s="10"/>
      <c r="V4757" s="10"/>
      <c r="W4757" s="10"/>
      <c r="X4757" s="10"/>
      <c r="Y4757" s="10"/>
      <c r="Z4757" s="10"/>
      <c r="AA4757" s="11" t="str">
        <f t="shared" si="149"/>
        <v/>
      </c>
    </row>
    <row r="4758" spans="16:27" ht="15" customHeight="1">
      <c r="P4758" t="str">
        <f t="shared" si="148"/>
        <v/>
      </c>
      <c r="Q4758" t="str">
        <f>IF(P4758="","",IFERROR(IF(AND(H4758="W7",OR(F4758="causal",F4758="predictive")),IF(AND(OR(K4758=1,K4758="1"),OR(L4758=1,L4758="1"),OR(M4758=1,M4758="1")),"adequate","partial"),IF(AND(H4758="W4",F4758="predictive",OR(J4758="P2",J4758="P3",J4758="P4")),IF(OR(U4758=1,U4758="1"),"adequate","partial"),INDEX(Fit_Matrix!$B:$B,MATCH(P4758,Fit_Matrix!$A:$A,0)))),"CHECK KEY"))</f>
        <v/>
      </c>
      <c r="U4758" s="10"/>
      <c r="V4758" s="10"/>
      <c r="W4758" s="10"/>
      <c r="X4758" s="10"/>
      <c r="Y4758" s="10"/>
      <c r="Z4758" s="10"/>
      <c r="AA4758" s="11" t="str">
        <f t="shared" si="149"/>
        <v/>
      </c>
    </row>
    <row r="4759" spans="16:27" ht="15" customHeight="1">
      <c r="P4759" t="str">
        <f t="shared" si="148"/>
        <v/>
      </c>
      <c r="Q4759" t="str">
        <f>IF(P4759="","",IFERROR(IF(AND(H4759="W7",OR(F4759="causal",F4759="predictive")),IF(AND(OR(K4759=1,K4759="1"),OR(L4759=1,L4759="1"),OR(M4759=1,M4759="1")),"adequate","partial"),IF(AND(H4759="W4",F4759="predictive",OR(J4759="P2",J4759="P3",J4759="P4")),IF(OR(U4759=1,U4759="1"),"adequate","partial"),INDEX(Fit_Matrix!$B:$B,MATCH(P4759,Fit_Matrix!$A:$A,0)))),"CHECK KEY"))</f>
        <v/>
      </c>
      <c r="U4759" s="10"/>
      <c r="V4759" s="10"/>
      <c r="W4759" s="10"/>
      <c r="X4759" s="10"/>
      <c r="Y4759" s="10"/>
      <c r="Z4759" s="10"/>
      <c r="AA4759" s="11" t="str">
        <f t="shared" si="149"/>
        <v/>
      </c>
    </row>
    <row r="4760" spans="16:27" ht="15" customHeight="1">
      <c r="P4760" t="str">
        <f t="shared" si="148"/>
        <v/>
      </c>
      <c r="Q4760" t="str">
        <f>IF(P4760="","",IFERROR(IF(AND(H4760="W7",OR(F4760="causal",F4760="predictive")),IF(AND(OR(K4760=1,K4760="1"),OR(L4760=1,L4760="1"),OR(M4760=1,M4760="1")),"adequate","partial"),IF(AND(H4760="W4",F4760="predictive",OR(J4760="P2",J4760="P3",J4760="P4")),IF(OR(U4760=1,U4760="1"),"adequate","partial"),INDEX(Fit_Matrix!$B:$B,MATCH(P4760,Fit_Matrix!$A:$A,0)))),"CHECK KEY"))</f>
        <v/>
      </c>
      <c r="U4760" s="10"/>
      <c r="V4760" s="10"/>
      <c r="W4760" s="10"/>
      <c r="X4760" s="10"/>
      <c r="Y4760" s="10"/>
      <c r="Z4760" s="10"/>
      <c r="AA4760" s="11" t="str">
        <f t="shared" si="149"/>
        <v/>
      </c>
    </row>
    <row r="4761" spans="16:27" ht="15" customHeight="1">
      <c r="P4761" t="str">
        <f t="shared" si="148"/>
        <v/>
      </c>
      <c r="Q4761" t="str">
        <f>IF(P4761="","",IFERROR(IF(AND(H4761="W7",OR(F4761="causal",F4761="predictive")),IF(AND(OR(K4761=1,K4761="1"),OR(L4761=1,L4761="1"),OR(M4761=1,M4761="1")),"adequate","partial"),IF(AND(H4761="W4",F4761="predictive",OR(J4761="P2",J4761="P3",J4761="P4")),IF(OR(U4761=1,U4761="1"),"adequate","partial"),INDEX(Fit_Matrix!$B:$B,MATCH(P4761,Fit_Matrix!$A:$A,0)))),"CHECK KEY"))</f>
        <v/>
      </c>
      <c r="U4761" s="10"/>
      <c r="V4761" s="10"/>
      <c r="W4761" s="10"/>
      <c r="X4761" s="10"/>
      <c r="Y4761" s="10"/>
      <c r="Z4761" s="10"/>
      <c r="AA4761" s="11" t="str">
        <f t="shared" si="149"/>
        <v/>
      </c>
    </row>
    <row r="4762" spans="16:27" ht="15" customHeight="1">
      <c r="P4762" t="str">
        <f t="shared" si="148"/>
        <v/>
      </c>
      <c r="Q4762" t="str">
        <f>IF(P4762="","",IFERROR(IF(AND(H4762="W7",OR(F4762="causal",F4762="predictive")),IF(AND(OR(K4762=1,K4762="1"),OR(L4762=1,L4762="1"),OR(M4762=1,M4762="1")),"adequate","partial"),IF(AND(H4762="W4",F4762="predictive",OR(J4762="P2",J4762="P3",J4762="P4")),IF(OR(U4762=1,U4762="1"),"adequate","partial"),INDEX(Fit_Matrix!$B:$B,MATCH(P4762,Fit_Matrix!$A:$A,0)))),"CHECK KEY"))</f>
        <v/>
      </c>
      <c r="U4762" s="10"/>
      <c r="V4762" s="10"/>
      <c r="W4762" s="10"/>
      <c r="X4762" s="10"/>
      <c r="Y4762" s="10"/>
      <c r="Z4762" s="10"/>
      <c r="AA4762" s="11" t="str">
        <f t="shared" si="149"/>
        <v/>
      </c>
    </row>
    <row r="4763" spans="16:27" ht="15" customHeight="1">
      <c r="P4763" t="str">
        <f t="shared" si="148"/>
        <v/>
      </c>
      <c r="Q4763" t="str">
        <f>IF(P4763="","",IFERROR(IF(AND(H4763="W7",OR(F4763="causal",F4763="predictive")),IF(AND(OR(K4763=1,K4763="1"),OR(L4763=1,L4763="1"),OR(M4763=1,M4763="1")),"adequate","partial"),IF(AND(H4763="W4",F4763="predictive",OR(J4763="P2",J4763="P3",J4763="P4")),IF(OR(U4763=1,U4763="1"),"adequate","partial"),INDEX(Fit_Matrix!$B:$B,MATCH(P4763,Fit_Matrix!$A:$A,0)))),"CHECK KEY"))</f>
        <v/>
      </c>
      <c r="U4763" s="10"/>
      <c r="V4763" s="10"/>
      <c r="W4763" s="10"/>
      <c r="X4763" s="10"/>
      <c r="Y4763" s="10"/>
      <c r="Z4763" s="10"/>
      <c r="AA4763" s="11" t="str">
        <f t="shared" si="149"/>
        <v/>
      </c>
    </row>
    <row r="4764" spans="16:27" ht="15" customHeight="1">
      <c r="P4764" t="str">
        <f t="shared" si="148"/>
        <v/>
      </c>
      <c r="Q4764" t="str">
        <f>IF(P4764="","",IFERROR(IF(AND(H4764="W7",OR(F4764="causal",F4764="predictive")),IF(AND(OR(K4764=1,K4764="1"),OR(L4764=1,L4764="1"),OR(M4764=1,M4764="1")),"adequate","partial"),IF(AND(H4764="W4",F4764="predictive",OR(J4764="P2",J4764="P3",J4764="P4")),IF(OR(U4764=1,U4764="1"),"adequate","partial"),INDEX(Fit_Matrix!$B:$B,MATCH(P4764,Fit_Matrix!$A:$A,0)))),"CHECK KEY"))</f>
        <v/>
      </c>
      <c r="U4764" s="10"/>
      <c r="V4764" s="10"/>
      <c r="W4764" s="10"/>
      <c r="X4764" s="10"/>
      <c r="Y4764" s="10"/>
      <c r="Z4764" s="10"/>
      <c r="AA4764" s="11" t="str">
        <f t="shared" si="149"/>
        <v/>
      </c>
    </row>
    <row r="4765" spans="16:27" ht="15" customHeight="1">
      <c r="P4765" t="str">
        <f t="shared" si="148"/>
        <v/>
      </c>
      <c r="Q4765" t="str">
        <f>IF(P4765="","",IFERROR(IF(AND(H4765="W7",OR(F4765="causal",F4765="predictive")),IF(AND(OR(K4765=1,K4765="1"),OR(L4765=1,L4765="1"),OR(M4765=1,M4765="1")),"adequate","partial"),IF(AND(H4765="W4",F4765="predictive",OR(J4765="P2",J4765="P3",J4765="P4")),IF(OR(U4765=1,U4765="1"),"adequate","partial"),INDEX(Fit_Matrix!$B:$B,MATCH(P4765,Fit_Matrix!$A:$A,0)))),"CHECK KEY"))</f>
        <v/>
      </c>
      <c r="U4765" s="10"/>
      <c r="V4765" s="10"/>
      <c r="W4765" s="10"/>
      <c r="X4765" s="10"/>
      <c r="Y4765" s="10"/>
      <c r="Z4765" s="10"/>
      <c r="AA4765" s="11" t="str">
        <f t="shared" si="149"/>
        <v/>
      </c>
    </row>
    <row r="4766" spans="16:27" ht="15" customHeight="1">
      <c r="P4766" t="str">
        <f t="shared" si="148"/>
        <v/>
      </c>
      <c r="Q4766" t="str">
        <f>IF(P4766="","",IFERROR(IF(AND(H4766="W7",OR(F4766="causal",F4766="predictive")),IF(AND(OR(K4766=1,K4766="1"),OR(L4766=1,L4766="1"),OR(M4766=1,M4766="1")),"adequate","partial"),IF(AND(H4766="W4",F4766="predictive",OR(J4766="P2",J4766="P3",J4766="P4")),IF(OR(U4766=1,U4766="1"),"adequate","partial"),INDEX(Fit_Matrix!$B:$B,MATCH(P4766,Fit_Matrix!$A:$A,0)))),"CHECK KEY"))</f>
        <v/>
      </c>
      <c r="U4766" s="10"/>
      <c r="V4766" s="10"/>
      <c r="W4766" s="10"/>
      <c r="X4766" s="10"/>
      <c r="Y4766" s="10"/>
      <c r="Z4766" s="10"/>
      <c r="AA4766" s="11" t="str">
        <f t="shared" si="149"/>
        <v/>
      </c>
    </row>
    <row r="4767" spans="16:27" ht="15" customHeight="1">
      <c r="P4767" t="str">
        <f t="shared" si="148"/>
        <v/>
      </c>
      <c r="Q4767" t="str">
        <f>IF(P4767="","",IFERROR(IF(AND(H4767="W7",OR(F4767="causal",F4767="predictive")),IF(AND(OR(K4767=1,K4767="1"),OR(L4767=1,L4767="1"),OR(M4767=1,M4767="1")),"adequate","partial"),IF(AND(H4767="W4",F4767="predictive",OR(J4767="P2",J4767="P3",J4767="P4")),IF(OR(U4767=1,U4767="1"),"adequate","partial"),INDEX(Fit_Matrix!$B:$B,MATCH(P4767,Fit_Matrix!$A:$A,0)))),"CHECK KEY"))</f>
        <v/>
      </c>
      <c r="U4767" s="10"/>
      <c r="V4767" s="10"/>
      <c r="W4767" s="10"/>
      <c r="X4767" s="10"/>
      <c r="Y4767" s="10"/>
      <c r="Z4767" s="10"/>
      <c r="AA4767" s="11" t="str">
        <f t="shared" si="149"/>
        <v/>
      </c>
    </row>
    <row r="4768" spans="16:27" ht="15" customHeight="1">
      <c r="P4768" t="str">
        <f t="shared" si="148"/>
        <v/>
      </c>
      <c r="Q4768" t="str">
        <f>IF(P4768="","",IFERROR(IF(AND(H4768="W7",OR(F4768="causal",F4768="predictive")),IF(AND(OR(K4768=1,K4768="1"),OR(L4768=1,L4768="1"),OR(M4768=1,M4768="1")),"adequate","partial"),IF(AND(H4768="W4",F4768="predictive",OR(J4768="P2",J4768="P3",J4768="P4")),IF(OR(U4768=1,U4768="1"),"adequate","partial"),INDEX(Fit_Matrix!$B:$B,MATCH(P4768,Fit_Matrix!$A:$A,0)))),"CHECK KEY"))</f>
        <v/>
      </c>
      <c r="U4768" s="10"/>
      <c r="V4768" s="10"/>
      <c r="W4768" s="10"/>
      <c r="X4768" s="10"/>
      <c r="Y4768" s="10"/>
      <c r="Z4768" s="10"/>
      <c r="AA4768" s="11" t="str">
        <f t="shared" si="149"/>
        <v/>
      </c>
    </row>
    <row r="4769" spans="16:27" ht="15" customHeight="1">
      <c r="P4769" t="str">
        <f t="shared" si="148"/>
        <v/>
      </c>
      <c r="Q4769" t="str">
        <f>IF(P4769="","",IFERROR(IF(AND(H4769="W7",OR(F4769="causal",F4769="predictive")),IF(AND(OR(K4769=1,K4769="1"),OR(L4769=1,L4769="1"),OR(M4769=1,M4769="1")),"adequate","partial"),IF(AND(H4769="W4",F4769="predictive",OR(J4769="P2",J4769="P3",J4769="P4")),IF(OR(U4769=1,U4769="1"),"adequate","partial"),INDEX(Fit_Matrix!$B:$B,MATCH(P4769,Fit_Matrix!$A:$A,0)))),"CHECK KEY"))</f>
        <v/>
      </c>
      <c r="U4769" s="10"/>
      <c r="V4769" s="10"/>
      <c r="W4769" s="10"/>
      <c r="X4769" s="10"/>
      <c r="Y4769" s="10"/>
      <c r="Z4769" s="10"/>
      <c r="AA4769" s="11" t="str">
        <f t="shared" si="149"/>
        <v/>
      </c>
    </row>
    <row r="4770" spans="16:27" ht="15" customHeight="1">
      <c r="P4770" t="str">
        <f t="shared" si="148"/>
        <v/>
      </c>
      <c r="Q4770" t="str">
        <f>IF(P4770="","",IFERROR(IF(AND(H4770="W7",OR(F4770="causal",F4770="predictive")),IF(AND(OR(K4770=1,K4770="1"),OR(L4770=1,L4770="1"),OR(M4770=1,M4770="1")),"adequate","partial"),IF(AND(H4770="W4",F4770="predictive",OR(J4770="P2",J4770="P3",J4770="P4")),IF(OR(U4770=1,U4770="1"),"adequate","partial"),INDEX(Fit_Matrix!$B:$B,MATCH(P4770,Fit_Matrix!$A:$A,0)))),"CHECK KEY"))</f>
        <v/>
      </c>
      <c r="U4770" s="10"/>
      <c r="V4770" s="10"/>
      <c r="W4770" s="10"/>
      <c r="X4770" s="10"/>
      <c r="Y4770" s="10"/>
      <c r="Z4770" s="10"/>
      <c r="AA4770" s="11" t="str">
        <f t="shared" si="149"/>
        <v/>
      </c>
    </row>
    <row r="4771" spans="16:27" ht="15" customHeight="1">
      <c r="P4771" t="str">
        <f t="shared" si="148"/>
        <v/>
      </c>
      <c r="Q4771" t="str">
        <f>IF(P4771="","",IFERROR(IF(AND(H4771="W7",OR(F4771="causal",F4771="predictive")),IF(AND(OR(K4771=1,K4771="1"),OR(L4771=1,L4771="1"),OR(M4771=1,M4771="1")),"adequate","partial"),IF(AND(H4771="W4",F4771="predictive",OR(J4771="P2",J4771="P3",J4771="P4")),IF(OR(U4771=1,U4771="1"),"adequate","partial"),INDEX(Fit_Matrix!$B:$B,MATCH(P4771,Fit_Matrix!$A:$A,0)))),"CHECK KEY"))</f>
        <v/>
      </c>
      <c r="U4771" s="10"/>
      <c r="V4771" s="10"/>
      <c r="W4771" s="10"/>
      <c r="X4771" s="10"/>
      <c r="Y4771" s="10"/>
      <c r="Z4771" s="10"/>
      <c r="AA4771" s="11" t="str">
        <f t="shared" si="149"/>
        <v/>
      </c>
    </row>
    <row r="4772" spans="16:27" ht="15" customHeight="1">
      <c r="P4772" t="str">
        <f t="shared" si="148"/>
        <v/>
      </c>
      <c r="Q4772" t="str">
        <f>IF(P4772="","",IFERROR(IF(AND(H4772="W7",OR(F4772="causal",F4772="predictive")),IF(AND(OR(K4772=1,K4772="1"),OR(L4772=1,L4772="1"),OR(M4772=1,M4772="1")),"adequate","partial"),IF(AND(H4772="W4",F4772="predictive",OR(J4772="P2",J4772="P3",J4772="P4")),IF(OR(U4772=1,U4772="1"),"adequate","partial"),INDEX(Fit_Matrix!$B:$B,MATCH(P4772,Fit_Matrix!$A:$A,0)))),"CHECK KEY"))</f>
        <v/>
      </c>
      <c r="U4772" s="10"/>
      <c r="V4772" s="10"/>
      <c r="W4772" s="10"/>
      <c r="X4772" s="10"/>
      <c r="Y4772" s="10"/>
      <c r="Z4772" s="10"/>
      <c r="AA4772" s="11" t="str">
        <f t="shared" si="149"/>
        <v/>
      </c>
    </row>
    <row r="4773" spans="16:27" ht="15" customHeight="1">
      <c r="P4773" t="str">
        <f t="shared" si="148"/>
        <v/>
      </c>
      <c r="Q4773" t="str">
        <f>IF(P4773="","",IFERROR(IF(AND(H4773="W7",OR(F4773="causal",F4773="predictive")),IF(AND(OR(K4773=1,K4773="1"),OR(L4773=1,L4773="1"),OR(M4773=1,M4773="1")),"adequate","partial"),IF(AND(H4773="W4",F4773="predictive",OR(J4773="P2",J4773="P3",J4773="P4")),IF(OR(U4773=1,U4773="1"),"adequate","partial"),INDEX(Fit_Matrix!$B:$B,MATCH(P4773,Fit_Matrix!$A:$A,0)))),"CHECK KEY"))</f>
        <v/>
      </c>
      <c r="U4773" s="10"/>
      <c r="V4773" s="10"/>
      <c r="W4773" s="10"/>
      <c r="X4773" s="10"/>
      <c r="Y4773" s="10"/>
      <c r="Z4773" s="10"/>
      <c r="AA4773" s="11" t="str">
        <f t="shared" si="149"/>
        <v/>
      </c>
    </row>
    <row r="4774" spans="16:27" ht="15" customHeight="1">
      <c r="P4774" t="str">
        <f t="shared" si="148"/>
        <v/>
      </c>
      <c r="Q4774" t="str">
        <f>IF(P4774="","",IFERROR(IF(AND(H4774="W7",OR(F4774="causal",F4774="predictive")),IF(AND(OR(K4774=1,K4774="1"),OR(L4774=1,L4774="1"),OR(M4774=1,M4774="1")),"adequate","partial"),IF(AND(H4774="W4",F4774="predictive",OR(J4774="P2",J4774="P3",J4774="P4")),IF(OR(U4774=1,U4774="1"),"adequate","partial"),INDEX(Fit_Matrix!$B:$B,MATCH(P4774,Fit_Matrix!$A:$A,0)))),"CHECK KEY"))</f>
        <v/>
      </c>
      <c r="U4774" s="10"/>
      <c r="V4774" s="10"/>
      <c r="W4774" s="10"/>
      <c r="X4774" s="10"/>
      <c r="Y4774" s="10"/>
      <c r="Z4774" s="10"/>
      <c r="AA4774" s="11" t="str">
        <f t="shared" si="149"/>
        <v/>
      </c>
    </row>
    <row r="4775" spans="16:27" ht="15" customHeight="1">
      <c r="P4775" t="str">
        <f t="shared" si="148"/>
        <v/>
      </c>
      <c r="Q4775" t="str">
        <f>IF(P4775="","",IFERROR(IF(AND(H4775="W7",OR(F4775="causal",F4775="predictive")),IF(AND(OR(K4775=1,K4775="1"),OR(L4775=1,L4775="1"),OR(M4775=1,M4775="1")),"adequate","partial"),IF(AND(H4775="W4",F4775="predictive",OR(J4775="P2",J4775="P3",J4775="P4")),IF(OR(U4775=1,U4775="1"),"adequate","partial"),INDEX(Fit_Matrix!$B:$B,MATCH(P4775,Fit_Matrix!$A:$A,0)))),"CHECK KEY"))</f>
        <v/>
      </c>
      <c r="U4775" s="10"/>
      <c r="V4775" s="10"/>
      <c r="W4775" s="10"/>
      <c r="X4775" s="10"/>
      <c r="Y4775" s="10"/>
      <c r="Z4775" s="10"/>
      <c r="AA4775" s="11" t="str">
        <f t="shared" si="149"/>
        <v/>
      </c>
    </row>
    <row r="4776" spans="16:27" ht="15" customHeight="1">
      <c r="P4776" t="str">
        <f t="shared" si="148"/>
        <v/>
      </c>
      <c r="Q4776" t="str">
        <f>IF(P4776="","",IFERROR(IF(AND(H4776="W7",OR(F4776="causal",F4776="predictive")),IF(AND(OR(K4776=1,K4776="1"),OR(L4776=1,L4776="1"),OR(M4776=1,M4776="1")),"adequate","partial"),IF(AND(H4776="W4",F4776="predictive",OR(J4776="P2",J4776="P3",J4776="P4")),IF(OR(U4776=1,U4776="1"),"adequate","partial"),INDEX(Fit_Matrix!$B:$B,MATCH(P4776,Fit_Matrix!$A:$A,0)))),"CHECK KEY"))</f>
        <v/>
      </c>
      <c r="U4776" s="10"/>
      <c r="V4776" s="10"/>
      <c r="W4776" s="10"/>
      <c r="X4776" s="10"/>
      <c r="Y4776" s="10"/>
      <c r="Z4776" s="10"/>
      <c r="AA4776" s="11" t="str">
        <f t="shared" si="149"/>
        <v/>
      </c>
    </row>
    <row r="4777" spans="16:27" ht="15" customHeight="1">
      <c r="P4777" t="str">
        <f t="shared" si="148"/>
        <v/>
      </c>
      <c r="Q4777" t="str">
        <f>IF(P4777="","",IFERROR(IF(AND(H4777="W7",OR(F4777="causal",F4777="predictive")),IF(AND(OR(K4777=1,K4777="1"),OR(L4777=1,L4777="1"),OR(M4777=1,M4777="1")),"adequate","partial"),IF(AND(H4777="W4",F4777="predictive",OR(J4777="P2",J4777="P3",J4777="P4")),IF(OR(U4777=1,U4777="1"),"adequate","partial"),INDEX(Fit_Matrix!$B:$B,MATCH(P4777,Fit_Matrix!$A:$A,0)))),"CHECK KEY"))</f>
        <v/>
      </c>
      <c r="U4777" s="10"/>
      <c r="V4777" s="10"/>
      <c r="W4777" s="10"/>
      <c r="X4777" s="10"/>
      <c r="Y4777" s="10"/>
      <c r="Z4777" s="10"/>
      <c r="AA4777" s="11" t="str">
        <f t="shared" si="149"/>
        <v/>
      </c>
    </row>
    <row r="4778" spans="16:27" ht="15" customHeight="1">
      <c r="P4778" t="str">
        <f t="shared" si="148"/>
        <v/>
      </c>
      <c r="Q4778" t="str">
        <f>IF(P4778="","",IFERROR(IF(AND(H4778="W7",OR(F4778="causal",F4778="predictive")),IF(AND(OR(K4778=1,K4778="1"),OR(L4778=1,L4778="1"),OR(M4778=1,M4778="1")),"adequate","partial"),IF(AND(H4778="W4",F4778="predictive",OR(J4778="P2",J4778="P3",J4778="P4")),IF(OR(U4778=1,U4778="1"),"adequate","partial"),INDEX(Fit_Matrix!$B:$B,MATCH(P4778,Fit_Matrix!$A:$A,0)))),"CHECK KEY"))</f>
        <v/>
      </c>
      <c r="U4778" s="10"/>
      <c r="V4778" s="10"/>
      <c r="W4778" s="10"/>
      <c r="X4778" s="10"/>
      <c r="Y4778" s="10"/>
      <c r="Z4778" s="10"/>
      <c r="AA4778" s="11" t="str">
        <f t="shared" si="149"/>
        <v/>
      </c>
    </row>
    <row r="4779" spans="16:27" ht="15" customHeight="1">
      <c r="P4779" t="str">
        <f t="shared" si="148"/>
        <v/>
      </c>
      <c r="Q4779" t="str">
        <f>IF(P4779="","",IFERROR(IF(AND(H4779="W7",OR(F4779="causal",F4779="predictive")),IF(AND(OR(K4779=1,K4779="1"),OR(L4779=1,L4779="1"),OR(M4779=1,M4779="1")),"adequate","partial"),IF(AND(H4779="W4",F4779="predictive",OR(J4779="P2",J4779="P3",J4779="P4")),IF(OR(U4779=1,U4779="1"),"adequate","partial"),INDEX(Fit_Matrix!$B:$B,MATCH(P4779,Fit_Matrix!$A:$A,0)))),"CHECK KEY"))</f>
        <v/>
      </c>
      <c r="U4779" s="10"/>
      <c r="V4779" s="10"/>
      <c r="W4779" s="10"/>
      <c r="X4779" s="10"/>
      <c r="Y4779" s="10"/>
      <c r="Z4779" s="10"/>
      <c r="AA4779" s="11" t="str">
        <f t="shared" si="149"/>
        <v/>
      </c>
    </row>
    <row r="4780" spans="16:27" ht="15" customHeight="1">
      <c r="P4780" t="str">
        <f t="shared" si="148"/>
        <v/>
      </c>
      <c r="Q4780" t="str">
        <f>IF(P4780="","",IFERROR(IF(AND(H4780="W7",OR(F4780="causal",F4780="predictive")),IF(AND(OR(K4780=1,K4780="1"),OR(L4780=1,L4780="1"),OR(M4780=1,M4780="1")),"adequate","partial"),IF(AND(H4780="W4",F4780="predictive",OR(J4780="P2",J4780="P3",J4780="P4")),IF(OR(U4780=1,U4780="1"),"adequate","partial"),INDEX(Fit_Matrix!$B:$B,MATCH(P4780,Fit_Matrix!$A:$A,0)))),"CHECK KEY"))</f>
        <v/>
      </c>
      <c r="U4780" s="10"/>
      <c r="V4780" s="10"/>
      <c r="W4780" s="10"/>
      <c r="X4780" s="10"/>
      <c r="Y4780" s="10"/>
      <c r="Z4780" s="10"/>
      <c r="AA4780" s="11" t="str">
        <f t="shared" si="149"/>
        <v/>
      </c>
    </row>
    <row r="4781" spans="16:27" ht="15" customHeight="1">
      <c r="P4781" t="str">
        <f t="shared" si="148"/>
        <v/>
      </c>
      <c r="Q4781" t="str">
        <f>IF(P4781="","",IFERROR(IF(AND(H4781="W7",OR(F4781="causal",F4781="predictive")),IF(AND(OR(K4781=1,K4781="1"),OR(L4781=1,L4781="1"),OR(M4781=1,M4781="1")),"adequate","partial"),IF(AND(H4781="W4",F4781="predictive",OR(J4781="P2",J4781="P3",J4781="P4")),IF(OR(U4781=1,U4781="1"),"adequate","partial"),INDEX(Fit_Matrix!$B:$B,MATCH(P4781,Fit_Matrix!$A:$A,0)))),"CHECK KEY"))</f>
        <v/>
      </c>
      <c r="U4781" s="10"/>
      <c r="V4781" s="10"/>
      <c r="W4781" s="10"/>
      <c r="X4781" s="10"/>
      <c r="Y4781" s="10"/>
      <c r="Z4781" s="10"/>
      <c r="AA4781" s="11" t="str">
        <f t="shared" si="149"/>
        <v/>
      </c>
    </row>
    <row r="4782" spans="16:27" ht="15" customHeight="1">
      <c r="P4782" t="str">
        <f t="shared" si="148"/>
        <v/>
      </c>
      <c r="Q4782" t="str">
        <f>IF(P4782="","",IFERROR(IF(AND(H4782="W7",OR(F4782="causal",F4782="predictive")),IF(AND(OR(K4782=1,K4782="1"),OR(L4782=1,L4782="1"),OR(M4782=1,M4782="1")),"adequate","partial"),IF(AND(H4782="W4",F4782="predictive",OR(J4782="P2",J4782="P3",J4782="P4")),IF(OR(U4782=1,U4782="1"),"adequate","partial"),INDEX(Fit_Matrix!$B:$B,MATCH(P4782,Fit_Matrix!$A:$A,0)))),"CHECK KEY"))</f>
        <v/>
      </c>
      <c r="U4782" s="10"/>
      <c r="V4782" s="10"/>
      <c r="W4782" s="10"/>
      <c r="X4782" s="10"/>
      <c r="Y4782" s="10"/>
      <c r="Z4782" s="10"/>
      <c r="AA4782" s="11" t="str">
        <f t="shared" si="149"/>
        <v/>
      </c>
    </row>
    <row r="4783" spans="16:27" ht="15" customHeight="1">
      <c r="P4783" t="str">
        <f t="shared" si="148"/>
        <v/>
      </c>
      <c r="Q4783" t="str">
        <f>IF(P4783="","",IFERROR(IF(AND(H4783="W7",OR(F4783="causal",F4783="predictive")),IF(AND(OR(K4783=1,K4783="1"),OR(L4783=1,L4783="1"),OR(M4783=1,M4783="1")),"adequate","partial"),IF(AND(H4783="W4",F4783="predictive",OR(J4783="P2",J4783="P3",J4783="P4")),IF(OR(U4783=1,U4783="1"),"adequate","partial"),INDEX(Fit_Matrix!$B:$B,MATCH(P4783,Fit_Matrix!$A:$A,0)))),"CHECK KEY"))</f>
        <v/>
      </c>
      <c r="U4783" s="10"/>
      <c r="V4783" s="10"/>
      <c r="W4783" s="10"/>
      <c r="X4783" s="10"/>
      <c r="Y4783" s="10"/>
      <c r="Z4783" s="10"/>
      <c r="AA4783" s="11" t="str">
        <f t="shared" si="149"/>
        <v/>
      </c>
    </row>
    <row r="4784" spans="16:27" ht="15" customHeight="1">
      <c r="P4784" t="str">
        <f t="shared" si="148"/>
        <v/>
      </c>
      <c r="Q4784" t="str">
        <f>IF(P4784="","",IFERROR(IF(AND(H4784="W7",OR(F4784="causal",F4784="predictive")),IF(AND(OR(K4784=1,K4784="1"),OR(L4784=1,L4784="1"),OR(M4784=1,M4784="1")),"adequate","partial"),IF(AND(H4784="W4",F4784="predictive",OR(J4784="P2",J4784="P3",J4784="P4")),IF(OR(U4784=1,U4784="1"),"adequate","partial"),INDEX(Fit_Matrix!$B:$B,MATCH(P4784,Fit_Matrix!$A:$A,0)))),"CHECK KEY"))</f>
        <v/>
      </c>
      <c r="U4784" s="10"/>
      <c r="V4784" s="10"/>
      <c r="W4784" s="10"/>
      <c r="X4784" s="10"/>
      <c r="Y4784" s="10"/>
      <c r="Z4784" s="10"/>
      <c r="AA4784" s="11" t="str">
        <f t="shared" si="149"/>
        <v/>
      </c>
    </row>
    <row r="4785" spans="16:27" ht="15" customHeight="1">
      <c r="P4785" t="str">
        <f t="shared" si="148"/>
        <v/>
      </c>
      <c r="Q4785" t="str">
        <f>IF(P4785="","",IFERROR(IF(AND(H4785="W7",OR(F4785="causal",F4785="predictive")),IF(AND(OR(K4785=1,K4785="1"),OR(L4785=1,L4785="1"),OR(M4785=1,M4785="1")),"adequate","partial"),IF(AND(H4785="W4",F4785="predictive",OR(J4785="P2",J4785="P3",J4785="P4")),IF(OR(U4785=1,U4785="1"),"adequate","partial"),INDEX(Fit_Matrix!$B:$B,MATCH(P4785,Fit_Matrix!$A:$A,0)))),"CHECK KEY"))</f>
        <v/>
      </c>
      <c r="U4785" s="10"/>
      <c r="V4785" s="10"/>
      <c r="W4785" s="10"/>
      <c r="X4785" s="10"/>
      <c r="Y4785" s="10"/>
      <c r="Z4785" s="10"/>
      <c r="AA4785" s="11" t="str">
        <f t="shared" si="149"/>
        <v/>
      </c>
    </row>
    <row r="4786" spans="16:27" ht="15" customHeight="1">
      <c r="P4786" t="str">
        <f t="shared" si="148"/>
        <v/>
      </c>
      <c r="Q4786" t="str">
        <f>IF(P4786="","",IFERROR(IF(AND(H4786="W7",OR(F4786="causal",F4786="predictive")),IF(AND(OR(K4786=1,K4786="1"),OR(L4786=1,L4786="1"),OR(M4786=1,M4786="1")),"adequate","partial"),IF(AND(H4786="W4",F4786="predictive",OR(J4786="P2",J4786="P3",J4786="P4")),IF(OR(U4786=1,U4786="1"),"adequate","partial"),INDEX(Fit_Matrix!$B:$B,MATCH(P4786,Fit_Matrix!$A:$A,0)))),"CHECK KEY"))</f>
        <v/>
      </c>
      <c r="U4786" s="10"/>
      <c r="V4786" s="10"/>
      <c r="W4786" s="10"/>
      <c r="X4786" s="10"/>
      <c r="Y4786" s="10"/>
      <c r="Z4786" s="10"/>
      <c r="AA4786" s="11" t="str">
        <f t="shared" si="149"/>
        <v/>
      </c>
    </row>
    <row r="4787" spans="16:27" ht="15" customHeight="1">
      <c r="P4787" t="str">
        <f t="shared" si="148"/>
        <v/>
      </c>
      <c r="Q4787" t="str">
        <f>IF(P4787="","",IFERROR(IF(AND(H4787="W7",OR(F4787="causal",F4787="predictive")),IF(AND(OR(K4787=1,K4787="1"),OR(L4787=1,L4787="1"),OR(M4787=1,M4787="1")),"adequate","partial"),IF(AND(H4787="W4",F4787="predictive",OR(J4787="P2",J4787="P3",J4787="P4")),IF(OR(U4787=1,U4787="1"),"adequate","partial"),INDEX(Fit_Matrix!$B:$B,MATCH(P4787,Fit_Matrix!$A:$A,0)))),"CHECK KEY"))</f>
        <v/>
      </c>
      <c r="U4787" s="10"/>
      <c r="V4787" s="10"/>
      <c r="W4787" s="10"/>
      <c r="X4787" s="10"/>
      <c r="Y4787" s="10"/>
      <c r="Z4787" s="10"/>
      <c r="AA4787" s="11" t="str">
        <f t="shared" si="149"/>
        <v/>
      </c>
    </row>
    <row r="4788" spans="16:27" ht="15" customHeight="1">
      <c r="P4788" t="str">
        <f t="shared" si="148"/>
        <v/>
      </c>
      <c r="Q4788" t="str">
        <f>IF(P4788="","",IFERROR(IF(AND(H4788="W7",OR(F4788="causal",F4788="predictive")),IF(AND(OR(K4788=1,K4788="1"),OR(L4788=1,L4788="1"),OR(M4788=1,M4788="1")),"adequate","partial"),IF(AND(H4788="W4",F4788="predictive",OR(J4788="P2",J4788="P3",J4788="P4")),IF(OR(U4788=1,U4788="1"),"adequate","partial"),INDEX(Fit_Matrix!$B:$B,MATCH(P4788,Fit_Matrix!$A:$A,0)))),"CHECK KEY"))</f>
        <v/>
      </c>
      <c r="U4788" s="10"/>
      <c r="V4788" s="10"/>
      <c r="W4788" s="10"/>
      <c r="X4788" s="10"/>
      <c r="Y4788" s="10"/>
      <c r="Z4788" s="10"/>
      <c r="AA4788" s="11" t="str">
        <f t="shared" si="149"/>
        <v/>
      </c>
    </row>
    <row r="4789" spans="16:27" ht="15" customHeight="1">
      <c r="P4789" t="str">
        <f t="shared" si="148"/>
        <v/>
      </c>
      <c r="Q4789" t="str">
        <f>IF(P4789="","",IFERROR(IF(AND(H4789="W7",OR(F4789="causal",F4789="predictive")),IF(AND(OR(K4789=1,K4789="1"),OR(L4789=1,L4789="1"),OR(M4789=1,M4789="1")),"adequate","partial"),IF(AND(H4789="W4",F4789="predictive",OR(J4789="P2",J4789="P3",J4789="P4")),IF(OR(U4789=1,U4789="1"),"adequate","partial"),INDEX(Fit_Matrix!$B:$B,MATCH(P4789,Fit_Matrix!$A:$A,0)))),"CHECK KEY"))</f>
        <v/>
      </c>
      <c r="U4789" s="10"/>
      <c r="V4789" s="10"/>
      <c r="W4789" s="10"/>
      <c r="X4789" s="10"/>
      <c r="Y4789" s="10"/>
      <c r="Z4789" s="10"/>
      <c r="AA4789" s="11" t="str">
        <f t="shared" si="149"/>
        <v/>
      </c>
    </row>
    <row r="4790" spans="16:27" ht="15" customHeight="1">
      <c r="P4790" t="str">
        <f t="shared" si="148"/>
        <v/>
      </c>
      <c r="Q4790" t="str">
        <f>IF(P4790="","",IFERROR(IF(AND(H4790="W7",OR(F4790="causal",F4790="predictive")),IF(AND(OR(K4790=1,K4790="1"),OR(L4790=1,L4790="1"),OR(M4790=1,M4790="1")),"adequate","partial"),IF(AND(H4790="W4",F4790="predictive",OR(J4790="P2",J4790="P3",J4790="P4")),IF(OR(U4790=1,U4790="1"),"adequate","partial"),INDEX(Fit_Matrix!$B:$B,MATCH(P4790,Fit_Matrix!$A:$A,0)))),"CHECK KEY"))</f>
        <v/>
      </c>
      <c r="U4790" s="10"/>
      <c r="V4790" s="10"/>
      <c r="W4790" s="10"/>
      <c r="X4790" s="10"/>
      <c r="Y4790" s="10"/>
      <c r="Z4790" s="10"/>
      <c r="AA4790" s="11" t="str">
        <f t="shared" si="149"/>
        <v/>
      </c>
    </row>
    <row r="4791" spans="16:27" ht="15" customHeight="1">
      <c r="P4791" t="str">
        <f t="shared" si="148"/>
        <v/>
      </c>
      <c r="Q4791" t="str">
        <f>IF(P4791="","",IFERROR(IF(AND(H4791="W7",OR(F4791="causal",F4791="predictive")),IF(AND(OR(K4791=1,K4791="1"),OR(L4791=1,L4791="1"),OR(M4791=1,M4791="1")),"adequate","partial"),IF(AND(H4791="W4",F4791="predictive",OR(J4791="P2",J4791="P3",J4791="P4")),IF(OR(U4791=1,U4791="1"),"adequate","partial"),INDEX(Fit_Matrix!$B:$B,MATCH(P4791,Fit_Matrix!$A:$A,0)))),"CHECK KEY"))</f>
        <v/>
      </c>
      <c r="U4791" s="10"/>
      <c r="V4791" s="10"/>
      <c r="W4791" s="10"/>
      <c r="X4791" s="10"/>
      <c r="Y4791" s="10"/>
      <c r="Z4791" s="10"/>
      <c r="AA4791" s="11" t="str">
        <f t="shared" si="149"/>
        <v/>
      </c>
    </row>
    <row r="4792" spans="16:27" ht="15" customHeight="1">
      <c r="P4792" t="str">
        <f t="shared" si="148"/>
        <v/>
      </c>
      <c r="Q4792" t="str">
        <f>IF(P4792="","",IFERROR(IF(AND(H4792="W7",OR(F4792="causal",F4792="predictive")),IF(AND(OR(K4792=1,K4792="1"),OR(L4792=1,L4792="1"),OR(M4792=1,M4792="1")),"adequate","partial"),IF(AND(H4792="W4",F4792="predictive",OR(J4792="P2",J4792="P3",J4792="P4")),IF(OR(U4792=1,U4792="1"),"adequate","partial"),INDEX(Fit_Matrix!$B:$B,MATCH(P4792,Fit_Matrix!$A:$A,0)))),"CHECK KEY"))</f>
        <v/>
      </c>
      <c r="U4792" s="10"/>
      <c r="V4792" s="10"/>
      <c r="W4792" s="10"/>
      <c r="X4792" s="10"/>
      <c r="Y4792" s="10"/>
      <c r="Z4792" s="10"/>
      <c r="AA4792" s="11" t="str">
        <f t="shared" si="149"/>
        <v/>
      </c>
    </row>
    <row r="4793" spans="16:27" ht="15" customHeight="1">
      <c r="P4793" t="str">
        <f t="shared" si="148"/>
        <v/>
      </c>
      <c r="Q4793" t="str">
        <f>IF(P4793="","",IFERROR(IF(AND(H4793="W7",OR(F4793="causal",F4793="predictive")),IF(AND(OR(K4793=1,K4793="1"),OR(L4793=1,L4793="1"),OR(M4793=1,M4793="1")),"adequate","partial"),IF(AND(H4793="W4",F4793="predictive",OR(J4793="P2",J4793="P3",J4793="P4")),IF(OR(U4793=1,U4793="1"),"adequate","partial"),INDEX(Fit_Matrix!$B:$B,MATCH(P4793,Fit_Matrix!$A:$A,0)))),"CHECK KEY"))</f>
        <v/>
      </c>
      <c r="U4793" s="10"/>
      <c r="V4793" s="10"/>
      <c r="W4793" s="10"/>
      <c r="X4793" s="10"/>
      <c r="Y4793" s="10"/>
      <c r="Z4793" s="10"/>
      <c r="AA4793" s="11" t="str">
        <f t="shared" si="149"/>
        <v/>
      </c>
    </row>
    <row r="4794" spans="16:27" ht="15" customHeight="1">
      <c r="P4794" t="str">
        <f t="shared" si="148"/>
        <v/>
      </c>
      <c r="Q4794" t="str">
        <f>IF(P4794="","",IFERROR(IF(AND(H4794="W7",OR(F4794="causal",F4794="predictive")),IF(AND(OR(K4794=1,K4794="1"),OR(L4794=1,L4794="1"),OR(M4794=1,M4794="1")),"adequate","partial"),IF(AND(H4794="W4",F4794="predictive",OR(J4794="P2",J4794="P3",J4794="P4")),IF(OR(U4794=1,U4794="1"),"adequate","partial"),INDEX(Fit_Matrix!$B:$B,MATCH(P4794,Fit_Matrix!$A:$A,0)))),"CHECK KEY"))</f>
        <v/>
      </c>
      <c r="U4794" s="10"/>
      <c r="V4794" s="10"/>
      <c r="W4794" s="10"/>
      <c r="X4794" s="10"/>
      <c r="Y4794" s="10"/>
      <c r="Z4794" s="10"/>
      <c r="AA4794" s="11" t="str">
        <f t="shared" si="149"/>
        <v/>
      </c>
    </row>
    <row r="4795" spans="16:27" ht="15" customHeight="1">
      <c r="P4795" t="str">
        <f t="shared" si="148"/>
        <v/>
      </c>
      <c r="Q4795" t="str">
        <f>IF(P4795="","",IFERROR(IF(AND(H4795="W7",OR(F4795="causal",F4795="predictive")),IF(AND(OR(K4795=1,K4795="1"),OR(L4795=1,L4795="1"),OR(M4795=1,M4795="1")),"adequate","partial"),IF(AND(H4795="W4",F4795="predictive",OR(J4795="P2",J4795="P3",J4795="P4")),IF(OR(U4795=1,U4795="1"),"adequate","partial"),INDEX(Fit_Matrix!$B:$B,MATCH(P4795,Fit_Matrix!$A:$A,0)))),"CHECK KEY"))</f>
        <v/>
      </c>
      <c r="U4795" s="10"/>
      <c r="V4795" s="10"/>
      <c r="W4795" s="10"/>
      <c r="X4795" s="10"/>
      <c r="Y4795" s="10"/>
      <c r="Z4795" s="10"/>
      <c r="AA4795" s="11" t="str">
        <f t="shared" si="149"/>
        <v/>
      </c>
    </row>
    <row r="4796" spans="16:27" ht="15" customHeight="1">
      <c r="P4796" t="str">
        <f t="shared" si="148"/>
        <v/>
      </c>
      <c r="Q4796" t="str">
        <f>IF(P4796="","",IFERROR(IF(AND(H4796="W7",OR(F4796="causal",F4796="predictive")),IF(AND(OR(K4796=1,K4796="1"),OR(L4796=1,L4796="1"),OR(M4796=1,M4796="1")),"adequate","partial"),IF(AND(H4796="W4",F4796="predictive",OR(J4796="P2",J4796="P3",J4796="P4")),IF(OR(U4796=1,U4796="1"),"adequate","partial"),INDEX(Fit_Matrix!$B:$B,MATCH(P4796,Fit_Matrix!$A:$A,0)))),"CHECK KEY"))</f>
        <v/>
      </c>
      <c r="U4796" s="10"/>
      <c r="V4796" s="10"/>
      <c r="W4796" s="10"/>
      <c r="X4796" s="10"/>
      <c r="Y4796" s="10"/>
      <c r="Z4796" s="10"/>
      <c r="AA4796" s="11" t="str">
        <f t="shared" si="149"/>
        <v/>
      </c>
    </row>
    <row r="4797" spans="16:27" ht="15" customHeight="1">
      <c r="P4797" t="str">
        <f t="shared" si="148"/>
        <v/>
      </c>
      <c r="Q4797" t="str">
        <f>IF(P4797="","",IFERROR(IF(AND(H4797="W7",OR(F4797="causal",F4797="predictive")),IF(AND(OR(K4797=1,K4797="1"),OR(L4797=1,L4797="1"),OR(M4797=1,M4797="1")),"adequate","partial"),IF(AND(H4797="W4",F4797="predictive",OR(J4797="P2",J4797="P3",J4797="P4")),IF(OR(U4797=1,U4797="1"),"adequate","partial"),INDEX(Fit_Matrix!$B:$B,MATCH(P4797,Fit_Matrix!$A:$A,0)))),"CHECK KEY"))</f>
        <v/>
      </c>
      <c r="U4797" s="10"/>
      <c r="V4797" s="10"/>
      <c r="W4797" s="10"/>
      <c r="X4797" s="10"/>
      <c r="Y4797" s="10"/>
      <c r="Z4797" s="10"/>
      <c r="AA4797" s="11" t="str">
        <f t="shared" si="149"/>
        <v/>
      </c>
    </row>
    <row r="4798" spans="16:27" ht="15" customHeight="1">
      <c r="P4798" t="str">
        <f t="shared" si="148"/>
        <v/>
      </c>
      <c r="Q4798" t="str">
        <f>IF(P4798="","",IFERROR(IF(AND(H4798="W7",OR(F4798="causal",F4798="predictive")),IF(AND(OR(K4798=1,K4798="1"),OR(L4798=1,L4798="1"),OR(M4798=1,M4798="1")),"adequate","partial"),IF(AND(H4798="W4",F4798="predictive",OR(J4798="P2",J4798="P3",J4798="P4")),IF(OR(U4798=1,U4798="1"),"adequate","partial"),INDEX(Fit_Matrix!$B:$B,MATCH(P4798,Fit_Matrix!$A:$A,0)))),"CHECK KEY"))</f>
        <v/>
      </c>
      <c r="U4798" s="10"/>
      <c r="V4798" s="10"/>
      <c r="W4798" s="10"/>
      <c r="X4798" s="10"/>
      <c r="Y4798" s="10"/>
      <c r="Z4798" s="10"/>
      <c r="AA4798" s="11" t="str">
        <f t="shared" si="149"/>
        <v/>
      </c>
    </row>
    <row r="4799" spans="16:27" ht="15" customHeight="1">
      <c r="P4799" t="str">
        <f t="shared" si="148"/>
        <v/>
      </c>
      <c r="Q4799" t="str">
        <f>IF(P4799="","",IFERROR(IF(AND(H4799="W7",OR(F4799="causal",F4799="predictive")),IF(AND(OR(K4799=1,K4799="1"),OR(L4799=1,L4799="1"),OR(M4799=1,M4799="1")),"adequate","partial"),IF(AND(H4799="W4",F4799="predictive",OR(J4799="P2",J4799="P3",J4799="P4")),IF(OR(U4799=1,U4799="1"),"adequate","partial"),INDEX(Fit_Matrix!$B:$B,MATCH(P4799,Fit_Matrix!$A:$A,0)))),"CHECK KEY"))</f>
        <v/>
      </c>
      <c r="U4799" s="10"/>
      <c r="V4799" s="10"/>
      <c r="W4799" s="10"/>
      <c r="X4799" s="10"/>
      <c r="Y4799" s="10"/>
      <c r="Z4799" s="10"/>
      <c r="AA4799" s="11" t="str">
        <f t="shared" si="149"/>
        <v/>
      </c>
    </row>
    <row r="4800" spans="16:27" ht="15" customHeight="1">
      <c r="P4800" t="str">
        <f t="shared" si="148"/>
        <v/>
      </c>
      <c r="Q4800" t="str">
        <f>IF(P4800="","",IFERROR(IF(AND(H4800="W7",OR(F4800="causal",F4800="predictive")),IF(AND(OR(K4800=1,K4800="1"),OR(L4800=1,L4800="1"),OR(M4800=1,M4800="1")),"adequate","partial"),IF(AND(H4800="W4",F4800="predictive",OR(J4800="P2",J4800="P3",J4800="P4")),IF(OR(U4800=1,U4800="1"),"adequate","partial"),INDEX(Fit_Matrix!$B:$B,MATCH(P4800,Fit_Matrix!$A:$A,0)))),"CHECK KEY"))</f>
        <v/>
      </c>
      <c r="U4800" s="10"/>
      <c r="V4800" s="10"/>
      <c r="W4800" s="10"/>
      <c r="X4800" s="10"/>
      <c r="Y4800" s="10"/>
      <c r="Z4800" s="10"/>
      <c r="AA4800" s="11" t="str">
        <f t="shared" si="149"/>
        <v/>
      </c>
    </row>
    <row r="4801" spans="16:27" ht="15" customHeight="1">
      <c r="P4801" t="str">
        <f t="shared" si="148"/>
        <v/>
      </c>
      <c r="Q4801" t="str">
        <f>IF(P4801="","",IFERROR(IF(AND(H4801="W7",OR(F4801="causal",F4801="predictive")),IF(AND(OR(K4801=1,K4801="1"),OR(L4801=1,L4801="1"),OR(M4801=1,M4801="1")),"adequate","partial"),IF(AND(H4801="W4",F4801="predictive",OR(J4801="P2",J4801="P3",J4801="P4")),IF(OR(U4801=1,U4801="1"),"adequate","partial"),INDEX(Fit_Matrix!$B:$B,MATCH(P4801,Fit_Matrix!$A:$A,0)))),"CHECK KEY"))</f>
        <v/>
      </c>
      <c r="U4801" s="10"/>
      <c r="V4801" s="10"/>
      <c r="W4801" s="10"/>
      <c r="X4801" s="10"/>
      <c r="Y4801" s="10"/>
      <c r="Z4801" s="10"/>
      <c r="AA4801" s="11" t="str">
        <f t="shared" si="149"/>
        <v/>
      </c>
    </row>
    <row r="4802" spans="16:27" ht="15" customHeight="1">
      <c r="P4802" t="str">
        <f t="shared" ref="P4802:P4865" si="150">IF(OR(F4802="",H4802="",J4802=""),"",J4802&amp;"|"&amp;F4802&amp;"|"&amp;IF(H4802="W3","W3_"&amp;IF(I4802="","unknown",I4802),H4802))</f>
        <v/>
      </c>
      <c r="Q4802" t="str">
        <f>IF(P4802="","",IFERROR(IF(AND(H4802="W7",OR(F4802="causal",F4802="predictive")),IF(AND(OR(K4802=1,K4802="1"),OR(L4802=1,L4802="1"),OR(M4802=1,M4802="1")),"adequate","partial"),IF(AND(H4802="W4",F4802="predictive",OR(J4802="P2",J4802="P3",J4802="P4")),IF(OR(U4802=1,U4802="1"),"adequate","partial"),INDEX(Fit_Matrix!$B:$B,MATCH(P4802,Fit_Matrix!$A:$A,0)))),"CHECK KEY"))</f>
        <v/>
      </c>
      <c r="U4802" s="10"/>
      <c r="V4802" s="10"/>
      <c r="W4802" s="10"/>
      <c r="X4802" s="10"/>
      <c r="Y4802" s="10"/>
      <c r="Z4802" s="10"/>
      <c r="AA4802" s="11" t="str">
        <f t="shared" ref="AA4802:AA4865" si="151">IF(A4802="","",IF(AND(J4802="P4",F4802="causal"),"P4-CAUSAL",""))</f>
        <v/>
      </c>
    </row>
    <row r="4803" spans="16:27" ht="15" customHeight="1">
      <c r="P4803" t="str">
        <f t="shared" si="150"/>
        <v/>
      </c>
      <c r="Q4803" t="str">
        <f>IF(P4803="","",IFERROR(IF(AND(H4803="W7",OR(F4803="causal",F4803="predictive")),IF(AND(OR(K4803=1,K4803="1"),OR(L4803=1,L4803="1"),OR(M4803=1,M4803="1")),"adequate","partial"),IF(AND(H4803="W4",F4803="predictive",OR(J4803="P2",J4803="P3",J4803="P4")),IF(OR(U4803=1,U4803="1"),"adequate","partial"),INDEX(Fit_Matrix!$B:$B,MATCH(P4803,Fit_Matrix!$A:$A,0)))),"CHECK KEY"))</f>
        <v/>
      </c>
      <c r="U4803" s="10"/>
      <c r="V4803" s="10"/>
      <c r="W4803" s="10"/>
      <c r="X4803" s="10"/>
      <c r="Y4803" s="10"/>
      <c r="Z4803" s="10"/>
      <c r="AA4803" s="11" t="str">
        <f t="shared" si="151"/>
        <v/>
      </c>
    </row>
    <row r="4804" spans="16:27" ht="15" customHeight="1">
      <c r="P4804" t="str">
        <f t="shared" si="150"/>
        <v/>
      </c>
      <c r="Q4804" t="str">
        <f>IF(P4804="","",IFERROR(IF(AND(H4804="W7",OR(F4804="causal",F4804="predictive")),IF(AND(OR(K4804=1,K4804="1"),OR(L4804=1,L4804="1"),OR(M4804=1,M4804="1")),"adequate","partial"),IF(AND(H4804="W4",F4804="predictive",OR(J4804="P2",J4804="P3",J4804="P4")),IF(OR(U4804=1,U4804="1"),"adequate","partial"),INDEX(Fit_Matrix!$B:$B,MATCH(P4804,Fit_Matrix!$A:$A,0)))),"CHECK KEY"))</f>
        <v/>
      </c>
      <c r="U4804" s="10"/>
      <c r="V4804" s="10"/>
      <c r="W4804" s="10"/>
      <c r="X4804" s="10"/>
      <c r="Y4804" s="10"/>
      <c r="Z4804" s="10"/>
      <c r="AA4804" s="11" t="str">
        <f t="shared" si="151"/>
        <v/>
      </c>
    </row>
    <row r="4805" spans="16:27" ht="15" customHeight="1">
      <c r="P4805" t="str">
        <f t="shared" si="150"/>
        <v/>
      </c>
      <c r="Q4805" t="str">
        <f>IF(P4805="","",IFERROR(IF(AND(H4805="W7",OR(F4805="causal",F4805="predictive")),IF(AND(OR(K4805=1,K4805="1"),OR(L4805=1,L4805="1"),OR(M4805=1,M4805="1")),"adequate","partial"),IF(AND(H4805="W4",F4805="predictive",OR(J4805="P2",J4805="P3",J4805="P4")),IF(OR(U4805=1,U4805="1"),"adequate","partial"),INDEX(Fit_Matrix!$B:$B,MATCH(P4805,Fit_Matrix!$A:$A,0)))),"CHECK KEY"))</f>
        <v/>
      </c>
      <c r="U4805" s="10"/>
      <c r="V4805" s="10"/>
      <c r="W4805" s="10"/>
      <c r="X4805" s="10"/>
      <c r="Y4805" s="10"/>
      <c r="Z4805" s="10"/>
      <c r="AA4805" s="11" t="str">
        <f t="shared" si="151"/>
        <v/>
      </c>
    </row>
    <row r="4806" spans="16:27" ht="15" customHeight="1">
      <c r="P4806" t="str">
        <f t="shared" si="150"/>
        <v/>
      </c>
      <c r="Q4806" t="str">
        <f>IF(P4806="","",IFERROR(IF(AND(H4806="W7",OR(F4806="causal",F4806="predictive")),IF(AND(OR(K4806=1,K4806="1"),OR(L4806=1,L4806="1"),OR(M4806=1,M4806="1")),"adequate","partial"),IF(AND(H4806="W4",F4806="predictive",OR(J4806="P2",J4806="P3",J4806="P4")),IF(OR(U4806=1,U4806="1"),"adequate","partial"),INDEX(Fit_Matrix!$B:$B,MATCH(P4806,Fit_Matrix!$A:$A,0)))),"CHECK KEY"))</f>
        <v/>
      </c>
      <c r="U4806" s="10"/>
      <c r="V4806" s="10"/>
      <c r="W4806" s="10"/>
      <c r="X4806" s="10"/>
      <c r="Y4806" s="10"/>
      <c r="Z4806" s="10"/>
      <c r="AA4806" s="11" t="str">
        <f t="shared" si="151"/>
        <v/>
      </c>
    </row>
    <row r="4807" spans="16:27" ht="15" customHeight="1">
      <c r="P4807" t="str">
        <f t="shared" si="150"/>
        <v/>
      </c>
      <c r="Q4807" t="str">
        <f>IF(P4807="","",IFERROR(IF(AND(H4807="W7",OR(F4807="causal",F4807="predictive")),IF(AND(OR(K4807=1,K4807="1"),OR(L4807=1,L4807="1"),OR(M4807=1,M4807="1")),"adequate","partial"),IF(AND(H4807="W4",F4807="predictive",OR(J4807="P2",J4807="P3",J4807="P4")),IF(OR(U4807=1,U4807="1"),"adequate","partial"),INDEX(Fit_Matrix!$B:$B,MATCH(P4807,Fit_Matrix!$A:$A,0)))),"CHECK KEY"))</f>
        <v/>
      </c>
      <c r="U4807" s="10"/>
      <c r="V4807" s="10"/>
      <c r="W4807" s="10"/>
      <c r="X4807" s="10"/>
      <c r="Y4807" s="10"/>
      <c r="Z4807" s="10"/>
      <c r="AA4807" s="11" t="str">
        <f t="shared" si="151"/>
        <v/>
      </c>
    </row>
    <row r="4808" spans="16:27" ht="15" customHeight="1">
      <c r="P4808" t="str">
        <f t="shared" si="150"/>
        <v/>
      </c>
      <c r="Q4808" t="str">
        <f>IF(P4808="","",IFERROR(IF(AND(H4808="W7",OR(F4808="causal",F4808="predictive")),IF(AND(OR(K4808=1,K4808="1"),OR(L4808=1,L4808="1"),OR(M4808=1,M4808="1")),"adequate","partial"),IF(AND(H4808="W4",F4808="predictive",OR(J4808="P2",J4808="P3",J4808="P4")),IF(OR(U4808=1,U4808="1"),"adequate","partial"),INDEX(Fit_Matrix!$B:$B,MATCH(P4808,Fit_Matrix!$A:$A,0)))),"CHECK KEY"))</f>
        <v/>
      </c>
      <c r="U4808" s="10"/>
      <c r="V4808" s="10"/>
      <c r="W4808" s="10"/>
      <c r="X4808" s="10"/>
      <c r="Y4808" s="10"/>
      <c r="Z4808" s="10"/>
      <c r="AA4808" s="11" t="str">
        <f t="shared" si="151"/>
        <v/>
      </c>
    </row>
    <row r="4809" spans="16:27" ht="15" customHeight="1">
      <c r="P4809" t="str">
        <f t="shared" si="150"/>
        <v/>
      </c>
      <c r="Q4809" t="str">
        <f>IF(P4809="","",IFERROR(IF(AND(H4809="W7",OR(F4809="causal",F4809="predictive")),IF(AND(OR(K4809=1,K4809="1"),OR(L4809=1,L4809="1"),OR(M4809=1,M4809="1")),"adequate","partial"),IF(AND(H4809="W4",F4809="predictive",OR(J4809="P2",J4809="P3",J4809="P4")),IF(OR(U4809=1,U4809="1"),"adequate","partial"),INDEX(Fit_Matrix!$B:$B,MATCH(P4809,Fit_Matrix!$A:$A,0)))),"CHECK KEY"))</f>
        <v/>
      </c>
      <c r="U4809" s="10"/>
      <c r="V4809" s="10"/>
      <c r="W4809" s="10"/>
      <c r="X4809" s="10"/>
      <c r="Y4809" s="10"/>
      <c r="Z4809" s="10"/>
      <c r="AA4809" s="11" t="str">
        <f t="shared" si="151"/>
        <v/>
      </c>
    </row>
    <row r="4810" spans="16:27" ht="15" customHeight="1">
      <c r="P4810" t="str">
        <f t="shared" si="150"/>
        <v/>
      </c>
      <c r="Q4810" t="str">
        <f>IF(P4810="","",IFERROR(IF(AND(H4810="W7",OR(F4810="causal",F4810="predictive")),IF(AND(OR(K4810=1,K4810="1"),OR(L4810=1,L4810="1"),OR(M4810=1,M4810="1")),"adequate","partial"),IF(AND(H4810="W4",F4810="predictive",OR(J4810="P2",J4810="P3",J4810="P4")),IF(OR(U4810=1,U4810="1"),"adequate","partial"),INDEX(Fit_Matrix!$B:$B,MATCH(P4810,Fit_Matrix!$A:$A,0)))),"CHECK KEY"))</f>
        <v/>
      </c>
      <c r="U4810" s="10"/>
      <c r="V4810" s="10"/>
      <c r="W4810" s="10"/>
      <c r="X4810" s="10"/>
      <c r="Y4810" s="10"/>
      <c r="Z4810" s="10"/>
      <c r="AA4810" s="11" t="str">
        <f t="shared" si="151"/>
        <v/>
      </c>
    </row>
    <row r="4811" spans="16:27" ht="15" customHeight="1">
      <c r="P4811" t="str">
        <f t="shared" si="150"/>
        <v/>
      </c>
      <c r="Q4811" t="str">
        <f>IF(P4811="","",IFERROR(IF(AND(H4811="W7",OR(F4811="causal",F4811="predictive")),IF(AND(OR(K4811=1,K4811="1"),OR(L4811=1,L4811="1"),OR(M4811=1,M4811="1")),"adequate","partial"),IF(AND(H4811="W4",F4811="predictive",OR(J4811="P2",J4811="P3",J4811="P4")),IF(OR(U4811=1,U4811="1"),"adequate","partial"),INDEX(Fit_Matrix!$B:$B,MATCH(P4811,Fit_Matrix!$A:$A,0)))),"CHECK KEY"))</f>
        <v/>
      </c>
      <c r="U4811" s="10"/>
      <c r="V4811" s="10"/>
      <c r="W4811" s="10"/>
      <c r="X4811" s="10"/>
      <c r="Y4811" s="10"/>
      <c r="Z4811" s="10"/>
      <c r="AA4811" s="11" t="str">
        <f t="shared" si="151"/>
        <v/>
      </c>
    </row>
    <row r="4812" spans="16:27" ht="15" customHeight="1">
      <c r="P4812" t="str">
        <f t="shared" si="150"/>
        <v/>
      </c>
      <c r="Q4812" t="str">
        <f>IF(P4812="","",IFERROR(IF(AND(H4812="W7",OR(F4812="causal",F4812="predictive")),IF(AND(OR(K4812=1,K4812="1"),OR(L4812=1,L4812="1"),OR(M4812=1,M4812="1")),"adequate","partial"),IF(AND(H4812="W4",F4812="predictive",OR(J4812="P2",J4812="P3",J4812="P4")),IF(OR(U4812=1,U4812="1"),"adequate","partial"),INDEX(Fit_Matrix!$B:$B,MATCH(P4812,Fit_Matrix!$A:$A,0)))),"CHECK KEY"))</f>
        <v/>
      </c>
      <c r="U4812" s="10"/>
      <c r="V4812" s="10"/>
      <c r="W4812" s="10"/>
      <c r="X4812" s="10"/>
      <c r="Y4812" s="10"/>
      <c r="Z4812" s="10"/>
      <c r="AA4812" s="11" t="str">
        <f t="shared" si="151"/>
        <v/>
      </c>
    </row>
    <row r="4813" spans="16:27" ht="15" customHeight="1">
      <c r="P4813" t="str">
        <f t="shared" si="150"/>
        <v/>
      </c>
      <c r="Q4813" t="str">
        <f>IF(P4813="","",IFERROR(IF(AND(H4813="W7",OR(F4813="causal",F4813="predictive")),IF(AND(OR(K4813=1,K4813="1"),OR(L4813=1,L4813="1"),OR(M4813=1,M4813="1")),"adequate","partial"),IF(AND(H4813="W4",F4813="predictive",OR(J4813="P2",J4813="P3",J4813="P4")),IF(OR(U4813=1,U4813="1"),"adequate","partial"),INDEX(Fit_Matrix!$B:$B,MATCH(P4813,Fit_Matrix!$A:$A,0)))),"CHECK KEY"))</f>
        <v/>
      </c>
      <c r="U4813" s="10"/>
      <c r="V4813" s="10"/>
      <c r="W4813" s="10"/>
      <c r="X4813" s="10"/>
      <c r="Y4813" s="10"/>
      <c r="Z4813" s="10"/>
      <c r="AA4813" s="11" t="str">
        <f t="shared" si="151"/>
        <v/>
      </c>
    </row>
    <row r="4814" spans="16:27" ht="15" customHeight="1">
      <c r="P4814" t="str">
        <f t="shared" si="150"/>
        <v/>
      </c>
      <c r="Q4814" t="str">
        <f>IF(P4814="","",IFERROR(IF(AND(H4814="W7",OR(F4814="causal",F4814="predictive")),IF(AND(OR(K4814=1,K4814="1"),OR(L4814=1,L4814="1"),OR(M4814=1,M4814="1")),"adequate","partial"),IF(AND(H4814="W4",F4814="predictive",OR(J4814="P2",J4814="P3",J4814="P4")),IF(OR(U4814=1,U4814="1"),"adequate","partial"),INDEX(Fit_Matrix!$B:$B,MATCH(P4814,Fit_Matrix!$A:$A,0)))),"CHECK KEY"))</f>
        <v/>
      </c>
      <c r="U4814" s="10"/>
      <c r="V4814" s="10"/>
      <c r="W4814" s="10"/>
      <c r="X4814" s="10"/>
      <c r="Y4814" s="10"/>
      <c r="Z4814" s="10"/>
      <c r="AA4814" s="11" t="str">
        <f t="shared" si="151"/>
        <v/>
      </c>
    </row>
    <row r="4815" spans="16:27" ht="15" customHeight="1">
      <c r="P4815" t="str">
        <f t="shared" si="150"/>
        <v/>
      </c>
      <c r="Q4815" t="str">
        <f>IF(P4815="","",IFERROR(IF(AND(H4815="W7",OR(F4815="causal",F4815="predictive")),IF(AND(OR(K4815=1,K4815="1"),OR(L4815=1,L4815="1"),OR(M4815=1,M4815="1")),"adequate","partial"),IF(AND(H4815="W4",F4815="predictive",OR(J4815="P2",J4815="P3",J4815="P4")),IF(OR(U4815=1,U4815="1"),"adequate","partial"),INDEX(Fit_Matrix!$B:$B,MATCH(P4815,Fit_Matrix!$A:$A,0)))),"CHECK KEY"))</f>
        <v/>
      </c>
      <c r="U4815" s="10"/>
      <c r="V4815" s="10"/>
      <c r="W4815" s="10"/>
      <c r="X4815" s="10"/>
      <c r="Y4815" s="10"/>
      <c r="Z4815" s="10"/>
      <c r="AA4815" s="11" t="str">
        <f t="shared" si="151"/>
        <v/>
      </c>
    </row>
    <row r="4816" spans="16:27" ht="15" customHeight="1">
      <c r="P4816" t="str">
        <f t="shared" si="150"/>
        <v/>
      </c>
      <c r="Q4816" t="str">
        <f>IF(P4816="","",IFERROR(IF(AND(H4816="W7",OR(F4816="causal",F4816="predictive")),IF(AND(OR(K4816=1,K4816="1"),OR(L4816=1,L4816="1"),OR(M4816=1,M4816="1")),"adequate","partial"),IF(AND(H4816="W4",F4816="predictive",OR(J4816="P2",J4816="P3",J4816="P4")),IF(OR(U4816=1,U4816="1"),"adequate","partial"),INDEX(Fit_Matrix!$B:$B,MATCH(P4816,Fit_Matrix!$A:$A,0)))),"CHECK KEY"))</f>
        <v/>
      </c>
      <c r="U4816" s="10"/>
      <c r="V4816" s="10"/>
      <c r="W4816" s="10"/>
      <c r="X4816" s="10"/>
      <c r="Y4816" s="10"/>
      <c r="Z4816" s="10"/>
      <c r="AA4816" s="11" t="str">
        <f t="shared" si="151"/>
        <v/>
      </c>
    </row>
    <row r="4817" spans="16:27" ht="15" customHeight="1">
      <c r="P4817" t="str">
        <f t="shared" si="150"/>
        <v/>
      </c>
      <c r="Q4817" t="str">
        <f>IF(P4817="","",IFERROR(IF(AND(H4817="W7",OR(F4817="causal",F4817="predictive")),IF(AND(OR(K4817=1,K4817="1"),OR(L4817=1,L4817="1"),OR(M4817=1,M4817="1")),"adequate","partial"),IF(AND(H4817="W4",F4817="predictive",OR(J4817="P2",J4817="P3",J4817="P4")),IF(OR(U4817=1,U4817="1"),"adequate","partial"),INDEX(Fit_Matrix!$B:$B,MATCH(P4817,Fit_Matrix!$A:$A,0)))),"CHECK KEY"))</f>
        <v/>
      </c>
      <c r="U4817" s="10"/>
      <c r="V4817" s="10"/>
      <c r="W4817" s="10"/>
      <c r="X4817" s="10"/>
      <c r="Y4817" s="10"/>
      <c r="Z4817" s="10"/>
      <c r="AA4817" s="11" t="str">
        <f t="shared" si="151"/>
        <v/>
      </c>
    </row>
    <row r="4818" spans="16:27" ht="15" customHeight="1">
      <c r="P4818" t="str">
        <f t="shared" si="150"/>
        <v/>
      </c>
      <c r="Q4818" t="str">
        <f>IF(P4818="","",IFERROR(IF(AND(H4818="W7",OR(F4818="causal",F4818="predictive")),IF(AND(OR(K4818=1,K4818="1"),OR(L4818=1,L4818="1"),OR(M4818=1,M4818="1")),"adequate","partial"),IF(AND(H4818="W4",F4818="predictive",OR(J4818="P2",J4818="P3",J4818="P4")),IF(OR(U4818=1,U4818="1"),"adequate","partial"),INDEX(Fit_Matrix!$B:$B,MATCH(P4818,Fit_Matrix!$A:$A,0)))),"CHECK KEY"))</f>
        <v/>
      </c>
      <c r="U4818" s="10"/>
      <c r="V4818" s="10"/>
      <c r="W4818" s="10"/>
      <c r="X4818" s="10"/>
      <c r="Y4818" s="10"/>
      <c r="Z4818" s="10"/>
      <c r="AA4818" s="11" t="str">
        <f t="shared" si="151"/>
        <v/>
      </c>
    </row>
    <row r="4819" spans="16:27" ht="15" customHeight="1">
      <c r="P4819" t="str">
        <f t="shared" si="150"/>
        <v/>
      </c>
      <c r="Q4819" t="str">
        <f>IF(P4819="","",IFERROR(IF(AND(H4819="W7",OR(F4819="causal",F4819="predictive")),IF(AND(OR(K4819=1,K4819="1"),OR(L4819=1,L4819="1"),OR(M4819=1,M4819="1")),"adequate","partial"),IF(AND(H4819="W4",F4819="predictive",OR(J4819="P2",J4819="P3",J4819="P4")),IF(OR(U4819=1,U4819="1"),"adequate","partial"),INDEX(Fit_Matrix!$B:$B,MATCH(P4819,Fit_Matrix!$A:$A,0)))),"CHECK KEY"))</f>
        <v/>
      </c>
      <c r="U4819" s="10"/>
      <c r="V4819" s="10"/>
      <c r="W4819" s="10"/>
      <c r="X4819" s="10"/>
      <c r="Y4819" s="10"/>
      <c r="Z4819" s="10"/>
      <c r="AA4819" s="11" t="str">
        <f t="shared" si="151"/>
        <v/>
      </c>
    </row>
    <row r="4820" spans="16:27" ht="15" customHeight="1">
      <c r="P4820" t="str">
        <f t="shared" si="150"/>
        <v/>
      </c>
      <c r="Q4820" t="str">
        <f>IF(P4820="","",IFERROR(IF(AND(H4820="W7",OR(F4820="causal",F4820="predictive")),IF(AND(OR(K4820=1,K4820="1"),OR(L4820=1,L4820="1"),OR(M4820=1,M4820="1")),"adequate","partial"),IF(AND(H4820="W4",F4820="predictive",OR(J4820="P2",J4820="P3",J4820="P4")),IF(OR(U4820=1,U4820="1"),"adequate","partial"),INDEX(Fit_Matrix!$B:$B,MATCH(P4820,Fit_Matrix!$A:$A,0)))),"CHECK KEY"))</f>
        <v/>
      </c>
      <c r="U4820" s="10"/>
      <c r="V4820" s="10"/>
      <c r="W4820" s="10"/>
      <c r="X4820" s="10"/>
      <c r="Y4820" s="10"/>
      <c r="Z4820" s="10"/>
      <c r="AA4820" s="11" t="str">
        <f t="shared" si="151"/>
        <v/>
      </c>
    </row>
    <row r="4821" spans="16:27" ht="15" customHeight="1">
      <c r="P4821" t="str">
        <f t="shared" si="150"/>
        <v/>
      </c>
      <c r="Q4821" t="str">
        <f>IF(P4821="","",IFERROR(IF(AND(H4821="W7",OR(F4821="causal",F4821="predictive")),IF(AND(OR(K4821=1,K4821="1"),OR(L4821=1,L4821="1"),OR(M4821=1,M4821="1")),"adequate","partial"),IF(AND(H4821="W4",F4821="predictive",OR(J4821="P2",J4821="P3",J4821="P4")),IF(OR(U4821=1,U4821="1"),"adequate","partial"),INDEX(Fit_Matrix!$B:$B,MATCH(P4821,Fit_Matrix!$A:$A,0)))),"CHECK KEY"))</f>
        <v/>
      </c>
      <c r="U4821" s="10"/>
      <c r="V4821" s="10"/>
      <c r="W4821" s="10"/>
      <c r="X4821" s="10"/>
      <c r="Y4821" s="10"/>
      <c r="Z4821" s="10"/>
      <c r="AA4821" s="11" t="str">
        <f t="shared" si="151"/>
        <v/>
      </c>
    </row>
    <row r="4822" spans="16:27" ht="15" customHeight="1">
      <c r="P4822" t="str">
        <f t="shared" si="150"/>
        <v/>
      </c>
      <c r="Q4822" t="str">
        <f>IF(P4822="","",IFERROR(IF(AND(H4822="W7",OR(F4822="causal",F4822="predictive")),IF(AND(OR(K4822=1,K4822="1"),OR(L4822=1,L4822="1"),OR(M4822=1,M4822="1")),"adequate","partial"),IF(AND(H4822="W4",F4822="predictive",OR(J4822="P2",J4822="P3",J4822="P4")),IF(OR(U4822=1,U4822="1"),"adequate","partial"),INDEX(Fit_Matrix!$B:$B,MATCH(P4822,Fit_Matrix!$A:$A,0)))),"CHECK KEY"))</f>
        <v/>
      </c>
      <c r="U4822" s="10"/>
      <c r="V4822" s="10"/>
      <c r="W4822" s="10"/>
      <c r="X4822" s="10"/>
      <c r="Y4822" s="10"/>
      <c r="Z4822" s="10"/>
      <c r="AA4822" s="11" t="str">
        <f t="shared" si="151"/>
        <v/>
      </c>
    </row>
    <row r="4823" spans="16:27" ht="15" customHeight="1">
      <c r="P4823" t="str">
        <f t="shared" si="150"/>
        <v/>
      </c>
      <c r="Q4823" t="str">
        <f>IF(P4823="","",IFERROR(IF(AND(H4823="W7",OR(F4823="causal",F4823="predictive")),IF(AND(OR(K4823=1,K4823="1"),OR(L4823=1,L4823="1"),OR(M4823=1,M4823="1")),"adequate","partial"),IF(AND(H4823="W4",F4823="predictive",OR(J4823="P2",J4823="P3",J4823="P4")),IF(OR(U4823=1,U4823="1"),"adequate","partial"),INDEX(Fit_Matrix!$B:$B,MATCH(P4823,Fit_Matrix!$A:$A,0)))),"CHECK KEY"))</f>
        <v/>
      </c>
      <c r="U4823" s="10"/>
      <c r="V4823" s="10"/>
      <c r="W4823" s="10"/>
      <c r="X4823" s="10"/>
      <c r="Y4823" s="10"/>
      <c r="Z4823" s="10"/>
      <c r="AA4823" s="11" t="str">
        <f t="shared" si="151"/>
        <v/>
      </c>
    </row>
    <row r="4824" spans="16:27" ht="15" customHeight="1">
      <c r="P4824" t="str">
        <f t="shared" si="150"/>
        <v/>
      </c>
      <c r="Q4824" t="str">
        <f>IF(P4824="","",IFERROR(IF(AND(H4824="W7",OR(F4824="causal",F4824="predictive")),IF(AND(OR(K4824=1,K4824="1"),OR(L4824=1,L4824="1"),OR(M4824=1,M4824="1")),"adequate","partial"),IF(AND(H4824="W4",F4824="predictive",OR(J4824="P2",J4824="P3",J4824="P4")),IF(OR(U4824=1,U4824="1"),"adequate","partial"),INDEX(Fit_Matrix!$B:$B,MATCH(P4824,Fit_Matrix!$A:$A,0)))),"CHECK KEY"))</f>
        <v/>
      </c>
      <c r="U4824" s="10"/>
      <c r="V4824" s="10"/>
      <c r="W4824" s="10"/>
      <c r="X4824" s="10"/>
      <c r="Y4824" s="10"/>
      <c r="Z4824" s="10"/>
      <c r="AA4824" s="11" t="str">
        <f t="shared" si="151"/>
        <v/>
      </c>
    </row>
    <row r="4825" spans="16:27" ht="15" customHeight="1">
      <c r="P4825" t="str">
        <f t="shared" si="150"/>
        <v/>
      </c>
      <c r="Q4825" t="str">
        <f>IF(P4825="","",IFERROR(IF(AND(H4825="W7",OR(F4825="causal",F4825="predictive")),IF(AND(OR(K4825=1,K4825="1"),OR(L4825=1,L4825="1"),OR(M4825=1,M4825="1")),"adequate","partial"),IF(AND(H4825="W4",F4825="predictive",OR(J4825="P2",J4825="P3",J4825="P4")),IF(OR(U4825=1,U4825="1"),"adequate","partial"),INDEX(Fit_Matrix!$B:$B,MATCH(P4825,Fit_Matrix!$A:$A,0)))),"CHECK KEY"))</f>
        <v/>
      </c>
      <c r="U4825" s="10"/>
      <c r="V4825" s="10"/>
      <c r="W4825" s="10"/>
      <c r="X4825" s="10"/>
      <c r="Y4825" s="10"/>
      <c r="Z4825" s="10"/>
      <c r="AA4825" s="11" t="str">
        <f t="shared" si="151"/>
        <v/>
      </c>
    </row>
    <row r="4826" spans="16:27" ht="15" customHeight="1">
      <c r="P4826" t="str">
        <f t="shared" si="150"/>
        <v/>
      </c>
      <c r="Q4826" t="str">
        <f>IF(P4826="","",IFERROR(IF(AND(H4826="W7",OR(F4826="causal",F4826="predictive")),IF(AND(OR(K4826=1,K4826="1"),OR(L4826=1,L4826="1"),OR(M4826=1,M4826="1")),"adequate","partial"),IF(AND(H4826="W4",F4826="predictive",OR(J4826="P2",J4826="P3",J4826="P4")),IF(OR(U4826=1,U4826="1"),"adequate","partial"),INDEX(Fit_Matrix!$B:$B,MATCH(P4826,Fit_Matrix!$A:$A,0)))),"CHECK KEY"))</f>
        <v/>
      </c>
      <c r="U4826" s="10"/>
      <c r="V4826" s="10"/>
      <c r="W4826" s="10"/>
      <c r="X4826" s="10"/>
      <c r="Y4826" s="10"/>
      <c r="Z4826" s="10"/>
      <c r="AA4826" s="11" t="str">
        <f t="shared" si="151"/>
        <v/>
      </c>
    </row>
    <row r="4827" spans="16:27" ht="15" customHeight="1">
      <c r="P4827" t="str">
        <f t="shared" si="150"/>
        <v/>
      </c>
      <c r="Q4827" t="str">
        <f>IF(P4827="","",IFERROR(IF(AND(H4827="W7",OR(F4827="causal",F4827="predictive")),IF(AND(OR(K4827=1,K4827="1"),OR(L4827=1,L4827="1"),OR(M4827=1,M4827="1")),"adequate","partial"),IF(AND(H4827="W4",F4827="predictive",OR(J4827="P2",J4827="P3",J4827="P4")),IF(OR(U4827=1,U4827="1"),"adequate","partial"),INDEX(Fit_Matrix!$B:$B,MATCH(P4827,Fit_Matrix!$A:$A,0)))),"CHECK KEY"))</f>
        <v/>
      </c>
      <c r="U4827" s="10"/>
      <c r="V4827" s="10"/>
      <c r="W4827" s="10"/>
      <c r="X4827" s="10"/>
      <c r="Y4827" s="10"/>
      <c r="Z4827" s="10"/>
      <c r="AA4827" s="11" t="str">
        <f t="shared" si="151"/>
        <v/>
      </c>
    </row>
    <row r="4828" spans="16:27" ht="15" customHeight="1">
      <c r="P4828" t="str">
        <f t="shared" si="150"/>
        <v/>
      </c>
      <c r="Q4828" t="str">
        <f>IF(P4828="","",IFERROR(IF(AND(H4828="W7",OR(F4828="causal",F4828="predictive")),IF(AND(OR(K4828=1,K4828="1"),OR(L4828=1,L4828="1"),OR(M4828=1,M4828="1")),"adequate","partial"),IF(AND(H4828="W4",F4828="predictive",OR(J4828="P2",J4828="P3",J4828="P4")),IF(OR(U4828=1,U4828="1"),"adequate","partial"),INDEX(Fit_Matrix!$B:$B,MATCH(P4828,Fit_Matrix!$A:$A,0)))),"CHECK KEY"))</f>
        <v/>
      </c>
      <c r="U4828" s="10"/>
      <c r="V4828" s="10"/>
      <c r="W4828" s="10"/>
      <c r="X4828" s="10"/>
      <c r="Y4828" s="10"/>
      <c r="Z4828" s="10"/>
      <c r="AA4828" s="11" t="str">
        <f t="shared" si="151"/>
        <v/>
      </c>
    </row>
    <row r="4829" spans="16:27" ht="15" customHeight="1">
      <c r="P4829" t="str">
        <f t="shared" si="150"/>
        <v/>
      </c>
      <c r="Q4829" t="str">
        <f>IF(P4829="","",IFERROR(IF(AND(H4829="W7",OR(F4829="causal",F4829="predictive")),IF(AND(OR(K4829=1,K4829="1"),OR(L4829=1,L4829="1"),OR(M4829=1,M4829="1")),"adequate","partial"),IF(AND(H4829="W4",F4829="predictive",OR(J4829="P2",J4829="P3",J4829="P4")),IF(OR(U4829=1,U4829="1"),"adequate","partial"),INDEX(Fit_Matrix!$B:$B,MATCH(P4829,Fit_Matrix!$A:$A,0)))),"CHECK KEY"))</f>
        <v/>
      </c>
      <c r="U4829" s="10"/>
      <c r="V4829" s="10"/>
      <c r="W4829" s="10"/>
      <c r="X4829" s="10"/>
      <c r="Y4829" s="10"/>
      <c r="Z4829" s="10"/>
      <c r="AA4829" s="11" t="str">
        <f t="shared" si="151"/>
        <v/>
      </c>
    </row>
    <row r="4830" spans="16:27" ht="15" customHeight="1">
      <c r="P4830" t="str">
        <f t="shared" si="150"/>
        <v/>
      </c>
      <c r="Q4830" t="str">
        <f>IF(P4830="","",IFERROR(IF(AND(H4830="W7",OR(F4830="causal",F4830="predictive")),IF(AND(OR(K4830=1,K4830="1"),OR(L4830=1,L4830="1"),OR(M4830=1,M4830="1")),"adequate","partial"),IF(AND(H4830="W4",F4830="predictive",OR(J4830="P2",J4830="P3",J4830="P4")),IF(OR(U4830=1,U4830="1"),"adequate","partial"),INDEX(Fit_Matrix!$B:$B,MATCH(P4830,Fit_Matrix!$A:$A,0)))),"CHECK KEY"))</f>
        <v/>
      </c>
      <c r="U4830" s="10"/>
      <c r="V4830" s="10"/>
      <c r="W4830" s="10"/>
      <c r="X4830" s="10"/>
      <c r="Y4830" s="10"/>
      <c r="Z4830" s="10"/>
      <c r="AA4830" s="11" t="str">
        <f t="shared" si="151"/>
        <v/>
      </c>
    </row>
    <row r="4831" spans="16:27" ht="15" customHeight="1">
      <c r="P4831" t="str">
        <f t="shared" si="150"/>
        <v/>
      </c>
      <c r="Q4831" t="str">
        <f>IF(P4831="","",IFERROR(IF(AND(H4831="W7",OR(F4831="causal",F4831="predictive")),IF(AND(OR(K4831=1,K4831="1"),OR(L4831=1,L4831="1"),OR(M4831=1,M4831="1")),"adequate","partial"),IF(AND(H4831="W4",F4831="predictive",OR(J4831="P2",J4831="P3",J4831="P4")),IF(OR(U4831=1,U4831="1"),"adequate","partial"),INDEX(Fit_Matrix!$B:$B,MATCH(P4831,Fit_Matrix!$A:$A,0)))),"CHECK KEY"))</f>
        <v/>
      </c>
      <c r="U4831" s="10"/>
      <c r="V4831" s="10"/>
      <c r="W4831" s="10"/>
      <c r="X4831" s="10"/>
      <c r="Y4831" s="10"/>
      <c r="Z4831" s="10"/>
      <c r="AA4831" s="11" t="str">
        <f t="shared" si="151"/>
        <v/>
      </c>
    </row>
    <row r="4832" spans="16:27" ht="15" customHeight="1">
      <c r="P4832" t="str">
        <f t="shared" si="150"/>
        <v/>
      </c>
      <c r="Q4832" t="str">
        <f>IF(P4832="","",IFERROR(IF(AND(H4832="W7",OR(F4832="causal",F4832="predictive")),IF(AND(OR(K4832=1,K4832="1"),OR(L4832=1,L4832="1"),OR(M4832=1,M4832="1")),"adequate","partial"),IF(AND(H4832="W4",F4832="predictive",OR(J4832="P2",J4832="P3",J4832="P4")),IF(OR(U4832=1,U4832="1"),"adequate","partial"),INDEX(Fit_Matrix!$B:$B,MATCH(P4832,Fit_Matrix!$A:$A,0)))),"CHECK KEY"))</f>
        <v/>
      </c>
      <c r="U4832" s="10"/>
      <c r="V4832" s="10"/>
      <c r="W4832" s="10"/>
      <c r="X4832" s="10"/>
      <c r="Y4832" s="10"/>
      <c r="Z4832" s="10"/>
      <c r="AA4832" s="11" t="str">
        <f t="shared" si="151"/>
        <v/>
      </c>
    </row>
    <row r="4833" spans="16:27" ht="15" customHeight="1">
      <c r="P4833" t="str">
        <f t="shared" si="150"/>
        <v/>
      </c>
      <c r="Q4833" t="str">
        <f>IF(P4833="","",IFERROR(IF(AND(H4833="W7",OR(F4833="causal",F4833="predictive")),IF(AND(OR(K4833=1,K4833="1"),OR(L4833=1,L4833="1"),OR(M4833=1,M4833="1")),"adequate","partial"),IF(AND(H4833="W4",F4833="predictive",OR(J4833="P2",J4833="P3",J4833="P4")),IF(OR(U4833=1,U4833="1"),"adequate","partial"),INDEX(Fit_Matrix!$B:$B,MATCH(P4833,Fit_Matrix!$A:$A,0)))),"CHECK KEY"))</f>
        <v/>
      </c>
      <c r="U4833" s="10"/>
      <c r="V4833" s="10"/>
      <c r="W4833" s="10"/>
      <c r="X4833" s="10"/>
      <c r="Y4833" s="10"/>
      <c r="Z4833" s="10"/>
      <c r="AA4833" s="11" t="str">
        <f t="shared" si="151"/>
        <v/>
      </c>
    </row>
    <row r="4834" spans="16:27" ht="15" customHeight="1">
      <c r="P4834" t="str">
        <f t="shared" si="150"/>
        <v/>
      </c>
      <c r="Q4834" t="str">
        <f>IF(P4834="","",IFERROR(IF(AND(H4834="W7",OR(F4834="causal",F4834="predictive")),IF(AND(OR(K4834=1,K4834="1"),OR(L4834=1,L4834="1"),OR(M4834=1,M4834="1")),"adequate","partial"),IF(AND(H4834="W4",F4834="predictive",OR(J4834="P2",J4834="P3",J4834="P4")),IF(OR(U4834=1,U4834="1"),"adequate","partial"),INDEX(Fit_Matrix!$B:$B,MATCH(P4834,Fit_Matrix!$A:$A,0)))),"CHECK KEY"))</f>
        <v/>
      </c>
      <c r="U4834" s="10"/>
      <c r="V4834" s="10"/>
      <c r="W4834" s="10"/>
      <c r="X4834" s="10"/>
      <c r="Y4834" s="10"/>
      <c r="Z4834" s="10"/>
      <c r="AA4834" s="11" t="str">
        <f t="shared" si="151"/>
        <v/>
      </c>
    </row>
    <row r="4835" spans="16:27" ht="15" customHeight="1">
      <c r="P4835" t="str">
        <f t="shared" si="150"/>
        <v/>
      </c>
      <c r="Q4835" t="str">
        <f>IF(P4835="","",IFERROR(IF(AND(H4835="W7",OR(F4835="causal",F4835="predictive")),IF(AND(OR(K4835=1,K4835="1"),OR(L4835=1,L4835="1"),OR(M4835=1,M4835="1")),"adequate","partial"),IF(AND(H4835="W4",F4835="predictive",OR(J4835="P2",J4835="P3",J4835="P4")),IF(OR(U4835=1,U4835="1"),"adequate","partial"),INDEX(Fit_Matrix!$B:$B,MATCH(P4835,Fit_Matrix!$A:$A,0)))),"CHECK KEY"))</f>
        <v/>
      </c>
      <c r="U4835" s="10"/>
      <c r="V4835" s="10"/>
      <c r="W4835" s="10"/>
      <c r="X4835" s="10"/>
      <c r="Y4835" s="10"/>
      <c r="Z4835" s="10"/>
      <c r="AA4835" s="11" t="str">
        <f t="shared" si="151"/>
        <v/>
      </c>
    </row>
    <row r="4836" spans="16:27" ht="15" customHeight="1">
      <c r="P4836" t="str">
        <f t="shared" si="150"/>
        <v/>
      </c>
      <c r="Q4836" t="str">
        <f>IF(P4836="","",IFERROR(IF(AND(H4836="W7",OR(F4836="causal",F4836="predictive")),IF(AND(OR(K4836=1,K4836="1"),OR(L4836=1,L4836="1"),OR(M4836=1,M4836="1")),"adequate","partial"),IF(AND(H4836="W4",F4836="predictive",OR(J4836="P2",J4836="P3",J4836="P4")),IF(OR(U4836=1,U4836="1"),"adequate","partial"),INDEX(Fit_Matrix!$B:$B,MATCH(P4836,Fit_Matrix!$A:$A,0)))),"CHECK KEY"))</f>
        <v/>
      </c>
      <c r="U4836" s="10"/>
      <c r="V4836" s="10"/>
      <c r="W4836" s="10"/>
      <c r="X4836" s="10"/>
      <c r="Y4836" s="10"/>
      <c r="Z4836" s="10"/>
      <c r="AA4836" s="11" t="str">
        <f t="shared" si="151"/>
        <v/>
      </c>
    </row>
    <row r="4837" spans="16:27" ht="15" customHeight="1">
      <c r="P4837" t="str">
        <f t="shared" si="150"/>
        <v/>
      </c>
      <c r="Q4837" t="str">
        <f>IF(P4837="","",IFERROR(IF(AND(H4837="W7",OR(F4837="causal",F4837="predictive")),IF(AND(OR(K4837=1,K4837="1"),OR(L4837=1,L4837="1"),OR(M4837=1,M4837="1")),"adequate","partial"),IF(AND(H4837="W4",F4837="predictive",OR(J4837="P2",J4837="P3",J4837="P4")),IF(OR(U4837=1,U4837="1"),"adequate","partial"),INDEX(Fit_Matrix!$B:$B,MATCH(P4837,Fit_Matrix!$A:$A,0)))),"CHECK KEY"))</f>
        <v/>
      </c>
      <c r="U4837" s="10"/>
      <c r="V4837" s="10"/>
      <c r="W4837" s="10"/>
      <c r="X4837" s="10"/>
      <c r="Y4837" s="10"/>
      <c r="Z4837" s="10"/>
      <c r="AA4837" s="11" t="str">
        <f t="shared" si="151"/>
        <v/>
      </c>
    </row>
    <row r="4838" spans="16:27" ht="15" customHeight="1">
      <c r="P4838" t="str">
        <f t="shared" si="150"/>
        <v/>
      </c>
      <c r="Q4838" t="str">
        <f>IF(P4838="","",IFERROR(IF(AND(H4838="W7",OR(F4838="causal",F4838="predictive")),IF(AND(OR(K4838=1,K4838="1"),OR(L4838=1,L4838="1"),OR(M4838=1,M4838="1")),"adequate","partial"),IF(AND(H4838="W4",F4838="predictive",OR(J4838="P2",J4838="P3",J4838="P4")),IF(OR(U4838=1,U4838="1"),"adequate","partial"),INDEX(Fit_Matrix!$B:$B,MATCH(P4838,Fit_Matrix!$A:$A,0)))),"CHECK KEY"))</f>
        <v/>
      </c>
      <c r="U4838" s="10"/>
      <c r="V4838" s="10"/>
      <c r="W4838" s="10"/>
      <c r="X4838" s="10"/>
      <c r="Y4838" s="10"/>
      <c r="Z4838" s="10"/>
      <c r="AA4838" s="11" t="str">
        <f t="shared" si="151"/>
        <v/>
      </c>
    </row>
    <row r="4839" spans="16:27" ht="15" customHeight="1">
      <c r="P4839" t="str">
        <f t="shared" si="150"/>
        <v/>
      </c>
      <c r="Q4839" t="str">
        <f>IF(P4839="","",IFERROR(IF(AND(H4839="W7",OR(F4839="causal",F4839="predictive")),IF(AND(OR(K4839=1,K4839="1"),OR(L4839=1,L4839="1"),OR(M4839=1,M4839="1")),"adequate","partial"),IF(AND(H4839="W4",F4839="predictive",OR(J4839="P2",J4839="P3",J4839="P4")),IF(OR(U4839=1,U4839="1"),"adequate","partial"),INDEX(Fit_Matrix!$B:$B,MATCH(P4839,Fit_Matrix!$A:$A,0)))),"CHECK KEY"))</f>
        <v/>
      </c>
      <c r="U4839" s="10"/>
      <c r="V4839" s="10"/>
      <c r="W4839" s="10"/>
      <c r="X4839" s="10"/>
      <c r="Y4839" s="10"/>
      <c r="Z4839" s="10"/>
      <c r="AA4839" s="11" t="str">
        <f t="shared" si="151"/>
        <v/>
      </c>
    </row>
    <row r="4840" spans="16:27" ht="15" customHeight="1">
      <c r="P4840" t="str">
        <f t="shared" si="150"/>
        <v/>
      </c>
      <c r="Q4840" t="str">
        <f>IF(P4840="","",IFERROR(IF(AND(H4840="W7",OR(F4840="causal",F4840="predictive")),IF(AND(OR(K4840=1,K4840="1"),OR(L4840=1,L4840="1"),OR(M4840=1,M4840="1")),"adequate","partial"),IF(AND(H4840="W4",F4840="predictive",OR(J4840="P2",J4840="P3",J4840="P4")),IF(OR(U4840=1,U4840="1"),"adequate","partial"),INDEX(Fit_Matrix!$B:$B,MATCH(P4840,Fit_Matrix!$A:$A,0)))),"CHECK KEY"))</f>
        <v/>
      </c>
      <c r="U4840" s="10"/>
      <c r="V4840" s="10"/>
      <c r="W4840" s="10"/>
      <c r="X4840" s="10"/>
      <c r="Y4840" s="10"/>
      <c r="Z4840" s="10"/>
      <c r="AA4840" s="11" t="str">
        <f t="shared" si="151"/>
        <v/>
      </c>
    </row>
    <row r="4841" spans="16:27" ht="15" customHeight="1">
      <c r="P4841" t="str">
        <f t="shared" si="150"/>
        <v/>
      </c>
      <c r="Q4841" t="str">
        <f>IF(P4841="","",IFERROR(IF(AND(H4841="W7",OR(F4841="causal",F4841="predictive")),IF(AND(OR(K4841=1,K4841="1"),OR(L4841=1,L4841="1"),OR(M4841=1,M4841="1")),"adequate","partial"),IF(AND(H4841="W4",F4841="predictive",OR(J4841="P2",J4841="P3",J4841="P4")),IF(OR(U4841=1,U4841="1"),"adequate","partial"),INDEX(Fit_Matrix!$B:$B,MATCH(P4841,Fit_Matrix!$A:$A,0)))),"CHECK KEY"))</f>
        <v/>
      </c>
      <c r="U4841" s="10"/>
      <c r="V4841" s="10"/>
      <c r="W4841" s="10"/>
      <c r="X4841" s="10"/>
      <c r="Y4841" s="10"/>
      <c r="Z4841" s="10"/>
      <c r="AA4841" s="11" t="str">
        <f t="shared" si="151"/>
        <v/>
      </c>
    </row>
    <row r="4842" spans="16:27" ht="15" customHeight="1">
      <c r="P4842" t="str">
        <f t="shared" si="150"/>
        <v/>
      </c>
      <c r="Q4842" t="str">
        <f>IF(P4842="","",IFERROR(IF(AND(H4842="W7",OR(F4842="causal",F4842="predictive")),IF(AND(OR(K4842=1,K4842="1"),OR(L4842=1,L4842="1"),OR(M4842=1,M4842="1")),"adequate","partial"),IF(AND(H4842="W4",F4842="predictive",OR(J4842="P2",J4842="P3",J4842="P4")),IF(OR(U4842=1,U4842="1"),"adequate","partial"),INDEX(Fit_Matrix!$B:$B,MATCH(P4842,Fit_Matrix!$A:$A,0)))),"CHECK KEY"))</f>
        <v/>
      </c>
      <c r="U4842" s="10"/>
      <c r="V4842" s="10"/>
      <c r="W4842" s="10"/>
      <c r="X4842" s="10"/>
      <c r="Y4842" s="10"/>
      <c r="Z4842" s="10"/>
      <c r="AA4842" s="11" t="str">
        <f t="shared" si="151"/>
        <v/>
      </c>
    </row>
    <row r="4843" spans="16:27" ht="15" customHeight="1">
      <c r="P4843" t="str">
        <f t="shared" si="150"/>
        <v/>
      </c>
      <c r="Q4843" t="str">
        <f>IF(P4843="","",IFERROR(IF(AND(H4843="W7",OR(F4843="causal",F4843="predictive")),IF(AND(OR(K4843=1,K4843="1"),OR(L4843=1,L4843="1"),OR(M4843=1,M4843="1")),"adequate","partial"),IF(AND(H4843="W4",F4843="predictive",OR(J4843="P2",J4843="P3",J4843="P4")),IF(OR(U4843=1,U4843="1"),"adequate","partial"),INDEX(Fit_Matrix!$B:$B,MATCH(P4843,Fit_Matrix!$A:$A,0)))),"CHECK KEY"))</f>
        <v/>
      </c>
      <c r="U4843" s="10"/>
      <c r="V4843" s="10"/>
      <c r="W4843" s="10"/>
      <c r="X4843" s="10"/>
      <c r="Y4843" s="10"/>
      <c r="Z4843" s="10"/>
      <c r="AA4843" s="11" t="str">
        <f t="shared" si="151"/>
        <v/>
      </c>
    </row>
    <row r="4844" spans="16:27" ht="15" customHeight="1">
      <c r="P4844" t="str">
        <f t="shared" si="150"/>
        <v/>
      </c>
      <c r="Q4844" t="str">
        <f>IF(P4844="","",IFERROR(IF(AND(H4844="W7",OR(F4844="causal",F4844="predictive")),IF(AND(OR(K4844=1,K4844="1"),OR(L4844=1,L4844="1"),OR(M4844=1,M4844="1")),"adequate","partial"),IF(AND(H4844="W4",F4844="predictive",OR(J4844="P2",J4844="P3",J4844="P4")),IF(OR(U4844=1,U4844="1"),"adequate","partial"),INDEX(Fit_Matrix!$B:$B,MATCH(P4844,Fit_Matrix!$A:$A,0)))),"CHECK KEY"))</f>
        <v/>
      </c>
      <c r="U4844" s="10"/>
      <c r="V4844" s="10"/>
      <c r="W4844" s="10"/>
      <c r="X4844" s="10"/>
      <c r="Y4844" s="10"/>
      <c r="Z4844" s="10"/>
      <c r="AA4844" s="11" t="str">
        <f t="shared" si="151"/>
        <v/>
      </c>
    </row>
    <row r="4845" spans="16:27" ht="15" customHeight="1">
      <c r="P4845" t="str">
        <f t="shared" si="150"/>
        <v/>
      </c>
      <c r="Q4845" t="str">
        <f>IF(P4845="","",IFERROR(IF(AND(H4845="W7",OR(F4845="causal",F4845="predictive")),IF(AND(OR(K4845=1,K4845="1"),OR(L4845=1,L4845="1"),OR(M4845=1,M4845="1")),"adequate","partial"),IF(AND(H4845="W4",F4845="predictive",OR(J4845="P2",J4845="P3",J4845="P4")),IF(OR(U4845=1,U4845="1"),"adequate","partial"),INDEX(Fit_Matrix!$B:$B,MATCH(P4845,Fit_Matrix!$A:$A,0)))),"CHECK KEY"))</f>
        <v/>
      </c>
      <c r="U4845" s="10"/>
      <c r="V4845" s="10"/>
      <c r="W4845" s="10"/>
      <c r="X4845" s="10"/>
      <c r="Y4845" s="10"/>
      <c r="Z4845" s="10"/>
      <c r="AA4845" s="11" t="str">
        <f t="shared" si="151"/>
        <v/>
      </c>
    </row>
    <row r="4846" spans="16:27" ht="15" customHeight="1">
      <c r="P4846" t="str">
        <f t="shared" si="150"/>
        <v/>
      </c>
      <c r="Q4846" t="str">
        <f>IF(P4846="","",IFERROR(IF(AND(H4846="W7",OR(F4846="causal",F4846="predictive")),IF(AND(OR(K4846=1,K4846="1"),OR(L4846=1,L4846="1"),OR(M4846=1,M4846="1")),"adequate","partial"),IF(AND(H4846="W4",F4846="predictive",OR(J4846="P2",J4846="P3",J4846="P4")),IF(OR(U4846=1,U4846="1"),"adequate","partial"),INDEX(Fit_Matrix!$B:$B,MATCH(P4846,Fit_Matrix!$A:$A,0)))),"CHECK KEY"))</f>
        <v/>
      </c>
      <c r="U4846" s="10"/>
      <c r="V4846" s="10"/>
      <c r="W4846" s="10"/>
      <c r="X4846" s="10"/>
      <c r="Y4846" s="10"/>
      <c r="Z4846" s="10"/>
      <c r="AA4846" s="11" t="str">
        <f t="shared" si="151"/>
        <v/>
      </c>
    </row>
    <row r="4847" spans="16:27" ht="15" customHeight="1">
      <c r="P4847" t="str">
        <f t="shared" si="150"/>
        <v/>
      </c>
      <c r="Q4847" t="str">
        <f>IF(P4847="","",IFERROR(IF(AND(H4847="W7",OR(F4847="causal",F4847="predictive")),IF(AND(OR(K4847=1,K4847="1"),OR(L4847=1,L4847="1"),OR(M4847=1,M4847="1")),"adequate","partial"),IF(AND(H4847="W4",F4847="predictive",OR(J4847="P2",J4847="P3",J4847="P4")),IF(OR(U4847=1,U4847="1"),"adequate","partial"),INDEX(Fit_Matrix!$B:$B,MATCH(P4847,Fit_Matrix!$A:$A,0)))),"CHECK KEY"))</f>
        <v/>
      </c>
      <c r="U4847" s="10"/>
      <c r="V4847" s="10"/>
      <c r="W4847" s="10"/>
      <c r="X4847" s="10"/>
      <c r="Y4847" s="10"/>
      <c r="Z4847" s="10"/>
      <c r="AA4847" s="11" t="str">
        <f t="shared" si="151"/>
        <v/>
      </c>
    </row>
    <row r="4848" spans="16:27" ht="15" customHeight="1">
      <c r="P4848" t="str">
        <f t="shared" si="150"/>
        <v/>
      </c>
      <c r="Q4848" t="str">
        <f>IF(P4848="","",IFERROR(IF(AND(H4848="W7",OR(F4848="causal",F4848="predictive")),IF(AND(OR(K4848=1,K4848="1"),OR(L4848=1,L4848="1"),OR(M4848=1,M4848="1")),"adequate","partial"),IF(AND(H4848="W4",F4848="predictive",OR(J4848="P2",J4848="P3",J4848="P4")),IF(OR(U4848=1,U4848="1"),"adequate","partial"),INDEX(Fit_Matrix!$B:$B,MATCH(P4848,Fit_Matrix!$A:$A,0)))),"CHECK KEY"))</f>
        <v/>
      </c>
      <c r="U4848" s="10"/>
      <c r="V4848" s="10"/>
      <c r="W4848" s="10"/>
      <c r="X4848" s="10"/>
      <c r="Y4848" s="10"/>
      <c r="Z4848" s="10"/>
      <c r="AA4848" s="11" t="str">
        <f t="shared" si="151"/>
        <v/>
      </c>
    </row>
    <row r="4849" spans="16:27" ht="15" customHeight="1">
      <c r="P4849" t="str">
        <f t="shared" si="150"/>
        <v/>
      </c>
      <c r="Q4849" t="str">
        <f>IF(P4849="","",IFERROR(IF(AND(H4849="W7",OR(F4849="causal",F4849="predictive")),IF(AND(OR(K4849=1,K4849="1"),OR(L4849=1,L4849="1"),OR(M4849=1,M4849="1")),"adequate","partial"),IF(AND(H4849="W4",F4849="predictive",OR(J4849="P2",J4849="P3",J4849="P4")),IF(OR(U4849=1,U4849="1"),"adequate","partial"),INDEX(Fit_Matrix!$B:$B,MATCH(P4849,Fit_Matrix!$A:$A,0)))),"CHECK KEY"))</f>
        <v/>
      </c>
      <c r="U4849" s="10"/>
      <c r="V4849" s="10"/>
      <c r="W4849" s="10"/>
      <c r="X4849" s="10"/>
      <c r="Y4849" s="10"/>
      <c r="Z4849" s="10"/>
      <c r="AA4849" s="11" t="str">
        <f t="shared" si="151"/>
        <v/>
      </c>
    </row>
    <row r="4850" spans="16:27" ht="15" customHeight="1">
      <c r="P4850" t="str">
        <f t="shared" si="150"/>
        <v/>
      </c>
      <c r="Q4850" t="str">
        <f>IF(P4850="","",IFERROR(IF(AND(H4850="W7",OR(F4850="causal",F4850="predictive")),IF(AND(OR(K4850=1,K4850="1"),OR(L4850=1,L4850="1"),OR(M4850=1,M4850="1")),"adequate","partial"),IF(AND(H4850="W4",F4850="predictive",OR(J4850="P2",J4850="P3",J4850="P4")),IF(OR(U4850=1,U4850="1"),"adequate","partial"),INDEX(Fit_Matrix!$B:$B,MATCH(P4850,Fit_Matrix!$A:$A,0)))),"CHECK KEY"))</f>
        <v/>
      </c>
      <c r="U4850" s="10"/>
      <c r="V4850" s="10"/>
      <c r="W4850" s="10"/>
      <c r="X4850" s="10"/>
      <c r="Y4850" s="10"/>
      <c r="Z4850" s="10"/>
      <c r="AA4850" s="11" t="str">
        <f t="shared" si="151"/>
        <v/>
      </c>
    </row>
    <row r="4851" spans="16:27" ht="15" customHeight="1">
      <c r="P4851" t="str">
        <f t="shared" si="150"/>
        <v/>
      </c>
      <c r="Q4851" t="str">
        <f>IF(P4851="","",IFERROR(IF(AND(H4851="W7",OR(F4851="causal",F4851="predictive")),IF(AND(OR(K4851=1,K4851="1"),OR(L4851=1,L4851="1"),OR(M4851=1,M4851="1")),"adequate","partial"),IF(AND(H4851="W4",F4851="predictive",OR(J4851="P2",J4851="P3",J4851="P4")),IF(OR(U4851=1,U4851="1"),"adequate","partial"),INDEX(Fit_Matrix!$B:$B,MATCH(P4851,Fit_Matrix!$A:$A,0)))),"CHECK KEY"))</f>
        <v/>
      </c>
      <c r="U4851" s="10"/>
      <c r="V4851" s="10"/>
      <c r="W4851" s="10"/>
      <c r="X4851" s="10"/>
      <c r="Y4851" s="10"/>
      <c r="Z4851" s="10"/>
      <c r="AA4851" s="11" t="str">
        <f t="shared" si="151"/>
        <v/>
      </c>
    </row>
    <row r="4852" spans="16:27" ht="15" customHeight="1">
      <c r="P4852" t="str">
        <f t="shared" si="150"/>
        <v/>
      </c>
      <c r="Q4852" t="str">
        <f>IF(P4852="","",IFERROR(IF(AND(H4852="W7",OR(F4852="causal",F4852="predictive")),IF(AND(OR(K4852=1,K4852="1"),OR(L4852=1,L4852="1"),OR(M4852=1,M4852="1")),"adequate","partial"),IF(AND(H4852="W4",F4852="predictive",OR(J4852="P2",J4852="P3",J4852="P4")),IF(OR(U4852=1,U4852="1"),"adequate","partial"),INDEX(Fit_Matrix!$B:$B,MATCH(P4852,Fit_Matrix!$A:$A,0)))),"CHECK KEY"))</f>
        <v/>
      </c>
      <c r="U4852" s="10"/>
      <c r="V4852" s="10"/>
      <c r="W4852" s="10"/>
      <c r="X4852" s="10"/>
      <c r="Y4852" s="10"/>
      <c r="Z4852" s="10"/>
      <c r="AA4852" s="11" t="str">
        <f t="shared" si="151"/>
        <v/>
      </c>
    </row>
    <row r="4853" spans="16:27" ht="15" customHeight="1">
      <c r="P4853" t="str">
        <f t="shared" si="150"/>
        <v/>
      </c>
      <c r="Q4853" t="str">
        <f>IF(P4853="","",IFERROR(IF(AND(H4853="W7",OR(F4853="causal",F4853="predictive")),IF(AND(OR(K4853=1,K4853="1"),OR(L4853=1,L4853="1"),OR(M4853=1,M4853="1")),"adequate","partial"),IF(AND(H4853="W4",F4853="predictive",OR(J4853="P2",J4853="P3",J4853="P4")),IF(OR(U4853=1,U4853="1"),"adequate","partial"),INDEX(Fit_Matrix!$B:$B,MATCH(P4853,Fit_Matrix!$A:$A,0)))),"CHECK KEY"))</f>
        <v/>
      </c>
      <c r="U4853" s="10"/>
      <c r="V4853" s="10"/>
      <c r="W4853" s="10"/>
      <c r="X4853" s="10"/>
      <c r="Y4853" s="10"/>
      <c r="Z4853" s="10"/>
      <c r="AA4853" s="11" t="str">
        <f t="shared" si="151"/>
        <v/>
      </c>
    </row>
    <row r="4854" spans="16:27" ht="15" customHeight="1">
      <c r="P4854" t="str">
        <f t="shared" si="150"/>
        <v/>
      </c>
      <c r="Q4854" t="str">
        <f>IF(P4854="","",IFERROR(IF(AND(H4854="W7",OR(F4854="causal",F4854="predictive")),IF(AND(OR(K4854=1,K4854="1"),OR(L4854=1,L4854="1"),OR(M4854=1,M4854="1")),"adequate","partial"),IF(AND(H4854="W4",F4854="predictive",OR(J4854="P2",J4854="P3",J4854="P4")),IF(OR(U4854=1,U4854="1"),"adequate","partial"),INDEX(Fit_Matrix!$B:$B,MATCH(P4854,Fit_Matrix!$A:$A,0)))),"CHECK KEY"))</f>
        <v/>
      </c>
      <c r="U4854" s="10"/>
      <c r="V4854" s="10"/>
      <c r="W4854" s="10"/>
      <c r="X4854" s="10"/>
      <c r="Y4854" s="10"/>
      <c r="Z4854" s="10"/>
      <c r="AA4854" s="11" t="str">
        <f t="shared" si="151"/>
        <v/>
      </c>
    </row>
    <row r="4855" spans="16:27" ht="15" customHeight="1">
      <c r="P4855" t="str">
        <f t="shared" si="150"/>
        <v/>
      </c>
      <c r="Q4855" t="str">
        <f>IF(P4855="","",IFERROR(IF(AND(H4855="W7",OR(F4855="causal",F4855="predictive")),IF(AND(OR(K4855=1,K4855="1"),OR(L4855=1,L4855="1"),OR(M4855=1,M4855="1")),"adequate","partial"),IF(AND(H4855="W4",F4855="predictive",OR(J4855="P2",J4855="P3",J4855="P4")),IF(OR(U4855=1,U4855="1"),"adequate","partial"),INDEX(Fit_Matrix!$B:$B,MATCH(P4855,Fit_Matrix!$A:$A,0)))),"CHECK KEY"))</f>
        <v/>
      </c>
      <c r="U4855" s="10"/>
      <c r="V4855" s="10"/>
      <c r="W4855" s="10"/>
      <c r="X4855" s="10"/>
      <c r="Y4855" s="10"/>
      <c r="Z4855" s="10"/>
      <c r="AA4855" s="11" t="str">
        <f t="shared" si="151"/>
        <v/>
      </c>
    </row>
    <row r="4856" spans="16:27" ht="15" customHeight="1">
      <c r="P4856" t="str">
        <f t="shared" si="150"/>
        <v/>
      </c>
      <c r="Q4856" t="str">
        <f>IF(P4856="","",IFERROR(IF(AND(H4856="W7",OR(F4856="causal",F4856="predictive")),IF(AND(OR(K4856=1,K4856="1"),OR(L4856=1,L4856="1"),OR(M4856=1,M4856="1")),"adequate","partial"),IF(AND(H4856="W4",F4856="predictive",OR(J4856="P2",J4856="P3",J4856="P4")),IF(OR(U4856=1,U4856="1"),"adequate","partial"),INDEX(Fit_Matrix!$B:$B,MATCH(P4856,Fit_Matrix!$A:$A,0)))),"CHECK KEY"))</f>
        <v/>
      </c>
      <c r="U4856" s="10"/>
      <c r="V4856" s="10"/>
      <c r="W4856" s="10"/>
      <c r="X4856" s="10"/>
      <c r="Y4856" s="10"/>
      <c r="Z4856" s="10"/>
      <c r="AA4856" s="11" t="str">
        <f t="shared" si="151"/>
        <v/>
      </c>
    </row>
    <row r="4857" spans="16:27" ht="15" customHeight="1">
      <c r="P4857" t="str">
        <f t="shared" si="150"/>
        <v/>
      </c>
      <c r="Q4857" t="str">
        <f>IF(P4857="","",IFERROR(IF(AND(H4857="W7",OR(F4857="causal",F4857="predictive")),IF(AND(OR(K4857=1,K4857="1"),OR(L4857=1,L4857="1"),OR(M4857=1,M4857="1")),"adequate","partial"),IF(AND(H4857="W4",F4857="predictive",OR(J4857="P2",J4857="P3",J4857="P4")),IF(OR(U4857=1,U4857="1"),"adequate","partial"),INDEX(Fit_Matrix!$B:$B,MATCH(P4857,Fit_Matrix!$A:$A,0)))),"CHECK KEY"))</f>
        <v/>
      </c>
      <c r="U4857" s="10"/>
      <c r="V4857" s="10"/>
      <c r="W4857" s="10"/>
      <c r="X4857" s="10"/>
      <c r="Y4857" s="10"/>
      <c r="Z4857" s="10"/>
      <c r="AA4857" s="11" t="str">
        <f t="shared" si="151"/>
        <v/>
      </c>
    </row>
    <row r="4858" spans="16:27" ht="15" customHeight="1">
      <c r="P4858" t="str">
        <f t="shared" si="150"/>
        <v/>
      </c>
      <c r="Q4858" t="str">
        <f>IF(P4858="","",IFERROR(IF(AND(H4858="W7",OR(F4858="causal",F4858="predictive")),IF(AND(OR(K4858=1,K4858="1"),OR(L4858=1,L4858="1"),OR(M4858=1,M4858="1")),"adequate","partial"),IF(AND(H4858="W4",F4858="predictive",OR(J4858="P2",J4858="P3",J4858="P4")),IF(OR(U4858=1,U4858="1"),"adequate","partial"),INDEX(Fit_Matrix!$B:$B,MATCH(P4858,Fit_Matrix!$A:$A,0)))),"CHECK KEY"))</f>
        <v/>
      </c>
      <c r="U4858" s="10"/>
      <c r="V4858" s="10"/>
      <c r="W4858" s="10"/>
      <c r="X4858" s="10"/>
      <c r="Y4858" s="10"/>
      <c r="Z4858" s="10"/>
      <c r="AA4858" s="11" t="str">
        <f t="shared" si="151"/>
        <v/>
      </c>
    </row>
    <row r="4859" spans="16:27" ht="15" customHeight="1">
      <c r="P4859" t="str">
        <f t="shared" si="150"/>
        <v/>
      </c>
      <c r="Q4859" t="str">
        <f>IF(P4859="","",IFERROR(IF(AND(H4859="W7",OR(F4859="causal",F4859="predictive")),IF(AND(OR(K4859=1,K4859="1"),OR(L4859=1,L4859="1"),OR(M4859=1,M4859="1")),"adequate","partial"),IF(AND(H4859="W4",F4859="predictive",OR(J4859="P2",J4859="P3",J4859="P4")),IF(OR(U4859=1,U4859="1"),"adequate","partial"),INDEX(Fit_Matrix!$B:$B,MATCH(P4859,Fit_Matrix!$A:$A,0)))),"CHECK KEY"))</f>
        <v/>
      </c>
      <c r="U4859" s="10"/>
      <c r="V4859" s="10"/>
      <c r="W4859" s="10"/>
      <c r="X4859" s="10"/>
      <c r="Y4859" s="10"/>
      <c r="Z4859" s="10"/>
      <c r="AA4859" s="11" t="str">
        <f t="shared" si="151"/>
        <v/>
      </c>
    </row>
    <row r="4860" spans="16:27" ht="15" customHeight="1">
      <c r="P4860" t="str">
        <f t="shared" si="150"/>
        <v/>
      </c>
      <c r="Q4860" t="str">
        <f>IF(P4860="","",IFERROR(IF(AND(H4860="W7",OR(F4860="causal",F4860="predictive")),IF(AND(OR(K4860=1,K4860="1"),OR(L4860=1,L4860="1"),OR(M4860=1,M4860="1")),"adequate","partial"),IF(AND(H4860="W4",F4860="predictive",OR(J4860="P2",J4860="P3",J4860="P4")),IF(OR(U4860=1,U4860="1"),"adequate","partial"),INDEX(Fit_Matrix!$B:$B,MATCH(P4860,Fit_Matrix!$A:$A,0)))),"CHECK KEY"))</f>
        <v/>
      </c>
      <c r="U4860" s="10"/>
      <c r="V4860" s="10"/>
      <c r="W4860" s="10"/>
      <c r="X4860" s="10"/>
      <c r="Y4860" s="10"/>
      <c r="Z4860" s="10"/>
      <c r="AA4860" s="11" t="str">
        <f t="shared" si="151"/>
        <v/>
      </c>
    </row>
    <row r="4861" spans="16:27" ht="15" customHeight="1">
      <c r="P4861" t="str">
        <f t="shared" si="150"/>
        <v/>
      </c>
      <c r="Q4861" t="str">
        <f>IF(P4861="","",IFERROR(IF(AND(H4861="W7",OR(F4861="causal",F4861="predictive")),IF(AND(OR(K4861=1,K4861="1"),OR(L4861=1,L4861="1"),OR(M4861=1,M4861="1")),"adequate","partial"),IF(AND(H4861="W4",F4861="predictive",OR(J4861="P2",J4861="P3",J4861="P4")),IF(OR(U4861=1,U4861="1"),"adequate","partial"),INDEX(Fit_Matrix!$B:$B,MATCH(P4861,Fit_Matrix!$A:$A,0)))),"CHECK KEY"))</f>
        <v/>
      </c>
      <c r="U4861" s="10"/>
      <c r="V4861" s="10"/>
      <c r="W4861" s="10"/>
      <c r="X4861" s="10"/>
      <c r="Y4861" s="10"/>
      <c r="Z4861" s="10"/>
      <c r="AA4861" s="11" t="str">
        <f t="shared" si="151"/>
        <v/>
      </c>
    </row>
    <row r="4862" spans="16:27" ht="15" customHeight="1">
      <c r="P4862" t="str">
        <f t="shared" si="150"/>
        <v/>
      </c>
      <c r="Q4862" t="str">
        <f>IF(P4862="","",IFERROR(IF(AND(H4862="W7",OR(F4862="causal",F4862="predictive")),IF(AND(OR(K4862=1,K4862="1"),OR(L4862=1,L4862="1"),OR(M4862=1,M4862="1")),"adequate","partial"),IF(AND(H4862="W4",F4862="predictive",OR(J4862="P2",J4862="P3",J4862="P4")),IF(OR(U4862=1,U4862="1"),"adequate","partial"),INDEX(Fit_Matrix!$B:$B,MATCH(P4862,Fit_Matrix!$A:$A,0)))),"CHECK KEY"))</f>
        <v/>
      </c>
      <c r="U4862" s="10"/>
      <c r="V4862" s="10"/>
      <c r="W4862" s="10"/>
      <c r="X4862" s="10"/>
      <c r="Y4862" s="10"/>
      <c r="Z4862" s="10"/>
      <c r="AA4862" s="11" t="str">
        <f t="shared" si="151"/>
        <v/>
      </c>
    </row>
    <row r="4863" spans="16:27" ht="15" customHeight="1">
      <c r="P4863" t="str">
        <f t="shared" si="150"/>
        <v/>
      </c>
      <c r="Q4863" t="str">
        <f>IF(P4863="","",IFERROR(IF(AND(H4863="W7",OR(F4863="causal",F4863="predictive")),IF(AND(OR(K4863=1,K4863="1"),OR(L4863=1,L4863="1"),OR(M4863=1,M4863="1")),"adequate","partial"),IF(AND(H4863="W4",F4863="predictive",OR(J4863="P2",J4863="P3",J4863="P4")),IF(OR(U4863=1,U4863="1"),"adequate","partial"),INDEX(Fit_Matrix!$B:$B,MATCH(P4863,Fit_Matrix!$A:$A,0)))),"CHECK KEY"))</f>
        <v/>
      </c>
      <c r="U4863" s="10"/>
      <c r="V4863" s="10"/>
      <c r="W4863" s="10"/>
      <c r="X4863" s="10"/>
      <c r="Y4863" s="10"/>
      <c r="Z4863" s="10"/>
      <c r="AA4863" s="11" t="str">
        <f t="shared" si="151"/>
        <v/>
      </c>
    </row>
    <row r="4864" spans="16:27" ht="15" customHeight="1">
      <c r="P4864" t="str">
        <f t="shared" si="150"/>
        <v/>
      </c>
      <c r="Q4864" t="str">
        <f>IF(P4864="","",IFERROR(IF(AND(H4864="W7",OR(F4864="causal",F4864="predictive")),IF(AND(OR(K4864=1,K4864="1"),OR(L4864=1,L4864="1"),OR(M4864=1,M4864="1")),"adequate","partial"),IF(AND(H4864="W4",F4864="predictive",OR(J4864="P2",J4864="P3",J4864="P4")),IF(OR(U4864=1,U4864="1"),"adequate","partial"),INDEX(Fit_Matrix!$B:$B,MATCH(P4864,Fit_Matrix!$A:$A,0)))),"CHECK KEY"))</f>
        <v/>
      </c>
      <c r="U4864" s="10"/>
      <c r="V4864" s="10"/>
      <c r="W4864" s="10"/>
      <c r="X4864" s="10"/>
      <c r="Y4864" s="10"/>
      <c r="Z4864" s="10"/>
      <c r="AA4864" s="11" t="str">
        <f t="shared" si="151"/>
        <v/>
      </c>
    </row>
    <row r="4865" spans="16:27" ht="15" customHeight="1">
      <c r="P4865" t="str">
        <f t="shared" si="150"/>
        <v/>
      </c>
      <c r="Q4865" t="str">
        <f>IF(P4865="","",IFERROR(IF(AND(H4865="W7",OR(F4865="causal",F4865="predictive")),IF(AND(OR(K4865=1,K4865="1"),OR(L4865=1,L4865="1"),OR(M4865=1,M4865="1")),"adequate","partial"),IF(AND(H4865="W4",F4865="predictive",OR(J4865="P2",J4865="P3",J4865="P4")),IF(OR(U4865=1,U4865="1"),"adequate","partial"),INDEX(Fit_Matrix!$B:$B,MATCH(P4865,Fit_Matrix!$A:$A,0)))),"CHECK KEY"))</f>
        <v/>
      </c>
      <c r="U4865" s="10"/>
      <c r="V4865" s="10"/>
      <c r="W4865" s="10"/>
      <c r="X4865" s="10"/>
      <c r="Y4865" s="10"/>
      <c r="Z4865" s="10"/>
      <c r="AA4865" s="11" t="str">
        <f t="shared" si="151"/>
        <v/>
      </c>
    </row>
    <row r="4866" spans="16:27" ht="15" customHeight="1">
      <c r="P4866" t="str">
        <f t="shared" ref="P4866:P4929" si="152">IF(OR(F4866="",H4866="",J4866=""),"",J4866&amp;"|"&amp;F4866&amp;"|"&amp;IF(H4866="W3","W3_"&amp;IF(I4866="","unknown",I4866),H4866))</f>
        <v/>
      </c>
      <c r="Q4866" t="str">
        <f>IF(P4866="","",IFERROR(IF(AND(H4866="W7",OR(F4866="causal",F4866="predictive")),IF(AND(OR(K4866=1,K4866="1"),OR(L4866=1,L4866="1"),OR(M4866=1,M4866="1")),"adequate","partial"),IF(AND(H4866="W4",F4866="predictive",OR(J4866="P2",J4866="P3",J4866="P4")),IF(OR(U4866=1,U4866="1"),"adequate","partial"),INDEX(Fit_Matrix!$B:$B,MATCH(P4866,Fit_Matrix!$A:$A,0)))),"CHECK KEY"))</f>
        <v/>
      </c>
      <c r="U4866" s="10"/>
      <c r="V4866" s="10"/>
      <c r="W4866" s="10"/>
      <c r="X4866" s="10"/>
      <c r="Y4866" s="10"/>
      <c r="Z4866" s="10"/>
      <c r="AA4866" s="11" t="str">
        <f t="shared" ref="AA4866:AA4929" si="153">IF(A4866="","",IF(AND(J4866="P4",F4866="causal"),"P4-CAUSAL",""))</f>
        <v/>
      </c>
    </row>
    <row r="4867" spans="16:27" ht="15" customHeight="1">
      <c r="P4867" t="str">
        <f t="shared" si="152"/>
        <v/>
      </c>
      <c r="Q4867" t="str">
        <f>IF(P4867="","",IFERROR(IF(AND(H4867="W7",OR(F4867="causal",F4867="predictive")),IF(AND(OR(K4867=1,K4867="1"),OR(L4867=1,L4867="1"),OR(M4867=1,M4867="1")),"adequate","partial"),IF(AND(H4867="W4",F4867="predictive",OR(J4867="P2",J4867="P3",J4867="P4")),IF(OR(U4867=1,U4867="1"),"adequate","partial"),INDEX(Fit_Matrix!$B:$B,MATCH(P4867,Fit_Matrix!$A:$A,0)))),"CHECK KEY"))</f>
        <v/>
      </c>
      <c r="U4867" s="10"/>
      <c r="V4867" s="10"/>
      <c r="W4867" s="10"/>
      <c r="X4867" s="10"/>
      <c r="Y4867" s="10"/>
      <c r="Z4867" s="10"/>
      <c r="AA4867" s="11" t="str">
        <f t="shared" si="153"/>
        <v/>
      </c>
    </row>
    <row r="4868" spans="16:27" ht="15" customHeight="1">
      <c r="P4868" t="str">
        <f t="shared" si="152"/>
        <v/>
      </c>
      <c r="Q4868" t="str">
        <f>IF(P4868="","",IFERROR(IF(AND(H4868="W7",OR(F4868="causal",F4868="predictive")),IF(AND(OR(K4868=1,K4868="1"),OR(L4868=1,L4868="1"),OR(M4868=1,M4868="1")),"adequate","partial"),IF(AND(H4868="W4",F4868="predictive",OR(J4868="P2",J4868="P3",J4868="P4")),IF(OR(U4868=1,U4868="1"),"adequate","partial"),INDEX(Fit_Matrix!$B:$B,MATCH(P4868,Fit_Matrix!$A:$A,0)))),"CHECK KEY"))</f>
        <v/>
      </c>
      <c r="U4868" s="10"/>
      <c r="V4868" s="10"/>
      <c r="W4868" s="10"/>
      <c r="X4868" s="10"/>
      <c r="Y4868" s="10"/>
      <c r="Z4868" s="10"/>
      <c r="AA4868" s="11" t="str">
        <f t="shared" si="153"/>
        <v/>
      </c>
    </row>
    <row r="4869" spans="16:27" ht="15" customHeight="1">
      <c r="P4869" t="str">
        <f t="shared" si="152"/>
        <v/>
      </c>
      <c r="Q4869" t="str">
        <f>IF(P4869="","",IFERROR(IF(AND(H4869="W7",OR(F4869="causal",F4869="predictive")),IF(AND(OR(K4869=1,K4869="1"),OR(L4869=1,L4869="1"),OR(M4869=1,M4869="1")),"adequate","partial"),IF(AND(H4869="W4",F4869="predictive",OR(J4869="P2",J4869="P3",J4869="P4")),IF(OR(U4869=1,U4869="1"),"adequate","partial"),INDEX(Fit_Matrix!$B:$B,MATCH(P4869,Fit_Matrix!$A:$A,0)))),"CHECK KEY"))</f>
        <v/>
      </c>
      <c r="U4869" s="10"/>
      <c r="V4869" s="10"/>
      <c r="W4869" s="10"/>
      <c r="X4869" s="10"/>
      <c r="Y4869" s="10"/>
      <c r="Z4869" s="10"/>
      <c r="AA4869" s="11" t="str">
        <f t="shared" si="153"/>
        <v/>
      </c>
    </row>
    <row r="4870" spans="16:27" ht="15" customHeight="1">
      <c r="P4870" t="str">
        <f t="shared" si="152"/>
        <v/>
      </c>
      <c r="Q4870" t="str">
        <f>IF(P4870="","",IFERROR(IF(AND(H4870="W7",OR(F4870="causal",F4870="predictive")),IF(AND(OR(K4870=1,K4870="1"),OR(L4870=1,L4870="1"),OR(M4870=1,M4870="1")),"adequate","partial"),IF(AND(H4870="W4",F4870="predictive",OR(J4870="P2",J4870="P3",J4870="P4")),IF(OR(U4870=1,U4870="1"),"adequate","partial"),INDEX(Fit_Matrix!$B:$B,MATCH(P4870,Fit_Matrix!$A:$A,0)))),"CHECK KEY"))</f>
        <v/>
      </c>
      <c r="U4870" s="10"/>
      <c r="V4870" s="10"/>
      <c r="W4870" s="10"/>
      <c r="X4870" s="10"/>
      <c r="Y4870" s="10"/>
      <c r="Z4870" s="10"/>
      <c r="AA4870" s="11" t="str">
        <f t="shared" si="153"/>
        <v/>
      </c>
    </row>
    <row r="4871" spans="16:27" ht="15" customHeight="1">
      <c r="P4871" t="str">
        <f t="shared" si="152"/>
        <v/>
      </c>
      <c r="Q4871" t="str">
        <f>IF(P4871="","",IFERROR(IF(AND(H4871="W7",OR(F4871="causal",F4871="predictive")),IF(AND(OR(K4871=1,K4871="1"),OR(L4871=1,L4871="1"),OR(M4871=1,M4871="1")),"adequate","partial"),IF(AND(H4871="W4",F4871="predictive",OR(J4871="P2",J4871="P3",J4871="P4")),IF(OR(U4871=1,U4871="1"),"adequate","partial"),INDEX(Fit_Matrix!$B:$B,MATCH(P4871,Fit_Matrix!$A:$A,0)))),"CHECK KEY"))</f>
        <v/>
      </c>
      <c r="U4871" s="10"/>
      <c r="V4871" s="10"/>
      <c r="W4871" s="10"/>
      <c r="X4871" s="10"/>
      <c r="Y4871" s="10"/>
      <c r="Z4871" s="10"/>
      <c r="AA4871" s="11" t="str">
        <f t="shared" si="153"/>
        <v/>
      </c>
    </row>
    <row r="4872" spans="16:27" ht="15" customHeight="1">
      <c r="P4872" t="str">
        <f t="shared" si="152"/>
        <v/>
      </c>
      <c r="Q4872" t="str">
        <f>IF(P4872="","",IFERROR(IF(AND(H4872="W7",OR(F4872="causal",F4872="predictive")),IF(AND(OR(K4872=1,K4872="1"),OR(L4872=1,L4872="1"),OR(M4872=1,M4872="1")),"adequate","partial"),IF(AND(H4872="W4",F4872="predictive",OR(J4872="P2",J4872="P3",J4872="P4")),IF(OR(U4872=1,U4872="1"),"adequate","partial"),INDEX(Fit_Matrix!$B:$B,MATCH(P4872,Fit_Matrix!$A:$A,0)))),"CHECK KEY"))</f>
        <v/>
      </c>
      <c r="U4872" s="10"/>
      <c r="V4872" s="10"/>
      <c r="W4872" s="10"/>
      <c r="X4872" s="10"/>
      <c r="Y4872" s="10"/>
      <c r="Z4872" s="10"/>
      <c r="AA4872" s="11" t="str">
        <f t="shared" si="153"/>
        <v/>
      </c>
    </row>
    <row r="4873" spans="16:27" ht="15" customHeight="1">
      <c r="P4873" t="str">
        <f t="shared" si="152"/>
        <v/>
      </c>
      <c r="Q4873" t="str">
        <f>IF(P4873="","",IFERROR(IF(AND(H4873="W7",OR(F4873="causal",F4873="predictive")),IF(AND(OR(K4873=1,K4873="1"),OR(L4873=1,L4873="1"),OR(M4873=1,M4873="1")),"adequate","partial"),IF(AND(H4873="W4",F4873="predictive",OR(J4873="P2",J4873="P3",J4873="P4")),IF(OR(U4873=1,U4873="1"),"adequate","partial"),INDEX(Fit_Matrix!$B:$B,MATCH(P4873,Fit_Matrix!$A:$A,0)))),"CHECK KEY"))</f>
        <v/>
      </c>
      <c r="U4873" s="10"/>
      <c r="V4873" s="10"/>
      <c r="W4873" s="10"/>
      <c r="X4873" s="10"/>
      <c r="Y4873" s="10"/>
      <c r="Z4873" s="10"/>
      <c r="AA4873" s="11" t="str">
        <f t="shared" si="153"/>
        <v/>
      </c>
    </row>
    <row r="4874" spans="16:27" ht="15" customHeight="1">
      <c r="P4874" t="str">
        <f t="shared" si="152"/>
        <v/>
      </c>
      <c r="Q4874" t="str">
        <f>IF(P4874="","",IFERROR(IF(AND(H4874="W7",OR(F4874="causal",F4874="predictive")),IF(AND(OR(K4874=1,K4874="1"),OR(L4874=1,L4874="1"),OR(M4874=1,M4874="1")),"adequate","partial"),IF(AND(H4874="W4",F4874="predictive",OR(J4874="P2",J4874="P3",J4874="P4")),IF(OR(U4874=1,U4874="1"),"adequate","partial"),INDEX(Fit_Matrix!$B:$B,MATCH(P4874,Fit_Matrix!$A:$A,0)))),"CHECK KEY"))</f>
        <v/>
      </c>
      <c r="U4874" s="10"/>
      <c r="V4874" s="10"/>
      <c r="W4874" s="10"/>
      <c r="X4874" s="10"/>
      <c r="Y4874" s="10"/>
      <c r="Z4874" s="10"/>
      <c r="AA4874" s="11" t="str">
        <f t="shared" si="153"/>
        <v/>
      </c>
    </row>
    <row r="4875" spans="16:27" ht="15" customHeight="1">
      <c r="P4875" t="str">
        <f t="shared" si="152"/>
        <v/>
      </c>
      <c r="Q4875" t="str">
        <f>IF(P4875="","",IFERROR(IF(AND(H4875="W7",OR(F4875="causal",F4875="predictive")),IF(AND(OR(K4875=1,K4875="1"),OR(L4875=1,L4875="1"),OR(M4875=1,M4875="1")),"adequate","partial"),IF(AND(H4875="W4",F4875="predictive",OR(J4875="P2",J4875="P3",J4875="P4")),IF(OR(U4875=1,U4875="1"),"adequate","partial"),INDEX(Fit_Matrix!$B:$B,MATCH(P4875,Fit_Matrix!$A:$A,0)))),"CHECK KEY"))</f>
        <v/>
      </c>
      <c r="U4875" s="10"/>
      <c r="V4875" s="10"/>
      <c r="W4875" s="10"/>
      <c r="X4875" s="10"/>
      <c r="Y4875" s="10"/>
      <c r="Z4875" s="10"/>
      <c r="AA4875" s="11" t="str">
        <f t="shared" si="153"/>
        <v/>
      </c>
    </row>
    <row r="4876" spans="16:27" ht="15" customHeight="1">
      <c r="P4876" t="str">
        <f t="shared" si="152"/>
        <v/>
      </c>
      <c r="Q4876" t="str">
        <f>IF(P4876="","",IFERROR(IF(AND(H4876="W7",OR(F4876="causal",F4876="predictive")),IF(AND(OR(K4876=1,K4876="1"),OR(L4876=1,L4876="1"),OR(M4876=1,M4876="1")),"adequate","partial"),IF(AND(H4876="W4",F4876="predictive",OR(J4876="P2",J4876="P3",J4876="P4")),IF(OR(U4876=1,U4876="1"),"adequate","partial"),INDEX(Fit_Matrix!$B:$B,MATCH(P4876,Fit_Matrix!$A:$A,0)))),"CHECK KEY"))</f>
        <v/>
      </c>
      <c r="U4876" s="10"/>
      <c r="V4876" s="10"/>
      <c r="W4876" s="10"/>
      <c r="X4876" s="10"/>
      <c r="Y4876" s="10"/>
      <c r="Z4876" s="10"/>
      <c r="AA4876" s="11" t="str">
        <f t="shared" si="153"/>
        <v/>
      </c>
    </row>
    <row r="4877" spans="16:27" ht="15" customHeight="1">
      <c r="P4877" t="str">
        <f t="shared" si="152"/>
        <v/>
      </c>
      <c r="Q4877" t="str">
        <f>IF(P4877="","",IFERROR(IF(AND(H4877="W7",OR(F4877="causal",F4877="predictive")),IF(AND(OR(K4877=1,K4877="1"),OR(L4877=1,L4877="1"),OR(M4877=1,M4877="1")),"adequate","partial"),IF(AND(H4877="W4",F4877="predictive",OR(J4877="P2",J4877="P3",J4877="P4")),IF(OR(U4877=1,U4877="1"),"adequate","partial"),INDEX(Fit_Matrix!$B:$B,MATCH(P4877,Fit_Matrix!$A:$A,0)))),"CHECK KEY"))</f>
        <v/>
      </c>
      <c r="U4877" s="10"/>
      <c r="V4877" s="10"/>
      <c r="W4877" s="10"/>
      <c r="X4877" s="10"/>
      <c r="Y4877" s="10"/>
      <c r="Z4877" s="10"/>
      <c r="AA4877" s="11" t="str">
        <f t="shared" si="153"/>
        <v/>
      </c>
    </row>
    <row r="4878" spans="16:27" ht="15" customHeight="1">
      <c r="P4878" t="str">
        <f t="shared" si="152"/>
        <v/>
      </c>
      <c r="Q4878" t="str">
        <f>IF(P4878="","",IFERROR(IF(AND(H4878="W7",OR(F4878="causal",F4878="predictive")),IF(AND(OR(K4878=1,K4878="1"),OR(L4878=1,L4878="1"),OR(M4878=1,M4878="1")),"adequate","partial"),IF(AND(H4878="W4",F4878="predictive",OR(J4878="P2",J4878="P3",J4878="P4")),IF(OR(U4878=1,U4878="1"),"adequate","partial"),INDEX(Fit_Matrix!$B:$B,MATCH(P4878,Fit_Matrix!$A:$A,0)))),"CHECK KEY"))</f>
        <v/>
      </c>
      <c r="U4878" s="10"/>
      <c r="V4878" s="10"/>
      <c r="W4878" s="10"/>
      <c r="X4878" s="10"/>
      <c r="Y4878" s="10"/>
      <c r="Z4878" s="10"/>
      <c r="AA4878" s="11" t="str">
        <f t="shared" si="153"/>
        <v/>
      </c>
    </row>
    <row r="4879" spans="16:27" ht="15" customHeight="1">
      <c r="P4879" t="str">
        <f t="shared" si="152"/>
        <v/>
      </c>
      <c r="Q4879" t="str">
        <f>IF(P4879="","",IFERROR(IF(AND(H4879="W7",OR(F4879="causal",F4879="predictive")),IF(AND(OR(K4879=1,K4879="1"),OR(L4879=1,L4879="1"),OR(M4879=1,M4879="1")),"adequate","partial"),IF(AND(H4879="W4",F4879="predictive",OR(J4879="P2",J4879="P3",J4879="P4")),IF(OR(U4879=1,U4879="1"),"adequate","partial"),INDEX(Fit_Matrix!$B:$B,MATCH(P4879,Fit_Matrix!$A:$A,0)))),"CHECK KEY"))</f>
        <v/>
      </c>
      <c r="U4879" s="10"/>
      <c r="V4879" s="10"/>
      <c r="W4879" s="10"/>
      <c r="X4879" s="10"/>
      <c r="Y4879" s="10"/>
      <c r="Z4879" s="10"/>
      <c r="AA4879" s="11" t="str">
        <f t="shared" si="153"/>
        <v/>
      </c>
    </row>
    <row r="4880" spans="16:27" ht="15" customHeight="1">
      <c r="P4880" t="str">
        <f t="shared" si="152"/>
        <v/>
      </c>
      <c r="Q4880" t="str">
        <f>IF(P4880="","",IFERROR(IF(AND(H4880="W7",OR(F4880="causal",F4880="predictive")),IF(AND(OR(K4880=1,K4880="1"),OR(L4880=1,L4880="1"),OR(M4880=1,M4880="1")),"adequate","partial"),IF(AND(H4880="W4",F4880="predictive",OR(J4880="P2",J4880="P3",J4880="P4")),IF(OR(U4880=1,U4880="1"),"adequate","partial"),INDEX(Fit_Matrix!$B:$B,MATCH(P4880,Fit_Matrix!$A:$A,0)))),"CHECK KEY"))</f>
        <v/>
      </c>
      <c r="U4880" s="10"/>
      <c r="V4880" s="10"/>
      <c r="W4880" s="10"/>
      <c r="X4880" s="10"/>
      <c r="Y4880" s="10"/>
      <c r="Z4880" s="10"/>
      <c r="AA4880" s="11" t="str">
        <f t="shared" si="153"/>
        <v/>
      </c>
    </row>
    <row r="4881" spans="16:27" ht="15" customHeight="1">
      <c r="P4881" t="str">
        <f t="shared" si="152"/>
        <v/>
      </c>
      <c r="Q4881" t="str">
        <f>IF(P4881="","",IFERROR(IF(AND(H4881="W7",OR(F4881="causal",F4881="predictive")),IF(AND(OR(K4881=1,K4881="1"),OR(L4881=1,L4881="1"),OR(M4881=1,M4881="1")),"adequate","partial"),IF(AND(H4881="W4",F4881="predictive",OR(J4881="P2",J4881="P3",J4881="P4")),IF(OR(U4881=1,U4881="1"),"adequate","partial"),INDEX(Fit_Matrix!$B:$B,MATCH(P4881,Fit_Matrix!$A:$A,0)))),"CHECK KEY"))</f>
        <v/>
      </c>
      <c r="U4881" s="10"/>
      <c r="V4881" s="10"/>
      <c r="W4881" s="10"/>
      <c r="X4881" s="10"/>
      <c r="Y4881" s="10"/>
      <c r="Z4881" s="10"/>
      <c r="AA4881" s="11" t="str">
        <f t="shared" si="153"/>
        <v/>
      </c>
    </row>
    <row r="4882" spans="16:27" ht="15" customHeight="1">
      <c r="P4882" t="str">
        <f t="shared" si="152"/>
        <v/>
      </c>
      <c r="Q4882" t="str">
        <f>IF(P4882="","",IFERROR(IF(AND(H4882="W7",OR(F4882="causal",F4882="predictive")),IF(AND(OR(K4882=1,K4882="1"),OR(L4882=1,L4882="1"),OR(M4882=1,M4882="1")),"adequate","partial"),IF(AND(H4882="W4",F4882="predictive",OR(J4882="P2",J4882="P3",J4882="P4")),IF(OR(U4882=1,U4882="1"),"adequate","partial"),INDEX(Fit_Matrix!$B:$B,MATCH(P4882,Fit_Matrix!$A:$A,0)))),"CHECK KEY"))</f>
        <v/>
      </c>
      <c r="U4882" s="10"/>
      <c r="V4882" s="10"/>
      <c r="W4882" s="10"/>
      <c r="X4882" s="10"/>
      <c r="Y4882" s="10"/>
      <c r="Z4882" s="10"/>
      <c r="AA4882" s="11" t="str">
        <f t="shared" si="153"/>
        <v/>
      </c>
    </row>
    <row r="4883" spans="16:27" ht="15" customHeight="1">
      <c r="P4883" t="str">
        <f t="shared" si="152"/>
        <v/>
      </c>
      <c r="Q4883" t="str">
        <f>IF(P4883="","",IFERROR(IF(AND(H4883="W7",OR(F4883="causal",F4883="predictive")),IF(AND(OR(K4883=1,K4883="1"),OR(L4883=1,L4883="1"),OR(M4883=1,M4883="1")),"adequate","partial"),IF(AND(H4883="W4",F4883="predictive",OR(J4883="P2",J4883="P3",J4883="P4")),IF(OR(U4883=1,U4883="1"),"adequate","partial"),INDEX(Fit_Matrix!$B:$B,MATCH(P4883,Fit_Matrix!$A:$A,0)))),"CHECK KEY"))</f>
        <v/>
      </c>
      <c r="U4883" s="10"/>
      <c r="V4883" s="10"/>
      <c r="W4883" s="10"/>
      <c r="X4883" s="10"/>
      <c r="Y4883" s="10"/>
      <c r="Z4883" s="10"/>
      <c r="AA4883" s="11" t="str">
        <f t="shared" si="153"/>
        <v/>
      </c>
    </row>
    <row r="4884" spans="16:27" ht="15" customHeight="1">
      <c r="P4884" t="str">
        <f t="shared" si="152"/>
        <v/>
      </c>
      <c r="Q4884" t="str">
        <f>IF(P4884="","",IFERROR(IF(AND(H4884="W7",OR(F4884="causal",F4884="predictive")),IF(AND(OR(K4884=1,K4884="1"),OR(L4884=1,L4884="1"),OR(M4884=1,M4884="1")),"adequate","partial"),IF(AND(H4884="W4",F4884="predictive",OR(J4884="P2",J4884="P3",J4884="P4")),IF(OR(U4884=1,U4884="1"),"adequate","partial"),INDEX(Fit_Matrix!$B:$B,MATCH(P4884,Fit_Matrix!$A:$A,0)))),"CHECK KEY"))</f>
        <v/>
      </c>
      <c r="U4884" s="10"/>
      <c r="V4884" s="10"/>
      <c r="W4884" s="10"/>
      <c r="X4884" s="10"/>
      <c r="Y4884" s="10"/>
      <c r="Z4884" s="10"/>
      <c r="AA4884" s="11" t="str">
        <f t="shared" si="153"/>
        <v/>
      </c>
    </row>
    <row r="4885" spans="16:27" ht="15" customHeight="1">
      <c r="P4885" t="str">
        <f t="shared" si="152"/>
        <v/>
      </c>
      <c r="Q4885" t="str">
        <f>IF(P4885="","",IFERROR(IF(AND(H4885="W7",OR(F4885="causal",F4885="predictive")),IF(AND(OR(K4885=1,K4885="1"),OR(L4885=1,L4885="1"),OR(M4885=1,M4885="1")),"adequate","partial"),IF(AND(H4885="W4",F4885="predictive",OR(J4885="P2",J4885="P3",J4885="P4")),IF(OR(U4885=1,U4885="1"),"adequate","partial"),INDEX(Fit_Matrix!$B:$B,MATCH(P4885,Fit_Matrix!$A:$A,0)))),"CHECK KEY"))</f>
        <v/>
      </c>
      <c r="U4885" s="10"/>
      <c r="V4885" s="10"/>
      <c r="W4885" s="10"/>
      <c r="X4885" s="10"/>
      <c r="Y4885" s="10"/>
      <c r="Z4885" s="10"/>
      <c r="AA4885" s="11" t="str">
        <f t="shared" si="153"/>
        <v/>
      </c>
    </row>
    <row r="4886" spans="16:27" ht="15" customHeight="1">
      <c r="P4886" t="str">
        <f t="shared" si="152"/>
        <v/>
      </c>
      <c r="Q4886" t="str">
        <f>IF(P4886="","",IFERROR(IF(AND(H4886="W7",OR(F4886="causal",F4886="predictive")),IF(AND(OR(K4886=1,K4886="1"),OR(L4886=1,L4886="1"),OR(M4886=1,M4886="1")),"adequate","partial"),IF(AND(H4886="W4",F4886="predictive",OR(J4886="P2",J4886="P3",J4886="P4")),IF(OR(U4886=1,U4886="1"),"adequate","partial"),INDEX(Fit_Matrix!$B:$B,MATCH(P4886,Fit_Matrix!$A:$A,0)))),"CHECK KEY"))</f>
        <v/>
      </c>
      <c r="U4886" s="10"/>
      <c r="V4886" s="10"/>
      <c r="W4886" s="10"/>
      <c r="X4886" s="10"/>
      <c r="Y4886" s="10"/>
      <c r="Z4886" s="10"/>
      <c r="AA4886" s="11" t="str">
        <f t="shared" si="153"/>
        <v/>
      </c>
    </row>
    <row r="4887" spans="16:27" ht="15" customHeight="1">
      <c r="P4887" t="str">
        <f t="shared" si="152"/>
        <v/>
      </c>
      <c r="Q4887" t="str">
        <f>IF(P4887="","",IFERROR(IF(AND(H4887="W7",OR(F4887="causal",F4887="predictive")),IF(AND(OR(K4887=1,K4887="1"),OR(L4887=1,L4887="1"),OR(M4887=1,M4887="1")),"adequate","partial"),IF(AND(H4887="W4",F4887="predictive",OR(J4887="P2",J4887="P3",J4887="P4")),IF(OR(U4887=1,U4887="1"),"adequate","partial"),INDEX(Fit_Matrix!$B:$B,MATCH(P4887,Fit_Matrix!$A:$A,0)))),"CHECK KEY"))</f>
        <v/>
      </c>
      <c r="U4887" s="10"/>
      <c r="V4887" s="10"/>
      <c r="W4887" s="10"/>
      <c r="X4887" s="10"/>
      <c r="Y4887" s="10"/>
      <c r="Z4887" s="10"/>
      <c r="AA4887" s="11" t="str">
        <f t="shared" si="153"/>
        <v/>
      </c>
    </row>
    <row r="4888" spans="16:27" ht="15" customHeight="1">
      <c r="P4888" t="str">
        <f t="shared" si="152"/>
        <v/>
      </c>
      <c r="Q4888" t="str">
        <f>IF(P4888="","",IFERROR(IF(AND(H4888="W7",OR(F4888="causal",F4888="predictive")),IF(AND(OR(K4888=1,K4888="1"),OR(L4888=1,L4888="1"),OR(M4888=1,M4888="1")),"adequate","partial"),IF(AND(H4888="W4",F4888="predictive",OR(J4888="P2",J4888="P3",J4888="P4")),IF(OR(U4888=1,U4888="1"),"adequate","partial"),INDEX(Fit_Matrix!$B:$B,MATCH(P4888,Fit_Matrix!$A:$A,0)))),"CHECK KEY"))</f>
        <v/>
      </c>
      <c r="U4888" s="10"/>
      <c r="V4888" s="10"/>
      <c r="W4888" s="10"/>
      <c r="X4888" s="10"/>
      <c r="Y4888" s="10"/>
      <c r="Z4888" s="10"/>
      <c r="AA4888" s="11" t="str">
        <f t="shared" si="153"/>
        <v/>
      </c>
    </row>
    <row r="4889" spans="16:27" ht="15" customHeight="1">
      <c r="P4889" t="str">
        <f t="shared" si="152"/>
        <v/>
      </c>
      <c r="Q4889" t="str">
        <f>IF(P4889="","",IFERROR(IF(AND(H4889="W7",OR(F4889="causal",F4889="predictive")),IF(AND(OR(K4889=1,K4889="1"),OR(L4889=1,L4889="1"),OR(M4889=1,M4889="1")),"adequate","partial"),IF(AND(H4889="W4",F4889="predictive",OR(J4889="P2",J4889="P3",J4889="P4")),IF(OR(U4889=1,U4889="1"),"adequate","partial"),INDEX(Fit_Matrix!$B:$B,MATCH(P4889,Fit_Matrix!$A:$A,0)))),"CHECK KEY"))</f>
        <v/>
      </c>
      <c r="U4889" s="10"/>
      <c r="V4889" s="10"/>
      <c r="W4889" s="10"/>
      <c r="X4889" s="10"/>
      <c r="Y4889" s="10"/>
      <c r="Z4889" s="10"/>
      <c r="AA4889" s="11" t="str">
        <f t="shared" si="153"/>
        <v/>
      </c>
    </row>
    <row r="4890" spans="16:27" ht="15" customHeight="1">
      <c r="P4890" t="str">
        <f t="shared" si="152"/>
        <v/>
      </c>
      <c r="Q4890" t="str">
        <f>IF(P4890="","",IFERROR(IF(AND(H4890="W7",OR(F4890="causal",F4890="predictive")),IF(AND(OR(K4890=1,K4890="1"),OR(L4890=1,L4890="1"),OR(M4890=1,M4890="1")),"adequate","partial"),IF(AND(H4890="W4",F4890="predictive",OR(J4890="P2",J4890="P3",J4890="P4")),IF(OR(U4890=1,U4890="1"),"adequate","partial"),INDEX(Fit_Matrix!$B:$B,MATCH(P4890,Fit_Matrix!$A:$A,0)))),"CHECK KEY"))</f>
        <v/>
      </c>
      <c r="U4890" s="10"/>
      <c r="V4890" s="10"/>
      <c r="W4890" s="10"/>
      <c r="X4890" s="10"/>
      <c r="Y4890" s="10"/>
      <c r="Z4890" s="10"/>
      <c r="AA4890" s="11" t="str">
        <f t="shared" si="153"/>
        <v/>
      </c>
    </row>
    <row r="4891" spans="16:27" ht="15" customHeight="1">
      <c r="P4891" t="str">
        <f t="shared" si="152"/>
        <v/>
      </c>
      <c r="Q4891" t="str">
        <f>IF(P4891="","",IFERROR(IF(AND(H4891="W7",OR(F4891="causal",F4891="predictive")),IF(AND(OR(K4891=1,K4891="1"),OR(L4891=1,L4891="1"),OR(M4891=1,M4891="1")),"adequate","partial"),IF(AND(H4891="W4",F4891="predictive",OR(J4891="P2",J4891="P3",J4891="P4")),IF(OR(U4891=1,U4891="1"),"adequate","partial"),INDEX(Fit_Matrix!$B:$B,MATCH(P4891,Fit_Matrix!$A:$A,0)))),"CHECK KEY"))</f>
        <v/>
      </c>
      <c r="U4891" s="10"/>
      <c r="V4891" s="10"/>
      <c r="W4891" s="10"/>
      <c r="X4891" s="10"/>
      <c r="Y4891" s="10"/>
      <c r="Z4891" s="10"/>
      <c r="AA4891" s="11" t="str">
        <f t="shared" si="153"/>
        <v/>
      </c>
    </row>
    <row r="4892" spans="16:27" ht="15" customHeight="1">
      <c r="P4892" t="str">
        <f t="shared" si="152"/>
        <v/>
      </c>
      <c r="Q4892" t="str">
        <f>IF(P4892="","",IFERROR(IF(AND(H4892="W7",OR(F4892="causal",F4892="predictive")),IF(AND(OR(K4892=1,K4892="1"),OR(L4892=1,L4892="1"),OR(M4892=1,M4892="1")),"adequate","partial"),IF(AND(H4892="W4",F4892="predictive",OR(J4892="P2",J4892="P3",J4892="P4")),IF(OR(U4892=1,U4892="1"),"adequate","partial"),INDEX(Fit_Matrix!$B:$B,MATCH(P4892,Fit_Matrix!$A:$A,0)))),"CHECK KEY"))</f>
        <v/>
      </c>
      <c r="U4892" s="10"/>
      <c r="V4892" s="10"/>
      <c r="W4892" s="10"/>
      <c r="X4892" s="10"/>
      <c r="Y4892" s="10"/>
      <c r="Z4892" s="10"/>
      <c r="AA4892" s="11" t="str">
        <f t="shared" si="153"/>
        <v/>
      </c>
    </row>
    <row r="4893" spans="16:27" ht="15" customHeight="1">
      <c r="P4893" t="str">
        <f t="shared" si="152"/>
        <v/>
      </c>
      <c r="Q4893" t="str">
        <f>IF(P4893="","",IFERROR(IF(AND(H4893="W7",OR(F4893="causal",F4893="predictive")),IF(AND(OR(K4893=1,K4893="1"),OR(L4893=1,L4893="1"),OR(M4893=1,M4893="1")),"adequate","partial"),IF(AND(H4893="W4",F4893="predictive",OR(J4893="P2",J4893="P3",J4893="P4")),IF(OR(U4893=1,U4893="1"),"adequate","partial"),INDEX(Fit_Matrix!$B:$B,MATCH(P4893,Fit_Matrix!$A:$A,0)))),"CHECK KEY"))</f>
        <v/>
      </c>
      <c r="U4893" s="10"/>
      <c r="V4893" s="10"/>
      <c r="W4893" s="10"/>
      <c r="X4893" s="10"/>
      <c r="Y4893" s="10"/>
      <c r="Z4893" s="10"/>
      <c r="AA4893" s="11" t="str">
        <f t="shared" si="153"/>
        <v/>
      </c>
    </row>
    <row r="4894" spans="16:27" ht="15" customHeight="1">
      <c r="P4894" t="str">
        <f t="shared" si="152"/>
        <v/>
      </c>
      <c r="Q4894" t="str">
        <f>IF(P4894="","",IFERROR(IF(AND(H4894="W7",OR(F4894="causal",F4894="predictive")),IF(AND(OR(K4894=1,K4894="1"),OR(L4894=1,L4894="1"),OR(M4894=1,M4894="1")),"adequate","partial"),IF(AND(H4894="W4",F4894="predictive",OR(J4894="P2",J4894="P3",J4894="P4")),IF(OR(U4894=1,U4894="1"),"adequate","partial"),INDEX(Fit_Matrix!$B:$B,MATCH(P4894,Fit_Matrix!$A:$A,0)))),"CHECK KEY"))</f>
        <v/>
      </c>
      <c r="U4894" s="10"/>
      <c r="V4894" s="10"/>
      <c r="W4894" s="10"/>
      <c r="X4894" s="10"/>
      <c r="Y4894" s="10"/>
      <c r="Z4894" s="10"/>
      <c r="AA4894" s="11" t="str">
        <f t="shared" si="153"/>
        <v/>
      </c>
    </row>
    <row r="4895" spans="16:27" ht="15" customHeight="1">
      <c r="P4895" t="str">
        <f t="shared" si="152"/>
        <v/>
      </c>
      <c r="Q4895" t="str">
        <f>IF(P4895="","",IFERROR(IF(AND(H4895="W7",OR(F4895="causal",F4895="predictive")),IF(AND(OR(K4895=1,K4895="1"),OR(L4895=1,L4895="1"),OR(M4895=1,M4895="1")),"adequate","partial"),IF(AND(H4895="W4",F4895="predictive",OR(J4895="P2",J4895="P3",J4895="P4")),IF(OR(U4895=1,U4895="1"),"adequate","partial"),INDEX(Fit_Matrix!$B:$B,MATCH(P4895,Fit_Matrix!$A:$A,0)))),"CHECK KEY"))</f>
        <v/>
      </c>
      <c r="U4895" s="10"/>
      <c r="V4895" s="10"/>
      <c r="W4895" s="10"/>
      <c r="X4895" s="10"/>
      <c r="Y4895" s="10"/>
      <c r="Z4895" s="10"/>
      <c r="AA4895" s="11" t="str">
        <f t="shared" si="153"/>
        <v/>
      </c>
    </row>
    <row r="4896" spans="16:27" ht="15" customHeight="1">
      <c r="P4896" t="str">
        <f t="shared" si="152"/>
        <v/>
      </c>
      <c r="Q4896" t="str">
        <f>IF(P4896="","",IFERROR(IF(AND(H4896="W7",OR(F4896="causal",F4896="predictive")),IF(AND(OR(K4896=1,K4896="1"),OR(L4896=1,L4896="1"),OR(M4896=1,M4896="1")),"adequate","partial"),IF(AND(H4896="W4",F4896="predictive",OR(J4896="P2",J4896="P3",J4896="P4")),IF(OR(U4896=1,U4896="1"),"adequate","partial"),INDEX(Fit_Matrix!$B:$B,MATCH(P4896,Fit_Matrix!$A:$A,0)))),"CHECK KEY"))</f>
        <v/>
      </c>
      <c r="U4896" s="10"/>
      <c r="V4896" s="10"/>
      <c r="W4896" s="10"/>
      <c r="X4896" s="10"/>
      <c r="Y4896" s="10"/>
      <c r="Z4896" s="10"/>
      <c r="AA4896" s="11" t="str">
        <f t="shared" si="153"/>
        <v/>
      </c>
    </row>
    <row r="4897" spans="16:27" ht="15" customHeight="1">
      <c r="P4897" t="str">
        <f t="shared" si="152"/>
        <v/>
      </c>
      <c r="Q4897" t="str">
        <f>IF(P4897="","",IFERROR(IF(AND(H4897="W7",OR(F4897="causal",F4897="predictive")),IF(AND(OR(K4897=1,K4897="1"),OR(L4897=1,L4897="1"),OR(M4897=1,M4897="1")),"adequate","partial"),IF(AND(H4897="W4",F4897="predictive",OR(J4897="P2",J4897="P3",J4897="P4")),IF(OR(U4897=1,U4897="1"),"adequate","partial"),INDEX(Fit_Matrix!$B:$B,MATCH(P4897,Fit_Matrix!$A:$A,0)))),"CHECK KEY"))</f>
        <v/>
      </c>
      <c r="U4897" s="10"/>
      <c r="V4897" s="10"/>
      <c r="W4897" s="10"/>
      <c r="X4897" s="10"/>
      <c r="Y4897" s="10"/>
      <c r="Z4897" s="10"/>
      <c r="AA4897" s="11" t="str">
        <f t="shared" si="153"/>
        <v/>
      </c>
    </row>
    <row r="4898" spans="16:27" ht="15" customHeight="1">
      <c r="P4898" t="str">
        <f t="shared" si="152"/>
        <v/>
      </c>
      <c r="Q4898" t="str">
        <f>IF(P4898="","",IFERROR(IF(AND(H4898="W7",OR(F4898="causal",F4898="predictive")),IF(AND(OR(K4898=1,K4898="1"),OR(L4898=1,L4898="1"),OR(M4898=1,M4898="1")),"adequate","partial"),IF(AND(H4898="W4",F4898="predictive",OR(J4898="P2",J4898="P3",J4898="P4")),IF(OR(U4898=1,U4898="1"),"adequate","partial"),INDEX(Fit_Matrix!$B:$B,MATCH(P4898,Fit_Matrix!$A:$A,0)))),"CHECK KEY"))</f>
        <v/>
      </c>
      <c r="U4898" s="10"/>
      <c r="V4898" s="10"/>
      <c r="W4898" s="10"/>
      <c r="X4898" s="10"/>
      <c r="Y4898" s="10"/>
      <c r="Z4898" s="10"/>
      <c r="AA4898" s="11" t="str">
        <f t="shared" si="153"/>
        <v/>
      </c>
    </row>
    <row r="4899" spans="16:27" ht="15" customHeight="1">
      <c r="P4899" t="str">
        <f t="shared" si="152"/>
        <v/>
      </c>
      <c r="Q4899" t="str">
        <f>IF(P4899="","",IFERROR(IF(AND(H4899="W7",OR(F4899="causal",F4899="predictive")),IF(AND(OR(K4899=1,K4899="1"),OR(L4899=1,L4899="1"),OR(M4899=1,M4899="1")),"adequate","partial"),IF(AND(H4899="W4",F4899="predictive",OR(J4899="P2",J4899="P3",J4899="P4")),IF(OR(U4899=1,U4899="1"),"adequate","partial"),INDEX(Fit_Matrix!$B:$B,MATCH(P4899,Fit_Matrix!$A:$A,0)))),"CHECK KEY"))</f>
        <v/>
      </c>
      <c r="U4899" s="10"/>
      <c r="V4899" s="10"/>
      <c r="W4899" s="10"/>
      <c r="X4899" s="10"/>
      <c r="Y4899" s="10"/>
      <c r="Z4899" s="10"/>
      <c r="AA4899" s="11" t="str">
        <f t="shared" si="153"/>
        <v/>
      </c>
    </row>
    <row r="4900" spans="16:27" ht="15" customHeight="1">
      <c r="P4900" t="str">
        <f t="shared" si="152"/>
        <v/>
      </c>
      <c r="Q4900" t="str">
        <f>IF(P4900="","",IFERROR(IF(AND(H4900="W7",OR(F4900="causal",F4900="predictive")),IF(AND(OR(K4900=1,K4900="1"),OR(L4900=1,L4900="1"),OR(M4900=1,M4900="1")),"adequate","partial"),IF(AND(H4900="W4",F4900="predictive",OR(J4900="P2",J4900="P3",J4900="P4")),IF(OR(U4900=1,U4900="1"),"adequate","partial"),INDEX(Fit_Matrix!$B:$B,MATCH(P4900,Fit_Matrix!$A:$A,0)))),"CHECK KEY"))</f>
        <v/>
      </c>
      <c r="U4900" s="10"/>
      <c r="V4900" s="10"/>
      <c r="W4900" s="10"/>
      <c r="X4900" s="10"/>
      <c r="Y4900" s="10"/>
      <c r="Z4900" s="10"/>
      <c r="AA4900" s="11" t="str">
        <f t="shared" si="153"/>
        <v/>
      </c>
    </row>
    <row r="4901" spans="16:27" ht="15" customHeight="1">
      <c r="P4901" t="str">
        <f t="shared" si="152"/>
        <v/>
      </c>
      <c r="Q4901" t="str">
        <f>IF(P4901="","",IFERROR(IF(AND(H4901="W7",OR(F4901="causal",F4901="predictive")),IF(AND(OR(K4901=1,K4901="1"),OR(L4901=1,L4901="1"),OR(M4901=1,M4901="1")),"adequate","partial"),IF(AND(H4901="W4",F4901="predictive",OR(J4901="P2",J4901="P3",J4901="P4")),IF(OR(U4901=1,U4901="1"),"adequate","partial"),INDEX(Fit_Matrix!$B:$B,MATCH(P4901,Fit_Matrix!$A:$A,0)))),"CHECK KEY"))</f>
        <v/>
      </c>
      <c r="U4901" s="10"/>
      <c r="V4901" s="10"/>
      <c r="W4901" s="10"/>
      <c r="X4901" s="10"/>
      <c r="Y4901" s="10"/>
      <c r="Z4901" s="10"/>
      <c r="AA4901" s="11" t="str">
        <f t="shared" si="153"/>
        <v/>
      </c>
    </row>
    <row r="4902" spans="16:27" ht="15" customHeight="1">
      <c r="P4902" t="str">
        <f t="shared" si="152"/>
        <v/>
      </c>
      <c r="Q4902" t="str">
        <f>IF(P4902="","",IFERROR(IF(AND(H4902="W7",OR(F4902="causal",F4902="predictive")),IF(AND(OR(K4902=1,K4902="1"),OR(L4902=1,L4902="1"),OR(M4902=1,M4902="1")),"adequate","partial"),IF(AND(H4902="W4",F4902="predictive",OR(J4902="P2",J4902="P3",J4902="P4")),IF(OR(U4902=1,U4902="1"),"adequate","partial"),INDEX(Fit_Matrix!$B:$B,MATCH(P4902,Fit_Matrix!$A:$A,0)))),"CHECK KEY"))</f>
        <v/>
      </c>
      <c r="U4902" s="10"/>
      <c r="V4902" s="10"/>
      <c r="W4902" s="10"/>
      <c r="X4902" s="10"/>
      <c r="Y4902" s="10"/>
      <c r="Z4902" s="10"/>
      <c r="AA4902" s="11" t="str">
        <f t="shared" si="153"/>
        <v/>
      </c>
    </row>
    <row r="4903" spans="16:27" ht="15" customHeight="1">
      <c r="P4903" t="str">
        <f t="shared" si="152"/>
        <v/>
      </c>
      <c r="Q4903" t="str">
        <f>IF(P4903="","",IFERROR(IF(AND(H4903="W7",OR(F4903="causal",F4903="predictive")),IF(AND(OR(K4903=1,K4903="1"),OR(L4903=1,L4903="1"),OR(M4903=1,M4903="1")),"adequate","partial"),IF(AND(H4903="W4",F4903="predictive",OR(J4903="P2",J4903="P3",J4903="P4")),IF(OR(U4903=1,U4903="1"),"adequate","partial"),INDEX(Fit_Matrix!$B:$B,MATCH(P4903,Fit_Matrix!$A:$A,0)))),"CHECK KEY"))</f>
        <v/>
      </c>
      <c r="U4903" s="10"/>
      <c r="V4903" s="10"/>
      <c r="W4903" s="10"/>
      <c r="X4903" s="10"/>
      <c r="Y4903" s="10"/>
      <c r="Z4903" s="10"/>
      <c r="AA4903" s="11" t="str">
        <f t="shared" si="153"/>
        <v/>
      </c>
    </row>
    <row r="4904" spans="16:27" ht="15" customHeight="1">
      <c r="P4904" t="str">
        <f t="shared" si="152"/>
        <v/>
      </c>
      <c r="Q4904" t="str">
        <f>IF(P4904="","",IFERROR(IF(AND(H4904="W7",OR(F4904="causal",F4904="predictive")),IF(AND(OR(K4904=1,K4904="1"),OR(L4904=1,L4904="1"),OR(M4904=1,M4904="1")),"adequate","partial"),IF(AND(H4904="W4",F4904="predictive",OR(J4904="P2",J4904="P3",J4904="P4")),IF(OR(U4904=1,U4904="1"),"adequate","partial"),INDEX(Fit_Matrix!$B:$B,MATCH(P4904,Fit_Matrix!$A:$A,0)))),"CHECK KEY"))</f>
        <v/>
      </c>
      <c r="U4904" s="10"/>
      <c r="V4904" s="10"/>
      <c r="W4904" s="10"/>
      <c r="X4904" s="10"/>
      <c r="Y4904" s="10"/>
      <c r="Z4904" s="10"/>
      <c r="AA4904" s="11" t="str">
        <f t="shared" si="153"/>
        <v/>
      </c>
    </row>
    <row r="4905" spans="16:27" ht="15" customHeight="1">
      <c r="P4905" t="str">
        <f t="shared" si="152"/>
        <v/>
      </c>
      <c r="Q4905" t="str">
        <f>IF(P4905="","",IFERROR(IF(AND(H4905="W7",OR(F4905="causal",F4905="predictive")),IF(AND(OR(K4905=1,K4905="1"),OR(L4905=1,L4905="1"),OR(M4905=1,M4905="1")),"adequate","partial"),IF(AND(H4905="W4",F4905="predictive",OR(J4905="P2",J4905="P3",J4905="P4")),IF(OR(U4905=1,U4905="1"),"adequate","partial"),INDEX(Fit_Matrix!$B:$B,MATCH(P4905,Fit_Matrix!$A:$A,0)))),"CHECK KEY"))</f>
        <v/>
      </c>
      <c r="U4905" s="10"/>
      <c r="V4905" s="10"/>
      <c r="W4905" s="10"/>
      <c r="X4905" s="10"/>
      <c r="Y4905" s="10"/>
      <c r="Z4905" s="10"/>
      <c r="AA4905" s="11" t="str">
        <f t="shared" si="153"/>
        <v/>
      </c>
    </row>
    <row r="4906" spans="16:27" ht="15" customHeight="1">
      <c r="P4906" t="str">
        <f t="shared" si="152"/>
        <v/>
      </c>
      <c r="Q4906" t="str">
        <f>IF(P4906="","",IFERROR(IF(AND(H4906="W7",OR(F4906="causal",F4906="predictive")),IF(AND(OR(K4906=1,K4906="1"),OR(L4906=1,L4906="1"),OR(M4906=1,M4906="1")),"adequate","partial"),IF(AND(H4906="W4",F4906="predictive",OR(J4906="P2",J4906="P3",J4906="P4")),IF(OR(U4906=1,U4906="1"),"adequate","partial"),INDEX(Fit_Matrix!$B:$B,MATCH(P4906,Fit_Matrix!$A:$A,0)))),"CHECK KEY"))</f>
        <v/>
      </c>
      <c r="U4906" s="10"/>
      <c r="V4906" s="10"/>
      <c r="W4906" s="10"/>
      <c r="X4906" s="10"/>
      <c r="Y4906" s="10"/>
      <c r="Z4906" s="10"/>
      <c r="AA4906" s="11" t="str">
        <f t="shared" si="153"/>
        <v/>
      </c>
    </row>
    <row r="4907" spans="16:27" ht="15" customHeight="1">
      <c r="P4907" t="str">
        <f t="shared" si="152"/>
        <v/>
      </c>
      <c r="Q4907" t="str">
        <f>IF(P4907="","",IFERROR(IF(AND(H4907="W7",OR(F4907="causal",F4907="predictive")),IF(AND(OR(K4907=1,K4907="1"),OR(L4907=1,L4907="1"),OR(M4907=1,M4907="1")),"adequate","partial"),IF(AND(H4907="W4",F4907="predictive",OR(J4907="P2",J4907="P3",J4907="P4")),IF(OR(U4907=1,U4907="1"),"adequate","partial"),INDEX(Fit_Matrix!$B:$B,MATCH(P4907,Fit_Matrix!$A:$A,0)))),"CHECK KEY"))</f>
        <v/>
      </c>
      <c r="U4907" s="10"/>
      <c r="V4907" s="10"/>
      <c r="W4907" s="10"/>
      <c r="X4907" s="10"/>
      <c r="Y4907" s="10"/>
      <c r="Z4907" s="10"/>
      <c r="AA4907" s="11" t="str">
        <f t="shared" si="153"/>
        <v/>
      </c>
    </row>
    <row r="4908" spans="16:27" ht="15" customHeight="1">
      <c r="P4908" t="str">
        <f t="shared" si="152"/>
        <v/>
      </c>
      <c r="Q4908" t="str">
        <f>IF(P4908="","",IFERROR(IF(AND(H4908="W7",OR(F4908="causal",F4908="predictive")),IF(AND(OR(K4908=1,K4908="1"),OR(L4908=1,L4908="1"),OR(M4908=1,M4908="1")),"adequate","partial"),IF(AND(H4908="W4",F4908="predictive",OR(J4908="P2",J4908="P3",J4908="P4")),IF(OR(U4908=1,U4908="1"),"adequate","partial"),INDEX(Fit_Matrix!$B:$B,MATCH(P4908,Fit_Matrix!$A:$A,0)))),"CHECK KEY"))</f>
        <v/>
      </c>
      <c r="U4908" s="10"/>
      <c r="V4908" s="10"/>
      <c r="W4908" s="10"/>
      <c r="X4908" s="10"/>
      <c r="Y4908" s="10"/>
      <c r="Z4908" s="10"/>
      <c r="AA4908" s="11" t="str">
        <f t="shared" si="153"/>
        <v/>
      </c>
    </row>
    <row r="4909" spans="16:27" ht="15" customHeight="1">
      <c r="P4909" t="str">
        <f t="shared" si="152"/>
        <v/>
      </c>
      <c r="Q4909" t="str">
        <f>IF(P4909="","",IFERROR(IF(AND(H4909="W7",OR(F4909="causal",F4909="predictive")),IF(AND(OR(K4909=1,K4909="1"),OR(L4909=1,L4909="1"),OR(M4909=1,M4909="1")),"adequate","partial"),IF(AND(H4909="W4",F4909="predictive",OR(J4909="P2",J4909="P3",J4909="P4")),IF(OR(U4909=1,U4909="1"),"adequate","partial"),INDEX(Fit_Matrix!$B:$B,MATCH(P4909,Fit_Matrix!$A:$A,0)))),"CHECK KEY"))</f>
        <v/>
      </c>
      <c r="U4909" s="10"/>
      <c r="V4909" s="10"/>
      <c r="W4909" s="10"/>
      <c r="X4909" s="10"/>
      <c r="Y4909" s="10"/>
      <c r="Z4909" s="10"/>
      <c r="AA4909" s="11" t="str">
        <f t="shared" si="153"/>
        <v/>
      </c>
    </row>
    <row r="4910" spans="16:27" ht="15" customHeight="1">
      <c r="P4910" t="str">
        <f t="shared" si="152"/>
        <v/>
      </c>
      <c r="Q4910" t="str">
        <f>IF(P4910="","",IFERROR(IF(AND(H4910="W7",OR(F4910="causal",F4910="predictive")),IF(AND(OR(K4910=1,K4910="1"),OR(L4910=1,L4910="1"),OR(M4910=1,M4910="1")),"adequate","partial"),IF(AND(H4910="W4",F4910="predictive",OR(J4910="P2",J4910="P3",J4910="P4")),IF(OR(U4910=1,U4910="1"),"adequate","partial"),INDEX(Fit_Matrix!$B:$B,MATCH(P4910,Fit_Matrix!$A:$A,0)))),"CHECK KEY"))</f>
        <v/>
      </c>
      <c r="U4910" s="10"/>
      <c r="V4910" s="10"/>
      <c r="W4910" s="10"/>
      <c r="X4910" s="10"/>
      <c r="Y4910" s="10"/>
      <c r="Z4910" s="10"/>
      <c r="AA4910" s="11" t="str">
        <f t="shared" si="153"/>
        <v/>
      </c>
    </row>
    <row r="4911" spans="16:27" ht="15" customHeight="1">
      <c r="P4911" t="str">
        <f t="shared" si="152"/>
        <v/>
      </c>
      <c r="Q4911" t="str">
        <f>IF(P4911="","",IFERROR(IF(AND(H4911="W7",OR(F4911="causal",F4911="predictive")),IF(AND(OR(K4911=1,K4911="1"),OR(L4911=1,L4911="1"),OR(M4911=1,M4911="1")),"adequate","partial"),IF(AND(H4911="W4",F4911="predictive",OR(J4911="P2",J4911="P3",J4911="P4")),IF(OR(U4911=1,U4911="1"),"adequate","partial"),INDEX(Fit_Matrix!$B:$B,MATCH(P4911,Fit_Matrix!$A:$A,0)))),"CHECK KEY"))</f>
        <v/>
      </c>
      <c r="U4911" s="10"/>
      <c r="V4911" s="10"/>
      <c r="W4911" s="10"/>
      <c r="X4911" s="10"/>
      <c r="Y4911" s="10"/>
      <c r="Z4911" s="10"/>
      <c r="AA4911" s="11" t="str">
        <f t="shared" si="153"/>
        <v/>
      </c>
    </row>
    <row r="4912" spans="16:27" ht="15" customHeight="1">
      <c r="P4912" t="str">
        <f t="shared" si="152"/>
        <v/>
      </c>
      <c r="Q4912" t="str">
        <f>IF(P4912="","",IFERROR(IF(AND(H4912="W7",OR(F4912="causal",F4912="predictive")),IF(AND(OR(K4912=1,K4912="1"),OR(L4912=1,L4912="1"),OR(M4912=1,M4912="1")),"adequate","partial"),IF(AND(H4912="W4",F4912="predictive",OR(J4912="P2",J4912="P3",J4912="P4")),IF(OR(U4912=1,U4912="1"),"adequate","partial"),INDEX(Fit_Matrix!$B:$B,MATCH(P4912,Fit_Matrix!$A:$A,0)))),"CHECK KEY"))</f>
        <v/>
      </c>
      <c r="U4912" s="10"/>
      <c r="V4912" s="10"/>
      <c r="W4912" s="10"/>
      <c r="X4912" s="10"/>
      <c r="Y4912" s="10"/>
      <c r="Z4912" s="10"/>
      <c r="AA4912" s="11" t="str">
        <f t="shared" si="153"/>
        <v/>
      </c>
    </row>
    <row r="4913" spans="16:27" ht="15" customHeight="1">
      <c r="P4913" t="str">
        <f t="shared" si="152"/>
        <v/>
      </c>
      <c r="Q4913" t="str">
        <f>IF(P4913="","",IFERROR(IF(AND(H4913="W7",OR(F4913="causal",F4913="predictive")),IF(AND(OR(K4913=1,K4913="1"),OR(L4913=1,L4913="1"),OR(M4913=1,M4913="1")),"adequate","partial"),IF(AND(H4913="W4",F4913="predictive",OR(J4913="P2",J4913="P3",J4913="P4")),IF(OR(U4913=1,U4913="1"),"adequate","partial"),INDEX(Fit_Matrix!$B:$B,MATCH(P4913,Fit_Matrix!$A:$A,0)))),"CHECK KEY"))</f>
        <v/>
      </c>
      <c r="U4913" s="10"/>
      <c r="V4913" s="10"/>
      <c r="W4913" s="10"/>
      <c r="X4913" s="10"/>
      <c r="Y4913" s="10"/>
      <c r="Z4913" s="10"/>
      <c r="AA4913" s="11" t="str">
        <f t="shared" si="153"/>
        <v/>
      </c>
    </row>
    <row r="4914" spans="16:27" ht="15" customHeight="1">
      <c r="P4914" t="str">
        <f t="shared" si="152"/>
        <v/>
      </c>
      <c r="Q4914" t="str">
        <f>IF(P4914="","",IFERROR(IF(AND(H4914="W7",OR(F4914="causal",F4914="predictive")),IF(AND(OR(K4914=1,K4914="1"),OR(L4914=1,L4914="1"),OR(M4914=1,M4914="1")),"adequate","partial"),IF(AND(H4914="W4",F4914="predictive",OR(J4914="P2",J4914="P3",J4914="P4")),IF(OR(U4914=1,U4914="1"),"adequate","partial"),INDEX(Fit_Matrix!$B:$B,MATCH(P4914,Fit_Matrix!$A:$A,0)))),"CHECK KEY"))</f>
        <v/>
      </c>
      <c r="U4914" s="10"/>
      <c r="V4914" s="10"/>
      <c r="W4914" s="10"/>
      <c r="X4914" s="10"/>
      <c r="Y4914" s="10"/>
      <c r="Z4914" s="10"/>
      <c r="AA4914" s="11" t="str">
        <f t="shared" si="153"/>
        <v/>
      </c>
    </row>
    <row r="4915" spans="16:27" ht="15" customHeight="1">
      <c r="P4915" t="str">
        <f t="shared" si="152"/>
        <v/>
      </c>
      <c r="Q4915" t="str">
        <f>IF(P4915="","",IFERROR(IF(AND(H4915="W7",OR(F4915="causal",F4915="predictive")),IF(AND(OR(K4915=1,K4915="1"),OR(L4915=1,L4915="1"),OR(M4915=1,M4915="1")),"adequate","partial"),IF(AND(H4915="W4",F4915="predictive",OR(J4915="P2",J4915="P3",J4915="P4")),IF(OR(U4915=1,U4915="1"),"adequate","partial"),INDEX(Fit_Matrix!$B:$B,MATCH(P4915,Fit_Matrix!$A:$A,0)))),"CHECK KEY"))</f>
        <v/>
      </c>
      <c r="U4915" s="10"/>
      <c r="V4915" s="10"/>
      <c r="W4915" s="10"/>
      <c r="X4915" s="10"/>
      <c r="Y4915" s="10"/>
      <c r="Z4915" s="10"/>
      <c r="AA4915" s="11" t="str">
        <f t="shared" si="153"/>
        <v/>
      </c>
    </row>
    <row r="4916" spans="16:27" ht="15" customHeight="1">
      <c r="P4916" t="str">
        <f t="shared" si="152"/>
        <v/>
      </c>
      <c r="Q4916" t="str">
        <f>IF(P4916="","",IFERROR(IF(AND(H4916="W7",OR(F4916="causal",F4916="predictive")),IF(AND(OR(K4916=1,K4916="1"),OR(L4916=1,L4916="1"),OR(M4916=1,M4916="1")),"adequate","partial"),IF(AND(H4916="W4",F4916="predictive",OR(J4916="P2",J4916="P3",J4916="P4")),IF(OR(U4916=1,U4916="1"),"adequate","partial"),INDEX(Fit_Matrix!$B:$B,MATCH(P4916,Fit_Matrix!$A:$A,0)))),"CHECK KEY"))</f>
        <v/>
      </c>
      <c r="U4916" s="10"/>
      <c r="V4916" s="10"/>
      <c r="W4916" s="10"/>
      <c r="X4916" s="10"/>
      <c r="Y4916" s="10"/>
      <c r="Z4916" s="10"/>
      <c r="AA4916" s="11" t="str">
        <f t="shared" si="153"/>
        <v/>
      </c>
    </row>
    <row r="4917" spans="16:27" ht="15" customHeight="1">
      <c r="P4917" t="str">
        <f t="shared" si="152"/>
        <v/>
      </c>
      <c r="Q4917" t="str">
        <f>IF(P4917="","",IFERROR(IF(AND(H4917="W7",OR(F4917="causal",F4917="predictive")),IF(AND(OR(K4917=1,K4917="1"),OR(L4917=1,L4917="1"),OR(M4917=1,M4917="1")),"adequate","partial"),IF(AND(H4917="W4",F4917="predictive",OR(J4917="P2",J4917="P3",J4917="P4")),IF(OR(U4917=1,U4917="1"),"adequate","partial"),INDEX(Fit_Matrix!$B:$B,MATCH(P4917,Fit_Matrix!$A:$A,0)))),"CHECK KEY"))</f>
        <v/>
      </c>
      <c r="U4917" s="10"/>
      <c r="V4917" s="10"/>
      <c r="W4917" s="10"/>
      <c r="X4917" s="10"/>
      <c r="Y4917" s="10"/>
      <c r="Z4917" s="10"/>
      <c r="AA4917" s="11" t="str">
        <f t="shared" si="153"/>
        <v/>
      </c>
    </row>
    <row r="4918" spans="16:27" ht="15" customHeight="1">
      <c r="P4918" t="str">
        <f t="shared" si="152"/>
        <v/>
      </c>
      <c r="Q4918" t="str">
        <f>IF(P4918="","",IFERROR(IF(AND(H4918="W7",OR(F4918="causal",F4918="predictive")),IF(AND(OR(K4918=1,K4918="1"),OR(L4918=1,L4918="1"),OR(M4918=1,M4918="1")),"adequate","partial"),IF(AND(H4918="W4",F4918="predictive",OR(J4918="P2",J4918="P3",J4918="P4")),IF(OR(U4918=1,U4918="1"),"adequate","partial"),INDEX(Fit_Matrix!$B:$B,MATCH(P4918,Fit_Matrix!$A:$A,0)))),"CHECK KEY"))</f>
        <v/>
      </c>
      <c r="U4918" s="10"/>
      <c r="V4918" s="10"/>
      <c r="W4918" s="10"/>
      <c r="X4918" s="10"/>
      <c r="Y4918" s="10"/>
      <c r="Z4918" s="10"/>
      <c r="AA4918" s="11" t="str">
        <f t="shared" si="153"/>
        <v/>
      </c>
    </row>
    <row r="4919" spans="16:27" ht="15" customHeight="1">
      <c r="P4919" t="str">
        <f t="shared" si="152"/>
        <v/>
      </c>
      <c r="Q4919" t="str">
        <f>IF(P4919="","",IFERROR(IF(AND(H4919="W7",OR(F4919="causal",F4919="predictive")),IF(AND(OR(K4919=1,K4919="1"),OR(L4919=1,L4919="1"),OR(M4919=1,M4919="1")),"adequate","partial"),IF(AND(H4919="W4",F4919="predictive",OR(J4919="P2",J4919="P3",J4919="P4")),IF(OR(U4919=1,U4919="1"),"adequate","partial"),INDEX(Fit_Matrix!$B:$B,MATCH(P4919,Fit_Matrix!$A:$A,0)))),"CHECK KEY"))</f>
        <v/>
      </c>
      <c r="U4919" s="10"/>
      <c r="V4919" s="10"/>
      <c r="W4919" s="10"/>
      <c r="X4919" s="10"/>
      <c r="Y4919" s="10"/>
      <c r="Z4919" s="10"/>
      <c r="AA4919" s="11" t="str">
        <f t="shared" si="153"/>
        <v/>
      </c>
    </row>
    <row r="4920" spans="16:27" ht="15" customHeight="1">
      <c r="P4920" t="str">
        <f t="shared" si="152"/>
        <v/>
      </c>
      <c r="Q4920" t="str">
        <f>IF(P4920="","",IFERROR(IF(AND(H4920="W7",OR(F4920="causal",F4920="predictive")),IF(AND(OR(K4920=1,K4920="1"),OR(L4920=1,L4920="1"),OR(M4920=1,M4920="1")),"adequate","partial"),IF(AND(H4920="W4",F4920="predictive",OR(J4920="P2",J4920="P3",J4920="P4")),IF(OR(U4920=1,U4920="1"),"adequate","partial"),INDEX(Fit_Matrix!$B:$B,MATCH(P4920,Fit_Matrix!$A:$A,0)))),"CHECK KEY"))</f>
        <v/>
      </c>
      <c r="U4920" s="10"/>
      <c r="V4920" s="10"/>
      <c r="W4920" s="10"/>
      <c r="X4920" s="10"/>
      <c r="Y4920" s="10"/>
      <c r="Z4920" s="10"/>
      <c r="AA4920" s="11" t="str">
        <f t="shared" si="153"/>
        <v/>
      </c>
    </row>
    <row r="4921" spans="16:27" ht="15" customHeight="1">
      <c r="P4921" t="str">
        <f t="shared" si="152"/>
        <v/>
      </c>
      <c r="Q4921" t="str">
        <f>IF(P4921="","",IFERROR(IF(AND(H4921="W7",OR(F4921="causal",F4921="predictive")),IF(AND(OR(K4921=1,K4921="1"),OR(L4921=1,L4921="1"),OR(M4921=1,M4921="1")),"adequate","partial"),IF(AND(H4921="W4",F4921="predictive",OR(J4921="P2",J4921="P3",J4921="P4")),IF(OR(U4921=1,U4921="1"),"adequate","partial"),INDEX(Fit_Matrix!$B:$B,MATCH(P4921,Fit_Matrix!$A:$A,0)))),"CHECK KEY"))</f>
        <v/>
      </c>
      <c r="U4921" s="10"/>
      <c r="V4921" s="10"/>
      <c r="W4921" s="10"/>
      <c r="X4921" s="10"/>
      <c r="Y4921" s="10"/>
      <c r="Z4921" s="10"/>
      <c r="AA4921" s="11" t="str">
        <f t="shared" si="153"/>
        <v/>
      </c>
    </row>
    <row r="4922" spans="16:27" ht="15" customHeight="1">
      <c r="P4922" t="str">
        <f t="shared" si="152"/>
        <v/>
      </c>
      <c r="Q4922" t="str">
        <f>IF(P4922="","",IFERROR(IF(AND(H4922="W7",OR(F4922="causal",F4922="predictive")),IF(AND(OR(K4922=1,K4922="1"),OR(L4922=1,L4922="1"),OR(M4922=1,M4922="1")),"adequate","partial"),IF(AND(H4922="W4",F4922="predictive",OR(J4922="P2",J4922="P3",J4922="P4")),IF(OR(U4922=1,U4922="1"),"adequate","partial"),INDEX(Fit_Matrix!$B:$B,MATCH(P4922,Fit_Matrix!$A:$A,0)))),"CHECK KEY"))</f>
        <v/>
      </c>
      <c r="U4922" s="10"/>
      <c r="V4922" s="10"/>
      <c r="W4922" s="10"/>
      <c r="X4922" s="10"/>
      <c r="Y4922" s="10"/>
      <c r="Z4922" s="10"/>
      <c r="AA4922" s="11" t="str">
        <f t="shared" si="153"/>
        <v/>
      </c>
    </row>
    <row r="4923" spans="16:27" ht="15" customHeight="1">
      <c r="P4923" t="str">
        <f t="shared" si="152"/>
        <v/>
      </c>
      <c r="Q4923" t="str">
        <f>IF(P4923="","",IFERROR(IF(AND(H4923="W7",OR(F4923="causal",F4923="predictive")),IF(AND(OR(K4923=1,K4923="1"),OR(L4923=1,L4923="1"),OR(M4923=1,M4923="1")),"adequate","partial"),IF(AND(H4923="W4",F4923="predictive",OR(J4923="P2",J4923="P3",J4923="P4")),IF(OR(U4923=1,U4923="1"),"adequate","partial"),INDEX(Fit_Matrix!$B:$B,MATCH(P4923,Fit_Matrix!$A:$A,0)))),"CHECK KEY"))</f>
        <v/>
      </c>
      <c r="U4923" s="10"/>
      <c r="V4923" s="10"/>
      <c r="W4923" s="10"/>
      <c r="X4923" s="10"/>
      <c r="Y4923" s="10"/>
      <c r="Z4923" s="10"/>
      <c r="AA4923" s="11" t="str">
        <f t="shared" si="153"/>
        <v/>
      </c>
    </row>
    <row r="4924" spans="16:27" ht="15" customHeight="1">
      <c r="P4924" t="str">
        <f t="shared" si="152"/>
        <v/>
      </c>
      <c r="Q4924" t="str">
        <f>IF(P4924="","",IFERROR(IF(AND(H4924="W7",OR(F4924="causal",F4924="predictive")),IF(AND(OR(K4924=1,K4924="1"),OR(L4924=1,L4924="1"),OR(M4924=1,M4924="1")),"adequate","partial"),IF(AND(H4924="W4",F4924="predictive",OR(J4924="P2",J4924="P3",J4924="P4")),IF(OR(U4924=1,U4924="1"),"adequate","partial"),INDEX(Fit_Matrix!$B:$B,MATCH(P4924,Fit_Matrix!$A:$A,0)))),"CHECK KEY"))</f>
        <v/>
      </c>
      <c r="U4924" s="10"/>
      <c r="V4924" s="10"/>
      <c r="W4924" s="10"/>
      <c r="X4924" s="10"/>
      <c r="Y4924" s="10"/>
      <c r="Z4924" s="10"/>
      <c r="AA4924" s="11" t="str">
        <f t="shared" si="153"/>
        <v/>
      </c>
    </row>
    <row r="4925" spans="16:27" ht="15" customHeight="1">
      <c r="P4925" t="str">
        <f t="shared" si="152"/>
        <v/>
      </c>
      <c r="Q4925" t="str">
        <f>IF(P4925="","",IFERROR(IF(AND(H4925="W7",OR(F4925="causal",F4925="predictive")),IF(AND(OR(K4925=1,K4925="1"),OR(L4925=1,L4925="1"),OR(M4925=1,M4925="1")),"adequate","partial"),IF(AND(H4925="W4",F4925="predictive",OR(J4925="P2",J4925="P3",J4925="P4")),IF(OR(U4925=1,U4925="1"),"adequate","partial"),INDEX(Fit_Matrix!$B:$B,MATCH(P4925,Fit_Matrix!$A:$A,0)))),"CHECK KEY"))</f>
        <v/>
      </c>
      <c r="U4925" s="10"/>
      <c r="V4925" s="10"/>
      <c r="W4925" s="10"/>
      <c r="X4925" s="10"/>
      <c r="Y4925" s="10"/>
      <c r="Z4925" s="10"/>
      <c r="AA4925" s="11" t="str">
        <f t="shared" si="153"/>
        <v/>
      </c>
    </row>
    <row r="4926" spans="16:27" ht="15" customHeight="1">
      <c r="P4926" t="str">
        <f t="shared" si="152"/>
        <v/>
      </c>
      <c r="Q4926" t="str">
        <f>IF(P4926="","",IFERROR(IF(AND(H4926="W7",OR(F4926="causal",F4926="predictive")),IF(AND(OR(K4926=1,K4926="1"),OR(L4926=1,L4926="1"),OR(M4926=1,M4926="1")),"adequate","partial"),IF(AND(H4926="W4",F4926="predictive",OR(J4926="P2",J4926="P3",J4926="P4")),IF(OR(U4926=1,U4926="1"),"adequate","partial"),INDEX(Fit_Matrix!$B:$B,MATCH(P4926,Fit_Matrix!$A:$A,0)))),"CHECK KEY"))</f>
        <v/>
      </c>
      <c r="U4926" s="10"/>
      <c r="V4926" s="10"/>
      <c r="W4926" s="10"/>
      <c r="X4926" s="10"/>
      <c r="Y4926" s="10"/>
      <c r="Z4926" s="10"/>
      <c r="AA4926" s="11" t="str">
        <f t="shared" si="153"/>
        <v/>
      </c>
    </row>
    <row r="4927" spans="16:27" ht="15" customHeight="1">
      <c r="P4927" t="str">
        <f t="shared" si="152"/>
        <v/>
      </c>
      <c r="Q4927" t="str">
        <f>IF(P4927="","",IFERROR(IF(AND(H4927="W7",OR(F4927="causal",F4927="predictive")),IF(AND(OR(K4927=1,K4927="1"),OR(L4927=1,L4927="1"),OR(M4927=1,M4927="1")),"adequate","partial"),IF(AND(H4927="W4",F4927="predictive",OR(J4927="P2",J4927="P3",J4927="P4")),IF(OR(U4927=1,U4927="1"),"adequate","partial"),INDEX(Fit_Matrix!$B:$B,MATCH(P4927,Fit_Matrix!$A:$A,0)))),"CHECK KEY"))</f>
        <v/>
      </c>
      <c r="U4927" s="10"/>
      <c r="V4927" s="10"/>
      <c r="W4927" s="10"/>
      <c r="X4927" s="10"/>
      <c r="Y4927" s="10"/>
      <c r="Z4927" s="10"/>
      <c r="AA4927" s="11" t="str">
        <f t="shared" si="153"/>
        <v/>
      </c>
    </row>
    <row r="4928" spans="16:27" ht="15" customHeight="1">
      <c r="P4928" t="str">
        <f t="shared" si="152"/>
        <v/>
      </c>
      <c r="Q4928" t="str">
        <f>IF(P4928="","",IFERROR(IF(AND(H4928="W7",OR(F4928="causal",F4928="predictive")),IF(AND(OR(K4928=1,K4928="1"),OR(L4928=1,L4928="1"),OR(M4928=1,M4928="1")),"adequate","partial"),IF(AND(H4928="W4",F4928="predictive",OR(J4928="P2",J4928="P3",J4928="P4")),IF(OR(U4928=1,U4928="1"),"adequate","partial"),INDEX(Fit_Matrix!$B:$B,MATCH(P4928,Fit_Matrix!$A:$A,0)))),"CHECK KEY"))</f>
        <v/>
      </c>
      <c r="U4928" s="10"/>
      <c r="V4928" s="10"/>
      <c r="W4928" s="10"/>
      <c r="X4928" s="10"/>
      <c r="Y4928" s="10"/>
      <c r="Z4928" s="10"/>
      <c r="AA4928" s="11" t="str">
        <f t="shared" si="153"/>
        <v/>
      </c>
    </row>
    <row r="4929" spans="16:27" ht="15" customHeight="1">
      <c r="P4929" t="str">
        <f t="shared" si="152"/>
        <v/>
      </c>
      <c r="Q4929" t="str">
        <f>IF(P4929="","",IFERROR(IF(AND(H4929="W7",OR(F4929="causal",F4929="predictive")),IF(AND(OR(K4929=1,K4929="1"),OR(L4929=1,L4929="1"),OR(M4929=1,M4929="1")),"adequate","partial"),IF(AND(H4929="W4",F4929="predictive",OR(J4929="P2",J4929="P3",J4929="P4")),IF(OR(U4929=1,U4929="1"),"adequate","partial"),INDEX(Fit_Matrix!$B:$B,MATCH(P4929,Fit_Matrix!$A:$A,0)))),"CHECK KEY"))</f>
        <v/>
      </c>
      <c r="U4929" s="10"/>
      <c r="V4929" s="10"/>
      <c r="W4929" s="10"/>
      <c r="X4929" s="10"/>
      <c r="Y4929" s="10"/>
      <c r="Z4929" s="10"/>
      <c r="AA4929" s="11" t="str">
        <f t="shared" si="153"/>
        <v/>
      </c>
    </row>
    <row r="4930" spans="16:27" ht="15" customHeight="1">
      <c r="P4930" t="str">
        <f t="shared" ref="P4930:P4998" si="154">IF(OR(F4930="",H4930="",J4930=""),"",J4930&amp;"|"&amp;F4930&amp;"|"&amp;IF(H4930="W3","W3_"&amp;IF(I4930="","unknown",I4930),H4930))</f>
        <v/>
      </c>
      <c r="Q4930" t="str">
        <f>IF(P4930="","",IFERROR(IF(AND(H4930="W7",OR(F4930="causal",F4930="predictive")),IF(AND(OR(K4930=1,K4930="1"),OR(L4930=1,L4930="1"),OR(M4930=1,M4930="1")),"adequate","partial"),IF(AND(H4930="W4",F4930="predictive",OR(J4930="P2",J4930="P3",J4930="P4")),IF(OR(U4930=1,U4930="1"),"adequate","partial"),INDEX(Fit_Matrix!$B:$B,MATCH(P4930,Fit_Matrix!$A:$A,0)))),"CHECK KEY"))</f>
        <v/>
      </c>
      <c r="U4930" s="10"/>
      <c r="V4930" s="10"/>
      <c r="W4930" s="10"/>
      <c r="X4930" s="10"/>
      <c r="Y4930" s="10"/>
      <c r="Z4930" s="10"/>
      <c r="AA4930" s="11" t="str">
        <f t="shared" ref="AA4930:AA4998" si="155">IF(A4930="","",IF(AND(J4930="P4",F4930="causal"),"P4-CAUSAL",""))</f>
        <v/>
      </c>
    </row>
    <row r="4931" spans="16:27" ht="15" customHeight="1">
      <c r="P4931" t="str">
        <f t="shared" si="154"/>
        <v/>
      </c>
      <c r="Q4931" t="str">
        <f>IF(P4931="","",IFERROR(IF(AND(H4931="W7",OR(F4931="causal",F4931="predictive")),IF(AND(OR(K4931=1,K4931="1"),OR(L4931=1,L4931="1"),OR(M4931=1,M4931="1")),"adequate","partial"),IF(AND(H4931="W4",F4931="predictive",OR(J4931="P2",J4931="P3",J4931="P4")),IF(OR(U4931=1,U4931="1"),"adequate","partial"),INDEX(Fit_Matrix!$B:$B,MATCH(P4931,Fit_Matrix!$A:$A,0)))),"CHECK KEY"))</f>
        <v/>
      </c>
      <c r="U4931" s="10"/>
      <c r="V4931" s="10"/>
      <c r="W4931" s="10"/>
      <c r="X4931" s="10"/>
      <c r="Y4931" s="10"/>
      <c r="Z4931" s="10"/>
      <c r="AA4931" s="11" t="str">
        <f t="shared" si="155"/>
        <v/>
      </c>
    </row>
    <row r="4932" spans="16:27" ht="15" customHeight="1">
      <c r="P4932" t="str">
        <f t="shared" si="154"/>
        <v/>
      </c>
      <c r="Q4932" t="str">
        <f>IF(P4932="","",IFERROR(IF(AND(H4932="W7",OR(F4932="causal",F4932="predictive")),IF(AND(OR(K4932=1,K4932="1"),OR(L4932=1,L4932="1"),OR(M4932=1,M4932="1")),"adequate","partial"),IF(AND(H4932="W4",F4932="predictive",OR(J4932="P2",J4932="P3",J4932="P4")),IF(OR(U4932=1,U4932="1"),"adequate","partial"),INDEX(Fit_Matrix!$B:$B,MATCH(P4932,Fit_Matrix!$A:$A,0)))),"CHECK KEY"))</f>
        <v/>
      </c>
      <c r="U4932" s="10"/>
      <c r="V4932" s="10"/>
      <c r="W4932" s="10"/>
      <c r="X4932" s="10"/>
      <c r="Y4932" s="10"/>
      <c r="Z4932" s="10"/>
      <c r="AA4932" s="11" t="str">
        <f t="shared" si="155"/>
        <v/>
      </c>
    </row>
    <row r="4933" spans="16:27" ht="15" customHeight="1">
      <c r="P4933" t="str">
        <f t="shared" si="154"/>
        <v/>
      </c>
      <c r="Q4933" t="str">
        <f>IF(P4933="","",IFERROR(IF(AND(H4933="W7",OR(F4933="causal",F4933="predictive")),IF(AND(OR(K4933=1,K4933="1"),OR(L4933=1,L4933="1"),OR(M4933=1,M4933="1")),"adequate","partial"),IF(AND(H4933="W4",F4933="predictive",OR(J4933="P2",J4933="P3",J4933="P4")),IF(OR(U4933=1,U4933="1"),"adequate","partial"),INDEX(Fit_Matrix!$B:$B,MATCH(P4933,Fit_Matrix!$A:$A,0)))),"CHECK KEY"))</f>
        <v/>
      </c>
      <c r="U4933" s="10"/>
      <c r="V4933" s="10"/>
      <c r="W4933" s="10"/>
      <c r="X4933" s="10"/>
      <c r="Y4933" s="10"/>
      <c r="Z4933" s="10"/>
      <c r="AA4933" s="11" t="str">
        <f t="shared" si="155"/>
        <v/>
      </c>
    </row>
    <row r="4934" spans="16:27" ht="15" customHeight="1">
      <c r="P4934" t="str">
        <f t="shared" si="154"/>
        <v/>
      </c>
      <c r="Q4934" t="str">
        <f>IF(P4934="","",IFERROR(IF(AND(H4934="W7",OR(F4934="causal",F4934="predictive")),IF(AND(OR(K4934=1,K4934="1"),OR(L4934=1,L4934="1"),OR(M4934=1,M4934="1")),"adequate","partial"),IF(AND(H4934="W4",F4934="predictive",OR(J4934="P2",J4934="P3",J4934="P4")),IF(OR(U4934=1,U4934="1"),"adequate","partial"),INDEX(Fit_Matrix!$B:$B,MATCH(P4934,Fit_Matrix!$A:$A,0)))),"CHECK KEY"))</f>
        <v/>
      </c>
      <c r="U4934" s="10"/>
      <c r="V4934" s="10"/>
      <c r="W4934" s="10"/>
      <c r="X4934" s="10"/>
      <c r="Y4934" s="10"/>
      <c r="Z4934" s="10"/>
      <c r="AA4934" s="11" t="str">
        <f t="shared" si="155"/>
        <v/>
      </c>
    </row>
    <row r="4935" spans="16:27" ht="15" customHeight="1">
      <c r="P4935" t="str">
        <f t="shared" si="154"/>
        <v/>
      </c>
      <c r="Q4935" t="str">
        <f>IF(P4935="","",IFERROR(IF(AND(H4935="W7",OR(F4935="causal",F4935="predictive")),IF(AND(OR(K4935=1,K4935="1"),OR(L4935=1,L4935="1"),OR(M4935=1,M4935="1")),"adequate","partial"),IF(AND(H4935="W4",F4935="predictive",OR(J4935="P2",J4935="P3",J4935="P4")),IF(OR(U4935=1,U4935="1"),"adequate","partial"),INDEX(Fit_Matrix!$B:$B,MATCH(P4935,Fit_Matrix!$A:$A,0)))),"CHECK KEY"))</f>
        <v/>
      </c>
      <c r="U4935" s="10"/>
      <c r="V4935" s="10"/>
      <c r="W4935" s="10"/>
      <c r="X4935" s="10"/>
      <c r="Y4935" s="10"/>
      <c r="Z4935" s="10"/>
      <c r="AA4935" s="11" t="str">
        <f t="shared" si="155"/>
        <v/>
      </c>
    </row>
    <row r="4936" spans="16:27" ht="15" customHeight="1">
      <c r="P4936" t="str">
        <f t="shared" si="154"/>
        <v/>
      </c>
      <c r="Q4936" t="str">
        <f>IF(P4936="","",IFERROR(IF(AND(H4936="W7",OR(F4936="causal",F4936="predictive")),IF(AND(OR(K4936=1,K4936="1"),OR(L4936=1,L4936="1"),OR(M4936=1,M4936="1")),"adequate","partial"),IF(AND(H4936="W4",F4936="predictive",OR(J4936="P2",J4936="P3",J4936="P4")),IF(OR(U4936=1,U4936="1"),"adequate","partial"),INDEX(Fit_Matrix!$B:$B,MATCH(P4936,Fit_Matrix!$A:$A,0)))),"CHECK KEY"))</f>
        <v/>
      </c>
      <c r="U4936" s="10"/>
      <c r="V4936" s="10"/>
      <c r="W4936" s="10"/>
      <c r="X4936" s="10"/>
      <c r="Y4936" s="10"/>
      <c r="Z4936" s="10"/>
      <c r="AA4936" s="11" t="str">
        <f t="shared" si="155"/>
        <v/>
      </c>
    </row>
    <row r="4937" spans="16:27" ht="15" customHeight="1">
      <c r="P4937" t="str">
        <f t="shared" si="154"/>
        <v/>
      </c>
      <c r="Q4937" t="str">
        <f>IF(P4937="","",IFERROR(IF(AND(H4937="W7",OR(F4937="causal",F4937="predictive")),IF(AND(OR(K4937=1,K4937="1"),OR(L4937=1,L4937="1"),OR(M4937=1,M4937="1")),"adequate","partial"),IF(AND(H4937="W4",F4937="predictive",OR(J4937="P2",J4937="P3",J4937="P4")),IF(OR(U4937=1,U4937="1"),"adequate","partial"),INDEX(Fit_Matrix!$B:$B,MATCH(P4937,Fit_Matrix!$A:$A,0)))),"CHECK KEY"))</f>
        <v/>
      </c>
      <c r="U4937" s="10"/>
      <c r="V4937" s="10"/>
      <c r="W4937" s="10"/>
      <c r="X4937" s="10"/>
      <c r="Y4937" s="10"/>
      <c r="Z4937" s="10"/>
      <c r="AA4937" s="11" t="str">
        <f t="shared" si="155"/>
        <v/>
      </c>
    </row>
    <row r="4938" spans="16:27" ht="15" customHeight="1">
      <c r="P4938" t="str">
        <f t="shared" si="154"/>
        <v/>
      </c>
      <c r="Q4938" t="str">
        <f>IF(P4938="","",IFERROR(IF(AND(H4938="W7",OR(F4938="causal",F4938="predictive")),IF(AND(OR(K4938=1,K4938="1"),OR(L4938=1,L4938="1"),OR(M4938=1,M4938="1")),"adequate","partial"),IF(AND(H4938="W4",F4938="predictive",OR(J4938="P2",J4938="P3",J4938="P4")),IF(OR(U4938=1,U4938="1"),"adequate","partial"),INDEX(Fit_Matrix!$B:$B,MATCH(P4938,Fit_Matrix!$A:$A,0)))),"CHECK KEY"))</f>
        <v/>
      </c>
      <c r="U4938" s="10"/>
      <c r="V4938" s="10"/>
      <c r="W4938" s="10"/>
      <c r="X4938" s="10"/>
      <c r="Y4938" s="10"/>
      <c r="Z4938" s="10"/>
      <c r="AA4938" s="11" t="str">
        <f t="shared" si="155"/>
        <v/>
      </c>
    </row>
    <row r="4939" spans="16:27" ht="15" customHeight="1">
      <c r="P4939" t="str">
        <f t="shared" si="154"/>
        <v/>
      </c>
      <c r="Q4939" t="str">
        <f>IF(P4939="","",IFERROR(IF(AND(H4939="W7",OR(F4939="causal",F4939="predictive")),IF(AND(OR(K4939=1,K4939="1"),OR(L4939=1,L4939="1"),OR(M4939=1,M4939="1")),"adequate","partial"),IF(AND(H4939="W4",F4939="predictive",OR(J4939="P2",J4939="P3",J4939="P4")),IF(OR(U4939=1,U4939="1"),"adequate","partial"),INDEX(Fit_Matrix!$B:$B,MATCH(P4939,Fit_Matrix!$A:$A,0)))),"CHECK KEY"))</f>
        <v/>
      </c>
      <c r="U4939" s="10"/>
      <c r="V4939" s="10"/>
      <c r="W4939" s="10"/>
      <c r="X4939" s="10"/>
      <c r="Y4939" s="10"/>
      <c r="Z4939" s="10"/>
      <c r="AA4939" s="11" t="str">
        <f t="shared" si="155"/>
        <v/>
      </c>
    </row>
    <row r="4940" spans="16:27" ht="15" customHeight="1">
      <c r="P4940" t="str">
        <f t="shared" si="154"/>
        <v/>
      </c>
      <c r="Q4940" t="str">
        <f>IF(P4940="","",IFERROR(IF(AND(H4940="W7",OR(F4940="causal",F4940="predictive")),IF(AND(OR(K4940=1,K4940="1"),OR(L4940=1,L4940="1"),OR(M4940=1,M4940="1")),"adequate","partial"),IF(AND(H4940="W4",F4940="predictive",OR(J4940="P2",J4940="P3",J4940="P4")),IF(OR(U4940=1,U4940="1"),"adequate","partial"),INDEX(Fit_Matrix!$B:$B,MATCH(P4940,Fit_Matrix!$A:$A,0)))),"CHECK KEY"))</f>
        <v/>
      </c>
      <c r="U4940" s="10"/>
      <c r="V4940" s="10"/>
      <c r="W4940" s="10"/>
      <c r="X4940" s="10"/>
      <c r="Y4940" s="10"/>
      <c r="Z4940" s="10"/>
      <c r="AA4940" s="11" t="str">
        <f t="shared" si="155"/>
        <v/>
      </c>
    </row>
    <row r="4941" spans="16:27" ht="15" customHeight="1">
      <c r="P4941" t="str">
        <f t="shared" si="154"/>
        <v/>
      </c>
      <c r="Q4941" t="str">
        <f>IF(P4941="","",IFERROR(IF(AND(H4941="W7",OR(F4941="causal",F4941="predictive")),IF(AND(OR(K4941=1,K4941="1"),OR(L4941=1,L4941="1"),OR(M4941=1,M4941="1")),"adequate","partial"),IF(AND(H4941="W4",F4941="predictive",OR(J4941="P2",J4941="P3",J4941="P4")),IF(OR(U4941=1,U4941="1"),"adequate","partial"),INDEX(Fit_Matrix!$B:$B,MATCH(P4941,Fit_Matrix!$A:$A,0)))),"CHECK KEY"))</f>
        <v/>
      </c>
      <c r="U4941" s="10"/>
      <c r="V4941" s="10"/>
      <c r="W4941" s="10"/>
      <c r="X4941" s="10"/>
      <c r="Y4941" s="10"/>
      <c r="Z4941" s="10"/>
      <c r="AA4941" s="11" t="str">
        <f t="shared" si="155"/>
        <v/>
      </c>
    </row>
    <row r="4942" spans="16:27" ht="15" customHeight="1">
      <c r="P4942" t="str">
        <f t="shared" si="154"/>
        <v/>
      </c>
      <c r="Q4942" t="str">
        <f>IF(P4942="","",IFERROR(IF(AND(H4942="W7",OR(F4942="causal",F4942="predictive")),IF(AND(OR(K4942=1,K4942="1"),OR(L4942=1,L4942="1"),OR(M4942=1,M4942="1")),"adequate","partial"),IF(AND(H4942="W4",F4942="predictive",OR(J4942="P2",J4942="P3",J4942="P4")),IF(OR(U4942=1,U4942="1"),"adequate","partial"),INDEX(Fit_Matrix!$B:$B,MATCH(P4942,Fit_Matrix!$A:$A,0)))),"CHECK KEY"))</f>
        <v/>
      </c>
      <c r="U4942" s="10"/>
      <c r="V4942" s="10"/>
      <c r="W4942" s="10"/>
      <c r="X4942" s="10"/>
      <c r="Y4942" s="10"/>
      <c r="Z4942" s="10"/>
      <c r="AA4942" s="11" t="str">
        <f t="shared" si="155"/>
        <v/>
      </c>
    </row>
    <row r="4943" spans="16:27" ht="15" customHeight="1">
      <c r="P4943" t="str">
        <f t="shared" si="154"/>
        <v/>
      </c>
      <c r="Q4943" t="str">
        <f>IF(P4943="","",IFERROR(IF(AND(H4943="W7",OR(F4943="causal",F4943="predictive")),IF(AND(OR(K4943=1,K4943="1"),OR(L4943=1,L4943="1"),OR(M4943=1,M4943="1")),"adequate","partial"),IF(AND(H4943="W4",F4943="predictive",OR(J4943="P2",J4943="P3",J4943="P4")),IF(OR(U4943=1,U4943="1"),"adequate","partial"),INDEX(Fit_Matrix!$B:$B,MATCH(P4943,Fit_Matrix!$A:$A,0)))),"CHECK KEY"))</f>
        <v/>
      </c>
      <c r="U4943" s="10"/>
      <c r="V4943" s="10"/>
      <c r="W4943" s="10"/>
      <c r="X4943" s="10"/>
      <c r="Y4943" s="10"/>
      <c r="Z4943" s="10"/>
      <c r="AA4943" s="11" t="str">
        <f t="shared" si="155"/>
        <v/>
      </c>
    </row>
    <row r="4944" spans="16:27" ht="15" customHeight="1">
      <c r="P4944" t="str">
        <f t="shared" si="154"/>
        <v/>
      </c>
      <c r="Q4944" t="str">
        <f>IF(P4944="","",IFERROR(IF(AND(H4944="W7",OR(F4944="causal",F4944="predictive")),IF(AND(OR(K4944=1,K4944="1"),OR(L4944=1,L4944="1"),OR(M4944=1,M4944="1")),"adequate","partial"),IF(AND(H4944="W4",F4944="predictive",OR(J4944="P2",J4944="P3",J4944="P4")),IF(OR(U4944=1,U4944="1"),"adequate","partial"),INDEX(Fit_Matrix!$B:$B,MATCH(P4944,Fit_Matrix!$A:$A,0)))),"CHECK KEY"))</f>
        <v/>
      </c>
      <c r="U4944" s="10"/>
      <c r="V4944" s="10"/>
      <c r="W4944" s="10"/>
      <c r="X4944" s="10"/>
      <c r="Y4944" s="10"/>
      <c r="Z4944" s="10"/>
      <c r="AA4944" s="11" t="str">
        <f t="shared" si="155"/>
        <v/>
      </c>
    </row>
    <row r="4945" spans="16:27" ht="15" customHeight="1">
      <c r="P4945" t="str">
        <f t="shared" si="154"/>
        <v/>
      </c>
      <c r="Q4945" t="str">
        <f>IF(P4945="","",IFERROR(IF(AND(H4945="W7",OR(F4945="causal",F4945="predictive")),IF(AND(OR(K4945=1,K4945="1"),OR(L4945=1,L4945="1"),OR(M4945=1,M4945="1")),"adequate","partial"),IF(AND(H4945="W4",F4945="predictive",OR(J4945="P2",J4945="P3",J4945="P4")),IF(OR(U4945=1,U4945="1"),"adequate","partial"),INDEX(Fit_Matrix!$B:$B,MATCH(P4945,Fit_Matrix!$A:$A,0)))),"CHECK KEY"))</f>
        <v/>
      </c>
      <c r="U4945" s="10"/>
      <c r="V4945" s="10"/>
      <c r="W4945" s="10"/>
      <c r="X4945" s="10"/>
      <c r="Y4945" s="10"/>
      <c r="Z4945" s="10"/>
      <c r="AA4945" s="11" t="str">
        <f t="shared" si="155"/>
        <v/>
      </c>
    </row>
    <row r="4946" spans="16:27" ht="15" customHeight="1">
      <c r="P4946" t="str">
        <f t="shared" si="154"/>
        <v/>
      </c>
      <c r="Q4946" t="str">
        <f>IF(P4946="","",IFERROR(IF(AND(H4946="W7",OR(F4946="causal",F4946="predictive")),IF(AND(OR(K4946=1,K4946="1"),OR(L4946=1,L4946="1"),OR(M4946=1,M4946="1")),"adequate","partial"),IF(AND(H4946="W4",F4946="predictive",OR(J4946="P2",J4946="P3",J4946="P4")),IF(OR(U4946=1,U4946="1"),"adequate","partial"),INDEX(Fit_Matrix!$B:$B,MATCH(P4946,Fit_Matrix!$A:$A,0)))),"CHECK KEY"))</f>
        <v/>
      </c>
      <c r="U4946" s="10"/>
      <c r="V4946" s="10"/>
      <c r="W4946" s="10"/>
      <c r="X4946" s="10"/>
      <c r="Y4946" s="10"/>
      <c r="Z4946" s="10"/>
      <c r="AA4946" s="11" t="str">
        <f t="shared" si="155"/>
        <v/>
      </c>
    </row>
    <row r="4947" spans="16:27" ht="15" customHeight="1">
      <c r="P4947" t="str">
        <f t="shared" si="154"/>
        <v/>
      </c>
      <c r="Q4947" t="str">
        <f>IF(P4947="","",IFERROR(IF(AND(H4947="W7",OR(F4947="causal",F4947="predictive")),IF(AND(OR(K4947=1,K4947="1"),OR(L4947=1,L4947="1"),OR(M4947=1,M4947="1")),"adequate","partial"),IF(AND(H4947="W4",F4947="predictive",OR(J4947="P2",J4947="P3",J4947="P4")),IF(OR(U4947=1,U4947="1"),"adequate","partial"),INDEX(Fit_Matrix!$B:$B,MATCH(P4947,Fit_Matrix!$A:$A,0)))),"CHECK KEY"))</f>
        <v/>
      </c>
      <c r="U4947" s="10"/>
      <c r="V4947" s="10"/>
      <c r="W4947" s="10"/>
      <c r="X4947" s="10"/>
      <c r="Y4947" s="10"/>
      <c r="Z4947" s="10"/>
      <c r="AA4947" s="11" t="str">
        <f t="shared" si="155"/>
        <v/>
      </c>
    </row>
    <row r="4948" spans="16:27" ht="15" customHeight="1">
      <c r="P4948" t="str">
        <f t="shared" si="154"/>
        <v/>
      </c>
      <c r="Q4948" t="str">
        <f>IF(P4948="","",IFERROR(IF(AND(H4948="W7",OR(F4948="causal",F4948="predictive")),IF(AND(OR(K4948=1,K4948="1"),OR(L4948=1,L4948="1"),OR(M4948=1,M4948="1")),"adequate","partial"),IF(AND(H4948="W4",F4948="predictive",OR(J4948="P2",J4948="P3",J4948="P4")),IF(OR(U4948=1,U4948="1"),"adequate","partial"),INDEX(Fit_Matrix!$B:$B,MATCH(P4948,Fit_Matrix!$A:$A,0)))),"CHECK KEY"))</f>
        <v/>
      </c>
      <c r="U4948" s="10"/>
      <c r="V4948" s="10"/>
      <c r="W4948" s="10"/>
      <c r="X4948" s="10"/>
      <c r="Y4948" s="10"/>
      <c r="Z4948" s="10"/>
      <c r="AA4948" s="11" t="str">
        <f t="shared" si="155"/>
        <v/>
      </c>
    </row>
    <row r="4949" spans="16:27" ht="15" customHeight="1">
      <c r="P4949" t="str">
        <f t="shared" si="154"/>
        <v/>
      </c>
      <c r="Q4949" t="str">
        <f>IF(P4949="","",IFERROR(IF(AND(H4949="W7",OR(F4949="causal",F4949="predictive")),IF(AND(OR(K4949=1,K4949="1"),OR(L4949=1,L4949="1"),OR(M4949=1,M4949="1")),"adequate","partial"),IF(AND(H4949="W4",F4949="predictive",OR(J4949="P2",J4949="P3",J4949="P4")),IF(OR(U4949=1,U4949="1"),"adequate","partial"),INDEX(Fit_Matrix!$B:$B,MATCH(P4949,Fit_Matrix!$A:$A,0)))),"CHECK KEY"))</f>
        <v/>
      </c>
      <c r="U4949" s="10"/>
      <c r="V4949" s="10"/>
      <c r="W4949" s="10"/>
      <c r="X4949" s="10"/>
      <c r="Y4949" s="10"/>
      <c r="Z4949" s="10"/>
      <c r="AA4949" s="11" t="str">
        <f t="shared" si="155"/>
        <v/>
      </c>
    </row>
    <row r="4950" spans="16:27" ht="15" customHeight="1">
      <c r="P4950" t="str">
        <f t="shared" si="154"/>
        <v/>
      </c>
      <c r="Q4950" t="str">
        <f>IF(P4950="","",IFERROR(IF(AND(H4950="W7",OR(F4950="causal",F4950="predictive")),IF(AND(OR(K4950=1,K4950="1"),OR(L4950=1,L4950="1"),OR(M4950=1,M4950="1")),"adequate","partial"),IF(AND(H4950="W4",F4950="predictive",OR(J4950="P2",J4950="P3",J4950="P4")),IF(OR(U4950=1,U4950="1"),"adequate","partial"),INDEX(Fit_Matrix!$B:$B,MATCH(P4950,Fit_Matrix!$A:$A,0)))),"CHECK KEY"))</f>
        <v/>
      </c>
      <c r="U4950" s="10"/>
      <c r="V4950" s="10"/>
      <c r="W4950" s="10"/>
      <c r="X4950" s="10"/>
      <c r="Y4950" s="10"/>
      <c r="Z4950" s="10"/>
      <c r="AA4950" s="11" t="str">
        <f t="shared" si="155"/>
        <v/>
      </c>
    </row>
    <row r="4951" spans="16:27" ht="15" customHeight="1">
      <c r="P4951" t="str">
        <f t="shared" si="154"/>
        <v/>
      </c>
      <c r="Q4951" t="str">
        <f>IF(P4951="","",IFERROR(IF(AND(H4951="W7",OR(F4951="causal",F4951="predictive")),IF(AND(OR(K4951=1,K4951="1"),OR(L4951=1,L4951="1"),OR(M4951=1,M4951="1")),"adequate","partial"),IF(AND(H4951="W4",F4951="predictive",OR(J4951="P2",J4951="P3",J4951="P4")),IF(OR(U4951=1,U4951="1"),"adequate","partial"),INDEX(Fit_Matrix!$B:$B,MATCH(P4951,Fit_Matrix!$A:$A,0)))),"CHECK KEY"))</f>
        <v/>
      </c>
      <c r="U4951" s="10"/>
      <c r="V4951" s="10"/>
      <c r="W4951" s="10"/>
      <c r="X4951" s="10"/>
      <c r="Y4951" s="10"/>
      <c r="Z4951" s="10"/>
      <c r="AA4951" s="11" t="str">
        <f t="shared" si="155"/>
        <v/>
      </c>
    </row>
    <row r="4952" spans="16:27" ht="15" customHeight="1">
      <c r="P4952" t="str">
        <f t="shared" si="154"/>
        <v/>
      </c>
      <c r="Q4952" t="str">
        <f>IF(P4952="","",IFERROR(IF(AND(H4952="W7",OR(F4952="causal",F4952="predictive")),IF(AND(OR(K4952=1,K4952="1"),OR(L4952=1,L4952="1"),OR(M4952=1,M4952="1")),"adequate","partial"),IF(AND(H4952="W4",F4952="predictive",OR(J4952="P2",J4952="P3",J4952="P4")),IF(OR(U4952=1,U4952="1"),"adequate","partial"),INDEX(Fit_Matrix!$B:$B,MATCH(P4952,Fit_Matrix!$A:$A,0)))),"CHECK KEY"))</f>
        <v/>
      </c>
      <c r="U4952" s="10"/>
      <c r="V4952" s="10"/>
      <c r="W4952" s="10"/>
      <c r="X4952" s="10"/>
      <c r="Y4952" s="10"/>
      <c r="Z4952" s="10"/>
      <c r="AA4952" s="11" t="str">
        <f t="shared" si="155"/>
        <v/>
      </c>
    </row>
    <row r="4953" spans="16:27" ht="15" customHeight="1">
      <c r="P4953" t="str">
        <f t="shared" si="154"/>
        <v/>
      </c>
      <c r="Q4953" t="str">
        <f>IF(P4953="","",IFERROR(IF(AND(H4953="W7",OR(F4953="causal",F4953="predictive")),IF(AND(OR(K4953=1,K4953="1"),OR(L4953=1,L4953="1"),OR(M4953=1,M4953="1")),"adequate","partial"),IF(AND(H4953="W4",F4953="predictive",OR(J4953="P2",J4953="P3",J4953="P4")),IF(OR(U4953=1,U4953="1"),"adequate","partial"),INDEX(Fit_Matrix!$B:$B,MATCH(P4953,Fit_Matrix!$A:$A,0)))),"CHECK KEY"))</f>
        <v/>
      </c>
      <c r="U4953" s="10"/>
      <c r="V4953" s="10"/>
      <c r="W4953" s="10"/>
      <c r="X4953" s="10"/>
      <c r="Y4953" s="10"/>
      <c r="Z4953" s="10"/>
      <c r="AA4953" s="11" t="str">
        <f t="shared" si="155"/>
        <v/>
      </c>
    </row>
    <row r="4954" spans="16:27" ht="15" customHeight="1">
      <c r="P4954" t="str">
        <f t="shared" si="154"/>
        <v/>
      </c>
      <c r="Q4954" t="str">
        <f>IF(P4954="","",IFERROR(IF(AND(H4954="W7",OR(F4954="causal",F4954="predictive")),IF(AND(OR(K4954=1,K4954="1"),OR(L4954=1,L4954="1"),OR(M4954=1,M4954="1")),"adequate","partial"),IF(AND(H4954="W4",F4954="predictive",OR(J4954="P2",J4954="P3",J4954="P4")),IF(OR(U4954=1,U4954="1"),"adequate","partial"),INDEX(Fit_Matrix!$B:$B,MATCH(P4954,Fit_Matrix!$A:$A,0)))),"CHECK KEY"))</f>
        <v/>
      </c>
      <c r="U4954" s="10"/>
      <c r="V4954" s="10"/>
      <c r="W4954" s="10"/>
      <c r="X4954" s="10"/>
      <c r="Y4954" s="10"/>
      <c r="Z4954" s="10"/>
      <c r="AA4954" s="11" t="str">
        <f t="shared" si="155"/>
        <v/>
      </c>
    </row>
    <row r="4955" spans="16:27" ht="15" customHeight="1">
      <c r="P4955" t="str">
        <f t="shared" si="154"/>
        <v/>
      </c>
      <c r="Q4955" t="str">
        <f>IF(P4955="","",IFERROR(IF(AND(H4955="W7",OR(F4955="causal",F4955="predictive")),IF(AND(OR(K4955=1,K4955="1"),OR(L4955=1,L4955="1"),OR(M4955=1,M4955="1")),"adequate","partial"),IF(AND(H4955="W4",F4955="predictive",OR(J4955="P2",J4955="P3",J4955="P4")),IF(OR(U4955=1,U4955="1"),"adequate","partial"),INDEX(Fit_Matrix!$B:$B,MATCH(P4955,Fit_Matrix!$A:$A,0)))),"CHECK KEY"))</f>
        <v/>
      </c>
      <c r="U4955" s="10"/>
      <c r="V4955" s="10"/>
      <c r="W4955" s="10"/>
      <c r="X4955" s="10"/>
      <c r="Y4955" s="10"/>
      <c r="Z4955" s="10"/>
      <c r="AA4955" s="11" t="str">
        <f t="shared" si="155"/>
        <v/>
      </c>
    </row>
    <row r="4956" spans="16:27" ht="15" customHeight="1">
      <c r="P4956" t="str">
        <f t="shared" si="154"/>
        <v/>
      </c>
      <c r="Q4956" t="str">
        <f>IF(P4956="","",IFERROR(IF(AND(H4956="W7",OR(F4956="causal",F4956="predictive")),IF(AND(OR(K4956=1,K4956="1"),OR(L4956=1,L4956="1"),OR(M4956=1,M4956="1")),"adequate","partial"),IF(AND(H4956="W4",F4956="predictive",OR(J4956="P2",J4956="P3",J4956="P4")),IF(OR(U4956=1,U4956="1"),"adequate","partial"),INDEX(Fit_Matrix!$B:$B,MATCH(P4956,Fit_Matrix!$A:$A,0)))),"CHECK KEY"))</f>
        <v/>
      </c>
      <c r="U4956" s="10"/>
      <c r="V4956" s="10"/>
      <c r="W4956" s="10"/>
      <c r="X4956" s="10"/>
      <c r="Y4956" s="10"/>
      <c r="Z4956" s="10"/>
      <c r="AA4956" s="11" t="str">
        <f t="shared" si="155"/>
        <v/>
      </c>
    </row>
    <row r="4957" spans="16:27" ht="15" customHeight="1">
      <c r="P4957" t="str">
        <f t="shared" si="154"/>
        <v/>
      </c>
      <c r="Q4957" t="str">
        <f>IF(P4957="","",IFERROR(IF(AND(H4957="W7",OR(F4957="causal",F4957="predictive")),IF(AND(OR(K4957=1,K4957="1"),OR(L4957=1,L4957="1"),OR(M4957=1,M4957="1")),"adequate","partial"),IF(AND(H4957="W4",F4957="predictive",OR(J4957="P2",J4957="P3",J4957="P4")),IF(OR(U4957=1,U4957="1"),"adequate","partial"),INDEX(Fit_Matrix!$B:$B,MATCH(P4957,Fit_Matrix!$A:$A,0)))),"CHECK KEY"))</f>
        <v/>
      </c>
      <c r="U4957" s="10"/>
      <c r="V4957" s="10"/>
      <c r="W4957" s="10"/>
      <c r="X4957" s="10"/>
      <c r="Y4957" s="10"/>
      <c r="Z4957" s="10"/>
      <c r="AA4957" s="11" t="str">
        <f t="shared" si="155"/>
        <v/>
      </c>
    </row>
    <row r="4958" spans="16:27" ht="15" customHeight="1">
      <c r="P4958" t="str">
        <f t="shared" si="154"/>
        <v/>
      </c>
      <c r="Q4958" t="str">
        <f>IF(P4958="","",IFERROR(IF(AND(H4958="W7",OR(F4958="causal",F4958="predictive")),IF(AND(OR(K4958=1,K4958="1"),OR(L4958=1,L4958="1"),OR(M4958=1,M4958="1")),"adequate","partial"),IF(AND(H4958="W4",F4958="predictive",OR(J4958="P2",J4958="P3",J4958="P4")),IF(OR(U4958=1,U4958="1"),"adequate","partial"),INDEX(Fit_Matrix!$B:$B,MATCH(P4958,Fit_Matrix!$A:$A,0)))),"CHECK KEY"))</f>
        <v/>
      </c>
      <c r="U4958" s="10"/>
      <c r="V4958" s="10"/>
      <c r="W4958" s="10"/>
      <c r="X4958" s="10"/>
      <c r="Y4958" s="10"/>
      <c r="Z4958" s="10"/>
      <c r="AA4958" s="11" t="str">
        <f t="shared" si="155"/>
        <v/>
      </c>
    </row>
    <row r="4959" spans="16:27" ht="15" customHeight="1">
      <c r="P4959" t="str">
        <f t="shared" si="154"/>
        <v/>
      </c>
      <c r="Q4959" t="str">
        <f>IF(P4959="","",IFERROR(IF(AND(H4959="W7",OR(F4959="causal",F4959="predictive")),IF(AND(OR(K4959=1,K4959="1"),OR(L4959=1,L4959="1"),OR(M4959=1,M4959="1")),"adequate","partial"),IF(AND(H4959="W4",F4959="predictive",OR(J4959="P2",J4959="P3",J4959="P4")),IF(OR(U4959=1,U4959="1"),"adequate","partial"),INDEX(Fit_Matrix!$B:$B,MATCH(P4959,Fit_Matrix!$A:$A,0)))),"CHECK KEY"))</f>
        <v/>
      </c>
      <c r="U4959" s="10"/>
      <c r="V4959" s="10"/>
      <c r="W4959" s="10"/>
      <c r="X4959" s="10"/>
      <c r="Y4959" s="10"/>
      <c r="Z4959" s="10"/>
      <c r="AA4959" s="11" t="str">
        <f t="shared" si="155"/>
        <v/>
      </c>
    </row>
    <row r="4960" spans="16:27" ht="15" customHeight="1">
      <c r="P4960" t="str">
        <f t="shared" si="154"/>
        <v/>
      </c>
      <c r="Q4960" t="str">
        <f>IF(P4960="","",IFERROR(IF(AND(H4960="W7",OR(F4960="causal",F4960="predictive")),IF(AND(OR(K4960=1,K4960="1"),OR(L4960=1,L4960="1"),OR(M4960=1,M4960="1")),"adequate","partial"),IF(AND(H4960="W4",F4960="predictive",OR(J4960="P2",J4960="P3",J4960="P4")),IF(OR(U4960=1,U4960="1"),"adequate","partial"),INDEX(Fit_Matrix!$B:$B,MATCH(P4960,Fit_Matrix!$A:$A,0)))),"CHECK KEY"))</f>
        <v/>
      </c>
      <c r="U4960" s="10"/>
      <c r="V4960" s="10"/>
      <c r="W4960" s="10"/>
      <c r="X4960" s="10"/>
      <c r="Y4960" s="10"/>
      <c r="Z4960" s="10"/>
      <c r="AA4960" s="11" t="str">
        <f t="shared" si="155"/>
        <v/>
      </c>
    </row>
    <row r="4961" spans="16:27" ht="15" customHeight="1">
      <c r="P4961" t="str">
        <f t="shared" si="154"/>
        <v/>
      </c>
      <c r="Q4961" t="str">
        <f>IF(P4961="","",IFERROR(IF(AND(H4961="W7",OR(F4961="causal",F4961="predictive")),IF(AND(OR(K4961=1,K4961="1"),OR(L4961=1,L4961="1"),OR(M4961=1,M4961="1")),"adequate","partial"),IF(AND(H4961="W4",F4961="predictive",OR(J4961="P2",J4961="P3",J4961="P4")),IF(OR(U4961=1,U4961="1"),"adequate","partial"),INDEX(Fit_Matrix!$B:$B,MATCH(P4961,Fit_Matrix!$A:$A,0)))),"CHECK KEY"))</f>
        <v/>
      </c>
      <c r="U4961" s="10"/>
      <c r="V4961" s="10"/>
      <c r="W4961" s="10"/>
      <c r="X4961" s="10"/>
      <c r="Y4961" s="10"/>
      <c r="Z4961" s="10"/>
      <c r="AA4961" s="11" t="str">
        <f t="shared" si="155"/>
        <v/>
      </c>
    </row>
    <row r="4962" spans="16:27" ht="15" customHeight="1">
      <c r="P4962" t="str">
        <f t="shared" si="154"/>
        <v/>
      </c>
      <c r="Q4962" t="str">
        <f>IF(P4962="","",IFERROR(IF(AND(H4962="W7",OR(F4962="causal",F4962="predictive")),IF(AND(OR(K4962=1,K4962="1"),OR(L4962=1,L4962="1"),OR(M4962=1,M4962="1")),"adequate","partial"),IF(AND(H4962="W4",F4962="predictive",OR(J4962="P2",J4962="P3",J4962="P4")),IF(OR(U4962=1,U4962="1"),"adequate","partial"),INDEX(Fit_Matrix!$B:$B,MATCH(P4962,Fit_Matrix!$A:$A,0)))),"CHECK KEY"))</f>
        <v/>
      </c>
      <c r="U4962" s="10"/>
      <c r="V4962" s="10"/>
      <c r="W4962" s="10"/>
      <c r="X4962" s="10"/>
      <c r="Y4962" s="10"/>
      <c r="Z4962" s="10"/>
      <c r="AA4962" s="11" t="str">
        <f t="shared" si="155"/>
        <v/>
      </c>
    </row>
    <row r="4963" spans="16:27" ht="15" customHeight="1">
      <c r="P4963" t="str">
        <f t="shared" si="154"/>
        <v/>
      </c>
      <c r="Q4963" t="str">
        <f>IF(P4963="","",IFERROR(IF(AND(H4963="W7",OR(F4963="causal",F4963="predictive")),IF(AND(OR(K4963=1,K4963="1"),OR(L4963=1,L4963="1"),OR(M4963=1,M4963="1")),"adequate","partial"),IF(AND(H4963="W4",F4963="predictive",OR(J4963="P2",J4963="P3",J4963="P4")),IF(OR(U4963=1,U4963="1"),"adequate","partial"),INDEX(Fit_Matrix!$B:$B,MATCH(P4963,Fit_Matrix!$A:$A,0)))),"CHECK KEY"))</f>
        <v/>
      </c>
      <c r="U4963" s="10"/>
      <c r="V4963" s="10"/>
      <c r="W4963" s="10"/>
      <c r="X4963" s="10"/>
      <c r="Y4963" s="10"/>
      <c r="Z4963" s="10"/>
      <c r="AA4963" s="11" t="str">
        <f t="shared" si="155"/>
        <v/>
      </c>
    </row>
    <row r="4964" spans="16:27" ht="15" customHeight="1">
      <c r="P4964" t="str">
        <f t="shared" si="154"/>
        <v/>
      </c>
      <c r="Q4964" t="str">
        <f>IF(P4964="","",IFERROR(IF(AND(H4964="W7",OR(F4964="causal",F4964="predictive")),IF(AND(OR(K4964=1,K4964="1"),OR(L4964=1,L4964="1"),OR(M4964=1,M4964="1")),"adequate","partial"),IF(AND(H4964="W4",F4964="predictive",OR(J4964="P2",J4964="P3",J4964="P4")),IF(OR(U4964=1,U4964="1"),"adequate","partial"),INDEX(Fit_Matrix!$B:$B,MATCH(P4964,Fit_Matrix!$A:$A,0)))),"CHECK KEY"))</f>
        <v/>
      </c>
      <c r="U4964" s="10"/>
      <c r="V4964" s="10"/>
      <c r="W4964" s="10"/>
      <c r="X4964" s="10"/>
      <c r="Y4964" s="10"/>
      <c r="Z4964" s="10"/>
      <c r="AA4964" s="11" t="str">
        <f t="shared" si="155"/>
        <v/>
      </c>
    </row>
    <row r="4965" spans="16:27" ht="15" customHeight="1">
      <c r="P4965" t="str">
        <f t="shared" si="154"/>
        <v/>
      </c>
      <c r="Q4965" t="str">
        <f>IF(P4965="","",IFERROR(IF(AND(H4965="W7",OR(F4965="causal",F4965="predictive")),IF(AND(OR(K4965=1,K4965="1"),OR(L4965=1,L4965="1"),OR(M4965=1,M4965="1")),"adequate","partial"),IF(AND(H4965="W4",F4965="predictive",OR(J4965="P2",J4965="P3",J4965="P4")),IF(OR(U4965=1,U4965="1"),"adequate","partial"),INDEX(Fit_Matrix!$B:$B,MATCH(P4965,Fit_Matrix!$A:$A,0)))),"CHECK KEY"))</f>
        <v/>
      </c>
      <c r="U4965" s="10"/>
      <c r="V4965" s="10"/>
      <c r="W4965" s="10"/>
      <c r="X4965" s="10"/>
      <c r="Y4965" s="10"/>
      <c r="Z4965" s="10"/>
      <c r="AA4965" s="11" t="str">
        <f t="shared" si="155"/>
        <v/>
      </c>
    </row>
    <row r="4966" spans="16:27" ht="15" customHeight="1">
      <c r="P4966" t="str">
        <f t="shared" si="154"/>
        <v/>
      </c>
      <c r="Q4966" t="str">
        <f>IF(P4966="","",IFERROR(IF(AND(H4966="W7",OR(F4966="causal",F4966="predictive")),IF(AND(OR(K4966=1,K4966="1"),OR(L4966=1,L4966="1"),OR(M4966=1,M4966="1")),"adequate","partial"),IF(AND(H4966="W4",F4966="predictive",OR(J4966="P2",J4966="P3",J4966="P4")),IF(OR(U4966=1,U4966="1"),"adequate","partial"),INDEX(Fit_Matrix!$B:$B,MATCH(P4966,Fit_Matrix!$A:$A,0)))),"CHECK KEY"))</f>
        <v/>
      </c>
      <c r="U4966" s="10"/>
      <c r="V4966" s="10"/>
      <c r="W4966" s="10"/>
      <c r="X4966" s="10"/>
      <c r="Y4966" s="10"/>
      <c r="Z4966" s="10"/>
      <c r="AA4966" s="11" t="str">
        <f t="shared" si="155"/>
        <v/>
      </c>
    </row>
    <row r="4967" spans="16:27" ht="15" customHeight="1">
      <c r="P4967" t="str">
        <f t="shared" si="154"/>
        <v/>
      </c>
      <c r="Q4967" t="str">
        <f>IF(P4967="","",IFERROR(IF(AND(H4967="W7",OR(F4967="causal",F4967="predictive")),IF(AND(OR(K4967=1,K4967="1"),OR(L4967=1,L4967="1"),OR(M4967=1,M4967="1")),"adequate","partial"),IF(AND(H4967="W4",F4967="predictive",OR(J4967="P2",J4967="P3",J4967="P4")),IF(OR(U4967=1,U4967="1"),"adequate","partial"),INDEX(Fit_Matrix!$B:$B,MATCH(P4967,Fit_Matrix!$A:$A,0)))),"CHECK KEY"))</f>
        <v/>
      </c>
      <c r="U4967" s="10"/>
      <c r="V4967" s="10"/>
      <c r="W4967" s="10"/>
      <c r="X4967" s="10"/>
      <c r="Y4967" s="10"/>
      <c r="Z4967" s="10"/>
      <c r="AA4967" s="11" t="str">
        <f t="shared" si="155"/>
        <v/>
      </c>
    </row>
    <row r="4968" spans="16:27" ht="15" customHeight="1">
      <c r="P4968" t="str">
        <f t="shared" si="154"/>
        <v/>
      </c>
      <c r="Q4968" t="str">
        <f>IF(P4968="","",IFERROR(IF(AND(H4968="W7",OR(F4968="causal",F4968="predictive")),IF(AND(OR(K4968=1,K4968="1"),OR(L4968=1,L4968="1"),OR(M4968=1,M4968="1")),"adequate","partial"),IF(AND(H4968="W4",F4968="predictive",OR(J4968="P2",J4968="P3",J4968="P4")),IF(OR(U4968=1,U4968="1"),"adequate","partial"),INDEX(Fit_Matrix!$B:$B,MATCH(P4968,Fit_Matrix!$A:$A,0)))),"CHECK KEY"))</f>
        <v/>
      </c>
      <c r="U4968" s="10"/>
      <c r="V4968" s="10"/>
      <c r="W4968" s="10"/>
      <c r="X4968" s="10"/>
      <c r="Y4968" s="10"/>
      <c r="Z4968" s="10"/>
      <c r="AA4968" s="11" t="str">
        <f t="shared" si="155"/>
        <v/>
      </c>
    </row>
    <row r="4969" spans="16:27" ht="15" customHeight="1">
      <c r="P4969" t="str">
        <f t="shared" si="154"/>
        <v/>
      </c>
      <c r="Q4969" t="str">
        <f>IF(P4969="","",IFERROR(IF(AND(H4969="W7",OR(F4969="causal",F4969="predictive")),IF(AND(OR(K4969=1,K4969="1"),OR(L4969=1,L4969="1"),OR(M4969=1,M4969="1")),"adequate","partial"),IF(AND(H4969="W4",F4969="predictive",OR(J4969="P2",J4969="P3",J4969="P4")),IF(OR(U4969=1,U4969="1"),"adequate","partial"),INDEX(Fit_Matrix!$B:$B,MATCH(P4969,Fit_Matrix!$A:$A,0)))),"CHECK KEY"))</f>
        <v/>
      </c>
      <c r="U4969" s="10"/>
      <c r="V4969" s="10"/>
      <c r="W4969" s="10"/>
      <c r="X4969" s="10"/>
      <c r="Y4969" s="10"/>
      <c r="Z4969" s="10"/>
      <c r="AA4969" s="11" t="str">
        <f t="shared" si="155"/>
        <v/>
      </c>
    </row>
    <row r="4970" spans="16:27" ht="15" customHeight="1">
      <c r="P4970" t="str">
        <f t="shared" si="154"/>
        <v/>
      </c>
      <c r="Q4970" t="str">
        <f>IF(P4970="","",IFERROR(IF(AND(H4970="W7",OR(F4970="causal",F4970="predictive")),IF(AND(OR(K4970=1,K4970="1"),OR(L4970=1,L4970="1"),OR(M4970=1,M4970="1")),"adequate","partial"),IF(AND(H4970="W4",F4970="predictive",OR(J4970="P2",J4970="P3",J4970="P4")),IF(OR(U4970=1,U4970="1"),"adequate","partial"),INDEX(Fit_Matrix!$B:$B,MATCH(P4970,Fit_Matrix!$A:$A,0)))),"CHECK KEY"))</f>
        <v/>
      </c>
      <c r="U4970" s="10"/>
      <c r="V4970" s="10"/>
      <c r="W4970" s="10"/>
      <c r="X4970" s="10"/>
      <c r="Y4970" s="10"/>
      <c r="Z4970" s="10"/>
      <c r="AA4970" s="11" t="str">
        <f t="shared" si="155"/>
        <v/>
      </c>
    </row>
    <row r="4971" spans="16:27" ht="15" customHeight="1">
      <c r="P4971" t="str">
        <f t="shared" si="154"/>
        <v/>
      </c>
      <c r="Q4971" t="str">
        <f>IF(P4971="","",IFERROR(IF(AND(H4971="W7",OR(F4971="causal",F4971="predictive")),IF(AND(OR(K4971=1,K4971="1"),OR(L4971=1,L4971="1"),OR(M4971=1,M4971="1")),"adequate","partial"),IF(AND(H4971="W4",F4971="predictive",OR(J4971="P2",J4971="P3",J4971="P4")),IF(OR(U4971=1,U4971="1"),"adequate","partial"),INDEX(Fit_Matrix!$B:$B,MATCH(P4971,Fit_Matrix!$A:$A,0)))),"CHECK KEY"))</f>
        <v/>
      </c>
      <c r="U4971" s="10"/>
      <c r="V4971" s="10"/>
      <c r="W4971" s="10"/>
      <c r="X4971" s="10"/>
      <c r="Y4971" s="10"/>
      <c r="Z4971" s="10"/>
      <c r="AA4971" s="11" t="str">
        <f t="shared" si="155"/>
        <v/>
      </c>
    </row>
    <row r="4972" spans="16:27" ht="15" customHeight="1">
      <c r="P4972" t="str">
        <f t="shared" si="154"/>
        <v/>
      </c>
      <c r="Q4972" t="str">
        <f>IF(P4972="","",IFERROR(IF(AND(H4972="W7",OR(F4972="causal",F4972="predictive")),IF(AND(OR(K4972=1,K4972="1"),OR(L4972=1,L4972="1"),OR(M4972=1,M4972="1")),"adequate","partial"),IF(AND(H4972="W4",F4972="predictive",OR(J4972="P2",J4972="P3",J4972="P4")),IF(OR(U4972=1,U4972="1"),"adequate","partial"),INDEX(Fit_Matrix!$B:$B,MATCH(P4972,Fit_Matrix!$A:$A,0)))),"CHECK KEY"))</f>
        <v/>
      </c>
      <c r="U4972" s="10"/>
      <c r="V4972" s="10"/>
      <c r="W4972" s="10"/>
      <c r="X4972" s="10"/>
      <c r="Y4972" s="10"/>
      <c r="Z4972" s="10"/>
      <c r="AA4972" s="11" t="str">
        <f t="shared" si="155"/>
        <v/>
      </c>
    </row>
    <row r="4973" spans="16:27" ht="15" customHeight="1">
      <c r="P4973" t="str">
        <f t="shared" si="154"/>
        <v/>
      </c>
      <c r="Q4973" t="str">
        <f>IF(P4973="","",IFERROR(IF(AND(H4973="W7",OR(F4973="causal",F4973="predictive")),IF(AND(OR(K4973=1,K4973="1"),OR(L4973=1,L4973="1"),OR(M4973=1,M4973="1")),"adequate","partial"),IF(AND(H4973="W4",F4973="predictive",OR(J4973="P2",J4973="P3",J4973="P4")),IF(OR(U4973=1,U4973="1"),"adequate","partial"),INDEX(Fit_Matrix!$B:$B,MATCH(P4973,Fit_Matrix!$A:$A,0)))),"CHECK KEY"))</f>
        <v/>
      </c>
      <c r="U4973" s="10"/>
      <c r="V4973" s="10"/>
      <c r="W4973" s="10"/>
      <c r="X4973" s="10"/>
      <c r="Y4973" s="10"/>
      <c r="Z4973" s="10"/>
      <c r="AA4973" s="11" t="str">
        <f t="shared" si="155"/>
        <v/>
      </c>
    </row>
    <row r="4974" spans="16:27" ht="15" customHeight="1">
      <c r="P4974" t="str">
        <f t="shared" si="154"/>
        <v/>
      </c>
      <c r="Q4974" t="str">
        <f>IF(P4974="","",IFERROR(IF(AND(H4974="W7",OR(F4974="causal",F4974="predictive")),IF(AND(OR(K4974=1,K4974="1"),OR(L4974=1,L4974="1"),OR(M4974=1,M4974="1")),"adequate","partial"),IF(AND(H4974="W4",F4974="predictive",OR(J4974="P2",J4974="P3",J4974="P4")),IF(OR(U4974=1,U4974="1"),"adequate","partial"),INDEX(Fit_Matrix!$B:$B,MATCH(P4974,Fit_Matrix!$A:$A,0)))),"CHECK KEY"))</f>
        <v/>
      </c>
      <c r="U4974" s="10"/>
      <c r="V4974" s="10"/>
      <c r="W4974" s="10"/>
      <c r="X4974" s="10"/>
      <c r="Y4974" s="10"/>
      <c r="Z4974" s="10"/>
      <c r="AA4974" s="11" t="str">
        <f t="shared" si="155"/>
        <v/>
      </c>
    </row>
    <row r="4975" spans="16:27" ht="15" customHeight="1">
      <c r="P4975" t="str">
        <f t="shared" si="154"/>
        <v/>
      </c>
      <c r="Q4975" t="str">
        <f>IF(P4975="","",IFERROR(IF(AND(H4975="W7",OR(F4975="causal",F4975="predictive")),IF(AND(OR(K4975=1,K4975="1"),OR(L4975=1,L4975="1"),OR(M4975=1,M4975="1")),"adequate","partial"),IF(AND(H4975="W4",F4975="predictive",OR(J4975="P2",J4975="P3",J4975="P4")),IF(OR(U4975=1,U4975="1"),"adequate","partial"),INDEX(Fit_Matrix!$B:$B,MATCH(P4975,Fit_Matrix!$A:$A,0)))),"CHECK KEY"))</f>
        <v/>
      </c>
      <c r="U4975" s="10"/>
      <c r="V4975" s="10"/>
      <c r="W4975" s="10"/>
      <c r="X4975" s="10"/>
      <c r="Y4975" s="10"/>
      <c r="Z4975" s="10"/>
      <c r="AA4975" s="11" t="str">
        <f t="shared" si="155"/>
        <v/>
      </c>
    </row>
    <row r="4976" spans="16:27" ht="15" customHeight="1">
      <c r="P4976" t="str">
        <f t="shared" si="154"/>
        <v/>
      </c>
      <c r="Q4976" t="str">
        <f>IF(P4976="","",IFERROR(IF(AND(H4976="W7",OR(F4976="causal",F4976="predictive")),IF(AND(OR(K4976=1,K4976="1"),OR(L4976=1,L4976="1"),OR(M4976=1,M4976="1")),"adequate","partial"),IF(AND(H4976="W4",F4976="predictive",OR(J4976="P2",J4976="P3",J4976="P4")),IF(OR(U4976=1,U4976="1"),"adequate","partial"),INDEX(Fit_Matrix!$B:$B,MATCH(P4976,Fit_Matrix!$A:$A,0)))),"CHECK KEY"))</f>
        <v/>
      </c>
      <c r="U4976" s="10"/>
      <c r="V4976" s="10"/>
      <c r="W4976" s="10"/>
      <c r="X4976" s="10"/>
      <c r="Y4976" s="10"/>
      <c r="Z4976" s="10"/>
      <c r="AA4976" s="11" t="str">
        <f t="shared" si="155"/>
        <v/>
      </c>
    </row>
    <row r="4977" spans="16:27" ht="15" customHeight="1">
      <c r="P4977" t="str">
        <f t="shared" si="154"/>
        <v/>
      </c>
      <c r="Q4977" t="str">
        <f>IF(P4977="","",IFERROR(IF(AND(H4977="W7",OR(F4977="causal",F4977="predictive")),IF(AND(OR(K4977=1,K4977="1"),OR(L4977=1,L4977="1"),OR(M4977=1,M4977="1")),"adequate","partial"),IF(AND(H4977="W4",F4977="predictive",OR(J4977="P2",J4977="P3",J4977="P4")),IF(OR(U4977=1,U4977="1"),"adequate","partial"),INDEX(Fit_Matrix!$B:$B,MATCH(P4977,Fit_Matrix!$A:$A,0)))),"CHECK KEY"))</f>
        <v/>
      </c>
      <c r="U4977" s="10"/>
      <c r="V4977" s="10"/>
      <c r="W4977" s="10"/>
      <c r="X4977" s="10"/>
      <c r="Y4977" s="10"/>
      <c r="Z4977" s="10"/>
      <c r="AA4977" s="11" t="str">
        <f t="shared" si="155"/>
        <v/>
      </c>
    </row>
    <row r="4978" spans="16:27" ht="15" customHeight="1">
      <c r="P4978" t="str">
        <f t="shared" si="154"/>
        <v/>
      </c>
      <c r="Q4978" t="str">
        <f>IF(P4978="","",IFERROR(IF(AND(H4978="W7",OR(F4978="causal",F4978="predictive")),IF(AND(OR(K4978=1,K4978="1"),OR(L4978=1,L4978="1"),OR(M4978=1,M4978="1")),"adequate","partial"),IF(AND(H4978="W4",F4978="predictive",OR(J4978="P2",J4978="P3",J4978="P4")),IF(OR(U4978=1,U4978="1"),"adequate","partial"),INDEX(Fit_Matrix!$B:$B,MATCH(P4978,Fit_Matrix!$A:$A,0)))),"CHECK KEY"))</f>
        <v/>
      </c>
      <c r="U4978" s="10"/>
      <c r="V4978" s="10"/>
      <c r="W4978" s="10"/>
      <c r="X4978" s="10"/>
      <c r="Y4978" s="10"/>
      <c r="Z4978" s="10"/>
      <c r="AA4978" s="11" t="str">
        <f t="shared" si="155"/>
        <v/>
      </c>
    </row>
    <row r="4979" spans="16:27" ht="15" customHeight="1">
      <c r="P4979" t="str">
        <f t="shared" si="154"/>
        <v/>
      </c>
      <c r="Q4979" t="str">
        <f>IF(P4979="","",IFERROR(IF(AND(H4979="W7",OR(F4979="causal",F4979="predictive")),IF(AND(OR(K4979=1,K4979="1"),OR(L4979=1,L4979="1"),OR(M4979=1,M4979="1")),"adequate","partial"),IF(AND(H4979="W4",F4979="predictive",OR(J4979="P2",J4979="P3",J4979="P4")),IF(OR(U4979=1,U4979="1"),"adequate","partial"),INDEX(Fit_Matrix!$B:$B,MATCH(P4979,Fit_Matrix!$A:$A,0)))),"CHECK KEY"))</f>
        <v/>
      </c>
      <c r="U4979" s="10"/>
      <c r="V4979" s="10"/>
      <c r="W4979" s="10"/>
      <c r="X4979" s="10"/>
      <c r="Y4979" s="10"/>
      <c r="Z4979" s="10"/>
      <c r="AA4979" s="11" t="str">
        <f t="shared" si="155"/>
        <v/>
      </c>
    </row>
    <row r="4980" spans="16:27" ht="15" customHeight="1">
      <c r="P4980" t="str">
        <f t="shared" si="154"/>
        <v/>
      </c>
      <c r="Q4980" t="str">
        <f>IF(P4980="","",IFERROR(IF(AND(H4980="W7",OR(F4980="causal",F4980="predictive")),IF(AND(OR(K4980=1,K4980="1"),OR(L4980=1,L4980="1"),OR(M4980=1,M4980="1")),"adequate","partial"),IF(AND(H4980="W4",F4980="predictive",OR(J4980="P2",J4980="P3",J4980="P4")),IF(OR(U4980=1,U4980="1"),"adequate","partial"),INDEX(Fit_Matrix!$B:$B,MATCH(P4980,Fit_Matrix!$A:$A,0)))),"CHECK KEY"))</f>
        <v/>
      </c>
      <c r="U4980" s="10"/>
      <c r="V4980" s="10"/>
      <c r="W4980" s="10"/>
      <c r="X4980" s="10"/>
      <c r="Y4980" s="10"/>
      <c r="Z4980" s="10"/>
      <c r="AA4980" s="11" t="str">
        <f t="shared" si="155"/>
        <v/>
      </c>
    </row>
    <row r="4981" spans="16:27" ht="15" customHeight="1">
      <c r="P4981" t="str">
        <f t="shared" si="154"/>
        <v/>
      </c>
      <c r="Q4981" t="str">
        <f>IF(P4981="","",IFERROR(IF(AND(H4981="W7",OR(F4981="causal",F4981="predictive")),IF(AND(OR(K4981=1,K4981="1"),OR(L4981=1,L4981="1"),OR(M4981=1,M4981="1")),"adequate","partial"),IF(AND(H4981="W4",F4981="predictive",OR(J4981="P2",J4981="P3",J4981="P4")),IF(OR(U4981=1,U4981="1"),"adequate","partial"),INDEX(Fit_Matrix!$B:$B,MATCH(P4981,Fit_Matrix!$A:$A,0)))),"CHECK KEY"))</f>
        <v/>
      </c>
      <c r="U4981" s="10"/>
      <c r="V4981" s="10"/>
      <c r="W4981" s="10"/>
      <c r="X4981" s="10"/>
      <c r="Y4981" s="10"/>
      <c r="Z4981" s="10"/>
      <c r="AA4981" s="11" t="str">
        <f t="shared" si="155"/>
        <v/>
      </c>
    </row>
    <row r="4982" spans="16:27" ht="15" customHeight="1">
      <c r="P4982" t="str">
        <f t="shared" si="154"/>
        <v/>
      </c>
      <c r="Q4982" t="str">
        <f>IF(P4982="","",IFERROR(IF(AND(H4982="W7",OR(F4982="causal",F4982="predictive")),IF(AND(OR(K4982=1,K4982="1"),OR(L4982=1,L4982="1"),OR(M4982=1,M4982="1")),"adequate","partial"),IF(AND(H4982="W4",F4982="predictive",OR(J4982="P2",J4982="P3",J4982="P4")),IF(OR(U4982=1,U4982="1"),"adequate","partial"),INDEX(Fit_Matrix!$B:$B,MATCH(P4982,Fit_Matrix!$A:$A,0)))),"CHECK KEY"))</f>
        <v/>
      </c>
      <c r="U4982" s="10"/>
      <c r="V4982" s="10"/>
      <c r="W4982" s="10"/>
      <c r="X4982" s="10"/>
      <c r="Y4982" s="10"/>
      <c r="Z4982" s="10"/>
      <c r="AA4982" s="11" t="str">
        <f t="shared" si="155"/>
        <v/>
      </c>
    </row>
    <row r="4983" spans="16:27" ht="15" customHeight="1">
      <c r="P4983" t="str">
        <f t="shared" si="154"/>
        <v/>
      </c>
      <c r="Q4983" t="str">
        <f>IF(P4983="","",IFERROR(IF(AND(H4983="W7",OR(F4983="causal",F4983="predictive")),IF(AND(OR(K4983=1,K4983="1"),OR(L4983=1,L4983="1"),OR(M4983=1,M4983="1")),"adequate","partial"),IF(AND(H4983="W4",F4983="predictive",OR(J4983="P2",J4983="P3",J4983="P4")),IF(OR(U4983=1,U4983="1"),"adequate","partial"),INDEX(Fit_Matrix!$B:$B,MATCH(P4983,Fit_Matrix!$A:$A,0)))),"CHECK KEY"))</f>
        <v/>
      </c>
      <c r="U4983" s="10"/>
      <c r="V4983" s="10"/>
      <c r="W4983" s="10"/>
      <c r="X4983" s="10"/>
      <c r="Y4983" s="10"/>
      <c r="Z4983" s="10"/>
      <c r="AA4983" s="11" t="str">
        <f t="shared" si="155"/>
        <v/>
      </c>
    </row>
    <row r="4984" spans="16:27" ht="15" customHeight="1">
      <c r="P4984" t="str">
        <f t="shared" si="154"/>
        <v/>
      </c>
      <c r="Q4984" t="str">
        <f>IF(P4984="","",IFERROR(IF(AND(H4984="W7",OR(F4984="causal",F4984="predictive")),IF(AND(OR(K4984=1,K4984="1"),OR(L4984=1,L4984="1"),OR(M4984=1,M4984="1")),"adequate","partial"),IF(AND(H4984="W4",F4984="predictive",OR(J4984="P2",J4984="P3",J4984="P4")),IF(OR(U4984=1,U4984="1"),"adequate","partial"),INDEX(Fit_Matrix!$B:$B,MATCH(P4984,Fit_Matrix!$A:$A,0)))),"CHECK KEY"))</f>
        <v/>
      </c>
      <c r="U4984" s="10"/>
      <c r="V4984" s="10"/>
      <c r="W4984" s="10"/>
      <c r="X4984" s="10"/>
      <c r="Y4984" s="10"/>
      <c r="Z4984" s="10"/>
      <c r="AA4984" s="11" t="str">
        <f t="shared" si="155"/>
        <v/>
      </c>
    </row>
    <row r="4985" spans="16:27" ht="15" customHeight="1">
      <c r="P4985" t="str">
        <f t="shared" si="154"/>
        <v/>
      </c>
      <c r="Q4985" t="str">
        <f>IF(P4985="","",IFERROR(IF(AND(H4985="W7",OR(F4985="causal",F4985="predictive")),IF(AND(OR(K4985=1,K4985="1"),OR(L4985=1,L4985="1"),OR(M4985=1,M4985="1")),"adequate","partial"),IF(AND(H4985="W4",F4985="predictive",OR(J4985="P2",J4985="P3",J4985="P4")),IF(OR(U4985=1,U4985="1"),"adequate","partial"),INDEX(Fit_Matrix!$B:$B,MATCH(P4985,Fit_Matrix!$A:$A,0)))),"CHECK KEY"))</f>
        <v/>
      </c>
      <c r="U4985" s="10"/>
      <c r="V4985" s="10"/>
      <c r="W4985" s="10"/>
      <c r="X4985" s="10"/>
      <c r="Y4985" s="10"/>
      <c r="Z4985" s="10"/>
      <c r="AA4985" s="11" t="str">
        <f t="shared" si="155"/>
        <v/>
      </c>
    </row>
    <row r="4986" spans="16:27" ht="15" customHeight="1">
      <c r="P4986" t="str">
        <f t="shared" si="154"/>
        <v/>
      </c>
      <c r="Q4986" t="str">
        <f>IF(P4986="","",IFERROR(IF(AND(H4986="W7",OR(F4986="causal",F4986="predictive")),IF(AND(OR(K4986=1,K4986="1"),OR(L4986=1,L4986="1"),OR(M4986=1,M4986="1")),"adequate","partial"),IF(AND(H4986="W4",F4986="predictive",OR(J4986="P2",J4986="P3",J4986="P4")),IF(OR(U4986=1,U4986="1"),"adequate","partial"),INDEX(Fit_Matrix!$B:$B,MATCH(P4986,Fit_Matrix!$A:$A,0)))),"CHECK KEY"))</f>
        <v/>
      </c>
      <c r="U4986" s="10"/>
      <c r="V4986" s="10"/>
      <c r="W4986" s="10"/>
      <c r="X4986" s="10"/>
      <c r="Y4986" s="10"/>
      <c r="Z4986" s="10"/>
      <c r="AA4986" s="11" t="str">
        <f t="shared" si="155"/>
        <v/>
      </c>
    </row>
    <row r="4987" spans="16:27" ht="15" customHeight="1">
      <c r="P4987" t="str">
        <f t="shared" si="154"/>
        <v/>
      </c>
      <c r="Q4987" t="str">
        <f>IF(P4987="","",IFERROR(IF(AND(H4987="W7",OR(F4987="causal",F4987="predictive")),IF(AND(OR(K4987=1,K4987="1"),OR(L4987=1,L4987="1"),OR(M4987=1,M4987="1")),"adequate","partial"),IF(AND(H4987="W4",F4987="predictive",OR(J4987="P2",J4987="P3",J4987="P4")),IF(OR(U4987=1,U4987="1"),"adequate","partial"),INDEX(Fit_Matrix!$B:$B,MATCH(P4987,Fit_Matrix!$A:$A,0)))),"CHECK KEY"))</f>
        <v/>
      </c>
      <c r="U4987" s="10"/>
      <c r="V4987" s="10"/>
      <c r="W4987" s="10"/>
      <c r="X4987" s="10"/>
      <c r="Y4987" s="10"/>
      <c r="Z4987" s="10"/>
      <c r="AA4987" s="11" t="str">
        <f t="shared" si="155"/>
        <v/>
      </c>
    </row>
    <row r="4988" spans="16:27" ht="15" customHeight="1">
      <c r="P4988" t="str">
        <f t="shared" si="154"/>
        <v/>
      </c>
      <c r="Q4988" t="str">
        <f>IF(P4988="","",IFERROR(IF(AND(H4988="W7",OR(F4988="causal",F4988="predictive")),IF(AND(OR(K4988=1,K4988="1"),OR(L4988=1,L4988="1"),OR(M4988=1,M4988="1")),"adequate","partial"),IF(AND(H4988="W4",F4988="predictive",OR(J4988="P2",J4988="P3",J4988="P4")),IF(OR(U4988=1,U4988="1"),"adequate","partial"),INDEX(Fit_Matrix!$B:$B,MATCH(P4988,Fit_Matrix!$A:$A,0)))),"CHECK KEY"))</f>
        <v/>
      </c>
      <c r="U4988" s="10"/>
      <c r="V4988" s="10"/>
      <c r="W4988" s="10"/>
      <c r="X4988" s="10"/>
      <c r="Y4988" s="10"/>
      <c r="Z4988" s="10"/>
      <c r="AA4988" s="11" t="str">
        <f t="shared" si="155"/>
        <v/>
      </c>
    </row>
    <row r="4989" spans="16:27" ht="15" customHeight="1">
      <c r="P4989" t="str">
        <f t="shared" si="154"/>
        <v/>
      </c>
      <c r="Q4989" t="str">
        <f>IF(P4989="","",IFERROR(IF(AND(H4989="W7",OR(F4989="causal",F4989="predictive")),IF(AND(OR(K4989=1,K4989="1"),OR(L4989=1,L4989="1"),OR(M4989=1,M4989="1")),"adequate","partial"),IF(AND(H4989="W4",F4989="predictive",OR(J4989="P2",J4989="P3",J4989="P4")),IF(OR(U4989=1,U4989="1"),"adequate","partial"),INDEX(Fit_Matrix!$B:$B,MATCH(P4989,Fit_Matrix!$A:$A,0)))),"CHECK KEY"))</f>
        <v/>
      </c>
      <c r="U4989" s="10"/>
      <c r="V4989" s="10"/>
      <c r="W4989" s="10"/>
      <c r="X4989" s="10"/>
      <c r="Y4989" s="10"/>
      <c r="Z4989" s="10"/>
      <c r="AA4989" s="11" t="str">
        <f t="shared" si="155"/>
        <v/>
      </c>
    </row>
    <row r="4990" spans="16:27" ht="15" customHeight="1">
      <c r="P4990" t="str">
        <f t="shared" si="154"/>
        <v/>
      </c>
      <c r="Q4990" t="str">
        <f>IF(P4990="","",IFERROR(IF(AND(H4990="W7",OR(F4990="causal",F4990="predictive")),IF(AND(OR(K4990=1,K4990="1"),OR(L4990=1,L4990="1"),OR(M4990=1,M4990="1")),"adequate","partial"),IF(AND(H4990="W4",F4990="predictive",OR(J4990="P2",J4990="P3",J4990="P4")),IF(OR(U4990=1,U4990="1"),"adequate","partial"),INDEX(Fit_Matrix!$B:$B,MATCH(P4990,Fit_Matrix!$A:$A,0)))),"CHECK KEY"))</f>
        <v/>
      </c>
      <c r="U4990" s="10"/>
      <c r="V4990" s="10"/>
      <c r="W4990" s="10"/>
      <c r="X4990" s="10"/>
      <c r="Y4990" s="10"/>
      <c r="Z4990" s="10"/>
      <c r="AA4990" s="11" t="str">
        <f t="shared" si="155"/>
        <v/>
      </c>
    </row>
    <row r="4991" spans="16:27" ht="15" customHeight="1">
      <c r="P4991" t="str">
        <f t="shared" si="154"/>
        <v/>
      </c>
      <c r="Q4991" t="str">
        <f>IF(P4991="","",IFERROR(IF(AND(H4991="W7",OR(F4991="causal",F4991="predictive")),IF(AND(OR(K4991=1,K4991="1"),OR(L4991=1,L4991="1"),OR(M4991=1,M4991="1")),"adequate","partial"),IF(AND(H4991="W4",F4991="predictive",OR(J4991="P2",J4991="P3",J4991="P4")),IF(OR(U4991=1,U4991="1"),"adequate","partial"),INDEX(Fit_Matrix!$B:$B,MATCH(P4991,Fit_Matrix!$A:$A,0)))),"CHECK KEY"))</f>
        <v/>
      </c>
      <c r="U4991" s="10"/>
      <c r="V4991" s="10"/>
      <c r="W4991" s="10"/>
      <c r="X4991" s="10"/>
      <c r="Y4991" s="10"/>
      <c r="Z4991" s="10"/>
      <c r="AA4991" s="11" t="str">
        <f t="shared" si="155"/>
        <v/>
      </c>
    </row>
    <row r="4992" spans="16:27" ht="15" customHeight="1">
      <c r="P4992" t="str">
        <f t="shared" si="154"/>
        <v/>
      </c>
      <c r="Q4992" t="str">
        <f>IF(P4992="","",IFERROR(IF(AND(H4992="W7",OR(F4992="causal",F4992="predictive")),IF(AND(OR(K4992=1,K4992="1"),OR(L4992=1,L4992="1"),OR(M4992=1,M4992="1")),"adequate","partial"),IF(AND(H4992="W4",F4992="predictive",OR(J4992="P2",J4992="P3",J4992="P4")),IF(OR(U4992=1,U4992="1"),"adequate","partial"),INDEX(Fit_Matrix!$B:$B,MATCH(P4992,Fit_Matrix!$A:$A,0)))),"CHECK KEY"))</f>
        <v/>
      </c>
      <c r="U4992" s="10"/>
      <c r="V4992" s="10"/>
      <c r="W4992" s="10"/>
      <c r="X4992" s="10"/>
      <c r="Y4992" s="10"/>
      <c r="Z4992" s="10"/>
      <c r="AA4992" s="11" t="str">
        <f t="shared" si="155"/>
        <v/>
      </c>
    </row>
    <row r="4993" spans="16:27" ht="15" customHeight="1">
      <c r="P4993" t="str">
        <f t="shared" si="154"/>
        <v/>
      </c>
      <c r="Q4993" t="str">
        <f>IF(P4993="","",IFERROR(IF(AND(H4993="W7",OR(F4993="causal",F4993="predictive")),IF(AND(OR(K4993=1,K4993="1"),OR(L4993=1,L4993="1"),OR(M4993=1,M4993="1")),"adequate","partial"),IF(AND(H4993="W4",F4993="predictive",OR(J4993="P2",J4993="P3",J4993="P4")),IF(OR(U4993=1,U4993="1"),"adequate","partial"),INDEX(Fit_Matrix!$B:$B,MATCH(P4993,Fit_Matrix!$A:$A,0)))),"CHECK KEY"))</f>
        <v/>
      </c>
      <c r="U4993" s="10"/>
      <c r="V4993" s="10"/>
      <c r="W4993" s="10"/>
      <c r="X4993" s="10"/>
      <c r="Y4993" s="10"/>
      <c r="Z4993" s="10"/>
      <c r="AA4993" s="11" t="str">
        <f t="shared" si="155"/>
        <v/>
      </c>
    </row>
    <row r="4994" spans="16:27" ht="15" customHeight="1">
      <c r="P4994" t="str">
        <f t="shared" si="154"/>
        <v/>
      </c>
      <c r="Q4994" t="str">
        <f>IF(P4994="","",IFERROR(IF(AND(H4994="W7",OR(F4994="causal",F4994="predictive")),IF(AND(OR(K4994=1,K4994="1"),OR(L4994=1,L4994="1"),OR(M4994=1,M4994="1")),"adequate","partial"),IF(AND(H4994="W4",F4994="predictive",OR(J4994="P2",J4994="P3",J4994="P4")),IF(OR(U4994=1,U4994="1"),"adequate","partial"),INDEX(Fit_Matrix!$B:$B,MATCH(P4994,Fit_Matrix!$A:$A,0)))),"CHECK KEY"))</f>
        <v/>
      </c>
      <c r="U4994" s="10"/>
      <c r="V4994" s="10"/>
      <c r="W4994" s="10"/>
      <c r="X4994" s="10"/>
      <c r="Y4994" s="10"/>
      <c r="Z4994" s="10"/>
      <c r="AA4994" s="11" t="str">
        <f t="shared" si="155"/>
        <v/>
      </c>
    </row>
    <row r="4995" spans="16:27" ht="15" customHeight="1">
      <c r="P4995" t="str">
        <f t="shared" si="154"/>
        <v/>
      </c>
      <c r="Q4995" t="str">
        <f>IF(P4995="","",IFERROR(IF(AND(H4995="W7",OR(F4995="causal",F4995="predictive")),IF(AND(OR(K4995=1,K4995="1"),OR(L4995=1,L4995="1"),OR(M4995=1,M4995="1")),"adequate","partial"),IF(AND(H4995="W4",F4995="predictive",OR(J4995="P2",J4995="P3",J4995="P4")),IF(OR(U4995=1,U4995="1"),"adequate","partial"),INDEX(Fit_Matrix!$B:$B,MATCH(P4995,Fit_Matrix!$A:$A,0)))),"CHECK KEY"))</f>
        <v/>
      </c>
      <c r="U4995" s="10"/>
      <c r="V4995" s="10"/>
      <c r="W4995" s="10"/>
      <c r="X4995" s="10"/>
      <c r="Y4995" s="10"/>
      <c r="Z4995" s="10"/>
      <c r="AA4995" s="11" t="str">
        <f t="shared" si="155"/>
        <v/>
      </c>
    </row>
    <row r="4996" spans="16:27" ht="15" customHeight="1">
      <c r="P4996" t="str">
        <f t="shared" si="154"/>
        <v/>
      </c>
      <c r="Q4996" t="str">
        <f>IF(P4996="","",IFERROR(IF(AND(H4996="W7",OR(F4996="causal",F4996="predictive")),IF(AND(OR(K4996=1,K4996="1"),OR(L4996=1,L4996="1"),OR(M4996=1,M4996="1")),"adequate","partial"),IF(AND(H4996="W4",F4996="predictive",OR(J4996="P2",J4996="P3",J4996="P4")),IF(OR(U4996=1,U4996="1"),"adequate","partial"),INDEX(Fit_Matrix!$B:$B,MATCH(P4996,Fit_Matrix!$A:$A,0)))),"CHECK KEY"))</f>
        <v/>
      </c>
      <c r="U4996" s="10"/>
      <c r="V4996" s="10"/>
      <c r="W4996" s="10"/>
      <c r="X4996" s="10"/>
      <c r="Y4996" s="10"/>
      <c r="Z4996" s="10"/>
      <c r="AA4996" s="11" t="str">
        <f t="shared" si="155"/>
        <v/>
      </c>
    </row>
    <row r="4997" spans="16:27" ht="15" customHeight="1">
      <c r="P4997" t="str">
        <f t="shared" si="154"/>
        <v/>
      </c>
      <c r="Q4997" t="str">
        <f>IF(P4997="","",IFERROR(IF(AND(H4997="W7",OR(F4997="causal",F4997="predictive")),IF(AND(OR(K4997=1,K4997="1"),OR(L4997=1,L4997="1"),OR(M4997=1,M4997="1")),"adequate","partial"),IF(AND(H4997="W4",F4997="predictive",OR(J4997="P2",J4997="P3",J4997="P4")),IF(OR(U4997=1,U4997="1"),"adequate","partial"),INDEX(Fit_Matrix!$B:$B,MATCH(P4997,Fit_Matrix!$A:$A,0)))),"CHECK KEY"))</f>
        <v/>
      </c>
      <c r="U4997" s="10"/>
      <c r="V4997" s="10"/>
      <c r="W4997" s="10"/>
      <c r="X4997" s="10"/>
      <c r="Y4997" s="10"/>
      <c r="Z4997" s="10"/>
      <c r="AA4997" s="11" t="str">
        <f t="shared" si="155"/>
        <v/>
      </c>
    </row>
    <row r="4998" spans="16:27" ht="15" customHeight="1">
      <c r="P4998" t="str">
        <f t="shared" si="154"/>
        <v/>
      </c>
      <c r="Q4998" t="str">
        <f>IF(P4998="","",IFERROR(IF(AND(H4998="W7",OR(F4998="causal",F4998="predictive")),IF(AND(OR(K4998=1,K4998="1"),OR(L4998=1,L4998="1"),OR(M4998=1,M4998="1")),"adequate","partial"),IF(AND(H4998="W4",F4998="predictive",OR(J4998="P2",J4998="P3",J4998="P4")),IF(OR(U4998=1,U4998="1"),"adequate","partial"),INDEX(Fit_Matrix!$B:$B,MATCH(P4998,Fit_Matrix!$A:$A,0)))),"CHECK KEY"))</f>
        <v/>
      </c>
      <c r="U4998" s="10"/>
      <c r="V4998" s="10"/>
      <c r="W4998" s="10"/>
      <c r="X4998" s="10"/>
      <c r="Y4998" s="10"/>
      <c r="Z4998" s="10"/>
      <c r="AA4998" s="11" t="str">
        <f t="shared" si="155"/>
        <v/>
      </c>
    </row>
    <row r="4999" spans="16:27" ht="15" customHeight="1">
      <c r="U4999" s="10"/>
      <c r="V4999" s="10"/>
      <c r="W4999" s="10"/>
      <c r="X4999" s="10"/>
      <c r="Y4999" s="10"/>
      <c r="Z4999" s="10"/>
      <c r="AA4999" s="11"/>
    </row>
    <row r="5000" spans="16:27" ht="15" customHeight="1">
      <c r="P5000" t="str">
        <f>IF(OR(F5000="",H5000="",J5000=""),"",J5000&amp;"|"&amp;F5000&amp;"|"&amp;IF(H5000="W3","W3_"&amp;IF(I5000="","unknown",I5000),H5000))</f>
        <v/>
      </c>
      <c r="Q5000" t="str">
        <f>IF(P5000="","",IFERROR(IF(AND(H5000="W7",OR(F5000="causal",F5000="predictive")),IF(AND(OR(K5000=1,K5000="1"),OR(L5000=1,L5000="1"),OR(M5000=1,M5000="1")),"adequate","partial"),IF(AND(H5000="W4",F5000="predictive",OR(J5000="P2",J5000="P3",J5000="P4")),IF(OR(U5000=1,U5000="1"),"adequate","partial"),INDEX(Fit_Matrix!$B:$B,MATCH(P5000,Fit_Matrix!$A:$A,0)))),"CHECK KEY"))</f>
        <v/>
      </c>
      <c r="U5000" s="10"/>
      <c r="V5000" s="10"/>
      <c r="W5000" s="10"/>
      <c r="X5000" s="10"/>
      <c r="Y5000" s="10"/>
      <c r="Z5000" s="10"/>
      <c r="AA5000" s="11" t="str">
        <f>IF(A5000="","",IF(AND(J5000="P4",F5000="causal"),"P4-CAUSAL",""))</f>
        <v/>
      </c>
    </row>
  </sheetData>
  <dataValidations count="10">
    <dataValidation type="list" allowBlank="1" sqref="F2:F5000" xr:uid="{00000000-0002-0000-0400-000000000000}">
      <formula1>"descriptive,conceptual,causal,predictive,normative,other"</formula1>
      <formula2>0</formula2>
    </dataValidation>
    <dataValidation type="list" allowBlank="1" sqref="H2:H5000" xr:uid="{00000000-0002-0000-0400-000001000000}">
      <formula1>"W1,W2,W3,W4,W5,W6,W7,W8"</formula1>
      <formula2>0</formula2>
    </dataValidation>
    <dataValidation type="list" allowBlank="1" sqref="I2:I5000" xr:uid="{00000000-0002-0000-0400-000002000000}">
      <formula1>"to_W1W2,to_W3,to_W4W8,unknown"</formula1>
      <formula2>0</formula2>
    </dataValidation>
    <dataValidation type="list" allowBlank="1" sqref="J2:J5000" xr:uid="{00000000-0002-0000-0400-000003000000}">
      <formula1>"P1,P2,P3,P4"</formula1>
      <formula2>0</formula2>
    </dataValidation>
    <dataValidation type="list" allowBlank="1" sqref="K2:M5000" xr:uid="{00000000-0002-0000-0400-000004000000}">
      <formula1>"0,1,NA"</formula1>
      <formula2>0</formula2>
    </dataValidation>
    <dataValidation type="list" allowBlank="1" sqref="O2:O5000" xr:uid="{00000000-0002-0000-0400-000005000000}">
      <formula1>"supporting,neutral,critical"</formula1>
      <formula2>0</formula2>
    </dataValidation>
    <dataValidation type="list" allowBlank="1" sqref="R2:R5000" xr:uid="{00000000-0002-0000-0400-000006000000}">
      <formula1>"adequate,partial,inadequate"</formula1>
      <formula2>0</formula2>
    </dataValidation>
    <dataValidation type="list" allowBlank="1" sqref="U2:U5000 Y2:Y5000" xr:uid="{00000000-0002-0000-0400-000007000000}">
      <formula1>"0,1,NA"</formula1>
    </dataValidation>
    <dataValidation type="list" allowBlank="1" sqref="V2:X5000" xr:uid="{00000000-0002-0000-0400-000008000000}">
      <formula1>"0,1,NA,unknown"</formula1>
    </dataValidation>
    <dataValidation type="list" allowBlank="1" sqref="Z2:Z5000" xr:uid="{00000000-0002-0000-0400-000009000000}">
      <formula1>"descriptive,conceptual,causal,predictive,normative,NA"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2" style="1" customWidth="1"/>
    <col min="2" max="2" width="60" style="1" customWidth="1"/>
    <col min="3" max="3" width="50" style="1" customWidth="1"/>
    <col min="4" max="4" width="16" style="1" customWidth="1"/>
    <col min="5" max="5" width="14" style="1" customWidth="1"/>
  </cols>
  <sheetData>
    <row r="1" spans="1:5" ht="15" customHeight="1">
      <c r="A1" s="7" t="s">
        <v>501</v>
      </c>
      <c r="B1" s="7" t="s">
        <v>502</v>
      </c>
      <c r="C1" s="7" t="s">
        <v>503</v>
      </c>
      <c r="D1" s="7" t="s">
        <v>504</v>
      </c>
      <c r="E1" s="7" t="s">
        <v>505</v>
      </c>
    </row>
    <row r="2" spans="1:5" ht="15" customHeight="1">
      <c r="A2" t="s">
        <v>506</v>
      </c>
      <c r="B2" t="s">
        <v>507</v>
      </c>
      <c r="C2" t="s">
        <v>508</v>
      </c>
      <c r="D2" t="s">
        <v>509</v>
      </c>
      <c r="E2" t="s">
        <v>510</v>
      </c>
    </row>
    <row r="3" spans="1:5">
      <c r="A3" t="s">
        <v>511</v>
      </c>
      <c r="B3" t="s">
        <v>512</v>
      </c>
      <c r="C3" t="s">
        <v>513</v>
      </c>
      <c r="D3" t="s">
        <v>514</v>
      </c>
      <c r="E3" t="s">
        <v>515</v>
      </c>
    </row>
    <row r="4" spans="1:5">
      <c r="A4" t="s">
        <v>511</v>
      </c>
      <c r="B4" t="s">
        <v>516</v>
      </c>
      <c r="C4" t="s">
        <v>517</v>
      </c>
      <c r="D4" t="s">
        <v>514</v>
      </c>
      <c r="E4" t="s">
        <v>515</v>
      </c>
    </row>
    <row r="5" spans="1:5">
      <c r="A5" t="s">
        <v>511</v>
      </c>
      <c r="B5" t="s">
        <v>518</v>
      </c>
      <c r="C5" t="s">
        <v>519</v>
      </c>
      <c r="D5" t="s">
        <v>514</v>
      </c>
      <c r="E5" t="s">
        <v>515</v>
      </c>
    </row>
    <row r="6" spans="1:5">
      <c r="A6" t="s">
        <v>511</v>
      </c>
      <c r="B6" t="s">
        <v>520</v>
      </c>
      <c r="C6" t="s">
        <v>521</v>
      </c>
      <c r="D6" t="s">
        <v>514</v>
      </c>
      <c r="E6" t="s">
        <v>515</v>
      </c>
    </row>
    <row r="7" spans="1:5">
      <c r="A7" t="s">
        <v>511</v>
      </c>
      <c r="B7" t="s">
        <v>522</v>
      </c>
      <c r="C7" t="s">
        <v>523</v>
      </c>
      <c r="D7" t="s">
        <v>514</v>
      </c>
      <c r="E7" t="s">
        <v>515</v>
      </c>
    </row>
    <row r="8" spans="1:5">
      <c r="A8" t="s">
        <v>511</v>
      </c>
      <c r="B8" t="s">
        <v>524</v>
      </c>
      <c r="C8" t="s">
        <v>525</v>
      </c>
      <c r="D8" t="s">
        <v>514</v>
      </c>
      <c r="E8" t="s">
        <v>515</v>
      </c>
    </row>
    <row r="9" spans="1:5">
      <c r="A9" t="s">
        <v>511</v>
      </c>
      <c r="B9" t="s">
        <v>526</v>
      </c>
      <c r="C9" t="s">
        <v>527</v>
      </c>
      <c r="D9" t="s">
        <v>514</v>
      </c>
      <c r="E9" t="s">
        <v>515</v>
      </c>
    </row>
    <row r="10" spans="1:5">
      <c r="A10" t="s">
        <v>511</v>
      </c>
      <c r="B10" t="s">
        <v>528</v>
      </c>
      <c r="C10" t="s">
        <v>529</v>
      </c>
      <c r="D10" t="s">
        <v>514</v>
      </c>
      <c r="E10" t="s">
        <v>515</v>
      </c>
    </row>
    <row r="11" spans="1:5">
      <c r="A11" t="s">
        <v>511</v>
      </c>
      <c r="B11" t="s">
        <v>530</v>
      </c>
      <c r="C11" t="s">
        <v>531</v>
      </c>
      <c r="D11" t="s">
        <v>514</v>
      </c>
      <c r="E11" t="s">
        <v>515</v>
      </c>
    </row>
    <row r="12" spans="1:5">
      <c r="A12" t="s">
        <v>511</v>
      </c>
      <c r="B12" t="s">
        <v>532</v>
      </c>
      <c r="C12" t="s">
        <v>533</v>
      </c>
      <c r="D12" t="s">
        <v>514</v>
      </c>
      <c r="E12" t="s">
        <v>515</v>
      </c>
    </row>
    <row r="13" spans="1:5">
      <c r="A13" t="s">
        <v>511</v>
      </c>
      <c r="B13" t="s">
        <v>534</v>
      </c>
      <c r="C13" t="s">
        <v>535</v>
      </c>
      <c r="D13" t="s">
        <v>514</v>
      </c>
      <c r="E13" t="s">
        <v>515</v>
      </c>
    </row>
    <row r="14" spans="1:5">
      <c r="A14" t="s">
        <v>511</v>
      </c>
      <c r="B14" t="s">
        <v>536</v>
      </c>
      <c r="C14" t="s">
        <v>537</v>
      </c>
      <c r="D14" t="s">
        <v>514</v>
      </c>
      <c r="E14" t="s">
        <v>515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6"/>
  <sheetViews>
    <sheetView zoomScaleNormal="100" workbookViewId="0"/>
  </sheetViews>
  <sheetFormatPr defaultColWidth="8.7109375" defaultRowHeight="15"/>
  <cols>
    <col min="1" max="1" width="34" style="1" customWidth="1"/>
    <col min="2" max="3" width="12" style="1" customWidth="1"/>
  </cols>
  <sheetData>
    <row r="1" spans="1:3" ht="15" customHeight="1">
      <c r="A1" s="4" t="s">
        <v>538</v>
      </c>
      <c r="B1" s="3"/>
      <c r="C1" s="3"/>
    </row>
    <row r="2" spans="1:3" ht="15" customHeight="1">
      <c r="A2" s="3"/>
      <c r="B2" s="3"/>
      <c r="C2" s="3"/>
    </row>
    <row r="3" spans="1:3" ht="15" customHeight="1">
      <c r="A3" s="3" t="s">
        <v>539</v>
      </c>
      <c r="B3" s="3">
        <f>COUNTA(Claims!A2:A5000)</f>
        <v>21</v>
      </c>
      <c r="C3" s="3"/>
    </row>
    <row r="4" spans="1:3" ht="15" customHeight="1">
      <c r="A4" s="3" t="s">
        <v>540</v>
      </c>
      <c r="B4" s="3">
        <f>COUNTA(Articles!A2:A2000)</f>
        <v>2</v>
      </c>
      <c r="C4" s="3"/>
    </row>
    <row r="5" spans="1:3" ht="15" customHeight="1">
      <c r="A5" s="3"/>
      <c r="B5" s="3"/>
      <c r="C5" s="3"/>
    </row>
    <row r="6" spans="1:3" ht="15" customHeight="1">
      <c r="A6" s="4" t="s">
        <v>541</v>
      </c>
      <c r="B6" s="4" t="s">
        <v>542</v>
      </c>
      <c r="C6" s="4" t="s">
        <v>543</v>
      </c>
    </row>
    <row r="7" spans="1:3" ht="15" customHeight="1">
      <c r="A7" s="3" t="s">
        <v>436</v>
      </c>
      <c r="B7" s="3">
        <f>COUNTIF(Claims!F2:F5000,"descriptive")</f>
        <v>4</v>
      </c>
      <c r="C7" s="12">
        <f t="shared" ref="C7:C12" si="0">IF($B$3=0,0,B7/$B$3)</f>
        <v>0.19047619047619047</v>
      </c>
    </row>
    <row r="8" spans="1:3" ht="15" customHeight="1">
      <c r="A8" s="3" t="s">
        <v>409</v>
      </c>
      <c r="B8" s="3">
        <f>COUNTIF(Claims!F2:F5000,"conceptual")</f>
        <v>3</v>
      </c>
      <c r="C8" s="12">
        <f t="shared" si="0"/>
        <v>0.14285714285714285</v>
      </c>
    </row>
    <row r="9" spans="1:3" ht="15" customHeight="1">
      <c r="A9" s="3" t="s">
        <v>427</v>
      </c>
      <c r="B9" s="3">
        <f>COUNTIF(Claims!F2:F5000,"causal")</f>
        <v>3</v>
      </c>
      <c r="C9" s="12">
        <f t="shared" si="0"/>
        <v>0.14285714285714285</v>
      </c>
    </row>
    <row r="10" spans="1:3" ht="15" customHeight="1">
      <c r="A10" s="3" t="s">
        <v>417</v>
      </c>
      <c r="B10" s="3">
        <f>COUNTIF(Claims!F2:F5000,"predictive")</f>
        <v>10</v>
      </c>
      <c r="C10" s="12">
        <f t="shared" si="0"/>
        <v>0.47619047619047616</v>
      </c>
    </row>
    <row r="11" spans="1:3" ht="15" customHeight="1">
      <c r="A11" s="3" t="s">
        <v>488</v>
      </c>
      <c r="B11" s="3">
        <f>COUNTIF(Claims!F2:F5000,"normative")</f>
        <v>1</v>
      </c>
      <c r="C11" s="12">
        <f t="shared" si="0"/>
        <v>4.7619047619047616E-2</v>
      </c>
    </row>
    <row r="12" spans="1:3" ht="15" customHeight="1">
      <c r="A12" s="3" t="s">
        <v>544</v>
      </c>
      <c r="B12" s="3">
        <f>COUNTIF(Claims!F2:F5000,"other")</f>
        <v>0</v>
      </c>
      <c r="C12" s="12">
        <f t="shared" si="0"/>
        <v>0</v>
      </c>
    </row>
    <row r="13" spans="1:3" ht="15" customHeight="1">
      <c r="A13" s="3"/>
      <c r="B13" s="3"/>
      <c r="C13" s="3"/>
    </row>
    <row r="14" spans="1:3" ht="15" customHeight="1">
      <c r="A14" s="4" t="s">
        <v>545</v>
      </c>
      <c r="B14" s="3"/>
      <c r="C14" s="3"/>
    </row>
    <row r="15" spans="1:3" ht="15" customHeight="1">
      <c r="A15" s="3" t="s">
        <v>546</v>
      </c>
      <c r="B15" s="3">
        <f>COUNTIF(Claims!H2:H5000,"W1")</f>
        <v>0</v>
      </c>
      <c r="C15" s="12">
        <f t="shared" ref="C15:C22" si="1">IF($B$3=0,0,B15/$B$3)</f>
        <v>0</v>
      </c>
    </row>
    <row r="16" spans="1:3" ht="15" customHeight="1">
      <c r="A16" s="3" t="s">
        <v>495</v>
      </c>
      <c r="B16" s="3">
        <f>COUNTIF(Claims!H2:H5000,"W2")</f>
        <v>1</v>
      </c>
      <c r="C16" s="12">
        <f t="shared" si="1"/>
        <v>4.7619047619047616E-2</v>
      </c>
    </row>
    <row r="17" spans="1:3" ht="15" customHeight="1">
      <c r="A17" s="3" t="s">
        <v>429</v>
      </c>
      <c r="B17" s="3">
        <f>COUNTIF(Claims!H2:H5000,"W3")</f>
        <v>7</v>
      </c>
      <c r="C17" s="12">
        <f t="shared" si="1"/>
        <v>0.33333333333333331</v>
      </c>
    </row>
    <row r="18" spans="1:3" ht="15" customHeight="1">
      <c r="A18" s="3" t="s">
        <v>411</v>
      </c>
      <c r="B18" s="3">
        <f>COUNTIF(Claims!H2:H5000,"W4")</f>
        <v>5</v>
      </c>
      <c r="C18" s="12">
        <f t="shared" si="1"/>
        <v>0.23809523809523808</v>
      </c>
    </row>
    <row r="19" spans="1:3" ht="15" customHeight="1">
      <c r="A19" s="3" t="s">
        <v>450</v>
      </c>
      <c r="B19" s="3">
        <f>COUNTIF(Claims!H2:H5000,"W5")</f>
        <v>3</v>
      </c>
      <c r="C19" s="12">
        <f t="shared" si="1"/>
        <v>0.14285714285714285</v>
      </c>
    </row>
    <row r="20" spans="1:3" ht="15" customHeight="1">
      <c r="A20" s="3" t="s">
        <v>437</v>
      </c>
      <c r="B20" s="3">
        <f>COUNTIF(Claims!H2:H5000,"W6")</f>
        <v>2</v>
      </c>
      <c r="C20" s="12">
        <f t="shared" si="1"/>
        <v>9.5238095238095233E-2</v>
      </c>
    </row>
    <row r="21" spans="1:3" ht="15" customHeight="1">
      <c r="A21" s="3" t="s">
        <v>419</v>
      </c>
      <c r="B21" s="3">
        <f>COUNTIF(Claims!H2:H5000,"W7")</f>
        <v>3</v>
      </c>
      <c r="C21" s="12">
        <f t="shared" si="1"/>
        <v>0.14285714285714285</v>
      </c>
    </row>
    <row r="22" spans="1:3" ht="15" customHeight="1">
      <c r="A22" s="3" t="s">
        <v>547</v>
      </c>
      <c r="B22" s="3">
        <f>COUNTIF(Claims!H2:H5000,"W8")</f>
        <v>0</v>
      </c>
      <c r="C22" s="12">
        <f t="shared" si="1"/>
        <v>0</v>
      </c>
    </row>
    <row r="23" spans="1:3" ht="15" customHeight="1">
      <c r="A23" s="3"/>
      <c r="B23" s="3"/>
      <c r="C23" s="3"/>
    </row>
    <row r="24" spans="1:3" ht="15" customHeight="1">
      <c r="A24" s="4" t="s">
        <v>548</v>
      </c>
      <c r="B24" s="3"/>
      <c r="C24" s="3"/>
    </row>
    <row r="25" spans="1:3" ht="15" customHeight="1">
      <c r="A25" s="3" t="s">
        <v>56</v>
      </c>
      <c r="B25" s="3">
        <f>COUNTIF(Claims!R2:R5000,"adequate")</f>
        <v>11</v>
      </c>
      <c r="C25" s="12">
        <f>IF($B$3=0,0,B25/$B$3)</f>
        <v>0.52380952380952384</v>
      </c>
    </row>
    <row r="26" spans="1:3" ht="15" customHeight="1">
      <c r="A26" s="3" t="s">
        <v>60</v>
      </c>
      <c r="B26" s="3">
        <f>COUNTIF(Claims!R2:R5000,"partial")</f>
        <v>10</v>
      </c>
      <c r="C26" s="12">
        <f>IF($B$3=0,0,B26/$B$3)</f>
        <v>0.47619047619047616</v>
      </c>
    </row>
    <row r="27" spans="1:3" ht="15" customHeight="1">
      <c r="A27" s="3" t="s">
        <v>65</v>
      </c>
      <c r="B27" s="3">
        <f>COUNTIF(Claims!R2:R5000,"inadequate")</f>
        <v>0</v>
      </c>
      <c r="C27" s="12">
        <f>IF($B$3=0,0,B27/$B$3)</f>
        <v>0</v>
      </c>
    </row>
    <row r="28" spans="1:3" ht="15" customHeight="1">
      <c r="A28" s="3"/>
      <c r="B28" s="3"/>
      <c r="C28" s="3"/>
    </row>
    <row r="29" spans="1:3" ht="15" customHeight="1">
      <c r="A29" s="4" t="s">
        <v>549</v>
      </c>
      <c r="B29" s="3"/>
      <c r="C29" s="3"/>
    </row>
    <row r="30" spans="1:3" ht="15" customHeight="1">
      <c r="A30" s="3" t="s">
        <v>550</v>
      </c>
      <c r="B30" s="3">
        <f>COUNTIF(Claims!K2:K5000,"0")+COUNTIF(Claims!K2:K5000,"1")</f>
        <v>11</v>
      </c>
      <c r="C30" s="3"/>
    </row>
    <row r="31" spans="1:3" ht="15" customHeight="1">
      <c r="A31" s="3" t="s">
        <v>551</v>
      </c>
      <c r="B31" s="3">
        <f>COUNTIF(Claims!K2:K5000,"1")</f>
        <v>5</v>
      </c>
      <c r="C31" s="12">
        <f>IF($B$30=0,0,B31/$B$30)</f>
        <v>0.45454545454545453</v>
      </c>
    </row>
    <row r="32" spans="1:3" ht="15" customHeight="1">
      <c r="A32" s="3" t="s">
        <v>552</v>
      </c>
      <c r="B32" s="3">
        <f>COUNTIF(Claims!L2:L5000,"1")</f>
        <v>10</v>
      </c>
      <c r="C32" s="12">
        <f>IF($B$30=0,0,B32/$B$30)</f>
        <v>0.90909090909090906</v>
      </c>
    </row>
    <row r="33" spans="1:3" ht="15" customHeight="1">
      <c r="A33" s="3" t="s">
        <v>553</v>
      </c>
      <c r="B33" s="3">
        <f>COUNTIF(Claims!M2:M5000,"1")</f>
        <v>0</v>
      </c>
      <c r="C33" s="12">
        <f>IF($B$30=0,0,B33/$B$30)</f>
        <v>0</v>
      </c>
    </row>
    <row r="34" spans="1:3" ht="15" customHeight="1">
      <c r="A34" s="3" t="s">
        <v>554</v>
      </c>
      <c r="B34" s="3">
        <f>COUNTIFS(Claims!K2:K5000,"1",Claims!L2:L5000,"1",Claims!M2:M5000,"1")</f>
        <v>0</v>
      </c>
      <c r="C34" s="12">
        <f>IF($B$30=0,0,B34/$B$30)</f>
        <v>0</v>
      </c>
    </row>
    <row r="35" spans="1:3" ht="15" customHeight="1">
      <c r="A35" s="3" t="s">
        <v>555</v>
      </c>
      <c r="B35" s="3">
        <f>COUNTIFS(Claims!K2:K5000,"0",Claims!L2:L5000,"0",Claims!M2:M5000,"0")</f>
        <v>1</v>
      </c>
      <c r="C35" s="12">
        <f>IF($B$30=0,0,B35/$B$30)</f>
        <v>9.0909090909090912E-2</v>
      </c>
    </row>
    <row r="36" spans="1:3" ht="15" customHeight="1">
      <c r="A36" s="3"/>
      <c r="B36" s="3"/>
      <c r="C36" s="3"/>
    </row>
    <row r="37" spans="1:3" ht="15" customHeight="1">
      <c r="A37" s="3" t="s">
        <v>556</v>
      </c>
      <c r="B37" s="3">
        <f>COUNTIF(Claims!Q2:Q5000,"CHECK KEY")</f>
        <v>0</v>
      </c>
      <c r="C37" s="3"/>
    </row>
    <row r="39" spans="1:3">
      <c r="A39" s="5" t="s">
        <v>557</v>
      </c>
    </row>
    <row r="40" spans="1:3">
      <c r="A40" t="s">
        <v>558</v>
      </c>
      <c r="B40">
        <f>COUNTIFS(Claims!V2:V5000,"1",Claims!H2:H5000,"W3")</f>
        <v>0</v>
      </c>
      <c r="C40">
        <f>COUNTIFS(Claims!K2:K5000,"1",Claims!H2:H5000,"W3")</f>
        <v>1</v>
      </c>
    </row>
    <row r="41" spans="1:3">
      <c r="A41" t="s">
        <v>559</v>
      </c>
      <c r="B41">
        <f>COUNTIFS(Claims!W2:W5000,"1",Claims!H2:H5000,"W3")</f>
        <v>0</v>
      </c>
      <c r="C41">
        <f>COUNTIFS(Claims!L2:L5000,"1",Claims!H2:H5000,"W3")</f>
        <v>2</v>
      </c>
    </row>
    <row r="42" spans="1:3">
      <c r="A42" t="s">
        <v>560</v>
      </c>
      <c r="B42">
        <f>COUNTIFS(Claims!X2:X5000,"1",Claims!H2:H5000,"W3")</f>
        <v>0</v>
      </c>
      <c r="C42">
        <f>COUNTIFS(Claims!M2:M5000,"1",Claims!H2:H5000,"W3")</f>
        <v>0</v>
      </c>
    </row>
    <row r="43" spans="1:3">
      <c r="A43" t="s">
        <v>561</v>
      </c>
      <c r="B43">
        <f>COUNTIFS(Claims!H2:H5000,"W3",Claims!V2:V5000,"&lt;&gt;unknown")-COUNTIFS(Claims!H2:H5000,"W3",Claims!V2:V5000,"NA")</f>
        <v>0</v>
      </c>
    </row>
    <row r="45" spans="1:3">
      <c r="A45" t="s">
        <v>562</v>
      </c>
      <c r="B45">
        <f>COUNTIF(Claims!AA2:AA5000,"P4-CAUSAL")</f>
        <v>3</v>
      </c>
    </row>
    <row r="46" spans="1:3">
      <c r="A46" t="s">
        <v>563</v>
      </c>
      <c r="B46">
        <f>COUNTIFS(Claims!F2:F5000,"predictive",Claims!H2:H5000,"W4",Claims!U2:U5000,"1")</f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Legend</vt:lpstr>
      <vt:lpstr>Fit_Matrix</vt:lpstr>
      <vt:lpstr>Canonical_Claims</vt:lpstr>
      <vt:lpstr>Articles</vt:lpstr>
      <vt:lpstr>Claims</vt:lpstr>
      <vt:lpstr>Change_Log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0</cp:revision>
  <dcterms:created xsi:type="dcterms:W3CDTF">2026-09-06T21:13:11Z</dcterms:created>
  <dcterms:modified xsi:type="dcterms:W3CDTF">2026-09-10T19:54:42Z</dcterms:modified>
  <dc:language>en-US</dc:language>
</cp:coreProperties>
</file>